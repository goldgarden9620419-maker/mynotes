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1F1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color rgb="000000FF"/>
      <sz val="10"/>
    </font>
    <font>
      <name val="맑은 고딕"/>
      <b val="1"/>
      <color rgb="009C0006"/>
      <sz val="11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1" fontId="3" fillId="0" borderId="1" applyProtection="1" pivotButton="0" quotePrefix="0" xfId="0">
      <protection locked="0" hidden="0"/>
    </xf>
    <xf numFmtId="3" fontId="3" fillId="0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</dxf>
    <dxf>
      <font>
        <name val="맑은 고딕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P201" headerRowCount="1">
  <tableColumns count="16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입력확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2" customWidth="1" min="4" max="4"/>
    <col width="8" customWidth="1" min="5" max="5"/>
    <col width="12" customWidth="1" min="6" max="6"/>
    <col width="18" customWidth="1" min="7" max="7"/>
    <col width="28" customWidth="1" min="8" max="8"/>
    <col width="13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18" customWidth="1" min="15" max="15"/>
    <col width="16" customWidth="1" min="16" max="16"/>
  </cols>
  <sheetData>
    <row r="1" ht="22" customHeight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2" t="inlineStr">
        <is>
          <t>최초등록일</t>
        </is>
      </c>
      <c r="E1" s="1" t="inlineStr">
        <is>
          <t>일련번호</t>
        </is>
      </c>
      <c r="F1" s="2" t="inlineStr">
        <is>
          <t>지급예정일</t>
        </is>
      </c>
      <c r="G1" s="2" t="inlineStr">
        <is>
          <t>거래처</t>
        </is>
      </c>
      <c r="H1" s="2" t="inlineStr">
        <is>
          <t>지출내용</t>
        </is>
      </c>
      <c r="I1" s="2" t="inlineStr">
        <is>
          <t>예상금액</t>
        </is>
      </c>
      <c r="J1" s="2" t="inlineStr">
        <is>
          <t>지급방법</t>
        </is>
      </c>
      <c r="K1" s="2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2" t="inlineStr">
        <is>
          <t>비고</t>
        </is>
      </c>
      <c r="P1" s="1" t="inlineStr">
        <is>
          <t>입력확인</t>
        </is>
      </c>
    </row>
    <row r="2">
      <c r="A2" s="3">
        <f>IF(OR(B2="",D2="",E2=""),"",B2&amp;"-"&amp;TEXT(D2,"yyyymmdd")&amp;"-"&amp;TEXT(E2,"000"))</f>
        <v/>
      </c>
      <c r="B2" s="4">
        <f>IF(OR($D2&lt;&gt;"",$F2&lt;&gt;"",$G2&lt;&gt;"",$H2&lt;&gt;"",$I2&lt;&gt;""),"연구","")</f>
        <v/>
      </c>
      <c r="C2" s="4">
        <f>IF(OR($D2&lt;&gt;"",$F2&lt;&gt;"",$G2&lt;&gt;"",$H2&lt;&gt;"",$I2&lt;&gt;""),"연구팀","")</f>
        <v/>
      </c>
      <c r="D2" s="5" t="n"/>
      <c r="E2" s="6">
        <f>IF($D2="","",COUNTIF($D$2:$D2,$D2))</f>
        <v/>
      </c>
      <c r="F2" s="5" t="n"/>
      <c r="G2" s="4" t="n"/>
      <c r="H2" s="4" t="n"/>
      <c r="I2" s="7" t="n"/>
      <c r="J2" s="4" t="n"/>
      <c r="K2" s="4" t="n"/>
      <c r="L2" s="4">
        <f>IF(OR($G2&lt;&gt;"",$I2&lt;&gt;""),"확정","")</f>
        <v/>
      </c>
      <c r="M2" s="4">
        <f>IF(OR($G2&lt;&gt;"",$I2&lt;&gt;""),"신규","")</f>
        <v/>
      </c>
      <c r="N2" s="5">
        <f>IF($D2="","",$D2)</f>
        <v/>
      </c>
      <c r="O2" s="4" t="n"/>
      <c r="P2" s="3">
        <f>IF(NOT(OR($D2&lt;&gt;"",$F2&lt;&gt;"",$G2&lt;&gt;"",$H2&lt;&gt;"",$I2&lt;&gt;"")),"",IF(($D2="")+($F2="")+($I2="")+($J2="")+IF(AND($J2="법인카드",$K2=""),1,0)=0,"✔ 완료","⚠ 누락 "&amp;($D2="")+($F2="")+($I2="")+($J2="")+IF(AND($J2="법인카드",$K2=""),1,0)&amp;"칸"))</f>
        <v/>
      </c>
    </row>
    <row r="3">
      <c r="A3" s="3">
        <f>IF(OR(B3="",D3="",E3=""),"",B3&amp;"-"&amp;TEXT(D3,"yyyymmdd")&amp;"-"&amp;TEXT(E3,"000"))</f>
        <v/>
      </c>
      <c r="B3" s="4">
        <f>IF(OR($D3&lt;&gt;"",$F3&lt;&gt;"",$G3&lt;&gt;"",$H3&lt;&gt;"",$I3&lt;&gt;""),"연구","")</f>
        <v/>
      </c>
      <c r="C3" s="4">
        <f>IF(OR($D3&lt;&gt;"",$F3&lt;&gt;"",$G3&lt;&gt;"",$H3&lt;&gt;"",$I3&lt;&gt;""),"연구팀","")</f>
        <v/>
      </c>
      <c r="D3" s="5" t="n"/>
      <c r="E3" s="6">
        <f>IF($D3="","",COUNTIF($D$2:$D3,$D3))</f>
        <v/>
      </c>
      <c r="F3" s="5" t="n"/>
      <c r="G3" s="4" t="n"/>
      <c r="H3" s="4" t="n"/>
      <c r="I3" s="7" t="n"/>
      <c r="J3" s="4" t="n"/>
      <c r="K3" s="4" t="n"/>
      <c r="L3" s="4">
        <f>IF(OR($G3&lt;&gt;"",$I3&lt;&gt;""),"확정","")</f>
        <v/>
      </c>
      <c r="M3" s="4">
        <f>IF(OR($G3&lt;&gt;"",$I3&lt;&gt;""),"신규","")</f>
        <v/>
      </c>
      <c r="N3" s="5">
        <f>IF($D3="","",$D3)</f>
        <v/>
      </c>
      <c r="O3" s="4" t="n"/>
      <c r="P3" s="3">
        <f>IF(NOT(OR($D3&lt;&gt;"",$F3&lt;&gt;"",$G3&lt;&gt;"",$H3&lt;&gt;"",$I3&lt;&gt;"")),"",IF(($D3="")+($F3="")+($I3="")+($J3="")+IF(AND($J3="법인카드",$K3=""),1,0)=0,"✔ 완료","⚠ 누락 "&amp;($D3="")+($F3="")+($I3="")+($J3="")+IF(AND($J3="법인카드",$K3=""),1,0)&amp;"칸"))</f>
        <v/>
      </c>
    </row>
    <row r="4">
      <c r="A4" s="3">
        <f>IF(OR(B4="",D4="",E4=""),"",B4&amp;"-"&amp;TEXT(D4,"yyyymmdd")&amp;"-"&amp;TEXT(E4,"000"))</f>
        <v/>
      </c>
      <c r="B4" s="4">
        <f>IF(OR($D4&lt;&gt;"",$F4&lt;&gt;"",$G4&lt;&gt;"",$H4&lt;&gt;"",$I4&lt;&gt;""),"연구","")</f>
        <v/>
      </c>
      <c r="C4" s="4">
        <f>IF(OR($D4&lt;&gt;"",$F4&lt;&gt;"",$G4&lt;&gt;"",$H4&lt;&gt;"",$I4&lt;&gt;""),"연구팀","")</f>
        <v/>
      </c>
      <c r="D4" s="5" t="n"/>
      <c r="E4" s="6">
        <f>IF($D4="","",COUNTIF($D$2:$D4,$D4))</f>
        <v/>
      </c>
      <c r="F4" s="5" t="n"/>
      <c r="G4" s="4" t="n"/>
      <c r="H4" s="4" t="n"/>
      <c r="I4" s="7" t="n"/>
      <c r="J4" s="4" t="n"/>
      <c r="K4" s="4" t="n"/>
      <c r="L4" s="4">
        <f>IF(OR($G4&lt;&gt;"",$I4&lt;&gt;""),"확정","")</f>
        <v/>
      </c>
      <c r="M4" s="4">
        <f>IF(OR($G4&lt;&gt;"",$I4&lt;&gt;""),"신규","")</f>
        <v/>
      </c>
      <c r="N4" s="5">
        <f>IF($D4="","",$D4)</f>
        <v/>
      </c>
      <c r="O4" s="4" t="n"/>
      <c r="P4" s="3">
        <f>IF(NOT(OR($D4&lt;&gt;"",$F4&lt;&gt;"",$G4&lt;&gt;"",$H4&lt;&gt;"",$I4&lt;&gt;"")),"",IF(($D4="")+($F4="")+($I4="")+($J4="")+IF(AND($J4="법인카드",$K4=""),1,0)=0,"✔ 완료","⚠ 누락 "&amp;($D4="")+($F4="")+($I4="")+($J4="")+IF(AND($J4="법인카드",$K4=""),1,0)&amp;"칸"))</f>
        <v/>
      </c>
    </row>
    <row r="5">
      <c r="A5" s="3">
        <f>IF(OR(B5="",D5="",E5=""),"",B5&amp;"-"&amp;TEXT(D5,"yyyymmdd")&amp;"-"&amp;TEXT(E5,"000"))</f>
        <v/>
      </c>
      <c r="B5" s="4">
        <f>IF(OR($D5&lt;&gt;"",$F5&lt;&gt;"",$G5&lt;&gt;"",$H5&lt;&gt;"",$I5&lt;&gt;""),"연구","")</f>
        <v/>
      </c>
      <c r="C5" s="4">
        <f>IF(OR($D5&lt;&gt;"",$F5&lt;&gt;"",$G5&lt;&gt;"",$H5&lt;&gt;"",$I5&lt;&gt;""),"연구팀","")</f>
        <v/>
      </c>
      <c r="D5" s="5" t="n"/>
      <c r="E5" s="6">
        <f>IF($D5="","",COUNTIF($D$2:$D5,$D5))</f>
        <v/>
      </c>
      <c r="F5" s="5" t="n"/>
      <c r="G5" s="4" t="n"/>
      <c r="H5" s="4" t="n"/>
      <c r="I5" s="7" t="n"/>
      <c r="J5" s="4" t="n"/>
      <c r="K5" s="4" t="n"/>
      <c r="L5" s="4">
        <f>IF(OR($G5&lt;&gt;"",$I5&lt;&gt;""),"확정","")</f>
        <v/>
      </c>
      <c r="M5" s="4">
        <f>IF(OR($G5&lt;&gt;"",$I5&lt;&gt;""),"신규","")</f>
        <v/>
      </c>
      <c r="N5" s="5">
        <f>IF($D5="","",$D5)</f>
        <v/>
      </c>
      <c r="O5" s="4" t="n"/>
      <c r="P5" s="3">
        <f>IF(NOT(OR($D5&lt;&gt;"",$F5&lt;&gt;"",$G5&lt;&gt;"",$H5&lt;&gt;"",$I5&lt;&gt;"")),"",IF(($D5="")+($F5="")+($I5="")+($J5="")+IF(AND($J5="법인카드",$K5=""),1,0)=0,"✔ 완료","⚠ 누락 "&amp;($D5="")+($F5="")+($I5="")+($J5="")+IF(AND($J5="법인카드",$K5=""),1,0)&amp;"칸"))</f>
        <v/>
      </c>
    </row>
    <row r="6">
      <c r="A6" s="3">
        <f>IF(OR(B6="",D6="",E6=""),"",B6&amp;"-"&amp;TEXT(D6,"yyyymmdd")&amp;"-"&amp;TEXT(E6,"000"))</f>
        <v/>
      </c>
      <c r="B6" s="4">
        <f>IF(OR($D6&lt;&gt;"",$F6&lt;&gt;"",$G6&lt;&gt;"",$H6&lt;&gt;"",$I6&lt;&gt;""),"연구","")</f>
        <v/>
      </c>
      <c r="C6" s="4">
        <f>IF(OR($D6&lt;&gt;"",$F6&lt;&gt;"",$G6&lt;&gt;"",$H6&lt;&gt;"",$I6&lt;&gt;""),"연구팀","")</f>
        <v/>
      </c>
      <c r="D6" s="5" t="n"/>
      <c r="E6" s="6">
        <f>IF($D6="","",COUNTIF($D$2:$D6,$D6))</f>
        <v/>
      </c>
      <c r="F6" s="5" t="n"/>
      <c r="G6" s="4" t="n"/>
      <c r="H6" s="4" t="n"/>
      <c r="I6" s="7" t="n"/>
      <c r="J6" s="4" t="n"/>
      <c r="K6" s="4" t="n"/>
      <c r="L6" s="4">
        <f>IF(OR($G6&lt;&gt;"",$I6&lt;&gt;""),"확정","")</f>
        <v/>
      </c>
      <c r="M6" s="4">
        <f>IF(OR($G6&lt;&gt;"",$I6&lt;&gt;""),"신규","")</f>
        <v/>
      </c>
      <c r="N6" s="5">
        <f>IF($D6="","",$D6)</f>
        <v/>
      </c>
      <c r="O6" s="4" t="n"/>
      <c r="P6" s="3">
        <f>IF(NOT(OR($D6&lt;&gt;"",$F6&lt;&gt;"",$G6&lt;&gt;"",$H6&lt;&gt;"",$I6&lt;&gt;"")),"",IF(($D6="")+($F6="")+($I6="")+($J6="")+IF(AND($J6="법인카드",$K6=""),1,0)=0,"✔ 완료","⚠ 누락 "&amp;($D6="")+($F6="")+($I6="")+($J6="")+IF(AND($J6="법인카드",$K6=""),1,0)&amp;"칸"))</f>
        <v/>
      </c>
    </row>
    <row r="7">
      <c r="A7" s="3">
        <f>IF(OR(B7="",D7="",E7=""),"",B7&amp;"-"&amp;TEXT(D7,"yyyymmdd")&amp;"-"&amp;TEXT(E7,"000"))</f>
        <v/>
      </c>
      <c r="B7" s="4">
        <f>IF(OR($D7&lt;&gt;"",$F7&lt;&gt;"",$G7&lt;&gt;"",$H7&lt;&gt;"",$I7&lt;&gt;""),"연구","")</f>
        <v/>
      </c>
      <c r="C7" s="4">
        <f>IF(OR($D7&lt;&gt;"",$F7&lt;&gt;"",$G7&lt;&gt;"",$H7&lt;&gt;"",$I7&lt;&gt;""),"연구팀","")</f>
        <v/>
      </c>
      <c r="D7" s="5" t="n"/>
      <c r="E7" s="6">
        <f>IF($D7="","",COUNTIF($D$2:$D7,$D7))</f>
        <v/>
      </c>
      <c r="F7" s="5" t="n"/>
      <c r="G7" s="4" t="n"/>
      <c r="H7" s="4" t="n"/>
      <c r="I7" s="7" t="n"/>
      <c r="J7" s="4" t="n"/>
      <c r="K7" s="4" t="n"/>
      <c r="L7" s="4">
        <f>IF(OR($G7&lt;&gt;"",$I7&lt;&gt;""),"확정","")</f>
        <v/>
      </c>
      <c r="M7" s="4">
        <f>IF(OR($G7&lt;&gt;"",$I7&lt;&gt;""),"신규","")</f>
        <v/>
      </c>
      <c r="N7" s="5">
        <f>IF($D7="","",$D7)</f>
        <v/>
      </c>
      <c r="O7" s="4" t="n"/>
      <c r="P7" s="3">
        <f>IF(NOT(OR($D7&lt;&gt;"",$F7&lt;&gt;"",$G7&lt;&gt;"",$H7&lt;&gt;"",$I7&lt;&gt;"")),"",IF(($D7="")+($F7="")+($I7="")+($J7="")+IF(AND($J7="법인카드",$K7=""),1,0)=0,"✔ 완료","⚠ 누락 "&amp;($D7="")+($F7="")+($I7="")+($J7="")+IF(AND($J7="법인카드",$K7=""),1,0)&amp;"칸"))</f>
        <v/>
      </c>
    </row>
    <row r="8">
      <c r="A8" s="3">
        <f>IF(OR(B8="",D8="",E8=""),"",B8&amp;"-"&amp;TEXT(D8,"yyyymmdd")&amp;"-"&amp;TEXT(E8,"000"))</f>
        <v/>
      </c>
      <c r="B8" s="4">
        <f>IF(OR($D8&lt;&gt;"",$F8&lt;&gt;"",$G8&lt;&gt;"",$H8&lt;&gt;"",$I8&lt;&gt;""),"연구","")</f>
        <v/>
      </c>
      <c r="C8" s="4">
        <f>IF(OR($D8&lt;&gt;"",$F8&lt;&gt;"",$G8&lt;&gt;"",$H8&lt;&gt;"",$I8&lt;&gt;""),"연구팀","")</f>
        <v/>
      </c>
      <c r="D8" s="5" t="n"/>
      <c r="E8" s="6">
        <f>IF($D8="","",COUNTIF($D$2:$D8,$D8))</f>
        <v/>
      </c>
      <c r="F8" s="5" t="n"/>
      <c r="G8" s="4" t="n"/>
      <c r="H8" s="4" t="n"/>
      <c r="I8" s="7" t="n"/>
      <c r="J8" s="4" t="n"/>
      <c r="K8" s="4" t="n"/>
      <c r="L8" s="4">
        <f>IF(OR($G8&lt;&gt;"",$I8&lt;&gt;""),"확정","")</f>
        <v/>
      </c>
      <c r="M8" s="4">
        <f>IF(OR($G8&lt;&gt;"",$I8&lt;&gt;""),"신규","")</f>
        <v/>
      </c>
      <c r="N8" s="5">
        <f>IF($D8="","",$D8)</f>
        <v/>
      </c>
      <c r="O8" s="4" t="n"/>
      <c r="P8" s="3">
        <f>IF(NOT(OR($D8&lt;&gt;"",$F8&lt;&gt;"",$G8&lt;&gt;"",$H8&lt;&gt;"",$I8&lt;&gt;"")),"",IF(($D8="")+($F8="")+($I8="")+($J8="")+IF(AND($J8="법인카드",$K8=""),1,0)=0,"✔ 완료","⚠ 누락 "&amp;($D8="")+($F8="")+($I8="")+($J8="")+IF(AND($J8="법인카드",$K8=""),1,0)&amp;"칸"))</f>
        <v/>
      </c>
    </row>
    <row r="9">
      <c r="A9" s="3">
        <f>IF(OR(B9="",D9="",E9=""),"",B9&amp;"-"&amp;TEXT(D9,"yyyymmdd")&amp;"-"&amp;TEXT(E9,"000"))</f>
        <v/>
      </c>
      <c r="B9" s="4">
        <f>IF(OR($D9&lt;&gt;"",$F9&lt;&gt;"",$G9&lt;&gt;"",$H9&lt;&gt;"",$I9&lt;&gt;""),"연구","")</f>
        <v/>
      </c>
      <c r="C9" s="4">
        <f>IF(OR($D9&lt;&gt;"",$F9&lt;&gt;"",$G9&lt;&gt;"",$H9&lt;&gt;"",$I9&lt;&gt;""),"연구팀","")</f>
        <v/>
      </c>
      <c r="D9" s="5" t="n"/>
      <c r="E9" s="6">
        <f>IF($D9="","",COUNTIF($D$2:$D9,$D9))</f>
        <v/>
      </c>
      <c r="F9" s="5" t="n"/>
      <c r="G9" s="4" t="n"/>
      <c r="H9" s="4" t="n"/>
      <c r="I9" s="7" t="n"/>
      <c r="J9" s="4" t="n"/>
      <c r="K9" s="4" t="n"/>
      <c r="L9" s="4">
        <f>IF(OR($G9&lt;&gt;"",$I9&lt;&gt;""),"확정","")</f>
        <v/>
      </c>
      <c r="M9" s="4">
        <f>IF(OR($G9&lt;&gt;"",$I9&lt;&gt;""),"신규","")</f>
        <v/>
      </c>
      <c r="N9" s="5">
        <f>IF($D9="","",$D9)</f>
        <v/>
      </c>
      <c r="O9" s="4" t="n"/>
      <c r="P9" s="3">
        <f>IF(NOT(OR($D9&lt;&gt;"",$F9&lt;&gt;"",$G9&lt;&gt;"",$H9&lt;&gt;"",$I9&lt;&gt;"")),"",IF(($D9="")+($F9="")+($I9="")+($J9="")+IF(AND($J9="법인카드",$K9=""),1,0)=0,"✔ 완료","⚠ 누락 "&amp;($D9="")+($F9="")+($I9="")+($J9="")+IF(AND($J9="법인카드",$K9=""),1,0)&amp;"칸"))</f>
        <v/>
      </c>
    </row>
    <row r="10">
      <c r="A10" s="3">
        <f>IF(OR(B10="",D10="",E10=""),"",B10&amp;"-"&amp;TEXT(D10,"yyyymmdd")&amp;"-"&amp;TEXT(E10,"000"))</f>
        <v/>
      </c>
      <c r="B10" s="4">
        <f>IF(OR($D10&lt;&gt;"",$F10&lt;&gt;"",$G10&lt;&gt;"",$H10&lt;&gt;"",$I10&lt;&gt;""),"연구","")</f>
        <v/>
      </c>
      <c r="C10" s="4">
        <f>IF(OR($D10&lt;&gt;"",$F10&lt;&gt;"",$G10&lt;&gt;"",$H10&lt;&gt;"",$I10&lt;&gt;""),"연구팀","")</f>
        <v/>
      </c>
      <c r="D10" s="5" t="n"/>
      <c r="E10" s="6">
        <f>IF($D10="","",COUNTIF($D$2:$D10,$D10))</f>
        <v/>
      </c>
      <c r="F10" s="5" t="n"/>
      <c r="G10" s="4" t="n"/>
      <c r="H10" s="4" t="n"/>
      <c r="I10" s="7" t="n"/>
      <c r="J10" s="4" t="n"/>
      <c r="K10" s="4" t="n"/>
      <c r="L10" s="4">
        <f>IF(OR($G10&lt;&gt;"",$I10&lt;&gt;""),"확정","")</f>
        <v/>
      </c>
      <c r="M10" s="4">
        <f>IF(OR($G10&lt;&gt;"",$I10&lt;&gt;""),"신규","")</f>
        <v/>
      </c>
      <c r="N10" s="5">
        <f>IF($D10="","",$D10)</f>
        <v/>
      </c>
      <c r="O10" s="4" t="n"/>
      <c r="P10" s="3">
        <f>IF(NOT(OR($D10&lt;&gt;"",$F10&lt;&gt;"",$G10&lt;&gt;"",$H10&lt;&gt;"",$I10&lt;&gt;"")),"",IF(($D10="")+($F10="")+($I10="")+($J10="")+IF(AND($J10="법인카드",$K10=""),1,0)=0,"✔ 완료","⚠ 누락 "&amp;($D10="")+($F10="")+($I10="")+($J10="")+IF(AND($J10="법인카드",$K10=""),1,0)&amp;"칸"))</f>
        <v/>
      </c>
    </row>
    <row r="11">
      <c r="A11" s="3">
        <f>IF(OR(B11="",D11="",E11=""),"",B11&amp;"-"&amp;TEXT(D11,"yyyymmdd")&amp;"-"&amp;TEXT(E11,"000"))</f>
        <v/>
      </c>
      <c r="B11" s="4">
        <f>IF(OR($D11&lt;&gt;"",$F11&lt;&gt;"",$G11&lt;&gt;"",$H11&lt;&gt;"",$I11&lt;&gt;""),"연구","")</f>
        <v/>
      </c>
      <c r="C11" s="4">
        <f>IF(OR($D11&lt;&gt;"",$F11&lt;&gt;"",$G11&lt;&gt;"",$H11&lt;&gt;"",$I11&lt;&gt;""),"연구팀","")</f>
        <v/>
      </c>
      <c r="D11" s="5" t="n"/>
      <c r="E11" s="6">
        <f>IF($D11="","",COUNTIF($D$2:$D11,$D11))</f>
        <v/>
      </c>
      <c r="F11" s="5" t="n"/>
      <c r="G11" s="4" t="n"/>
      <c r="H11" s="4" t="n"/>
      <c r="I11" s="7" t="n"/>
      <c r="J11" s="4" t="n"/>
      <c r="K11" s="4" t="n"/>
      <c r="L11" s="4">
        <f>IF(OR($G11&lt;&gt;"",$I11&lt;&gt;""),"확정","")</f>
        <v/>
      </c>
      <c r="M11" s="4">
        <f>IF(OR($G11&lt;&gt;"",$I11&lt;&gt;""),"신규","")</f>
        <v/>
      </c>
      <c r="N11" s="5">
        <f>IF($D11="","",$D11)</f>
        <v/>
      </c>
      <c r="O11" s="4" t="n"/>
      <c r="P11" s="3">
        <f>IF(NOT(OR($D11&lt;&gt;"",$F11&lt;&gt;"",$G11&lt;&gt;"",$H11&lt;&gt;"",$I11&lt;&gt;"")),"",IF(($D11="")+($F11="")+($I11="")+($J11="")+IF(AND($J11="법인카드",$K11=""),1,0)=0,"✔ 완료","⚠ 누락 "&amp;($D11="")+($F11="")+($I11="")+($J11="")+IF(AND($J11="법인카드",$K11=""),1,0)&amp;"칸"))</f>
        <v/>
      </c>
    </row>
    <row r="12">
      <c r="A12" s="3">
        <f>IF(OR(B12="",D12="",E12=""),"",B12&amp;"-"&amp;TEXT(D12,"yyyymmdd")&amp;"-"&amp;TEXT(E12,"000"))</f>
        <v/>
      </c>
      <c r="B12" s="4">
        <f>IF(OR($D12&lt;&gt;"",$F12&lt;&gt;"",$G12&lt;&gt;"",$H12&lt;&gt;"",$I12&lt;&gt;""),"연구","")</f>
        <v/>
      </c>
      <c r="C12" s="4">
        <f>IF(OR($D12&lt;&gt;"",$F12&lt;&gt;"",$G12&lt;&gt;"",$H12&lt;&gt;"",$I12&lt;&gt;""),"연구팀","")</f>
        <v/>
      </c>
      <c r="D12" s="5" t="n"/>
      <c r="E12" s="6">
        <f>IF($D12="","",COUNTIF($D$2:$D12,$D12))</f>
        <v/>
      </c>
      <c r="F12" s="5" t="n"/>
      <c r="G12" s="4" t="n"/>
      <c r="H12" s="4" t="n"/>
      <c r="I12" s="7" t="n"/>
      <c r="J12" s="4" t="n"/>
      <c r="K12" s="4" t="n"/>
      <c r="L12" s="4">
        <f>IF(OR($G12&lt;&gt;"",$I12&lt;&gt;""),"확정","")</f>
        <v/>
      </c>
      <c r="M12" s="4">
        <f>IF(OR($G12&lt;&gt;"",$I12&lt;&gt;""),"신규","")</f>
        <v/>
      </c>
      <c r="N12" s="5">
        <f>IF($D12="","",$D12)</f>
        <v/>
      </c>
      <c r="O12" s="4" t="n"/>
      <c r="P12" s="3">
        <f>IF(NOT(OR($D12&lt;&gt;"",$F12&lt;&gt;"",$G12&lt;&gt;"",$H12&lt;&gt;"",$I12&lt;&gt;"")),"",IF(($D12="")+($F12="")+($I12="")+($J12="")+IF(AND($J12="법인카드",$K12=""),1,0)=0,"✔ 완료","⚠ 누락 "&amp;($D12="")+($F12="")+($I12="")+($J12="")+IF(AND($J12="법인카드",$K12=""),1,0)&amp;"칸"))</f>
        <v/>
      </c>
    </row>
    <row r="13">
      <c r="A13" s="3">
        <f>IF(OR(B13="",D13="",E13=""),"",B13&amp;"-"&amp;TEXT(D13,"yyyymmdd")&amp;"-"&amp;TEXT(E13,"000"))</f>
        <v/>
      </c>
      <c r="B13" s="4">
        <f>IF(OR($D13&lt;&gt;"",$F13&lt;&gt;"",$G13&lt;&gt;"",$H13&lt;&gt;"",$I13&lt;&gt;""),"연구","")</f>
        <v/>
      </c>
      <c r="C13" s="4">
        <f>IF(OR($D13&lt;&gt;"",$F13&lt;&gt;"",$G13&lt;&gt;"",$H13&lt;&gt;"",$I13&lt;&gt;""),"연구팀","")</f>
        <v/>
      </c>
      <c r="D13" s="5" t="n"/>
      <c r="E13" s="6">
        <f>IF($D13="","",COUNTIF($D$2:$D13,$D13))</f>
        <v/>
      </c>
      <c r="F13" s="5" t="n"/>
      <c r="G13" s="4" t="n"/>
      <c r="H13" s="4" t="n"/>
      <c r="I13" s="7" t="n"/>
      <c r="J13" s="4" t="n"/>
      <c r="K13" s="4" t="n"/>
      <c r="L13" s="4">
        <f>IF(OR($G13&lt;&gt;"",$I13&lt;&gt;""),"확정","")</f>
        <v/>
      </c>
      <c r="M13" s="4">
        <f>IF(OR($G13&lt;&gt;"",$I13&lt;&gt;""),"신규","")</f>
        <v/>
      </c>
      <c r="N13" s="5">
        <f>IF($D13="","",$D13)</f>
        <v/>
      </c>
      <c r="O13" s="4" t="n"/>
      <c r="P13" s="3">
        <f>IF(NOT(OR($D13&lt;&gt;"",$F13&lt;&gt;"",$G13&lt;&gt;"",$H13&lt;&gt;"",$I13&lt;&gt;"")),"",IF(($D13="")+($F13="")+($I13="")+($J13="")+IF(AND($J13="법인카드",$K13=""),1,0)=0,"✔ 완료","⚠ 누락 "&amp;($D13="")+($F13="")+($I13="")+($J13="")+IF(AND($J13="법인카드",$K13=""),1,0)&amp;"칸"))</f>
        <v/>
      </c>
    </row>
    <row r="14">
      <c r="A14" s="3">
        <f>IF(OR(B14="",D14="",E14=""),"",B14&amp;"-"&amp;TEXT(D14,"yyyymmdd")&amp;"-"&amp;TEXT(E14,"000"))</f>
        <v/>
      </c>
      <c r="B14" s="4">
        <f>IF(OR($D14&lt;&gt;"",$F14&lt;&gt;"",$G14&lt;&gt;"",$H14&lt;&gt;"",$I14&lt;&gt;""),"연구","")</f>
        <v/>
      </c>
      <c r="C14" s="4">
        <f>IF(OR($D14&lt;&gt;"",$F14&lt;&gt;"",$G14&lt;&gt;"",$H14&lt;&gt;"",$I14&lt;&gt;""),"연구팀","")</f>
        <v/>
      </c>
      <c r="D14" s="5" t="n"/>
      <c r="E14" s="6">
        <f>IF($D14="","",COUNTIF($D$2:$D14,$D14))</f>
        <v/>
      </c>
      <c r="F14" s="5" t="n"/>
      <c r="G14" s="4" t="n"/>
      <c r="H14" s="4" t="n"/>
      <c r="I14" s="7" t="n"/>
      <c r="J14" s="4" t="n"/>
      <c r="K14" s="4" t="n"/>
      <c r="L14" s="4">
        <f>IF(OR($G14&lt;&gt;"",$I14&lt;&gt;""),"확정","")</f>
        <v/>
      </c>
      <c r="M14" s="4">
        <f>IF(OR($G14&lt;&gt;"",$I14&lt;&gt;""),"신규","")</f>
        <v/>
      </c>
      <c r="N14" s="5">
        <f>IF($D14="","",$D14)</f>
        <v/>
      </c>
      <c r="O14" s="4" t="n"/>
      <c r="P14" s="3">
        <f>IF(NOT(OR($D14&lt;&gt;"",$F14&lt;&gt;"",$G14&lt;&gt;"",$H14&lt;&gt;"",$I14&lt;&gt;"")),"",IF(($D14="")+($F14="")+($I14="")+($J14="")+IF(AND($J14="법인카드",$K14=""),1,0)=0,"✔ 완료","⚠ 누락 "&amp;($D14="")+($F14="")+($I14="")+($J14="")+IF(AND($J14="법인카드",$K14=""),1,0)&amp;"칸"))</f>
        <v/>
      </c>
    </row>
    <row r="15">
      <c r="A15" s="3">
        <f>IF(OR(B15="",D15="",E15=""),"",B15&amp;"-"&amp;TEXT(D15,"yyyymmdd")&amp;"-"&amp;TEXT(E15,"000"))</f>
        <v/>
      </c>
      <c r="B15" s="4">
        <f>IF(OR($D15&lt;&gt;"",$F15&lt;&gt;"",$G15&lt;&gt;"",$H15&lt;&gt;"",$I15&lt;&gt;""),"연구","")</f>
        <v/>
      </c>
      <c r="C15" s="4">
        <f>IF(OR($D15&lt;&gt;"",$F15&lt;&gt;"",$G15&lt;&gt;"",$H15&lt;&gt;"",$I15&lt;&gt;""),"연구팀","")</f>
        <v/>
      </c>
      <c r="D15" s="5" t="n"/>
      <c r="E15" s="6">
        <f>IF($D15="","",COUNTIF($D$2:$D15,$D15))</f>
        <v/>
      </c>
      <c r="F15" s="5" t="n"/>
      <c r="G15" s="4" t="n"/>
      <c r="H15" s="4" t="n"/>
      <c r="I15" s="7" t="n"/>
      <c r="J15" s="4" t="n"/>
      <c r="K15" s="4" t="n"/>
      <c r="L15" s="4">
        <f>IF(OR($G15&lt;&gt;"",$I15&lt;&gt;""),"확정","")</f>
        <v/>
      </c>
      <c r="M15" s="4">
        <f>IF(OR($G15&lt;&gt;"",$I15&lt;&gt;""),"신규","")</f>
        <v/>
      </c>
      <c r="N15" s="5">
        <f>IF($D15="","",$D15)</f>
        <v/>
      </c>
      <c r="O15" s="4" t="n"/>
      <c r="P15" s="3">
        <f>IF(NOT(OR($D15&lt;&gt;"",$F15&lt;&gt;"",$G15&lt;&gt;"",$H15&lt;&gt;"",$I15&lt;&gt;"")),"",IF(($D15="")+($F15="")+($I15="")+($J15="")+IF(AND($J15="법인카드",$K15=""),1,0)=0,"✔ 완료","⚠ 누락 "&amp;($D15="")+($F15="")+($I15="")+($J15="")+IF(AND($J15="법인카드",$K15=""),1,0)&amp;"칸"))</f>
        <v/>
      </c>
    </row>
    <row r="16">
      <c r="A16" s="3">
        <f>IF(OR(B16="",D16="",E16=""),"",B16&amp;"-"&amp;TEXT(D16,"yyyymmdd")&amp;"-"&amp;TEXT(E16,"000"))</f>
        <v/>
      </c>
      <c r="B16" s="4">
        <f>IF(OR($D16&lt;&gt;"",$F16&lt;&gt;"",$G16&lt;&gt;"",$H16&lt;&gt;"",$I16&lt;&gt;""),"연구","")</f>
        <v/>
      </c>
      <c r="C16" s="4">
        <f>IF(OR($D16&lt;&gt;"",$F16&lt;&gt;"",$G16&lt;&gt;"",$H16&lt;&gt;"",$I16&lt;&gt;""),"연구팀","")</f>
        <v/>
      </c>
      <c r="D16" s="5" t="n"/>
      <c r="E16" s="6">
        <f>IF($D16="","",COUNTIF($D$2:$D16,$D16))</f>
        <v/>
      </c>
      <c r="F16" s="5" t="n"/>
      <c r="G16" s="4" t="n"/>
      <c r="H16" s="4" t="n"/>
      <c r="I16" s="7" t="n"/>
      <c r="J16" s="4" t="n"/>
      <c r="K16" s="4" t="n"/>
      <c r="L16" s="4">
        <f>IF(OR($G16&lt;&gt;"",$I16&lt;&gt;""),"확정","")</f>
        <v/>
      </c>
      <c r="M16" s="4">
        <f>IF(OR($G16&lt;&gt;"",$I16&lt;&gt;""),"신규","")</f>
        <v/>
      </c>
      <c r="N16" s="5">
        <f>IF($D16="","",$D16)</f>
        <v/>
      </c>
      <c r="O16" s="4" t="n"/>
      <c r="P16" s="3">
        <f>IF(NOT(OR($D16&lt;&gt;"",$F16&lt;&gt;"",$G16&lt;&gt;"",$H16&lt;&gt;"",$I16&lt;&gt;"")),"",IF(($D16="")+($F16="")+($I16="")+($J16="")+IF(AND($J16="법인카드",$K16=""),1,0)=0,"✔ 완료","⚠ 누락 "&amp;($D16="")+($F16="")+($I16="")+($J16="")+IF(AND($J16="법인카드",$K16=""),1,0)&amp;"칸"))</f>
        <v/>
      </c>
    </row>
    <row r="17">
      <c r="A17" s="3">
        <f>IF(OR(B17="",D17="",E17=""),"",B17&amp;"-"&amp;TEXT(D17,"yyyymmdd")&amp;"-"&amp;TEXT(E17,"000"))</f>
        <v/>
      </c>
      <c r="B17" s="4">
        <f>IF(OR($D17&lt;&gt;"",$F17&lt;&gt;"",$G17&lt;&gt;"",$H17&lt;&gt;"",$I17&lt;&gt;""),"연구","")</f>
        <v/>
      </c>
      <c r="C17" s="4">
        <f>IF(OR($D17&lt;&gt;"",$F17&lt;&gt;"",$G17&lt;&gt;"",$H17&lt;&gt;"",$I17&lt;&gt;""),"연구팀","")</f>
        <v/>
      </c>
      <c r="D17" s="5" t="n"/>
      <c r="E17" s="6">
        <f>IF($D17="","",COUNTIF($D$2:$D17,$D17))</f>
        <v/>
      </c>
      <c r="F17" s="5" t="n"/>
      <c r="G17" s="4" t="n"/>
      <c r="H17" s="4" t="n"/>
      <c r="I17" s="7" t="n"/>
      <c r="J17" s="4" t="n"/>
      <c r="K17" s="4" t="n"/>
      <c r="L17" s="4">
        <f>IF(OR($G17&lt;&gt;"",$I17&lt;&gt;""),"확정","")</f>
        <v/>
      </c>
      <c r="M17" s="4">
        <f>IF(OR($G17&lt;&gt;"",$I17&lt;&gt;""),"신규","")</f>
        <v/>
      </c>
      <c r="N17" s="5">
        <f>IF($D17="","",$D17)</f>
        <v/>
      </c>
      <c r="O17" s="4" t="n"/>
      <c r="P17" s="3">
        <f>IF(NOT(OR($D17&lt;&gt;"",$F17&lt;&gt;"",$G17&lt;&gt;"",$H17&lt;&gt;"",$I17&lt;&gt;"")),"",IF(($D17="")+($F17="")+($I17="")+($J17="")+IF(AND($J17="법인카드",$K17=""),1,0)=0,"✔ 완료","⚠ 누락 "&amp;($D17="")+($F17="")+($I17="")+($J17="")+IF(AND($J17="법인카드",$K17=""),1,0)&amp;"칸"))</f>
        <v/>
      </c>
    </row>
    <row r="18">
      <c r="A18" s="3">
        <f>IF(OR(B18="",D18="",E18=""),"",B18&amp;"-"&amp;TEXT(D18,"yyyymmdd")&amp;"-"&amp;TEXT(E18,"000"))</f>
        <v/>
      </c>
      <c r="B18" s="4">
        <f>IF(OR($D18&lt;&gt;"",$F18&lt;&gt;"",$G18&lt;&gt;"",$H18&lt;&gt;"",$I18&lt;&gt;""),"연구","")</f>
        <v/>
      </c>
      <c r="C18" s="4">
        <f>IF(OR($D18&lt;&gt;"",$F18&lt;&gt;"",$G18&lt;&gt;"",$H18&lt;&gt;"",$I18&lt;&gt;""),"연구팀","")</f>
        <v/>
      </c>
      <c r="D18" s="5" t="n"/>
      <c r="E18" s="6">
        <f>IF($D18="","",COUNTIF($D$2:$D18,$D18))</f>
        <v/>
      </c>
      <c r="F18" s="5" t="n"/>
      <c r="G18" s="4" t="n"/>
      <c r="H18" s="4" t="n"/>
      <c r="I18" s="7" t="n"/>
      <c r="J18" s="4" t="n"/>
      <c r="K18" s="4" t="n"/>
      <c r="L18" s="4">
        <f>IF(OR($G18&lt;&gt;"",$I18&lt;&gt;""),"확정","")</f>
        <v/>
      </c>
      <c r="M18" s="4">
        <f>IF(OR($G18&lt;&gt;"",$I18&lt;&gt;""),"신규","")</f>
        <v/>
      </c>
      <c r="N18" s="5">
        <f>IF($D18="","",$D18)</f>
        <v/>
      </c>
      <c r="O18" s="4" t="n"/>
      <c r="P18" s="3">
        <f>IF(NOT(OR($D18&lt;&gt;"",$F18&lt;&gt;"",$G18&lt;&gt;"",$H18&lt;&gt;"",$I18&lt;&gt;"")),"",IF(($D18="")+($F18="")+($I18="")+($J18="")+IF(AND($J18="법인카드",$K18=""),1,0)=0,"✔ 완료","⚠ 누락 "&amp;($D18="")+($F18="")+($I18="")+($J18="")+IF(AND($J18="법인카드",$K18=""),1,0)&amp;"칸"))</f>
        <v/>
      </c>
    </row>
    <row r="19">
      <c r="A19" s="3">
        <f>IF(OR(B19="",D19="",E19=""),"",B19&amp;"-"&amp;TEXT(D19,"yyyymmdd")&amp;"-"&amp;TEXT(E19,"000"))</f>
        <v/>
      </c>
      <c r="B19" s="4">
        <f>IF(OR($D19&lt;&gt;"",$F19&lt;&gt;"",$G19&lt;&gt;"",$H19&lt;&gt;"",$I19&lt;&gt;""),"연구","")</f>
        <v/>
      </c>
      <c r="C19" s="4">
        <f>IF(OR($D19&lt;&gt;"",$F19&lt;&gt;"",$G19&lt;&gt;"",$H19&lt;&gt;"",$I19&lt;&gt;""),"연구팀","")</f>
        <v/>
      </c>
      <c r="D19" s="5" t="n"/>
      <c r="E19" s="6">
        <f>IF($D19="","",COUNTIF($D$2:$D19,$D19))</f>
        <v/>
      </c>
      <c r="F19" s="5" t="n"/>
      <c r="G19" s="4" t="n"/>
      <c r="H19" s="4" t="n"/>
      <c r="I19" s="7" t="n"/>
      <c r="J19" s="4" t="n"/>
      <c r="K19" s="4" t="n"/>
      <c r="L19" s="4">
        <f>IF(OR($G19&lt;&gt;"",$I19&lt;&gt;""),"확정","")</f>
        <v/>
      </c>
      <c r="M19" s="4">
        <f>IF(OR($G19&lt;&gt;"",$I19&lt;&gt;""),"신규","")</f>
        <v/>
      </c>
      <c r="N19" s="5">
        <f>IF($D19="","",$D19)</f>
        <v/>
      </c>
      <c r="O19" s="4" t="n"/>
      <c r="P19" s="3">
        <f>IF(NOT(OR($D19&lt;&gt;"",$F19&lt;&gt;"",$G19&lt;&gt;"",$H19&lt;&gt;"",$I19&lt;&gt;"")),"",IF(($D19="")+($F19="")+($I19="")+($J19="")+IF(AND($J19="법인카드",$K19=""),1,0)=0,"✔ 완료","⚠ 누락 "&amp;($D19="")+($F19="")+($I19="")+($J19="")+IF(AND($J19="법인카드",$K19=""),1,0)&amp;"칸"))</f>
        <v/>
      </c>
    </row>
    <row r="20">
      <c r="A20" s="3">
        <f>IF(OR(B20="",D20="",E20=""),"",B20&amp;"-"&amp;TEXT(D20,"yyyymmdd")&amp;"-"&amp;TEXT(E20,"000"))</f>
        <v/>
      </c>
      <c r="B20" s="4">
        <f>IF(OR($D20&lt;&gt;"",$F20&lt;&gt;"",$G20&lt;&gt;"",$H20&lt;&gt;"",$I20&lt;&gt;""),"연구","")</f>
        <v/>
      </c>
      <c r="C20" s="4">
        <f>IF(OR($D20&lt;&gt;"",$F20&lt;&gt;"",$G20&lt;&gt;"",$H20&lt;&gt;"",$I20&lt;&gt;""),"연구팀","")</f>
        <v/>
      </c>
      <c r="D20" s="5" t="n"/>
      <c r="E20" s="6">
        <f>IF($D20="","",COUNTIF($D$2:$D20,$D20))</f>
        <v/>
      </c>
      <c r="F20" s="5" t="n"/>
      <c r="G20" s="4" t="n"/>
      <c r="H20" s="4" t="n"/>
      <c r="I20" s="7" t="n"/>
      <c r="J20" s="4" t="n"/>
      <c r="K20" s="4" t="n"/>
      <c r="L20" s="4">
        <f>IF(OR($G20&lt;&gt;"",$I20&lt;&gt;""),"확정","")</f>
        <v/>
      </c>
      <c r="M20" s="4">
        <f>IF(OR($G20&lt;&gt;"",$I20&lt;&gt;""),"신규","")</f>
        <v/>
      </c>
      <c r="N20" s="5">
        <f>IF($D20="","",$D20)</f>
        <v/>
      </c>
      <c r="O20" s="4" t="n"/>
      <c r="P20" s="3">
        <f>IF(NOT(OR($D20&lt;&gt;"",$F20&lt;&gt;"",$G20&lt;&gt;"",$H20&lt;&gt;"",$I20&lt;&gt;"")),"",IF(($D20="")+($F20="")+($I20="")+($J20="")+IF(AND($J20="법인카드",$K20=""),1,0)=0,"✔ 완료","⚠ 누락 "&amp;($D20="")+($F20="")+($I20="")+($J20="")+IF(AND($J20="법인카드",$K20=""),1,0)&amp;"칸"))</f>
        <v/>
      </c>
    </row>
    <row r="21">
      <c r="A21" s="3">
        <f>IF(OR(B21="",D21="",E21=""),"",B21&amp;"-"&amp;TEXT(D21,"yyyymmdd")&amp;"-"&amp;TEXT(E21,"000"))</f>
        <v/>
      </c>
      <c r="B21" s="4">
        <f>IF(OR($D21&lt;&gt;"",$F21&lt;&gt;"",$G21&lt;&gt;"",$H21&lt;&gt;"",$I21&lt;&gt;""),"연구","")</f>
        <v/>
      </c>
      <c r="C21" s="4">
        <f>IF(OR($D21&lt;&gt;"",$F21&lt;&gt;"",$G21&lt;&gt;"",$H21&lt;&gt;"",$I21&lt;&gt;""),"연구팀","")</f>
        <v/>
      </c>
      <c r="D21" s="5" t="n"/>
      <c r="E21" s="6">
        <f>IF($D21="","",COUNTIF($D$2:$D21,$D21))</f>
        <v/>
      </c>
      <c r="F21" s="5" t="n"/>
      <c r="G21" s="4" t="n"/>
      <c r="H21" s="4" t="n"/>
      <c r="I21" s="7" t="n"/>
      <c r="J21" s="4" t="n"/>
      <c r="K21" s="4" t="n"/>
      <c r="L21" s="4">
        <f>IF(OR($G21&lt;&gt;"",$I21&lt;&gt;""),"확정","")</f>
        <v/>
      </c>
      <c r="M21" s="4">
        <f>IF(OR($G21&lt;&gt;"",$I21&lt;&gt;""),"신규","")</f>
        <v/>
      </c>
      <c r="N21" s="5">
        <f>IF($D21="","",$D21)</f>
        <v/>
      </c>
      <c r="O21" s="4" t="n"/>
      <c r="P21" s="3">
        <f>IF(NOT(OR($D21&lt;&gt;"",$F21&lt;&gt;"",$G21&lt;&gt;"",$H21&lt;&gt;"",$I21&lt;&gt;"")),"",IF(($D21="")+($F21="")+($I21="")+($J21="")+IF(AND($J21="법인카드",$K21=""),1,0)=0,"✔ 완료","⚠ 누락 "&amp;($D21="")+($F21="")+($I21="")+($J21="")+IF(AND($J21="법인카드",$K21=""),1,0)&amp;"칸"))</f>
        <v/>
      </c>
    </row>
    <row r="22">
      <c r="A22" s="3">
        <f>IF(OR(B22="",D22="",E22=""),"",B22&amp;"-"&amp;TEXT(D22,"yyyymmdd")&amp;"-"&amp;TEXT(E22,"000"))</f>
        <v/>
      </c>
      <c r="B22" s="4">
        <f>IF(OR($D22&lt;&gt;"",$F22&lt;&gt;"",$G22&lt;&gt;"",$H22&lt;&gt;"",$I22&lt;&gt;""),"연구","")</f>
        <v/>
      </c>
      <c r="C22" s="4">
        <f>IF(OR($D22&lt;&gt;"",$F22&lt;&gt;"",$G22&lt;&gt;"",$H22&lt;&gt;"",$I22&lt;&gt;""),"연구팀","")</f>
        <v/>
      </c>
      <c r="D22" s="5" t="n"/>
      <c r="E22" s="6">
        <f>IF($D22="","",COUNTIF($D$2:$D22,$D22))</f>
        <v/>
      </c>
      <c r="F22" s="5" t="n"/>
      <c r="G22" s="4" t="n"/>
      <c r="H22" s="4" t="n"/>
      <c r="I22" s="7" t="n"/>
      <c r="J22" s="4" t="n"/>
      <c r="K22" s="4" t="n"/>
      <c r="L22" s="4">
        <f>IF(OR($G22&lt;&gt;"",$I22&lt;&gt;""),"확정","")</f>
        <v/>
      </c>
      <c r="M22" s="4">
        <f>IF(OR($G22&lt;&gt;"",$I22&lt;&gt;""),"신규","")</f>
        <v/>
      </c>
      <c r="N22" s="5">
        <f>IF($D22="","",$D22)</f>
        <v/>
      </c>
      <c r="O22" s="4" t="n"/>
      <c r="P22" s="3">
        <f>IF(NOT(OR($D22&lt;&gt;"",$F22&lt;&gt;"",$G22&lt;&gt;"",$H22&lt;&gt;"",$I22&lt;&gt;"")),"",IF(($D22="")+($F22="")+($I22="")+($J22="")+IF(AND($J22="법인카드",$K22=""),1,0)=0,"✔ 완료","⚠ 누락 "&amp;($D22="")+($F22="")+($I22="")+($J22="")+IF(AND($J22="법인카드",$K22=""),1,0)&amp;"칸"))</f>
        <v/>
      </c>
    </row>
    <row r="23">
      <c r="A23" s="3">
        <f>IF(OR(B23="",D23="",E23=""),"",B23&amp;"-"&amp;TEXT(D23,"yyyymmdd")&amp;"-"&amp;TEXT(E23,"000"))</f>
        <v/>
      </c>
      <c r="B23" s="4">
        <f>IF(OR($D23&lt;&gt;"",$F23&lt;&gt;"",$G23&lt;&gt;"",$H23&lt;&gt;"",$I23&lt;&gt;""),"연구","")</f>
        <v/>
      </c>
      <c r="C23" s="4">
        <f>IF(OR($D23&lt;&gt;"",$F23&lt;&gt;"",$G23&lt;&gt;"",$H23&lt;&gt;"",$I23&lt;&gt;""),"연구팀","")</f>
        <v/>
      </c>
      <c r="D23" s="5" t="n"/>
      <c r="E23" s="6">
        <f>IF($D23="","",COUNTIF($D$2:$D23,$D23))</f>
        <v/>
      </c>
      <c r="F23" s="5" t="n"/>
      <c r="G23" s="4" t="n"/>
      <c r="H23" s="4" t="n"/>
      <c r="I23" s="7" t="n"/>
      <c r="J23" s="4" t="n"/>
      <c r="K23" s="4" t="n"/>
      <c r="L23" s="4">
        <f>IF(OR($G23&lt;&gt;"",$I23&lt;&gt;""),"확정","")</f>
        <v/>
      </c>
      <c r="M23" s="4">
        <f>IF(OR($G23&lt;&gt;"",$I23&lt;&gt;""),"신규","")</f>
        <v/>
      </c>
      <c r="N23" s="5">
        <f>IF($D23="","",$D23)</f>
        <v/>
      </c>
      <c r="O23" s="4" t="n"/>
      <c r="P23" s="3">
        <f>IF(NOT(OR($D23&lt;&gt;"",$F23&lt;&gt;"",$G23&lt;&gt;"",$H23&lt;&gt;"",$I23&lt;&gt;"")),"",IF(($D23="")+($F23="")+($I23="")+($J23="")+IF(AND($J23="법인카드",$K23=""),1,0)=0,"✔ 완료","⚠ 누락 "&amp;($D23="")+($F23="")+($I23="")+($J23="")+IF(AND($J23="법인카드",$K23=""),1,0)&amp;"칸"))</f>
        <v/>
      </c>
    </row>
    <row r="24">
      <c r="A24" s="3">
        <f>IF(OR(B24="",D24="",E24=""),"",B24&amp;"-"&amp;TEXT(D24,"yyyymmdd")&amp;"-"&amp;TEXT(E24,"000"))</f>
        <v/>
      </c>
      <c r="B24" s="4">
        <f>IF(OR($D24&lt;&gt;"",$F24&lt;&gt;"",$G24&lt;&gt;"",$H24&lt;&gt;"",$I24&lt;&gt;""),"연구","")</f>
        <v/>
      </c>
      <c r="C24" s="4">
        <f>IF(OR($D24&lt;&gt;"",$F24&lt;&gt;"",$G24&lt;&gt;"",$H24&lt;&gt;"",$I24&lt;&gt;""),"연구팀","")</f>
        <v/>
      </c>
      <c r="D24" s="5" t="n"/>
      <c r="E24" s="6">
        <f>IF($D24="","",COUNTIF($D$2:$D24,$D24))</f>
        <v/>
      </c>
      <c r="F24" s="5" t="n"/>
      <c r="G24" s="4" t="n"/>
      <c r="H24" s="4" t="n"/>
      <c r="I24" s="7" t="n"/>
      <c r="J24" s="4" t="n"/>
      <c r="K24" s="4" t="n"/>
      <c r="L24" s="4">
        <f>IF(OR($G24&lt;&gt;"",$I24&lt;&gt;""),"확정","")</f>
        <v/>
      </c>
      <c r="M24" s="4">
        <f>IF(OR($G24&lt;&gt;"",$I24&lt;&gt;""),"신규","")</f>
        <v/>
      </c>
      <c r="N24" s="5">
        <f>IF($D24="","",$D24)</f>
        <v/>
      </c>
      <c r="O24" s="4" t="n"/>
      <c r="P24" s="3">
        <f>IF(NOT(OR($D24&lt;&gt;"",$F24&lt;&gt;"",$G24&lt;&gt;"",$H24&lt;&gt;"",$I24&lt;&gt;"")),"",IF(($D24="")+($F24="")+($I24="")+($J24="")+IF(AND($J24="법인카드",$K24=""),1,0)=0,"✔ 완료","⚠ 누락 "&amp;($D24="")+($F24="")+($I24="")+($J24="")+IF(AND($J24="법인카드",$K24=""),1,0)&amp;"칸"))</f>
        <v/>
      </c>
    </row>
    <row r="25">
      <c r="A25" s="3">
        <f>IF(OR(B25="",D25="",E25=""),"",B25&amp;"-"&amp;TEXT(D25,"yyyymmdd")&amp;"-"&amp;TEXT(E25,"000"))</f>
        <v/>
      </c>
      <c r="B25" s="4">
        <f>IF(OR($D25&lt;&gt;"",$F25&lt;&gt;"",$G25&lt;&gt;"",$H25&lt;&gt;"",$I25&lt;&gt;""),"연구","")</f>
        <v/>
      </c>
      <c r="C25" s="4">
        <f>IF(OR($D25&lt;&gt;"",$F25&lt;&gt;"",$G25&lt;&gt;"",$H25&lt;&gt;"",$I25&lt;&gt;""),"연구팀","")</f>
        <v/>
      </c>
      <c r="D25" s="5" t="n"/>
      <c r="E25" s="6">
        <f>IF($D25="","",COUNTIF($D$2:$D25,$D25))</f>
        <v/>
      </c>
      <c r="F25" s="5" t="n"/>
      <c r="G25" s="4" t="n"/>
      <c r="H25" s="4" t="n"/>
      <c r="I25" s="7" t="n"/>
      <c r="J25" s="4" t="n"/>
      <c r="K25" s="4" t="n"/>
      <c r="L25" s="4">
        <f>IF(OR($G25&lt;&gt;"",$I25&lt;&gt;""),"확정","")</f>
        <v/>
      </c>
      <c r="M25" s="4">
        <f>IF(OR($G25&lt;&gt;"",$I25&lt;&gt;""),"신규","")</f>
        <v/>
      </c>
      <c r="N25" s="5">
        <f>IF($D25="","",$D25)</f>
        <v/>
      </c>
      <c r="O25" s="4" t="n"/>
      <c r="P25" s="3">
        <f>IF(NOT(OR($D25&lt;&gt;"",$F25&lt;&gt;"",$G25&lt;&gt;"",$H25&lt;&gt;"",$I25&lt;&gt;"")),"",IF(($D25="")+($F25="")+($I25="")+($J25="")+IF(AND($J25="법인카드",$K25=""),1,0)=0,"✔ 완료","⚠ 누락 "&amp;($D25="")+($F25="")+($I25="")+($J25="")+IF(AND($J25="법인카드",$K25=""),1,0)&amp;"칸"))</f>
        <v/>
      </c>
    </row>
    <row r="26">
      <c r="A26" s="3">
        <f>IF(OR(B26="",D26="",E26=""),"",B26&amp;"-"&amp;TEXT(D26,"yyyymmdd")&amp;"-"&amp;TEXT(E26,"000"))</f>
        <v/>
      </c>
      <c r="B26" s="4">
        <f>IF(OR($D26&lt;&gt;"",$F26&lt;&gt;"",$G26&lt;&gt;"",$H26&lt;&gt;"",$I26&lt;&gt;""),"연구","")</f>
        <v/>
      </c>
      <c r="C26" s="4">
        <f>IF(OR($D26&lt;&gt;"",$F26&lt;&gt;"",$G26&lt;&gt;"",$H26&lt;&gt;"",$I26&lt;&gt;""),"연구팀","")</f>
        <v/>
      </c>
      <c r="D26" s="5" t="n"/>
      <c r="E26" s="6">
        <f>IF($D26="","",COUNTIF($D$2:$D26,$D26))</f>
        <v/>
      </c>
      <c r="F26" s="5" t="n"/>
      <c r="G26" s="4" t="n"/>
      <c r="H26" s="4" t="n"/>
      <c r="I26" s="7" t="n"/>
      <c r="J26" s="4" t="n"/>
      <c r="K26" s="4" t="n"/>
      <c r="L26" s="4">
        <f>IF(OR($G26&lt;&gt;"",$I26&lt;&gt;""),"확정","")</f>
        <v/>
      </c>
      <c r="M26" s="4">
        <f>IF(OR($G26&lt;&gt;"",$I26&lt;&gt;""),"신규","")</f>
        <v/>
      </c>
      <c r="N26" s="5">
        <f>IF($D26="","",$D26)</f>
        <v/>
      </c>
      <c r="O26" s="4" t="n"/>
      <c r="P26" s="3">
        <f>IF(NOT(OR($D26&lt;&gt;"",$F26&lt;&gt;"",$G26&lt;&gt;"",$H26&lt;&gt;"",$I26&lt;&gt;"")),"",IF(($D26="")+($F26="")+($I26="")+($J26="")+IF(AND($J26="법인카드",$K26=""),1,0)=0,"✔ 완료","⚠ 누락 "&amp;($D26="")+($F26="")+($I26="")+($J26="")+IF(AND($J26="법인카드",$K26=""),1,0)&amp;"칸"))</f>
        <v/>
      </c>
    </row>
    <row r="27">
      <c r="A27" s="3">
        <f>IF(OR(B27="",D27="",E27=""),"",B27&amp;"-"&amp;TEXT(D27,"yyyymmdd")&amp;"-"&amp;TEXT(E27,"000"))</f>
        <v/>
      </c>
      <c r="B27" s="4">
        <f>IF(OR($D27&lt;&gt;"",$F27&lt;&gt;"",$G27&lt;&gt;"",$H27&lt;&gt;"",$I27&lt;&gt;""),"연구","")</f>
        <v/>
      </c>
      <c r="C27" s="4">
        <f>IF(OR($D27&lt;&gt;"",$F27&lt;&gt;"",$G27&lt;&gt;"",$H27&lt;&gt;"",$I27&lt;&gt;""),"연구팀","")</f>
        <v/>
      </c>
      <c r="D27" s="5" t="n"/>
      <c r="E27" s="6">
        <f>IF($D27="","",COUNTIF($D$2:$D27,$D27))</f>
        <v/>
      </c>
      <c r="F27" s="5" t="n"/>
      <c r="G27" s="4" t="n"/>
      <c r="H27" s="4" t="n"/>
      <c r="I27" s="7" t="n"/>
      <c r="J27" s="4" t="n"/>
      <c r="K27" s="4" t="n"/>
      <c r="L27" s="4">
        <f>IF(OR($G27&lt;&gt;"",$I27&lt;&gt;""),"확정","")</f>
        <v/>
      </c>
      <c r="M27" s="4">
        <f>IF(OR($G27&lt;&gt;"",$I27&lt;&gt;""),"신규","")</f>
        <v/>
      </c>
      <c r="N27" s="5">
        <f>IF($D27="","",$D27)</f>
        <v/>
      </c>
      <c r="O27" s="4" t="n"/>
      <c r="P27" s="3">
        <f>IF(NOT(OR($D27&lt;&gt;"",$F27&lt;&gt;"",$G27&lt;&gt;"",$H27&lt;&gt;"",$I27&lt;&gt;"")),"",IF(($D27="")+($F27="")+($I27="")+($J27="")+IF(AND($J27="법인카드",$K27=""),1,0)=0,"✔ 완료","⚠ 누락 "&amp;($D27="")+($F27="")+($I27="")+($J27="")+IF(AND($J27="법인카드",$K27=""),1,0)&amp;"칸"))</f>
        <v/>
      </c>
    </row>
    <row r="28">
      <c r="A28" s="3">
        <f>IF(OR(B28="",D28="",E28=""),"",B28&amp;"-"&amp;TEXT(D28,"yyyymmdd")&amp;"-"&amp;TEXT(E28,"000"))</f>
        <v/>
      </c>
      <c r="B28" s="4">
        <f>IF(OR($D28&lt;&gt;"",$F28&lt;&gt;"",$G28&lt;&gt;"",$H28&lt;&gt;"",$I28&lt;&gt;""),"연구","")</f>
        <v/>
      </c>
      <c r="C28" s="4">
        <f>IF(OR($D28&lt;&gt;"",$F28&lt;&gt;"",$G28&lt;&gt;"",$H28&lt;&gt;"",$I28&lt;&gt;""),"연구팀","")</f>
        <v/>
      </c>
      <c r="D28" s="5" t="n"/>
      <c r="E28" s="6">
        <f>IF($D28="","",COUNTIF($D$2:$D28,$D28))</f>
        <v/>
      </c>
      <c r="F28" s="5" t="n"/>
      <c r="G28" s="4" t="n"/>
      <c r="H28" s="4" t="n"/>
      <c r="I28" s="7" t="n"/>
      <c r="J28" s="4" t="n"/>
      <c r="K28" s="4" t="n"/>
      <c r="L28" s="4">
        <f>IF(OR($G28&lt;&gt;"",$I28&lt;&gt;""),"확정","")</f>
        <v/>
      </c>
      <c r="M28" s="4">
        <f>IF(OR($G28&lt;&gt;"",$I28&lt;&gt;""),"신규","")</f>
        <v/>
      </c>
      <c r="N28" s="5">
        <f>IF($D28="","",$D28)</f>
        <v/>
      </c>
      <c r="O28" s="4" t="n"/>
      <c r="P28" s="3">
        <f>IF(NOT(OR($D28&lt;&gt;"",$F28&lt;&gt;"",$G28&lt;&gt;"",$H28&lt;&gt;"",$I28&lt;&gt;"")),"",IF(($D28="")+($F28="")+($I28="")+($J28="")+IF(AND($J28="법인카드",$K28=""),1,0)=0,"✔ 완료","⚠ 누락 "&amp;($D28="")+($F28="")+($I28="")+($J28="")+IF(AND($J28="법인카드",$K28=""),1,0)&amp;"칸"))</f>
        <v/>
      </c>
    </row>
    <row r="29">
      <c r="A29" s="3">
        <f>IF(OR(B29="",D29="",E29=""),"",B29&amp;"-"&amp;TEXT(D29,"yyyymmdd")&amp;"-"&amp;TEXT(E29,"000"))</f>
        <v/>
      </c>
      <c r="B29" s="4">
        <f>IF(OR($D29&lt;&gt;"",$F29&lt;&gt;"",$G29&lt;&gt;"",$H29&lt;&gt;"",$I29&lt;&gt;""),"연구","")</f>
        <v/>
      </c>
      <c r="C29" s="4">
        <f>IF(OR($D29&lt;&gt;"",$F29&lt;&gt;"",$G29&lt;&gt;"",$H29&lt;&gt;"",$I29&lt;&gt;""),"연구팀","")</f>
        <v/>
      </c>
      <c r="D29" s="5" t="n"/>
      <c r="E29" s="6">
        <f>IF($D29="","",COUNTIF($D$2:$D29,$D29))</f>
        <v/>
      </c>
      <c r="F29" s="5" t="n"/>
      <c r="G29" s="4" t="n"/>
      <c r="H29" s="4" t="n"/>
      <c r="I29" s="7" t="n"/>
      <c r="J29" s="4" t="n"/>
      <c r="K29" s="4" t="n"/>
      <c r="L29" s="4">
        <f>IF(OR($G29&lt;&gt;"",$I29&lt;&gt;""),"확정","")</f>
        <v/>
      </c>
      <c r="M29" s="4">
        <f>IF(OR($G29&lt;&gt;"",$I29&lt;&gt;""),"신규","")</f>
        <v/>
      </c>
      <c r="N29" s="5">
        <f>IF($D29="","",$D29)</f>
        <v/>
      </c>
      <c r="O29" s="4" t="n"/>
      <c r="P29" s="3">
        <f>IF(NOT(OR($D29&lt;&gt;"",$F29&lt;&gt;"",$G29&lt;&gt;"",$H29&lt;&gt;"",$I29&lt;&gt;"")),"",IF(($D29="")+($F29="")+($I29="")+($J29="")+IF(AND($J29="법인카드",$K29=""),1,0)=0,"✔ 완료","⚠ 누락 "&amp;($D29="")+($F29="")+($I29="")+($J29="")+IF(AND($J29="법인카드",$K29=""),1,0)&amp;"칸"))</f>
        <v/>
      </c>
    </row>
    <row r="30">
      <c r="A30" s="3">
        <f>IF(OR(B30="",D30="",E30=""),"",B30&amp;"-"&amp;TEXT(D30,"yyyymmdd")&amp;"-"&amp;TEXT(E30,"000"))</f>
        <v/>
      </c>
      <c r="B30" s="4">
        <f>IF(OR($D30&lt;&gt;"",$F30&lt;&gt;"",$G30&lt;&gt;"",$H30&lt;&gt;"",$I30&lt;&gt;""),"연구","")</f>
        <v/>
      </c>
      <c r="C30" s="4">
        <f>IF(OR($D30&lt;&gt;"",$F30&lt;&gt;"",$G30&lt;&gt;"",$H30&lt;&gt;"",$I30&lt;&gt;""),"연구팀","")</f>
        <v/>
      </c>
      <c r="D30" s="5" t="n"/>
      <c r="E30" s="6">
        <f>IF($D30="","",COUNTIF($D$2:$D30,$D30))</f>
        <v/>
      </c>
      <c r="F30" s="5" t="n"/>
      <c r="G30" s="4" t="n"/>
      <c r="H30" s="4" t="n"/>
      <c r="I30" s="7" t="n"/>
      <c r="J30" s="4" t="n"/>
      <c r="K30" s="4" t="n"/>
      <c r="L30" s="4">
        <f>IF(OR($G30&lt;&gt;"",$I30&lt;&gt;""),"확정","")</f>
        <v/>
      </c>
      <c r="M30" s="4">
        <f>IF(OR($G30&lt;&gt;"",$I30&lt;&gt;""),"신규","")</f>
        <v/>
      </c>
      <c r="N30" s="5">
        <f>IF($D30="","",$D30)</f>
        <v/>
      </c>
      <c r="O30" s="4" t="n"/>
      <c r="P30" s="3">
        <f>IF(NOT(OR($D30&lt;&gt;"",$F30&lt;&gt;"",$G30&lt;&gt;"",$H30&lt;&gt;"",$I30&lt;&gt;"")),"",IF(($D30="")+($F30="")+($I30="")+($J30="")+IF(AND($J30="법인카드",$K30=""),1,0)=0,"✔ 완료","⚠ 누락 "&amp;($D30="")+($F30="")+($I30="")+($J30="")+IF(AND($J30="법인카드",$K30=""),1,0)&amp;"칸"))</f>
        <v/>
      </c>
    </row>
    <row r="31">
      <c r="A31" s="3">
        <f>IF(OR(B31="",D31="",E31=""),"",B31&amp;"-"&amp;TEXT(D31,"yyyymmdd")&amp;"-"&amp;TEXT(E31,"000"))</f>
        <v/>
      </c>
      <c r="B31" s="4">
        <f>IF(OR($D31&lt;&gt;"",$F31&lt;&gt;"",$G31&lt;&gt;"",$H31&lt;&gt;"",$I31&lt;&gt;""),"연구","")</f>
        <v/>
      </c>
      <c r="C31" s="4">
        <f>IF(OR($D31&lt;&gt;"",$F31&lt;&gt;"",$G31&lt;&gt;"",$H31&lt;&gt;"",$I31&lt;&gt;""),"연구팀","")</f>
        <v/>
      </c>
      <c r="D31" s="5" t="n"/>
      <c r="E31" s="6">
        <f>IF($D31="","",COUNTIF($D$2:$D31,$D31))</f>
        <v/>
      </c>
      <c r="F31" s="5" t="n"/>
      <c r="G31" s="4" t="n"/>
      <c r="H31" s="4" t="n"/>
      <c r="I31" s="7" t="n"/>
      <c r="J31" s="4" t="n"/>
      <c r="K31" s="4" t="n"/>
      <c r="L31" s="4">
        <f>IF(OR($G31&lt;&gt;"",$I31&lt;&gt;""),"확정","")</f>
        <v/>
      </c>
      <c r="M31" s="4">
        <f>IF(OR($G31&lt;&gt;"",$I31&lt;&gt;""),"신규","")</f>
        <v/>
      </c>
      <c r="N31" s="5">
        <f>IF($D31="","",$D31)</f>
        <v/>
      </c>
      <c r="O31" s="4" t="n"/>
      <c r="P31" s="3">
        <f>IF(NOT(OR($D31&lt;&gt;"",$F31&lt;&gt;"",$G31&lt;&gt;"",$H31&lt;&gt;"",$I31&lt;&gt;"")),"",IF(($D31="")+($F31="")+($I31="")+($J31="")+IF(AND($J31="법인카드",$K31=""),1,0)=0,"✔ 완료","⚠ 누락 "&amp;($D31="")+($F31="")+($I31="")+($J31="")+IF(AND($J31="법인카드",$K31=""),1,0)&amp;"칸"))</f>
        <v/>
      </c>
    </row>
    <row r="32">
      <c r="A32" s="3">
        <f>IF(OR(B32="",D32="",E32=""),"",B32&amp;"-"&amp;TEXT(D32,"yyyymmdd")&amp;"-"&amp;TEXT(E32,"000"))</f>
        <v/>
      </c>
      <c r="B32" s="4">
        <f>IF(OR($D32&lt;&gt;"",$F32&lt;&gt;"",$G32&lt;&gt;"",$H32&lt;&gt;"",$I32&lt;&gt;""),"연구","")</f>
        <v/>
      </c>
      <c r="C32" s="4">
        <f>IF(OR($D32&lt;&gt;"",$F32&lt;&gt;"",$G32&lt;&gt;"",$H32&lt;&gt;"",$I32&lt;&gt;""),"연구팀","")</f>
        <v/>
      </c>
      <c r="D32" s="5" t="n"/>
      <c r="E32" s="6">
        <f>IF($D32="","",COUNTIF($D$2:$D32,$D32))</f>
        <v/>
      </c>
      <c r="F32" s="5" t="n"/>
      <c r="G32" s="4" t="n"/>
      <c r="H32" s="4" t="n"/>
      <c r="I32" s="7" t="n"/>
      <c r="J32" s="4" t="n"/>
      <c r="K32" s="4" t="n"/>
      <c r="L32" s="4">
        <f>IF(OR($G32&lt;&gt;"",$I32&lt;&gt;""),"확정","")</f>
        <v/>
      </c>
      <c r="M32" s="4">
        <f>IF(OR($G32&lt;&gt;"",$I32&lt;&gt;""),"신규","")</f>
        <v/>
      </c>
      <c r="N32" s="5">
        <f>IF($D32="","",$D32)</f>
        <v/>
      </c>
      <c r="O32" s="4" t="n"/>
      <c r="P32" s="3">
        <f>IF(NOT(OR($D32&lt;&gt;"",$F32&lt;&gt;"",$G32&lt;&gt;"",$H32&lt;&gt;"",$I32&lt;&gt;"")),"",IF(($D32="")+($F32="")+($I32="")+($J32="")+IF(AND($J32="법인카드",$K32=""),1,0)=0,"✔ 완료","⚠ 누락 "&amp;($D32="")+($F32="")+($I32="")+($J32="")+IF(AND($J32="법인카드",$K32=""),1,0)&amp;"칸"))</f>
        <v/>
      </c>
    </row>
    <row r="33">
      <c r="A33" s="3">
        <f>IF(OR(B33="",D33="",E33=""),"",B33&amp;"-"&amp;TEXT(D33,"yyyymmdd")&amp;"-"&amp;TEXT(E33,"000"))</f>
        <v/>
      </c>
      <c r="B33" s="4">
        <f>IF(OR($D33&lt;&gt;"",$F33&lt;&gt;"",$G33&lt;&gt;"",$H33&lt;&gt;"",$I33&lt;&gt;""),"연구","")</f>
        <v/>
      </c>
      <c r="C33" s="4">
        <f>IF(OR($D33&lt;&gt;"",$F33&lt;&gt;"",$G33&lt;&gt;"",$H33&lt;&gt;"",$I33&lt;&gt;""),"연구팀","")</f>
        <v/>
      </c>
      <c r="D33" s="5" t="n"/>
      <c r="E33" s="6">
        <f>IF($D33="","",COUNTIF($D$2:$D33,$D33))</f>
        <v/>
      </c>
      <c r="F33" s="5" t="n"/>
      <c r="G33" s="4" t="n"/>
      <c r="H33" s="4" t="n"/>
      <c r="I33" s="7" t="n"/>
      <c r="J33" s="4" t="n"/>
      <c r="K33" s="4" t="n"/>
      <c r="L33" s="4">
        <f>IF(OR($G33&lt;&gt;"",$I33&lt;&gt;""),"확정","")</f>
        <v/>
      </c>
      <c r="M33" s="4">
        <f>IF(OR($G33&lt;&gt;"",$I33&lt;&gt;""),"신규","")</f>
        <v/>
      </c>
      <c r="N33" s="5">
        <f>IF($D33="","",$D33)</f>
        <v/>
      </c>
      <c r="O33" s="4" t="n"/>
      <c r="P33" s="3">
        <f>IF(NOT(OR($D33&lt;&gt;"",$F33&lt;&gt;"",$G33&lt;&gt;"",$H33&lt;&gt;"",$I33&lt;&gt;"")),"",IF(($D33="")+($F33="")+($I33="")+($J33="")+IF(AND($J33="법인카드",$K33=""),1,0)=0,"✔ 완료","⚠ 누락 "&amp;($D33="")+($F33="")+($I33="")+($J33="")+IF(AND($J33="법인카드",$K33=""),1,0)&amp;"칸"))</f>
        <v/>
      </c>
    </row>
    <row r="34">
      <c r="A34" s="3">
        <f>IF(OR(B34="",D34="",E34=""),"",B34&amp;"-"&amp;TEXT(D34,"yyyymmdd")&amp;"-"&amp;TEXT(E34,"000"))</f>
        <v/>
      </c>
      <c r="B34" s="4">
        <f>IF(OR($D34&lt;&gt;"",$F34&lt;&gt;"",$G34&lt;&gt;"",$H34&lt;&gt;"",$I34&lt;&gt;""),"연구","")</f>
        <v/>
      </c>
      <c r="C34" s="4">
        <f>IF(OR($D34&lt;&gt;"",$F34&lt;&gt;"",$G34&lt;&gt;"",$H34&lt;&gt;"",$I34&lt;&gt;""),"연구팀","")</f>
        <v/>
      </c>
      <c r="D34" s="5" t="n"/>
      <c r="E34" s="6">
        <f>IF($D34="","",COUNTIF($D$2:$D34,$D34))</f>
        <v/>
      </c>
      <c r="F34" s="5" t="n"/>
      <c r="G34" s="4" t="n"/>
      <c r="H34" s="4" t="n"/>
      <c r="I34" s="7" t="n"/>
      <c r="J34" s="4" t="n"/>
      <c r="K34" s="4" t="n"/>
      <c r="L34" s="4">
        <f>IF(OR($G34&lt;&gt;"",$I34&lt;&gt;""),"확정","")</f>
        <v/>
      </c>
      <c r="M34" s="4">
        <f>IF(OR($G34&lt;&gt;"",$I34&lt;&gt;""),"신규","")</f>
        <v/>
      </c>
      <c r="N34" s="5">
        <f>IF($D34="","",$D34)</f>
        <v/>
      </c>
      <c r="O34" s="4" t="n"/>
      <c r="P34" s="3">
        <f>IF(NOT(OR($D34&lt;&gt;"",$F34&lt;&gt;"",$G34&lt;&gt;"",$H34&lt;&gt;"",$I34&lt;&gt;"")),"",IF(($D34="")+($F34="")+($I34="")+($J34="")+IF(AND($J34="법인카드",$K34=""),1,0)=0,"✔ 완료","⚠ 누락 "&amp;($D34="")+($F34="")+($I34="")+($J34="")+IF(AND($J34="법인카드",$K34=""),1,0)&amp;"칸"))</f>
        <v/>
      </c>
    </row>
    <row r="35">
      <c r="A35" s="3">
        <f>IF(OR(B35="",D35="",E35=""),"",B35&amp;"-"&amp;TEXT(D35,"yyyymmdd")&amp;"-"&amp;TEXT(E35,"000"))</f>
        <v/>
      </c>
      <c r="B35" s="4">
        <f>IF(OR($D35&lt;&gt;"",$F35&lt;&gt;"",$G35&lt;&gt;"",$H35&lt;&gt;"",$I35&lt;&gt;""),"연구","")</f>
        <v/>
      </c>
      <c r="C35" s="4">
        <f>IF(OR($D35&lt;&gt;"",$F35&lt;&gt;"",$G35&lt;&gt;"",$H35&lt;&gt;"",$I35&lt;&gt;""),"연구팀","")</f>
        <v/>
      </c>
      <c r="D35" s="5" t="n"/>
      <c r="E35" s="6">
        <f>IF($D35="","",COUNTIF($D$2:$D35,$D35))</f>
        <v/>
      </c>
      <c r="F35" s="5" t="n"/>
      <c r="G35" s="4" t="n"/>
      <c r="H35" s="4" t="n"/>
      <c r="I35" s="7" t="n"/>
      <c r="J35" s="4" t="n"/>
      <c r="K35" s="4" t="n"/>
      <c r="L35" s="4">
        <f>IF(OR($G35&lt;&gt;"",$I35&lt;&gt;""),"확정","")</f>
        <v/>
      </c>
      <c r="M35" s="4">
        <f>IF(OR($G35&lt;&gt;"",$I35&lt;&gt;""),"신규","")</f>
        <v/>
      </c>
      <c r="N35" s="5">
        <f>IF($D35="","",$D35)</f>
        <v/>
      </c>
      <c r="O35" s="4" t="n"/>
      <c r="P35" s="3">
        <f>IF(NOT(OR($D35&lt;&gt;"",$F35&lt;&gt;"",$G35&lt;&gt;"",$H35&lt;&gt;"",$I35&lt;&gt;"")),"",IF(($D35="")+($F35="")+($I35="")+($J35="")+IF(AND($J35="법인카드",$K35=""),1,0)=0,"✔ 완료","⚠ 누락 "&amp;($D35="")+($F35="")+($I35="")+($J35="")+IF(AND($J35="법인카드",$K35=""),1,0)&amp;"칸"))</f>
        <v/>
      </c>
    </row>
    <row r="36">
      <c r="A36" s="3">
        <f>IF(OR(B36="",D36="",E36=""),"",B36&amp;"-"&amp;TEXT(D36,"yyyymmdd")&amp;"-"&amp;TEXT(E36,"000"))</f>
        <v/>
      </c>
      <c r="B36" s="4">
        <f>IF(OR($D36&lt;&gt;"",$F36&lt;&gt;"",$G36&lt;&gt;"",$H36&lt;&gt;"",$I36&lt;&gt;""),"연구","")</f>
        <v/>
      </c>
      <c r="C36" s="4">
        <f>IF(OR($D36&lt;&gt;"",$F36&lt;&gt;"",$G36&lt;&gt;"",$H36&lt;&gt;"",$I36&lt;&gt;""),"연구팀","")</f>
        <v/>
      </c>
      <c r="D36" s="5" t="n"/>
      <c r="E36" s="6">
        <f>IF($D36="","",COUNTIF($D$2:$D36,$D36))</f>
        <v/>
      </c>
      <c r="F36" s="5" t="n"/>
      <c r="G36" s="4" t="n"/>
      <c r="H36" s="4" t="n"/>
      <c r="I36" s="7" t="n"/>
      <c r="J36" s="4" t="n"/>
      <c r="K36" s="4" t="n"/>
      <c r="L36" s="4">
        <f>IF(OR($G36&lt;&gt;"",$I36&lt;&gt;""),"확정","")</f>
        <v/>
      </c>
      <c r="M36" s="4">
        <f>IF(OR($G36&lt;&gt;"",$I36&lt;&gt;""),"신규","")</f>
        <v/>
      </c>
      <c r="N36" s="5">
        <f>IF($D36="","",$D36)</f>
        <v/>
      </c>
      <c r="O36" s="4" t="n"/>
      <c r="P36" s="3">
        <f>IF(NOT(OR($D36&lt;&gt;"",$F36&lt;&gt;"",$G36&lt;&gt;"",$H36&lt;&gt;"",$I36&lt;&gt;"")),"",IF(($D36="")+($F36="")+($I36="")+($J36="")+IF(AND($J36="법인카드",$K36=""),1,0)=0,"✔ 완료","⚠ 누락 "&amp;($D36="")+($F36="")+($I36="")+($J36="")+IF(AND($J36="법인카드",$K36=""),1,0)&amp;"칸"))</f>
        <v/>
      </c>
    </row>
    <row r="37">
      <c r="A37" s="3">
        <f>IF(OR(B37="",D37="",E37=""),"",B37&amp;"-"&amp;TEXT(D37,"yyyymmdd")&amp;"-"&amp;TEXT(E37,"000"))</f>
        <v/>
      </c>
      <c r="B37" s="4">
        <f>IF(OR($D37&lt;&gt;"",$F37&lt;&gt;"",$G37&lt;&gt;"",$H37&lt;&gt;"",$I37&lt;&gt;""),"연구","")</f>
        <v/>
      </c>
      <c r="C37" s="4">
        <f>IF(OR($D37&lt;&gt;"",$F37&lt;&gt;"",$G37&lt;&gt;"",$H37&lt;&gt;"",$I37&lt;&gt;""),"연구팀","")</f>
        <v/>
      </c>
      <c r="D37" s="5" t="n"/>
      <c r="E37" s="6">
        <f>IF($D37="","",COUNTIF($D$2:$D37,$D37))</f>
        <v/>
      </c>
      <c r="F37" s="5" t="n"/>
      <c r="G37" s="4" t="n"/>
      <c r="H37" s="4" t="n"/>
      <c r="I37" s="7" t="n"/>
      <c r="J37" s="4" t="n"/>
      <c r="K37" s="4" t="n"/>
      <c r="L37" s="4">
        <f>IF(OR($G37&lt;&gt;"",$I37&lt;&gt;""),"확정","")</f>
        <v/>
      </c>
      <c r="M37" s="4">
        <f>IF(OR($G37&lt;&gt;"",$I37&lt;&gt;""),"신규","")</f>
        <v/>
      </c>
      <c r="N37" s="5">
        <f>IF($D37="","",$D37)</f>
        <v/>
      </c>
      <c r="O37" s="4" t="n"/>
      <c r="P37" s="3">
        <f>IF(NOT(OR($D37&lt;&gt;"",$F37&lt;&gt;"",$G37&lt;&gt;"",$H37&lt;&gt;"",$I37&lt;&gt;"")),"",IF(($D37="")+($F37="")+($I37="")+($J37="")+IF(AND($J37="법인카드",$K37=""),1,0)=0,"✔ 완료","⚠ 누락 "&amp;($D37="")+($F37="")+($I37="")+($J37="")+IF(AND($J37="법인카드",$K37=""),1,0)&amp;"칸"))</f>
        <v/>
      </c>
    </row>
    <row r="38">
      <c r="A38" s="3">
        <f>IF(OR(B38="",D38="",E38=""),"",B38&amp;"-"&amp;TEXT(D38,"yyyymmdd")&amp;"-"&amp;TEXT(E38,"000"))</f>
        <v/>
      </c>
      <c r="B38" s="4">
        <f>IF(OR($D38&lt;&gt;"",$F38&lt;&gt;"",$G38&lt;&gt;"",$H38&lt;&gt;"",$I38&lt;&gt;""),"연구","")</f>
        <v/>
      </c>
      <c r="C38" s="4">
        <f>IF(OR($D38&lt;&gt;"",$F38&lt;&gt;"",$G38&lt;&gt;"",$H38&lt;&gt;"",$I38&lt;&gt;""),"연구팀","")</f>
        <v/>
      </c>
      <c r="D38" s="5" t="n"/>
      <c r="E38" s="6">
        <f>IF($D38="","",COUNTIF($D$2:$D38,$D38))</f>
        <v/>
      </c>
      <c r="F38" s="5" t="n"/>
      <c r="G38" s="4" t="n"/>
      <c r="H38" s="4" t="n"/>
      <c r="I38" s="7" t="n"/>
      <c r="J38" s="4" t="n"/>
      <c r="K38" s="4" t="n"/>
      <c r="L38" s="4">
        <f>IF(OR($G38&lt;&gt;"",$I38&lt;&gt;""),"확정","")</f>
        <v/>
      </c>
      <c r="M38" s="4">
        <f>IF(OR($G38&lt;&gt;"",$I38&lt;&gt;""),"신규","")</f>
        <v/>
      </c>
      <c r="N38" s="5">
        <f>IF($D38="","",$D38)</f>
        <v/>
      </c>
      <c r="O38" s="4" t="n"/>
      <c r="P38" s="3">
        <f>IF(NOT(OR($D38&lt;&gt;"",$F38&lt;&gt;"",$G38&lt;&gt;"",$H38&lt;&gt;"",$I38&lt;&gt;"")),"",IF(($D38="")+($F38="")+($I38="")+($J38="")+IF(AND($J38="법인카드",$K38=""),1,0)=0,"✔ 완료","⚠ 누락 "&amp;($D38="")+($F38="")+($I38="")+($J38="")+IF(AND($J38="법인카드",$K38=""),1,0)&amp;"칸"))</f>
        <v/>
      </c>
    </row>
    <row r="39">
      <c r="A39" s="3">
        <f>IF(OR(B39="",D39="",E39=""),"",B39&amp;"-"&amp;TEXT(D39,"yyyymmdd")&amp;"-"&amp;TEXT(E39,"000"))</f>
        <v/>
      </c>
      <c r="B39" s="4">
        <f>IF(OR($D39&lt;&gt;"",$F39&lt;&gt;"",$G39&lt;&gt;"",$H39&lt;&gt;"",$I39&lt;&gt;""),"연구","")</f>
        <v/>
      </c>
      <c r="C39" s="4">
        <f>IF(OR($D39&lt;&gt;"",$F39&lt;&gt;"",$G39&lt;&gt;"",$H39&lt;&gt;"",$I39&lt;&gt;""),"연구팀","")</f>
        <v/>
      </c>
      <c r="D39" s="5" t="n"/>
      <c r="E39" s="6">
        <f>IF($D39="","",COUNTIF($D$2:$D39,$D39))</f>
        <v/>
      </c>
      <c r="F39" s="5" t="n"/>
      <c r="G39" s="4" t="n"/>
      <c r="H39" s="4" t="n"/>
      <c r="I39" s="7" t="n"/>
      <c r="J39" s="4" t="n"/>
      <c r="K39" s="4" t="n"/>
      <c r="L39" s="4">
        <f>IF(OR($G39&lt;&gt;"",$I39&lt;&gt;""),"확정","")</f>
        <v/>
      </c>
      <c r="M39" s="4">
        <f>IF(OR($G39&lt;&gt;"",$I39&lt;&gt;""),"신규","")</f>
        <v/>
      </c>
      <c r="N39" s="5">
        <f>IF($D39="","",$D39)</f>
        <v/>
      </c>
      <c r="O39" s="4" t="n"/>
      <c r="P39" s="3">
        <f>IF(NOT(OR($D39&lt;&gt;"",$F39&lt;&gt;"",$G39&lt;&gt;"",$H39&lt;&gt;"",$I39&lt;&gt;"")),"",IF(($D39="")+($F39="")+($I39="")+($J39="")+IF(AND($J39="법인카드",$K39=""),1,0)=0,"✔ 완료","⚠ 누락 "&amp;($D39="")+($F39="")+($I39="")+($J39="")+IF(AND($J39="법인카드",$K39=""),1,0)&amp;"칸"))</f>
        <v/>
      </c>
    </row>
    <row r="40">
      <c r="A40" s="3">
        <f>IF(OR(B40="",D40="",E40=""),"",B40&amp;"-"&amp;TEXT(D40,"yyyymmdd")&amp;"-"&amp;TEXT(E40,"000"))</f>
        <v/>
      </c>
      <c r="B40" s="4">
        <f>IF(OR($D40&lt;&gt;"",$F40&lt;&gt;"",$G40&lt;&gt;"",$H40&lt;&gt;"",$I40&lt;&gt;""),"연구","")</f>
        <v/>
      </c>
      <c r="C40" s="4">
        <f>IF(OR($D40&lt;&gt;"",$F40&lt;&gt;"",$G40&lt;&gt;"",$H40&lt;&gt;"",$I40&lt;&gt;""),"연구팀","")</f>
        <v/>
      </c>
      <c r="D40" s="5" t="n"/>
      <c r="E40" s="6">
        <f>IF($D40="","",COUNTIF($D$2:$D40,$D40))</f>
        <v/>
      </c>
      <c r="F40" s="5" t="n"/>
      <c r="G40" s="4" t="n"/>
      <c r="H40" s="4" t="n"/>
      <c r="I40" s="7" t="n"/>
      <c r="J40" s="4" t="n"/>
      <c r="K40" s="4" t="n"/>
      <c r="L40" s="4">
        <f>IF(OR($G40&lt;&gt;"",$I40&lt;&gt;""),"확정","")</f>
        <v/>
      </c>
      <c r="M40" s="4">
        <f>IF(OR($G40&lt;&gt;"",$I40&lt;&gt;""),"신규","")</f>
        <v/>
      </c>
      <c r="N40" s="5">
        <f>IF($D40="","",$D40)</f>
        <v/>
      </c>
      <c r="O40" s="4" t="n"/>
      <c r="P40" s="3">
        <f>IF(NOT(OR($D40&lt;&gt;"",$F40&lt;&gt;"",$G40&lt;&gt;"",$H40&lt;&gt;"",$I40&lt;&gt;"")),"",IF(($D40="")+($F40="")+($I40="")+($J40="")+IF(AND($J40="법인카드",$K40=""),1,0)=0,"✔ 완료","⚠ 누락 "&amp;($D40="")+($F40="")+($I40="")+($J40="")+IF(AND($J40="법인카드",$K40=""),1,0)&amp;"칸"))</f>
        <v/>
      </c>
    </row>
    <row r="41">
      <c r="A41" s="3">
        <f>IF(OR(B41="",D41="",E41=""),"",B41&amp;"-"&amp;TEXT(D41,"yyyymmdd")&amp;"-"&amp;TEXT(E41,"000"))</f>
        <v/>
      </c>
      <c r="B41" s="4">
        <f>IF(OR($D41&lt;&gt;"",$F41&lt;&gt;"",$G41&lt;&gt;"",$H41&lt;&gt;"",$I41&lt;&gt;""),"연구","")</f>
        <v/>
      </c>
      <c r="C41" s="4">
        <f>IF(OR($D41&lt;&gt;"",$F41&lt;&gt;"",$G41&lt;&gt;"",$H41&lt;&gt;"",$I41&lt;&gt;""),"연구팀","")</f>
        <v/>
      </c>
      <c r="D41" s="5" t="n"/>
      <c r="E41" s="6">
        <f>IF($D41="","",COUNTIF($D$2:$D41,$D41))</f>
        <v/>
      </c>
      <c r="F41" s="5" t="n"/>
      <c r="G41" s="4" t="n"/>
      <c r="H41" s="4" t="n"/>
      <c r="I41" s="7" t="n"/>
      <c r="J41" s="4" t="n"/>
      <c r="K41" s="4" t="n"/>
      <c r="L41" s="4">
        <f>IF(OR($G41&lt;&gt;"",$I41&lt;&gt;""),"확정","")</f>
        <v/>
      </c>
      <c r="M41" s="4">
        <f>IF(OR($G41&lt;&gt;"",$I41&lt;&gt;""),"신규","")</f>
        <v/>
      </c>
      <c r="N41" s="5">
        <f>IF($D41="","",$D41)</f>
        <v/>
      </c>
      <c r="O41" s="4" t="n"/>
      <c r="P41" s="3">
        <f>IF(NOT(OR($D41&lt;&gt;"",$F41&lt;&gt;"",$G41&lt;&gt;"",$H41&lt;&gt;"",$I41&lt;&gt;"")),"",IF(($D41="")+($F41="")+($I41="")+($J41="")+IF(AND($J41="법인카드",$K41=""),1,0)=0,"✔ 완료","⚠ 누락 "&amp;($D41="")+($F41="")+($I41="")+($J41="")+IF(AND($J41="법인카드",$K41=""),1,0)&amp;"칸"))</f>
        <v/>
      </c>
    </row>
    <row r="42">
      <c r="A42" s="3">
        <f>IF(OR(B42="",D42="",E42=""),"",B42&amp;"-"&amp;TEXT(D42,"yyyymmdd")&amp;"-"&amp;TEXT(E42,"000"))</f>
        <v/>
      </c>
      <c r="B42" s="4">
        <f>IF(OR($D42&lt;&gt;"",$F42&lt;&gt;"",$G42&lt;&gt;"",$H42&lt;&gt;"",$I42&lt;&gt;""),"연구","")</f>
        <v/>
      </c>
      <c r="C42" s="4">
        <f>IF(OR($D42&lt;&gt;"",$F42&lt;&gt;"",$G42&lt;&gt;"",$H42&lt;&gt;"",$I42&lt;&gt;""),"연구팀","")</f>
        <v/>
      </c>
      <c r="D42" s="5" t="n"/>
      <c r="E42" s="6">
        <f>IF($D42="","",COUNTIF($D$2:$D42,$D42))</f>
        <v/>
      </c>
      <c r="F42" s="5" t="n"/>
      <c r="G42" s="4" t="n"/>
      <c r="H42" s="4" t="n"/>
      <c r="I42" s="7" t="n"/>
      <c r="J42" s="4" t="n"/>
      <c r="K42" s="4" t="n"/>
      <c r="L42" s="4">
        <f>IF(OR($G42&lt;&gt;"",$I42&lt;&gt;""),"확정","")</f>
        <v/>
      </c>
      <c r="M42" s="4">
        <f>IF(OR($G42&lt;&gt;"",$I42&lt;&gt;""),"신규","")</f>
        <v/>
      </c>
      <c r="N42" s="5">
        <f>IF($D42="","",$D42)</f>
        <v/>
      </c>
      <c r="O42" s="4" t="n"/>
      <c r="P42" s="3">
        <f>IF(NOT(OR($D42&lt;&gt;"",$F42&lt;&gt;"",$G42&lt;&gt;"",$H42&lt;&gt;"",$I42&lt;&gt;"")),"",IF(($D42="")+($F42="")+($I42="")+($J42="")+IF(AND($J42="법인카드",$K42=""),1,0)=0,"✔ 완료","⚠ 누락 "&amp;($D42="")+($F42="")+($I42="")+($J42="")+IF(AND($J42="법인카드",$K42=""),1,0)&amp;"칸"))</f>
        <v/>
      </c>
    </row>
    <row r="43">
      <c r="A43" s="3">
        <f>IF(OR(B43="",D43="",E43=""),"",B43&amp;"-"&amp;TEXT(D43,"yyyymmdd")&amp;"-"&amp;TEXT(E43,"000"))</f>
        <v/>
      </c>
      <c r="B43" s="4">
        <f>IF(OR($D43&lt;&gt;"",$F43&lt;&gt;"",$G43&lt;&gt;"",$H43&lt;&gt;"",$I43&lt;&gt;""),"연구","")</f>
        <v/>
      </c>
      <c r="C43" s="4">
        <f>IF(OR($D43&lt;&gt;"",$F43&lt;&gt;"",$G43&lt;&gt;"",$H43&lt;&gt;"",$I43&lt;&gt;""),"연구팀","")</f>
        <v/>
      </c>
      <c r="D43" s="5" t="n"/>
      <c r="E43" s="6">
        <f>IF($D43="","",COUNTIF($D$2:$D43,$D43))</f>
        <v/>
      </c>
      <c r="F43" s="5" t="n"/>
      <c r="G43" s="4" t="n"/>
      <c r="H43" s="4" t="n"/>
      <c r="I43" s="7" t="n"/>
      <c r="J43" s="4" t="n"/>
      <c r="K43" s="4" t="n"/>
      <c r="L43" s="4">
        <f>IF(OR($G43&lt;&gt;"",$I43&lt;&gt;""),"확정","")</f>
        <v/>
      </c>
      <c r="M43" s="4">
        <f>IF(OR($G43&lt;&gt;"",$I43&lt;&gt;""),"신규","")</f>
        <v/>
      </c>
      <c r="N43" s="5">
        <f>IF($D43="","",$D43)</f>
        <v/>
      </c>
      <c r="O43" s="4" t="n"/>
      <c r="P43" s="3">
        <f>IF(NOT(OR($D43&lt;&gt;"",$F43&lt;&gt;"",$G43&lt;&gt;"",$H43&lt;&gt;"",$I43&lt;&gt;"")),"",IF(($D43="")+($F43="")+($I43="")+($J43="")+IF(AND($J43="법인카드",$K43=""),1,0)=0,"✔ 완료","⚠ 누락 "&amp;($D43="")+($F43="")+($I43="")+($J43="")+IF(AND($J43="법인카드",$K43=""),1,0)&amp;"칸"))</f>
        <v/>
      </c>
    </row>
    <row r="44">
      <c r="A44" s="3">
        <f>IF(OR(B44="",D44="",E44=""),"",B44&amp;"-"&amp;TEXT(D44,"yyyymmdd")&amp;"-"&amp;TEXT(E44,"000"))</f>
        <v/>
      </c>
      <c r="B44" s="4">
        <f>IF(OR($D44&lt;&gt;"",$F44&lt;&gt;"",$G44&lt;&gt;"",$H44&lt;&gt;"",$I44&lt;&gt;""),"연구","")</f>
        <v/>
      </c>
      <c r="C44" s="4">
        <f>IF(OR($D44&lt;&gt;"",$F44&lt;&gt;"",$G44&lt;&gt;"",$H44&lt;&gt;"",$I44&lt;&gt;""),"연구팀","")</f>
        <v/>
      </c>
      <c r="D44" s="5" t="n"/>
      <c r="E44" s="6">
        <f>IF($D44="","",COUNTIF($D$2:$D44,$D44))</f>
        <v/>
      </c>
      <c r="F44" s="5" t="n"/>
      <c r="G44" s="4" t="n"/>
      <c r="H44" s="4" t="n"/>
      <c r="I44" s="7" t="n"/>
      <c r="J44" s="4" t="n"/>
      <c r="K44" s="4" t="n"/>
      <c r="L44" s="4">
        <f>IF(OR($G44&lt;&gt;"",$I44&lt;&gt;""),"확정","")</f>
        <v/>
      </c>
      <c r="M44" s="4">
        <f>IF(OR($G44&lt;&gt;"",$I44&lt;&gt;""),"신규","")</f>
        <v/>
      </c>
      <c r="N44" s="5">
        <f>IF($D44="","",$D44)</f>
        <v/>
      </c>
      <c r="O44" s="4" t="n"/>
      <c r="P44" s="3">
        <f>IF(NOT(OR($D44&lt;&gt;"",$F44&lt;&gt;"",$G44&lt;&gt;"",$H44&lt;&gt;"",$I44&lt;&gt;"")),"",IF(($D44="")+($F44="")+($I44="")+($J44="")+IF(AND($J44="법인카드",$K44=""),1,0)=0,"✔ 완료","⚠ 누락 "&amp;($D44="")+($F44="")+($I44="")+($J44="")+IF(AND($J44="법인카드",$K44=""),1,0)&amp;"칸"))</f>
        <v/>
      </c>
    </row>
    <row r="45">
      <c r="A45" s="3">
        <f>IF(OR(B45="",D45="",E45=""),"",B45&amp;"-"&amp;TEXT(D45,"yyyymmdd")&amp;"-"&amp;TEXT(E45,"000"))</f>
        <v/>
      </c>
      <c r="B45" s="4">
        <f>IF(OR($D45&lt;&gt;"",$F45&lt;&gt;"",$G45&lt;&gt;"",$H45&lt;&gt;"",$I45&lt;&gt;""),"연구","")</f>
        <v/>
      </c>
      <c r="C45" s="4">
        <f>IF(OR($D45&lt;&gt;"",$F45&lt;&gt;"",$G45&lt;&gt;"",$H45&lt;&gt;"",$I45&lt;&gt;""),"연구팀","")</f>
        <v/>
      </c>
      <c r="D45" s="5" t="n"/>
      <c r="E45" s="6">
        <f>IF($D45="","",COUNTIF($D$2:$D45,$D45))</f>
        <v/>
      </c>
      <c r="F45" s="5" t="n"/>
      <c r="G45" s="4" t="n"/>
      <c r="H45" s="4" t="n"/>
      <c r="I45" s="7" t="n"/>
      <c r="J45" s="4" t="n"/>
      <c r="K45" s="4" t="n"/>
      <c r="L45" s="4">
        <f>IF(OR($G45&lt;&gt;"",$I45&lt;&gt;""),"확정","")</f>
        <v/>
      </c>
      <c r="M45" s="4">
        <f>IF(OR($G45&lt;&gt;"",$I45&lt;&gt;""),"신규","")</f>
        <v/>
      </c>
      <c r="N45" s="5">
        <f>IF($D45="","",$D45)</f>
        <v/>
      </c>
      <c r="O45" s="4" t="n"/>
      <c r="P45" s="3">
        <f>IF(NOT(OR($D45&lt;&gt;"",$F45&lt;&gt;"",$G45&lt;&gt;"",$H45&lt;&gt;"",$I45&lt;&gt;"")),"",IF(($D45="")+($F45="")+($I45="")+($J45="")+IF(AND($J45="법인카드",$K45=""),1,0)=0,"✔ 완료","⚠ 누락 "&amp;($D45="")+($F45="")+($I45="")+($J45="")+IF(AND($J45="법인카드",$K45=""),1,0)&amp;"칸"))</f>
        <v/>
      </c>
    </row>
    <row r="46">
      <c r="A46" s="3">
        <f>IF(OR(B46="",D46="",E46=""),"",B46&amp;"-"&amp;TEXT(D46,"yyyymmdd")&amp;"-"&amp;TEXT(E46,"000"))</f>
        <v/>
      </c>
      <c r="B46" s="4">
        <f>IF(OR($D46&lt;&gt;"",$F46&lt;&gt;"",$G46&lt;&gt;"",$H46&lt;&gt;"",$I46&lt;&gt;""),"연구","")</f>
        <v/>
      </c>
      <c r="C46" s="4">
        <f>IF(OR($D46&lt;&gt;"",$F46&lt;&gt;"",$G46&lt;&gt;"",$H46&lt;&gt;"",$I46&lt;&gt;""),"연구팀","")</f>
        <v/>
      </c>
      <c r="D46" s="5" t="n"/>
      <c r="E46" s="6">
        <f>IF($D46="","",COUNTIF($D$2:$D46,$D46))</f>
        <v/>
      </c>
      <c r="F46" s="5" t="n"/>
      <c r="G46" s="4" t="n"/>
      <c r="H46" s="4" t="n"/>
      <c r="I46" s="7" t="n"/>
      <c r="J46" s="4" t="n"/>
      <c r="K46" s="4" t="n"/>
      <c r="L46" s="4">
        <f>IF(OR($G46&lt;&gt;"",$I46&lt;&gt;""),"확정","")</f>
        <v/>
      </c>
      <c r="M46" s="4">
        <f>IF(OR($G46&lt;&gt;"",$I46&lt;&gt;""),"신규","")</f>
        <v/>
      </c>
      <c r="N46" s="5">
        <f>IF($D46="","",$D46)</f>
        <v/>
      </c>
      <c r="O46" s="4" t="n"/>
      <c r="P46" s="3">
        <f>IF(NOT(OR($D46&lt;&gt;"",$F46&lt;&gt;"",$G46&lt;&gt;"",$H46&lt;&gt;"",$I46&lt;&gt;"")),"",IF(($D46="")+($F46="")+($I46="")+($J46="")+IF(AND($J46="법인카드",$K46=""),1,0)=0,"✔ 완료","⚠ 누락 "&amp;($D46="")+($F46="")+($I46="")+($J46="")+IF(AND($J46="법인카드",$K46=""),1,0)&amp;"칸"))</f>
        <v/>
      </c>
    </row>
    <row r="47">
      <c r="A47" s="3">
        <f>IF(OR(B47="",D47="",E47=""),"",B47&amp;"-"&amp;TEXT(D47,"yyyymmdd")&amp;"-"&amp;TEXT(E47,"000"))</f>
        <v/>
      </c>
      <c r="B47" s="4">
        <f>IF(OR($D47&lt;&gt;"",$F47&lt;&gt;"",$G47&lt;&gt;"",$H47&lt;&gt;"",$I47&lt;&gt;""),"연구","")</f>
        <v/>
      </c>
      <c r="C47" s="4">
        <f>IF(OR($D47&lt;&gt;"",$F47&lt;&gt;"",$G47&lt;&gt;"",$H47&lt;&gt;"",$I47&lt;&gt;""),"연구팀","")</f>
        <v/>
      </c>
      <c r="D47" s="5" t="n"/>
      <c r="E47" s="6">
        <f>IF($D47="","",COUNTIF($D$2:$D47,$D47))</f>
        <v/>
      </c>
      <c r="F47" s="5" t="n"/>
      <c r="G47" s="4" t="n"/>
      <c r="H47" s="4" t="n"/>
      <c r="I47" s="7" t="n"/>
      <c r="J47" s="4" t="n"/>
      <c r="K47" s="4" t="n"/>
      <c r="L47" s="4">
        <f>IF(OR($G47&lt;&gt;"",$I47&lt;&gt;""),"확정","")</f>
        <v/>
      </c>
      <c r="M47" s="4">
        <f>IF(OR($G47&lt;&gt;"",$I47&lt;&gt;""),"신규","")</f>
        <v/>
      </c>
      <c r="N47" s="5">
        <f>IF($D47="","",$D47)</f>
        <v/>
      </c>
      <c r="O47" s="4" t="n"/>
      <c r="P47" s="3">
        <f>IF(NOT(OR($D47&lt;&gt;"",$F47&lt;&gt;"",$G47&lt;&gt;"",$H47&lt;&gt;"",$I47&lt;&gt;"")),"",IF(($D47="")+($F47="")+($I47="")+($J47="")+IF(AND($J47="법인카드",$K47=""),1,0)=0,"✔ 완료","⚠ 누락 "&amp;($D47="")+($F47="")+($I47="")+($J47="")+IF(AND($J47="법인카드",$K47=""),1,0)&amp;"칸"))</f>
        <v/>
      </c>
    </row>
    <row r="48">
      <c r="A48" s="3">
        <f>IF(OR(B48="",D48="",E48=""),"",B48&amp;"-"&amp;TEXT(D48,"yyyymmdd")&amp;"-"&amp;TEXT(E48,"000"))</f>
        <v/>
      </c>
      <c r="B48" s="4">
        <f>IF(OR($D48&lt;&gt;"",$F48&lt;&gt;"",$G48&lt;&gt;"",$H48&lt;&gt;"",$I48&lt;&gt;""),"연구","")</f>
        <v/>
      </c>
      <c r="C48" s="4">
        <f>IF(OR($D48&lt;&gt;"",$F48&lt;&gt;"",$G48&lt;&gt;"",$H48&lt;&gt;"",$I48&lt;&gt;""),"연구팀","")</f>
        <v/>
      </c>
      <c r="D48" s="5" t="n"/>
      <c r="E48" s="6">
        <f>IF($D48="","",COUNTIF($D$2:$D48,$D48))</f>
        <v/>
      </c>
      <c r="F48" s="5" t="n"/>
      <c r="G48" s="4" t="n"/>
      <c r="H48" s="4" t="n"/>
      <c r="I48" s="7" t="n"/>
      <c r="J48" s="4" t="n"/>
      <c r="K48" s="4" t="n"/>
      <c r="L48" s="4">
        <f>IF(OR($G48&lt;&gt;"",$I48&lt;&gt;""),"확정","")</f>
        <v/>
      </c>
      <c r="M48" s="4">
        <f>IF(OR($G48&lt;&gt;"",$I48&lt;&gt;""),"신규","")</f>
        <v/>
      </c>
      <c r="N48" s="5">
        <f>IF($D48="","",$D48)</f>
        <v/>
      </c>
      <c r="O48" s="4" t="n"/>
      <c r="P48" s="3">
        <f>IF(NOT(OR($D48&lt;&gt;"",$F48&lt;&gt;"",$G48&lt;&gt;"",$H48&lt;&gt;"",$I48&lt;&gt;"")),"",IF(($D48="")+($F48="")+($I48="")+($J48="")+IF(AND($J48="법인카드",$K48=""),1,0)=0,"✔ 완료","⚠ 누락 "&amp;($D48="")+($F48="")+($I48="")+($J48="")+IF(AND($J48="법인카드",$K48=""),1,0)&amp;"칸"))</f>
        <v/>
      </c>
    </row>
    <row r="49">
      <c r="A49" s="3">
        <f>IF(OR(B49="",D49="",E49=""),"",B49&amp;"-"&amp;TEXT(D49,"yyyymmdd")&amp;"-"&amp;TEXT(E49,"000"))</f>
        <v/>
      </c>
      <c r="B49" s="4">
        <f>IF(OR($D49&lt;&gt;"",$F49&lt;&gt;"",$G49&lt;&gt;"",$H49&lt;&gt;"",$I49&lt;&gt;""),"연구","")</f>
        <v/>
      </c>
      <c r="C49" s="4">
        <f>IF(OR($D49&lt;&gt;"",$F49&lt;&gt;"",$G49&lt;&gt;"",$H49&lt;&gt;"",$I49&lt;&gt;""),"연구팀","")</f>
        <v/>
      </c>
      <c r="D49" s="5" t="n"/>
      <c r="E49" s="6">
        <f>IF($D49="","",COUNTIF($D$2:$D49,$D49))</f>
        <v/>
      </c>
      <c r="F49" s="5" t="n"/>
      <c r="G49" s="4" t="n"/>
      <c r="H49" s="4" t="n"/>
      <c r="I49" s="7" t="n"/>
      <c r="J49" s="4" t="n"/>
      <c r="K49" s="4" t="n"/>
      <c r="L49" s="4">
        <f>IF(OR($G49&lt;&gt;"",$I49&lt;&gt;""),"확정","")</f>
        <v/>
      </c>
      <c r="M49" s="4">
        <f>IF(OR($G49&lt;&gt;"",$I49&lt;&gt;""),"신규","")</f>
        <v/>
      </c>
      <c r="N49" s="5">
        <f>IF($D49="","",$D49)</f>
        <v/>
      </c>
      <c r="O49" s="4" t="n"/>
      <c r="P49" s="3">
        <f>IF(NOT(OR($D49&lt;&gt;"",$F49&lt;&gt;"",$G49&lt;&gt;"",$H49&lt;&gt;"",$I49&lt;&gt;"")),"",IF(($D49="")+($F49="")+($I49="")+($J49="")+IF(AND($J49="법인카드",$K49=""),1,0)=0,"✔ 완료","⚠ 누락 "&amp;($D49="")+($F49="")+($I49="")+($J49="")+IF(AND($J49="법인카드",$K49=""),1,0)&amp;"칸"))</f>
        <v/>
      </c>
    </row>
    <row r="50">
      <c r="A50" s="3">
        <f>IF(OR(B50="",D50="",E50=""),"",B50&amp;"-"&amp;TEXT(D50,"yyyymmdd")&amp;"-"&amp;TEXT(E50,"000"))</f>
        <v/>
      </c>
      <c r="B50" s="4">
        <f>IF(OR($D50&lt;&gt;"",$F50&lt;&gt;"",$G50&lt;&gt;"",$H50&lt;&gt;"",$I50&lt;&gt;""),"연구","")</f>
        <v/>
      </c>
      <c r="C50" s="4">
        <f>IF(OR($D50&lt;&gt;"",$F50&lt;&gt;"",$G50&lt;&gt;"",$H50&lt;&gt;"",$I50&lt;&gt;""),"연구팀","")</f>
        <v/>
      </c>
      <c r="D50" s="5" t="n"/>
      <c r="E50" s="6">
        <f>IF($D50="","",COUNTIF($D$2:$D50,$D50))</f>
        <v/>
      </c>
      <c r="F50" s="5" t="n"/>
      <c r="G50" s="4" t="n"/>
      <c r="H50" s="4" t="n"/>
      <c r="I50" s="7" t="n"/>
      <c r="J50" s="4" t="n"/>
      <c r="K50" s="4" t="n"/>
      <c r="L50" s="4">
        <f>IF(OR($G50&lt;&gt;"",$I50&lt;&gt;""),"확정","")</f>
        <v/>
      </c>
      <c r="M50" s="4">
        <f>IF(OR($G50&lt;&gt;"",$I50&lt;&gt;""),"신규","")</f>
        <v/>
      </c>
      <c r="N50" s="5">
        <f>IF($D50="","",$D50)</f>
        <v/>
      </c>
      <c r="O50" s="4" t="n"/>
      <c r="P50" s="3">
        <f>IF(NOT(OR($D50&lt;&gt;"",$F50&lt;&gt;"",$G50&lt;&gt;"",$H50&lt;&gt;"",$I50&lt;&gt;"")),"",IF(($D50="")+($F50="")+($I50="")+($J50="")+IF(AND($J50="법인카드",$K50=""),1,0)=0,"✔ 완료","⚠ 누락 "&amp;($D50="")+($F50="")+($I50="")+($J50="")+IF(AND($J50="법인카드",$K50=""),1,0)&amp;"칸"))</f>
        <v/>
      </c>
    </row>
    <row r="51">
      <c r="A51" s="3">
        <f>IF(OR(B51="",D51="",E51=""),"",B51&amp;"-"&amp;TEXT(D51,"yyyymmdd")&amp;"-"&amp;TEXT(E51,"000"))</f>
        <v/>
      </c>
      <c r="B51" s="4">
        <f>IF(OR($D51&lt;&gt;"",$F51&lt;&gt;"",$G51&lt;&gt;"",$H51&lt;&gt;"",$I51&lt;&gt;""),"연구","")</f>
        <v/>
      </c>
      <c r="C51" s="4">
        <f>IF(OR($D51&lt;&gt;"",$F51&lt;&gt;"",$G51&lt;&gt;"",$H51&lt;&gt;"",$I51&lt;&gt;""),"연구팀","")</f>
        <v/>
      </c>
      <c r="D51" s="5" t="n"/>
      <c r="E51" s="6">
        <f>IF($D51="","",COUNTIF($D$2:$D51,$D51))</f>
        <v/>
      </c>
      <c r="F51" s="5" t="n"/>
      <c r="G51" s="4" t="n"/>
      <c r="H51" s="4" t="n"/>
      <c r="I51" s="7" t="n"/>
      <c r="J51" s="4" t="n"/>
      <c r="K51" s="4" t="n"/>
      <c r="L51" s="4">
        <f>IF(OR($G51&lt;&gt;"",$I51&lt;&gt;""),"확정","")</f>
        <v/>
      </c>
      <c r="M51" s="4">
        <f>IF(OR($G51&lt;&gt;"",$I51&lt;&gt;""),"신규","")</f>
        <v/>
      </c>
      <c r="N51" s="5">
        <f>IF($D51="","",$D51)</f>
        <v/>
      </c>
      <c r="O51" s="4" t="n"/>
      <c r="P51" s="3">
        <f>IF(NOT(OR($D51&lt;&gt;"",$F51&lt;&gt;"",$G51&lt;&gt;"",$H51&lt;&gt;"",$I51&lt;&gt;"")),"",IF(($D51="")+($F51="")+($I51="")+($J51="")+IF(AND($J51="법인카드",$K51=""),1,0)=0,"✔ 완료","⚠ 누락 "&amp;($D51="")+($F51="")+($I51="")+($J51="")+IF(AND($J51="법인카드",$K51=""),1,0)&amp;"칸"))</f>
        <v/>
      </c>
    </row>
    <row r="52">
      <c r="A52" s="3">
        <f>IF(OR(B52="",D52="",E52=""),"",B52&amp;"-"&amp;TEXT(D52,"yyyymmdd")&amp;"-"&amp;TEXT(E52,"000"))</f>
        <v/>
      </c>
      <c r="B52" s="4">
        <f>IF(OR($D52&lt;&gt;"",$F52&lt;&gt;"",$G52&lt;&gt;"",$H52&lt;&gt;"",$I52&lt;&gt;""),"연구","")</f>
        <v/>
      </c>
      <c r="C52" s="4">
        <f>IF(OR($D52&lt;&gt;"",$F52&lt;&gt;"",$G52&lt;&gt;"",$H52&lt;&gt;"",$I52&lt;&gt;""),"연구팀","")</f>
        <v/>
      </c>
      <c r="D52" s="5" t="n"/>
      <c r="E52" s="6">
        <f>IF($D52="","",COUNTIF($D$2:$D52,$D52))</f>
        <v/>
      </c>
      <c r="F52" s="5" t="n"/>
      <c r="G52" s="4" t="n"/>
      <c r="H52" s="4" t="n"/>
      <c r="I52" s="7" t="n"/>
      <c r="J52" s="4" t="n"/>
      <c r="K52" s="4" t="n"/>
      <c r="L52" s="4">
        <f>IF(OR($G52&lt;&gt;"",$I52&lt;&gt;""),"확정","")</f>
        <v/>
      </c>
      <c r="M52" s="4">
        <f>IF(OR($G52&lt;&gt;"",$I52&lt;&gt;""),"신규","")</f>
        <v/>
      </c>
      <c r="N52" s="5">
        <f>IF($D52="","",$D52)</f>
        <v/>
      </c>
      <c r="O52" s="4" t="n"/>
      <c r="P52" s="3">
        <f>IF(NOT(OR($D52&lt;&gt;"",$F52&lt;&gt;"",$G52&lt;&gt;"",$H52&lt;&gt;"",$I52&lt;&gt;"")),"",IF(($D52="")+($F52="")+($I52="")+($J52="")+IF(AND($J52="법인카드",$K52=""),1,0)=0,"✔ 완료","⚠ 누락 "&amp;($D52="")+($F52="")+($I52="")+($J52="")+IF(AND($J52="법인카드",$K52=""),1,0)&amp;"칸"))</f>
        <v/>
      </c>
    </row>
    <row r="53">
      <c r="A53" s="3">
        <f>IF(OR(B53="",D53="",E53=""),"",B53&amp;"-"&amp;TEXT(D53,"yyyymmdd")&amp;"-"&amp;TEXT(E53,"000"))</f>
        <v/>
      </c>
      <c r="B53" s="4">
        <f>IF(OR($D53&lt;&gt;"",$F53&lt;&gt;"",$G53&lt;&gt;"",$H53&lt;&gt;"",$I53&lt;&gt;""),"연구","")</f>
        <v/>
      </c>
      <c r="C53" s="4">
        <f>IF(OR($D53&lt;&gt;"",$F53&lt;&gt;"",$G53&lt;&gt;"",$H53&lt;&gt;"",$I53&lt;&gt;""),"연구팀","")</f>
        <v/>
      </c>
      <c r="D53" s="5" t="n"/>
      <c r="E53" s="6">
        <f>IF($D53="","",COUNTIF($D$2:$D53,$D53))</f>
        <v/>
      </c>
      <c r="F53" s="5" t="n"/>
      <c r="G53" s="4" t="n"/>
      <c r="H53" s="4" t="n"/>
      <c r="I53" s="7" t="n"/>
      <c r="J53" s="4" t="n"/>
      <c r="K53" s="4" t="n"/>
      <c r="L53" s="4">
        <f>IF(OR($G53&lt;&gt;"",$I53&lt;&gt;""),"확정","")</f>
        <v/>
      </c>
      <c r="M53" s="4">
        <f>IF(OR($G53&lt;&gt;"",$I53&lt;&gt;""),"신규","")</f>
        <v/>
      </c>
      <c r="N53" s="5">
        <f>IF($D53="","",$D53)</f>
        <v/>
      </c>
      <c r="O53" s="4" t="n"/>
      <c r="P53" s="3">
        <f>IF(NOT(OR($D53&lt;&gt;"",$F53&lt;&gt;"",$G53&lt;&gt;"",$H53&lt;&gt;"",$I53&lt;&gt;"")),"",IF(($D53="")+($F53="")+($I53="")+($J53="")+IF(AND($J53="법인카드",$K53=""),1,0)=0,"✔ 완료","⚠ 누락 "&amp;($D53="")+($F53="")+($I53="")+($J53="")+IF(AND($J53="법인카드",$K53=""),1,0)&amp;"칸"))</f>
        <v/>
      </c>
    </row>
    <row r="54">
      <c r="A54" s="3">
        <f>IF(OR(B54="",D54="",E54=""),"",B54&amp;"-"&amp;TEXT(D54,"yyyymmdd")&amp;"-"&amp;TEXT(E54,"000"))</f>
        <v/>
      </c>
      <c r="B54" s="4">
        <f>IF(OR($D54&lt;&gt;"",$F54&lt;&gt;"",$G54&lt;&gt;"",$H54&lt;&gt;"",$I54&lt;&gt;""),"연구","")</f>
        <v/>
      </c>
      <c r="C54" s="4">
        <f>IF(OR($D54&lt;&gt;"",$F54&lt;&gt;"",$G54&lt;&gt;"",$H54&lt;&gt;"",$I54&lt;&gt;""),"연구팀","")</f>
        <v/>
      </c>
      <c r="D54" s="5" t="n"/>
      <c r="E54" s="6">
        <f>IF($D54="","",COUNTIF($D$2:$D54,$D54))</f>
        <v/>
      </c>
      <c r="F54" s="5" t="n"/>
      <c r="G54" s="4" t="n"/>
      <c r="H54" s="4" t="n"/>
      <c r="I54" s="7" t="n"/>
      <c r="J54" s="4" t="n"/>
      <c r="K54" s="4" t="n"/>
      <c r="L54" s="4">
        <f>IF(OR($G54&lt;&gt;"",$I54&lt;&gt;""),"확정","")</f>
        <v/>
      </c>
      <c r="M54" s="4">
        <f>IF(OR($G54&lt;&gt;"",$I54&lt;&gt;""),"신규","")</f>
        <v/>
      </c>
      <c r="N54" s="5">
        <f>IF($D54="","",$D54)</f>
        <v/>
      </c>
      <c r="O54" s="4" t="n"/>
      <c r="P54" s="3">
        <f>IF(NOT(OR($D54&lt;&gt;"",$F54&lt;&gt;"",$G54&lt;&gt;"",$H54&lt;&gt;"",$I54&lt;&gt;"")),"",IF(($D54="")+($F54="")+($I54="")+($J54="")+IF(AND($J54="법인카드",$K54=""),1,0)=0,"✔ 완료","⚠ 누락 "&amp;($D54="")+($F54="")+($I54="")+($J54="")+IF(AND($J54="법인카드",$K54=""),1,0)&amp;"칸"))</f>
        <v/>
      </c>
    </row>
    <row r="55">
      <c r="A55" s="3">
        <f>IF(OR(B55="",D55="",E55=""),"",B55&amp;"-"&amp;TEXT(D55,"yyyymmdd")&amp;"-"&amp;TEXT(E55,"000"))</f>
        <v/>
      </c>
      <c r="B55" s="4">
        <f>IF(OR($D55&lt;&gt;"",$F55&lt;&gt;"",$G55&lt;&gt;"",$H55&lt;&gt;"",$I55&lt;&gt;""),"연구","")</f>
        <v/>
      </c>
      <c r="C55" s="4">
        <f>IF(OR($D55&lt;&gt;"",$F55&lt;&gt;"",$G55&lt;&gt;"",$H55&lt;&gt;"",$I55&lt;&gt;""),"연구팀","")</f>
        <v/>
      </c>
      <c r="D55" s="5" t="n"/>
      <c r="E55" s="6">
        <f>IF($D55="","",COUNTIF($D$2:$D55,$D55))</f>
        <v/>
      </c>
      <c r="F55" s="5" t="n"/>
      <c r="G55" s="4" t="n"/>
      <c r="H55" s="4" t="n"/>
      <c r="I55" s="7" t="n"/>
      <c r="J55" s="4" t="n"/>
      <c r="K55" s="4" t="n"/>
      <c r="L55" s="4">
        <f>IF(OR($G55&lt;&gt;"",$I55&lt;&gt;""),"확정","")</f>
        <v/>
      </c>
      <c r="M55" s="4">
        <f>IF(OR($G55&lt;&gt;"",$I55&lt;&gt;""),"신규","")</f>
        <v/>
      </c>
      <c r="N55" s="5">
        <f>IF($D55="","",$D55)</f>
        <v/>
      </c>
      <c r="O55" s="4" t="n"/>
      <c r="P55" s="3">
        <f>IF(NOT(OR($D55&lt;&gt;"",$F55&lt;&gt;"",$G55&lt;&gt;"",$H55&lt;&gt;"",$I55&lt;&gt;"")),"",IF(($D55="")+($F55="")+($I55="")+($J55="")+IF(AND($J55="법인카드",$K55=""),1,0)=0,"✔ 완료","⚠ 누락 "&amp;($D55="")+($F55="")+($I55="")+($J55="")+IF(AND($J55="법인카드",$K55=""),1,0)&amp;"칸"))</f>
        <v/>
      </c>
    </row>
    <row r="56">
      <c r="A56" s="3">
        <f>IF(OR(B56="",D56="",E56=""),"",B56&amp;"-"&amp;TEXT(D56,"yyyymmdd")&amp;"-"&amp;TEXT(E56,"000"))</f>
        <v/>
      </c>
      <c r="B56" s="4">
        <f>IF(OR($D56&lt;&gt;"",$F56&lt;&gt;"",$G56&lt;&gt;"",$H56&lt;&gt;"",$I56&lt;&gt;""),"연구","")</f>
        <v/>
      </c>
      <c r="C56" s="4">
        <f>IF(OR($D56&lt;&gt;"",$F56&lt;&gt;"",$G56&lt;&gt;"",$H56&lt;&gt;"",$I56&lt;&gt;""),"연구팀","")</f>
        <v/>
      </c>
      <c r="D56" s="5" t="n"/>
      <c r="E56" s="6">
        <f>IF($D56="","",COUNTIF($D$2:$D56,$D56))</f>
        <v/>
      </c>
      <c r="F56" s="5" t="n"/>
      <c r="G56" s="4" t="n"/>
      <c r="H56" s="4" t="n"/>
      <c r="I56" s="7" t="n"/>
      <c r="J56" s="4" t="n"/>
      <c r="K56" s="4" t="n"/>
      <c r="L56" s="4">
        <f>IF(OR($G56&lt;&gt;"",$I56&lt;&gt;""),"확정","")</f>
        <v/>
      </c>
      <c r="M56" s="4">
        <f>IF(OR($G56&lt;&gt;"",$I56&lt;&gt;""),"신규","")</f>
        <v/>
      </c>
      <c r="N56" s="5">
        <f>IF($D56="","",$D56)</f>
        <v/>
      </c>
      <c r="O56" s="4" t="n"/>
      <c r="P56" s="3">
        <f>IF(NOT(OR($D56&lt;&gt;"",$F56&lt;&gt;"",$G56&lt;&gt;"",$H56&lt;&gt;"",$I56&lt;&gt;"")),"",IF(($D56="")+($F56="")+($I56="")+($J56="")+IF(AND($J56="법인카드",$K56=""),1,0)=0,"✔ 완료","⚠ 누락 "&amp;($D56="")+($F56="")+($I56="")+($J56="")+IF(AND($J56="법인카드",$K56=""),1,0)&amp;"칸"))</f>
        <v/>
      </c>
    </row>
    <row r="57">
      <c r="A57" s="3">
        <f>IF(OR(B57="",D57="",E57=""),"",B57&amp;"-"&amp;TEXT(D57,"yyyymmdd")&amp;"-"&amp;TEXT(E57,"000"))</f>
        <v/>
      </c>
      <c r="B57" s="4">
        <f>IF(OR($D57&lt;&gt;"",$F57&lt;&gt;"",$G57&lt;&gt;"",$H57&lt;&gt;"",$I57&lt;&gt;""),"연구","")</f>
        <v/>
      </c>
      <c r="C57" s="4">
        <f>IF(OR($D57&lt;&gt;"",$F57&lt;&gt;"",$G57&lt;&gt;"",$H57&lt;&gt;"",$I57&lt;&gt;""),"연구팀","")</f>
        <v/>
      </c>
      <c r="D57" s="5" t="n"/>
      <c r="E57" s="6">
        <f>IF($D57="","",COUNTIF($D$2:$D57,$D57))</f>
        <v/>
      </c>
      <c r="F57" s="5" t="n"/>
      <c r="G57" s="4" t="n"/>
      <c r="H57" s="4" t="n"/>
      <c r="I57" s="7" t="n"/>
      <c r="J57" s="4" t="n"/>
      <c r="K57" s="4" t="n"/>
      <c r="L57" s="4">
        <f>IF(OR($G57&lt;&gt;"",$I57&lt;&gt;""),"확정","")</f>
        <v/>
      </c>
      <c r="M57" s="4">
        <f>IF(OR($G57&lt;&gt;"",$I57&lt;&gt;""),"신규","")</f>
        <v/>
      </c>
      <c r="N57" s="5">
        <f>IF($D57="","",$D57)</f>
        <v/>
      </c>
      <c r="O57" s="4" t="n"/>
      <c r="P57" s="3">
        <f>IF(NOT(OR($D57&lt;&gt;"",$F57&lt;&gt;"",$G57&lt;&gt;"",$H57&lt;&gt;"",$I57&lt;&gt;"")),"",IF(($D57="")+($F57="")+($I57="")+($J57="")+IF(AND($J57="법인카드",$K57=""),1,0)=0,"✔ 완료","⚠ 누락 "&amp;($D57="")+($F57="")+($I57="")+($J57="")+IF(AND($J57="법인카드",$K57=""),1,0)&amp;"칸"))</f>
        <v/>
      </c>
    </row>
    <row r="58">
      <c r="A58" s="3">
        <f>IF(OR(B58="",D58="",E58=""),"",B58&amp;"-"&amp;TEXT(D58,"yyyymmdd")&amp;"-"&amp;TEXT(E58,"000"))</f>
        <v/>
      </c>
      <c r="B58" s="4">
        <f>IF(OR($D58&lt;&gt;"",$F58&lt;&gt;"",$G58&lt;&gt;"",$H58&lt;&gt;"",$I58&lt;&gt;""),"연구","")</f>
        <v/>
      </c>
      <c r="C58" s="4">
        <f>IF(OR($D58&lt;&gt;"",$F58&lt;&gt;"",$G58&lt;&gt;"",$H58&lt;&gt;"",$I58&lt;&gt;""),"연구팀","")</f>
        <v/>
      </c>
      <c r="D58" s="5" t="n"/>
      <c r="E58" s="6">
        <f>IF($D58="","",COUNTIF($D$2:$D58,$D58))</f>
        <v/>
      </c>
      <c r="F58" s="5" t="n"/>
      <c r="G58" s="4" t="n"/>
      <c r="H58" s="4" t="n"/>
      <c r="I58" s="7" t="n"/>
      <c r="J58" s="4" t="n"/>
      <c r="K58" s="4" t="n"/>
      <c r="L58" s="4">
        <f>IF(OR($G58&lt;&gt;"",$I58&lt;&gt;""),"확정","")</f>
        <v/>
      </c>
      <c r="M58" s="4">
        <f>IF(OR($G58&lt;&gt;"",$I58&lt;&gt;""),"신규","")</f>
        <v/>
      </c>
      <c r="N58" s="5">
        <f>IF($D58="","",$D58)</f>
        <v/>
      </c>
      <c r="O58" s="4" t="n"/>
      <c r="P58" s="3">
        <f>IF(NOT(OR($D58&lt;&gt;"",$F58&lt;&gt;"",$G58&lt;&gt;"",$H58&lt;&gt;"",$I58&lt;&gt;"")),"",IF(($D58="")+($F58="")+($I58="")+($J58="")+IF(AND($J58="법인카드",$K58=""),1,0)=0,"✔ 완료","⚠ 누락 "&amp;($D58="")+($F58="")+($I58="")+($J58="")+IF(AND($J58="법인카드",$K58=""),1,0)&amp;"칸"))</f>
        <v/>
      </c>
    </row>
    <row r="59">
      <c r="A59" s="3">
        <f>IF(OR(B59="",D59="",E59=""),"",B59&amp;"-"&amp;TEXT(D59,"yyyymmdd")&amp;"-"&amp;TEXT(E59,"000"))</f>
        <v/>
      </c>
      <c r="B59" s="4">
        <f>IF(OR($D59&lt;&gt;"",$F59&lt;&gt;"",$G59&lt;&gt;"",$H59&lt;&gt;"",$I59&lt;&gt;""),"연구","")</f>
        <v/>
      </c>
      <c r="C59" s="4">
        <f>IF(OR($D59&lt;&gt;"",$F59&lt;&gt;"",$G59&lt;&gt;"",$H59&lt;&gt;"",$I59&lt;&gt;""),"연구팀","")</f>
        <v/>
      </c>
      <c r="D59" s="5" t="n"/>
      <c r="E59" s="6">
        <f>IF($D59="","",COUNTIF($D$2:$D59,$D59))</f>
        <v/>
      </c>
      <c r="F59" s="5" t="n"/>
      <c r="G59" s="4" t="n"/>
      <c r="H59" s="4" t="n"/>
      <c r="I59" s="7" t="n"/>
      <c r="J59" s="4" t="n"/>
      <c r="K59" s="4" t="n"/>
      <c r="L59" s="4">
        <f>IF(OR($G59&lt;&gt;"",$I59&lt;&gt;""),"확정","")</f>
        <v/>
      </c>
      <c r="M59" s="4">
        <f>IF(OR($G59&lt;&gt;"",$I59&lt;&gt;""),"신규","")</f>
        <v/>
      </c>
      <c r="N59" s="5">
        <f>IF($D59="","",$D59)</f>
        <v/>
      </c>
      <c r="O59" s="4" t="n"/>
      <c r="P59" s="3">
        <f>IF(NOT(OR($D59&lt;&gt;"",$F59&lt;&gt;"",$G59&lt;&gt;"",$H59&lt;&gt;"",$I59&lt;&gt;"")),"",IF(($D59="")+($F59="")+($I59="")+($J59="")+IF(AND($J59="법인카드",$K59=""),1,0)=0,"✔ 완료","⚠ 누락 "&amp;($D59="")+($F59="")+($I59="")+($J59="")+IF(AND($J59="법인카드",$K59=""),1,0)&amp;"칸"))</f>
        <v/>
      </c>
    </row>
    <row r="60">
      <c r="A60" s="3">
        <f>IF(OR(B60="",D60="",E60=""),"",B60&amp;"-"&amp;TEXT(D60,"yyyymmdd")&amp;"-"&amp;TEXT(E60,"000"))</f>
        <v/>
      </c>
      <c r="B60" s="4">
        <f>IF(OR($D60&lt;&gt;"",$F60&lt;&gt;"",$G60&lt;&gt;"",$H60&lt;&gt;"",$I60&lt;&gt;""),"연구","")</f>
        <v/>
      </c>
      <c r="C60" s="4">
        <f>IF(OR($D60&lt;&gt;"",$F60&lt;&gt;"",$G60&lt;&gt;"",$H60&lt;&gt;"",$I60&lt;&gt;""),"연구팀","")</f>
        <v/>
      </c>
      <c r="D60" s="5" t="n"/>
      <c r="E60" s="6">
        <f>IF($D60="","",COUNTIF($D$2:$D60,$D60))</f>
        <v/>
      </c>
      <c r="F60" s="5" t="n"/>
      <c r="G60" s="4" t="n"/>
      <c r="H60" s="4" t="n"/>
      <c r="I60" s="7" t="n"/>
      <c r="J60" s="4" t="n"/>
      <c r="K60" s="4" t="n"/>
      <c r="L60" s="4">
        <f>IF(OR($G60&lt;&gt;"",$I60&lt;&gt;""),"확정","")</f>
        <v/>
      </c>
      <c r="M60" s="4">
        <f>IF(OR($G60&lt;&gt;"",$I60&lt;&gt;""),"신규","")</f>
        <v/>
      </c>
      <c r="N60" s="5">
        <f>IF($D60="","",$D60)</f>
        <v/>
      </c>
      <c r="O60" s="4" t="n"/>
      <c r="P60" s="3">
        <f>IF(NOT(OR($D60&lt;&gt;"",$F60&lt;&gt;"",$G60&lt;&gt;"",$H60&lt;&gt;"",$I60&lt;&gt;"")),"",IF(($D60="")+($F60="")+($I60="")+($J60="")+IF(AND($J60="법인카드",$K60=""),1,0)=0,"✔ 완료","⚠ 누락 "&amp;($D60="")+($F60="")+($I60="")+($J60="")+IF(AND($J60="법인카드",$K60=""),1,0)&amp;"칸"))</f>
        <v/>
      </c>
    </row>
    <row r="61">
      <c r="A61" s="3">
        <f>IF(OR(B61="",D61="",E61=""),"",B61&amp;"-"&amp;TEXT(D61,"yyyymmdd")&amp;"-"&amp;TEXT(E61,"000"))</f>
        <v/>
      </c>
      <c r="B61" s="4">
        <f>IF(OR($D61&lt;&gt;"",$F61&lt;&gt;"",$G61&lt;&gt;"",$H61&lt;&gt;"",$I61&lt;&gt;""),"연구","")</f>
        <v/>
      </c>
      <c r="C61" s="4">
        <f>IF(OR($D61&lt;&gt;"",$F61&lt;&gt;"",$G61&lt;&gt;"",$H61&lt;&gt;"",$I61&lt;&gt;""),"연구팀","")</f>
        <v/>
      </c>
      <c r="D61" s="5" t="n"/>
      <c r="E61" s="6">
        <f>IF($D61="","",COUNTIF($D$2:$D61,$D61))</f>
        <v/>
      </c>
      <c r="F61" s="5" t="n"/>
      <c r="G61" s="4" t="n"/>
      <c r="H61" s="4" t="n"/>
      <c r="I61" s="7" t="n"/>
      <c r="J61" s="4" t="n"/>
      <c r="K61" s="4" t="n"/>
      <c r="L61" s="4">
        <f>IF(OR($G61&lt;&gt;"",$I61&lt;&gt;""),"확정","")</f>
        <v/>
      </c>
      <c r="M61" s="4">
        <f>IF(OR($G61&lt;&gt;"",$I61&lt;&gt;""),"신규","")</f>
        <v/>
      </c>
      <c r="N61" s="5">
        <f>IF($D61="","",$D61)</f>
        <v/>
      </c>
      <c r="O61" s="4" t="n"/>
      <c r="P61" s="3">
        <f>IF(NOT(OR($D61&lt;&gt;"",$F61&lt;&gt;"",$G61&lt;&gt;"",$H61&lt;&gt;"",$I61&lt;&gt;"")),"",IF(($D61="")+($F61="")+($I61="")+($J61="")+IF(AND($J61="법인카드",$K61=""),1,0)=0,"✔ 완료","⚠ 누락 "&amp;($D61="")+($F61="")+($I61="")+($J61="")+IF(AND($J61="법인카드",$K61=""),1,0)&amp;"칸"))</f>
        <v/>
      </c>
    </row>
    <row r="62">
      <c r="A62" s="3">
        <f>IF(OR(B62="",D62="",E62=""),"",B62&amp;"-"&amp;TEXT(D62,"yyyymmdd")&amp;"-"&amp;TEXT(E62,"000"))</f>
        <v/>
      </c>
      <c r="B62" s="4">
        <f>IF(OR($D62&lt;&gt;"",$F62&lt;&gt;"",$G62&lt;&gt;"",$H62&lt;&gt;"",$I62&lt;&gt;""),"연구","")</f>
        <v/>
      </c>
      <c r="C62" s="4">
        <f>IF(OR($D62&lt;&gt;"",$F62&lt;&gt;"",$G62&lt;&gt;"",$H62&lt;&gt;"",$I62&lt;&gt;""),"연구팀","")</f>
        <v/>
      </c>
      <c r="D62" s="5" t="n"/>
      <c r="E62" s="6">
        <f>IF($D62="","",COUNTIF($D$2:$D62,$D62))</f>
        <v/>
      </c>
      <c r="F62" s="5" t="n"/>
      <c r="G62" s="4" t="n"/>
      <c r="H62" s="4" t="n"/>
      <c r="I62" s="7" t="n"/>
      <c r="J62" s="4" t="n"/>
      <c r="K62" s="4" t="n"/>
      <c r="L62" s="4">
        <f>IF(OR($G62&lt;&gt;"",$I62&lt;&gt;""),"확정","")</f>
        <v/>
      </c>
      <c r="M62" s="4">
        <f>IF(OR($G62&lt;&gt;"",$I62&lt;&gt;""),"신규","")</f>
        <v/>
      </c>
      <c r="N62" s="5">
        <f>IF($D62="","",$D62)</f>
        <v/>
      </c>
      <c r="O62" s="4" t="n"/>
      <c r="P62" s="3">
        <f>IF(NOT(OR($D62&lt;&gt;"",$F62&lt;&gt;"",$G62&lt;&gt;"",$H62&lt;&gt;"",$I62&lt;&gt;"")),"",IF(($D62="")+($F62="")+($I62="")+($J62="")+IF(AND($J62="법인카드",$K62=""),1,0)=0,"✔ 완료","⚠ 누락 "&amp;($D62="")+($F62="")+($I62="")+($J62="")+IF(AND($J62="법인카드",$K62=""),1,0)&amp;"칸"))</f>
        <v/>
      </c>
    </row>
    <row r="63">
      <c r="A63" s="3">
        <f>IF(OR(B63="",D63="",E63=""),"",B63&amp;"-"&amp;TEXT(D63,"yyyymmdd")&amp;"-"&amp;TEXT(E63,"000"))</f>
        <v/>
      </c>
      <c r="B63" s="4">
        <f>IF(OR($D63&lt;&gt;"",$F63&lt;&gt;"",$G63&lt;&gt;"",$H63&lt;&gt;"",$I63&lt;&gt;""),"연구","")</f>
        <v/>
      </c>
      <c r="C63" s="4">
        <f>IF(OR($D63&lt;&gt;"",$F63&lt;&gt;"",$G63&lt;&gt;"",$H63&lt;&gt;"",$I63&lt;&gt;""),"연구팀","")</f>
        <v/>
      </c>
      <c r="D63" s="5" t="n"/>
      <c r="E63" s="6">
        <f>IF($D63="","",COUNTIF($D$2:$D63,$D63))</f>
        <v/>
      </c>
      <c r="F63" s="5" t="n"/>
      <c r="G63" s="4" t="n"/>
      <c r="H63" s="4" t="n"/>
      <c r="I63" s="7" t="n"/>
      <c r="J63" s="4" t="n"/>
      <c r="K63" s="4" t="n"/>
      <c r="L63" s="4">
        <f>IF(OR($G63&lt;&gt;"",$I63&lt;&gt;""),"확정","")</f>
        <v/>
      </c>
      <c r="M63" s="4">
        <f>IF(OR($G63&lt;&gt;"",$I63&lt;&gt;""),"신규","")</f>
        <v/>
      </c>
      <c r="N63" s="5">
        <f>IF($D63="","",$D63)</f>
        <v/>
      </c>
      <c r="O63" s="4" t="n"/>
      <c r="P63" s="3">
        <f>IF(NOT(OR($D63&lt;&gt;"",$F63&lt;&gt;"",$G63&lt;&gt;"",$H63&lt;&gt;"",$I63&lt;&gt;"")),"",IF(($D63="")+($F63="")+($I63="")+($J63="")+IF(AND($J63="법인카드",$K63=""),1,0)=0,"✔ 완료","⚠ 누락 "&amp;($D63="")+($F63="")+($I63="")+($J63="")+IF(AND($J63="법인카드",$K63=""),1,0)&amp;"칸"))</f>
        <v/>
      </c>
    </row>
    <row r="64">
      <c r="A64" s="3">
        <f>IF(OR(B64="",D64="",E64=""),"",B64&amp;"-"&amp;TEXT(D64,"yyyymmdd")&amp;"-"&amp;TEXT(E64,"000"))</f>
        <v/>
      </c>
      <c r="B64" s="4">
        <f>IF(OR($D64&lt;&gt;"",$F64&lt;&gt;"",$G64&lt;&gt;"",$H64&lt;&gt;"",$I64&lt;&gt;""),"연구","")</f>
        <v/>
      </c>
      <c r="C64" s="4">
        <f>IF(OR($D64&lt;&gt;"",$F64&lt;&gt;"",$G64&lt;&gt;"",$H64&lt;&gt;"",$I64&lt;&gt;""),"연구팀","")</f>
        <v/>
      </c>
      <c r="D64" s="5" t="n"/>
      <c r="E64" s="6">
        <f>IF($D64="","",COUNTIF($D$2:$D64,$D64))</f>
        <v/>
      </c>
      <c r="F64" s="5" t="n"/>
      <c r="G64" s="4" t="n"/>
      <c r="H64" s="4" t="n"/>
      <c r="I64" s="7" t="n"/>
      <c r="J64" s="4" t="n"/>
      <c r="K64" s="4" t="n"/>
      <c r="L64" s="4">
        <f>IF(OR($G64&lt;&gt;"",$I64&lt;&gt;""),"확정","")</f>
        <v/>
      </c>
      <c r="M64" s="4">
        <f>IF(OR($G64&lt;&gt;"",$I64&lt;&gt;""),"신규","")</f>
        <v/>
      </c>
      <c r="N64" s="5">
        <f>IF($D64="","",$D64)</f>
        <v/>
      </c>
      <c r="O64" s="4" t="n"/>
      <c r="P64" s="3">
        <f>IF(NOT(OR($D64&lt;&gt;"",$F64&lt;&gt;"",$G64&lt;&gt;"",$H64&lt;&gt;"",$I64&lt;&gt;"")),"",IF(($D64="")+($F64="")+($I64="")+($J64="")+IF(AND($J64="법인카드",$K64=""),1,0)=0,"✔ 완료","⚠ 누락 "&amp;($D64="")+($F64="")+($I64="")+($J64="")+IF(AND($J64="법인카드",$K64=""),1,0)&amp;"칸"))</f>
        <v/>
      </c>
    </row>
    <row r="65">
      <c r="A65" s="3">
        <f>IF(OR(B65="",D65="",E65=""),"",B65&amp;"-"&amp;TEXT(D65,"yyyymmdd")&amp;"-"&amp;TEXT(E65,"000"))</f>
        <v/>
      </c>
      <c r="B65" s="4">
        <f>IF(OR($D65&lt;&gt;"",$F65&lt;&gt;"",$G65&lt;&gt;"",$H65&lt;&gt;"",$I65&lt;&gt;""),"연구","")</f>
        <v/>
      </c>
      <c r="C65" s="4">
        <f>IF(OR($D65&lt;&gt;"",$F65&lt;&gt;"",$G65&lt;&gt;"",$H65&lt;&gt;"",$I65&lt;&gt;""),"연구팀","")</f>
        <v/>
      </c>
      <c r="D65" s="5" t="n"/>
      <c r="E65" s="6">
        <f>IF($D65="","",COUNTIF($D$2:$D65,$D65))</f>
        <v/>
      </c>
      <c r="F65" s="5" t="n"/>
      <c r="G65" s="4" t="n"/>
      <c r="H65" s="4" t="n"/>
      <c r="I65" s="7" t="n"/>
      <c r="J65" s="4" t="n"/>
      <c r="K65" s="4" t="n"/>
      <c r="L65" s="4">
        <f>IF(OR($G65&lt;&gt;"",$I65&lt;&gt;""),"확정","")</f>
        <v/>
      </c>
      <c r="M65" s="4">
        <f>IF(OR($G65&lt;&gt;"",$I65&lt;&gt;""),"신규","")</f>
        <v/>
      </c>
      <c r="N65" s="5">
        <f>IF($D65="","",$D65)</f>
        <v/>
      </c>
      <c r="O65" s="4" t="n"/>
      <c r="P65" s="3">
        <f>IF(NOT(OR($D65&lt;&gt;"",$F65&lt;&gt;"",$G65&lt;&gt;"",$H65&lt;&gt;"",$I65&lt;&gt;"")),"",IF(($D65="")+($F65="")+($I65="")+($J65="")+IF(AND($J65="법인카드",$K65=""),1,0)=0,"✔ 완료","⚠ 누락 "&amp;($D65="")+($F65="")+($I65="")+($J65="")+IF(AND($J65="법인카드",$K65=""),1,0)&amp;"칸"))</f>
        <v/>
      </c>
    </row>
    <row r="66">
      <c r="A66" s="3">
        <f>IF(OR(B66="",D66="",E66=""),"",B66&amp;"-"&amp;TEXT(D66,"yyyymmdd")&amp;"-"&amp;TEXT(E66,"000"))</f>
        <v/>
      </c>
      <c r="B66" s="4">
        <f>IF(OR($D66&lt;&gt;"",$F66&lt;&gt;"",$G66&lt;&gt;"",$H66&lt;&gt;"",$I66&lt;&gt;""),"연구","")</f>
        <v/>
      </c>
      <c r="C66" s="4">
        <f>IF(OR($D66&lt;&gt;"",$F66&lt;&gt;"",$G66&lt;&gt;"",$H66&lt;&gt;"",$I66&lt;&gt;""),"연구팀","")</f>
        <v/>
      </c>
      <c r="D66" s="5" t="n"/>
      <c r="E66" s="6">
        <f>IF($D66="","",COUNTIF($D$2:$D66,$D66))</f>
        <v/>
      </c>
      <c r="F66" s="5" t="n"/>
      <c r="G66" s="4" t="n"/>
      <c r="H66" s="4" t="n"/>
      <c r="I66" s="7" t="n"/>
      <c r="J66" s="4" t="n"/>
      <c r="K66" s="4" t="n"/>
      <c r="L66" s="4">
        <f>IF(OR($G66&lt;&gt;"",$I66&lt;&gt;""),"확정","")</f>
        <v/>
      </c>
      <c r="M66" s="4">
        <f>IF(OR($G66&lt;&gt;"",$I66&lt;&gt;""),"신규","")</f>
        <v/>
      </c>
      <c r="N66" s="5">
        <f>IF($D66="","",$D66)</f>
        <v/>
      </c>
      <c r="O66" s="4" t="n"/>
      <c r="P66" s="3">
        <f>IF(NOT(OR($D66&lt;&gt;"",$F66&lt;&gt;"",$G66&lt;&gt;"",$H66&lt;&gt;"",$I66&lt;&gt;"")),"",IF(($D66="")+($F66="")+($I66="")+($J66="")+IF(AND($J66="법인카드",$K66=""),1,0)=0,"✔ 완료","⚠ 누락 "&amp;($D66="")+($F66="")+($I66="")+($J66="")+IF(AND($J66="법인카드",$K66=""),1,0)&amp;"칸"))</f>
        <v/>
      </c>
    </row>
    <row r="67">
      <c r="A67" s="3">
        <f>IF(OR(B67="",D67="",E67=""),"",B67&amp;"-"&amp;TEXT(D67,"yyyymmdd")&amp;"-"&amp;TEXT(E67,"000"))</f>
        <v/>
      </c>
      <c r="B67" s="4">
        <f>IF(OR($D67&lt;&gt;"",$F67&lt;&gt;"",$G67&lt;&gt;"",$H67&lt;&gt;"",$I67&lt;&gt;""),"연구","")</f>
        <v/>
      </c>
      <c r="C67" s="4">
        <f>IF(OR($D67&lt;&gt;"",$F67&lt;&gt;"",$G67&lt;&gt;"",$H67&lt;&gt;"",$I67&lt;&gt;""),"연구팀","")</f>
        <v/>
      </c>
      <c r="D67" s="5" t="n"/>
      <c r="E67" s="6">
        <f>IF($D67="","",COUNTIF($D$2:$D67,$D67))</f>
        <v/>
      </c>
      <c r="F67" s="5" t="n"/>
      <c r="G67" s="4" t="n"/>
      <c r="H67" s="4" t="n"/>
      <c r="I67" s="7" t="n"/>
      <c r="J67" s="4" t="n"/>
      <c r="K67" s="4" t="n"/>
      <c r="L67" s="4">
        <f>IF(OR($G67&lt;&gt;"",$I67&lt;&gt;""),"확정","")</f>
        <v/>
      </c>
      <c r="M67" s="4">
        <f>IF(OR($G67&lt;&gt;"",$I67&lt;&gt;""),"신규","")</f>
        <v/>
      </c>
      <c r="N67" s="5">
        <f>IF($D67="","",$D67)</f>
        <v/>
      </c>
      <c r="O67" s="4" t="n"/>
      <c r="P67" s="3">
        <f>IF(NOT(OR($D67&lt;&gt;"",$F67&lt;&gt;"",$G67&lt;&gt;"",$H67&lt;&gt;"",$I67&lt;&gt;"")),"",IF(($D67="")+($F67="")+($I67="")+($J67="")+IF(AND($J67="법인카드",$K67=""),1,0)=0,"✔ 완료","⚠ 누락 "&amp;($D67="")+($F67="")+($I67="")+($J67="")+IF(AND($J67="법인카드",$K67=""),1,0)&amp;"칸"))</f>
        <v/>
      </c>
    </row>
    <row r="68">
      <c r="A68" s="3">
        <f>IF(OR(B68="",D68="",E68=""),"",B68&amp;"-"&amp;TEXT(D68,"yyyymmdd")&amp;"-"&amp;TEXT(E68,"000"))</f>
        <v/>
      </c>
      <c r="B68" s="4">
        <f>IF(OR($D68&lt;&gt;"",$F68&lt;&gt;"",$G68&lt;&gt;"",$H68&lt;&gt;"",$I68&lt;&gt;""),"연구","")</f>
        <v/>
      </c>
      <c r="C68" s="4">
        <f>IF(OR($D68&lt;&gt;"",$F68&lt;&gt;"",$G68&lt;&gt;"",$H68&lt;&gt;"",$I68&lt;&gt;""),"연구팀","")</f>
        <v/>
      </c>
      <c r="D68" s="5" t="n"/>
      <c r="E68" s="6">
        <f>IF($D68="","",COUNTIF($D$2:$D68,$D68))</f>
        <v/>
      </c>
      <c r="F68" s="5" t="n"/>
      <c r="G68" s="4" t="n"/>
      <c r="H68" s="4" t="n"/>
      <c r="I68" s="7" t="n"/>
      <c r="J68" s="4" t="n"/>
      <c r="K68" s="4" t="n"/>
      <c r="L68" s="4">
        <f>IF(OR($G68&lt;&gt;"",$I68&lt;&gt;""),"확정","")</f>
        <v/>
      </c>
      <c r="M68" s="4">
        <f>IF(OR($G68&lt;&gt;"",$I68&lt;&gt;""),"신규","")</f>
        <v/>
      </c>
      <c r="N68" s="5">
        <f>IF($D68="","",$D68)</f>
        <v/>
      </c>
      <c r="O68" s="4" t="n"/>
      <c r="P68" s="3">
        <f>IF(NOT(OR($D68&lt;&gt;"",$F68&lt;&gt;"",$G68&lt;&gt;"",$H68&lt;&gt;"",$I68&lt;&gt;"")),"",IF(($D68="")+($F68="")+($I68="")+($J68="")+IF(AND($J68="법인카드",$K68=""),1,0)=0,"✔ 완료","⚠ 누락 "&amp;($D68="")+($F68="")+($I68="")+($J68="")+IF(AND($J68="법인카드",$K68=""),1,0)&amp;"칸"))</f>
        <v/>
      </c>
    </row>
    <row r="69">
      <c r="A69" s="3">
        <f>IF(OR(B69="",D69="",E69=""),"",B69&amp;"-"&amp;TEXT(D69,"yyyymmdd")&amp;"-"&amp;TEXT(E69,"000"))</f>
        <v/>
      </c>
      <c r="B69" s="4">
        <f>IF(OR($D69&lt;&gt;"",$F69&lt;&gt;"",$G69&lt;&gt;"",$H69&lt;&gt;"",$I69&lt;&gt;""),"연구","")</f>
        <v/>
      </c>
      <c r="C69" s="4">
        <f>IF(OR($D69&lt;&gt;"",$F69&lt;&gt;"",$G69&lt;&gt;"",$H69&lt;&gt;"",$I69&lt;&gt;""),"연구팀","")</f>
        <v/>
      </c>
      <c r="D69" s="5" t="n"/>
      <c r="E69" s="6">
        <f>IF($D69="","",COUNTIF($D$2:$D69,$D69))</f>
        <v/>
      </c>
      <c r="F69" s="5" t="n"/>
      <c r="G69" s="4" t="n"/>
      <c r="H69" s="4" t="n"/>
      <c r="I69" s="7" t="n"/>
      <c r="J69" s="4" t="n"/>
      <c r="K69" s="4" t="n"/>
      <c r="L69" s="4">
        <f>IF(OR($G69&lt;&gt;"",$I69&lt;&gt;""),"확정","")</f>
        <v/>
      </c>
      <c r="M69" s="4">
        <f>IF(OR($G69&lt;&gt;"",$I69&lt;&gt;""),"신규","")</f>
        <v/>
      </c>
      <c r="N69" s="5">
        <f>IF($D69="","",$D69)</f>
        <v/>
      </c>
      <c r="O69" s="4" t="n"/>
      <c r="P69" s="3">
        <f>IF(NOT(OR($D69&lt;&gt;"",$F69&lt;&gt;"",$G69&lt;&gt;"",$H69&lt;&gt;"",$I69&lt;&gt;"")),"",IF(($D69="")+($F69="")+($I69="")+($J69="")+IF(AND($J69="법인카드",$K69=""),1,0)=0,"✔ 완료","⚠ 누락 "&amp;($D69="")+($F69="")+($I69="")+($J69="")+IF(AND($J69="법인카드",$K69=""),1,0)&amp;"칸"))</f>
        <v/>
      </c>
    </row>
    <row r="70">
      <c r="A70" s="3">
        <f>IF(OR(B70="",D70="",E70=""),"",B70&amp;"-"&amp;TEXT(D70,"yyyymmdd")&amp;"-"&amp;TEXT(E70,"000"))</f>
        <v/>
      </c>
      <c r="B70" s="4">
        <f>IF(OR($D70&lt;&gt;"",$F70&lt;&gt;"",$G70&lt;&gt;"",$H70&lt;&gt;"",$I70&lt;&gt;""),"연구","")</f>
        <v/>
      </c>
      <c r="C70" s="4">
        <f>IF(OR($D70&lt;&gt;"",$F70&lt;&gt;"",$G70&lt;&gt;"",$H70&lt;&gt;"",$I70&lt;&gt;""),"연구팀","")</f>
        <v/>
      </c>
      <c r="D70" s="5" t="n"/>
      <c r="E70" s="6">
        <f>IF($D70="","",COUNTIF($D$2:$D70,$D70))</f>
        <v/>
      </c>
      <c r="F70" s="5" t="n"/>
      <c r="G70" s="4" t="n"/>
      <c r="H70" s="4" t="n"/>
      <c r="I70" s="7" t="n"/>
      <c r="J70" s="4" t="n"/>
      <c r="K70" s="4" t="n"/>
      <c r="L70" s="4">
        <f>IF(OR($G70&lt;&gt;"",$I70&lt;&gt;""),"확정","")</f>
        <v/>
      </c>
      <c r="M70" s="4">
        <f>IF(OR($G70&lt;&gt;"",$I70&lt;&gt;""),"신규","")</f>
        <v/>
      </c>
      <c r="N70" s="5">
        <f>IF($D70="","",$D70)</f>
        <v/>
      </c>
      <c r="O70" s="4" t="n"/>
      <c r="P70" s="3">
        <f>IF(NOT(OR($D70&lt;&gt;"",$F70&lt;&gt;"",$G70&lt;&gt;"",$H70&lt;&gt;"",$I70&lt;&gt;"")),"",IF(($D70="")+($F70="")+($I70="")+($J70="")+IF(AND($J70="법인카드",$K70=""),1,0)=0,"✔ 완료","⚠ 누락 "&amp;($D70="")+($F70="")+($I70="")+($J70="")+IF(AND($J70="법인카드",$K70=""),1,0)&amp;"칸"))</f>
        <v/>
      </c>
    </row>
    <row r="71">
      <c r="A71" s="3">
        <f>IF(OR(B71="",D71="",E71=""),"",B71&amp;"-"&amp;TEXT(D71,"yyyymmdd")&amp;"-"&amp;TEXT(E71,"000"))</f>
        <v/>
      </c>
      <c r="B71" s="4">
        <f>IF(OR($D71&lt;&gt;"",$F71&lt;&gt;"",$G71&lt;&gt;"",$H71&lt;&gt;"",$I71&lt;&gt;""),"연구","")</f>
        <v/>
      </c>
      <c r="C71" s="4">
        <f>IF(OR($D71&lt;&gt;"",$F71&lt;&gt;"",$G71&lt;&gt;"",$H71&lt;&gt;"",$I71&lt;&gt;""),"연구팀","")</f>
        <v/>
      </c>
      <c r="D71" s="5" t="n"/>
      <c r="E71" s="6">
        <f>IF($D71="","",COUNTIF($D$2:$D71,$D71))</f>
        <v/>
      </c>
      <c r="F71" s="5" t="n"/>
      <c r="G71" s="4" t="n"/>
      <c r="H71" s="4" t="n"/>
      <c r="I71" s="7" t="n"/>
      <c r="J71" s="4" t="n"/>
      <c r="K71" s="4" t="n"/>
      <c r="L71" s="4">
        <f>IF(OR($G71&lt;&gt;"",$I71&lt;&gt;""),"확정","")</f>
        <v/>
      </c>
      <c r="M71" s="4">
        <f>IF(OR($G71&lt;&gt;"",$I71&lt;&gt;""),"신규","")</f>
        <v/>
      </c>
      <c r="N71" s="5">
        <f>IF($D71="","",$D71)</f>
        <v/>
      </c>
      <c r="O71" s="4" t="n"/>
      <c r="P71" s="3">
        <f>IF(NOT(OR($D71&lt;&gt;"",$F71&lt;&gt;"",$G71&lt;&gt;"",$H71&lt;&gt;"",$I71&lt;&gt;"")),"",IF(($D71="")+($F71="")+($I71="")+($J71="")+IF(AND($J71="법인카드",$K71=""),1,0)=0,"✔ 완료","⚠ 누락 "&amp;($D71="")+($F71="")+($I71="")+($J71="")+IF(AND($J71="법인카드",$K71=""),1,0)&amp;"칸"))</f>
        <v/>
      </c>
    </row>
    <row r="72">
      <c r="A72" s="3">
        <f>IF(OR(B72="",D72="",E72=""),"",B72&amp;"-"&amp;TEXT(D72,"yyyymmdd")&amp;"-"&amp;TEXT(E72,"000"))</f>
        <v/>
      </c>
      <c r="B72" s="4">
        <f>IF(OR($D72&lt;&gt;"",$F72&lt;&gt;"",$G72&lt;&gt;"",$H72&lt;&gt;"",$I72&lt;&gt;""),"연구","")</f>
        <v/>
      </c>
      <c r="C72" s="4">
        <f>IF(OR($D72&lt;&gt;"",$F72&lt;&gt;"",$G72&lt;&gt;"",$H72&lt;&gt;"",$I72&lt;&gt;""),"연구팀","")</f>
        <v/>
      </c>
      <c r="D72" s="5" t="n"/>
      <c r="E72" s="6">
        <f>IF($D72="","",COUNTIF($D$2:$D72,$D72))</f>
        <v/>
      </c>
      <c r="F72" s="5" t="n"/>
      <c r="G72" s="4" t="n"/>
      <c r="H72" s="4" t="n"/>
      <c r="I72" s="7" t="n"/>
      <c r="J72" s="4" t="n"/>
      <c r="K72" s="4" t="n"/>
      <c r="L72" s="4">
        <f>IF(OR($G72&lt;&gt;"",$I72&lt;&gt;""),"확정","")</f>
        <v/>
      </c>
      <c r="M72" s="4">
        <f>IF(OR($G72&lt;&gt;"",$I72&lt;&gt;""),"신규","")</f>
        <v/>
      </c>
      <c r="N72" s="5">
        <f>IF($D72="","",$D72)</f>
        <v/>
      </c>
      <c r="O72" s="4" t="n"/>
      <c r="P72" s="3">
        <f>IF(NOT(OR($D72&lt;&gt;"",$F72&lt;&gt;"",$G72&lt;&gt;"",$H72&lt;&gt;"",$I72&lt;&gt;"")),"",IF(($D72="")+($F72="")+($I72="")+($J72="")+IF(AND($J72="법인카드",$K72=""),1,0)=0,"✔ 완료","⚠ 누락 "&amp;($D72="")+($F72="")+($I72="")+($J72="")+IF(AND($J72="법인카드",$K72=""),1,0)&amp;"칸"))</f>
        <v/>
      </c>
    </row>
    <row r="73">
      <c r="A73" s="3">
        <f>IF(OR(B73="",D73="",E73=""),"",B73&amp;"-"&amp;TEXT(D73,"yyyymmdd")&amp;"-"&amp;TEXT(E73,"000"))</f>
        <v/>
      </c>
      <c r="B73" s="4">
        <f>IF(OR($D73&lt;&gt;"",$F73&lt;&gt;"",$G73&lt;&gt;"",$H73&lt;&gt;"",$I73&lt;&gt;""),"연구","")</f>
        <v/>
      </c>
      <c r="C73" s="4">
        <f>IF(OR($D73&lt;&gt;"",$F73&lt;&gt;"",$G73&lt;&gt;"",$H73&lt;&gt;"",$I73&lt;&gt;""),"연구팀","")</f>
        <v/>
      </c>
      <c r="D73" s="5" t="n"/>
      <c r="E73" s="6">
        <f>IF($D73="","",COUNTIF($D$2:$D73,$D73))</f>
        <v/>
      </c>
      <c r="F73" s="5" t="n"/>
      <c r="G73" s="4" t="n"/>
      <c r="H73" s="4" t="n"/>
      <c r="I73" s="7" t="n"/>
      <c r="J73" s="4" t="n"/>
      <c r="K73" s="4" t="n"/>
      <c r="L73" s="4">
        <f>IF(OR($G73&lt;&gt;"",$I73&lt;&gt;""),"확정","")</f>
        <v/>
      </c>
      <c r="M73" s="4">
        <f>IF(OR($G73&lt;&gt;"",$I73&lt;&gt;""),"신규","")</f>
        <v/>
      </c>
      <c r="N73" s="5">
        <f>IF($D73="","",$D73)</f>
        <v/>
      </c>
      <c r="O73" s="4" t="n"/>
      <c r="P73" s="3">
        <f>IF(NOT(OR($D73&lt;&gt;"",$F73&lt;&gt;"",$G73&lt;&gt;"",$H73&lt;&gt;"",$I73&lt;&gt;"")),"",IF(($D73="")+($F73="")+($I73="")+($J73="")+IF(AND($J73="법인카드",$K73=""),1,0)=0,"✔ 완료","⚠ 누락 "&amp;($D73="")+($F73="")+($I73="")+($J73="")+IF(AND($J73="법인카드",$K73=""),1,0)&amp;"칸"))</f>
        <v/>
      </c>
    </row>
    <row r="74">
      <c r="A74" s="3">
        <f>IF(OR(B74="",D74="",E74=""),"",B74&amp;"-"&amp;TEXT(D74,"yyyymmdd")&amp;"-"&amp;TEXT(E74,"000"))</f>
        <v/>
      </c>
      <c r="B74" s="4">
        <f>IF(OR($D74&lt;&gt;"",$F74&lt;&gt;"",$G74&lt;&gt;"",$H74&lt;&gt;"",$I74&lt;&gt;""),"연구","")</f>
        <v/>
      </c>
      <c r="C74" s="4">
        <f>IF(OR($D74&lt;&gt;"",$F74&lt;&gt;"",$G74&lt;&gt;"",$H74&lt;&gt;"",$I74&lt;&gt;""),"연구팀","")</f>
        <v/>
      </c>
      <c r="D74" s="5" t="n"/>
      <c r="E74" s="6">
        <f>IF($D74="","",COUNTIF($D$2:$D74,$D74))</f>
        <v/>
      </c>
      <c r="F74" s="5" t="n"/>
      <c r="G74" s="4" t="n"/>
      <c r="H74" s="4" t="n"/>
      <c r="I74" s="7" t="n"/>
      <c r="J74" s="4" t="n"/>
      <c r="K74" s="4" t="n"/>
      <c r="L74" s="4">
        <f>IF(OR($G74&lt;&gt;"",$I74&lt;&gt;""),"확정","")</f>
        <v/>
      </c>
      <c r="M74" s="4">
        <f>IF(OR($G74&lt;&gt;"",$I74&lt;&gt;""),"신규","")</f>
        <v/>
      </c>
      <c r="N74" s="5">
        <f>IF($D74="","",$D74)</f>
        <v/>
      </c>
      <c r="O74" s="4" t="n"/>
      <c r="P74" s="3">
        <f>IF(NOT(OR($D74&lt;&gt;"",$F74&lt;&gt;"",$G74&lt;&gt;"",$H74&lt;&gt;"",$I74&lt;&gt;"")),"",IF(($D74="")+($F74="")+($I74="")+($J74="")+IF(AND($J74="법인카드",$K74=""),1,0)=0,"✔ 완료","⚠ 누락 "&amp;($D74="")+($F74="")+($I74="")+($J74="")+IF(AND($J74="법인카드",$K74=""),1,0)&amp;"칸"))</f>
        <v/>
      </c>
    </row>
    <row r="75">
      <c r="A75" s="3">
        <f>IF(OR(B75="",D75="",E75=""),"",B75&amp;"-"&amp;TEXT(D75,"yyyymmdd")&amp;"-"&amp;TEXT(E75,"000"))</f>
        <v/>
      </c>
      <c r="B75" s="4">
        <f>IF(OR($D75&lt;&gt;"",$F75&lt;&gt;"",$G75&lt;&gt;"",$H75&lt;&gt;"",$I75&lt;&gt;""),"연구","")</f>
        <v/>
      </c>
      <c r="C75" s="4">
        <f>IF(OR($D75&lt;&gt;"",$F75&lt;&gt;"",$G75&lt;&gt;"",$H75&lt;&gt;"",$I75&lt;&gt;""),"연구팀","")</f>
        <v/>
      </c>
      <c r="D75" s="5" t="n"/>
      <c r="E75" s="6">
        <f>IF($D75="","",COUNTIF($D$2:$D75,$D75))</f>
        <v/>
      </c>
      <c r="F75" s="5" t="n"/>
      <c r="G75" s="4" t="n"/>
      <c r="H75" s="4" t="n"/>
      <c r="I75" s="7" t="n"/>
      <c r="J75" s="4" t="n"/>
      <c r="K75" s="4" t="n"/>
      <c r="L75" s="4">
        <f>IF(OR($G75&lt;&gt;"",$I75&lt;&gt;""),"확정","")</f>
        <v/>
      </c>
      <c r="M75" s="4">
        <f>IF(OR($G75&lt;&gt;"",$I75&lt;&gt;""),"신규","")</f>
        <v/>
      </c>
      <c r="N75" s="5">
        <f>IF($D75="","",$D75)</f>
        <v/>
      </c>
      <c r="O75" s="4" t="n"/>
      <c r="P75" s="3">
        <f>IF(NOT(OR($D75&lt;&gt;"",$F75&lt;&gt;"",$G75&lt;&gt;"",$H75&lt;&gt;"",$I75&lt;&gt;"")),"",IF(($D75="")+($F75="")+($I75="")+($J75="")+IF(AND($J75="법인카드",$K75=""),1,0)=0,"✔ 완료","⚠ 누락 "&amp;($D75="")+($F75="")+($I75="")+($J75="")+IF(AND($J75="법인카드",$K75=""),1,0)&amp;"칸"))</f>
        <v/>
      </c>
    </row>
    <row r="76">
      <c r="A76" s="3">
        <f>IF(OR(B76="",D76="",E76=""),"",B76&amp;"-"&amp;TEXT(D76,"yyyymmdd")&amp;"-"&amp;TEXT(E76,"000"))</f>
        <v/>
      </c>
      <c r="B76" s="4">
        <f>IF(OR($D76&lt;&gt;"",$F76&lt;&gt;"",$G76&lt;&gt;"",$H76&lt;&gt;"",$I76&lt;&gt;""),"연구","")</f>
        <v/>
      </c>
      <c r="C76" s="4">
        <f>IF(OR($D76&lt;&gt;"",$F76&lt;&gt;"",$G76&lt;&gt;"",$H76&lt;&gt;"",$I76&lt;&gt;""),"연구팀","")</f>
        <v/>
      </c>
      <c r="D76" s="5" t="n"/>
      <c r="E76" s="6">
        <f>IF($D76="","",COUNTIF($D$2:$D76,$D76))</f>
        <v/>
      </c>
      <c r="F76" s="5" t="n"/>
      <c r="G76" s="4" t="n"/>
      <c r="H76" s="4" t="n"/>
      <c r="I76" s="7" t="n"/>
      <c r="J76" s="4" t="n"/>
      <c r="K76" s="4" t="n"/>
      <c r="L76" s="4">
        <f>IF(OR($G76&lt;&gt;"",$I76&lt;&gt;""),"확정","")</f>
        <v/>
      </c>
      <c r="M76" s="4">
        <f>IF(OR($G76&lt;&gt;"",$I76&lt;&gt;""),"신규","")</f>
        <v/>
      </c>
      <c r="N76" s="5">
        <f>IF($D76="","",$D76)</f>
        <v/>
      </c>
      <c r="O76" s="4" t="n"/>
      <c r="P76" s="3">
        <f>IF(NOT(OR($D76&lt;&gt;"",$F76&lt;&gt;"",$G76&lt;&gt;"",$H76&lt;&gt;"",$I76&lt;&gt;"")),"",IF(($D76="")+($F76="")+($I76="")+($J76="")+IF(AND($J76="법인카드",$K76=""),1,0)=0,"✔ 완료","⚠ 누락 "&amp;($D76="")+($F76="")+($I76="")+($J76="")+IF(AND($J76="법인카드",$K76=""),1,0)&amp;"칸"))</f>
        <v/>
      </c>
    </row>
    <row r="77">
      <c r="A77" s="3">
        <f>IF(OR(B77="",D77="",E77=""),"",B77&amp;"-"&amp;TEXT(D77,"yyyymmdd")&amp;"-"&amp;TEXT(E77,"000"))</f>
        <v/>
      </c>
      <c r="B77" s="4">
        <f>IF(OR($D77&lt;&gt;"",$F77&lt;&gt;"",$G77&lt;&gt;"",$H77&lt;&gt;"",$I77&lt;&gt;""),"연구","")</f>
        <v/>
      </c>
      <c r="C77" s="4">
        <f>IF(OR($D77&lt;&gt;"",$F77&lt;&gt;"",$G77&lt;&gt;"",$H77&lt;&gt;"",$I77&lt;&gt;""),"연구팀","")</f>
        <v/>
      </c>
      <c r="D77" s="5" t="n"/>
      <c r="E77" s="6">
        <f>IF($D77="","",COUNTIF($D$2:$D77,$D77))</f>
        <v/>
      </c>
      <c r="F77" s="5" t="n"/>
      <c r="G77" s="4" t="n"/>
      <c r="H77" s="4" t="n"/>
      <c r="I77" s="7" t="n"/>
      <c r="J77" s="4" t="n"/>
      <c r="K77" s="4" t="n"/>
      <c r="L77" s="4">
        <f>IF(OR($G77&lt;&gt;"",$I77&lt;&gt;""),"확정","")</f>
        <v/>
      </c>
      <c r="M77" s="4">
        <f>IF(OR($G77&lt;&gt;"",$I77&lt;&gt;""),"신규","")</f>
        <v/>
      </c>
      <c r="N77" s="5">
        <f>IF($D77="","",$D77)</f>
        <v/>
      </c>
      <c r="O77" s="4" t="n"/>
      <c r="P77" s="3">
        <f>IF(NOT(OR($D77&lt;&gt;"",$F77&lt;&gt;"",$G77&lt;&gt;"",$H77&lt;&gt;"",$I77&lt;&gt;"")),"",IF(($D77="")+($F77="")+($I77="")+($J77="")+IF(AND($J77="법인카드",$K77=""),1,0)=0,"✔ 완료","⚠ 누락 "&amp;($D77="")+($F77="")+($I77="")+($J77="")+IF(AND($J77="법인카드",$K77=""),1,0)&amp;"칸"))</f>
        <v/>
      </c>
    </row>
    <row r="78">
      <c r="A78" s="3">
        <f>IF(OR(B78="",D78="",E78=""),"",B78&amp;"-"&amp;TEXT(D78,"yyyymmdd")&amp;"-"&amp;TEXT(E78,"000"))</f>
        <v/>
      </c>
      <c r="B78" s="4">
        <f>IF(OR($D78&lt;&gt;"",$F78&lt;&gt;"",$G78&lt;&gt;"",$H78&lt;&gt;"",$I78&lt;&gt;""),"연구","")</f>
        <v/>
      </c>
      <c r="C78" s="4">
        <f>IF(OR($D78&lt;&gt;"",$F78&lt;&gt;"",$G78&lt;&gt;"",$H78&lt;&gt;"",$I78&lt;&gt;""),"연구팀","")</f>
        <v/>
      </c>
      <c r="D78" s="5" t="n"/>
      <c r="E78" s="6">
        <f>IF($D78="","",COUNTIF($D$2:$D78,$D78))</f>
        <v/>
      </c>
      <c r="F78" s="5" t="n"/>
      <c r="G78" s="4" t="n"/>
      <c r="H78" s="4" t="n"/>
      <c r="I78" s="7" t="n"/>
      <c r="J78" s="4" t="n"/>
      <c r="K78" s="4" t="n"/>
      <c r="L78" s="4">
        <f>IF(OR($G78&lt;&gt;"",$I78&lt;&gt;""),"확정","")</f>
        <v/>
      </c>
      <c r="M78" s="4">
        <f>IF(OR($G78&lt;&gt;"",$I78&lt;&gt;""),"신규","")</f>
        <v/>
      </c>
      <c r="N78" s="5">
        <f>IF($D78="","",$D78)</f>
        <v/>
      </c>
      <c r="O78" s="4" t="n"/>
      <c r="P78" s="3">
        <f>IF(NOT(OR($D78&lt;&gt;"",$F78&lt;&gt;"",$G78&lt;&gt;"",$H78&lt;&gt;"",$I78&lt;&gt;"")),"",IF(($D78="")+($F78="")+($I78="")+($J78="")+IF(AND($J78="법인카드",$K78=""),1,0)=0,"✔ 완료","⚠ 누락 "&amp;($D78="")+($F78="")+($I78="")+($J78="")+IF(AND($J78="법인카드",$K78=""),1,0)&amp;"칸"))</f>
        <v/>
      </c>
    </row>
    <row r="79">
      <c r="A79" s="3">
        <f>IF(OR(B79="",D79="",E79=""),"",B79&amp;"-"&amp;TEXT(D79,"yyyymmdd")&amp;"-"&amp;TEXT(E79,"000"))</f>
        <v/>
      </c>
      <c r="B79" s="4">
        <f>IF(OR($D79&lt;&gt;"",$F79&lt;&gt;"",$G79&lt;&gt;"",$H79&lt;&gt;"",$I79&lt;&gt;""),"연구","")</f>
        <v/>
      </c>
      <c r="C79" s="4">
        <f>IF(OR($D79&lt;&gt;"",$F79&lt;&gt;"",$G79&lt;&gt;"",$H79&lt;&gt;"",$I79&lt;&gt;""),"연구팀","")</f>
        <v/>
      </c>
      <c r="D79" s="5" t="n"/>
      <c r="E79" s="6">
        <f>IF($D79="","",COUNTIF($D$2:$D79,$D79))</f>
        <v/>
      </c>
      <c r="F79" s="5" t="n"/>
      <c r="G79" s="4" t="n"/>
      <c r="H79" s="4" t="n"/>
      <c r="I79" s="7" t="n"/>
      <c r="J79" s="4" t="n"/>
      <c r="K79" s="4" t="n"/>
      <c r="L79" s="4">
        <f>IF(OR($G79&lt;&gt;"",$I79&lt;&gt;""),"확정","")</f>
        <v/>
      </c>
      <c r="M79" s="4">
        <f>IF(OR($G79&lt;&gt;"",$I79&lt;&gt;""),"신규","")</f>
        <v/>
      </c>
      <c r="N79" s="5">
        <f>IF($D79="","",$D79)</f>
        <v/>
      </c>
      <c r="O79" s="4" t="n"/>
      <c r="P79" s="3">
        <f>IF(NOT(OR($D79&lt;&gt;"",$F79&lt;&gt;"",$G79&lt;&gt;"",$H79&lt;&gt;"",$I79&lt;&gt;"")),"",IF(($D79="")+($F79="")+($I79="")+($J79="")+IF(AND($J79="법인카드",$K79=""),1,0)=0,"✔ 완료","⚠ 누락 "&amp;($D79="")+($F79="")+($I79="")+($J79="")+IF(AND($J79="법인카드",$K79=""),1,0)&amp;"칸"))</f>
        <v/>
      </c>
    </row>
    <row r="80">
      <c r="A80" s="3">
        <f>IF(OR(B80="",D80="",E80=""),"",B80&amp;"-"&amp;TEXT(D80,"yyyymmdd")&amp;"-"&amp;TEXT(E80,"000"))</f>
        <v/>
      </c>
      <c r="B80" s="4">
        <f>IF(OR($D80&lt;&gt;"",$F80&lt;&gt;"",$G80&lt;&gt;"",$H80&lt;&gt;"",$I80&lt;&gt;""),"연구","")</f>
        <v/>
      </c>
      <c r="C80" s="4">
        <f>IF(OR($D80&lt;&gt;"",$F80&lt;&gt;"",$G80&lt;&gt;"",$H80&lt;&gt;"",$I80&lt;&gt;""),"연구팀","")</f>
        <v/>
      </c>
      <c r="D80" s="5" t="n"/>
      <c r="E80" s="6">
        <f>IF($D80="","",COUNTIF($D$2:$D80,$D80))</f>
        <v/>
      </c>
      <c r="F80" s="5" t="n"/>
      <c r="G80" s="4" t="n"/>
      <c r="H80" s="4" t="n"/>
      <c r="I80" s="7" t="n"/>
      <c r="J80" s="4" t="n"/>
      <c r="K80" s="4" t="n"/>
      <c r="L80" s="4">
        <f>IF(OR($G80&lt;&gt;"",$I80&lt;&gt;""),"확정","")</f>
        <v/>
      </c>
      <c r="M80" s="4">
        <f>IF(OR($G80&lt;&gt;"",$I80&lt;&gt;""),"신규","")</f>
        <v/>
      </c>
      <c r="N80" s="5">
        <f>IF($D80="","",$D80)</f>
        <v/>
      </c>
      <c r="O80" s="4" t="n"/>
      <c r="P80" s="3">
        <f>IF(NOT(OR($D80&lt;&gt;"",$F80&lt;&gt;"",$G80&lt;&gt;"",$H80&lt;&gt;"",$I80&lt;&gt;"")),"",IF(($D80="")+($F80="")+($I80="")+($J80="")+IF(AND($J80="법인카드",$K80=""),1,0)=0,"✔ 완료","⚠ 누락 "&amp;($D80="")+($F80="")+($I80="")+($J80="")+IF(AND($J80="법인카드",$K80=""),1,0)&amp;"칸"))</f>
        <v/>
      </c>
    </row>
    <row r="81">
      <c r="A81" s="3">
        <f>IF(OR(B81="",D81="",E81=""),"",B81&amp;"-"&amp;TEXT(D81,"yyyymmdd")&amp;"-"&amp;TEXT(E81,"000"))</f>
        <v/>
      </c>
      <c r="B81" s="4">
        <f>IF(OR($D81&lt;&gt;"",$F81&lt;&gt;"",$G81&lt;&gt;"",$H81&lt;&gt;"",$I81&lt;&gt;""),"연구","")</f>
        <v/>
      </c>
      <c r="C81" s="4">
        <f>IF(OR($D81&lt;&gt;"",$F81&lt;&gt;"",$G81&lt;&gt;"",$H81&lt;&gt;"",$I81&lt;&gt;""),"연구팀","")</f>
        <v/>
      </c>
      <c r="D81" s="5" t="n"/>
      <c r="E81" s="6">
        <f>IF($D81="","",COUNTIF($D$2:$D81,$D81))</f>
        <v/>
      </c>
      <c r="F81" s="5" t="n"/>
      <c r="G81" s="4" t="n"/>
      <c r="H81" s="4" t="n"/>
      <c r="I81" s="7" t="n"/>
      <c r="J81" s="4" t="n"/>
      <c r="K81" s="4" t="n"/>
      <c r="L81" s="4">
        <f>IF(OR($G81&lt;&gt;"",$I81&lt;&gt;""),"확정","")</f>
        <v/>
      </c>
      <c r="M81" s="4">
        <f>IF(OR($G81&lt;&gt;"",$I81&lt;&gt;""),"신규","")</f>
        <v/>
      </c>
      <c r="N81" s="5">
        <f>IF($D81="","",$D81)</f>
        <v/>
      </c>
      <c r="O81" s="4" t="n"/>
      <c r="P81" s="3">
        <f>IF(NOT(OR($D81&lt;&gt;"",$F81&lt;&gt;"",$G81&lt;&gt;"",$H81&lt;&gt;"",$I81&lt;&gt;"")),"",IF(($D81="")+($F81="")+($I81="")+($J81="")+IF(AND($J81="법인카드",$K81=""),1,0)=0,"✔ 완료","⚠ 누락 "&amp;($D81="")+($F81="")+($I81="")+($J81="")+IF(AND($J81="법인카드",$K81=""),1,0)&amp;"칸"))</f>
        <v/>
      </c>
    </row>
    <row r="82">
      <c r="A82" s="3">
        <f>IF(OR(B82="",D82="",E82=""),"",B82&amp;"-"&amp;TEXT(D82,"yyyymmdd")&amp;"-"&amp;TEXT(E82,"000"))</f>
        <v/>
      </c>
      <c r="B82" s="4">
        <f>IF(OR($D82&lt;&gt;"",$F82&lt;&gt;"",$G82&lt;&gt;"",$H82&lt;&gt;"",$I82&lt;&gt;""),"연구","")</f>
        <v/>
      </c>
      <c r="C82" s="4">
        <f>IF(OR($D82&lt;&gt;"",$F82&lt;&gt;"",$G82&lt;&gt;"",$H82&lt;&gt;"",$I82&lt;&gt;""),"연구팀","")</f>
        <v/>
      </c>
      <c r="D82" s="5" t="n"/>
      <c r="E82" s="6">
        <f>IF($D82="","",COUNTIF($D$2:$D82,$D82))</f>
        <v/>
      </c>
      <c r="F82" s="5" t="n"/>
      <c r="G82" s="4" t="n"/>
      <c r="H82" s="4" t="n"/>
      <c r="I82" s="7" t="n"/>
      <c r="J82" s="4" t="n"/>
      <c r="K82" s="4" t="n"/>
      <c r="L82" s="4">
        <f>IF(OR($G82&lt;&gt;"",$I82&lt;&gt;""),"확정","")</f>
        <v/>
      </c>
      <c r="M82" s="4">
        <f>IF(OR($G82&lt;&gt;"",$I82&lt;&gt;""),"신규","")</f>
        <v/>
      </c>
      <c r="N82" s="5">
        <f>IF($D82="","",$D82)</f>
        <v/>
      </c>
      <c r="O82" s="4" t="n"/>
      <c r="P82" s="3">
        <f>IF(NOT(OR($D82&lt;&gt;"",$F82&lt;&gt;"",$G82&lt;&gt;"",$H82&lt;&gt;"",$I82&lt;&gt;"")),"",IF(($D82="")+($F82="")+($I82="")+($J82="")+IF(AND($J82="법인카드",$K82=""),1,0)=0,"✔ 완료","⚠ 누락 "&amp;($D82="")+($F82="")+($I82="")+($J82="")+IF(AND($J82="법인카드",$K82=""),1,0)&amp;"칸"))</f>
        <v/>
      </c>
    </row>
    <row r="83">
      <c r="A83" s="3">
        <f>IF(OR(B83="",D83="",E83=""),"",B83&amp;"-"&amp;TEXT(D83,"yyyymmdd")&amp;"-"&amp;TEXT(E83,"000"))</f>
        <v/>
      </c>
      <c r="B83" s="4">
        <f>IF(OR($D83&lt;&gt;"",$F83&lt;&gt;"",$G83&lt;&gt;"",$H83&lt;&gt;"",$I83&lt;&gt;""),"연구","")</f>
        <v/>
      </c>
      <c r="C83" s="4">
        <f>IF(OR($D83&lt;&gt;"",$F83&lt;&gt;"",$G83&lt;&gt;"",$H83&lt;&gt;"",$I83&lt;&gt;""),"연구팀","")</f>
        <v/>
      </c>
      <c r="D83" s="5" t="n"/>
      <c r="E83" s="6">
        <f>IF($D83="","",COUNTIF($D$2:$D83,$D83))</f>
        <v/>
      </c>
      <c r="F83" s="5" t="n"/>
      <c r="G83" s="4" t="n"/>
      <c r="H83" s="4" t="n"/>
      <c r="I83" s="7" t="n"/>
      <c r="J83" s="4" t="n"/>
      <c r="K83" s="4" t="n"/>
      <c r="L83" s="4">
        <f>IF(OR($G83&lt;&gt;"",$I83&lt;&gt;""),"확정","")</f>
        <v/>
      </c>
      <c r="M83" s="4">
        <f>IF(OR($G83&lt;&gt;"",$I83&lt;&gt;""),"신규","")</f>
        <v/>
      </c>
      <c r="N83" s="5">
        <f>IF($D83="","",$D83)</f>
        <v/>
      </c>
      <c r="O83" s="4" t="n"/>
      <c r="P83" s="3">
        <f>IF(NOT(OR($D83&lt;&gt;"",$F83&lt;&gt;"",$G83&lt;&gt;"",$H83&lt;&gt;"",$I83&lt;&gt;"")),"",IF(($D83="")+($F83="")+($I83="")+($J83="")+IF(AND($J83="법인카드",$K83=""),1,0)=0,"✔ 완료","⚠ 누락 "&amp;($D83="")+($F83="")+($I83="")+($J83="")+IF(AND($J83="법인카드",$K83=""),1,0)&amp;"칸"))</f>
        <v/>
      </c>
    </row>
    <row r="84">
      <c r="A84" s="3">
        <f>IF(OR(B84="",D84="",E84=""),"",B84&amp;"-"&amp;TEXT(D84,"yyyymmdd")&amp;"-"&amp;TEXT(E84,"000"))</f>
        <v/>
      </c>
      <c r="B84" s="4">
        <f>IF(OR($D84&lt;&gt;"",$F84&lt;&gt;"",$G84&lt;&gt;"",$H84&lt;&gt;"",$I84&lt;&gt;""),"연구","")</f>
        <v/>
      </c>
      <c r="C84" s="4">
        <f>IF(OR($D84&lt;&gt;"",$F84&lt;&gt;"",$G84&lt;&gt;"",$H84&lt;&gt;"",$I84&lt;&gt;""),"연구팀","")</f>
        <v/>
      </c>
      <c r="D84" s="5" t="n"/>
      <c r="E84" s="6">
        <f>IF($D84="","",COUNTIF($D$2:$D84,$D84))</f>
        <v/>
      </c>
      <c r="F84" s="5" t="n"/>
      <c r="G84" s="4" t="n"/>
      <c r="H84" s="4" t="n"/>
      <c r="I84" s="7" t="n"/>
      <c r="J84" s="4" t="n"/>
      <c r="K84" s="4" t="n"/>
      <c r="L84" s="4">
        <f>IF(OR($G84&lt;&gt;"",$I84&lt;&gt;""),"확정","")</f>
        <v/>
      </c>
      <c r="M84" s="4">
        <f>IF(OR($G84&lt;&gt;"",$I84&lt;&gt;""),"신규","")</f>
        <v/>
      </c>
      <c r="N84" s="5">
        <f>IF($D84="","",$D84)</f>
        <v/>
      </c>
      <c r="O84" s="4" t="n"/>
      <c r="P84" s="3">
        <f>IF(NOT(OR($D84&lt;&gt;"",$F84&lt;&gt;"",$G84&lt;&gt;"",$H84&lt;&gt;"",$I84&lt;&gt;"")),"",IF(($D84="")+($F84="")+($I84="")+($J84="")+IF(AND($J84="법인카드",$K84=""),1,0)=0,"✔ 완료","⚠ 누락 "&amp;($D84="")+($F84="")+($I84="")+($J84="")+IF(AND($J84="법인카드",$K84=""),1,0)&amp;"칸"))</f>
        <v/>
      </c>
    </row>
    <row r="85">
      <c r="A85" s="3">
        <f>IF(OR(B85="",D85="",E85=""),"",B85&amp;"-"&amp;TEXT(D85,"yyyymmdd")&amp;"-"&amp;TEXT(E85,"000"))</f>
        <v/>
      </c>
      <c r="B85" s="4">
        <f>IF(OR($D85&lt;&gt;"",$F85&lt;&gt;"",$G85&lt;&gt;"",$H85&lt;&gt;"",$I85&lt;&gt;""),"연구","")</f>
        <v/>
      </c>
      <c r="C85" s="4">
        <f>IF(OR($D85&lt;&gt;"",$F85&lt;&gt;"",$G85&lt;&gt;"",$H85&lt;&gt;"",$I85&lt;&gt;""),"연구팀","")</f>
        <v/>
      </c>
      <c r="D85" s="5" t="n"/>
      <c r="E85" s="6">
        <f>IF($D85="","",COUNTIF($D$2:$D85,$D85))</f>
        <v/>
      </c>
      <c r="F85" s="5" t="n"/>
      <c r="G85" s="4" t="n"/>
      <c r="H85" s="4" t="n"/>
      <c r="I85" s="7" t="n"/>
      <c r="J85" s="4" t="n"/>
      <c r="K85" s="4" t="n"/>
      <c r="L85" s="4">
        <f>IF(OR($G85&lt;&gt;"",$I85&lt;&gt;""),"확정","")</f>
        <v/>
      </c>
      <c r="M85" s="4">
        <f>IF(OR($G85&lt;&gt;"",$I85&lt;&gt;""),"신규","")</f>
        <v/>
      </c>
      <c r="N85" s="5">
        <f>IF($D85="","",$D85)</f>
        <v/>
      </c>
      <c r="O85" s="4" t="n"/>
      <c r="P85" s="3">
        <f>IF(NOT(OR($D85&lt;&gt;"",$F85&lt;&gt;"",$G85&lt;&gt;"",$H85&lt;&gt;"",$I85&lt;&gt;"")),"",IF(($D85="")+($F85="")+($I85="")+($J85="")+IF(AND($J85="법인카드",$K85=""),1,0)=0,"✔ 완료","⚠ 누락 "&amp;($D85="")+($F85="")+($I85="")+($J85="")+IF(AND($J85="법인카드",$K85=""),1,0)&amp;"칸"))</f>
        <v/>
      </c>
    </row>
    <row r="86">
      <c r="A86" s="3">
        <f>IF(OR(B86="",D86="",E86=""),"",B86&amp;"-"&amp;TEXT(D86,"yyyymmdd")&amp;"-"&amp;TEXT(E86,"000"))</f>
        <v/>
      </c>
      <c r="B86" s="4">
        <f>IF(OR($D86&lt;&gt;"",$F86&lt;&gt;"",$G86&lt;&gt;"",$H86&lt;&gt;"",$I86&lt;&gt;""),"연구","")</f>
        <v/>
      </c>
      <c r="C86" s="4">
        <f>IF(OR($D86&lt;&gt;"",$F86&lt;&gt;"",$G86&lt;&gt;"",$H86&lt;&gt;"",$I86&lt;&gt;""),"연구팀","")</f>
        <v/>
      </c>
      <c r="D86" s="5" t="n"/>
      <c r="E86" s="6">
        <f>IF($D86="","",COUNTIF($D$2:$D86,$D86))</f>
        <v/>
      </c>
      <c r="F86" s="5" t="n"/>
      <c r="G86" s="4" t="n"/>
      <c r="H86" s="4" t="n"/>
      <c r="I86" s="7" t="n"/>
      <c r="J86" s="4" t="n"/>
      <c r="K86" s="4" t="n"/>
      <c r="L86" s="4">
        <f>IF(OR($G86&lt;&gt;"",$I86&lt;&gt;""),"확정","")</f>
        <v/>
      </c>
      <c r="M86" s="4">
        <f>IF(OR($G86&lt;&gt;"",$I86&lt;&gt;""),"신규","")</f>
        <v/>
      </c>
      <c r="N86" s="5">
        <f>IF($D86="","",$D86)</f>
        <v/>
      </c>
      <c r="O86" s="4" t="n"/>
      <c r="P86" s="3">
        <f>IF(NOT(OR($D86&lt;&gt;"",$F86&lt;&gt;"",$G86&lt;&gt;"",$H86&lt;&gt;"",$I86&lt;&gt;"")),"",IF(($D86="")+($F86="")+($I86="")+($J86="")+IF(AND($J86="법인카드",$K86=""),1,0)=0,"✔ 완료","⚠ 누락 "&amp;($D86="")+($F86="")+($I86="")+($J86="")+IF(AND($J86="법인카드",$K86=""),1,0)&amp;"칸"))</f>
        <v/>
      </c>
    </row>
    <row r="87">
      <c r="A87" s="3">
        <f>IF(OR(B87="",D87="",E87=""),"",B87&amp;"-"&amp;TEXT(D87,"yyyymmdd")&amp;"-"&amp;TEXT(E87,"000"))</f>
        <v/>
      </c>
      <c r="B87" s="4">
        <f>IF(OR($D87&lt;&gt;"",$F87&lt;&gt;"",$G87&lt;&gt;"",$H87&lt;&gt;"",$I87&lt;&gt;""),"연구","")</f>
        <v/>
      </c>
      <c r="C87" s="4">
        <f>IF(OR($D87&lt;&gt;"",$F87&lt;&gt;"",$G87&lt;&gt;"",$H87&lt;&gt;"",$I87&lt;&gt;""),"연구팀","")</f>
        <v/>
      </c>
      <c r="D87" s="5" t="n"/>
      <c r="E87" s="6">
        <f>IF($D87="","",COUNTIF($D$2:$D87,$D87))</f>
        <v/>
      </c>
      <c r="F87" s="5" t="n"/>
      <c r="G87" s="4" t="n"/>
      <c r="H87" s="4" t="n"/>
      <c r="I87" s="7" t="n"/>
      <c r="J87" s="4" t="n"/>
      <c r="K87" s="4" t="n"/>
      <c r="L87" s="4">
        <f>IF(OR($G87&lt;&gt;"",$I87&lt;&gt;""),"확정","")</f>
        <v/>
      </c>
      <c r="M87" s="4">
        <f>IF(OR($G87&lt;&gt;"",$I87&lt;&gt;""),"신규","")</f>
        <v/>
      </c>
      <c r="N87" s="5">
        <f>IF($D87="","",$D87)</f>
        <v/>
      </c>
      <c r="O87" s="4" t="n"/>
      <c r="P87" s="3">
        <f>IF(NOT(OR($D87&lt;&gt;"",$F87&lt;&gt;"",$G87&lt;&gt;"",$H87&lt;&gt;"",$I87&lt;&gt;"")),"",IF(($D87="")+($F87="")+($I87="")+($J87="")+IF(AND($J87="법인카드",$K87=""),1,0)=0,"✔ 완료","⚠ 누락 "&amp;($D87="")+($F87="")+($I87="")+($J87="")+IF(AND($J87="법인카드",$K87=""),1,0)&amp;"칸"))</f>
        <v/>
      </c>
    </row>
    <row r="88">
      <c r="A88" s="3">
        <f>IF(OR(B88="",D88="",E88=""),"",B88&amp;"-"&amp;TEXT(D88,"yyyymmdd")&amp;"-"&amp;TEXT(E88,"000"))</f>
        <v/>
      </c>
      <c r="B88" s="4">
        <f>IF(OR($D88&lt;&gt;"",$F88&lt;&gt;"",$G88&lt;&gt;"",$H88&lt;&gt;"",$I88&lt;&gt;""),"연구","")</f>
        <v/>
      </c>
      <c r="C88" s="4">
        <f>IF(OR($D88&lt;&gt;"",$F88&lt;&gt;"",$G88&lt;&gt;"",$H88&lt;&gt;"",$I88&lt;&gt;""),"연구팀","")</f>
        <v/>
      </c>
      <c r="D88" s="5" t="n"/>
      <c r="E88" s="6">
        <f>IF($D88="","",COUNTIF($D$2:$D88,$D88))</f>
        <v/>
      </c>
      <c r="F88" s="5" t="n"/>
      <c r="G88" s="4" t="n"/>
      <c r="H88" s="4" t="n"/>
      <c r="I88" s="7" t="n"/>
      <c r="J88" s="4" t="n"/>
      <c r="K88" s="4" t="n"/>
      <c r="L88" s="4">
        <f>IF(OR($G88&lt;&gt;"",$I88&lt;&gt;""),"확정","")</f>
        <v/>
      </c>
      <c r="M88" s="4">
        <f>IF(OR($G88&lt;&gt;"",$I88&lt;&gt;""),"신규","")</f>
        <v/>
      </c>
      <c r="N88" s="5">
        <f>IF($D88="","",$D88)</f>
        <v/>
      </c>
      <c r="O88" s="4" t="n"/>
      <c r="P88" s="3">
        <f>IF(NOT(OR($D88&lt;&gt;"",$F88&lt;&gt;"",$G88&lt;&gt;"",$H88&lt;&gt;"",$I88&lt;&gt;"")),"",IF(($D88="")+($F88="")+($I88="")+($J88="")+IF(AND($J88="법인카드",$K88=""),1,0)=0,"✔ 완료","⚠ 누락 "&amp;($D88="")+($F88="")+($I88="")+($J88="")+IF(AND($J88="법인카드",$K88=""),1,0)&amp;"칸"))</f>
        <v/>
      </c>
    </row>
    <row r="89">
      <c r="A89" s="3">
        <f>IF(OR(B89="",D89="",E89=""),"",B89&amp;"-"&amp;TEXT(D89,"yyyymmdd")&amp;"-"&amp;TEXT(E89,"000"))</f>
        <v/>
      </c>
      <c r="B89" s="4">
        <f>IF(OR($D89&lt;&gt;"",$F89&lt;&gt;"",$G89&lt;&gt;"",$H89&lt;&gt;"",$I89&lt;&gt;""),"연구","")</f>
        <v/>
      </c>
      <c r="C89" s="4">
        <f>IF(OR($D89&lt;&gt;"",$F89&lt;&gt;"",$G89&lt;&gt;"",$H89&lt;&gt;"",$I89&lt;&gt;""),"연구팀","")</f>
        <v/>
      </c>
      <c r="D89" s="5" t="n"/>
      <c r="E89" s="6">
        <f>IF($D89="","",COUNTIF($D$2:$D89,$D89))</f>
        <v/>
      </c>
      <c r="F89" s="5" t="n"/>
      <c r="G89" s="4" t="n"/>
      <c r="H89" s="4" t="n"/>
      <c r="I89" s="7" t="n"/>
      <c r="J89" s="4" t="n"/>
      <c r="K89" s="4" t="n"/>
      <c r="L89" s="4">
        <f>IF(OR($G89&lt;&gt;"",$I89&lt;&gt;""),"확정","")</f>
        <v/>
      </c>
      <c r="M89" s="4">
        <f>IF(OR($G89&lt;&gt;"",$I89&lt;&gt;""),"신규","")</f>
        <v/>
      </c>
      <c r="N89" s="5">
        <f>IF($D89="","",$D89)</f>
        <v/>
      </c>
      <c r="O89" s="4" t="n"/>
      <c r="P89" s="3">
        <f>IF(NOT(OR($D89&lt;&gt;"",$F89&lt;&gt;"",$G89&lt;&gt;"",$H89&lt;&gt;"",$I89&lt;&gt;"")),"",IF(($D89="")+($F89="")+($I89="")+($J89="")+IF(AND($J89="법인카드",$K89=""),1,0)=0,"✔ 완료","⚠ 누락 "&amp;($D89="")+($F89="")+($I89="")+($J89="")+IF(AND($J89="법인카드",$K89=""),1,0)&amp;"칸"))</f>
        <v/>
      </c>
    </row>
    <row r="90">
      <c r="A90" s="3">
        <f>IF(OR(B90="",D90="",E90=""),"",B90&amp;"-"&amp;TEXT(D90,"yyyymmdd")&amp;"-"&amp;TEXT(E90,"000"))</f>
        <v/>
      </c>
      <c r="B90" s="4">
        <f>IF(OR($D90&lt;&gt;"",$F90&lt;&gt;"",$G90&lt;&gt;"",$H90&lt;&gt;"",$I90&lt;&gt;""),"연구","")</f>
        <v/>
      </c>
      <c r="C90" s="4">
        <f>IF(OR($D90&lt;&gt;"",$F90&lt;&gt;"",$G90&lt;&gt;"",$H90&lt;&gt;"",$I90&lt;&gt;""),"연구팀","")</f>
        <v/>
      </c>
      <c r="D90" s="5" t="n"/>
      <c r="E90" s="6">
        <f>IF($D90="","",COUNTIF($D$2:$D90,$D90))</f>
        <v/>
      </c>
      <c r="F90" s="5" t="n"/>
      <c r="G90" s="4" t="n"/>
      <c r="H90" s="4" t="n"/>
      <c r="I90" s="7" t="n"/>
      <c r="J90" s="4" t="n"/>
      <c r="K90" s="4" t="n"/>
      <c r="L90" s="4">
        <f>IF(OR($G90&lt;&gt;"",$I90&lt;&gt;""),"확정","")</f>
        <v/>
      </c>
      <c r="M90" s="4">
        <f>IF(OR($G90&lt;&gt;"",$I90&lt;&gt;""),"신규","")</f>
        <v/>
      </c>
      <c r="N90" s="5">
        <f>IF($D90="","",$D90)</f>
        <v/>
      </c>
      <c r="O90" s="4" t="n"/>
      <c r="P90" s="3">
        <f>IF(NOT(OR($D90&lt;&gt;"",$F90&lt;&gt;"",$G90&lt;&gt;"",$H90&lt;&gt;"",$I90&lt;&gt;"")),"",IF(($D90="")+($F90="")+($I90="")+($J90="")+IF(AND($J90="법인카드",$K90=""),1,0)=0,"✔ 완료","⚠ 누락 "&amp;($D90="")+($F90="")+($I90="")+($J90="")+IF(AND($J90="법인카드",$K90=""),1,0)&amp;"칸"))</f>
        <v/>
      </c>
    </row>
    <row r="91">
      <c r="A91" s="3">
        <f>IF(OR(B91="",D91="",E91=""),"",B91&amp;"-"&amp;TEXT(D91,"yyyymmdd")&amp;"-"&amp;TEXT(E91,"000"))</f>
        <v/>
      </c>
      <c r="B91" s="4">
        <f>IF(OR($D91&lt;&gt;"",$F91&lt;&gt;"",$G91&lt;&gt;"",$H91&lt;&gt;"",$I91&lt;&gt;""),"연구","")</f>
        <v/>
      </c>
      <c r="C91" s="4">
        <f>IF(OR($D91&lt;&gt;"",$F91&lt;&gt;"",$G91&lt;&gt;"",$H91&lt;&gt;"",$I91&lt;&gt;""),"연구팀","")</f>
        <v/>
      </c>
      <c r="D91" s="5" t="n"/>
      <c r="E91" s="6">
        <f>IF($D91="","",COUNTIF($D$2:$D91,$D91))</f>
        <v/>
      </c>
      <c r="F91" s="5" t="n"/>
      <c r="G91" s="4" t="n"/>
      <c r="H91" s="4" t="n"/>
      <c r="I91" s="7" t="n"/>
      <c r="J91" s="4" t="n"/>
      <c r="K91" s="4" t="n"/>
      <c r="L91" s="4">
        <f>IF(OR($G91&lt;&gt;"",$I91&lt;&gt;""),"확정","")</f>
        <v/>
      </c>
      <c r="M91" s="4">
        <f>IF(OR($G91&lt;&gt;"",$I91&lt;&gt;""),"신규","")</f>
        <v/>
      </c>
      <c r="N91" s="5">
        <f>IF($D91="","",$D91)</f>
        <v/>
      </c>
      <c r="O91" s="4" t="n"/>
      <c r="P91" s="3">
        <f>IF(NOT(OR($D91&lt;&gt;"",$F91&lt;&gt;"",$G91&lt;&gt;"",$H91&lt;&gt;"",$I91&lt;&gt;"")),"",IF(($D91="")+($F91="")+($I91="")+($J91="")+IF(AND($J91="법인카드",$K91=""),1,0)=0,"✔ 완료","⚠ 누락 "&amp;($D91="")+($F91="")+($I91="")+($J91="")+IF(AND($J91="법인카드",$K91=""),1,0)&amp;"칸"))</f>
        <v/>
      </c>
    </row>
    <row r="92">
      <c r="A92" s="3">
        <f>IF(OR(B92="",D92="",E92=""),"",B92&amp;"-"&amp;TEXT(D92,"yyyymmdd")&amp;"-"&amp;TEXT(E92,"000"))</f>
        <v/>
      </c>
      <c r="B92" s="4">
        <f>IF(OR($D92&lt;&gt;"",$F92&lt;&gt;"",$G92&lt;&gt;"",$H92&lt;&gt;"",$I92&lt;&gt;""),"연구","")</f>
        <v/>
      </c>
      <c r="C92" s="4">
        <f>IF(OR($D92&lt;&gt;"",$F92&lt;&gt;"",$G92&lt;&gt;"",$H92&lt;&gt;"",$I92&lt;&gt;""),"연구팀","")</f>
        <v/>
      </c>
      <c r="D92" s="5" t="n"/>
      <c r="E92" s="6">
        <f>IF($D92="","",COUNTIF($D$2:$D92,$D92))</f>
        <v/>
      </c>
      <c r="F92" s="5" t="n"/>
      <c r="G92" s="4" t="n"/>
      <c r="H92" s="4" t="n"/>
      <c r="I92" s="7" t="n"/>
      <c r="J92" s="4" t="n"/>
      <c r="K92" s="4" t="n"/>
      <c r="L92" s="4">
        <f>IF(OR($G92&lt;&gt;"",$I92&lt;&gt;""),"확정","")</f>
        <v/>
      </c>
      <c r="M92" s="4">
        <f>IF(OR($G92&lt;&gt;"",$I92&lt;&gt;""),"신규","")</f>
        <v/>
      </c>
      <c r="N92" s="5">
        <f>IF($D92="","",$D92)</f>
        <v/>
      </c>
      <c r="O92" s="4" t="n"/>
      <c r="P92" s="3">
        <f>IF(NOT(OR($D92&lt;&gt;"",$F92&lt;&gt;"",$G92&lt;&gt;"",$H92&lt;&gt;"",$I92&lt;&gt;"")),"",IF(($D92="")+($F92="")+($I92="")+($J92="")+IF(AND($J92="법인카드",$K92=""),1,0)=0,"✔ 완료","⚠ 누락 "&amp;($D92="")+($F92="")+($I92="")+($J92="")+IF(AND($J92="법인카드",$K92=""),1,0)&amp;"칸"))</f>
        <v/>
      </c>
    </row>
    <row r="93">
      <c r="A93" s="3">
        <f>IF(OR(B93="",D93="",E93=""),"",B93&amp;"-"&amp;TEXT(D93,"yyyymmdd")&amp;"-"&amp;TEXT(E93,"000"))</f>
        <v/>
      </c>
      <c r="B93" s="4">
        <f>IF(OR($D93&lt;&gt;"",$F93&lt;&gt;"",$G93&lt;&gt;"",$H93&lt;&gt;"",$I93&lt;&gt;""),"연구","")</f>
        <v/>
      </c>
      <c r="C93" s="4">
        <f>IF(OR($D93&lt;&gt;"",$F93&lt;&gt;"",$G93&lt;&gt;"",$H93&lt;&gt;"",$I93&lt;&gt;""),"연구팀","")</f>
        <v/>
      </c>
      <c r="D93" s="5" t="n"/>
      <c r="E93" s="6">
        <f>IF($D93="","",COUNTIF($D$2:$D93,$D93))</f>
        <v/>
      </c>
      <c r="F93" s="5" t="n"/>
      <c r="G93" s="4" t="n"/>
      <c r="H93" s="4" t="n"/>
      <c r="I93" s="7" t="n"/>
      <c r="J93" s="4" t="n"/>
      <c r="K93" s="4" t="n"/>
      <c r="L93" s="4">
        <f>IF(OR($G93&lt;&gt;"",$I93&lt;&gt;""),"확정","")</f>
        <v/>
      </c>
      <c r="M93" s="4">
        <f>IF(OR($G93&lt;&gt;"",$I93&lt;&gt;""),"신규","")</f>
        <v/>
      </c>
      <c r="N93" s="5">
        <f>IF($D93="","",$D93)</f>
        <v/>
      </c>
      <c r="O93" s="4" t="n"/>
      <c r="P93" s="3">
        <f>IF(NOT(OR($D93&lt;&gt;"",$F93&lt;&gt;"",$G93&lt;&gt;"",$H93&lt;&gt;"",$I93&lt;&gt;"")),"",IF(($D93="")+($F93="")+($I93="")+($J93="")+IF(AND($J93="법인카드",$K93=""),1,0)=0,"✔ 완료","⚠ 누락 "&amp;($D93="")+($F93="")+($I93="")+($J93="")+IF(AND($J93="법인카드",$K93=""),1,0)&amp;"칸"))</f>
        <v/>
      </c>
    </row>
    <row r="94">
      <c r="A94" s="3">
        <f>IF(OR(B94="",D94="",E94=""),"",B94&amp;"-"&amp;TEXT(D94,"yyyymmdd")&amp;"-"&amp;TEXT(E94,"000"))</f>
        <v/>
      </c>
      <c r="B94" s="4">
        <f>IF(OR($D94&lt;&gt;"",$F94&lt;&gt;"",$G94&lt;&gt;"",$H94&lt;&gt;"",$I94&lt;&gt;""),"연구","")</f>
        <v/>
      </c>
      <c r="C94" s="4">
        <f>IF(OR($D94&lt;&gt;"",$F94&lt;&gt;"",$G94&lt;&gt;"",$H94&lt;&gt;"",$I94&lt;&gt;""),"연구팀","")</f>
        <v/>
      </c>
      <c r="D94" s="5" t="n"/>
      <c r="E94" s="6">
        <f>IF($D94="","",COUNTIF($D$2:$D94,$D94))</f>
        <v/>
      </c>
      <c r="F94" s="5" t="n"/>
      <c r="G94" s="4" t="n"/>
      <c r="H94" s="4" t="n"/>
      <c r="I94" s="7" t="n"/>
      <c r="J94" s="4" t="n"/>
      <c r="K94" s="4" t="n"/>
      <c r="L94" s="4">
        <f>IF(OR($G94&lt;&gt;"",$I94&lt;&gt;""),"확정","")</f>
        <v/>
      </c>
      <c r="M94" s="4">
        <f>IF(OR($G94&lt;&gt;"",$I94&lt;&gt;""),"신규","")</f>
        <v/>
      </c>
      <c r="N94" s="5">
        <f>IF($D94="","",$D94)</f>
        <v/>
      </c>
      <c r="O94" s="4" t="n"/>
      <c r="P94" s="3">
        <f>IF(NOT(OR($D94&lt;&gt;"",$F94&lt;&gt;"",$G94&lt;&gt;"",$H94&lt;&gt;"",$I94&lt;&gt;"")),"",IF(($D94="")+($F94="")+($I94="")+($J94="")+IF(AND($J94="법인카드",$K94=""),1,0)=0,"✔ 완료","⚠ 누락 "&amp;($D94="")+($F94="")+($I94="")+($J94="")+IF(AND($J94="법인카드",$K94=""),1,0)&amp;"칸"))</f>
        <v/>
      </c>
    </row>
    <row r="95">
      <c r="A95" s="3">
        <f>IF(OR(B95="",D95="",E95=""),"",B95&amp;"-"&amp;TEXT(D95,"yyyymmdd")&amp;"-"&amp;TEXT(E95,"000"))</f>
        <v/>
      </c>
      <c r="B95" s="4">
        <f>IF(OR($D95&lt;&gt;"",$F95&lt;&gt;"",$G95&lt;&gt;"",$H95&lt;&gt;"",$I95&lt;&gt;""),"연구","")</f>
        <v/>
      </c>
      <c r="C95" s="4">
        <f>IF(OR($D95&lt;&gt;"",$F95&lt;&gt;"",$G95&lt;&gt;"",$H95&lt;&gt;"",$I95&lt;&gt;""),"연구팀","")</f>
        <v/>
      </c>
      <c r="D95" s="5" t="n"/>
      <c r="E95" s="6">
        <f>IF($D95="","",COUNTIF($D$2:$D95,$D95))</f>
        <v/>
      </c>
      <c r="F95" s="5" t="n"/>
      <c r="G95" s="4" t="n"/>
      <c r="H95" s="4" t="n"/>
      <c r="I95" s="7" t="n"/>
      <c r="J95" s="4" t="n"/>
      <c r="K95" s="4" t="n"/>
      <c r="L95" s="4">
        <f>IF(OR($G95&lt;&gt;"",$I95&lt;&gt;""),"확정","")</f>
        <v/>
      </c>
      <c r="M95" s="4">
        <f>IF(OR($G95&lt;&gt;"",$I95&lt;&gt;""),"신규","")</f>
        <v/>
      </c>
      <c r="N95" s="5">
        <f>IF($D95="","",$D95)</f>
        <v/>
      </c>
      <c r="O95" s="4" t="n"/>
      <c r="P95" s="3">
        <f>IF(NOT(OR($D95&lt;&gt;"",$F95&lt;&gt;"",$G95&lt;&gt;"",$H95&lt;&gt;"",$I95&lt;&gt;"")),"",IF(($D95="")+($F95="")+($I95="")+($J95="")+IF(AND($J95="법인카드",$K95=""),1,0)=0,"✔ 완료","⚠ 누락 "&amp;($D95="")+($F95="")+($I95="")+($J95="")+IF(AND($J95="법인카드",$K95=""),1,0)&amp;"칸"))</f>
        <v/>
      </c>
    </row>
    <row r="96">
      <c r="A96" s="3">
        <f>IF(OR(B96="",D96="",E96=""),"",B96&amp;"-"&amp;TEXT(D96,"yyyymmdd")&amp;"-"&amp;TEXT(E96,"000"))</f>
        <v/>
      </c>
      <c r="B96" s="4">
        <f>IF(OR($D96&lt;&gt;"",$F96&lt;&gt;"",$G96&lt;&gt;"",$H96&lt;&gt;"",$I96&lt;&gt;""),"연구","")</f>
        <v/>
      </c>
      <c r="C96" s="4">
        <f>IF(OR($D96&lt;&gt;"",$F96&lt;&gt;"",$G96&lt;&gt;"",$H96&lt;&gt;"",$I96&lt;&gt;""),"연구팀","")</f>
        <v/>
      </c>
      <c r="D96" s="5" t="n"/>
      <c r="E96" s="6">
        <f>IF($D96="","",COUNTIF($D$2:$D96,$D96))</f>
        <v/>
      </c>
      <c r="F96" s="5" t="n"/>
      <c r="G96" s="4" t="n"/>
      <c r="H96" s="4" t="n"/>
      <c r="I96" s="7" t="n"/>
      <c r="J96" s="4" t="n"/>
      <c r="K96" s="4" t="n"/>
      <c r="L96" s="4">
        <f>IF(OR($G96&lt;&gt;"",$I96&lt;&gt;""),"확정","")</f>
        <v/>
      </c>
      <c r="M96" s="4">
        <f>IF(OR($G96&lt;&gt;"",$I96&lt;&gt;""),"신규","")</f>
        <v/>
      </c>
      <c r="N96" s="5">
        <f>IF($D96="","",$D96)</f>
        <v/>
      </c>
      <c r="O96" s="4" t="n"/>
      <c r="P96" s="3">
        <f>IF(NOT(OR($D96&lt;&gt;"",$F96&lt;&gt;"",$G96&lt;&gt;"",$H96&lt;&gt;"",$I96&lt;&gt;"")),"",IF(($D96="")+($F96="")+($I96="")+($J96="")+IF(AND($J96="법인카드",$K96=""),1,0)=0,"✔ 완료","⚠ 누락 "&amp;($D96="")+($F96="")+($I96="")+($J96="")+IF(AND($J96="법인카드",$K96=""),1,0)&amp;"칸"))</f>
        <v/>
      </c>
    </row>
    <row r="97">
      <c r="A97" s="3">
        <f>IF(OR(B97="",D97="",E97=""),"",B97&amp;"-"&amp;TEXT(D97,"yyyymmdd")&amp;"-"&amp;TEXT(E97,"000"))</f>
        <v/>
      </c>
      <c r="B97" s="4">
        <f>IF(OR($D97&lt;&gt;"",$F97&lt;&gt;"",$G97&lt;&gt;"",$H97&lt;&gt;"",$I97&lt;&gt;""),"연구","")</f>
        <v/>
      </c>
      <c r="C97" s="4">
        <f>IF(OR($D97&lt;&gt;"",$F97&lt;&gt;"",$G97&lt;&gt;"",$H97&lt;&gt;"",$I97&lt;&gt;""),"연구팀","")</f>
        <v/>
      </c>
      <c r="D97" s="5" t="n"/>
      <c r="E97" s="6">
        <f>IF($D97="","",COUNTIF($D$2:$D97,$D97))</f>
        <v/>
      </c>
      <c r="F97" s="5" t="n"/>
      <c r="G97" s="4" t="n"/>
      <c r="H97" s="4" t="n"/>
      <c r="I97" s="7" t="n"/>
      <c r="J97" s="4" t="n"/>
      <c r="K97" s="4" t="n"/>
      <c r="L97" s="4">
        <f>IF(OR($G97&lt;&gt;"",$I97&lt;&gt;""),"확정","")</f>
        <v/>
      </c>
      <c r="M97" s="4">
        <f>IF(OR($G97&lt;&gt;"",$I97&lt;&gt;""),"신규","")</f>
        <v/>
      </c>
      <c r="N97" s="5">
        <f>IF($D97="","",$D97)</f>
        <v/>
      </c>
      <c r="O97" s="4" t="n"/>
      <c r="P97" s="3">
        <f>IF(NOT(OR($D97&lt;&gt;"",$F97&lt;&gt;"",$G97&lt;&gt;"",$H97&lt;&gt;"",$I97&lt;&gt;"")),"",IF(($D97="")+($F97="")+($I97="")+($J97="")+IF(AND($J97="법인카드",$K97=""),1,0)=0,"✔ 완료","⚠ 누락 "&amp;($D97="")+($F97="")+($I97="")+($J97="")+IF(AND($J97="법인카드",$K97=""),1,0)&amp;"칸"))</f>
        <v/>
      </c>
    </row>
    <row r="98">
      <c r="A98" s="3">
        <f>IF(OR(B98="",D98="",E98=""),"",B98&amp;"-"&amp;TEXT(D98,"yyyymmdd")&amp;"-"&amp;TEXT(E98,"000"))</f>
        <v/>
      </c>
      <c r="B98" s="4">
        <f>IF(OR($D98&lt;&gt;"",$F98&lt;&gt;"",$G98&lt;&gt;"",$H98&lt;&gt;"",$I98&lt;&gt;""),"연구","")</f>
        <v/>
      </c>
      <c r="C98" s="4">
        <f>IF(OR($D98&lt;&gt;"",$F98&lt;&gt;"",$G98&lt;&gt;"",$H98&lt;&gt;"",$I98&lt;&gt;""),"연구팀","")</f>
        <v/>
      </c>
      <c r="D98" s="5" t="n"/>
      <c r="E98" s="6">
        <f>IF($D98="","",COUNTIF($D$2:$D98,$D98))</f>
        <v/>
      </c>
      <c r="F98" s="5" t="n"/>
      <c r="G98" s="4" t="n"/>
      <c r="H98" s="4" t="n"/>
      <c r="I98" s="7" t="n"/>
      <c r="J98" s="4" t="n"/>
      <c r="K98" s="4" t="n"/>
      <c r="L98" s="4">
        <f>IF(OR($G98&lt;&gt;"",$I98&lt;&gt;""),"확정","")</f>
        <v/>
      </c>
      <c r="M98" s="4">
        <f>IF(OR($G98&lt;&gt;"",$I98&lt;&gt;""),"신규","")</f>
        <v/>
      </c>
      <c r="N98" s="5">
        <f>IF($D98="","",$D98)</f>
        <v/>
      </c>
      <c r="O98" s="4" t="n"/>
      <c r="P98" s="3">
        <f>IF(NOT(OR($D98&lt;&gt;"",$F98&lt;&gt;"",$G98&lt;&gt;"",$H98&lt;&gt;"",$I98&lt;&gt;"")),"",IF(($D98="")+($F98="")+($I98="")+($J98="")+IF(AND($J98="법인카드",$K98=""),1,0)=0,"✔ 완료","⚠ 누락 "&amp;($D98="")+($F98="")+($I98="")+($J98="")+IF(AND($J98="법인카드",$K98=""),1,0)&amp;"칸"))</f>
        <v/>
      </c>
    </row>
    <row r="99">
      <c r="A99" s="3">
        <f>IF(OR(B99="",D99="",E99=""),"",B99&amp;"-"&amp;TEXT(D99,"yyyymmdd")&amp;"-"&amp;TEXT(E99,"000"))</f>
        <v/>
      </c>
      <c r="B99" s="4">
        <f>IF(OR($D99&lt;&gt;"",$F99&lt;&gt;"",$G99&lt;&gt;"",$H99&lt;&gt;"",$I99&lt;&gt;""),"연구","")</f>
        <v/>
      </c>
      <c r="C99" s="4">
        <f>IF(OR($D99&lt;&gt;"",$F99&lt;&gt;"",$G99&lt;&gt;"",$H99&lt;&gt;"",$I99&lt;&gt;""),"연구팀","")</f>
        <v/>
      </c>
      <c r="D99" s="5" t="n"/>
      <c r="E99" s="6">
        <f>IF($D99="","",COUNTIF($D$2:$D99,$D99))</f>
        <v/>
      </c>
      <c r="F99" s="5" t="n"/>
      <c r="G99" s="4" t="n"/>
      <c r="H99" s="4" t="n"/>
      <c r="I99" s="7" t="n"/>
      <c r="J99" s="4" t="n"/>
      <c r="K99" s="4" t="n"/>
      <c r="L99" s="4">
        <f>IF(OR($G99&lt;&gt;"",$I99&lt;&gt;""),"확정","")</f>
        <v/>
      </c>
      <c r="M99" s="4">
        <f>IF(OR($G99&lt;&gt;"",$I99&lt;&gt;""),"신규","")</f>
        <v/>
      </c>
      <c r="N99" s="5">
        <f>IF($D99="","",$D99)</f>
        <v/>
      </c>
      <c r="O99" s="4" t="n"/>
      <c r="P99" s="3">
        <f>IF(NOT(OR($D99&lt;&gt;"",$F99&lt;&gt;"",$G99&lt;&gt;"",$H99&lt;&gt;"",$I99&lt;&gt;"")),"",IF(($D99="")+($F99="")+($I99="")+($J99="")+IF(AND($J99="법인카드",$K99=""),1,0)=0,"✔ 완료","⚠ 누락 "&amp;($D99="")+($F99="")+($I99="")+($J99="")+IF(AND($J99="법인카드",$K99=""),1,0)&amp;"칸"))</f>
        <v/>
      </c>
    </row>
    <row r="100">
      <c r="A100" s="3">
        <f>IF(OR(B100="",D100="",E100=""),"",B100&amp;"-"&amp;TEXT(D100,"yyyymmdd")&amp;"-"&amp;TEXT(E100,"000"))</f>
        <v/>
      </c>
      <c r="B100" s="4">
        <f>IF(OR($D100&lt;&gt;"",$F100&lt;&gt;"",$G100&lt;&gt;"",$H100&lt;&gt;"",$I100&lt;&gt;""),"연구","")</f>
        <v/>
      </c>
      <c r="C100" s="4">
        <f>IF(OR($D100&lt;&gt;"",$F100&lt;&gt;"",$G100&lt;&gt;"",$H100&lt;&gt;"",$I100&lt;&gt;""),"연구팀","")</f>
        <v/>
      </c>
      <c r="D100" s="5" t="n"/>
      <c r="E100" s="6">
        <f>IF($D100="","",COUNTIF($D$2:$D100,$D100))</f>
        <v/>
      </c>
      <c r="F100" s="5" t="n"/>
      <c r="G100" s="4" t="n"/>
      <c r="H100" s="4" t="n"/>
      <c r="I100" s="7" t="n"/>
      <c r="J100" s="4" t="n"/>
      <c r="K100" s="4" t="n"/>
      <c r="L100" s="4">
        <f>IF(OR($G100&lt;&gt;"",$I100&lt;&gt;""),"확정","")</f>
        <v/>
      </c>
      <c r="M100" s="4">
        <f>IF(OR($G100&lt;&gt;"",$I100&lt;&gt;""),"신규","")</f>
        <v/>
      </c>
      <c r="N100" s="5">
        <f>IF($D100="","",$D100)</f>
        <v/>
      </c>
      <c r="O100" s="4" t="n"/>
      <c r="P100" s="3">
        <f>IF(NOT(OR($D100&lt;&gt;"",$F100&lt;&gt;"",$G100&lt;&gt;"",$H100&lt;&gt;"",$I100&lt;&gt;"")),"",IF(($D100="")+($F100="")+($I100="")+($J100="")+IF(AND($J100="법인카드",$K100=""),1,0)=0,"✔ 완료","⚠ 누락 "&amp;($D100="")+($F100="")+($I100="")+($J100="")+IF(AND($J100="법인카드",$K100=""),1,0)&amp;"칸"))</f>
        <v/>
      </c>
    </row>
    <row r="101">
      <c r="A101" s="3">
        <f>IF(OR(B101="",D101="",E101=""),"",B101&amp;"-"&amp;TEXT(D101,"yyyymmdd")&amp;"-"&amp;TEXT(E101,"000"))</f>
        <v/>
      </c>
      <c r="B101" s="4">
        <f>IF(OR($D101&lt;&gt;"",$F101&lt;&gt;"",$G101&lt;&gt;"",$H101&lt;&gt;"",$I101&lt;&gt;""),"연구","")</f>
        <v/>
      </c>
      <c r="C101" s="4">
        <f>IF(OR($D101&lt;&gt;"",$F101&lt;&gt;"",$G101&lt;&gt;"",$H101&lt;&gt;"",$I101&lt;&gt;""),"연구팀","")</f>
        <v/>
      </c>
      <c r="D101" s="5" t="n"/>
      <c r="E101" s="6">
        <f>IF($D101="","",COUNTIF($D$2:$D101,$D101))</f>
        <v/>
      </c>
      <c r="F101" s="5" t="n"/>
      <c r="G101" s="4" t="n"/>
      <c r="H101" s="4" t="n"/>
      <c r="I101" s="7" t="n"/>
      <c r="J101" s="4" t="n"/>
      <c r="K101" s="4" t="n"/>
      <c r="L101" s="4">
        <f>IF(OR($G101&lt;&gt;"",$I101&lt;&gt;""),"확정","")</f>
        <v/>
      </c>
      <c r="M101" s="4">
        <f>IF(OR($G101&lt;&gt;"",$I101&lt;&gt;""),"신규","")</f>
        <v/>
      </c>
      <c r="N101" s="5">
        <f>IF($D101="","",$D101)</f>
        <v/>
      </c>
      <c r="O101" s="4" t="n"/>
      <c r="P101" s="3">
        <f>IF(NOT(OR($D101&lt;&gt;"",$F101&lt;&gt;"",$G101&lt;&gt;"",$H101&lt;&gt;"",$I101&lt;&gt;"")),"",IF(($D101="")+($F101="")+($I101="")+($J101="")+IF(AND($J101="법인카드",$K101=""),1,0)=0,"✔ 완료","⚠ 누락 "&amp;($D101="")+($F101="")+($I101="")+($J101="")+IF(AND($J101="법인카드",$K101=""),1,0)&amp;"칸"))</f>
        <v/>
      </c>
    </row>
    <row r="102">
      <c r="A102" s="3">
        <f>IF(OR(B102="",D102="",E102=""),"",B102&amp;"-"&amp;TEXT(D102,"yyyymmdd")&amp;"-"&amp;TEXT(E102,"000"))</f>
        <v/>
      </c>
      <c r="B102" s="4">
        <f>IF(OR($D102&lt;&gt;"",$F102&lt;&gt;"",$G102&lt;&gt;"",$H102&lt;&gt;"",$I102&lt;&gt;""),"연구","")</f>
        <v/>
      </c>
      <c r="C102" s="4">
        <f>IF(OR($D102&lt;&gt;"",$F102&lt;&gt;"",$G102&lt;&gt;"",$H102&lt;&gt;"",$I102&lt;&gt;""),"연구팀","")</f>
        <v/>
      </c>
      <c r="D102" s="5" t="n"/>
      <c r="E102" s="6">
        <f>IF($D102="","",COUNTIF($D$2:$D102,$D102))</f>
        <v/>
      </c>
      <c r="F102" s="5" t="n"/>
      <c r="G102" s="4" t="n"/>
      <c r="H102" s="4" t="n"/>
      <c r="I102" s="7" t="n"/>
      <c r="J102" s="4" t="n"/>
      <c r="K102" s="4" t="n"/>
      <c r="L102" s="4">
        <f>IF(OR($G102&lt;&gt;"",$I102&lt;&gt;""),"확정","")</f>
        <v/>
      </c>
      <c r="M102" s="4">
        <f>IF(OR($G102&lt;&gt;"",$I102&lt;&gt;""),"신규","")</f>
        <v/>
      </c>
      <c r="N102" s="5">
        <f>IF($D102="","",$D102)</f>
        <v/>
      </c>
      <c r="O102" s="4" t="n"/>
      <c r="P102" s="3">
        <f>IF(NOT(OR($D102&lt;&gt;"",$F102&lt;&gt;"",$G102&lt;&gt;"",$H102&lt;&gt;"",$I102&lt;&gt;"")),"",IF(($D102="")+($F102="")+($I102="")+($J102="")+IF(AND($J102="법인카드",$K102=""),1,0)=0,"✔ 완료","⚠ 누락 "&amp;($D102="")+($F102="")+($I102="")+($J102="")+IF(AND($J102="법인카드",$K102=""),1,0)&amp;"칸"))</f>
        <v/>
      </c>
    </row>
    <row r="103">
      <c r="A103" s="3">
        <f>IF(OR(B103="",D103="",E103=""),"",B103&amp;"-"&amp;TEXT(D103,"yyyymmdd")&amp;"-"&amp;TEXT(E103,"000"))</f>
        <v/>
      </c>
      <c r="B103" s="4">
        <f>IF(OR($D103&lt;&gt;"",$F103&lt;&gt;"",$G103&lt;&gt;"",$H103&lt;&gt;"",$I103&lt;&gt;""),"연구","")</f>
        <v/>
      </c>
      <c r="C103" s="4">
        <f>IF(OR($D103&lt;&gt;"",$F103&lt;&gt;"",$G103&lt;&gt;"",$H103&lt;&gt;"",$I103&lt;&gt;""),"연구팀","")</f>
        <v/>
      </c>
      <c r="D103" s="5" t="n"/>
      <c r="E103" s="6">
        <f>IF($D103="","",COUNTIF($D$2:$D103,$D103))</f>
        <v/>
      </c>
      <c r="F103" s="5" t="n"/>
      <c r="G103" s="4" t="n"/>
      <c r="H103" s="4" t="n"/>
      <c r="I103" s="7" t="n"/>
      <c r="J103" s="4" t="n"/>
      <c r="K103" s="4" t="n"/>
      <c r="L103" s="4">
        <f>IF(OR($G103&lt;&gt;"",$I103&lt;&gt;""),"확정","")</f>
        <v/>
      </c>
      <c r="M103" s="4">
        <f>IF(OR($G103&lt;&gt;"",$I103&lt;&gt;""),"신규","")</f>
        <v/>
      </c>
      <c r="N103" s="5">
        <f>IF($D103="","",$D103)</f>
        <v/>
      </c>
      <c r="O103" s="4" t="n"/>
      <c r="P103" s="3">
        <f>IF(NOT(OR($D103&lt;&gt;"",$F103&lt;&gt;"",$G103&lt;&gt;"",$H103&lt;&gt;"",$I103&lt;&gt;"")),"",IF(($D103="")+($F103="")+($I103="")+($J103="")+IF(AND($J103="법인카드",$K103=""),1,0)=0,"✔ 완료","⚠ 누락 "&amp;($D103="")+($F103="")+($I103="")+($J103="")+IF(AND($J103="법인카드",$K103=""),1,0)&amp;"칸"))</f>
        <v/>
      </c>
    </row>
    <row r="104">
      <c r="A104" s="3">
        <f>IF(OR(B104="",D104="",E104=""),"",B104&amp;"-"&amp;TEXT(D104,"yyyymmdd")&amp;"-"&amp;TEXT(E104,"000"))</f>
        <v/>
      </c>
      <c r="B104" s="4">
        <f>IF(OR($D104&lt;&gt;"",$F104&lt;&gt;"",$G104&lt;&gt;"",$H104&lt;&gt;"",$I104&lt;&gt;""),"연구","")</f>
        <v/>
      </c>
      <c r="C104" s="4">
        <f>IF(OR($D104&lt;&gt;"",$F104&lt;&gt;"",$G104&lt;&gt;"",$H104&lt;&gt;"",$I104&lt;&gt;""),"연구팀","")</f>
        <v/>
      </c>
      <c r="D104" s="5" t="n"/>
      <c r="E104" s="6">
        <f>IF($D104="","",COUNTIF($D$2:$D104,$D104))</f>
        <v/>
      </c>
      <c r="F104" s="5" t="n"/>
      <c r="G104" s="4" t="n"/>
      <c r="H104" s="4" t="n"/>
      <c r="I104" s="7" t="n"/>
      <c r="J104" s="4" t="n"/>
      <c r="K104" s="4" t="n"/>
      <c r="L104" s="4">
        <f>IF(OR($G104&lt;&gt;"",$I104&lt;&gt;""),"확정","")</f>
        <v/>
      </c>
      <c r="M104" s="4">
        <f>IF(OR($G104&lt;&gt;"",$I104&lt;&gt;""),"신규","")</f>
        <v/>
      </c>
      <c r="N104" s="5">
        <f>IF($D104="","",$D104)</f>
        <v/>
      </c>
      <c r="O104" s="4" t="n"/>
      <c r="P104" s="3">
        <f>IF(NOT(OR($D104&lt;&gt;"",$F104&lt;&gt;"",$G104&lt;&gt;"",$H104&lt;&gt;"",$I104&lt;&gt;"")),"",IF(($D104="")+($F104="")+($I104="")+($J104="")+IF(AND($J104="법인카드",$K104=""),1,0)=0,"✔ 완료","⚠ 누락 "&amp;($D104="")+($F104="")+($I104="")+($J104="")+IF(AND($J104="법인카드",$K104=""),1,0)&amp;"칸"))</f>
        <v/>
      </c>
    </row>
    <row r="105">
      <c r="A105" s="3">
        <f>IF(OR(B105="",D105="",E105=""),"",B105&amp;"-"&amp;TEXT(D105,"yyyymmdd")&amp;"-"&amp;TEXT(E105,"000"))</f>
        <v/>
      </c>
      <c r="B105" s="4">
        <f>IF(OR($D105&lt;&gt;"",$F105&lt;&gt;"",$G105&lt;&gt;"",$H105&lt;&gt;"",$I105&lt;&gt;""),"연구","")</f>
        <v/>
      </c>
      <c r="C105" s="4">
        <f>IF(OR($D105&lt;&gt;"",$F105&lt;&gt;"",$G105&lt;&gt;"",$H105&lt;&gt;"",$I105&lt;&gt;""),"연구팀","")</f>
        <v/>
      </c>
      <c r="D105" s="5" t="n"/>
      <c r="E105" s="6">
        <f>IF($D105="","",COUNTIF($D$2:$D105,$D105))</f>
        <v/>
      </c>
      <c r="F105" s="5" t="n"/>
      <c r="G105" s="4" t="n"/>
      <c r="H105" s="4" t="n"/>
      <c r="I105" s="7" t="n"/>
      <c r="J105" s="4" t="n"/>
      <c r="K105" s="4" t="n"/>
      <c r="L105" s="4">
        <f>IF(OR($G105&lt;&gt;"",$I105&lt;&gt;""),"확정","")</f>
        <v/>
      </c>
      <c r="M105" s="4">
        <f>IF(OR($G105&lt;&gt;"",$I105&lt;&gt;""),"신규","")</f>
        <v/>
      </c>
      <c r="N105" s="5">
        <f>IF($D105="","",$D105)</f>
        <v/>
      </c>
      <c r="O105" s="4" t="n"/>
      <c r="P105" s="3">
        <f>IF(NOT(OR($D105&lt;&gt;"",$F105&lt;&gt;"",$G105&lt;&gt;"",$H105&lt;&gt;"",$I105&lt;&gt;"")),"",IF(($D105="")+($F105="")+($I105="")+($J105="")+IF(AND($J105="법인카드",$K105=""),1,0)=0,"✔ 완료","⚠ 누락 "&amp;($D105="")+($F105="")+($I105="")+($J105="")+IF(AND($J105="법인카드",$K105=""),1,0)&amp;"칸"))</f>
        <v/>
      </c>
    </row>
    <row r="106">
      <c r="A106" s="3">
        <f>IF(OR(B106="",D106="",E106=""),"",B106&amp;"-"&amp;TEXT(D106,"yyyymmdd")&amp;"-"&amp;TEXT(E106,"000"))</f>
        <v/>
      </c>
      <c r="B106" s="4">
        <f>IF(OR($D106&lt;&gt;"",$F106&lt;&gt;"",$G106&lt;&gt;"",$H106&lt;&gt;"",$I106&lt;&gt;""),"연구","")</f>
        <v/>
      </c>
      <c r="C106" s="4">
        <f>IF(OR($D106&lt;&gt;"",$F106&lt;&gt;"",$G106&lt;&gt;"",$H106&lt;&gt;"",$I106&lt;&gt;""),"연구팀","")</f>
        <v/>
      </c>
      <c r="D106" s="5" t="n"/>
      <c r="E106" s="6">
        <f>IF($D106="","",COUNTIF($D$2:$D106,$D106))</f>
        <v/>
      </c>
      <c r="F106" s="5" t="n"/>
      <c r="G106" s="4" t="n"/>
      <c r="H106" s="4" t="n"/>
      <c r="I106" s="7" t="n"/>
      <c r="J106" s="4" t="n"/>
      <c r="K106" s="4" t="n"/>
      <c r="L106" s="4">
        <f>IF(OR($G106&lt;&gt;"",$I106&lt;&gt;""),"확정","")</f>
        <v/>
      </c>
      <c r="M106" s="4">
        <f>IF(OR($G106&lt;&gt;"",$I106&lt;&gt;""),"신규","")</f>
        <v/>
      </c>
      <c r="N106" s="5">
        <f>IF($D106="","",$D106)</f>
        <v/>
      </c>
      <c r="O106" s="4" t="n"/>
      <c r="P106" s="3">
        <f>IF(NOT(OR($D106&lt;&gt;"",$F106&lt;&gt;"",$G106&lt;&gt;"",$H106&lt;&gt;"",$I106&lt;&gt;"")),"",IF(($D106="")+($F106="")+($I106="")+($J106="")+IF(AND($J106="법인카드",$K106=""),1,0)=0,"✔ 완료","⚠ 누락 "&amp;($D106="")+($F106="")+($I106="")+($J106="")+IF(AND($J106="법인카드",$K106=""),1,0)&amp;"칸"))</f>
        <v/>
      </c>
    </row>
    <row r="107">
      <c r="A107" s="3">
        <f>IF(OR(B107="",D107="",E107=""),"",B107&amp;"-"&amp;TEXT(D107,"yyyymmdd")&amp;"-"&amp;TEXT(E107,"000"))</f>
        <v/>
      </c>
      <c r="B107" s="4">
        <f>IF(OR($D107&lt;&gt;"",$F107&lt;&gt;"",$G107&lt;&gt;"",$H107&lt;&gt;"",$I107&lt;&gt;""),"연구","")</f>
        <v/>
      </c>
      <c r="C107" s="4">
        <f>IF(OR($D107&lt;&gt;"",$F107&lt;&gt;"",$G107&lt;&gt;"",$H107&lt;&gt;"",$I107&lt;&gt;""),"연구팀","")</f>
        <v/>
      </c>
      <c r="D107" s="5" t="n"/>
      <c r="E107" s="6">
        <f>IF($D107="","",COUNTIF($D$2:$D107,$D107))</f>
        <v/>
      </c>
      <c r="F107" s="5" t="n"/>
      <c r="G107" s="4" t="n"/>
      <c r="H107" s="4" t="n"/>
      <c r="I107" s="7" t="n"/>
      <c r="J107" s="4" t="n"/>
      <c r="K107" s="4" t="n"/>
      <c r="L107" s="4">
        <f>IF(OR($G107&lt;&gt;"",$I107&lt;&gt;""),"확정","")</f>
        <v/>
      </c>
      <c r="M107" s="4">
        <f>IF(OR($G107&lt;&gt;"",$I107&lt;&gt;""),"신규","")</f>
        <v/>
      </c>
      <c r="N107" s="5">
        <f>IF($D107="","",$D107)</f>
        <v/>
      </c>
      <c r="O107" s="4" t="n"/>
      <c r="P107" s="3">
        <f>IF(NOT(OR($D107&lt;&gt;"",$F107&lt;&gt;"",$G107&lt;&gt;"",$H107&lt;&gt;"",$I107&lt;&gt;"")),"",IF(($D107="")+($F107="")+($I107="")+($J107="")+IF(AND($J107="법인카드",$K107=""),1,0)=0,"✔ 완료","⚠ 누락 "&amp;($D107="")+($F107="")+($I107="")+($J107="")+IF(AND($J107="법인카드",$K107=""),1,0)&amp;"칸"))</f>
        <v/>
      </c>
    </row>
    <row r="108">
      <c r="A108" s="3">
        <f>IF(OR(B108="",D108="",E108=""),"",B108&amp;"-"&amp;TEXT(D108,"yyyymmdd")&amp;"-"&amp;TEXT(E108,"000"))</f>
        <v/>
      </c>
      <c r="B108" s="4">
        <f>IF(OR($D108&lt;&gt;"",$F108&lt;&gt;"",$G108&lt;&gt;"",$H108&lt;&gt;"",$I108&lt;&gt;""),"연구","")</f>
        <v/>
      </c>
      <c r="C108" s="4">
        <f>IF(OR($D108&lt;&gt;"",$F108&lt;&gt;"",$G108&lt;&gt;"",$H108&lt;&gt;"",$I108&lt;&gt;""),"연구팀","")</f>
        <v/>
      </c>
      <c r="D108" s="5" t="n"/>
      <c r="E108" s="6">
        <f>IF($D108="","",COUNTIF($D$2:$D108,$D108))</f>
        <v/>
      </c>
      <c r="F108" s="5" t="n"/>
      <c r="G108" s="4" t="n"/>
      <c r="H108" s="4" t="n"/>
      <c r="I108" s="7" t="n"/>
      <c r="J108" s="4" t="n"/>
      <c r="K108" s="4" t="n"/>
      <c r="L108" s="4">
        <f>IF(OR($G108&lt;&gt;"",$I108&lt;&gt;""),"확정","")</f>
        <v/>
      </c>
      <c r="M108" s="4">
        <f>IF(OR($G108&lt;&gt;"",$I108&lt;&gt;""),"신규","")</f>
        <v/>
      </c>
      <c r="N108" s="5">
        <f>IF($D108="","",$D108)</f>
        <v/>
      </c>
      <c r="O108" s="4" t="n"/>
      <c r="P108" s="3">
        <f>IF(NOT(OR($D108&lt;&gt;"",$F108&lt;&gt;"",$G108&lt;&gt;"",$H108&lt;&gt;"",$I108&lt;&gt;"")),"",IF(($D108="")+($F108="")+($I108="")+($J108="")+IF(AND($J108="법인카드",$K108=""),1,0)=0,"✔ 완료","⚠ 누락 "&amp;($D108="")+($F108="")+($I108="")+($J108="")+IF(AND($J108="법인카드",$K108=""),1,0)&amp;"칸"))</f>
        <v/>
      </c>
    </row>
    <row r="109">
      <c r="A109" s="3">
        <f>IF(OR(B109="",D109="",E109=""),"",B109&amp;"-"&amp;TEXT(D109,"yyyymmdd")&amp;"-"&amp;TEXT(E109,"000"))</f>
        <v/>
      </c>
      <c r="B109" s="4">
        <f>IF(OR($D109&lt;&gt;"",$F109&lt;&gt;"",$G109&lt;&gt;"",$H109&lt;&gt;"",$I109&lt;&gt;""),"연구","")</f>
        <v/>
      </c>
      <c r="C109" s="4">
        <f>IF(OR($D109&lt;&gt;"",$F109&lt;&gt;"",$G109&lt;&gt;"",$H109&lt;&gt;"",$I109&lt;&gt;""),"연구팀","")</f>
        <v/>
      </c>
      <c r="D109" s="5" t="n"/>
      <c r="E109" s="6">
        <f>IF($D109="","",COUNTIF($D$2:$D109,$D109))</f>
        <v/>
      </c>
      <c r="F109" s="5" t="n"/>
      <c r="G109" s="4" t="n"/>
      <c r="H109" s="4" t="n"/>
      <c r="I109" s="7" t="n"/>
      <c r="J109" s="4" t="n"/>
      <c r="K109" s="4" t="n"/>
      <c r="L109" s="4">
        <f>IF(OR($G109&lt;&gt;"",$I109&lt;&gt;""),"확정","")</f>
        <v/>
      </c>
      <c r="M109" s="4">
        <f>IF(OR($G109&lt;&gt;"",$I109&lt;&gt;""),"신규","")</f>
        <v/>
      </c>
      <c r="N109" s="5">
        <f>IF($D109="","",$D109)</f>
        <v/>
      </c>
      <c r="O109" s="4" t="n"/>
      <c r="P109" s="3">
        <f>IF(NOT(OR($D109&lt;&gt;"",$F109&lt;&gt;"",$G109&lt;&gt;"",$H109&lt;&gt;"",$I109&lt;&gt;"")),"",IF(($D109="")+($F109="")+($I109="")+($J109="")+IF(AND($J109="법인카드",$K109=""),1,0)=0,"✔ 완료","⚠ 누락 "&amp;($D109="")+($F109="")+($I109="")+($J109="")+IF(AND($J109="법인카드",$K109=""),1,0)&amp;"칸"))</f>
        <v/>
      </c>
    </row>
    <row r="110">
      <c r="A110" s="3">
        <f>IF(OR(B110="",D110="",E110=""),"",B110&amp;"-"&amp;TEXT(D110,"yyyymmdd")&amp;"-"&amp;TEXT(E110,"000"))</f>
        <v/>
      </c>
      <c r="B110" s="4">
        <f>IF(OR($D110&lt;&gt;"",$F110&lt;&gt;"",$G110&lt;&gt;"",$H110&lt;&gt;"",$I110&lt;&gt;""),"연구","")</f>
        <v/>
      </c>
      <c r="C110" s="4">
        <f>IF(OR($D110&lt;&gt;"",$F110&lt;&gt;"",$G110&lt;&gt;"",$H110&lt;&gt;"",$I110&lt;&gt;""),"연구팀","")</f>
        <v/>
      </c>
      <c r="D110" s="5" t="n"/>
      <c r="E110" s="6">
        <f>IF($D110="","",COUNTIF($D$2:$D110,$D110))</f>
        <v/>
      </c>
      <c r="F110" s="5" t="n"/>
      <c r="G110" s="4" t="n"/>
      <c r="H110" s="4" t="n"/>
      <c r="I110" s="7" t="n"/>
      <c r="J110" s="4" t="n"/>
      <c r="K110" s="4" t="n"/>
      <c r="L110" s="4">
        <f>IF(OR($G110&lt;&gt;"",$I110&lt;&gt;""),"확정","")</f>
        <v/>
      </c>
      <c r="M110" s="4">
        <f>IF(OR($G110&lt;&gt;"",$I110&lt;&gt;""),"신규","")</f>
        <v/>
      </c>
      <c r="N110" s="5">
        <f>IF($D110="","",$D110)</f>
        <v/>
      </c>
      <c r="O110" s="4" t="n"/>
      <c r="P110" s="3">
        <f>IF(NOT(OR($D110&lt;&gt;"",$F110&lt;&gt;"",$G110&lt;&gt;"",$H110&lt;&gt;"",$I110&lt;&gt;"")),"",IF(($D110="")+($F110="")+($I110="")+($J110="")+IF(AND($J110="법인카드",$K110=""),1,0)=0,"✔ 완료","⚠ 누락 "&amp;($D110="")+($F110="")+($I110="")+($J110="")+IF(AND($J110="법인카드",$K110=""),1,0)&amp;"칸"))</f>
        <v/>
      </c>
    </row>
    <row r="111">
      <c r="A111" s="3">
        <f>IF(OR(B111="",D111="",E111=""),"",B111&amp;"-"&amp;TEXT(D111,"yyyymmdd")&amp;"-"&amp;TEXT(E111,"000"))</f>
        <v/>
      </c>
      <c r="B111" s="4">
        <f>IF(OR($D111&lt;&gt;"",$F111&lt;&gt;"",$G111&lt;&gt;"",$H111&lt;&gt;"",$I111&lt;&gt;""),"연구","")</f>
        <v/>
      </c>
      <c r="C111" s="4">
        <f>IF(OR($D111&lt;&gt;"",$F111&lt;&gt;"",$G111&lt;&gt;"",$H111&lt;&gt;"",$I111&lt;&gt;""),"연구팀","")</f>
        <v/>
      </c>
      <c r="D111" s="5" t="n"/>
      <c r="E111" s="6">
        <f>IF($D111="","",COUNTIF($D$2:$D111,$D111))</f>
        <v/>
      </c>
      <c r="F111" s="5" t="n"/>
      <c r="G111" s="4" t="n"/>
      <c r="H111" s="4" t="n"/>
      <c r="I111" s="7" t="n"/>
      <c r="J111" s="4" t="n"/>
      <c r="K111" s="4" t="n"/>
      <c r="L111" s="4">
        <f>IF(OR($G111&lt;&gt;"",$I111&lt;&gt;""),"확정","")</f>
        <v/>
      </c>
      <c r="M111" s="4">
        <f>IF(OR($G111&lt;&gt;"",$I111&lt;&gt;""),"신규","")</f>
        <v/>
      </c>
      <c r="N111" s="5">
        <f>IF($D111="","",$D111)</f>
        <v/>
      </c>
      <c r="O111" s="4" t="n"/>
      <c r="P111" s="3">
        <f>IF(NOT(OR($D111&lt;&gt;"",$F111&lt;&gt;"",$G111&lt;&gt;"",$H111&lt;&gt;"",$I111&lt;&gt;"")),"",IF(($D111="")+($F111="")+($I111="")+($J111="")+IF(AND($J111="법인카드",$K111=""),1,0)=0,"✔ 완료","⚠ 누락 "&amp;($D111="")+($F111="")+($I111="")+($J111="")+IF(AND($J111="법인카드",$K111=""),1,0)&amp;"칸"))</f>
        <v/>
      </c>
    </row>
    <row r="112">
      <c r="A112" s="3">
        <f>IF(OR(B112="",D112="",E112=""),"",B112&amp;"-"&amp;TEXT(D112,"yyyymmdd")&amp;"-"&amp;TEXT(E112,"000"))</f>
        <v/>
      </c>
      <c r="B112" s="4">
        <f>IF(OR($D112&lt;&gt;"",$F112&lt;&gt;"",$G112&lt;&gt;"",$H112&lt;&gt;"",$I112&lt;&gt;""),"연구","")</f>
        <v/>
      </c>
      <c r="C112" s="4">
        <f>IF(OR($D112&lt;&gt;"",$F112&lt;&gt;"",$G112&lt;&gt;"",$H112&lt;&gt;"",$I112&lt;&gt;""),"연구팀","")</f>
        <v/>
      </c>
      <c r="D112" s="5" t="n"/>
      <c r="E112" s="6">
        <f>IF($D112="","",COUNTIF($D$2:$D112,$D112))</f>
        <v/>
      </c>
      <c r="F112" s="5" t="n"/>
      <c r="G112" s="4" t="n"/>
      <c r="H112" s="4" t="n"/>
      <c r="I112" s="7" t="n"/>
      <c r="J112" s="4" t="n"/>
      <c r="K112" s="4" t="n"/>
      <c r="L112" s="4">
        <f>IF(OR($G112&lt;&gt;"",$I112&lt;&gt;""),"확정","")</f>
        <v/>
      </c>
      <c r="M112" s="4">
        <f>IF(OR($G112&lt;&gt;"",$I112&lt;&gt;""),"신규","")</f>
        <v/>
      </c>
      <c r="N112" s="5">
        <f>IF($D112="","",$D112)</f>
        <v/>
      </c>
      <c r="O112" s="4" t="n"/>
      <c r="P112" s="3">
        <f>IF(NOT(OR($D112&lt;&gt;"",$F112&lt;&gt;"",$G112&lt;&gt;"",$H112&lt;&gt;"",$I112&lt;&gt;"")),"",IF(($D112="")+($F112="")+($I112="")+($J112="")+IF(AND($J112="법인카드",$K112=""),1,0)=0,"✔ 완료","⚠ 누락 "&amp;($D112="")+($F112="")+($I112="")+($J112="")+IF(AND($J112="법인카드",$K112=""),1,0)&amp;"칸"))</f>
        <v/>
      </c>
    </row>
    <row r="113">
      <c r="A113" s="3">
        <f>IF(OR(B113="",D113="",E113=""),"",B113&amp;"-"&amp;TEXT(D113,"yyyymmdd")&amp;"-"&amp;TEXT(E113,"000"))</f>
        <v/>
      </c>
      <c r="B113" s="4">
        <f>IF(OR($D113&lt;&gt;"",$F113&lt;&gt;"",$G113&lt;&gt;"",$H113&lt;&gt;"",$I113&lt;&gt;""),"연구","")</f>
        <v/>
      </c>
      <c r="C113" s="4">
        <f>IF(OR($D113&lt;&gt;"",$F113&lt;&gt;"",$G113&lt;&gt;"",$H113&lt;&gt;"",$I113&lt;&gt;""),"연구팀","")</f>
        <v/>
      </c>
      <c r="D113" s="5" t="n"/>
      <c r="E113" s="6">
        <f>IF($D113="","",COUNTIF($D$2:$D113,$D113))</f>
        <v/>
      </c>
      <c r="F113" s="5" t="n"/>
      <c r="G113" s="4" t="n"/>
      <c r="H113" s="4" t="n"/>
      <c r="I113" s="7" t="n"/>
      <c r="J113" s="4" t="n"/>
      <c r="K113" s="4" t="n"/>
      <c r="L113" s="4">
        <f>IF(OR($G113&lt;&gt;"",$I113&lt;&gt;""),"확정","")</f>
        <v/>
      </c>
      <c r="M113" s="4">
        <f>IF(OR($G113&lt;&gt;"",$I113&lt;&gt;""),"신규","")</f>
        <v/>
      </c>
      <c r="N113" s="5">
        <f>IF($D113="","",$D113)</f>
        <v/>
      </c>
      <c r="O113" s="4" t="n"/>
      <c r="P113" s="3">
        <f>IF(NOT(OR($D113&lt;&gt;"",$F113&lt;&gt;"",$G113&lt;&gt;"",$H113&lt;&gt;"",$I113&lt;&gt;"")),"",IF(($D113="")+($F113="")+($I113="")+($J113="")+IF(AND($J113="법인카드",$K113=""),1,0)=0,"✔ 완료","⚠ 누락 "&amp;($D113="")+($F113="")+($I113="")+($J113="")+IF(AND($J113="법인카드",$K113=""),1,0)&amp;"칸"))</f>
        <v/>
      </c>
    </row>
    <row r="114">
      <c r="A114" s="3">
        <f>IF(OR(B114="",D114="",E114=""),"",B114&amp;"-"&amp;TEXT(D114,"yyyymmdd")&amp;"-"&amp;TEXT(E114,"000"))</f>
        <v/>
      </c>
      <c r="B114" s="4">
        <f>IF(OR($D114&lt;&gt;"",$F114&lt;&gt;"",$G114&lt;&gt;"",$H114&lt;&gt;"",$I114&lt;&gt;""),"연구","")</f>
        <v/>
      </c>
      <c r="C114" s="4">
        <f>IF(OR($D114&lt;&gt;"",$F114&lt;&gt;"",$G114&lt;&gt;"",$H114&lt;&gt;"",$I114&lt;&gt;""),"연구팀","")</f>
        <v/>
      </c>
      <c r="D114" s="5" t="n"/>
      <c r="E114" s="6">
        <f>IF($D114="","",COUNTIF($D$2:$D114,$D114))</f>
        <v/>
      </c>
      <c r="F114" s="5" t="n"/>
      <c r="G114" s="4" t="n"/>
      <c r="H114" s="4" t="n"/>
      <c r="I114" s="7" t="n"/>
      <c r="J114" s="4" t="n"/>
      <c r="K114" s="4" t="n"/>
      <c r="L114" s="4">
        <f>IF(OR($G114&lt;&gt;"",$I114&lt;&gt;""),"확정","")</f>
        <v/>
      </c>
      <c r="M114" s="4">
        <f>IF(OR($G114&lt;&gt;"",$I114&lt;&gt;""),"신규","")</f>
        <v/>
      </c>
      <c r="N114" s="5">
        <f>IF($D114="","",$D114)</f>
        <v/>
      </c>
      <c r="O114" s="4" t="n"/>
      <c r="P114" s="3">
        <f>IF(NOT(OR($D114&lt;&gt;"",$F114&lt;&gt;"",$G114&lt;&gt;"",$H114&lt;&gt;"",$I114&lt;&gt;"")),"",IF(($D114="")+($F114="")+($I114="")+($J114="")+IF(AND($J114="법인카드",$K114=""),1,0)=0,"✔ 완료","⚠ 누락 "&amp;($D114="")+($F114="")+($I114="")+($J114="")+IF(AND($J114="법인카드",$K114=""),1,0)&amp;"칸"))</f>
        <v/>
      </c>
    </row>
    <row r="115">
      <c r="A115" s="3">
        <f>IF(OR(B115="",D115="",E115=""),"",B115&amp;"-"&amp;TEXT(D115,"yyyymmdd")&amp;"-"&amp;TEXT(E115,"000"))</f>
        <v/>
      </c>
      <c r="B115" s="4">
        <f>IF(OR($D115&lt;&gt;"",$F115&lt;&gt;"",$G115&lt;&gt;"",$H115&lt;&gt;"",$I115&lt;&gt;""),"연구","")</f>
        <v/>
      </c>
      <c r="C115" s="4">
        <f>IF(OR($D115&lt;&gt;"",$F115&lt;&gt;"",$G115&lt;&gt;"",$H115&lt;&gt;"",$I115&lt;&gt;""),"연구팀","")</f>
        <v/>
      </c>
      <c r="D115" s="5" t="n"/>
      <c r="E115" s="6">
        <f>IF($D115="","",COUNTIF($D$2:$D115,$D115))</f>
        <v/>
      </c>
      <c r="F115" s="5" t="n"/>
      <c r="G115" s="4" t="n"/>
      <c r="H115" s="4" t="n"/>
      <c r="I115" s="7" t="n"/>
      <c r="J115" s="4" t="n"/>
      <c r="K115" s="4" t="n"/>
      <c r="L115" s="4">
        <f>IF(OR($G115&lt;&gt;"",$I115&lt;&gt;""),"확정","")</f>
        <v/>
      </c>
      <c r="M115" s="4">
        <f>IF(OR($G115&lt;&gt;"",$I115&lt;&gt;""),"신규","")</f>
        <v/>
      </c>
      <c r="N115" s="5">
        <f>IF($D115="","",$D115)</f>
        <v/>
      </c>
      <c r="O115" s="4" t="n"/>
      <c r="P115" s="3">
        <f>IF(NOT(OR($D115&lt;&gt;"",$F115&lt;&gt;"",$G115&lt;&gt;"",$H115&lt;&gt;"",$I115&lt;&gt;"")),"",IF(($D115="")+($F115="")+($I115="")+($J115="")+IF(AND($J115="법인카드",$K115=""),1,0)=0,"✔ 완료","⚠ 누락 "&amp;($D115="")+($F115="")+($I115="")+($J115="")+IF(AND($J115="법인카드",$K115=""),1,0)&amp;"칸"))</f>
        <v/>
      </c>
    </row>
    <row r="116">
      <c r="A116" s="3">
        <f>IF(OR(B116="",D116="",E116=""),"",B116&amp;"-"&amp;TEXT(D116,"yyyymmdd")&amp;"-"&amp;TEXT(E116,"000"))</f>
        <v/>
      </c>
      <c r="B116" s="4">
        <f>IF(OR($D116&lt;&gt;"",$F116&lt;&gt;"",$G116&lt;&gt;"",$H116&lt;&gt;"",$I116&lt;&gt;""),"연구","")</f>
        <v/>
      </c>
      <c r="C116" s="4">
        <f>IF(OR($D116&lt;&gt;"",$F116&lt;&gt;"",$G116&lt;&gt;"",$H116&lt;&gt;"",$I116&lt;&gt;""),"연구팀","")</f>
        <v/>
      </c>
      <c r="D116" s="5" t="n"/>
      <c r="E116" s="6">
        <f>IF($D116="","",COUNTIF($D$2:$D116,$D116))</f>
        <v/>
      </c>
      <c r="F116" s="5" t="n"/>
      <c r="G116" s="4" t="n"/>
      <c r="H116" s="4" t="n"/>
      <c r="I116" s="7" t="n"/>
      <c r="J116" s="4" t="n"/>
      <c r="K116" s="4" t="n"/>
      <c r="L116" s="4">
        <f>IF(OR($G116&lt;&gt;"",$I116&lt;&gt;""),"확정","")</f>
        <v/>
      </c>
      <c r="M116" s="4">
        <f>IF(OR($G116&lt;&gt;"",$I116&lt;&gt;""),"신규","")</f>
        <v/>
      </c>
      <c r="N116" s="5">
        <f>IF($D116="","",$D116)</f>
        <v/>
      </c>
      <c r="O116" s="4" t="n"/>
      <c r="P116" s="3">
        <f>IF(NOT(OR($D116&lt;&gt;"",$F116&lt;&gt;"",$G116&lt;&gt;"",$H116&lt;&gt;"",$I116&lt;&gt;"")),"",IF(($D116="")+($F116="")+($I116="")+($J116="")+IF(AND($J116="법인카드",$K116=""),1,0)=0,"✔ 완료","⚠ 누락 "&amp;($D116="")+($F116="")+($I116="")+($J116="")+IF(AND($J116="법인카드",$K116=""),1,0)&amp;"칸"))</f>
        <v/>
      </c>
    </row>
    <row r="117">
      <c r="A117" s="3">
        <f>IF(OR(B117="",D117="",E117=""),"",B117&amp;"-"&amp;TEXT(D117,"yyyymmdd")&amp;"-"&amp;TEXT(E117,"000"))</f>
        <v/>
      </c>
      <c r="B117" s="4">
        <f>IF(OR($D117&lt;&gt;"",$F117&lt;&gt;"",$G117&lt;&gt;"",$H117&lt;&gt;"",$I117&lt;&gt;""),"연구","")</f>
        <v/>
      </c>
      <c r="C117" s="4">
        <f>IF(OR($D117&lt;&gt;"",$F117&lt;&gt;"",$G117&lt;&gt;"",$H117&lt;&gt;"",$I117&lt;&gt;""),"연구팀","")</f>
        <v/>
      </c>
      <c r="D117" s="5" t="n"/>
      <c r="E117" s="6">
        <f>IF($D117="","",COUNTIF($D$2:$D117,$D117))</f>
        <v/>
      </c>
      <c r="F117" s="5" t="n"/>
      <c r="G117" s="4" t="n"/>
      <c r="H117" s="4" t="n"/>
      <c r="I117" s="7" t="n"/>
      <c r="J117" s="4" t="n"/>
      <c r="K117" s="4" t="n"/>
      <c r="L117" s="4">
        <f>IF(OR($G117&lt;&gt;"",$I117&lt;&gt;""),"확정","")</f>
        <v/>
      </c>
      <c r="M117" s="4">
        <f>IF(OR($G117&lt;&gt;"",$I117&lt;&gt;""),"신규","")</f>
        <v/>
      </c>
      <c r="N117" s="5">
        <f>IF($D117="","",$D117)</f>
        <v/>
      </c>
      <c r="O117" s="4" t="n"/>
      <c r="P117" s="3">
        <f>IF(NOT(OR($D117&lt;&gt;"",$F117&lt;&gt;"",$G117&lt;&gt;"",$H117&lt;&gt;"",$I117&lt;&gt;"")),"",IF(($D117="")+($F117="")+($I117="")+($J117="")+IF(AND($J117="법인카드",$K117=""),1,0)=0,"✔ 완료","⚠ 누락 "&amp;($D117="")+($F117="")+($I117="")+($J117="")+IF(AND($J117="법인카드",$K117=""),1,0)&amp;"칸"))</f>
        <v/>
      </c>
    </row>
    <row r="118">
      <c r="A118" s="3">
        <f>IF(OR(B118="",D118="",E118=""),"",B118&amp;"-"&amp;TEXT(D118,"yyyymmdd")&amp;"-"&amp;TEXT(E118,"000"))</f>
        <v/>
      </c>
      <c r="B118" s="4">
        <f>IF(OR($D118&lt;&gt;"",$F118&lt;&gt;"",$G118&lt;&gt;"",$H118&lt;&gt;"",$I118&lt;&gt;""),"연구","")</f>
        <v/>
      </c>
      <c r="C118" s="4">
        <f>IF(OR($D118&lt;&gt;"",$F118&lt;&gt;"",$G118&lt;&gt;"",$H118&lt;&gt;"",$I118&lt;&gt;""),"연구팀","")</f>
        <v/>
      </c>
      <c r="D118" s="5" t="n"/>
      <c r="E118" s="6">
        <f>IF($D118="","",COUNTIF($D$2:$D118,$D118))</f>
        <v/>
      </c>
      <c r="F118" s="5" t="n"/>
      <c r="G118" s="4" t="n"/>
      <c r="H118" s="4" t="n"/>
      <c r="I118" s="7" t="n"/>
      <c r="J118" s="4" t="n"/>
      <c r="K118" s="4" t="n"/>
      <c r="L118" s="4">
        <f>IF(OR($G118&lt;&gt;"",$I118&lt;&gt;""),"확정","")</f>
        <v/>
      </c>
      <c r="M118" s="4">
        <f>IF(OR($G118&lt;&gt;"",$I118&lt;&gt;""),"신규","")</f>
        <v/>
      </c>
      <c r="N118" s="5">
        <f>IF($D118="","",$D118)</f>
        <v/>
      </c>
      <c r="O118" s="4" t="n"/>
      <c r="P118" s="3">
        <f>IF(NOT(OR($D118&lt;&gt;"",$F118&lt;&gt;"",$G118&lt;&gt;"",$H118&lt;&gt;"",$I118&lt;&gt;"")),"",IF(($D118="")+($F118="")+($I118="")+($J118="")+IF(AND($J118="법인카드",$K118=""),1,0)=0,"✔ 완료","⚠ 누락 "&amp;($D118="")+($F118="")+($I118="")+($J118="")+IF(AND($J118="법인카드",$K118=""),1,0)&amp;"칸"))</f>
        <v/>
      </c>
    </row>
    <row r="119">
      <c r="A119" s="3">
        <f>IF(OR(B119="",D119="",E119=""),"",B119&amp;"-"&amp;TEXT(D119,"yyyymmdd")&amp;"-"&amp;TEXT(E119,"000"))</f>
        <v/>
      </c>
      <c r="B119" s="4">
        <f>IF(OR($D119&lt;&gt;"",$F119&lt;&gt;"",$G119&lt;&gt;"",$H119&lt;&gt;"",$I119&lt;&gt;""),"연구","")</f>
        <v/>
      </c>
      <c r="C119" s="4">
        <f>IF(OR($D119&lt;&gt;"",$F119&lt;&gt;"",$G119&lt;&gt;"",$H119&lt;&gt;"",$I119&lt;&gt;""),"연구팀","")</f>
        <v/>
      </c>
      <c r="D119" s="5" t="n"/>
      <c r="E119" s="6">
        <f>IF($D119="","",COUNTIF($D$2:$D119,$D119))</f>
        <v/>
      </c>
      <c r="F119" s="5" t="n"/>
      <c r="G119" s="4" t="n"/>
      <c r="H119" s="4" t="n"/>
      <c r="I119" s="7" t="n"/>
      <c r="J119" s="4" t="n"/>
      <c r="K119" s="4" t="n"/>
      <c r="L119" s="4">
        <f>IF(OR($G119&lt;&gt;"",$I119&lt;&gt;""),"확정","")</f>
        <v/>
      </c>
      <c r="M119" s="4">
        <f>IF(OR($G119&lt;&gt;"",$I119&lt;&gt;""),"신규","")</f>
        <v/>
      </c>
      <c r="N119" s="5">
        <f>IF($D119="","",$D119)</f>
        <v/>
      </c>
      <c r="O119" s="4" t="n"/>
      <c r="P119" s="3">
        <f>IF(NOT(OR($D119&lt;&gt;"",$F119&lt;&gt;"",$G119&lt;&gt;"",$H119&lt;&gt;"",$I119&lt;&gt;"")),"",IF(($D119="")+($F119="")+($I119="")+($J119="")+IF(AND($J119="법인카드",$K119=""),1,0)=0,"✔ 완료","⚠ 누락 "&amp;($D119="")+($F119="")+($I119="")+($J119="")+IF(AND($J119="법인카드",$K119=""),1,0)&amp;"칸"))</f>
        <v/>
      </c>
    </row>
    <row r="120">
      <c r="A120" s="3">
        <f>IF(OR(B120="",D120="",E120=""),"",B120&amp;"-"&amp;TEXT(D120,"yyyymmdd")&amp;"-"&amp;TEXT(E120,"000"))</f>
        <v/>
      </c>
      <c r="B120" s="4">
        <f>IF(OR($D120&lt;&gt;"",$F120&lt;&gt;"",$G120&lt;&gt;"",$H120&lt;&gt;"",$I120&lt;&gt;""),"연구","")</f>
        <v/>
      </c>
      <c r="C120" s="4">
        <f>IF(OR($D120&lt;&gt;"",$F120&lt;&gt;"",$G120&lt;&gt;"",$H120&lt;&gt;"",$I120&lt;&gt;""),"연구팀","")</f>
        <v/>
      </c>
      <c r="D120" s="5" t="n"/>
      <c r="E120" s="6">
        <f>IF($D120="","",COUNTIF($D$2:$D120,$D120))</f>
        <v/>
      </c>
      <c r="F120" s="5" t="n"/>
      <c r="G120" s="4" t="n"/>
      <c r="H120" s="4" t="n"/>
      <c r="I120" s="7" t="n"/>
      <c r="J120" s="4" t="n"/>
      <c r="K120" s="4" t="n"/>
      <c r="L120" s="4">
        <f>IF(OR($G120&lt;&gt;"",$I120&lt;&gt;""),"확정","")</f>
        <v/>
      </c>
      <c r="M120" s="4">
        <f>IF(OR($G120&lt;&gt;"",$I120&lt;&gt;""),"신규","")</f>
        <v/>
      </c>
      <c r="N120" s="5">
        <f>IF($D120="","",$D120)</f>
        <v/>
      </c>
      <c r="O120" s="4" t="n"/>
      <c r="P120" s="3">
        <f>IF(NOT(OR($D120&lt;&gt;"",$F120&lt;&gt;"",$G120&lt;&gt;"",$H120&lt;&gt;"",$I120&lt;&gt;"")),"",IF(($D120="")+($F120="")+($I120="")+($J120="")+IF(AND($J120="법인카드",$K120=""),1,0)=0,"✔ 완료","⚠ 누락 "&amp;($D120="")+($F120="")+($I120="")+($J120="")+IF(AND($J120="법인카드",$K120=""),1,0)&amp;"칸"))</f>
        <v/>
      </c>
    </row>
    <row r="121">
      <c r="A121" s="3">
        <f>IF(OR(B121="",D121="",E121=""),"",B121&amp;"-"&amp;TEXT(D121,"yyyymmdd")&amp;"-"&amp;TEXT(E121,"000"))</f>
        <v/>
      </c>
      <c r="B121" s="4">
        <f>IF(OR($D121&lt;&gt;"",$F121&lt;&gt;"",$G121&lt;&gt;"",$H121&lt;&gt;"",$I121&lt;&gt;""),"연구","")</f>
        <v/>
      </c>
      <c r="C121" s="4">
        <f>IF(OR($D121&lt;&gt;"",$F121&lt;&gt;"",$G121&lt;&gt;"",$H121&lt;&gt;"",$I121&lt;&gt;""),"연구팀","")</f>
        <v/>
      </c>
      <c r="D121" s="5" t="n"/>
      <c r="E121" s="6">
        <f>IF($D121="","",COUNTIF($D$2:$D121,$D121))</f>
        <v/>
      </c>
      <c r="F121" s="5" t="n"/>
      <c r="G121" s="4" t="n"/>
      <c r="H121" s="4" t="n"/>
      <c r="I121" s="7" t="n"/>
      <c r="J121" s="4" t="n"/>
      <c r="K121" s="4" t="n"/>
      <c r="L121" s="4">
        <f>IF(OR($G121&lt;&gt;"",$I121&lt;&gt;""),"확정","")</f>
        <v/>
      </c>
      <c r="M121" s="4">
        <f>IF(OR($G121&lt;&gt;"",$I121&lt;&gt;""),"신규","")</f>
        <v/>
      </c>
      <c r="N121" s="5">
        <f>IF($D121="","",$D121)</f>
        <v/>
      </c>
      <c r="O121" s="4" t="n"/>
      <c r="P121" s="3">
        <f>IF(NOT(OR($D121&lt;&gt;"",$F121&lt;&gt;"",$G121&lt;&gt;"",$H121&lt;&gt;"",$I121&lt;&gt;"")),"",IF(($D121="")+($F121="")+($I121="")+($J121="")+IF(AND($J121="법인카드",$K121=""),1,0)=0,"✔ 완료","⚠ 누락 "&amp;($D121="")+($F121="")+($I121="")+($J121="")+IF(AND($J121="법인카드",$K121=""),1,0)&amp;"칸"))</f>
        <v/>
      </c>
    </row>
    <row r="122">
      <c r="A122" s="3">
        <f>IF(OR(B122="",D122="",E122=""),"",B122&amp;"-"&amp;TEXT(D122,"yyyymmdd")&amp;"-"&amp;TEXT(E122,"000"))</f>
        <v/>
      </c>
      <c r="B122" s="4">
        <f>IF(OR($D122&lt;&gt;"",$F122&lt;&gt;"",$G122&lt;&gt;"",$H122&lt;&gt;"",$I122&lt;&gt;""),"연구","")</f>
        <v/>
      </c>
      <c r="C122" s="4">
        <f>IF(OR($D122&lt;&gt;"",$F122&lt;&gt;"",$G122&lt;&gt;"",$H122&lt;&gt;"",$I122&lt;&gt;""),"연구팀","")</f>
        <v/>
      </c>
      <c r="D122" s="5" t="n"/>
      <c r="E122" s="6">
        <f>IF($D122="","",COUNTIF($D$2:$D122,$D122))</f>
        <v/>
      </c>
      <c r="F122" s="5" t="n"/>
      <c r="G122" s="4" t="n"/>
      <c r="H122" s="4" t="n"/>
      <c r="I122" s="7" t="n"/>
      <c r="J122" s="4" t="n"/>
      <c r="K122" s="4" t="n"/>
      <c r="L122" s="4">
        <f>IF(OR($G122&lt;&gt;"",$I122&lt;&gt;""),"확정","")</f>
        <v/>
      </c>
      <c r="M122" s="4">
        <f>IF(OR($G122&lt;&gt;"",$I122&lt;&gt;""),"신규","")</f>
        <v/>
      </c>
      <c r="N122" s="5">
        <f>IF($D122="","",$D122)</f>
        <v/>
      </c>
      <c r="O122" s="4" t="n"/>
      <c r="P122" s="3">
        <f>IF(NOT(OR($D122&lt;&gt;"",$F122&lt;&gt;"",$G122&lt;&gt;"",$H122&lt;&gt;"",$I122&lt;&gt;"")),"",IF(($D122="")+($F122="")+($I122="")+($J122="")+IF(AND($J122="법인카드",$K122=""),1,0)=0,"✔ 완료","⚠ 누락 "&amp;($D122="")+($F122="")+($I122="")+($J122="")+IF(AND($J122="법인카드",$K122=""),1,0)&amp;"칸"))</f>
        <v/>
      </c>
    </row>
    <row r="123">
      <c r="A123" s="3">
        <f>IF(OR(B123="",D123="",E123=""),"",B123&amp;"-"&amp;TEXT(D123,"yyyymmdd")&amp;"-"&amp;TEXT(E123,"000"))</f>
        <v/>
      </c>
      <c r="B123" s="4">
        <f>IF(OR($D123&lt;&gt;"",$F123&lt;&gt;"",$G123&lt;&gt;"",$H123&lt;&gt;"",$I123&lt;&gt;""),"연구","")</f>
        <v/>
      </c>
      <c r="C123" s="4">
        <f>IF(OR($D123&lt;&gt;"",$F123&lt;&gt;"",$G123&lt;&gt;"",$H123&lt;&gt;"",$I123&lt;&gt;""),"연구팀","")</f>
        <v/>
      </c>
      <c r="D123" s="5" t="n"/>
      <c r="E123" s="6">
        <f>IF($D123="","",COUNTIF($D$2:$D123,$D123))</f>
        <v/>
      </c>
      <c r="F123" s="5" t="n"/>
      <c r="G123" s="4" t="n"/>
      <c r="H123" s="4" t="n"/>
      <c r="I123" s="7" t="n"/>
      <c r="J123" s="4" t="n"/>
      <c r="K123" s="4" t="n"/>
      <c r="L123" s="4">
        <f>IF(OR($G123&lt;&gt;"",$I123&lt;&gt;""),"확정","")</f>
        <v/>
      </c>
      <c r="M123" s="4">
        <f>IF(OR($G123&lt;&gt;"",$I123&lt;&gt;""),"신규","")</f>
        <v/>
      </c>
      <c r="N123" s="5">
        <f>IF($D123="","",$D123)</f>
        <v/>
      </c>
      <c r="O123" s="4" t="n"/>
      <c r="P123" s="3">
        <f>IF(NOT(OR($D123&lt;&gt;"",$F123&lt;&gt;"",$G123&lt;&gt;"",$H123&lt;&gt;"",$I123&lt;&gt;"")),"",IF(($D123="")+($F123="")+($I123="")+($J123="")+IF(AND($J123="법인카드",$K123=""),1,0)=0,"✔ 완료","⚠ 누락 "&amp;($D123="")+($F123="")+($I123="")+($J123="")+IF(AND($J123="법인카드",$K123=""),1,0)&amp;"칸"))</f>
        <v/>
      </c>
    </row>
    <row r="124">
      <c r="A124" s="3">
        <f>IF(OR(B124="",D124="",E124=""),"",B124&amp;"-"&amp;TEXT(D124,"yyyymmdd")&amp;"-"&amp;TEXT(E124,"000"))</f>
        <v/>
      </c>
      <c r="B124" s="4">
        <f>IF(OR($D124&lt;&gt;"",$F124&lt;&gt;"",$G124&lt;&gt;"",$H124&lt;&gt;"",$I124&lt;&gt;""),"연구","")</f>
        <v/>
      </c>
      <c r="C124" s="4">
        <f>IF(OR($D124&lt;&gt;"",$F124&lt;&gt;"",$G124&lt;&gt;"",$H124&lt;&gt;"",$I124&lt;&gt;""),"연구팀","")</f>
        <v/>
      </c>
      <c r="D124" s="5" t="n"/>
      <c r="E124" s="6">
        <f>IF($D124="","",COUNTIF($D$2:$D124,$D124))</f>
        <v/>
      </c>
      <c r="F124" s="5" t="n"/>
      <c r="G124" s="4" t="n"/>
      <c r="H124" s="4" t="n"/>
      <c r="I124" s="7" t="n"/>
      <c r="J124" s="4" t="n"/>
      <c r="K124" s="4" t="n"/>
      <c r="L124" s="4">
        <f>IF(OR($G124&lt;&gt;"",$I124&lt;&gt;""),"확정","")</f>
        <v/>
      </c>
      <c r="M124" s="4">
        <f>IF(OR($G124&lt;&gt;"",$I124&lt;&gt;""),"신규","")</f>
        <v/>
      </c>
      <c r="N124" s="5">
        <f>IF($D124="","",$D124)</f>
        <v/>
      </c>
      <c r="O124" s="4" t="n"/>
      <c r="P124" s="3">
        <f>IF(NOT(OR($D124&lt;&gt;"",$F124&lt;&gt;"",$G124&lt;&gt;"",$H124&lt;&gt;"",$I124&lt;&gt;"")),"",IF(($D124="")+($F124="")+($I124="")+($J124="")+IF(AND($J124="법인카드",$K124=""),1,0)=0,"✔ 완료","⚠ 누락 "&amp;($D124="")+($F124="")+($I124="")+($J124="")+IF(AND($J124="법인카드",$K124=""),1,0)&amp;"칸"))</f>
        <v/>
      </c>
    </row>
    <row r="125">
      <c r="A125" s="3">
        <f>IF(OR(B125="",D125="",E125=""),"",B125&amp;"-"&amp;TEXT(D125,"yyyymmdd")&amp;"-"&amp;TEXT(E125,"000"))</f>
        <v/>
      </c>
      <c r="B125" s="4">
        <f>IF(OR($D125&lt;&gt;"",$F125&lt;&gt;"",$G125&lt;&gt;"",$H125&lt;&gt;"",$I125&lt;&gt;""),"연구","")</f>
        <v/>
      </c>
      <c r="C125" s="4">
        <f>IF(OR($D125&lt;&gt;"",$F125&lt;&gt;"",$G125&lt;&gt;"",$H125&lt;&gt;"",$I125&lt;&gt;""),"연구팀","")</f>
        <v/>
      </c>
      <c r="D125" s="5" t="n"/>
      <c r="E125" s="6">
        <f>IF($D125="","",COUNTIF($D$2:$D125,$D125))</f>
        <v/>
      </c>
      <c r="F125" s="5" t="n"/>
      <c r="G125" s="4" t="n"/>
      <c r="H125" s="4" t="n"/>
      <c r="I125" s="7" t="n"/>
      <c r="J125" s="4" t="n"/>
      <c r="K125" s="4" t="n"/>
      <c r="L125" s="4">
        <f>IF(OR($G125&lt;&gt;"",$I125&lt;&gt;""),"확정","")</f>
        <v/>
      </c>
      <c r="M125" s="4">
        <f>IF(OR($G125&lt;&gt;"",$I125&lt;&gt;""),"신규","")</f>
        <v/>
      </c>
      <c r="N125" s="5">
        <f>IF($D125="","",$D125)</f>
        <v/>
      </c>
      <c r="O125" s="4" t="n"/>
      <c r="P125" s="3">
        <f>IF(NOT(OR($D125&lt;&gt;"",$F125&lt;&gt;"",$G125&lt;&gt;"",$H125&lt;&gt;"",$I125&lt;&gt;"")),"",IF(($D125="")+($F125="")+($I125="")+($J125="")+IF(AND($J125="법인카드",$K125=""),1,0)=0,"✔ 완료","⚠ 누락 "&amp;($D125="")+($F125="")+($I125="")+($J125="")+IF(AND($J125="법인카드",$K125=""),1,0)&amp;"칸"))</f>
        <v/>
      </c>
    </row>
    <row r="126">
      <c r="A126" s="3">
        <f>IF(OR(B126="",D126="",E126=""),"",B126&amp;"-"&amp;TEXT(D126,"yyyymmdd")&amp;"-"&amp;TEXT(E126,"000"))</f>
        <v/>
      </c>
      <c r="B126" s="4">
        <f>IF(OR($D126&lt;&gt;"",$F126&lt;&gt;"",$G126&lt;&gt;"",$H126&lt;&gt;"",$I126&lt;&gt;""),"연구","")</f>
        <v/>
      </c>
      <c r="C126" s="4">
        <f>IF(OR($D126&lt;&gt;"",$F126&lt;&gt;"",$G126&lt;&gt;"",$H126&lt;&gt;"",$I126&lt;&gt;""),"연구팀","")</f>
        <v/>
      </c>
      <c r="D126" s="5" t="n"/>
      <c r="E126" s="6">
        <f>IF($D126="","",COUNTIF($D$2:$D126,$D126))</f>
        <v/>
      </c>
      <c r="F126" s="5" t="n"/>
      <c r="G126" s="4" t="n"/>
      <c r="H126" s="4" t="n"/>
      <c r="I126" s="7" t="n"/>
      <c r="J126" s="4" t="n"/>
      <c r="K126" s="4" t="n"/>
      <c r="L126" s="4">
        <f>IF(OR($G126&lt;&gt;"",$I126&lt;&gt;""),"확정","")</f>
        <v/>
      </c>
      <c r="M126" s="4">
        <f>IF(OR($G126&lt;&gt;"",$I126&lt;&gt;""),"신규","")</f>
        <v/>
      </c>
      <c r="N126" s="5">
        <f>IF($D126="","",$D126)</f>
        <v/>
      </c>
      <c r="O126" s="4" t="n"/>
      <c r="P126" s="3">
        <f>IF(NOT(OR($D126&lt;&gt;"",$F126&lt;&gt;"",$G126&lt;&gt;"",$H126&lt;&gt;"",$I126&lt;&gt;"")),"",IF(($D126="")+($F126="")+($I126="")+($J126="")+IF(AND($J126="법인카드",$K126=""),1,0)=0,"✔ 완료","⚠ 누락 "&amp;($D126="")+($F126="")+($I126="")+($J126="")+IF(AND($J126="법인카드",$K126=""),1,0)&amp;"칸"))</f>
        <v/>
      </c>
    </row>
    <row r="127">
      <c r="A127" s="3">
        <f>IF(OR(B127="",D127="",E127=""),"",B127&amp;"-"&amp;TEXT(D127,"yyyymmdd")&amp;"-"&amp;TEXT(E127,"000"))</f>
        <v/>
      </c>
      <c r="B127" s="4">
        <f>IF(OR($D127&lt;&gt;"",$F127&lt;&gt;"",$G127&lt;&gt;"",$H127&lt;&gt;"",$I127&lt;&gt;""),"연구","")</f>
        <v/>
      </c>
      <c r="C127" s="4">
        <f>IF(OR($D127&lt;&gt;"",$F127&lt;&gt;"",$G127&lt;&gt;"",$H127&lt;&gt;"",$I127&lt;&gt;""),"연구팀","")</f>
        <v/>
      </c>
      <c r="D127" s="5" t="n"/>
      <c r="E127" s="6">
        <f>IF($D127="","",COUNTIF($D$2:$D127,$D127))</f>
        <v/>
      </c>
      <c r="F127" s="5" t="n"/>
      <c r="G127" s="4" t="n"/>
      <c r="H127" s="4" t="n"/>
      <c r="I127" s="7" t="n"/>
      <c r="J127" s="4" t="n"/>
      <c r="K127" s="4" t="n"/>
      <c r="L127" s="4">
        <f>IF(OR($G127&lt;&gt;"",$I127&lt;&gt;""),"확정","")</f>
        <v/>
      </c>
      <c r="M127" s="4">
        <f>IF(OR($G127&lt;&gt;"",$I127&lt;&gt;""),"신규","")</f>
        <v/>
      </c>
      <c r="N127" s="5">
        <f>IF($D127="","",$D127)</f>
        <v/>
      </c>
      <c r="O127" s="4" t="n"/>
      <c r="P127" s="3">
        <f>IF(NOT(OR($D127&lt;&gt;"",$F127&lt;&gt;"",$G127&lt;&gt;"",$H127&lt;&gt;"",$I127&lt;&gt;"")),"",IF(($D127="")+($F127="")+($I127="")+($J127="")+IF(AND($J127="법인카드",$K127=""),1,0)=0,"✔ 완료","⚠ 누락 "&amp;($D127="")+($F127="")+($I127="")+($J127="")+IF(AND($J127="법인카드",$K127=""),1,0)&amp;"칸"))</f>
        <v/>
      </c>
    </row>
    <row r="128">
      <c r="A128" s="3">
        <f>IF(OR(B128="",D128="",E128=""),"",B128&amp;"-"&amp;TEXT(D128,"yyyymmdd")&amp;"-"&amp;TEXT(E128,"000"))</f>
        <v/>
      </c>
      <c r="B128" s="4">
        <f>IF(OR($D128&lt;&gt;"",$F128&lt;&gt;"",$G128&lt;&gt;"",$H128&lt;&gt;"",$I128&lt;&gt;""),"연구","")</f>
        <v/>
      </c>
      <c r="C128" s="4">
        <f>IF(OR($D128&lt;&gt;"",$F128&lt;&gt;"",$G128&lt;&gt;"",$H128&lt;&gt;"",$I128&lt;&gt;""),"연구팀","")</f>
        <v/>
      </c>
      <c r="D128" s="5" t="n"/>
      <c r="E128" s="6">
        <f>IF($D128="","",COUNTIF($D$2:$D128,$D128))</f>
        <v/>
      </c>
      <c r="F128" s="5" t="n"/>
      <c r="G128" s="4" t="n"/>
      <c r="H128" s="4" t="n"/>
      <c r="I128" s="7" t="n"/>
      <c r="J128" s="4" t="n"/>
      <c r="K128" s="4" t="n"/>
      <c r="L128" s="4">
        <f>IF(OR($G128&lt;&gt;"",$I128&lt;&gt;""),"확정","")</f>
        <v/>
      </c>
      <c r="M128" s="4">
        <f>IF(OR($G128&lt;&gt;"",$I128&lt;&gt;""),"신규","")</f>
        <v/>
      </c>
      <c r="N128" s="5">
        <f>IF($D128="","",$D128)</f>
        <v/>
      </c>
      <c r="O128" s="4" t="n"/>
      <c r="P128" s="3">
        <f>IF(NOT(OR($D128&lt;&gt;"",$F128&lt;&gt;"",$G128&lt;&gt;"",$H128&lt;&gt;"",$I128&lt;&gt;"")),"",IF(($D128="")+($F128="")+($I128="")+($J128="")+IF(AND($J128="법인카드",$K128=""),1,0)=0,"✔ 완료","⚠ 누락 "&amp;($D128="")+($F128="")+($I128="")+($J128="")+IF(AND($J128="법인카드",$K128=""),1,0)&amp;"칸"))</f>
        <v/>
      </c>
    </row>
    <row r="129">
      <c r="A129" s="3">
        <f>IF(OR(B129="",D129="",E129=""),"",B129&amp;"-"&amp;TEXT(D129,"yyyymmdd")&amp;"-"&amp;TEXT(E129,"000"))</f>
        <v/>
      </c>
      <c r="B129" s="4">
        <f>IF(OR($D129&lt;&gt;"",$F129&lt;&gt;"",$G129&lt;&gt;"",$H129&lt;&gt;"",$I129&lt;&gt;""),"연구","")</f>
        <v/>
      </c>
      <c r="C129" s="4">
        <f>IF(OR($D129&lt;&gt;"",$F129&lt;&gt;"",$G129&lt;&gt;"",$H129&lt;&gt;"",$I129&lt;&gt;""),"연구팀","")</f>
        <v/>
      </c>
      <c r="D129" s="5" t="n"/>
      <c r="E129" s="6">
        <f>IF($D129="","",COUNTIF($D$2:$D129,$D129))</f>
        <v/>
      </c>
      <c r="F129" s="5" t="n"/>
      <c r="G129" s="4" t="n"/>
      <c r="H129" s="4" t="n"/>
      <c r="I129" s="7" t="n"/>
      <c r="J129" s="4" t="n"/>
      <c r="K129" s="4" t="n"/>
      <c r="L129" s="4">
        <f>IF(OR($G129&lt;&gt;"",$I129&lt;&gt;""),"확정","")</f>
        <v/>
      </c>
      <c r="M129" s="4">
        <f>IF(OR($G129&lt;&gt;"",$I129&lt;&gt;""),"신규","")</f>
        <v/>
      </c>
      <c r="N129" s="5">
        <f>IF($D129="","",$D129)</f>
        <v/>
      </c>
      <c r="O129" s="4" t="n"/>
      <c r="P129" s="3">
        <f>IF(NOT(OR($D129&lt;&gt;"",$F129&lt;&gt;"",$G129&lt;&gt;"",$H129&lt;&gt;"",$I129&lt;&gt;"")),"",IF(($D129="")+($F129="")+($I129="")+($J129="")+IF(AND($J129="법인카드",$K129=""),1,0)=0,"✔ 완료","⚠ 누락 "&amp;($D129="")+($F129="")+($I129="")+($J129="")+IF(AND($J129="법인카드",$K129=""),1,0)&amp;"칸"))</f>
        <v/>
      </c>
    </row>
    <row r="130">
      <c r="A130" s="3">
        <f>IF(OR(B130="",D130="",E130=""),"",B130&amp;"-"&amp;TEXT(D130,"yyyymmdd")&amp;"-"&amp;TEXT(E130,"000"))</f>
        <v/>
      </c>
      <c r="B130" s="4">
        <f>IF(OR($D130&lt;&gt;"",$F130&lt;&gt;"",$G130&lt;&gt;"",$H130&lt;&gt;"",$I130&lt;&gt;""),"연구","")</f>
        <v/>
      </c>
      <c r="C130" s="4">
        <f>IF(OR($D130&lt;&gt;"",$F130&lt;&gt;"",$G130&lt;&gt;"",$H130&lt;&gt;"",$I130&lt;&gt;""),"연구팀","")</f>
        <v/>
      </c>
      <c r="D130" s="5" t="n"/>
      <c r="E130" s="6">
        <f>IF($D130="","",COUNTIF($D$2:$D130,$D130))</f>
        <v/>
      </c>
      <c r="F130" s="5" t="n"/>
      <c r="G130" s="4" t="n"/>
      <c r="H130" s="4" t="n"/>
      <c r="I130" s="7" t="n"/>
      <c r="J130" s="4" t="n"/>
      <c r="K130" s="4" t="n"/>
      <c r="L130" s="4">
        <f>IF(OR($G130&lt;&gt;"",$I130&lt;&gt;""),"확정","")</f>
        <v/>
      </c>
      <c r="M130" s="4">
        <f>IF(OR($G130&lt;&gt;"",$I130&lt;&gt;""),"신규","")</f>
        <v/>
      </c>
      <c r="N130" s="5">
        <f>IF($D130="","",$D130)</f>
        <v/>
      </c>
      <c r="O130" s="4" t="n"/>
      <c r="P130" s="3">
        <f>IF(NOT(OR($D130&lt;&gt;"",$F130&lt;&gt;"",$G130&lt;&gt;"",$H130&lt;&gt;"",$I130&lt;&gt;"")),"",IF(($D130="")+($F130="")+($I130="")+($J130="")+IF(AND($J130="법인카드",$K130=""),1,0)=0,"✔ 완료","⚠ 누락 "&amp;($D130="")+($F130="")+($I130="")+($J130="")+IF(AND($J130="법인카드",$K130=""),1,0)&amp;"칸"))</f>
        <v/>
      </c>
    </row>
    <row r="131">
      <c r="A131" s="3">
        <f>IF(OR(B131="",D131="",E131=""),"",B131&amp;"-"&amp;TEXT(D131,"yyyymmdd")&amp;"-"&amp;TEXT(E131,"000"))</f>
        <v/>
      </c>
      <c r="B131" s="4">
        <f>IF(OR($D131&lt;&gt;"",$F131&lt;&gt;"",$G131&lt;&gt;"",$H131&lt;&gt;"",$I131&lt;&gt;""),"연구","")</f>
        <v/>
      </c>
      <c r="C131" s="4">
        <f>IF(OR($D131&lt;&gt;"",$F131&lt;&gt;"",$G131&lt;&gt;"",$H131&lt;&gt;"",$I131&lt;&gt;""),"연구팀","")</f>
        <v/>
      </c>
      <c r="D131" s="5" t="n"/>
      <c r="E131" s="6">
        <f>IF($D131="","",COUNTIF($D$2:$D131,$D131))</f>
        <v/>
      </c>
      <c r="F131" s="5" t="n"/>
      <c r="G131" s="4" t="n"/>
      <c r="H131" s="4" t="n"/>
      <c r="I131" s="7" t="n"/>
      <c r="J131" s="4" t="n"/>
      <c r="K131" s="4" t="n"/>
      <c r="L131" s="4">
        <f>IF(OR($G131&lt;&gt;"",$I131&lt;&gt;""),"확정","")</f>
        <v/>
      </c>
      <c r="M131" s="4">
        <f>IF(OR($G131&lt;&gt;"",$I131&lt;&gt;""),"신규","")</f>
        <v/>
      </c>
      <c r="N131" s="5">
        <f>IF($D131="","",$D131)</f>
        <v/>
      </c>
      <c r="O131" s="4" t="n"/>
      <c r="P131" s="3">
        <f>IF(NOT(OR($D131&lt;&gt;"",$F131&lt;&gt;"",$G131&lt;&gt;"",$H131&lt;&gt;"",$I131&lt;&gt;"")),"",IF(($D131="")+($F131="")+($I131="")+($J131="")+IF(AND($J131="법인카드",$K131=""),1,0)=0,"✔ 완료","⚠ 누락 "&amp;($D131="")+($F131="")+($I131="")+($J131="")+IF(AND($J131="법인카드",$K131=""),1,0)&amp;"칸"))</f>
        <v/>
      </c>
    </row>
    <row r="132">
      <c r="A132" s="3">
        <f>IF(OR(B132="",D132="",E132=""),"",B132&amp;"-"&amp;TEXT(D132,"yyyymmdd")&amp;"-"&amp;TEXT(E132,"000"))</f>
        <v/>
      </c>
      <c r="B132" s="4">
        <f>IF(OR($D132&lt;&gt;"",$F132&lt;&gt;"",$G132&lt;&gt;"",$H132&lt;&gt;"",$I132&lt;&gt;""),"연구","")</f>
        <v/>
      </c>
      <c r="C132" s="4">
        <f>IF(OR($D132&lt;&gt;"",$F132&lt;&gt;"",$G132&lt;&gt;"",$H132&lt;&gt;"",$I132&lt;&gt;""),"연구팀","")</f>
        <v/>
      </c>
      <c r="D132" s="5" t="n"/>
      <c r="E132" s="6">
        <f>IF($D132="","",COUNTIF($D$2:$D132,$D132))</f>
        <v/>
      </c>
      <c r="F132" s="5" t="n"/>
      <c r="G132" s="4" t="n"/>
      <c r="H132" s="4" t="n"/>
      <c r="I132" s="7" t="n"/>
      <c r="J132" s="4" t="n"/>
      <c r="K132" s="4" t="n"/>
      <c r="L132" s="4">
        <f>IF(OR($G132&lt;&gt;"",$I132&lt;&gt;""),"확정","")</f>
        <v/>
      </c>
      <c r="M132" s="4">
        <f>IF(OR($G132&lt;&gt;"",$I132&lt;&gt;""),"신규","")</f>
        <v/>
      </c>
      <c r="N132" s="5">
        <f>IF($D132="","",$D132)</f>
        <v/>
      </c>
      <c r="O132" s="4" t="n"/>
      <c r="P132" s="3">
        <f>IF(NOT(OR($D132&lt;&gt;"",$F132&lt;&gt;"",$G132&lt;&gt;"",$H132&lt;&gt;"",$I132&lt;&gt;"")),"",IF(($D132="")+($F132="")+($I132="")+($J132="")+IF(AND($J132="법인카드",$K132=""),1,0)=0,"✔ 완료","⚠ 누락 "&amp;($D132="")+($F132="")+($I132="")+($J132="")+IF(AND($J132="법인카드",$K132=""),1,0)&amp;"칸"))</f>
        <v/>
      </c>
    </row>
    <row r="133">
      <c r="A133" s="3">
        <f>IF(OR(B133="",D133="",E133=""),"",B133&amp;"-"&amp;TEXT(D133,"yyyymmdd")&amp;"-"&amp;TEXT(E133,"000"))</f>
        <v/>
      </c>
      <c r="B133" s="4">
        <f>IF(OR($D133&lt;&gt;"",$F133&lt;&gt;"",$G133&lt;&gt;"",$H133&lt;&gt;"",$I133&lt;&gt;""),"연구","")</f>
        <v/>
      </c>
      <c r="C133" s="4">
        <f>IF(OR($D133&lt;&gt;"",$F133&lt;&gt;"",$G133&lt;&gt;"",$H133&lt;&gt;"",$I133&lt;&gt;""),"연구팀","")</f>
        <v/>
      </c>
      <c r="D133" s="5" t="n"/>
      <c r="E133" s="6">
        <f>IF($D133="","",COUNTIF($D$2:$D133,$D133))</f>
        <v/>
      </c>
      <c r="F133" s="5" t="n"/>
      <c r="G133" s="4" t="n"/>
      <c r="H133" s="4" t="n"/>
      <c r="I133" s="7" t="n"/>
      <c r="J133" s="4" t="n"/>
      <c r="K133" s="4" t="n"/>
      <c r="L133" s="4">
        <f>IF(OR($G133&lt;&gt;"",$I133&lt;&gt;""),"확정","")</f>
        <v/>
      </c>
      <c r="M133" s="4">
        <f>IF(OR($G133&lt;&gt;"",$I133&lt;&gt;""),"신규","")</f>
        <v/>
      </c>
      <c r="N133" s="5">
        <f>IF($D133="","",$D133)</f>
        <v/>
      </c>
      <c r="O133" s="4" t="n"/>
      <c r="P133" s="3">
        <f>IF(NOT(OR($D133&lt;&gt;"",$F133&lt;&gt;"",$G133&lt;&gt;"",$H133&lt;&gt;"",$I133&lt;&gt;"")),"",IF(($D133="")+($F133="")+($I133="")+($J133="")+IF(AND($J133="법인카드",$K133=""),1,0)=0,"✔ 완료","⚠ 누락 "&amp;($D133="")+($F133="")+($I133="")+($J133="")+IF(AND($J133="법인카드",$K133=""),1,0)&amp;"칸"))</f>
        <v/>
      </c>
    </row>
    <row r="134">
      <c r="A134" s="3">
        <f>IF(OR(B134="",D134="",E134=""),"",B134&amp;"-"&amp;TEXT(D134,"yyyymmdd")&amp;"-"&amp;TEXT(E134,"000"))</f>
        <v/>
      </c>
      <c r="B134" s="4">
        <f>IF(OR($D134&lt;&gt;"",$F134&lt;&gt;"",$G134&lt;&gt;"",$H134&lt;&gt;"",$I134&lt;&gt;""),"연구","")</f>
        <v/>
      </c>
      <c r="C134" s="4">
        <f>IF(OR($D134&lt;&gt;"",$F134&lt;&gt;"",$G134&lt;&gt;"",$H134&lt;&gt;"",$I134&lt;&gt;""),"연구팀","")</f>
        <v/>
      </c>
      <c r="D134" s="5" t="n"/>
      <c r="E134" s="6">
        <f>IF($D134="","",COUNTIF($D$2:$D134,$D134))</f>
        <v/>
      </c>
      <c r="F134" s="5" t="n"/>
      <c r="G134" s="4" t="n"/>
      <c r="H134" s="4" t="n"/>
      <c r="I134" s="7" t="n"/>
      <c r="J134" s="4" t="n"/>
      <c r="K134" s="4" t="n"/>
      <c r="L134" s="4">
        <f>IF(OR($G134&lt;&gt;"",$I134&lt;&gt;""),"확정","")</f>
        <v/>
      </c>
      <c r="M134" s="4">
        <f>IF(OR($G134&lt;&gt;"",$I134&lt;&gt;""),"신규","")</f>
        <v/>
      </c>
      <c r="N134" s="5">
        <f>IF($D134="","",$D134)</f>
        <v/>
      </c>
      <c r="O134" s="4" t="n"/>
      <c r="P134" s="3">
        <f>IF(NOT(OR($D134&lt;&gt;"",$F134&lt;&gt;"",$G134&lt;&gt;"",$H134&lt;&gt;"",$I134&lt;&gt;"")),"",IF(($D134="")+($F134="")+($I134="")+($J134="")+IF(AND($J134="법인카드",$K134=""),1,0)=0,"✔ 완료","⚠ 누락 "&amp;($D134="")+($F134="")+($I134="")+($J134="")+IF(AND($J134="법인카드",$K134=""),1,0)&amp;"칸"))</f>
        <v/>
      </c>
    </row>
    <row r="135">
      <c r="A135" s="3">
        <f>IF(OR(B135="",D135="",E135=""),"",B135&amp;"-"&amp;TEXT(D135,"yyyymmdd")&amp;"-"&amp;TEXT(E135,"000"))</f>
        <v/>
      </c>
      <c r="B135" s="4">
        <f>IF(OR($D135&lt;&gt;"",$F135&lt;&gt;"",$G135&lt;&gt;"",$H135&lt;&gt;"",$I135&lt;&gt;""),"연구","")</f>
        <v/>
      </c>
      <c r="C135" s="4">
        <f>IF(OR($D135&lt;&gt;"",$F135&lt;&gt;"",$G135&lt;&gt;"",$H135&lt;&gt;"",$I135&lt;&gt;""),"연구팀","")</f>
        <v/>
      </c>
      <c r="D135" s="5" t="n"/>
      <c r="E135" s="6">
        <f>IF($D135="","",COUNTIF($D$2:$D135,$D135))</f>
        <v/>
      </c>
      <c r="F135" s="5" t="n"/>
      <c r="G135" s="4" t="n"/>
      <c r="H135" s="4" t="n"/>
      <c r="I135" s="7" t="n"/>
      <c r="J135" s="4" t="n"/>
      <c r="K135" s="4" t="n"/>
      <c r="L135" s="4">
        <f>IF(OR($G135&lt;&gt;"",$I135&lt;&gt;""),"확정","")</f>
        <v/>
      </c>
      <c r="M135" s="4">
        <f>IF(OR($G135&lt;&gt;"",$I135&lt;&gt;""),"신규","")</f>
        <v/>
      </c>
      <c r="N135" s="5">
        <f>IF($D135="","",$D135)</f>
        <v/>
      </c>
      <c r="O135" s="4" t="n"/>
      <c r="P135" s="3">
        <f>IF(NOT(OR($D135&lt;&gt;"",$F135&lt;&gt;"",$G135&lt;&gt;"",$H135&lt;&gt;"",$I135&lt;&gt;"")),"",IF(($D135="")+($F135="")+($I135="")+($J135="")+IF(AND($J135="법인카드",$K135=""),1,0)=0,"✔ 완료","⚠ 누락 "&amp;($D135="")+($F135="")+($I135="")+($J135="")+IF(AND($J135="법인카드",$K135=""),1,0)&amp;"칸"))</f>
        <v/>
      </c>
    </row>
    <row r="136">
      <c r="A136" s="3">
        <f>IF(OR(B136="",D136="",E136=""),"",B136&amp;"-"&amp;TEXT(D136,"yyyymmdd")&amp;"-"&amp;TEXT(E136,"000"))</f>
        <v/>
      </c>
      <c r="B136" s="4">
        <f>IF(OR($D136&lt;&gt;"",$F136&lt;&gt;"",$G136&lt;&gt;"",$H136&lt;&gt;"",$I136&lt;&gt;""),"연구","")</f>
        <v/>
      </c>
      <c r="C136" s="4">
        <f>IF(OR($D136&lt;&gt;"",$F136&lt;&gt;"",$G136&lt;&gt;"",$H136&lt;&gt;"",$I136&lt;&gt;""),"연구팀","")</f>
        <v/>
      </c>
      <c r="D136" s="5" t="n"/>
      <c r="E136" s="6">
        <f>IF($D136="","",COUNTIF($D$2:$D136,$D136))</f>
        <v/>
      </c>
      <c r="F136" s="5" t="n"/>
      <c r="G136" s="4" t="n"/>
      <c r="H136" s="4" t="n"/>
      <c r="I136" s="7" t="n"/>
      <c r="J136" s="4" t="n"/>
      <c r="K136" s="4" t="n"/>
      <c r="L136" s="4">
        <f>IF(OR($G136&lt;&gt;"",$I136&lt;&gt;""),"확정","")</f>
        <v/>
      </c>
      <c r="M136" s="4">
        <f>IF(OR($G136&lt;&gt;"",$I136&lt;&gt;""),"신규","")</f>
        <v/>
      </c>
      <c r="N136" s="5">
        <f>IF($D136="","",$D136)</f>
        <v/>
      </c>
      <c r="O136" s="4" t="n"/>
      <c r="P136" s="3">
        <f>IF(NOT(OR($D136&lt;&gt;"",$F136&lt;&gt;"",$G136&lt;&gt;"",$H136&lt;&gt;"",$I136&lt;&gt;"")),"",IF(($D136="")+($F136="")+($I136="")+($J136="")+IF(AND($J136="법인카드",$K136=""),1,0)=0,"✔ 완료","⚠ 누락 "&amp;($D136="")+($F136="")+($I136="")+($J136="")+IF(AND($J136="법인카드",$K136=""),1,0)&amp;"칸"))</f>
        <v/>
      </c>
    </row>
    <row r="137">
      <c r="A137" s="3">
        <f>IF(OR(B137="",D137="",E137=""),"",B137&amp;"-"&amp;TEXT(D137,"yyyymmdd")&amp;"-"&amp;TEXT(E137,"000"))</f>
        <v/>
      </c>
      <c r="B137" s="4">
        <f>IF(OR($D137&lt;&gt;"",$F137&lt;&gt;"",$G137&lt;&gt;"",$H137&lt;&gt;"",$I137&lt;&gt;""),"연구","")</f>
        <v/>
      </c>
      <c r="C137" s="4">
        <f>IF(OR($D137&lt;&gt;"",$F137&lt;&gt;"",$G137&lt;&gt;"",$H137&lt;&gt;"",$I137&lt;&gt;""),"연구팀","")</f>
        <v/>
      </c>
      <c r="D137" s="5" t="n"/>
      <c r="E137" s="6">
        <f>IF($D137="","",COUNTIF($D$2:$D137,$D137))</f>
        <v/>
      </c>
      <c r="F137" s="5" t="n"/>
      <c r="G137" s="4" t="n"/>
      <c r="H137" s="4" t="n"/>
      <c r="I137" s="7" t="n"/>
      <c r="J137" s="4" t="n"/>
      <c r="K137" s="4" t="n"/>
      <c r="L137" s="4">
        <f>IF(OR($G137&lt;&gt;"",$I137&lt;&gt;""),"확정","")</f>
        <v/>
      </c>
      <c r="M137" s="4">
        <f>IF(OR($G137&lt;&gt;"",$I137&lt;&gt;""),"신규","")</f>
        <v/>
      </c>
      <c r="N137" s="5">
        <f>IF($D137="","",$D137)</f>
        <v/>
      </c>
      <c r="O137" s="4" t="n"/>
      <c r="P137" s="3">
        <f>IF(NOT(OR($D137&lt;&gt;"",$F137&lt;&gt;"",$G137&lt;&gt;"",$H137&lt;&gt;"",$I137&lt;&gt;"")),"",IF(($D137="")+($F137="")+($I137="")+($J137="")+IF(AND($J137="법인카드",$K137=""),1,0)=0,"✔ 완료","⚠ 누락 "&amp;($D137="")+($F137="")+($I137="")+($J137="")+IF(AND($J137="법인카드",$K137=""),1,0)&amp;"칸"))</f>
        <v/>
      </c>
    </row>
    <row r="138">
      <c r="A138" s="3">
        <f>IF(OR(B138="",D138="",E138=""),"",B138&amp;"-"&amp;TEXT(D138,"yyyymmdd")&amp;"-"&amp;TEXT(E138,"000"))</f>
        <v/>
      </c>
      <c r="B138" s="4">
        <f>IF(OR($D138&lt;&gt;"",$F138&lt;&gt;"",$G138&lt;&gt;"",$H138&lt;&gt;"",$I138&lt;&gt;""),"연구","")</f>
        <v/>
      </c>
      <c r="C138" s="4">
        <f>IF(OR($D138&lt;&gt;"",$F138&lt;&gt;"",$G138&lt;&gt;"",$H138&lt;&gt;"",$I138&lt;&gt;""),"연구팀","")</f>
        <v/>
      </c>
      <c r="D138" s="5" t="n"/>
      <c r="E138" s="6">
        <f>IF($D138="","",COUNTIF($D$2:$D138,$D138))</f>
        <v/>
      </c>
      <c r="F138" s="5" t="n"/>
      <c r="G138" s="4" t="n"/>
      <c r="H138" s="4" t="n"/>
      <c r="I138" s="7" t="n"/>
      <c r="J138" s="4" t="n"/>
      <c r="K138" s="4" t="n"/>
      <c r="L138" s="4">
        <f>IF(OR($G138&lt;&gt;"",$I138&lt;&gt;""),"확정","")</f>
        <v/>
      </c>
      <c r="M138" s="4">
        <f>IF(OR($G138&lt;&gt;"",$I138&lt;&gt;""),"신규","")</f>
        <v/>
      </c>
      <c r="N138" s="5">
        <f>IF($D138="","",$D138)</f>
        <v/>
      </c>
      <c r="O138" s="4" t="n"/>
      <c r="P138" s="3">
        <f>IF(NOT(OR($D138&lt;&gt;"",$F138&lt;&gt;"",$G138&lt;&gt;"",$H138&lt;&gt;"",$I138&lt;&gt;"")),"",IF(($D138="")+($F138="")+($I138="")+($J138="")+IF(AND($J138="법인카드",$K138=""),1,0)=0,"✔ 완료","⚠ 누락 "&amp;($D138="")+($F138="")+($I138="")+($J138="")+IF(AND($J138="법인카드",$K138=""),1,0)&amp;"칸"))</f>
        <v/>
      </c>
    </row>
    <row r="139">
      <c r="A139" s="3">
        <f>IF(OR(B139="",D139="",E139=""),"",B139&amp;"-"&amp;TEXT(D139,"yyyymmdd")&amp;"-"&amp;TEXT(E139,"000"))</f>
        <v/>
      </c>
      <c r="B139" s="4">
        <f>IF(OR($D139&lt;&gt;"",$F139&lt;&gt;"",$G139&lt;&gt;"",$H139&lt;&gt;"",$I139&lt;&gt;""),"연구","")</f>
        <v/>
      </c>
      <c r="C139" s="4">
        <f>IF(OR($D139&lt;&gt;"",$F139&lt;&gt;"",$G139&lt;&gt;"",$H139&lt;&gt;"",$I139&lt;&gt;""),"연구팀","")</f>
        <v/>
      </c>
      <c r="D139" s="5" t="n"/>
      <c r="E139" s="6">
        <f>IF($D139="","",COUNTIF($D$2:$D139,$D139))</f>
        <v/>
      </c>
      <c r="F139" s="5" t="n"/>
      <c r="G139" s="4" t="n"/>
      <c r="H139" s="4" t="n"/>
      <c r="I139" s="7" t="n"/>
      <c r="J139" s="4" t="n"/>
      <c r="K139" s="4" t="n"/>
      <c r="L139" s="4">
        <f>IF(OR($G139&lt;&gt;"",$I139&lt;&gt;""),"확정","")</f>
        <v/>
      </c>
      <c r="M139" s="4">
        <f>IF(OR($G139&lt;&gt;"",$I139&lt;&gt;""),"신규","")</f>
        <v/>
      </c>
      <c r="N139" s="5">
        <f>IF($D139="","",$D139)</f>
        <v/>
      </c>
      <c r="O139" s="4" t="n"/>
      <c r="P139" s="3">
        <f>IF(NOT(OR($D139&lt;&gt;"",$F139&lt;&gt;"",$G139&lt;&gt;"",$H139&lt;&gt;"",$I139&lt;&gt;"")),"",IF(($D139="")+($F139="")+($I139="")+($J139="")+IF(AND($J139="법인카드",$K139=""),1,0)=0,"✔ 완료","⚠ 누락 "&amp;($D139="")+($F139="")+($I139="")+($J139="")+IF(AND($J139="법인카드",$K139=""),1,0)&amp;"칸"))</f>
        <v/>
      </c>
    </row>
    <row r="140">
      <c r="A140" s="3">
        <f>IF(OR(B140="",D140="",E140=""),"",B140&amp;"-"&amp;TEXT(D140,"yyyymmdd")&amp;"-"&amp;TEXT(E140,"000"))</f>
        <v/>
      </c>
      <c r="B140" s="4">
        <f>IF(OR($D140&lt;&gt;"",$F140&lt;&gt;"",$G140&lt;&gt;"",$H140&lt;&gt;"",$I140&lt;&gt;""),"연구","")</f>
        <v/>
      </c>
      <c r="C140" s="4">
        <f>IF(OR($D140&lt;&gt;"",$F140&lt;&gt;"",$G140&lt;&gt;"",$H140&lt;&gt;"",$I140&lt;&gt;""),"연구팀","")</f>
        <v/>
      </c>
      <c r="D140" s="5" t="n"/>
      <c r="E140" s="6">
        <f>IF($D140="","",COUNTIF($D$2:$D140,$D140))</f>
        <v/>
      </c>
      <c r="F140" s="5" t="n"/>
      <c r="G140" s="4" t="n"/>
      <c r="H140" s="4" t="n"/>
      <c r="I140" s="7" t="n"/>
      <c r="J140" s="4" t="n"/>
      <c r="K140" s="4" t="n"/>
      <c r="L140" s="4">
        <f>IF(OR($G140&lt;&gt;"",$I140&lt;&gt;""),"확정","")</f>
        <v/>
      </c>
      <c r="M140" s="4">
        <f>IF(OR($G140&lt;&gt;"",$I140&lt;&gt;""),"신규","")</f>
        <v/>
      </c>
      <c r="N140" s="5">
        <f>IF($D140="","",$D140)</f>
        <v/>
      </c>
      <c r="O140" s="4" t="n"/>
      <c r="P140" s="3">
        <f>IF(NOT(OR($D140&lt;&gt;"",$F140&lt;&gt;"",$G140&lt;&gt;"",$H140&lt;&gt;"",$I140&lt;&gt;"")),"",IF(($D140="")+($F140="")+($I140="")+($J140="")+IF(AND($J140="법인카드",$K140=""),1,0)=0,"✔ 완료","⚠ 누락 "&amp;($D140="")+($F140="")+($I140="")+($J140="")+IF(AND($J140="법인카드",$K140=""),1,0)&amp;"칸"))</f>
        <v/>
      </c>
    </row>
    <row r="141">
      <c r="A141" s="3">
        <f>IF(OR(B141="",D141="",E141=""),"",B141&amp;"-"&amp;TEXT(D141,"yyyymmdd")&amp;"-"&amp;TEXT(E141,"000"))</f>
        <v/>
      </c>
      <c r="B141" s="4">
        <f>IF(OR($D141&lt;&gt;"",$F141&lt;&gt;"",$G141&lt;&gt;"",$H141&lt;&gt;"",$I141&lt;&gt;""),"연구","")</f>
        <v/>
      </c>
      <c r="C141" s="4">
        <f>IF(OR($D141&lt;&gt;"",$F141&lt;&gt;"",$G141&lt;&gt;"",$H141&lt;&gt;"",$I141&lt;&gt;""),"연구팀","")</f>
        <v/>
      </c>
      <c r="D141" s="5" t="n"/>
      <c r="E141" s="6">
        <f>IF($D141="","",COUNTIF($D$2:$D141,$D141))</f>
        <v/>
      </c>
      <c r="F141" s="5" t="n"/>
      <c r="G141" s="4" t="n"/>
      <c r="H141" s="4" t="n"/>
      <c r="I141" s="7" t="n"/>
      <c r="J141" s="4" t="n"/>
      <c r="K141" s="4" t="n"/>
      <c r="L141" s="4">
        <f>IF(OR($G141&lt;&gt;"",$I141&lt;&gt;""),"확정","")</f>
        <v/>
      </c>
      <c r="M141" s="4">
        <f>IF(OR($G141&lt;&gt;"",$I141&lt;&gt;""),"신규","")</f>
        <v/>
      </c>
      <c r="N141" s="5">
        <f>IF($D141="","",$D141)</f>
        <v/>
      </c>
      <c r="O141" s="4" t="n"/>
      <c r="P141" s="3">
        <f>IF(NOT(OR($D141&lt;&gt;"",$F141&lt;&gt;"",$G141&lt;&gt;"",$H141&lt;&gt;"",$I141&lt;&gt;"")),"",IF(($D141="")+($F141="")+($I141="")+($J141="")+IF(AND($J141="법인카드",$K141=""),1,0)=0,"✔ 완료","⚠ 누락 "&amp;($D141="")+($F141="")+($I141="")+($J141="")+IF(AND($J141="법인카드",$K141=""),1,0)&amp;"칸"))</f>
        <v/>
      </c>
    </row>
    <row r="142">
      <c r="A142" s="3">
        <f>IF(OR(B142="",D142="",E142=""),"",B142&amp;"-"&amp;TEXT(D142,"yyyymmdd")&amp;"-"&amp;TEXT(E142,"000"))</f>
        <v/>
      </c>
      <c r="B142" s="4">
        <f>IF(OR($D142&lt;&gt;"",$F142&lt;&gt;"",$G142&lt;&gt;"",$H142&lt;&gt;"",$I142&lt;&gt;""),"연구","")</f>
        <v/>
      </c>
      <c r="C142" s="4">
        <f>IF(OR($D142&lt;&gt;"",$F142&lt;&gt;"",$G142&lt;&gt;"",$H142&lt;&gt;"",$I142&lt;&gt;""),"연구팀","")</f>
        <v/>
      </c>
      <c r="D142" s="5" t="n"/>
      <c r="E142" s="6">
        <f>IF($D142="","",COUNTIF($D$2:$D142,$D142))</f>
        <v/>
      </c>
      <c r="F142" s="5" t="n"/>
      <c r="G142" s="4" t="n"/>
      <c r="H142" s="4" t="n"/>
      <c r="I142" s="7" t="n"/>
      <c r="J142" s="4" t="n"/>
      <c r="K142" s="4" t="n"/>
      <c r="L142" s="4">
        <f>IF(OR($G142&lt;&gt;"",$I142&lt;&gt;""),"확정","")</f>
        <v/>
      </c>
      <c r="M142" s="4">
        <f>IF(OR($G142&lt;&gt;"",$I142&lt;&gt;""),"신규","")</f>
        <v/>
      </c>
      <c r="N142" s="5">
        <f>IF($D142="","",$D142)</f>
        <v/>
      </c>
      <c r="O142" s="4" t="n"/>
      <c r="P142" s="3">
        <f>IF(NOT(OR($D142&lt;&gt;"",$F142&lt;&gt;"",$G142&lt;&gt;"",$H142&lt;&gt;"",$I142&lt;&gt;"")),"",IF(($D142="")+($F142="")+($I142="")+($J142="")+IF(AND($J142="법인카드",$K142=""),1,0)=0,"✔ 완료","⚠ 누락 "&amp;($D142="")+($F142="")+($I142="")+($J142="")+IF(AND($J142="법인카드",$K142=""),1,0)&amp;"칸"))</f>
        <v/>
      </c>
    </row>
    <row r="143">
      <c r="A143" s="3">
        <f>IF(OR(B143="",D143="",E143=""),"",B143&amp;"-"&amp;TEXT(D143,"yyyymmdd")&amp;"-"&amp;TEXT(E143,"000"))</f>
        <v/>
      </c>
      <c r="B143" s="4">
        <f>IF(OR($D143&lt;&gt;"",$F143&lt;&gt;"",$G143&lt;&gt;"",$H143&lt;&gt;"",$I143&lt;&gt;""),"연구","")</f>
        <v/>
      </c>
      <c r="C143" s="4">
        <f>IF(OR($D143&lt;&gt;"",$F143&lt;&gt;"",$G143&lt;&gt;"",$H143&lt;&gt;"",$I143&lt;&gt;""),"연구팀","")</f>
        <v/>
      </c>
      <c r="D143" s="5" t="n"/>
      <c r="E143" s="6">
        <f>IF($D143="","",COUNTIF($D$2:$D143,$D143))</f>
        <v/>
      </c>
      <c r="F143" s="5" t="n"/>
      <c r="G143" s="4" t="n"/>
      <c r="H143" s="4" t="n"/>
      <c r="I143" s="7" t="n"/>
      <c r="J143" s="4" t="n"/>
      <c r="K143" s="4" t="n"/>
      <c r="L143" s="4">
        <f>IF(OR($G143&lt;&gt;"",$I143&lt;&gt;""),"확정","")</f>
        <v/>
      </c>
      <c r="M143" s="4">
        <f>IF(OR($G143&lt;&gt;"",$I143&lt;&gt;""),"신규","")</f>
        <v/>
      </c>
      <c r="N143" s="5">
        <f>IF($D143="","",$D143)</f>
        <v/>
      </c>
      <c r="O143" s="4" t="n"/>
      <c r="P143" s="3">
        <f>IF(NOT(OR($D143&lt;&gt;"",$F143&lt;&gt;"",$G143&lt;&gt;"",$H143&lt;&gt;"",$I143&lt;&gt;"")),"",IF(($D143="")+($F143="")+($I143="")+($J143="")+IF(AND($J143="법인카드",$K143=""),1,0)=0,"✔ 완료","⚠ 누락 "&amp;($D143="")+($F143="")+($I143="")+($J143="")+IF(AND($J143="법인카드",$K143=""),1,0)&amp;"칸"))</f>
        <v/>
      </c>
    </row>
    <row r="144">
      <c r="A144" s="3">
        <f>IF(OR(B144="",D144="",E144=""),"",B144&amp;"-"&amp;TEXT(D144,"yyyymmdd")&amp;"-"&amp;TEXT(E144,"000"))</f>
        <v/>
      </c>
      <c r="B144" s="4">
        <f>IF(OR($D144&lt;&gt;"",$F144&lt;&gt;"",$G144&lt;&gt;"",$H144&lt;&gt;"",$I144&lt;&gt;""),"연구","")</f>
        <v/>
      </c>
      <c r="C144" s="4">
        <f>IF(OR($D144&lt;&gt;"",$F144&lt;&gt;"",$G144&lt;&gt;"",$H144&lt;&gt;"",$I144&lt;&gt;""),"연구팀","")</f>
        <v/>
      </c>
      <c r="D144" s="5" t="n"/>
      <c r="E144" s="6">
        <f>IF($D144="","",COUNTIF($D$2:$D144,$D144))</f>
        <v/>
      </c>
      <c r="F144" s="5" t="n"/>
      <c r="G144" s="4" t="n"/>
      <c r="H144" s="4" t="n"/>
      <c r="I144" s="7" t="n"/>
      <c r="J144" s="4" t="n"/>
      <c r="K144" s="4" t="n"/>
      <c r="L144" s="4">
        <f>IF(OR($G144&lt;&gt;"",$I144&lt;&gt;""),"확정","")</f>
        <v/>
      </c>
      <c r="M144" s="4">
        <f>IF(OR($G144&lt;&gt;"",$I144&lt;&gt;""),"신규","")</f>
        <v/>
      </c>
      <c r="N144" s="5">
        <f>IF($D144="","",$D144)</f>
        <v/>
      </c>
      <c r="O144" s="4" t="n"/>
      <c r="P144" s="3">
        <f>IF(NOT(OR($D144&lt;&gt;"",$F144&lt;&gt;"",$G144&lt;&gt;"",$H144&lt;&gt;"",$I144&lt;&gt;"")),"",IF(($D144="")+($F144="")+($I144="")+($J144="")+IF(AND($J144="법인카드",$K144=""),1,0)=0,"✔ 완료","⚠ 누락 "&amp;($D144="")+($F144="")+($I144="")+($J144="")+IF(AND($J144="법인카드",$K144=""),1,0)&amp;"칸"))</f>
        <v/>
      </c>
    </row>
    <row r="145">
      <c r="A145" s="3">
        <f>IF(OR(B145="",D145="",E145=""),"",B145&amp;"-"&amp;TEXT(D145,"yyyymmdd")&amp;"-"&amp;TEXT(E145,"000"))</f>
        <v/>
      </c>
      <c r="B145" s="4">
        <f>IF(OR($D145&lt;&gt;"",$F145&lt;&gt;"",$G145&lt;&gt;"",$H145&lt;&gt;"",$I145&lt;&gt;""),"연구","")</f>
        <v/>
      </c>
      <c r="C145" s="4">
        <f>IF(OR($D145&lt;&gt;"",$F145&lt;&gt;"",$G145&lt;&gt;"",$H145&lt;&gt;"",$I145&lt;&gt;""),"연구팀","")</f>
        <v/>
      </c>
      <c r="D145" s="5" t="n"/>
      <c r="E145" s="6">
        <f>IF($D145="","",COUNTIF($D$2:$D145,$D145))</f>
        <v/>
      </c>
      <c r="F145" s="5" t="n"/>
      <c r="G145" s="4" t="n"/>
      <c r="H145" s="4" t="n"/>
      <c r="I145" s="7" t="n"/>
      <c r="J145" s="4" t="n"/>
      <c r="K145" s="4" t="n"/>
      <c r="L145" s="4">
        <f>IF(OR($G145&lt;&gt;"",$I145&lt;&gt;""),"확정","")</f>
        <v/>
      </c>
      <c r="M145" s="4">
        <f>IF(OR($G145&lt;&gt;"",$I145&lt;&gt;""),"신규","")</f>
        <v/>
      </c>
      <c r="N145" s="5">
        <f>IF($D145="","",$D145)</f>
        <v/>
      </c>
      <c r="O145" s="4" t="n"/>
      <c r="P145" s="3">
        <f>IF(NOT(OR($D145&lt;&gt;"",$F145&lt;&gt;"",$G145&lt;&gt;"",$H145&lt;&gt;"",$I145&lt;&gt;"")),"",IF(($D145="")+($F145="")+($I145="")+($J145="")+IF(AND($J145="법인카드",$K145=""),1,0)=0,"✔ 완료","⚠ 누락 "&amp;($D145="")+($F145="")+($I145="")+($J145="")+IF(AND($J145="법인카드",$K145=""),1,0)&amp;"칸"))</f>
        <v/>
      </c>
    </row>
    <row r="146">
      <c r="A146" s="3">
        <f>IF(OR(B146="",D146="",E146=""),"",B146&amp;"-"&amp;TEXT(D146,"yyyymmdd")&amp;"-"&amp;TEXT(E146,"000"))</f>
        <v/>
      </c>
      <c r="B146" s="4">
        <f>IF(OR($D146&lt;&gt;"",$F146&lt;&gt;"",$G146&lt;&gt;"",$H146&lt;&gt;"",$I146&lt;&gt;""),"연구","")</f>
        <v/>
      </c>
      <c r="C146" s="4">
        <f>IF(OR($D146&lt;&gt;"",$F146&lt;&gt;"",$G146&lt;&gt;"",$H146&lt;&gt;"",$I146&lt;&gt;""),"연구팀","")</f>
        <v/>
      </c>
      <c r="D146" s="5" t="n"/>
      <c r="E146" s="6">
        <f>IF($D146="","",COUNTIF($D$2:$D146,$D146))</f>
        <v/>
      </c>
      <c r="F146" s="5" t="n"/>
      <c r="G146" s="4" t="n"/>
      <c r="H146" s="4" t="n"/>
      <c r="I146" s="7" t="n"/>
      <c r="J146" s="4" t="n"/>
      <c r="K146" s="4" t="n"/>
      <c r="L146" s="4">
        <f>IF(OR($G146&lt;&gt;"",$I146&lt;&gt;""),"확정","")</f>
        <v/>
      </c>
      <c r="M146" s="4">
        <f>IF(OR($G146&lt;&gt;"",$I146&lt;&gt;""),"신규","")</f>
        <v/>
      </c>
      <c r="N146" s="5">
        <f>IF($D146="","",$D146)</f>
        <v/>
      </c>
      <c r="O146" s="4" t="n"/>
      <c r="P146" s="3">
        <f>IF(NOT(OR($D146&lt;&gt;"",$F146&lt;&gt;"",$G146&lt;&gt;"",$H146&lt;&gt;"",$I146&lt;&gt;"")),"",IF(($D146="")+($F146="")+($I146="")+($J146="")+IF(AND($J146="법인카드",$K146=""),1,0)=0,"✔ 완료","⚠ 누락 "&amp;($D146="")+($F146="")+($I146="")+($J146="")+IF(AND($J146="법인카드",$K146=""),1,0)&amp;"칸"))</f>
        <v/>
      </c>
    </row>
    <row r="147">
      <c r="A147" s="3">
        <f>IF(OR(B147="",D147="",E147=""),"",B147&amp;"-"&amp;TEXT(D147,"yyyymmdd")&amp;"-"&amp;TEXT(E147,"000"))</f>
        <v/>
      </c>
      <c r="B147" s="4">
        <f>IF(OR($D147&lt;&gt;"",$F147&lt;&gt;"",$G147&lt;&gt;"",$H147&lt;&gt;"",$I147&lt;&gt;""),"연구","")</f>
        <v/>
      </c>
      <c r="C147" s="4">
        <f>IF(OR($D147&lt;&gt;"",$F147&lt;&gt;"",$G147&lt;&gt;"",$H147&lt;&gt;"",$I147&lt;&gt;""),"연구팀","")</f>
        <v/>
      </c>
      <c r="D147" s="5" t="n"/>
      <c r="E147" s="6">
        <f>IF($D147="","",COUNTIF($D$2:$D147,$D147))</f>
        <v/>
      </c>
      <c r="F147" s="5" t="n"/>
      <c r="G147" s="4" t="n"/>
      <c r="H147" s="4" t="n"/>
      <c r="I147" s="7" t="n"/>
      <c r="J147" s="4" t="n"/>
      <c r="K147" s="4" t="n"/>
      <c r="L147" s="4">
        <f>IF(OR($G147&lt;&gt;"",$I147&lt;&gt;""),"확정","")</f>
        <v/>
      </c>
      <c r="M147" s="4">
        <f>IF(OR($G147&lt;&gt;"",$I147&lt;&gt;""),"신규","")</f>
        <v/>
      </c>
      <c r="N147" s="5">
        <f>IF($D147="","",$D147)</f>
        <v/>
      </c>
      <c r="O147" s="4" t="n"/>
      <c r="P147" s="3">
        <f>IF(NOT(OR($D147&lt;&gt;"",$F147&lt;&gt;"",$G147&lt;&gt;"",$H147&lt;&gt;"",$I147&lt;&gt;"")),"",IF(($D147="")+($F147="")+($I147="")+($J147="")+IF(AND($J147="법인카드",$K147=""),1,0)=0,"✔ 완료","⚠ 누락 "&amp;($D147="")+($F147="")+($I147="")+($J147="")+IF(AND($J147="법인카드",$K147=""),1,0)&amp;"칸"))</f>
        <v/>
      </c>
    </row>
    <row r="148">
      <c r="A148" s="3">
        <f>IF(OR(B148="",D148="",E148=""),"",B148&amp;"-"&amp;TEXT(D148,"yyyymmdd")&amp;"-"&amp;TEXT(E148,"000"))</f>
        <v/>
      </c>
      <c r="B148" s="4">
        <f>IF(OR($D148&lt;&gt;"",$F148&lt;&gt;"",$G148&lt;&gt;"",$H148&lt;&gt;"",$I148&lt;&gt;""),"연구","")</f>
        <v/>
      </c>
      <c r="C148" s="4">
        <f>IF(OR($D148&lt;&gt;"",$F148&lt;&gt;"",$G148&lt;&gt;"",$H148&lt;&gt;"",$I148&lt;&gt;""),"연구팀","")</f>
        <v/>
      </c>
      <c r="D148" s="5" t="n"/>
      <c r="E148" s="6">
        <f>IF($D148="","",COUNTIF($D$2:$D148,$D148))</f>
        <v/>
      </c>
      <c r="F148" s="5" t="n"/>
      <c r="G148" s="4" t="n"/>
      <c r="H148" s="4" t="n"/>
      <c r="I148" s="7" t="n"/>
      <c r="J148" s="4" t="n"/>
      <c r="K148" s="4" t="n"/>
      <c r="L148" s="4">
        <f>IF(OR($G148&lt;&gt;"",$I148&lt;&gt;""),"확정","")</f>
        <v/>
      </c>
      <c r="M148" s="4">
        <f>IF(OR($G148&lt;&gt;"",$I148&lt;&gt;""),"신규","")</f>
        <v/>
      </c>
      <c r="N148" s="5">
        <f>IF($D148="","",$D148)</f>
        <v/>
      </c>
      <c r="O148" s="4" t="n"/>
      <c r="P148" s="3">
        <f>IF(NOT(OR($D148&lt;&gt;"",$F148&lt;&gt;"",$G148&lt;&gt;"",$H148&lt;&gt;"",$I148&lt;&gt;"")),"",IF(($D148="")+($F148="")+($I148="")+($J148="")+IF(AND($J148="법인카드",$K148=""),1,0)=0,"✔ 완료","⚠ 누락 "&amp;($D148="")+($F148="")+($I148="")+($J148="")+IF(AND($J148="법인카드",$K148=""),1,0)&amp;"칸"))</f>
        <v/>
      </c>
    </row>
    <row r="149">
      <c r="A149" s="3">
        <f>IF(OR(B149="",D149="",E149=""),"",B149&amp;"-"&amp;TEXT(D149,"yyyymmdd")&amp;"-"&amp;TEXT(E149,"000"))</f>
        <v/>
      </c>
      <c r="B149" s="4">
        <f>IF(OR($D149&lt;&gt;"",$F149&lt;&gt;"",$G149&lt;&gt;"",$H149&lt;&gt;"",$I149&lt;&gt;""),"연구","")</f>
        <v/>
      </c>
      <c r="C149" s="4">
        <f>IF(OR($D149&lt;&gt;"",$F149&lt;&gt;"",$G149&lt;&gt;"",$H149&lt;&gt;"",$I149&lt;&gt;""),"연구팀","")</f>
        <v/>
      </c>
      <c r="D149" s="5" t="n"/>
      <c r="E149" s="6">
        <f>IF($D149="","",COUNTIF($D$2:$D149,$D149))</f>
        <v/>
      </c>
      <c r="F149" s="5" t="n"/>
      <c r="G149" s="4" t="n"/>
      <c r="H149" s="4" t="n"/>
      <c r="I149" s="7" t="n"/>
      <c r="J149" s="4" t="n"/>
      <c r="K149" s="4" t="n"/>
      <c r="L149" s="4">
        <f>IF(OR($G149&lt;&gt;"",$I149&lt;&gt;""),"확정","")</f>
        <v/>
      </c>
      <c r="M149" s="4">
        <f>IF(OR($G149&lt;&gt;"",$I149&lt;&gt;""),"신규","")</f>
        <v/>
      </c>
      <c r="N149" s="5">
        <f>IF($D149="","",$D149)</f>
        <v/>
      </c>
      <c r="O149" s="4" t="n"/>
      <c r="P149" s="3">
        <f>IF(NOT(OR($D149&lt;&gt;"",$F149&lt;&gt;"",$G149&lt;&gt;"",$H149&lt;&gt;"",$I149&lt;&gt;"")),"",IF(($D149="")+($F149="")+($I149="")+($J149="")+IF(AND($J149="법인카드",$K149=""),1,0)=0,"✔ 완료","⚠ 누락 "&amp;($D149="")+($F149="")+($I149="")+($J149="")+IF(AND($J149="법인카드",$K149=""),1,0)&amp;"칸"))</f>
        <v/>
      </c>
    </row>
    <row r="150">
      <c r="A150" s="3">
        <f>IF(OR(B150="",D150="",E150=""),"",B150&amp;"-"&amp;TEXT(D150,"yyyymmdd")&amp;"-"&amp;TEXT(E150,"000"))</f>
        <v/>
      </c>
      <c r="B150" s="4">
        <f>IF(OR($D150&lt;&gt;"",$F150&lt;&gt;"",$G150&lt;&gt;"",$H150&lt;&gt;"",$I150&lt;&gt;""),"연구","")</f>
        <v/>
      </c>
      <c r="C150" s="4">
        <f>IF(OR($D150&lt;&gt;"",$F150&lt;&gt;"",$G150&lt;&gt;"",$H150&lt;&gt;"",$I150&lt;&gt;""),"연구팀","")</f>
        <v/>
      </c>
      <c r="D150" s="5" t="n"/>
      <c r="E150" s="6">
        <f>IF($D150="","",COUNTIF($D$2:$D150,$D150))</f>
        <v/>
      </c>
      <c r="F150" s="5" t="n"/>
      <c r="G150" s="4" t="n"/>
      <c r="H150" s="4" t="n"/>
      <c r="I150" s="7" t="n"/>
      <c r="J150" s="4" t="n"/>
      <c r="K150" s="4" t="n"/>
      <c r="L150" s="4">
        <f>IF(OR($G150&lt;&gt;"",$I150&lt;&gt;""),"확정","")</f>
        <v/>
      </c>
      <c r="M150" s="4">
        <f>IF(OR($G150&lt;&gt;"",$I150&lt;&gt;""),"신규","")</f>
        <v/>
      </c>
      <c r="N150" s="5">
        <f>IF($D150="","",$D150)</f>
        <v/>
      </c>
      <c r="O150" s="4" t="n"/>
      <c r="P150" s="3">
        <f>IF(NOT(OR($D150&lt;&gt;"",$F150&lt;&gt;"",$G150&lt;&gt;"",$H150&lt;&gt;"",$I150&lt;&gt;"")),"",IF(($D150="")+($F150="")+($I150="")+($J150="")+IF(AND($J150="법인카드",$K150=""),1,0)=0,"✔ 완료","⚠ 누락 "&amp;($D150="")+($F150="")+($I150="")+($J150="")+IF(AND($J150="법인카드",$K150=""),1,0)&amp;"칸"))</f>
        <v/>
      </c>
    </row>
    <row r="151">
      <c r="A151" s="3">
        <f>IF(OR(B151="",D151="",E151=""),"",B151&amp;"-"&amp;TEXT(D151,"yyyymmdd")&amp;"-"&amp;TEXT(E151,"000"))</f>
        <v/>
      </c>
      <c r="B151" s="4">
        <f>IF(OR($D151&lt;&gt;"",$F151&lt;&gt;"",$G151&lt;&gt;"",$H151&lt;&gt;"",$I151&lt;&gt;""),"연구","")</f>
        <v/>
      </c>
      <c r="C151" s="4">
        <f>IF(OR($D151&lt;&gt;"",$F151&lt;&gt;"",$G151&lt;&gt;"",$H151&lt;&gt;"",$I151&lt;&gt;""),"연구팀","")</f>
        <v/>
      </c>
      <c r="D151" s="5" t="n"/>
      <c r="E151" s="6">
        <f>IF($D151="","",COUNTIF($D$2:$D151,$D151))</f>
        <v/>
      </c>
      <c r="F151" s="5" t="n"/>
      <c r="G151" s="4" t="n"/>
      <c r="H151" s="4" t="n"/>
      <c r="I151" s="7" t="n"/>
      <c r="J151" s="4" t="n"/>
      <c r="K151" s="4" t="n"/>
      <c r="L151" s="4">
        <f>IF(OR($G151&lt;&gt;"",$I151&lt;&gt;""),"확정","")</f>
        <v/>
      </c>
      <c r="M151" s="4">
        <f>IF(OR($G151&lt;&gt;"",$I151&lt;&gt;""),"신규","")</f>
        <v/>
      </c>
      <c r="N151" s="5">
        <f>IF($D151="","",$D151)</f>
        <v/>
      </c>
      <c r="O151" s="4" t="n"/>
      <c r="P151" s="3">
        <f>IF(NOT(OR($D151&lt;&gt;"",$F151&lt;&gt;"",$G151&lt;&gt;"",$H151&lt;&gt;"",$I151&lt;&gt;"")),"",IF(($D151="")+($F151="")+($I151="")+($J151="")+IF(AND($J151="법인카드",$K151=""),1,0)=0,"✔ 완료","⚠ 누락 "&amp;($D151="")+($F151="")+($I151="")+($J151="")+IF(AND($J151="법인카드",$K151=""),1,0)&amp;"칸"))</f>
        <v/>
      </c>
    </row>
    <row r="152">
      <c r="A152" s="3">
        <f>IF(OR(B152="",D152="",E152=""),"",B152&amp;"-"&amp;TEXT(D152,"yyyymmdd")&amp;"-"&amp;TEXT(E152,"000"))</f>
        <v/>
      </c>
      <c r="B152" s="4">
        <f>IF(OR($D152&lt;&gt;"",$F152&lt;&gt;"",$G152&lt;&gt;"",$H152&lt;&gt;"",$I152&lt;&gt;""),"연구","")</f>
        <v/>
      </c>
      <c r="C152" s="4">
        <f>IF(OR($D152&lt;&gt;"",$F152&lt;&gt;"",$G152&lt;&gt;"",$H152&lt;&gt;"",$I152&lt;&gt;""),"연구팀","")</f>
        <v/>
      </c>
      <c r="D152" s="5" t="n"/>
      <c r="E152" s="6">
        <f>IF($D152="","",COUNTIF($D$2:$D152,$D152))</f>
        <v/>
      </c>
      <c r="F152" s="5" t="n"/>
      <c r="G152" s="4" t="n"/>
      <c r="H152" s="4" t="n"/>
      <c r="I152" s="7" t="n"/>
      <c r="J152" s="4" t="n"/>
      <c r="K152" s="4" t="n"/>
      <c r="L152" s="4">
        <f>IF(OR($G152&lt;&gt;"",$I152&lt;&gt;""),"확정","")</f>
        <v/>
      </c>
      <c r="M152" s="4">
        <f>IF(OR($G152&lt;&gt;"",$I152&lt;&gt;""),"신규","")</f>
        <v/>
      </c>
      <c r="N152" s="5">
        <f>IF($D152="","",$D152)</f>
        <v/>
      </c>
      <c r="O152" s="4" t="n"/>
      <c r="P152" s="3">
        <f>IF(NOT(OR($D152&lt;&gt;"",$F152&lt;&gt;"",$G152&lt;&gt;"",$H152&lt;&gt;"",$I152&lt;&gt;"")),"",IF(($D152="")+($F152="")+($I152="")+($J152="")+IF(AND($J152="법인카드",$K152=""),1,0)=0,"✔ 완료","⚠ 누락 "&amp;($D152="")+($F152="")+($I152="")+($J152="")+IF(AND($J152="법인카드",$K152=""),1,0)&amp;"칸"))</f>
        <v/>
      </c>
    </row>
    <row r="153">
      <c r="A153" s="3">
        <f>IF(OR(B153="",D153="",E153=""),"",B153&amp;"-"&amp;TEXT(D153,"yyyymmdd")&amp;"-"&amp;TEXT(E153,"000"))</f>
        <v/>
      </c>
      <c r="B153" s="4">
        <f>IF(OR($D153&lt;&gt;"",$F153&lt;&gt;"",$G153&lt;&gt;"",$H153&lt;&gt;"",$I153&lt;&gt;""),"연구","")</f>
        <v/>
      </c>
      <c r="C153" s="4">
        <f>IF(OR($D153&lt;&gt;"",$F153&lt;&gt;"",$G153&lt;&gt;"",$H153&lt;&gt;"",$I153&lt;&gt;""),"연구팀","")</f>
        <v/>
      </c>
      <c r="D153" s="5" t="n"/>
      <c r="E153" s="6">
        <f>IF($D153="","",COUNTIF($D$2:$D153,$D153))</f>
        <v/>
      </c>
      <c r="F153" s="5" t="n"/>
      <c r="G153" s="4" t="n"/>
      <c r="H153" s="4" t="n"/>
      <c r="I153" s="7" t="n"/>
      <c r="J153" s="4" t="n"/>
      <c r="K153" s="4" t="n"/>
      <c r="L153" s="4">
        <f>IF(OR($G153&lt;&gt;"",$I153&lt;&gt;""),"확정","")</f>
        <v/>
      </c>
      <c r="M153" s="4">
        <f>IF(OR($G153&lt;&gt;"",$I153&lt;&gt;""),"신규","")</f>
        <v/>
      </c>
      <c r="N153" s="5">
        <f>IF($D153="","",$D153)</f>
        <v/>
      </c>
      <c r="O153" s="4" t="n"/>
      <c r="P153" s="3">
        <f>IF(NOT(OR($D153&lt;&gt;"",$F153&lt;&gt;"",$G153&lt;&gt;"",$H153&lt;&gt;"",$I153&lt;&gt;"")),"",IF(($D153="")+($F153="")+($I153="")+($J153="")+IF(AND($J153="법인카드",$K153=""),1,0)=0,"✔ 완료","⚠ 누락 "&amp;($D153="")+($F153="")+($I153="")+($J153="")+IF(AND($J153="법인카드",$K153=""),1,0)&amp;"칸"))</f>
        <v/>
      </c>
    </row>
    <row r="154">
      <c r="A154" s="3">
        <f>IF(OR(B154="",D154="",E154=""),"",B154&amp;"-"&amp;TEXT(D154,"yyyymmdd")&amp;"-"&amp;TEXT(E154,"000"))</f>
        <v/>
      </c>
      <c r="B154" s="4">
        <f>IF(OR($D154&lt;&gt;"",$F154&lt;&gt;"",$G154&lt;&gt;"",$H154&lt;&gt;"",$I154&lt;&gt;""),"연구","")</f>
        <v/>
      </c>
      <c r="C154" s="4">
        <f>IF(OR($D154&lt;&gt;"",$F154&lt;&gt;"",$G154&lt;&gt;"",$H154&lt;&gt;"",$I154&lt;&gt;""),"연구팀","")</f>
        <v/>
      </c>
      <c r="D154" s="5" t="n"/>
      <c r="E154" s="6">
        <f>IF($D154="","",COUNTIF($D$2:$D154,$D154))</f>
        <v/>
      </c>
      <c r="F154" s="5" t="n"/>
      <c r="G154" s="4" t="n"/>
      <c r="H154" s="4" t="n"/>
      <c r="I154" s="7" t="n"/>
      <c r="J154" s="4" t="n"/>
      <c r="K154" s="4" t="n"/>
      <c r="L154" s="4">
        <f>IF(OR($G154&lt;&gt;"",$I154&lt;&gt;""),"확정","")</f>
        <v/>
      </c>
      <c r="M154" s="4">
        <f>IF(OR($G154&lt;&gt;"",$I154&lt;&gt;""),"신규","")</f>
        <v/>
      </c>
      <c r="N154" s="5">
        <f>IF($D154="","",$D154)</f>
        <v/>
      </c>
      <c r="O154" s="4" t="n"/>
      <c r="P154" s="3">
        <f>IF(NOT(OR($D154&lt;&gt;"",$F154&lt;&gt;"",$G154&lt;&gt;"",$H154&lt;&gt;"",$I154&lt;&gt;"")),"",IF(($D154="")+($F154="")+($I154="")+($J154="")+IF(AND($J154="법인카드",$K154=""),1,0)=0,"✔ 완료","⚠ 누락 "&amp;($D154="")+($F154="")+($I154="")+($J154="")+IF(AND($J154="법인카드",$K154=""),1,0)&amp;"칸"))</f>
        <v/>
      </c>
    </row>
    <row r="155">
      <c r="A155" s="3">
        <f>IF(OR(B155="",D155="",E155=""),"",B155&amp;"-"&amp;TEXT(D155,"yyyymmdd")&amp;"-"&amp;TEXT(E155,"000"))</f>
        <v/>
      </c>
      <c r="B155" s="4">
        <f>IF(OR($D155&lt;&gt;"",$F155&lt;&gt;"",$G155&lt;&gt;"",$H155&lt;&gt;"",$I155&lt;&gt;""),"연구","")</f>
        <v/>
      </c>
      <c r="C155" s="4">
        <f>IF(OR($D155&lt;&gt;"",$F155&lt;&gt;"",$G155&lt;&gt;"",$H155&lt;&gt;"",$I155&lt;&gt;""),"연구팀","")</f>
        <v/>
      </c>
      <c r="D155" s="5" t="n"/>
      <c r="E155" s="6">
        <f>IF($D155="","",COUNTIF($D$2:$D155,$D155))</f>
        <v/>
      </c>
      <c r="F155" s="5" t="n"/>
      <c r="G155" s="4" t="n"/>
      <c r="H155" s="4" t="n"/>
      <c r="I155" s="7" t="n"/>
      <c r="J155" s="4" t="n"/>
      <c r="K155" s="4" t="n"/>
      <c r="L155" s="4">
        <f>IF(OR($G155&lt;&gt;"",$I155&lt;&gt;""),"확정","")</f>
        <v/>
      </c>
      <c r="M155" s="4">
        <f>IF(OR($G155&lt;&gt;"",$I155&lt;&gt;""),"신규","")</f>
        <v/>
      </c>
      <c r="N155" s="5">
        <f>IF($D155="","",$D155)</f>
        <v/>
      </c>
      <c r="O155" s="4" t="n"/>
      <c r="P155" s="3">
        <f>IF(NOT(OR($D155&lt;&gt;"",$F155&lt;&gt;"",$G155&lt;&gt;"",$H155&lt;&gt;"",$I155&lt;&gt;"")),"",IF(($D155="")+($F155="")+($I155="")+($J155="")+IF(AND($J155="법인카드",$K155=""),1,0)=0,"✔ 완료","⚠ 누락 "&amp;($D155="")+($F155="")+($I155="")+($J155="")+IF(AND($J155="법인카드",$K155=""),1,0)&amp;"칸"))</f>
        <v/>
      </c>
    </row>
    <row r="156">
      <c r="A156" s="3">
        <f>IF(OR(B156="",D156="",E156=""),"",B156&amp;"-"&amp;TEXT(D156,"yyyymmdd")&amp;"-"&amp;TEXT(E156,"000"))</f>
        <v/>
      </c>
      <c r="B156" s="4">
        <f>IF(OR($D156&lt;&gt;"",$F156&lt;&gt;"",$G156&lt;&gt;"",$H156&lt;&gt;"",$I156&lt;&gt;""),"연구","")</f>
        <v/>
      </c>
      <c r="C156" s="4">
        <f>IF(OR($D156&lt;&gt;"",$F156&lt;&gt;"",$G156&lt;&gt;"",$H156&lt;&gt;"",$I156&lt;&gt;""),"연구팀","")</f>
        <v/>
      </c>
      <c r="D156" s="5" t="n"/>
      <c r="E156" s="6">
        <f>IF($D156="","",COUNTIF($D$2:$D156,$D156))</f>
        <v/>
      </c>
      <c r="F156" s="5" t="n"/>
      <c r="G156" s="4" t="n"/>
      <c r="H156" s="4" t="n"/>
      <c r="I156" s="7" t="n"/>
      <c r="J156" s="4" t="n"/>
      <c r="K156" s="4" t="n"/>
      <c r="L156" s="4">
        <f>IF(OR($G156&lt;&gt;"",$I156&lt;&gt;""),"확정","")</f>
        <v/>
      </c>
      <c r="M156" s="4">
        <f>IF(OR($G156&lt;&gt;"",$I156&lt;&gt;""),"신규","")</f>
        <v/>
      </c>
      <c r="N156" s="5">
        <f>IF($D156="","",$D156)</f>
        <v/>
      </c>
      <c r="O156" s="4" t="n"/>
      <c r="P156" s="3">
        <f>IF(NOT(OR($D156&lt;&gt;"",$F156&lt;&gt;"",$G156&lt;&gt;"",$H156&lt;&gt;"",$I156&lt;&gt;"")),"",IF(($D156="")+($F156="")+($I156="")+($J156="")+IF(AND($J156="법인카드",$K156=""),1,0)=0,"✔ 완료","⚠ 누락 "&amp;($D156="")+($F156="")+($I156="")+($J156="")+IF(AND($J156="법인카드",$K156=""),1,0)&amp;"칸"))</f>
        <v/>
      </c>
    </row>
    <row r="157">
      <c r="A157" s="3">
        <f>IF(OR(B157="",D157="",E157=""),"",B157&amp;"-"&amp;TEXT(D157,"yyyymmdd")&amp;"-"&amp;TEXT(E157,"000"))</f>
        <v/>
      </c>
      <c r="B157" s="4">
        <f>IF(OR($D157&lt;&gt;"",$F157&lt;&gt;"",$G157&lt;&gt;"",$H157&lt;&gt;"",$I157&lt;&gt;""),"연구","")</f>
        <v/>
      </c>
      <c r="C157" s="4">
        <f>IF(OR($D157&lt;&gt;"",$F157&lt;&gt;"",$G157&lt;&gt;"",$H157&lt;&gt;"",$I157&lt;&gt;""),"연구팀","")</f>
        <v/>
      </c>
      <c r="D157" s="5" t="n"/>
      <c r="E157" s="6">
        <f>IF($D157="","",COUNTIF($D$2:$D157,$D157))</f>
        <v/>
      </c>
      <c r="F157" s="5" t="n"/>
      <c r="G157" s="4" t="n"/>
      <c r="H157" s="4" t="n"/>
      <c r="I157" s="7" t="n"/>
      <c r="J157" s="4" t="n"/>
      <c r="K157" s="4" t="n"/>
      <c r="L157" s="4">
        <f>IF(OR($G157&lt;&gt;"",$I157&lt;&gt;""),"확정","")</f>
        <v/>
      </c>
      <c r="M157" s="4">
        <f>IF(OR($G157&lt;&gt;"",$I157&lt;&gt;""),"신규","")</f>
        <v/>
      </c>
      <c r="N157" s="5">
        <f>IF($D157="","",$D157)</f>
        <v/>
      </c>
      <c r="O157" s="4" t="n"/>
      <c r="P157" s="3">
        <f>IF(NOT(OR($D157&lt;&gt;"",$F157&lt;&gt;"",$G157&lt;&gt;"",$H157&lt;&gt;"",$I157&lt;&gt;"")),"",IF(($D157="")+($F157="")+($I157="")+($J157="")+IF(AND($J157="법인카드",$K157=""),1,0)=0,"✔ 완료","⚠ 누락 "&amp;($D157="")+($F157="")+($I157="")+($J157="")+IF(AND($J157="법인카드",$K157=""),1,0)&amp;"칸"))</f>
        <v/>
      </c>
    </row>
    <row r="158">
      <c r="A158" s="3">
        <f>IF(OR(B158="",D158="",E158=""),"",B158&amp;"-"&amp;TEXT(D158,"yyyymmdd")&amp;"-"&amp;TEXT(E158,"000"))</f>
        <v/>
      </c>
      <c r="B158" s="4">
        <f>IF(OR($D158&lt;&gt;"",$F158&lt;&gt;"",$G158&lt;&gt;"",$H158&lt;&gt;"",$I158&lt;&gt;""),"연구","")</f>
        <v/>
      </c>
      <c r="C158" s="4">
        <f>IF(OR($D158&lt;&gt;"",$F158&lt;&gt;"",$G158&lt;&gt;"",$H158&lt;&gt;"",$I158&lt;&gt;""),"연구팀","")</f>
        <v/>
      </c>
      <c r="D158" s="5" t="n"/>
      <c r="E158" s="6">
        <f>IF($D158="","",COUNTIF($D$2:$D158,$D158))</f>
        <v/>
      </c>
      <c r="F158" s="5" t="n"/>
      <c r="G158" s="4" t="n"/>
      <c r="H158" s="4" t="n"/>
      <c r="I158" s="7" t="n"/>
      <c r="J158" s="4" t="n"/>
      <c r="K158" s="4" t="n"/>
      <c r="L158" s="4">
        <f>IF(OR($G158&lt;&gt;"",$I158&lt;&gt;""),"확정","")</f>
        <v/>
      </c>
      <c r="M158" s="4">
        <f>IF(OR($G158&lt;&gt;"",$I158&lt;&gt;""),"신규","")</f>
        <v/>
      </c>
      <c r="N158" s="5">
        <f>IF($D158="","",$D158)</f>
        <v/>
      </c>
      <c r="O158" s="4" t="n"/>
      <c r="P158" s="3">
        <f>IF(NOT(OR($D158&lt;&gt;"",$F158&lt;&gt;"",$G158&lt;&gt;"",$H158&lt;&gt;"",$I158&lt;&gt;"")),"",IF(($D158="")+($F158="")+($I158="")+($J158="")+IF(AND($J158="법인카드",$K158=""),1,0)=0,"✔ 완료","⚠ 누락 "&amp;($D158="")+($F158="")+($I158="")+($J158="")+IF(AND($J158="법인카드",$K158=""),1,0)&amp;"칸"))</f>
        <v/>
      </c>
    </row>
    <row r="159">
      <c r="A159" s="3">
        <f>IF(OR(B159="",D159="",E159=""),"",B159&amp;"-"&amp;TEXT(D159,"yyyymmdd")&amp;"-"&amp;TEXT(E159,"000"))</f>
        <v/>
      </c>
      <c r="B159" s="4">
        <f>IF(OR($D159&lt;&gt;"",$F159&lt;&gt;"",$G159&lt;&gt;"",$H159&lt;&gt;"",$I159&lt;&gt;""),"연구","")</f>
        <v/>
      </c>
      <c r="C159" s="4">
        <f>IF(OR($D159&lt;&gt;"",$F159&lt;&gt;"",$G159&lt;&gt;"",$H159&lt;&gt;"",$I159&lt;&gt;""),"연구팀","")</f>
        <v/>
      </c>
      <c r="D159" s="5" t="n"/>
      <c r="E159" s="6">
        <f>IF($D159="","",COUNTIF($D$2:$D159,$D159))</f>
        <v/>
      </c>
      <c r="F159" s="5" t="n"/>
      <c r="G159" s="4" t="n"/>
      <c r="H159" s="4" t="n"/>
      <c r="I159" s="7" t="n"/>
      <c r="J159" s="4" t="n"/>
      <c r="K159" s="4" t="n"/>
      <c r="L159" s="4">
        <f>IF(OR($G159&lt;&gt;"",$I159&lt;&gt;""),"확정","")</f>
        <v/>
      </c>
      <c r="M159" s="4">
        <f>IF(OR($G159&lt;&gt;"",$I159&lt;&gt;""),"신규","")</f>
        <v/>
      </c>
      <c r="N159" s="5">
        <f>IF($D159="","",$D159)</f>
        <v/>
      </c>
      <c r="O159" s="4" t="n"/>
      <c r="P159" s="3">
        <f>IF(NOT(OR($D159&lt;&gt;"",$F159&lt;&gt;"",$G159&lt;&gt;"",$H159&lt;&gt;"",$I159&lt;&gt;"")),"",IF(($D159="")+($F159="")+($I159="")+($J159="")+IF(AND($J159="법인카드",$K159=""),1,0)=0,"✔ 완료","⚠ 누락 "&amp;($D159="")+($F159="")+($I159="")+($J159="")+IF(AND($J159="법인카드",$K159=""),1,0)&amp;"칸"))</f>
        <v/>
      </c>
    </row>
    <row r="160">
      <c r="A160" s="3">
        <f>IF(OR(B160="",D160="",E160=""),"",B160&amp;"-"&amp;TEXT(D160,"yyyymmdd")&amp;"-"&amp;TEXT(E160,"000"))</f>
        <v/>
      </c>
      <c r="B160" s="4">
        <f>IF(OR($D160&lt;&gt;"",$F160&lt;&gt;"",$G160&lt;&gt;"",$H160&lt;&gt;"",$I160&lt;&gt;""),"연구","")</f>
        <v/>
      </c>
      <c r="C160" s="4">
        <f>IF(OR($D160&lt;&gt;"",$F160&lt;&gt;"",$G160&lt;&gt;"",$H160&lt;&gt;"",$I160&lt;&gt;""),"연구팀","")</f>
        <v/>
      </c>
      <c r="D160" s="5" t="n"/>
      <c r="E160" s="6">
        <f>IF($D160="","",COUNTIF($D$2:$D160,$D160))</f>
        <v/>
      </c>
      <c r="F160" s="5" t="n"/>
      <c r="G160" s="4" t="n"/>
      <c r="H160" s="4" t="n"/>
      <c r="I160" s="7" t="n"/>
      <c r="J160" s="4" t="n"/>
      <c r="K160" s="4" t="n"/>
      <c r="L160" s="4">
        <f>IF(OR($G160&lt;&gt;"",$I160&lt;&gt;""),"확정","")</f>
        <v/>
      </c>
      <c r="M160" s="4">
        <f>IF(OR($G160&lt;&gt;"",$I160&lt;&gt;""),"신규","")</f>
        <v/>
      </c>
      <c r="N160" s="5">
        <f>IF($D160="","",$D160)</f>
        <v/>
      </c>
      <c r="O160" s="4" t="n"/>
      <c r="P160" s="3">
        <f>IF(NOT(OR($D160&lt;&gt;"",$F160&lt;&gt;"",$G160&lt;&gt;"",$H160&lt;&gt;"",$I160&lt;&gt;"")),"",IF(($D160="")+($F160="")+($I160="")+($J160="")+IF(AND($J160="법인카드",$K160=""),1,0)=0,"✔ 완료","⚠ 누락 "&amp;($D160="")+($F160="")+($I160="")+($J160="")+IF(AND($J160="법인카드",$K160=""),1,0)&amp;"칸"))</f>
        <v/>
      </c>
    </row>
    <row r="161">
      <c r="A161" s="3">
        <f>IF(OR(B161="",D161="",E161=""),"",B161&amp;"-"&amp;TEXT(D161,"yyyymmdd")&amp;"-"&amp;TEXT(E161,"000"))</f>
        <v/>
      </c>
      <c r="B161" s="4">
        <f>IF(OR($D161&lt;&gt;"",$F161&lt;&gt;"",$G161&lt;&gt;"",$H161&lt;&gt;"",$I161&lt;&gt;""),"연구","")</f>
        <v/>
      </c>
      <c r="C161" s="4">
        <f>IF(OR($D161&lt;&gt;"",$F161&lt;&gt;"",$G161&lt;&gt;"",$H161&lt;&gt;"",$I161&lt;&gt;""),"연구팀","")</f>
        <v/>
      </c>
      <c r="D161" s="5" t="n"/>
      <c r="E161" s="6">
        <f>IF($D161="","",COUNTIF($D$2:$D161,$D161))</f>
        <v/>
      </c>
      <c r="F161" s="5" t="n"/>
      <c r="G161" s="4" t="n"/>
      <c r="H161" s="4" t="n"/>
      <c r="I161" s="7" t="n"/>
      <c r="J161" s="4" t="n"/>
      <c r="K161" s="4" t="n"/>
      <c r="L161" s="4">
        <f>IF(OR($G161&lt;&gt;"",$I161&lt;&gt;""),"확정","")</f>
        <v/>
      </c>
      <c r="M161" s="4">
        <f>IF(OR($G161&lt;&gt;"",$I161&lt;&gt;""),"신규","")</f>
        <v/>
      </c>
      <c r="N161" s="5">
        <f>IF($D161="","",$D161)</f>
        <v/>
      </c>
      <c r="O161" s="4" t="n"/>
      <c r="P161" s="3">
        <f>IF(NOT(OR($D161&lt;&gt;"",$F161&lt;&gt;"",$G161&lt;&gt;"",$H161&lt;&gt;"",$I161&lt;&gt;"")),"",IF(($D161="")+($F161="")+($I161="")+($J161="")+IF(AND($J161="법인카드",$K161=""),1,0)=0,"✔ 완료","⚠ 누락 "&amp;($D161="")+($F161="")+($I161="")+($J161="")+IF(AND($J161="법인카드",$K161=""),1,0)&amp;"칸"))</f>
        <v/>
      </c>
    </row>
    <row r="162">
      <c r="A162" s="3">
        <f>IF(OR(B162="",D162="",E162=""),"",B162&amp;"-"&amp;TEXT(D162,"yyyymmdd")&amp;"-"&amp;TEXT(E162,"000"))</f>
        <v/>
      </c>
      <c r="B162" s="4">
        <f>IF(OR($D162&lt;&gt;"",$F162&lt;&gt;"",$G162&lt;&gt;"",$H162&lt;&gt;"",$I162&lt;&gt;""),"연구","")</f>
        <v/>
      </c>
      <c r="C162" s="4">
        <f>IF(OR($D162&lt;&gt;"",$F162&lt;&gt;"",$G162&lt;&gt;"",$H162&lt;&gt;"",$I162&lt;&gt;""),"연구팀","")</f>
        <v/>
      </c>
      <c r="D162" s="5" t="n"/>
      <c r="E162" s="6">
        <f>IF($D162="","",COUNTIF($D$2:$D162,$D162))</f>
        <v/>
      </c>
      <c r="F162" s="5" t="n"/>
      <c r="G162" s="4" t="n"/>
      <c r="H162" s="4" t="n"/>
      <c r="I162" s="7" t="n"/>
      <c r="J162" s="4" t="n"/>
      <c r="K162" s="4" t="n"/>
      <c r="L162" s="4">
        <f>IF(OR($G162&lt;&gt;"",$I162&lt;&gt;""),"확정","")</f>
        <v/>
      </c>
      <c r="M162" s="4">
        <f>IF(OR($G162&lt;&gt;"",$I162&lt;&gt;""),"신규","")</f>
        <v/>
      </c>
      <c r="N162" s="5">
        <f>IF($D162="","",$D162)</f>
        <v/>
      </c>
      <c r="O162" s="4" t="n"/>
      <c r="P162" s="3">
        <f>IF(NOT(OR($D162&lt;&gt;"",$F162&lt;&gt;"",$G162&lt;&gt;"",$H162&lt;&gt;"",$I162&lt;&gt;"")),"",IF(($D162="")+($F162="")+($I162="")+($J162="")+IF(AND($J162="법인카드",$K162=""),1,0)=0,"✔ 완료","⚠ 누락 "&amp;($D162="")+($F162="")+($I162="")+($J162="")+IF(AND($J162="법인카드",$K162=""),1,0)&amp;"칸"))</f>
        <v/>
      </c>
    </row>
    <row r="163">
      <c r="A163" s="3">
        <f>IF(OR(B163="",D163="",E163=""),"",B163&amp;"-"&amp;TEXT(D163,"yyyymmdd")&amp;"-"&amp;TEXT(E163,"000"))</f>
        <v/>
      </c>
      <c r="B163" s="4">
        <f>IF(OR($D163&lt;&gt;"",$F163&lt;&gt;"",$G163&lt;&gt;"",$H163&lt;&gt;"",$I163&lt;&gt;""),"연구","")</f>
        <v/>
      </c>
      <c r="C163" s="4">
        <f>IF(OR($D163&lt;&gt;"",$F163&lt;&gt;"",$G163&lt;&gt;"",$H163&lt;&gt;"",$I163&lt;&gt;""),"연구팀","")</f>
        <v/>
      </c>
      <c r="D163" s="5" t="n"/>
      <c r="E163" s="6">
        <f>IF($D163="","",COUNTIF($D$2:$D163,$D163))</f>
        <v/>
      </c>
      <c r="F163" s="5" t="n"/>
      <c r="G163" s="4" t="n"/>
      <c r="H163" s="4" t="n"/>
      <c r="I163" s="7" t="n"/>
      <c r="J163" s="4" t="n"/>
      <c r="K163" s="4" t="n"/>
      <c r="L163" s="4">
        <f>IF(OR($G163&lt;&gt;"",$I163&lt;&gt;""),"확정","")</f>
        <v/>
      </c>
      <c r="M163" s="4">
        <f>IF(OR($G163&lt;&gt;"",$I163&lt;&gt;""),"신규","")</f>
        <v/>
      </c>
      <c r="N163" s="5">
        <f>IF($D163="","",$D163)</f>
        <v/>
      </c>
      <c r="O163" s="4" t="n"/>
      <c r="P163" s="3">
        <f>IF(NOT(OR($D163&lt;&gt;"",$F163&lt;&gt;"",$G163&lt;&gt;"",$H163&lt;&gt;"",$I163&lt;&gt;"")),"",IF(($D163="")+($F163="")+($I163="")+($J163="")+IF(AND($J163="법인카드",$K163=""),1,0)=0,"✔ 완료","⚠ 누락 "&amp;($D163="")+($F163="")+($I163="")+($J163="")+IF(AND($J163="법인카드",$K163=""),1,0)&amp;"칸"))</f>
        <v/>
      </c>
    </row>
    <row r="164">
      <c r="A164" s="3">
        <f>IF(OR(B164="",D164="",E164=""),"",B164&amp;"-"&amp;TEXT(D164,"yyyymmdd")&amp;"-"&amp;TEXT(E164,"000"))</f>
        <v/>
      </c>
      <c r="B164" s="4">
        <f>IF(OR($D164&lt;&gt;"",$F164&lt;&gt;"",$G164&lt;&gt;"",$H164&lt;&gt;"",$I164&lt;&gt;""),"연구","")</f>
        <v/>
      </c>
      <c r="C164" s="4">
        <f>IF(OR($D164&lt;&gt;"",$F164&lt;&gt;"",$G164&lt;&gt;"",$H164&lt;&gt;"",$I164&lt;&gt;""),"연구팀","")</f>
        <v/>
      </c>
      <c r="D164" s="5" t="n"/>
      <c r="E164" s="6">
        <f>IF($D164="","",COUNTIF($D$2:$D164,$D164))</f>
        <v/>
      </c>
      <c r="F164" s="5" t="n"/>
      <c r="G164" s="4" t="n"/>
      <c r="H164" s="4" t="n"/>
      <c r="I164" s="7" t="n"/>
      <c r="J164" s="4" t="n"/>
      <c r="K164" s="4" t="n"/>
      <c r="L164" s="4">
        <f>IF(OR($G164&lt;&gt;"",$I164&lt;&gt;""),"확정","")</f>
        <v/>
      </c>
      <c r="M164" s="4">
        <f>IF(OR($G164&lt;&gt;"",$I164&lt;&gt;""),"신규","")</f>
        <v/>
      </c>
      <c r="N164" s="5">
        <f>IF($D164="","",$D164)</f>
        <v/>
      </c>
      <c r="O164" s="4" t="n"/>
      <c r="P164" s="3">
        <f>IF(NOT(OR($D164&lt;&gt;"",$F164&lt;&gt;"",$G164&lt;&gt;"",$H164&lt;&gt;"",$I164&lt;&gt;"")),"",IF(($D164="")+($F164="")+($I164="")+($J164="")+IF(AND($J164="법인카드",$K164=""),1,0)=0,"✔ 완료","⚠ 누락 "&amp;($D164="")+($F164="")+($I164="")+($J164="")+IF(AND($J164="법인카드",$K164=""),1,0)&amp;"칸"))</f>
        <v/>
      </c>
    </row>
    <row r="165">
      <c r="A165" s="3">
        <f>IF(OR(B165="",D165="",E165=""),"",B165&amp;"-"&amp;TEXT(D165,"yyyymmdd")&amp;"-"&amp;TEXT(E165,"000"))</f>
        <v/>
      </c>
      <c r="B165" s="4">
        <f>IF(OR($D165&lt;&gt;"",$F165&lt;&gt;"",$G165&lt;&gt;"",$H165&lt;&gt;"",$I165&lt;&gt;""),"연구","")</f>
        <v/>
      </c>
      <c r="C165" s="4">
        <f>IF(OR($D165&lt;&gt;"",$F165&lt;&gt;"",$G165&lt;&gt;"",$H165&lt;&gt;"",$I165&lt;&gt;""),"연구팀","")</f>
        <v/>
      </c>
      <c r="D165" s="5" t="n"/>
      <c r="E165" s="6">
        <f>IF($D165="","",COUNTIF($D$2:$D165,$D165))</f>
        <v/>
      </c>
      <c r="F165" s="5" t="n"/>
      <c r="G165" s="4" t="n"/>
      <c r="H165" s="4" t="n"/>
      <c r="I165" s="7" t="n"/>
      <c r="J165" s="4" t="n"/>
      <c r="K165" s="4" t="n"/>
      <c r="L165" s="4">
        <f>IF(OR($G165&lt;&gt;"",$I165&lt;&gt;""),"확정","")</f>
        <v/>
      </c>
      <c r="M165" s="4">
        <f>IF(OR($G165&lt;&gt;"",$I165&lt;&gt;""),"신규","")</f>
        <v/>
      </c>
      <c r="N165" s="5">
        <f>IF($D165="","",$D165)</f>
        <v/>
      </c>
      <c r="O165" s="4" t="n"/>
      <c r="P165" s="3">
        <f>IF(NOT(OR($D165&lt;&gt;"",$F165&lt;&gt;"",$G165&lt;&gt;"",$H165&lt;&gt;"",$I165&lt;&gt;"")),"",IF(($D165="")+($F165="")+($I165="")+($J165="")+IF(AND($J165="법인카드",$K165=""),1,0)=0,"✔ 완료","⚠ 누락 "&amp;($D165="")+($F165="")+($I165="")+($J165="")+IF(AND($J165="법인카드",$K165=""),1,0)&amp;"칸"))</f>
        <v/>
      </c>
    </row>
    <row r="166">
      <c r="A166" s="3">
        <f>IF(OR(B166="",D166="",E166=""),"",B166&amp;"-"&amp;TEXT(D166,"yyyymmdd")&amp;"-"&amp;TEXT(E166,"000"))</f>
        <v/>
      </c>
      <c r="B166" s="4">
        <f>IF(OR($D166&lt;&gt;"",$F166&lt;&gt;"",$G166&lt;&gt;"",$H166&lt;&gt;"",$I166&lt;&gt;""),"연구","")</f>
        <v/>
      </c>
      <c r="C166" s="4">
        <f>IF(OR($D166&lt;&gt;"",$F166&lt;&gt;"",$G166&lt;&gt;"",$H166&lt;&gt;"",$I166&lt;&gt;""),"연구팀","")</f>
        <v/>
      </c>
      <c r="D166" s="5" t="n"/>
      <c r="E166" s="6">
        <f>IF($D166="","",COUNTIF($D$2:$D166,$D166))</f>
        <v/>
      </c>
      <c r="F166" s="5" t="n"/>
      <c r="G166" s="4" t="n"/>
      <c r="H166" s="4" t="n"/>
      <c r="I166" s="7" t="n"/>
      <c r="J166" s="4" t="n"/>
      <c r="K166" s="4" t="n"/>
      <c r="L166" s="4">
        <f>IF(OR($G166&lt;&gt;"",$I166&lt;&gt;""),"확정","")</f>
        <v/>
      </c>
      <c r="M166" s="4">
        <f>IF(OR($G166&lt;&gt;"",$I166&lt;&gt;""),"신규","")</f>
        <v/>
      </c>
      <c r="N166" s="5">
        <f>IF($D166="","",$D166)</f>
        <v/>
      </c>
      <c r="O166" s="4" t="n"/>
      <c r="P166" s="3">
        <f>IF(NOT(OR($D166&lt;&gt;"",$F166&lt;&gt;"",$G166&lt;&gt;"",$H166&lt;&gt;"",$I166&lt;&gt;"")),"",IF(($D166="")+($F166="")+($I166="")+($J166="")+IF(AND($J166="법인카드",$K166=""),1,0)=0,"✔ 완료","⚠ 누락 "&amp;($D166="")+($F166="")+($I166="")+($J166="")+IF(AND($J166="법인카드",$K166=""),1,0)&amp;"칸"))</f>
        <v/>
      </c>
    </row>
    <row r="167">
      <c r="A167" s="3">
        <f>IF(OR(B167="",D167="",E167=""),"",B167&amp;"-"&amp;TEXT(D167,"yyyymmdd")&amp;"-"&amp;TEXT(E167,"000"))</f>
        <v/>
      </c>
      <c r="B167" s="4">
        <f>IF(OR($D167&lt;&gt;"",$F167&lt;&gt;"",$G167&lt;&gt;"",$H167&lt;&gt;"",$I167&lt;&gt;""),"연구","")</f>
        <v/>
      </c>
      <c r="C167" s="4">
        <f>IF(OR($D167&lt;&gt;"",$F167&lt;&gt;"",$G167&lt;&gt;"",$H167&lt;&gt;"",$I167&lt;&gt;""),"연구팀","")</f>
        <v/>
      </c>
      <c r="D167" s="5" t="n"/>
      <c r="E167" s="6">
        <f>IF($D167="","",COUNTIF($D$2:$D167,$D167))</f>
        <v/>
      </c>
      <c r="F167" s="5" t="n"/>
      <c r="G167" s="4" t="n"/>
      <c r="H167" s="4" t="n"/>
      <c r="I167" s="7" t="n"/>
      <c r="J167" s="4" t="n"/>
      <c r="K167" s="4" t="n"/>
      <c r="L167" s="4">
        <f>IF(OR($G167&lt;&gt;"",$I167&lt;&gt;""),"확정","")</f>
        <v/>
      </c>
      <c r="M167" s="4">
        <f>IF(OR($G167&lt;&gt;"",$I167&lt;&gt;""),"신규","")</f>
        <v/>
      </c>
      <c r="N167" s="5">
        <f>IF($D167="","",$D167)</f>
        <v/>
      </c>
      <c r="O167" s="4" t="n"/>
      <c r="P167" s="3">
        <f>IF(NOT(OR($D167&lt;&gt;"",$F167&lt;&gt;"",$G167&lt;&gt;"",$H167&lt;&gt;"",$I167&lt;&gt;"")),"",IF(($D167="")+($F167="")+($I167="")+($J167="")+IF(AND($J167="법인카드",$K167=""),1,0)=0,"✔ 완료","⚠ 누락 "&amp;($D167="")+($F167="")+($I167="")+($J167="")+IF(AND($J167="법인카드",$K167=""),1,0)&amp;"칸"))</f>
        <v/>
      </c>
    </row>
    <row r="168">
      <c r="A168" s="3">
        <f>IF(OR(B168="",D168="",E168=""),"",B168&amp;"-"&amp;TEXT(D168,"yyyymmdd")&amp;"-"&amp;TEXT(E168,"000"))</f>
        <v/>
      </c>
      <c r="B168" s="4">
        <f>IF(OR($D168&lt;&gt;"",$F168&lt;&gt;"",$G168&lt;&gt;"",$H168&lt;&gt;"",$I168&lt;&gt;""),"연구","")</f>
        <v/>
      </c>
      <c r="C168" s="4">
        <f>IF(OR($D168&lt;&gt;"",$F168&lt;&gt;"",$G168&lt;&gt;"",$H168&lt;&gt;"",$I168&lt;&gt;""),"연구팀","")</f>
        <v/>
      </c>
      <c r="D168" s="5" t="n"/>
      <c r="E168" s="6">
        <f>IF($D168="","",COUNTIF($D$2:$D168,$D168))</f>
        <v/>
      </c>
      <c r="F168" s="5" t="n"/>
      <c r="G168" s="4" t="n"/>
      <c r="H168" s="4" t="n"/>
      <c r="I168" s="7" t="n"/>
      <c r="J168" s="4" t="n"/>
      <c r="K168" s="4" t="n"/>
      <c r="L168" s="4">
        <f>IF(OR($G168&lt;&gt;"",$I168&lt;&gt;""),"확정","")</f>
        <v/>
      </c>
      <c r="M168" s="4">
        <f>IF(OR($G168&lt;&gt;"",$I168&lt;&gt;""),"신규","")</f>
        <v/>
      </c>
      <c r="N168" s="5">
        <f>IF($D168="","",$D168)</f>
        <v/>
      </c>
      <c r="O168" s="4" t="n"/>
      <c r="P168" s="3">
        <f>IF(NOT(OR($D168&lt;&gt;"",$F168&lt;&gt;"",$G168&lt;&gt;"",$H168&lt;&gt;"",$I168&lt;&gt;"")),"",IF(($D168="")+($F168="")+($I168="")+($J168="")+IF(AND($J168="법인카드",$K168=""),1,0)=0,"✔ 완료","⚠ 누락 "&amp;($D168="")+($F168="")+($I168="")+($J168="")+IF(AND($J168="법인카드",$K168=""),1,0)&amp;"칸"))</f>
        <v/>
      </c>
    </row>
    <row r="169">
      <c r="A169" s="3">
        <f>IF(OR(B169="",D169="",E169=""),"",B169&amp;"-"&amp;TEXT(D169,"yyyymmdd")&amp;"-"&amp;TEXT(E169,"000"))</f>
        <v/>
      </c>
      <c r="B169" s="4">
        <f>IF(OR($D169&lt;&gt;"",$F169&lt;&gt;"",$G169&lt;&gt;"",$H169&lt;&gt;"",$I169&lt;&gt;""),"연구","")</f>
        <v/>
      </c>
      <c r="C169" s="4">
        <f>IF(OR($D169&lt;&gt;"",$F169&lt;&gt;"",$G169&lt;&gt;"",$H169&lt;&gt;"",$I169&lt;&gt;""),"연구팀","")</f>
        <v/>
      </c>
      <c r="D169" s="5" t="n"/>
      <c r="E169" s="6">
        <f>IF($D169="","",COUNTIF($D$2:$D169,$D169))</f>
        <v/>
      </c>
      <c r="F169" s="5" t="n"/>
      <c r="G169" s="4" t="n"/>
      <c r="H169" s="4" t="n"/>
      <c r="I169" s="7" t="n"/>
      <c r="J169" s="4" t="n"/>
      <c r="K169" s="4" t="n"/>
      <c r="L169" s="4">
        <f>IF(OR($G169&lt;&gt;"",$I169&lt;&gt;""),"확정","")</f>
        <v/>
      </c>
      <c r="M169" s="4">
        <f>IF(OR($G169&lt;&gt;"",$I169&lt;&gt;""),"신규","")</f>
        <v/>
      </c>
      <c r="N169" s="5">
        <f>IF($D169="","",$D169)</f>
        <v/>
      </c>
      <c r="O169" s="4" t="n"/>
      <c r="P169" s="3">
        <f>IF(NOT(OR($D169&lt;&gt;"",$F169&lt;&gt;"",$G169&lt;&gt;"",$H169&lt;&gt;"",$I169&lt;&gt;"")),"",IF(($D169="")+($F169="")+($I169="")+($J169="")+IF(AND($J169="법인카드",$K169=""),1,0)=0,"✔ 완료","⚠ 누락 "&amp;($D169="")+($F169="")+($I169="")+($J169="")+IF(AND($J169="법인카드",$K169=""),1,0)&amp;"칸"))</f>
        <v/>
      </c>
    </row>
    <row r="170">
      <c r="A170" s="3">
        <f>IF(OR(B170="",D170="",E170=""),"",B170&amp;"-"&amp;TEXT(D170,"yyyymmdd")&amp;"-"&amp;TEXT(E170,"000"))</f>
        <v/>
      </c>
      <c r="B170" s="4">
        <f>IF(OR($D170&lt;&gt;"",$F170&lt;&gt;"",$G170&lt;&gt;"",$H170&lt;&gt;"",$I170&lt;&gt;""),"연구","")</f>
        <v/>
      </c>
      <c r="C170" s="4">
        <f>IF(OR($D170&lt;&gt;"",$F170&lt;&gt;"",$G170&lt;&gt;"",$H170&lt;&gt;"",$I170&lt;&gt;""),"연구팀","")</f>
        <v/>
      </c>
      <c r="D170" s="5" t="n"/>
      <c r="E170" s="6">
        <f>IF($D170="","",COUNTIF($D$2:$D170,$D170))</f>
        <v/>
      </c>
      <c r="F170" s="5" t="n"/>
      <c r="G170" s="4" t="n"/>
      <c r="H170" s="4" t="n"/>
      <c r="I170" s="7" t="n"/>
      <c r="J170" s="4" t="n"/>
      <c r="K170" s="4" t="n"/>
      <c r="L170" s="4">
        <f>IF(OR($G170&lt;&gt;"",$I170&lt;&gt;""),"확정","")</f>
        <v/>
      </c>
      <c r="M170" s="4">
        <f>IF(OR($G170&lt;&gt;"",$I170&lt;&gt;""),"신규","")</f>
        <v/>
      </c>
      <c r="N170" s="5">
        <f>IF($D170="","",$D170)</f>
        <v/>
      </c>
      <c r="O170" s="4" t="n"/>
      <c r="P170" s="3">
        <f>IF(NOT(OR($D170&lt;&gt;"",$F170&lt;&gt;"",$G170&lt;&gt;"",$H170&lt;&gt;"",$I170&lt;&gt;"")),"",IF(($D170="")+($F170="")+($I170="")+($J170="")+IF(AND($J170="법인카드",$K170=""),1,0)=0,"✔ 완료","⚠ 누락 "&amp;($D170="")+($F170="")+($I170="")+($J170="")+IF(AND($J170="법인카드",$K170=""),1,0)&amp;"칸"))</f>
        <v/>
      </c>
    </row>
    <row r="171">
      <c r="A171" s="3">
        <f>IF(OR(B171="",D171="",E171=""),"",B171&amp;"-"&amp;TEXT(D171,"yyyymmdd")&amp;"-"&amp;TEXT(E171,"000"))</f>
        <v/>
      </c>
      <c r="B171" s="4">
        <f>IF(OR($D171&lt;&gt;"",$F171&lt;&gt;"",$G171&lt;&gt;"",$H171&lt;&gt;"",$I171&lt;&gt;""),"연구","")</f>
        <v/>
      </c>
      <c r="C171" s="4">
        <f>IF(OR($D171&lt;&gt;"",$F171&lt;&gt;"",$G171&lt;&gt;"",$H171&lt;&gt;"",$I171&lt;&gt;""),"연구팀","")</f>
        <v/>
      </c>
      <c r="D171" s="5" t="n"/>
      <c r="E171" s="6">
        <f>IF($D171="","",COUNTIF($D$2:$D171,$D171))</f>
        <v/>
      </c>
      <c r="F171" s="5" t="n"/>
      <c r="G171" s="4" t="n"/>
      <c r="H171" s="4" t="n"/>
      <c r="I171" s="7" t="n"/>
      <c r="J171" s="4" t="n"/>
      <c r="K171" s="4" t="n"/>
      <c r="L171" s="4">
        <f>IF(OR($G171&lt;&gt;"",$I171&lt;&gt;""),"확정","")</f>
        <v/>
      </c>
      <c r="M171" s="4">
        <f>IF(OR($G171&lt;&gt;"",$I171&lt;&gt;""),"신규","")</f>
        <v/>
      </c>
      <c r="N171" s="5">
        <f>IF($D171="","",$D171)</f>
        <v/>
      </c>
      <c r="O171" s="4" t="n"/>
      <c r="P171" s="3">
        <f>IF(NOT(OR($D171&lt;&gt;"",$F171&lt;&gt;"",$G171&lt;&gt;"",$H171&lt;&gt;"",$I171&lt;&gt;"")),"",IF(($D171="")+($F171="")+($I171="")+($J171="")+IF(AND($J171="법인카드",$K171=""),1,0)=0,"✔ 완료","⚠ 누락 "&amp;($D171="")+($F171="")+($I171="")+($J171="")+IF(AND($J171="법인카드",$K171=""),1,0)&amp;"칸"))</f>
        <v/>
      </c>
    </row>
    <row r="172">
      <c r="A172" s="3">
        <f>IF(OR(B172="",D172="",E172=""),"",B172&amp;"-"&amp;TEXT(D172,"yyyymmdd")&amp;"-"&amp;TEXT(E172,"000"))</f>
        <v/>
      </c>
      <c r="B172" s="4">
        <f>IF(OR($D172&lt;&gt;"",$F172&lt;&gt;"",$G172&lt;&gt;"",$H172&lt;&gt;"",$I172&lt;&gt;""),"연구","")</f>
        <v/>
      </c>
      <c r="C172" s="4">
        <f>IF(OR($D172&lt;&gt;"",$F172&lt;&gt;"",$G172&lt;&gt;"",$H172&lt;&gt;"",$I172&lt;&gt;""),"연구팀","")</f>
        <v/>
      </c>
      <c r="D172" s="5" t="n"/>
      <c r="E172" s="6">
        <f>IF($D172="","",COUNTIF($D$2:$D172,$D172))</f>
        <v/>
      </c>
      <c r="F172" s="5" t="n"/>
      <c r="G172" s="4" t="n"/>
      <c r="H172" s="4" t="n"/>
      <c r="I172" s="7" t="n"/>
      <c r="J172" s="4" t="n"/>
      <c r="K172" s="4" t="n"/>
      <c r="L172" s="4">
        <f>IF(OR($G172&lt;&gt;"",$I172&lt;&gt;""),"확정","")</f>
        <v/>
      </c>
      <c r="M172" s="4">
        <f>IF(OR($G172&lt;&gt;"",$I172&lt;&gt;""),"신규","")</f>
        <v/>
      </c>
      <c r="N172" s="5">
        <f>IF($D172="","",$D172)</f>
        <v/>
      </c>
      <c r="O172" s="4" t="n"/>
      <c r="P172" s="3">
        <f>IF(NOT(OR($D172&lt;&gt;"",$F172&lt;&gt;"",$G172&lt;&gt;"",$H172&lt;&gt;"",$I172&lt;&gt;"")),"",IF(($D172="")+($F172="")+($I172="")+($J172="")+IF(AND($J172="법인카드",$K172=""),1,0)=0,"✔ 완료","⚠ 누락 "&amp;($D172="")+($F172="")+($I172="")+($J172="")+IF(AND($J172="법인카드",$K172=""),1,0)&amp;"칸"))</f>
        <v/>
      </c>
    </row>
    <row r="173">
      <c r="A173" s="3">
        <f>IF(OR(B173="",D173="",E173=""),"",B173&amp;"-"&amp;TEXT(D173,"yyyymmdd")&amp;"-"&amp;TEXT(E173,"000"))</f>
        <v/>
      </c>
      <c r="B173" s="4">
        <f>IF(OR($D173&lt;&gt;"",$F173&lt;&gt;"",$G173&lt;&gt;"",$H173&lt;&gt;"",$I173&lt;&gt;""),"연구","")</f>
        <v/>
      </c>
      <c r="C173" s="4">
        <f>IF(OR($D173&lt;&gt;"",$F173&lt;&gt;"",$G173&lt;&gt;"",$H173&lt;&gt;"",$I173&lt;&gt;""),"연구팀","")</f>
        <v/>
      </c>
      <c r="D173" s="5" t="n"/>
      <c r="E173" s="6">
        <f>IF($D173="","",COUNTIF($D$2:$D173,$D173))</f>
        <v/>
      </c>
      <c r="F173" s="5" t="n"/>
      <c r="G173" s="4" t="n"/>
      <c r="H173" s="4" t="n"/>
      <c r="I173" s="7" t="n"/>
      <c r="J173" s="4" t="n"/>
      <c r="K173" s="4" t="n"/>
      <c r="L173" s="4">
        <f>IF(OR($G173&lt;&gt;"",$I173&lt;&gt;""),"확정","")</f>
        <v/>
      </c>
      <c r="M173" s="4">
        <f>IF(OR($G173&lt;&gt;"",$I173&lt;&gt;""),"신규","")</f>
        <v/>
      </c>
      <c r="N173" s="5">
        <f>IF($D173="","",$D173)</f>
        <v/>
      </c>
      <c r="O173" s="4" t="n"/>
      <c r="P173" s="3">
        <f>IF(NOT(OR($D173&lt;&gt;"",$F173&lt;&gt;"",$G173&lt;&gt;"",$H173&lt;&gt;"",$I173&lt;&gt;"")),"",IF(($D173="")+($F173="")+($I173="")+($J173="")+IF(AND($J173="법인카드",$K173=""),1,0)=0,"✔ 완료","⚠ 누락 "&amp;($D173="")+($F173="")+($I173="")+($J173="")+IF(AND($J173="법인카드",$K173=""),1,0)&amp;"칸"))</f>
        <v/>
      </c>
    </row>
    <row r="174">
      <c r="A174" s="3">
        <f>IF(OR(B174="",D174="",E174=""),"",B174&amp;"-"&amp;TEXT(D174,"yyyymmdd")&amp;"-"&amp;TEXT(E174,"000"))</f>
        <v/>
      </c>
      <c r="B174" s="4">
        <f>IF(OR($D174&lt;&gt;"",$F174&lt;&gt;"",$G174&lt;&gt;"",$H174&lt;&gt;"",$I174&lt;&gt;""),"연구","")</f>
        <v/>
      </c>
      <c r="C174" s="4">
        <f>IF(OR($D174&lt;&gt;"",$F174&lt;&gt;"",$G174&lt;&gt;"",$H174&lt;&gt;"",$I174&lt;&gt;""),"연구팀","")</f>
        <v/>
      </c>
      <c r="D174" s="5" t="n"/>
      <c r="E174" s="6">
        <f>IF($D174="","",COUNTIF($D$2:$D174,$D174))</f>
        <v/>
      </c>
      <c r="F174" s="5" t="n"/>
      <c r="G174" s="4" t="n"/>
      <c r="H174" s="4" t="n"/>
      <c r="I174" s="7" t="n"/>
      <c r="J174" s="4" t="n"/>
      <c r="K174" s="4" t="n"/>
      <c r="L174" s="4">
        <f>IF(OR($G174&lt;&gt;"",$I174&lt;&gt;""),"확정","")</f>
        <v/>
      </c>
      <c r="M174" s="4">
        <f>IF(OR($G174&lt;&gt;"",$I174&lt;&gt;""),"신규","")</f>
        <v/>
      </c>
      <c r="N174" s="5">
        <f>IF($D174="","",$D174)</f>
        <v/>
      </c>
      <c r="O174" s="4" t="n"/>
      <c r="P174" s="3">
        <f>IF(NOT(OR($D174&lt;&gt;"",$F174&lt;&gt;"",$G174&lt;&gt;"",$H174&lt;&gt;"",$I174&lt;&gt;"")),"",IF(($D174="")+($F174="")+($I174="")+($J174="")+IF(AND($J174="법인카드",$K174=""),1,0)=0,"✔ 완료","⚠ 누락 "&amp;($D174="")+($F174="")+($I174="")+($J174="")+IF(AND($J174="법인카드",$K174=""),1,0)&amp;"칸"))</f>
        <v/>
      </c>
    </row>
    <row r="175">
      <c r="A175" s="3">
        <f>IF(OR(B175="",D175="",E175=""),"",B175&amp;"-"&amp;TEXT(D175,"yyyymmdd")&amp;"-"&amp;TEXT(E175,"000"))</f>
        <v/>
      </c>
      <c r="B175" s="4">
        <f>IF(OR($D175&lt;&gt;"",$F175&lt;&gt;"",$G175&lt;&gt;"",$H175&lt;&gt;"",$I175&lt;&gt;""),"연구","")</f>
        <v/>
      </c>
      <c r="C175" s="4">
        <f>IF(OR($D175&lt;&gt;"",$F175&lt;&gt;"",$G175&lt;&gt;"",$H175&lt;&gt;"",$I175&lt;&gt;""),"연구팀","")</f>
        <v/>
      </c>
      <c r="D175" s="5" t="n"/>
      <c r="E175" s="6">
        <f>IF($D175="","",COUNTIF($D$2:$D175,$D175))</f>
        <v/>
      </c>
      <c r="F175" s="5" t="n"/>
      <c r="G175" s="4" t="n"/>
      <c r="H175" s="4" t="n"/>
      <c r="I175" s="7" t="n"/>
      <c r="J175" s="4" t="n"/>
      <c r="K175" s="4" t="n"/>
      <c r="L175" s="4">
        <f>IF(OR($G175&lt;&gt;"",$I175&lt;&gt;""),"확정","")</f>
        <v/>
      </c>
      <c r="M175" s="4">
        <f>IF(OR($G175&lt;&gt;"",$I175&lt;&gt;""),"신규","")</f>
        <v/>
      </c>
      <c r="N175" s="5">
        <f>IF($D175="","",$D175)</f>
        <v/>
      </c>
      <c r="O175" s="4" t="n"/>
      <c r="P175" s="3">
        <f>IF(NOT(OR($D175&lt;&gt;"",$F175&lt;&gt;"",$G175&lt;&gt;"",$H175&lt;&gt;"",$I175&lt;&gt;"")),"",IF(($D175="")+($F175="")+($I175="")+($J175="")+IF(AND($J175="법인카드",$K175=""),1,0)=0,"✔ 완료","⚠ 누락 "&amp;($D175="")+($F175="")+($I175="")+($J175="")+IF(AND($J175="법인카드",$K175=""),1,0)&amp;"칸"))</f>
        <v/>
      </c>
    </row>
    <row r="176">
      <c r="A176" s="3">
        <f>IF(OR(B176="",D176="",E176=""),"",B176&amp;"-"&amp;TEXT(D176,"yyyymmdd")&amp;"-"&amp;TEXT(E176,"000"))</f>
        <v/>
      </c>
      <c r="B176" s="4">
        <f>IF(OR($D176&lt;&gt;"",$F176&lt;&gt;"",$G176&lt;&gt;"",$H176&lt;&gt;"",$I176&lt;&gt;""),"연구","")</f>
        <v/>
      </c>
      <c r="C176" s="4">
        <f>IF(OR($D176&lt;&gt;"",$F176&lt;&gt;"",$G176&lt;&gt;"",$H176&lt;&gt;"",$I176&lt;&gt;""),"연구팀","")</f>
        <v/>
      </c>
      <c r="D176" s="5" t="n"/>
      <c r="E176" s="6">
        <f>IF($D176="","",COUNTIF($D$2:$D176,$D176))</f>
        <v/>
      </c>
      <c r="F176" s="5" t="n"/>
      <c r="G176" s="4" t="n"/>
      <c r="H176" s="4" t="n"/>
      <c r="I176" s="7" t="n"/>
      <c r="J176" s="4" t="n"/>
      <c r="K176" s="4" t="n"/>
      <c r="L176" s="4">
        <f>IF(OR($G176&lt;&gt;"",$I176&lt;&gt;""),"확정","")</f>
        <v/>
      </c>
      <c r="M176" s="4">
        <f>IF(OR($G176&lt;&gt;"",$I176&lt;&gt;""),"신규","")</f>
        <v/>
      </c>
      <c r="N176" s="5">
        <f>IF($D176="","",$D176)</f>
        <v/>
      </c>
      <c r="O176" s="4" t="n"/>
      <c r="P176" s="3">
        <f>IF(NOT(OR($D176&lt;&gt;"",$F176&lt;&gt;"",$G176&lt;&gt;"",$H176&lt;&gt;"",$I176&lt;&gt;"")),"",IF(($D176="")+($F176="")+($I176="")+($J176="")+IF(AND($J176="법인카드",$K176=""),1,0)=0,"✔ 완료","⚠ 누락 "&amp;($D176="")+($F176="")+($I176="")+($J176="")+IF(AND($J176="법인카드",$K176=""),1,0)&amp;"칸"))</f>
        <v/>
      </c>
    </row>
    <row r="177">
      <c r="A177" s="3">
        <f>IF(OR(B177="",D177="",E177=""),"",B177&amp;"-"&amp;TEXT(D177,"yyyymmdd")&amp;"-"&amp;TEXT(E177,"000"))</f>
        <v/>
      </c>
      <c r="B177" s="4">
        <f>IF(OR($D177&lt;&gt;"",$F177&lt;&gt;"",$G177&lt;&gt;"",$H177&lt;&gt;"",$I177&lt;&gt;""),"연구","")</f>
        <v/>
      </c>
      <c r="C177" s="4">
        <f>IF(OR($D177&lt;&gt;"",$F177&lt;&gt;"",$G177&lt;&gt;"",$H177&lt;&gt;"",$I177&lt;&gt;""),"연구팀","")</f>
        <v/>
      </c>
      <c r="D177" s="5" t="n"/>
      <c r="E177" s="6">
        <f>IF($D177="","",COUNTIF($D$2:$D177,$D177))</f>
        <v/>
      </c>
      <c r="F177" s="5" t="n"/>
      <c r="G177" s="4" t="n"/>
      <c r="H177" s="4" t="n"/>
      <c r="I177" s="7" t="n"/>
      <c r="J177" s="4" t="n"/>
      <c r="K177" s="4" t="n"/>
      <c r="L177" s="4">
        <f>IF(OR($G177&lt;&gt;"",$I177&lt;&gt;""),"확정","")</f>
        <v/>
      </c>
      <c r="M177" s="4">
        <f>IF(OR($G177&lt;&gt;"",$I177&lt;&gt;""),"신규","")</f>
        <v/>
      </c>
      <c r="N177" s="5">
        <f>IF($D177="","",$D177)</f>
        <v/>
      </c>
      <c r="O177" s="4" t="n"/>
      <c r="P177" s="3">
        <f>IF(NOT(OR($D177&lt;&gt;"",$F177&lt;&gt;"",$G177&lt;&gt;"",$H177&lt;&gt;"",$I177&lt;&gt;"")),"",IF(($D177="")+($F177="")+($I177="")+($J177="")+IF(AND($J177="법인카드",$K177=""),1,0)=0,"✔ 완료","⚠ 누락 "&amp;($D177="")+($F177="")+($I177="")+($J177="")+IF(AND($J177="법인카드",$K177=""),1,0)&amp;"칸"))</f>
        <v/>
      </c>
    </row>
    <row r="178">
      <c r="A178" s="3">
        <f>IF(OR(B178="",D178="",E178=""),"",B178&amp;"-"&amp;TEXT(D178,"yyyymmdd")&amp;"-"&amp;TEXT(E178,"000"))</f>
        <v/>
      </c>
      <c r="B178" s="4">
        <f>IF(OR($D178&lt;&gt;"",$F178&lt;&gt;"",$G178&lt;&gt;"",$H178&lt;&gt;"",$I178&lt;&gt;""),"연구","")</f>
        <v/>
      </c>
      <c r="C178" s="4">
        <f>IF(OR($D178&lt;&gt;"",$F178&lt;&gt;"",$G178&lt;&gt;"",$H178&lt;&gt;"",$I178&lt;&gt;""),"연구팀","")</f>
        <v/>
      </c>
      <c r="D178" s="5" t="n"/>
      <c r="E178" s="6">
        <f>IF($D178="","",COUNTIF($D$2:$D178,$D178))</f>
        <v/>
      </c>
      <c r="F178" s="5" t="n"/>
      <c r="G178" s="4" t="n"/>
      <c r="H178" s="4" t="n"/>
      <c r="I178" s="7" t="n"/>
      <c r="J178" s="4" t="n"/>
      <c r="K178" s="4" t="n"/>
      <c r="L178" s="4">
        <f>IF(OR($G178&lt;&gt;"",$I178&lt;&gt;""),"확정","")</f>
        <v/>
      </c>
      <c r="M178" s="4">
        <f>IF(OR($G178&lt;&gt;"",$I178&lt;&gt;""),"신규","")</f>
        <v/>
      </c>
      <c r="N178" s="5">
        <f>IF($D178="","",$D178)</f>
        <v/>
      </c>
      <c r="O178" s="4" t="n"/>
      <c r="P178" s="3">
        <f>IF(NOT(OR($D178&lt;&gt;"",$F178&lt;&gt;"",$G178&lt;&gt;"",$H178&lt;&gt;"",$I178&lt;&gt;"")),"",IF(($D178="")+($F178="")+($I178="")+($J178="")+IF(AND($J178="법인카드",$K178=""),1,0)=0,"✔ 완료","⚠ 누락 "&amp;($D178="")+($F178="")+($I178="")+($J178="")+IF(AND($J178="법인카드",$K178=""),1,0)&amp;"칸"))</f>
        <v/>
      </c>
    </row>
    <row r="179">
      <c r="A179" s="3">
        <f>IF(OR(B179="",D179="",E179=""),"",B179&amp;"-"&amp;TEXT(D179,"yyyymmdd")&amp;"-"&amp;TEXT(E179,"000"))</f>
        <v/>
      </c>
      <c r="B179" s="4">
        <f>IF(OR($D179&lt;&gt;"",$F179&lt;&gt;"",$G179&lt;&gt;"",$H179&lt;&gt;"",$I179&lt;&gt;""),"연구","")</f>
        <v/>
      </c>
      <c r="C179" s="4">
        <f>IF(OR($D179&lt;&gt;"",$F179&lt;&gt;"",$G179&lt;&gt;"",$H179&lt;&gt;"",$I179&lt;&gt;""),"연구팀","")</f>
        <v/>
      </c>
      <c r="D179" s="5" t="n"/>
      <c r="E179" s="6">
        <f>IF($D179="","",COUNTIF($D$2:$D179,$D179))</f>
        <v/>
      </c>
      <c r="F179" s="5" t="n"/>
      <c r="G179" s="4" t="n"/>
      <c r="H179" s="4" t="n"/>
      <c r="I179" s="7" t="n"/>
      <c r="J179" s="4" t="n"/>
      <c r="K179" s="4" t="n"/>
      <c r="L179" s="4">
        <f>IF(OR($G179&lt;&gt;"",$I179&lt;&gt;""),"확정","")</f>
        <v/>
      </c>
      <c r="M179" s="4">
        <f>IF(OR($G179&lt;&gt;"",$I179&lt;&gt;""),"신규","")</f>
        <v/>
      </c>
      <c r="N179" s="5">
        <f>IF($D179="","",$D179)</f>
        <v/>
      </c>
      <c r="O179" s="4" t="n"/>
      <c r="P179" s="3">
        <f>IF(NOT(OR($D179&lt;&gt;"",$F179&lt;&gt;"",$G179&lt;&gt;"",$H179&lt;&gt;"",$I179&lt;&gt;"")),"",IF(($D179="")+($F179="")+($I179="")+($J179="")+IF(AND($J179="법인카드",$K179=""),1,0)=0,"✔ 완료","⚠ 누락 "&amp;($D179="")+($F179="")+($I179="")+($J179="")+IF(AND($J179="법인카드",$K179=""),1,0)&amp;"칸"))</f>
        <v/>
      </c>
    </row>
    <row r="180">
      <c r="A180" s="3">
        <f>IF(OR(B180="",D180="",E180=""),"",B180&amp;"-"&amp;TEXT(D180,"yyyymmdd")&amp;"-"&amp;TEXT(E180,"000"))</f>
        <v/>
      </c>
      <c r="B180" s="4">
        <f>IF(OR($D180&lt;&gt;"",$F180&lt;&gt;"",$G180&lt;&gt;"",$H180&lt;&gt;"",$I180&lt;&gt;""),"연구","")</f>
        <v/>
      </c>
      <c r="C180" s="4">
        <f>IF(OR($D180&lt;&gt;"",$F180&lt;&gt;"",$G180&lt;&gt;"",$H180&lt;&gt;"",$I180&lt;&gt;""),"연구팀","")</f>
        <v/>
      </c>
      <c r="D180" s="5" t="n"/>
      <c r="E180" s="6">
        <f>IF($D180="","",COUNTIF($D$2:$D180,$D180))</f>
        <v/>
      </c>
      <c r="F180" s="5" t="n"/>
      <c r="G180" s="4" t="n"/>
      <c r="H180" s="4" t="n"/>
      <c r="I180" s="7" t="n"/>
      <c r="J180" s="4" t="n"/>
      <c r="K180" s="4" t="n"/>
      <c r="L180" s="4">
        <f>IF(OR($G180&lt;&gt;"",$I180&lt;&gt;""),"확정","")</f>
        <v/>
      </c>
      <c r="M180" s="4">
        <f>IF(OR($G180&lt;&gt;"",$I180&lt;&gt;""),"신규","")</f>
        <v/>
      </c>
      <c r="N180" s="5">
        <f>IF($D180="","",$D180)</f>
        <v/>
      </c>
      <c r="O180" s="4" t="n"/>
      <c r="P180" s="3">
        <f>IF(NOT(OR($D180&lt;&gt;"",$F180&lt;&gt;"",$G180&lt;&gt;"",$H180&lt;&gt;"",$I180&lt;&gt;"")),"",IF(($D180="")+($F180="")+($I180="")+($J180="")+IF(AND($J180="법인카드",$K180=""),1,0)=0,"✔ 완료","⚠ 누락 "&amp;($D180="")+($F180="")+($I180="")+($J180="")+IF(AND($J180="법인카드",$K180=""),1,0)&amp;"칸"))</f>
        <v/>
      </c>
    </row>
    <row r="181">
      <c r="A181" s="3">
        <f>IF(OR(B181="",D181="",E181=""),"",B181&amp;"-"&amp;TEXT(D181,"yyyymmdd")&amp;"-"&amp;TEXT(E181,"000"))</f>
        <v/>
      </c>
      <c r="B181" s="4">
        <f>IF(OR($D181&lt;&gt;"",$F181&lt;&gt;"",$G181&lt;&gt;"",$H181&lt;&gt;"",$I181&lt;&gt;""),"연구","")</f>
        <v/>
      </c>
      <c r="C181" s="4">
        <f>IF(OR($D181&lt;&gt;"",$F181&lt;&gt;"",$G181&lt;&gt;"",$H181&lt;&gt;"",$I181&lt;&gt;""),"연구팀","")</f>
        <v/>
      </c>
      <c r="D181" s="5" t="n"/>
      <c r="E181" s="6">
        <f>IF($D181="","",COUNTIF($D$2:$D181,$D181))</f>
        <v/>
      </c>
      <c r="F181" s="5" t="n"/>
      <c r="G181" s="4" t="n"/>
      <c r="H181" s="4" t="n"/>
      <c r="I181" s="7" t="n"/>
      <c r="J181" s="4" t="n"/>
      <c r="K181" s="4" t="n"/>
      <c r="L181" s="4">
        <f>IF(OR($G181&lt;&gt;"",$I181&lt;&gt;""),"확정","")</f>
        <v/>
      </c>
      <c r="M181" s="4">
        <f>IF(OR($G181&lt;&gt;"",$I181&lt;&gt;""),"신규","")</f>
        <v/>
      </c>
      <c r="N181" s="5">
        <f>IF($D181="","",$D181)</f>
        <v/>
      </c>
      <c r="O181" s="4" t="n"/>
      <c r="P181" s="3">
        <f>IF(NOT(OR($D181&lt;&gt;"",$F181&lt;&gt;"",$G181&lt;&gt;"",$H181&lt;&gt;"",$I181&lt;&gt;"")),"",IF(($D181="")+($F181="")+($I181="")+($J181="")+IF(AND($J181="법인카드",$K181=""),1,0)=0,"✔ 완료","⚠ 누락 "&amp;($D181="")+($F181="")+($I181="")+($J181="")+IF(AND($J181="법인카드",$K181=""),1,0)&amp;"칸"))</f>
        <v/>
      </c>
    </row>
    <row r="182">
      <c r="A182" s="3">
        <f>IF(OR(B182="",D182="",E182=""),"",B182&amp;"-"&amp;TEXT(D182,"yyyymmdd")&amp;"-"&amp;TEXT(E182,"000"))</f>
        <v/>
      </c>
      <c r="B182" s="4">
        <f>IF(OR($D182&lt;&gt;"",$F182&lt;&gt;"",$G182&lt;&gt;"",$H182&lt;&gt;"",$I182&lt;&gt;""),"연구","")</f>
        <v/>
      </c>
      <c r="C182" s="4">
        <f>IF(OR($D182&lt;&gt;"",$F182&lt;&gt;"",$G182&lt;&gt;"",$H182&lt;&gt;"",$I182&lt;&gt;""),"연구팀","")</f>
        <v/>
      </c>
      <c r="D182" s="5" t="n"/>
      <c r="E182" s="6">
        <f>IF($D182="","",COUNTIF($D$2:$D182,$D182))</f>
        <v/>
      </c>
      <c r="F182" s="5" t="n"/>
      <c r="G182" s="4" t="n"/>
      <c r="H182" s="4" t="n"/>
      <c r="I182" s="7" t="n"/>
      <c r="J182" s="4" t="n"/>
      <c r="K182" s="4" t="n"/>
      <c r="L182" s="4">
        <f>IF(OR($G182&lt;&gt;"",$I182&lt;&gt;""),"확정","")</f>
        <v/>
      </c>
      <c r="M182" s="4">
        <f>IF(OR($G182&lt;&gt;"",$I182&lt;&gt;""),"신규","")</f>
        <v/>
      </c>
      <c r="N182" s="5">
        <f>IF($D182="","",$D182)</f>
        <v/>
      </c>
      <c r="O182" s="4" t="n"/>
      <c r="P182" s="3">
        <f>IF(NOT(OR($D182&lt;&gt;"",$F182&lt;&gt;"",$G182&lt;&gt;"",$H182&lt;&gt;"",$I182&lt;&gt;"")),"",IF(($D182="")+($F182="")+($I182="")+($J182="")+IF(AND($J182="법인카드",$K182=""),1,0)=0,"✔ 완료","⚠ 누락 "&amp;($D182="")+($F182="")+($I182="")+($J182="")+IF(AND($J182="법인카드",$K182=""),1,0)&amp;"칸"))</f>
        <v/>
      </c>
    </row>
    <row r="183">
      <c r="A183" s="3">
        <f>IF(OR(B183="",D183="",E183=""),"",B183&amp;"-"&amp;TEXT(D183,"yyyymmdd")&amp;"-"&amp;TEXT(E183,"000"))</f>
        <v/>
      </c>
      <c r="B183" s="4">
        <f>IF(OR($D183&lt;&gt;"",$F183&lt;&gt;"",$G183&lt;&gt;"",$H183&lt;&gt;"",$I183&lt;&gt;""),"연구","")</f>
        <v/>
      </c>
      <c r="C183" s="4">
        <f>IF(OR($D183&lt;&gt;"",$F183&lt;&gt;"",$G183&lt;&gt;"",$H183&lt;&gt;"",$I183&lt;&gt;""),"연구팀","")</f>
        <v/>
      </c>
      <c r="D183" s="5" t="n"/>
      <c r="E183" s="6">
        <f>IF($D183="","",COUNTIF($D$2:$D183,$D183))</f>
        <v/>
      </c>
      <c r="F183" s="5" t="n"/>
      <c r="G183" s="4" t="n"/>
      <c r="H183" s="4" t="n"/>
      <c r="I183" s="7" t="n"/>
      <c r="J183" s="4" t="n"/>
      <c r="K183" s="4" t="n"/>
      <c r="L183" s="4">
        <f>IF(OR($G183&lt;&gt;"",$I183&lt;&gt;""),"확정","")</f>
        <v/>
      </c>
      <c r="M183" s="4">
        <f>IF(OR($G183&lt;&gt;"",$I183&lt;&gt;""),"신규","")</f>
        <v/>
      </c>
      <c r="N183" s="5">
        <f>IF($D183="","",$D183)</f>
        <v/>
      </c>
      <c r="O183" s="4" t="n"/>
      <c r="P183" s="3">
        <f>IF(NOT(OR($D183&lt;&gt;"",$F183&lt;&gt;"",$G183&lt;&gt;"",$H183&lt;&gt;"",$I183&lt;&gt;"")),"",IF(($D183="")+($F183="")+($I183="")+($J183="")+IF(AND($J183="법인카드",$K183=""),1,0)=0,"✔ 완료","⚠ 누락 "&amp;($D183="")+($F183="")+($I183="")+($J183="")+IF(AND($J183="법인카드",$K183=""),1,0)&amp;"칸"))</f>
        <v/>
      </c>
    </row>
    <row r="184">
      <c r="A184" s="3">
        <f>IF(OR(B184="",D184="",E184=""),"",B184&amp;"-"&amp;TEXT(D184,"yyyymmdd")&amp;"-"&amp;TEXT(E184,"000"))</f>
        <v/>
      </c>
      <c r="B184" s="4">
        <f>IF(OR($D184&lt;&gt;"",$F184&lt;&gt;"",$G184&lt;&gt;"",$H184&lt;&gt;"",$I184&lt;&gt;""),"연구","")</f>
        <v/>
      </c>
      <c r="C184" s="4">
        <f>IF(OR($D184&lt;&gt;"",$F184&lt;&gt;"",$G184&lt;&gt;"",$H184&lt;&gt;"",$I184&lt;&gt;""),"연구팀","")</f>
        <v/>
      </c>
      <c r="D184" s="5" t="n"/>
      <c r="E184" s="6">
        <f>IF($D184="","",COUNTIF($D$2:$D184,$D184))</f>
        <v/>
      </c>
      <c r="F184" s="5" t="n"/>
      <c r="G184" s="4" t="n"/>
      <c r="H184" s="4" t="n"/>
      <c r="I184" s="7" t="n"/>
      <c r="J184" s="4" t="n"/>
      <c r="K184" s="4" t="n"/>
      <c r="L184" s="4">
        <f>IF(OR($G184&lt;&gt;"",$I184&lt;&gt;""),"확정","")</f>
        <v/>
      </c>
      <c r="M184" s="4">
        <f>IF(OR($G184&lt;&gt;"",$I184&lt;&gt;""),"신규","")</f>
        <v/>
      </c>
      <c r="N184" s="5">
        <f>IF($D184="","",$D184)</f>
        <v/>
      </c>
      <c r="O184" s="4" t="n"/>
      <c r="P184" s="3">
        <f>IF(NOT(OR($D184&lt;&gt;"",$F184&lt;&gt;"",$G184&lt;&gt;"",$H184&lt;&gt;"",$I184&lt;&gt;"")),"",IF(($D184="")+($F184="")+($I184="")+($J184="")+IF(AND($J184="법인카드",$K184=""),1,0)=0,"✔ 완료","⚠ 누락 "&amp;($D184="")+($F184="")+($I184="")+($J184="")+IF(AND($J184="법인카드",$K184=""),1,0)&amp;"칸"))</f>
        <v/>
      </c>
    </row>
    <row r="185">
      <c r="A185" s="3">
        <f>IF(OR(B185="",D185="",E185=""),"",B185&amp;"-"&amp;TEXT(D185,"yyyymmdd")&amp;"-"&amp;TEXT(E185,"000"))</f>
        <v/>
      </c>
      <c r="B185" s="4">
        <f>IF(OR($D185&lt;&gt;"",$F185&lt;&gt;"",$G185&lt;&gt;"",$H185&lt;&gt;"",$I185&lt;&gt;""),"연구","")</f>
        <v/>
      </c>
      <c r="C185" s="4">
        <f>IF(OR($D185&lt;&gt;"",$F185&lt;&gt;"",$G185&lt;&gt;"",$H185&lt;&gt;"",$I185&lt;&gt;""),"연구팀","")</f>
        <v/>
      </c>
      <c r="D185" s="5" t="n"/>
      <c r="E185" s="6">
        <f>IF($D185="","",COUNTIF($D$2:$D185,$D185))</f>
        <v/>
      </c>
      <c r="F185" s="5" t="n"/>
      <c r="G185" s="4" t="n"/>
      <c r="H185" s="4" t="n"/>
      <c r="I185" s="7" t="n"/>
      <c r="J185" s="4" t="n"/>
      <c r="K185" s="4" t="n"/>
      <c r="L185" s="4">
        <f>IF(OR($G185&lt;&gt;"",$I185&lt;&gt;""),"확정","")</f>
        <v/>
      </c>
      <c r="M185" s="4">
        <f>IF(OR($G185&lt;&gt;"",$I185&lt;&gt;""),"신규","")</f>
        <v/>
      </c>
      <c r="N185" s="5">
        <f>IF($D185="","",$D185)</f>
        <v/>
      </c>
      <c r="O185" s="4" t="n"/>
      <c r="P185" s="3">
        <f>IF(NOT(OR($D185&lt;&gt;"",$F185&lt;&gt;"",$G185&lt;&gt;"",$H185&lt;&gt;"",$I185&lt;&gt;"")),"",IF(($D185="")+($F185="")+($I185="")+($J185="")+IF(AND($J185="법인카드",$K185=""),1,0)=0,"✔ 완료","⚠ 누락 "&amp;($D185="")+($F185="")+($I185="")+($J185="")+IF(AND($J185="법인카드",$K185=""),1,0)&amp;"칸"))</f>
        <v/>
      </c>
    </row>
    <row r="186">
      <c r="A186" s="3">
        <f>IF(OR(B186="",D186="",E186=""),"",B186&amp;"-"&amp;TEXT(D186,"yyyymmdd")&amp;"-"&amp;TEXT(E186,"000"))</f>
        <v/>
      </c>
      <c r="B186" s="4">
        <f>IF(OR($D186&lt;&gt;"",$F186&lt;&gt;"",$G186&lt;&gt;"",$H186&lt;&gt;"",$I186&lt;&gt;""),"연구","")</f>
        <v/>
      </c>
      <c r="C186" s="4">
        <f>IF(OR($D186&lt;&gt;"",$F186&lt;&gt;"",$G186&lt;&gt;"",$H186&lt;&gt;"",$I186&lt;&gt;""),"연구팀","")</f>
        <v/>
      </c>
      <c r="D186" s="5" t="n"/>
      <c r="E186" s="6">
        <f>IF($D186="","",COUNTIF($D$2:$D186,$D186))</f>
        <v/>
      </c>
      <c r="F186" s="5" t="n"/>
      <c r="G186" s="4" t="n"/>
      <c r="H186" s="4" t="n"/>
      <c r="I186" s="7" t="n"/>
      <c r="J186" s="4" t="n"/>
      <c r="K186" s="4" t="n"/>
      <c r="L186" s="4">
        <f>IF(OR($G186&lt;&gt;"",$I186&lt;&gt;""),"확정","")</f>
        <v/>
      </c>
      <c r="M186" s="4">
        <f>IF(OR($G186&lt;&gt;"",$I186&lt;&gt;""),"신규","")</f>
        <v/>
      </c>
      <c r="N186" s="5">
        <f>IF($D186="","",$D186)</f>
        <v/>
      </c>
      <c r="O186" s="4" t="n"/>
      <c r="P186" s="3">
        <f>IF(NOT(OR($D186&lt;&gt;"",$F186&lt;&gt;"",$G186&lt;&gt;"",$H186&lt;&gt;"",$I186&lt;&gt;"")),"",IF(($D186="")+($F186="")+($I186="")+($J186="")+IF(AND($J186="법인카드",$K186=""),1,0)=0,"✔ 완료","⚠ 누락 "&amp;($D186="")+($F186="")+($I186="")+($J186="")+IF(AND($J186="법인카드",$K186=""),1,0)&amp;"칸"))</f>
        <v/>
      </c>
    </row>
    <row r="187">
      <c r="A187" s="3">
        <f>IF(OR(B187="",D187="",E187=""),"",B187&amp;"-"&amp;TEXT(D187,"yyyymmdd")&amp;"-"&amp;TEXT(E187,"000"))</f>
        <v/>
      </c>
      <c r="B187" s="4">
        <f>IF(OR($D187&lt;&gt;"",$F187&lt;&gt;"",$G187&lt;&gt;"",$H187&lt;&gt;"",$I187&lt;&gt;""),"연구","")</f>
        <v/>
      </c>
      <c r="C187" s="4">
        <f>IF(OR($D187&lt;&gt;"",$F187&lt;&gt;"",$G187&lt;&gt;"",$H187&lt;&gt;"",$I187&lt;&gt;""),"연구팀","")</f>
        <v/>
      </c>
      <c r="D187" s="5" t="n"/>
      <c r="E187" s="6">
        <f>IF($D187="","",COUNTIF($D$2:$D187,$D187))</f>
        <v/>
      </c>
      <c r="F187" s="5" t="n"/>
      <c r="G187" s="4" t="n"/>
      <c r="H187" s="4" t="n"/>
      <c r="I187" s="7" t="n"/>
      <c r="J187" s="4" t="n"/>
      <c r="K187" s="4" t="n"/>
      <c r="L187" s="4">
        <f>IF(OR($G187&lt;&gt;"",$I187&lt;&gt;""),"확정","")</f>
        <v/>
      </c>
      <c r="M187" s="4">
        <f>IF(OR($G187&lt;&gt;"",$I187&lt;&gt;""),"신규","")</f>
        <v/>
      </c>
      <c r="N187" s="5">
        <f>IF($D187="","",$D187)</f>
        <v/>
      </c>
      <c r="O187" s="4" t="n"/>
      <c r="P187" s="3">
        <f>IF(NOT(OR($D187&lt;&gt;"",$F187&lt;&gt;"",$G187&lt;&gt;"",$H187&lt;&gt;"",$I187&lt;&gt;"")),"",IF(($D187="")+($F187="")+($I187="")+($J187="")+IF(AND($J187="법인카드",$K187=""),1,0)=0,"✔ 완료","⚠ 누락 "&amp;($D187="")+($F187="")+($I187="")+($J187="")+IF(AND($J187="법인카드",$K187=""),1,0)&amp;"칸"))</f>
        <v/>
      </c>
    </row>
    <row r="188">
      <c r="A188" s="3">
        <f>IF(OR(B188="",D188="",E188=""),"",B188&amp;"-"&amp;TEXT(D188,"yyyymmdd")&amp;"-"&amp;TEXT(E188,"000"))</f>
        <v/>
      </c>
      <c r="B188" s="4">
        <f>IF(OR($D188&lt;&gt;"",$F188&lt;&gt;"",$G188&lt;&gt;"",$H188&lt;&gt;"",$I188&lt;&gt;""),"연구","")</f>
        <v/>
      </c>
      <c r="C188" s="4">
        <f>IF(OR($D188&lt;&gt;"",$F188&lt;&gt;"",$G188&lt;&gt;"",$H188&lt;&gt;"",$I188&lt;&gt;""),"연구팀","")</f>
        <v/>
      </c>
      <c r="D188" s="5" t="n"/>
      <c r="E188" s="6">
        <f>IF($D188="","",COUNTIF($D$2:$D188,$D188))</f>
        <v/>
      </c>
      <c r="F188" s="5" t="n"/>
      <c r="G188" s="4" t="n"/>
      <c r="H188" s="4" t="n"/>
      <c r="I188" s="7" t="n"/>
      <c r="J188" s="4" t="n"/>
      <c r="K188" s="4" t="n"/>
      <c r="L188" s="4">
        <f>IF(OR($G188&lt;&gt;"",$I188&lt;&gt;""),"확정","")</f>
        <v/>
      </c>
      <c r="M188" s="4">
        <f>IF(OR($G188&lt;&gt;"",$I188&lt;&gt;""),"신규","")</f>
        <v/>
      </c>
      <c r="N188" s="5">
        <f>IF($D188="","",$D188)</f>
        <v/>
      </c>
      <c r="O188" s="4" t="n"/>
      <c r="P188" s="3">
        <f>IF(NOT(OR($D188&lt;&gt;"",$F188&lt;&gt;"",$G188&lt;&gt;"",$H188&lt;&gt;"",$I188&lt;&gt;"")),"",IF(($D188="")+($F188="")+($I188="")+($J188="")+IF(AND($J188="법인카드",$K188=""),1,0)=0,"✔ 완료","⚠ 누락 "&amp;($D188="")+($F188="")+($I188="")+($J188="")+IF(AND($J188="법인카드",$K188=""),1,0)&amp;"칸"))</f>
        <v/>
      </c>
    </row>
    <row r="189">
      <c r="A189" s="3">
        <f>IF(OR(B189="",D189="",E189=""),"",B189&amp;"-"&amp;TEXT(D189,"yyyymmdd")&amp;"-"&amp;TEXT(E189,"000"))</f>
        <v/>
      </c>
      <c r="B189" s="4">
        <f>IF(OR($D189&lt;&gt;"",$F189&lt;&gt;"",$G189&lt;&gt;"",$H189&lt;&gt;"",$I189&lt;&gt;""),"연구","")</f>
        <v/>
      </c>
      <c r="C189" s="4">
        <f>IF(OR($D189&lt;&gt;"",$F189&lt;&gt;"",$G189&lt;&gt;"",$H189&lt;&gt;"",$I189&lt;&gt;""),"연구팀","")</f>
        <v/>
      </c>
      <c r="D189" s="5" t="n"/>
      <c r="E189" s="6">
        <f>IF($D189="","",COUNTIF($D$2:$D189,$D189))</f>
        <v/>
      </c>
      <c r="F189" s="5" t="n"/>
      <c r="G189" s="4" t="n"/>
      <c r="H189" s="4" t="n"/>
      <c r="I189" s="7" t="n"/>
      <c r="J189" s="4" t="n"/>
      <c r="K189" s="4" t="n"/>
      <c r="L189" s="4">
        <f>IF(OR($G189&lt;&gt;"",$I189&lt;&gt;""),"확정","")</f>
        <v/>
      </c>
      <c r="M189" s="4">
        <f>IF(OR($G189&lt;&gt;"",$I189&lt;&gt;""),"신규","")</f>
        <v/>
      </c>
      <c r="N189" s="5">
        <f>IF($D189="","",$D189)</f>
        <v/>
      </c>
      <c r="O189" s="4" t="n"/>
      <c r="P189" s="3">
        <f>IF(NOT(OR($D189&lt;&gt;"",$F189&lt;&gt;"",$G189&lt;&gt;"",$H189&lt;&gt;"",$I189&lt;&gt;"")),"",IF(($D189="")+($F189="")+($I189="")+($J189="")+IF(AND($J189="법인카드",$K189=""),1,0)=0,"✔ 완료","⚠ 누락 "&amp;($D189="")+($F189="")+($I189="")+($J189="")+IF(AND($J189="법인카드",$K189=""),1,0)&amp;"칸"))</f>
        <v/>
      </c>
    </row>
    <row r="190">
      <c r="A190" s="3">
        <f>IF(OR(B190="",D190="",E190=""),"",B190&amp;"-"&amp;TEXT(D190,"yyyymmdd")&amp;"-"&amp;TEXT(E190,"000"))</f>
        <v/>
      </c>
      <c r="B190" s="4">
        <f>IF(OR($D190&lt;&gt;"",$F190&lt;&gt;"",$G190&lt;&gt;"",$H190&lt;&gt;"",$I190&lt;&gt;""),"연구","")</f>
        <v/>
      </c>
      <c r="C190" s="4">
        <f>IF(OR($D190&lt;&gt;"",$F190&lt;&gt;"",$G190&lt;&gt;"",$H190&lt;&gt;"",$I190&lt;&gt;""),"연구팀","")</f>
        <v/>
      </c>
      <c r="D190" s="5" t="n"/>
      <c r="E190" s="6">
        <f>IF($D190="","",COUNTIF($D$2:$D190,$D190))</f>
        <v/>
      </c>
      <c r="F190" s="5" t="n"/>
      <c r="G190" s="4" t="n"/>
      <c r="H190" s="4" t="n"/>
      <c r="I190" s="7" t="n"/>
      <c r="J190" s="4" t="n"/>
      <c r="K190" s="4" t="n"/>
      <c r="L190" s="4">
        <f>IF(OR($G190&lt;&gt;"",$I190&lt;&gt;""),"확정","")</f>
        <v/>
      </c>
      <c r="M190" s="4">
        <f>IF(OR($G190&lt;&gt;"",$I190&lt;&gt;""),"신규","")</f>
        <v/>
      </c>
      <c r="N190" s="5">
        <f>IF($D190="","",$D190)</f>
        <v/>
      </c>
      <c r="O190" s="4" t="n"/>
      <c r="P190" s="3">
        <f>IF(NOT(OR($D190&lt;&gt;"",$F190&lt;&gt;"",$G190&lt;&gt;"",$H190&lt;&gt;"",$I190&lt;&gt;"")),"",IF(($D190="")+($F190="")+($I190="")+($J190="")+IF(AND($J190="법인카드",$K190=""),1,0)=0,"✔ 완료","⚠ 누락 "&amp;($D190="")+($F190="")+($I190="")+($J190="")+IF(AND($J190="법인카드",$K190=""),1,0)&amp;"칸"))</f>
        <v/>
      </c>
    </row>
    <row r="191">
      <c r="A191" s="3">
        <f>IF(OR(B191="",D191="",E191=""),"",B191&amp;"-"&amp;TEXT(D191,"yyyymmdd")&amp;"-"&amp;TEXT(E191,"000"))</f>
        <v/>
      </c>
      <c r="B191" s="4">
        <f>IF(OR($D191&lt;&gt;"",$F191&lt;&gt;"",$G191&lt;&gt;"",$H191&lt;&gt;"",$I191&lt;&gt;""),"연구","")</f>
        <v/>
      </c>
      <c r="C191" s="4">
        <f>IF(OR($D191&lt;&gt;"",$F191&lt;&gt;"",$G191&lt;&gt;"",$H191&lt;&gt;"",$I191&lt;&gt;""),"연구팀","")</f>
        <v/>
      </c>
      <c r="D191" s="5" t="n"/>
      <c r="E191" s="6">
        <f>IF($D191="","",COUNTIF($D$2:$D191,$D191))</f>
        <v/>
      </c>
      <c r="F191" s="5" t="n"/>
      <c r="G191" s="4" t="n"/>
      <c r="H191" s="4" t="n"/>
      <c r="I191" s="7" t="n"/>
      <c r="J191" s="4" t="n"/>
      <c r="K191" s="4" t="n"/>
      <c r="L191" s="4">
        <f>IF(OR($G191&lt;&gt;"",$I191&lt;&gt;""),"확정","")</f>
        <v/>
      </c>
      <c r="M191" s="4">
        <f>IF(OR($G191&lt;&gt;"",$I191&lt;&gt;""),"신규","")</f>
        <v/>
      </c>
      <c r="N191" s="5">
        <f>IF($D191="","",$D191)</f>
        <v/>
      </c>
      <c r="O191" s="4" t="n"/>
      <c r="P191" s="3">
        <f>IF(NOT(OR($D191&lt;&gt;"",$F191&lt;&gt;"",$G191&lt;&gt;"",$H191&lt;&gt;"",$I191&lt;&gt;"")),"",IF(($D191="")+($F191="")+($I191="")+($J191="")+IF(AND($J191="법인카드",$K191=""),1,0)=0,"✔ 완료","⚠ 누락 "&amp;($D191="")+($F191="")+($I191="")+($J191="")+IF(AND($J191="법인카드",$K191=""),1,0)&amp;"칸"))</f>
        <v/>
      </c>
    </row>
    <row r="192">
      <c r="A192" s="3">
        <f>IF(OR(B192="",D192="",E192=""),"",B192&amp;"-"&amp;TEXT(D192,"yyyymmdd")&amp;"-"&amp;TEXT(E192,"000"))</f>
        <v/>
      </c>
      <c r="B192" s="4">
        <f>IF(OR($D192&lt;&gt;"",$F192&lt;&gt;"",$G192&lt;&gt;"",$H192&lt;&gt;"",$I192&lt;&gt;""),"연구","")</f>
        <v/>
      </c>
      <c r="C192" s="4">
        <f>IF(OR($D192&lt;&gt;"",$F192&lt;&gt;"",$G192&lt;&gt;"",$H192&lt;&gt;"",$I192&lt;&gt;""),"연구팀","")</f>
        <v/>
      </c>
      <c r="D192" s="5" t="n"/>
      <c r="E192" s="6">
        <f>IF($D192="","",COUNTIF($D$2:$D192,$D192))</f>
        <v/>
      </c>
      <c r="F192" s="5" t="n"/>
      <c r="G192" s="4" t="n"/>
      <c r="H192" s="4" t="n"/>
      <c r="I192" s="7" t="n"/>
      <c r="J192" s="4" t="n"/>
      <c r="K192" s="4" t="n"/>
      <c r="L192" s="4">
        <f>IF(OR($G192&lt;&gt;"",$I192&lt;&gt;""),"확정","")</f>
        <v/>
      </c>
      <c r="M192" s="4">
        <f>IF(OR($G192&lt;&gt;"",$I192&lt;&gt;""),"신규","")</f>
        <v/>
      </c>
      <c r="N192" s="5">
        <f>IF($D192="","",$D192)</f>
        <v/>
      </c>
      <c r="O192" s="4" t="n"/>
      <c r="P192" s="3">
        <f>IF(NOT(OR($D192&lt;&gt;"",$F192&lt;&gt;"",$G192&lt;&gt;"",$H192&lt;&gt;"",$I192&lt;&gt;"")),"",IF(($D192="")+($F192="")+($I192="")+($J192="")+IF(AND($J192="법인카드",$K192=""),1,0)=0,"✔ 완료","⚠ 누락 "&amp;($D192="")+($F192="")+($I192="")+($J192="")+IF(AND($J192="법인카드",$K192=""),1,0)&amp;"칸"))</f>
        <v/>
      </c>
    </row>
    <row r="193">
      <c r="A193" s="3">
        <f>IF(OR(B193="",D193="",E193=""),"",B193&amp;"-"&amp;TEXT(D193,"yyyymmdd")&amp;"-"&amp;TEXT(E193,"000"))</f>
        <v/>
      </c>
      <c r="B193" s="4">
        <f>IF(OR($D193&lt;&gt;"",$F193&lt;&gt;"",$G193&lt;&gt;"",$H193&lt;&gt;"",$I193&lt;&gt;""),"연구","")</f>
        <v/>
      </c>
      <c r="C193" s="4">
        <f>IF(OR($D193&lt;&gt;"",$F193&lt;&gt;"",$G193&lt;&gt;"",$H193&lt;&gt;"",$I193&lt;&gt;""),"연구팀","")</f>
        <v/>
      </c>
      <c r="D193" s="5" t="n"/>
      <c r="E193" s="6">
        <f>IF($D193="","",COUNTIF($D$2:$D193,$D193))</f>
        <v/>
      </c>
      <c r="F193" s="5" t="n"/>
      <c r="G193" s="4" t="n"/>
      <c r="H193" s="4" t="n"/>
      <c r="I193" s="7" t="n"/>
      <c r="J193" s="4" t="n"/>
      <c r="K193" s="4" t="n"/>
      <c r="L193" s="4">
        <f>IF(OR($G193&lt;&gt;"",$I193&lt;&gt;""),"확정","")</f>
        <v/>
      </c>
      <c r="M193" s="4">
        <f>IF(OR($G193&lt;&gt;"",$I193&lt;&gt;""),"신규","")</f>
        <v/>
      </c>
      <c r="N193" s="5">
        <f>IF($D193="","",$D193)</f>
        <v/>
      </c>
      <c r="O193" s="4" t="n"/>
      <c r="P193" s="3">
        <f>IF(NOT(OR($D193&lt;&gt;"",$F193&lt;&gt;"",$G193&lt;&gt;"",$H193&lt;&gt;"",$I193&lt;&gt;"")),"",IF(($D193="")+($F193="")+($I193="")+($J193="")+IF(AND($J193="법인카드",$K193=""),1,0)=0,"✔ 완료","⚠ 누락 "&amp;($D193="")+($F193="")+($I193="")+($J193="")+IF(AND($J193="법인카드",$K193=""),1,0)&amp;"칸"))</f>
        <v/>
      </c>
    </row>
    <row r="194">
      <c r="A194" s="3">
        <f>IF(OR(B194="",D194="",E194=""),"",B194&amp;"-"&amp;TEXT(D194,"yyyymmdd")&amp;"-"&amp;TEXT(E194,"000"))</f>
        <v/>
      </c>
      <c r="B194" s="4">
        <f>IF(OR($D194&lt;&gt;"",$F194&lt;&gt;"",$G194&lt;&gt;"",$H194&lt;&gt;"",$I194&lt;&gt;""),"연구","")</f>
        <v/>
      </c>
      <c r="C194" s="4">
        <f>IF(OR($D194&lt;&gt;"",$F194&lt;&gt;"",$G194&lt;&gt;"",$H194&lt;&gt;"",$I194&lt;&gt;""),"연구팀","")</f>
        <v/>
      </c>
      <c r="D194" s="5" t="n"/>
      <c r="E194" s="6">
        <f>IF($D194="","",COUNTIF($D$2:$D194,$D194))</f>
        <v/>
      </c>
      <c r="F194" s="5" t="n"/>
      <c r="G194" s="4" t="n"/>
      <c r="H194" s="4" t="n"/>
      <c r="I194" s="7" t="n"/>
      <c r="J194" s="4" t="n"/>
      <c r="K194" s="4" t="n"/>
      <c r="L194" s="4">
        <f>IF(OR($G194&lt;&gt;"",$I194&lt;&gt;""),"확정","")</f>
        <v/>
      </c>
      <c r="M194" s="4">
        <f>IF(OR($G194&lt;&gt;"",$I194&lt;&gt;""),"신규","")</f>
        <v/>
      </c>
      <c r="N194" s="5">
        <f>IF($D194="","",$D194)</f>
        <v/>
      </c>
      <c r="O194" s="4" t="n"/>
      <c r="P194" s="3">
        <f>IF(NOT(OR($D194&lt;&gt;"",$F194&lt;&gt;"",$G194&lt;&gt;"",$H194&lt;&gt;"",$I194&lt;&gt;"")),"",IF(($D194="")+($F194="")+($I194="")+($J194="")+IF(AND($J194="법인카드",$K194=""),1,0)=0,"✔ 완료","⚠ 누락 "&amp;($D194="")+($F194="")+($I194="")+($J194="")+IF(AND($J194="법인카드",$K194=""),1,0)&amp;"칸"))</f>
        <v/>
      </c>
    </row>
    <row r="195">
      <c r="A195" s="3">
        <f>IF(OR(B195="",D195="",E195=""),"",B195&amp;"-"&amp;TEXT(D195,"yyyymmdd")&amp;"-"&amp;TEXT(E195,"000"))</f>
        <v/>
      </c>
      <c r="B195" s="4">
        <f>IF(OR($D195&lt;&gt;"",$F195&lt;&gt;"",$G195&lt;&gt;"",$H195&lt;&gt;"",$I195&lt;&gt;""),"연구","")</f>
        <v/>
      </c>
      <c r="C195" s="4">
        <f>IF(OR($D195&lt;&gt;"",$F195&lt;&gt;"",$G195&lt;&gt;"",$H195&lt;&gt;"",$I195&lt;&gt;""),"연구팀","")</f>
        <v/>
      </c>
      <c r="D195" s="5" t="n"/>
      <c r="E195" s="6">
        <f>IF($D195="","",COUNTIF($D$2:$D195,$D195))</f>
        <v/>
      </c>
      <c r="F195" s="5" t="n"/>
      <c r="G195" s="4" t="n"/>
      <c r="H195" s="4" t="n"/>
      <c r="I195" s="7" t="n"/>
      <c r="J195" s="4" t="n"/>
      <c r="K195" s="4" t="n"/>
      <c r="L195" s="4">
        <f>IF(OR($G195&lt;&gt;"",$I195&lt;&gt;""),"확정","")</f>
        <v/>
      </c>
      <c r="M195" s="4">
        <f>IF(OR($G195&lt;&gt;"",$I195&lt;&gt;""),"신규","")</f>
        <v/>
      </c>
      <c r="N195" s="5">
        <f>IF($D195="","",$D195)</f>
        <v/>
      </c>
      <c r="O195" s="4" t="n"/>
      <c r="P195" s="3">
        <f>IF(NOT(OR($D195&lt;&gt;"",$F195&lt;&gt;"",$G195&lt;&gt;"",$H195&lt;&gt;"",$I195&lt;&gt;"")),"",IF(($D195="")+($F195="")+($I195="")+($J195="")+IF(AND($J195="법인카드",$K195=""),1,0)=0,"✔ 완료","⚠ 누락 "&amp;($D195="")+($F195="")+($I195="")+($J195="")+IF(AND($J195="법인카드",$K195=""),1,0)&amp;"칸"))</f>
        <v/>
      </c>
    </row>
    <row r="196">
      <c r="A196" s="3">
        <f>IF(OR(B196="",D196="",E196=""),"",B196&amp;"-"&amp;TEXT(D196,"yyyymmdd")&amp;"-"&amp;TEXT(E196,"000"))</f>
        <v/>
      </c>
      <c r="B196" s="4">
        <f>IF(OR($D196&lt;&gt;"",$F196&lt;&gt;"",$G196&lt;&gt;"",$H196&lt;&gt;"",$I196&lt;&gt;""),"연구","")</f>
        <v/>
      </c>
      <c r="C196" s="4">
        <f>IF(OR($D196&lt;&gt;"",$F196&lt;&gt;"",$G196&lt;&gt;"",$H196&lt;&gt;"",$I196&lt;&gt;""),"연구팀","")</f>
        <v/>
      </c>
      <c r="D196" s="5" t="n"/>
      <c r="E196" s="6">
        <f>IF($D196="","",COUNTIF($D$2:$D196,$D196))</f>
        <v/>
      </c>
      <c r="F196" s="5" t="n"/>
      <c r="G196" s="4" t="n"/>
      <c r="H196" s="4" t="n"/>
      <c r="I196" s="7" t="n"/>
      <c r="J196" s="4" t="n"/>
      <c r="K196" s="4" t="n"/>
      <c r="L196" s="4">
        <f>IF(OR($G196&lt;&gt;"",$I196&lt;&gt;""),"확정","")</f>
        <v/>
      </c>
      <c r="M196" s="4">
        <f>IF(OR($G196&lt;&gt;"",$I196&lt;&gt;""),"신규","")</f>
        <v/>
      </c>
      <c r="N196" s="5">
        <f>IF($D196="","",$D196)</f>
        <v/>
      </c>
      <c r="O196" s="4" t="n"/>
      <c r="P196" s="3">
        <f>IF(NOT(OR($D196&lt;&gt;"",$F196&lt;&gt;"",$G196&lt;&gt;"",$H196&lt;&gt;"",$I196&lt;&gt;"")),"",IF(($D196="")+($F196="")+($I196="")+($J196="")+IF(AND($J196="법인카드",$K196=""),1,0)=0,"✔ 완료","⚠ 누락 "&amp;($D196="")+($F196="")+($I196="")+($J196="")+IF(AND($J196="법인카드",$K196=""),1,0)&amp;"칸"))</f>
        <v/>
      </c>
    </row>
    <row r="197">
      <c r="A197" s="3">
        <f>IF(OR(B197="",D197="",E197=""),"",B197&amp;"-"&amp;TEXT(D197,"yyyymmdd")&amp;"-"&amp;TEXT(E197,"000"))</f>
        <v/>
      </c>
      <c r="B197" s="4">
        <f>IF(OR($D197&lt;&gt;"",$F197&lt;&gt;"",$G197&lt;&gt;"",$H197&lt;&gt;"",$I197&lt;&gt;""),"연구","")</f>
        <v/>
      </c>
      <c r="C197" s="4">
        <f>IF(OR($D197&lt;&gt;"",$F197&lt;&gt;"",$G197&lt;&gt;"",$H197&lt;&gt;"",$I197&lt;&gt;""),"연구팀","")</f>
        <v/>
      </c>
      <c r="D197" s="5" t="n"/>
      <c r="E197" s="6">
        <f>IF($D197="","",COUNTIF($D$2:$D197,$D197))</f>
        <v/>
      </c>
      <c r="F197" s="5" t="n"/>
      <c r="G197" s="4" t="n"/>
      <c r="H197" s="4" t="n"/>
      <c r="I197" s="7" t="n"/>
      <c r="J197" s="4" t="n"/>
      <c r="K197" s="4" t="n"/>
      <c r="L197" s="4">
        <f>IF(OR($G197&lt;&gt;"",$I197&lt;&gt;""),"확정","")</f>
        <v/>
      </c>
      <c r="M197" s="4">
        <f>IF(OR($G197&lt;&gt;"",$I197&lt;&gt;""),"신규","")</f>
        <v/>
      </c>
      <c r="N197" s="5">
        <f>IF($D197="","",$D197)</f>
        <v/>
      </c>
      <c r="O197" s="4" t="n"/>
      <c r="P197" s="3">
        <f>IF(NOT(OR($D197&lt;&gt;"",$F197&lt;&gt;"",$G197&lt;&gt;"",$H197&lt;&gt;"",$I197&lt;&gt;"")),"",IF(($D197="")+($F197="")+($I197="")+($J197="")+IF(AND($J197="법인카드",$K197=""),1,0)=0,"✔ 완료","⚠ 누락 "&amp;($D197="")+($F197="")+($I197="")+($J197="")+IF(AND($J197="법인카드",$K197=""),1,0)&amp;"칸"))</f>
        <v/>
      </c>
    </row>
    <row r="198">
      <c r="A198" s="3">
        <f>IF(OR(B198="",D198="",E198=""),"",B198&amp;"-"&amp;TEXT(D198,"yyyymmdd")&amp;"-"&amp;TEXT(E198,"000"))</f>
        <v/>
      </c>
      <c r="B198" s="4">
        <f>IF(OR($D198&lt;&gt;"",$F198&lt;&gt;"",$G198&lt;&gt;"",$H198&lt;&gt;"",$I198&lt;&gt;""),"연구","")</f>
        <v/>
      </c>
      <c r="C198" s="4">
        <f>IF(OR($D198&lt;&gt;"",$F198&lt;&gt;"",$G198&lt;&gt;"",$H198&lt;&gt;"",$I198&lt;&gt;""),"연구팀","")</f>
        <v/>
      </c>
      <c r="D198" s="5" t="n"/>
      <c r="E198" s="6">
        <f>IF($D198="","",COUNTIF($D$2:$D198,$D198))</f>
        <v/>
      </c>
      <c r="F198" s="5" t="n"/>
      <c r="G198" s="4" t="n"/>
      <c r="H198" s="4" t="n"/>
      <c r="I198" s="7" t="n"/>
      <c r="J198" s="4" t="n"/>
      <c r="K198" s="4" t="n"/>
      <c r="L198" s="4">
        <f>IF(OR($G198&lt;&gt;"",$I198&lt;&gt;""),"확정","")</f>
        <v/>
      </c>
      <c r="M198" s="4">
        <f>IF(OR($G198&lt;&gt;"",$I198&lt;&gt;""),"신규","")</f>
        <v/>
      </c>
      <c r="N198" s="5">
        <f>IF($D198="","",$D198)</f>
        <v/>
      </c>
      <c r="O198" s="4" t="n"/>
      <c r="P198" s="3">
        <f>IF(NOT(OR($D198&lt;&gt;"",$F198&lt;&gt;"",$G198&lt;&gt;"",$H198&lt;&gt;"",$I198&lt;&gt;"")),"",IF(($D198="")+($F198="")+($I198="")+($J198="")+IF(AND($J198="법인카드",$K198=""),1,0)=0,"✔ 완료","⚠ 누락 "&amp;($D198="")+($F198="")+($I198="")+($J198="")+IF(AND($J198="법인카드",$K198=""),1,0)&amp;"칸"))</f>
        <v/>
      </c>
    </row>
    <row r="199">
      <c r="A199" s="3">
        <f>IF(OR(B199="",D199="",E199=""),"",B199&amp;"-"&amp;TEXT(D199,"yyyymmdd")&amp;"-"&amp;TEXT(E199,"000"))</f>
        <v/>
      </c>
      <c r="B199" s="4">
        <f>IF(OR($D199&lt;&gt;"",$F199&lt;&gt;"",$G199&lt;&gt;"",$H199&lt;&gt;"",$I199&lt;&gt;""),"연구","")</f>
        <v/>
      </c>
      <c r="C199" s="4">
        <f>IF(OR($D199&lt;&gt;"",$F199&lt;&gt;"",$G199&lt;&gt;"",$H199&lt;&gt;"",$I199&lt;&gt;""),"연구팀","")</f>
        <v/>
      </c>
      <c r="D199" s="5" t="n"/>
      <c r="E199" s="6">
        <f>IF($D199="","",COUNTIF($D$2:$D199,$D199))</f>
        <v/>
      </c>
      <c r="F199" s="5" t="n"/>
      <c r="G199" s="4" t="n"/>
      <c r="H199" s="4" t="n"/>
      <c r="I199" s="7" t="n"/>
      <c r="J199" s="4" t="n"/>
      <c r="K199" s="4" t="n"/>
      <c r="L199" s="4">
        <f>IF(OR($G199&lt;&gt;"",$I199&lt;&gt;""),"확정","")</f>
        <v/>
      </c>
      <c r="M199" s="4">
        <f>IF(OR($G199&lt;&gt;"",$I199&lt;&gt;""),"신규","")</f>
        <v/>
      </c>
      <c r="N199" s="5">
        <f>IF($D199="","",$D199)</f>
        <v/>
      </c>
      <c r="O199" s="4" t="n"/>
      <c r="P199" s="3">
        <f>IF(NOT(OR($D199&lt;&gt;"",$F199&lt;&gt;"",$G199&lt;&gt;"",$H199&lt;&gt;"",$I199&lt;&gt;"")),"",IF(($D199="")+($F199="")+($I199="")+($J199="")+IF(AND($J199="법인카드",$K199=""),1,0)=0,"✔ 완료","⚠ 누락 "&amp;($D199="")+($F199="")+($I199="")+($J199="")+IF(AND($J199="법인카드",$K199=""),1,0)&amp;"칸"))</f>
        <v/>
      </c>
    </row>
    <row r="200">
      <c r="A200" s="3">
        <f>IF(OR(B200="",D200="",E200=""),"",B200&amp;"-"&amp;TEXT(D200,"yyyymmdd")&amp;"-"&amp;TEXT(E200,"000"))</f>
        <v/>
      </c>
      <c r="B200" s="4">
        <f>IF(OR($D200&lt;&gt;"",$F200&lt;&gt;"",$G200&lt;&gt;"",$H200&lt;&gt;"",$I200&lt;&gt;""),"연구","")</f>
        <v/>
      </c>
      <c r="C200" s="4">
        <f>IF(OR($D200&lt;&gt;"",$F200&lt;&gt;"",$G200&lt;&gt;"",$H200&lt;&gt;"",$I200&lt;&gt;""),"연구팀","")</f>
        <v/>
      </c>
      <c r="D200" s="5" t="n"/>
      <c r="E200" s="6">
        <f>IF($D200="","",COUNTIF($D$2:$D200,$D200))</f>
        <v/>
      </c>
      <c r="F200" s="5" t="n"/>
      <c r="G200" s="4" t="n"/>
      <c r="H200" s="4" t="n"/>
      <c r="I200" s="7" t="n"/>
      <c r="J200" s="4" t="n"/>
      <c r="K200" s="4" t="n"/>
      <c r="L200" s="4">
        <f>IF(OR($G200&lt;&gt;"",$I200&lt;&gt;""),"확정","")</f>
        <v/>
      </c>
      <c r="M200" s="4">
        <f>IF(OR($G200&lt;&gt;"",$I200&lt;&gt;""),"신규","")</f>
        <v/>
      </c>
      <c r="N200" s="5">
        <f>IF($D200="","",$D200)</f>
        <v/>
      </c>
      <c r="O200" s="4" t="n"/>
      <c r="P200" s="3">
        <f>IF(NOT(OR($D200&lt;&gt;"",$F200&lt;&gt;"",$G200&lt;&gt;"",$H200&lt;&gt;"",$I200&lt;&gt;"")),"",IF(($D200="")+($F200="")+($I200="")+($J200="")+IF(AND($J200="법인카드",$K200=""),1,0)=0,"✔ 완료","⚠ 누락 "&amp;($D200="")+($F200="")+($I200="")+($J200="")+IF(AND($J200="법인카드",$K200=""),1,0)&amp;"칸"))</f>
        <v/>
      </c>
    </row>
    <row r="201">
      <c r="A201" s="3">
        <f>IF(OR(B201="",D201="",E201=""),"",B201&amp;"-"&amp;TEXT(D201,"yyyymmdd")&amp;"-"&amp;TEXT(E201,"000"))</f>
        <v/>
      </c>
      <c r="B201" s="4">
        <f>IF(OR($D201&lt;&gt;"",$F201&lt;&gt;"",$G201&lt;&gt;"",$H201&lt;&gt;"",$I201&lt;&gt;""),"연구","")</f>
        <v/>
      </c>
      <c r="C201" s="4">
        <f>IF(OR($D201&lt;&gt;"",$F201&lt;&gt;"",$G201&lt;&gt;"",$H201&lt;&gt;"",$I201&lt;&gt;""),"연구팀","")</f>
        <v/>
      </c>
      <c r="D201" s="5" t="n"/>
      <c r="E201" s="6">
        <f>IF($D201="","",COUNTIF($D$2:$D201,$D201))</f>
        <v/>
      </c>
      <c r="F201" s="5" t="n"/>
      <c r="G201" s="4" t="n"/>
      <c r="H201" s="4" t="n"/>
      <c r="I201" s="7" t="n"/>
      <c r="J201" s="4" t="n"/>
      <c r="K201" s="4" t="n"/>
      <c r="L201" s="4">
        <f>IF(OR($G201&lt;&gt;"",$I201&lt;&gt;""),"확정","")</f>
        <v/>
      </c>
      <c r="M201" s="4">
        <f>IF(OR($G201&lt;&gt;"",$I201&lt;&gt;""),"신규","")</f>
        <v/>
      </c>
      <c r="N201" s="5">
        <f>IF($D201="","",$D201)</f>
        <v/>
      </c>
      <c r="O201" s="4" t="n"/>
      <c r="P201" s="3">
        <f>IF(NOT(OR($D201&lt;&gt;"",$F201&lt;&gt;"",$G201&lt;&gt;"",$H201&lt;&gt;"",$I201&lt;&gt;"")),"",IF(($D201="")+($F201="")+($I201="")+($J201="")+IF(AND($J201="법인카드",$K201=""),1,0)=0,"✔ 완료","⚠ 누락 "&amp;($D201="")+($F201="")+($I201="")+($J201="")+IF(AND($J201="법인카드",$K201=""),1,0)&amp;"칸"))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conditionalFormatting sqref="D2:D201">
    <cfRule type="expression" priority="1" dxfId="0" stopIfTrue="0">
      <formula>AND(OR($F2&lt;&gt;"",$G2&lt;&gt;"",$H2&lt;&gt;"",$I2&lt;&gt;""),D2="")</formula>
    </cfRule>
  </conditionalFormatting>
  <conditionalFormatting sqref="F2:F201">
    <cfRule type="expression" priority="2" dxfId="0" stopIfTrue="0">
      <formula>AND(OR($D2&lt;&gt;"",$G2&lt;&gt;"",$H2&lt;&gt;"",$I2&lt;&gt;""),F2="")</formula>
    </cfRule>
  </conditionalFormatting>
  <conditionalFormatting sqref="I2:I201">
    <cfRule type="expression" priority="3" dxfId="0" stopIfTrue="0">
      <formula>AND(OR($D2&lt;&gt;"",$F2&lt;&gt;"",$G2&lt;&gt;"",$H2&lt;&gt;""),I2="")</formula>
    </cfRule>
  </conditionalFormatting>
  <conditionalFormatting sqref="J2:J201">
    <cfRule type="expression" priority="4" dxfId="0" stopIfTrue="0">
      <formula>AND(OR($D2&lt;&gt;"",$F2&lt;&gt;"",$G2&lt;&gt;"",$H2&lt;&gt;"",$I2&lt;&gt;""),J2="")</formula>
    </cfRule>
  </conditionalFormatting>
  <conditionalFormatting sqref="K2:K201">
    <cfRule type="expression" priority="5" dxfId="1" stopIfTrue="0">
      <formula>AND($J2="법인카드",K2="")</formula>
    </cfRule>
  </conditionalFormatting>
  <conditionalFormatting sqref="P2:P201">
    <cfRule type="expression" priority="6" dxfId="2" stopIfTrue="0">
      <formula>LEFT(P2,1)="⚠"</formula>
    </cfRule>
    <cfRule type="expression" priority="7" dxfId="3" stopIfTrue="0">
      <formula>LEFT(P2,1)="✔"</formula>
    </cfRule>
  </conditionalFormatting>
  <dataValidations count="5">
    <dataValidation sqref="J2:J201" showDropDown="0" showInputMessage="1" showErrorMessage="1" allowBlank="1" errorTitle="입력 오류" error="목록에서 선택해 주세요." promptTitle="지급방법" prompt="법인카드를 선택하면 카드구분도 선택하고,&#10;지급예정일에는 '카드 사용일'을 입력하세요." type="list">
      <formula1>"계좌송금,법인카드,자동이체,미정"</formula1>
    </dataValidation>
    <dataValidation sqref="K2:K201" showDropDown="0" showInputMessage="1" showErrorMessage="1" allowBlank="1" errorTitle="입력 오류" error="목록에서 선택해 주세요." promptTitle="카드구분" prompt="지급방법이 법인카드일 때만 선택합니다." type="list">
      <formula1>"우리카드,국민카드"</formula1>
    </dataValidation>
    <dataValidation sqref="L2:L201" showDropDown="0" showInputMessage="1" showErrorMessage="1" allowBlank="1" errorTitle="입력 오류" error="목록에서 선택해 주세요." promptTitle="확정여부" prompt="자동으로 '확정'이 들어갑니다.&#10;아직 미정이면 '미확정'으로 바꾸세요." type="list">
      <formula1>"확정,미확정"</formula1>
    </dataValidation>
    <dataValidation sqref="M2:M201" showDropDown="0" showInputMessage="1" showErrorMessage="1" allowBlank="1" errorTitle="입력 오류" error="목록에서 선택해 주세요." promptTitle="진행상태" prompt="새 요청은 '신규'(자동).&#10;내용이 바뀌면 '변경', 취소되면 '취소'로 바꾸고 최종수정일을 고치세요. 행은 지우지 마세요." type="list">
      <formula1>"신규,변경,취소,지급완료"</formula1>
    </dataValidation>
    <dataValidation sqref="D2:D201" showDropDown="0" showInputMessage="1" showErrorMessage="1" allowBlank="1" errorTitle="날짜 오류" error="날짜 형식(예: 2026-09-18)으로 입력하세요." promptTitle="최초등록일" prompt="이 요청을 '처음 적는 날'의 날짜입니다.&#10;일련번호·요청ID는 자동으로 만들어집니다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4" customWidth="1" min="4" max="4"/>
  </cols>
  <sheetData>
    <row r="1">
      <c r="B1" s="8" t="inlineStr">
        <is>
          <t>[연구팀] 주간 지출계획 — 작성 안내</t>
        </is>
      </c>
    </row>
    <row r="3">
      <c r="B3" s="9" t="inlineStr">
        <is>
          <t>딱 6칸만 입력하면 됩니다. 나머지는 자동입니다.</t>
        </is>
      </c>
    </row>
    <row r="5">
      <c r="B5" s="10" t="inlineStr">
        <is>
          <t>직접 입력 (노란 머리글)</t>
        </is>
      </c>
      <c r="C5" s="11" t="inlineStr">
        <is>
          <t>무엇을</t>
        </is>
      </c>
      <c r="D5" s="11" t="inlineStr">
        <is>
          <t>예시</t>
        </is>
      </c>
    </row>
    <row r="6">
      <c r="B6" s="12" t="inlineStr">
        <is>
          <t>최초등록일</t>
        </is>
      </c>
      <c r="C6" s="13" t="inlineStr">
        <is>
          <t>이 요청을 처음 적는 날</t>
        </is>
      </c>
      <c r="D6" s="14" t="inlineStr">
        <is>
          <t>2026-09-18</t>
        </is>
      </c>
    </row>
    <row r="7">
      <c r="B7" s="12" t="inlineStr">
        <is>
          <t>지급예정일</t>
        </is>
      </c>
      <c r="C7" s="13" t="inlineStr">
        <is>
          <t>돈이 나가야 하는 날 (법인카드는 카드 사용일)</t>
        </is>
      </c>
      <c r="D7" s="14" t="inlineStr">
        <is>
          <t>2026-09-24</t>
        </is>
      </c>
    </row>
    <row r="8">
      <c r="B8" s="12" t="inlineStr">
        <is>
          <t>거래처</t>
        </is>
      </c>
      <c r="C8" s="13" t="inlineStr">
        <is>
          <t>돈 받는 곳</t>
        </is>
      </c>
      <c r="D8" s="14" t="inlineStr">
        <is>
          <t>한진택배</t>
        </is>
      </c>
    </row>
    <row r="9">
      <c r="B9" s="12" t="inlineStr">
        <is>
          <t>지출내용</t>
        </is>
      </c>
      <c r="C9" s="13" t="inlineStr">
        <is>
          <t>무엇에 쓰는 돈인지</t>
        </is>
      </c>
      <c r="D9" s="14" t="inlineStr">
        <is>
          <t>9월 4주차 택배비</t>
        </is>
      </c>
    </row>
    <row r="10">
      <c r="B10" s="12" t="inlineStr">
        <is>
          <t>예상금액</t>
        </is>
      </c>
      <c r="C10" s="13" t="inlineStr">
        <is>
          <t>숫자만 (원)</t>
        </is>
      </c>
      <c r="D10" s="14" t="inlineStr">
        <is>
          <t>1,250,000</t>
        </is>
      </c>
    </row>
    <row r="11">
      <c r="B11" s="12" t="inlineStr">
        <is>
          <t>지급방법</t>
        </is>
      </c>
      <c r="C11" s="13" t="inlineStr">
        <is>
          <t>드롭다운에서 선택</t>
        </is>
      </c>
      <c r="D11" s="14" t="inlineStr">
        <is>
          <t>계좌송금</t>
        </is>
      </c>
    </row>
    <row r="13">
      <c r="B13" s="15" t="inlineStr">
        <is>
          <t>자동 처리 (남색 머리글)</t>
        </is>
      </c>
    </row>
    <row r="14">
      <c r="B14" s="16" t="inlineStr">
        <is>
          <t>요청ID·일련번호</t>
        </is>
      </c>
      <c r="C14" s="13" t="inlineStr">
        <is>
          <t>등록일을 넣으면 자동 생성 (예: 연구-20260918-001)</t>
        </is>
      </c>
    </row>
    <row r="15">
      <c r="B15" s="16" t="inlineStr">
        <is>
          <t>팀코드·팀명</t>
        </is>
      </c>
      <c r="C15" s="13" t="inlineStr">
        <is>
          <t>자동 표기</t>
        </is>
      </c>
    </row>
    <row r="16">
      <c r="B16" s="16" t="inlineStr">
        <is>
          <t>확정여부</t>
        </is>
      </c>
      <c r="C16" s="13" t="inlineStr">
        <is>
          <t>자동 '확정' — 아직 미정이면 '미확정'으로 바꾸세요</t>
        </is>
      </c>
    </row>
    <row r="17">
      <c r="B17" s="16" t="inlineStr">
        <is>
          <t>진행상태</t>
        </is>
      </c>
      <c r="C17" s="13" t="inlineStr">
        <is>
          <t>자동 '신규' — 바뀌면 '변경', 취소면 '취소' 선택</t>
        </is>
      </c>
    </row>
    <row r="18">
      <c r="B18" s="16" t="inlineStr">
        <is>
          <t>최종수정일</t>
        </is>
      </c>
      <c r="C18" s="13" t="inlineStr">
        <is>
          <t>자동으로 등록일과 같게 — 내용 수정 시 그날 날짜로 변경</t>
        </is>
      </c>
    </row>
    <row r="19">
      <c r="B19" s="16" t="inlineStr">
        <is>
          <t>입력확인</t>
        </is>
      </c>
      <c r="C19" s="13" t="inlineStr">
        <is>
          <t>'✔ 완료'가 뜨면 끝. '⚠ 누락'이면 빨간 칸을 채우세요</t>
        </is>
      </c>
    </row>
    <row r="21">
      <c r="B21" s="17" t="inlineStr">
        <is>
          <t>꼭 지켜주세요</t>
        </is>
      </c>
    </row>
    <row r="22">
      <c r="B22" s="13" t="inlineStr">
        <is>
          <t>1.</t>
        </is>
      </c>
      <c r="C22" s="13" t="inlineStr">
        <is>
          <t>행을 삭제하지 마세요. 취소된 건은 진행상태를 '취소'로 바꾸면 됩니다.</t>
        </is>
      </c>
    </row>
    <row r="23">
      <c r="B23" s="13" t="inlineStr">
        <is>
          <t>2.</t>
        </is>
      </c>
      <c r="C23" s="13" t="inlineStr">
        <is>
          <t>금액·날짜가 바뀌면 그 행에서 고치고 진행상태 '변경' + 최종수정일 수정.</t>
        </is>
      </c>
    </row>
    <row r="24">
      <c r="B24" s="13" t="inlineStr">
        <is>
          <t>3.</t>
        </is>
      </c>
      <c r="C24" s="13" t="inlineStr">
        <is>
          <t>법인카드는 카드구분(우리/국민)을 고르고 지급예정일에 '사용일'을 입력.</t>
        </is>
      </c>
    </row>
    <row r="25">
      <c r="B25" s="13" t="inlineStr">
        <is>
          <t>4.</t>
        </is>
      </c>
      <c r="C25" s="13" t="inlineStr">
        <is>
          <t>월요일 오전 9시 전까지 지정 폴더에 저장하면 자동으로 취합됩니다.</t>
        </is>
      </c>
    </row>
    <row r="26">
      <c r="B26" s="13" t="inlineStr">
        <is>
          <t>5.</t>
        </is>
      </c>
      <c r="C26" s="13" t="inlineStr">
        <is>
          <t>열 이름·시트명·파일명은 바꾸지 마세요 (자동 취합이 인식하지 못합니다).</t>
        </is>
      </c>
    </row>
    <row r="28">
      <c r="B28" s="18" t="inlineStr">
        <is>
          <t>※ 시트가 보호되어 있어 자동 칸(요청ID·입력확인)은 수정되지 않습니다. 서식 관리는 자금 담당자에게 문의하세요.</t>
        </is>
      </c>
    </row>
  </sheetData>
  <mergeCells count="5">
    <mergeCell ref="C24:D24"/>
    <mergeCell ref="C25:D25"/>
    <mergeCell ref="C26:D26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2026-09-18T04:35:04Z</dcterms:created>
  <dcterms:modified xsi:type="dcterms:W3CDTF">2026-09-18T04:35:04Z</dcterms:modified>
</cp:coreProperties>
</file>