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확인필요" sheetId="2" state="visible" r:id="rId2"/>
    <sheet name="정기지출누락" sheetId="3" state="visible" r:id="rId3"/>
    <sheet name="정기지출분석" sheetId="4" state="visible" r:id="rId4"/>
  </sheets>
  <definedNames>
    <definedName name="_xlnm._FilterDatabase" localSheetId="3" hidden="1">'정기지출분석'!$A$5:$K$56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1"/>
    </font>
    <font>
      <name val="맑은 고딕"/>
      <color rgb="00B36B00"/>
      <sz val="10"/>
    </font>
    <font>
      <name val="맑은 고딕"/>
      <color rgb="001E7145"/>
      <sz val="10"/>
    </font>
    <font>
      <name val="맑은 고딕"/>
      <b val="1"/>
      <color rgb="00FFFFFF"/>
      <sz val="10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  <font>
      <name val="맑은 고딕"/>
      <b val="1"/>
      <color rgb="00B36B00"/>
      <sz val="10"/>
    </font>
    <font>
      <name val="맑은 고딕"/>
      <b val="1"/>
      <color rgb="001F4E79"/>
      <sz val="13"/>
    </font>
    <font>
      <name val="맑은 고딕"/>
      <b val="1"/>
      <color rgb="00B36B00"/>
      <sz val="9"/>
    </font>
    <font>
      <name val="맑은 고딕"/>
      <b val="1"/>
      <color rgb="00C00000"/>
      <sz val="9"/>
    </font>
    <font>
      <name val="맑은 고딕"/>
      <color rgb="0040404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8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0" fontId="8" fillId="2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right"/>
    </xf>
    <xf numFmtId="0" fontId="7" fillId="2" borderId="0" applyAlignment="1" pivotButton="0" quotePrefix="0" xfId="0">
      <alignment horizontal="center"/>
    </xf>
    <xf numFmtId="0" fontId="13" fillId="0" borderId="0" pivotButton="0" quotePrefix="0" xfId="0"/>
    <xf numFmtId="1" fontId="8" fillId="0" borderId="1" pivotButton="0" quotePrefix="0" xfId="0"/>
    <xf numFmtId="0" fontId="1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4" customWidth="1" min="3" max="3"/>
    <col hidden="1" width="13" customWidth="1" min="10" max="10"/>
    <col hidden="1" width="13" customWidth="1" min="11" max="11"/>
  </cols>
  <sheetData>
    <row r="1">
      <c r="A1" s="1" t="inlineStr">
        <is>
          <t>주간 자금계획 — 확인 단계 안내</t>
        </is>
      </c>
    </row>
    <row r="2">
      <c r="A2" s="2" t="inlineStr">
        <is>
          <t>확인 완료</t>
        </is>
      </c>
      <c r="B2" s="3" t="inlineStr">
        <is>
          <t>아니오</t>
        </is>
      </c>
      <c r="C2" s="4" t="inlineStr">
        <is>
          <t>(주차 2026-W40)  모든 시트를 검토한 뒤 왼쪽 B2를 '예'로 바꾸고 저장하세요 — 통합 결과 파일(경영보고·대표보고·라이브 시트)이 곧바로 만들어집니다.</t>
        </is>
      </c>
      <c r="J2" t="inlineStr">
        <is>
          <t>2026-W40</t>
        </is>
      </c>
      <c r="K2" t="inlineStr">
        <is>
          <t>160860bad427d346</t>
        </is>
      </c>
    </row>
    <row r="3">
      <c r="A3" s="5" t="inlineStr">
        <is>
          <t>지난 확인 이후 새로 생긴 항목은 없습니다 — 이전에 확인하신 상태 그대로입니다.</t>
        </is>
      </c>
    </row>
    <row r="4">
      <c r="A4" s="6" t="inlineStr">
        <is>
          <t>순서</t>
        </is>
      </c>
      <c r="B4" s="6" t="inlineStr">
        <is>
          <t>시트</t>
        </is>
      </c>
      <c r="C4" s="6" t="inlineStr">
        <is>
          <t>하는 일</t>
        </is>
      </c>
    </row>
    <row r="5" ht="44" customHeight="1">
      <c r="A5" s="7" t="inlineStr">
        <is>
          <t>1</t>
        </is>
      </c>
      <c r="B5" s="8" t="inlineStr">
        <is>
          <t>확인필요</t>
        </is>
      </c>
      <c r="C5" s="9" t="inlineStr">
        <is>
      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      </is>
      </c>
    </row>
    <row r="6" ht="44" customHeight="1">
      <c r="A6" s="7" t="inlineStr">
        <is>
          <t>2</t>
        </is>
      </c>
      <c r="B6" s="8" t="inlineStr">
        <is>
          <t>정기지출누락</t>
        </is>
      </c>
      <c r="C6" s="9" t="inlineStr">
        <is>
      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      </is>
      </c>
    </row>
    <row r="7" ht="44" customHeight="1">
      <c r="A7" s="7" t="inlineStr">
        <is>
          <t>3</t>
        </is>
      </c>
      <c r="B7" s="8" t="inlineStr">
        <is>
          <t>정기지출분석</t>
        </is>
      </c>
      <c r="C7" s="9" t="inlineStr">
        <is>
      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      </is>
      </c>
    </row>
    <row r="8" ht="44" customHeight="1">
      <c r="A8" s="7" t="inlineStr">
        <is>
          <t>4</t>
        </is>
      </c>
      <c r="B8" s="8" t="inlineStr">
        <is>
          <t>안내 (이 시트)</t>
        </is>
      </c>
      <c r="C8" s="9" t="inlineStr">
        <is>
      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      </is>
      </c>
    </row>
    <row r="10">
      <c r="A10" s="10" t="inlineStr">
        <is>
          <t>※ 고친 내용은 전부 이번 결과에 바로 반영됩니다. 날짜가 주말(토·일)·공휴일이면 붉은 글자로 표시됩니다. 확인 후 팀·은행 입력파일을 새로 바꾸면 다시 검토 단계부터 시작합니다.</t>
        </is>
      </c>
    </row>
  </sheetData>
  <dataValidations count="1">
    <dataValidation sqref="B2" showDropDown="0" showInputMessage="0" showErrorMessage="1" allowBlank="1" error="'예' 또는 '아니오'만 입력할 수 있습니다." type="list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34" customHeight="1">
      <c r="A1" s="11" t="inlineStr">
        <is>
      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 분류를 적으면(예: 급여·상여) 기억해서 다음부터 같은 이름의 거래를 그 분류로 자동 처리합니다. 정기지출 누락 의심은 '정기지출누락' 시트에서 따로 확인하세요. 검토가 끝나면 '안내' 시트의 '확인 완료'(B2)를 '예'로 바꾸고 저장하세요.</t>
        </is>
      </c>
    </row>
    <row r="4">
      <c r="A4" s="6" t="inlineStr">
        <is>
          <t>구분</t>
        </is>
      </c>
      <c r="B4" s="6" t="inlineStr">
        <is>
          <t>팀명</t>
        </is>
      </c>
      <c r="C4" s="6" t="inlineStr">
        <is>
          <t>은행</t>
        </is>
      </c>
      <c r="D4" s="6" t="inlineStr">
        <is>
          <t>요청ID</t>
        </is>
      </c>
      <c r="E4" s="6" t="inlineStr">
        <is>
          <t>일자</t>
        </is>
      </c>
      <c r="F4" s="6" t="inlineStr">
        <is>
          <t>내용</t>
        </is>
      </c>
      <c r="G4" s="6" t="inlineStr">
        <is>
          <t>금액</t>
        </is>
      </c>
      <c r="H4" s="6" t="inlineStr">
        <is>
          <t>원본파일</t>
        </is>
      </c>
      <c r="I4" s="6" t="inlineStr">
        <is>
          <t>처리</t>
        </is>
      </c>
    </row>
    <row r="5">
      <c r="A5" s="12" t="inlineStr">
        <is>
          <t>취합 미포함 팀</t>
        </is>
      </c>
      <c r="B5" s="12" t="inlineStr">
        <is>
          <t>물류팀</t>
        </is>
      </c>
      <c r="C5" s="12" t="n"/>
      <c r="D5" s="12" t="n"/>
      <c r="E5" s="12" t="n"/>
      <c r="F5" s="12" t="inlineStr">
        <is>
          <t>취합 파일에 항목이 없습니다 (지출 없음이면 무시)</t>
        </is>
      </c>
      <c r="G5" s="13" t="n"/>
      <c r="H5" s="12" t="inlineStr">
        <is>
          <t>지출계획_2026-09-25.xlsx</t>
        </is>
      </c>
    </row>
    <row r="6">
      <c r="A6" s="12" t="inlineStr">
        <is>
          <t>취합 미포함 팀</t>
        </is>
      </c>
      <c r="B6" s="12" t="inlineStr">
        <is>
          <t>CS팀</t>
        </is>
      </c>
      <c r="C6" s="12" t="n"/>
      <c r="D6" s="12" t="n"/>
      <c r="E6" s="12" t="n"/>
      <c r="F6" s="12" t="inlineStr">
        <is>
          <t>취합 파일에 항목이 없습니다 (지출 없음이면 무시)</t>
        </is>
      </c>
      <c r="G6" s="13" t="n"/>
      <c r="H6" s="12" t="inlineStr">
        <is>
          <t>지출계획_2026-09-25.xlsx</t>
        </is>
      </c>
    </row>
    <row r="7">
      <c r="A7" s="12" t="inlineStr">
        <is>
          <t>취합 미포함 팀</t>
        </is>
      </c>
      <c r="B7" s="12" t="inlineStr">
        <is>
          <t>디자인팀</t>
        </is>
      </c>
      <c r="C7" s="12" t="n"/>
      <c r="D7" s="12" t="n"/>
      <c r="E7" s="12" t="n"/>
      <c r="F7" s="12" t="inlineStr">
        <is>
          <t>취합 파일에 항목이 없습니다 (지출 없음이면 무시)</t>
        </is>
      </c>
      <c r="G7" s="13" t="n"/>
      <c r="H7" s="12" t="inlineStr">
        <is>
          <t>지출계획_2026-09-25.xlsx</t>
        </is>
      </c>
    </row>
    <row r="8">
      <c r="A8" s="12" t="inlineStr">
        <is>
          <t>수동 대조 필요</t>
        </is>
      </c>
      <c r="B8" s="12" t="n"/>
      <c r="C8" s="12" t="inlineStr">
        <is>
          <t>국민은행</t>
        </is>
      </c>
      <c r="D8" s="12" t="n"/>
      <c r="E8" s="12" t="n"/>
      <c r="F8" s="12" t="inlineStr">
        <is>
          <t>월말이 아닌 TOP출금 7,800,000원 (2026-09-22)</t>
        </is>
      </c>
      <c r="G8" s="13" t="n"/>
      <c r="H8" s="12" t="inlineStr">
        <is>
          <t>국민은행4577_20260925.xls</t>
        </is>
      </c>
    </row>
    <row r="9">
      <c r="A9" s="12" t="inlineStr">
        <is>
          <t>예정지출 미출금</t>
        </is>
      </c>
      <c r="B9" s="12" t="inlineStr">
        <is>
          <t>건강사업팀</t>
        </is>
      </c>
      <c r="C9" s="12" t="n"/>
      <c r="D9" s="12" t="inlineStr">
        <is>
          <t>건강-20260918-003</t>
        </is>
      </c>
      <c r="E9" s="14" t="n">
        <v>46286</v>
      </c>
      <c r="F9" s="12" t="inlineStr">
        <is>
          <t>네이버SA&amp;GFA — 지급예정일이 지났는데 실제 출금을 찾지 못함. 지연 지급이면 새 취합 파일에 새 지급일로 다시 올리세요</t>
        </is>
      </c>
      <c r="G9" s="13" t="n">
        <v>3498000</v>
      </c>
      <c r="H9" s="12" t="inlineStr"/>
    </row>
    <row r="10">
      <c r="A10" s="12" t="inlineStr">
        <is>
          <t>수동 대조 필요</t>
        </is>
      </c>
      <c r="B10" s="12" t="inlineStr">
        <is>
          <t>건강사업팀</t>
        </is>
      </c>
      <c r="C10" s="12" t="n"/>
      <c r="D10" s="12" t="inlineStr">
        <is>
          <t>건강-20260918-002</t>
        </is>
      </c>
      <c r="E10" s="12" t="n"/>
      <c r="F10" s="12" t="inlineStr">
        <is>
          <t>후보 거래가 여러 건이라 수동확인 필요</t>
        </is>
      </c>
      <c r="G10" s="13" t="n"/>
      <c r="H10" s="12" t="inlineStr"/>
    </row>
    <row r="11">
      <c r="A11" s="12" t="inlineStr">
        <is>
          <t>계획 없는 실제출금</t>
        </is>
      </c>
      <c r="B11" s="12" t="n"/>
      <c r="C11" s="12" t="inlineStr">
        <is>
          <t>우리은행</t>
        </is>
      </c>
      <c r="D11" s="12" t="n"/>
      <c r="E11" s="14" t="n">
        <v>46286</v>
      </c>
      <c r="F11" s="12" t="inlineStr">
        <is>
          <t>S1(N6203178) 지로자동</t>
        </is>
      </c>
      <c r="G11" s="13" t="n">
        <v>107800</v>
      </c>
      <c r="H11" s="12" t="inlineStr">
        <is>
          <t>우리은행 거래내역조회 20260925.xlsx</t>
        </is>
      </c>
      <c r="I11" s="15" t="inlineStr"/>
    </row>
    <row r="12">
      <c r="A12" s="12" t="inlineStr">
        <is>
          <t>계획 없는 실제출금</t>
        </is>
      </c>
      <c r="B12" s="12" t="n"/>
      <c r="C12" s="12" t="inlineStr">
        <is>
          <t>우리은행</t>
        </is>
      </c>
      <c r="D12" s="12" t="n"/>
      <c r="E12" s="14" t="n">
        <v>46286</v>
      </c>
      <c r="F12" s="12" t="inlineStr">
        <is>
          <t>국민네이버 apha 인터넷</t>
        </is>
      </c>
      <c r="G12" s="13" t="n">
        <v>2178000</v>
      </c>
      <c r="H12" s="12" t="inlineStr">
        <is>
          <t>우리은행 거래내역조회 20260925.xlsx</t>
        </is>
      </c>
      <c r="I12" s="15" t="inlineStr"/>
    </row>
    <row r="13">
      <c r="A13" s="12" t="inlineStr">
        <is>
          <t>계획 없는 실제출금</t>
        </is>
      </c>
      <c r="B13" s="12" t="n"/>
      <c r="C13" s="12" t="inlineStr">
        <is>
          <t>우리은행</t>
        </is>
      </c>
      <c r="D13" s="12" t="n"/>
      <c r="E13" s="14" t="n">
        <v>46286</v>
      </c>
      <c r="F13" s="12" t="inlineStr">
        <is>
          <t>국민네이버 에이팜건 인터넷</t>
        </is>
      </c>
      <c r="G13" s="13" t="n">
        <v>330000</v>
      </c>
      <c r="H13" s="12" t="inlineStr">
        <is>
          <t>우리은행 거래내역조회 20260925.xlsx</t>
        </is>
      </c>
      <c r="I13" s="15" t="inlineStr"/>
    </row>
    <row r="14">
      <c r="A14" s="12" t="inlineStr">
        <is>
          <t>계획 없는 실제출금</t>
        </is>
      </c>
      <c r="B14" s="12" t="n"/>
      <c r="C14" s="12" t="inlineStr">
        <is>
          <t>우리은행</t>
        </is>
      </c>
      <c r="D14" s="12" t="n"/>
      <c r="E14" s="14" t="n">
        <v>46286</v>
      </c>
      <c r="F14" s="12" t="inlineStr">
        <is>
          <t>국민서울보증보험 인터넷</t>
        </is>
      </c>
      <c r="G14" s="13" t="n">
        <v>632250</v>
      </c>
      <c r="H14" s="12" t="inlineStr">
        <is>
          <t>우리은행 거래내역조회 20260925.xlsx</t>
        </is>
      </c>
      <c r="I14" s="15" t="inlineStr"/>
    </row>
    <row r="15">
      <c r="A15" s="12" t="inlineStr">
        <is>
          <t>계획 없는 실제출금</t>
        </is>
      </c>
      <c r="B15" s="12" t="n"/>
      <c r="C15" s="12" t="inlineStr">
        <is>
          <t>우리은행</t>
        </is>
      </c>
      <c r="D15" s="12" t="n"/>
      <c r="E15" s="14" t="n">
        <v>46287</v>
      </c>
      <c r="F15" s="12" t="inlineStr">
        <is>
          <t>국민비즈월렛_쁘띠앤 인터넷</t>
        </is>
      </c>
      <c r="G15" s="13" t="n">
        <v>495517</v>
      </c>
      <c r="H15" s="12" t="inlineStr">
        <is>
          <t>우리은행 거래내역조회 20260925.xlsx</t>
        </is>
      </c>
      <c r="I15" s="15" t="inlineStr"/>
    </row>
    <row r="16">
      <c r="A16" s="12" t="inlineStr">
        <is>
          <t>계획 없는 실제출금</t>
        </is>
      </c>
      <c r="B16" s="12" t="n"/>
      <c r="C16" s="12" t="inlineStr">
        <is>
          <t>국민은행</t>
        </is>
      </c>
      <c r="D16" s="12" t="n"/>
      <c r="E16" s="14" t="n">
        <v>46288</v>
      </c>
      <c r="F16" s="12" t="inlineStr">
        <is>
          <t>네이버 aphar 스마트출금</t>
        </is>
      </c>
      <c r="G16" s="13" t="n">
        <v>4675000</v>
      </c>
      <c r="H16" s="12" t="inlineStr">
        <is>
          <t>국민은행4577_20260925.xls</t>
        </is>
      </c>
      <c r="I16" s="15" t="inlineStr"/>
    </row>
    <row r="17">
      <c r="A17" s="12" t="inlineStr">
        <is>
          <t>계획 없는 실제출금</t>
        </is>
      </c>
      <c r="B17" s="12" t="n"/>
      <c r="C17" s="12" t="inlineStr">
        <is>
          <t>국민은행</t>
        </is>
      </c>
      <c r="D17" s="12" t="n"/>
      <c r="E17" s="14" t="n">
        <v>46288</v>
      </c>
      <c r="F17" s="12" t="inlineStr">
        <is>
          <t>네이버 ddi50 스마트출금</t>
        </is>
      </c>
      <c r="G17" s="13" t="n">
        <v>990000</v>
      </c>
      <c r="H17" s="12" t="inlineStr">
        <is>
          <t>국민은행4577_20260925.xls</t>
        </is>
      </c>
      <c r="I17" s="1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11" customWidth="1" min="5" max="5"/>
    <col width="42" customWidth="1" min="6" max="6"/>
    <col width="13" customWidth="1" min="7" max="7"/>
    <col width="24" customWidth="1" min="8" max="8"/>
    <col width="14" customWidth="1" min="9" max="9"/>
    <col hidden="1" width="13" customWidth="1" min="10" max="10"/>
  </cols>
  <sheetData>
    <row r="1" ht="34" customHeight="1">
      <c r="A1" s="11" t="inlineStr">
        <is>
      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      </is>
      </c>
    </row>
    <row r="4">
      <c r="A4" s="6" t="inlineStr">
        <is>
          <t>구분</t>
        </is>
      </c>
      <c r="B4" s="6" t="inlineStr">
        <is>
          <t>팀명</t>
        </is>
      </c>
      <c r="C4" s="6" t="inlineStr">
        <is>
          <t>은행</t>
        </is>
      </c>
      <c r="D4" s="6" t="inlineStr">
        <is>
          <t>요청ID</t>
        </is>
      </c>
      <c r="E4" s="6" t="inlineStr">
        <is>
          <t>일자</t>
        </is>
      </c>
      <c r="F4" s="6" t="inlineStr">
        <is>
          <t>내용</t>
        </is>
      </c>
      <c r="G4" s="6" t="inlineStr">
        <is>
          <t>금액</t>
        </is>
      </c>
      <c r="H4" s="6" t="inlineStr">
        <is>
          <t>원본파일</t>
        </is>
      </c>
      <c r="I4" s="6" t="inlineStr">
        <is>
          <t>처리</t>
        </is>
      </c>
    </row>
    <row r="5">
      <c r="A5" s="12" t="inlineStr">
        <is>
          <t>정기지출 누락 의심</t>
        </is>
      </c>
      <c r="B5" s="12" t="n"/>
      <c r="C5" s="12" t="n"/>
      <c r="D5" s="12" t="n"/>
      <c r="E5" s="14" t="n">
        <v>46293</v>
      </c>
      <c r="F5" s="12" t="inlineStr">
        <is>
          <t>세이브더칠드런 — 팀 지출예정 파일에서 찾지 못함. 정기지출은 자동으로 계획에 넣지 않으니, 나갈 지출이면 '처리' 열에서 '계획에 반영' 선택 (일자·금액을 고치면 고친 값으로 반영)</t>
        </is>
      </c>
      <c r="G5" s="13" t="n">
        <v>2000000</v>
      </c>
      <c r="H5" s="12" t="inlineStr">
        <is>
          <t>자동추정_지출목록.xlsx</t>
        </is>
      </c>
      <c r="I5" s="15" t="inlineStr">
        <is>
          <t>반영 안 함</t>
        </is>
      </c>
      <c r="J5" t="inlineStr">
        <is>
          <t>세이브더칠드런</t>
        </is>
      </c>
    </row>
    <row r="6">
      <c r="A6" s="12" t="inlineStr">
        <is>
          <t>정기지출 누락 의심</t>
        </is>
      </c>
      <c r="B6" s="12" t="n"/>
      <c r="C6" s="12" t="n"/>
      <c r="D6" s="12" t="n"/>
      <c r="E6" s="14" t="n">
        <v>46293</v>
      </c>
      <c r="F6" s="12" t="inlineStr">
        <is>
          <t>농협한혜선 — 팀 지출예정 파일에서 찾지 못함. 정기지출은 자동으로 계획에 넣지 않으니, 나갈 지출이면 '처리' 열에서 '계획에 반영' 선택 (일자·금액을 고치면 고친 값으로 반영)</t>
        </is>
      </c>
      <c r="G6" s="13" t="n">
        <v>1650000</v>
      </c>
      <c r="H6" s="12" t="inlineStr">
        <is>
          <t>자동추정_지출목록.xlsx</t>
        </is>
      </c>
      <c r="I6" s="15" t="inlineStr">
        <is>
          <t>반영 안 함</t>
        </is>
      </c>
      <c r="J6" t="inlineStr">
        <is>
          <t>농협한혜선</t>
        </is>
      </c>
    </row>
    <row r="7">
      <c r="A7" s="12" t="inlineStr">
        <is>
          <t>정기지출 누락 의심</t>
        </is>
      </c>
      <c r="B7" s="12" t="n"/>
      <c r="C7" s="12" t="n"/>
      <c r="D7" s="12" t="n"/>
      <c r="E7" s="14" t="n">
        <v>46294</v>
      </c>
      <c r="F7" s="12" t="inlineStr">
        <is>
          <t>국민주식회사 오애드 — 팀 지출예정 파일에서 찾지 못함. 정기지출은 자동으로 계획에 넣지 않으니, 나갈 지출이면 '처리' 열에서 '계획에 반영' 선택 (일자·금액을 고치면 고친 값으로 반영)</t>
        </is>
      </c>
      <c r="G7" s="13" t="n">
        <v>1045000</v>
      </c>
      <c r="H7" s="12" t="inlineStr">
        <is>
          <t>자동추정_지출목록.xlsx</t>
        </is>
      </c>
      <c r="I7" s="15" t="inlineStr">
        <is>
          <t>반영 안 함</t>
        </is>
      </c>
      <c r="J7" t="inlineStr">
        <is>
          <t>국민주식회사 오애드</t>
        </is>
      </c>
    </row>
    <row r="8">
      <c r="A8" s="12" t="inlineStr">
        <is>
          <t>정기지출 누락 의심</t>
        </is>
      </c>
      <c r="B8" s="12" t="n"/>
      <c r="C8" s="12" t="n"/>
      <c r="D8" s="12" t="n"/>
      <c r="E8" s="14" t="n">
        <v>46295</v>
      </c>
      <c r="F8" s="12" t="inlineStr">
        <is>
          <t>TOP출금 — 팀 지출예정 파일에서 찾지 못함. 정기지출은 자동으로 계획에 넣지 않으니, 나갈 지출이면 '처리' 열에서 '계획에 반영' 선택 (일자·금액을 고치면 고친 값으로 반영)</t>
        </is>
      </c>
      <c r="G8" s="13" t="n">
        <v>65040941</v>
      </c>
      <c r="H8" s="12" t="inlineStr">
        <is>
          <t>자동추정_지출목록.xlsx</t>
        </is>
      </c>
      <c r="I8" s="15" t="inlineStr">
        <is>
          <t>반영 안 함</t>
        </is>
      </c>
      <c r="J8" t="inlineStr">
        <is>
          <t>TOP출금</t>
        </is>
      </c>
    </row>
    <row r="9">
      <c r="A9" s="12" t="inlineStr">
        <is>
          <t>정기지출 누락 의심</t>
        </is>
      </c>
      <c r="B9" s="12" t="n"/>
      <c r="C9" s="12" t="n"/>
      <c r="D9" s="12" t="n"/>
      <c r="E9" s="14" t="n">
        <v>46295</v>
      </c>
      <c r="F9" s="12" t="inlineStr">
        <is>
          <t>한진주식회사 — 팀 지출예정 파일에서 찾지 못함. 정기지출은 자동으로 계획에 넣지 않으니, 나갈 지출이면 '처리' 열에서 '계획에 반영' 선택 (일자·금액을 고치면 고친 값으로 반영)</t>
        </is>
      </c>
      <c r="G9" s="13" t="n">
        <v>10790260</v>
      </c>
      <c r="H9" s="12" t="inlineStr">
        <is>
          <t>자동추정_지출목록.xlsx</t>
        </is>
      </c>
      <c r="I9" s="15" t="inlineStr">
        <is>
          <t>반영 안 함</t>
        </is>
      </c>
      <c r="J9" t="inlineStr">
        <is>
          <t>한진주식회사</t>
        </is>
      </c>
    </row>
    <row r="10">
      <c r="A10" s="12" t="inlineStr">
        <is>
          <t>정기지출 누락 의심</t>
        </is>
      </c>
      <c r="B10" s="12" t="n"/>
      <c r="C10" s="12" t="n"/>
      <c r="D10" s="12" t="n"/>
      <c r="E10" s="14" t="n">
        <v>46295</v>
      </c>
      <c r="F10" s="12" t="inlineStr">
        <is>
          <t>퇴직예약출금 — 팀 지출예정 파일에서 찾지 못함. 정기지출은 자동으로 계획에 넣지 않으니, 나갈 지출이면 '처리' 열에서 '계획에 반영' 선택 (일자·금액을 고치면 고친 값으로 반영)</t>
        </is>
      </c>
      <c r="G10" s="13" t="n">
        <v>8156420</v>
      </c>
      <c r="H10" s="12" t="inlineStr">
        <is>
          <t>자동추정_지출목록.xlsx</t>
        </is>
      </c>
      <c r="I10" s="15" t="inlineStr">
        <is>
          <t>반영 안 함</t>
        </is>
      </c>
      <c r="J10" t="inlineStr">
        <is>
          <t>퇴직예약출금</t>
        </is>
      </c>
    </row>
    <row r="11">
      <c r="A11" s="12" t="inlineStr">
        <is>
          <t>정기지출 누락 의심</t>
        </is>
      </c>
      <c r="B11" s="12" t="n"/>
      <c r="C11" s="12" t="n"/>
      <c r="D11" s="12" t="n"/>
      <c r="E11" s="14" t="n">
        <v>46295</v>
      </c>
      <c r="F11" s="12" t="inlineStr">
        <is>
          <t>국민엠제이테크노파크 — 팀 지출예정 파일에서 찾지 못함. 정기지출은 자동으로 계획에 넣지 않으니, 나갈 지출이면 '처리' 열에서 '계획에 반영' 선택 (일자·금액을 고치면 고친 값으로 반영)</t>
        </is>
      </c>
      <c r="G11" s="13" t="n">
        <v>214586</v>
      </c>
      <c r="H11" s="12" t="inlineStr">
        <is>
          <t>자동추정_지출목록.xlsx</t>
        </is>
      </c>
      <c r="I11" s="15" t="inlineStr">
        <is>
          <t>반영 안 함</t>
        </is>
      </c>
      <c r="J11" t="inlineStr">
        <is>
          <t>국민엠제이테크노파크</t>
        </is>
      </c>
    </row>
    <row r="12">
      <c r="A12" s="12" t="inlineStr">
        <is>
          <t>정기지출 누락 의심</t>
        </is>
      </c>
      <c r="B12" s="12" t="n"/>
      <c r="C12" s="12" t="n"/>
      <c r="D12" s="12" t="n"/>
      <c r="E12" s="14" t="n">
        <v>46296</v>
      </c>
      <c r="F12" s="12" t="inlineStr">
        <is>
          <t>KB — 팀 지출예정 파일에서 찾지 못함. 정기지출은 자동으로 계획에 넣지 않으니, 나갈 지출이면 '처리' 열에서 '계획에 반영' 선택 (일자·금액을 고치면 고친 값으로 반영)</t>
        </is>
      </c>
      <c r="G12" s="13" t="n">
        <v>2952747</v>
      </c>
      <c r="H12" s="12" t="inlineStr">
        <is>
          <t>자동추정_지출목록.xlsx</t>
        </is>
      </c>
      <c r="I12" s="15" t="inlineStr">
        <is>
          <t>반영 안 함</t>
        </is>
      </c>
      <c r="J12" t="inlineStr">
        <is>
          <t>KB</t>
        </is>
      </c>
    </row>
    <row r="13">
      <c r="A13" s="12" t="inlineStr">
        <is>
          <t>정기지출 누락 의심</t>
        </is>
      </c>
      <c r="B13" s="12" t="n"/>
      <c r="C13" s="12" t="n"/>
      <c r="D13" s="12" t="n"/>
      <c r="E13" s="14" t="n">
        <v>46301</v>
      </c>
      <c r="F13" s="12" t="inlineStr">
        <is>
          <t>한화스마트 — 팀 지출예정 파일에서 찾지 못함. 정기지출은 자동으로 계획에 넣지 않으니, 나갈 지출이면 '처리' 열에서 '계획에 반영' 선택 (일자·금액을 고치면 고친 값으로 반영)</t>
        </is>
      </c>
      <c r="G13" s="13" t="n">
        <v>30000000</v>
      </c>
      <c r="H13" s="12" t="inlineStr">
        <is>
          <t>자동추정_지출목록.xlsx</t>
        </is>
      </c>
      <c r="I13" s="15" t="inlineStr">
        <is>
          <t>반영 안 함</t>
        </is>
      </c>
      <c r="J13" t="inlineStr">
        <is>
          <t>한화스마트</t>
        </is>
      </c>
    </row>
    <row r="14">
      <c r="A14" s="12" t="inlineStr">
        <is>
          <t>정기지출 누락 의심</t>
        </is>
      </c>
      <c r="B14" s="12" t="n"/>
      <c r="C14" s="12" t="n"/>
      <c r="D14" s="12" t="n"/>
      <c r="E14" s="14" t="n">
        <v>46301</v>
      </c>
      <c r="F14" s="12" t="inlineStr">
        <is>
          <t>미래 — 팀 지출예정 파일에서 찾지 못함. 정기지출은 자동으로 계획에 넣지 않으니, 나갈 지출이면 '처리' 열에서 '계획에 반영' 선택 (일자·금액을 고치면 고친 값으로 반영)</t>
        </is>
      </c>
      <c r="G14" s="13" t="n">
        <v>4494000</v>
      </c>
      <c r="H14" s="12" t="inlineStr">
        <is>
          <t>자동추정_지출목록.xlsx</t>
        </is>
      </c>
      <c r="I14" s="15" t="inlineStr">
        <is>
          <t>반영 안 함</t>
        </is>
      </c>
      <c r="J14" t="inlineStr">
        <is>
          <t>미래</t>
        </is>
      </c>
    </row>
    <row r="15">
      <c r="A15" s="12" t="inlineStr">
        <is>
          <t>정기지출 누락 의심</t>
        </is>
      </c>
      <c r="B15" s="12" t="n"/>
      <c r="C15" s="12" t="n"/>
      <c r="D15" s="12" t="n"/>
      <c r="E15" s="14" t="n">
        <v>46301</v>
      </c>
      <c r="F15" s="12" t="inlineStr">
        <is>
          <t>국민주에이팜건강 — 팀 지출예정 파일에서 찾지 못함. 정기지출은 자동으로 계획에 넣지 않으니, 나갈 지출이면 '처리' 열에서 '계획에 반영' 선택 (일자·금액을 고치면 고친 값으로 반영)</t>
        </is>
      </c>
      <c r="G15" s="13" t="n">
        <v>3003000</v>
      </c>
      <c r="H15" s="12" t="inlineStr">
        <is>
          <t>자동추정_지출목록.xlsx</t>
        </is>
      </c>
      <c r="I15" s="15" t="inlineStr">
        <is>
          <t>반영 안 함</t>
        </is>
      </c>
      <c r="J15" t="inlineStr">
        <is>
          <t>국민주에이팜건강</t>
        </is>
      </c>
    </row>
    <row r="16">
      <c r="A16" s="12" t="inlineStr">
        <is>
          <t>정기지출 누락 의심</t>
        </is>
      </c>
      <c r="B16" s="12" t="n"/>
      <c r="C16" s="12" t="n"/>
      <c r="D16" s="12" t="n"/>
      <c r="E16" s="14" t="n">
        <v>46301</v>
      </c>
      <c r="F16" s="12" t="inlineStr">
        <is>
          <t>대한사회복지회 — 팀 지출예정 파일에서 찾지 못함. 정기지출은 자동으로 계획에 넣지 않으니, 나갈 지출이면 '처리' 열에서 '계획에 반영' 선택 (일자·금액을 고치면 고친 값으로 반영)</t>
        </is>
      </c>
      <c r="G16" s="13" t="n">
        <v>100000</v>
      </c>
      <c r="H16" s="12" t="inlineStr">
        <is>
          <t>자동추정_지출목록.xlsx</t>
        </is>
      </c>
      <c r="I16" s="15" t="inlineStr">
        <is>
          <t>반영 안 함</t>
        </is>
      </c>
      <c r="J16" t="inlineStr">
        <is>
          <t>대한사회복지회</t>
        </is>
      </c>
    </row>
    <row r="17">
      <c r="A17" s="12" t="inlineStr">
        <is>
          <t>정기지출 누락 의심</t>
        </is>
      </c>
      <c r="B17" s="12" t="n"/>
      <c r="C17" s="12" t="n"/>
      <c r="D17" s="12" t="n"/>
      <c r="E17" s="14" t="n">
        <v>46302</v>
      </c>
      <c r="F17" s="12" t="inlineStr">
        <is>
          <t>삼성건 — 팀 지출예정 파일에서 찾지 못함. 정기지출은 자동으로 계획에 넣지 않으니, 나갈 지출이면 '처리' 열에서 '계획에 반영' 선택 (일자·금액을 고치면 고친 값으로 반영)</t>
        </is>
      </c>
      <c r="G17" s="13" t="n">
        <v>8898225</v>
      </c>
      <c r="H17" s="12" t="inlineStr">
        <is>
          <t>자동추정_지출목록.xlsx</t>
        </is>
      </c>
      <c r="I17" s="15" t="inlineStr">
        <is>
          <t>반영 안 함</t>
        </is>
      </c>
      <c r="J17" t="inlineStr">
        <is>
          <t>삼성건</t>
        </is>
      </c>
    </row>
    <row r="18">
      <c r="A18" s="12" t="inlineStr">
        <is>
          <t>정기지출 누락 의심</t>
        </is>
      </c>
      <c r="B18" s="12" t="n"/>
      <c r="C18" s="12" t="n"/>
      <c r="D18" s="12" t="n"/>
      <c r="E18" s="14" t="n">
        <v>46303</v>
      </c>
      <c r="F18" s="12" t="inlineStr">
        <is>
          <t>한화생 — 팀 지출예정 파일에서 찾지 못함. 정기지출은 자동으로 계획에 넣지 않으니, 나갈 지출이면 '처리' 열에서 '계획에 반영' 선택 (일자·금액을 고치면 고친 값으로 반영)</t>
        </is>
      </c>
      <c r="G18" s="13" t="n">
        <v>42006200</v>
      </c>
      <c r="H18" s="12" t="inlineStr">
        <is>
          <t>자동추정_지출목록.xlsx</t>
        </is>
      </c>
      <c r="I18" s="15" t="inlineStr">
        <is>
          <t>반영 안 함</t>
        </is>
      </c>
      <c r="J18" t="inlineStr">
        <is>
          <t>한화생</t>
        </is>
      </c>
    </row>
  </sheetData>
  <mergeCells count="1">
    <mergeCell ref="A1:H1"/>
  </mergeCells>
  <dataValidations count="1">
    <dataValidation sqref="I5 I6 I7 I8 I9 I10 I11 I12 I13 I14 I15 I16 I17 I18" showDropDown="0" showInputMessage="0" showErrorMessage="1" allowBlank="1" error="'계획에 반영' 또는 '반영 안 함'만 입력할 수 있습니다." type="list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20" customWidth="1" min="13" max="13"/>
    <col width="12" customWidth="1" min="14" max="14"/>
    <col hidden="1" width="13" customWidth="1" min="15" max="15"/>
    <col width="62" customWidth="1" min="16" max="16"/>
  </cols>
  <sheetData>
    <row r="1" ht="34" customHeight="1">
      <c r="A1" s="11" t="inlineStr">
        <is>
      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      </is>
      </c>
    </row>
    <row r="2">
      <c r="A2" s="16" t="inlineStr">
        <is>
          <t>월 정기지출 분석 — 확인 단계</t>
        </is>
      </c>
    </row>
    <row r="3">
      <c r="A3" s="10" t="inlineStr">
        <is>
          <t>정기·비정기 = 누락 체크 대상 (계획에는 팀 지출예정 파일 금액만 반영) / 제외 = 누락 체크도 안 함</t>
        </is>
      </c>
    </row>
    <row r="4">
      <c r="J4" s="17" t="inlineStr">
        <is>
          <t>성격 일괄 변경 →</t>
        </is>
      </c>
      <c r="K4" s="18" t="inlineStr">
        <is>
          <t>변경 안 함</t>
        </is>
      </c>
      <c r="L4" s="19">
        <f>IF($K$4="변경 안 함","","← 전체 일괄이 켜져 있어 아래 개별·분류별 선택은 무시됩니다. 지난 선택으로 되돌리려면 '변경 안 함'을 고르세요")</f>
        <v/>
      </c>
    </row>
    <row r="5">
      <c r="A5" s="6" t="inlineStr">
        <is>
          <t>은행</t>
        </is>
      </c>
      <c r="B5" s="6" t="inlineStr">
        <is>
          <t>정기지출명</t>
        </is>
      </c>
      <c r="C5" s="6" t="inlineStr">
        <is>
          <t>분류</t>
        </is>
      </c>
      <c r="D5" s="6" t="inlineStr">
        <is>
          <t>발생개월수</t>
        </is>
      </c>
      <c r="E5" s="6" t="inlineStr">
        <is>
          <t>거래건수</t>
        </is>
      </c>
      <c r="F5" s="6" t="inlineStr">
        <is>
          <t>평균 월지출</t>
        </is>
      </c>
      <c r="G5" s="6" t="inlineStr">
        <is>
          <t>최소 월지출</t>
        </is>
      </c>
      <c r="H5" s="6" t="inlineStr">
        <is>
          <t>최대 월지출</t>
        </is>
      </c>
      <c r="I5" s="6" t="inlineStr">
        <is>
          <t>대표 지급일</t>
        </is>
      </c>
      <c r="J5" s="6" t="inlineStr">
        <is>
          <t>신뢰도</t>
        </is>
      </c>
      <c r="K5" s="6" t="inlineStr">
        <is>
          <t>성격</t>
        </is>
      </c>
      <c r="M5" s="6" t="inlineStr">
        <is>
          <t>분류별 일괄</t>
        </is>
      </c>
      <c r="N5" s="6" t="inlineStr">
        <is>
          <t>적용할 성격</t>
        </is>
      </c>
      <c r="P5" s="6" t="inlineStr">
        <is>
          <t>적용할 성격 안내</t>
        </is>
      </c>
    </row>
    <row r="6">
      <c r="A6" s="12" t="inlineStr">
        <is>
          <t>국민은행</t>
        </is>
      </c>
      <c r="B6" s="12" t="inlineStr">
        <is>
          <t>TOP출금</t>
        </is>
      </c>
      <c r="C6" s="12" t="inlineStr">
        <is>
          <t>급여·인건비(대외비)</t>
        </is>
      </c>
      <c r="D6" s="20" t="n">
        <v>7</v>
      </c>
      <c r="E6" s="20" t="n">
        <v>8</v>
      </c>
      <c r="F6" s="13" t="n">
        <v>66155226.42857143</v>
      </c>
      <c r="G6" s="13" t="n">
        <v>9027818</v>
      </c>
      <c r="H6" s="13" t="n">
        <v>81931610</v>
      </c>
      <c r="I6" s="12" t="inlineStr">
        <is>
          <t>매월 30일 전후</t>
        </is>
      </c>
      <c r="J6" s="12" t="inlineStr">
        <is>
          <t>낮음</t>
        </is>
      </c>
      <c r="K6" s="12">
        <f>IF($K$4="전체 정기","정기",IF($K$4="전체 비정기","비정기",IFERROR(IF(INDEX($N$6:$N$24,MATCH($C6,$M$6:$M$24,0))=INDEX($O$6:$O$24,MATCH($C6,$M$6:$M$24,0)),"정기",INDEX($N$6:$N$24,MATCH($C6,$M$6:$M$24,0))),"정기")))</f>
        <v/>
      </c>
      <c r="M6" s="12" t="inlineStr">
        <is>
          <t>급여·인건비(대외비)</t>
        </is>
      </c>
      <c r="N6" s="15" t="inlineStr">
        <is>
          <t>정기</t>
        </is>
      </c>
      <c r="O6" t="inlineStr">
        <is>
          <t>정기</t>
        </is>
      </c>
      <c r="P6" s="21" t="inlineStr">
        <is>
          <t>N열에는 그 분류의 현재 성격이 보입니다 — 그대로 두면 아무것도 바뀌지 않고, 값을 바꾼 분류만 전체 적용됩니다. '혼합'은 행마다 성격이 다르다는 표시입니다.</t>
        </is>
      </c>
    </row>
    <row r="7">
      <c r="A7" s="12" t="inlineStr">
        <is>
          <t>국민은행</t>
        </is>
      </c>
      <c r="B7" s="12" t="inlineStr">
        <is>
          <t>한화생</t>
        </is>
      </c>
      <c r="C7" s="12" t="inlineStr">
        <is>
          <t>보험료</t>
        </is>
      </c>
      <c r="D7" s="20" t="n">
        <v>6</v>
      </c>
      <c r="E7" s="20" t="n">
        <v>12</v>
      </c>
      <c r="F7" s="13" t="n">
        <v>42006200</v>
      </c>
      <c r="G7" s="13" t="n">
        <v>42006200</v>
      </c>
      <c r="H7" s="13" t="n">
        <v>42006200</v>
      </c>
      <c r="I7" s="12" t="inlineStr">
        <is>
          <t>매월 8일 전후</t>
        </is>
      </c>
      <c r="J7" s="12" t="inlineStr">
        <is>
          <t>중간</t>
        </is>
      </c>
      <c r="K7" s="12">
        <f>IF($K$4="전체 정기","정기",IF($K$4="전체 비정기","비정기",IFERROR(IF(INDEX($N$6:$N$24,MATCH($C7,$M$6:$M$24,0))=INDEX($O$6:$O$24,MATCH($C7,$M$6:$M$24,0)),"정기",INDEX($N$6:$N$24,MATCH($C7,$M$6:$M$24,0))),"정기")))</f>
        <v/>
      </c>
      <c r="M7" s="12" t="inlineStr">
        <is>
          <t>보험료</t>
        </is>
      </c>
      <c r="N7" s="15" t="inlineStr">
        <is>
          <t>정기</t>
        </is>
      </c>
      <c r="O7" t="inlineStr">
        <is>
          <t>정기</t>
        </is>
      </c>
      <c r="P7" s="21" t="inlineStr">
        <is>
          <t>정기 — 매월 도래를 추적해 '정기지출누락' 시트에서 팀 제출 여부를 대조합니다 (2026-09-23부터 금액을 계획에 자동 반영하지 않음 — 계획에는 팀 지출예정 파일 금액만)</t>
        </is>
      </c>
    </row>
    <row r="8">
      <c r="A8" s="12" t="inlineStr">
        <is>
          <t>우리은행</t>
        </is>
      </c>
      <c r="B8" s="12" t="inlineStr">
        <is>
          <t>기업콜마비앤에이치</t>
        </is>
      </c>
      <c r="C8" s="12" t="inlineStr">
        <is>
          <t>외상매입금</t>
        </is>
      </c>
      <c r="D8" s="20" t="n">
        <v>4</v>
      </c>
      <c r="E8" s="20" t="n">
        <v>5</v>
      </c>
      <c r="F8" s="13" t="n">
        <v>36157250</v>
      </c>
      <c r="G8" s="13" t="n">
        <v>15119315</v>
      </c>
      <c r="H8" s="13" t="n">
        <v>73771005</v>
      </c>
      <c r="I8" s="12" t="inlineStr">
        <is>
          <t>매월 28일 전후</t>
        </is>
      </c>
      <c r="J8" s="12" t="inlineStr">
        <is>
          <t>중간</t>
        </is>
      </c>
      <c r="K8" s="12">
        <f>IF($K$4="전체 정기","정기",IF($K$4="전체 비정기","비정기",IFERROR(IF(INDEX($N$6:$N$24,MATCH($C8,$M$6:$M$24,0))=INDEX($O$6:$O$24,MATCH($C8,$M$6:$M$24,0)),"제외",INDEX($N$6:$N$24,MATCH($C8,$M$6:$M$24,0))),"제외")))</f>
        <v/>
      </c>
      <c r="M8" s="12" t="inlineStr">
        <is>
          <t>외상매입금</t>
        </is>
      </c>
      <c r="N8" s="15" t="inlineStr">
        <is>
          <t>제외</t>
        </is>
      </c>
      <c r="O8" t="inlineStr">
        <is>
          <t>제외</t>
        </is>
      </c>
      <c r="P8" s="21" t="inlineStr">
        <is>
          <t>비정기 — 정기와 같이 누락 대조만 하고, 팀 지출예정 파일에 적힌 금액만 자금계획에 반영합니다</t>
        </is>
      </c>
    </row>
    <row r="9">
      <c r="A9" s="12" t="inlineStr">
        <is>
          <t>우리은행</t>
        </is>
      </c>
      <c r="B9" s="12" t="inlineStr">
        <is>
          <t>국민네이버 apha</t>
        </is>
      </c>
      <c r="C9" s="12" t="inlineStr">
        <is>
          <t>광고비</t>
        </is>
      </c>
      <c r="D9" s="20" t="n">
        <v>7</v>
      </c>
      <c r="E9" s="20" t="n">
        <v>99</v>
      </c>
      <c r="F9" s="13" t="n">
        <v>34111000</v>
      </c>
      <c r="G9" s="13" t="n">
        <v>9075000</v>
      </c>
      <c r="H9" s="13" t="n">
        <v>49109500</v>
      </c>
      <c r="I9" s="12" t="inlineStr">
        <is>
          <t>매월 15일 전후</t>
        </is>
      </c>
      <c r="J9" s="12" t="inlineStr">
        <is>
          <t>낮음</t>
        </is>
      </c>
      <c r="K9" s="12">
        <f>IF($K$4="전체 정기","정기",IF($K$4="전체 비정기","비정기",IFERROR(IF(INDEX($N$6:$N$24,MATCH($C9,$M$6:$M$24,0))=INDEX($O$6:$O$24,MATCH($C9,$M$6:$M$24,0)),"비정기",INDEX($N$6:$N$24,MATCH($C9,$M$6:$M$24,0))),"비정기")))</f>
        <v/>
      </c>
      <c r="M9" s="12" t="inlineStr">
        <is>
          <t>광고비</t>
        </is>
      </c>
      <c r="N9" s="15" t="inlineStr">
        <is>
          <t>혼합</t>
        </is>
      </c>
      <c r="O9" t="inlineStr">
        <is>
          <t>혼합</t>
        </is>
      </c>
      <c r="P9" s="21" t="inlineStr">
        <is>
          <t>제외 — 누락 대조도 하지 않습니다 (관리 대상에서 완전 제외)</t>
        </is>
      </c>
    </row>
    <row r="10">
      <c r="A10" s="12" t="inlineStr">
        <is>
          <t>국민은행</t>
        </is>
      </c>
      <c r="B10" s="12" t="inlineStr">
        <is>
          <t>허용</t>
        </is>
      </c>
      <c r="C10" s="12" t="inlineStr">
        <is>
          <t>대표 가지급금</t>
        </is>
      </c>
      <c r="D10" s="20" t="n">
        <v>4</v>
      </c>
      <c r="E10" s="20" t="n">
        <v>5</v>
      </c>
      <c r="F10" s="13" t="n">
        <v>31750000</v>
      </c>
      <c r="G10" s="13" t="n">
        <v>20000000</v>
      </c>
      <c r="H10" s="13" t="n">
        <v>49000000</v>
      </c>
      <c r="I10" s="12" t="inlineStr">
        <is>
          <t>매월 9일 전후</t>
        </is>
      </c>
      <c r="J10" s="12" t="inlineStr">
        <is>
          <t>낮음</t>
        </is>
      </c>
      <c r="K10" s="12">
        <f>IF($K$4="전체 정기","정기",IF($K$4="전체 비정기","비정기",IFERROR(IF(INDEX($N$6:$N$24,MATCH($C10,$M$6:$M$24,0))=INDEX($O$6:$O$24,MATCH($C10,$M$6:$M$24,0)),"제외",INDEX($N$6:$N$24,MATCH($C10,$M$6:$M$24,0))),"제외")))</f>
        <v/>
      </c>
      <c r="M10" s="12" t="inlineStr">
        <is>
          <t>대표 가지급금</t>
        </is>
      </c>
      <c r="N10" s="15" t="inlineStr">
        <is>
          <t>제외</t>
        </is>
      </c>
      <c r="O10" t="inlineStr">
        <is>
          <t>제외</t>
        </is>
      </c>
      <c r="P10" s="21" t="inlineStr">
        <is>
          <t>우선순위 — K4 전체 일괄 &gt; N열 분류별 일괄 &gt; K열 개별 행 (넓은 쪽이 이깁니다)</t>
        </is>
      </c>
    </row>
    <row r="11">
      <c r="A11" s="12" t="inlineStr">
        <is>
          <t>국민은행</t>
        </is>
      </c>
      <c r="B11" s="12" t="inlineStr">
        <is>
          <t>한화스마트</t>
        </is>
      </c>
      <c r="C11" s="12" t="inlineStr">
        <is>
          <t>보험료</t>
        </is>
      </c>
      <c r="D11" s="20" t="n">
        <v>6</v>
      </c>
      <c r="E11" s="20" t="n">
        <v>6</v>
      </c>
      <c r="F11" s="13" t="n">
        <v>30000000</v>
      </c>
      <c r="G11" s="13" t="n">
        <v>30000000</v>
      </c>
      <c r="H11" s="13" t="n">
        <v>30000000</v>
      </c>
      <c r="I11" s="12" t="inlineStr">
        <is>
          <t>매월 4일 전후</t>
        </is>
      </c>
      <c r="J11" s="12" t="inlineStr">
        <is>
          <t>높음</t>
        </is>
      </c>
      <c r="K11" s="12">
        <f>IF($K$4="전체 정기","정기",IF($K$4="전체 비정기","비정기",IFERROR(IF(INDEX($N$6:$N$24,MATCH($C11,$M$6:$M$24,0))=INDEX($O$6:$O$24,MATCH($C11,$M$6:$M$24,0)),"정기",INDEX($N$6:$N$24,MATCH($C11,$M$6:$M$24,0))),"정기")))</f>
        <v/>
      </c>
      <c r="M11" s="12" t="inlineStr">
        <is>
          <t>우리카드 결제</t>
        </is>
      </c>
      <c r="N11" s="15" t="inlineStr">
        <is>
          <t>정기</t>
        </is>
      </c>
      <c r="O11" t="inlineStr">
        <is>
          <t>정기</t>
        </is>
      </c>
    </row>
    <row r="12">
      <c r="A12" s="12" t="inlineStr">
        <is>
          <t>우리은행</t>
        </is>
      </c>
      <c r="B12" s="12" t="inlineStr">
        <is>
          <t>신한주노바렉스</t>
        </is>
      </c>
      <c r="C12" s="12" t="inlineStr">
        <is>
          <t>외상매입금</t>
        </is>
      </c>
      <c r="D12" s="20" t="n">
        <v>4</v>
      </c>
      <c r="E12" s="20" t="n">
        <v>5</v>
      </c>
      <c r="F12" s="13" t="n">
        <v>26655209.5</v>
      </c>
      <c r="G12" s="13" t="n">
        <v>19409038</v>
      </c>
      <c r="H12" s="13" t="n">
        <v>40000000</v>
      </c>
      <c r="I12" s="12" t="inlineStr">
        <is>
          <t>매월 14일 전후</t>
        </is>
      </c>
      <c r="J12" s="12" t="inlineStr">
        <is>
          <t>낮음</t>
        </is>
      </c>
      <c r="K12" s="12">
        <f>IF($K$4="전체 정기","정기",IF($K$4="전체 비정기","비정기",IFERROR(IF(INDEX($N$6:$N$24,MATCH($C12,$M$6:$M$24,0))=INDEX($O$6:$O$24,MATCH($C12,$M$6:$M$24,0)),"제외",INDEX($N$6:$N$24,MATCH($C12,$M$6:$M$24,0))),"제외")))</f>
        <v/>
      </c>
      <c r="M12" s="12" t="inlineStr">
        <is>
          <t>원천세·국세</t>
        </is>
      </c>
      <c r="N12" s="15" t="inlineStr">
        <is>
          <t>정기</t>
        </is>
      </c>
      <c r="O12" t="inlineStr">
        <is>
          <t>정기</t>
        </is>
      </c>
    </row>
    <row r="13">
      <c r="A13" s="12" t="inlineStr">
        <is>
          <t>우리은행</t>
        </is>
      </c>
      <c r="B13" s="12" t="inlineStr">
        <is>
          <t>우리카드결제대금</t>
        </is>
      </c>
      <c r="C13" s="12" t="inlineStr">
        <is>
          <t>우리카드 결제</t>
        </is>
      </c>
      <c r="D13" s="20" t="n">
        <v>6</v>
      </c>
      <c r="E13" s="20" t="n">
        <v>9</v>
      </c>
      <c r="F13" s="13" t="n">
        <v>24662751</v>
      </c>
      <c r="G13" s="13" t="n">
        <v>19411589</v>
      </c>
      <c r="H13" s="13" t="n">
        <v>29671488</v>
      </c>
      <c r="I13" s="12" t="inlineStr">
        <is>
          <t>매월 23일 전후</t>
        </is>
      </c>
      <c r="J13" s="12" t="inlineStr">
        <is>
          <t>높음</t>
        </is>
      </c>
      <c r="K13" s="12">
        <f>IF($K$4="전체 정기","정기",IF($K$4="전체 비정기","비정기",IFERROR(IF(INDEX($N$6:$N$24,MATCH($C13,$M$6:$M$24,0))=INDEX($O$6:$O$24,MATCH($C13,$M$6:$M$24,0)),"정기",INDEX($N$6:$N$24,MATCH($C13,$M$6:$M$24,0))),"정기")))</f>
        <v/>
      </c>
      <c r="M13" s="12" t="inlineStr">
        <is>
          <t>4대보험</t>
        </is>
      </c>
      <c r="N13" s="15" t="inlineStr">
        <is>
          <t>정기</t>
        </is>
      </c>
      <c r="O13" t="inlineStr">
        <is>
          <t>정기</t>
        </is>
      </c>
    </row>
    <row r="14">
      <c r="A14" s="12" t="inlineStr">
        <is>
          <t>우리은행</t>
        </is>
      </c>
      <c r="B14" s="12" t="inlineStr">
        <is>
          <t>국고_주식회사</t>
        </is>
      </c>
      <c r="C14" s="12" t="inlineStr">
        <is>
          <t>원천세·국세</t>
        </is>
      </c>
      <c r="D14" s="20" t="n">
        <v>6</v>
      </c>
      <c r="E14" s="20" t="n">
        <v>15</v>
      </c>
      <c r="F14" s="13" t="n">
        <v>16964733.33333333</v>
      </c>
      <c r="G14" s="13" t="n">
        <v>4267600</v>
      </c>
      <c r="H14" s="13" t="n">
        <v>38595390</v>
      </c>
      <c r="I14" s="12" t="inlineStr">
        <is>
          <t>매월 10일 전후</t>
        </is>
      </c>
      <c r="J14" s="12" t="inlineStr">
        <is>
          <t>낮음</t>
        </is>
      </c>
      <c r="K14" s="12">
        <f>IF($K$4="전체 정기","정기",IF($K$4="전체 비정기","비정기",IFERROR(IF(INDEX($N$6:$N$24,MATCH($C14,$M$6:$M$24,0))=INDEX($O$6:$O$24,MATCH($C14,$M$6:$M$24,0)),"정기",INDEX($N$6:$N$24,MATCH($C14,$M$6:$M$24,0))),"정기")))</f>
        <v/>
      </c>
      <c r="M14" s="12" t="inlineStr">
        <is>
          <t>운반비</t>
        </is>
      </c>
      <c r="N14" s="15" t="inlineStr">
        <is>
          <t>비정기</t>
        </is>
      </c>
      <c r="O14" t="inlineStr">
        <is>
          <t>비정기</t>
        </is>
      </c>
    </row>
    <row r="15">
      <c r="A15" s="12" t="inlineStr">
        <is>
          <t>우리은행</t>
        </is>
      </c>
      <c r="B15" s="12" t="inlineStr">
        <is>
          <t>사회보험</t>
        </is>
      </c>
      <c r="C15" s="12" t="inlineStr">
        <is>
          <t>4대보험</t>
        </is>
      </c>
      <c r="D15" s="20" t="n">
        <v>6</v>
      </c>
      <c r="E15" s="20" t="n">
        <v>6</v>
      </c>
      <c r="F15" s="13" t="n">
        <v>16413166.66666667</v>
      </c>
      <c r="G15" s="13" t="n">
        <v>13186330</v>
      </c>
      <c r="H15" s="13" t="n">
        <v>21278390</v>
      </c>
      <c r="I15" s="12" t="inlineStr">
        <is>
          <t>매월 10일 전후</t>
        </is>
      </c>
      <c r="J15" s="12" t="inlineStr">
        <is>
          <t>높음</t>
        </is>
      </c>
      <c r="K15" s="12">
        <f>IF($K$4="전체 정기","정기",IF($K$4="전체 비정기","비정기",IFERROR(IF(INDEX($N$6:$N$24,MATCH($C15,$M$6:$M$24,0))=INDEX($O$6:$O$24,MATCH($C15,$M$6:$M$24,0)),"정기",INDEX($N$6:$N$24,MATCH($C15,$M$6:$M$24,0))),"정기")))</f>
        <v/>
      </c>
      <c r="M15" s="12" t="inlineStr">
        <is>
          <t>퇴직급여</t>
        </is>
      </c>
      <c r="N15" s="15" t="inlineStr">
        <is>
          <t>정기</t>
        </is>
      </c>
      <c r="O15" t="inlineStr">
        <is>
          <t>정기</t>
        </is>
      </c>
    </row>
    <row r="16">
      <c r="A16" s="12" t="inlineStr">
        <is>
          <t>우리은행</t>
        </is>
      </c>
      <c r="B16" s="12" t="inlineStr">
        <is>
          <t>신한고은미이룸파트</t>
        </is>
      </c>
      <c r="C16" s="12" t="inlineStr">
        <is>
          <t>광고비</t>
        </is>
      </c>
      <c r="D16" s="20" t="n">
        <v>6</v>
      </c>
      <c r="E16" s="20" t="n">
        <v>6</v>
      </c>
      <c r="F16" s="13" t="n">
        <v>15936433.33333333</v>
      </c>
      <c r="G16" s="13" t="n">
        <v>11953700</v>
      </c>
      <c r="H16" s="13" t="n">
        <v>22391600</v>
      </c>
      <c r="I16" s="12" t="inlineStr">
        <is>
          <t>매월 10일 전후</t>
        </is>
      </c>
      <c r="J16" s="12" t="inlineStr">
        <is>
          <t>중간</t>
        </is>
      </c>
      <c r="K16" s="12">
        <f>IF($K$4="전체 정기","정기",IF($K$4="전체 비정기","비정기",IFERROR(IF(INDEX($N$6:$N$24,MATCH($C16,$M$6:$M$24,0))=INDEX($O$6:$O$24,MATCH($C16,$M$6:$M$24,0)),"제외",INDEX($N$6:$N$24,MATCH($C16,$M$6:$M$24,0))),"제외")))</f>
        <v/>
      </c>
      <c r="M16" s="12" t="inlineStr">
        <is>
          <t>자계자 이체</t>
        </is>
      </c>
      <c r="N16" s="15" t="inlineStr">
        <is>
          <t>비정기</t>
        </is>
      </c>
      <c r="O16" t="inlineStr">
        <is>
          <t>비정기</t>
        </is>
      </c>
    </row>
    <row r="17">
      <c r="A17" s="12" t="inlineStr">
        <is>
          <t>우리은행</t>
        </is>
      </c>
      <c r="B17" s="12" t="inlineStr">
        <is>
          <t>한진주식회사</t>
        </is>
      </c>
      <c r="C17" s="12" t="inlineStr">
        <is>
          <t>운반비</t>
        </is>
      </c>
      <c r="D17" s="20" t="n">
        <v>6</v>
      </c>
      <c r="E17" s="20" t="n">
        <v>6</v>
      </c>
      <c r="F17" s="13" t="n">
        <v>10790260</v>
      </c>
      <c r="G17" s="13" t="n">
        <v>10060810</v>
      </c>
      <c r="H17" s="13" t="n">
        <v>11946900</v>
      </c>
      <c r="I17" s="12" t="inlineStr">
        <is>
          <t>매월 30일 전후</t>
        </is>
      </c>
      <c r="J17" s="12" t="inlineStr">
        <is>
          <t>높음</t>
        </is>
      </c>
      <c r="K17" s="12">
        <f>IF($K$4="전체 정기","정기",IF($K$4="전체 비정기","비정기",IFERROR(IF(INDEX($N$6:$N$24,MATCH($C17,$M$6:$M$24,0))=INDEX($O$6:$O$24,MATCH($C17,$M$6:$M$24,0)),"비정기",INDEX($N$6:$N$24,MATCH($C17,$M$6:$M$24,0))),"비정기")))</f>
        <v/>
      </c>
      <c r="M17" s="12" t="inlineStr">
        <is>
          <t>법인카드(농협)</t>
        </is>
      </c>
      <c r="N17" s="15" t="inlineStr">
        <is>
          <t>정기</t>
        </is>
      </c>
      <c r="O17" t="inlineStr">
        <is>
          <t>정기</t>
        </is>
      </c>
    </row>
    <row r="18">
      <c r="A18" s="12" t="inlineStr">
        <is>
          <t>우리은행</t>
        </is>
      </c>
      <c r="B18" s="12" t="inlineStr">
        <is>
          <t>국민주식회사 아이디</t>
        </is>
      </c>
      <c r="C18" s="12" t="inlineStr">
        <is>
          <t>광고비</t>
        </is>
      </c>
      <c r="D18" s="20" t="n">
        <v>4</v>
      </c>
      <c r="E18" s="20" t="n">
        <v>6</v>
      </c>
      <c r="F18" s="13" t="n">
        <v>9157500</v>
      </c>
      <c r="G18" s="13" t="n">
        <v>3630000</v>
      </c>
      <c r="H18" s="13" t="n">
        <v>11000000</v>
      </c>
      <c r="I18" s="12" t="inlineStr">
        <is>
          <t>매월 9일 전후</t>
        </is>
      </c>
      <c r="J18" s="12" t="inlineStr">
        <is>
          <t>낮음</t>
        </is>
      </c>
      <c r="K18" s="12">
        <f>IF($K$4="전체 정기","정기",IF($K$4="전체 비정기","비정기",IFERROR(IF(INDEX($N$6:$N$24,MATCH($C18,$M$6:$M$24,0))=INDEX($O$6:$O$24,MATCH($C18,$M$6:$M$24,0)),"제외",INDEX($N$6:$N$24,MATCH($C18,$M$6:$M$24,0))),"제외")))</f>
        <v/>
      </c>
      <c r="M18" s="12" t="inlineStr">
        <is>
          <t>지급수수료</t>
        </is>
      </c>
      <c r="N18" s="15" t="inlineStr">
        <is>
          <t>제외</t>
        </is>
      </c>
      <c r="O18" t="inlineStr">
        <is>
          <t>제외</t>
        </is>
      </c>
    </row>
    <row r="19">
      <c r="A19" s="12" t="inlineStr">
        <is>
          <t>국민은행</t>
        </is>
      </c>
      <c r="B19" s="12" t="inlineStr">
        <is>
          <t>삼성건</t>
        </is>
      </c>
      <c r="C19" s="12" t="inlineStr">
        <is>
          <t>보험료</t>
        </is>
      </c>
      <c r="D19" s="20" t="n">
        <v>6</v>
      </c>
      <c r="E19" s="20" t="n">
        <v>12</v>
      </c>
      <c r="F19" s="13" t="n">
        <v>9029190</v>
      </c>
      <c r="G19" s="13" t="n">
        <v>9029190</v>
      </c>
      <c r="H19" s="13" t="n">
        <v>9029190</v>
      </c>
      <c r="I19" s="12" t="inlineStr">
        <is>
          <t>매월 11일 전후</t>
        </is>
      </c>
      <c r="J19" s="12" t="inlineStr">
        <is>
          <t>낮음</t>
        </is>
      </c>
      <c r="K19" s="12">
        <f>IF($K$4="전체 정기","정기",IF($K$4="전체 비정기","비정기",IFERROR(IF(INDEX($N$6:$N$24,MATCH($C19,$M$6:$M$24,0))=INDEX($O$6:$O$24,MATCH($C19,$M$6:$M$24,0)),"정기",INDEX($N$6:$N$24,MATCH($C19,$M$6:$M$24,0))),"정기")))</f>
        <v/>
      </c>
      <c r="M19" s="12" t="inlineStr">
        <is>
          <t>식대</t>
        </is>
      </c>
      <c r="N19" s="15" t="inlineStr">
        <is>
          <t>비정기</t>
        </is>
      </c>
      <c r="O19" t="inlineStr">
        <is>
          <t>비정기</t>
        </is>
      </c>
    </row>
    <row r="20">
      <c r="A20" s="12" t="inlineStr">
        <is>
          <t>국민은행</t>
        </is>
      </c>
      <c r="B20" s="12" t="inlineStr">
        <is>
          <t>퇴직예약출금</t>
        </is>
      </c>
      <c r="C20" s="12" t="inlineStr">
        <is>
          <t>퇴직급여</t>
        </is>
      </c>
      <c r="D20" s="20" t="n">
        <v>4</v>
      </c>
      <c r="E20" s="20" t="n">
        <v>5</v>
      </c>
      <c r="F20" s="13" t="n">
        <v>8156420</v>
      </c>
      <c r="G20" s="13" t="n">
        <v>5982620</v>
      </c>
      <c r="H20" s="13" t="n">
        <v>13325600</v>
      </c>
      <c r="I20" s="12" t="inlineStr">
        <is>
          <t>매월 30일 전후</t>
        </is>
      </c>
      <c r="J20" s="12" t="inlineStr">
        <is>
          <t>낮음</t>
        </is>
      </c>
      <c r="K20" s="12">
        <f>IF($K$4="전체 정기","정기",IF($K$4="전체 비정기","비정기",IFERROR(IF(INDEX($N$6:$N$24,MATCH($C20,$M$6:$M$24,0))=INDEX($O$6:$O$24,MATCH($C20,$M$6:$M$24,0)),"정기",INDEX($N$6:$N$24,MATCH($C20,$M$6:$M$24,0))),"정기")))</f>
        <v/>
      </c>
      <c r="M20" s="12" t="inlineStr">
        <is>
          <t>임차료</t>
        </is>
      </c>
      <c r="N20" s="15" t="inlineStr">
        <is>
          <t>비정기</t>
        </is>
      </c>
      <c r="O20" t="inlineStr">
        <is>
          <t>비정기</t>
        </is>
      </c>
    </row>
    <row r="21">
      <c r="A21" s="12" t="inlineStr">
        <is>
          <t>농협</t>
        </is>
      </c>
      <c r="B21" s="12" t="inlineStr">
        <is>
          <t>주식회사에이팜건강</t>
        </is>
      </c>
      <c r="C21" s="12" t="inlineStr">
        <is>
          <t>자계자 이체</t>
        </is>
      </c>
      <c r="D21" s="20" t="n">
        <v>7</v>
      </c>
      <c r="E21" s="20" t="n">
        <v>10</v>
      </c>
      <c r="F21" s="13" t="n">
        <v>8026057.142857143</v>
      </c>
      <c r="G21" s="13" t="n">
        <v>2251199</v>
      </c>
      <c r="H21" s="13" t="n">
        <v>13491445</v>
      </c>
      <c r="I21" s="12" t="inlineStr">
        <is>
          <t>매월 12일 전후</t>
        </is>
      </c>
      <c r="J21" s="12" t="inlineStr">
        <is>
          <t>낮음</t>
        </is>
      </c>
      <c r="K21" s="12">
        <f>IF($K$4="전체 정기","정기",IF($K$4="전체 비정기","비정기",IFERROR(IF(INDEX($N$6:$N$24,MATCH($C21,$M$6:$M$24,0))=INDEX($O$6:$O$24,MATCH($C21,$M$6:$M$24,0)),"비정기",INDEX($N$6:$N$24,MATCH($C21,$M$6:$M$24,0))),"비정기")))</f>
        <v/>
      </c>
      <c r="M21" s="12" t="inlineStr">
        <is>
          <t>관리비</t>
        </is>
      </c>
      <c r="N21" s="15" t="inlineStr">
        <is>
          <t>비정기</t>
        </is>
      </c>
      <c r="O21" t="inlineStr">
        <is>
          <t>비정기</t>
        </is>
      </c>
    </row>
    <row r="22">
      <c r="A22" s="12" t="inlineStr">
        <is>
          <t>국민은행</t>
        </is>
      </c>
      <c r="B22" s="12" t="inlineStr">
        <is>
          <t>METLIFE</t>
        </is>
      </c>
      <c r="C22" s="12" t="inlineStr">
        <is>
          <t>보험료</t>
        </is>
      </c>
      <c r="D22" s="20" t="n">
        <v>6</v>
      </c>
      <c r="E22" s="20" t="n">
        <v>12</v>
      </c>
      <c r="F22" s="13" t="n">
        <v>7963841.666666667</v>
      </c>
      <c r="G22" s="13" t="n">
        <v>7399410</v>
      </c>
      <c r="H22" s="13" t="n">
        <v>9591800</v>
      </c>
      <c r="I22" s="12" t="inlineStr">
        <is>
          <t>매월 21일 전후</t>
        </is>
      </c>
      <c r="J22" s="12" t="inlineStr">
        <is>
          <t>중간</t>
        </is>
      </c>
      <c r="K22" s="12">
        <f>IF($K$4="전체 정기","정기",IF($K$4="전체 비정기","비정기",IFERROR(IF(INDEX($N$6:$N$24,MATCH($C22,$M$6:$M$24,0))=INDEX($O$6:$O$24,MATCH($C22,$M$6:$M$24,0)),"정기",INDEX($N$6:$N$24,MATCH($C22,$M$6:$M$24,0))),"정기")))</f>
        <v/>
      </c>
      <c r="M22" s="12" t="inlineStr">
        <is>
          <t>통신비</t>
        </is>
      </c>
      <c r="N22" s="15" t="inlineStr">
        <is>
          <t>정기</t>
        </is>
      </c>
      <c r="O22" t="inlineStr">
        <is>
          <t>정기</t>
        </is>
      </c>
    </row>
    <row r="23">
      <c r="A23" s="12" t="inlineStr">
        <is>
          <t>우리은행</t>
        </is>
      </c>
      <c r="B23" s="12" t="inlineStr">
        <is>
          <t>국민네이버 에이팜건</t>
        </is>
      </c>
      <c r="C23" s="12" t="inlineStr">
        <is>
          <t>광고비</t>
        </is>
      </c>
      <c r="D23" s="20" t="n">
        <v>7</v>
      </c>
      <c r="E23" s="20" t="n">
        <v>93</v>
      </c>
      <c r="F23" s="13" t="n">
        <v>6924138.571428572</v>
      </c>
      <c r="G23" s="13" t="n">
        <v>1045000</v>
      </c>
      <c r="H23" s="13" t="n">
        <v>10472000</v>
      </c>
      <c r="I23" s="12" t="inlineStr">
        <is>
          <t>매월 16일 전후</t>
        </is>
      </c>
      <c r="J23" s="12" t="inlineStr">
        <is>
          <t>낮음</t>
        </is>
      </c>
      <c r="K23" s="12">
        <f>IF($K$4="전체 정기","정기",IF($K$4="전체 비정기","비정기",IFERROR(IF(INDEX($N$6:$N$24,MATCH($C23,$M$6:$M$24,0))=INDEX($O$6:$O$24,MATCH($C23,$M$6:$M$24,0)),"비정기",INDEX($N$6:$N$24,MATCH($C23,$M$6:$M$24,0))),"비정기")))</f>
        <v/>
      </c>
      <c r="M23" s="12" t="inlineStr">
        <is>
          <t>국민카드 결제</t>
        </is>
      </c>
      <c r="N23" s="15" t="inlineStr">
        <is>
          <t>정기</t>
        </is>
      </c>
      <c r="O23" t="inlineStr">
        <is>
          <t>정기</t>
        </is>
      </c>
    </row>
    <row r="24">
      <c r="A24" s="12" t="inlineStr">
        <is>
          <t>농협</t>
        </is>
      </c>
      <c r="B24" s="12" t="inlineStr">
        <is>
          <t>NH기업카드</t>
        </is>
      </c>
      <c r="C24" s="12" t="inlineStr">
        <is>
          <t>법인카드(농협)</t>
        </is>
      </c>
      <c r="D24" s="20" t="n">
        <v>6</v>
      </c>
      <c r="E24" s="20" t="n">
        <v>8</v>
      </c>
      <c r="F24" s="13" t="n">
        <v>5453441.833333333</v>
      </c>
      <c r="G24" s="13" t="n">
        <v>2311495</v>
      </c>
      <c r="H24" s="13" t="n">
        <v>10777166</v>
      </c>
      <c r="I24" s="12" t="inlineStr">
        <is>
          <t>매월 23일 전후</t>
        </is>
      </c>
      <c r="J24" s="12" t="inlineStr">
        <is>
          <t>높음</t>
        </is>
      </c>
      <c r="K24" s="12">
        <f>IF($K$4="전체 정기","정기",IF($K$4="전체 비정기","비정기",IFERROR(IF(INDEX($N$6:$N$24,MATCH($C24,$M$6:$M$24,0))=INDEX($O$6:$O$24,MATCH($C24,$M$6:$M$24,0)),"정기",INDEX($N$6:$N$24,MATCH($C24,$M$6:$M$24,0))),"정기")))</f>
        <v/>
      </c>
      <c r="M24" s="12" t="inlineStr">
        <is>
          <t>기부금</t>
        </is>
      </c>
      <c r="N24" s="15" t="inlineStr">
        <is>
          <t>제외</t>
        </is>
      </c>
      <c r="O24" t="inlineStr">
        <is>
          <t>제외</t>
        </is>
      </c>
    </row>
    <row r="25">
      <c r="A25" s="12" t="inlineStr">
        <is>
          <t>국민은행</t>
        </is>
      </c>
      <c r="B25" s="12" t="inlineStr">
        <is>
          <t>ABL생명</t>
        </is>
      </c>
      <c r="C25" s="12" t="inlineStr">
        <is>
          <t>보험료</t>
        </is>
      </c>
      <c r="D25" s="20" t="n">
        <v>6</v>
      </c>
      <c r="E25" s="20" t="n">
        <v>6</v>
      </c>
      <c r="F25" s="13" t="n">
        <v>5001750</v>
      </c>
      <c r="G25" s="13" t="n">
        <v>5001750</v>
      </c>
      <c r="H25" s="13" t="n">
        <v>5001750</v>
      </c>
      <c r="I25" s="12" t="inlineStr">
        <is>
          <t>매월 15일 전후</t>
        </is>
      </c>
      <c r="J25" s="12" t="inlineStr">
        <is>
          <t>높음</t>
        </is>
      </c>
      <c r="K25" s="12">
        <f>IF($K$4="전체 정기","정기",IF($K$4="전체 비정기","비정기",IFERROR(IF(INDEX($N$6:$N$24,MATCH($C25,$M$6:$M$24,0))=INDEX($O$6:$O$24,MATCH($C25,$M$6:$M$24,0)),"정기",INDEX($N$6:$N$24,MATCH($C25,$M$6:$M$24,0))),"정기")))</f>
        <v/>
      </c>
    </row>
    <row r="26">
      <c r="A26" s="12" t="inlineStr">
        <is>
          <t>국민은행</t>
        </is>
      </c>
      <c r="B26" s="12" t="inlineStr">
        <is>
          <t>미래</t>
        </is>
      </c>
      <c r="C26" s="12" t="inlineStr">
        <is>
          <t>보험료</t>
        </is>
      </c>
      <c r="D26" s="20" t="n">
        <v>6</v>
      </c>
      <c r="E26" s="20" t="n">
        <v>6</v>
      </c>
      <c r="F26" s="13" t="n">
        <v>4494000</v>
      </c>
      <c r="G26" s="13" t="n">
        <v>4494000</v>
      </c>
      <c r="H26" s="13" t="n">
        <v>4494000</v>
      </c>
      <c r="I26" s="12" t="inlineStr">
        <is>
          <t>매월 6일 전후</t>
        </is>
      </c>
      <c r="J26" s="12" t="inlineStr">
        <is>
          <t>높음</t>
        </is>
      </c>
      <c r="K26" s="12">
        <f>IF($K$4="전체 정기","정기",IF($K$4="전체 비정기","비정기",IFERROR(IF(INDEX($N$6:$N$24,MATCH($C26,$M$6:$M$24,0))=INDEX($O$6:$O$24,MATCH($C26,$M$6:$M$24,0)),"정기",INDEX($N$6:$N$24,MATCH($C26,$M$6:$M$24,0))),"정기")))</f>
        <v/>
      </c>
    </row>
    <row r="27">
      <c r="A27" s="12" t="inlineStr">
        <is>
          <t>우리은행</t>
        </is>
      </c>
      <c r="B27" s="12" t="inlineStr">
        <is>
          <t>주카카오</t>
        </is>
      </c>
      <c r="C27" s="12" t="inlineStr">
        <is>
          <t>광고비</t>
        </is>
      </c>
      <c r="D27" s="20" t="n">
        <v>7</v>
      </c>
      <c r="E27" s="20" t="n">
        <v>20</v>
      </c>
      <c r="F27" s="13" t="n">
        <v>3614285.714285714</v>
      </c>
      <c r="G27" s="13" t="n">
        <v>1000000</v>
      </c>
      <c r="H27" s="13" t="n">
        <v>6000000</v>
      </c>
      <c r="I27" s="12" t="inlineStr">
        <is>
          <t>매월 14일 전후</t>
        </is>
      </c>
      <c r="J27" s="12" t="inlineStr">
        <is>
          <t>낮음</t>
        </is>
      </c>
      <c r="K27" s="12">
        <f>IF($K$4="전체 정기","정기",IF($K$4="전체 비정기","비정기",IFERROR(IF(INDEX($N$6:$N$24,MATCH($C27,$M$6:$M$24,0))=INDEX($O$6:$O$24,MATCH($C27,$M$6:$M$24,0)),"제외",INDEX($N$6:$N$24,MATCH($C27,$M$6:$M$24,0))),"제외")))</f>
        <v/>
      </c>
    </row>
    <row r="28">
      <c r="A28" s="12" t="inlineStr">
        <is>
          <t>국민은행</t>
        </is>
      </c>
      <c r="B28" s="12" t="inlineStr">
        <is>
          <t>KB</t>
        </is>
      </c>
      <c r="C28" s="12" t="inlineStr">
        <is>
          <t>광고비</t>
        </is>
      </c>
      <c r="D28" s="20" t="n">
        <v>6</v>
      </c>
      <c r="E28" s="20" t="n">
        <v>6</v>
      </c>
      <c r="F28" s="13" t="n">
        <v>2952746.666666667</v>
      </c>
      <c r="G28" s="13" t="n">
        <v>2797570</v>
      </c>
      <c r="H28" s="13" t="n">
        <v>3688630</v>
      </c>
      <c r="I28" s="12" t="inlineStr">
        <is>
          <t>매월 1일 전후</t>
        </is>
      </c>
      <c r="J28" s="12" t="inlineStr">
        <is>
          <t>높음</t>
        </is>
      </c>
      <c r="K28" s="12">
        <f>IF($K$4="전체 정기","정기",IF($K$4="전체 비정기","비정기",IFERROR(IF(INDEX($N$6:$N$24,MATCH($C28,$M$6:$M$24,0))=INDEX($O$6:$O$24,MATCH($C28,$M$6:$M$24,0)),"제외",INDEX($N$6:$N$24,MATCH($C28,$M$6:$M$24,0))),"제외")))</f>
        <v/>
      </c>
    </row>
    <row r="29">
      <c r="A29" s="12" t="inlineStr">
        <is>
          <t>우리은행</t>
        </is>
      </c>
      <c r="B29" s="12" t="inlineStr">
        <is>
          <t>신한대구달서구주식</t>
        </is>
      </c>
      <c r="C29" s="12" t="inlineStr">
        <is>
          <t>광고비</t>
        </is>
      </c>
      <c r="D29" s="20" t="n">
        <v>6</v>
      </c>
      <c r="E29" s="20" t="n">
        <v>8</v>
      </c>
      <c r="F29" s="13" t="n">
        <v>2659286.666666667</v>
      </c>
      <c r="G29" s="13" t="n">
        <v>426700</v>
      </c>
      <c r="H29" s="13" t="n">
        <v>5539200</v>
      </c>
      <c r="I29" s="12" t="inlineStr">
        <is>
          <t>매월 10일 전후</t>
        </is>
      </c>
      <c r="J29" s="12" t="inlineStr">
        <is>
          <t>낮음</t>
        </is>
      </c>
      <c r="K29" s="12">
        <f>IF($K$4="전체 정기","정기",IF($K$4="전체 비정기","비정기",IFERROR(IF(INDEX($N$6:$N$24,MATCH($C29,$M$6:$M$24,0))=INDEX($O$6:$O$24,MATCH($C29,$M$6:$M$24,0)),"제외",INDEX($N$6:$N$24,MATCH($C29,$M$6:$M$24,0))),"제외")))</f>
        <v/>
      </c>
    </row>
    <row r="30">
      <c r="A30" s="12" t="inlineStr">
        <is>
          <t>우리은행</t>
        </is>
      </c>
      <c r="B30" s="12" t="inlineStr">
        <is>
          <t>국민비즈월렛_쁘띠앤</t>
        </is>
      </c>
      <c r="C30" s="12" t="inlineStr">
        <is>
          <t>광고비</t>
        </is>
      </c>
      <c r="D30" s="20" t="n">
        <v>7</v>
      </c>
      <c r="E30" s="20" t="n">
        <v>36</v>
      </c>
      <c r="F30" s="13" t="n">
        <v>2332234.428571429</v>
      </c>
      <c r="G30" s="13" t="n">
        <v>801435</v>
      </c>
      <c r="H30" s="13" t="n">
        <v>3422015</v>
      </c>
      <c r="I30" s="12" t="inlineStr">
        <is>
          <t>매월 19일 전후</t>
        </is>
      </c>
      <c r="J30" s="12" t="inlineStr">
        <is>
          <t>낮음</t>
        </is>
      </c>
      <c r="K30" s="12">
        <f>IF($K$4="전체 정기","정기",IF($K$4="전체 비정기","비정기",IFERROR(IF(INDEX($N$6:$N$24,MATCH($C30,$M$6:$M$24,0))=INDEX($O$6:$O$24,MATCH($C30,$M$6:$M$24,0)),"제외",INDEX($N$6:$N$24,MATCH($C30,$M$6:$M$24,0))),"제외")))</f>
        <v/>
      </c>
    </row>
    <row r="31">
      <c r="A31" s="12" t="inlineStr">
        <is>
          <t>우리은행</t>
        </is>
      </c>
      <c r="B31" s="12" t="inlineStr">
        <is>
          <t>기업특허법인 다옴</t>
        </is>
      </c>
      <c r="C31" s="12" t="inlineStr">
        <is>
          <t>지급수수료</t>
        </is>
      </c>
      <c r="D31" s="20" t="n">
        <v>4</v>
      </c>
      <c r="E31" s="20" t="n">
        <v>8</v>
      </c>
      <c r="F31" s="13" t="n">
        <v>2265209.25</v>
      </c>
      <c r="G31" s="13" t="n">
        <v>860000</v>
      </c>
      <c r="H31" s="13" t="n">
        <v>4836318</v>
      </c>
      <c r="I31" s="12" t="inlineStr">
        <is>
          <t>매월 15일 전후</t>
        </is>
      </c>
      <c r="J31" s="12" t="inlineStr">
        <is>
          <t>낮음</t>
        </is>
      </c>
      <c r="K31" s="12">
        <f>IF($K$4="전체 정기","정기",IF($K$4="전체 비정기","비정기",IFERROR(IF(INDEX($N$6:$N$24,MATCH($C31,$M$6:$M$24,0))=INDEX($O$6:$O$24,MATCH($C31,$M$6:$M$24,0)),"제외",INDEX($N$6:$N$24,MATCH($C31,$M$6:$M$24,0))),"제외")))</f>
        <v/>
      </c>
    </row>
    <row r="32">
      <c r="A32" s="12" t="inlineStr">
        <is>
          <t>우리은행</t>
        </is>
      </c>
      <c r="B32" s="12" t="inlineStr">
        <is>
          <t>하나임정아</t>
        </is>
      </c>
      <c r="C32" s="12" t="inlineStr">
        <is>
          <t>식대</t>
        </is>
      </c>
      <c r="D32" s="20" t="n">
        <v>4</v>
      </c>
      <c r="E32" s="20" t="n">
        <v>4</v>
      </c>
      <c r="F32" s="13" t="n">
        <v>1725000</v>
      </c>
      <c r="G32" s="13" t="n">
        <v>1626000</v>
      </c>
      <c r="H32" s="13" t="n">
        <v>1836000</v>
      </c>
      <c r="I32" s="12" t="inlineStr">
        <is>
          <t>매월 13일 전후</t>
        </is>
      </c>
      <c r="J32" s="12" t="inlineStr">
        <is>
          <t>중간</t>
        </is>
      </c>
      <c r="K32" s="12">
        <f>IF($K$4="전체 정기","정기",IF($K$4="전체 비정기","비정기",IFERROR(IF(INDEX($N$6:$N$24,MATCH($C32,$M$6:$M$24,0))=INDEX($O$6:$O$24,MATCH($C32,$M$6:$M$24,0)),"비정기",INDEX($N$6:$N$24,MATCH($C32,$M$6:$M$24,0))),"비정기")))</f>
        <v/>
      </c>
    </row>
    <row r="33">
      <c r="A33" s="12" t="inlineStr">
        <is>
          <t>우리은행</t>
        </is>
      </c>
      <c r="B33" s="12" t="inlineStr">
        <is>
          <t>농협한혜선</t>
        </is>
      </c>
      <c r="C33" s="12" t="inlineStr">
        <is>
          <t>임차료</t>
        </is>
      </c>
      <c r="D33" s="20" t="n">
        <v>5</v>
      </c>
      <c r="E33" s="20" t="n">
        <v>5</v>
      </c>
      <c r="F33" s="13" t="n">
        <v>1650000</v>
      </c>
      <c r="G33" s="13" t="n">
        <v>1650000</v>
      </c>
      <c r="H33" s="13" t="n">
        <v>1650000</v>
      </c>
      <c r="I33" s="12" t="inlineStr">
        <is>
          <t>매월 27일 전후</t>
        </is>
      </c>
      <c r="J33" s="12" t="inlineStr">
        <is>
          <t>중간</t>
        </is>
      </c>
      <c r="K33" s="12">
        <f>IF($K$4="전체 정기","정기",IF($K$4="전체 비정기","비정기",IFERROR(IF(INDEX($N$6:$N$24,MATCH($C33,$M$6:$M$24,0))=INDEX($O$6:$O$24,MATCH($C33,$M$6:$M$24,0)),"비정기",INDEX($N$6:$N$24,MATCH($C33,$M$6:$M$24,0))),"비정기")))</f>
        <v/>
      </c>
    </row>
    <row r="34">
      <c r="A34" s="12" t="inlineStr">
        <is>
          <t>우리은행</t>
        </is>
      </c>
      <c r="B34" s="12" t="inlineStr">
        <is>
          <t>기업주써치엠</t>
        </is>
      </c>
      <c r="C34" s="12" t="inlineStr">
        <is>
          <t>광고비</t>
        </is>
      </c>
      <c r="D34" s="20" t="n">
        <v>4</v>
      </c>
      <c r="E34" s="20" t="n">
        <v>4</v>
      </c>
      <c r="F34" s="13" t="n">
        <v>1533487.75</v>
      </c>
      <c r="G34" s="13" t="n">
        <v>1293951</v>
      </c>
      <c r="H34" s="13" t="n">
        <v>2200000</v>
      </c>
      <c r="I34" s="12" t="inlineStr">
        <is>
          <t>매월 20일 전후</t>
        </is>
      </c>
      <c r="J34" s="12" t="inlineStr">
        <is>
          <t>낮음</t>
        </is>
      </c>
      <c r="K34" s="12">
        <f>IF($K$4="전체 정기","정기",IF($K$4="전체 비정기","비정기",IFERROR(IF(INDEX($N$6:$N$24,MATCH($C34,$M$6:$M$24,0))=INDEX($O$6:$O$24,MATCH($C34,$M$6:$M$24,0)),"제외",INDEX($N$6:$N$24,MATCH($C34,$M$6:$M$24,0))),"제외")))</f>
        <v/>
      </c>
    </row>
    <row r="35">
      <c r="A35" s="12" t="inlineStr">
        <is>
          <t>우리은행</t>
        </is>
      </c>
      <c r="B35" s="12" t="inlineStr">
        <is>
          <t>국민주식회사 에이팜</t>
        </is>
      </c>
      <c r="C35" s="12" t="inlineStr">
        <is>
          <t>외상매입금</t>
        </is>
      </c>
      <c r="D35" s="20" t="n">
        <v>6</v>
      </c>
      <c r="E35" s="20" t="n">
        <v>7</v>
      </c>
      <c r="F35" s="13" t="n">
        <v>1369025</v>
      </c>
      <c r="G35" s="13" t="n">
        <v>385585</v>
      </c>
      <c r="H35" s="13" t="n">
        <v>2841698</v>
      </c>
      <c r="I35" s="12" t="inlineStr">
        <is>
          <t>매월 28일 전후</t>
        </is>
      </c>
      <c r="J35" s="12" t="inlineStr">
        <is>
          <t>낮음</t>
        </is>
      </c>
      <c r="K35" s="12">
        <f>IF($K$4="전체 정기","정기",IF($K$4="전체 비정기","비정기",IFERROR(IF(INDEX($N$6:$N$24,MATCH($C35,$M$6:$M$24,0))=INDEX($O$6:$O$24,MATCH($C35,$M$6:$M$24,0)),"제외",INDEX($N$6:$N$24,MATCH($C35,$M$6:$M$24,0))),"제외")))</f>
        <v/>
      </c>
    </row>
    <row r="36">
      <c r="A36" s="12" t="inlineStr">
        <is>
          <t>우리은행</t>
        </is>
      </c>
      <c r="B36" s="12" t="inlineStr">
        <is>
          <t>아이임대규</t>
        </is>
      </c>
      <c r="C36" s="12" t="inlineStr">
        <is>
          <t>임차료</t>
        </is>
      </c>
      <c r="D36" s="20" t="n">
        <v>5</v>
      </c>
      <c r="E36" s="20" t="n">
        <v>6</v>
      </c>
      <c r="F36" s="13" t="n">
        <v>1350000</v>
      </c>
      <c r="G36" s="13" t="n">
        <v>350000</v>
      </c>
      <c r="H36" s="13" t="n">
        <v>5350000</v>
      </c>
      <c r="I36" s="12" t="inlineStr">
        <is>
          <t>매월 19일 전후</t>
        </is>
      </c>
      <c r="J36" s="12" t="inlineStr">
        <is>
          <t>낮음</t>
        </is>
      </c>
      <c r="K36" s="12">
        <f>IF($K$4="전체 정기","정기",IF($K$4="전체 비정기","비정기",IFERROR(IF(INDEX($N$6:$N$24,MATCH($C36,$M$6:$M$24,0))=INDEX($O$6:$O$24,MATCH($C36,$M$6:$M$24,0)),"비정기",INDEX($N$6:$N$24,MATCH($C36,$M$6:$M$24,0))),"비정기")))</f>
        <v/>
      </c>
    </row>
    <row r="37">
      <c r="A37" s="12" t="inlineStr">
        <is>
          <t>우리은행</t>
        </is>
      </c>
      <c r="B37" s="12" t="inlineStr">
        <is>
          <t>아이서원회계법인 대</t>
        </is>
      </c>
      <c r="C37" s="12" t="inlineStr">
        <is>
          <t>지급수수료</t>
        </is>
      </c>
      <c r="D37" s="20" t="n">
        <v>5</v>
      </c>
      <c r="E37" s="20" t="n">
        <v>7</v>
      </c>
      <c r="F37" s="13" t="n">
        <v>1348600</v>
      </c>
      <c r="G37" s="13" t="n">
        <v>385000</v>
      </c>
      <c r="H37" s="13" t="n">
        <v>4818000</v>
      </c>
      <c r="I37" s="12" t="inlineStr">
        <is>
          <t>매월 29일 전후</t>
        </is>
      </c>
      <c r="J37" s="12" t="inlineStr">
        <is>
          <t>낮음</t>
        </is>
      </c>
      <c r="K37" s="12">
        <f>IF($K$4="전체 정기","정기",IF($K$4="전체 비정기","비정기",IFERROR(IF(INDEX($N$6:$N$24,MATCH($C37,$M$6:$M$24,0))=INDEX($O$6:$O$24,MATCH($C37,$M$6:$M$24,0)),"제외",INDEX($N$6:$N$24,MATCH($C37,$M$6:$M$24,0))),"제외")))</f>
        <v/>
      </c>
    </row>
    <row r="38">
      <c r="A38" s="12" t="inlineStr">
        <is>
          <t>우리은행</t>
        </is>
      </c>
      <c r="B38" s="12" t="inlineStr">
        <is>
          <t>국민주식회사 오애드</t>
        </is>
      </c>
      <c r="C38" s="12" t="inlineStr">
        <is>
          <t>광고비</t>
        </is>
      </c>
      <c r="D38" s="20" t="n">
        <v>4</v>
      </c>
      <c r="E38" s="20" t="n">
        <v>4</v>
      </c>
      <c r="F38" s="13" t="n">
        <v>1045000</v>
      </c>
      <c r="G38" s="13" t="n">
        <v>880000</v>
      </c>
      <c r="H38" s="13" t="n">
        <v>1320000</v>
      </c>
      <c r="I38" s="12" t="inlineStr">
        <is>
          <t>매월 29일 전후</t>
        </is>
      </c>
      <c r="J38" s="12" t="inlineStr">
        <is>
          <t>낮음</t>
        </is>
      </c>
      <c r="K38" s="12">
        <f>IF($K$4="전체 정기","정기",IF($K$4="전체 비정기","비정기",IFERROR(IF(INDEX($N$6:$N$24,MATCH($C38,$M$6:$M$24,0))=INDEX($O$6:$O$24,MATCH($C38,$M$6:$M$24,0)),"제외",INDEX($N$6:$N$24,MATCH($C38,$M$6:$M$24,0))),"제외")))</f>
        <v/>
      </c>
    </row>
    <row r="39">
      <c r="A39" s="12" t="inlineStr">
        <is>
          <t>우리은행</t>
        </is>
      </c>
      <c r="B39" s="12" t="inlineStr">
        <is>
          <t>농협주레인보우</t>
        </is>
      </c>
      <c r="C39" s="12" t="inlineStr">
        <is>
          <t>광고비</t>
        </is>
      </c>
      <c r="D39" s="20" t="n">
        <v>6</v>
      </c>
      <c r="E39" s="20" t="n">
        <v>12</v>
      </c>
      <c r="F39" s="13" t="n">
        <v>931626.6666666666</v>
      </c>
      <c r="G39" s="13" t="n">
        <v>440000</v>
      </c>
      <c r="H39" s="13" t="n">
        <v>1650000</v>
      </c>
      <c r="I39" s="12" t="inlineStr">
        <is>
          <t>매월 11일 전후</t>
        </is>
      </c>
      <c r="J39" s="12" t="inlineStr">
        <is>
          <t>낮음</t>
        </is>
      </c>
      <c r="K39" s="12">
        <f>IF($K$4="전체 정기","정기",IF($K$4="전체 비정기","비정기",IFERROR(IF(INDEX($N$6:$N$24,MATCH($C39,$M$6:$M$24,0))=INDEX($O$6:$O$24,MATCH($C39,$M$6:$M$24,0)),"제외",INDEX($N$6:$N$24,MATCH($C39,$M$6:$M$24,0))),"제외")))</f>
        <v/>
      </c>
    </row>
    <row r="40">
      <c r="A40" s="12" t="inlineStr">
        <is>
          <t>우리은행</t>
        </is>
      </c>
      <c r="B40" s="12" t="inlineStr">
        <is>
          <t>하나흥덕IT밸리관리</t>
        </is>
      </c>
      <c r="C40" s="12" t="inlineStr">
        <is>
          <t>관리비</t>
        </is>
      </c>
      <c r="D40" s="20" t="n">
        <v>4</v>
      </c>
      <c r="E40" s="20" t="n">
        <v>4</v>
      </c>
      <c r="F40" s="13" t="n">
        <v>586192.5</v>
      </c>
      <c r="G40" s="13" t="n">
        <v>434320</v>
      </c>
      <c r="H40" s="13" t="n">
        <v>908980</v>
      </c>
      <c r="I40" s="12" t="inlineStr">
        <is>
          <t>매월 29일 전후</t>
        </is>
      </c>
      <c r="J40" s="12" t="inlineStr">
        <is>
          <t>낮음</t>
        </is>
      </c>
      <c r="K40" s="12">
        <f>IF($K$4="전체 정기","정기",IF($K$4="전체 비정기","비정기",IFERROR(IF(INDEX($N$6:$N$24,MATCH($C40,$M$6:$M$24,0))=INDEX($O$6:$O$24,MATCH($C40,$M$6:$M$24,0)),"비정기",INDEX($N$6:$N$24,MATCH($C40,$M$6:$M$24,0))),"비정기")))</f>
        <v/>
      </c>
    </row>
    <row r="41">
      <c r="A41" s="12" t="inlineStr">
        <is>
          <t>우리은행</t>
        </is>
      </c>
      <c r="B41" s="12" t="inlineStr">
        <is>
          <t>전자결제</t>
        </is>
      </c>
      <c r="C41" s="12" t="inlineStr">
        <is>
          <t>지급수수료</t>
        </is>
      </c>
      <c r="D41" s="20" t="n">
        <v>7</v>
      </c>
      <c r="E41" s="20" t="n">
        <v>12</v>
      </c>
      <c r="F41" s="13" t="n">
        <v>550000</v>
      </c>
      <c r="G41" s="13" t="n">
        <v>400000</v>
      </c>
      <c r="H41" s="13" t="n">
        <v>1060000</v>
      </c>
      <c r="I41" s="12" t="inlineStr">
        <is>
          <t>매월 12일 전후</t>
        </is>
      </c>
      <c r="J41" s="12" t="inlineStr">
        <is>
          <t>낮음</t>
        </is>
      </c>
      <c r="K41" s="12">
        <f>IF($K$4="전체 정기","정기",IF($K$4="전체 비정기","비정기",IFERROR(IF(INDEX($N$6:$N$24,MATCH($C41,$M$6:$M$24,0))=INDEX($O$6:$O$24,MATCH($C41,$M$6:$M$24,0)),"제외",INDEX($N$6:$N$24,MATCH($C41,$M$6:$M$24,0))),"제외")))</f>
        <v/>
      </c>
    </row>
    <row r="42">
      <c r="A42" s="12" t="inlineStr">
        <is>
          <t>우리은행</t>
        </is>
      </c>
      <c r="B42" s="12" t="inlineStr">
        <is>
          <t>하나남경 노무법인</t>
        </is>
      </c>
      <c r="C42" s="12" t="inlineStr">
        <is>
          <t>지급수수료</t>
        </is>
      </c>
      <c r="D42" s="20" t="n">
        <v>7</v>
      </c>
      <c r="E42" s="20" t="n">
        <v>8</v>
      </c>
      <c r="F42" s="13" t="n">
        <v>449428.5714285714</v>
      </c>
      <c r="G42" s="13" t="n">
        <v>275000</v>
      </c>
      <c r="H42" s="13" t="n">
        <v>1100000</v>
      </c>
      <c r="I42" s="12" t="inlineStr">
        <is>
          <t>매월 27일 전후</t>
        </is>
      </c>
      <c r="J42" s="12" t="inlineStr">
        <is>
          <t>낮음</t>
        </is>
      </c>
      <c r="K42" s="12">
        <f>IF($K$4="전체 정기","정기",IF($K$4="전체 비정기","비정기",IFERROR(IF(INDEX($N$6:$N$24,MATCH($C42,$M$6:$M$24,0))=INDEX($O$6:$O$24,MATCH($C42,$M$6:$M$24,0)),"제외",INDEX($N$6:$N$24,MATCH($C42,$M$6:$M$24,0))),"제외")))</f>
        <v/>
      </c>
    </row>
    <row r="43">
      <c r="A43" s="12" t="inlineStr">
        <is>
          <t>우리은행</t>
        </is>
      </c>
      <c r="B43" s="12" t="inlineStr">
        <is>
          <t>국민서울보증보험</t>
        </is>
      </c>
      <c r="C43" s="12" t="inlineStr">
        <is>
          <t>지급수수료</t>
        </is>
      </c>
      <c r="D43" s="20" t="n">
        <v>5</v>
      </c>
      <c r="E43" s="20" t="n">
        <v>6</v>
      </c>
      <c r="F43" s="13" t="n">
        <v>343606</v>
      </c>
      <c r="G43" s="13" t="n">
        <v>47000</v>
      </c>
      <c r="H43" s="13" t="n">
        <v>1264500</v>
      </c>
      <c r="I43" s="12" t="inlineStr">
        <is>
          <t>매월 16일 전후</t>
        </is>
      </c>
      <c r="J43" s="12" t="inlineStr">
        <is>
          <t>낮음</t>
        </is>
      </c>
      <c r="K43" s="12">
        <f>IF($K$4="전체 정기","정기",IF($K$4="전체 비정기","비정기",IFERROR(IF(INDEX($N$6:$N$24,MATCH($C43,$M$6:$M$24,0))=INDEX($O$6:$O$24,MATCH($C43,$M$6:$M$24,0)),"제외",INDEX($N$6:$N$24,MATCH($C43,$M$6:$M$24,0))),"제외")))</f>
        <v/>
      </c>
    </row>
    <row r="44">
      <c r="A44" s="12" t="inlineStr">
        <is>
          <t>우리은행</t>
        </is>
      </c>
      <c r="B44" s="12" t="inlineStr">
        <is>
          <t>SKB</t>
        </is>
      </c>
      <c r="C44" s="12" t="inlineStr">
        <is>
          <t>통신비</t>
        </is>
      </c>
      <c r="D44" s="20" t="n">
        <v>6</v>
      </c>
      <c r="E44" s="20" t="n">
        <v>14</v>
      </c>
      <c r="F44" s="13" t="n">
        <v>258450.5</v>
      </c>
      <c r="G44" s="13" t="n">
        <v>220399</v>
      </c>
      <c r="H44" s="13" t="n">
        <v>440486</v>
      </c>
      <c r="I44" s="12" t="inlineStr">
        <is>
          <t>매월 21일 전후</t>
        </is>
      </c>
      <c r="J44" s="12" t="inlineStr">
        <is>
          <t>높음</t>
        </is>
      </c>
      <c r="K44" s="12">
        <f>IF($K$4="전체 정기","정기",IF($K$4="전체 비정기","비정기",IFERROR(IF(INDEX($N$6:$N$24,MATCH($C44,$M$6:$M$24,0))=INDEX($O$6:$O$24,MATCH($C44,$M$6:$M$24,0)),"정기",INDEX($N$6:$N$24,MATCH($C44,$M$6:$M$24,0))),"정기")))</f>
        <v/>
      </c>
    </row>
    <row r="45">
      <c r="A45" s="12" t="inlineStr">
        <is>
          <t>우리은행</t>
        </is>
      </c>
      <c r="B45" s="12" t="inlineStr">
        <is>
          <t>아이로펌더봄엄요한</t>
        </is>
      </c>
      <c r="C45" s="12" t="inlineStr">
        <is>
          <t>지급수수료</t>
        </is>
      </c>
      <c r="D45" s="20" t="n">
        <v>5</v>
      </c>
      <c r="E45" s="20" t="n">
        <v>5</v>
      </c>
      <c r="F45" s="13" t="n">
        <v>220000</v>
      </c>
      <c r="G45" s="13" t="n">
        <v>220000</v>
      </c>
      <c r="H45" s="13" t="n">
        <v>220000</v>
      </c>
      <c r="I45" s="12" t="inlineStr">
        <is>
          <t>매월 11일 전후</t>
        </is>
      </c>
      <c r="J45" s="12" t="inlineStr">
        <is>
          <t>낮음</t>
        </is>
      </c>
      <c r="K45" s="12">
        <f>IF($K$4="전체 정기","정기",IF($K$4="전체 비정기","비정기",IFERROR(IF(INDEX($N$6:$N$24,MATCH($C45,$M$6:$M$24,0))=INDEX($O$6:$O$24,MATCH($C45,$M$6:$M$24,0)),"제외",INDEX($N$6:$N$24,MATCH($C45,$M$6:$M$24,0))),"제외")))</f>
        <v/>
      </c>
    </row>
    <row r="46">
      <c r="A46" s="12" t="inlineStr">
        <is>
          <t>우리은행</t>
        </is>
      </c>
      <c r="B46" s="12" t="inlineStr">
        <is>
          <t>국민엠제이테크노파크</t>
        </is>
      </c>
      <c r="C46" s="12" t="inlineStr">
        <is>
          <t>관리비</t>
        </is>
      </c>
      <c r="D46" s="20" t="n">
        <v>5</v>
      </c>
      <c r="E46" s="20" t="n">
        <v>6</v>
      </c>
      <c r="F46" s="13" t="n">
        <v>214586</v>
      </c>
      <c r="G46" s="13" t="n">
        <v>166590</v>
      </c>
      <c r="H46" s="13" t="n">
        <v>328130</v>
      </c>
      <c r="I46" s="12" t="inlineStr">
        <is>
          <t>매월 30일 전후</t>
        </is>
      </c>
      <c r="J46" s="12" t="inlineStr">
        <is>
          <t>낮음</t>
        </is>
      </c>
      <c r="K46" s="12">
        <f>IF($K$4="전체 정기","정기",IF($K$4="전체 비정기","비정기",IFERROR(IF(INDEX($N$6:$N$24,MATCH($C46,$M$6:$M$24,0))=INDEX($O$6:$O$24,MATCH($C46,$M$6:$M$24,0)),"비정기",INDEX($N$6:$N$24,MATCH($C46,$M$6:$M$24,0))),"비정기")))</f>
        <v/>
      </c>
    </row>
    <row r="47">
      <c r="A47" s="12" t="inlineStr">
        <is>
          <t>우리은행</t>
        </is>
      </c>
      <c r="B47" s="12" t="inlineStr">
        <is>
          <t>SN</t>
        </is>
      </c>
      <c r="C47" s="12" t="inlineStr">
        <is>
          <t>광고비</t>
        </is>
      </c>
      <c r="D47" s="20" t="n">
        <v>6</v>
      </c>
      <c r="E47" s="20" t="n">
        <v>10</v>
      </c>
      <c r="F47" s="13" t="n">
        <v>204050</v>
      </c>
      <c r="G47" s="13" t="n">
        <v>107800</v>
      </c>
      <c r="H47" s="13" t="n">
        <v>287100</v>
      </c>
      <c r="I47" s="12" t="inlineStr">
        <is>
          <t>매월 21일 전후</t>
        </is>
      </c>
      <c r="J47" s="12" t="inlineStr">
        <is>
          <t>중간</t>
        </is>
      </c>
      <c r="K47" s="12">
        <f>IF($K$4="전체 정기","정기",IF($K$4="전체 비정기","비정기",IFERROR(IF(INDEX($N$6:$N$24,MATCH($C47,$M$6:$M$24,0))=INDEX($O$6:$O$24,MATCH($C47,$M$6:$M$24,0)),"제외",INDEX($N$6:$N$24,MATCH($C47,$M$6:$M$24,0))),"제외")))</f>
        <v/>
      </c>
    </row>
    <row r="48">
      <c r="A48" s="12" t="inlineStr">
        <is>
          <t>우리은행</t>
        </is>
      </c>
      <c r="B48" s="12" t="inlineStr">
        <is>
          <t>기업주식회사 채널코</t>
        </is>
      </c>
      <c r="C48" s="12" t="inlineStr">
        <is>
          <t>광고비</t>
        </is>
      </c>
      <c r="D48" s="20" t="n">
        <v>6</v>
      </c>
      <c r="E48" s="20" t="n">
        <v>6</v>
      </c>
      <c r="F48" s="13" t="n">
        <v>198000</v>
      </c>
      <c r="G48" s="13" t="n">
        <v>198000</v>
      </c>
      <c r="H48" s="13" t="n">
        <v>198000</v>
      </c>
      <c r="I48" s="12" t="inlineStr">
        <is>
          <t>매월 9일 전후</t>
        </is>
      </c>
      <c r="J48" s="12" t="inlineStr">
        <is>
          <t>중간</t>
        </is>
      </c>
      <c r="K48" s="12">
        <f>IF($K$4="전체 정기","정기",IF($K$4="전체 비정기","비정기",IFERROR(IF(INDEX($N$6:$N$24,MATCH($C48,$M$6:$M$24,0))=INDEX($O$6:$O$24,MATCH($C48,$M$6:$M$24,0)),"제외",INDEX($N$6:$N$24,MATCH($C48,$M$6:$M$24,0))),"제외")))</f>
        <v/>
      </c>
    </row>
    <row r="49">
      <c r="A49" s="12" t="inlineStr">
        <is>
          <t>국민은행</t>
        </is>
      </c>
      <c r="B49" s="12" t="inlineStr">
        <is>
          <t>KB카드출금</t>
        </is>
      </c>
      <c r="C49" s="12" t="inlineStr">
        <is>
          <t>국민카드 결제</t>
        </is>
      </c>
      <c r="D49" s="20" t="n">
        <v>5</v>
      </c>
      <c r="E49" s="20" t="n">
        <v>5</v>
      </c>
      <c r="F49" s="13" t="n">
        <v>155361.2</v>
      </c>
      <c r="G49" s="13" t="n">
        <v>46750</v>
      </c>
      <c r="H49" s="13" t="n">
        <v>253800</v>
      </c>
      <c r="I49" s="12" t="inlineStr">
        <is>
          <t>매월 15일 전후</t>
        </is>
      </c>
      <c r="J49" s="12" t="inlineStr">
        <is>
          <t>중간</t>
        </is>
      </c>
      <c r="K49" s="12">
        <f>IF($K$4="전체 정기","정기",IF($K$4="전체 비정기","비정기",IFERROR(IF(INDEX($N$6:$N$24,MATCH($C49,$M$6:$M$24,0))=INDEX($O$6:$O$24,MATCH($C49,$M$6:$M$24,0)),"정기",INDEX($N$6:$N$24,MATCH($C49,$M$6:$M$24,0))),"정기")))</f>
        <v/>
      </c>
    </row>
    <row r="50">
      <c r="A50" s="12" t="inlineStr">
        <is>
          <t>우리은행</t>
        </is>
      </c>
      <c r="B50" s="12" t="inlineStr">
        <is>
          <t>코웨이렌탈</t>
        </is>
      </c>
      <c r="C50" s="12" t="inlineStr">
        <is>
          <t>지급수수료</t>
        </is>
      </c>
      <c r="D50" s="20" t="n">
        <v>6</v>
      </c>
      <c r="E50" s="20" t="n">
        <v>23</v>
      </c>
      <c r="F50" s="13" t="n">
        <v>125460</v>
      </c>
      <c r="G50" s="13" t="n">
        <v>104710</v>
      </c>
      <c r="H50" s="13" t="n">
        <v>129610</v>
      </c>
      <c r="I50" s="12" t="inlineStr">
        <is>
          <t>매월 15일 전후</t>
        </is>
      </c>
      <c r="J50" s="12" t="inlineStr">
        <is>
          <t>높음</t>
        </is>
      </c>
      <c r="K50" s="12">
        <f>IF($K$4="전체 정기","정기",IF($K$4="전체 비정기","비정기",IFERROR(IF(INDEX($N$6:$N$24,MATCH($C50,$M$6:$M$24,0))=INDEX($O$6:$O$24,MATCH($C50,$M$6:$M$24,0)),"제외",INDEX($N$6:$N$24,MATCH($C50,$M$6:$M$24,0))),"제외")))</f>
        <v/>
      </c>
    </row>
    <row r="51">
      <c r="A51" s="12" t="inlineStr">
        <is>
          <t>우리은행</t>
        </is>
      </c>
      <c r="B51" s="12" t="inlineStr">
        <is>
          <t>KT</t>
        </is>
      </c>
      <c r="C51" s="12" t="inlineStr">
        <is>
          <t>통신비</t>
        </is>
      </c>
      <c r="D51" s="20" t="n">
        <v>5</v>
      </c>
      <c r="E51" s="20" t="n">
        <v>5</v>
      </c>
      <c r="F51" s="13" t="n">
        <v>116668</v>
      </c>
      <c r="G51" s="13" t="n">
        <v>109450</v>
      </c>
      <c r="H51" s="13" t="n">
        <v>145540</v>
      </c>
      <c r="I51" s="12" t="inlineStr">
        <is>
          <t>매월 26일 전후</t>
        </is>
      </c>
      <c r="J51" s="12" t="inlineStr">
        <is>
          <t>중간</t>
        </is>
      </c>
      <c r="K51" s="12">
        <f>IF($K$4="전체 정기","정기",IF($K$4="전체 비정기","비정기",IFERROR(IF(INDEX($N$6:$N$24,MATCH($C51,$M$6:$M$24,0))=INDEX($O$6:$O$24,MATCH($C51,$M$6:$M$24,0)),"정기",INDEX($N$6:$N$24,MATCH($C51,$M$6:$M$24,0))),"정기")))</f>
        <v/>
      </c>
    </row>
    <row r="52">
      <c r="A52" s="12" t="inlineStr">
        <is>
          <t>우리은행</t>
        </is>
      </c>
      <c r="B52" s="12" t="inlineStr">
        <is>
          <t>대한사회복지회</t>
        </is>
      </c>
      <c r="C52" s="12" t="inlineStr">
        <is>
          <t>기부금</t>
        </is>
      </c>
      <c r="D52" s="20" t="n">
        <v>6</v>
      </c>
      <c r="E52" s="20" t="n">
        <v>6</v>
      </c>
      <c r="F52" s="13" t="n">
        <v>100000</v>
      </c>
      <c r="G52" s="13" t="n">
        <v>100000</v>
      </c>
      <c r="H52" s="13" t="n">
        <v>100000</v>
      </c>
      <c r="I52" s="12" t="inlineStr">
        <is>
          <t>매월 3일 전후</t>
        </is>
      </c>
      <c r="J52" s="12" t="inlineStr">
        <is>
          <t>높음</t>
        </is>
      </c>
      <c r="K52" s="12">
        <f>IF($K$4="전체 정기","정기",IF($K$4="전체 비정기","비정기",IFERROR(IF(INDEX($N$6:$N$24,MATCH($C52,$M$6:$M$24,0))=INDEX($O$6:$O$24,MATCH($C52,$M$6:$M$24,0)),"제외",INDEX($N$6:$N$24,MATCH($C52,$M$6:$M$24,0))),"제외")))</f>
        <v/>
      </c>
    </row>
    <row r="53">
      <c r="A53" s="12" t="inlineStr">
        <is>
          <t>우리은행</t>
        </is>
      </c>
      <c r="B53" s="12" t="inlineStr">
        <is>
          <t>적십자후원</t>
        </is>
      </c>
      <c r="C53" s="12" t="inlineStr">
        <is>
          <t>기부금</t>
        </is>
      </c>
      <c r="D53" s="20" t="n">
        <v>6</v>
      </c>
      <c r="E53" s="20" t="n">
        <v>6</v>
      </c>
      <c r="F53" s="13" t="n">
        <v>100000</v>
      </c>
      <c r="G53" s="13" t="n">
        <v>100000</v>
      </c>
      <c r="H53" s="13" t="n">
        <v>100000</v>
      </c>
      <c r="I53" s="12" t="inlineStr">
        <is>
          <t>매월 15일 전후</t>
        </is>
      </c>
      <c r="J53" s="12" t="inlineStr">
        <is>
          <t>높음</t>
        </is>
      </c>
      <c r="K53" s="12">
        <f>IF($K$4="전체 정기","정기",IF($K$4="전체 비정기","비정기",IFERROR(IF(INDEX($N$6:$N$24,MATCH($C53,$M$6:$M$24,0))=INDEX($O$6:$O$24,MATCH($C53,$M$6:$M$24,0)),"제외",INDEX($N$6:$N$24,MATCH($C53,$M$6:$M$24,0))),"제외")))</f>
        <v/>
      </c>
    </row>
    <row r="54">
      <c r="A54" s="12" t="inlineStr">
        <is>
          <t>우리은행</t>
        </is>
      </c>
      <c r="B54" s="12" t="inlineStr">
        <is>
          <t>코웨이멤버쉽</t>
        </is>
      </c>
      <c r="C54" s="12" t="inlineStr">
        <is>
          <t>지급수수료</t>
        </is>
      </c>
      <c r="D54" s="20" t="n">
        <v>6</v>
      </c>
      <c r="E54" s="20" t="n">
        <v>13</v>
      </c>
      <c r="F54" s="13" t="n">
        <v>50333.33333333334</v>
      </c>
      <c r="G54" s="13" t="n">
        <v>46300</v>
      </c>
      <c r="H54" s="13" t="n">
        <v>67100</v>
      </c>
      <c r="I54" s="12" t="inlineStr">
        <is>
          <t>매월 15일 전후</t>
        </is>
      </c>
      <c r="J54" s="12" t="inlineStr">
        <is>
          <t>높음</t>
        </is>
      </c>
      <c r="K54" s="12">
        <f>IF($K$4="전체 정기","정기",IF($K$4="전체 비정기","비정기",IFERROR(IF(INDEX($N$6:$N$24,MATCH($C54,$M$6:$M$24,0))=INDEX($O$6:$O$24,MATCH($C54,$M$6:$M$24,0)),"제외",INDEX($N$6:$N$24,MATCH($C54,$M$6:$M$24,0))),"제외")))</f>
        <v/>
      </c>
    </row>
    <row r="55">
      <c r="A55" s="12" t="inlineStr">
        <is>
          <t>우리은행</t>
        </is>
      </c>
      <c r="B55" s="12" t="inlineStr">
        <is>
          <t>LGU</t>
        </is>
      </c>
      <c r="C55" s="12" t="inlineStr">
        <is>
          <t>통신비</t>
        </is>
      </c>
      <c r="D55" s="20" t="n">
        <v>6</v>
      </c>
      <c r="E55" s="20" t="n">
        <v>6</v>
      </c>
      <c r="F55" s="13" t="n">
        <v>33990</v>
      </c>
      <c r="G55" s="13" t="n">
        <v>33990</v>
      </c>
      <c r="H55" s="13" t="n">
        <v>33990</v>
      </c>
      <c r="I55" s="12" t="inlineStr">
        <is>
          <t>매월 15일 전후</t>
        </is>
      </c>
      <c r="J55" s="12" t="inlineStr">
        <is>
          <t>높음</t>
        </is>
      </c>
      <c r="K55" s="12">
        <f>IF($K$4="전체 정기","정기",IF($K$4="전체 비정기","비정기",IFERROR(IF(INDEX($N$6:$N$24,MATCH($C55,$M$6:$M$24,0))=INDEX($O$6:$O$24,MATCH($C55,$M$6:$M$24,0)),"정기",INDEX($N$6:$N$24,MATCH($C55,$M$6:$M$24,0))),"정기")))</f>
        <v/>
      </c>
    </row>
    <row r="56">
      <c r="A56" s="12" t="inlineStr">
        <is>
          <t>우리은행</t>
        </is>
      </c>
      <c r="B56" s="12" t="inlineStr">
        <is>
          <t>LGUMM</t>
        </is>
      </c>
      <c r="C56" s="12" t="inlineStr">
        <is>
          <t>통신비</t>
        </is>
      </c>
      <c r="D56" s="20" t="n">
        <v>6</v>
      </c>
      <c r="E56" s="20" t="n">
        <v>6</v>
      </c>
      <c r="F56" s="13" t="n">
        <v>11000</v>
      </c>
      <c r="G56" s="13" t="n">
        <v>11000</v>
      </c>
      <c r="H56" s="13" t="n">
        <v>11000</v>
      </c>
      <c r="I56" s="12" t="inlineStr">
        <is>
          <t>매월 15일 전후</t>
        </is>
      </c>
      <c r="J56" s="12" t="inlineStr">
        <is>
          <t>높음</t>
        </is>
      </c>
      <c r="K56" s="12">
        <f>IF($K$4="전체 정기","정기",IF($K$4="전체 비정기","비정기",IFERROR(IF(INDEX($N$6:$N$24,MATCH($C56,$M$6:$M$24,0))=INDEX($O$6:$O$24,MATCH($C56,$M$6:$M$24,0)),"정기",INDEX($N$6:$N$24,MATCH($C56,$M$6:$M$24,0))),"정기")))</f>
        <v/>
      </c>
    </row>
  </sheetData>
  <autoFilter ref="A5:K56"/>
  <mergeCells count="1">
    <mergeCell ref="A1:I1"/>
  </mergeCells>
  <dataValidations count="3">
    <dataValidation sqref="K6:K56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 N24" showDropDown="0" showInputMessage="0" showErrorMessage="1" allowBlank="1" error="정기, 비정기, 제외 중에서만 고를 수 있습니다." type="list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2026-09-28T00:15:50Z</dcterms:created>
  <dcterms:modified xsi:type="dcterms:W3CDTF">2026-09-28T00:15:50Z</dcterms:modified>
</cp:coreProperties>
</file>