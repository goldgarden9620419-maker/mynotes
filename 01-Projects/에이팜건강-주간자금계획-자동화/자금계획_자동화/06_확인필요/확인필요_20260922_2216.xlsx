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20B6C0F3-9D00-40FD-B77F-FA534A24C19E}"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<sst xmlns="http://schemas.openxmlformats.org/spreadsheetml/2006/main" count="699" uniqueCount="236">
  <si>
    <t>주간 자금계획 — 확인 단계 안내</t>
  </si>
  <si>
    <t>확인 완료</t>
  </si>
  <si>
    <t>(주차 2026-W39)  모든 시트를 검토한 뒤 왼쪽 B2를 '예'로 바꾸고 저장하세요 — 결과 3개(경영보고·대표보고 PDF·라이브)가 곧바로 만들어집니다.</t>
  </si>
  <si>
    <t>2026-W39</t>
  </si>
  <si>
    <t>9ea0692f635d86a8</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</si>
  <si>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</si>
  <si>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</si>
  <si>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</si>
  <si>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</si>
  <si>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</si>
  <si>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</si>
  <si>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</si>
  <si>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</si>
  <si>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</si>
  <si>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미출금'은 확인용(조치 불필요). '계획 없는 실제출금'은 처리 열에 분류를 적으면(예: 급여·상여) 기억해서 다음부터 같은 이름의 거래를 자동 분류합니다.</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</si>
  <si>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</si>
  <si>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</si>
  <si>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</si>
  <si>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</si>
  <si>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</si>
  <si>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</si>
  <si>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</si>
  <si>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</si>
  <si>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</si>
  <si>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</si>
  <si>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</si>
  <si>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</si>
  <si>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</si>
  <si>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</si>
  <si>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</si>
  <si>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</si>
  <si>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</si>
  <si>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</si>
  <si>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</si>
  <si>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</si>
  <si>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</si>
  <si>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</si>
  <si>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</si>
  <si>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</si>
  <si>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</si>
  <si>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</si>
  <si>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</si>
  <si>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</si>
  <si>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</si>
  <si>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</si>
  <si>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</si>
  <si>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</si>
  <si>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</si>
  <si>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</si>
  <si>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</si>
  <si>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</si>
  <si>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</si>
  <si>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</si>
  <si>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</si>
  <si>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</si>
  <si>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</si>
  <si>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</si>
  <si>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</si>
  <si>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</si>
  <si>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</si>
  <si>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</si>
  <si>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</si>
  <si>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</si>
  <si>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</si>
  <si>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</si>
  <si>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</si>
  <si>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</si>
  <si>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</si>
  <si>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</si>
  <si>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</si>
  <si>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</si>
  <si>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</si>
  <si>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</si>
  <si>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</si>
  <si>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</si>
  <si>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</si>
  <si>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</si>
  <si>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 분류를 적으면(예: 급여·상여) 기억해서 다음부터 같은 이름의 거래를 그 분류로 자동 처리합니다.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</si>
  <si>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</si>
  <si>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</si>
  <si>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</si>
  <si>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</si>
  <si>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</si>
  <si>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</si>
  <si>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</si>
  <si>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</si>
  <si>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</si>
  <si>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</si>
  <si>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</si>
  <si>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지출계획_2026-09-22.xlsx</t>
  </si>
  <si>
    <t>CS팀</t>
  </si>
  <si>
    <t>디자인팀</t>
  </si>
  <si>
    <t>연구팀</t>
  </si>
  <si>
    <t>중복 은행거래(자동 제외)</t>
  </si>
  <si>
    <t>파일 기간 겹침으로 33건 자동 제외 (우리은행 8건, 국민은행 25건) — 조치 불필요</t>
  </si>
  <si>
    <t>수동 대조 필요</t>
  </si>
  <si>
    <t>국민은행</t>
  </si>
  <si>
    <t>월말이 아닌 TOP출금 7,800,000원 (2026-09-22)</t>
  </si>
  <si>
    <t>국민 4577.xls</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</si>
  <si>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</si>
  <si>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</si>
  <si>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</si>
  <si>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</si>
  <si>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</si>
  <si>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</si>
  <si>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</si>
  <si>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</si>
  <si>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</si>
  <si>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</si>
  <si>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</si>
  <si>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</si>
  <si>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</si>
  <si>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(사)한국 전자결제</t>
  </si>
  <si>
    <t>우리은행 거래내역조회 20260922.xlsx</t>
  </si>
  <si>
    <t>국민네이버 apha 인터넷</t>
  </si>
  <si>
    <t>국민비즈월렛_쁘띠앤 인터넷</t>
  </si>
  <si>
    <t>농협(주)레인보우8 인터넷</t>
  </si>
  <si>
    <t>국민네이버 에이팜건 인터넷</t>
  </si>
  <si>
    <t>국민네이버 ddi5 인터넷</t>
  </si>
  <si>
    <t>카카이찬민 인터넷</t>
  </si>
  <si>
    <t xml:space="preserve"> SKB6452342048</t>
  </si>
  <si>
    <t>우리 220351.xlsx</t>
  </si>
  <si>
    <t xml:space="preserve"> SKB6486358411</t>
  </si>
  <si>
    <t xml:space="preserve"> S1(N6203178)</t>
  </si>
  <si>
    <t xml:space="preserve"> 국민네이버 ａｐｈａ</t>
  </si>
  <si>
    <t xml:space="preserve"> 국민서울보증보험</t>
  </si>
  <si>
    <t>METLIFE09002 CMS 공동</t>
  </si>
  <si>
    <t>당일 지출·실제 차이</t>
  </si>
  <si>
    <t>건강-20260918-002</t>
  </si>
  <si>
    <t>네이버 — 미집행: 당일 실제 출금에서 일치 항목 없음. 오늘 나갈 예정이면 '지출 예정(유지)', 안 나갈 것이면 '보류(제외)'를 처리 열에서 고르세요</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</si>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</sst>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235</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14"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23" activePane="bottomLeft" state="frozen"/>
      <selection pane="bottomLeft" activeCell="G47" sqref="G47"/>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77</v>
      </c>
      <c r="B1" s="27"/>
      <c r="C1" s="27"/>
      <c r="D1" s="27"/>
      <c r="E1" s="27"/>
      <c r="F1" s="27"/>
      <c r="G1" s="27"/>
      <c r="H1" s="27"/>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6" t="s">
        <v>93</v>
      </c>
      <c r="B9" s="16"/>
      <c r="C9" s="16"/>
      <c r="D9" s="16"/>
      <c r="E9" s="16"/>
      <c r="F9" s="16" t="s">
        <v>94</v>
      </c>
      <c r="G9" s="17"/>
      <c r="H9" s="16"/>
    </row>
    <row r="10" spans="1:9" x14ac:dyDescent="0.3">
      <c r="A10" s="16" t="s">
        <v>95</v>
      </c>
      <c r="B10" s="16"/>
      <c r="C10" s="16" t="s">
        <v>96</v>
      </c>
      <c r="D10" s="16"/>
      <c r="E10" s="16"/>
      <c r="F10" s="16" t="s">
        <v>97</v>
      </c>
      <c r="G10" s="17"/>
      <c r="H10" s="16" t="s">
        <v>98</v>
      </c>
    </row>
    <row r="11" spans="1:9" x14ac:dyDescent="0.3">
      <c r="A11" s="16" t="s">
        <v>99</v>
      </c>
      <c r="B11" s="16" t="s">
        <v>100</v>
      </c>
      <c r="C11" s="16"/>
      <c r="D11" s="16" t="s">
        <v>101</v>
      </c>
      <c r="E11" s="18">
        <v>46286</v>
      </c>
      <c r="F11" s="16" t="s">
        <v>102</v>
      </c>
      <c r="G11" s="17">
        <v>1996000</v>
      </c>
      <c r="H11" s="16"/>
    </row>
    <row r="12" spans="1:9" x14ac:dyDescent="0.3">
      <c r="A12" s="16" t="s">
        <v>99</v>
      </c>
      <c r="B12" s="16" t="s">
        <v>100</v>
      </c>
      <c r="C12" s="16"/>
      <c r="D12" s="16" t="s">
        <v>103</v>
      </c>
      <c r="E12" s="18">
        <v>46286</v>
      </c>
      <c r="F12" s="16" t="s">
        <v>104</v>
      </c>
      <c r="G12" s="17">
        <v>3498000</v>
      </c>
      <c r="H12" s="16"/>
    </row>
    <row r="13" spans="1:9" x14ac:dyDescent="0.3">
      <c r="A13" s="16" t="s">
        <v>99</v>
      </c>
      <c r="B13" s="16" t="s">
        <v>105</v>
      </c>
      <c r="C13" s="16"/>
      <c r="D13" s="16" t="s">
        <v>106</v>
      </c>
      <c r="E13" s="18">
        <v>46286</v>
      </c>
      <c r="F13" s="16" t="s">
        <v>107</v>
      </c>
      <c r="G13" s="17">
        <v>4900000</v>
      </c>
      <c r="H13" s="16"/>
    </row>
    <row r="14" spans="1:9" x14ac:dyDescent="0.3">
      <c r="A14" s="16" t="s">
        <v>99</v>
      </c>
      <c r="B14" s="16" t="s">
        <v>105</v>
      </c>
      <c r="C14" s="16"/>
      <c r="D14" s="16" t="s">
        <v>108</v>
      </c>
      <c r="E14" s="18">
        <v>46286</v>
      </c>
      <c r="F14" s="16" t="s">
        <v>109</v>
      </c>
      <c r="G14" s="17">
        <v>220000</v>
      </c>
      <c r="H14" s="16"/>
    </row>
    <row r="15" spans="1:9" x14ac:dyDescent="0.3">
      <c r="A15" s="16" t="s">
        <v>110</v>
      </c>
      <c r="B15" s="16"/>
      <c r="C15" s="16" t="s">
        <v>111</v>
      </c>
      <c r="D15" s="16"/>
      <c r="E15" s="18">
        <v>46281</v>
      </c>
      <c r="F15" s="16" t="s">
        <v>112</v>
      </c>
      <c r="G15" s="17">
        <v>40000</v>
      </c>
      <c r="H15" s="16" t="s">
        <v>113</v>
      </c>
      <c r="I15" s="19"/>
    </row>
    <row r="16" spans="1:9" x14ac:dyDescent="0.3">
      <c r="A16" s="16" t="s">
        <v>110</v>
      </c>
      <c r="B16" s="16"/>
      <c r="C16" s="16" t="s">
        <v>111</v>
      </c>
      <c r="D16" s="16"/>
      <c r="E16" s="18">
        <v>46281</v>
      </c>
      <c r="F16" s="16" t="s">
        <v>114</v>
      </c>
      <c r="G16" s="17">
        <v>2002000</v>
      </c>
      <c r="H16" s="16" t="s">
        <v>113</v>
      </c>
      <c r="I16" s="19"/>
    </row>
    <row r="17" spans="1:9" x14ac:dyDescent="0.3">
      <c r="A17" s="16" t="s">
        <v>110</v>
      </c>
      <c r="B17" s="16"/>
      <c r="C17" s="16" t="s">
        <v>111</v>
      </c>
      <c r="D17" s="16"/>
      <c r="E17" s="18">
        <v>46282</v>
      </c>
      <c r="F17" s="16" t="s">
        <v>115</v>
      </c>
      <c r="G17" s="17">
        <v>498509</v>
      </c>
      <c r="H17" s="16" t="s">
        <v>113</v>
      </c>
      <c r="I17" s="19"/>
    </row>
    <row r="18" spans="1:9" x14ac:dyDescent="0.3">
      <c r="A18" s="16" t="s">
        <v>110</v>
      </c>
      <c r="B18" s="16"/>
      <c r="C18" s="16" t="s">
        <v>111</v>
      </c>
      <c r="D18" s="16"/>
      <c r="E18" s="18">
        <v>46282</v>
      </c>
      <c r="F18" s="16" t="s">
        <v>116</v>
      </c>
      <c r="G18" s="17">
        <v>550000</v>
      </c>
      <c r="H18" s="16" t="s">
        <v>113</v>
      </c>
      <c r="I18" s="19"/>
    </row>
    <row r="19" spans="1:9" x14ac:dyDescent="0.3">
      <c r="A19" s="16" t="s">
        <v>110</v>
      </c>
      <c r="B19" s="16"/>
      <c r="C19" s="16" t="s">
        <v>111</v>
      </c>
      <c r="D19" s="16"/>
      <c r="E19" s="18">
        <v>46282</v>
      </c>
      <c r="F19" s="16" t="s">
        <v>114</v>
      </c>
      <c r="G19" s="17">
        <v>1661000</v>
      </c>
      <c r="H19" s="16" t="s">
        <v>113</v>
      </c>
      <c r="I19" s="19"/>
    </row>
    <row r="20" spans="1:9" x14ac:dyDescent="0.3">
      <c r="A20" s="16" t="s">
        <v>110</v>
      </c>
      <c r="B20" s="16"/>
      <c r="C20" s="16" t="s">
        <v>111</v>
      </c>
      <c r="D20" s="16"/>
      <c r="E20" s="18">
        <v>46282</v>
      </c>
      <c r="F20" s="16" t="s">
        <v>117</v>
      </c>
      <c r="G20" s="17">
        <v>330000</v>
      </c>
      <c r="H20" s="16" t="s">
        <v>113</v>
      </c>
      <c r="I20" s="19"/>
    </row>
    <row r="21" spans="1:9" x14ac:dyDescent="0.3">
      <c r="A21" s="16" t="s">
        <v>110</v>
      </c>
      <c r="B21" s="16"/>
      <c r="C21" s="16" t="s">
        <v>111</v>
      </c>
      <c r="D21" s="16"/>
      <c r="E21" s="18">
        <v>46282</v>
      </c>
      <c r="F21" s="16" t="s">
        <v>118</v>
      </c>
      <c r="G21" s="17">
        <v>330000</v>
      </c>
      <c r="H21" s="16" t="s">
        <v>113</v>
      </c>
      <c r="I21" s="19"/>
    </row>
    <row r="22" spans="1:9" x14ac:dyDescent="0.3">
      <c r="A22" s="16" t="s">
        <v>110</v>
      </c>
      <c r="B22" s="16"/>
      <c r="C22" s="16" t="s">
        <v>111</v>
      </c>
      <c r="D22" s="16"/>
      <c r="E22" s="18">
        <v>46283</v>
      </c>
      <c r="F22" s="16" t="s">
        <v>114</v>
      </c>
      <c r="G22" s="17">
        <v>3311000</v>
      </c>
      <c r="H22" s="16" t="s">
        <v>113</v>
      </c>
      <c r="I22" s="19"/>
    </row>
    <row r="23" spans="1:9" x14ac:dyDescent="0.3">
      <c r="A23" s="16" t="s">
        <v>110</v>
      </c>
      <c r="B23" s="16"/>
      <c r="C23" s="16" t="s">
        <v>111</v>
      </c>
      <c r="D23" s="16"/>
      <c r="E23" s="18">
        <v>46283</v>
      </c>
      <c r="F23" s="16" t="s">
        <v>119</v>
      </c>
      <c r="G23" s="17">
        <v>100000</v>
      </c>
      <c r="H23" s="16" t="s">
        <v>113</v>
      </c>
      <c r="I23" s="19"/>
    </row>
    <row r="24" spans="1:9" x14ac:dyDescent="0.3">
      <c r="A24" s="16" t="s">
        <v>110</v>
      </c>
      <c r="B24" s="16"/>
      <c r="C24" s="16" t="s">
        <v>111</v>
      </c>
      <c r="D24" s="16"/>
      <c r="E24" s="18">
        <v>46283</v>
      </c>
      <c r="F24" s="16" t="s">
        <v>117</v>
      </c>
      <c r="G24" s="17">
        <v>990000</v>
      </c>
      <c r="H24" s="16" t="s">
        <v>113</v>
      </c>
      <c r="I24" s="19"/>
    </row>
    <row r="25" spans="1:9" x14ac:dyDescent="0.3">
      <c r="A25" s="16" t="s">
        <v>110</v>
      </c>
      <c r="B25" s="16"/>
      <c r="C25" s="16" t="s">
        <v>111</v>
      </c>
      <c r="D25" s="16"/>
      <c r="E25" s="18">
        <v>46283</v>
      </c>
      <c r="F25" s="16" t="s">
        <v>118</v>
      </c>
      <c r="G25" s="17">
        <v>990000</v>
      </c>
      <c r="H25" s="16" t="s">
        <v>113</v>
      </c>
      <c r="I25" s="19"/>
    </row>
    <row r="26" spans="1:9" x14ac:dyDescent="0.3">
      <c r="A26" s="16" t="s">
        <v>110</v>
      </c>
      <c r="B26" s="16"/>
      <c r="C26" s="16" t="s">
        <v>111</v>
      </c>
      <c r="D26" s="16"/>
      <c r="E26" s="18">
        <v>46286</v>
      </c>
      <c r="F26" s="16" t="s">
        <v>120</v>
      </c>
      <c r="G26" s="17">
        <v>134622</v>
      </c>
      <c r="H26" s="16" t="s">
        <v>121</v>
      </c>
      <c r="I26" s="19"/>
    </row>
    <row r="27" spans="1:9" x14ac:dyDescent="0.3">
      <c r="A27" s="16" t="s">
        <v>110</v>
      </c>
      <c r="B27" s="16"/>
      <c r="C27" s="16" t="s">
        <v>111</v>
      </c>
      <c r="D27" s="16"/>
      <c r="E27" s="18">
        <v>46286</v>
      </c>
      <c r="F27" s="16" t="s">
        <v>122</v>
      </c>
      <c r="G27" s="17">
        <v>85621</v>
      </c>
      <c r="H27" s="16" t="s">
        <v>121</v>
      </c>
      <c r="I27" s="19"/>
    </row>
    <row r="28" spans="1:9" x14ac:dyDescent="0.3">
      <c r="A28" s="16" t="s">
        <v>110</v>
      </c>
      <c r="B28" s="16"/>
      <c r="C28" s="16" t="s">
        <v>111</v>
      </c>
      <c r="D28" s="16"/>
      <c r="E28" s="18">
        <v>46286</v>
      </c>
      <c r="F28" s="16" t="s">
        <v>123</v>
      </c>
      <c r="G28" s="17">
        <v>107800</v>
      </c>
      <c r="H28" s="16" t="s">
        <v>121</v>
      </c>
      <c r="I28" s="19"/>
    </row>
    <row r="29" spans="1:9" x14ac:dyDescent="0.3">
      <c r="A29" s="16" t="s">
        <v>110</v>
      </c>
      <c r="B29" s="16"/>
      <c r="C29" s="16" t="s">
        <v>111</v>
      </c>
      <c r="D29" s="16"/>
      <c r="E29" s="18">
        <v>46286</v>
      </c>
      <c r="F29" s="16" t="s">
        <v>124</v>
      </c>
      <c r="G29" s="17">
        <v>2178000</v>
      </c>
      <c r="H29" s="16" t="s">
        <v>121</v>
      </c>
      <c r="I29" s="19"/>
    </row>
    <row r="30" spans="1:9" x14ac:dyDescent="0.3">
      <c r="A30" s="16" t="s">
        <v>110</v>
      </c>
      <c r="B30" s="16"/>
      <c r="C30" s="16" t="s">
        <v>111</v>
      </c>
      <c r="D30" s="16"/>
      <c r="E30" s="18">
        <v>46286</v>
      </c>
      <c r="F30" s="16" t="s">
        <v>125</v>
      </c>
      <c r="G30" s="17">
        <v>632250</v>
      </c>
      <c r="H30" s="16" t="s">
        <v>121</v>
      </c>
      <c r="I30" s="19"/>
    </row>
    <row r="31" spans="1:9" x14ac:dyDescent="0.3">
      <c r="A31" s="16" t="s">
        <v>110</v>
      </c>
      <c r="B31" s="16"/>
      <c r="C31" s="16" t="s">
        <v>96</v>
      </c>
      <c r="D31" s="16"/>
      <c r="E31" s="18">
        <v>46286</v>
      </c>
      <c r="F31" s="16" t="s">
        <v>126</v>
      </c>
      <c r="G31" s="17">
        <v>4795900</v>
      </c>
      <c r="H31" s="16" t="s">
        <v>98</v>
      </c>
      <c r="I31" s="19"/>
    </row>
    <row r="32" spans="1:9" x14ac:dyDescent="0.3">
      <c r="A32" s="16" t="s">
        <v>110</v>
      </c>
      <c r="B32" s="16"/>
      <c r="C32" s="16" t="s">
        <v>111</v>
      </c>
      <c r="D32" s="16"/>
      <c r="E32" s="18">
        <v>46287</v>
      </c>
      <c r="F32" s="16" t="s">
        <v>115</v>
      </c>
      <c r="G32" s="17">
        <v>495517</v>
      </c>
      <c r="H32" s="16" t="s">
        <v>113</v>
      </c>
      <c r="I32" s="19"/>
    </row>
    <row r="33" spans="1:10" x14ac:dyDescent="0.3">
      <c r="A33" s="16" t="s">
        <v>127</v>
      </c>
      <c r="B33" s="16" t="s">
        <v>100</v>
      </c>
      <c r="C33" s="16"/>
      <c r="D33" s="16" t="s">
        <v>128</v>
      </c>
      <c r="E33" s="18">
        <v>46287</v>
      </c>
      <c r="F33" s="16" t="s">
        <v>129</v>
      </c>
      <c r="G33" s="17">
        <v>500000</v>
      </c>
      <c r="H33" s="16"/>
      <c r="I33" s="19" t="s">
        <v>234</v>
      </c>
    </row>
    <row r="34" spans="1:10" x14ac:dyDescent="0.3">
      <c r="A34" s="16" t="s">
        <v>127</v>
      </c>
      <c r="B34" s="16" t="s">
        <v>105</v>
      </c>
      <c r="C34" s="16"/>
      <c r="D34" s="16" t="s">
        <v>130</v>
      </c>
      <c r="E34" s="18">
        <v>46287</v>
      </c>
      <c r="F34" s="16" t="s">
        <v>131</v>
      </c>
      <c r="G34" s="17">
        <v>20000000</v>
      </c>
      <c r="H34" s="16"/>
      <c r="I34" s="19" t="s">
        <v>234</v>
      </c>
    </row>
    <row r="35" spans="1:10" x14ac:dyDescent="0.3">
      <c r="A35" s="16" t="s">
        <v>132</v>
      </c>
      <c r="B35" s="16"/>
      <c r="C35" s="16"/>
      <c r="D35" s="16"/>
      <c r="E35" s="18">
        <v>46288</v>
      </c>
      <c r="F35" s="16" t="s">
        <v>133</v>
      </c>
      <c r="G35" s="17">
        <v>7641812</v>
      </c>
      <c r="H35" s="16" t="s">
        <v>134</v>
      </c>
      <c r="I35" s="19" t="s">
        <v>135</v>
      </c>
      <c r="J35" t="s">
        <v>39</v>
      </c>
    </row>
    <row r="36" spans="1:10" x14ac:dyDescent="0.3">
      <c r="A36" s="16" t="s">
        <v>132</v>
      </c>
      <c r="B36" s="16"/>
      <c r="C36" s="16"/>
      <c r="D36" s="16"/>
      <c r="E36" s="18">
        <v>46288</v>
      </c>
      <c r="F36" s="16" t="s">
        <v>136</v>
      </c>
      <c r="G36" s="17">
        <v>173250</v>
      </c>
      <c r="H36" s="16" t="s">
        <v>134</v>
      </c>
      <c r="I36" s="19" t="s">
        <v>135</v>
      </c>
      <c r="J36" t="s">
        <v>41</v>
      </c>
    </row>
    <row r="37" spans="1:10" x14ac:dyDescent="0.3">
      <c r="A37" s="16" t="s">
        <v>132</v>
      </c>
      <c r="B37" s="16"/>
      <c r="C37" s="16"/>
      <c r="D37" s="16"/>
      <c r="E37" s="18">
        <v>46293</v>
      </c>
      <c r="F37" s="16" t="s">
        <v>137</v>
      </c>
      <c r="G37" s="17">
        <v>2000000</v>
      </c>
      <c r="H37" s="16" t="s">
        <v>134</v>
      </c>
      <c r="I37" s="19" t="s">
        <v>135</v>
      </c>
      <c r="J37" t="s">
        <v>42</v>
      </c>
    </row>
    <row r="38" spans="1:10" x14ac:dyDescent="0.3">
      <c r="A38" s="16" t="s">
        <v>132</v>
      </c>
      <c r="B38" s="16"/>
      <c r="C38" s="16"/>
      <c r="D38" s="16"/>
      <c r="E38" s="18">
        <v>46293</v>
      </c>
      <c r="F38" s="16" t="s">
        <v>138</v>
      </c>
      <c r="G38" s="17">
        <v>1650000</v>
      </c>
      <c r="H38" s="16" t="s">
        <v>134</v>
      </c>
      <c r="I38" s="19" t="s">
        <v>135</v>
      </c>
      <c r="J38" t="s">
        <v>43</v>
      </c>
    </row>
    <row r="39" spans="1:10" x14ac:dyDescent="0.3">
      <c r="A39" s="16" t="s">
        <v>132</v>
      </c>
      <c r="B39" s="16"/>
      <c r="C39" s="16"/>
      <c r="D39" s="16"/>
      <c r="E39" s="18">
        <v>46293</v>
      </c>
      <c r="F39" s="16" t="s">
        <v>139</v>
      </c>
      <c r="G39" s="17">
        <v>449429</v>
      </c>
      <c r="H39" s="16" t="s">
        <v>134</v>
      </c>
      <c r="I39" s="19" t="s">
        <v>135</v>
      </c>
      <c r="J39" t="s">
        <v>44</v>
      </c>
    </row>
    <row r="40" spans="1:10" x14ac:dyDescent="0.3">
      <c r="A40" s="16" t="s">
        <v>132</v>
      </c>
      <c r="B40" s="16"/>
      <c r="C40" s="16"/>
      <c r="D40" s="16"/>
      <c r="E40" s="18">
        <v>46294</v>
      </c>
      <c r="F40" s="16" t="s">
        <v>140</v>
      </c>
      <c r="G40" s="17">
        <v>1348600</v>
      </c>
      <c r="H40" s="16" t="s">
        <v>134</v>
      </c>
      <c r="I40" s="19" t="s">
        <v>135</v>
      </c>
      <c r="J40" t="s">
        <v>46</v>
      </c>
    </row>
    <row r="41" spans="1:10" x14ac:dyDescent="0.3">
      <c r="A41" s="16" t="s">
        <v>132</v>
      </c>
      <c r="B41" s="16"/>
      <c r="C41" s="16"/>
      <c r="D41" s="16"/>
      <c r="E41" s="18">
        <v>46294</v>
      </c>
      <c r="F41" s="16" t="s">
        <v>141</v>
      </c>
      <c r="G41" s="17">
        <v>1045000</v>
      </c>
      <c r="H41" s="16" t="s">
        <v>134</v>
      </c>
      <c r="I41" s="19" t="s">
        <v>135</v>
      </c>
      <c r="J41" t="s">
        <v>47</v>
      </c>
    </row>
    <row r="42" spans="1:10" x14ac:dyDescent="0.3">
      <c r="A42" s="16" t="s">
        <v>132</v>
      </c>
      <c r="B42" s="16"/>
      <c r="C42" s="16"/>
      <c r="D42" s="16"/>
      <c r="E42" s="18">
        <v>46295</v>
      </c>
      <c r="F42" s="16" t="s">
        <v>142</v>
      </c>
      <c r="G42" s="17">
        <v>65040941</v>
      </c>
      <c r="H42" s="16" t="s">
        <v>134</v>
      </c>
      <c r="I42" s="19" t="s">
        <v>135</v>
      </c>
      <c r="J42" t="s">
        <v>49</v>
      </c>
    </row>
    <row r="43" spans="1:10" x14ac:dyDescent="0.3">
      <c r="A43" s="16" t="s">
        <v>132</v>
      </c>
      <c r="B43" s="16"/>
      <c r="C43" s="16"/>
      <c r="D43" s="16"/>
      <c r="E43" s="18">
        <v>46295</v>
      </c>
      <c r="F43" s="16" t="s">
        <v>143</v>
      </c>
      <c r="G43" s="17">
        <v>10790260</v>
      </c>
      <c r="H43" s="16" t="s">
        <v>134</v>
      </c>
      <c r="I43" s="19" t="s">
        <v>135</v>
      </c>
      <c r="J43" t="s">
        <v>50</v>
      </c>
    </row>
    <row r="44" spans="1:10" x14ac:dyDescent="0.3">
      <c r="A44" s="16" t="s">
        <v>132</v>
      </c>
      <c r="B44" s="16"/>
      <c r="C44" s="16"/>
      <c r="D44" s="16"/>
      <c r="E44" s="18">
        <v>46295</v>
      </c>
      <c r="F44" s="16" t="s">
        <v>144</v>
      </c>
      <c r="G44" s="17">
        <v>8156420</v>
      </c>
      <c r="H44" s="16" t="s">
        <v>134</v>
      </c>
      <c r="I44" s="19" t="s">
        <v>135</v>
      </c>
      <c r="J44" t="s">
        <v>51</v>
      </c>
    </row>
    <row r="45" spans="1:10" x14ac:dyDescent="0.3">
      <c r="A45" s="16" t="s">
        <v>132</v>
      </c>
      <c r="B45" s="16"/>
      <c r="C45" s="16"/>
      <c r="D45" s="16"/>
      <c r="E45" s="18">
        <v>46295</v>
      </c>
      <c r="F45" s="16" t="s">
        <v>145</v>
      </c>
      <c r="G45" s="17">
        <v>214586</v>
      </c>
      <c r="H45" s="16" t="s">
        <v>134</v>
      </c>
      <c r="I45" s="19" t="s">
        <v>135</v>
      </c>
      <c r="J45" t="s">
        <v>52</v>
      </c>
    </row>
    <row r="46" spans="1:10" x14ac:dyDescent="0.3">
      <c r="A46" s="16" t="s">
        <v>132</v>
      </c>
      <c r="B46" s="16"/>
      <c r="C46" s="16"/>
      <c r="D46" s="16"/>
      <c r="E46" s="18">
        <v>46296</v>
      </c>
      <c r="F46" s="16" t="s">
        <v>146</v>
      </c>
      <c r="G46" s="17">
        <v>2952747</v>
      </c>
      <c r="H46" s="16" t="s">
        <v>134</v>
      </c>
      <c r="I46" s="19" t="s">
        <v>135</v>
      </c>
      <c r="J46" t="s">
        <v>53</v>
      </c>
    </row>
  </sheetData>
  <mergeCells count="1">
    <mergeCell ref="A1:H1"/>
  </mergeCells>
  <phoneticPr fontId="15" type="noConversion"/>
  <dataValidations count="2">
    <dataValidation type="list" allowBlank="1" showErrorMessage="1" error="'계획에 반영' 또는 '반영 안 함'만 입력할 수 있습니다." sqref="I35 I36 I37 I38 I39 I40 I41 I42 I43 I44 I45 I46" xr:uid="{00000000-0002-0000-0200-000000000000}">
      <formula1>"계획에 반영,반영 안 함"</formula1>
    </dataValidation>
    <dataValidation type="list" allowBlank="1" showErrorMessage="1" error="'지출 예정(유지)' 또는 '보류(제외)'만 입력할 수 있습니다." sqref="I33 I34"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58.5" customHeight="1" x14ac:dyDescent="0.3">
      <c r="A1" s="26" t="s">
        <v>147</v>
      </c>
      <c r="B1" s="27"/>
      <c r="C1" s="27"/>
      <c r="D1" s="27"/>
      <c r="E1" s="27"/>
      <c r="F1" s="27"/>
      <c r="G1" s="27"/>
      <c r="H1" s="27"/>
      <c r="I1" s="27"/>
    </row>
    <row r="2" spans="1:16" ht="19.5" x14ac:dyDescent="0.35">
      <c r="A2" s="20" t="s">
        <v>148</v>
      </c>
    </row>
    <row r="3" spans="1:16" x14ac:dyDescent="0.3">
      <c r="A3" s="10" t="s">
        <v>149</v>
      </c>
    </row>
    <row r="4" spans="1:16" x14ac:dyDescent="0.3">
      <c r="J4" s="21" t="s">
        <v>150</v>
      </c>
      <c r="K4" s="22" t="s">
        <v>151</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152</v>
      </c>
      <c r="D5" s="6" t="s">
        <v>153</v>
      </c>
      <c r="E5" s="6" t="s">
        <v>154</v>
      </c>
      <c r="F5" s="6" t="s">
        <v>155</v>
      </c>
      <c r="G5" s="6" t="s">
        <v>156</v>
      </c>
      <c r="H5" s="6" t="s">
        <v>157</v>
      </c>
      <c r="I5" s="6" t="s">
        <v>158</v>
      </c>
      <c r="J5" s="6" t="s">
        <v>28</v>
      </c>
      <c r="K5" s="6" t="s">
        <v>159</v>
      </c>
      <c r="M5" s="6" t="s">
        <v>160</v>
      </c>
      <c r="N5" s="6" t="s">
        <v>161</v>
      </c>
      <c r="P5" s="6" t="s">
        <v>162</v>
      </c>
    </row>
    <row r="6" spans="1:16" ht="24" x14ac:dyDescent="0.3">
      <c r="A6" s="16" t="s">
        <v>96</v>
      </c>
      <c r="B6" s="16" t="s">
        <v>49</v>
      </c>
      <c r="C6" s="16" t="s">
        <v>163</v>
      </c>
      <c r="D6" s="24">
        <v>7</v>
      </c>
      <c r="E6" s="24">
        <v>7</v>
      </c>
      <c r="F6" s="17">
        <v>65040940.714285716</v>
      </c>
      <c r="G6" s="17">
        <v>1227818</v>
      </c>
      <c r="H6" s="17">
        <v>81931610</v>
      </c>
      <c r="I6" s="16" t="s">
        <v>164</v>
      </c>
      <c r="J6" s="16" t="s">
        <v>165</v>
      </c>
      <c r="K6" s="16" t="str">
        <f>IF($K$4="전체 정기","정기",IF($K$4="전체 비정기","비정기",IFERROR(IF(INDEX($N$6:$N$24,MATCH($C6,$M$6:$M$24,0))=INDEX($O$6:$O$24,MATCH($C6,$M$6:$M$24,0)),"정기",INDEX($N$6:$N$24,MATCH($C6,$M$6:$M$24,0))),"정기")))</f>
        <v>정기</v>
      </c>
      <c r="M6" s="16" t="s">
        <v>163</v>
      </c>
      <c r="N6" s="19" t="s">
        <v>166</v>
      </c>
      <c r="O6" t="s">
        <v>166</v>
      </c>
      <c r="P6" s="25" t="s">
        <v>167</v>
      </c>
    </row>
    <row r="7" spans="1:16" ht="24" x14ac:dyDescent="0.3">
      <c r="A7" s="16" t="s">
        <v>111</v>
      </c>
      <c r="B7" s="16" t="s">
        <v>168</v>
      </c>
      <c r="C7" s="16" t="s">
        <v>169</v>
      </c>
      <c r="D7" s="24">
        <v>4</v>
      </c>
      <c r="E7" s="24">
        <v>6</v>
      </c>
      <c r="F7" s="17">
        <v>44600001.25</v>
      </c>
      <c r="G7" s="17">
        <v>15119315</v>
      </c>
      <c r="H7" s="17">
        <v>107542010</v>
      </c>
      <c r="I7" s="16" t="s">
        <v>170</v>
      </c>
      <c r="J7" s="16" t="s">
        <v>171</v>
      </c>
      <c r="K7" s="16" t="str">
        <f>IF($K$4="전체 정기","정기",IF($K$4="전체 비정기","비정기",IFERROR(IF(INDEX($N$6:$N$24,MATCH($C7,$M$6:$M$24,0))=INDEX($O$6:$O$24,MATCH($C7,$M$6:$M$24,0)),"제외",INDEX($N$6:$N$24,MATCH($C7,$M$6:$M$24,0))),"제외")))</f>
        <v>제외</v>
      </c>
      <c r="M7" s="16" t="s">
        <v>169</v>
      </c>
      <c r="N7" s="19" t="s">
        <v>33</v>
      </c>
      <c r="O7" t="s">
        <v>33</v>
      </c>
      <c r="P7" s="25" t="s">
        <v>172</v>
      </c>
    </row>
    <row r="8" spans="1:16" ht="24" x14ac:dyDescent="0.3">
      <c r="A8" s="16" t="s">
        <v>96</v>
      </c>
      <c r="B8" s="16" t="s">
        <v>59</v>
      </c>
      <c r="C8" s="16" t="s">
        <v>173</v>
      </c>
      <c r="D8" s="24">
        <v>6</v>
      </c>
      <c r="E8" s="24">
        <v>12</v>
      </c>
      <c r="F8" s="17">
        <v>42006200</v>
      </c>
      <c r="G8" s="17">
        <v>42006200</v>
      </c>
      <c r="H8" s="17">
        <v>42006200</v>
      </c>
      <c r="I8" s="16" t="s">
        <v>174</v>
      </c>
      <c r="J8" s="16" t="s">
        <v>171</v>
      </c>
      <c r="K8" s="16" t="str">
        <f>IF($K$4="전체 정기","정기",IF($K$4="전체 비정기","비정기",IFERROR(IF(INDEX($N$6:$N$24,MATCH($C8,$M$6:$M$24,0))=INDEX($O$6:$O$24,MATCH($C8,$M$6:$M$24,0)),"정기",INDEX($N$6:$N$24,MATCH($C8,$M$6:$M$24,0))),"정기")))</f>
        <v>정기</v>
      </c>
      <c r="M8" s="16" t="s">
        <v>173</v>
      </c>
      <c r="N8" s="19" t="s">
        <v>166</v>
      </c>
      <c r="O8" t="s">
        <v>166</v>
      </c>
      <c r="P8" s="25" t="s">
        <v>175</v>
      </c>
    </row>
    <row r="9" spans="1:16" x14ac:dyDescent="0.3">
      <c r="A9" s="16" t="s">
        <v>96</v>
      </c>
      <c r="B9" s="16" t="s">
        <v>176</v>
      </c>
      <c r="C9" s="16" t="s">
        <v>177</v>
      </c>
      <c r="D9" s="24">
        <v>4</v>
      </c>
      <c r="E9" s="24">
        <v>6</v>
      </c>
      <c r="F9" s="17">
        <v>39250000</v>
      </c>
      <c r="G9" s="17">
        <v>20000000</v>
      </c>
      <c r="H9" s="17">
        <v>55000000</v>
      </c>
      <c r="I9" s="16" t="s">
        <v>178</v>
      </c>
      <c r="J9" s="16" t="s">
        <v>165</v>
      </c>
      <c r="K9" s="16" t="str">
        <f>IF($K$4="전체 정기","정기",IF($K$4="전체 비정기","비정기",IFERROR(IF(INDEX($N$6:$N$24,MATCH($C9,$M$6:$M$24,0))=INDEX($O$6:$O$24,MATCH($C9,$M$6:$M$24,0)),"제외",INDEX($N$6:$N$24,MATCH($C9,$M$6:$M$24,0))),"제외")))</f>
        <v>제외</v>
      </c>
      <c r="M9" s="16" t="s">
        <v>177</v>
      </c>
      <c r="N9" s="19" t="s">
        <v>33</v>
      </c>
      <c r="O9" t="s">
        <v>33</v>
      </c>
      <c r="P9" s="25" t="s">
        <v>179</v>
      </c>
    </row>
    <row r="10" spans="1:16" x14ac:dyDescent="0.3">
      <c r="A10" s="16" t="s">
        <v>111</v>
      </c>
      <c r="B10" s="16" t="s">
        <v>76</v>
      </c>
      <c r="C10" s="16" t="s">
        <v>180</v>
      </c>
      <c r="D10" s="24">
        <v>7</v>
      </c>
      <c r="E10" s="24">
        <v>103</v>
      </c>
      <c r="F10" s="17">
        <v>35135571.428571433</v>
      </c>
      <c r="G10" s="17">
        <v>18425000</v>
      </c>
      <c r="H10" s="17">
        <v>49109500</v>
      </c>
      <c r="I10" s="16" t="s">
        <v>181</v>
      </c>
      <c r="J10" s="16" t="s">
        <v>165</v>
      </c>
      <c r="K10" s="16" t="str">
        <f>IF($K$4="전체 정기","정기",IF($K$4="전체 비정기","비정기",IFERROR(IF(INDEX($N$6:$N$24,MATCH($C10,$M$6:$M$24,0))=INDEX($O$6:$O$24,MATCH($C10,$M$6:$M$24,0)),"비정기",INDEX($N$6:$N$24,MATCH($C10,$M$6:$M$24,0))),"비정기")))</f>
        <v>비정기</v>
      </c>
      <c r="M10" s="16" t="s">
        <v>180</v>
      </c>
      <c r="N10" s="19" t="s">
        <v>182</v>
      </c>
      <c r="O10" t="s">
        <v>182</v>
      </c>
      <c r="P10" s="25" t="s">
        <v>183</v>
      </c>
    </row>
    <row r="11" spans="1:16" x14ac:dyDescent="0.3">
      <c r="A11" s="16" t="s">
        <v>96</v>
      </c>
      <c r="B11" s="16" t="s">
        <v>54</v>
      </c>
      <c r="C11" s="16" t="s">
        <v>173</v>
      </c>
      <c r="D11" s="24">
        <v>6</v>
      </c>
      <c r="E11" s="24">
        <v>6</v>
      </c>
      <c r="F11" s="17">
        <v>30000000</v>
      </c>
      <c r="G11" s="17">
        <v>30000000</v>
      </c>
      <c r="H11" s="17">
        <v>30000000</v>
      </c>
      <c r="I11" s="16" t="s">
        <v>184</v>
      </c>
      <c r="J11" s="16" t="s">
        <v>185</v>
      </c>
      <c r="K11" s="16" t="str">
        <f>IF($K$4="전체 정기","정기",IF($K$4="전체 비정기","비정기",IFERROR(IF(INDEX($N$6:$N$24,MATCH($C11,$M$6:$M$24,0))=INDEX($O$6:$O$24,MATCH($C11,$M$6:$M$24,0)),"정기",INDEX($N$6:$N$24,MATCH($C11,$M$6:$M$24,0))),"정기")))</f>
        <v>정기</v>
      </c>
      <c r="M11" s="16" t="s">
        <v>186</v>
      </c>
      <c r="N11" s="19" t="s">
        <v>166</v>
      </c>
      <c r="O11" t="s">
        <v>166</v>
      </c>
    </row>
    <row r="12" spans="1:16" x14ac:dyDescent="0.3">
      <c r="A12" s="16" t="s">
        <v>111</v>
      </c>
      <c r="B12" s="16" t="s">
        <v>187</v>
      </c>
      <c r="C12" s="16" t="s">
        <v>169</v>
      </c>
      <c r="D12" s="24">
        <v>4</v>
      </c>
      <c r="E12" s="24">
        <v>5</v>
      </c>
      <c r="F12" s="17">
        <v>26655209.5</v>
      </c>
      <c r="G12" s="17">
        <v>19409038</v>
      </c>
      <c r="H12" s="17">
        <v>40000000</v>
      </c>
      <c r="I12" s="16" t="s">
        <v>188</v>
      </c>
      <c r="J12" s="16" t="s">
        <v>165</v>
      </c>
      <c r="K12" s="16" t="str">
        <f>IF($K$4="전체 정기","정기",IF($K$4="전체 비정기","비정기",IFERROR(IF(INDEX($N$6:$N$24,MATCH($C12,$M$6:$M$24,0))=INDEX($O$6:$O$24,MATCH($C12,$M$6:$M$24,0)),"제외",INDEX($N$6:$N$24,MATCH($C12,$M$6:$M$24,0))),"제외")))</f>
        <v>제외</v>
      </c>
      <c r="M12" s="16" t="s">
        <v>189</v>
      </c>
      <c r="N12" s="19" t="s">
        <v>166</v>
      </c>
      <c r="O12" t="s">
        <v>166</v>
      </c>
    </row>
    <row r="13" spans="1:16" x14ac:dyDescent="0.3">
      <c r="A13" s="16" t="s">
        <v>111</v>
      </c>
      <c r="B13" s="16" t="s">
        <v>38</v>
      </c>
      <c r="C13" s="16" t="s">
        <v>186</v>
      </c>
      <c r="D13" s="24">
        <v>5</v>
      </c>
      <c r="E13" s="24">
        <v>7</v>
      </c>
      <c r="F13" s="17">
        <v>25712983.399999999</v>
      </c>
      <c r="G13" s="17">
        <v>19820525</v>
      </c>
      <c r="H13" s="17">
        <v>29671488</v>
      </c>
      <c r="I13" s="16" t="s">
        <v>190</v>
      </c>
      <c r="J13" s="16" t="s">
        <v>171</v>
      </c>
      <c r="K13" s="16" t="str">
        <f>IF($K$4="전체 정기","정기",IF($K$4="전체 비정기","비정기",IFERROR(IF(INDEX($N$6:$N$24,MATCH($C13,$M$6:$M$24,0))=INDEX($O$6:$O$24,MATCH($C13,$M$6:$M$24,0)),"정기",INDEX($N$6:$N$24,MATCH($C13,$M$6:$M$24,0))),"정기")))</f>
        <v>정기</v>
      </c>
      <c r="M13" s="16" t="s">
        <v>191</v>
      </c>
      <c r="N13" s="19" t="s">
        <v>166</v>
      </c>
      <c r="O13" t="s">
        <v>166</v>
      </c>
    </row>
    <row r="14" spans="1:16" x14ac:dyDescent="0.3">
      <c r="A14" s="16" t="s">
        <v>111</v>
      </c>
      <c r="B14" s="16" t="s">
        <v>60</v>
      </c>
      <c r="C14" s="16" t="s">
        <v>189</v>
      </c>
      <c r="D14" s="24">
        <v>6</v>
      </c>
      <c r="E14" s="24">
        <v>15</v>
      </c>
      <c r="F14" s="17">
        <v>16964733.333333328</v>
      </c>
      <c r="G14" s="17">
        <v>4267600</v>
      </c>
      <c r="H14" s="17">
        <v>38595390</v>
      </c>
      <c r="I14" s="16" t="s">
        <v>192</v>
      </c>
      <c r="J14" s="16" t="s">
        <v>165</v>
      </c>
      <c r="K14" s="16" t="str">
        <f>IF($K$4="전체 정기","정기",IF($K$4="전체 비정기","비정기",IFERROR(IF(INDEX($N$6:$N$24,MATCH($C14,$M$6:$M$24,0))=INDEX($O$6:$O$24,MATCH($C14,$M$6:$M$24,0)),"정기",INDEX($N$6:$N$24,MATCH($C14,$M$6:$M$24,0))),"정기")))</f>
        <v>정기</v>
      </c>
      <c r="M14" s="16" t="s">
        <v>193</v>
      </c>
      <c r="N14" s="19" t="s">
        <v>194</v>
      </c>
      <c r="O14" t="s">
        <v>194</v>
      </c>
    </row>
    <row r="15" spans="1:16" x14ac:dyDescent="0.3">
      <c r="A15" s="16" t="s">
        <v>111</v>
      </c>
      <c r="B15" s="16" t="s">
        <v>62</v>
      </c>
      <c r="C15" s="16" t="s">
        <v>191</v>
      </c>
      <c r="D15" s="24">
        <v>6</v>
      </c>
      <c r="E15" s="24">
        <v>6</v>
      </c>
      <c r="F15" s="17">
        <v>16413166.66666667</v>
      </c>
      <c r="G15" s="17">
        <v>13186330</v>
      </c>
      <c r="H15" s="17">
        <v>21278390</v>
      </c>
      <c r="I15" s="16" t="s">
        <v>192</v>
      </c>
      <c r="J15" s="16" t="s">
        <v>185</v>
      </c>
      <c r="K15" s="16" t="str">
        <f>IF($K$4="전체 정기","정기",IF($K$4="전체 비정기","비정기",IFERROR(IF(INDEX($N$6:$N$24,MATCH($C15,$M$6:$M$24,0))=INDEX($O$6:$O$24,MATCH($C15,$M$6:$M$24,0)),"정기",INDEX($N$6:$N$24,MATCH($C15,$M$6:$M$24,0))),"정기")))</f>
        <v>정기</v>
      </c>
      <c r="M15" s="16" t="s">
        <v>195</v>
      </c>
      <c r="N15" s="19" t="s">
        <v>166</v>
      </c>
      <c r="O15" t="s">
        <v>166</v>
      </c>
    </row>
    <row r="16" spans="1:16" x14ac:dyDescent="0.3">
      <c r="A16" s="16" t="s">
        <v>111</v>
      </c>
      <c r="B16" s="16" t="s">
        <v>61</v>
      </c>
      <c r="C16" s="16" t="s">
        <v>180</v>
      </c>
      <c r="D16" s="24">
        <v>6</v>
      </c>
      <c r="E16" s="24">
        <v>6</v>
      </c>
      <c r="F16" s="17">
        <v>15936433.33333333</v>
      </c>
      <c r="G16" s="17">
        <v>11953700</v>
      </c>
      <c r="H16" s="17">
        <v>22391600</v>
      </c>
      <c r="I16" s="16" t="s">
        <v>192</v>
      </c>
      <c r="J16" s="16" t="s">
        <v>171</v>
      </c>
      <c r="K16" s="16" t="str">
        <f>IF($K$4="전체 정기","정기",IF($K$4="전체 비정기","비정기",IFERROR(IF(INDEX($N$6:$N$24,MATCH($C16,$M$6:$M$24,0))=INDEX($O$6:$O$24,MATCH($C16,$M$6:$M$24,0)),"제외",INDEX($N$6:$N$24,MATCH($C16,$M$6:$M$24,0))),"제외")))</f>
        <v>제외</v>
      </c>
      <c r="M16" s="16" t="s">
        <v>196</v>
      </c>
      <c r="N16" s="19" t="s">
        <v>182</v>
      </c>
      <c r="O16" t="s">
        <v>182</v>
      </c>
    </row>
    <row r="17" spans="1:15" x14ac:dyDescent="0.3">
      <c r="A17" s="16" t="s">
        <v>111</v>
      </c>
      <c r="B17" s="16" t="s">
        <v>50</v>
      </c>
      <c r="C17" s="16" t="s">
        <v>193</v>
      </c>
      <c r="D17" s="24">
        <v>6</v>
      </c>
      <c r="E17" s="24">
        <v>6</v>
      </c>
      <c r="F17" s="17">
        <v>10790260</v>
      </c>
      <c r="G17" s="17">
        <v>10060810</v>
      </c>
      <c r="H17" s="17">
        <v>11946900</v>
      </c>
      <c r="I17" s="16" t="s">
        <v>164</v>
      </c>
      <c r="J17" s="16" t="s">
        <v>185</v>
      </c>
      <c r="K17" s="16" t="str">
        <f>IF($K$4="전체 정기","정기",IF($K$4="전체 비정기","비정기",IFERROR(IF(INDEX($N$6:$N$24,MATCH($C17,$M$6:$M$24,0))=INDEX($O$6:$O$24,MATCH($C17,$M$6:$M$24,0)),"비정기",INDEX($N$6:$N$24,MATCH($C17,$M$6:$M$24,0))),"비정기")))</f>
        <v>비정기</v>
      </c>
      <c r="M17" s="16" t="s">
        <v>197</v>
      </c>
      <c r="N17" s="19" t="s">
        <v>166</v>
      </c>
      <c r="O17" t="s">
        <v>166</v>
      </c>
    </row>
    <row r="18" spans="1:15" x14ac:dyDescent="0.3">
      <c r="A18" s="16" t="s">
        <v>111</v>
      </c>
      <c r="B18" s="16" t="s">
        <v>63</v>
      </c>
      <c r="C18" s="16" t="s">
        <v>180</v>
      </c>
      <c r="D18" s="24">
        <v>4</v>
      </c>
      <c r="E18" s="24">
        <v>6</v>
      </c>
      <c r="F18" s="17">
        <v>9157500</v>
      </c>
      <c r="G18" s="17">
        <v>3630000</v>
      </c>
      <c r="H18" s="17">
        <v>11000000</v>
      </c>
      <c r="I18" s="16" t="s">
        <v>198</v>
      </c>
      <c r="J18" s="16" t="s">
        <v>165</v>
      </c>
      <c r="K18" s="16" t="str">
        <f>IF($K$4="전체 정기","정기",IF($K$4="전체 비정기","비정기",IFERROR(IF(INDEX($N$6:$N$24,MATCH($C18,$M$6:$M$24,0))=INDEX($O$6:$O$24,MATCH($C18,$M$6:$M$24,0)),"제외",INDEX($N$6:$N$24,MATCH($C18,$M$6:$M$24,0))),"제외")))</f>
        <v>제외</v>
      </c>
      <c r="M18" s="16" t="s">
        <v>199</v>
      </c>
      <c r="N18" s="19" t="s">
        <v>33</v>
      </c>
      <c r="O18" t="s">
        <v>33</v>
      </c>
    </row>
    <row r="19" spans="1:15" x14ac:dyDescent="0.3">
      <c r="A19" s="16" t="s">
        <v>96</v>
      </c>
      <c r="B19" s="16" t="s">
        <v>58</v>
      </c>
      <c r="C19" s="16" t="s">
        <v>173</v>
      </c>
      <c r="D19" s="24">
        <v>6</v>
      </c>
      <c r="E19" s="24">
        <v>12</v>
      </c>
      <c r="F19" s="17">
        <v>9029190</v>
      </c>
      <c r="G19" s="17">
        <v>9029190</v>
      </c>
      <c r="H19" s="17">
        <v>9029190</v>
      </c>
      <c r="I19" s="16" t="s">
        <v>178</v>
      </c>
      <c r="J19" s="16" t="s">
        <v>165</v>
      </c>
      <c r="K19" s="16" t="str">
        <f>IF($K$4="전체 정기","정기",IF($K$4="전체 비정기","비정기",IFERROR(IF(INDEX($N$6:$N$24,MATCH($C19,$M$6:$M$24,0))=INDEX($O$6:$O$24,MATCH($C19,$M$6:$M$24,0)),"정기",INDEX($N$6:$N$24,MATCH($C19,$M$6:$M$24,0))),"정기")))</f>
        <v>정기</v>
      </c>
      <c r="M19" s="16" t="s">
        <v>200</v>
      </c>
      <c r="N19" s="19" t="s">
        <v>33</v>
      </c>
      <c r="O19" t="s">
        <v>33</v>
      </c>
    </row>
    <row r="20" spans="1:15" x14ac:dyDescent="0.3">
      <c r="A20" s="16" t="s">
        <v>96</v>
      </c>
      <c r="B20" s="16" t="s">
        <v>51</v>
      </c>
      <c r="C20" s="16" t="s">
        <v>195</v>
      </c>
      <c r="D20" s="24">
        <v>4</v>
      </c>
      <c r="E20" s="24">
        <v>5</v>
      </c>
      <c r="F20" s="17">
        <v>8156420</v>
      </c>
      <c r="G20" s="17">
        <v>5982620</v>
      </c>
      <c r="H20" s="17">
        <v>13325600</v>
      </c>
      <c r="I20" s="16" t="s">
        <v>164</v>
      </c>
      <c r="J20" s="16" t="s">
        <v>165</v>
      </c>
      <c r="K20" s="16" t="str">
        <f>IF($K$4="전체 정기","정기",IF($K$4="전체 비정기","비정기",IFERROR(IF(INDEX($N$6:$N$24,MATCH($C20,$M$6:$M$24,0))=INDEX($O$6:$O$24,MATCH($C20,$M$6:$M$24,0)),"정기",INDEX($N$6:$N$24,MATCH($C20,$M$6:$M$24,0))),"정기")))</f>
        <v>정기</v>
      </c>
      <c r="M20" s="16" t="s">
        <v>201</v>
      </c>
      <c r="N20" s="19" t="s">
        <v>194</v>
      </c>
      <c r="O20" t="s">
        <v>194</v>
      </c>
    </row>
    <row r="21" spans="1:15" x14ac:dyDescent="0.3">
      <c r="A21" s="16" t="s">
        <v>202</v>
      </c>
      <c r="B21" s="16" t="s">
        <v>64</v>
      </c>
      <c r="C21" s="16" t="s">
        <v>196</v>
      </c>
      <c r="D21" s="24">
        <v>7</v>
      </c>
      <c r="E21" s="24">
        <v>10</v>
      </c>
      <c r="F21" s="17">
        <v>8026057.1428571427</v>
      </c>
      <c r="G21" s="17">
        <v>2251199</v>
      </c>
      <c r="H21" s="17">
        <v>13491445</v>
      </c>
      <c r="I21" s="16" t="s">
        <v>203</v>
      </c>
      <c r="J21" s="16" t="s">
        <v>165</v>
      </c>
      <c r="K21" s="16" t="str">
        <f>IF($K$4="전체 정기","정기",IF($K$4="전체 비정기","비정기",IFERROR(IF(INDEX($N$6:$N$24,MATCH($C21,$M$6:$M$24,0))=INDEX($O$6:$O$24,MATCH($C21,$M$6:$M$24,0)),"비정기",INDEX($N$6:$N$24,MATCH($C21,$M$6:$M$24,0))),"비정기")))</f>
        <v>비정기</v>
      </c>
      <c r="M21" s="16" t="s">
        <v>204</v>
      </c>
      <c r="N21" s="19" t="s">
        <v>194</v>
      </c>
      <c r="O21" t="s">
        <v>194</v>
      </c>
    </row>
    <row r="22" spans="1:15" x14ac:dyDescent="0.3">
      <c r="A22" s="16" t="s">
        <v>96</v>
      </c>
      <c r="B22" s="16" t="s">
        <v>39</v>
      </c>
      <c r="C22" s="16" t="s">
        <v>173</v>
      </c>
      <c r="D22" s="24">
        <v>6</v>
      </c>
      <c r="E22" s="24">
        <v>12</v>
      </c>
      <c r="F22" s="17">
        <v>7641811.666666667</v>
      </c>
      <c r="G22" s="17">
        <v>7399410</v>
      </c>
      <c r="H22" s="17">
        <v>7789380</v>
      </c>
      <c r="I22" s="16" t="s">
        <v>205</v>
      </c>
      <c r="J22" s="16" t="s">
        <v>171</v>
      </c>
      <c r="K22" s="16" t="str">
        <f>IF($K$4="전체 정기","정기",IF($K$4="전체 비정기","비정기",IFERROR(IF(INDEX($N$6:$N$24,MATCH($C22,$M$6:$M$24,0))=INDEX($O$6:$O$24,MATCH($C22,$M$6:$M$24,0)),"정기",INDEX($N$6:$N$24,MATCH($C22,$M$6:$M$24,0))),"정기")))</f>
        <v>정기</v>
      </c>
      <c r="M22" s="16" t="s">
        <v>206</v>
      </c>
      <c r="N22" s="19" t="s">
        <v>194</v>
      </c>
      <c r="O22" t="s">
        <v>194</v>
      </c>
    </row>
    <row r="23" spans="1:15" x14ac:dyDescent="0.3">
      <c r="A23" s="16" t="s">
        <v>111</v>
      </c>
      <c r="B23" s="16" t="s">
        <v>207</v>
      </c>
      <c r="C23" s="16" t="s">
        <v>180</v>
      </c>
      <c r="D23" s="24">
        <v>7</v>
      </c>
      <c r="E23" s="24">
        <v>95</v>
      </c>
      <c r="F23" s="17">
        <v>6971281.4285714282</v>
      </c>
      <c r="G23" s="17">
        <v>2035000</v>
      </c>
      <c r="H23" s="17">
        <v>10472000</v>
      </c>
      <c r="I23" s="16" t="s">
        <v>208</v>
      </c>
      <c r="J23" s="16" t="s">
        <v>165</v>
      </c>
      <c r="K23" s="16" t="str">
        <f>IF($K$4="전체 정기","정기",IF($K$4="전체 비정기","비정기",IFERROR(IF(INDEX($N$6:$N$24,MATCH($C23,$M$6:$M$24,0))=INDEX($O$6:$O$24,MATCH($C23,$M$6:$M$24,0)),"비정기",INDEX($N$6:$N$24,MATCH($C23,$M$6:$M$24,0))),"비정기")))</f>
        <v>비정기</v>
      </c>
      <c r="M23" s="16" t="s">
        <v>209</v>
      </c>
      <c r="N23" s="19" t="s">
        <v>166</v>
      </c>
      <c r="O23" t="s">
        <v>166</v>
      </c>
    </row>
    <row r="24" spans="1:15" x14ac:dyDescent="0.3">
      <c r="A24" s="16" t="s">
        <v>202</v>
      </c>
      <c r="B24" s="16" t="s">
        <v>40</v>
      </c>
      <c r="C24" s="16" t="s">
        <v>197</v>
      </c>
      <c r="D24" s="24">
        <v>6</v>
      </c>
      <c r="E24" s="24">
        <v>8</v>
      </c>
      <c r="F24" s="17">
        <v>6066501.5</v>
      </c>
      <c r="G24" s="17">
        <v>3650483</v>
      </c>
      <c r="H24" s="17">
        <v>10777166</v>
      </c>
      <c r="I24" s="16" t="s">
        <v>205</v>
      </c>
      <c r="J24" s="16" t="s">
        <v>185</v>
      </c>
      <c r="K24" s="16" t="str">
        <f>IF($K$4="전체 정기","정기",IF($K$4="전체 비정기","비정기",IFERROR(IF(INDEX($N$6:$N$24,MATCH($C24,$M$6:$M$24,0))=INDEX($O$6:$O$24,MATCH($C24,$M$6:$M$24,0)),"정기",INDEX($N$6:$N$24,MATCH($C24,$M$6:$M$24,0))),"정기")))</f>
        <v>정기</v>
      </c>
      <c r="M24" s="16" t="s">
        <v>210</v>
      </c>
      <c r="N24" s="19" t="s">
        <v>166</v>
      </c>
      <c r="O24" t="s">
        <v>166</v>
      </c>
    </row>
    <row r="25" spans="1:15" x14ac:dyDescent="0.3">
      <c r="A25" s="16" t="s">
        <v>96</v>
      </c>
      <c r="B25" s="16" t="s">
        <v>72</v>
      </c>
      <c r="C25" s="16" t="s">
        <v>173</v>
      </c>
      <c r="D25" s="24">
        <v>6</v>
      </c>
      <c r="E25" s="24">
        <v>6</v>
      </c>
      <c r="F25" s="17">
        <v>5001750</v>
      </c>
      <c r="G25" s="17">
        <v>5001750</v>
      </c>
      <c r="H25" s="17">
        <v>5001750</v>
      </c>
      <c r="I25" s="16" t="s">
        <v>211</v>
      </c>
      <c r="J25" s="16" t="s">
        <v>185</v>
      </c>
      <c r="K25" s="16" t="str">
        <f>IF($K$4="전체 정기","정기",IF($K$4="전체 비정기","비정기",IFERROR(IF(INDEX($N$6:$N$24,MATCH($C25,$M$6:$M$24,0))=INDEX($O$6:$O$24,MATCH($C25,$M$6:$M$24,0)),"정기",INDEX($N$6:$N$24,MATCH($C25,$M$6:$M$24,0))),"정기")))</f>
        <v>정기</v>
      </c>
    </row>
    <row r="26" spans="1:15" x14ac:dyDescent="0.3">
      <c r="A26" s="16" t="s">
        <v>96</v>
      </c>
      <c r="B26" s="16" t="s">
        <v>55</v>
      </c>
      <c r="C26" s="16" t="s">
        <v>173</v>
      </c>
      <c r="D26" s="24">
        <v>6</v>
      </c>
      <c r="E26" s="24">
        <v>6</v>
      </c>
      <c r="F26" s="17">
        <v>4494000</v>
      </c>
      <c r="G26" s="17">
        <v>4494000</v>
      </c>
      <c r="H26" s="17">
        <v>4494000</v>
      </c>
      <c r="I26" s="16" t="s">
        <v>212</v>
      </c>
      <c r="J26" s="16" t="s">
        <v>185</v>
      </c>
      <c r="K26" s="16" t="str">
        <f>IF($K$4="전체 정기","정기",IF($K$4="전체 비정기","비정기",IFERROR(IF(INDEX($N$6:$N$24,MATCH($C26,$M$6:$M$24,0))=INDEX($O$6:$O$24,MATCH($C26,$M$6:$M$24,0)),"정기",INDEX($N$6:$N$24,MATCH($C26,$M$6:$M$24,0))),"정기")))</f>
        <v>정기</v>
      </c>
    </row>
    <row r="27" spans="1:15" x14ac:dyDescent="0.3">
      <c r="A27" s="16" t="s">
        <v>111</v>
      </c>
      <c r="B27" s="16" t="s">
        <v>213</v>
      </c>
      <c r="C27" s="16" t="s">
        <v>180</v>
      </c>
      <c r="D27" s="24">
        <v>7</v>
      </c>
      <c r="E27" s="24">
        <v>22</v>
      </c>
      <c r="F27" s="17">
        <v>3828571.4285714291</v>
      </c>
      <c r="G27" s="17">
        <v>2500000</v>
      </c>
      <c r="H27" s="17">
        <v>6000000</v>
      </c>
      <c r="I27" s="16" t="s">
        <v>181</v>
      </c>
      <c r="J27" s="16" t="s">
        <v>165</v>
      </c>
      <c r="K27" s="16" t="str">
        <f>IF($K$4="전체 정기","정기",IF($K$4="전체 비정기","비정기",IFERROR(IF(INDEX($N$6:$N$24,MATCH($C27,$M$6:$M$24,0))=INDEX($O$6:$O$24,MATCH($C27,$M$6:$M$24,0)),"제외",INDEX($N$6:$N$24,MATCH($C27,$M$6:$M$24,0))),"제외")))</f>
        <v>제외</v>
      </c>
    </row>
    <row r="28" spans="1:15" x14ac:dyDescent="0.3">
      <c r="A28" s="16" t="s">
        <v>111</v>
      </c>
      <c r="B28" s="16" t="s">
        <v>56</v>
      </c>
      <c r="C28" s="16" t="s">
        <v>196</v>
      </c>
      <c r="D28" s="24">
        <v>5</v>
      </c>
      <c r="E28" s="24">
        <v>5</v>
      </c>
      <c r="F28" s="17">
        <v>3003000</v>
      </c>
      <c r="G28" s="17">
        <v>3003000</v>
      </c>
      <c r="H28" s="17">
        <v>3003000</v>
      </c>
      <c r="I28" s="16" t="s">
        <v>184</v>
      </c>
      <c r="J28" s="16" t="s">
        <v>171</v>
      </c>
      <c r="K28" s="16" t="str">
        <f>IF($K$4="전체 정기","정기",IF($K$4="전체 비정기","비정기",IFERROR(IF(INDEX($N$6:$N$24,MATCH($C28,$M$6:$M$24,0))=INDEX($O$6:$O$24,MATCH($C28,$M$6:$M$24,0)),"정기",INDEX($N$6:$N$24,MATCH($C28,$M$6:$M$24,0))),"정기")))</f>
        <v>정기</v>
      </c>
    </row>
    <row r="29" spans="1:15" x14ac:dyDescent="0.3">
      <c r="A29" s="16" t="s">
        <v>96</v>
      </c>
      <c r="B29" s="16" t="s">
        <v>53</v>
      </c>
      <c r="C29" s="16" t="s">
        <v>180</v>
      </c>
      <c r="D29" s="24">
        <v>6</v>
      </c>
      <c r="E29" s="24">
        <v>6</v>
      </c>
      <c r="F29" s="17">
        <v>2952746.666666667</v>
      </c>
      <c r="G29" s="17">
        <v>2797570</v>
      </c>
      <c r="H29" s="17">
        <v>3688630</v>
      </c>
      <c r="I29" s="16" t="s">
        <v>214</v>
      </c>
      <c r="J29" s="16" t="s">
        <v>185</v>
      </c>
      <c r="K29" s="16" t="str">
        <f>IF($K$4="전체 정기","정기",IF($K$4="전체 비정기","비정기",IFERROR(IF(INDEX($N$6:$N$24,MATCH($C29,$M$6:$M$24,0))=INDEX($O$6:$O$24,MATCH($C29,$M$6:$M$24,0)),"제외",INDEX($N$6:$N$24,MATCH($C29,$M$6:$M$24,0))),"제외")))</f>
        <v>제외</v>
      </c>
    </row>
    <row r="30" spans="1:15" x14ac:dyDescent="0.3">
      <c r="A30" s="16" t="s">
        <v>111</v>
      </c>
      <c r="B30" s="16" t="s">
        <v>66</v>
      </c>
      <c r="C30" s="16" t="s">
        <v>180</v>
      </c>
      <c r="D30" s="24">
        <v>6</v>
      </c>
      <c r="E30" s="24">
        <v>8</v>
      </c>
      <c r="F30" s="17">
        <v>2659286.666666667</v>
      </c>
      <c r="G30" s="17">
        <v>426700</v>
      </c>
      <c r="H30" s="17">
        <v>5539200</v>
      </c>
      <c r="I30" s="16" t="s">
        <v>192</v>
      </c>
      <c r="J30" s="16" t="s">
        <v>165</v>
      </c>
      <c r="K30" s="16" t="str">
        <f>IF($K$4="전체 정기","정기",IF($K$4="전체 비정기","비정기",IFERROR(IF(INDEX($N$6:$N$24,MATCH($C30,$M$6:$M$24,0))=INDEX($O$6:$O$24,MATCH($C30,$M$6:$M$24,0)),"제외",INDEX($N$6:$N$24,MATCH($C30,$M$6:$M$24,0))),"제외")))</f>
        <v>제외</v>
      </c>
    </row>
    <row r="31" spans="1:15" x14ac:dyDescent="0.3">
      <c r="A31" s="16" t="s">
        <v>111</v>
      </c>
      <c r="B31" s="16" t="s">
        <v>215</v>
      </c>
      <c r="C31" s="16" t="s">
        <v>180</v>
      </c>
      <c r="D31" s="24">
        <v>7</v>
      </c>
      <c r="E31" s="24">
        <v>37</v>
      </c>
      <c r="F31" s="17">
        <v>2361445.7142857141</v>
      </c>
      <c r="G31" s="17">
        <v>1498169</v>
      </c>
      <c r="H31" s="17">
        <v>3215678</v>
      </c>
      <c r="I31" s="16" t="s">
        <v>216</v>
      </c>
      <c r="J31" s="16" t="s">
        <v>165</v>
      </c>
      <c r="K31" s="16" t="str">
        <f>IF($K$4="전체 정기","정기",IF($K$4="전체 비정기","비정기",IFERROR(IF(INDEX($N$6:$N$24,MATCH($C31,$M$6:$M$24,0))=INDEX($O$6:$O$24,MATCH($C31,$M$6:$M$24,0)),"제외",INDEX($N$6:$N$24,MATCH($C31,$M$6:$M$24,0))),"제외")))</f>
        <v>제외</v>
      </c>
    </row>
    <row r="32" spans="1:15" x14ac:dyDescent="0.3">
      <c r="A32" s="16" t="s">
        <v>111</v>
      </c>
      <c r="B32" s="16" t="s">
        <v>217</v>
      </c>
      <c r="C32" s="16" t="s">
        <v>199</v>
      </c>
      <c r="D32" s="24">
        <v>4</v>
      </c>
      <c r="E32" s="24">
        <v>8</v>
      </c>
      <c r="F32" s="17">
        <v>2265209.25</v>
      </c>
      <c r="G32" s="17">
        <v>860000</v>
      </c>
      <c r="H32" s="17">
        <v>4836318</v>
      </c>
      <c r="I32" s="16" t="s">
        <v>211</v>
      </c>
      <c r="J32" s="16" t="s">
        <v>165</v>
      </c>
      <c r="K32" s="16" t="str">
        <f>IF($K$4="전체 정기","정기",IF($K$4="전체 비정기","비정기",IFERROR(IF(INDEX($N$6:$N$24,MATCH($C32,$M$6:$M$24,0))=INDEX($O$6:$O$24,MATCH($C32,$M$6:$M$24,0)),"제외",INDEX($N$6:$N$24,MATCH($C32,$M$6:$M$24,0))),"제외")))</f>
        <v>제외</v>
      </c>
    </row>
    <row r="33" spans="1:11" x14ac:dyDescent="0.3">
      <c r="A33" s="16" t="s">
        <v>111</v>
      </c>
      <c r="B33" s="16" t="s">
        <v>42</v>
      </c>
      <c r="C33" s="16" t="s">
        <v>200</v>
      </c>
      <c r="D33" s="24">
        <v>4</v>
      </c>
      <c r="E33" s="24">
        <v>8</v>
      </c>
      <c r="F33" s="17">
        <v>2000000</v>
      </c>
      <c r="G33" s="17">
        <v>2000000</v>
      </c>
      <c r="H33" s="17">
        <v>2000000</v>
      </c>
      <c r="I33" s="16" t="s">
        <v>190</v>
      </c>
      <c r="J33" s="16" t="s">
        <v>171</v>
      </c>
      <c r="K33" s="16" t="str">
        <f>IF($K$4="전체 정기","정기",IF($K$4="전체 비정기","비정기",IFERROR(IF(INDEX($N$6:$N$24,MATCH($C33,$M$6:$M$24,0))=INDEX($O$6:$O$24,MATCH($C33,$M$6:$M$24,0)),"제외",INDEX($N$6:$N$24,MATCH($C33,$M$6:$M$24,0))),"제외")))</f>
        <v>제외</v>
      </c>
    </row>
    <row r="34" spans="1:11" x14ac:dyDescent="0.3">
      <c r="A34" s="16" t="s">
        <v>111</v>
      </c>
      <c r="B34" s="16" t="s">
        <v>218</v>
      </c>
      <c r="C34" s="16" t="s">
        <v>201</v>
      </c>
      <c r="D34" s="24">
        <v>4</v>
      </c>
      <c r="E34" s="24">
        <v>4</v>
      </c>
      <c r="F34" s="17">
        <v>1725000</v>
      </c>
      <c r="G34" s="17">
        <v>1626000</v>
      </c>
      <c r="H34" s="17">
        <v>1836000</v>
      </c>
      <c r="I34" s="16" t="s">
        <v>219</v>
      </c>
      <c r="J34" s="16" t="s">
        <v>171</v>
      </c>
      <c r="K34" s="16" t="str">
        <f>IF($K$4="전체 정기","정기",IF($K$4="전체 비정기","비정기",IFERROR(IF(INDEX($N$6:$N$24,MATCH($C34,$M$6:$M$24,0))=INDEX($O$6:$O$24,MATCH($C34,$M$6:$M$24,0)),"비정기",INDEX($N$6:$N$24,MATCH($C34,$M$6:$M$24,0))),"비정기")))</f>
        <v>비정기</v>
      </c>
    </row>
    <row r="35" spans="1:11" x14ac:dyDescent="0.3">
      <c r="A35" s="16" t="s">
        <v>111</v>
      </c>
      <c r="B35" s="16" t="s">
        <v>43</v>
      </c>
      <c r="C35" s="16" t="s">
        <v>204</v>
      </c>
      <c r="D35" s="24">
        <v>5</v>
      </c>
      <c r="E35" s="24">
        <v>5</v>
      </c>
      <c r="F35" s="17">
        <v>1650000</v>
      </c>
      <c r="G35" s="17">
        <v>1650000</v>
      </c>
      <c r="H35" s="17">
        <v>1650000</v>
      </c>
      <c r="I35" s="16" t="s">
        <v>220</v>
      </c>
      <c r="J35" s="16" t="s">
        <v>171</v>
      </c>
      <c r="K35" s="16" t="str">
        <f>IF($K$4="전체 정기","정기",IF($K$4="전체 비정기","비정기",IFERROR(IF(INDEX($N$6:$N$24,MATCH($C35,$M$6:$M$24,0))=INDEX($O$6:$O$24,MATCH($C35,$M$6:$M$24,0)),"비정기",INDEX($N$6:$N$24,MATCH($C35,$M$6:$M$24,0))),"비정기")))</f>
        <v>비정기</v>
      </c>
    </row>
    <row r="36" spans="1:11" x14ac:dyDescent="0.3">
      <c r="A36" s="16" t="s">
        <v>111</v>
      </c>
      <c r="B36" s="16" t="s">
        <v>221</v>
      </c>
      <c r="C36" s="16" t="s">
        <v>204</v>
      </c>
      <c r="D36" s="24">
        <v>4</v>
      </c>
      <c r="E36" s="24">
        <v>5</v>
      </c>
      <c r="F36" s="17">
        <v>1600000</v>
      </c>
      <c r="G36" s="17">
        <v>350000</v>
      </c>
      <c r="H36" s="17">
        <v>5350000</v>
      </c>
      <c r="I36" s="16" t="s">
        <v>222</v>
      </c>
      <c r="J36" s="16" t="s">
        <v>165</v>
      </c>
      <c r="K36" s="16" t="str">
        <f>IF($K$4="전체 정기","정기",IF($K$4="전체 비정기","비정기",IFERROR(IF(INDEX($N$6:$N$24,MATCH($C36,$M$6:$M$24,0))=INDEX($O$6:$O$24,MATCH($C36,$M$6:$M$24,0)),"비정기",INDEX($N$6:$N$24,MATCH($C36,$M$6:$M$24,0))),"비정기")))</f>
        <v>비정기</v>
      </c>
    </row>
    <row r="37" spans="1:11" x14ac:dyDescent="0.3">
      <c r="A37" s="16" t="s">
        <v>111</v>
      </c>
      <c r="B37" s="16" t="s">
        <v>31</v>
      </c>
      <c r="C37" s="16" t="s">
        <v>180</v>
      </c>
      <c r="D37" s="24">
        <v>4</v>
      </c>
      <c r="E37" s="24">
        <v>4</v>
      </c>
      <c r="F37" s="17">
        <v>1533487.75</v>
      </c>
      <c r="G37" s="17">
        <v>1293951</v>
      </c>
      <c r="H37" s="17">
        <v>2200000</v>
      </c>
      <c r="I37" s="16" t="s">
        <v>223</v>
      </c>
      <c r="J37" s="16" t="s">
        <v>165</v>
      </c>
      <c r="K37" s="16" t="str">
        <f t="shared" ref="K37:K42" si="0">IF($K$4="전체 정기","정기",IF($K$4="전체 비정기","비정기",IFERROR(IF(INDEX($N$6:$N$24,MATCH($C37,$M$6:$M$24,0))=INDEX($O$6:$O$24,MATCH($C37,$M$6:$M$24,0)),"제외",INDEX($N$6:$N$24,MATCH($C37,$M$6:$M$24,0))),"제외")))</f>
        <v>제외</v>
      </c>
    </row>
    <row r="38" spans="1:11" x14ac:dyDescent="0.3">
      <c r="A38" s="16" t="s">
        <v>111</v>
      </c>
      <c r="B38" s="16" t="s">
        <v>224</v>
      </c>
      <c r="C38" s="16" t="s">
        <v>169</v>
      </c>
      <c r="D38" s="24">
        <v>6</v>
      </c>
      <c r="E38" s="24">
        <v>7</v>
      </c>
      <c r="F38" s="17">
        <v>1369025</v>
      </c>
      <c r="G38" s="17">
        <v>385585</v>
      </c>
      <c r="H38" s="17">
        <v>2841698</v>
      </c>
      <c r="I38" s="16" t="s">
        <v>170</v>
      </c>
      <c r="J38" s="16" t="s">
        <v>165</v>
      </c>
      <c r="K38" s="16" t="str">
        <f t="shared" si="0"/>
        <v>제외</v>
      </c>
    </row>
    <row r="39" spans="1:11" x14ac:dyDescent="0.3">
      <c r="A39" s="16" t="s">
        <v>111</v>
      </c>
      <c r="B39" s="16" t="s">
        <v>46</v>
      </c>
      <c r="C39" s="16" t="s">
        <v>199</v>
      </c>
      <c r="D39" s="24">
        <v>5</v>
      </c>
      <c r="E39" s="24">
        <v>7</v>
      </c>
      <c r="F39" s="17">
        <v>1348600</v>
      </c>
      <c r="G39" s="17">
        <v>385000</v>
      </c>
      <c r="H39" s="17">
        <v>4818000</v>
      </c>
      <c r="I39" s="16" t="s">
        <v>225</v>
      </c>
      <c r="J39" s="16" t="s">
        <v>165</v>
      </c>
      <c r="K39" s="16" t="str">
        <f t="shared" si="0"/>
        <v>제외</v>
      </c>
    </row>
    <row r="40" spans="1:11" x14ac:dyDescent="0.3">
      <c r="A40" s="16" t="s">
        <v>111</v>
      </c>
      <c r="B40" s="16" t="s">
        <v>47</v>
      </c>
      <c r="C40" s="16" t="s">
        <v>180</v>
      </c>
      <c r="D40" s="24">
        <v>4</v>
      </c>
      <c r="E40" s="24">
        <v>4</v>
      </c>
      <c r="F40" s="17">
        <v>1045000</v>
      </c>
      <c r="G40" s="17">
        <v>880000</v>
      </c>
      <c r="H40" s="17">
        <v>1320000</v>
      </c>
      <c r="I40" s="16" t="s">
        <v>225</v>
      </c>
      <c r="J40" s="16" t="s">
        <v>165</v>
      </c>
      <c r="K40" s="16" t="str">
        <f t="shared" si="0"/>
        <v>제외</v>
      </c>
    </row>
    <row r="41" spans="1:11" x14ac:dyDescent="0.3">
      <c r="A41" s="16" t="s">
        <v>111</v>
      </c>
      <c r="B41" s="16" t="s">
        <v>68</v>
      </c>
      <c r="C41" s="16" t="s">
        <v>180</v>
      </c>
      <c r="D41" s="24">
        <v>6</v>
      </c>
      <c r="E41" s="24">
        <v>12</v>
      </c>
      <c r="F41" s="17">
        <v>931626.66666666663</v>
      </c>
      <c r="G41" s="17">
        <v>440000</v>
      </c>
      <c r="H41" s="17">
        <v>1650000</v>
      </c>
      <c r="I41" s="16" t="s">
        <v>178</v>
      </c>
      <c r="J41" s="16" t="s">
        <v>165</v>
      </c>
      <c r="K41" s="16" t="str">
        <f t="shared" si="0"/>
        <v>제외</v>
      </c>
    </row>
    <row r="42" spans="1:11" x14ac:dyDescent="0.3">
      <c r="A42" s="16" t="s">
        <v>111</v>
      </c>
      <c r="B42" s="16" t="s">
        <v>226</v>
      </c>
      <c r="C42" s="16" t="s">
        <v>199</v>
      </c>
      <c r="D42" s="24">
        <v>7</v>
      </c>
      <c r="E42" s="24">
        <v>13</v>
      </c>
      <c r="F42" s="17">
        <v>600000</v>
      </c>
      <c r="G42" s="17">
        <v>400000</v>
      </c>
      <c r="H42" s="17">
        <v>1060000</v>
      </c>
      <c r="I42" s="16" t="s">
        <v>188</v>
      </c>
      <c r="J42" s="16" t="s">
        <v>165</v>
      </c>
      <c r="K42" s="16" t="str">
        <f t="shared" si="0"/>
        <v>제외</v>
      </c>
    </row>
    <row r="43" spans="1:11" x14ac:dyDescent="0.3">
      <c r="A43" s="16" t="s">
        <v>111</v>
      </c>
      <c r="B43" s="16" t="s">
        <v>48</v>
      </c>
      <c r="C43" s="16" t="s">
        <v>206</v>
      </c>
      <c r="D43" s="24">
        <v>4</v>
      </c>
      <c r="E43" s="24">
        <v>4</v>
      </c>
      <c r="F43" s="17">
        <v>586192.5</v>
      </c>
      <c r="G43" s="17">
        <v>434320</v>
      </c>
      <c r="H43" s="17">
        <v>908980</v>
      </c>
      <c r="I43" s="16" t="s">
        <v>225</v>
      </c>
      <c r="J43" s="16" t="s">
        <v>165</v>
      </c>
      <c r="K43" s="16" t="str">
        <f>IF($K$4="전체 정기","정기",IF($K$4="전체 비정기","비정기",IFERROR(IF(INDEX($N$6:$N$24,MATCH($C43,$M$6:$M$24,0))=INDEX($O$6:$O$24,MATCH($C43,$M$6:$M$24,0)),"비정기",INDEX($N$6:$N$24,MATCH($C43,$M$6:$M$24,0))),"비정기")))</f>
        <v>비정기</v>
      </c>
    </row>
    <row r="44" spans="1:11" x14ac:dyDescent="0.3">
      <c r="A44" s="16" t="s">
        <v>111</v>
      </c>
      <c r="B44" s="16" t="s">
        <v>44</v>
      </c>
      <c r="C44" s="16" t="s">
        <v>199</v>
      </c>
      <c r="D44" s="24">
        <v>7</v>
      </c>
      <c r="E44" s="24">
        <v>8</v>
      </c>
      <c r="F44" s="17">
        <v>449428.57142857142</v>
      </c>
      <c r="G44" s="17">
        <v>275000</v>
      </c>
      <c r="H44" s="17">
        <v>1100000</v>
      </c>
      <c r="I44" s="16" t="s">
        <v>220</v>
      </c>
      <c r="J44" s="16" t="s">
        <v>165</v>
      </c>
      <c r="K44" s="16" t="str">
        <f>IF($K$4="전체 정기","정기",IF($K$4="전체 비정기","비정기",IFERROR(IF(INDEX($N$6:$N$24,MATCH($C44,$M$6:$M$24,0))=INDEX($O$6:$O$24,MATCH($C44,$M$6:$M$24,0)),"제외",INDEX($N$6:$N$24,MATCH($C44,$M$6:$M$24,0))),"제외")))</f>
        <v>제외</v>
      </c>
    </row>
    <row r="45" spans="1:11" x14ac:dyDescent="0.3">
      <c r="A45" s="16" t="s">
        <v>111</v>
      </c>
      <c r="B45" s="16" t="s">
        <v>36</v>
      </c>
      <c r="C45" s="16" t="s">
        <v>180</v>
      </c>
      <c r="D45" s="24">
        <v>6</v>
      </c>
      <c r="E45" s="24">
        <v>10</v>
      </c>
      <c r="F45" s="17">
        <v>231733.33333333331</v>
      </c>
      <c r="G45" s="17">
        <v>107800</v>
      </c>
      <c r="H45" s="17">
        <v>381700</v>
      </c>
      <c r="I45" s="16" t="s">
        <v>227</v>
      </c>
      <c r="J45" s="16" t="s">
        <v>171</v>
      </c>
      <c r="K45" s="16" t="str">
        <f>IF($K$4="전체 정기","정기",IF($K$4="전체 비정기","비정기",IFERROR(IF(INDEX($N$6:$N$24,MATCH($C45,$M$6:$M$24,0))=INDEX($O$6:$O$24,MATCH($C45,$M$6:$M$24,0)),"제외",INDEX($N$6:$N$24,MATCH($C45,$M$6:$M$24,0))),"제외")))</f>
        <v>제외</v>
      </c>
    </row>
    <row r="46" spans="1:11" x14ac:dyDescent="0.3">
      <c r="A46" s="16" t="s">
        <v>111</v>
      </c>
      <c r="B46" s="16" t="s">
        <v>34</v>
      </c>
      <c r="C46" s="16" t="s">
        <v>209</v>
      </c>
      <c r="D46" s="24">
        <v>6</v>
      </c>
      <c r="E46" s="24">
        <v>12</v>
      </c>
      <c r="F46" s="17">
        <v>223019.33333333331</v>
      </c>
      <c r="G46" s="17">
        <v>220399</v>
      </c>
      <c r="H46" s="17">
        <v>227899</v>
      </c>
      <c r="I46" s="16" t="s">
        <v>228</v>
      </c>
      <c r="J46" s="16" t="s">
        <v>185</v>
      </c>
      <c r="K46" s="16" t="str">
        <f>IF($K$4="전체 정기","정기",IF($K$4="전체 비정기","비정기",IFERROR(IF(INDEX($N$6:$N$24,MATCH($C46,$M$6:$M$24,0))=INDEX($O$6:$O$24,MATCH($C46,$M$6:$M$24,0)),"정기",INDEX($N$6:$N$24,MATCH($C46,$M$6:$M$24,0))),"정기")))</f>
        <v>정기</v>
      </c>
    </row>
    <row r="47" spans="1:11" x14ac:dyDescent="0.3">
      <c r="A47" s="16" t="s">
        <v>111</v>
      </c>
      <c r="B47" s="16" t="s">
        <v>69</v>
      </c>
      <c r="C47" s="16" t="s">
        <v>199</v>
      </c>
      <c r="D47" s="24">
        <v>5</v>
      </c>
      <c r="E47" s="24">
        <v>5</v>
      </c>
      <c r="F47" s="17">
        <v>220000</v>
      </c>
      <c r="G47" s="17">
        <v>220000</v>
      </c>
      <c r="H47" s="17">
        <v>220000</v>
      </c>
      <c r="I47" s="16" t="s">
        <v>178</v>
      </c>
      <c r="J47" s="16" t="s">
        <v>165</v>
      </c>
      <c r="K47" s="16" t="str">
        <f>IF($K$4="전체 정기","정기",IF($K$4="전체 비정기","비정기",IFERROR(IF(INDEX($N$6:$N$24,MATCH($C47,$M$6:$M$24,0))=INDEX($O$6:$O$24,MATCH($C47,$M$6:$M$24,0)),"제외",INDEX($N$6:$N$24,MATCH($C47,$M$6:$M$24,0))),"제외")))</f>
        <v>제외</v>
      </c>
    </row>
    <row r="48" spans="1:11" x14ac:dyDescent="0.3">
      <c r="A48" s="16" t="s">
        <v>111</v>
      </c>
      <c r="B48" s="16" t="s">
        <v>52</v>
      </c>
      <c r="C48" s="16" t="s">
        <v>206</v>
      </c>
      <c r="D48" s="24">
        <v>5</v>
      </c>
      <c r="E48" s="24">
        <v>6</v>
      </c>
      <c r="F48" s="17">
        <v>214586</v>
      </c>
      <c r="G48" s="17">
        <v>166590</v>
      </c>
      <c r="H48" s="17">
        <v>328130</v>
      </c>
      <c r="I48" s="16" t="s">
        <v>164</v>
      </c>
      <c r="J48" s="16" t="s">
        <v>165</v>
      </c>
      <c r="K48" s="16" t="str">
        <f>IF($K$4="전체 정기","정기",IF($K$4="전체 비정기","비정기",IFERROR(IF(INDEX($N$6:$N$24,MATCH($C48,$M$6:$M$24,0))=INDEX($O$6:$O$24,MATCH($C48,$M$6:$M$24,0)),"비정기",INDEX($N$6:$N$24,MATCH($C48,$M$6:$M$24,0))),"비정기")))</f>
        <v>비정기</v>
      </c>
    </row>
    <row r="49" spans="1:11" x14ac:dyDescent="0.3">
      <c r="A49" s="16" t="s">
        <v>111</v>
      </c>
      <c r="B49" s="16" t="s">
        <v>70</v>
      </c>
      <c r="C49" s="16" t="s">
        <v>180</v>
      </c>
      <c r="D49" s="24">
        <v>6</v>
      </c>
      <c r="E49" s="24">
        <v>6</v>
      </c>
      <c r="F49" s="17">
        <v>198000</v>
      </c>
      <c r="G49" s="17">
        <v>198000</v>
      </c>
      <c r="H49" s="17">
        <v>198000</v>
      </c>
      <c r="I49" s="16" t="s">
        <v>198</v>
      </c>
      <c r="J49" s="16" t="s">
        <v>171</v>
      </c>
      <c r="K49" s="16" t="str">
        <f>IF($K$4="전체 정기","정기",IF($K$4="전체 비정기","비정기",IFERROR(IF(INDEX($N$6:$N$24,MATCH($C49,$M$6:$M$24,0))=INDEX($O$6:$O$24,MATCH($C49,$M$6:$M$24,0)),"제외",INDEX($N$6:$N$24,MATCH($C49,$M$6:$M$24,0))),"제외")))</f>
        <v>제외</v>
      </c>
    </row>
    <row r="50" spans="1:11" x14ac:dyDescent="0.3">
      <c r="A50" s="16" t="s">
        <v>111</v>
      </c>
      <c r="B50" s="16" t="s">
        <v>41</v>
      </c>
      <c r="C50" s="16" t="s">
        <v>204</v>
      </c>
      <c r="D50" s="24">
        <v>4</v>
      </c>
      <c r="E50" s="24">
        <v>9</v>
      </c>
      <c r="F50" s="17">
        <v>173250</v>
      </c>
      <c r="G50" s="17">
        <v>77000</v>
      </c>
      <c r="H50" s="17">
        <v>231000</v>
      </c>
      <c r="I50" s="16" t="s">
        <v>205</v>
      </c>
      <c r="J50" s="16" t="s">
        <v>165</v>
      </c>
      <c r="K50" s="16" t="str">
        <f>IF($K$4="전체 정기","정기",IF($K$4="전체 비정기","비정기",IFERROR(IF(INDEX($N$6:$N$24,MATCH($C50,$M$6:$M$24,0))=INDEX($O$6:$O$24,MATCH($C50,$M$6:$M$24,0)),"비정기",INDEX($N$6:$N$24,MATCH($C50,$M$6:$M$24,0))),"비정기")))</f>
        <v>비정기</v>
      </c>
    </row>
    <row r="51" spans="1:11" x14ac:dyDescent="0.3">
      <c r="A51" s="16" t="s">
        <v>96</v>
      </c>
      <c r="B51" s="16" t="s">
        <v>73</v>
      </c>
      <c r="C51" s="16" t="s">
        <v>210</v>
      </c>
      <c r="D51" s="24">
        <v>5</v>
      </c>
      <c r="E51" s="24">
        <v>5</v>
      </c>
      <c r="F51" s="17">
        <v>155361.20000000001</v>
      </c>
      <c r="G51" s="17">
        <v>46750</v>
      </c>
      <c r="H51" s="17">
        <v>253800</v>
      </c>
      <c r="I51" s="16" t="s">
        <v>211</v>
      </c>
      <c r="J51" s="16" t="s">
        <v>171</v>
      </c>
      <c r="K51" s="16" t="str">
        <f>IF($K$4="전체 정기","정기",IF($K$4="전체 비정기","비정기",IFERROR(IF(INDEX($N$6:$N$24,MATCH($C51,$M$6:$M$24,0))=INDEX($O$6:$O$24,MATCH($C51,$M$6:$M$24,0)),"정기",INDEX($N$6:$N$24,MATCH($C51,$M$6:$M$24,0))),"정기")))</f>
        <v>정기</v>
      </c>
    </row>
    <row r="52" spans="1:11" x14ac:dyDescent="0.3">
      <c r="A52" s="16" t="s">
        <v>111</v>
      </c>
      <c r="B52" s="16" t="s">
        <v>229</v>
      </c>
      <c r="C52" s="16" t="s">
        <v>199</v>
      </c>
      <c r="D52" s="24">
        <v>6</v>
      </c>
      <c r="E52" s="24">
        <v>23</v>
      </c>
      <c r="F52" s="17">
        <v>125460</v>
      </c>
      <c r="G52" s="17">
        <v>104710</v>
      </c>
      <c r="H52" s="17">
        <v>129610</v>
      </c>
      <c r="I52" s="16" t="s">
        <v>211</v>
      </c>
      <c r="J52" s="16" t="s">
        <v>185</v>
      </c>
      <c r="K52" s="16" t="str">
        <f>IF($K$4="전체 정기","정기",IF($K$4="전체 비정기","비정기",IFERROR(IF(INDEX($N$6:$N$24,MATCH($C52,$M$6:$M$24,0))=INDEX($O$6:$O$24,MATCH($C52,$M$6:$M$24,0)),"제외",INDEX($N$6:$N$24,MATCH($C52,$M$6:$M$24,0))),"제외")))</f>
        <v>제외</v>
      </c>
    </row>
    <row r="53" spans="1:11" x14ac:dyDescent="0.3">
      <c r="A53" s="16" t="s">
        <v>111</v>
      </c>
      <c r="B53" s="16" t="s">
        <v>45</v>
      </c>
      <c r="C53" s="16" t="s">
        <v>209</v>
      </c>
      <c r="D53" s="24">
        <v>6</v>
      </c>
      <c r="E53" s="24">
        <v>6</v>
      </c>
      <c r="F53" s="17">
        <v>113633.3333333333</v>
      </c>
      <c r="G53" s="17">
        <v>98460</v>
      </c>
      <c r="H53" s="17">
        <v>145540</v>
      </c>
      <c r="I53" s="16" t="s">
        <v>230</v>
      </c>
      <c r="J53" s="16" t="s">
        <v>185</v>
      </c>
      <c r="K53" s="16" t="str">
        <f>IF($K$4="전체 정기","정기",IF($K$4="전체 비정기","비정기",IFERROR(IF(INDEX($N$6:$N$24,MATCH($C53,$M$6:$M$24,0))=INDEX($O$6:$O$24,MATCH($C53,$M$6:$M$24,0)),"정기",INDEX($N$6:$N$24,MATCH($C53,$M$6:$M$24,0))),"정기")))</f>
        <v>정기</v>
      </c>
    </row>
    <row r="54" spans="1:11" x14ac:dyDescent="0.3">
      <c r="A54" s="16" t="s">
        <v>111</v>
      </c>
      <c r="B54" s="16" t="s">
        <v>71</v>
      </c>
      <c r="C54" s="16" t="s">
        <v>199</v>
      </c>
      <c r="D54" s="24">
        <v>4</v>
      </c>
      <c r="E54" s="24">
        <v>4</v>
      </c>
      <c r="F54" s="17">
        <v>113382.5</v>
      </c>
      <c r="G54" s="17">
        <v>47000</v>
      </c>
      <c r="H54" s="17">
        <v>289440</v>
      </c>
      <c r="I54" s="16" t="s">
        <v>192</v>
      </c>
      <c r="J54" s="16" t="s">
        <v>165</v>
      </c>
      <c r="K54" s="16" t="str">
        <f>IF($K$4="전체 정기","정기",IF($K$4="전체 비정기","비정기",IFERROR(IF(INDEX($N$6:$N$24,MATCH($C54,$M$6:$M$24,0))=INDEX($O$6:$O$24,MATCH($C54,$M$6:$M$24,0)),"제외",INDEX($N$6:$N$24,MATCH($C54,$M$6:$M$24,0))),"제외")))</f>
        <v>제외</v>
      </c>
    </row>
    <row r="55" spans="1:11" x14ac:dyDescent="0.3">
      <c r="A55" s="16" t="s">
        <v>111</v>
      </c>
      <c r="B55" s="16" t="s">
        <v>231</v>
      </c>
      <c r="C55" s="16" t="s">
        <v>200</v>
      </c>
      <c r="D55" s="24">
        <v>7</v>
      </c>
      <c r="E55" s="24">
        <v>7</v>
      </c>
      <c r="F55" s="17">
        <v>100000</v>
      </c>
      <c r="G55" s="17">
        <v>100000</v>
      </c>
      <c r="H55" s="17">
        <v>100000</v>
      </c>
      <c r="I55" s="16" t="s">
        <v>211</v>
      </c>
      <c r="J55" s="16" t="s">
        <v>185</v>
      </c>
      <c r="K55" s="16" t="str">
        <f>IF($K$4="전체 정기","정기",IF($K$4="전체 비정기","비정기",IFERROR(IF(INDEX($N$6:$N$24,MATCH($C55,$M$6:$M$24,0))=INDEX($O$6:$O$24,MATCH($C55,$M$6:$M$24,0)),"제외",INDEX($N$6:$N$24,MATCH($C55,$M$6:$M$24,0))),"제외")))</f>
        <v>제외</v>
      </c>
    </row>
    <row r="56" spans="1:11" x14ac:dyDescent="0.3">
      <c r="A56" s="16" t="s">
        <v>111</v>
      </c>
      <c r="B56" s="16" t="s">
        <v>57</v>
      </c>
      <c r="C56" s="16" t="s">
        <v>200</v>
      </c>
      <c r="D56" s="24">
        <v>6</v>
      </c>
      <c r="E56" s="24">
        <v>6</v>
      </c>
      <c r="F56" s="17">
        <v>100000</v>
      </c>
      <c r="G56" s="17">
        <v>100000</v>
      </c>
      <c r="H56" s="17">
        <v>100000</v>
      </c>
      <c r="I56" s="16" t="s">
        <v>232</v>
      </c>
      <c r="J56" s="16" t="s">
        <v>185</v>
      </c>
      <c r="K56" s="16" t="str">
        <f>IF($K$4="전체 정기","정기",IF($K$4="전체 비정기","비정기",IFERROR(IF(INDEX($N$6:$N$24,MATCH($C56,$M$6:$M$24,0))=INDEX($O$6:$O$24,MATCH($C56,$M$6:$M$24,0)),"제외",INDEX($N$6:$N$24,MATCH($C56,$M$6:$M$24,0))),"제외")))</f>
        <v>제외</v>
      </c>
    </row>
    <row r="57" spans="1:11" x14ac:dyDescent="0.3">
      <c r="A57" s="16" t="s">
        <v>111</v>
      </c>
      <c r="B57" s="16" t="s">
        <v>233</v>
      </c>
      <c r="C57" s="16" t="s">
        <v>199</v>
      </c>
      <c r="D57" s="24">
        <v>6</v>
      </c>
      <c r="E57" s="24">
        <v>13</v>
      </c>
      <c r="F57" s="17">
        <v>50333.333333333343</v>
      </c>
      <c r="G57" s="17">
        <v>46300</v>
      </c>
      <c r="H57" s="17">
        <v>67100</v>
      </c>
      <c r="I57" s="16" t="s">
        <v>211</v>
      </c>
      <c r="J57" s="16" t="s">
        <v>185</v>
      </c>
      <c r="K57" s="16" t="str">
        <f>IF($K$4="전체 정기","정기",IF($K$4="전체 비정기","비정기",IFERROR(IF(INDEX($N$6:$N$24,MATCH($C57,$M$6:$M$24,0))=INDEX($O$6:$O$24,MATCH($C57,$M$6:$M$24,0)),"제외",INDEX($N$6:$N$24,MATCH($C57,$M$6:$M$24,0))),"제외")))</f>
        <v>제외</v>
      </c>
    </row>
    <row r="58" spans="1:11" x14ac:dyDescent="0.3">
      <c r="A58" s="16" t="s">
        <v>111</v>
      </c>
      <c r="B58" s="16" t="s">
        <v>74</v>
      </c>
      <c r="C58" s="16" t="s">
        <v>209</v>
      </c>
      <c r="D58" s="24">
        <v>7</v>
      </c>
      <c r="E58" s="24">
        <v>7</v>
      </c>
      <c r="F58" s="17">
        <v>33990</v>
      </c>
      <c r="G58" s="17">
        <v>33990</v>
      </c>
      <c r="H58" s="17">
        <v>33990</v>
      </c>
      <c r="I58" s="16" t="s">
        <v>211</v>
      </c>
      <c r="J58" s="16" t="s">
        <v>171</v>
      </c>
      <c r="K58" s="16" t="str">
        <f>IF($K$4="전체 정기","정기",IF($K$4="전체 비정기","비정기",IFERROR(IF(INDEX($N$6:$N$24,MATCH($C58,$M$6:$M$24,0))=INDEX($O$6:$O$24,MATCH($C58,$M$6:$M$24,0)),"정기",INDEX($N$6:$N$24,MATCH($C58,$M$6:$M$24,0))),"정기")))</f>
        <v>정기</v>
      </c>
    </row>
    <row r="59" spans="1:11" x14ac:dyDescent="0.3">
      <c r="A59" s="16" t="s">
        <v>111</v>
      </c>
      <c r="B59" s="16" t="s">
        <v>75</v>
      </c>
      <c r="C59" s="16" t="s">
        <v>209</v>
      </c>
      <c r="D59" s="24">
        <v>7</v>
      </c>
      <c r="E59" s="24">
        <v>7</v>
      </c>
      <c r="F59" s="17">
        <v>11000</v>
      </c>
      <c r="G59" s="17">
        <v>11000</v>
      </c>
      <c r="H59" s="17">
        <v>11000</v>
      </c>
      <c r="I59" s="16" t="s">
        <v>211</v>
      </c>
      <c r="J59" s="16" t="s">
        <v>171</v>
      </c>
      <c r="K59" s="16"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2026-09-22T13:16:50Z</dcterms:created>
  <dcterms:modified xsi:type="dcterms:W3CDTF">2026-09-22T13:17:38Z</dcterms:modified>
</cp:coreProperties>
</file>