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'지출계획_취합'!$A$5:$Q$25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6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C00000"/>
      <sz val="9"/>
    </font>
    <font>
      <name val="맑은 고딕"/>
      <b val="1"/>
      <sz val="10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1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</borders>
  <cellStyleXfs count="1">
    <xf numFmtId="0" fontId="0" fillId="0" borderId="0"/>
  </cellStyleXfs>
  <cellXfs count="18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" fillId="6" borderId="25" applyAlignment="1" pivotButton="0" quotePrefix="0" xfId="0">
      <alignment vertical="center"/>
    </xf>
    <xf numFmtId="0" fontId="1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9" applyAlignment="1" pivotButton="0" quotePrefix="0" xfId="0">
      <alignment vertical="center"/>
    </xf>
    <xf numFmtId="0" fontId="1" fillId="6" borderId="22" applyAlignment="1" pivotButton="0" quotePrefix="0" xfId="0">
      <alignment vertical="center"/>
    </xf>
    <xf numFmtId="164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4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5" fillId="0" borderId="0" pivotButton="0" quotePrefix="0" xfId="0"/>
    <xf numFmtId="3" fontId="15" fillId="0" borderId="0" pivotButton="0" quotePrefix="0" xfId="0"/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8" t="n"/>
      <c r="L12" s="2" t="n"/>
      <c r="M12" s="2" t="n"/>
      <c r="N12" s="2" t="n"/>
      <c r="O12" s="2" t="n"/>
      <c r="P12" s="2" t="n"/>
    </row>
    <row r="13">
      <c r="A13" s="167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8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67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8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67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8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8" t="n"/>
      <c r="L16" s="2" t="n"/>
      <c r="M16" s="2" t="n"/>
      <c r="N16" s="2" t="n"/>
      <c r="O16" s="2" t="n"/>
      <c r="P16" s="2" t="n"/>
    </row>
    <row r="17">
      <c r="A17" s="169" t="n">
        <v>46290</v>
      </c>
      <c r="B17" s="170" t="inlineStr">
        <is>
          <t>금</t>
        </is>
      </c>
      <c r="C17" s="171">
        <f>INDEX('설정및분류'!$C$6:$C$12,WEEKDAY(A17,2))*'요약'!$B$13</f>
        <v/>
      </c>
      <c r="D17" s="172" t="n"/>
      <c r="E17" s="172" t="n"/>
      <c r="F17" s="172" t="n"/>
      <c r="G17" s="172" t="n">
        <v>2606450</v>
      </c>
      <c r="H17" s="173">
        <f>C17+D17-E17-F17-G17</f>
        <v/>
      </c>
      <c r="I17" s="173">
        <f>J16</f>
        <v/>
      </c>
      <c r="J17" s="173">
        <f>I17+H17</f>
        <v/>
      </c>
      <c r="K17" s="174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75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76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77" t="inlineStr">
        <is>
          <t>실적 구간</t>
        </is>
      </c>
    </row>
    <row r="7">
      <c r="A7" s="176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77" t="inlineStr">
        <is>
          <t>실적 구간</t>
        </is>
      </c>
    </row>
    <row r="8">
      <c r="A8" s="176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77" t="inlineStr">
        <is>
          <t>실적 구간</t>
        </is>
      </c>
    </row>
    <row r="9">
      <c r="A9" s="176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77" t="inlineStr">
        <is>
          <t>실적 구간</t>
        </is>
      </c>
    </row>
    <row r="10">
      <c r="A10" s="176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77" t="inlineStr">
        <is>
          <t>실적 구간</t>
        </is>
      </c>
    </row>
    <row r="11">
      <c r="A11" s="176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76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76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76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76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76" t="n">
        <v>46289</v>
      </c>
      <c r="B16" t="inlineStr">
        <is>
          <t>목</t>
        </is>
      </c>
      <c r="C16" s="144" t="n">
        <v>5859458</v>
      </c>
      <c r="D16" s="144" t="n">
        <v>294481</v>
      </c>
      <c r="E16" s="144" t="n">
        <v>67294770</v>
      </c>
      <c r="F16" s="144" t="n">
        <v>34585770</v>
      </c>
      <c r="G16" s="144" t="n">
        <v>108034479</v>
      </c>
      <c r="H16" s="144" t="n"/>
      <c r="I16" s="144" t="n"/>
      <c r="J16" s="140" t="n"/>
    </row>
    <row r="17">
      <c r="A17" s="176" t="n">
        <v>46290</v>
      </c>
      <c r="B17" t="inlineStr">
        <is>
          <t>금</t>
        </is>
      </c>
      <c r="C17" s="144" t="n">
        <v>7616811</v>
      </c>
      <c r="D17" s="144" t="n">
        <v>513795</v>
      </c>
      <c r="E17" s="144" t="n">
        <v>68959782</v>
      </c>
      <c r="F17" s="144" t="n">
        <v>37028090</v>
      </c>
      <c r="G17" s="144" t="n">
        <v>114118477</v>
      </c>
      <c r="H17" s="144" t="n"/>
      <c r="I17" s="144" t="n"/>
      <c r="J17" s="140" t="n"/>
    </row>
    <row r="18">
      <c r="A18" s="176" t="n">
        <v>46291</v>
      </c>
      <c r="B18" t="inlineStr">
        <is>
          <t>토</t>
        </is>
      </c>
      <c r="C18" s="144" t="n">
        <v>7616811</v>
      </c>
      <c r="D18" s="144" t="n">
        <v>513795</v>
      </c>
      <c r="E18" s="144" t="n">
        <v>68959782</v>
      </c>
      <c r="F18" s="144" t="n">
        <v>37028090</v>
      </c>
      <c r="G18" s="144" t="n">
        <v>114118477</v>
      </c>
      <c r="H18" s="144" t="n"/>
      <c r="I18" s="144" t="n"/>
      <c r="J18" s="140" t="n"/>
    </row>
    <row r="19">
      <c r="A19" s="176" t="n">
        <v>46292</v>
      </c>
      <c r="B19" t="inlineStr">
        <is>
          <t>일</t>
        </is>
      </c>
      <c r="C19" s="144" t="n">
        <v>7616811</v>
      </c>
      <c r="D19" s="144" t="n">
        <v>513795</v>
      </c>
      <c r="E19" s="144" t="n">
        <v>68959782</v>
      </c>
      <c r="F19" s="144" t="n">
        <v>37028090</v>
      </c>
      <c r="G19" s="144" t="n">
        <v>114118477</v>
      </c>
      <c r="H19" s="144" t="n"/>
      <c r="I19" s="144" t="n"/>
      <c r="J19" s="140" t="n"/>
    </row>
    <row r="20">
      <c r="A20" s="176" t="n">
        <v>46293</v>
      </c>
      <c r="B20" t="inlineStr">
        <is>
          <t>월</t>
        </is>
      </c>
      <c r="C20" s="144" t="n">
        <v>12150459</v>
      </c>
      <c r="D20" s="144" t="n">
        <v>741644</v>
      </c>
      <c r="E20" s="144" t="n">
        <v>70689598</v>
      </c>
      <c r="F20" s="144" t="n">
        <v>39565467</v>
      </c>
      <c r="G20" s="144" t="n">
        <v>123147168</v>
      </c>
      <c r="H20" s="144" t="n"/>
      <c r="I20" s="144" t="n"/>
      <c r="J20" s="140" t="n"/>
    </row>
    <row r="21">
      <c r="A21" s="176" t="n">
        <v>46294</v>
      </c>
      <c r="B21" t="inlineStr">
        <is>
          <t>화</t>
        </is>
      </c>
      <c r="C21" s="144" t="n">
        <v>21275010</v>
      </c>
      <c r="D21" s="144" t="n">
        <v>1200220</v>
      </c>
      <c r="E21" s="144" t="n">
        <v>74171076</v>
      </c>
      <c r="F21" s="144" t="n">
        <v>44672268</v>
      </c>
      <c r="G21" s="144" t="n">
        <v>141318573</v>
      </c>
      <c r="H21" s="144" t="n"/>
      <c r="I21" s="144" t="n"/>
      <c r="J21" s="140" t="n"/>
    </row>
    <row r="22">
      <c r="A22" s="176" t="n">
        <v>46295</v>
      </c>
      <c r="B22" t="inlineStr">
        <is>
          <t>수</t>
        </is>
      </c>
      <c r="C22" s="144" t="n">
        <v>32586413</v>
      </c>
      <c r="D22" s="144" t="n">
        <v>1768702</v>
      </c>
      <c r="E22" s="144" t="n">
        <v>78486949</v>
      </c>
      <c r="F22" s="144" t="n">
        <v>51002998</v>
      </c>
      <c r="G22" s="144" t="n">
        <v>163845061</v>
      </c>
      <c r="H22" s="144" t="n"/>
      <c r="I22" s="144" t="n"/>
      <c r="J22" s="140" t="n"/>
    </row>
    <row r="23">
      <c r="A23" s="176" t="n">
        <v>46296</v>
      </c>
      <c r="B23" t="inlineStr">
        <is>
          <t>목</t>
        </is>
      </c>
      <c r="C23" s="144" t="n">
        <v>38445870</v>
      </c>
      <c r="D23" s="144" t="n">
        <v>2063183</v>
      </c>
      <c r="E23" s="144" t="n">
        <v>80722629</v>
      </c>
      <c r="F23" s="144" t="n">
        <v>54282401</v>
      </c>
      <c r="G23" s="144" t="n">
        <v>175514083</v>
      </c>
      <c r="H23" s="144" t="n"/>
      <c r="I23" s="144" t="n"/>
      <c r="J23" s="140" t="n"/>
    </row>
    <row r="24">
      <c r="A24" s="176" t="n">
        <v>46297</v>
      </c>
      <c r="B24" t="inlineStr">
        <is>
          <t>금</t>
        </is>
      </c>
      <c r="C24" s="144" t="n">
        <v>42809673</v>
      </c>
      <c r="D24" s="144" t="n">
        <v>2282497</v>
      </c>
      <c r="E24" s="144" t="n">
        <v>82387640</v>
      </c>
      <c r="F24" s="144" t="n">
        <v>56724720</v>
      </c>
      <c r="G24" s="144" t="n">
        <v>184204531</v>
      </c>
      <c r="H24" s="144" t="n"/>
      <c r="I24" s="144" t="n"/>
      <c r="J24" s="140" t="n"/>
    </row>
    <row r="25">
      <c r="A25" s="176" t="n">
        <v>46298</v>
      </c>
      <c r="B25" t="inlineStr">
        <is>
          <t>토</t>
        </is>
      </c>
      <c r="C25" s="144" t="n">
        <v>42809673</v>
      </c>
      <c r="D25" s="144" t="n">
        <v>2282497</v>
      </c>
      <c r="E25" s="144" t="n">
        <v>82387640</v>
      </c>
      <c r="F25" s="144" t="n">
        <v>56724720</v>
      </c>
      <c r="G25" s="144" t="n">
        <v>184204531</v>
      </c>
      <c r="H25" s="144" t="n"/>
      <c r="I25" s="144" t="n"/>
      <c r="J25" s="140" t="n"/>
    </row>
    <row r="26">
      <c r="A26" s="176" t="n">
        <v>46299</v>
      </c>
      <c r="B26" t="inlineStr">
        <is>
          <t>일</t>
        </is>
      </c>
      <c r="C26" s="144" t="n">
        <v>42809673</v>
      </c>
      <c r="D26" s="144" t="n">
        <v>2282497</v>
      </c>
      <c r="E26" s="144" t="n">
        <v>82387640</v>
      </c>
      <c r="F26" s="144" t="n">
        <v>56724720</v>
      </c>
      <c r="G26" s="144" t="n">
        <v>184204531</v>
      </c>
      <c r="H26" s="144" t="n"/>
      <c r="I26" s="144" t="n"/>
      <c r="J26" s="140" t="n"/>
    </row>
    <row r="27">
      <c r="A27" s="176" t="n">
        <v>46300</v>
      </c>
      <c r="B27" t="inlineStr">
        <is>
          <t>월</t>
        </is>
      </c>
      <c r="C27" s="144" t="n">
        <v>47343321</v>
      </c>
      <c r="D27" s="144" t="n">
        <v>2510346</v>
      </c>
      <c r="E27" s="144" t="n">
        <v>84117457</v>
      </c>
      <c r="F27" s="144" t="n">
        <v>59262098</v>
      </c>
      <c r="G27" s="144" t="n">
        <v>193233222</v>
      </c>
      <c r="H27" s="144" t="n"/>
      <c r="I27" s="144" t="n"/>
      <c r="J27" s="140" t="n"/>
    </row>
    <row r="28">
      <c r="A28" s="176" t="n">
        <v>46301</v>
      </c>
      <c r="B28" t="inlineStr">
        <is>
          <t>화</t>
        </is>
      </c>
      <c r="C28" s="144" t="n">
        <v>56467872</v>
      </c>
      <c r="D28" s="144" t="n">
        <v>2968922</v>
      </c>
      <c r="E28" s="144" t="n">
        <v>87598935</v>
      </c>
      <c r="F28" s="144" t="n">
        <v>64368898</v>
      </c>
      <c r="G28" s="144" t="n">
        <v>211404627</v>
      </c>
      <c r="H28" s="144" t="n"/>
      <c r="I28" s="144" t="n"/>
      <c r="J28" s="140" t="n"/>
    </row>
    <row r="29">
      <c r="A29" s="176" t="n">
        <v>46302</v>
      </c>
      <c r="B29" t="inlineStr">
        <is>
          <t>수</t>
        </is>
      </c>
      <c r="C29" s="144" t="n">
        <v>62746916</v>
      </c>
      <c r="D29" s="144" t="n">
        <v>3284491</v>
      </c>
      <c r="E29" s="144" t="n">
        <v>89994708</v>
      </c>
      <c r="F29" s="144" t="n">
        <v>67883134</v>
      </c>
      <c r="G29" s="144" t="n">
        <v>223909248</v>
      </c>
      <c r="H29" s="144" t="n"/>
      <c r="I29" s="144" t="n"/>
      <c r="J29" s="140" t="n"/>
    </row>
    <row r="30">
      <c r="A30" s="176" t="n">
        <v>46303</v>
      </c>
      <c r="B30" t="inlineStr">
        <is>
          <t>목</t>
        </is>
      </c>
      <c r="C30" s="144" t="n">
        <v>68606374</v>
      </c>
      <c r="D30" s="144" t="n">
        <v>3578972</v>
      </c>
      <c r="E30" s="144" t="n">
        <v>92230388</v>
      </c>
      <c r="F30" s="144" t="n">
        <v>71162536</v>
      </c>
      <c r="G30" s="144" t="n">
        <v>235578270</v>
      </c>
      <c r="H30" s="144" t="n"/>
      <c r="I30" s="144" t="n"/>
      <c r="J30" s="140" t="n"/>
    </row>
    <row r="31">
      <c r="A31" s="176" t="n">
        <v>46304</v>
      </c>
      <c r="B31" t="inlineStr">
        <is>
          <t>금</t>
        </is>
      </c>
      <c r="C31" s="144" t="n">
        <v>72970177</v>
      </c>
      <c r="D31" s="144" t="n">
        <v>3798285</v>
      </c>
      <c r="E31" s="144" t="n">
        <v>93895399</v>
      </c>
      <c r="F31" s="144" t="n">
        <v>73604856</v>
      </c>
      <c r="G31" s="144" t="n">
        <v>244268718</v>
      </c>
      <c r="H31" s="144" t="n"/>
      <c r="I31" s="144" t="n"/>
      <c r="J31" s="140" t="n"/>
    </row>
    <row r="32">
      <c r="A32" s="176" t="n">
        <v>46305</v>
      </c>
      <c r="B32" t="inlineStr">
        <is>
          <t>토</t>
        </is>
      </c>
      <c r="C32" s="144" t="n">
        <v>72970177</v>
      </c>
      <c r="D32" s="144" t="n">
        <v>3798285</v>
      </c>
      <c r="E32" s="144" t="n">
        <v>93895399</v>
      </c>
      <c r="F32" s="144" t="n">
        <v>73604856</v>
      </c>
      <c r="G32" s="144" t="n">
        <v>244268718</v>
      </c>
      <c r="H32" s="144" t="n"/>
      <c r="I32" s="144" t="n"/>
      <c r="J32" s="140" t="n"/>
    </row>
    <row r="33">
      <c r="A33" s="176" t="n">
        <v>46306</v>
      </c>
      <c r="B33" t="inlineStr">
        <is>
          <t>일</t>
        </is>
      </c>
      <c r="C33" s="144" t="n">
        <v>72970177</v>
      </c>
      <c r="D33" s="144" t="n">
        <v>3798285</v>
      </c>
      <c r="E33" s="144" t="n">
        <v>93895399</v>
      </c>
      <c r="F33" s="144" t="n">
        <v>73604856</v>
      </c>
      <c r="G33" s="144" t="n">
        <v>244268718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14888739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32172042</v>
      </c>
      <c r="G11" s="131" t="n">
        <v>11916935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92234174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78165606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7345383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32172042</v>
      </c>
      <c r="G16" s="131" t="n">
        <v>15007916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121263434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78" t="n">
        <v>46283</v>
      </c>
      <c r="B6" s="179" t="inlineStr">
        <is>
          <t>금</t>
        </is>
      </c>
      <c r="C6" s="179" t="inlineStr">
        <is>
          <t>팀 지출계획</t>
        </is>
      </c>
      <c r="D6" s="179" t="inlineStr">
        <is>
          <t>미반영(별도 관리)</t>
        </is>
      </c>
      <c r="E6" s="179" t="inlineStr">
        <is>
          <t>경영지원팀</t>
        </is>
      </c>
      <c r="F6" s="179" t="inlineStr">
        <is>
          <t>이앤씨이노비즈타워</t>
        </is>
      </c>
      <c r="G6" s="179" t="inlineStr">
        <is>
          <t>본사관리비</t>
        </is>
      </c>
      <c r="H6" s="180" t="n">
        <v>1553720</v>
      </c>
      <c r="I6" s="179" t="inlineStr">
        <is>
          <t>계좌송금</t>
        </is>
      </c>
      <c r="J6" s="179" t="inlineStr">
        <is>
          <t>에이팜</t>
        </is>
      </c>
    </row>
    <row r="7">
      <c r="A7" s="178" t="n">
        <v>46288</v>
      </c>
      <c r="B7" s="179" t="inlineStr">
        <is>
          <t>수</t>
        </is>
      </c>
      <c r="C7" s="179" t="inlineStr">
        <is>
          <t>팀 지출계획</t>
        </is>
      </c>
      <c r="D7" s="179" t="inlineStr">
        <is>
          <t>미반영(별도 관리)</t>
        </is>
      </c>
      <c r="E7" s="179" t="inlineStr">
        <is>
          <t>경영지원팀</t>
        </is>
      </c>
      <c r="F7" s="179" t="inlineStr">
        <is>
          <t>비씨카드</t>
        </is>
      </c>
      <c r="G7" s="179" t="inlineStr">
        <is>
          <t>8월카드대금</t>
        </is>
      </c>
      <c r="H7" s="180" t="n">
        <v>269810</v>
      </c>
      <c r="I7" s="179" t="inlineStr">
        <is>
          <t>계좌송금</t>
        </is>
      </c>
      <c r="J7" s="179" t="inlineStr">
        <is>
          <t>에이팜</t>
        </is>
      </c>
    </row>
    <row r="8">
      <c r="A8" s="178" t="n">
        <v>46295</v>
      </c>
      <c r="B8" s="179" t="inlineStr">
        <is>
          <t>수</t>
        </is>
      </c>
      <c r="C8" s="179" t="inlineStr">
        <is>
          <t>팀 지출계획</t>
        </is>
      </c>
      <c r="D8" s="179" t="inlineStr">
        <is>
          <t>미반영(별도 관리)</t>
        </is>
      </c>
      <c r="E8" s="179" t="inlineStr">
        <is>
          <t>경영지원팀</t>
        </is>
      </c>
      <c r="F8" s="179" t="inlineStr">
        <is>
          <t>서원회계법인</t>
        </is>
      </c>
      <c r="G8" s="179" t="inlineStr">
        <is>
          <t>기장료</t>
        </is>
      </c>
      <c r="H8" s="180" t="n">
        <v>330000</v>
      </c>
      <c r="I8" s="179" t="inlineStr">
        <is>
          <t>계좌송금</t>
        </is>
      </c>
      <c r="J8" s="179" t="inlineStr">
        <is>
          <t>에이팜</t>
        </is>
      </c>
    </row>
    <row r="9">
      <c r="A9" s="178" t="n">
        <v>46295</v>
      </c>
      <c r="B9" s="179" t="inlineStr">
        <is>
          <t>수</t>
        </is>
      </c>
      <c r="C9" s="179" t="inlineStr">
        <is>
          <t>팀 지출계획</t>
        </is>
      </c>
      <c r="D9" s="179" t="inlineStr">
        <is>
          <t>미반영(별도 관리)</t>
        </is>
      </c>
      <c r="E9" s="179" t="inlineStr">
        <is>
          <t>경영지원팀</t>
        </is>
      </c>
      <c r="F9" s="179" t="inlineStr">
        <is>
          <t>가가사무기</t>
        </is>
      </c>
      <c r="G9" s="179" t="inlineStr">
        <is>
          <t>복합기 9월 임대비용</t>
        </is>
      </c>
      <c r="H9" s="180" t="n">
        <v>280000</v>
      </c>
      <c r="I9" s="179" t="inlineStr">
        <is>
          <t>계좌송금</t>
        </is>
      </c>
      <c r="J9" s="179" t="inlineStr">
        <is>
          <t>에이팜</t>
        </is>
      </c>
    </row>
    <row r="10">
      <c r="A10" s="178" t="n">
        <v>46295</v>
      </c>
      <c r="B10" s="179" t="inlineStr">
        <is>
          <t>수</t>
        </is>
      </c>
      <c r="C10" s="179" t="inlineStr">
        <is>
          <t>팀 지출계획</t>
        </is>
      </c>
      <c r="D10" s="179" t="inlineStr">
        <is>
          <t>미반영(별도 관리)</t>
        </is>
      </c>
      <c r="E10" s="179" t="inlineStr">
        <is>
          <t>경영지원팀</t>
        </is>
      </c>
      <c r="F10" s="179" t="inlineStr">
        <is>
          <t>대구상공회의소</t>
        </is>
      </c>
      <c r="G10" s="179" t="inlineStr">
        <is>
          <t>하반기연회비</t>
        </is>
      </c>
      <c r="H10" s="180" t="n">
        <v>250000</v>
      </c>
      <c r="I10" s="179" t="inlineStr">
        <is>
          <t>계좌송금</t>
        </is>
      </c>
      <c r="J10" s="179" t="inlineStr">
        <is>
          <t>에이팜</t>
        </is>
      </c>
    </row>
    <row r="11">
      <c r="G11" s="181" t="inlineStr">
        <is>
          <t>합계(자금계획 미반영)</t>
        </is>
      </c>
      <c r="H11" s="182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정기</t>
        </is>
      </c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변동</t>
        </is>
      </c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정기</t>
        </is>
      </c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변동</t>
        </is>
      </c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정기</t>
        </is>
      </c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변동</t>
        </is>
      </c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정기</t>
        </is>
      </c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정기</t>
        </is>
      </c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정기</t>
        </is>
      </c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정기</t>
        </is>
      </c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정기</t>
        </is>
      </c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정기</t>
        </is>
      </c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정기</t>
        </is>
      </c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정기</t>
        </is>
      </c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정기</t>
        </is>
      </c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정기</t>
        </is>
      </c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정기</t>
        </is>
      </c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정기</t>
        </is>
      </c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변동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변동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2026-09-19T13:53:01Z</dcterms:modified>
</cp:coreProperties>
</file>