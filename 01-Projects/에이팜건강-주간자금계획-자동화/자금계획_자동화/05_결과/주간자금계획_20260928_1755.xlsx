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'지출계획_취합'!$A$5:$Q$30</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3">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E699"/>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3">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pivotButton="0" quotePrefix="0" xfId="0"/>
    <xf numFmtId="0" fontId="19" fillId="10" borderId="24" pivotButton="0" quotePrefix="0" xfId="0"/>
    <xf numFmtId="167" fontId="19" fillId="11" borderId="24" pivotButton="0" quotePrefix="0" xfId="0"/>
    <xf numFmtId="0" fontId="0" fillId="10" borderId="24" pivotButton="0" quotePrefix="0" xfId="0"/>
    <xf numFmtId="3" fontId="19" fillId="10" borderId="24" pivotButton="0" quotePrefix="0" xfId="0"/>
    <xf numFmtId="165" fontId="20" fillId="10" borderId="24" pivotButton="0" quotePrefix="0" xfId="0"/>
    <xf numFmtId="0" fontId="20" fillId="10" borderId="24" pivotButton="0" quotePrefix="0" xfId="0"/>
    <xf numFmtId="167" fontId="20" fillId="11" borderId="24" pivotButton="0" quotePrefix="0" xfId="0"/>
    <xf numFmtId="168" fontId="20" fillId="10" borderId="24" pivotButton="0" quotePrefix="0" xfId="0"/>
    <xf numFmtId="3" fontId="20" fillId="10" borderId="24" pivotButton="0" quotePrefix="0" xfId="0"/>
    <xf numFmtId="165" fontId="13" fillId="0" borderId="31" pivotButton="0" quotePrefix="0" xfId="0"/>
    <xf numFmtId="0" fontId="13" fillId="0" borderId="29" pivotButton="0" quotePrefix="0" xfId="0"/>
    <xf numFmtId="167" fontId="13" fillId="11" borderId="29" pivotButton="0" quotePrefix="0" xfId="0"/>
    <xf numFmtId="3" fontId="13" fillId="13" borderId="29" pivotButton="0" quotePrefix="0" xfId="0"/>
    <xf numFmtId="168" fontId="13" fillId="12" borderId="29" pivotButton="0" quotePrefix="0" xfId="0"/>
    <xf numFmtId="164" fontId="13" fillId="14" borderId="29" pivotButton="0" quotePrefix="0" xfId="0"/>
    <xf numFmtId="164" fontId="13" fillId="15" borderId="29" pivotButton="0" quotePrefix="0" xfId="0"/>
    <xf numFmtId="3" fontId="13" fillId="15" borderId="29" pivotButton="0" quotePrefix="0" xfId="0"/>
    <xf numFmtId="0" fontId="13" fillId="0" borderId="32" applyAlignment="1" pivotButton="0" quotePrefix="0" xfId="0">
      <alignment horizontal="left" vertical="top" wrapText="1"/>
    </xf>
    <xf numFmtId="165" fontId="13" fillId="0" borderId="33" pivotButton="0" quotePrefix="0" xfId="0"/>
    <xf numFmtId="0" fontId="13" fillId="0" borderId="24" pivotButton="0" quotePrefix="0" xfId="0"/>
    <xf numFmtId="167" fontId="13" fillId="11" borderId="24" pivotButton="0" quotePrefix="0" xfId="0"/>
    <xf numFmtId="164" fontId="13" fillId="13" borderId="24" pivotButton="0" quotePrefix="0" xfId="0"/>
    <xf numFmtId="168" fontId="13" fillId="12" borderId="24" pivotButton="0" quotePrefix="0" xfId="0"/>
    <xf numFmtId="169" fontId="13" fillId="15" borderId="24" pivotButton="0" quotePrefix="0" xfId="0"/>
    <xf numFmtId="164" fontId="13" fillId="15" borderId="24" pivotButton="0" quotePrefix="0" xfId="0"/>
    <xf numFmtId="3" fontId="13" fillId="15" borderId="24" pivotButton="0" quotePrefix="0" xfId="0"/>
    <xf numFmtId="0" fontId="13" fillId="0" borderId="34" applyAlignment="1" pivotButton="0" quotePrefix="0" xfId="0">
      <alignment horizontal="left" vertical="top" wrapText="1"/>
    </xf>
    <xf numFmtId="165" fontId="21" fillId="0" borderId="33" pivotButton="0" quotePrefix="0" xfId="0"/>
    <xf numFmtId="0" fontId="21" fillId="0" borderId="24" pivotButton="0" quotePrefix="0" xfId="0"/>
    <xf numFmtId="3" fontId="13" fillId="13" borderId="24" pivotButton="0" quotePrefix="0" xfId="0"/>
    <xf numFmtId="165" fontId="21" fillId="0" borderId="35" pivotButton="0" quotePrefix="0" xfId="0"/>
    <xf numFmtId="0" fontId="21" fillId="0" borderId="30" pivotButton="0" quotePrefix="0" xfId="0"/>
    <xf numFmtId="167" fontId="13" fillId="11" borderId="30" pivotButton="0" quotePrefix="0" xfId="0"/>
    <xf numFmtId="3" fontId="13" fillId="13" borderId="30" pivotButton="0" quotePrefix="0" xfId="0"/>
    <xf numFmtId="168" fontId="13" fillId="12" borderId="30" pivotButton="0" quotePrefix="0" xfId="0"/>
    <xf numFmtId="169" fontId="13" fillId="15" borderId="30" pivotButton="0" quotePrefix="0" xfId="0"/>
    <xf numFmtId="164" fontId="13" fillId="15" borderId="30" pivotButton="0" quotePrefix="0" xfId="0"/>
    <xf numFmtId="3" fontId="13" fillId="15" borderId="30" pivotButton="0" quotePrefix="0" xfId="0"/>
    <xf numFmtId="0" fontId="13" fillId="0" borderId="36" applyAlignment="1" pivotButton="0" quotePrefix="0" xfId="0">
      <alignment horizontal="left" vertical="top" wrapText="1"/>
    </xf>
    <xf numFmtId="165" fontId="21" fillId="0" borderId="24" pivotButton="0" quotePrefix="0" xfId="0"/>
    <xf numFmtId="0" fontId="13" fillId="0" borderId="24" applyAlignment="1" pivotButton="0" quotePrefix="0" xfId="0">
      <alignment horizontal="left" vertical="top" wrapText="1"/>
    </xf>
    <xf numFmtId="165" fontId="13" fillId="0" borderId="24" pivotButton="0" quotePrefix="0" xfId="0"/>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pivotButton="0" quotePrefix="0" xfId="0"/>
    <xf numFmtId="0" fontId="19" fillId="0" borderId="24" pivotButton="0" quotePrefix="0" xfId="0"/>
    <xf numFmtId="0" fontId="22" fillId="0" borderId="24" pivotButton="0" quotePrefix="0" xfId="0"/>
    <xf numFmtId="165" fontId="20" fillId="0" borderId="24" pivotButton="0" quotePrefix="0" xfId="0"/>
    <xf numFmtId="0" fontId="20" fillId="0" borderId="24" pivotButton="0" quotePrefix="0" xfId="0"/>
    <xf numFmtId="0" fontId="11" fillId="0" borderId="24" pivotButton="0" quotePrefix="0" xfId="0"/>
    <xf numFmtId="165" fontId="0" fillId="0" borderId="24" pivotButton="0" quotePrefix="0" xfId="0"/>
    <xf numFmtId="167" fontId="19" fillId="0" borderId="24" pivotButton="0" quotePrefix="0" xfId="0"/>
    <xf numFmtId="0" fontId="0" fillId="12" borderId="24" pivotButton="0" quotePrefix="0" xfId="0"/>
    <xf numFmtId="0" fontId="0" fillId="19" borderId="24" pivotButton="0" quotePrefix="0" xfId="0"/>
    <xf numFmtId="0" fontId="0" fillId="20" borderId="24" pivotButton="0" quotePrefix="0" xfId="0"/>
    <xf numFmtId="167" fontId="13" fillId="0" borderId="24" pivotButton="0" quotePrefix="0" xfId="0"/>
    <xf numFmtId="168" fontId="13" fillId="19" borderId="24" pivotButton="0" quotePrefix="0" xfId="0"/>
    <xf numFmtId="168" fontId="13" fillId="20" borderId="24" pivotButton="0" quotePrefix="0" xfId="0"/>
    <xf numFmtId="0" fontId="23" fillId="0" borderId="24" pivotButton="0" quotePrefix="0" xfId="0"/>
    <xf numFmtId="168" fontId="13" fillId="0" borderId="0" pivotButton="0" quotePrefix="0" xfId="0"/>
    <xf numFmtId="165" fontId="13" fillId="14" borderId="0" pivotButton="0" quotePrefix="0" xfId="0"/>
    <xf numFmtId="0" fontId="13" fillId="14" borderId="0" pivotButton="0" quotePrefix="0" xfId="0"/>
    <xf numFmtId="3" fontId="13" fillId="14" borderId="0" pivotButton="0" quotePrefix="0" xfId="0"/>
    <xf numFmtId="0" fontId="19" fillId="0" borderId="0" pivotButton="0" quotePrefix="0" xfId="0"/>
    <xf numFmtId="3" fontId="19" fillId="0" borderId="0" pivotButton="0" quotePrefix="0" xfId="0"/>
    <xf numFmtId="166" fontId="21" fillId="0" borderId="13" applyAlignment="1" pivotButton="0" quotePrefix="0" xfId="0">
      <alignment vertical="center"/>
    </xf>
    <xf numFmtId="165" fontId="21" fillId="0" borderId="14" applyAlignment="1" pivotButton="0" quotePrefix="0" xfId="0">
      <alignment vertical="center"/>
    </xf>
    <xf numFmtId="0" fontId="24" fillId="0" borderId="0" pivotButton="0" quotePrefix="0" xfId="0"/>
    <xf numFmtId="0" fontId="25" fillId="0" borderId="0" pivotButton="0" quotePrefix="0" xfId="0"/>
    <xf numFmtId="0" fontId="17" fillId="0" borderId="0" pivotButton="0" quotePrefix="0" xfId="0"/>
    <xf numFmtId="0" fontId="14" fillId="7" borderId="19" pivotButton="0" quotePrefix="0" xfId="0"/>
    <xf numFmtId="0" fontId="0" fillId="7" borderId="19" pivotButton="0" quotePrefix="0" xfId="0"/>
    <xf numFmtId="0" fontId="16" fillId="0" borderId="19" pivotButton="0" quotePrefix="0" xfId="0"/>
    <xf numFmtId="3" fontId="16" fillId="0" borderId="19" pivotButton="0" quotePrefix="0" xfId="0"/>
    <xf numFmtId="0" fontId="15" fillId="0" borderId="19" pivotButton="0" quotePrefix="0" xfId="0"/>
    <xf numFmtId="3" fontId="15" fillId="0" borderId="19" pivotButton="0" quotePrefix="0" xfId="0"/>
    <xf numFmtId="0" fontId="15" fillId="0" borderId="0" pivotButton="0" quotePrefix="0" xfId="0"/>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165" fontId="16" fillId="14" borderId="19" pivotButton="0" quotePrefix="0" xfId="0"/>
    <xf numFmtId="0" fontId="16" fillId="0" borderId="19" applyAlignment="1" pivotButton="0" quotePrefix="0" xfId="0">
      <alignment horizontal="center" vertical="center"/>
    </xf>
    <xf numFmtId="3" fontId="16" fillId="14" borderId="19" pivotButton="0" quotePrefix="0" xfId="0"/>
    <xf numFmtId="3" fontId="16" fillId="21" borderId="19" pivotButton="0" quotePrefix="0" xfId="0"/>
    <xf numFmtId="0" fontId="16" fillId="14" borderId="19" applyAlignment="1" pivotButton="0" quotePrefix="0" xfId="0">
      <alignment horizontal="center" vertical="center"/>
    </xf>
    <xf numFmtId="0" fontId="15" fillId="0" borderId="0" applyAlignment="1" pivotButton="0" quotePrefix="0" xfId="0">
      <alignment horizontal="center" vertical="center"/>
    </xf>
    <xf numFmtId="3" fontId="15" fillId="0" borderId="0" pivotButton="0" quotePrefix="0" xfId="0"/>
    <xf numFmtId="165" fontId="16" fillId="0" borderId="19" pivotButton="0" quotePrefix="0" xfId="0"/>
    <xf numFmtId="3" fontId="16" fillId="22" borderId="19" pivotButton="0" quotePrefix="0" xfId="0"/>
    <xf numFmtId="165" fontId="21" fillId="0" borderId="19" pivotButton="0" quotePrefix="0" xfId="0"/>
    <xf numFmtId="0" fontId="21" fillId="0" borderId="19" applyAlignment="1" pivotButton="0" quotePrefix="0" xfId="0">
      <alignment horizontal="center" vertical="center"/>
    </xf>
    <xf numFmtId="3" fontId="16" fillId="0" borderId="0" pivotButton="0" quotePrefix="0" xfId="0"/>
    <xf numFmtId="165" fontId="16" fillId="0" borderId="42" pivotButton="0" quotePrefix="0" xfId="0"/>
    <xf numFmtId="0" fontId="16" fillId="0" borderId="40" applyAlignment="1" pivotButton="0" quotePrefix="0" xfId="0">
      <alignment horizontal="center" vertical="center"/>
    </xf>
    <xf numFmtId="3" fontId="16" fillId="22" borderId="40" pivotButton="0" quotePrefix="0" xfId="0"/>
    <xf numFmtId="3" fontId="16" fillId="0" borderId="40" pivotButton="0" quotePrefix="0" xfId="0"/>
    <xf numFmtId="0" fontId="11" fillId="0" borderId="43" applyAlignment="1" pivotButton="0" quotePrefix="0" xfId="0">
      <alignment horizontal="left" vertical="center" wrapText="1"/>
    </xf>
    <xf numFmtId="165" fontId="16" fillId="0" borderId="44" pivotButton="0" quotePrefix="0" xfId="0"/>
    <xf numFmtId="0" fontId="26" fillId="0" borderId="45" applyAlignment="1" pivotButton="0" quotePrefix="0" xfId="0">
      <alignment horizontal="left" vertical="center" wrapText="1"/>
    </xf>
    <xf numFmtId="165" fontId="21" fillId="0" borderId="44" pivotButton="0" quotePrefix="0" xfId="0"/>
    <xf numFmtId="165" fontId="21" fillId="0" borderId="46" pivotButton="0" quotePrefix="0" xfId="0"/>
    <xf numFmtId="0" fontId="21" fillId="0" borderId="41" applyAlignment="1" pivotButton="0" quotePrefix="0" xfId="0">
      <alignment horizontal="center" vertical="center"/>
    </xf>
    <xf numFmtId="3" fontId="16" fillId="0" borderId="41" pivotButton="0" quotePrefix="0" xfId="0"/>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top" wrapText="1"/>
    </xf>
    <xf numFmtId="0" fontId="27" fillId="0" borderId="0" pivotButton="0" quotePrefix="0" xfId="0"/>
    <xf numFmtId="0" fontId="11" fillId="0" borderId="19" pivotButton="0" quotePrefix="0" xfId="0"/>
    <xf numFmtId="0" fontId="28" fillId="0" borderId="0" applyAlignment="1" pivotButton="0" quotePrefix="0" xfId="0">
      <alignment horizontal="left" vertical="center" wrapText="1"/>
    </xf>
    <xf numFmtId="167" fontId="19" fillId="11" borderId="24" pivotButton="0" quotePrefix="0" xfId="0"/>
    <xf numFmtId="167" fontId="20" fillId="11" borderId="24" pivotButton="0" quotePrefix="0" xfId="0"/>
    <xf numFmtId="168" fontId="20" fillId="10" borderId="24" pivotButton="0" quotePrefix="0" xfId="0"/>
    <xf numFmtId="167" fontId="13" fillId="11" borderId="29" pivotButton="0" quotePrefix="0" xfId="0"/>
    <xf numFmtId="168" fontId="13" fillId="12" borderId="29" pivotButton="0" quotePrefix="0" xfId="0"/>
    <xf numFmtId="167" fontId="13" fillId="11" borderId="24" pivotButton="0" quotePrefix="0" xfId="0"/>
    <xf numFmtId="168" fontId="13" fillId="12" borderId="24" pivotButton="0" quotePrefix="0" xfId="0"/>
    <xf numFmtId="169" fontId="13" fillId="15" borderId="24" pivotButton="0" quotePrefix="0" xfId="0"/>
    <xf numFmtId="167" fontId="13" fillId="11" borderId="30" pivotButton="0" quotePrefix="0" xfId="0"/>
    <xf numFmtId="168" fontId="13" fillId="12" borderId="30" pivotButton="0" quotePrefix="0" xfId="0"/>
    <xf numFmtId="169" fontId="13" fillId="15" borderId="30" pivotButton="0" quotePrefix="0" xfId="0"/>
    <xf numFmtId="167" fontId="19" fillId="0" borderId="24" pivotButton="0" quotePrefix="0" xfId="0"/>
    <xf numFmtId="167" fontId="13" fillId="0" borderId="24" pivotButton="0" quotePrefix="0" xfId="0"/>
    <xf numFmtId="168" fontId="13" fillId="19" borderId="24" pivotButton="0" quotePrefix="0" xfId="0"/>
    <xf numFmtId="168" fontId="13" fillId="20" borderId="24" pivotButton="0" quotePrefix="0" xfId="0"/>
    <xf numFmtId="168" fontId="13" fillId="0" borderId="0" pivotButton="0" quotePrefix="0" xfId="0"/>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2026-09-28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140130347</v>
      </c>
      <c r="C6" s="2" t="n"/>
      <c r="D6" s="2" t="inlineStr">
        <is>
          <t>국민 154577</t>
        </is>
      </c>
      <c r="E6" s="120" t="n">
        <v>46293</v>
      </c>
      <c r="F6" s="119" t="n">
        <v>34452809</v>
      </c>
      <c r="G6" s="2" t="n"/>
      <c r="H6" s="2" t="n"/>
      <c r="I6" s="2" t="n"/>
      <c r="J6" s="2" t="n"/>
      <c r="K6" s="2" t="n"/>
      <c r="L6" s="2" t="n"/>
      <c r="M6" s="2" t="n"/>
      <c r="N6" s="2" t="n"/>
      <c r="O6" s="2" t="n"/>
      <c r="P6" s="2" t="n"/>
    </row>
    <row r="7">
      <c r="A7" s="9" t="inlineStr">
        <is>
          <t>6개월 외부입금</t>
        </is>
      </c>
      <c r="B7" s="119" t="n">
        <v>3325420471</v>
      </c>
      <c r="C7" s="2" t="n"/>
      <c r="D7" s="2" t="inlineStr">
        <is>
          <t>국민 169124</t>
        </is>
      </c>
      <c r="E7" s="120" t="n">
        <v>46293</v>
      </c>
      <c r="F7" s="119" t="n">
        <v>103184200</v>
      </c>
      <c r="G7" s="2" t="n"/>
      <c r="H7" s="2" t="n"/>
      <c r="I7" s="2" t="n"/>
      <c r="J7" s="2" t="n"/>
      <c r="K7" s="2" t="n"/>
      <c r="L7" s="2" t="n"/>
      <c r="M7" s="2" t="n"/>
      <c r="N7" s="2" t="n"/>
      <c r="O7" s="2" t="n"/>
      <c r="P7" s="2" t="n"/>
    </row>
    <row r="8">
      <c r="A8" s="9" t="inlineStr">
        <is>
          <t>6개월 외부출금</t>
        </is>
      </c>
      <c r="B8" s="119" t="n">
        <v>3505422714</v>
      </c>
      <c r="C8" s="2" t="n"/>
      <c r="D8" s="2" t="inlineStr">
        <is>
          <t>농협 569003</t>
        </is>
      </c>
      <c r="E8" s="120" t="n">
        <v>46293</v>
      </c>
      <c r="F8" s="119" t="n">
        <v>0</v>
      </c>
      <c r="G8" s="2" t="n"/>
      <c r="H8" s="2" t="n"/>
      <c r="I8" s="2" t="n"/>
      <c r="J8" s="2" t="n"/>
      <c r="K8" s="2" t="n"/>
      <c r="L8" s="2" t="n"/>
      <c r="M8" s="2" t="n"/>
      <c r="N8" s="2" t="n"/>
      <c r="O8" s="2" t="n"/>
      <c r="P8" s="2" t="n"/>
    </row>
    <row r="9">
      <c r="A9" s="9" t="inlineStr">
        <is>
          <t>온라인매출 입금</t>
        </is>
      </c>
      <c r="B9" s="119" t="n">
        <v>2048494777</v>
      </c>
      <c r="C9" s="2" t="n"/>
      <c r="D9" s="2" t="inlineStr">
        <is>
          <t>우리 220351</t>
        </is>
      </c>
      <c r="E9" s="120" t="n">
        <v>46293</v>
      </c>
      <c r="F9" s="119" t="n">
        <v>2493338</v>
      </c>
      <c r="G9" s="2" t="n"/>
      <c r="H9" s="2" t="n"/>
      <c r="I9" s="2" t="n"/>
      <c r="J9" s="2" t="n"/>
      <c r="K9" s="2" t="n"/>
      <c r="L9" s="2" t="n"/>
      <c r="M9" s="2" t="n"/>
      <c r="N9" s="2" t="n"/>
      <c r="O9" s="2" t="n"/>
      <c r="P9" s="2" t="n"/>
    </row>
    <row r="10">
      <c r="A10" s="9" t="inlineStr">
        <is>
          <t>최근 12주 주평균 온라인입금</t>
        </is>
      </c>
      <c r="B10" s="119" t="n">
        <v>71003532</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4"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28"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26"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20"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33</v>
      </c>
      <c r="C28" s="173" t="n">
        <v>46280</v>
      </c>
      <c r="D28" s="173" t="n">
        <v>46293</v>
      </c>
      <c r="E28" s="2" t="n"/>
      <c r="F28" s="2" t="n"/>
      <c r="G28" s="2" t="n"/>
      <c r="H28" s="2" t="n"/>
      <c r="I28" s="2" t="n"/>
      <c r="J28" s="2" t="n"/>
      <c r="K28" s="2" t="n"/>
      <c r="L28" s="2" t="n"/>
      <c r="M28" s="2" t="n"/>
      <c r="N28" s="2" t="n"/>
      <c r="O28" s="2" t="n"/>
      <c r="P28" s="2" t="n"/>
    </row>
    <row r="29">
      <c r="A29" s="171" t="inlineStr">
        <is>
          <t>농협</t>
        </is>
      </c>
      <c r="B29" s="172" t="n">
        <v>13</v>
      </c>
      <c r="C29" s="173" t="n">
        <v>46283</v>
      </c>
      <c r="D29" s="173" t="n">
        <v>46293</v>
      </c>
      <c r="E29" s="2" t="n"/>
      <c r="F29" s="2" t="n"/>
      <c r="G29" s="2" t="n"/>
      <c r="H29" s="2" t="n"/>
      <c r="I29" s="2" t="n"/>
      <c r="J29" s="2" t="n"/>
      <c r="K29" s="2" t="n"/>
      <c r="L29" s="2" t="n"/>
      <c r="M29" s="2" t="n"/>
      <c r="N29" s="2" t="n"/>
      <c r="O29" s="2" t="n"/>
      <c r="P29" s="2" t="n"/>
    </row>
    <row r="30">
      <c r="A30" s="171" t="inlineStr">
        <is>
          <t>우리은행</t>
        </is>
      </c>
      <c r="B30" s="172" t="n">
        <v>20</v>
      </c>
      <c r="C30" s="173" t="n">
        <v>46284</v>
      </c>
      <c r="D30" s="173" t="n">
        <v>46293</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3" t="inlineStr">
        <is>
          <t>주간 자금 경영보고 — (주)에이팜건강</t>
        </is>
      </c>
    </row>
    <row r="2">
      <c r="A2" s="254" t="inlineStr">
        <is>
          <t>기준주 2026-09-28 (월) ~ 2026-10-04 (일) · 작성 2026-09-28 17:55:53 · 실행일~차주 금요일만 표시 (그 밖의 일자 행은 숨김 — 행 숨기기 해제로 열람 가능)</t>
        </is>
      </c>
    </row>
    <row r="3">
      <c r="A3" s="255"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5">
      <c r="A5" s="256" t="inlineStr">
        <is>
          <t>① 현재 자금 현황</t>
        </is>
      </c>
      <c r="B5" s="257" t="n"/>
      <c r="C5" s="257" t="n"/>
      <c r="D5" s="257" t="n"/>
      <c r="E5" s="257" t="n"/>
      <c r="F5" s="257" t="n"/>
      <c r="G5" s="257" t="n"/>
      <c r="H5" s="257" t="n"/>
      <c r="I5" s="257" t="n"/>
    </row>
    <row r="6">
      <c r="A6" s="258" t="inlineStr">
        <is>
          <t>국민 154577</t>
        </is>
      </c>
      <c r="C6" s="259" t="n">
        <v>34452809</v>
      </c>
      <c r="D6" s="140" t="inlineStr">
        <is>
          <t>최종 거래일 2026-09-28</t>
        </is>
      </c>
    </row>
    <row r="7">
      <c r="A7" s="258" t="inlineStr">
        <is>
          <t>국민 169124</t>
        </is>
      </c>
      <c r="C7" s="259" t="n">
        <v>103184200</v>
      </c>
      <c r="D7" s="140" t="inlineStr">
        <is>
          <t>최종 거래일 2026-09-28</t>
        </is>
      </c>
    </row>
    <row r="8">
      <c r="A8" s="258" t="inlineStr">
        <is>
          <t>농협 569003</t>
        </is>
      </c>
      <c r="C8" s="259" t="n">
        <v>0</v>
      </c>
      <c r="D8" s="140" t="inlineStr">
        <is>
          <t>최종 거래일 2026-09-28</t>
        </is>
      </c>
    </row>
    <row r="9">
      <c r="A9" s="258" t="inlineStr">
        <is>
          <t>우리 220351</t>
        </is>
      </c>
      <c r="C9" s="259" t="n">
        <v>2493338</v>
      </c>
      <c r="D9" s="140" t="inlineStr">
        <is>
          <t>최종 거래일 2026-09-28</t>
        </is>
      </c>
    </row>
    <row r="12">
      <c r="A12" s="260" t="inlineStr">
        <is>
          <t>총잔액</t>
        </is>
      </c>
      <c r="C12" s="261">
        <f>SUM(C6:C11)</f>
        <v/>
      </c>
      <c r="E12" s="262" t="inlineStr">
        <is>
          <t>입금 반영률</t>
        </is>
      </c>
      <c r="F12" s="263" t="n">
        <v>0.8</v>
      </c>
    </row>
    <row r="14">
      <c r="A14" s="256"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57" t="n"/>
      <c r="C14" s="257" t="n"/>
      <c r="D14" s="257" t="n"/>
      <c r="E14" s="257" t="n"/>
      <c r="F14" s="257" t="n"/>
      <c r="G14" s="257" t="n"/>
      <c r="H14" s="257" t="n"/>
      <c r="I14" s="257" t="n"/>
    </row>
    <row r="15">
      <c r="A15" s="264" t="inlineStr">
        <is>
          <t>지급일</t>
        </is>
      </c>
      <c r="B15" s="264" t="inlineStr">
        <is>
          <t>요일</t>
        </is>
      </c>
      <c r="C15" s="264" t="inlineStr">
        <is>
          <t>구분</t>
        </is>
      </c>
      <c r="D15" s="264" t="inlineStr">
        <is>
          <t>내용</t>
        </is>
      </c>
      <c r="E15" s="264" t="inlineStr">
        <is>
          <t>금액</t>
        </is>
      </c>
      <c r="F15" s="264" t="inlineStr">
        <is>
          <t>지급방법</t>
        </is>
      </c>
      <c r="G15" s="264" t="inlineStr">
        <is>
          <t>실지출(은행 확인)</t>
        </is>
      </c>
      <c r="H15" s="264" t="inlineStr">
        <is>
          <t>차이(잔여)</t>
        </is>
      </c>
      <c r="I15" s="264" t="inlineStr">
        <is>
          <t>확인</t>
        </is>
      </c>
    </row>
    <row r="16">
      <c r="A16" s="265" t="n">
        <v>46293</v>
      </c>
      <c r="B16" s="266">
        <f>IF(A16="","",MID("월화수목금토일",WEEKDAY(A16,2),1))</f>
        <v/>
      </c>
      <c r="C16" s="258" t="inlineStr">
        <is>
          <t>경영지원팀</t>
        </is>
      </c>
      <c r="D16" s="161" t="inlineStr">
        <is>
          <t>우리카드 8월 카드대금</t>
        </is>
      </c>
      <c r="E16" s="267" t="n">
        <v>10839960</v>
      </c>
      <c r="F16" s="266" t="inlineStr">
        <is>
          <t>자동이체</t>
        </is>
      </c>
      <c r="G16" s="268" t="n">
        <v>0</v>
      </c>
      <c r="H16" s="268">
        <f>IF(OR(G16="",E16=""),"",E16-G16)</f>
        <v/>
      </c>
      <c r="I16" s="269" t="inlineStr"/>
    </row>
    <row r="17">
      <c r="A17" s="265" t="n">
        <v>46293</v>
      </c>
      <c r="B17" s="266">
        <f>IF(A17="","",MID("월화수목금토일",WEEKDAY(A17,2),1))</f>
        <v/>
      </c>
      <c r="C17" s="258" t="inlineStr">
        <is>
          <t>경영지원팀</t>
        </is>
      </c>
      <c r="D17" s="161" t="inlineStr">
        <is>
          <t>농협카드 8월 카드대금</t>
        </is>
      </c>
      <c r="E17" s="267" t="n">
        <v>4610000</v>
      </c>
      <c r="F17" s="266" t="inlineStr">
        <is>
          <t>자동이체</t>
        </is>
      </c>
      <c r="G17" s="268" t="n">
        <v>0</v>
      </c>
      <c r="H17" s="268">
        <f>IF(OR(G17="",E17=""),"",E17-G17)</f>
        <v/>
      </c>
      <c r="I17" s="269" t="inlineStr"/>
    </row>
    <row r="18">
      <c r="A18" s="265" t="n">
        <v>46293</v>
      </c>
      <c r="B18" s="266">
        <f>IF(A18="","",MID("월화수목금토일",WEEKDAY(A18,2),1))</f>
        <v/>
      </c>
      <c r="C18" s="258" t="inlineStr">
        <is>
          <t>경영지원팀</t>
        </is>
      </c>
      <c r="D18" s="161" t="inlineStr">
        <is>
          <t>농협카드 8월 카드대금</t>
        </is>
      </c>
      <c r="E18" s="267" t="n">
        <v>4561388</v>
      </c>
      <c r="F18" s="266" t="inlineStr">
        <is>
          <t>자동이체</t>
        </is>
      </c>
      <c r="G18" s="268" t="n">
        <v>35015</v>
      </c>
      <c r="H18" s="268">
        <f>IF(OR(G18="",E18=""),"",E18-G18)</f>
        <v/>
      </c>
      <c r="I18" s="269" t="inlineStr"/>
    </row>
    <row r="19">
      <c r="A19" s="265" t="n">
        <v>46293</v>
      </c>
      <c r="B19" s="266">
        <f>IF(A19="","",MID("월화수목금토일",WEEKDAY(A19,2),1))</f>
        <v/>
      </c>
      <c r="C19" s="258" t="inlineStr">
        <is>
          <t>경영지원팀</t>
        </is>
      </c>
      <c r="D19" s="161" t="inlineStr">
        <is>
          <t>메트라이프 정기보험_42회차</t>
        </is>
      </c>
      <c r="E19" s="267" t="n">
        <v>2497000</v>
      </c>
      <c r="F19" s="266" t="inlineStr">
        <is>
          <t>자동이체</t>
        </is>
      </c>
      <c r="G19" s="268" t="n">
        <v>0</v>
      </c>
      <c r="H19" s="268">
        <f>IF(OR(G19="",E19=""),"",E19-G19)</f>
        <v/>
      </c>
      <c r="I19" s="269" t="inlineStr"/>
    </row>
    <row r="20">
      <c r="A20" s="265" t="n">
        <v>46293</v>
      </c>
      <c r="B20" s="266">
        <f>IF(A20="","",MID("월화수목금토일",WEEKDAY(A20,2),1))</f>
        <v/>
      </c>
      <c r="C20" s="258" t="inlineStr">
        <is>
          <t>데이터사이언스팀</t>
        </is>
      </c>
      <c r="D20" s="161" t="inlineStr">
        <is>
          <t>엘앤에이치컴퍼니 흥덕IT밸리_사무실 임대료</t>
        </is>
      </c>
      <c r="E20" s="267" t="n">
        <v>1650000</v>
      </c>
      <c r="F20" s="266" t="inlineStr">
        <is>
          <t>계좌송금</t>
        </is>
      </c>
      <c r="G20" s="268" t="n">
        <v>0</v>
      </c>
      <c r="H20" s="268">
        <f>IF(OR(G20="",E20=""),"",E20-G20)</f>
        <v/>
      </c>
      <c r="I20" s="269" t="inlineStr"/>
    </row>
    <row r="21">
      <c r="A21" s="265" t="n">
        <v>46293</v>
      </c>
      <c r="B21" s="266">
        <f>IF(A21="","",MID("월화수목금토일",WEEKDAY(A21,2),1))</f>
        <v/>
      </c>
      <c r="C21" s="258" t="inlineStr">
        <is>
          <t>경영지원팀</t>
        </is>
      </c>
      <c r="D21" s="161" t="inlineStr">
        <is>
          <t>남경노무법인 인사노무수수료</t>
        </is>
      </c>
      <c r="E21" s="267" t="n">
        <v>275000</v>
      </c>
      <c r="F21" s="266" t="inlineStr">
        <is>
          <t>계좌송금</t>
        </is>
      </c>
      <c r="G21" s="268" t="n">
        <v>0</v>
      </c>
      <c r="H21" s="268">
        <f>IF(OR(G21="",E21=""),"",E21-G21)</f>
        <v/>
      </c>
      <c r="I21" s="269" t="inlineStr"/>
    </row>
    <row r="22">
      <c r="A22" s="265" t="n">
        <v>46293</v>
      </c>
      <c r="B22" s="266">
        <f>IF(A22="","",MID("월화수목금토일",WEEKDAY(A22,2),1))</f>
        <v/>
      </c>
      <c r="C22" s="258" t="inlineStr">
        <is>
          <t>경영지원팀</t>
        </is>
      </c>
      <c r="D22" s="161" t="inlineStr">
        <is>
          <t>KT 통신비</t>
        </is>
      </c>
      <c r="E22" s="267" t="n">
        <v>109450</v>
      </c>
      <c r="F22" s="266" t="inlineStr">
        <is>
          <t>자동이체</t>
        </is>
      </c>
      <c r="G22" s="268" t="n">
        <v>0</v>
      </c>
      <c r="H22" s="268">
        <f>IF(OR(G22="",E22=""),"",E22-G22)</f>
        <v/>
      </c>
      <c r="I22" s="269" t="inlineStr"/>
    </row>
    <row r="23">
      <c r="A23" s="265" t="n">
        <v>46294</v>
      </c>
      <c r="B23" s="266">
        <f>IF(A23="","",MID("월화수목금토일",WEEKDAY(A23,2),1))</f>
        <v/>
      </c>
      <c r="C23" s="258" t="inlineStr">
        <is>
          <t>경영지원팀</t>
        </is>
      </c>
      <c r="D23" s="161" t="inlineStr">
        <is>
          <t>와이투홀딩스 직원 추석 선물세트 구입</t>
        </is>
      </c>
      <c r="E23" s="267" t="n">
        <v>1023110</v>
      </c>
      <c r="F23" s="266" t="inlineStr">
        <is>
          <t>계좌송금</t>
        </is>
      </c>
      <c r="G23" s="267" t="inlineStr"/>
      <c r="H23" s="259">
        <f>IF(OR(G23="",E23=""),"",E23-G23)</f>
        <v/>
      </c>
      <c r="I23" s="269" t="inlineStr"/>
    </row>
    <row r="24">
      <c r="A24" s="265" t="n">
        <v>46294</v>
      </c>
      <c r="B24" s="266">
        <f>IF(A24="","",MID("월화수목금토일",WEEKDAY(A24,2),1))</f>
        <v/>
      </c>
      <c r="C24" s="258" t="inlineStr">
        <is>
          <t>건강사업팀</t>
        </is>
      </c>
      <c r="D24" s="161" t="inlineStr">
        <is>
          <t>네이버 네이버 톡톡 발송</t>
        </is>
      </c>
      <c r="E24" s="267" t="n">
        <v>500000</v>
      </c>
      <c r="F24" s="266" t="inlineStr">
        <is>
          <t>계좌송금</t>
        </is>
      </c>
      <c r="G24" s="267" t="inlineStr"/>
      <c r="H24" s="259">
        <f>IF(OR(G24="",E24=""),"",E24-G24)</f>
        <v/>
      </c>
      <c r="I24" s="269" t="inlineStr"/>
    </row>
    <row r="25">
      <c r="A25" s="265" t="n">
        <v>46294</v>
      </c>
      <c r="B25" s="266">
        <f>IF(A25="","",MID("월화수목금토일",WEEKDAY(A25,2),1))</f>
        <v/>
      </c>
      <c r="C25" s="258" t="inlineStr">
        <is>
          <t>건강사업팀</t>
        </is>
      </c>
      <c r="D25" s="161" t="inlineStr">
        <is>
          <t>정상은(이준이서맘) 인스타그램 효소 홍보</t>
        </is>
      </c>
      <c r="E25" s="267" t="n">
        <v>500000</v>
      </c>
      <c r="F25" s="266" t="inlineStr">
        <is>
          <t>계좌송금</t>
        </is>
      </c>
      <c r="G25" s="267" t="inlineStr"/>
      <c r="H25" s="259">
        <f>IF(OR(G25="",E25=""),"",E25-G25)</f>
        <v/>
      </c>
      <c r="I25" s="269" t="inlineStr"/>
    </row>
    <row r="26">
      <c r="A26" s="265" t="n">
        <v>46294</v>
      </c>
      <c r="B26" s="266">
        <f>IF(A26="","",MID("월화수목금토일",WEEKDAY(A26,2),1))</f>
        <v/>
      </c>
      <c r="C26" s="258" t="inlineStr">
        <is>
          <t>경영지원팀</t>
        </is>
      </c>
      <c r="D26" s="161" t="inlineStr">
        <is>
          <t>에이팜 이동매출</t>
        </is>
      </c>
      <c r="E26" s="267" t="n">
        <v>143629</v>
      </c>
      <c r="F26" s="266" t="inlineStr">
        <is>
          <t>계좌송금</t>
        </is>
      </c>
      <c r="G26" s="267" t="inlineStr"/>
      <c r="H26" s="259">
        <f>IF(OR(G26="",E26=""),"",E26-G26)</f>
        <v/>
      </c>
      <c r="I26" s="269" t="inlineStr"/>
    </row>
    <row r="27">
      <c r="A27" s="265" t="n">
        <v>46294</v>
      </c>
      <c r="B27" s="266">
        <f>IF(A27="","",MID("월화수목금토일",WEEKDAY(A27,2),1))</f>
        <v/>
      </c>
      <c r="C27" s="258" t="inlineStr">
        <is>
          <t>건강사업팀</t>
        </is>
      </c>
      <c r="D27" s="161" t="inlineStr">
        <is>
          <t>마고성인권연구소 임신체험키트</t>
        </is>
      </c>
      <c r="E27" s="267" t="n">
        <v>40000</v>
      </c>
      <c r="F27" s="266" t="inlineStr">
        <is>
          <t>계좌송금</t>
        </is>
      </c>
      <c r="G27" s="267" t="inlineStr"/>
      <c r="H27" s="259">
        <f>IF(OR(G27="",E27=""),"",E27-G27)</f>
        <v/>
      </c>
      <c r="I27" s="269" t="inlineStr"/>
    </row>
    <row r="28">
      <c r="A28" s="265" t="n">
        <v>46295</v>
      </c>
      <c r="B28" s="266">
        <f>IF(A28="","",MID("월화수목금토일",WEEKDAY(A28,2),1))</f>
        <v/>
      </c>
      <c r="C28" s="258" t="inlineStr">
        <is>
          <t>데이터사이언스팀</t>
        </is>
      </c>
      <c r="D28" s="161" t="inlineStr">
        <is>
          <t>흥덕IT밸리 관리위원회 흥덕 사무실 관리비</t>
        </is>
      </c>
      <c r="E28" s="267" t="n">
        <v>903320</v>
      </c>
      <c r="F28" s="266" t="inlineStr">
        <is>
          <t>계좌송금</t>
        </is>
      </c>
      <c r="G28" s="267" t="inlineStr"/>
      <c r="H28" s="259">
        <f>IF(OR(G28="",E28=""),"",E28-G28)</f>
        <v/>
      </c>
      <c r="I28" s="269" t="inlineStr"/>
    </row>
    <row r="29">
      <c r="A29" s="265" t="n">
        <v>46295</v>
      </c>
      <c r="B29" s="266">
        <f>IF(A29="","",MID("월화수목금토일",WEEKDAY(A29,2),1))</f>
        <v/>
      </c>
      <c r="C29" s="258" t="inlineStr">
        <is>
          <t>건강사업팀</t>
        </is>
      </c>
      <c r="D29" s="161" t="inlineStr">
        <is>
          <t>(주) 오애드 호기심딱지 8월 정산</t>
        </is>
      </c>
      <c r="E29" s="267" t="n">
        <v>880000</v>
      </c>
      <c r="F29" s="266" t="inlineStr">
        <is>
          <t>계좌송금</t>
        </is>
      </c>
      <c r="G29" s="267" t="inlineStr"/>
      <c r="H29" s="259">
        <f>IF(OR(G29="",E29=""),"",E29-G29)</f>
        <v/>
      </c>
      <c r="I29" s="269" t="inlineStr"/>
    </row>
    <row r="30">
      <c r="A30" s="265" t="n">
        <v>46295</v>
      </c>
      <c r="B30" s="266">
        <f>IF(A30="","",MID("월화수목금토일",WEEKDAY(A30,2),1))</f>
        <v/>
      </c>
      <c r="C30" s="258" t="inlineStr">
        <is>
          <t>경영지원팀</t>
        </is>
      </c>
      <c r="D30" s="161" t="inlineStr">
        <is>
          <t>서원회계법인 기장료</t>
        </is>
      </c>
      <c r="E30" s="267" t="n">
        <v>385000</v>
      </c>
      <c r="F30" s="266" t="inlineStr">
        <is>
          <t>계좌송금</t>
        </is>
      </c>
      <c r="G30" s="267" t="inlineStr"/>
      <c r="H30" s="259">
        <f>IF(OR(G30="",E30=""),"",E30-G30)</f>
        <v/>
      </c>
      <c r="I30" s="269" t="inlineStr"/>
    </row>
    <row r="31">
      <c r="A31" s="265" t="n">
        <v>46295</v>
      </c>
      <c r="B31" s="266">
        <f>IF(A31="","",MID("월화수목금토일",WEEKDAY(A31,2),1))</f>
        <v/>
      </c>
      <c r="C31" s="258" t="inlineStr">
        <is>
          <t>건강사업팀</t>
        </is>
      </c>
      <c r="D31" s="161" t="inlineStr">
        <is>
          <t>카카오톡 비즈니스 자사 카드뷰 발송</t>
        </is>
      </c>
      <c r="E31" s="267" t="n">
        <v>200000</v>
      </c>
      <c r="F31" s="266" t="inlineStr">
        <is>
          <t>계좌송금</t>
        </is>
      </c>
      <c r="G31" s="267" t="inlineStr"/>
      <c r="H31" s="259">
        <f>IF(OR(G31="",E31=""),"",E31-G31)</f>
        <v/>
      </c>
      <c r="I31" s="269" t="inlineStr"/>
    </row>
    <row r="32">
      <c r="A32" s="265" t="n">
        <v>46295</v>
      </c>
      <c r="B32" s="266">
        <f>IF(A32="","",MID("월화수목금토일",WEEKDAY(A32,2),1))</f>
        <v/>
      </c>
      <c r="C32" s="258" t="inlineStr">
        <is>
          <t>연구팀</t>
        </is>
      </c>
      <c r="D32" s="161" t="inlineStr">
        <is>
          <t>특허법인다옴 수출바우처 해외상표출원</t>
        </is>
      </c>
      <c r="E32" s="267" t="n">
        <v>91730</v>
      </c>
      <c r="F32" s="266" t="inlineStr">
        <is>
          <t>계좌송금</t>
        </is>
      </c>
      <c r="G32" s="267" t="inlineStr"/>
      <c r="H32" s="259">
        <f>IF(OR(G32="",E32=""),"",E32-G32)</f>
        <v/>
      </c>
      <c r="I32" s="269" t="inlineStr"/>
    </row>
    <row r="33" hidden="1">
      <c r="A33" s="265" t="n">
        <v>46318</v>
      </c>
      <c r="B33" s="266">
        <f>IF(A33="","",MID("월화수목금토일",WEEKDAY(A33,2),1))</f>
        <v/>
      </c>
      <c r="C33" s="258" t="inlineStr">
        <is>
          <t>경영지원팀</t>
        </is>
      </c>
      <c r="D33" s="161" t="inlineStr">
        <is>
          <t>위버 워크샵 (1부/2부) 이용료</t>
        </is>
      </c>
      <c r="E33" s="267" t="n">
        <v>1675000</v>
      </c>
      <c r="F33" s="266" t="inlineStr">
        <is>
          <t>법인카드</t>
        </is>
      </c>
      <c r="G33" s="267" t="inlineStr"/>
      <c r="H33" s="259">
        <f>IF(OR(G33="",E33=""),"",E33-G33)</f>
        <v/>
      </c>
      <c r="I33" s="269" t="inlineStr"/>
    </row>
    <row r="34" hidden="1">
      <c r="A34" s="265" t="n">
        <v>46318</v>
      </c>
      <c r="B34" s="266">
        <f>IF(A34="","",MID("월화수목금토일",WEEKDAY(A34,2),1))</f>
        <v/>
      </c>
      <c r="C34" s="258" t="inlineStr">
        <is>
          <t>건강사업팀</t>
        </is>
      </c>
      <c r="D34" s="161" t="inlineStr">
        <is>
          <t>카페24 sms 충전</t>
        </is>
      </c>
      <c r="E34" s="267" t="n">
        <v>1000000</v>
      </c>
      <c r="F34" s="266" t="inlineStr">
        <is>
          <t>법인카드</t>
        </is>
      </c>
      <c r="G34" s="267" t="inlineStr"/>
      <c r="H34" s="259">
        <f>IF(OR(G34="",E34=""),"",E34-G34)</f>
        <v/>
      </c>
      <c r="I34" s="269" t="inlineStr"/>
    </row>
    <row r="35" hidden="1">
      <c r="A35" s="265" t="n">
        <v>46318</v>
      </c>
      <c r="B35" s="266">
        <f>IF(A35="","",MID("월화수목금토일",WEEKDAY(A35,2),1))</f>
        <v/>
      </c>
      <c r="C35" s="258" t="inlineStr">
        <is>
          <t>경영지원팀</t>
        </is>
      </c>
      <c r="D35" s="161" t="inlineStr">
        <is>
          <t>쿠팡 직원 간식 구매</t>
        </is>
      </c>
      <c r="E35" s="267" t="n">
        <v>300000</v>
      </c>
      <c r="F35" s="266" t="inlineStr">
        <is>
          <t>법인카드</t>
        </is>
      </c>
      <c r="G35" s="267" t="inlineStr"/>
      <c r="H35" s="259">
        <f>IF(OR(G35="",E35=""),"",E35-G35)</f>
        <v/>
      </c>
      <c r="I35" s="269" t="inlineStr"/>
    </row>
    <row r="36">
      <c r="A36" s="265" t="inlineStr"/>
      <c r="B36" s="266">
        <f>IF(A36="","",MID("월화수목금토일",WEEKDAY(A36,2),1))</f>
        <v/>
      </c>
      <c r="C36" s="258" t="inlineStr"/>
      <c r="D36" s="258" t="inlineStr"/>
      <c r="E36" s="267" t="inlineStr"/>
      <c r="F36" s="258" t="inlineStr"/>
      <c r="G36" s="267" t="inlineStr"/>
      <c r="H36" s="259">
        <f>IF(OR(G36="",E36=""),"",E36-G36)</f>
        <v/>
      </c>
      <c r="I36" s="269" t="inlineStr"/>
    </row>
    <row r="37">
      <c r="A37" s="265" t="inlineStr"/>
      <c r="B37" s="266">
        <f>IF(A37="","",MID("월화수목금토일",WEEKDAY(A37,2),1))</f>
        <v/>
      </c>
      <c r="C37" s="258" t="inlineStr"/>
      <c r="D37" s="258" t="inlineStr"/>
      <c r="E37" s="267" t="inlineStr"/>
      <c r="F37" s="258" t="inlineStr"/>
      <c r="G37" s="267" t="inlineStr"/>
      <c r="H37" s="259">
        <f>IF(OR(G37="",E37=""),"",E37-G37)</f>
        <v/>
      </c>
      <c r="I37" s="269" t="inlineStr"/>
    </row>
    <row r="38">
      <c r="A38" s="265" t="inlineStr"/>
      <c r="B38" s="266">
        <f>IF(A38="","",MID("월화수목금토일",WEEKDAY(A38,2),1))</f>
        <v/>
      </c>
      <c r="C38" s="258" t="inlineStr"/>
      <c r="D38" s="258" t="inlineStr"/>
      <c r="E38" s="267" t="inlineStr"/>
      <c r="F38" s="258" t="inlineStr"/>
      <c r="G38" s="267" t="inlineStr"/>
      <c r="H38" s="259">
        <f>IF(OR(G38="",E38=""),"",E38-G38)</f>
        <v/>
      </c>
      <c r="I38" s="269" t="inlineStr"/>
    </row>
    <row r="39" hidden="1">
      <c r="A39" s="265" t="inlineStr"/>
      <c r="B39" s="266">
        <f>IF(A39="","",MID("월화수목금토일",WEEKDAY(A39,2),1))</f>
        <v/>
      </c>
      <c r="C39" s="258" t="inlineStr"/>
      <c r="D39" s="258" t="inlineStr"/>
      <c r="E39" s="267" t="inlineStr"/>
      <c r="F39" s="258" t="inlineStr"/>
      <c r="G39" s="267" t="inlineStr"/>
      <c r="H39" s="259">
        <f>IF(OR(G39="",E39=""),"",E39-G39)</f>
        <v/>
      </c>
      <c r="I39" s="269" t="inlineStr"/>
    </row>
    <row r="40" hidden="1">
      <c r="A40" s="265" t="inlineStr"/>
      <c r="B40" s="266">
        <f>IF(A40="","",MID("월화수목금토일",WEEKDAY(A40,2),1))</f>
        <v/>
      </c>
      <c r="C40" s="258" t="inlineStr"/>
      <c r="D40" s="258" t="inlineStr"/>
      <c r="E40" s="267" t="inlineStr"/>
      <c r="F40" s="258" t="inlineStr"/>
      <c r="G40" s="267" t="inlineStr"/>
      <c r="H40" s="259">
        <f>IF(OR(G40="",E40=""),"",E40-G40)</f>
        <v/>
      </c>
      <c r="I40" s="269" t="inlineStr"/>
    </row>
    <row r="41" hidden="1">
      <c r="A41" s="265" t="inlineStr"/>
      <c r="B41" s="266">
        <f>IF(A41="","",MID("월화수목금토일",WEEKDAY(A41,2),1))</f>
        <v/>
      </c>
      <c r="C41" s="258" t="inlineStr"/>
      <c r="D41" s="258" t="inlineStr"/>
      <c r="E41" s="267" t="inlineStr"/>
      <c r="F41" s="258" t="inlineStr"/>
      <c r="G41" s="267" t="inlineStr"/>
      <c r="H41" s="259">
        <f>IF(OR(G41="",E41=""),"",E41-G41)</f>
        <v/>
      </c>
      <c r="I41" s="269" t="inlineStr"/>
    </row>
    <row r="42" hidden="1">
      <c r="A42" s="265" t="inlineStr"/>
      <c r="B42" s="266">
        <f>IF(A42="","",MID("월화수목금토일",WEEKDAY(A42,2),1))</f>
        <v/>
      </c>
      <c r="C42" s="258" t="inlineStr"/>
      <c r="D42" s="258" t="inlineStr"/>
      <c r="E42" s="267" t="inlineStr"/>
      <c r="F42" s="258" t="inlineStr"/>
      <c r="G42" s="267" t="inlineStr"/>
      <c r="H42" s="259">
        <f>IF(OR(G42="",E42=""),"",E42-G42)</f>
        <v/>
      </c>
      <c r="I42" s="269" t="inlineStr"/>
    </row>
    <row r="43" hidden="1">
      <c r="A43" s="265" t="inlineStr"/>
      <c r="B43" s="266">
        <f>IF(A43="","",MID("월화수목금토일",WEEKDAY(A43,2),1))</f>
        <v/>
      </c>
      <c r="C43" s="258" t="inlineStr"/>
      <c r="D43" s="258" t="inlineStr"/>
      <c r="E43" s="267" t="inlineStr"/>
      <c r="F43" s="258" t="inlineStr"/>
      <c r="G43" s="267" t="inlineStr"/>
      <c r="H43" s="259">
        <f>IF(OR(G43="",E43=""),"",E43-G43)</f>
        <v/>
      </c>
      <c r="I43" s="269" t="inlineStr"/>
    </row>
    <row r="44" hidden="1">
      <c r="A44" s="265" t="inlineStr"/>
      <c r="B44" s="266">
        <f>IF(A44="","",MID("월화수목금토일",WEEKDAY(A44,2),1))</f>
        <v/>
      </c>
      <c r="C44" s="258" t="inlineStr"/>
      <c r="D44" s="258" t="inlineStr"/>
      <c r="E44" s="267" t="inlineStr"/>
      <c r="F44" s="258" t="inlineStr"/>
      <c r="G44" s="267" t="inlineStr"/>
      <c r="H44" s="259">
        <f>IF(OR(G44="",E44=""),"",E44-G44)</f>
        <v/>
      </c>
      <c r="I44" s="269" t="inlineStr"/>
    </row>
    <row r="45" hidden="1">
      <c r="A45" s="265" t="inlineStr"/>
      <c r="B45" s="266">
        <f>IF(A45="","",MID("월화수목금토일",WEEKDAY(A45,2),1))</f>
        <v/>
      </c>
      <c r="C45" s="258" t="inlineStr"/>
      <c r="D45" s="258" t="inlineStr"/>
      <c r="E45" s="267" t="inlineStr"/>
      <c r="F45" s="258" t="inlineStr"/>
      <c r="G45" s="267" t="inlineStr"/>
      <c r="H45" s="259">
        <f>IF(OR(G45="",E45=""),"",E45-G45)</f>
        <v/>
      </c>
      <c r="I45" s="269" t="inlineStr"/>
    </row>
    <row r="46" hidden="1">
      <c r="A46" s="265" t="inlineStr"/>
      <c r="B46" s="266">
        <f>IF(A46="","",MID("월화수목금토일",WEEKDAY(A46,2),1))</f>
        <v/>
      </c>
      <c r="C46" s="258" t="inlineStr"/>
      <c r="D46" s="258" t="inlineStr"/>
      <c r="E46" s="267" t="inlineStr"/>
      <c r="F46" s="258" t="inlineStr"/>
      <c r="G46" s="267" t="inlineStr"/>
      <c r="H46" s="259">
        <f>IF(OR(G46="",E46=""),"",E46-G46)</f>
        <v/>
      </c>
      <c r="I46" s="269" t="inlineStr"/>
    </row>
    <row r="47" hidden="1">
      <c r="A47" s="265" t="inlineStr"/>
      <c r="B47" s="266">
        <f>IF(A47="","",MID("월화수목금토일",WEEKDAY(A47,2),1))</f>
        <v/>
      </c>
      <c r="C47" s="258" t="inlineStr"/>
      <c r="D47" s="258" t="inlineStr"/>
      <c r="E47" s="267" t="inlineStr"/>
      <c r="F47" s="258" t="inlineStr"/>
      <c r="G47" s="267" t="inlineStr"/>
      <c r="H47" s="259">
        <f>IF(OR(G47="",E47=""),"",E47-G47)</f>
        <v/>
      </c>
      <c r="I47" s="269" t="inlineStr"/>
    </row>
    <row r="48" hidden="1">
      <c r="A48" s="265" t="inlineStr"/>
      <c r="B48" s="266">
        <f>IF(A48="","",MID("월화수목금토일",WEEKDAY(A48,2),1))</f>
        <v/>
      </c>
      <c r="C48" s="258" t="inlineStr"/>
      <c r="D48" s="258" t="inlineStr"/>
      <c r="E48" s="267" t="inlineStr"/>
      <c r="F48" s="258" t="inlineStr"/>
      <c r="G48" s="267" t="inlineStr"/>
      <c r="H48" s="259">
        <f>IF(OR(G48="",E48=""),"",E48-G48)</f>
        <v/>
      </c>
      <c r="I48" s="269" t="inlineStr"/>
    </row>
    <row r="49" hidden="1">
      <c r="A49" s="265" t="inlineStr"/>
      <c r="B49" s="266">
        <f>IF(A49="","",MID("월화수목금토일",WEEKDAY(A49,2),1))</f>
        <v/>
      </c>
      <c r="C49" s="258" t="inlineStr"/>
      <c r="D49" s="258" t="inlineStr"/>
      <c r="E49" s="267" t="inlineStr"/>
      <c r="F49" s="258" t="inlineStr"/>
      <c r="G49" s="267" t="inlineStr"/>
      <c r="H49" s="259">
        <f>IF(OR(G49="",E49=""),"",E49-G49)</f>
        <v/>
      </c>
      <c r="I49" s="269" t="inlineStr"/>
    </row>
    <row r="50" hidden="1">
      <c r="A50" s="265" t="inlineStr"/>
      <c r="B50" s="266">
        <f>IF(A50="","",MID("월화수목금토일",WEEKDAY(A50,2),1))</f>
        <v/>
      </c>
      <c r="C50" s="258" t="inlineStr"/>
      <c r="D50" s="258" t="inlineStr"/>
      <c r="E50" s="267" t="inlineStr"/>
      <c r="F50" s="258" t="inlineStr"/>
      <c r="G50" s="267" t="inlineStr"/>
      <c r="H50" s="259">
        <f>IF(OR(G50="",E50=""),"",E50-G50)</f>
        <v/>
      </c>
      <c r="I50" s="269" t="inlineStr"/>
    </row>
    <row r="51" hidden="1">
      <c r="A51" s="265" t="inlineStr"/>
      <c r="B51" s="266">
        <f>IF(A51="","",MID("월화수목금토일",WEEKDAY(A51,2),1))</f>
        <v/>
      </c>
      <c r="C51" s="258" t="inlineStr"/>
      <c r="D51" s="258" t="inlineStr"/>
      <c r="E51" s="267" t="inlineStr"/>
      <c r="F51" s="258" t="inlineStr"/>
      <c r="G51" s="267" t="inlineStr"/>
      <c r="H51" s="259">
        <f>IF(OR(G51="",E51=""),"",E51-G51)</f>
        <v/>
      </c>
      <c r="I51" s="269" t="inlineStr"/>
    </row>
    <row r="52" hidden="1">
      <c r="A52" s="265" t="inlineStr"/>
      <c r="B52" s="266">
        <f>IF(A52="","",MID("월화수목금토일",WEEKDAY(A52,2),1))</f>
        <v/>
      </c>
      <c r="C52" s="258" t="inlineStr"/>
      <c r="D52" s="258" t="inlineStr"/>
      <c r="E52" s="267" t="inlineStr"/>
      <c r="F52" s="258" t="inlineStr"/>
      <c r="G52" s="267" t="inlineStr"/>
      <c r="H52" s="259">
        <f>IF(OR(G52="",E52=""),"",E52-G52)</f>
        <v/>
      </c>
      <c r="I52" s="269" t="inlineStr"/>
    </row>
    <row r="53" hidden="1">
      <c r="A53" s="265" t="inlineStr"/>
      <c r="B53" s="266">
        <f>IF(A53="","",MID("월화수목금토일",WEEKDAY(A53,2),1))</f>
        <v/>
      </c>
      <c r="C53" s="258" t="inlineStr"/>
      <c r="D53" s="258" t="inlineStr"/>
      <c r="E53" s="267" t="inlineStr"/>
      <c r="F53" s="258" t="inlineStr"/>
      <c r="G53" s="267" t="inlineStr"/>
      <c r="H53" s="259">
        <f>IF(OR(G53="",E53=""),"",E53-G53)</f>
        <v/>
      </c>
      <c r="I53" s="269" t="inlineStr"/>
    </row>
    <row r="54" hidden="1">
      <c r="A54" s="265" t="inlineStr"/>
      <c r="B54" s="266">
        <f>IF(A54="","",MID("월화수목금토일",WEEKDAY(A54,2),1))</f>
        <v/>
      </c>
      <c r="C54" s="258" t="inlineStr"/>
      <c r="D54" s="258" t="inlineStr"/>
      <c r="E54" s="267" t="inlineStr"/>
      <c r="F54" s="258" t="inlineStr"/>
      <c r="G54" s="267" t="inlineStr"/>
      <c r="H54" s="259">
        <f>IF(OR(G54="",E54=""),"",E54-G54)</f>
        <v/>
      </c>
      <c r="I54" s="269" t="inlineStr"/>
    </row>
    <row r="55" hidden="1">
      <c r="A55" s="265" t="inlineStr"/>
      <c r="B55" s="266">
        <f>IF(A55="","",MID("월화수목금토일",WEEKDAY(A55,2),1))</f>
        <v/>
      </c>
      <c r="C55" s="258" t="inlineStr"/>
      <c r="D55" s="258" t="inlineStr"/>
      <c r="E55" s="267" t="inlineStr"/>
      <c r="F55" s="258" t="inlineStr"/>
      <c r="G55" s="267" t="inlineStr"/>
      <c r="H55" s="259">
        <f>IF(OR(G55="",E55=""),"",E55-G55)</f>
        <v/>
      </c>
      <c r="I55" s="269" t="inlineStr"/>
    </row>
    <row r="56" hidden="1">
      <c r="A56" s="265" t="inlineStr"/>
      <c r="B56" s="266">
        <f>IF(A56="","",MID("월화수목금토일",WEEKDAY(A56,2),1))</f>
        <v/>
      </c>
      <c r="C56" s="258" t="inlineStr"/>
      <c r="D56" s="258" t="inlineStr"/>
      <c r="E56" s="267" t="inlineStr"/>
      <c r="F56" s="258" t="inlineStr"/>
      <c r="G56" s="267" t="inlineStr"/>
      <c r="H56" s="259">
        <f>IF(OR(G56="",E56=""),"",E56-G56)</f>
        <v/>
      </c>
      <c r="I56" s="269" t="inlineStr"/>
    </row>
    <row r="57" hidden="1">
      <c r="A57" s="265" t="inlineStr"/>
      <c r="B57" s="266">
        <f>IF(A57="","",MID("월화수목금토일",WEEKDAY(A57,2),1))</f>
        <v/>
      </c>
      <c r="C57" s="258" t="inlineStr"/>
      <c r="D57" s="258" t="inlineStr"/>
      <c r="E57" s="267" t="inlineStr"/>
      <c r="F57" s="258" t="inlineStr"/>
      <c r="G57" s="267" t="inlineStr"/>
      <c r="H57" s="259">
        <f>IF(OR(G57="",E57=""),"",E57-G57)</f>
        <v/>
      </c>
      <c r="I57" s="269" t="inlineStr"/>
    </row>
    <row r="58" hidden="1">
      <c r="A58" s="265" t="inlineStr"/>
      <c r="B58" s="266">
        <f>IF(A58="","",MID("월화수목금토일",WEEKDAY(A58,2),1))</f>
        <v/>
      </c>
      <c r="C58" s="258" t="inlineStr"/>
      <c r="D58" s="258" t="inlineStr"/>
      <c r="E58" s="267" t="inlineStr"/>
      <c r="F58" s="258" t="inlineStr"/>
      <c r="G58" s="267" t="inlineStr"/>
      <c r="H58" s="259">
        <f>IF(OR(G58="",E58=""),"",E58-G58)</f>
        <v/>
      </c>
      <c r="I58" s="269" t="inlineStr"/>
    </row>
    <row r="59" hidden="1">
      <c r="A59" s="265" t="inlineStr"/>
      <c r="B59" s="266">
        <f>IF(A59="","",MID("월화수목금토일",WEEKDAY(A59,2),1))</f>
        <v/>
      </c>
      <c r="C59" s="258" t="inlineStr"/>
      <c r="D59" s="258" t="inlineStr"/>
      <c r="E59" s="267" t="inlineStr"/>
      <c r="F59" s="258" t="inlineStr"/>
      <c r="G59" s="267" t="inlineStr"/>
      <c r="H59" s="259">
        <f>IF(OR(G59="",E59=""),"",E59-G59)</f>
        <v/>
      </c>
      <c r="I59" s="269" t="inlineStr"/>
    </row>
    <row r="60" hidden="1">
      <c r="A60" s="265" t="inlineStr"/>
      <c r="B60" s="266">
        <f>IF(A60="","",MID("월화수목금토일",WEEKDAY(A60,2),1))</f>
        <v/>
      </c>
      <c r="C60" s="258" t="inlineStr"/>
      <c r="D60" s="258" t="inlineStr"/>
      <c r="E60" s="267" t="inlineStr"/>
      <c r="F60" s="258" t="inlineStr"/>
      <c r="G60" s="267" t="inlineStr"/>
      <c r="H60" s="259">
        <f>IF(OR(G60="",E60=""),"",E60-G60)</f>
        <v/>
      </c>
      <c r="I60" s="269" t="inlineStr"/>
    </row>
    <row r="61" hidden="1">
      <c r="A61" s="265" t="inlineStr"/>
      <c r="B61" s="266">
        <f>IF(A61="","",MID("월화수목금토일",WEEKDAY(A61,2),1))</f>
        <v/>
      </c>
      <c r="C61" s="258" t="inlineStr"/>
      <c r="D61" s="258" t="inlineStr"/>
      <c r="E61" s="267" t="inlineStr"/>
      <c r="F61" s="258" t="inlineStr"/>
      <c r="G61" s="267" t="inlineStr"/>
      <c r="H61" s="259">
        <f>IF(OR(G61="",E61=""),"",E61-G61)</f>
        <v/>
      </c>
      <c r="I61" s="269" t="inlineStr"/>
    </row>
    <row r="62" hidden="1">
      <c r="A62" s="265" t="inlineStr"/>
      <c r="B62" s="266">
        <f>IF(A62="","",MID("월화수목금토일",WEEKDAY(A62,2),1))</f>
        <v/>
      </c>
      <c r="C62" s="258" t="inlineStr"/>
      <c r="D62" s="258" t="inlineStr"/>
      <c r="E62" s="267" t="inlineStr"/>
      <c r="F62" s="258" t="inlineStr"/>
      <c r="G62" s="267" t="inlineStr"/>
      <c r="H62" s="259">
        <f>IF(OR(G62="",E62=""),"",E62-G62)</f>
        <v/>
      </c>
      <c r="I62" s="269" t="inlineStr"/>
    </row>
    <row r="63" hidden="1">
      <c r="A63" s="265" t="inlineStr"/>
      <c r="B63" s="266">
        <f>IF(A63="","",MID("월화수목금토일",WEEKDAY(A63,2),1))</f>
        <v/>
      </c>
      <c r="C63" s="258" t="inlineStr"/>
      <c r="D63" s="258" t="inlineStr"/>
      <c r="E63" s="267" t="inlineStr"/>
      <c r="F63" s="258" t="inlineStr"/>
      <c r="G63" s="267" t="inlineStr"/>
      <c r="H63" s="259">
        <f>IF(OR(G63="",E63=""),"",E63-G63)</f>
        <v/>
      </c>
      <c r="I63" s="269" t="inlineStr"/>
    </row>
    <row r="64" hidden="1">
      <c r="A64" s="265" t="inlineStr"/>
      <c r="B64" s="266">
        <f>IF(A64="","",MID("월화수목금토일",WEEKDAY(A64,2),1))</f>
        <v/>
      </c>
      <c r="C64" s="258" t="inlineStr"/>
      <c r="D64" s="258" t="inlineStr"/>
      <c r="E64" s="267" t="inlineStr"/>
      <c r="F64" s="258" t="inlineStr"/>
      <c r="G64" s="267" t="inlineStr"/>
      <c r="H64" s="259">
        <f>IF(OR(G64="",E64=""),"",E64-G64)</f>
        <v/>
      </c>
      <c r="I64" s="269" t="inlineStr"/>
    </row>
    <row r="65" hidden="1">
      <c r="A65" s="265" t="inlineStr"/>
      <c r="B65" s="266">
        <f>IF(A65="","",MID("월화수목금토일",WEEKDAY(A65,2),1))</f>
        <v/>
      </c>
      <c r="C65" s="258" t="inlineStr"/>
      <c r="D65" s="258" t="inlineStr"/>
      <c r="E65" s="267" t="inlineStr"/>
      <c r="F65" s="258" t="inlineStr"/>
      <c r="G65" s="267" t="inlineStr"/>
      <c r="H65" s="259">
        <f>IF(OR(G65="",E65=""),"",E65-G65)</f>
        <v/>
      </c>
      <c r="I65" s="269" t="inlineStr"/>
    </row>
    <row r="66" hidden="1">
      <c r="A66" s="265" t="inlineStr"/>
      <c r="B66" s="266">
        <f>IF(A66="","",MID("월화수목금토일",WEEKDAY(A66,2),1))</f>
        <v/>
      </c>
      <c r="C66" s="258" t="inlineStr"/>
      <c r="D66" s="258" t="inlineStr"/>
      <c r="E66" s="267" t="inlineStr"/>
      <c r="F66" s="258" t="inlineStr"/>
      <c r="G66" s="267" t="inlineStr"/>
      <c r="H66" s="259">
        <f>IF(OR(G66="",E66=""),"",E66-G66)</f>
        <v/>
      </c>
      <c r="I66" s="269" t="inlineStr"/>
    </row>
    <row r="67" hidden="1">
      <c r="A67" s="265" t="inlineStr"/>
      <c r="B67" s="266">
        <f>IF(A67="","",MID("월화수목금토일",WEEKDAY(A67,2),1))</f>
        <v/>
      </c>
      <c r="C67" s="258" t="inlineStr"/>
      <c r="D67" s="258" t="inlineStr"/>
      <c r="E67" s="267" t="inlineStr"/>
      <c r="F67" s="258" t="inlineStr"/>
      <c r="G67" s="267" t="inlineStr"/>
      <c r="H67" s="259">
        <f>IF(OR(G67="",E67=""),"",E67-G67)</f>
        <v/>
      </c>
      <c r="I67" s="269" t="inlineStr"/>
    </row>
    <row r="68" hidden="1">
      <c r="A68" s="265" t="inlineStr"/>
      <c r="B68" s="266">
        <f>IF(A68="","",MID("월화수목금토일",WEEKDAY(A68,2),1))</f>
        <v/>
      </c>
      <c r="C68" s="258" t="inlineStr"/>
      <c r="D68" s="258" t="inlineStr"/>
      <c r="E68" s="267" t="inlineStr"/>
      <c r="F68" s="258" t="inlineStr"/>
      <c r="G68" s="267" t="inlineStr"/>
      <c r="H68" s="259">
        <f>IF(OR(G68="",E68=""),"",E68-G68)</f>
        <v/>
      </c>
      <c r="I68" s="269" t="inlineStr"/>
    </row>
    <row r="69" hidden="1">
      <c r="A69" s="265" t="inlineStr"/>
      <c r="B69" s="266">
        <f>IF(A69="","",MID("월화수목금토일",WEEKDAY(A69,2),1))</f>
        <v/>
      </c>
      <c r="C69" s="258" t="inlineStr"/>
      <c r="D69" s="258" t="inlineStr"/>
      <c r="E69" s="267" t="inlineStr"/>
      <c r="F69" s="258" t="inlineStr"/>
      <c r="G69" s="267" t="inlineStr"/>
      <c r="H69" s="259">
        <f>IF(OR(G69="",E69=""),"",E69-G69)</f>
        <v/>
      </c>
      <c r="I69" s="269" t="inlineStr"/>
    </row>
    <row r="70" hidden="1">
      <c r="A70" s="265" t="inlineStr"/>
      <c r="B70" s="266">
        <f>IF(A70="","",MID("월화수목금토일",WEEKDAY(A70,2),1))</f>
        <v/>
      </c>
      <c r="C70" s="258" t="inlineStr"/>
      <c r="D70" s="258" t="inlineStr"/>
      <c r="E70" s="267" t="inlineStr"/>
      <c r="F70" s="258" t="inlineStr"/>
      <c r="G70" s="267" t="inlineStr"/>
      <c r="H70" s="259">
        <f>IF(OR(G70="",E70=""),"",E70-G70)</f>
        <v/>
      </c>
      <c r="I70" s="269" t="inlineStr"/>
    </row>
    <row r="71" hidden="1">
      <c r="A71" s="265" t="inlineStr"/>
      <c r="B71" s="266">
        <f>IF(A71="","",MID("월화수목금토일",WEEKDAY(A71,2),1))</f>
        <v/>
      </c>
      <c r="C71" s="258" t="inlineStr"/>
      <c r="D71" s="258" t="inlineStr"/>
      <c r="E71" s="267" t="inlineStr"/>
      <c r="F71" s="258" t="inlineStr"/>
      <c r="G71" s="267" t="inlineStr"/>
      <c r="H71" s="259">
        <f>IF(OR(G71="",E71=""),"",E71-G71)</f>
        <v/>
      </c>
      <c r="I71" s="269" t="inlineStr"/>
    </row>
    <row r="72" hidden="1">
      <c r="A72" s="265" t="inlineStr"/>
      <c r="B72" s="266">
        <f>IF(A72="","",MID("월화수목금토일",WEEKDAY(A72,2),1))</f>
        <v/>
      </c>
      <c r="C72" s="258" t="inlineStr"/>
      <c r="D72" s="258" t="inlineStr"/>
      <c r="E72" s="267" t="inlineStr"/>
      <c r="F72" s="258" t="inlineStr"/>
      <c r="G72" s="267" t="inlineStr"/>
      <c r="H72" s="259">
        <f>IF(OR(G72="",E72=""),"",E72-G72)</f>
        <v/>
      </c>
      <c r="I72" s="269" t="inlineStr"/>
    </row>
    <row r="73" hidden="1">
      <c r="A73" s="265" t="inlineStr"/>
      <c r="B73" s="266">
        <f>IF(A73="","",MID("월화수목금토일",WEEKDAY(A73,2),1))</f>
        <v/>
      </c>
      <c r="C73" s="258" t="inlineStr"/>
      <c r="D73" s="258" t="inlineStr"/>
      <c r="E73" s="267" t="inlineStr"/>
      <c r="F73" s="258" t="inlineStr"/>
      <c r="G73" s="267" t="inlineStr"/>
      <c r="H73" s="259">
        <f>IF(OR(G73="",E73=""),"",E73-G73)</f>
        <v/>
      </c>
      <c r="I73" s="269" t="inlineStr"/>
    </row>
    <row r="74" hidden="1">
      <c r="A74" s="265" t="inlineStr"/>
      <c r="B74" s="266">
        <f>IF(A74="","",MID("월화수목금토일",WEEKDAY(A74,2),1))</f>
        <v/>
      </c>
      <c r="C74" s="258" t="inlineStr"/>
      <c r="D74" s="258" t="inlineStr"/>
      <c r="E74" s="267" t="inlineStr"/>
      <c r="F74" s="258" t="inlineStr"/>
      <c r="G74" s="267" t="inlineStr"/>
      <c r="H74" s="259">
        <f>IF(OR(G74="",E74=""),"",E74-G74)</f>
        <v/>
      </c>
      <c r="I74" s="269" t="inlineStr"/>
    </row>
    <row r="75" hidden="1">
      <c r="A75" s="265" t="inlineStr"/>
      <c r="B75" s="266">
        <f>IF(A75="","",MID("월화수목금토일",WEEKDAY(A75,2),1))</f>
        <v/>
      </c>
      <c r="C75" s="258" t="inlineStr"/>
      <c r="D75" s="258" t="inlineStr"/>
      <c r="E75" s="267" t="inlineStr"/>
      <c r="F75" s="258" t="inlineStr"/>
      <c r="G75" s="267" t="inlineStr"/>
      <c r="H75" s="259">
        <f>IF(OR(G75="",E75=""),"",E75-G75)</f>
        <v/>
      </c>
      <c r="I75" s="269" t="inlineStr"/>
    </row>
    <row r="76" hidden="1">
      <c r="A76" s="265" t="inlineStr"/>
      <c r="B76" s="266">
        <f>IF(A76="","",MID("월화수목금토일",WEEKDAY(A76,2),1))</f>
        <v/>
      </c>
      <c r="C76" s="258" t="inlineStr"/>
      <c r="D76" s="258" t="inlineStr"/>
      <c r="E76" s="267" t="inlineStr"/>
      <c r="F76" s="258" t="inlineStr"/>
      <c r="G76" s="267" t="inlineStr"/>
      <c r="H76" s="259">
        <f>IF(OR(G76="",E76=""),"",E76-G76)</f>
        <v/>
      </c>
      <c r="I76" s="269" t="inlineStr"/>
    </row>
    <row r="77" hidden="1">
      <c r="A77" s="265" t="inlineStr"/>
      <c r="B77" s="266">
        <f>IF(A77="","",MID("월화수목금토일",WEEKDAY(A77,2),1))</f>
        <v/>
      </c>
      <c r="C77" s="258" t="inlineStr"/>
      <c r="D77" s="258" t="inlineStr"/>
      <c r="E77" s="267" t="inlineStr"/>
      <c r="F77" s="258" t="inlineStr"/>
      <c r="G77" s="267" t="inlineStr"/>
      <c r="H77" s="259">
        <f>IF(OR(G77="",E77=""),"",E77-G77)</f>
        <v/>
      </c>
      <c r="I77" s="269" t="inlineStr"/>
    </row>
    <row r="78" hidden="1">
      <c r="A78" s="265" t="inlineStr"/>
      <c r="B78" s="266">
        <f>IF(A78="","",MID("월화수목금토일",WEEKDAY(A78,2),1))</f>
        <v/>
      </c>
      <c r="C78" s="258" t="inlineStr"/>
      <c r="D78" s="258" t="inlineStr"/>
      <c r="E78" s="267" t="inlineStr"/>
      <c r="F78" s="258" t="inlineStr"/>
      <c r="G78" s="267" t="inlineStr"/>
      <c r="H78" s="259">
        <f>IF(OR(G78="",E78=""),"",E78-G78)</f>
        <v/>
      </c>
      <c r="I78" s="269" t="inlineStr"/>
    </row>
    <row r="79" hidden="1">
      <c r="A79" s="265" t="inlineStr"/>
      <c r="B79" s="266">
        <f>IF(A79="","",MID("월화수목금토일",WEEKDAY(A79,2),1))</f>
        <v/>
      </c>
      <c r="C79" s="258" t="inlineStr"/>
      <c r="D79" s="258" t="inlineStr"/>
      <c r="E79" s="267" t="inlineStr"/>
      <c r="F79" s="258" t="inlineStr"/>
      <c r="G79" s="267" t="inlineStr"/>
      <c r="H79" s="259">
        <f>IF(OR(G79="",E79=""),"",E79-G79)</f>
        <v/>
      </c>
      <c r="I79" s="269" t="inlineStr"/>
    </row>
    <row r="80" hidden="1">
      <c r="A80" s="265" t="inlineStr"/>
      <c r="B80" s="266">
        <f>IF(A80="","",MID("월화수목금토일",WEEKDAY(A80,2),1))</f>
        <v/>
      </c>
      <c r="C80" s="258" t="inlineStr"/>
      <c r="D80" s="258" t="inlineStr"/>
      <c r="E80" s="267" t="inlineStr"/>
      <c r="F80" s="258" t="inlineStr"/>
      <c r="G80" s="267" t="inlineStr"/>
      <c r="H80" s="259">
        <f>IF(OR(G80="",E80=""),"",E80-G80)</f>
        <v/>
      </c>
      <c r="I80" s="269" t="inlineStr"/>
    </row>
    <row r="81" hidden="1">
      <c r="A81" s="265" t="inlineStr"/>
      <c r="B81" s="266">
        <f>IF(A81="","",MID("월화수목금토일",WEEKDAY(A81,2),1))</f>
        <v/>
      </c>
      <c r="C81" s="258" t="inlineStr"/>
      <c r="D81" s="258" t="inlineStr"/>
      <c r="E81" s="267" t="inlineStr"/>
      <c r="F81" s="258" t="inlineStr"/>
      <c r="G81" s="267" t="inlineStr"/>
      <c r="H81" s="259">
        <f>IF(OR(G81="",E81=""),"",E81-G81)</f>
        <v/>
      </c>
      <c r="I81" s="269" t="inlineStr"/>
    </row>
    <row r="82" hidden="1">
      <c r="A82" s="265" t="inlineStr"/>
      <c r="B82" s="266">
        <f>IF(A82="","",MID("월화수목금토일",WEEKDAY(A82,2),1))</f>
        <v/>
      </c>
      <c r="C82" s="258" t="inlineStr"/>
      <c r="D82" s="258" t="inlineStr"/>
      <c r="E82" s="267" t="inlineStr"/>
      <c r="F82" s="258" t="inlineStr"/>
      <c r="G82" s="267" t="inlineStr"/>
      <c r="H82" s="259">
        <f>IF(OR(G82="",E82=""),"",E82-G82)</f>
        <v/>
      </c>
      <c r="I82" s="269" t="inlineStr"/>
    </row>
    <row r="83" hidden="1">
      <c r="A83" s="265" t="inlineStr"/>
      <c r="B83" s="266">
        <f>IF(A83="","",MID("월화수목금토일",WEEKDAY(A83,2),1))</f>
        <v/>
      </c>
      <c r="C83" s="258" t="inlineStr"/>
      <c r="D83" s="258" t="inlineStr"/>
      <c r="E83" s="267" t="inlineStr"/>
      <c r="F83" s="258" t="inlineStr"/>
      <c r="G83" s="267" t="inlineStr"/>
      <c r="H83" s="259">
        <f>IF(OR(G83="",E83=""),"",E83-G83)</f>
        <v/>
      </c>
      <c r="I83" s="269" t="inlineStr"/>
    </row>
    <row r="84" hidden="1">
      <c r="A84" s="265" t="inlineStr"/>
      <c r="B84" s="266">
        <f>IF(A84="","",MID("월화수목금토일",WEEKDAY(A84,2),1))</f>
        <v/>
      </c>
      <c r="C84" s="258" t="inlineStr"/>
      <c r="D84" s="258" t="inlineStr"/>
      <c r="E84" s="267" t="inlineStr"/>
      <c r="F84" s="258" t="inlineStr"/>
      <c r="G84" s="267" t="inlineStr"/>
      <c r="H84" s="259">
        <f>IF(OR(G84="",E84=""),"",E84-G84)</f>
        <v/>
      </c>
      <c r="I84" s="269" t="inlineStr"/>
    </row>
    <row r="85" hidden="1">
      <c r="A85" s="265" t="inlineStr"/>
      <c r="B85" s="266">
        <f>IF(A85="","",MID("월화수목금토일",WEEKDAY(A85,2),1))</f>
        <v/>
      </c>
      <c r="C85" s="258" t="inlineStr"/>
      <c r="D85" s="258" t="inlineStr"/>
      <c r="E85" s="267" t="inlineStr"/>
      <c r="F85" s="258" t="inlineStr"/>
      <c r="G85" s="267" t="inlineStr"/>
      <c r="H85" s="259">
        <f>IF(OR(G85="",E85=""),"",E85-G85)</f>
        <v/>
      </c>
      <c r="I85" s="269" t="inlineStr"/>
    </row>
    <row r="86" hidden="1">
      <c r="A86" s="265" t="inlineStr"/>
      <c r="B86" s="266">
        <f>IF(A86="","",MID("월화수목금토일",WEEKDAY(A86,2),1))</f>
        <v/>
      </c>
      <c r="C86" s="258" t="inlineStr"/>
      <c r="D86" s="258" t="inlineStr"/>
      <c r="E86" s="267" t="inlineStr"/>
      <c r="F86" s="258" t="inlineStr"/>
      <c r="G86" s="267" t="inlineStr"/>
      <c r="H86" s="259">
        <f>IF(OR(G86="",E86=""),"",E86-G86)</f>
        <v/>
      </c>
      <c r="I86" s="269" t="inlineStr"/>
    </row>
    <row r="87" hidden="1">
      <c r="A87" s="265" t="inlineStr"/>
      <c r="B87" s="266">
        <f>IF(A87="","",MID("월화수목금토일",WEEKDAY(A87,2),1))</f>
        <v/>
      </c>
      <c r="C87" s="258" t="inlineStr"/>
      <c r="D87" s="258" t="inlineStr"/>
      <c r="E87" s="267" t="inlineStr"/>
      <c r="F87" s="258" t="inlineStr"/>
      <c r="G87" s="267" t="inlineStr"/>
      <c r="H87" s="259">
        <f>IF(OR(G87="",E87=""),"",E87-G87)</f>
        <v/>
      </c>
      <c r="I87" s="269" t="inlineStr"/>
    </row>
    <row r="88" hidden="1">
      <c r="A88" s="265" t="inlineStr"/>
      <c r="B88" s="266">
        <f>IF(A88="","",MID("월화수목금토일",WEEKDAY(A88,2),1))</f>
        <v/>
      </c>
      <c r="C88" s="258" t="inlineStr"/>
      <c r="D88" s="258" t="inlineStr"/>
      <c r="E88" s="267" t="inlineStr"/>
      <c r="F88" s="258" t="inlineStr"/>
      <c r="G88" s="267" t="inlineStr"/>
      <c r="H88" s="259">
        <f>IF(OR(G88="",E88=""),"",E88-G88)</f>
        <v/>
      </c>
      <c r="I88" s="269" t="inlineStr"/>
    </row>
    <row r="89" hidden="1">
      <c r="A89" s="265" t="inlineStr"/>
      <c r="B89" s="266">
        <f>IF(A89="","",MID("월화수목금토일",WEEKDAY(A89,2),1))</f>
        <v/>
      </c>
      <c r="C89" s="258" t="inlineStr"/>
      <c r="D89" s="258" t="inlineStr"/>
      <c r="E89" s="267" t="inlineStr"/>
      <c r="F89" s="258" t="inlineStr"/>
      <c r="G89" s="267" t="inlineStr"/>
      <c r="H89" s="259">
        <f>IF(OR(G89="",E89=""),"",E89-G89)</f>
        <v/>
      </c>
      <c r="I89" s="269" t="inlineStr"/>
    </row>
    <row r="90" hidden="1">
      <c r="A90" s="265" t="inlineStr"/>
      <c r="B90" s="266">
        <f>IF(A90="","",MID("월화수목금토일",WEEKDAY(A90,2),1))</f>
        <v/>
      </c>
      <c r="C90" s="258" t="inlineStr"/>
      <c r="D90" s="258" t="inlineStr"/>
      <c r="E90" s="267" t="inlineStr"/>
      <c r="F90" s="258" t="inlineStr"/>
      <c r="G90" s="267" t="inlineStr"/>
      <c r="H90" s="259">
        <f>IF(OR(G90="",E90=""),"",E90-G90)</f>
        <v/>
      </c>
      <c r="I90" s="269" t="inlineStr"/>
    </row>
    <row r="91" hidden="1">
      <c r="A91" s="265" t="inlineStr"/>
      <c r="B91" s="266">
        <f>IF(A91="","",MID("월화수목금토일",WEEKDAY(A91,2),1))</f>
        <v/>
      </c>
      <c r="C91" s="258" t="inlineStr"/>
      <c r="D91" s="258" t="inlineStr"/>
      <c r="E91" s="267" t="inlineStr"/>
      <c r="F91" s="258" t="inlineStr"/>
      <c r="G91" s="267" t="inlineStr"/>
      <c r="H91" s="259">
        <f>IF(OR(G91="",E91=""),"",E91-G91)</f>
        <v/>
      </c>
      <c r="I91" s="269" t="inlineStr"/>
    </row>
    <row r="92" hidden="1">
      <c r="A92" s="265" t="inlineStr"/>
      <c r="B92" s="266">
        <f>IF(A92="","",MID("월화수목금토일",WEEKDAY(A92,2),1))</f>
        <v/>
      </c>
      <c r="C92" s="258" t="inlineStr"/>
      <c r="D92" s="258" t="inlineStr"/>
      <c r="E92" s="267" t="inlineStr"/>
      <c r="F92" s="258" t="inlineStr"/>
      <c r="G92" s="267" t="inlineStr"/>
      <c r="H92" s="259">
        <f>IF(OR(G92="",E92=""),"",E92-G92)</f>
        <v/>
      </c>
      <c r="I92" s="269" t="inlineStr"/>
    </row>
    <row r="93" hidden="1">
      <c r="A93" s="265" t="inlineStr"/>
      <c r="B93" s="266">
        <f>IF(A93="","",MID("월화수목금토일",WEEKDAY(A93,2),1))</f>
        <v/>
      </c>
      <c r="C93" s="258" t="inlineStr"/>
      <c r="D93" s="258" t="inlineStr"/>
      <c r="E93" s="267" t="inlineStr"/>
      <c r="F93" s="258" t="inlineStr"/>
      <c r="G93" s="267" t="inlineStr"/>
      <c r="H93" s="259">
        <f>IF(OR(G93="",E93=""),"",E93-G93)</f>
        <v/>
      </c>
      <c r="I93" s="269" t="inlineStr"/>
    </row>
    <row r="94" hidden="1">
      <c r="A94" s="265" t="inlineStr"/>
      <c r="B94" s="266">
        <f>IF(A94="","",MID("월화수목금토일",WEEKDAY(A94,2),1))</f>
        <v/>
      </c>
      <c r="C94" s="258" t="inlineStr"/>
      <c r="D94" s="258" t="inlineStr"/>
      <c r="E94" s="267" t="inlineStr"/>
      <c r="F94" s="258" t="inlineStr"/>
      <c r="G94" s="267" t="inlineStr"/>
      <c r="H94" s="259">
        <f>IF(OR(G94="",E94=""),"",E94-G94)</f>
        <v/>
      </c>
      <c r="I94" s="269" t="inlineStr"/>
    </row>
    <row r="95" hidden="1">
      <c r="A95" s="265" t="inlineStr"/>
      <c r="B95" s="266">
        <f>IF(A95="","",MID("월화수목금토일",WEEKDAY(A95,2),1))</f>
        <v/>
      </c>
      <c r="C95" s="258" t="inlineStr"/>
      <c r="D95" s="258" t="inlineStr"/>
      <c r="E95" s="267" t="inlineStr"/>
      <c r="F95" s="258" t="inlineStr"/>
      <c r="G95" s="267" t="inlineStr"/>
      <c r="H95" s="259">
        <f>IF(OR(G95="",E95=""),"",E95-G95)</f>
        <v/>
      </c>
      <c r="I95" s="269" t="inlineStr"/>
    </row>
    <row r="96" hidden="1">
      <c r="A96" s="265" t="inlineStr"/>
      <c r="B96" s="266">
        <f>IF(A96="","",MID("월화수목금토일",WEEKDAY(A96,2),1))</f>
        <v/>
      </c>
      <c r="C96" s="258" t="inlineStr"/>
      <c r="D96" s="258" t="inlineStr"/>
      <c r="E96" s="267" t="inlineStr"/>
      <c r="F96" s="258" t="inlineStr"/>
      <c r="G96" s="267" t="inlineStr"/>
      <c r="H96" s="259">
        <f>IF(OR(G96="",E96=""),"",E96-G96)</f>
        <v/>
      </c>
      <c r="I96" s="269" t="inlineStr"/>
    </row>
    <row r="97" hidden="1">
      <c r="A97" s="265" t="inlineStr"/>
      <c r="B97" s="266">
        <f>IF(A97="","",MID("월화수목금토일",WEEKDAY(A97,2),1))</f>
        <v/>
      </c>
      <c r="C97" s="258" t="inlineStr"/>
      <c r="D97" s="258" t="inlineStr"/>
      <c r="E97" s="267" t="inlineStr"/>
      <c r="F97" s="258" t="inlineStr"/>
      <c r="G97" s="267" t="inlineStr"/>
      <c r="H97" s="259">
        <f>IF(OR(G97="",E97=""),"",E97-G97)</f>
        <v/>
      </c>
      <c r="I97" s="269" t="inlineStr"/>
    </row>
    <row r="98" hidden="1">
      <c r="A98" s="265" t="inlineStr"/>
      <c r="B98" s="266">
        <f>IF(A98="","",MID("월화수목금토일",WEEKDAY(A98,2),1))</f>
        <v/>
      </c>
      <c r="C98" s="258" t="inlineStr"/>
      <c r="D98" s="258" t="inlineStr"/>
      <c r="E98" s="267" t="inlineStr"/>
      <c r="F98" s="258" t="inlineStr"/>
      <c r="G98" s="267" t="inlineStr"/>
      <c r="H98" s="259">
        <f>IF(OR(G98="",E98=""),"",E98-G98)</f>
        <v/>
      </c>
      <c r="I98" s="269" t="inlineStr"/>
    </row>
    <row r="99" hidden="1">
      <c r="A99" s="265" t="inlineStr"/>
      <c r="B99" s="266">
        <f>IF(A99="","",MID("월화수목금토일",WEEKDAY(A99,2),1))</f>
        <v/>
      </c>
      <c r="C99" s="258" t="inlineStr"/>
      <c r="D99" s="258" t="inlineStr"/>
      <c r="E99" s="267" t="inlineStr"/>
      <c r="F99" s="258" t="inlineStr"/>
      <c r="G99" s="267" t="inlineStr"/>
      <c r="H99" s="259">
        <f>IF(OR(G99="",E99=""),"",E99-G99)</f>
        <v/>
      </c>
      <c r="I99" s="269" t="inlineStr"/>
    </row>
    <row r="100" hidden="1">
      <c r="A100" s="265" t="inlineStr"/>
      <c r="B100" s="266">
        <f>IF(A100="","",MID("월화수목금토일",WEEKDAY(A100,2),1))</f>
        <v/>
      </c>
      <c r="C100" s="258" t="inlineStr"/>
      <c r="D100" s="258" t="inlineStr"/>
      <c r="E100" s="267" t="inlineStr"/>
      <c r="F100" s="258" t="inlineStr"/>
      <c r="G100" s="267" t="inlineStr"/>
      <c r="H100" s="259">
        <f>IF(OR(G100="",E100=""),"",E100-G100)</f>
        <v/>
      </c>
      <c r="I100" s="269" t="inlineStr"/>
    </row>
    <row r="101" hidden="1">
      <c r="A101" s="265" t="inlineStr"/>
      <c r="B101" s="266">
        <f>IF(A101="","",MID("월화수목금토일",WEEKDAY(A101,2),1))</f>
        <v/>
      </c>
      <c r="C101" s="258" t="inlineStr"/>
      <c r="D101" s="258" t="inlineStr"/>
      <c r="E101" s="267" t="inlineStr"/>
      <c r="F101" s="258" t="inlineStr"/>
      <c r="G101" s="267" t="inlineStr"/>
      <c r="H101" s="259">
        <f>IF(OR(G101="",E101=""),"",E101-G101)</f>
        <v/>
      </c>
      <c r="I101" s="269" t="inlineStr"/>
    </row>
    <row r="102" hidden="1">
      <c r="A102" s="265" t="inlineStr"/>
      <c r="B102" s="266">
        <f>IF(A102="","",MID("월화수목금토일",WEEKDAY(A102,2),1))</f>
        <v/>
      </c>
      <c r="C102" s="258" t="inlineStr"/>
      <c r="D102" s="258" t="inlineStr"/>
      <c r="E102" s="267" t="inlineStr"/>
      <c r="F102" s="258" t="inlineStr"/>
      <c r="G102" s="267" t="inlineStr"/>
      <c r="H102" s="259">
        <f>IF(OR(G102="",E102=""),"",E102-G102)</f>
        <v/>
      </c>
      <c r="I102" s="269" t="inlineStr"/>
    </row>
    <row r="103" hidden="1">
      <c r="A103" s="265" t="inlineStr"/>
      <c r="B103" s="266">
        <f>IF(A103="","",MID("월화수목금토일",WEEKDAY(A103,2),1))</f>
        <v/>
      </c>
      <c r="C103" s="258" t="inlineStr"/>
      <c r="D103" s="258" t="inlineStr"/>
      <c r="E103" s="267" t="inlineStr"/>
      <c r="F103" s="258" t="inlineStr"/>
      <c r="G103" s="267" t="inlineStr"/>
      <c r="H103" s="259">
        <f>IF(OR(G103="",E103=""),"",E103-G103)</f>
        <v/>
      </c>
      <c r="I103" s="269" t="inlineStr"/>
    </row>
    <row r="104" hidden="1">
      <c r="A104" s="265" t="inlineStr"/>
      <c r="B104" s="266">
        <f>IF(A104="","",MID("월화수목금토일",WEEKDAY(A104,2),1))</f>
        <v/>
      </c>
      <c r="C104" s="258" t="inlineStr"/>
      <c r="D104" s="258" t="inlineStr"/>
      <c r="E104" s="267" t="inlineStr"/>
      <c r="F104" s="258" t="inlineStr"/>
      <c r="G104" s="267" t="inlineStr"/>
      <c r="H104" s="259">
        <f>IF(OR(G104="",E104=""),"",E104-G104)</f>
        <v/>
      </c>
      <c r="I104" s="269" t="inlineStr"/>
    </row>
    <row r="105" hidden="1">
      <c r="A105" s="265" t="inlineStr"/>
      <c r="B105" s="266">
        <f>IF(A105="","",MID("월화수목금토일",WEEKDAY(A105,2),1))</f>
        <v/>
      </c>
      <c r="C105" s="258" t="inlineStr"/>
      <c r="D105" s="258" t="inlineStr"/>
      <c r="E105" s="267" t="inlineStr"/>
      <c r="F105" s="258" t="inlineStr"/>
      <c r="G105" s="267" t="inlineStr"/>
      <c r="H105" s="259">
        <f>IF(OR(G105="",E105=""),"",E105-G105)</f>
        <v/>
      </c>
      <c r="I105" s="269" t="inlineStr"/>
    </row>
    <row r="106" hidden="1">
      <c r="A106" s="265" t="inlineStr"/>
      <c r="B106" s="266">
        <f>IF(A106="","",MID("월화수목금토일",WEEKDAY(A106,2),1))</f>
        <v/>
      </c>
      <c r="C106" s="258" t="inlineStr"/>
      <c r="D106" s="258" t="inlineStr"/>
      <c r="E106" s="267" t="inlineStr"/>
      <c r="F106" s="258" t="inlineStr"/>
      <c r="G106" s="267" t="inlineStr"/>
      <c r="H106" s="259">
        <f>IF(OR(G106="",E106=""),"",E106-G106)</f>
        <v/>
      </c>
      <c r="I106" s="269" t="inlineStr"/>
    </row>
    <row r="107" hidden="1">
      <c r="A107" s="265" t="inlineStr"/>
      <c r="B107" s="266">
        <f>IF(A107="","",MID("월화수목금토일",WEEKDAY(A107,2),1))</f>
        <v/>
      </c>
      <c r="C107" s="258" t="inlineStr"/>
      <c r="D107" s="258" t="inlineStr"/>
      <c r="E107" s="267" t="inlineStr"/>
      <c r="F107" s="258" t="inlineStr"/>
      <c r="G107" s="267" t="inlineStr"/>
      <c r="H107" s="259">
        <f>IF(OR(G107="",E107=""),"",E107-G107)</f>
        <v/>
      </c>
      <c r="I107" s="269" t="inlineStr"/>
    </row>
    <row r="108" hidden="1">
      <c r="A108" s="265" t="inlineStr"/>
      <c r="B108" s="266">
        <f>IF(A108="","",MID("월화수목금토일",WEEKDAY(A108,2),1))</f>
        <v/>
      </c>
      <c r="C108" s="258" t="inlineStr"/>
      <c r="D108" s="258" t="inlineStr"/>
      <c r="E108" s="267" t="inlineStr"/>
      <c r="F108" s="258" t="inlineStr"/>
      <c r="G108" s="267" t="inlineStr"/>
      <c r="H108" s="259">
        <f>IF(OR(G108="",E108=""),"",E108-G108)</f>
        <v/>
      </c>
      <c r="I108" s="269" t="inlineStr"/>
    </row>
    <row r="109" hidden="1">
      <c r="A109" s="265" t="inlineStr"/>
      <c r="B109" s="266">
        <f>IF(A109="","",MID("월화수목금토일",WEEKDAY(A109,2),1))</f>
        <v/>
      </c>
      <c r="C109" s="258" t="inlineStr"/>
      <c r="D109" s="258" t="inlineStr"/>
      <c r="E109" s="267" t="inlineStr"/>
      <c r="F109" s="258" t="inlineStr"/>
      <c r="G109" s="267" t="inlineStr"/>
      <c r="H109" s="259">
        <f>IF(OR(G109="",E109=""),"",E109-G109)</f>
        <v/>
      </c>
      <c r="I109" s="269" t="inlineStr"/>
    </row>
    <row r="110">
      <c r="D110" s="270" t="inlineStr">
        <is>
          <t>합계(숨긴 행 포함 4주 전체 · 보류 제외)</t>
        </is>
      </c>
      <c r="E110" s="271">
        <f>SUMIFS(E16:E109,I16:I109,"&lt;&gt;보류")</f>
        <v/>
      </c>
    </row>
    <row r="112">
      <c r="A112" s="256" t="inlineStr">
        <is>
          <t>③ 반영된 입금예정 (실행일~차주 금요일) — 예상은 반영률(F12) 연동 · 실입금은 은행 확인 값</t>
        </is>
      </c>
      <c r="B112" s="257" t="n"/>
      <c r="C112" s="257" t="n"/>
      <c r="D112" s="257" t="n"/>
      <c r="E112" s="257" t="n"/>
      <c r="F112" s="257" t="n"/>
      <c r="G112" s="257" t="n"/>
      <c r="H112" s="257" t="n"/>
      <c r="I112" s="257" t="n"/>
    </row>
    <row r="113">
      <c r="A113" s="264" t="inlineStr">
        <is>
          <t>입금일</t>
        </is>
      </c>
      <c r="B113" s="264" t="inlineStr">
        <is>
          <t>요일</t>
        </is>
      </c>
      <c r="C113" s="264" t="inlineStr">
        <is>
          <t>구분</t>
        </is>
      </c>
      <c r="D113" s="264" t="inlineStr">
        <is>
          <t>내용</t>
        </is>
      </c>
      <c r="E113" s="264" t="inlineStr">
        <is>
          <t>예상금액</t>
        </is>
      </c>
      <c r="F113" s="264" t="inlineStr">
        <is>
          <t>실입금(은행 확인)</t>
        </is>
      </c>
      <c r="G113" s="264" t="inlineStr">
        <is>
          <t>차이</t>
        </is>
      </c>
    </row>
    <row r="114">
      <c r="A114" s="272" t="n">
        <v>46293</v>
      </c>
      <c r="B114" s="266" t="inlineStr">
        <is>
          <t>월</t>
        </is>
      </c>
      <c r="C114" s="258" t="inlineStr">
        <is>
          <t>온라인 예상</t>
        </is>
      </c>
      <c r="D114" s="161" t="inlineStr">
        <is>
          <t>12주 요일평균 × 반영률</t>
        </is>
      </c>
      <c r="E114" s="259">
        <f>ROUND(J140*$F$12,0)</f>
        <v/>
      </c>
      <c r="F114" s="273" t="n">
        <v>4102481</v>
      </c>
      <c r="G114" s="259">
        <f>IF(OR(F114="",E114=""),"",F114-E114)</f>
        <v/>
      </c>
    </row>
    <row r="115">
      <c r="A115" s="272" t="n">
        <v>46293</v>
      </c>
      <c r="B115" s="266" t="inlineStr">
        <is>
          <t>월</t>
        </is>
      </c>
      <c r="C115" s="258" t="inlineStr">
        <is>
          <t>기타 실입금</t>
        </is>
      </c>
      <c r="D115" s="161" t="inlineStr">
        <is>
          <t>계획 외 입금(은행 확인)</t>
        </is>
      </c>
      <c r="E115" s="258" t="inlineStr"/>
      <c r="F115" s="273" t="n">
        <v>41000</v>
      </c>
      <c r="G115" s="259">
        <f>IF(OR(F115="",E115=""),"",F115-E115)</f>
        <v/>
      </c>
    </row>
    <row r="116">
      <c r="A116" s="272" t="n">
        <v>46294</v>
      </c>
      <c r="B116" s="266" t="inlineStr">
        <is>
          <t>화</t>
        </is>
      </c>
      <c r="C116" s="258" t="inlineStr">
        <is>
          <t>온라인 예상</t>
        </is>
      </c>
      <c r="D116" s="161" t="inlineStr">
        <is>
          <t>12주 요일평균 × 반영률</t>
        </is>
      </c>
      <c r="E116" s="259">
        <f>ROUND(J141*$F$12,0)</f>
        <v/>
      </c>
      <c r="F116" s="258" t="inlineStr"/>
      <c r="G116" s="259">
        <f>IF(OR(F116="",E116=""),"",F116-E116)</f>
        <v/>
      </c>
    </row>
    <row r="117">
      <c r="A117" s="272" t="n">
        <v>46295</v>
      </c>
      <c r="B117" s="266" t="inlineStr">
        <is>
          <t>수</t>
        </is>
      </c>
      <c r="C117" s="258" t="inlineStr">
        <is>
          <t>온라인 예상</t>
        </is>
      </c>
      <c r="D117" s="161" t="inlineStr">
        <is>
          <t>12주 요일평균 × 반영률</t>
        </is>
      </c>
      <c r="E117" s="259">
        <f>ROUND(J142*$F$12,0)</f>
        <v/>
      </c>
      <c r="F117" s="258" t="inlineStr"/>
      <c r="G117" s="259">
        <f>IF(OR(F117="",E117=""),"",F117-E117)</f>
        <v/>
      </c>
    </row>
    <row r="118">
      <c r="A118" s="265" t="n">
        <v>46295</v>
      </c>
      <c r="B118" s="266" t="inlineStr">
        <is>
          <t>수</t>
        </is>
      </c>
      <c r="C118" s="258" t="inlineStr">
        <is>
          <t>확정입금</t>
        </is>
      </c>
      <c r="D118" s="161" t="inlineStr">
        <is>
          <t>관계사 외상대 입금 추정(주식회사에이팜, 말일)</t>
        </is>
      </c>
      <c r="E118" s="267" t="n">
        <v>10021867</v>
      </c>
      <c r="F118" s="258" t="inlineStr"/>
      <c r="G118" s="259">
        <f>IF(OR(F118="",E118=""),"",F118-E118)</f>
        <v/>
      </c>
    </row>
    <row r="119">
      <c r="A119" s="272" t="n">
        <v>46296</v>
      </c>
      <c r="B119" s="266" t="inlineStr">
        <is>
          <t>목</t>
        </is>
      </c>
      <c r="C119" s="258" t="inlineStr">
        <is>
          <t>온라인 예상</t>
        </is>
      </c>
      <c r="D119" s="161" t="inlineStr">
        <is>
          <t>12주 요일평균 × 반영률</t>
        </is>
      </c>
      <c r="E119" s="259">
        <f>ROUND(J143*$F$12,0)</f>
        <v/>
      </c>
      <c r="F119" s="258" t="inlineStr"/>
      <c r="G119" s="259">
        <f>IF(OR(F119="",E119=""),"",F119-E119)</f>
        <v/>
      </c>
    </row>
    <row r="120">
      <c r="A120" s="272" t="n">
        <v>46297</v>
      </c>
      <c r="B120" s="266" t="inlineStr">
        <is>
          <t>금</t>
        </is>
      </c>
      <c r="C120" s="258" t="inlineStr">
        <is>
          <t>온라인 예상</t>
        </is>
      </c>
      <c r="D120" s="161" t="inlineStr">
        <is>
          <t>12주 요일평균 × 반영률</t>
        </is>
      </c>
      <c r="E120" s="259">
        <f>ROUND(J144*$F$12,0)</f>
        <v/>
      </c>
      <c r="F120" s="258" t="inlineStr"/>
      <c r="G120" s="259">
        <f>IF(OR(F120="",E120=""),"",F120-E120)</f>
        <v/>
      </c>
    </row>
    <row r="121">
      <c r="A121" s="274" t="n">
        <v>46298</v>
      </c>
      <c r="B121" s="275" t="inlineStr">
        <is>
          <t>토</t>
        </is>
      </c>
      <c r="C121" s="258" t="inlineStr">
        <is>
          <t>온라인 예상</t>
        </is>
      </c>
      <c r="D121" s="161" t="inlineStr">
        <is>
          <t>12주 요일평균 × 반영률</t>
        </is>
      </c>
      <c r="E121" s="259">
        <f>ROUND(J145*$F$12,0)</f>
        <v/>
      </c>
      <c r="F121" s="258" t="inlineStr"/>
      <c r="G121" s="259">
        <f>IF(OR(F121="",E121=""),"",F121-E121)</f>
        <v/>
      </c>
    </row>
    <row r="122">
      <c r="A122" s="274" t="n">
        <v>46299</v>
      </c>
      <c r="B122" s="275" t="inlineStr">
        <is>
          <t>일</t>
        </is>
      </c>
      <c r="C122" s="258" t="inlineStr">
        <is>
          <t>온라인 예상</t>
        </is>
      </c>
      <c r="D122" s="161" t="inlineStr">
        <is>
          <t>12주 요일평균 × 반영률</t>
        </is>
      </c>
      <c r="E122" s="259">
        <f>ROUND(J146*$F$12,0)</f>
        <v/>
      </c>
      <c r="F122" s="258" t="inlineStr"/>
      <c r="G122" s="259">
        <f>IF(OR(F122="",E122=""),"",F122-E122)</f>
        <v/>
      </c>
    </row>
    <row r="123">
      <c r="A123" s="274" t="n">
        <v>46300</v>
      </c>
      <c r="B123" s="275" t="inlineStr">
        <is>
          <t>월</t>
        </is>
      </c>
      <c r="C123" s="258" t="inlineStr">
        <is>
          <t>온라인 예상</t>
        </is>
      </c>
      <c r="D123" s="161" t="inlineStr">
        <is>
          <t>12주 요일평균 × 반영률</t>
        </is>
      </c>
      <c r="E123" s="259">
        <f>ROUND(J147*$F$12,0)</f>
        <v/>
      </c>
      <c r="F123" s="258" t="inlineStr"/>
      <c r="G123" s="259">
        <f>IF(OR(F123="",E123=""),"",F123-E123)</f>
        <v/>
      </c>
    </row>
    <row r="124">
      <c r="A124" s="272" t="n">
        <v>46301</v>
      </c>
      <c r="B124" s="266" t="inlineStr">
        <is>
          <t>화</t>
        </is>
      </c>
      <c r="C124" s="258" t="inlineStr">
        <is>
          <t>온라인 예상</t>
        </is>
      </c>
      <c r="D124" s="161" t="inlineStr">
        <is>
          <t>12주 요일평균 × 반영률</t>
        </is>
      </c>
      <c r="E124" s="259">
        <f>ROUND(J148*$F$12,0)</f>
        <v/>
      </c>
      <c r="F124" s="258" t="inlineStr"/>
      <c r="G124" s="259">
        <f>IF(OR(F124="",E124=""),"",F124-E124)</f>
        <v/>
      </c>
    </row>
    <row r="125">
      <c r="A125" s="272" t="n">
        <v>46302</v>
      </c>
      <c r="B125" s="266" t="inlineStr">
        <is>
          <t>수</t>
        </is>
      </c>
      <c r="C125" s="258" t="inlineStr">
        <is>
          <t>온라인 예상</t>
        </is>
      </c>
      <c r="D125" s="161" t="inlineStr">
        <is>
          <t>12주 요일평균 × 반영률</t>
        </is>
      </c>
      <c r="E125" s="259">
        <f>ROUND(J149*$F$12,0)</f>
        <v/>
      </c>
      <c r="F125" s="258" t="inlineStr"/>
      <c r="G125" s="259">
        <f>IF(OR(F125="",E125=""),"",F125-E125)</f>
        <v/>
      </c>
    </row>
    <row r="126">
      <c r="A126" s="272" t="n">
        <v>46303</v>
      </c>
      <c r="B126" s="266" t="inlineStr">
        <is>
          <t>목</t>
        </is>
      </c>
      <c r="C126" s="258" t="inlineStr">
        <is>
          <t>온라인 예상</t>
        </is>
      </c>
      <c r="D126" s="161" t="inlineStr">
        <is>
          <t>12주 요일평균 × 반영률</t>
        </is>
      </c>
      <c r="E126" s="259">
        <f>ROUND(J150*$F$12,0)</f>
        <v/>
      </c>
      <c r="F126" s="258" t="inlineStr"/>
      <c r="G126" s="259">
        <f>IF(OR(F126="",E126=""),"",F126-E126)</f>
        <v/>
      </c>
    </row>
    <row r="127">
      <c r="A127" s="274" t="n">
        <v>46304</v>
      </c>
      <c r="B127" s="275" t="inlineStr">
        <is>
          <t>금</t>
        </is>
      </c>
      <c r="C127" s="258" t="inlineStr">
        <is>
          <t>온라인 예상</t>
        </is>
      </c>
      <c r="D127" s="161" t="inlineStr">
        <is>
          <t>12주 요일평균 × 반영률</t>
        </is>
      </c>
      <c r="E127" s="259">
        <f>ROUND(J151*$F$12,0)</f>
        <v/>
      </c>
      <c r="F127" s="258" t="inlineStr"/>
      <c r="G127" s="259">
        <f>IF(OR(F127="",E127=""),"",F127-E127)</f>
        <v/>
      </c>
    </row>
    <row r="128" hidden="1"/>
    <row r="129" hidden="1"/>
    <row r="130" hidden="1"/>
    <row r="131" hidden="1"/>
    <row r="132" hidden="1"/>
    <row r="133" hidden="1"/>
    <row r="134" hidden="1"/>
    <row r="135" hidden="1"/>
    <row r="136">
      <c r="D136" s="270" t="inlineStr">
        <is>
          <t>합계(표시 구간)</t>
        </is>
      </c>
      <c r="E136" s="271">
        <f>SUM(E114:E135)</f>
        <v/>
      </c>
      <c r="F136" s="271">
        <f>SUM(F114:F135)</f>
        <v/>
      </c>
    </row>
    <row r="138">
      <c r="A138" s="256" t="inlineStr">
        <is>
          <t>④ 향후 4주 일별 자금 흐름 — ② 지출·③ 입금 수정과 반영률(F12)에 즉시 연동 (실행일~차주 금요일만 표시 · 계산은 4주 전체)</t>
        </is>
      </c>
      <c r="B138" s="257" t="n"/>
      <c r="C138" s="257" t="n"/>
      <c r="D138" s="257" t="n"/>
      <c r="E138" s="257" t="n"/>
      <c r="F138" s="257" t="n"/>
      <c r="G138" s="257" t="n"/>
      <c r="H138" s="257" t="n"/>
      <c r="I138" s="257" t="n"/>
    </row>
    <row r="139">
      <c r="A139" s="264" t="inlineStr">
        <is>
          <t>일자</t>
        </is>
      </c>
      <c r="B139" s="264" t="inlineStr">
        <is>
          <t>요일</t>
        </is>
      </c>
      <c r="C139" s="264" t="inlineStr">
        <is>
          <t>입금</t>
        </is>
      </c>
      <c r="D139" s="264" t="inlineStr">
        <is>
          <t>지출</t>
        </is>
      </c>
      <c r="E139" s="264" t="inlineStr">
        <is>
          <t>예상잔액</t>
        </is>
      </c>
      <c r="F139" s="264" t="inlineStr">
        <is>
          <t>지출 내역</t>
        </is>
      </c>
      <c r="G139" s="160" t="n"/>
      <c r="H139" s="160" t="n"/>
      <c r="I139" s="159" t="n"/>
      <c r="K139" s="276" t="n">
        <v>136021881</v>
      </c>
    </row>
    <row r="140">
      <c r="A140" s="277" t="n">
        <v>46293</v>
      </c>
      <c r="B140" s="278" t="inlineStr">
        <is>
          <t>월</t>
        </is>
      </c>
      <c r="C140" s="279" t="n">
        <v>4143481</v>
      </c>
      <c r="D140" s="279" t="n">
        <v>35015</v>
      </c>
      <c r="E140" s="280">
        <f>$K$139+C140-D140</f>
        <v/>
      </c>
      <c r="F140" s="281" t="inlineStr">
        <is>
          <t>실적(은행 확인)</t>
        </is>
      </c>
      <c r="G140" s="160" t="n"/>
      <c r="H140" s="160" t="n"/>
      <c r="I140" s="159" t="n"/>
      <c r="J140" s="276" t="n">
        <v>12572607</v>
      </c>
      <c r="K140" s="276" t="n">
        <v>41000</v>
      </c>
    </row>
    <row r="141">
      <c r="A141" s="282" t="n">
        <v>46294</v>
      </c>
      <c r="B141" s="266" t="inlineStr">
        <is>
          <t>화</t>
        </is>
      </c>
      <c r="C141" s="259">
        <f>ROUND(J141*$F$12,0)+K141</f>
        <v/>
      </c>
      <c r="D141" s="259">
        <f>SUMIFS($E$16:$E$109,$A$16:$A$109,A141,$I$16:$I$109,"&lt;&gt;보류")+18247783</f>
        <v/>
      </c>
      <c r="E141" s="259">
        <f>E140+C141-D141</f>
        <v/>
      </c>
      <c r="F141" s="283">
        <f t="array" ref="F141">IFERROR("전일 미집행 이월 포함 · "&amp;IF(E141&lt;0,"⚠ 잔액 부족 · ","")&amp;_xlfn.TEXTJOIN(" · ",TRUE,IF(($A$16:$A$109=$A141)*($E$16:$E$109&lt;&gt;0)*($I$16:$I$109&lt;&gt;"보류"),$D$16:$D$109&amp;" "&amp;TEXT($E$16:$E$109,"#,##0"),"")),"전일 미집행 이월 포함 · "&amp;IF(E141&lt;0,"⚠ 잔액 부족",""))</f>
        <v/>
      </c>
      <c r="G141" s="160" t="n"/>
      <c r="H141" s="160" t="n"/>
      <c r="I141" s="159" t="n"/>
      <c r="J141" s="276" t="n">
        <v>24396851</v>
      </c>
      <c r="K141" s="276">
        <f>SUMIFS($E$114:$E$135,$A$114:$A$135,A141,$C$114:$C$135,"확정입금")+0</f>
        <v/>
      </c>
    </row>
    <row r="142">
      <c r="A142" s="282" t="n">
        <v>46295</v>
      </c>
      <c r="B142" s="266" t="inlineStr">
        <is>
          <t>수</t>
        </is>
      </c>
      <c r="C142" s="259">
        <f>ROUND(J142*$F$12,0)+K142</f>
        <v/>
      </c>
      <c r="D142" s="259">
        <f>SUMIFS($E$16:$E$109,$A$16:$A$109,A142,$I$16:$I$109,"&lt;&gt;보류")</f>
        <v/>
      </c>
      <c r="E142" s="259">
        <f>E141+C142-D142</f>
        <v/>
      </c>
      <c r="F142" s="283">
        <f t="array" ref="F142">IFERROR(""&amp;IF(E142&lt;0,"⚠ 잔액 부족 · ","")&amp;_xlfn.TEXTJOIN(" · ",TRUE,IF(($A$16:$A$109=$A142)*($E$16:$E$109&lt;&gt;0)*($I$16:$I$109&lt;&gt;"보류"),$D$16:$D$109&amp;" "&amp;TEXT($E$16:$E$109,"#,##0"),"")),""&amp;IF(E142&lt;0,"⚠ 잔액 부족",""))</f>
        <v/>
      </c>
      <c r="G142" s="160" t="n"/>
      <c r="H142" s="160" t="n"/>
      <c r="I142" s="159" t="n"/>
      <c r="J142" s="276" t="n">
        <v>14769134</v>
      </c>
      <c r="K142" s="276">
        <f>SUMIFS($E$114:$E$135,$A$114:$A$135,A142,$C$114:$C$135,"확정입금")</f>
        <v/>
      </c>
    </row>
    <row r="143">
      <c r="A143" s="282" t="n">
        <v>46296</v>
      </c>
      <c r="B143" s="266" t="inlineStr">
        <is>
          <t>목</t>
        </is>
      </c>
      <c r="C143" s="259">
        <f>ROUND(J143*$F$12,0)+K143</f>
        <v/>
      </c>
      <c r="D143" s="259">
        <f>SUMIFS($E$16:$E$109,$A$16:$A$109,A143,$I$16:$I$109,"&lt;&gt;보류")</f>
        <v/>
      </c>
      <c r="E143" s="259">
        <f>E142+C143-D143</f>
        <v/>
      </c>
      <c r="F143" s="283">
        <f t="array" ref="F143">IFERROR(""&amp;IF(E143&lt;0,"⚠ 잔액 부족 · ","")&amp;_xlfn.TEXTJOIN(" · ",TRUE,IF(($A$16:$A$109=$A143)*($E$16:$E$109&lt;&gt;0)*($I$16:$I$109&lt;&gt;"보류"),$D$16:$D$109&amp;" "&amp;TEXT($E$16:$E$109,"#,##0"),"")),""&amp;IF(E143&lt;0,"⚠ 잔액 부족",""))</f>
        <v/>
      </c>
      <c r="G143" s="160" t="n"/>
      <c r="H143" s="160" t="n"/>
      <c r="I143" s="159" t="n"/>
      <c r="J143" s="276" t="n">
        <v>10899812</v>
      </c>
      <c r="K143" s="276">
        <f>SUMIFS($E$114:$E$135,$A$114:$A$135,A143,$C$114:$C$135,"확정입금")</f>
        <v/>
      </c>
    </row>
    <row r="144">
      <c r="A144" s="282" t="n">
        <v>46297</v>
      </c>
      <c r="B144" s="266" t="inlineStr">
        <is>
          <t>금</t>
        </is>
      </c>
      <c r="C144" s="259">
        <f>ROUND(J144*$F$12,0)+K144</f>
        <v/>
      </c>
      <c r="D144" s="259">
        <f>SUMIFS($E$16:$E$109,$A$16:$A$109,A144,$I$16:$I$109,"&lt;&gt;보류")</f>
        <v/>
      </c>
      <c r="E144" s="259">
        <f>E143+C144-D144</f>
        <v/>
      </c>
      <c r="F144" s="283">
        <f t="array" ref="F144">IFERROR(""&amp;IF(E144&lt;0,"⚠ 잔액 부족 · ","")&amp;_xlfn.TEXTJOIN(" · ",TRUE,IF(($A$16:$A$109=$A144)*($E$16:$E$109&lt;&gt;0)*($I$16:$I$109&lt;&gt;"보류"),$D$16:$D$109&amp;" "&amp;TEXT($E$16:$E$109,"#,##0"),"")),""&amp;IF(E144&lt;0,"⚠ 잔액 부족",""))</f>
        <v/>
      </c>
      <c r="G144" s="160" t="n"/>
      <c r="H144" s="160" t="n"/>
      <c r="I144" s="159" t="n"/>
      <c r="J144" s="276" t="n">
        <v>8365128</v>
      </c>
      <c r="K144" s="276">
        <f>SUMIFS($E$114:$E$135,$A$114:$A$135,A144,$C$114:$C$135,"확정입금")</f>
        <v/>
      </c>
    </row>
    <row r="145">
      <c r="A145" s="284" t="n">
        <v>46298</v>
      </c>
      <c r="B145" s="275" t="inlineStr">
        <is>
          <t>토</t>
        </is>
      </c>
      <c r="C145" s="259">
        <f>ROUND(J145*$F$12,0)+K145</f>
        <v/>
      </c>
      <c r="D145" s="259">
        <f>SUMIFS($E$16:$E$109,$A$16:$A$109,A145,$I$16:$I$109,"&lt;&gt;보류")</f>
        <v/>
      </c>
      <c r="E145" s="259">
        <f>E144+C145-D145</f>
        <v/>
      </c>
      <c r="F145" s="283">
        <f t="array" ref="F145">IFERROR(""&amp;IF(E145&lt;0,"⚠ 잔액 부족 · ","")&amp;_xlfn.TEXTJOIN(" · ",TRUE,IF(($A$16:$A$109=$A145)*($E$16:$E$109&lt;&gt;0)*($I$16:$I$109&lt;&gt;"보류"),$D$16:$D$109&amp;" "&amp;TEXT($E$16:$E$109,"#,##0"),"")),""&amp;IF(E145&lt;0,"⚠ 잔액 부족",""))</f>
        <v/>
      </c>
      <c r="G145" s="160" t="n"/>
      <c r="H145" s="160" t="n"/>
      <c r="I145" s="159" t="n"/>
      <c r="J145" s="276" t="n">
        <v>0</v>
      </c>
      <c r="K145" s="276">
        <f>SUMIFS($E$114:$E$135,$A$114:$A$135,A145,$C$114:$C$135,"확정입금")</f>
        <v/>
      </c>
    </row>
    <row r="146">
      <c r="A146" s="284" t="n">
        <v>46299</v>
      </c>
      <c r="B146" s="275" t="inlineStr">
        <is>
          <t>일</t>
        </is>
      </c>
      <c r="C146" s="259">
        <f>ROUND(J146*$F$12,0)+K146</f>
        <v/>
      </c>
      <c r="D146" s="259">
        <f>SUMIFS($E$16:$E$109,$A$16:$A$109,A146,$I$16:$I$109,"&lt;&gt;보류")</f>
        <v/>
      </c>
      <c r="E146" s="259">
        <f>E145+C146-D146</f>
        <v/>
      </c>
      <c r="F146" s="283">
        <f t="array" ref="F146">IFERROR(""&amp;IF(E146&lt;0,"⚠ 잔액 부족 · ","")&amp;_xlfn.TEXTJOIN(" · ",TRUE,IF(($A$16:$A$109=$A146)*($E$16:$E$109&lt;&gt;0)*($I$16:$I$109&lt;&gt;"보류"),$D$16:$D$109&amp;" "&amp;TEXT($E$16:$E$109,"#,##0"),"")),""&amp;IF(E146&lt;0,"⚠ 잔액 부족",""))</f>
        <v/>
      </c>
      <c r="G146" s="160" t="n"/>
      <c r="H146" s="160" t="n"/>
      <c r="I146" s="159" t="n"/>
      <c r="J146" s="276" t="n">
        <v>0</v>
      </c>
      <c r="K146" s="276">
        <f>SUMIFS($E$114:$E$135,$A$114:$A$135,A146,$C$114:$C$135,"확정입금")</f>
        <v/>
      </c>
    </row>
    <row r="147">
      <c r="A147" s="284" t="n">
        <v>46300</v>
      </c>
      <c r="B147" s="275" t="inlineStr">
        <is>
          <t>월</t>
        </is>
      </c>
      <c r="C147" s="259">
        <f>ROUND(J147*$F$12,0)+K147</f>
        <v/>
      </c>
      <c r="D147" s="259">
        <f>SUMIFS($E$16:$E$109,$A$16:$A$109,A147,$I$16:$I$109,"&lt;&gt;보류")</f>
        <v/>
      </c>
      <c r="E147" s="259">
        <f>E146+C147-D147</f>
        <v/>
      </c>
      <c r="F147" s="283">
        <f t="array" ref="F147">IFERROR(""&amp;IF(E147&lt;0,"⚠ 잔액 부족 · ","")&amp;_xlfn.TEXTJOIN(" · ",TRUE,IF(($A$16:$A$109=$A147)*($E$16:$E$109&lt;&gt;0)*($I$16:$I$109&lt;&gt;"보류"),$D$16:$D$109&amp;" "&amp;TEXT($E$16:$E$109,"#,##0"),"")),""&amp;IF(E147&lt;0,"⚠ 잔액 부족",""))</f>
        <v/>
      </c>
      <c r="G147" s="160" t="n"/>
      <c r="H147" s="160" t="n"/>
      <c r="I147" s="159" t="n"/>
      <c r="J147" s="276" t="n">
        <v>0</v>
      </c>
      <c r="K147" s="276">
        <f>SUMIFS($E$114:$E$135,$A$114:$A$135,A147,$C$114:$C$135,"확정입금")</f>
        <v/>
      </c>
    </row>
    <row r="148">
      <c r="A148" s="282" t="n">
        <v>46301</v>
      </c>
      <c r="B148" s="266" t="inlineStr">
        <is>
          <t>화</t>
        </is>
      </c>
      <c r="C148" s="259">
        <f>ROUND(J148*$F$12,0)+K148</f>
        <v/>
      </c>
      <c r="D148" s="259">
        <f>SUMIFS($E$16:$E$109,$A$16:$A$109,A148,$I$16:$I$109,"&lt;&gt;보류")</f>
        <v/>
      </c>
      <c r="E148" s="259">
        <f>E147+C148-D148</f>
        <v/>
      </c>
      <c r="F148" s="283">
        <f t="array" ref="F148">IFERROR(""&amp;IF(E148&lt;0,"⚠ 잔액 부족 · ","")&amp;_xlfn.TEXTJOIN(" · ",TRUE,IF(($A$16:$A$109=$A148)*($E$16:$E$109&lt;&gt;0)*($I$16:$I$109&lt;&gt;"보류"),$D$16:$D$109&amp;" "&amp;TEXT($E$16:$E$109,"#,##0"),"")),""&amp;IF(E148&lt;0,"⚠ 잔액 부족",""))</f>
        <v/>
      </c>
      <c r="G148" s="160" t="n"/>
      <c r="H148" s="160" t="n"/>
      <c r="I148" s="159" t="n"/>
      <c r="J148" s="276" t="n">
        <v>24396851</v>
      </c>
      <c r="K148" s="276">
        <f>SUMIFS($E$114:$E$135,$A$114:$A$135,A148,$C$114:$C$135,"확정입금")</f>
        <v/>
      </c>
    </row>
    <row r="149">
      <c r="A149" s="282" t="n">
        <v>46302</v>
      </c>
      <c r="B149" s="266" t="inlineStr">
        <is>
          <t>수</t>
        </is>
      </c>
      <c r="C149" s="259">
        <f>ROUND(J149*$F$12,0)+K149</f>
        <v/>
      </c>
      <c r="D149" s="259">
        <f>SUMIFS($E$16:$E$109,$A$16:$A$109,A149,$I$16:$I$109,"&lt;&gt;보류")</f>
        <v/>
      </c>
      <c r="E149" s="259">
        <f>E148+C149-D149</f>
        <v/>
      </c>
      <c r="F149" s="283">
        <f t="array" ref="F149">IFERROR(""&amp;IF(E149&lt;0,"⚠ 잔액 부족 · ","")&amp;_xlfn.TEXTJOIN(" · ",TRUE,IF(($A$16:$A$109=$A149)*($E$16:$E$109&lt;&gt;0)*($I$16:$I$109&lt;&gt;"보류"),$D$16:$D$109&amp;" "&amp;TEXT($E$16:$E$109,"#,##0"),"")),""&amp;IF(E149&lt;0,"⚠ 잔액 부족",""))</f>
        <v/>
      </c>
      <c r="G149" s="160" t="n"/>
      <c r="H149" s="160" t="n"/>
      <c r="I149" s="159" t="n"/>
      <c r="J149" s="276" t="n">
        <v>14769134</v>
      </c>
      <c r="K149" s="276">
        <f>SUMIFS($E$114:$E$135,$A$114:$A$135,A149,$C$114:$C$135,"확정입금")</f>
        <v/>
      </c>
    </row>
    <row r="150">
      <c r="A150" s="282" t="n">
        <v>46303</v>
      </c>
      <c r="B150" s="266" t="inlineStr">
        <is>
          <t>목</t>
        </is>
      </c>
      <c r="C150" s="259">
        <f>ROUND(J150*$F$12,0)+K150</f>
        <v/>
      </c>
      <c r="D150" s="259">
        <f>SUMIFS($E$16:$E$109,$A$16:$A$109,A150,$I$16:$I$109,"&lt;&gt;보류")</f>
        <v/>
      </c>
      <c r="E150" s="259">
        <f>E149+C150-D150</f>
        <v/>
      </c>
      <c r="F150" s="283">
        <f t="array" ref="F150">IFERROR(""&amp;IF(E150&lt;0,"⚠ 잔액 부족 · ","")&amp;_xlfn.TEXTJOIN(" · ",TRUE,IF(($A$16:$A$109=$A150)*($E$16:$E$109&lt;&gt;0)*($I$16:$I$109&lt;&gt;"보류"),$D$16:$D$109&amp;" "&amp;TEXT($E$16:$E$109,"#,##0"),"")),""&amp;IF(E150&lt;0,"⚠ 잔액 부족",""))</f>
        <v/>
      </c>
      <c r="G150" s="160" t="n"/>
      <c r="H150" s="160" t="n"/>
      <c r="I150" s="159" t="n"/>
      <c r="J150" s="276" t="n">
        <v>10899812</v>
      </c>
      <c r="K150" s="276">
        <f>SUMIFS($E$114:$E$135,$A$114:$A$135,A150,$C$114:$C$135,"확정입금")</f>
        <v/>
      </c>
    </row>
    <row r="151">
      <c r="A151" s="285" t="n">
        <v>46304</v>
      </c>
      <c r="B151" s="286" t="inlineStr">
        <is>
          <t>금</t>
        </is>
      </c>
      <c r="C151" s="287">
        <f>ROUND(J151*$F$12,0)+K151</f>
        <v/>
      </c>
      <c r="D151" s="287">
        <f>SUMIFS($E$16:$E$109,$A$16:$A$109,A151,$I$16:$I$109,"&lt;&gt;보류")</f>
        <v/>
      </c>
      <c r="E151" s="287">
        <f>E150+C151-D151</f>
        <v/>
      </c>
      <c r="F151" s="288">
        <f t="array" ref="F151">IFERROR(""&amp;IF(E151&lt;0,"⚠ 잔액 부족 · ","")&amp;_xlfn.TEXTJOIN(" · ",TRUE,IF(($A$16:$A$109=$A151)*($E$16:$E$109&lt;&gt;0)*($I$16:$I$109&lt;&gt;"보류"),$D$16:$D$109&amp;" "&amp;TEXT($E$16:$E$109,"#,##0"),"")),""&amp;IF(E151&lt;0,"⚠ 잔액 부족",""))</f>
        <v/>
      </c>
      <c r="G151" s="160" t="n"/>
      <c r="H151" s="160" t="n"/>
      <c r="I151" s="159" t="n"/>
      <c r="J151" s="276" t="n">
        <v>0</v>
      </c>
      <c r="K151" s="276">
        <f>SUMIFS($E$114:$E$135,$A$114:$A$135,A151,$C$114:$C$135,"확정입금")</f>
        <v/>
      </c>
    </row>
    <row r="152" hidden="1">
      <c r="A152" s="274" t="n">
        <v>46305</v>
      </c>
      <c r="B152" s="275" t="inlineStr">
        <is>
          <t>토</t>
        </is>
      </c>
      <c r="C152" s="259">
        <f>ROUND(J152*$F$12,0)+K152</f>
        <v/>
      </c>
      <c r="D152" s="259">
        <f>SUMIFS($E$16:$E$109,$A$16:$A$109,A152,$I$16:$I$109,"&lt;&gt;보류")</f>
        <v/>
      </c>
      <c r="E152" s="259">
        <f>E151+C152-D152</f>
        <v/>
      </c>
      <c r="F152" s="289">
        <f t="array" ref="F152">IFERROR(""&amp;IF(E152&lt;0,"⚠ 잔액 부족 · ","")&amp;_xlfn.TEXTJOIN(" · ",TRUE,IF(($A$16:$A$109=$A152)*($E$16:$E$109&lt;&gt;0)*($I$16:$I$109&lt;&gt;"보류"),$D$16:$D$109&amp;" "&amp;TEXT($E$16:$E$109,"#,##0"),"")),""&amp;IF(E152&lt;0,"⚠ 잔액 부족",""))</f>
        <v/>
      </c>
      <c r="G152" s="160" t="n"/>
      <c r="H152" s="160" t="n"/>
      <c r="I152" s="159" t="n"/>
      <c r="J152" s="276" t="n">
        <v>0</v>
      </c>
      <c r="K152" s="276">
        <f>SUMIFS($E$114:$E$135,$A$114:$A$135,A152,$C$114:$C$135,"확정입금")</f>
        <v/>
      </c>
    </row>
    <row r="153" hidden="1">
      <c r="A153" s="274" t="n">
        <v>46306</v>
      </c>
      <c r="B153" s="275" t="inlineStr">
        <is>
          <t>일</t>
        </is>
      </c>
      <c r="C153" s="259">
        <f>ROUND(J153*$F$12,0)+K153</f>
        <v/>
      </c>
      <c r="D153" s="259">
        <f>SUMIFS($E$16:$E$109,$A$16:$A$109,A153,$I$16:$I$109,"&lt;&gt;보류")</f>
        <v/>
      </c>
      <c r="E153" s="259">
        <f>E152+C153-D153</f>
        <v/>
      </c>
      <c r="F153" s="289">
        <f t="array" ref="F153">IFERROR(""&amp;IF(E153&lt;0,"⚠ 잔액 부족 · ","")&amp;_xlfn.TEXTJOIN(" · ",TRUE,IF(($A$16:$A$109=$A153)*($E$16:$E$109&lt;&gt;0)*($I$16:$I$109&lt;&gt;"보류"),$D$16:$D$109&amp;" "&amp;TEXT($E$16:$E$109,"#,##0"),"")),""&amp;IF(E153&lt;0,"⚠ 잔액 부족",""))</f>
        <v/>
      </c>
      <c r="G153" s="160" t="n"/>
      <c r="H153" s="160" t="n"/>
      <c r="I153" s="159" t="n"/>
      <c r="J153" s="276" t="n">
        <v>0</v>
      </c>
      <c r="K153" s="276">
        <f>SUMIFS($E$114:$E$135,$A$114:$A$135,A153,$C$114:$C$135,"확정입금")</f>
        <v/>
      </c>
    </row>
    <row r="154" hidden="1">
      <c r="A154" s="272" t="n">
        <v>46307</v>
      </c>
      <c r="B154" s="266" t="inlineStr">
        <is>
          <t>월</t>
        </is>
      </c>
      <c r="C154" s="259">
        <f>ROUND(J154*$F$12,0)+K154</f>
        <v/>
      </c>
      <c r="D154" s="259">
        <f>SUMIFS($E$16:$E$109,$A$16:$A$109,A154,$I$16:$I$109,"&lt;&gt;보류")</f>
        <v/>
      </c>
      <c r="E154" s="259">
        <f>E153+C154-D154</f>
        <v/>
      </c>
      <c r="F154" s="289">
        <f t="array" ref="F154">IFERROR(""&amp;IF(E154&lt;0,"⚠ 잔액 부족 · ","")&amp;_xlfn.TEXTJOIN(" · ",TRUE,IF(($A$16:$A$109=$A154)*($E$16:$E$109&lt;&gt;0)*($I$16:$I$109&lt;&gt;"보류"),$D$16:$D$109&amp;" "&amp;TEXT($E$16:$E$109,"#,##0"),"")),""&amp;IF(E154&lt;0,"⚠ 잔액 부족",""))</f>
        <v/>
      </c>
      <c r="G154" s="160" t="n"/>
      <c r="H154" s="160" t="n"/>
      <c r="I154" s="159" t="n"/>
      <c r="J154" s="276" t="n">
        <v>12572607</v>
      </c>
      <c r="K154" s="276">
        <f>SUMIFS($E$114:$E$135,$A$114:$A$135,A154,$C$114:$C$135,"확정입금")</f>
        <v/>
      </c>
    </row>
    <row r="155" hidden="1">
      <c r="A155" s="272" t="n">
        <v>46308</v>
      </c>
      <c r="B155" s="266" t="inlineStr">
        <is>
          <t>화</t>
        </is>
      </c>
      <c r="C155" s="259">
        <f>ROUND(J155*$F$12,0)+K155</f>
        <v/>
      </c>
      <c r="D155" s="259">
        <f>SUMIFS($E$16:$E$109,$A$16:$A$109,A155,$I$16:$I$109,"&lt;&gt;보류")</f>
        <v/>
      </c>
      <c r="E155" s="259">
        <f>E154+C155-D155</f>
        <v/>
      </c>
      <c r="F155" s="289">
        <f t="array" ref="F155">IFERROR(""&amp;IF(E155&lt;0,"⚠ 잔액 부족 · ","")&amp;_xlfn.TEXTJOIN(" · ",TRUE,IF(($A$16:$A$109=$A155)*($E$16:$E$109&lt;&gt;0)*($I$16:$I$109&lt;&gt;"보류"),$D$16:$D$109&amp;" "&amp;TEXT($E$16:$E$109,"#,##0"),"")),""&amp;IF(E155&lt;0,"⚠ 잔액 부족",""))</f>
        <v/>
      </c>
      <c r="G155" s="160" t="n"/>
      <c r="H155" s="160" t="n"/>
      <c r="I155" s="159" t="n"/>
      <c r="J155" s="276" t="n">
        <v>24396851</v>
      </c>
      <c r="K155" s="276">
        <f>SUMIFS($E$114:$E$135,$A$114:$A$135,A155,$C$114:$C$135,"확정입금")</f>
        <v/>
      </c>
    </row>
    <row r="156" hidden="1">
      <c r="A156" s="272" t="n">
        <v>46309</v>
      </c>
      <c r="B156" s="266" t="inlineStr">
        <is>
          <t>수</t>
        </is>
      </c>
      <c r="C156" s="259">
        <f>ROUND(J156*$F$12,0)+K156</f>
        <v/>
      </c>
      <c r="D156" s="259">
        <f>SUMIFS($E$16:$E$109,$A$16:$A$109,A156,$I$16:$I$109,"&lt;&gt;보류")</f>
        <v/>
      </c>
      <c r="E156" s="259">
        <f>E155+C156-D156</f>
        <v/>
      </c>
      <c r="F156" s="289">
        <f t="array" ref="F156">IFERROR(""&amp;IF(E156&lt;0,"⚠ 잔액 부족 · ","")&amp;_xlfn.TEXTJOIN(" · ",TRUE,IF(($A$16:$A$109=$A156)*($E$16:$E$109&lt;&gt;0)*($I$16:$I$109&lt;&gt;"보류"),$D$16:$D$109&amp;" "&amp;TEXT($E$16:$E$109,"#,##0"),"")),""&amp;IF(E156&lt;0,"⚠ 잔액 부족",""))</f>
        <v/>
      </c>
      <c r="G156" s="160" t="n"/>
      <c r="H156" s="160" t="n"/>
      <c r="I156" s="159" t="n"/>
      <c r="J156" s="276" t="n">
        <v>14769134</v>
      </c>
      <c r="K156" s="276">
        <f>SUMIFS($E$114:$E$135,$A$114:$A$135,A156,$C$114:$C$135,"확정입금")</f>
        <v/>
      </c>
    </row>
    <row r="157" hidden="1">
      <c r="A157" s="272" t="n">
        <v>46310</v>
      </c>
      <c r="B157" s="266" t="inlineStr">
        <is>
          <t>목</t>
        </is>
      </c>
      <c r="C157" s="259">
        <f>ROUND(J157*$F$12,0)+K157</f>
        <v/>
      </c>
      <c r="D157" s="259">
        <f>SUMIFS($E$16:$E$109,$A$16:$A$109,A157,$I$16:$I$109,"&lt;&gt;보류")</f>
        <v/>
      </c>
      <c r="E157" s="259">
        <f>E156+C157-D157</f>
        <v/>
      </c>
      <c r="F157" s="289">
        <f t="array" ref="F157">IFERROR(""&amp;IF(E157&lt;0,"⚠ 잔액 부족 · ","")&amp;_xlfn.TEXTJOIN(" · ",TRUE,IF(($A$16:$A$109=$A157)*($E$16:$E$109&lt;&gt;0)*($I$16:$I$109&lt;&gt;"보류"),$D$16:$D$109&amp;" "&amp;TEXT($E$16:$E$109,"#,##0"),"")),""&amp;IF(E157&lt;0,"⚠ 잔액 부족",""))</f>
        <v/>
      </c>
      <c r="G157" s="160" t="n"/>
      <c r="H157" s="160" t="n"/>
      <c r="I157" s="159" t="n"/>
      <c r="J157" s="276" t="n">
        <v>10899812</v>
      </c>
      <c r="K157" s="276">
        <f>SUMIFS($E$114:$E$135,$A$114:$A$135,A157,$C$114:$C$135,"확정입금")</f>
        <v/>
      </c>
    </row>
    <row r="158" hidden="1">
      <c r="A158" s="272" t="n">
        <v>46311</v>
      </c>
      <c r="B158" s="266" t="inlineStr">
        <is>
          <t>금</t>
        </is>
      </c>
      <c r="C158" s="259">
        <f>ROUND(J158*$F$12,0)+K158</f>
        <v/>
      </c>
      <c r="D158" s="259">
        <f>SUMIFS($E$16:$E$109,$A$16:$A$109,A158,$I$16:$I$109,"&lt;&gt;보류")</f>
        <v/>
      </c>
      <c r="E158" s="259">
        <f>E157+C158-D158</f>
        <v/>
      </c>
      <c r="F158" s="289">
        <f t="array" ref="F158">IFERROR(""&amp;IF(E158&lt;0,"⚠ 잔액 부족 · ","")&amp;_xlfn.TEXTJOIN(" · ",TRUE,IF(($A$16:$A$109=$A158)*($E$16:$E$109&lt;&gt;0)*($I$16:$I$109&lt;&gt;"보류"),$D$16:$D$109&amp;" "&amp;TEXT($E$16:$E$109,"#,##0"),"")),""&amp;IF(E158&lt;0,"⚠ 잔액 부족",""))</f>
        <v/>
      </c>
      <c r="G158" s="160" t="n"/>
      <c r="H158" s="160" t="n"/>
      <c r="I158" s="159" t="n"/>
      <c r="J158" s="276" t="n">
        <v>8365128</v>
      </c>
      <c r="K158" s="276">
        <f>SUMIFS($E$114:$E$135,$A$114:$A$135,A158,$C$114:$C$135,"확정입금")</f>
        <v/>
      </c>
    </row>
    <row r="159" hidden="1">
      <c r="A159" s="274" t="n">
        <v>46312</v>
      </c>
      <c r="B159" s="275" t="inlineStr">
        <is>
          <t>토</t>
        </is>
      </c>
      <c r="C159" s="259">
        <f>ROUND(J159*$F$12,0)+K159</f>
        <v/>
      </c>
      <c r="D159" s="259">
        <f>SUMIFS($E$16:$E$109,$A$16:$A$109,A159,$I$16:$I$109,"&lt;&gt;보류")</f>
        <v/>
      </c>
      <c r="E159" s="259">
        <f>E158+C159-D159</f>
        <v/>
      </c>
      <c r="F159" s="289">
        <f t="array" ref="F159">IFERROR(""&amp;IF(E159&lt;0,"⚠ 잔액 부족 · ","")&amp;_xlfn.TEXTJOIN(" · ",TRUE,IF(($A$16:$A$109=$A159)*($E$16:$E$109&lt;&gt;0)*($I$16:$I$109&lt;&gt;"보류"),$D$16:$D$109&amp;" "&amp;TEXT($E$16:$E$109,"#,##0"),"")),""&amp;IF(E159&lt;0,"⚠ 잔액 부족",""))</f>
        <v/>
      </c>
      <c r="G159" s="160" t="n"/>
      <c r="H159" s="160" t="n"/>
      <c r="I159" s="159" t="n"/>
      <c r="J159" s="276" t="n">
        <v>0</v>
      </c>
      <c r="K159" s="276">
        <f>SUMIFS($E$114:$E$135,$A$114:$A$135,A159,$C$114:$C$135,"확정입금")</f>
        <v/>
      </c>
    </row>
    <row r="160" hidden="1">
      <c r="A160" s="274" t="n">
        <v>46313</v>
      </c>
      <c r="B160" s="275" t="inlineStr">
        <is>
          <t>일</t>
        </is>
      </c>
      <c r="C160" s="259">
        <f>ROUND(J160*$F$12,0)+K160</f>
        <v/>
      </c>
      <c r="D160" s="259">
        <f>SUMIFS($E$16:$E$109,$A$16:$A$109,A160,$I$16:$I$109,"&lt;&gt;보류")</f>
        <v/>
      </c>
      <c r="E160" s="259">
        <f>E159+C160-D160</f>
        <v/>
      </c>
      <c r="F160" s="289">
        <f t="array" ref="F160">IFERROR(""&amp;IF(E160&lt;0,"⚠ 잔액 부족 · ","")&amp;_xlfn.TEXTJOIN(" · ",TRUE,IF(($A$16:$A$109=$A160)*($E$16:$E$109&lt;&gt;0)*($I$16:$I$109&lt;&gt;"보류"),$D$16:$D$109&amp;" "&amp;TEXT($E$16:$E$109,"#,##0"),"")),""&amp;IF(E160&lt;0,"⚠ 잔액 부족",""))</f>
        <v/>
      </c>
      <c r="G160" s="160" t="n"/>
      <c r="H160" s="160" t="n"/>
      <c r="I160" s="159" t="n"/>
      <c r="J160" s="276" t="n">
        <v>0</v>
      </c>
      <c r="K160" s="276">
        <f>SUMIFS($E$114:$E$135,$A$114:$A$135,A160,$C$114:$C$135,"확정입금")</f>
        <v/>
      </c>
    </row>
    <row r="161" hidden="1">
      <c r="A161" s="272" t="n">
        <v>46314</v>
      </c>
      <c r="B161" s="266" t="inlineStr">
        <is>
          <t>월</t>
        </is>
      </c>
      <c r="C161" s="259">
        <f>ROUND(J161*$F$12,0)+K161</f>
        <v/>
      </c>
      <c r="D161" s="259">
        <f>SUMIFS($E$16:$E$109,$A$16:$A$109,A161,$I$16:$I$109,"&lt;&gt;보류")</f>
        <v/>
      </c>
      <c r="E161" s="259">
        <f>E160+C161-D161</f>
        <v/>
      </c>
      <c r="F161" s="289">
        <f t="array" ref="F161">IFERROR(""&amp;IF(E161&lt;0,"⚠ 잔액 부족 · ","")&amp;_xlfn.TEXTJOIN(" · ",TRUE,IF(($A$16:$A$109=$A161)*($E$16:$E$109&lt;&gt;0)*($I$16:$I$109&lt;&gt;"보류"),$D$16:$D$109&amp;" "&amp;TEXT($E$16:$E$109,"#,##0"),"")),""&amp;IF(E161&lt;0,"⚠ 잔액 부족",""))</f>
        <v/>
      </c>
      <c r="G161" s="160" t="n"/>
      <c r="H161" s="160" t="n"/>
      <c r="I161" s="159" t="n"/>
      <c r="J161" s="276" t="n">
        <v>12572607</v>
      </c>
      <c r="K161" s="276">
        <f>SUMIFS($E$114:$E$135,$A$114:$A$135,A161,$C$114:$C$135,"확정입금")</f>
        <v/>
      </c>
    </row>
    <row r="162" hidden="1">
      <c r="A162" s="272" t="n">
        <v>46315</v>
      </c>
      <c r="B162" s="266" t="inlineStr">
        <is>
          <t>화</t>
        </is>
      </c>
      <c r="C162" s="259">
        <f>ROUND(J162*$F$12,0)+K162</f>
        <v/>
      </c>
      <c r="D162" s="259">
        <f>SUMIFS($E$16:$E$109,$A$16:$A$109,A162,$I$16:$I$109,"&lt;&gt;보류")</f>
        <v/>
      </c>
      <c r="E162" s="259">
        <f>E161+C162-D162</f>
        <v/>
      </c>
      <c r="F162" s="289">
        <f t="array" ref="F162">IFERROR(""&amp;IF(E162&lt;0,"⚠ 잔액 부족 · ","")&amp;_xlfn.TEXTJOIN(" · ",TRUE,IF(($A$16:$A$109=$A162)*($E$16:$E$109&lt;&gt;0)*($I$16:$I$109&lt;&gt;"보류"),$D$16:$D$109&amp;" "&amp;TEXT($E$16:$E$109,"#,##0"),"")),""&amp;IF(E162&lt;0,"⚠ 잔액 부족",""))</f>
        <v/>
      </c>
      <c r="G162" s="160" t="n"/>
      <c r="H162" s="160" t="n"/>
      <c r="I162" s="159" t="n"/>
      <c r="J162" s="276" t="n">
        <v>24396851</v>
      </c>
      <c r="K162" s="276">
        <f>SUMIFS($E$114:$E$135,$A$114:$A$135,A162,$C$114:$C$135,"확정입금")</f>
        <v/>
      </c>
    </row>
    <row r="163" hidden="1">
      <c r="A163" s="272" t="n">
        <v>46316</v>
      </c>
      <c r="B163" s="266" t="inlineStr">
        <is>
          <t>수</t>
        </is>
      </c>
      <c r="C163" s="259">
        <f>ROUND(J163*$F$12,0)+K163</f>
        <v/>
      </c>
      <c r="D163" s="259">
        <f>SUMIFS($E$16:$E$109,$A$16:$A$109,A163,$I$16:$I$109,"&lt;&gt;보류")</f>
        <v/>
      </c>
      <c r="E163" s="259">
        <f>E162+C163-D163</f>
        <v/>
      </c>
      <c r="F163" s="289">
        <f t="array" ref="F163">IFERROR(""&amp;IF(E163&lt;0,"⚠ 잔액 부족 · ","")&amp;_xlfn.TEXTJOIN(" · ",TRUE,IF(($A$16:$A$109=$A163)*($E$16:$E$109&lt;&gt;0)*($I$16:$I$109&lt;&gt;"보류"),$D$16:$D$109&amp;" "&amp;TEXT($E$16:$E$109,"#,##0"),"")),""&amp;IF(E163&lt;0,"⚠ 잔액 부족",""))</f>
        <v/>
      </c>
      <c r="G163" s="160" t="n"/>
      <c r="H163" s="160" t="n"/>
      <c r="I163" s="159" t="n"/>
      <c r="J163" s="276" t="n">
        <v>14769134</v>
      </c>
      <c r="K163" s="276">
        <f>SUMIFS($E$114:$E$135,$A$114:$A$135,A163,$C$114:$C$135,"확정입금")</f>
        <v/>
      </c>
    </row>
    <row r="164" hidden="1">
      <c r="A164" s="272" t="n">
        <v>46317</v>
      </c>
      <c r="B164" s="266" t="inlineStr">
        <is>
          <t>목</t>
        </is>
      </c>
      <c r="C164" s="259">
        <f>ROUND(J164*$F$12,0)+K164</f>
        <v/>
      </c>
      <c r="D164" s="259">
        <f>SUMIFS($E$16:$E$109,$A$16:$A$109,A164,$I$16:$I$109,"&lt;&gt;보류")</f>
        <v/>
      </c>
      <c r="E164" s="259">
        <f>E163+C164-D164</f>
        <v/>
      </c>
      <c r="F164" s="289">
        <f t="array" ref="F164">IFERROR(""&amp;IF(E164&lt;0,"⚠ 잔액 부족 · ","")&amp;_xlfn.TEXTJOIN(" · ",TRUE,IF(($A$16:$A$109=$A164)*($E$16:$E$109&lt;&gt;0)*($I$16:$I$109&lt;&gt;"보류"),$D$16:$D$109&amp;" "&amp;TEXT($E$16:$E$109,"#,##0"),"")),""&amp;IF(E164&lt;0,"⚠ 잔액 부족",""))</f>
        <v/>
      </c>
      <c r="G164" s="160" t="n"/>
      <c r="H164" s="160" t="n"/>
      <c r="I164" s="159" t="n"/>
      <c r="J164" s="276" t="n">
        <v>10899812</v>
      </c>
      <c r="K164" s="276">
        <f>SUMIFS($E$114:$E$135,$A$114:$A$135,A164,$C$114:$C$135,"확정입금")</f>
        <v/>
      </c>
    </row>
    <row r="165" hidden="1">
      <c r="A165" s="272" t="n">
        <v>46318</v>
      </c>
      <c r="B165" s="266" t="inlineStr">
        <is>
          <t>금</t>
        </is>
      </c>
      <c r="C165" s="259">
        <f>ROUND(J165*$F$12,0)+K165</f>
        <v/>
      </c>
      <c r="D165" s="259">
        <f>SUMIFS($E$16:$E$109,$A$16:$A$109,A165,$I$16:$I$109,"&lt;&gt;보류")</f>
        <v/>
      </c>
      <c r="E165" s="259">
        <f>E164+C165-D165</f>
        <v/>
      </c>
      <c r="F165" s="289">
        <f t="array" ref="F165">IFERROR(""&amp;IF(E165&lt;0,"⚠ 잔액 부족 · ","")&amp;_xlfn.TEXTJOIN(" · ",TRUE,IF(($A$16:$A$109=$A165)*($E$16:$E$109&lt;&gt;0)*($I$16:$I$109&lt;&gt;"보류"),$D$16:$D$109&amp;" "&amp;TEXT($E$16:$E$109,"#,##0"),"")),""&amp;IF(E165&lt;0,"⚠ 잔액 부족",""))</f>
        <v/>
      </c>
      <c r="G165" s="160" t="n"/>
      <c r="H165" s="160" t="n"/>
      <c r="I165" s="159" t="n"/>
      <c r="J165" s="276" t="n">
        <v>8365128</v>
      </c>
      <c r="K165" s="276">
        <f>SUMIFS($E$114:$E$135,$A$114:$A$135,A165,$C$114:$C$135,"확정입금")</f>
        <v/>
      </c>
    </row>
    <row r="166" hidden="1">
      <c r="A166" s="274" t="n">
        <v>46319</v>
      </c>
      <c r="B166" s="275" t="inlineStr">
        <is>
          <t>토</t>
        </is>
      </c>
      <c r="C166" s="259">
        <f>ROUND(J166*$F$12,0)+K166</f>
        <v/>
      </c>
      <c r="D166" s="259">
        <f>SUMIFS($E$16:$E$109,$A$16:$A$109,A166,$I$16:$I$109,"&lt;&gt;보류")</f>
        <v/>
      </c>
      <c r="E166" s="259">
        <f>E165+C166-D166</f>
        <v/>
      </c>
      <c r="F166" s="289">
        <f t="array" ref="F166">IFERROR(""&amp;IF(E166&lt;0,"⚠ 잔액 부족 · ","")&amp;_xlfn.TEXTJOIN(" · ",TRUE,IF(($A$16:$A$109=$A166)*($E$16:$E$109&lt;&gt;0)*($I$16:$I$109&lt;&gt;"보류"),$D$16:$D$109&amp;" "&amp;TEXT($E$16:$E$109,"#,##0"),"")),""&amp;IF(E166&lt;0,"⚠ 잔액 부족",""))</f>
        <v/>
      </c>
      <c r="G166" s="160" t="n"/>
      <c r="H166" s="160" t="n"/>
      <c r="I166" s="159" t="n"/>
      <c r="J166" s="276" t="n">
        <v>0</v>
      </c>
      <c r="K166" s="276">
        <f>SUMIFS($E$114:$E$135,$A$114:$A$135,A166,$C$114:$C$135,"확정입금")</f>
        <v/>
      </c>
    </row>
    <row r="167" hidden="1">
      <c r="A167" s="274" t="n">
        <v>46320</v>
      </c>
      <c r="B167" s="275" t="inlineStr">
        <is>
          <t>일</t>
        </is>
      </c>
      <c r="C167" s="259">
        <f>ROUND(J167*$F$12,0)+K167</f>
        <v/>
      </c>
      <c r="D167" s="259">
        <f>SUMIFS($E$16:$E$109,$A$16:$A$109,A167,$I$16:$I$109,"&lt;&gt;보류")</f>
        <v/>
      </c>
      <c r="E167" s="259">
        <f>E166+C167-D167</f>
        <v/>
      </c>
      <c r="F167" s="289">
        <f t="array" ref="F167">IFERROR(""&amp;IF(E167&lt;0,"⚠ 잔액 부족 · ","")&amp;_xlfn.TEXTJOIN(" · ",TRUE,IF(($A$16:$A$109=$A167)*($E$16:$E$109&lt;&gt;0)*($I$16:$I$109&lt;&gt;"보류"),$D$16:$D$109&amp;" "&amp;TEXT($E$16:$E$109,"#,##0"),"")),""&amp;IF(E167&lt;0,"⚠ 잔액 부족",""))</f>
        <v/>
      </c>
      <c r="G167" s="160" t="n"/>
      <c r="H167" s="160" t="n"/>
      <c r="I167" s="159" t="n"/>
      <c r="J167" s="276" t="n">
        <v>0</v>
      </c>
      <c r="K167" s="276">
        <f>SUMIFS($E$114:$E$135,$A$114:$A$135,A167,$C$114:$C$135,"확정입금")</f>
        <v/>
      </c>
    </row>
    <row r="168">
      <c r="A168" s="262" t="inlineStr">
        <is>
          <t>4주 최저 잔액</t>
        </is>
      </c>
      <c r="C168" s="271">
        <f>MIN(E140:E167)</f>
        <v/>
      </c>
      <c r="D168" s="290" t="inlineStr">
        <is>
          <t>4주 예상 기말잔액</t>
        </is>
      </c>
      <c r="E168" s="271">
        <f>E167</f>
        <v/>
      </c>
    </row>
    <row r="169">
      <c r="A169" s="262">
        <f>IF(C168&gt;=0,"향후 4주 부족분 없음 — 계획대로 집행 가능합니다.","향후 4주 최대 부족 "&amp;TEXT(-C168,"#,##0")&amp;"원 — 지출 일정 조정 또는 자금 조치가 필요합니다.")</f>
        <v/>
      </c>
    </row>
    <row r="171">
      <c r="A171" s="256" t="inlineStr">
        <is>
          <t>⑤ 안정을 위한 필요 추가 입금 (향후 4주)</t>
        </is>
      </c>
      <c r="B171" s="257" t="n"/>
      <c r="C171" s="257" t="n"/>
      <c r="D171" s="257" t="n"/>
      <c r="E171" s="257" t="n"/>
      <c r="F171" s="257" t="n"/>
      <c r="G171" s="257" t="n"/>
      <c r="H171" s="257" t="n"/>
      <c r="I171" s="257" t="n"/>
    </row>
    <row r="172">
      <c r="A172" s="262" t="inlineStr">
        <is>
          <t>목표 최저잔액</t>
        </is>
      </c>
      <c r="C172" s="267" t="n">
        <v>0</v>
      </c>
      <c r="D172" s="291" t="inlineStr">
        <is>
          <t>예: 0원(적자 없음) 또는 안전하게 유지하고 싶은 잔액을 입력하세요.</t>
        </is>
      </c>
    </row>
    <row r="173">
      <c r="A173" s="264" t="inlineStr">
        <is>
          <t>반영률</t>
        </is>
      </c>
      <c r="B173" s="264" t="n"/>
      <c r="C173" s="264" t="inlineStr">
        <is>
          <t>4주 기말잔액</t>
        </is>
      </c>
      <c r="D173" s="264" t="inlineStr">
        <is>
          <t>4주 최저잔액</t>
        </is>
      </c>
      <c r="E173" s="264" t="inlineStr">
        <is>
          <t>자금부족 예상일</t>
        </is>
      </c>
      <c r="F173" s="264" t="inlineStr">
        <is>
          <t>필요 추가 입금</t>
        </is>
      </c>
    </row>
    <row r="174">
      <c r="A174" s="292" t="n">
        <v>0.8</v>
      </c>
      <c r="C174" s="259" t="n">
        <v>324665671</v>
      </c>
      <c r="D174" s="259" t="n">
        <v>139193306</v>
      </c>
      <c r="E174" s="266" t="inlineStr">
        <is>
          <t>없음</t>
        </is>
      </c>
      <c r="F174" s="261">
        <f>MAX(0,$C$172-D174)</f>
        <v/>
      </c>
    </row>
    <row r="175">
      <c r="A175" s="292" t="n">
        <v>0.9</v>
      </c>
      <c r="C175" s="259" t="n">
        <v>349716050</v>
      </c>
      <c r="D175" s="259" t="n">
        <v>140130347</v>
      </c>
      <c r="E175" s="266" t="inlineStr">
        <is>
          <t>없음</t>
        </is>
      </c>
      <c r="F175" s="261">
        <f>MAX(0,$C$172-D175)</f>
        <v/>
      </c>
    </row>
    <row r="176">
      <c r="A176" s="292" t="n">
        <v>1</v>
      </c>
      <c r="C176" s="259" t="n">
        <v>374766428</v>
      </c>
      <c r="D176" s="259" t="n">
        <v>140130347</v>
      </c>
      <c r="E176" s="266" t="inlineStr">
        <is>
          <t>없음</t>
        </is>
      </c>
      <c r="F176" s="261">
        <f>MAX(0,$C$172-D176)</f>
        <v/>
      </c>
    </row>
    <row r="177">
      <c r="A177" s="262" t="inlineStr">
        <is>
          <t>주당 추가 입금 목표</t>
        </is>
      </c>
      <c r="C177" s="271">
        <f>ROUND(F174/4,0)</f>
        <v/>
      </c>
      <c r="D177" s="290" t="inlineStr">
        <is>
          <t>영업일당(주 5일 기준)</t>
        </is>
      </c>
      <c r="E177" s="271">
        <f>ROUND(F174/20,0)</f>
        <v/>
      </c>
    </row>
    <row r="179">
      <c r="A179" s="256" t="inlineStr">
        <is>
          <t>⑥ 건강사업팀 전달 메모 (자동 작성)</t>
        </is>
      </c>
      <c r="B179" s="257" t="n"/>
      <c r="C179" s="257" t="n"/>
      <c r="D179" s="257" t="n"/>
      <c r="E179" s="257" t="n"/>
      <c r="F179" s="257" t="n"/>
      <c r="G179" s="257" t="n"/>
      <c r="H179" s="257" t="n"/>
      <c r="I179" s="257" t="n"/>
    </row>
    <row r="180">
      <c r="A180" s="293">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94" t="inlineStr">
        <is>
          <t>(주)에이팜건강 주간 자금계획 보고</t>
        </is>
      </c>
    </row>
    <row r="2">
      <c r="A2" s="254">
        <f>"기준일 2026-09-28 · 작성 2026-09-28 17:55:53 · 입금 반영률 "&amp;TEXT('경영보고'!$F$12,"0%")&amp;" (경영보고 시트와 실시간 연동)"</f>
        <v/>
      </c>
    </row>
    <row r="4">
      <c r="A4" s="256" t="inlineStr">
        <is>
          <t>핵심 요약</t>
        </is>
      </c>
      <c r="B4" s="257" t="n"/>
      <c r="C4" s="257" t="n"/>
      <c r="D4" s="257" t="n"/>
      <c r="E4" s="257" t="n"/>
    </row>
    <row r="5">
      <c r="A5" s="260" t="inlineStr">
        <is>
          <t>현재 전체 계좌잔액</t>
        </is>
      </c>
      <c r="C5" s="259">
        <f>'경영보고'!C12</f>
        <v/>
      </c>
    </row>
    <row r="6">
      <c r="A6" s="260" t="inlineStr">
        <is>
          <t>4주 예상 기말잔액</t>
        </is>
      </c>
      <c r="C6" s="259">
        <f>'경영보고'!E167</f>
        <v/>
      </c>
    </row>
    <row r="7">
      <c r="A7" s="260" t="inlineStr">
        <is>
          <t>4주 최저 예상잔액</t>
        </is>
      </c>
      <c r="C7" s="259">
        <f>'경영보고'!C168</f>
        <v/>
      </c>
      <c r="D7" s="295">
        <f>TEXT(INDEX('경영보고'!$A$140:$A$167,MATCH('경영보고'!C168,'경영보고'!$E$140:$E$167,0)),"m/d 예상")</f>
        <v/>
      </c>
    </row>
    <row r="8">
      <c r="A8" s="260" t="inlineStr">
        <is>
          <t>향후 4주 확정지출</t>
        </is>
      </c>
      <c r="C8" s="259">
        <f>'경영보고'!E110</f>
        <v/>
      </c>
    </row>
    <row r="9">
      <c r="A9" s="260" t="inlineStr">
        <is>
          <t>카드 결제 예정액(4주)</t>
        </is>
      </c>
      <c r="C9" s="259">
        <f>SUMIFS('경영보고'!$E$16:$E$109,'경영보고'!$F$16:$F$109,"법인카드",'경영보고'!$I$16:$I$109,"&lt;&gt;보류")</f>
        <v/>
      </c>
    </row>
    <row r="10">
      <c r="A10" s="260" t="inlineStr">
        <is>
          <t>자금부족 예상일</t>
        </is>
      </c>
      <c r="C10" s="258">
        <f>IFERROR(TEXT(INDEX('경영보고'!$A$140:$A$167,MATCH(TRUE,INDEX('경영보고'!$E$140:$E$167&lt;0,0),0)),"yyyy-mm-dd"),"없음")</f>
        <v/>
      </c>
    </row>
    <row r="11">
      <c r="A11" s="260" t="inlineStr">
        <is>
          <t>확인필요 건수</t>
        </is>
      </c>
      <c r="C11" s="258" t="inlineStr">
        <is>
          <t>45건</t>
        </is>
      </c>
    </row>
    <row r="12">
      <c r="A12" s="260" t="inlineStr">
        <is>
          <t>자료 미제출 팀</t>
        </is>
      </c>
      <c r="C12" s="258" t="inlineStr">
        <is>
          <t>없음</t>
        </is>
      </c>
    </row>
    <row r="14">
      <c r="A14" s="296">
        <f>'경영보고'!A169</f>
        <v/>
      </c>
    </row>
    <row r="16">
      <c r="A16" s="256" t="inlineStr">
        <is>
          <t>금주 일별 잔액 전망 (월~금) — 반영률·지출 수정과 실시간 연동</t>
        </is>
      </c>
      <c r="B16" s="257" t="n"/>
      <c r="C16" s="257" t="n"/>
      <c r="D16" s="257" t="n"/>
      <c r="E16" s="257" t="n"/>
    </row>
    <row r="17">
      <c r="A17" s="264" t="inlineStr">
        <is>
          <t>일자</t>
        </is>
      </c>
      <c r="B17" s="264" t="inlineStr">
        <is>
          <t>요일</t>
        </is>
      </c>
      <c r="C17" s="264" t="inlineStr">
        <is>
          <t>예상 기말잔액</t>
        </is>
      </c>
      <c r="D17" s="264" t="inlineStr">
        <is>
          <t>상태</t>
        </is>
      </c>
    </row>
    <row r="18">
      <c r="A18" s="272">
        <f>'경영보고'!A140</f>
        <v/>
      </c>
      <c r="B18" s="266" t="inlineStr">
        <is>
          <t>월</t>
        </is>
      </c>
      <c r="C18" s="259">
        <f>'경영보고'!E140</f>
        <v/>
      </c>
      <c r="D18" s="275">
        <f>IF(C18&lt;0,"부족","")</f>
        <v/>
      </c>
    </row>
    <row r="19">
      <c r="A19" s="272">
        <f>'경영보고'!A141</f>
        <v/>
      </c>
      <c r="B19" s="266" t="inlineStr">
        <is>
          <t>화</t>
        </is>
      </c>
      <c r="C19" s="259">
        <f>'경영보고'!E141</f>
        <v/>
      </c>
      <c r="D19" s="275">
        <f>IF(C19&lt;0,"부족","")</f>
        <v/>
      </c>
    </row>
    <row r="20">
      <c r="A20" s="272">
        <f>'경영보고'!A142</f>
        <v/>
      </c>
      <c r="B20" s="266" t="inlineStr">
        <is>
          <t>수</t>
        </is>
      </c>
      <c r="C20" s="259">
        <f>'경영보고'!E142</f>
        <v/>
      </c>
      <c r="D20" s="275">
        <f>IF(C20&lt;0,"부족","")</f>
        <v/>
      </c>
    </row>
    <row r="21">
      <c r="A21" s="272">
        <f>'경영보고'!A143</f>
        <v/>
      </c>
      <c r="B21" s="266" t="inlineStr">
        <is>
          <t>목</t>
        </is>
      </c>
      <c r="C21" s="259">
        <f>'경영보고'!E143</f>
        <v/>
      </c>
      <c r="D21" s="275">
        <f>IF(C21&lt;0,"부족","")</f>
        <v/>
      </c>
    </row>
    <row r="22">
      <c r="A22" s="272">
        <f>'경영보고'!A144</f>
        <v/>
      </c>
      <c r="B22" s="266" t="inlineStr">
        <is>
          <t>금</t>
        </is>
      </c>
      <c r="C22" s="259">
        <f>'경영보고'!E144</f>
        <v/>
      </c>
      <c r="D22" s="275">
        <f>IF(C22&lt;0,"부족","")</f>
        <v/>
      </c>
    </row>
    <row r="24">
      <c r="A24" s="256" t="inlineStr">
        <is>
          <t>입금 반영률 시나리오 (80·90·100%) — 필요 추가 입금</t>
        </is>
      </c>
      <c r="B24" s="257" t="n"/>
      <c r="C24" s="257" t="n"/>
      <c r="D24" s="257" t="n"/>
      <c r="E24" s="257" t="n"/>
    </row>
    <row r="25">
      <c r="A25" s="264" t="inlineStr">
        <is>
          <t>반영률</t>
        </is>
      </c>
      <c r="C25" s="264" t="inlineStr">
        <is>
          <t>4주 기말잔액</t>
        </is>
      </c>
      <c r="D25" s="264" t="inlineStr">
        <is>
          <t>4주 최저잔액</t>
        </is>
      </c>
      <c r="E25" s="264" t="inlineStr">
        <is>
          <t>필요 추가 입금</t>
        </is>
      </c>
    </row>
    <row r="26">
      <c r="A26" s="292">
        <f>'경영보고'!A174</f>
        <v/>
      </c>
      <c r="C26" s="259">
        <f>'경영보고'!C174</f>
        <v/>
      </c>
      <c r="D26" s="259">
        <f>'경영보고'!D174</f>
        <v/>
      </c>
      <c r="E26" s="261">
        <f>'경영보고'!F174</f>
        <v/>
      </c>
    </row>
    <row r="27">
      <c r="A27" s="292">
        <f>'경영보고'!A175</f>
        <v/>
      </c>
      <c r="C27" s="259">
        <f>'경영보고'!C175</f>
        <v/>
      </c>
      <c r="D27" s="259">
        <f>'경영보고'!D175</f>
        <v/>
      </c>
      <c r="E27" s="261">
        <f>'경영보고'!F175</f>
        <v/>
      </c>
    </row>
    <row r="28">
      <c r="A28" s="292">
        <f>'경영보고'!A176</f>
        <v/>
      </c>
      <c r="C28" s="259">
        <f>'경영보고'!C176</f>
        <v/>
      </c>
      <c r="D28" s="259">
        <f>'경영보고'!D176</f>
        <v/>
      </c>
      <c r="E28" s="261">
        <f>'경영보고'!F176</f>
        <v/>
      </c>
    </row>
    <row r="30">
      <c r="A30" s="140">
        <f>"· 목표 최저잔액 "&amp;TEXT('경영보고'!$C$172,"#,##0")&amp;"원 기준. 시나리오 값은 실행 시점 계산이며, 반영률·지출 수정은 위 표와 경영보고에 즉시 반영됩니다."</f>
        <v/>
      </c>
    </row>
    <row r="31">
      <c r="A31" s="140"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2: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2">
      <c r="A2" s="139" t="inlineStr">
        <is>
          <t>향후 4주 일별 자금계획</t>
        </is>
      </c>
    </row>
    <row r="3">
      <c r="A3" s="140"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2,493,338(09-28) · 농협 569003 0(09-28) · 국민 169124 103,184,200(09-28) · 국민 154577 34,452,809(09-28) — 실행일 행은 은행 파일 그대로 실적으로 마감(기말 = 오늘 실잔고)하고, 아직 안 나간 예정(보류 제외)은 익일로 이월합니다. 자금 예산은 익일부터 오늘 실잔고에서 출발합니다(반영률 B13 연동)</t>
        </is>
      </c>
    </row>
    <row r="4">
      <c r="C4" s="174" t="inlineStr">
        <is>
          <t>계좌별 예상잔고</t>
        </is>
      </c>
      <c r="D4" s="175" t="n"/>
      <c r="E4" s="175" t="n"/>
      <c r="F4" s="176" t="n"/>
      <c r="H4" s="177" t="inlineStr">
        <is>
          <t>계좌별 입금 배분(예상)</t>
        </is>
      </c>
      <c r="I4" s="175" t="n"/>
      <c r="J4" s="175" t="n"/>
      <c r="K4" s="176" t="n"/>
    </row>
    <row r="5">
      <c r="A5" s="178" t="inlineStr">
        <is>
          <t>일자</t>
        </is>
      </c>
      <c r="B5" s="178" t="inlineStr">
        <is>
          <t>요일</t>
        </is>
      </c>
      <c r="C5" s="178" t="inlineStr">
        <is>
          <t>우리 220351</t>
        </is>
      </c>
      <c r="D5" s="178" t="inlineStr">
        <is>
          <t>농협 569003</t>
        </is>
      </c>
      <c r="E5" s="178" t="inlineStr">
        <is>
          <t>국민 169124</t>
        </is>
      </c>
      <c r="F5" s="178" t="inlineStr">
        <is>
          <t>국민 154577</t>
        </is>
      </c>
      <c r="G5" s="178" t="inlineStr">
        <is>
          <t>온라인 예상입금</t>
        </is>
      </c>
      <c r="H5" s="179" t="inlineStr">
        <is>
          <t>우리 220351</t>
        </is>
      </c>
      <c r="I5" s="179" t="inlineStr">
        <is>
          <t>농협 569003</t>
        </is>
      </c>
      <c r="J5" s="179" t="inlineStr">
        <is>
          <t>국민 169124</t>
        </is>
      </c>
      <c r="K5" s="179" t="inlineStr">
        <is>
          <t>국민 154577</t>
        </is>
      </c>
      <c r="L5" s="178" t="inlineStr">
        <is>
          <t>확정·기타입금</t>
        </is>
      </c>
      <c r="M5" s="178" t="inlineStr">
        <is>
          <t>송금예정</t>
        </is>
      </c>
      <c r="N5" s="178" t="inlineStr">
        <is>
          <t>카드결제</t>
        </is>
      </c>
      <c r="O5" s="178" t="inlineStr">
        <is>
          <t>조정·추정 지출</t>
        </is>
      </c>
      <c r="P5" s="178" t="inlineStr">
        <is>
          <t>순현금흐름</t>
        </is>
      </c>
      <c r="Q5" s="178" t="inlineStr">
        <is>
          <t>기초잔액</t>
        </is>
      </c>
      <c r="R5" s="178" t="inlineStr">
        <is>
          <t>기말잔액</t>
        </is>
      </c>
      <c r="S5" s="178" t="inlineStr">
        <is>
          <t>비고</t>
        </is>
      </c>
    </row>
    <row r="6">
      <c r="A6" s="180" t="n">
        <v>46292</v>
      </c>
      <c r="B6" s="181" t="inlineStr">
        <is>
          <t>일</t>
        </is>
      </c>
      <c r="C6" s="297">
        <f>'계좌별시나리오'!D6</f>
        <v/>
      </c>
      <c r="D6" s="297">
        <f>'계좌별시나리오'!E6</f>
        <v/>
      </c>
      <c r="E6" s="297">
        <f>'계좌별시나리오'!F6</f>
        <v/>
      </c>
      <c r="F6" s="297">
        <f>'계좌별시나리오'!G6</f>
        <v/>
      </c>
      <c r="G6" s="183" t="n"/>
      <c r="H6" s="183" t="n"/>
      <c r="I6" s="183" t="n"/>
      <c r="J6" s="183" t="n"/>
      <c r="K6" s="183" t="n"/>
      <c r="L6" s="183" t="n"/>
      <c r="M6" s="183" t="n"/>
      <c r="N6" s="183" t="n"/>
      <c r="O6" s="183" t="n"/>
      <c r="P6" s="183" t="n"/>
      <c r="Q6" s="183" t="n"/>
      <c r="R6" s="184">
        <f>'계좌별시나리오'!C6</f>
        <v/>
      </c>
      <c r="S6" s="181" t="inlineStr">
        <is>
          <t>전일 마감 실잔고 — 여기서 계획 시작</t>
        </is>
      </c>
    </row>
    <row r="7">
      <c r="A7" s="185" t="n">
        <v>46293</v>
      </c>
      <c r="B7" s="186" t="inlineStr">
        <is>
          <t>월</t>
        </is>
      </c>
      <c r="C7" s="298">
        <f>'계좌별시나리오'!D7</f>
        <v/>
      </c>
      <c r="D7" s="298">
        <f>'계좌별시나리오'!E7</f>
        <v/>
      </c>
      <c r="E7" s="298">
        <f>'계좌별시나리오'!F7</f>
        <v/>
      </c>
      <c r="F7" s="298">
        <f>'계좌별시나리오'!G7</f>
        <v/>
      </c>
      <c r="G7" s="299" t="n">
        <v>4102481</v>
      </c>
      <c r="H7" s="183" t="n"/>
      <c r="I7" s="183" t="n"/>
      <c r="J7" s="183" t="n"/>
      <c r="K7" s="183" t="n"/>
      <c r="L7" s="299" t="n">
        <v>41000</v>
      </c>
      <c r="M7" s="183" t="n"/>
      <c r="N7" s="183" t="n"/>
      <c r="O7" s="299" t="n">
        <v>35015</v>
      </c>
      <c r="P7" s="299" t="n">
        <v>4108466</v>
      </c>
      <c r="Q7" s="183" t="n"/>
      <c r="R7" s="189">
        <f>'요약'!$B$6</f>
        <v/>
      </c>
      <c r="S7" s="186" t="inlineStr">
        <is>
          <t>오늘 실잔고(은행 확인)·실제 입금·출금 — 참고 (이중계산 안 됨)</t>
        </is>
      </c>
    </row>
    <row r="8">
      <c r="A8" s="190" t="n">
        <v>46293</v>
      </c>
      <c r="B8" s="191" t="inlineStr">
        <is>
          <t>월</t>
        </is>
      </c>
      <c r="C8" s="300">
        <f>'계좌별시나리오'!D8</f>
        <v/>
      </c>
      <c r="D8" s="300">
        <f>'계좌별시나리오'!E8</f>
        <v/>
      </c>
      <c r="E8" s="300">
        <f>'계좌별시나리오'!F8</f>
        <v/>
      </c>
      <c r="F8" s="300">
        <f>'계좌별시나리오'!G8</f>
        <v/>
      </c>
      <c r="G8" s="193" t="n">
        <v>4102481</v>
      </c>
      <c r="H8" s="301">
        <f>'계좌별시나리오'!I8</f>
        <v/>
      </c>
      <c r="I8" s="301">
        <f>'계좌별시나리오'!J8</f>
        <v/>
      </c>
      <c r="J8" s="301">
        <f>'계좌별시나리오'!K8</f>
        <v/>
      </c>
      <c r="K8" s="301">
        <f>'계좌별시나리오'!L8</f>
        <v/>
      </c>
      <c r="L8" s="195" t="n">
        <v>41000</v>
      </c>
      <c r="M8" s="195" t="n"/>
      <c r="N8" s="195" t="n"/>
      <c r="O8" s="195" t="n">
        <v>35015</v>
      </c>
      <c r="P8" s="196">
        <f>G8+L8-M8-N8-O8</f>
        <v/>
      </c>
      <c r="Q8" s="197">
        <f>R6</f>
        <v/>
      </c>
      <c r="R8" s="196">
        <f>Q8+P8</f>
        <v/>
      </c>
      <c r="S8" s="198" t="inlineStr">
        <is>
          <t>우리카드 10,839,960, 농협카드 4,610,000, 농협카드 4,561,388, 메트라이프 2,497,000, 엘앤에이치컴퍼니 1,650,000, 남경노무법인 275,000 외 1건; 실적(은행 확인): 입금 4,143,481·출금 35,015 — 미집행 예정 18,247,783 익일 이월 / 보류 제외: 농협카드 4,610,000, 엘앤에이치컴퍼니 1,650,000</t>
        </is>
      </c>
    </row>
    <row r="9">
      <c r="A9" s="199" t="n">
        <v>46294</v>
      </c>
      <c r="B9" s="200" t="inlineStr">
        <is>
          <t>화</t>
        </is>
      </c>
      <c r="C9" s="302">
        <f>'계좌별시나리오'!D9</f>
        <v/>
      </c>
      <c r="D9" s="302">
        <f>'계좌별시나리오'!E9</f>
        <v/>
      </c>
      <c r="E9" s="302">
        <f>'계좌별시나리오'!F9</f>
        <v/>
      </c>
      <c r="F9" s="302">
        <f>'계좌별시나리오'!G9</f>
        <v/>
      </c>
      <c r="G9" s="202">
        <f>INDEX('설정및분류'!$C$6:$C$12,WEEKDAY(A9,2))*'요약'!$B$13</f>
        <v/>
      </c>
      <c r="H9" s="303">
        <f>'계좌별시나리오'!I9</f>
        <v/>
      </c>
      <c r="I9" s="303">
        <f>'계좌별시나리오'!J9</f>
        <v/>
      </c>
      <c r="J9" s="303">
        <f>'계좌별시나리오'!K9</f>
        <v/>
      </c>
      <c r="K9" s="303">
        <f>'계좌별시나리오'!L9</f>
        <v/>
      </c>
      <c r="L9" s="304">
        <f>SUMIFS('경영보고'!$E$114:$E$135,'경영보고'!$A$114:$A$135,$A9,'경영보고'!$C$114:$C$135,"확정입금")</f>
        <v/>
      </c>
      <c r="M9" s="304">
        <f>SUMIFS('경영보고'!$E$16:$E$109,'경영보고'!$A$16:$A$109,$A9,'경영보고'!$I$16:$I$109,"&lt;&gt;보류",'경영보고'!$F$16:$F$109,"계좌송금")+275000</f>
        <v/>
      </c>
      <c r="N9" s="304">
        <f>SUMIFS('경영보고'!$E$16:$E$109,'경영보고'!$A$16:$A$109,$A9,'경영보고'!$I$16:$I$109,"&lt;&gt;보류",'경영보고'!$F$16:$F$109,"법인카드")</f>
        <v/>
      </c>
      <c r="O9" s="304">
        <f>SUMIFS('경영보고'!$E$16:$E$109,'경영보고'!$A$16:$A$109,$A9,'경영보고'!$I$16:$I$109,"&lt;&gt;보류")+18247783-M9-N9</f>
        <v/>
      </c>
      <c r="P9" s="205">
        <f>G9+L9-M9-N9-O9</f>
        <v/>
      </c>
      <c r="Q9" s="206">
        <f>R8</f>
        <v/>
      </c>
      <c r="R9" s="205">
        <f>Q9+P9</f>
        <v/>
      </c>
      <c r="S9" s="207" t="inlineStr">
        <is>
          <t>와이투홀딩스 1,023,110, 네이버 500,000, 정상은(이준이서맘) 500,000, 마고성인권연구소 40,000; 전일 미집행 예정 18,247,783 이월 반영</t>
        </is>
      </c>
    </row>
    <row r="10">
      <c r="A10" s="199" t="n">
        <v>46295</v>
      </c>
      <c r="B10" s="200" t="inlineStr">
        <is>
          <t>수</t>
        </is>
      </c>
      <c r="C10" s="302">
        <f>'계좌별시나리오'!D10</f>
        <v/>
      </c>
      <c r="D10" s="302">
        <f>'계좌별시나리오'!E10</f>
        <v/>
      </c>
      <c r="E10" s="302">
        <f>'계좌별시나리오'!F10</f>
        <v/>
      </c>
      <c r="F10" s="302">
        <f>'계좌별시나리오'!G10</f>
        <v/>
      </c>
      <c r="G10" s="202">
        <f>INDEX('설정및분류'!$C$6:$C$12,WEEKDAY(A10,2))*'요약'!$B$13</f>
        <v/>
      </c>
      <c r="H10" s="303">
        <f>'계좌별시나리오'!I10</f>
        <v/>
      </c>
      <c r="I10" s="303">
        <f>'계좌별시나리오'!J10</f>
        <v/>
      </c>
      <c r="J10" s="303">
        <f>'계좌별시나리오'!K10</f>
        <v/>
      </c>
      <c r="K10" s="303">
        <f>'계좌별시나리오'!L10</f>
        <v/>
      </c>
      <c r="L10" s="304">
        <f>SUMIFS('경영보고'!$E$114:$E$135,'경영보고'!$A$114:$A$135,$A10,'경영보고'!$C$114:$C$135,"확정입금")</f>
        <v/>
      </c>
      <c r="M10" s="304">
        <f>SUMIFS('경영보고'!$E$16:$E$109,'경영보고'!$A$16:$A$109,$A10,'경영보고'!$I$16:$I$109,"&lt;&gt;보류",'경영보고'!$F$16:$F$109,"계좌송금")</f>
        <v/>
      </c>
      <c r="N10" s="304">
        <f>SUMIFS('경영보고'!$E$16:$E$109,'경영보고'!$A$16:$A$109,$A10,'경영보고'!$I$16:$I$109,"&lt;&gt;보류",'경영보고'!$F$16:$F$109,"법인카드")</f>
        <v/>
      </c>
      <c r="O10" s="304">
        <f>SUMIFS('경영보고'!$E$16:$E$109,'경영보고'!$A$16:$A$109,$A10,'경영보고'!$I$16:$I$109,"&lt;&gt;보류")-M10-N10</f>
        <v/>
      </c>
      <c r="P10" s="205">
        <f>G10+L10-M10-N10-O10</f>
        <v/>
      </c>
      <c r="Q10" s="206">
        <f>R9</f>
        <v/>
      </c>
      <c r="R10" s="205">
        <f>Q10+P10</f>
        <v/>
      </c>
      <c r="S10" s="207" t="inlineStr">
        <is>
          <t>흥덕IT밸리 관리위원회 903,320, (주) 오애드 880,000, 서원회계법인 385,000, 카카오톡 비즈니스 200,000, 특허법인다옴 91,730; 관계사 외상대 입금 추정(주식회사에이팜, 말일)</t>
        </is>
      </c>
    </row>
    <row r="11">
      <c r="A11" s="199" t="n">
        <v>46296</v>
      </c>
      <c r="B11" s="200" t="inlineStr">
        <is>
          <t>목</t>
        </is>
      </c>
      <c r="C11" s="302">
        <f>'계좌별시나리오'!D11</f>
        <v/>
      </c>
      <c r="D11" s="302">
        <f>'계좌별시나리오'!E11</f>
        <v/>
      </c>
      <c r="E11" s="302">
        <f>'계좌별시나리오'!F11</f>
        <v/>
      </c>
      <c r="F11" s="302">
        <f>'계좌별시나리오'!G11</f>
        <v/>
      </c>
      <c r="G11" s="202">
        <f>INDEX('설정및분류'!$C$6:$C$12,WEEKDAY(A11,2))*'요약'!$B$13</f>
        <v/>
      </c>
      <c r="H11" s="303">
        <f>'계좌별시나리오'!I11</f>
        <v/>
      </c>
      <c r="I11" s="303">
        <f>'계좌별시나리오'!J11</f>
        <v/>
      </c>
      <c r="J11" s="303">
        <f>'계좌별시나리오'!K11</f>
        <v/>
      </c>
      <c r="K11" s="303">
        <f>'계좌별시나리오'!L11</f>
        <v/>
      </c>
      <c r="L11" s="304">
        <f>SUMIFS('경영보고'!$E$114:$E$135,'경영보고'!$A$114:$A$135,$A11,'경영보고'!$C$114:$C$135,"확정입금")</f>
        <v/>
      </c>
      <c r="M11" s="304">
        <f>SUMIFS('경영보고'!$E$16:$E$109,'경영보고'!$A$16:$A$109,$A11,'경영보고'!$I$16:$I$109,"&lt;&gt;보류",'경영보고'!$F$16:$F$109,"계좌송금")</f>
        <v/>
      </c>
      <c r="N11" s="304">
        <f>SUMIFS('경영보고'!$E$16:$E$109,'경영보고'!$A$16:$A$109,$A11,'경영보고'!$I$16:$I$109,"&lt;&gt;보류",'경영보고'!$F$16:$F$109,"법인카드")</f>
        <v/>
      </c>
      <c r="O11" s="304">
        <f>SUMIFS('경영보고'!$E$16:$E$109,'경영보고'!$A$16:$A$109,$A11,'경영보고'!$I$16:$I$109,"&lt;&gt;보류")-M11-N11</f>
        <v/>
      </c>
      <c r="P11" s="205">
        <f>G11+L11-M11-N11-O11</f>
        <v/>
      </c>
      <c r="Q11" s="206">
        <f>R10</f>
        <v/>
      </c>
      <c r="R11" s="205">
        <f>Q11+P11</f>
        <v/>
      </c>
      <c r="S11" s="207" t="n"/>
    </row>
    <row r="12">
      <c r="A12" s="199" t="n">
        <v>46297</v>
      </c>
      <c r="B12" s="200" t="inlineStr">
        <is>
          <t>금</t>
        </is>
      </c>
      <c r="C12" s="302">
        <f>'계좌별시나리오'!D12</f>
        <v/>
      </c>
      <c r="D12" s="302">
        <f>'계좌별시나리오'!E12</f>
        <v/>
      </c>
      <c r="E12" s="302">
        <f>'계좌별시나리오'!F12</f>
        <v/>
      </c>
      <c r="F12" s="302">
        <f>'계좌별시나리오'!G12</f>
        <v/>
      </c>
      <c r="G12" s="202">
        <f>INDEX('설정및분류'!$C$6:$C$12,WEEKDAY(A12,2))*'요약'!$B$13</f>
        <v/>
      </c>
      <c r="H12" s="303">
        <f>'계좌별시나리오'!I12</f>
        <v/>
      </c>
      <c r="I12" s="303">
        <f>'계좌별시나리오'!J12</f>
        <v/>
      </c>
      <c r="J12" s="303">
        <f>'계좌별시나리오'!K12</f>
        <v/>
      </c>
      <c r="K12" s="303">
        <f>'계좌별시나리오'!L12</f>
        <v/>
      </c>
      <c r="L12" s="304">
        <f>SUMIFS('경영보고'!$E$114:$E$135,'경영보고'!$A$114:$A$135,$A12,'경영보고'!$C$114:$C$135,"확정입금")</f>
        <v/>
      </c>
      <c r="M12" s="304">
        <f>SUMIFS('경영보고'!$E$16:$E$109,'경영보고'!$A$16:$A$109,$A12,'경영보고'!$I$16:$I$109,"&lt;&gt;보류",'경영보고'!$F$16:$F$109,"계좌송금")</f>
        <v/>
      </c>
      <c r="N12" s="304">
        <f>SUMIFS('경영보고'!$E$16:$E$109,'경영보고'!$A$16:$A$109,$A12,'경영보고'!$I$16:$I$109,"&lt;&gt;보류",'경영보고'!$F$16:$F$109,"법인카드")</f>
        <v/>
      </c>
      <c r="O12" s="304">
        <f>SUMIFS('경영보고'!$E$16:$E$109,'경영보고'!$A$16:$A$109,$A12,'경영보고'!$I$16:$I$109,"&lt;&gt;보류")-M12-N12</f>
        <v/>
      </c>
      <c r="P12" s="205">
        <f>G12+L12-M12-N12-O12</f>
        <v/>
      </c>
      <c r="Q12" s="206">
        <f>R11</f>
        <v/>
      </c>
      <c r="R12" s="205">
        <f>Q12+P12</f>
        <v/>
      </c>
      <c r="S12" s="207" t="n"/>
    </row>
    <row r="13">
      <c r="A13" s="208" t="n">
        <v>46298</v>
      </c>
      <c r="B13" s="209" t="inlineStr">
        <is>
          <t>토</t>
        </is>
      </c>
      <c r="C13" s="302">
        <f>'계좌별시나리오'!D13</f>
        <v/>
      </c>
      <c r="D13" s="302">
        <f>'계좌별시나리오'!E13</f>
        <v/>
      </c>
      <c r="E13" s="302">
        <f>'계좌별시나리오'!F13</f>
        <v/>
      </c>
      <c r="F13" s="302">
        <f>'계좌별시나리오'!G13</f>
        <v/>
      </c>
      <c r="G13" s="210" t="n">
        <v>0</v>
      </c>
      <c r="H13" s="303">
        <f>'계좌별시나리오'!I13</f>
        <v/>
      </c>
      <c r="I13" s="303">
        <f>'계좌별시나리오'!J13</f>
        <v/>
      </c>
      <c r="J13" s="303">
        <f>'계좌별시나리오'!K13</f>
        <v/>
      </c>
      <c r="K13" s="303">
        <f>'계좌별시나리오'!L13</f>
        <v/>
      </c>
      <c r="L13" s="304">
        <f>SUMIFS('경영보고'!$E$114:$E$135,'경영보고'!$A$114:$A$135,$A13,'경영보고'!$C$114:$C$135,"확정입금")</f>
        <v/>
      </c>
      <c r="M13" s="304">
        <f>SUMIFS('경영보고'!$E$16:$E$109,'경영보고'!$A$16:$A$109,$A13,'경영보고'!$I$16:$I$109,"&lt;&gt;보류",'경영보고'!$F$16:$F$109,"계좌송금")</f>
        <v/>
      </c>
      <c r="N13" s="304">
        <f>SUMIFS('경영보고'!$E$16:$E$109,'경영보고'!$A$16:$A$109,$A13,'경영보고'!$I$16:$I$109,"&lt;&gt;보류",'경영보고'!$F$16:$F$109,"법인카드")</f>
        <v/>
      </c>
      <c r="O13" s="304">
        <f>SUMIFS('경영보고'!$E$16:$E$109,'경영보고'!$A$16:$A$109,$A13,'경영보고'!$I$16:$I$109,"&lt;&gt;보류")-M13-N13</f>
        <v/>
      </c>
      <c r="P13" s="205">
        <f>G13+L13-M13-N13-O13</f>
        <v/>
      </c>
      <c r="Q13" s="206">
        <f>R12</f>
        <v/>
      </c>
      <c r="R13" s="205">
        <f>Q13+P13</f>
        <v/>
      </c>
      <c r="S13" s="207" t="n"/>
    </row>
    <row r="14">
      <c r="A14" s="208" t="n">
        <v>46299</v>
      </c>
      <c r="B14" s="209" t="inlineStr">
        <is>
          <t>일</t>
        </is>
      </c>
      <c r="C14" s="302">
        <f>'계좌별시나리오'!D14</f>
        <v/>
      </c>
      <c r="D14" s="302">
        <f>'계좌별시나리오'!E14</f>
        <v/>
      </c>
      <c r="E14" s="302">
        <f>'계좌별시나리오'!F14</f>
        <v/>
      </c>
      <c r="F14" s="302">
        <f>'계좌별시나리오'!G14</f>
        <v/>
      </c>
      <c r="G14" s="202">
        <f>INDEX('설정및분류'!$C$6:$C$12,WEEKDAY(A14,2))*'요약'!$B$13</f>
        <v/>
      </c>
      <c r="H14" s="303">
        <f>'계좌별시나리오'!I14</f>
        <v/>
      </c>
      <c r="I14" s="303">
        <f>'계좌별시나리오'!J14</f>
        <v/>
      </c>
      <c r="J14" s="303">
        <f>'계좌별시나리오'!K14</f>
        <v/>
      </c>
      <c r="K14" s="303">
        <f>'계좌별시나리오'!L14</f>
        <v/>
      </c>
      <c r="L14" s="304">
        <f>SUMIFS('경영보고'!$E$114:$E$135,'경영보고'!$A$114:$A$135,$A14,'경영보고'!$C$114:$C$135,"확정입금")</f>
        <v/>
      </c>
      <c r="M14" s="304">
        <f>SUMIFS('경영보고'!$E$16:$E$109,'경영보고'!$A$16:$A$109,$A14,'경영보고'!$I$16:$I$109,"&lt;&gt;보류",'경영보고'!$F$16:$F$109,"계좌송금")</f>
        <v/>
      </c>
      <c r="N14" s="304">
        <f>SUMIFS('경영보고'!$E$16:$E$109,'경영보고'!$A$16:$A$109,$A14,'경영보고'!$I$16:$I$109,"&lt;&gt;보류",'경영보고'!$F$16:$F$109,"법인카드")</f>
        <v/>
      </c>
      <c r="O14" s="304">
        <f>SUMIFS('경영보고'!$E$16:$E$109,'경영보고'!$A$16:$A$109,$A14,'경영보고'!$I$16:$I$109,"&lt;&gt;보류")-M14-N14</f>
        <v/>
      </c>
      <c r="P14" s="205">
        <f>G14+L14-M14-N14-O14</f>
        <v/>
      </c>
      <c r="Q14" s="206">
        <f>R13</f>
        <v/>
      </c>
      <c r="R14" s="205">
        <f>Q14+P14</f>
        <v/>
      </c>
      <c r="S14" s="207" t="n"/>
    </row>
    <row r="15">
      <c r="A15" s="208" t="n">
        <v>46300</v>
      </c>
      <c r="B15" s="209" t="inlineStr">
        <is>
          <t>월</t>
        </is>
      </c>
      <c r="C15" s="302">
        <f>'계좌별시나리오'!D15</f>
        <v/>
      </c>
      <c r="D15" s="302">
        <f>'계좌별시나리오'!E15</f>
        <v/>
      </c>
      <c r="E15" s="302">
        <f>'계좌별시나리오'!F15</f>
        <v/>
      </c>
      <c r="F15" s="302">
        <f>'계좌별시나리오'!G15</f>
        <v/>
      </c>
      <c r="G15" s="210" t="n">
        <v>0</v>
      </c>
      <c r="H15" s="303">
        <f>'계좌별시나리오'!I15</f>
        <v/>
      </c>
      <c r="I15" s="303">
        <f>'계좌별시나리오'!J15</f>
        <v/>
      </c>
      <c r="J15" s="303">
        <f>'계좌별시나리오'!K15</f>
        <v/>
      </c>
      <c r="K15" s="303">
        <f>'계좌별시나리오'!L15</f>
        <v/>
      </c>
      <c r="L15" s="304">
        <f>SUMIFS('경영보고'!$E$114:$E$135,'경영보고'!$A$114:$A$135,$A15,'경영보고'!$C$114:$C$135,"확정입금")</f>
        <v/>
      </c>
      <c r="M15" s="304">
        <f>SUMIFS('경영보고'!$E$16:$E$109,'경영보고'!$A$16:$A$109,$A15,'경영보고'!$I$16:$I$109,"&lt;&gt;보류",'경영보고'!$F$16:$F$109,"계좌송금")</f>
        <v/>
      </c>
      <c r="N15" s="304">
        <f>SUMIFS('경영보고'!$E$16:$E$109,'경영보고'!$A$16:$A$109,$A15,'경영보고'!$I$16:$I$109,"&lt;&gt;보류",'경영보고'!$F$16:$F$109,"법인카드")</f>
        <v/>
      </c>
      <c r="O15" s="304">
        <f>SUMIFS('경영보고'!$E$16:$E$109,'경영보고'!$A$16:$A$109,$A15,'경영보고'!$I$16:$I$109,"&lt;&gt;보류")-M15-N15</f>
        <v/>
      </c>
      <c r="P15" s="205">
        <f>G15+L15-M15-N15-O15</f>
        <v/>
      </c>
      <c r="Q15" s="206">
        <f>R14</f>
        <v/>
      </c>
      <c r="R15" s="205">
        <f>Q15+P15</f>
        <v/>
      </c>
      <c r="S15" s="207" t="n"/>
    </row>
    <row r="16">
      <c r="A16" s="199" t="n">
        <v>46301</v>
      </c>
      <c r="B16" s="200" t="inlineStr">
        <is>
          <t>화</t>
        </is>
      </c>
      <c r="C16" s="302">
        <f>'계좌별시나리오'!D16</f>
        <v/>
      </c>
      <c r="D16" s="302">
        <f>'계좌별시나리오'!E16</f>
        <v/>
      </c>
      <c r="E16" s="302">
        <f>'계좌별시나리오'!F16</f>
        <v/>
      </c>
      <c r="F16" s="302">
        <f>'계좌별시나리오'!G16</f>
        <v/>
      </c>
      <c r="G16" s="202">
        <f>INDEX('설정및분류'!$C$6:$C$12,WEEKDAY(A16,2))*'요약'!$B$13</f>
        <v/>
      </c>
      <c r="H16" s="303">
        <f>'계좌별시나리오'!I16</f>
        <v/>
      </c>
      <c r="I16" s="303">
        <f>'계좌별시나리오'!J16</f>
        <v/>
      </c>
      <c r="J16" s="303">
        <f>'계좌별시나리오'!K16</f>
        <v/>
      </c>
      <c r="K16" s="303">
        <f>'계좌별시나리오'!L16</f>
        <v/>
      </c>
      <c r="L16" s="304">
        <f>SUMIFS('경영보고'!$E$114:$E$135,'경영보고'!$A$114:$A$135,$A16,'경영보고'!$C$114:$C$135,"확정입금")</f>
        <v/>
      </c>
      <c r="M16" s="304">
        <f>SUMIFS('경영보고'!$E$16:$E$109,'경영보고'!$A$16:$A$109,$A16,'경영보고'!$I$16:$I$109,"&lt;&gt;보류",'경영보고'!$F$16:$F$109,"계좌송금")</f>
        <v/>
      </c>
      <c r="N16" s="304">
        <f>SUMIFS('경영보고'!$E$16:$E$109,'경영보고'!$A$16:$A$109,$A16,'경영보고'!$I$16:$I$109,"&lt;&gt;보류",'경영보고'!$F$16:$F$109,"법인카드")</f>
        <v/>
      </c>
      <c r="O16" s="304">
        <f>SUMIFS('경영보고'!$E$16:$E$109,'경영보고'!$A$16:$A$109,$A16,'경영보고'!$I$16:$I$109,"&lt;&gt;보류")-M16-N16</f>
        <v/>
      </c>
      <c r="P16" s="205">
        <f>G16+L16-M16-N16-O16</f>
        <v/>
      </c>
      <c r="Q16" s="206">
        <f>R15</f>
        <v/>
      </c>
      <c r="R16" s="205">
        <f>Q16+P16</f>
        <v/>
      </c>
      <c r="S16" s="207" t="n"/>
    </row>
    <row r="17">
      <c r="A17" s="199" t="n">
        <v>46302</v>
      </c>
      <c r="B17" s="200" t="inlineStr">
        <is>
          <t>수</t>
        </is>
      </c>
      <c r="C17" s="302">
        <f>'계좌별시나리오'!D17</f>
        <v/>
      </c>
      <c r="D17" s="302">
        <f>'계좌별시나리오'!E17</f>
        <v/>
      </c>
      <c r="E17" s="302">
        <f>'계좌별시나리오'!F17</f>
        <v/>
      </c>
      <c r="F17" s="302">
        <f>'계좌별시나리오'!G17</f>
        <v/>
      </c>
      <c r="G17" s="202">
        <f>INDEX('설정및분류'!$C$6:$C$12,WEEKDAY(A17,2))*'요약'!$B$13</f>
        <v/>
      </c>
      <c r="H17" s="303">
        <f>'계좌별시나리오'!I17</f>
        <v/>
      </c>
      <c r="I17" s="303">
        <f>'계좌별시나리오'!J17</f>
        <v/>
      </c>
      <c r="J17" s="303">
        <f>'계좌별시나리오'!K17</f>
        <v/>
      </c>
      <c r="K17" s="303">
        <f>'계좌별시나리오'!L17</f>
        <v/>
      </c>
      <c r="L17" s="304">
        <f>SUMIFS('경영보고'!$E$114:$E$135,'경영보고'!$A$114:$A$135,$A17,'경영보고'!$C$114:$C$135,"확정입금")</f>
        <v/>
      </c>
      <c r="M17" s="304">
        <f>SUMIFS('경영보고'!$E$16:$E$109,'경영보고'!$A$16:$A$109,$A17,'경영보고'!$I$16:$I$109,"&lt;&gt;보류",'경영보고'!$F$16:$F$109,"계좌송금")</f>
        <v/>
      </c>
      <c r="N17" s="304">
        <f>SUMIFS('경영보고'!$E$16:$E$109,'경영보고'!$A$16:$A$109,$A17,'경영보고'!$I$16:$I$109,"&lt;&gt;보류",'경영보고'!$F$16:$F$109,"법인카드")</f>
        <v/>
      </c>
      <c r="O17" s="304">
        <f>SUMIFS('경영보고'!$E$16:$E$109,'경영보고'!$A$16:$A$109,$A17,'경영보고'!$I$16:$I$109,"&lt;&gt;보류")-M17-N17</f>
        <v/>
      </c>
      <c r="P17" s="205">
        <f>G17+L17-M17-N17-O17</f>
        <v/>
      </c>
      <c r="Q17" s="206">
        <f>R16</f>
        <v/>
      </c>
      <c r="R17" s="205">
        <f>Q17+P17</f>
        <v/>
      </c>
      <c r="S17" s="207" t="n"/>
    </row>
    <row r="18">
      <c r="A18" s="199" t="n">
        <v>46303</v>
      </c>
      <c r="B18" s="200" t="inlineStr">
        <is>
          <t>목</t>
        </is>
      </c>
      <c r="C18" s="302">
        <f>'계좌별시나리오'!D18</f>
        <v/>
      </c>
      <c r="D18" s="302">
        <f>'계좌별시나리오'!E18</f>
        <v/>
      </c>
      <c r="E18" s="302">
        <f>'계좌별시나리오'!F18</f>
        <v/>
      </c>
      <c r="F18" s="302">
        <f>'계좌별시나리오'!G18</f>
        <v/>
      </c>
      <c r="G18" s="202">
        <f>INDEX('설정및분류'!$C$6:$C$12,WEEKDAY(A18,2))*'요약'!$B$13</f>
        <v/>
      </c>
      <c r="H18" s="303">
        <f>'계좌별시나리오'!I18</f>
        <v/>
      </c>
      <c r="I18" s="303">
        <f>'계좌별시나리오'!J18</f>
        <v/>
      </c>
      <c r="J18" s="303">
        <f>'계좌별시나리오'!K18</f>
        <v/>
      </c>
      <c r="K18" s="303">
        <f>'계좌별시나리오'!L18</f>
        <v/>
      </c>
      <c r="L18" s="304">
        <f>SUMIFS('경영보고'!$E$114:$E$135,'경영보고'!$A$114:$A$135,$A18,'경영보고'!$C$114:$C$135,"확정입금")</f>
        <v/>
      </c>
      <c r="M18" s="304">
        <f>SUMIFS('경영보고'!$E$16:$E$109,'경영보고'!$A$16:$A$109,$A18,'경영보고'!$I$16:$I$109,"&lt;&gt;보류",'경영보고'!$F$16:$F$109,"계좌송금")</f>
        <v/>
      </c>
      <c r="N18" s="304">
        <f>SUMIFS('경영보고'!$E$16:$E$109,'경영보고'!$A$16:$A$109,$A18,'경영보고'!$I$16:$I$109,"&lt;&gt;보류",'경영보고'!$F$16:$F$109,"법인카드")</f>
        <v/>
      </c>
      <c r="O18" s="304">
        <f>SUMIFS('경영보고'!$E$16:$E$109,'경영보고'!$A$16:$A$109,$A18,'경영보고'!$I$16:$I$109,"&lt;&gt;보류")-M18-N18</f>
        <v/>
      </c>
      <c r="P18" s="205">
        <f>G18+L18-M18-N18-O18</f>
        <v/>
      </c>
      <c r="Q18" s="206">
        <f>R17</f>
        <v/>
      </c>
      <c r="R18" s="205">
        <f>Q18+P18</f>
        <v/>
      </c>
      <c r="S18" s="207" t="n"/>
    </row>
    <row r="19">
      <c r="A19" s="211" t="n">
        <v>46304</v>
      </c>
      <c r="B19" s="212" t="inlineStr">
        <is>
          <t>금</t>
        </is>
      </c>
      <c r="C19" s="305">
        <f>'계좌별시나리오'!D19</f>
        <v/>
      </c>
      <c r="D19" s="305">
        <f>'계좌별시나리오'!E19</f>
        <v/>
      </c>
      <c r="E19" s="305">
        <f>'계좌별시나리오'!F19</f>
        <v/>
      </c>
      <c r="F19" s="305">
        <f>'계좌별시나리오'!G19</f>
        <v/>
      </c>
      <c r="G19" s="214" t="n">
        <v>0</v>
      </c>
      <c r="H19" s="306">
        <f>'계좌별시나리오'!I19</f>
        <v/>
      </c>
      <c r="I19" s="306">
        <f>'계좌별시나리오'!J19</f>
        <v/>
      </c>
      <c r="J19" s="306">
        <f>'계좌별시나리오'!K19</f>
        <v/>
      </c>
      <c r="K19" s="306">
        <f>'계좌별시나리오'!L19</f>
        <v/>
      </c>
      <c r="L19" s="307">
        <f>SUMIFS('경영보고'!$E$114:$E$135,'경영보고'!$A$114:$A$135,$A19,'경영보고'!$C$114:$C$135,"확정입금")</f>
        <v/>
      </c>
      <c r="M19" s="307">
        <f>SUMIFS('경영보고'!$E$16:$E$109,'경영보고'!$A$16:$A$109,$A19,'경영보고'!$I$16:$I$109,"&lt;&gt;보류",'경영보고'!$F$16:$F$109,"계좌송금")</f>
        <v/>
      </c>
      <c r="N19" s="307">
        <f>SUMIFS('경영보고'!$E$16:$E$109,'경영보고'!$A$16:$A$109,$A19,'경영보고'!$I$16:$I$109,"&lt;&gt;보류",'경영보고'!$F$16:$F$109,"법인카드")</f>
        <v/>
      </c>
      <c r="O19" s="307">
        <f>SUMIFS('경영보고'!$E$16:$E$109,'경영보고'!$A$16:$A$109,$A19,'경영보고'!$I$16:$I$109,"&lt;&gt;보류")-M19-N19</f>
        <v/>
      </c>
      <c r="P19" s="217">
        <f>G19+L19-M19-N19-O19</f>
        <v/>
      </c>
      <c r="Q19" s="218">
        <f>R18</f>
        <v/>
      </c>
      <c r="R19" s="217">
        <f>Q19+P19</f>
        <v/>
      </c>
      <c r="S19" s="219" t="n"/>
    </row>
    <row r="20">
      <c r="A20" s="220" t="n">
        <v>46305</v>
      </c>
      <c r="B20" s="209" t="inlineStr">
        <is>
          <t>토</t>
        </is>
      </c>
      <c r="C20" s="302">
        <f>'계좌별시나리오'!D20</f>
        <v/>
      </c>
      <c r="D20" s="302">
        <f>'계좌별시나리오'!E20</f>
        <v/>
      </c>
      <c r="E20" s="302">
        <f>'계좌별시나리오'!F20</f>
        <v/>
      </c>
      <c r="F20" s="302">
        <f>'계좌별시나리오'!G20</f>
        <v/>
      </c>
      <c r="G20" s="202">
        <f>INDEX('설정및분류'!$C$6:$C$12,WEEKDAY(A20,2))*'요약'!$B$13</f>
        <v/>
      </c>
      <c r="H20" s="303">
        <f>'계좌별시나리오'!I20</f>
        <v/>
      </c>
      <c r="I20" s="303">
        <f>'계좌별시나리오'!J20</f>
        <v/>
      </c>
      <c r="J20" s="303">
        <f>'계좌별시나리오'!K20</f>
        <v/>
      </c>
      <c r="K20" s="303">
        <f>'계좌별시나리오'!L20</f>
        <v/>
      </c>
      <c r="L20" s="304">
        <f>SUMIFS('경영보고'!$E$114:$E$135,'경영보고'!$A$114:$A$135,$A20,'경영보고'!$C$114:$C$135,"확정입금")</f>
        <v/>
      </c>
      <c r="M20" s="304">
        <f>SUMIFS('경영보고'!$E$16:$E$109,'경영보고'!$A$16:$A$109,$A20,'경영보고'!$I$16:$I$109,"&lt;&gt;보류",'경영보고'!$F$16:$F$109,"계좌송금")</f>
        <v/>
      </c>
      <c r="N20" s="304">
        <f>SUMIFS('경영보고'!$E$16:$E$109,'경영보고'!$A$16:$A$109,$A20,'경영보고'!$I$16:$I$109,"&lt;&gt;보류",'경영보고'!$F$16:$F$109,"법인카드")</f>
        <v/>
      </c>
      <c r="O20" s="304">
        <f>SUMIFS('경영보고'!$E$16:$E$109,'경영보고'!$A$16:$A$109,$A20,'경영보고'!$I$16:$I$109,"&lt;&gt;보류")-M20-N20</f>
        <v/>
      </c>
      <c r="P20" s="205">
        <f>G20+L20-M20-N20-O20</f>
        <v/>
      </c>
      <c r="Q20" s="206">
        <f>R19</f>
        <v/>
      </c>
      <c r="R20" s="205">
        <f>Q20+P20</f>
        <v/>
      </c>
      <c r="S20" s="221" t="n"/>
    </row>
    <row r="21">
      <c r="A21" s="220" t="n">
        <v>46306</v>
      </c>
      <c r="B21" s="209" t="inlineStr">
        <is>
          <t>일</t>
        </is>
      </c>
      <c r="C21" s="302">
        <f>'계좌별시나리오'!D21</f>
        <v/>
      </c>
      <c r="D21" s="302">
        <f>'계좌별시나리오'!E21</f>
        <v/>
      </c>
      <c r="E21" s="302">
        <f>'계좌별시나리오'!F21</f>
        <v/>
      </c>
      <c r="F21" s="302">
        <f>'계좌별시나리오'!G21</f>
        <v/>
      </c>
      <c r="G21" s="202">
        <f>INDEX('설정및분류'!$C$6:$C$12,WEEKDAY(A21,2))*'요약'!$B$13</f>
        <v/>
      </c>
      <c r="H21" s="303">
        <f>'계좌별시나리오'!I21</f>
        <v/>
      </c>
      <c r="I21" s="303">
        <f>'계좌별시나리오'!J21</f>
        <v/>
      </c>
      <c r="J21" s="303">
        <f>'계좌별시나리오'!K21</f>
        <v/>
      </c>
      <c r="K21" s="303">
        <f>'계좌별시나리오'!L21</f>
        <v/>
      </c>
      <c r="L21" s="304">
        <f>SUMIFS('경영보고'!$E$114:$E$135,'경영보고'!$A$114:$A$135,$A21,'경영보고'!$C$114:$C$135,"확정입금")</f>
        <v/>
      </c>
      <c r="M21" s="304">
        <f>SUMIFS('경영보고'!$E$16:$E$109,'경영보고'!$A$16:$A$109,$A21,'경영보고'!$I$16:$I$109,"&lt;&gt;보류",'경영보고'!$F$16:$F$109,"계좌송금")</f>
        <v/>
      </c>
      <c r="N21" s="304">
        <f>SUMIFS('경영보고'!$E$16:$E$109,'경영보고'!$A$16:$A$109,$A21,'경영보고'!$I$16:$I$109,"&lt;&gt;보류",'경영보고'!$F$16:$F$109,"법인카드")</f>
        <v/>
      </c>
      <c r="O21" s="304">
        <f>SUMIFS('경영보고'!$E$16:$E$109,'경영보고'!$A$16:$A$109,$A21,'경영보고'!$I$16:$I$109,"&lt;&gt;보류")-M21-N21</f>
        <v/>
      </c>
      <c r="P21" s="205">
        <f>G21+L21-M21-N21-O21</f>
        <v/>
      </c>
      <c r="Q21" s="206">
        <f>R20</f>
        <v/>
      </c>
      <c r="R21" s="205">
        <f>Q21+P21</f>
        <v/>
      </c>
      <c r="S21" s="221" t="n"/>
    </row>
    <row r="22">
      <c r="A22" s="222" t="n">
        <v>46307</v>
      </c>
      <c r="B22" s="200" t="inlineStr">
        <is>
          <t>월</t>
        </is>
      </c>
      <c r="C22" s="302">
        <f>'계좌별시나리오'!D22</f>
        <v/>
      </c>
      <c r="D22" s="302">
        <f>'계좌별시나리오'!E22</f>
        <v/>
      </c>
      <c r="E22" s="302">
        <f>'계좌별시나리오'!F22</f>
        <v/>
      </c>
      <c r="F22" s="302">
        <f>'계좌별시나리오'!G22</f>
        <v/>
      </c>
      <c r="G22" s="202">
        <f>INDEX('설정및분류'!$C$6:$C$12,WEEKDAY(A22,2))*'요약'!$B$13</f>
        <v/>
      </c>
      <c r="H22" s="303">
        <f>'계좌별시나리오'!I22</f>
        <v/>
      </c>
      <c r="I22" s="303">
        <f>'계좌별시나리오'!J22</f>
        <v/>
      </c>
      <c r="J22" s="303">
        <f>'계좌별시나리오'!K22</f>
        <v/>
      </c>
      <c r="K22" s="303">
        <f>'계좌별시나리오'!L22</f>
        <v/>
      </c>
      <c r="L22" s="304">
        <f>SUMIFS('경영보고'!$E$114:$E$135,'경영보고'!$A$114:$A$135,$A22,'경영보고'!$C$114:$C$135,"확정입금")</f>
        <v/>
      </c>
      <c r="M22" s="304">
        <f>SUMIFS('경영보고'!$E$16:$E$109,'경영보고'!$A$16:$A$109,$A22,'경영보고'!$I$16:$I$109,"&lt;&gt;보류",'경영보고'!$F$16:$F$109,"계좌송금")</f>
        <v/>
      </c>
      <c r="N22" s="304">
        <f>SUMIFS('경영보고'!$E$16:$E$109,'경영보고'!$A$16:$A$109,$A22,'경영보고'!$I$16:$I$109,"&lt;&gt;보류",'경영보고'!$F$16:$F$109,"법인카드")</f>
        <v/>
      </c>
      <c r="O22" s="304">
        <f>SUMIFS('경영보고'!$E$16:$E$109,'경영보고'!$A$16:$A$109,$A22,'경영보고'!$I$16:$I$109,"&lt;&gt;보류")-M22-N22</f>
        <v/>
      </c>
      <c r="P22" s="205">
        <f>G22+L22-M22-N22-O22</f>
        <v/>
      </c>
      <c r="Q22" s="206">
        <f>R21</f>
        <v/>
      </c>
      <c r="R22" s="205">
        <f>Q22+P22</f>
        <v/>
      </c>
      <c r="S22" s="221" t="n"/>
    </row>
    <row r="23">
      <c r="A23" s="222" t="n">
        <v>46308</v>
      </c>
      <c r="B23" s="200" t="inlineStr">
        <is>
          <t>화</t>
        </is>
      </c>
      <c r="C23" s="302">
        <f>'계좌별시나리오'!D23</f>
        <v/>
      </c>
      <c r="D23" s="302">
        <f>'계좌별시나리오'!E23</f>
        <v/>
      </c>
      <c r="E23" s="302">
        <f>'계좌별시나리오'!F23</f>
        <v/>
      </c>
      <c r="F23" s="302">
        <f>'계좌별시나리오'!G23</f>
        <v/>
      </c>
      <c r="G23" s="202">
        <f>INDEX('설정및분류'!$C$6:$C$12,WEEKDAY(A23,2))*'요약'!$B$13</f>
        <v/>
      </c>
      <c r="H23" s="303">
        <f>'계좌별시나리오'!I23</f>
        <v/>
      </c>
      <c r="I23" s="303">
        <f>'계좌별시나리오'!J23</f>
        <v/>
      </c>
      <c r="J23" s="303">
        <f>'계좌별시나리오'!K23</f>
        <v/>
      </c>
      <c r="K23" s="303">
        <f>'계좌별시나리오'!L23</f>
        <v/>
      </c>
      <c r="L23" s="304">
        <f>SUMIFS('경영보고'!$E$114:$E$135,'경영보고'!$A$114:$A$135,$A23,'경영보고'!$C$114:$C$135,"확정입금")</f>
        <v/>
      </c>
      <c r="M23" s="304">
        <f>SUMIFS('경영보고'!$E$16:$E$109,'경영보고'!$A$16:$A$109,$A23,'경영보고'!$I$16:$I$109,"&lt;&gt;보류",'경영보고'!$F$16:$F$109,"계좌송금")</f>
        <v/>
      </c>
      <c r="N23" s="304">
        <f>SUMIFS('경영보고'!$E$16:$E$109,'경영보고'!$A$16:$A$109,$A23,'경영보고'!$I$16:$I$109,"&lt;&gt;보류",'경영보고'!$F$16:$F$109,"법인카드")</f>
        <v/>
      </c>
      <c r="O23" s="304">
        <f>SUMIFS('경영보고'!$E$16:$E$109,'경영보고'!$A$16:$A$109,$A23,'경영보고'!$I$16:$I$109,"&lt;&gt;보류")-M23-N23</f>
        <v/>
      </c>
      <c r="P23" s="205">
        <f>G23+L23-M23-N23-O23</f>
        <v/>
      </c>
      <c r="Q23" s="206">
        <f>R22</f>
        <v/>
      </c>
      <c r="R23" s="205">
        <f>Q23+P23</f>
        <v/>
      </c>
      <c r="S23" s="221" t="n"/>
    </row>
    <row r="24">
      <c r="A24" s="222" t="n">
        <v>46309</v>
      </c>
      <c r="B24" s="200" t="inlineStr">
        <is>
          <t>수</t>
        </is>
      </c>
      <c r="C24" s="302">
        <f>'계좌별시나리오'!D24</f>
        <v/>
      </c>
      <c r="D24" s="302">
        <f>'계좌별시나리오'!E24</f>
        <v/>
      </c>
      <c r="E24" s="302">
        <f>'계좌별시나리오'!F24</f>
        <v/>
      </c>
      <c r="F24" s="302">
        <f>'계좌별시나리오'!G24</f>
        <v/>
      </c>
      <c r="G24" s="202">
        <f>INDEX('설정및분류'!$C$6:$C$12,WEEKDAY(A24,2))*'요약'!$B$13</f>
        <v/>
      </c>
      <c r="H24" s="303">
        <f>'계좌별시나리오'!I24</f>
        <v/>
      </c>
      <c r="I24" s="303">
        <f>'계좌별시나리오'!J24</f>
        <v/>
      </c>
      <c r="J24" s="303">
        <f>'계좌별시나리오'!K24</f>
        <v/>
      </c>
      <c r="K24" s="303">
        <f>'계좌별시나리오'!L24</f>
        <v/>
      </c>
      <c r="L24" s="304">
        <f>SUMIFS('경영보고'!$E$114:$E$135,'경영보고'!$A$114:$A$135,$A24,'경영보고'!$C$114:$C$135,"확정입금")</f>
        <v/>
      </c>
      <c r="M24" s="304">
        <f>SUMIFS('경영보고'!$E$16:$E$109,'경영보고'!$A$16:$A$109,$A24,'경영보고'!$I$16:$I$109,"&lt;&gt;보류",'경영보고'!$F$16:$F$109,"계좌송금")</f>
        <v/>
      </c>
      <c r="N24" s="304">
        <f>SUMIFS('경영보고'!$E$16:$E$109,'경영보고'!$A$16:$A$109,$A24,'경영보고'!$I$16:$I$109,"&lt;&gt;보류",'경영보고'!$F$16:$F$109,"법인카드")</f>
        <v/>
      </c>
      <c r="O24" s="304">
        <f>SUMIFS('경영보고'!$E$16:$E$109,'경영보고'!$A$16:$A$109,$A24,'경영보고'!$I$16:$I$109,"&lt;&gt;보류")-M24-N24</f>
        <v/>
      </c>
      <c r="P24" s="205">
        <f>G24+L24-M24-N24-O24</f>
        <v/>
      </c>
      <c r="Q24" s="206">
        <f>R23</f>
        <v/>
      </c>
      <c r="R24" s="205">
        <f>Q24+P24</f>
        <v/>
      </c>
      <c r="S24" s="221" t="n"/>
    </row>
    <row r="25">
      <c r="A25" s="222" t="n">
        <v>46310</v>
      </c>
      <c r="B25" s="200" t="inlineStr">
        <is>
          <t>목</t>
        </is>
      </c>
      <c r="C25" s="302">
        <f>'계좌별시나리오'!D25</f>
        <v/>
      </c>
      <c r="D25" s="302">
        <f>'계좌별시나리오'!E25</f>
        <v/>
      </c>
      <c r="E25" s="302">
        <f>'계좌별시나리오'!F25</f>
        <v/>
      </c>
      <c r="F25" s="302">
        <f>'계좌별시나리오'!G25</f>
        <v/>
      </c>
      <c r="G25" s="202">
        <f>INDEX('설정및분류'!$C$6:$C$12,WEEKDAY(A25,2))*'요약'!$B$13</f>
        <v/>
      </c>
      <c r="H25" s="303">
        <f>'계좌별시나리오'!I25</f>
        <v/>
      </c>
      <c r="I25" s="303">
        <f>'계좌별시나리오'!J25</f>
        <v/>
      </c>
      <c r="J25" s="303">
        <f>'계좌별시나리오'!K25</f>
        <v/>
      </c>
      <c r="K25" s="303">
        <f>'계좌별시나리오'!L25</f>
        <v/>
      </c>
      <c r="L25" s="304">
        <f>SUMIFS('경영보고'!$E$114:$E$135,'경영보고'!$A$114:$A$135,$A25,'경영보고'!$C$114:$C$135,"확정입금")</f>
        <v/>
      </c>
      <c r="M25" s="304">
        <f>SUMIFS('경영보고'!$E$16:$E$109,'경영보고'!$A$16:$A$109,$A25,'경영보고'!$I$16:$I$109,"&lt;&gt;보류",'경영보고'!$F$16:$F$109,"계좌송금")</f>
        <v/>
      </c>
      <c r="N25" s="304">
        <f>SUMIFS('경영보고'!$E$16:$E$109,'경영보고'!$A$16:$A$109,$A25,'경영보고'!$I$16:$I$109,"&lt;&gt;보류",'경영보고'!$F$16:$F$109,"법인카드")</f>
        <v/>
      </c>
      <c r="O25" s="304">
        <f>SUMIFS('경영보고'!$E$16:$E$109,'경영보고'!$A$16:$A$109,$A25,'경영보고'!$I$16:$I$109,"&lt;&gt;보류")-M25-N25</f>
        <v/>
      </c>
      <c r="P25" s="205">
        <f>G25+L25-M25-N25-O25</f>
        <v/>
      </c>
      <c r="Q25" s="206">
        <f>R24</f>
        <v/>
      </c>
      <c r="R25" s="205">
        <f>Q25+P25</f>
        <v/>
      </c>
      <c r="S25" s="221" t="n"/>
    </row>
    <row r="26">
      <c r="A26" s="222" t="n">
        <v>46311</v>
      </c>
      <c r="B26" s="200" t="inlineStr">
        <is>
          <t>금</t>
        </is>
      </c>
      <c r="C26" s="302">
        <f>'계좌별시나리오'!D26</f>
        <v/>
      </c>
      <c r="D26" s="302">
        <f>'계좌별시나리오'!E26</f>
        <v/>
      </c>
      <c r="E26" s="302">
        <f>'계좌별시나리오'!F26</f>
        <v/>
      </c>
      <c r="F26" s="302">
        <f>'계좌별시나리오'!G26</f>
        <v/>
      </c>
      <c r="G26" s="202">
        <f>INDEX('설정및분류'!$C$6:$C$12,WEEKDAY(A26,2))*'요약'!$B$13</f>
        <v/>
      </c>
      <c r="H26" s="303">
        <f>'계좌별시나리오'!I26</f>
        <v/>
      </c>
      <c r="I26" s="303">
        <f>'계좌별시나리오'!J26</f>
        <v/>
      </c>
      <c r="J26" s="303">
        <f>'계좌별시나리오'!K26</f>
        <v/>
      </c>
      <c r="K26" s="303">
        <f>'계좌별시나리오'!L26</f>
        <v/>
      </c>
      <c r="L26" s="304">
        <f>SUMIFS('경영보고'!$E$114:$E$135,'경영보고'!$A$114:$A$135,$A26,'경영보고'!$C$114:$C$135,"확정입금")</f>
        <v/>
      </c>
      <c r="M26" s="304">
        <f>SUMIFS('경영보고'!$E$16:$E$109,'경영보고'!$A$16:$A$109,$A26,'경영보고'!$I$16:$I$109,"&lt;&gt;보류",'경영보고'!$F$16:$F$109,"계좌송금")</f>
        <v/>
      </c>
      <c r="N26" s="304">
        <f>SUMIFS('경영보고'!$E$16:$E$109,'경영보고'!$A$16:$A$109,$A26,'경영보고'!$I$16:$I$109,"&lt;&gt;보류",'경영보고'!$F$16:$F$109,"법인카드")</f>
        <v/>
      </c>
      <c r="O26" s="304">
        <f>SUMIFS('경영보고'!$E$16:$E$109,'경영보고'!$A$16:$A$109,$A26,'경영보고'!$I$16:$I$109,"&lt;&gt;보류")-M26-N26</f>
        <v/>
      </c>
      <c r="P26" s="205">
        <f>G26+L26-M26-N26-O26</f>
        <v/>
      </c>
      <c r="Q26" s="206">
        <f>R25</f>
        <v/>
      </c>
      <c r="R26" s="205">
        <f>Q26+P26</f>
        <v/>
      </c>
      <c r="S26" s="221" t="n"/>
    </row>
    <row r="27">
      <c r="A27" s="220" t="n">
        <v>46312</v>
      </c>
      <c r="B27" s="209" t="inlineStr">
        <is>
          <t>토</t>
        </is>
      </c>
      <c r="C27" s="302">
        <f>'계좌별시나리오'!D27</f>
        <v/>
      </c>
      <c r="D27" s="302">
        <f>'계좌별시나리오'!E27</f>
        <v/>
      </c>
      <c r="E27" s="302">
        <f>'계좌별시나리오'!F27</f>
        <v/>
      </c>
      <c r="F27" s="302">
        <f>'계좌별시나리오'!G27</f>
        <v/>
      </c>
      <c r="G27" s="202">
        <f>INDEX('설정및분류'!$C$6:$C$12,WEEKDAY(A27,2))*'요약'!$B$13</f>
        <v/>
      </c>
      <c r="H27" s="303">
        <f>'계좌별시나리오'!I27</f>
        <v/>
      </c>
      <c r="I27" s="303">
        <f>'계좌별시나리오'!J27</f>
        <v/>
      </c>
      <c r="J27" s="303">
        <f>'계좌별시나리오'!K27</f>
        <v/>
      </c>
      <c r="K27" s="303">
        <f>'계좌별시나리오'!L27</f>
        <v/>
      </c>
      <c r="L27" s="304">
        <f>SUMIFS('경영보고'!$E$114:$E$135,'경영보고'!$A$114:$A$135,$A27,'경영보고'!$C$114:$C$135,"확정입금")</f>
        <v/>
      </c>
      <c r="M27" s="304">
        <f>SUMIFS('경영보고'!$E$16:$E$109,'경영보고'!$A$16:$A$109,$A27,'경영보고'!$I$16:$I$109,"&lt;&gt;보류",'경영보고'!$F$16:$F$109,"계좌송금")</f>
        <v/>
      </c>
      <c r="N27" s="304">
        <f>SUMIFS('경영보고'!$E$16:$E$109,'경영보고'!$A$16:$A$109,$A27,'경영보고'!$I$16:$I$109,"&lt;&gt;보류",'경영보고'!$F$16:$F$109,"법인카드")</f>
        <v/>
      </c>
      <c r="O27" s="304">
        <f>SUMIFS('경영보고'!$E$16:$E$109,'경영보고'!$A$16:$A$109,$A27,'경영보고'!$I$16:$I$109,"&lt;&gt;보류")-M27-N27</f>
        <v/>
      </c>
      <c r="P27" s="205">
        <f>G27+L27-M27-N27-O27</f>
        <v/>
      </c>
      <c r="Q27" s="206">
        <f>R26</f>
        <v/>
      </c>
      <c r="R27" s="205">
        <f>Q27+P27</f>
        <v/>
      </c>
      <c r="S27" s="221" t="n"/>
    </row>
    <row r="28">
      <c r="A28" s="220" t="n">
        <v>46313</v>
      </c>
      <c r="B28" s="209" t="inlineStr">
        <is>
          <t>일</t>
        </is>
      </c>
      <c r="C28" s="302">
        <f>'계좌별시나리오'!D28</f>
        <v/>
      </c>
      <c r="D28" s="302">
        <f>'계좌별시나리오'!E28</f>
        <v/>
      </c>
      <c r="E28" s="302">
        <f>'계좌별시나리오'!F28</f>
        <v/>
      </c>
      <c r="F28" s="302">
        <f>'계좌별시나리오'!G28</f>
        <v/>
      </c>
      <c r="G28" s="202">
        <f>INDEX('설정및분류'!$C$6:$C$12,WEEKDAY(A28,2))*'요약'!$B$13</f>
        <v/>
      </c>
      <c r="H28" s="303">
        <f>'계좌별시나리오'!I28</f>
        <v/>
      </c>
      <c r="I28" s="303">
        <f>'계좌별시나리오'!J28</f>
        <v/>
      </c>
      <c r="J28" s="303">
        <f>'계좌별시나리오'!K28</f>
        <v/>
      </c>
      <c r="K28" s="303">
        <f>'계좌별시나리오'!L28</f>
        <v/>
      </c>
      <c r="L28" s="304">
        <f>SUMIFS('경영보고'!$E$114:$E$135,'경영보고'!$A$114:$A$135,$A28,'경영보고'!$C$114:$C$135,"확정입금")</f>
        <v/>
      </c>
      <c r="M28" s="304">
        <f>SUMIFS('경영보고'!$E$16:$E$109,'경영보고'!$A$16:$A$109,$A28,'경영보고'!$I$16:$I$109,"&lt;&gt;보류",'경영보고'!$F$16:$F$109,"계좌송금")</f>
        <v/>
      </c>
      <c r="N28" s="304">
        <f>SUMIFS('경영보고'!$E$16:$E$109,'경영보고'!$A$16:$A$109,$A28,'경영보고'!$I$16:$I$109,"&lt;&gt;보류",'경영보고'!$F$16:$F$109,"법인카드")</f>
        <v/>
      </c>
      <c r="O28" s="304">
        <f>SUMIFS('경영보고'!$E$16:$E$109,'경영보고'!$A$16:$A$109,$A28,'경영보고'!$I$16:$I$109,"&lt;&gt;보류")-M28-N28</f>
        <v/>
      </c>
      <c r="P28" s="205">
        <f>G28+L28-M28-N28-O28</f>
        <v/>
      </c>
      <c r="Q28" s="206">
        <f>R27</f>
        <v/>
      </c>
      <c r="R28" s="205">
        <f>Q28+P28</f>
        <v/>
      </c>
      <c r="S28" s="221" t="n"/>
    </row>
    <row r="29">
      <c r="A29" s="222" t="n">
        <v>46314</v>
      </c>
      <c r="B29" s="200" t="inlineStr">
        <is>
          <t>월</t>
        </is>
      </c>
      <c r="C29" s="302">
        <f>'계좌별시나리오'!D29</f>
        <v/>
      </c>
      <c r="D29" s="302">
        <f>'계좌별시나리오'!E29</f>
        <v/>
      </c>
      <c r="E29" s="302">
        <f>'계좌별시나리오'!F29</f>
        <v/>
      </c>
      <c r="F29" s="302">
        <f>'계좌별시나리오'!G29</f>
        <v/>
      </c>
      <c r="G29" s="202">
        <f>INDEX('설정및분류'!$C$6:$C$12,WEEKDAY(A29,2))*'요약'!$B$13</f>
        <v/>
      </c>
      <c r="H29" s="303">
        <f>'계좌별시나리오'!I29</f>
        <v/>
      </c>
      <c r="I29" s="303">
        <f>'계좌별시나리오'!J29</f>
        <v/>
      </c>
      <c r="J29" s="303">
        <f>'계좌별시나리오'!K29</f>
        <v/>
      </c>
      <c r="K29" s="303">
        <f>'계좌별시나리오'!L29</f>
        <v/>
      </c>
      <c r="L29" s="304">
        <f>SUMIFS('경영보고'!$E$114:$E$135,'경영보고'!$A$114:$A$135,$A29,'경영보고'!$C$114:$C$135,"확정입금")</f>
        <v/>
      </c>
      <c r="M29" s="304">
        <f>SUMIFS('경영보고'!$E$16:$E$109,'경영보고'!$A$16:$A$109,$A29,'경영보고'!$I$16:$I$109,"&lt;&gt;보류",'경영보고'!$F$16:$F$109,"계좌송금")</f>
        <v/>
      </c>
      <c r="N29" s="304">
        <f>SUMIFS('경영보고'!$E$16:$E$109,'경영보고'!$A$16:$A$109,$A29,'경영보고'!$I$16:$I$109,"&lt;&gt;보류",'경영보고'!$F$16:$F$109,"법인카드")</f>
        <v/>
      </c>
      <c r="O29" s="304">
        <f>SUMIFS('경영보고'!$E$16:$E$109,'경영보고'!$A$16:$A$109,$A29,'경영보고'!$I$16:$I$109,"&lt;&gt;보류")-M29-N29</f>
        <v/>
      </c>
      <c r="P29" s="205">
        <f>G29+L29-M29-N29-O29</f>
        <v/>
      </c>
      <c r="Q29" s="206">
        <f>R28</f>
        <v/>
      </c>
      <c r="R29" s="205">
        <f>Q29+P29</f>
        <v/>
      </c>
      <c r="S29" s="221" t="n"/>
    </row>
    <row r="30">
      <c r="A30" s="222" t="n">
        <v>46315</v>
      </c>
      <c r="B30" s="200" t="inlineStr">
        <is>
          <t>화</t>
        </is>
      </c>
      <c r="C30" s="302">
        <f>'계좌별시나리오'!D30</f>
        <v/>
      </c>
      <c r="D30" s="302">
        <f>'계좌별시나리오'!E30</f>
        <v/>
      </c>
      <c r="E30" s="302">
        <f>'계좌별시나리오'!F30</f>
        <v/>
      </c>
      <c r="F30" s="302">
        <f>'계좌별시나리오'!G30</f>
        <v/>
      </c>
      <c r="G30" s="202">
        <f>INDEX('설정및분류'!$C$6:$C$12,WEEKDAY(A30,2))*'요약'!$B$13</f>
        <v/>
      </c>
      <c r="H30" s="303">
        <f>'계좌별시나리오'!I30</f>
        <v/>
      </c>
      <c r="I30" s="303">
        <f>'계좌별시나리오'!J30</f>
        <v/>
      </c>
      <c r="J30" s="303">
        <f>'계좌별시나리오'!K30</f>
        <v/>
      </c>
      <c r="K30" s="303">
        <f>'계좌별시나리오'!L30</f>
        <v/>
      </c>
      <c r="L30" s="304">
        <f>SUMIFS('경영보고'!$E$114:$E$135,'경영보고'!$A$114:$A$135,$A30,'경영보고'!$C$114:$C$135,"확정입금")</f>
        <v/>
      </c>
      <c r="M30" s="304">
        <f>SUMIFS('경영보고'!$E$16:$E$109,'경영보고'!$A$16:$A$109,$A30,'경영보고'!$I$16:$I$109,"&lt;&gt;보류",'경영보고'!$F$16:$F$109,"계좌송금")</f>
        <v/>
      </c>
      <c r="N30" s="304">
        <f>SUMIFS('경영보고'!$E$16:$E$109,'경영보고'!$A$16:$A$109,$A30,'경영보고'!$I$16:$I$109,"&lt;&gt;보류",'경영보고'!$F$16:$F$109,"법인카드")</f>
        <v/>
      </c>
      <c r="O30" s="304">
        <f>SUMIFS('경영보고'!$E$16:$E$109,'경영보고'!$A$16:$A$109,$A30,'경영보고'!$I$16:$I$109,"&lt;&gt;보류")-M30-N30</f>
        <v/>
      </c>
      <c r="P30" s="205">
        <f>G30+L30-M30-N30-O30</f>
        <v/>
      </c>
      <c r="Q30" s="206">
        <f>R29</f>
        <v/>
      </c>
      <c r="R30" s="205">
        <f>Q30+P30</f>
        <v/>
      </c>
      <c r="S30" s="221" t="n"/>
    </row>
    <row r="31">
      <c r="A31" s="222" t="n">
        <v>46316</v>
      </c>
      <c r="B31" s="200" t="inlineStr">
        <is>
          <t>수</t>
        </is>
      </c>
      <c r="C31" s="302">
        <f>'계좌별시나리오'!D31</f>
        <v/>
      </c>
      <c r="D31" s="302">
        <f>'계좌별시나리오'!E31</f>
        <v/>
      </c>
      <c r="E31" s="302">
        <f>'계좌별시나리오'!F31</f>
        <v/>
      </c>
      <c r="F31" s="302">
        <f>'계좌별시나리오'!G31</f>
        <v/>
      </c>
      <c r="G31" s="202">
        <f>INDEX('설정및분류'!$C$6:$C$12,WEEKDAY(A31,2))*'요약'!$B$13</f>
        <v/>
      </c>
      <c r="H31" s="303">
        <f>'계좌별시나리오'!I31</f>
        <v/>
      </c>
      <c r="I31" s="303">
        <f>'계좌별시나리오'!J31</f>
        <v/>
      </c>
      <c r="J31" s="303">
        <f>'계좌별시나리오'!K31</f>
        <v/>
      </c>
      <c r="K31" s="303">
        <f>'계좌별시나리오'!L31</f>
        <v/>
      </c>
      <c r="L31" s="304">
        <f>SUMIFS('경영보고'!$E$114:$E$135,'경영보고'!$A$114:$A$135,$A31,'경영보고'!$C$114:$C$135,"확정입금")</f>
        <v/>
      </c>
      <c r="M31" s="304">
        <f>SUMIFS('경영보고'!$E$16:$E$109,'경영보고'!$A$16:$A$109,$A31,'경영보고'!$I$16:$I$109,"&lt;&gt;보류",'경영보고'!$F$16:$F$109,"계좌송금")</f>
        <v/>
      </c>
      <c r="N31" s="304">
        <f>SUMIFS('경영보고'!$E$16:$E$109,'경영보고'!$A$16:$A$109,$A31,'경영보고'!$I$16:$I$109,"&lt;&gt;보류",'경영보고'!$F$16:$F$109,"법인카드")</f>
        <v/>
      </c>
      <c r="O31" s="304">
        <f>SUMIFS('경영보고'!$E$16:$E$109,'경영보고'!$A$16:$A$109,$A31,'경영보고'!$I$16:$I$109,"&lt;&gt;보류")-M31-N31</f>
        <v/>
      </c>
      <c r="P31" s="205">
        <f>G31+L31-M31-N31-O31</f>
        <v/>
      </c>
      <c r="Q31" s="206">
        <f>R30</f>
        <v/>
      </c>
      <c r="R31" s="205">
        <f>Q31+P31</f>
        <v/>
      </c>
      <c r="S31" s="221" t="n"/>
    </row>
    <row r="32">
      <c r="A32" s="222" t="n">
        <v>46317</v>
      </c>
      <c r="B32" s="200" t="inlineStr">
        <is>
          <t>목</t>
        </is>
      </c>
      <c r="C32" s="302">
        <f>'계좌별시나리오'!D32</f>
        <v/>
      </c>
      <c r="D32" s="302">
        <f>'계좌별시나리오'!E32</f>
        <v/>
      </c>
      <c r="E32" s="302">
        <f>'계좌별시나리오'!F32</f>
        <v/>
      </c>
      <c r="F32" s="302">
        <f>'계좌별시나리오'!G32</f>
        <v/>
      </c>
      <c r="G32" s="202">
        <f>INDEX('설정및분류'!$C$6:$C$12,WEEKDAY(A32,2))*'요약'!$B$13</f>
        <v/>
      </c>
      <c r="H32" s="303">
        <f>'계좌별시나리오'!I32</f>
        <v/>
      </c>
      <c r="I32" s="303">
        <f>'계좌별시나리오'!J32</f>
        <v/>
      </c>
      <c r="J32" s="303">
        <f>'계좌별시나리오'!K32</f>
        <v/>
      </c>
      <c r="K32" s="303">
        <f>'계좌별시나리오'!L32</f>
        <v/>
      </c>
      <c r="L32" s="304">
        <f>SUMIFS('경영보고'!$E$114:$E$135,'경영보고'!$A$114:$A$135,$A32,'경영보고'!$C$114:$C$135,"확정입금")</f>
        <v/>
      </c>
      <c r="M32" s="304">
        <f>SUMIFS('경영보고'!$E$16:$E$109,'경영보고'!$A$16:$A$109,$A32,'경영보고'!$I$16:$I$109,"&lt;&gt;보류",'경영보고'!$F$16:$F$109,"계좌송금")</f>
        <v/>
      </c>
      <c r="N32" s="304">
        <f>SUMIFS('경영보고'!$E$16:$E$109,'경영보고'!$A$16:$A$109,$A32,'경영보고'!$I$16:$I$109,"&lt;&gt;보류",'경영보고'!$F$16:$F$109,"법인카드")</f>
        <v/>
      </c>
      <c r="O32" s="304">
        <f>SUMIFS('경영보고'!$E$16:$E$109,'경영보고'!$A$16:$A$109,$A32,'경영보고'!$I$16:$I$109,"&lt;&gt;보류")-M32-N32</f>
        <v/>
      </c>
      <c r="P32" s="205">
        <f>G32+L32-M32-N32-O32</f>
        <v/>
      </c>
      <c r="Q32" s="206">
        <f>R31</f>
        <v/>
      </c>
      <c r="R32" s="205">
        <f>Q32+P32</f>
        <v/>
      </c>
      <c r="S32" s="221" t="n"/>
    </row>
    <row r="33">
      <c r="A33" s="222" t="n">
        <v>46318</v>
      </c>
      <c r="B33" s="200" t="inlineStr">
        <is>
          <t>금</t>
        </is>
      </c>
      <c r="C33" s="302">
        <f>'계좌별시나리오'!D33</f>
        <v/>
      </c>
      <c r="D33" s="302">
        <f>'계좌별시나리오'!E33</f>
        <v/>
      </c>
      <c r="E33" s="302">
        <f>'계좌별시나리오'!F33</f>
        <v/>
      </c>
      <c r="F33" s="302">
        <f>'계좌별시나리오'!G33</f>
        <v/>
      </c>
      <c r="G33" s="202">
        <f>INDEX('설정및분류'!$C$6:$C$12,WEEKDAY(A33,2))*'요약'!$B$13</f>
        <v/>
      </c>
      <c r="H33" s="303">
        <f>'계좌별시나리오'!I33</f>
        <v/>
      </c>
      <c r="I33" s="303">
        <f>'계좌별시나리오'!J33</f>
        <v/>
      </c>
      <c r="J33" s="303">
        <f>'계좌별시나리오'!K33</f>
        <v/>
      </c>
      <c r="K33" s="303">
        <f>'계좌별시나리오'!L33</f>
        <v/>
      </c>
      <c r="L33" s="304">
        <f>SUMIFS('경영보고'!$E$114:$E$135,'경영보고'!$A$114:$A$135,$A33,'경영보고'!$C$114:$C$135,"확정입금")</f>
        <v/>
      </c>
      <c r="M33" s="304">
        <f>SUMIFS('경영보고'!$E$16:$E$109,'경영보고'!$A$16:$A$109,$A33,'경영보고'!$I$16:$I$109,"&lt;&gt;보류",'경영보고'!$F$16:$F$109,"계좌송금")</f>
        <v/>
      </c>
      <c r="N33" s="304">
        <f>SUMIFS('경영보고'!$E$16:$E$109,'경영보고'!$A$16:$A$109,$A33,'경영보고'!$I$16:$I$109,"&lt;&gt;보류",'경영보고'!$F$16:$F$109,"법인카드")</f>
        <v/>
      </c>
      <c r="O33" s="304">
        <f>SUMIFS('경영보고'!$E$16:$E$109,'경영보고'!$A$16:$A$109,$A33,'경영보고'!$I$16:$I$109,"&lt;&gt;보류")-M33-N33</f>
        <v/>
      </c>
      <c r="P33" s="205">
        <f>G33+L33-M33-N33-O33</f>
        <v/>
      </c>
      <c r="Q33" s="206">
        <f>R32</f>
        <v/>
      </c>
      <c r="R33" s="205">
        <f>Q33+P33</f>
        <v/>
      </c>
      <c r="S33" s="221" t="inlineStr">
        <is>
          <t>위버 1,675,000, 카페24 1,000,000, 쿠팡 300,000</t>
        </is>
      </c>
    </row>
    <row r="34">
      <c r="A34" s="220" t="n">
        <v>46319</v>
      </c>
      <c r="B34" s="209" t="inlineStr">
        <is>
          <t>토</t>
        </is>
      </c>
      <c r="C34" s="302">
        <f>'계좌별시나리오'!D34</f>
        <v/>
      </c>
      <c r="D34" s="302">
        <f>'계좌별시나리오'!E34</f>
        <v/>
      </c>
      <c r="E34" s="302">
        <f>'계좌별시나리오'!F34</f>
        <v/>
      </c>
      <c r="F34" s="302">
        <f>'계좌별시나리오'!G34</f>
        <v/>
      </c>
      <c r="G34" s="202">
        <f>INDEX('설정및분류'!$C$6:$C$12,WEEKDAY(A34,2))*'요약'!$B$13</f>
        <v/>
      </c>
      <c r="H34" s="303">
        <f>'계좌별시나리오'!I34</f>
        <v/>
      </c>
      <c r="I34" s="303">
        <f>'계좌별시나리오'!J34</f>
        <v/>
      </c>
      <c r="J34" s="303">
        <f>'계좌별시나리오'!K34</f>
        <v/>
      </c>
      <c r="K34" s="303">
        <f>'계좌별시나리오'!L34</f>
        <v/>
      </c>
      <c r="L34" s="304">
        <f>SUMIFS('경영보고'!$E$114:$E$135,'경영보고'!$A$114:$A$135,$A34,'경영보고'!$C$114:$C$135,"확정입금")</f>
        <v/>
      </c>
      <c r="M34" s="304">
        <f>SUMIFS('경영보고'!$E$16:$E$109,'경영보고'!$A$16:$A$109,$A34,'경영보고'!$I$16:$I$109,"&lt;&gt;보류",'경영보고'!$F$16:$F$109,"계좌송금")</f>
        <v/>
      </c>
      <c r="N34" s="304">
        <f>SUMIFS('경영보고'!$E$16:$E$109,'경영보고'!$A$16:$A$109,$A34,'경영보고'!$I$16:$I$109,"&lt;&gt;보류",'경영보고'!$F$16:$F$109,"법인카드")</f>
        <v/>
      </c>
      <c r="O34" s="304">
        <f>SUMIFS('경영보고'!$E$16:$E$109,'경영보고'!$A$16:$A$109,$A34,'경영보고'!$I$16:$I$109,"&lt;&gt;보류")-M34-N34</f>
        <v/>
      </c>
      <c r="P34" s="205">
        <f>G34+L34-M34-N34-O34</f>
        <v/>
      </c>
      <c r="Q34" s="206">
        <f>R33</f>
        <v/>
      </c>
      <c r="R34" s="205">
        <f>Q34+P34</f>
        <v/>
      </c>
      <c r="S34" s="221" t="n"/>
    </row>
    <row r="35">
      <c r="A35" s="220" t="n">
        <v>46320</v>
      </c>
      <c r="B35" s="209" t="inlineStr">
        <is>
          <t>일</t>
        </is>
      </c>
      <c r="C35" s="302">
        <f>'계좌별시나리오'!D35</f>
        <v/>
      </c>
      <c r="D35" s="302">
        <f>'계좌별시나리오'!E35</f>
        <v/>
      </c>
      <c r="E35" s="302">
        <f>'계좌별시나리오'!F35</f>
        <v/>
      </c>
      <c r="F35" s="302">
        <f>'계좌별시나리오'!G35</f>
        <v/>
      </c>
      <c r="G35" s="202">
        <f>INDEX('설정및분류'!$C$6:$C$12,WEEKDAY(A35,2))*'요약'!$B$13</f>
        <v/>
      </c>
      <c r="H35" s="303">
        <f>'계좌별시나리오'!I35</f>
        <v/>
      </c>
      <c r="I35" s="303">
        <f>'계좌별시나리오'!J35</f>
        <v/>
      </c>
      <c r="J35" s="303">
        <f>'계좌별시나리오'!K35</f>
        <v/>
      </c>
      <c r="K35" s="303">
        <f>'계좌별시나리오'!L35</f>
        <v/>
      </c>
      <c r="L35" s="304">
        <f>SUMIFS('경영보고'!$E$114:$E$135,'경영보고'!$A$114:$A$135,$A35,'경영보고'!$C$114:$C$135,"확정입금")</f>
        <v/>
      </c>
      <c r="M35" s="304">
        <f>SUMIFS('경영보고'!$E$16:$E$109,'경영보고'!$A$16:$A$109,$A35,'경영보고'!$I$16:$I$109,"&lt;&gt;보류",'경영보고'!$F$16:$F$109,"계좌송금")</f>
        <v/>
      </c>
      <c r="N35" s="304">
        <f>SUMIFS('경영보고'!$E$16:$E$109,'경영보고'!$A$16:$A$109,$A35,'경영보고'!$I$16:$I$109,"&lt;&gt;보류",'경영보고'!$F$16:$F$109,"법인카드")</f>
        <v/>
      </c>
      <c r="O35" s="304">
        <f>SUMIFS('경영보고'!$E$16:$E$109,'경영보고'!$A$16:$A$109,$A35,'경영보고'!$I$16:$I$109,"&lt;&gt;보류")-M35-N35</f>
        <v/>
      </c>
      <c r="P35" s="205">
        <f>G35+L35-M35-N35-O35</f>
        <v/>
      </c>
      <c r="Q35" s="206">
        <f>R34</f>
        <v/>
      </c>
      <c r="R35" s="205">
        <f>Q35+P35</f>
        <v/>
      </c>
      <c r="S35" s="221"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2">
      <c r="A2" s="139" t="inlineStr">
        <is>
          <t>계좌별 일별 잔액 시나리오 (자동 반영)</t>
        </is>
      </c>
    </row>
    <row r="3">
      <c r="A3" s="140"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169124 21% · 국민 154577 33%</t>
        </is>
      </c>
    </row>
    <row r="4">
      <c r="A4" s="178" t="inlineStr">
        <is>
          <t>일자</t>
        </is>
      </c>
      <c r="B4" s="178" t="inlineStr">
        <is>
          <t>요일</t>
        </is>
      </c>
      <c r="C4" s="174" t="inlineStr">
        <is>
          <t>① 잔액 (총잔액 · 계좌별)</t>
        </is>
      </c>
      <c r="D4" s="175" t="n"/>
      <c r="E4" s="175" t="n"/>
      <c r="F4" s="175" t="n"/>
      <c r="G4" s="176" t="n"/>
      <c r="H4" s="177" t="inlineStr">
        <is>
          <t>② 오늘 들어오는 돈 — 예상입금 배분</t>
        </is>
      </c>
      <c r="I4" s="175" t="n"/>
      <c r="J4" s="175" t="n"/>
      <c r="K4" s="175" t="n"/>
      <c r="L4" s="176" t="n"/>
      <c r="M4" s="224" t="inlineStr">
        <is>
          <t>③ 지출</t>
        </is>
      </c>
      <c r="N4" s="225" t="inlineStr">
        <is>
          <t>④ 부족분 이체</t>
        </is>
      </c>
      <c r="O4" s="176" t="n"/>
      <c r="P4" s="226" t="inlineStr">
        <is>
          <t>비고</t>
        </is>
      </c>
    </row>
    <row r="5">
      <c r="A5" s="227" t="n"/>
      <c r="B5" s="227" t="n"/>
      <c r="C5" s="178" t="inlineStr">
        <is>
          <t>총잔액</t>
        </is>
      </c>
      <c r="D5" s="178" t="inlineStr">
        <is>
          <t>우리 220351</t>
        </is>
      </c>
      <c r="E5" s="178" t="inlineStr">
        <is>
          <t>농협 569003</t>
        </is>
      </c>
      <c r="F5" s="178" t="inlineStr">
        <is>
          <t>국민 169124</t>
        </is>
      </c>
      <c r="G5" s="178" t="inlineStr">
        <is>
          <t>국민 154577</t>
        </is>
      </c>
      <c r="H5" s="179" t="inlineStr">
        <is>
          <t>합계</t>
        </is>
      </c>
      <c r="I5" s="179" t="inlineStr">
        <is>
          <t>우리 220351</t>
        </is>
      </c>
      <c r="J5" s="179" t="inlineStr">
        <is>
          <t>농협 569003</t>
        </is>
      </c>
      <c r="K5" s="179" t="inlineStr">
        <is>
          <t>국민 169124</t>
        </is>
      </c>
      <c r="L5" s="179" t="inlineStr">
        <is>
          <t>국민 154577</t>
        </is>
      </c>
      <c r="M5" s="228" t="inlineStr">
        <is>
          <t>우리은행 집행</t>
        </is>
      </c>
      <c r="N5" s="229" t="inlineStr">
        <is>
          <t>농협→우리</t>
        </is>
      </c>
      <c r="O5" s="229" t="inlineStr">
        <is>
          <t>국민→우리</t>
        </is>
      </c>
      <c r="P5" s="227" t="n"/>
    </row>
    <row r="6">
      <c r="A6" s="230" t="n">
        <v>46292</v>
      </c>
      <c r="B6" s="231" t="inlineStr">
        <is>
          <t>일</t>
        </is>
      </c>
      <c r="C6" s="297">
        <f>SUM(D6:G6)</f>
        <v/>
      </c>
      <c r="D6" s="297" t="n">
        <v>0</v>
      </c>
      <c r="E6" s="297" t="n">
        <v>15</v>
      </c>
      <c r="F6" s="297" t="n">
        <v>100687200</v>
      </c>
      <c r="G6" s="297" t="n">
        <v>35334666</v>
      </c>
      <c r="H6" s="223" t="n"/>
      <c r="I6" s="223" t="n"/>
      <c r="J6" s="223" t="n"/>
      <c r="K6" s="223" t="n"/>
      <c r="L6" s="223" t="n"/>
      <c r="M6" s="223" t="n"/>
      <c r="N6" s="223" t="n"/>
      <c r="O6" s="223" t="n"/>
      <c r="P6" s="232" t="inlineStr">
        <is>
          <t>전일 마감 실잔고 — 여기서 출발</t>
        </is>
      </c>
    </row>
    <row r="7">
      <c r="A7" s="233" t="n">
        <v>46293</v>
      </c>
      <c r="B7" s="234" t="inlineStr">
        <is>
          <t>월</t>
        </is>
      </c>
      <c r="C7" s="297">
        <f>SUM(D7:G7)</f>
        <v/>
      </c>
      <c r="D7" s="302" t="n">
        <v>2493338</v>
      </c>
      <c r="E7" s="302" t="n">
        <v>0</v>
      </c>
      <c r="F7" s="302" t="n">
        <v>103184200</v>
      </c>
      <c r="G7" s="302" t="n">
        <v>34452809</v>
      </c>
      <c r="H7" s="223" t="n"/>
      <c r="I7" s="223" t="n"/>
      <c r="J7" s="223" t="n"/>
      <c r="K7" s="223" t="n"/>
      <c r="L7" s="223" t="n"/>
      <c r="M7" s="223" t="n"/>
      <c r="N7" s="223" t="n"/>
      <c r="O7" s="223" t="n"/>
      <c r="P7" s="235" t="inlineStr">
        <is>
          <t>오늘 실잔고(은행 확인) — 참고</t>
        </is>
      </c>
    </row>
    <row r="8">
      <c r="A8" s="236" t="n">
        <v>46293</v>
      </c>
      <c r="B8" s="223" t="inlineStr">
        <is>
          <t>월</t>
        </is>
      </c>
      <c r="C8" s="297" t="n">
        <v>140130347</v>
      </c>
      <c r="D8" s="308" t="n">
        <v>2493338</v>
      </c>
      <c r="E8" s="308" t="n">
        <v>0</v>
      </c>
      <c r="F8" s="308" t="n">
        <v>103184200</v>
      </c>
      <c r="G8" s="308" t="n">
        <v>34452809</v>
      </c>
      <c r="H8" s="238" t="n"/>
      <c r="I8" s="238" t="n"/>
      <c r="J8" s="238" t="n"/>
      <c r="K8" s="238" t="n"/>
      <c r="L8" s="238" t="n"/>
      <c r="M8" s="239" t="n"/>
      <c r="N8" s="240" t="n"/>
      <c r="O8" s="240" t="n"/>
      <c r="P8" s="232" t="inlineStr">
        <is>
          <t>실적(은행 확인) — 여기서 예산 출발</t>
        </is>
      </c>
    </row>
    <row r="9">
      <c r="A9" s="236" t="n">
        <v>46294</v>
      </c>
      <c r="B9" s="223" t="inlineStr">
        <is>
          <t>화</t>
        </is>
      </c>
      <c r="C9" s="297">
        <f>SUM(D9:G9)</f>
        <v/>
      </c>
      <c r="D9" s="309">
        <f>D8+I9-M9+Q9+R9+S9</f>
        <v/>
      </c>
      <c r="E9" s="309">
        <f>E8+J9-Q9</f>
        <v/>
      </c>
      <c r="F9" s="309">
        <f>F8+K9-R9</f>
        <v/>
      </c>
      <c r="G9" s="309">
        <f>G8+L9-S9</f>
        <v/>
      </c>
      <c r="H9" s="303">
        <f>'4주일별계획'!G9+'4주일별계획'!L9</f>
        <v/>
      </c>
      <c r="I9" s="303">
        <f>H9*0.439717</f>
        <v/>
      </c>
      <c r="J9" s="303">
        <f>H9*0.020388</f>
        <v/>
      </c>
      <c r="K9" s="303">
        <f>H9*0.207493</f>
        <v/>
      </c>
      <c r="L9" s="303">
        <f>H9*0.332402</f>
        <v/>
      </c>
      <c r="M9" s="310">
        <f>'4주일별계획'!M9+'4주일별계획'!N9+'4주일별계획'!O9</f>
        <v/>
      </c>
      <c r="N9" s="311">
        <f>Q9</f>
        <v/>
      </c>
      <c r="O9" s="311">
        <f>R9+S9</f>
        <v/>
      </c>
      <c r="P9" s="244">
        <f>IF(D9&lt;-0.5,"전 계좌 소진 — 부족 "&amp;TEXT(-D9,"#,##0")&amp;"원","")</f>
        <v/>
      </c>
      <c r="Q9" s="312">
        <f>MIN(MAX(0,E8+J9),MAX(0,M9-D8-I9))</f>
        <v/>
      </c>
      <c r="R9" s="312">
        <f>MIN(MAX(0,F8+K9),MAX(0,M9-D8-I9)-Q9)</f>
        <v/>
      </c>
      <c r="S9" s="312">
        <f>MIN(MAX(0,G8+L9),MAX(0,M9-D8-I9)-Q9-R9)</f>
        <v/>
      </c>
    </row>
    <row r="10">
      <c r="A10" s="236" t="n">
        <v>46295</v>
      </c>
      <c r="B10" s="223" t="inlineStr">
        <is>
          <t>수</t>
        </is>
      </c>
      <c r="C10" s="297">
        <f>SUM(D10:G10)</f>
        <v/>
      </c>
      <c r="D10" s="309">
        <f>D9+I10-M10+Q10+R10+S10</f>
        <v/>
      </c>
      <c r="E10" s="309">
        <f>E9+J10-Q10</f>
        <v/>
      </c>
      <c r="F10" s="309">
        <f>F9+K10-R10</f>
        <v/>
      </c>
      <c r="G10" s="309">
        <f>G9+L10-S10</f>
        <v/>
      </c>
      <c r="H10" s="303">
        <f>'4주일별계획'!G10+'4주일별계획'!L10</f>
        <v/>
      </c>
      <c r="I10" s="303">
        <f>H10*0.439717</f>
        <v/>
      </c>
      <c r="J10" s="303">
        <f>H10*0.020388</f>
        <v/>
      </c>
      <c r="K10" s="303">
        <f>H10*0.207493</f>
        <v/>
      </c>
      <c r="L10" s="303">
        <f>H10*0.332402</f>
        <v/>
      </c>
      <c r="M10" s="310">
        <f>'4주일별계획'!M10+'4주일별계획'!N10+'4주일별계획'!O10</f>
        <v/>
      </c>
      <c r="N10" s="311">
        <f>Q10</f>
        <v/>
      </c>
      <c r="O10" s="311">
        <f>R10+S10</f>
        <v/>
      </c>
      <c r="P10" s="244">
        <f>IF(D10&lt;-0.5,"전 계좌 소진 — 부족 "&amp;TEXT(-D10,"#,##0")&amp;"원","")</f>
        <v/>
      </c>
      <c r="Q10" s="312">
        <f>MIN(MAX(0,E9+J10),MAX(0,M10-D9-I10))</f>
        <v/>
      </c>
      <c r="R10" s="312">
        <f>MIN(MAX(0,F9+K10),MAX(0,M10-D9-I10)-Q10)</f>
        <v/>
      </c>
      <c r="S10" s="312">
        <f>MIN(MAX(0,G9+L10),MAX(0,M10-D9-I10)-Q10-R10)</f>
        <v/>
      </c>
    </row>
    <row r="11">
      <c r="A11" s="236" t="n">
        <v>46296</v>
      </c>
      <c r="B11" s="223" t="inlineStr">
        <is>
          <t>목</t>
        </is>
      </c>
      <c r="C11" s="297">
        <f>SUM(D11:G11)</f>
        <v/>
      </c>
      <c r="D11" s="309">
        <f>D10+I11-M11+Q11+R11+S11</f>
        <v/>
      </c>
      <c r="E11" s="309">
        <f>E10+J11-Q11</f>
        <v/>
      </c>
      <c r="F11" s="309">
        <f>F10+K11-R11</f>
        <v/>
      </c>
      <c r="G11" s="309">
        <f>G10+L11-S11</f>
        <v/>
      </c>
      <c r="H11" s="303">
        <f>'4주일별계획'!G11+'4주일별계획'!L11</f>
        <v/>
      </c>
      <c r="I11" s="303">
        <f>H11*0.439717</f>
        <v/>
      </c>
      <c r="J11" s="303">
        <f>H11*0.020388</f>
        <v/>
      </c>
      <c r="K11" s="303">
        <f>H11*0.207493</f>
        <v/>
      </c>
      <c r="L11" s="303">
        <f>H11*0.332402</f>
        <v/>
      </c>
      <c r="M11" s="310">
        <f>'4주일별계획'!M11+'4주일별계획'!N11+'4주일별계획'!O11</f>
        <v/>
      </c>
      <c r="N11" s="311">
        <f>Q11</f>
        <v/>
      </c>
      <c r="O11" s="311">
        <f>R11+S11</f>
        <v/>
      </c>
      <c r="P11" s="244">
        <f>IF(D11&lt;-0.5,"전 계좌 소진 — 부족 "&amp;TEXT(-D11,"#,##0")&amp;"원","")</f>
        <v/>
      </c>
      <c r="Q11" s="312">
        <f>MIN(MAX(0,E10+J11),MAX(0,M11-D10-I11))</f>
        <v/>
      </c>
      <c r="R11" s="312">
        <f>MIN(MAX(0,F10+K11),MAX(0,M11-D10-I11)-Q11)</f>
        <v/>
      </c>
      <c r="S11" s="312">
        <f>MIN(MAX(0,G10+L11),MAX(0,M11-D10-I11)-Q11-R11)</f>
        <v/>
      </c>
    </row>
    <row r="12">
      <c r="A12" s="236" t="n">
        <v>46297</v>
      </c>
      <c r="B12" s="223" t="inlineStr">
        <is>
          <t>금</t>
        </is>
      </c>
      <c r="C12" s="297">
        <f>SUM(D12:G12)</f>
        <v/>
      </c>
      <c r="D12" s="309">
        <f>D11+I12-M12+Q12+R12+S12</f>
        <v/>
      </c>
      <c r="E12" s="309">
        <f>E11+J12-Q12</f>
        <v/>
      </c>
      <c r="F12" s="309">
        <f>F11+K12-R12</f>
        <v/>
      </c>
      <c r="G12" s="309">
        <f>G11+L12-S12</f>
        <v/>
      </c>
      <c r="H12" s="303">
        <f>'4주일별계획'!G12+'4주일별계획'!L12</f>
        <v/>
      </c>
      <c r="I12" s="303">
        <f>H12*0.439717</f>
        <v/>
      </c>
      <c r="J12" s="303">
        <f>H12*0.020388</f>
        <v/>
      </c>
      <c r="K12" s="303">
        <f>H12*0.207493</f>
        <v/>
      </c>
      <c r="L12" s="303">
        <f>H12*0.332402</f>
        <v/>
      </c>
      <c r="M12" s="310">
        <f>'4주일별계획'!M12+'4주일별계획'!N12+'4주일별계획'!O12</f>
        <v/>
      </c>
      <c r="N12" s="311">
        <f>Q12</f>
        <v/>
      </c>
      <c r="O12" s="311">
        <f>R12+S12</f>
        <v/>
      </c>
      <c r="P12" s="244">
        <f>IF(D12&lt;-0.5,"전 계좌 소진 — 부족 "&amp;TEXT(-D12,"#,##0")&amp;"원","")</f>
        <v/>
      </c>
      <c r="Q12" s="312">
        <f>MIN(MAX(0,E11+J12),MAX(0,M12-D11-I12))</f>
        <v/>
      </c>
      <c r="R12" s="312">
        <f>MIN(MAX(0,F11+K12),MAX(0,M12-D11-I12)-Q12)</f>
        <v/>
      </c>
      <c r="S12" s="312">
        <f>MIN(MAX(0,G11+L12),MAX(0,M12-D11-I12)-Q12-R12)</f>
        <v/>
      </c>
    </row>
    <row r="13">
      <c r="A13" s="220" t="n">
        <v>46298</v>
      </c>
      <c r="B13" s="209" t="inlineStr">
        <is>
          <t>토</t>
        </is>
      </c>
      <c r="C13" s="297">
        <f>SUM(D13:G13)</f>
        <v/>
      </c>
      <c r="D13" s="309">
        <f>D12+I13-M13+Q13+R13+S13</f>
        <v/>
      </c>
      <c r="E13" s="309">
        <f>E12+J13-Q13</f>
        <v/>
      </c>
      <c r="F13" s="309">
        <f>F12+K13-R13</f>
        <v/>
      </c>
      <c r="G13" s="309">
        <f>G12+L13-S13</f>
        <v/>
      </c>
      <c r="H13" s="303">
        <f>'4주일별계획'!G13+'4주일별계획'!L13</f>
        <v/>
      </c>
      <c r="I13" s="303">
        <f>H13*0.439717</f>
        <v/>
      </c>
      <c r="J13" s="303">
        <f>H13*0.020388</f>
        <v/>
      </c>
      <c r="K13" s="303">
        <f>H13*0.207493</f>
        <v/>
      </c>
      <c r="L13" s="303">
        <f>H13*0.332402</f>
        <v/>
      </c>
      <c r="M13" s="310">
        <f>'4주일별계획'!M13+'4주일별계획'!N13+'4주일별계획'!O13</f>
        <v/>
      </c>
      <c r="N13" s="311">
        <f>Q13</f>
        <v/>
      </c>
      <c r="O13" s="311">
        <f>R13+S13</f>
        <v/>
      </c>
      <c r="P13" s="244">
        <f>IF(D13&lt;-0.5,"전 계좌 소진 — 부족 "&amp;TEXT(-D13,"#,##0")&amp;"원","")</f>
        <v/>
      </c>
      <c r="Q13" s="312">
        <f>MIN(MAX(0,E12+J13),MAX(0,M13-D12-I13))</f>
        <v/>
      </c>
      <c r="R13" s="312">
        <f>MIN(MAX(0,F12+K13),MAX(0,M13-D12-I13)-Q13)</f>
        <v/>
      </c>
      <c r="S13" s="312">
        <f>MIN(MAX(0,G12+L13),MAX(0,M13-D12-I13)-Q13-R13)</f>
        <v/>
      </c>
    </row>
    <row r="14">
      <c r="A14" s="220" t="n">
        <v>46299</v>
      </c>
      <c r="B14" s="209" t="inlineStr">
        <is>
          <t>일</t>
        </is>
      </c>
      <c r="C14" s="297">
        <f>SUM(D14:G14)</f>
        <v/>
      </c>
      <c r="D14" s="309">
        <f>D13+I14-M14+Q14+R14+S14</f>
        <v/>
      </c>
      <c r="E14" s="309">
        <f>E13+J14-Q14</f>
        <v/>
      </c>
      <c r="F14" s="309">
        <f>F13+K14-R14</f>
        <v/>
      </c>
      <c r="G14" s="309">
        <f>G13+L14-S14</f>
        <v/>
      </c>
      <c r="H14" s="303">
        <f>'4주일별계획'!G14+'4주일별계획'!L14</f>
        <v/>
      </c>
      <c r="I14" s="303">
        <f>H14*0.439717</f>
        <v/>
      </c>
      <c r="J14" s="303">
        <f>H14*0.020388</f>
        <v/>
      </c>
      <c r="K14" s="303">
        <f>H14*0.207493</f>
        <v/>
      </c>
      <c r="L14" s="303">
        <f>H14*0.332402</f>
        <v/>
      </c>
      <c r="M14" s="310">
        <f>'4주일별계획'!M14+'4주일별계획'!N14+'4주일별계획'!O14</f>
        <v/>
      </c>
      <c r="N14" s="311">
        <f>Q14</f>
        <v/>
      </c>
      <c r="O14" s="311">
        <f>R14+S14</f>
        <v/>
      </c>
      <c r="P14" s="244">
        <f>IF(D14&lt;-0.5,"전 계좌 소진 — 부족 "&amp;TEXT(-D14,"#,##0")&amp;"원","")</f>
        <v/>
      </c>
      <c r="Q14" s="312">
        <f>MIN(MAX(0,E13+J14),MAX(0,M14-D13-I14))</f>
        <v/>
      </c>
      <c r="R14" s="312">
        <f>MIN(MAX(0,F13+K14),MAX(0,M14-D13-I14)-Q14)</f>
        <v/>
      </c>
      <c r="S14" s="312">
        <f>MIN(MAX(0,G13+L14),MAX(0,M14-D13-I14)-Q14-R14)</f>
        <v/>
      </c>
    </row>
    <row r="15">
      <c r="A15" s="220" t="n">
        <v>46300</v>
      </c>
      <c r="B15" s="209" t="inlineStr">
        <is>
          <t>월</t>
        </is>
      </c>
      <c r="C15" s="297">
        <f>SUM(D15:G15)</f>
        <v/>
      </c>
      <c r="D15" s="309">
        <f>D14+I15-M15+Q15+R15+S15</f>
        <v/>
      </c>
      <c r="E15" s="309">
        <f>E14+J15-Q15</f>
        <v/>
      </c>
      <c r="F15" s="309">
        <f>F14+K15-R15</f>
        <v/>
      </c>
      <c r="G15" s="309">
        <f>G14+L15-S15</f>
        <v/>
      </c>
      <c r="H15" s="303">
        <f>'4주일별계획'!G15+'4주일별계획'!L15</f>
        <v/>
      </c>
      <c r="I15" s="303">
        <f>H15*0.439717</f>
        <v/>
      </c>
      <c r="J15" s="303">
        <f>H15*0.020388</f>
        <v/>
      </c>
      <c r="K15" s="303">
        <f>H15*0.207493</f>
        <v/>
      </c>
      <c r="L15" s="303">
        <f>H15*0.332402</f>
        <v/>
      </c>
      <c r="M15" s="310">
        <f>'4주일별계획'!M15+'4주일별계획'!N15+'4주일별계획'!O15</f>
        <v/>
      </c>
      <c r="N15" s="311">
        <f>Q15</f>
        <v/>
      </c>
      <c r="O15" s="311">
        <f>R15+S15</f>
        <v/>
      </c>
      <c r="P15" s="244">
        <f>IF(D15&lt;-0.5,"전 계좌 소진 — 부족 "&amp;TEXT(-D15,"#,##0")&amp;"원","")</f>
        <v/>
      </c>
      <c r="Q15" s="312">
        <f>MIN(MAX(0,E14+J15),MAX(0,M15-D14-I15))</f>
        <v/>
      </c>
      <c r="R15" s="312">
        <f>MIN(MAX(0,F14+K15),MAX(0,M15-D14-I15)-Q15)</f>
        <v/>
      </c>
      <c r="S15" s="312">
        <f>MIN(MAX(0,G14+L15),MAX(0,M15-D14-I15)-Q15-R15)</f>
        <v/>
      </c>
    </row>
    <row r="16">
      <c r="A16" s="236" t="n">
        <v>46301</v>
      </c>
      <c r="B16" s="223" t="inlineStr">
        <is>
          <t>화</t>
        </is>
      </c>
      <c r="C16" s="297">
        <f>SUM(D16:G16)</f>
        <v/>
      </c>
      <c r="D16" s="309">
        <f>D15+I16-M16+Q16+R16+S16</f>
        <v/>
      </c>
      <c r="E16" s="309">
        <f>E15+J16-Q16</f>
        <v/>
      </c>
      <c r="F16" s="309">
        <f>F15+K16-R16</f>
        <v/>
      </c>
      <c r="G16" s="309">
        <f>G15+L16-S16</f>
        <v/>
      </c>
      <c r="H16" s="303">
        <f>'4주일별계획'!G16+'4주일별계획'!L16</f>
        <v/>
      </c>
      <c r="I16" s="303">
        <f>H16*0.439717</f>
        <v/>
      </c>
      <c r="J16" s="303">
        <f>H16*0.020388</f>
        <v/>
      </c>
      <c r="K16" s="303">
        <f>H16*0.207493</f>
        <v/>
      </c>
      <c r="L16" s="303">
        <f>H16*0.332402</f>
        <v/>
      </c>
      <c r="M16" s="310">
        <f>'4주일별계획'!M16+'4주일별계획'!N16+'4주일별계획'!O16</f>
        <v/>
      </c>
      <c r="N16" s="311">
        <f>Q16</f>
        <v/>
      </c>
      <c r="O16" s="311">
        <f>R16+S16</f>
        <v/>
      </c>
      <c r="P16" s="244">
        <f>IF(D16&lt;-0.5,"전 계좌 소진 — 부족 "&amp;TEXT(-D16,"#,##0")&amp;"원","")</f>
        <v/>
      </c>
      <c r="Q16" s="312">
        <f>MIN(MAX(0,E15+J16),MAX(0,M16-D15-I16))</f>
        <v/>
      </c>
      <c r="R16" s="312">
        <f>MIN(MAX(0,F15+K16),MAX(0,M16-D15-I16)-Q16)</f>
        <v/>
      </c>
      <c r="S16" s="312">
        <f>MIN(MAX(0,G15+L16),MAX(0,M16-D15-I16)-Q16-R16)</f>
        <v/>
      </c>
    </row>
    <row r="17">
      <c r="A17" s="236" t="n">
        <v>46302</v>
      </c>
      <c r="B17" s="223" t="inlineStr">
        <is>
          <t>수</t>
        </is>
      </c>
      <c r="C17" s="297">
        <f>SUM(D17:G17)</f>
        <v/>
      </c>
      <c r="D17" s="309">
        <f>D16+I17-M17+Q17+R17+S17</f>
        <v/>
      </c>
      <c r="E17" s="309">
        <f>E16+J17-Q17</f>
        <v/>
      </c>
      <c r="F17" s="309">
        <f>F16+K17-R17</f>
        <v/>
      </c>
      <c r="G17" s="309">
        <f>G16+L17-S17</f>
        <v/>
      </c>
      <c r="H17" s="303">
        <f>'4주일별계획'!G17+'4주일별계획'!L17</f>
        <v/>
      </c>
      <c r="I17" s="303">
        <f>H17*0.439717</f>
        <v/>
      </c>
      <c r="J17" s="303">
        <f>H17*0.020388</f>
        <v/>
      </c>
      <c r="K17" s="303">
        <f>H17*0.207493</f>
        <v/>
      </c>
      <c r="L17" s="303">
        <f>H17*0.332402</f>
        <v/>
      </c>
      <c r="M17" s="310">
        <f>'4주일별계획'!M17+'4주일별계획'!N17+'4주일별계획'!O17</f>
        <v/>
      </c>
      <c r="N17" s="311">
        <f>Q17</f>
        <v/>
      </c>
      <c r="O17" s="311">
        <f>R17+S17</f>
        <v/>
      </c>
      <c r="P17" s="244">
        <f>IF(D17&lt;-0.5,"전 계좌 소진 — 부족 "&amp;TEXT(-D17,"#,##0")&amp;"원","")</f>
        <v/>
      </c>
      <c r="Q17" s="312">
        <f>MIN(MAX(0,E16+J17),MAX(0,M17-D16-I17))</f>
        <v/>
      </c>
      <c r="R17" s="312">
        <f>MIN(MAX(0,F16+K17),MAX(0,M17-D16-I17)-Q17)</f>
        <v/>
      </c>
      <c r="S17" s="312">
        <f>MIN(MAX(0,G16+L17),MAX(0,M17-D16-I17)-Q17-R17)</f>
        <v/>
      </c>
    </row>
    <row r="18">
      <c r="A18" s="236" t="n">
        <v>46303</v>
      </c>
      <c r="B18" s="223" t="inlineStr">
        <is>
          <t>목</t>
        </is>
      </c>
      <c r="C18" s="297">
        <f>SUM(D18:G18)</f>
        <v/>
      </c>
      <c r="D18" s="309">
        <f>D17+I18-M18+Q18+R18+S18</f>
        <v/>
      </c>
      <c r="E18" s="309">
        <f>E17+J18-Q18</f>
        <v/>
      </c>
      <c r="F18" s="309">
        <f>F17+K18-R18</f>
        <v/>
      </c>
      <c r="G18" s="309">
        <f>G17+L18-S18</f>
        <v/>
      </c>
      <c r="H18" s="303">
        <f>'4주일별계획'!G18+'4주일별계획'!L18</f>
        <v/>
      </c>
      <c r="I18" s="303">
        <f>H18*0.439717</f>
        <v/>
      </c>
      <c r="J18" s="303">
        <f>H18*0.020388</f>
        <v/>
      </c>
      <c r="K18" s="303">
        <f>H18*0.207493</f>
        <v/>
      </c>
      <c r="L18" s="303">
        <f>H18*0.332402</f>
        <v/>
      </c>
      <c r="M18" s="310">
        <f>'4주일별계획'!M18+'4주일별계획'!N18+'4주일별계획'!O18</f>
        <v/>
      </c>
      <c r="N18" s="311">
        <f>Q18</f>
        <v/>
      </c>
      <c r="O18" s="311">
        <f>R18+S18</f>
        <v/>
      </c>
      <c r="P18" s="244">
        <f>IF(D18&lt;-0.5,"전 계좌 소진 — 부족 "&amp;TEXT(-D18,"#,##0")&amp;"원","")</f>
        <v/>
      </c>
      <c r="Q18" s="312">
        <f>MIN(MAX(0,E17+J18),MAX(0,M18-D17-I18))</f>
        <v/>
      </c>
      <c r="R18" s="312">
        <f>MIN(MAX(0,F17+K18),MAX(0,M18-D17-I18)-Q18)</f>
        <v/>
      </c>
      <c r="S18" s="312">
        <f>MIN(MAX(0,G17+L18),MAX(0,M18-D17-I18)-Q18-R18)</f>
        <v/>
      </c>
    </row>
    <row r="19">
      <c r="A19" s="220" t="n">
        <v>46304</v>
      </c>
      <c r="B19" s="209" t="inlineStr">
        <is>
          <t>금</t>
        </is>
      </c>
      <c r="C19" s="297">
        <f>SUM(D19:G19)</f>
        <v/>
      </c>
      <c r="D19" s="309">
        <f>D18+I19-M19+Q19+R19+S19</f>
        <v/>
      </c>
      <c r="E19" s="309">
        <f>E18+J19-Q19</f>
        <v/>
      </c>
      <c r="F19" s="309">
        <f>F18+K19-R19</f>
        <v/>
      </c>
      <c r="G19" s="309">
        <f>G18+L19-S19</f>
        <v/>
      </c>
      <c r="H19" s="303">
        <f>'4주일별계획'!G19+'4주일별계획'!L19</f>
        <v/>
      </c>
      <c r="I19" s="303">
        <f>H19*0.439717</f>
        <v/>
      </c>
      <c r="J19" s="303">
        <f>H19*0.020388</f>
        <v/>
      </c>
      <c r="K19" s="303">
        <f>H19*0.207493</f>
        <v/>
      </c>
      <c r="L19" s="303">
        <f>H19*0.332402</f>
        <v/>
      </c>
      <c r="M19" s="310">
        <f>'4주일별계획'!M19+'4주일별계획'!N19+'4주일별계획'!O19</f>
        <v/>
      </c>
      <c r="N19" s="311">
        <f>Q19</f>
        <v/>
      </c>
      <c r="O19" s="311">
        <f>R19+S19</f>
        <v/>
      </c>
      <c r="P19" s="244">
        <f>IF(D19&lt;-0.5,"전 계좌 소진 — 부족 "&amp;TEXT(-D19,"#,##0")&amp;"원","")</f>
        <v/>
      </c>
      <c r="Q19" s="312">
        <f>MIN(MAX(0,E18+J19),MAX(0,M19-D18-I19))</f>
        <v/>
      </c>
      <c r="R19" s="312">
        <f>MIN(MAX(0,F18+K19),MAX(0,M19-D18-I19)-Q19)</f>
        <v/>
      </c>
      <c r="S19" s="312">
        <f>MIN(MAX(0,G18+L19),MAX(0,M19-D18-I19)-Q19-R19)</f>
        <v/>
      </c>
    </row>
    <row r="20">
      <c r="A20" s="220" t="n">
        <v>46305</v>
      </c>
      <c r="B20" s="209" t="inlineStr">
        <is>
          <t>토</t>
        </is>
      </c>
      <c r="C20" s="297">
        <f>SUM(D20:G20)</f>
        <v/>
      </c>
      <c r="D20" s="309">
        <f>D19+I20-M20+Q20+R20+S20</f>
        <v/>
      </c>
      <c r="E20" s="309">
        <f>E19+J20-Q20</f>
        <v/>
      </c>
      <c r="F20" s="309">
        <f>F19+K20-R20</f>
        <v/>
      </c>
      <c r="G20" s="309">
        <f>G19+L20-S20</f>
        <v/>
      </c>
      <c r="H20" s="303">
        <f>'4주일별계획'!G20+'4주일별계획'!L20</f>
        <v/>
      </c>
      <c r="I20" s="303">
        <f>H20*0.439717</f>
        <v/>
      </c>
      <c r="J20" s="303">
        <f>H20*0.020388</f>
        <v/>
      </c>
      <c r="K20" s="303">
        <f>H20*0.207493</f>
        <v/>
      </c>
      <c r="L20" s="303">
        <f>H20*0.332402</f>
        <v/>
      </c>
      <c r="M20" s="310">
        <f>'4주일별계획'!M20+'4주일별계획'!N20+'4주일별계획'!O20</f>
        <v/>
      </c>
      <c r="N20" s="311">
        <f>Q20</f>
        <v/>
      </c>
      <c r="O20" s="311">
        <f>R20+S20</f>
        <v/>
      </c>
      <c r="P20" s="244">
        <f>IF(D20&lt;-0.5,"전 계좌 소진 — 부족 "&amp;TEXT(-D20,"#,##0")&amp;"원","")</f>
        <v/>
      </c>
      <c r="Q20" s="312">
        <f>MIN(MAX(0,E19+J20),MAX(0,M20-D19-I20))</f>
        <v/>
      </c>
      <c r="R20" s="312">
        <f>MIN(MAX(0,F19+K20),MAX(0,M20-D19-I20)-Q20)</f>
        <v/>
      </c>
      <c r="S20" s="312">
        <f>MIN(MAX(0,G19+L20),MAX(0,M20-D19-I20)-Q20-R20)</f>
        <v/>
      </c>
    </row>
    <row r="21">
      <c r="A21" s="220" t="n">
        <v>46306</v>
      </c>
      <c r="B21" s="209" t="inlineStr">
        <is>
          <t>일</t>
        </is>
      </c>
      <c r="C21" s="297">
        <f>SUM(D21:G21)</f>
        <v/>
      </c>
      <c r="D21" s="309">
        <f>D20+I21-M21+Q21+R21+S21</f>
        <v/>
      </c>
      <c r="E21" s="309">
        <f>E20+J21-Q21</f>
        <v/>
      </c>
      <c r="F21" s="309">
        <f>F20+K21-R21</f>
        <v/>
      </c>
      <c r="G21" s="309">
        <f>G20+L21-S21</f>
        <v/>
      </c>
      <c r="H21" s="303">
        <f>'4주일별계획'!G21+'4주일별계획'!L21</f>
        <v/>
      </c>
      <c r="I21" s="303">
        <f>H21*0.439717</f>
        <v/>
      </c>
      <c r="J21" s="303">
        <f>H21*0.020388</f>
        <v/>
      </c>
      <c r="K21" s="303">
        <f>H21*0.207493</f>
        <v/>
      </c>
      <c r="L21" s="303">
        <f>H21*0.332402</f>
        <v/>
      </c>
      <c r="M21" s="310">
        <f>'4주일별계획'!M21+'4주일별계획'!N21+'4주일별계획'!O21</f>
        <v/>
      </c>
      <c r="N21" s="311">
        <f>Q21</f>
        <v/>
      </c>
      <c r="O21" s="311">
        <f>R21+S21</f>
        <v/>
      </c>
      <c r="P21" s="244">
        <f>IF(D21&lt;-0.5,"전 계좌 소진 — 부족 "&amp;TEXT(-D21,"#,##0")&amp;"원","")</f>
        <v/>
      </c>
      <c r="Q21" s="312">
        <f>MIN(MAX(0,E20+J21),MAX(0,M21-D20-I21))</f>
        <v/>
      </c>
      <c r="R21" s="312">
        <f>MIN(MAX(0,F20+K21),MAX(0,M21-D20-I21)-Q21)</f>
        <v/>
      </c>
      <c r="S21" s="312">
        <f>MIN(MAX(0,G20+L21),MAX(0,M21-D20-I21)-Q21-R21)</f>
        <v/>
      </c>
    </row>
    <row r="22">
      <c r="A22" s="236" t="n">
        <v>46307</v>
      </c>
      <c r="B22" s="223" t="inlineStr">
        <is>
          <t>월</t>
        </is>
      </c>
      <c r="C22" s="297">
        <f>SUM(D22:G22)</f>
        <v/>
      </c>
      <c r="D22" s="309">
        <f>D21+I22-M22+Q22+R22+S22</f>
        <v/>
      </c>
      <c r="E22" s="309">
        <f>E21+J22-Q22</f>
        <v/>
      </c>
      <c r="F22" s="309">
        <f>F21+K22-R22</f>
        <v/>
      </c>
      <c r="G22" s="309">
        <f>G21+L22-S22</f>
        <v/>
      </c>
      <c r="H22" s="303">
        <f>'4주일별계획'!G22+'4주일별계획'!L22</f>
        <v/>
      </c>
      <c r="I22" s="303">
        <f>H22*0.439717</f>
        <v/>
      </c>
      <c r="J22" s="303">
        <f>H22*0.020388</f>
        <v/>
      </c>
      <c r="K22" s="303">
        <f>H22*0.207493</f>
        <v/>
      </c>
      <c r="L22" s="303">
        <f>H22*0.332402</f>
        <v/>
      </c>
      <c r="M22" s="310">
        <f>'4주일별계획'!M22+'4주일별계획'!N22+'4주일별계획'!O22</f>
        <v/>
      </c>
      <c r="N22" s="311">
        <f>Q22</f>
        <v/>
      </c>
      <c r="O22" s="311">
        <f>R22+S22</f>
        <v/>
      </c>
      <c r="P22" s="244">
        <f>IF(D22&lt;-0.5,"전 계좌 소진 — 부족 "&amp;TEXT(-D22,"#,##0")&amp;"원","")</f>
        <v/>
      </c>
      <c r="Q22" s="312">
        <f>MIN(MAX(0,E21+J22),MAX(0,M22-D21-I22))</f>
        <v/>
      </c>
      <c r="R22" s="312">
        <f>MIN(MAX(0,F21+K22),MAX(0,M22-D21-I22)-Q22)</f>
        <v/>
      </c>
      <c r="S22" s="312">
        <f>MIN(MAX(0,G21+L22),MAX(0,M22-D21-I22)-Q22-R22)</f>
        <v/>
      </c>
    </row>
    <row r="23">
      <c r="A23" s="236" t="n">
        <v>46308</v>
      </c>
      <c r="B23" s="223" t="inlineStr">
        <is>
          <t>화</t>
        </is>
      </c>
      <c r="C23" s="297">
        <f>SUM(D23:G23)</f>
        <v/>
      </c>
      <c r="D23" s="309">
        <f>D22+I23-M23+Q23+R23+S23</f>
        <v/>
      </c>
      <c r="E23" s="309">
        <f>E22+J23-Q23</f>
        <v/>
      </c>
      <c r="F23" s="309">
        <f>F22+K23-R23</f>
        <v/>
      </c>
      <c r="G23" s="309">
        <f>G22+L23-S23</f>
        <v/>
      </c>
      <c r="H23" s="303">
        <f>'4주일별계획'!G23+'4주일별계획'!L23</f>
        <v/>
      </c>
      <c r="I23" s="303">
        <f>H23*0.439717</f>
        <v/>
      </c>
      <c r="J23" s="303">
        <f>H23*0.020388</f>
        <v/>
      </c>
      <c r="K23" s="303">
        <f>H23*0.207493</f>
        <v/>
      </c>
      <c r="L23" s="303">
        <f>H23*0.332402</f>
        <v/>
      </c>
      <c r="M23" s="310">
        <f>'4주일별계획'!M23+'4주일별계획'!N23+'4주일별계획'!O23</f>
        <v/>
      </c>
      <c r="N23" s="311">
        <f>Q23</f>
        <v/>
      </c>
      <c r="O23" s="311">
        <f>R23+S23</f>
        <v/>
      </c>
      <c r="P23" s="244">
        <f>IF(D23&lt;-0.5,"전 계좌 소진 — 부족 "&amp;TEXT(-D23,"#,##0")&amp;"원","")</f>
        <v/>
      </c>
      <c r="Q23" s="312">
        <f>MIN(MAX(0,E22+J23),MAX(0,M23-D22-I23))</f>
        <v/>
      </c>
      <c r="R23" s="312">
        <f>MIN(MAX(0,F22+K23),MAX(0,M23-D22-I23)-Q23)</f>
        <v/>
      </c>
      <c r="S23" s="312">
        <f>MIN(MAX(0,G22+L23),MAX(0,M23-D22-I23)-Q23-R23)</f>
        <v/>
      </c>
    </row>
    <row r="24">
      <c r="A24" s="236" t="n">
        <v>46309</v>
      </c>
      <c r="B24" s="223" t="inlineStr">
        <is>
          <t>수</t>
        </is>
      </c>
      <c r="C24" s="297">
        <f>SUM(D24:G24)</f>
        <v/>
      </c>
      <c r="D24" s="309">
        <f>D23+I24-M24+Q24+R24+S24</f>
        <v/>
      </c>
      <c r="E24" s="309">
        <f>E23+J24-Q24</f>
        <v/>
      </c>
      <c r="F24" s="309">
        <f>F23+K24-R24</f>
        <v/>
      </c>
      <c r="G24" s="309">
        <f>G23+L24-S24</f>
        <v/>
      </c>
      <c r="H24" s="303">
        <f>'4주일별계획'!G24+'4주일별계획'!L24</f>
        <v/>
      </c>
      <c r="I24" s="303">
        <f>H24*0.439717</f>
        <v/>
      </c>
      <c r="J24" s="303">
        <f>H24*0.020388</f>
        <v/>
      </c>
      <c r="K24" s="303">
        <f>H24*0.207493</f>
        <v/>
      </c>
      <c r="L24" s="303">
        <f>H24*0.332402</f>
        <v/>
      </c>
      <c r="M24" s="310">
        <f>'4주일별계획'!M24+'4주일별계획'!N24+'4주일별계획'!O24</f>
        <v/>
      </c>
      <c r="N24" s="311">
        <f>Q24</f>
        <v/>
      </c>
      <c r="O24" s="311">
        <f>R24+S24</f>
        <v/>
      </c>
      <c r="P24" s="244">
        <f>IF(D24&lt;-0.5,"전 계좌 소진 — 부족 "&amp;TEXT(-D24,"#,##0")&amp;"원","")</f>
        <v/>
      </c>
      <c r="Q24" s="312">
        <f>MIN(MAX(0,E23+J24),MAX(0,M24-D23-I24))</f>
        <v/>
      </c>
      <c r="R24" s="312">
        <f>MIN(MAX(0,F23+K24),MAX(0,M24-D23-I24)-Q24)</f>
        <v/>
      </c>
      <c r="S24" s="312">
        <f>MIN(MAX(0,G23+L24),MAX(0,M24-D23-I24)-Q24-R24)</f>
        <v/>
      </c>
    </row>
    <row r="25">
      <c r="A25" s="236" t="n">
        <v>46310</v>
      </c>
      <c r="B25" s="223" t="inlineStr">
        <is>
          <t>목</t>
        </is>
      </c>
      <c r="C25" s="297">
        <f>SUM(D25:G25)</f>
        <v/>
      </c>
      <c r="D25" s="309">
        <f>D24+I25-M25+Q25+R25+S25</f>
        <v/>
      </c>
      <c r="E25" s="309">
        <f>E24+J25-Q25</f>
        <v/>
      </c>
      <c r="F25" s="309">
        <f>F24+K25-R25</f>
        <v/>
      </c>
      <c r="G25" s="309">
        <f>G24+L25-S25</f>
        <v/>
      </c>
      <c r="H25" s="303">
        <f>'4주일별계획'!G25+'4주일별계획'!L25</f>
        <v/>
      </c>
      <c r="I25" s="303">
        <f>H25*0.439717</f>
        <v/>
      </c>
      <c r="J25" s="303">
        <f>H25*0.020388</f>
        <v/>
      </c>
      <c r="K25" s="303">
        <f>H25*0.207493</f>
        <v/>
      </c>
      <c r="L25" s="303">
        <f>H25*0.332402</f>
        <v/>
      </c>
      <c r="M25" s="310">
        <f>'4주일별계획'!M25+'4주일별계획'!N25+'4주일별계획'!O25</f>
        <v/>
      </c>
      <c r="N25" s="311">
        <f>Q25</f>
        <v/>
      </c>
      <c r="O25" s="311">
        <f>R25+S25</f>
        <v/>
      </c>
      <c r="P25" s="244">
        <f>IF(D25&lt;-0.5,"전 계좌 소진 — 부족 "&amp;TEXT(-D25,"#,##0")&amp;"원","")</f>
        <v/>
      </c>
      <c r="Q25" s="312">
        <f>MIN(MAX(0,E24+J25),MAX(0,M25-D24-I25))</f>
        <v/>
      </c>
      <c r="R25" s="312">
        <f>MIN(MAX(0,F24+K25),MAX(0,M25-D24-I25)-Q25)</f>
        <v/>
      </c>
      <c r="S25" s="312">
        <f>MIN(MAX(0,G24+L25),MAX(0,M25-D24-I25)-Q25-R25)</f>
        <v/>
      </c>
    </row>
    <row r="26">
      <c r="A26" s="236" t="n">
        <v>46311</v>
      </c>
      <c r="B26" s="223" t="inlineStr">
        <is>
          <t>금</t>
        </is>
      </c>
      <c r="C26" s="297">
        <f>SUM(D26:G26)</f>
        <v/>
      </c>
      <c r="D26" s="309">
        <f>D25+I26-M26+Q26+R26+S26</f>
        <v/>
      </c>
      <c r="E26" s="309">
        <f>E25+J26-Q26</f>
        <v/>
      </c>
      <c r="F26" s="309">
        <f>F25+K26-R26</f>
        <v/>
      </c>
      <c r="G26" s="309">
        <f>G25+L26-S26</f>
        <v/>
      </c>
      <c r="H26" s="303">
        <f>'4주일별계획'!G26+'4주일별계획'!L26</f>
        <v/>
      </c>
      <c r="I26" s="303">
        <f>H26*0.439717</f>
        <v/>
      </c>
      <c r="J26" s="303">
        <f>H26*0.020388</f>
        <v/>
      </c>
      <c r="K26" s="303">
        <f>H26*0.207493</f>
        <v/>
      </c>
      <c r="L26" s="303">
        <f>H26*0.332402</f>
        <v/>
      </c>
      <c r="M26" s="310">
        <f>'4주일별계획'!M26+'4주일별계획'!N26+'4주일별계획'!O26</f>
        <v/>
      </c>
      <c r="N26" s="311">
        <f>Q26</f>
        <v/>
      </c>
      <c r="O26" s="311">
        <f>R26+S26</f>
        <v/>
      </c>
      <c r="P26" s="244">
        <f>IF(D26&lt;-0.5,"전 계좌 소진 — 부족 "&amp;TEXT(-D26,"#,##0")&amp;"원","")</f>
        <v/>
      </c>
      <c r="Q26" s="312">
        <f>MIN(MAX(0,E25+J26),MAX(0,M26-D25-I26))</f>
        <v/>
      </c>
      <c r="R26" s="312">
        <f>MIN(MAX(0,F25+K26),MAX(0,M26-D25-I26)-Q26)</f>
        <v/>
      </c>
      <c r="S26" s="312">
        <f>MIN(MAX(0,G25+L26),MAX(0,M26-D25-I26)-Q26-R26)</f>
        <v/>
      </c>
    </row>
    <row r="27">
      <c r="A27" s="220" t="n">
        <v>46312</v>
      </c>
      <c r="B27" s="209" t="inlineStr">
        <is>
          <t>토</t>
        </is>
      </c>
      <c r="C27" s="297">
        <f>SUM(D27:G27)</f>
        <v/>
      </c>
      <c r="D27" s="309">
        <f>D26+I27-M27+Q27+R27+S27</f>
        <v/>
      </c>
      <c r="E27" s="309">
        <f>E26+J27-Q27</f>
        <v/>
      </c>
      <c r="F27" s="309">
        <f>F26+K27-R27</f>
        <v/>
      </c>
      <c r="G27" s="309">
        <f>G26+L27-S27</f>
        <v/>
      </c>
      <c r="H27" s="303">
        <f>'4주일별계획'!G27+'4주일별계획'!L27</f>
        <v/>
      </c>
      <c r="I27" s="303">
        <f>H27*0.439717</f>
        <v/>
      </c>
      <c r="J27" s="303">
        <f>H27*0.020388</f>
        <v/>
      </c>
      <c r="K27" s="303">
        <f>H27*0.207493</f>
        <v/>
      </c>
      <c r="L27" s="303">
        <f>H27*0.332402</f>
        <v/>
      </c>
      <c r="M27" s="310">
        <f>'4주일별계획'!M27+'4주일별계획'!N27+'4주일별계획'!O27</f>
        <v/>
      </c>
      <c r="N27" s="311">
        <f>Q27</f>
        <v/>
      </c>
      <c r="O27" s="311">
        <f>R27+S27</f>
        <v/>
      </c>
      <c r="P27" s="244">
        <f>IF(D27&lt;-0.5,"전 계좌 소진 — 부족 "&amp;TEXT(-D27,"#,##0")&amp;"원","")</f>
        <v/>
      </c>
      <c r="Q27" s="312">
        <f>MIN(MAX(0,E26+J27),MAX(0,M27-D26-I27))</f>
        <v/>
      </c>
      <c r="R27" s="312">
        <f>MIN(MAX(0,F26+K27),MAX(0,M27-D26-I27)-Q27)</f>
        <v/>
      </c>
      <c r="S27" s="312">
        <f>MIN(MAX(0,G26+L27),MAX(0,M27-D26-I27)-Q27-R27)</f>
        <v/>
      </c>
    </row>
    <row r="28">
      <c r="A28" s="220" t="n">
        <v>46313</v>
      </c>
      <c r="B28" s="209" t="inlineStr">
        <is>
          <t>일</t>
        </is>
      </c>
      <c r="C28" s="297">
        <f>SUM(D28:G28)</f>
        <v/>
      </c>
      <c r="D28" s="309">
        <f>D27+I28-M28+Q28+R28+S28</f>
        <v/>
      </c>
      <c r="E28" s="309">
        <f>E27+J28-Q28</f>
        <v/>
      </c>
      <c r="F28" s="309">
        <f>F27+K28-R28</f>
        <v/>
      </c>
      <c r="G28" s="309">
        <f>G27+L28-S28</f>
        <v/>
      </c>
      <c r="H28" s="303">
        <f>'4주일별계획'!G28+'4주일별계획'!L28</f>
        <v/>
      </c>
      <c r="I28" s="303">
        <f>H28*0.439717</f>
        <v/>
      </c>
      <c r="J28" s="303">
        <f>H28*0.020388</f>
        <v/>
      </c>
      <c r="K28" s="303">
        <f>H28*0.207493</f>
        <v/>
      </c>
      <c r="L28" s="303">
        <f>H28*0.332402</f>
        <v/>
      </c>
      <c r="M28" s="310">
        <f>'4주일별계획'!M28+'4주일별계획'!N28+'4주일별계획'!O28</f>
        <v/>
      </c>
      <c r="N28" s="311">
        <f>Q28</f>
        <v/>
      </c>
      <c r="O28" s="311">
        <f>R28+S28</f>
        <v/>
      </c>
      <c r="P28" s="244">
        <f>IF(D28&lt;-0.5,"전 계좌 소진 — 부족 "&amp;TEXT(-D28,"#,##0")&amp;"원","")</f>
        <v/>
      </c>
      <c r="Q28" s="312">
        <f>MIN(MAX(0,E27+J28),MAX(0,M28-D27-I28))</f>
        <v/>
      </c>
      <c r="R28" s="312">
        <f>MIN(MAX(0,F27+K28),MAX(0,M28-D27-I28)-Q28)</f>
        <v/>
      </c>
      <c r="S28" s="312">
        <f>MIN(MAX(0,G27+L28),MAX(0,M28-D27-I28)-Q28-R28)</f>
        <v/>
      </c>
    </row>
    <row r="29">
      <c r="A29" s="236" t="n">
        <v>46314</v>
      </c>
      <c r="B29" s="223" t="inlineStr">
        <is>
          <t>월</t>
        </is>
      </c>
      <c r="C29" s="297">
        <f>SUM(D29:G29)</f>
        <v/>
      </c>
      <c r="D29" s="309">
        <f>D28+I29-M29+Q29+R29+S29</f>
        <v/>
      </c>
      <c r="E29" s="309">
        <f>E28+J29-Q29</f>
        <v/>
      </c>
      <c r="F29" s="309">
        <f>F28+K29-R29</f>
        <v/>
      </c>
      <c r="G29" s="309">
        <f>G28+L29-S29</f>
        <v/>
      </c>
      <c r="H29" s="303">
        <f>'4주일별계획'!G29+'4주일별계획'!L29</f>
        <v/>
      </c>
      <c r="I29" s="303">
        <f>H29*0.439717</f>
        <v/>
      </c>
      <c r="J29" s="303">
        <f>H29*0.020388</f>
        <v/>
      </c>
      <c r="K29" s="303">
        <f>H29*0.207493</f>
        <v/>
      </c>
      <c r="L29" s="303">
        <f>H29*0.332402</f>
        <v/>
      </c>
      <c r="M29" s="310">
        <f>'4주일별계획'!M29+'4주일별계획'!N29+'4주일별계획'!O29</f>
        <v/>
      </c>
      <c r="N29" s="311">
        <f>Q29</f>
        <v/>
      </c>
      <c r="O29" s="311">
        <f>R29+S29</f>
        <v/>
      </c>
      <c r="P29" s="244">
        <f>IF(D29&lt;-0.5,"전 계좌 소진 — 부족 "&amp;TEXT(-D29,"#,##0")&amp;"원","")</f>
        <v/>
      </c>
      <c r="Q29" s="312">
        <f>MIN(MAX(0,E28+J29),MAX(0,M29-D28-I29))</f>
        <v/>
      </c>
      <c r="R29" s="312">
        <f>MIN(MAX(0,F28+K29),MAX(0,M29-D28-I29)-Q29)</f>
        <v/>
      </c>
      <c r="S29" s="312">
        <f>MIN(MAX(0,G28+L29),MAX(0,M29-D28-I29)-Q29-R29)</f>
        <v/>
      </c>
    </row>
    <row r="30">
      <c r="A30" s="236" t="n">
        <v>46315</v>
      </c>
      <c r="B30" s="223" t="inlineStr">
        <is>
          <t>화</t>
        </is>
      </c>
      <c r="C30" s="297">
        <f>SUM(D30:G30)</f>
        <v/>
      </c>
      <c r="D30" s="309">
        <f>D29+I30-M30+Q30+R30+S30</f>
        <v/>
      </c>
      <c r="E30" s="309">
        <f>E29+J30-Q30</f>
        <v/>
      </c>
      <c r="F30" s="309">
        <f>F29+K30-R30</f>
        <v/>
      </c>
      <c r="G30" s="309">
        <f>G29+L30-S30</f>
        <v/>
      </c>
      <c r="H30" s="303">
        <f>'4주일별계획'!G30+'4주일별계획'!L30</f>
        <v/>
      </c>
      <c r="I30" s="303">
        <f>H30*0.439717</f>
        <v/>
      </c>
      <c r="J30" s="303">
        <f>H30*0.020388</f>
        <v/>
      </c>
      <c r="K30" s="303">
        <f>H30*0.207493</f>
        <v/>
      </c>
      <c r="L30" s="303">
        <f>H30*0.332402</f>
        <v/>
      </c>
      <c r="M30" s="310">
        <f>'4주일별계획'!M30+'4주일별계획'!N30+'4주일별계획'!O30</f>
        <v/>
      </c>
      <c r="N30" s="311">
        <f>Q30</f>
        <v/>
      </c>
      <c r="O30" s="311">
        <f>R30+S30</f>
        <v/>
      </c>
      <c r="P30" s="244">
        <f>IF(D30&lt;-0.5,"전 계좌 소진 — 부족 "&amp;TEXT(-D30,"#,##0")&amp;"원","")</f>
        <v/>
      </c>
      <c r="Q30" s="312">
        <f>MIN(MAX(0,E29+J30),MAX(0,M30-D29-I30))</f>
        <v/>
      </c>
      <c r="R30" s="312">
        <f>MIN(MAX(0,F29+K30),MAX(0,M30-D29-I30)-Q30)</f>
        <v/>
      </c>
      <c r="S30" s="312">
        <f>MIN(MAX(0,G29+L30),MAX(0,M30-D29-I30)-Q30-R30)</f>
        <v/>
      </c>
    </row>
    <row r="31">
      <c r="A31" s="236" t="n">
        <v>46316</v>
      </c>
      <c r="B31" s="223" t="inlineStr">
        <is>
          <t>수</t>
        </is>
      </c>
      <c r="C31" s="297">
        <f>SUM(D31:G31)</f>
        <v/>
      </c>
      <c r="D31" s="309">
        <f>D30+I31-M31+Q31+R31+S31</f>
        <v/>
      </c>
      <c r="E31" s="309">
        <f>E30+J31-Q31</f>
        <v/>
      </c>
      <c r="F31" s="309">
        <f>F30+K31-R31</f>
        <v/>
      </c>
      <c r="G31" s="309">
        <f>G30+L31-S31</f>
        <v/>
      </c>
      <c r="H31" s="303">
        <f>'4주일별계획'!G31+'4주일별계획'!L31</f>
        <v/>
      </c>
      <c r="I31" s="303">
        <f>H31*0.439717</f>
        <v/>
      </c>
      <c r="J31" s="303">
        <f>H31*0.020388</f>
        <v/>
      </c>
      <c r="K31" s="303">
        <f>H31*0.207493</f>
        <v/>
      </c>
      <c r="L31" s="303">
        <f>H31*0.332402</f>
        <v/>
      </c>
      <c r="M31" s="310">
        <f>'4주일별계획'!M31+'4주일별계획'!N31+'4주일별계획'!O31</f>
        <v/>
      </c>
      <c r="N31" s="311">
        <f>Q31</f>
        <v/>
      </c>
      <c r="O31" s="311">
        <f>R31+S31</f>
        <v/>
      </c>
      <c r="P31" s="244">
        <f>IF(D31&lt;-0.5,"전 계좌 소진 — 부족 "&amp;TEXT(-D31,"#,##0")&amp;"원","")</f>
        <v/>
      </c>
      <c r="Q31" s="312">
        <f>MIN(MAX(0,E30+J31),MAX(0,M31-D30-I31))</f>
        <v/>
      </c>
      <c r="R31" s="312">
        <f>MIN(MAX(0,F30+K31),MAX(0,M31-D30-I31)-Q31)</f>
        <v/>
      </c>
      <c r="S31" s="312">
        <f>MIN(MAX(0,G30+L31),MAX(0,M31-D30-I31)-Q31-R31)</f>
        <v/>
      </c>
    </row>
    <row r="32">
      <c r="A32" s="236" t="n">
        <v>46317</v>
      </c>
      <c r="B32" s="223" t="inlineStr">
        <is>
          <t>목</t>
        </is>
      </c>
      <c r="C32" s="297">
        <f>SUM(D32:G32)</f>
        <v/>
      </c>
      <c r="D32" s="309">
        <f>D31+I32-M32+Q32+R32+S32</f>
        <v/>
      </c>
      <c r="E32" s="309">
        <f>E31+J32-Q32</f>
        <v/>
      </c>
      <c r="F32" s="309">
        <f>F31+K32-R32</f>
        <v/>
      </c>
      <c r="G32" s="309">
        <f>G31+L32-S32</f>
        <v/>
      </c>
      <c r="H32" s="303">
        <f>'4주일별계획'!G32+'4주일별계획'!L32</f>
        <v/>
      </c>
      <c r="I32" s="303">
        <f>H32*0.439717</f>
        <v/>
      </c>
      <c r="J32" s="303">
        <f>H32*0.020388</f>
        <v/>
      </c>
      <c r="K32" s="303">
        <f>H32*0.207493</f>
        <v/>
      </c>
      <c r="L32" s="303">
        <f>H32*0.332402</f>
        <v/>
      </c>
      <c r="M32" s="310">
        <f>'4주일별계획'!M32+'4주일별계획'!N32+'4주일별계획'!O32</f>
        <v/>
      </c>
      <c r="N32" s="311">
        <f>Q32</f>
        <v/>
      </c>
      <c r="O32" s="311">
        <f>R32+S32</f>
        <v/>
      </c>
      <c r="P32" s="244">
        <f>IF(D32&lt;-0.5,"전 계좌 소진 — 부족 "&amp;TEXT(-D32,"#,##0")&amp;"원","")</f>
        <v/>
      </c>
      <c r="Q32" s="312">
        <f>MIN(MAX(0,E31+J32),MAX(0,M32-D31-I32))</f>
        <v/>
      </c>
      <c r="R32" s="312">
        <f>MIN(MAX(0,F31+K32),MAX(0,M32-D31-I32)-Q32)</f>
        <v/>
      </c>
      <c r="S32" s="312">
        <f>MIN(MAX(0,G31+L32),MAX(0,M32-D31-I32)-Q32-R32)</f>
        <v/>
      </c>
    </row>
    <row r="33">
      <c r="A33" s="236" t="n">
        <v>46318</v>
      </c>
      <c r="B33" s="223" t="inlineStr">
        <is>
          <t>금</t>
        </is>
      </c>
      <c r="C33" s="297">
        <f>SUM(D33:G33)</f>
        <v/>
      </c>
      <c r="D33" s="309">
        <f>D32+I33-M33+Q33+R33+S33</f>
        <v/>
      </c>
      <c r="E33" s="309">
        <f>E32+J33-Q33</f>
        <v/>
      </c>
      <c r="F33" s="309">
        <f>F32+K33-R33</f>
        <v/>
      </c>
      <c r="G33" s="309">
        <f>G32+L33-S33</f>
        <v/>
      </c>
      <c r="H33" s="303">
        <f>'4주일별계획'!G33+'4주일별계획'!L33</f>
        <v/>
      </c>
      <c r="I33" s="303">
        <f>H33*0.439717</f>
        <v/>
      </c>
      <c r="J33" s="303">
        <f>H33*0.020388</f>
        <v/>
      </c>
      <c r="K33" s="303">
        <f>H33*0.207493</f>
        <v/>
      </c>
      <c r="L33" s="303">
        <f>H33*0.332402</f>
        <v/>
      </c>
      <c r="M33" s="310">
        <f>'4주일별계획'!M33+'4주일별계획'!N33+'4주일별계획'!O33</f>
        <v/>
      </c>
      <c r="N33" s="311">
        <f>Q33</f>
        <v/>
      </c>
      <c r="O33" s="311">
        <f>R33+S33</f>
        <v/>
      </c>
      <c r="P33" s="244">
        <f>IF(D33&lt;-0.5,"전 계좌 소진 — 부족 "&amp;TEXT(-D33,"#,##0")&amp;"원","")</f>
        <v/>
      </c>
      <c r="Q33" s="312">
        <f>MIN(MAX(0,E32+J33),MAX(0,M33-D32-I33))</f>
        <v/>
      </c>
      <c r="R33" s="312">
        <f>MIN(MAX(0,F32+K33),MAX(0,M33-D32-I33)-Q33)</f>
        <v/>
      </c>
      <c r="S33" s="312">
        <f>MIN(MAX(0,G32+L33),MAX(0,M33-D32-I33)-Q33-R33)</f>
        <v/>
      </c>
    </row>
    <row r="34">
      <c r="A34" s="220" t="n">
        <v>46319</v>
      </c>
      <c r="B34" s="209" t="inlineStr">
        <is>
          <t>토</t>
        </is>
      </c>
      <c r="C34" s="297">
        <f>SUM(D34:G34)</f>
        <v/>
      </c>
      <c r="D34" s="309">
        <f>D33+I34-M34+Q34+R34+S34</f>
        <v/>
      </c>
      <c r="E34" s="309">
        <f>E33+J34-Q34</f>
        <v/>
      </c>
      <c r="F34" s="309">
        <f>F33+K34-R34</f>
        <v/>
      </c>
      <c r="G34" s="309">
        <f>G33+L34-S34</f>
        <v/>
      </c>
      <c r="H34" s="303">
        <f>'4주일별계획'!G34+'4주일별계획'!L34</f>
        <v/>
      </c>
      <c r="I34" s="303">
        <f>H34*0.439717</f>
        <v/>
      </c>
      <c r="J34" s="303">
        <f>H34*0.020388</f>
        <v/>
      </c>
      <c r="K34" s="303">
        <f>H34*0.207493</f>
        <v/>
      </c>
      <c r="L34" s="303">
        <f>H34*0.332402</f>
        <v/>
      </c>
      <c r="M34" s="310">
        <f>'4주일별계획'!M34+'4주일별계획'!N34+'4주일별계획'!O34</f>
        <v/>
      </c>
      <c r="N34" s="311">
        <f>Q34</f>
        <v/>
      </c>
      <c r="O34" s="311">
        <f>R34+S34</f>
        <v/>
      </c>
      <c r="P34" s="244">
        <f>IF(D34&lt;-0.5,"전 계좌 소진 — 부족 "&amp;TEXT(-D34,"#,##0")&amp;"원","")</f>
        <v/>
      </c>
      <c r="Q34" s="312">
        <f>MIN(MAX(0,E33+J34),MAX(0,M34-D33-I34))</f>
        <v/>
      </c>
      <c r="R34" s="312">
        <f>MIN(MAX(0,F33+K34),MAX(0,M34-D33-I34)-Q34)</f>
        <v/>
      </c>
      <c r="S34" s="312">
        <f>MIN(MAX(0,G33+L34),MAX(0,M34-D33-I34)-Q34-R34)</f>
        <v/>
      </c>
    </row>
    <row r="35">
      <c r="A35" s="220" t="n">
        <v>46320</v>
      </c>
      <c r="B35" s="209" t="inlineStr">
        <is>
          <t>일</t>
        </is>
      </c>
      <c r="C35" s="297">
        <f>SUM(D35:G35)</f>
        <v/>
      </c>
      <c r="D35" s="309">
        <f>D34+I35-M35+Q35+R35+S35</f>
        <v/>
      </c>
      <c r="E35" s="309">
        <f>E34+J35-Q35</f>
        <v/>
      </c>
      <c r="F35" s="309">
        <f>F34+K35-R35</f>
        <v/>
      </c>
      <c r="G35" s="309">
        <f>G34+L35-S35</f>
        <v/>
      </c>
      <c r="H35" s="303">
        <f>'4주일별계획'!G35+'4주일별계획'!L35</f>
        <v/>
      </c>
      <c r="I35" s="303">
        <f>H35*0.439717</f>
        <v/>
      </c>
      <c r="J35" s="303">
        <f>H35*0.020388</f>
        <v/>
      </c>
      <c r="K35" s="303">
        <f>H35*0.207493</f>
        <v/>
      </c>
      <c r="L35" s="303">
        <f>H35*0.332402</f>
        <v/>
      </c>
      <c r="M35" s="310">
        <f>'4주일별계획'!M35+'4주일별계획'!N35+'4주일별계획'!O35</f>
        <v/>
      </c>
      <c r="N35" s="311">
        <f>Q35</f>
        <v/>
      </c>
      <c r="O35" s="311">
        <f>R35+S35</f>
        <v/>
      </c>
      <c r="P35" s="244">
        <f>IF(D35&lt;-0.5,"전 계좌 소진 — 부족 "&amp;TEXT(-D35,"#,##0")&amp;"원","")</f>
        <v/>
      </c>
      <c r="Q35" s="312">
        <f>MIN(MAX(0,E34+J35),MAX(0,M35-D34-I35))</f>
        <v/>
      </c>
      <c r="R35" s="312">
        <f>MIN(MAX(0,F34+K35),MAX(0,M35-D34-I35)-Q35)</f>
        <v/>
      </c>
      <c r="S35" s="312">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2026-09-28 ~ 2026-10-04</t>
        </is>
      </c>
      <c r="C6" s="126">
        <f>SUMIFS('4주일별계획'!$G$8:$G$35,'4주일별계획'!$A$8:$A$35,"&gt;="&amp;DATE(2026,9,28),'4주일별계획'!$A$8:$A$35,"&lt;="&amp;DATE(2026,10,4))</f>
        <v/>
      </c>
      <c r="D6" s="126">
        <f>SUMIFS('4주일별계획'!$L$8:$L$35,'4주일별계획'!$A$8:$A$35,"&gt;="&amp;DATE(2026,9,28),'4주일별계획'!$A$8:$A$35,"&lt;="&amp;DATE(2026,10,4))</f>
        <v/>
      </c>
      <c r="E6" s="126">
        <f>SUMIFS('4주일별계획'!$M$8:$M$35,'4주일별계획'!$A$8:$A$35,"&gt;="&amp;DATE(2026,9,28),'4주일별계획'!$A$8:$A$35,"&lt;="&amp;DATE(2026,10,4))</f>
        <v/>
      </c>
      <c r="F6" s="126">
        <f>SUMIFS('4주일별계획'!$N$8:$N$35,'4주일별계획'!$A$8:$A$35,"&gt;="&amp;DATE(2026,9,28),'4주일별계획'!$A$8:$A$35,"&lt;="&amp;DATE(2026,10,4))</f>
        <v/>
      </c>
      <c r="G6" s="126">
        <f>SUMIFS('4주일별계획'!$O$8:$O$35,'4주일별계획'!$A$8:$A$35,"&gt;="&amp;DATE(2026,9,28),'4주일별계획'!$A$8:$A$35,"&lt;="&amp;DATE(2026,10,4))</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2026-10-05 ~ 2026-10-11</t>
        </is>
      </c>
      <c r="C7" s="130">
        <f>SUMIFS('4주일별계획'!$G$8:$G$35,'4주일별계획'!$A$8:$A$35,"&gt;="&amp;DATE(2026,10,5),'4주일별계획'!$A$8:$A$35,"&lt;="&amp;DATE(2026,10,11))</f>
        <v/>
      </c>
      <c r="D7" s="130">
        <f>SUMIFS('4주일별계획'!$L$8:$L$35,'4주일별계획'!$A$8:$A$35,"&gt;="&amp;DATE(2026,10,5),'4주일별계획'!$A$8:$A$35,"&lt;="&amp;DATE(2026,10,11))</f>
        <v/>
      </c>
      <c r="E7" s="130">
        <f>SUMIFS('4주일별계획'!$M$8:$M$35,'4주일별계획'!$A$8:$A$35,"&gt;="&amp;DATE(2026,10,5),'4주일별계획'!$A$8:$A$35,"&lt;="&amp;DATE(2026,10,11))</f>
        <v/>
      </c>
      <c r="F7" s="130">
        <f>SUMIFS('4주일별계획'!$N$8:$N$35,'4주일별계획'!$A$8:$A$35,"&gt;="&amp;DATE(2026,10,5),'4주일별계획'!$A$8:$A$35,"&lt;="&amp;DATE(2026,10,11))</f>
        <v/>
      </c>
      <c r="G7" s="130">
        <f>SUMIFS('4주일별계획'!$O$8:$O$35,'4주일별계획'!$A$8:$A$35,"&gt;="&amp;DATE(2026,10,5),'4주일별계획'!$A$8:$A$35,"&lt;="&amp;DATE(2026,10,11))</f>
        <v/>
      </c>
      <c r="H7" s="138" t="n"/>
      <c r="I7" s="132">
        <f>C7+D7-E7-F7-G7+H7</f>
        <v/>
      </c>
      <c r="J7" s="132">
        <f>J6+I7</f>
        <v/>
      </c>
      <c r="K7" s="43">
        <f>IF(J7&lt;0,"자금부족",IF(J7&lt;'요약'!$B$6*0.2,"주의","정상"))</f>
        <v/>
      </c>
      <c r="L7" s="2" t="n"/>
      <c r="M7" s="2" t="n"/>
      <c r="N7" s="2" t="n"/>
      <c r="O7" s="2" t="n"/>
      <c r="P7" s="2" t="n"/>
    </row>
    <row r="8">
      <c r="A8" s="117" t="inlineStr">
        <is>
          <t>3주차</t>
        </is>
      </c>
      <c r="B8" s="104" t="inlineStr">
        <is>
          <t>2026-10-12 ~ 2026-10-18</t>
        </is>
      </c>
      <c r="C8" s="130">
        <f>SUMIFS('4주일별계획'!$G$8:$G$35,'4주일별계획'!$A$8:$A$35,"&gt;="&amp;DATE(2026,10,12),'4주일별계획'!$A$8:$A$35,"&lt;="&amp;DATE(2026,10,18))</f>
        <v/>
      </c>
      <c r="D8" s="130">
        <f>SUMIFS('4주일별계획'!$L$8:$L$35,'4주일별계획'!$A$8:$A$35,"&gt;="&amp;DATE(2026,10,12),'4주일별계획'!$A$8:$A$35,"&lt;="&amp;DATE(2026,10,18))</f>
        <v/>
      </c>
      <c r="E8" s="130">
        <f>SUMIFS('4주일별계획'!$M$8:$M$35,'4주일별계획'!$A$8:$A$35,"&gt;="&amp;DATE(2026,10,12),'4주일별계획'!$A$8:$A$35,"&lt;="&amp;DATE(2026,10,18))</f>
        <v/>
      </c>
      <c r="F8" s="130">
        <f>SUMIFS('4주일별계획'!$N$8:$N$35,'4주일별계획'!$A$8:$A$35,"&gt;="&amp;DATE(2026,10,12),'4주일별계획'!$A$8:$A$35,"&lt;="&amp;DATE(2026,10,18))</f>
        <v/>
      </c>
      <c r="G8" s="130">
        <f>SUMIFS('4주일별계획'!$O$8:$O$35,'4주일별계획'!$A$8:$A$35,"&gt;="&amp;DATE(2026,10,12),'4주일별계획'!$A$8:$A$35,"&lt;="&amp;DATE(2026,10,18))</f>
        <v/>
      </c>
      <c r="H8" s="138" t="n"/>
      <c r="I8" s="132">
        <f>C8+D8-E8-F8-G8+H8</f>
        <v/>
      </c>
      <c r="J8" s="132">
        <f>J7+I8</f>
        <v/>
      </c>
      <c r="K8" s="43">
        <f>IF(J8&lt;0,"자금부족",IF(J8&lt;'요약'!$B$6*0.2,"주의","정상"))</f>
        <v/>
      </c>
      <c r="L8" s="2" t="n"/>
      <c r="M8" s="2" t="n"/>
      <c r="N8" s="2" t="n"/>
      <c r="O8" s="2" t="n"/>
      <c r="P8" s="2" t="n"/>
    </row>
    <row r="9">
      <c r="A9" s="117" t="inlineStr">
        <is>
          <t>4주차</t>
        </is>
      </c>
      <c r="B9" s="104" t="inlineStr">
        <is>
          <t>2026-10-19 ~ 2026-10-25</t>
        </is>
      </c>
      <c r="C9" s="130">
        <f>SUMIFS('4주일별계획'!$G$8:$G$35,'4주일별계획'!$A$8:$A$35,"&gt;="&amp;DATE(2026,10,19),'4주일별계획'!$A$8:$A$35,"&lt;="&amp;DATE(2026,10,25))</f>
        <v/>
      </c>
      <c r="D9" s="130">
        <f>SUMIFS('4주일별계획'!$L$8:$L$35,'4주일별계획'!$A$8:$A$35,"&gt;="&amp;DATE(2026,10,19),'4주일별계획'!$A$8:$A$35,"&lt;="&amp;DATE(2026,10,25))</f>
        <v/>
      </c>
      <c r="E9" s="130">
        <f>SUMIFS('4주일별계획'!$M$8:$M$35,'4주일별계획'!$A$8:$A$35,"&gt;="&amp;DATE(2026,10,19),'4주일별계획'!$A$8:$A$35,"&lt;="&amp;DATE(2026,10,25))</f>
        <v/>
      </c>
      <c r="F9" s="130">
        <f>SUMIFS('4주일별계획'!$N$8:$N$35,'4주일별계획'!$A$8:$A$35,"&gt;="&amp;DATE(2026,10,19),'4주일별계획'!$A$8:$A$35,"&lt;="&amp;DATE(2026,10,25))</f>
        <v/>
      </c>
      <c r="G9" s="130">
        <f>SUMIFS('4주일별계획'!$O$8:$O$35,'4주일별계획'!$A$8:$A$35,"&gt;="&amp;DATE(2026,10,19),'4주일별계획'!$A$8:$A$35,"&lt;="&amp;DATE(2026,10,25))</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2026-10-26 ~ 2026-11-01</t>
        </is>
      </c>
      <c r="C10" s="130">
        <f>SUM('설정및분류'!$C$6:$C$12)*'요약'!$B$13</f>
        <v/>
      </c>
      <c r="D10" s="131" t="n">
        <v>10021867</v>
      </c>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2026-11-02 ~ 2026-11-08</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2026-11-09 ~ 2026-11-15</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2026-11-16 ~ 2026-11-22</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2026-11-23 ~ 2026-11-29</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2026-11-30 ~ 2026-12-06</t>
        </is>
      </c>
      <c r="C15" s="130">
        <f>SUM('설정및분류'!$C$6:$C$12)*'요약'!$B$13</f>
        <v/>
      </c>
      <c r="D15" s="131" t="n">
        <v>10021867</v>
      </c>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2026-12-07 ~ 2026-12-13</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2026-12-14 ~ 2026-12-20</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2026-12-21 ~ 2026-12-27</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Q30"/>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2">
      <c r="A2" s="139" t="inlineStr">
        <is>
          <t>팀 지출계획 취합 (자동 반영)</t>
        </is>
      </c>
    </row>
    <row r="3">
      <c r="A3" s="140"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5">
      <c r="A5" s="141" t="inlineStr">
        <is>
          <t>요청ID</t>
        </is>
      </c>
      <c r="B5" s="141" t="inlineStr">
        <is>
          <t>팀명</t>
        </is>
      </c>
      <c r="C5" s="141" t="inlineStr">
        <is>
          <t>신청자</t>
        </is>
      </c>
      <c r="D5" s="141" t="inlineStr">
        <is>
          <t>품의승인</t>
        </is>
      </c>
      <c r="E5" s="141" t="inlineStr">
        <is>
          <t>지급예정일</t>
        </is>
      </c>
      <c r="F5" s="141" t="inlineStr">
        <is>
          <t>자금계획 반영일</t>
        </is>
      </c>
      <c r="G5" s="141" t="inlineStr">
        <is>
          <t>거래처</t>
        </is>
      </c>
      <c r="H5" s="141" t="inlineStr">
        <is>
          <t>지출내용</t>
        </is>
      </c>
      <c r="I5" s="141" t="inlineStr">
        <is>
          <t>예상금액</t>
        </is>
      </c>
      <c r="J5" s="141" t="inlineStr">
        <is>
          <t>지급방법</t>
        </is>
      </c>
      <c r="K5" s="141" t="inlineStr">
        <is>
          <t>카드구분</t>
        </is>
      </c>
      <c r="L5" s="141" t="inlineStr">
        <is>
          <t>확정여부</t>
        </is>
      </c>
      <c r="M5" s="141" t="inlineStr">
        <is>
          <t>진행상태</t>
        </is>
      </c>
      <c r="N5" s="141" t="inlineStr">
        <is>
          <t>최종수정일</t>
        </is>
      </c>
      <c r="O5" s="141" t="inlineStr">
        <is>
          <t>원본파일</t>
        </is>
      </c>
      <c r="P5" s="141" t="inlineStr">
        <is>
          <t>반영상태</t>
        </is>
      </c>
      <c r="Q5" s="141" t="inlineStr">
        <is>
          <t>확인사항</t>
        </is>
      </c>
    </row>
    <row r="6">
      <c r="A6" s="142" t="inlineStr">
        <is>
          <t>경영-20260918-008</t>
        </is>
      </c>
      <c r="B6" s="142" t="inlineStr">
        <is>
          <t>경영지원팀</t>
        </is>
      </c>
      <c r="C6" s="142" t="inlineStr">
        <is>
          <t>김수희</t>
        </is>
      </c>
      <c r="D6" s="142" t="inlineStr"/>
      <c r="E6" s="143" t="n">
        <v>46293</v>
      </c>
      <c r="F6" s="143" t="n">
        <v>46293</v>
      </c>
      <c r="G6" s="142" t="inlineStr">
        <is>
          <t>메트라이프</t>
        </is>
      </c>
      <c r="H6" s="142" t="inlineStr">
        <is>
          <t>정기보험_42회차</t>
        </is>
      </c>
      <c r="I6" s="144" t="n">
        <v>2497000</v>
      </c>
      <c r="J6" s="142" t="inlineStr">
        <is>
          <t>자동이체</t>
        </is>
      </c>
      <c r="K6" s="142" t="inlineStr"/>
      <c r="L6" s="142" t="inlineStr">
        <is>
          <t>확정</t>
        </is>
      </c>
      <c r="M6" s="142" t="inlineStr">
        <is>
          <t>변경</t>
        </is>
      </c>
      <c r="N6" s="143" t="n">
        <v>46287</v>
      </c>
      <c r="O6" s="142" t="inlineStr">
        <is>
          <t>지출계획_2026-09-28.xlsx</t>
        </is>
      </c>
      <c r="P6" s="142" t="inlineStr">
        <is>
          <t>정상반영</t>
        </is>
      </c>
      <c r="Q6" s="142" t="inlineStr"/>
    </row>
    <row r="7">
      <c r="A7" s="142" t="inlineStr">
        <is>
          <t>경영-20260918-009</t>
        </is>
      </c>
      <c r="B7" s="142" t="inlineStr">
        <is>
          <t>경영지원팀</t>
        </is>
      </c>
      <c r="C7" s="142" t="inlineStr">
        <is>
          <t>김수희</t>
        </is>
      </c>
      <c r="D7" s="142" t="inlineStr"/>
      <c r="E7" s="143" t="n">
        <v>46293</v>
      </c>
      <c r="F7" s="143" t="n">
        <v>46293</v>
      </c>
      <c r="G7" s="142" t="inlineStr">
        <is>
          <t>KT</t>
        </is>
      </c>
      <c r="H7" s="142" t="inlineStr">
        <is>
          <t>통신비</t>
        </is>
      </c>
      <c r="I7" s="144" t="n">
        <v>109450</v>
      </c>
      <c r="J7" s="142" t="inlineStr">
        <is>
          <t>자동이체</t>
        </is>
      </c>
      <c r="K7" s="142" t="inlineStr"/>
      <c r="L7" s="142" t="inlineStr">
        <is>
          <t>확정</t>
        </is>
      </c>
      <c r="M7" s="142" t="inlineStr">
        <is>
          <t>변경</t>
        </is>
      </c>
      <c r="N7" s="143" t="n">
        <v>46287</v>
      </c>
      <c r="O7" s="142" t="inlineStr">
        <is>
          <t>지출계획_2026-09-28.xlsx</t>
        </is>
      </c>
      <c r="P7" s="142" t="inlineStr">
        <is>
          <t>정상반영</t>
        </is>
      </c>
      <c r="Q7" s="142" t="inlineStr"/>
    </row>
    <row r="8">
      <c r="A8" s="142" t="inlineStr">
        <is>
          <t>경영-20260922-007</t>
        </is>
      </c>
      <c r="B8" s="142" t="inlineStr">
        <is>
          <t>경영지원팀</t>
        </is>
      </c>
      <c r="C8" s="142" t="inlineStr">
        <is>
          <t>김수희</t>
        </is>
      </c>
      <c r="D8" s="142" t="inlineStr"/>
      <c r="E8" s="143" t="n">
        <v>46293</v>
      </c>
      <c r="F8" s="143" t="n">
        <v>46293</v>
      </c>
      <c r="G8" s="142" t="inlineStr">
        <is>
          <t>농협카드</t>
        </is>
      </c>
      <c r="H8" s="142" t="inlineStr">
        <is>
          <t>8월 카드대금</t>
        </is>
      </c>
      <c r="I8" s="144" t="n">
        <v>4610000</v>
      </c>
      <c r="J8" s="142" t="inlineStr">
        <is>
          <t>자동이체</t>
        </is>
      </c>
      <c r="K8" s="142" t="inlineStr"/>
      <c r="L8" s="142" t="inlineStr">
        <is>
          <t>확정</t>
        </is>
      </c>
      <c r="M8" s="142" t="inlineStr">
        <is>
          <t>신규</t>
        </is>
      </c>
      <c r="N8" s="143" t="n">
        <v>46287</v>
      </c>
      <c r="O8" s="142" t="inlineStr">
        <is>
          <t>지출계획_2026-09-28.xlsx</t>
        </is>
      </c>
      <c r="P8" s="142" t="inlineStr">
        <is>
          <t>정상반영</t>
        </is>
      </c>
      <c r="Q8" s="142" t="inlineStr"/>
    </row>
    <row r="9">
      <c r="A9" s="142" t="inlineStr">
        <is>
          <t>경영-20260923-001</t>
        </is>
      </c>
      <c r="B9" s="142" t="inlineStr">
        <is>
          <t>경영지원팀</t>
        </is>
      </c>
      <c r="C9" s="142" t="inlineStr">
        <is>
          <t>김수희</t>
        </is>
      </c>
      <c r="D9" s="142" t="inlineStr"/>
      <c r="E9" s="143" t="n">
        <v>46293</v>
      </c>
      <c r="F9" s="143" t="n">
        <v>46293</v>
      </c>
      <c r="G9" s="142" t="inlineStr">
        <is>
          <t>우리카드</t>
        </is>
      </c>
      <c r="H9" s="142" t="inlineStr">
        <is>
          <t>8월 카드대금</t>
        </is>
      </c>
      <c r="I9" s="144" t="n">
        <v>10839960</v>
      </c>
      <c r="J9" s="142" t="inlineStr">
        <is>
          <t>자동이체</t>
        </is>
      </c>
      <c r="K9" s="142" t="inlineStr"/>
      <c r="L9" s="142" t="inlineStr">
        <is>
          <t>확정</t>
        </is>
      </c>
      <c r="M9" s="142" t="inlineStr">
        <is>
          <t>신규</t>
        </is>
      </c>
      <c r="N9" s="143" t="n">
        <v>46288</v>
      </c>
      <c r="O9" s="142" t="inlineStr">
        <is>
          <t>지출계획_2026-09-28.xlsx</t>
        </is>
      </c>
      <c r="P9" s="142" t="inlineStr">
        <is>
          <t>정상반영</t>
        </is>
      </c>
      <c r="Q9" s="142" t="inlineStr"/>
    </row>
    <row r="10">
      <c r="A10" s="142" t="inlineStr">
        <is>
          <t>경영-20260923-002</t>
        </is>
      </c>
      <c r="B10" s="142" t="inlineStr">
        <is>
          <t>경영지원팀</t>
        </is>
      </c>
      <c r="C10" s="142" t="inlineStr">
        <is>
          <t>김수희</t>
        </is>
      </c>
      <c r="D10" s="142" t="inlineStr"/>
      <c r="E10" s="143" t="n">
        <v>46293</v>
      </c>
      <c r="F10" s="143" t="n">
        <v>46293</v>
      </c>
      <c r="G10" s="142" t="inlineStr">
        <is>
          <t>농협카드</t>
        </is>
      </c>
      <c r="H10" s="142" t="inlineStr">
        <is>
          <t>8월 카드대금</t>
        </is>
      </c>
      <c r="I10" s="144" t="n">
        <v>4561388</v>
      </c>
      <c r="J10" s="142" t="inlineStr">
        <is>
          <t>자동이체</t>
        </is>
      </c>
      <c r="K10" s="142" t="inlineStr"/>
      <c r="L10" s="142" t="inlineStr">
        <is>
          <t>확정</t>
        </is>
      </c>
      <c r="M10" s="142" t="inlineStr">
        <is>
          <t>신규</t>
        </is>
      </c>
      <c r="N10" s="143" t="n">
        <v>46288</v>
      </c>
      <c r="O10" s="142" t="inlineStr">
        <is>
          <t>지출계획_2026-09-28.xlsx</t>
        </is>
      </c>
      <c r="P10" s="142" t="inlineStr">
        <is>
          <t>정상반영</t>
        </is>
      </c>
      <c r="Q10" s="142" t="inlineStr"/>
    </row>
    <row r="11">
      <c r="A11" s="142" t="inlineStr">
        <is>
          <t>경영-20260923-003</t>
        </is>
      </c>
      <c r="B11" s="142" t="inlineStr">
        <is>
          <t>경영지원팀</t>
        </is>
      </c>
      <c r="C11" s="142" t="inlineStr">
        <is>
          <t>김수희</t>
        </is>
      </c>
      <c r="D11" s="142" t="inlineStr"/>
      <c r="E11" s="143" t="n">
        <v>46293</v>
      </c>
      <c r="F11" s="143" t="n">
        <v>46293</v>
      </c>
      <c r="G11" s="142" t="inlineStr">
        <is>
          <t>남경노무법인</t>
        </is>
      </c>
      <c r="H11" s="142" t="inlineStr">
        <is>
          <t>인사노무수수료</t>
        </is>
      </c>
      <c r="I11" s="144" t="n">
        <v>275000</v>
      </c>
      <c r="J11" s="142" t="inlineStr">
        <is>
          <t>계좌송금</t>
        </is>
      </c>
      <c r="K11" s="142" t="inlineStr"/>
      <c r="L11" s="142" t="inlineStr">
        <is>
          <t>확정</t>
        </is>
      </c>
      <c r="M11" s="142" t="inlineStr">
        <is>
          <t>신규</t>
        </is>
      </c>
      <c r="N11" s="143" t="n">
        <v>46288</v>
      </c>
      <c r="O11" s="142" t="inlineStr">
        <is>
          <t>지출계획_2026-09-28.xlsx</t>
        </is>
      </c>
      <c r="P11" s="142" t="inlineStr">
        <is>
          <t>정상반영</t>
        </is>
      </c>
      <c r="Q11" s="142" t="inlineStr"/>
    </row>
    <row r="12">
      <c r="A12" s="142" t="inlineStr">
        <is>
          <t>데이터-20260921-001</t>
        </is>
      </c>
      <c r="B12" s="142" t="inlineStr">
        <is>
          <t>데이터사이언스팀</t>
        </is>
      </c>
      <c r="C12" s="142" t="inlineStr">
        <is>
          <t>조성윤</t>
        </is>
      </c>
      <c r="D12" s="142" t="inlineStr"/>
      <c r="E12" s="143" t="n">
        <v>46293</v>
      </c>
      <c r="F12" s="143" t="n">
        <v>46293</v>
      </c>
      <c r="G12" s="142" t="inlineStr">
        <is>
          <t>엘앤에이치컴퍼니</t>
        </is>
      </c>
      <c r="H12" s="142" t="inlineStr">
        <is>
          <t>흥덕IT밸리_사무실 임대료</t>
        </is>
      </c>
      <c r="I12" s="144" t="n">
        <v>1650000</v>
      </c>
      <c r="J12" s="142" t="inlineStr">
        <is>
          <t>계좌송금</t>
        </is>
      </c>
      <c r="K12" s="142" t="inlineStr"/>
      <c r="L12" s="142" t="inlineStr">
        <is>
          <t>확정</t>
        </is>
      </c>
      <c r="M12" s="142" t="inlineStr">
        <is>
          <t>신규</t>
        </is>
      </c>
      <c r="N12" s="143" t="n">
        <v>46286</v>
      </c>
      <c r="O12" s="142" t="inlineStr">
        <is>
          <t>지출계획_2026-09-28.xlsx</t>
        </is>
      </c>
      <c r="P12" s="142" t="inlineStr">
        <is>
          <t>정상반영</t>
        </is>
      </c>
      <c r="Q12" s="142" t="inlineStr"/>
    </row>
    <row r="13">
      <c r="A13" s="142" t="inlineStr">
        <is>
          <t>건강-20260922-001</t>
        </is>
      </c>
      <c r="B13" s="142" t="inlineStr">
        <is>
          <t>건강사업팀</t>
        </is>
      </c>
      <c r="C13" s="142" t="inlineStr">
        <is>
          <t>양혜원</t>
        </is>
      </c>
      <c r="D13" s="142" t="inlineStr"/>
      <c r="E13" s="143" t="n">
        <v>46294</v>
      </c>
      <c r="F13" s="143" t="n">
        <v>46294</v>
      </c>
      <c r="G13" s="142" t="inlineStr">
        <is>
          <t>네이버</t>
        </is>
      </c>
      <c r="H13" s="142" t="inlineStr">
        <is>
          <t>네이버 톡톡 발송</t>
        </is>
      </c>
      <c r="I13" s="144" t="n">
        <v>500000</v>
      </c>
      <c r="J13" s="142" t="inlineStr">
        <is>
          <t>계좌송금</t>
        </is>
      </c>
      <c r="K13" s="142" t="inlineStr"/>
      <c r="L13" s="142" t="inlineStr">
        <is>
          <t>확정</t>
        </is>
      </c>
      <c r="M13" s="142" t="inlineStr">
        <is>
          <t>신규</t>
        </is>
      </c>
      <c r="N13" s="143" t="n">
        <v>46287</v>
      </c>
      <c r="O13" s="142" t="inlineStr">
        <is>
          <t>지출계획_2026-09-28.xlsx</t>
        </is>
      </c>
      <c r="P13" s="142" t="inlineStr">
        <is>
          <t>정상반영</t>
        </is>
      </c>
      <c r="Q13" s="142" t="inlineStr"/>
    </row>
    <row r="14">
      <c r="A14" s="142" t="inlineStr">
        <is>
          <t>건강-20260922-002</t>
        </is>
      </c>
      <c r="B14" s="142" t="inlineStr">
        <is>
          <t>건강사업팀</t>
        </is>
      </c>
      <c r="C14" s="142" t="inlineStr">
        <is>
          <t>신민경</t>
        </is>
      </c>
      <c r="D14" s="142" t="inlineStr"/>
      <c r="E14" s="143" t="n">
        <v>46294</v>
      </c>
      <c r="F14" s="143" t="n">
        <v>46294</v>
      </c>
      <c r="G14" s="142" t="inlineStr">
        <is>
          <t>정상은(이준이서맘)</t>
        </is>
      </c>
      <c r="H14" s="142" t="inlineStr">
        <is>
          <t>인스타그램 효소 홍보</t>
        </is>
      </c>
      <c r="I14" s="144" t="n">
        <v>500000</v>
      </c>
      <c r="J14" s="142" t="inlineStr">
        <is>
          <t>계좌송금</t>
        </is>
      </c>
      <c r="K14" s="142" t="inlineStr"/>
      <c r="L14" s="142" t="inlineStr">
        <is>
          <t>확정</t>
        </is>
      </c>
      <c r="M14" s="142" t="inlineStr">
        <is>
          <t>신규</t>
        </is>
      </c>
      <c r="N14" s="143" t="n">
        <v>46287</v>
      </c>
      <c r="O14" s="142" t="inlineStr">
        <is>
          <t>지출계획_2026-09-28.xlsx</t>
        </is>
      </c>
      <c r="P14" s="142" t="inlineStr">
        <is>
          <t>정상반영</t>
        </is>
      </c>
      <c r="Q14" s="142" t="inlineStr"/>
    </row>
    <row r="15">
      <c r="A15" s="142" t="inlineStr">
        <is>
          <t>건강-20260923-002</t>
        </is>
      </c>
      <c r="B15" s="142" t="inlineStr">
        <is>
          <t>건강사업팀</t>
        </is>
      </c>
      <c r="C15" s="142" t="inlineStr">
        <is>
          <t>신민경</t>
        </is>
      </c>
      <c r="D15" s="142" t="inlineStr"/>
      <c r="E15" s="143" t="n">
        <v>46294</v>
      </c>
      <c r="F15" s="143" t="n">
        <v>46294</v>
      </c>
      <c r="G15" s="142" t="inlineStr">
        <is>
          <t>마고성인권연구소</t>
        </is>
      </c>
      <c r="H15" s="142" t="inlineStr">
        <is>
          <t>임신체험키트</t>
        </is>
      </c>
      <c r="I15" s="144" t="n">
        <v>40000</v>
      </c>
      <c r="J15" s="142" t="inlineStr">
        <is>
          <t>계좌송금</t>
        </is>
      </c>
      <c r="K15" s="142" t="inlineStr"/>
      <c r="L15" s="142" t="inlineStr">
        <is>
          <t>확정</t>
        </is>
      </c>
      <c r="M15" s="142" t="inlineStr">
        <is>
          <t>신규</t>
        </is>
      </c>
      <c r="N15" s="143" t="n">
        <v>46288</v>
      </c>
      <c r="O15" s="142" t="inlineStr">
        <is>
          <t>지출계획_2026-09-28.xlsx</t>
        </is>
      </c>
      <c r="P15" s="142" t="inlineStr">
        <is>
          <t>정상반영</t>
        </is>
      </c>
      <c r="Q15" s="142" t="inlineStr"/>
    </row>
    <row r="16">
      <c r="A16" s="142" t="inlineStr">
        <is>
          <t>경영-20260918-007</t>
        </is>
      </c>
      <c r="B16" s="142" t="inlineStr">
        <is>
          <t>경영지원팀</t>
        </is>
      </c>
      <c r="C16" s="142" t="inlineStr">
        <is>
          <t>송채은</t>
        </is>
      </c>
      <c r="D16" s="142" t="inlineStr"/>
      <c r="E16" s="143" t="n">
        <v>46294</v>
      </c>
      <c r="F16" s="143" t="n">
        <v>46294</v>
      </c>
      <c r="G16" s="142" t="inlineStr">
        <is>
          <t>와이투홀딩스</t>
        </is>
      </c>
      <c r="H16" s="142" t="inlineStr">
        <is>
          <t>직원 추석 선물세트 구입</t>
        </is>
      </c>
      <c r="I16" s="144" t="n">
        <v>1023110</v>
      </c>
      <c r="J16" s="142" t="inlineStr">
        <is>
          <t>계좌송금</t>
        </is>
      </c>
      <c r="K16" s="142" t="inlineStr"/>
      <c r="L16" s="142" t="inlineStr">
        <is>
          <t>확정</t>
        </is>
      </c>
      <c r="M16" s="142" t="inlineStr">
        <is>
          <t>변경</t>
        </is>
      </c>
      <c r="N16" s="143" t="n">
        <v>46293</v>
      </c>
      <c r="O16" s="142" t="inlineStr">
        <is>
          <t>지출계획_2026-09-28.xlsx</t>
        </is>
      </c>
      <c r="P16" s="142" t="inlineStr">
        <is>
          <t>정상반영</t>
        </is>
      </c>
      <c r="Q16" s="142" t="inlineStr"/>
    </row>
    <row r="17">
      <c r="A17" s="142" t="inlineStr">
        <is>
          <t>경영-20260923-006</t>
        </is>
      </c>
      <c r="B17" s="142" t="inlineStr">
        <is>
          <t>경영지원팀</t>
        </is>
      </c>
      <c r="C17" s="142" t="inlineStr">
        <is>
          <t>김수희</t>
        </is>
      </c>
      <c r="D17" s="142" t="inlineStr"/>
      <c r="E17" s="143" t="n">
        <v>46294</v>
      </c>
      <c r="F17" s="143" t="n">
        <v>46294</v>
      </c>
      <c r="G17" s="142" t="inlineStr">
        <is>
          <t>에이팜</t>
        </is>
      </c>
      <c r="H17" s="142" t="inlineStr">
        <is>
          <t>이동매출</t>
        </is>
      </c>
      <c r="I17" s="144" t="n">
        <v>143629</v>
      </c>
      <c r="J17" s="142" t="inlineStr">
        <is>
          <t>계좌송금</t>
        </is>
      </c>
      <c r="K17" s="142" t="inlineStr"/>
      <c r="L17" s="142" t="inlineStr">
        <is>
          <t>확정</t>
        </is>
      </c>
      <c r="M17" s="142" t="inlineStr">
        <is>
          <t>신규</t>
        </is>
      </c>
      <c r="N17" s="143" t="n">
        <v>46288</v>
      </c>
      <c r="O17" s="142" t="inlineStr">
        <is>
          <t>지출계획_2026-09-28.xlsx</t>
        </is>
      </c>
      <c r="P17" s="142" t="inlineStr">
        <is>
          <t>정상반영</t>
        </is>
      </c>
      <c r="Q17" s="142" t="inlineStr"/>
    </row>
    <row r="18">
      <c r="A18" s="142" t="inlineStr">
        <is>
          <t>건강-20260922-003</t>
        </is>
      </c>
      <c r="B18" s="142" t="inlineStr">
        <is>
          <t>건강사업팀</t>
        </is>
      </c>
      <c r="C18" s="142" t="inlineStr">
        <is>
          <t>신민경</t>
        </is>
      </c>
      <c r="D18" s="142" t="inlineStr"/>
      <c r="E18" s="143" t="n">
        <v>46295</v>
      </c>
      <c r="F18" s="143" t="n">
        <v>46295</v>
      </c>
      <c r="G18" s="142" t="inlineStr">
        <is>
          <t>(주) 오애드</t>
        </is>
      </c>
      <c r="H18" s="142" t="inlineStr">
        <is>
          <t>호기심딱지 8월 정산</t>
        </is>
      </c>
      <c r="I18" s="144" t="n">
        <v>880000</v>
      </c>
      <c r="J18" s="142" t="inlineStr">
        <is>
          <t>계좌송금</t>
        </is>
      </c>
      <c r="K18" s="142" t="inlineStr"/>
      <c r="L18" s="142" t="inlineStr">
        <is>
          <t>확정</t>
        </is>
      </c>
      <c r="M18" s="142" t="inlineStr">
        <is>
          <t>신규</t>
        </is>
      </c>
      <c r="N18" s="143" t="n">
        <v>46287</v>
      </c>
      <c r="O18" s="142" t="inlineStr">
        <is>
          <t>지출계획_2026-09-28.xlsx</t>
        </is>
      </c>
      <c r="P18" s="142" t="inlineStr">
        <is>
          <t>정상반영</t>
        </is>
      </c>
      <c r="Q18" s="142" t="inlineStr"/>
    </row>
    <row r="19">
      <c r="A19" s="142" t="inlineStr">
        <is>
          <t>건강-20260922-004</t>
        </is>
      </c>
      <c r="B19" s="142" t="inlineStr">
        <is>
          <t>건강사업팀</t>
        </is>
      </c>
      <c r="C19" s="142" t="inlineStr">
        <is>
          <t>양혜원</t>
        </is>
      </c>
      <c r="D19" s="142" t="inlineStr"/>
      <c r="E19" s="143" t="n">
        <v>46295</v>
      </c>
      <c r="F19" s="143" t="n">
        <v>46295</v>
      </c>
      <c r="G19" s="142" t="inlineStr">
        <is>
          <t>카카오톡 비즈니스</t>
        </is>
      </c>
      <c r="H19" s="142" t="inlineStr">
        <is>
          <t>자사 카드뷰 발송</t>
        </is>
      </c>
      <c r="I19" s="144" t="n">
        <v>200000</v>
      </c>
      <c r="J19" s="142" t="inlineStr">
        <is>
          <t>계좌송금</t>
        </is>
      </c>
      <c r="K19" s="142" t="inlineStr"/>
      <c r="L19" s="142" t="inlineStr">
        <is>
          <t>확정</t>
        </is>
      </c>
      <c r="M19" s="142" t="inlineStr">
        <is>
          <t>신규</t>
        </is>
      </c>
      <c r="N19" s="143" t="n">
        <v>46287</v>
      </c>
      <c r="O19" s="142" t="inlineStr">
        <is>
          <t>지출계획_2026-09-28.xlsx</t>
        </is>
      </c>
      <c r="P19" s="142" t="inlineStr">
        <is>
          <t>정상반영</t>
        </is>
      </c>
      <c r="Q19" s="142" t="inlineStr"/>
    </row>
    <row r="20">
      <c r="A20" s="142" t="inlineStr">
        <is>
          <t>경영-20260918-010</t>
        </is>
      </c>
      <c r="B20" s="142" t="inlineStr">
        <is>
          <t>경영지원팀</t>
        </is>
      </c>
      <c r="C20" s="142" t="inlineStr">
        <is>
          <t>송채은</t>
        </is>
      </c>
      <c r="D20" s="142" t="inlineStr"/>
      <c r="E20" s="143" t="n">
        <v>46295</v>
      </c>
      <c r="F20" s="143" t="n">
        <v>46295</v>
      </c>
      <c r="G20" s="142" t="inlineStr">
        <is>
          <t>서원회계법인</t>
        </is>
      </c>
      <c r="H20" s="142" t="inlineStr">
        <is>
          <t>기장료</t>
        </is>
      </c>
      <c r="I20" s="144" t="n">
        <v>330000</v>
      </c>
      <c r="J20" s="142" t="inlineStr">
        <is>
          <t>계좌송금</t>
        </is>
      </c>
      <c r="K20" s="142" t="inlineStr"/>
      <c r="L20" s="142" t="inlineStr">
        <is>
          <t>확정</t>
        </is>
      </c>
      <c r="M20" s="142" t="inlineStr">
        <is>
          <t>신규</t>
        </is>
      </c>
      <c r="N20" s="143" t="n">
        <v>46283</v>
      </c>
      <c r="O20" s="142" t="inlineStr">
        <is>
          <t>지출계획_2026-09-28.xlsx</t>
        </is>
      </c>
      <c r="P20" s="142" t="inlineStr">
        <is>
          <t>에이팜 별도관리</t>
        </is>
      </c>
      <c r="Q20" s="142" t="inlineStr"/>
    </row>
    <row r="21">
      <c r="A21" s="142" t="inlineStr">
        <is>
          <t>경영-20260918-013</t>
        </is>
      </c>
      <c r="B21" s="142" t="inlineStr">
        <is>
          <t>경영지원팀</t>
        </is>
      </c>
      <c r="C21" s="142" t="inlineStr">
        <is>
          <t>송채은</t>
        </is>
      </c>
      <c r="D21" s="142" t="inlineStr"/>
      <c r="E21" s="143" t="n">
        <v>46295</v>
      </c>
      <c r="F21" s="143" t="n">
        <v>46295</v>
      </c>
      <c r="G21" s="142" t="inlineStr">
        <is>
          <t>가가사무기</t>
        </is>
      </c>
      <c r="H21" s="142" t="inlineStr">
        <is>
          <t>복합기 9월 임대비용</t>
        </is>
      </c>
      <c r="I21" s="144" t="n">
        <v>280000</v>
      </c>
      <c r="J21" s="142" t="inlineStr">
        <is>
          <t>계좌송금</t>
        </is>
      </c>
      <c r="K21" s="142" t="inlineStr"/>
      <c r="L21" s="142" t="inlineStr">
        <is>
          <t>확정</t>
        </is>
      </c>
      <c r="M21" s="142" t="inlineStr">
        <is>
          <t>신규</t>
        </is>
      </c>
      <c r="N21" s="143" t="n">
        <v>46283</v>
      </c>
      <c r="O21" s="142" t="inlineStr">
        <is>
          <t>지출계획_2026-09-28.xlsx</t>
        </is>
      </c>
      <c r="P21" s="142" t="inlineStr">
        <is>
          <t>에이팜 별도관리</t>
        </is>
      </c>
      <c r="Q21" s="142" t="inlineStr"/>
    </row>
    <row r="22">
      <c r="A22" s="142" t="inlineStr">
        <is>
          <t>경영-20260918-014</t>
        </is>
      </c>
      <c r="B22" s="142" t="inlineStr">
        <is>
          <t>경영지원팀</t>
        </is>
      </c>
      <c r="C22" s="142" t="inlineStr">
        <is>
          <t>송채은</t>
        </is>
      </c>
      <c r="D22" s="142" t="inlineStr"/>
      <c r="E22" s="143" t="n">
        <v>46295</v>
      </c>
      <c r="F22" s="143" t="n">
        <v>46295</v>
      </c>
      <c r="G22" s="142" t="inlineStr">
        <is>
          <t>대구상공회의소</t>
        </is>
      </c>
      <c r="H22" s="142" t="inlineStr">
        <is>
          <t>하반기연회비</t>
        </is>
      </c>
      <c r="I22" s="144" t="n">
        <v>250000</v>
      </c>
      <c r="J22" s="142" t="inlineStr">
        <is>
          <t>계좌송금</t>
        </is>
      </c>
      <c r="K22" s="142" t="inlineStr"/>
      <c r="L22" s="142" t="inlineStr">
        <is>
          <t>확정</t>
        </is>
      </c>
      <c r="M22" s="142" t="inlineStr">
        <is>
          <t>신규</t>
        </is>
      </c>
      <c r="N22" s="143" t="n">
        <v>46283</v>
      </c>
      <c r="O22" s="142" t="inlineStr">
        <is>
          <t>지출계획_2026-09-28.xlsx</t>
        </is>
      </c>
      <c r="P22" s="142" t="inlineStr">
        <is>
          <t>에이팜 별도관리</t>
        </is>
      </c>
      <c r="Q22" s="142" t="inlineStr"/>
    </row>
    <row r="23">
      <c r="A23" s="142" t="inlineStr">
        <is>
          <t>경영-20260922-006</t>
        </is>
      </c>
      <c r="B23" s="142" t="inlineStr">
        <is>
          <t>경영지원팀</t>
        </is>
      </c>
      <c r="C23" s="142" t="inlineStr">
        <is>
          <t>송채은</t>
        </is>
      </c>
      <c r="D23" s="142" t="inlineStr"/>
      <c r="E23" s="143" t="n">
        <v>46295</v>
      </c>
      <c r="F23" s="143" t="n">
        <v>46295</v>
      </c>
      <c r="G23" s="142" t="inlineStr">
        <is>
          <t>달서구청</t>
        </is>
      </c>
      <c r="H23" s="142" t="inlineStr">
        <is>
          <t>2026년 토지재산세</t>
        </is>
      </c>
      <c r="I23" s="144" t="n">
        <v>315520</v>
      </c>
      <c r="J23" s="142" t="inlineStr">
        <is>
          <t>계좌송금</t>
        </is>
      </c>
      <c r="K23" s="142" t="inlineStr"/>
      <c r="L23" s="142" t="inlineStr">
        <is>
          <t>확정</t>
        </is>
      </c>
      <c r="M23" s="142" t="inlineStr">
        <is>
          <t>신규</t>
        </is>
      </c>
      <c r="N23" s="143" t="n">
        <v>46287</v>
      </c>
      <c r="O23" s="142" t="inlineStr">
        <is>
          <t>지출계획_2026-09-28.xlsx</t>
        </is>
      </c>
      <c r="P23" s="142" t="inlineStr">
        <is>
          <t>에이팜 별도관리</t>
        </is>
      </c>
      <c r="Q23" s="142" t="inlineStr"/>
    </row>
    <row r="24">
      <c r="A24" s="142" t="inlineStr">
        <is>
          <t>경영-20260923-004</t>
        </is>
      </c>
      <c r="B24" s="142" t="inlineStr">
        <is>
          <t>경영지원팀</t>
        </is>
      </c>
      <c r="C24" s="142" t="inlineStr">
        <is>
          <t>김수희</t>
        </is>
      </c>
      <c r="D24" s="142" t="inlineStr"/>
      <c r="E24" s="143" t="n">
        <v>46295</v>
      </c>
      <c r="F24" s="143" t="n">
        <v>46295</v>
      </c>
      <c r="G24" s="142" t="inlineStr">
        <is>
          <t>서원회계법인</t>
        </is>
      </c>
      <c r="H24" s="142" t="inlineStr">
        <is>
          <t>기장료</t>
        </is>
      </c>
      <c r="I24" s="144" t="n">
        <v>385000</v>
      </c>
      <c r="J24" s="142" t="inlineStr">
        <is>
          <t>계좌송금</t>
        </is>
      </c>
      <c r="K24" s="142" t="inlineStr"/>
      <c r="L24" s="142" t="inlineStr">
        <is>
          <t>확정</t>
        </is>
      </c>
      <c r="M24" s="142" t="inlineStr">
        <is>
          <t>신규</t>
        </is>
      </c>
      <c r="N24" s="143" t="n">
        <v>46288</v>
      </c>
      <c r="O24" s="142" t="inlineStr">
        <is>
          <t>지출계획_2026-09-28.xlsx</t>
        </is>
      </c>
      <c r="P24" s="142" t="inlineStr">
        <is>
          <t>정상반영</t>
        </is>
      </c>
      <c r="Q24" s="142" t="inlineStr"/>
    </row>
    <row r="25">
      <c r="A25" s="142" t="inlineStr">
        <is>
          <t>경영-20260928-001</t>
        </is>
      </c>
      <c r="B25" s="142" t="inlineStr">
        <is>
          <t>경영지원팀</t>
        </is>
      </c>
      <c r="C25" s="142" t="inlineStr">
        <is>
          <t>송채은</t>
        </is>
      </c>
      <c r="D25" s="142" t="inlineStr"/>
      <c r="E25" s="143" t="n">
        <v>46295</v>
      </c>
      <c r="F25" s="143" t="n">
        <v>46295</v>
      </c>
      <c r="G25" s="142" t="inlineStr">
        <is>
          <t>(주)에이팜건강</t>
        </is>
      </c>
      <c r="H25" s="142" t="inlineStr">
        <is>
          <t>외상매입금</t>
        </is>
      </c>
      <c r="I25" s="144" t="n">
        <v>4040700</v>
      </c>
      <c r="J25" s="142" t="inlineStr">
        <is>
          <t>계좌송금</t>
        </is>
      </c>
      <c r="K25" s="142" t="inlineStr"/>
      <c r="L25" s="142" t="inlineStr">
        <is>
          <t>확정</t>
        </is>
      </c>
      <c r="M25" s="142" t="inlineStr">
        <is>
          <t>신규</t>
        </is>
      </c>
      <c r="N25" s="143" t="n">
        <v>46293</v>
      </c>
      <c r="O25" s="142" t="inlineStr">
        <is>
          <t>지출계획_2026-09-28.xlsx</t>
        </is>
      </c>
      <c r="P25" s="142" t="inlineStr">
        <is>
          <t>에이팜 별도관리</t>
        </is>
      </c>
      <c r="Q25" s="142" t="inlineStr"/>
    </row>
    <row r="26">
      <c r="A26" s="142" t="inlineStr">
        <is>
          <t>데이터-20260923-001</t>
        </is>
      </c>
      <c r="B26" s="142" t="inlineStr">
        <is>
          <t>데이터사이언스팀</t>
        </is>
      </c>
      <c r="C26" s="142" t="inlineStr">
        <is>
          <t>조성윤</t>
        </is>
      </c>
      <c r="D26" s="142" t="inlineStr"/>
      <c r="E26" s="143" t="n">
        <v>46295</v>
      </c>
      <c r="F26" s="143" t="n">
        <v>46295</v>
      </c>
      <c r="G26" s="142" t="inlineStr">
        <is>
          <t>흥덕IT밸리 관리위원회</t>
        </is>
      </c>
      <c r="H26" s="142" t="inlineStr">
        <is>
          <t>흥덕 사무실 관리비</t>
        </is>
      </c>
      <c r="I26" s="144" t="n">
        <v>903320</v>
      </c>
      <c r="J26" s="142" t="inlineStr">
        <is>
          <t>계좌송금</t>
        </is>
      </c>
      <c r="K26" s="142" t="inlineStr"/>
      <c r="L26" s="142" t="inlineStr">
        <is>
          <t>확정</t>
        </is>
      </c>
      <c r="M26" s="142" t="inlineStr">
        <is>
          <t>신규</t>
        </is>
      </c>
      <c r="N26" s="143" t="n">
        <v>46288</v>
      </c>
      <c r="O26" s="142" t="inlineStr">
        <is>
          <t>지출계획_2026-09-28.xlsx</t>
        </is>
      </c>
      <c r="P26" s="142" t="inlineStr">
        <is>
          <t>정상반영</t>
        </is>
      </c>
      <c r="Q26" s="142" t="inlineStr"/>
    </row>
    <row r="27">
      <c r="A27" s="142" t="inlineStr">
        <is>
          <t>연구-20260923-001</t>
        </is>
      </c>
      <c r="B27" s="142" t="inlineStr">
        <is>
          <t>연구팀</t>
        </is>
      </c>
      <c r="C27" s="142" t="inlineStr">
        <is>
          <t>이수민</t>
        </is>
      </c>
      <c r="D27" s="142" t="inlineStr"/>
      <c r="E27" s="143" t="n">
        <v>46295</v>
      </c>
      <c r="F27" s="143" t="n">
        <v>46295</v>
      </c>
      <c r="G27" s="142" t="inlineStr">
        <is>
          <t>특허법인다옴</t>
        </is>
      </c>
      <c r="H27" s="142" t="inlineStr">
        <is>
          <t>수출바우처 해외상표출원</t>
        </is>
      </c>
      <c r="I27" s="144" t="n">
        <v>91730</v>
      </c>
      <c r="J27" s="142" t="inlineStr">
        <is>
          <t>계좌송금</t>
        </is>
      </c>
      <c r="K27" s="142" t="inlineStr"/>
      <c r="L27" s="142" t="inlineStr">
        <is>
          <t>확정</t>
        </is>
      </c>
      <c r="M27" s="142" t="inlineStr">
        <is>
          <t>변경</t>
        </is>
      </c>
      <c r="N27" s="143" t="n">
        <v>46288</v>
      </c>
      <c r="O27" s="142" t="inlineStr">
        <is>
          <t>지출계획_2026-09-28.xlsx</t>
        </is>
      </c>
      <c r="P27" s="142" t="inlineStr">
        <is>
          <t>정상반영</t>
        </is>
      </c>
      <c r="Q27" s="142" t="inlineStr"/>
    </row>
    <row r="28" hidden="1">
      <c r="A28" s="142" t="inlineStr">
        <is>
          <t>건강-20260923-001</t>
        </is>
      </c>
      <c r="B28" s="142" t="inlineStr">
        <is>
          <t>건강사업팀</t>
        </is>
      </c>
      <c r="C28" s="142" t="inlineStr">
        <is>
          <t>김솔이</t>
        </is>
      </c>
      <c r="D28" s="142" t="inlineStr"/>
      <c r="E28" s="143" t="n">
        <v>46293</v>
      </c>
      <c r="F28" s="143" t="n">
        <v>46318</v>
      </c>
      <c r="G28" s="142" t="inlineStr">
        <is>
          <t>카페24</t>
        </is>
      </c>
      <c r="H28" s="142" t="inlineStr">
        <is>
          <t>sms 충전</t>
        </is>
      </c>
      <c r="I28" s="144" t="n">
        <v>1000000</v>
      </c>
      <c r="J28" s="142" t="inlineStr">
        <is>
          <t>법인카드</t>
        </is>
      </c>
      <c r="K28" s="142" t="inlineStr">
        <is>
          <t>우리카드</t>
        </is>
      </c>
      <c r="L28" s="142" t="inlineStr">
        <is>
          <t>확정</t>
        </is>
      </c>
      <c r="M28" s="142" t="inlineStr">
        <is>
          <t>신규</t>
        </is>
      </c>
      <c r="N28" s="143" t="n">
        <v>46288</v>
      </c>
      <c r="O28" s="142" t="inlineStr">
        <is>
          <t>지출계획_2026-09-28.xlsx</t>
        </is>
      </c>
      <c r="P28" s="142" t="inlineStr">
        <is>
          <t>정상반영</t>
        </is>
      </c>
      <c r="Q28" s="142" t="inlineStr"/>
    </row>
    <row r="29" hidden="1">
      <c r="A29" s="142" t="inlineStr">
        <is>
          <t>경영-20260922-008</t>
        </is>
      </c>
      <c r="B29" s="142" t="inlineStr">
        <is>
          <t>경영지원팀</t>
        </is>
      </c>
      <c r="C29" s="142" t="inlineStr">
        <is>
          <t>장은총</t>
        </is>
      </c>
      <c r="D29" s="142" t="inlineStr"/>
      <c r="E29" s="143" t="n">
        <v>46293</v>
      </c>
      <c r="F29" s="143" t="n">
        <v>46318</v>
      </c>
      <c r="G29" s="142" t="inlineStr">
        <is>
          <t>위버</t>
        </is>
      </c>
      <c r="H29" s="142" t="inlineStr">
        <is>
          <t>워크샵 (1부/2부) 이용료</t>
        </is>
      </c>
      <c r="I29" s="144" t="n">
        <v>1675000</v>
      </c>
      <c r="J29" s="142" t="inlineStr">
        <is>
          <t>법인카드</t>
        </is>
      </c>
      <c r="K29" s="142" t="inlineStr">
        <is>
          <t>우리카드</t>
        </is>
      </c>
      <c r="L29" s="142" t="inlineStr">
        <is>
          <t>확정</t>
        </is>
      </c>
      <c r="M29" s="142" t="inlineStr">
        <is>
          <t>신규</t>
        </is>
      </c>
      <c r="N29" s="143" t="n">
        <v>46287</v>
      </c>
      <c r="O29" s="142" t="inlineStr">
        <is>
          <t>지출계획_2026-09-28.xlsx</t>
        </is>
      </c>
      <c r="P29" s="142" t="inlineStr">
        <is>
          <t>정상반영</t>
        </is>
      </c>
      <c r="Q29" s="142" t="inlineStr"/>
    </row>
    <row r="30" hidden="1">
      <c r="A30" s="142" t="inlineStr">
        <is>
          <t>경영-20260923-005</t>
        </is>
      </c>
      <c r="B30" s="142" t="inlineStr">
        <is>
          <t>경영지원팀</t>
        </is>
      </c>
      <c r="C30" s="142" t="inlineStr">
        <is>
          <t>김수희</t>
        </is>
      </c>
      <c r="D30" s="142" t="inlineStr"/>
      <c r="E30" s="143" t="n">
        <v>46295</v>
      </c>
      <c r="F30" s="143" t="n">
        <v>46318</v>
      </c>
      <c r="G30" s="142" t="inlineStr">
        <is>
          <t>쿠팡</t>
        </is>
      </c>
      <c r="H30" s="142" t="inlineStr">
        <is>
          <t>직원 간식 구매</t>
        </is>
      </c>
      <c r="I30" s="144" t="n">
        <v>300000</v>
      </c>
      <c r="J30" s="142" t="inlineStr">
        <is>
          <t>법인카드</t>
        </is>
      </c>
      <c r="K30" s="142" t="inlineStr">
        <is>
          <t>우리카드</t>
        </is>
      </c>
      <c r="L30" s="142" t="inlineStr">
        <is>
          <t>확정</t>
        </is>
      </c>
      <c r="M30" s="142" t="inlineStr">
        <is>
          <t>신규</t>
        </is>
      </c>
      <c r="N30" s="143" t="n">
        <v>46288</v>
      </c>
      <c r="O30" s="142" t="inlineStr">
        <is>
          <t>지출계획_2026-09-28.xlsx</t>
        </is>
      </c>
      <c r="P30" s="142" t="inlineStr">
        <is>
          <t>정상반영</t>
        </is>
      </c>
      <c r="Q30" s="142" t="inlineStr"/>
    </row>
  </sheetData>
  <autoFilter ref="A5:Q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2:J11"/>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2">
      <c r="A2" s="139" t="inlineStr">
        <is>
          <t>에이팜 지출계획 (자동 반영)</t>
        </is>
      </c>
    </row>
    <row r="3">
      <c r="A3" s="140" t="inlineStr">
        <is>
          <t>지출계획 비고에 '에이팜'으로 표시한 건은 자금계획(4주·13주)에 반영하지 않고 여기서만 관리합니다. '반영' 표시 건은 자금계획에 포함된 에이팜 관련 참고 항목입니다.</t>
        </is>
      </c>
    </row>
    <row r="5">
      <c r="A5" s="141" t="inlineStr">
        <is>
          <t>일자</t>
        </is>
      </c>
      <c r="B5" s="141" t="inlineStr">
        <is>
          <t>요일</t>
        </is>
      </c>
      <c r="C5" s="141" t="inlineStr">
        <is>
          <t>출처</t>
        </is>
      </c>
      <c r="D5" s="141" t="inlineStr">
        <is>
          <t>자금계획 반영</t>
        </is>
      </c>
      <c r="E5" s="141" t="inlineStr">
        <is>
          <t>팀명</t>
        </is>
      </c>
      <c r="F5" s="141" t="inlineStr">
        <is>
          <t>거래처</t>
        </is>
      </c>
      <c r="G5" s="141" t="inlineStr">
        <is>
          <t>지출내용</t>
        </is>
      </c>
      <c r="H5" s="141" t="inlineStr">
        <is>
          <t>예상금액</t>
        </is>
      </c>
      <c r="I5" s="141" t="inlineStr">
        <is>
          <t>지급방법</t>
        </is>
      </c>
      <c r="J5" s="141" t="inlineStr">
        <is>
          <t>비고</t>
        </is>
      </c>
    </row>
    <row r="6">
      <c r="A6" s="246" t="n">
        <v>46295</v>
      </c>
      <c r="B6" s="247" t="inlineStr">
        <is>
          <t>수</t>
        </is>
      </c>
      <c r="C6" s="247" t="inlineStr">
        <is>
          <t>팀 지출계획</t>
        </is>
      </c>
      <c r="D6" s="247" t="inlineStr">
        <is>
          <t>미반영(별도 관리)</t>
        </is>
      </c>
      <c r="E6" s="247" t="inlineStr">
        <is>
          <t>경영지원팀</t>
        </is>
      </c>
      <c r="F6" s="247" t="inlineStr">
        <is>
          <t>(주)에이팜건강</t>
        </is>
      </c>
      <c r="G6" s="247" t="inlineStr">
        <is>
          <t>외상매입금</t>
        </is>
      </c>
      <c r="H6" s="248" t="n">
        <v>4040700</v>
      </c>
      <c r="I6" s="247" t="inlineStr">
        <is>
          <t>계좌송금</t>
        </is>
      </c>
      <c r="J6" s="247" t="inlineStr">
        <is>
          <t>에이팜</t>
        </is>
      </c>
    </row>
    <row r="7">
      <c r="A7" s="246" t="n">
        <v>46295</v>
      </c>
      <c r="B7" s="247" t="inlineStr">
        <is>
          <t>수</t>
        </is>
      </c>
      <c r="C7" s="247" t="inlineStr">
        <is>
          <t>팀 지출계획</t>
        </is>
      </c>
      <c r="D7" s="247" t="inlineStr">
        <is>
          <t>미반영(별도 관리)</t>
        </is>
      </c>
      <c r="E7" s="247" t="inlineStr">
        <is>
          <t>경영지원팀</t>
        </is>
      </c>
      <c r="F7" s="247" t="inlineStr">
        <is>
          <t>서원회계법인</t>
        </is>
      </c>
      <c r="G7" s="247" t="inlineStr">
        <is>
          <t>기장료</t>
        </is>
      </c>
      <c r="H7" s="248" t="n">
        <v>330000</v>
      </c>
      <c r="I7" s="247" t="inlineStr">
        <is>
          <t>계좌송금</t>
        </is>
      </c>
      <c r="J7" s="247" t="inlineStr">
        <is>
          <t>에이팜</t>
        </is>
      </c>
    </row>
    <row r="8">
      <c r="A8" s="246" t="n">
        <v>46295</v>
      </c>
      <c r="B8" s="247" t="inlineStr">
        <is>
          <t>수</t>
        </is>
      </c>
      <c r="C8" s="247" t="inlineStr">
        <is>
          <t>팀 지출계획</t>
        </is>
      </c>
      <c r="D8" s="247" t="inlineStr">
        <is>
          <t>미반영(별도 관리)</t>
        </is>
      </c>
      <c r="E8" s="247" t="inlineStr">
        <is>
          <t>경영지원팀</t>
        </is>
      </c>
      <c r="F8" s="247" t="inlineStr">
        <is>
          <t>달서구청</t>
        </is>
      </c>
      <c r="G8" s="247" t="inlineStr">
        <is>
          <t>2026년 토지재산세</t>
        </is>
      </c>
      <c r="H8" s="248" t="n">
        <v>315520</v>
      </c>
      <c r="I8" s="247" t="inlineStr">
        <is>
          <t>계좌송금</t>
        </is>
      </c>
      <c r="J8" s="247" t="inlineStr">
        <is>
          <t>에이팜</t>
        </is>
      </c>
    </row>
    <row r="9">
      <c r="A9" s="246" t="n">
        <v>46295</v>
      </c>
      <c r="B9" s="247" t="inlineStr">
        <is>
          <t>수</t>
        </is>
      </c>
      <c r="C9" s="247" t="inlineStr">
        <is>
          <t>팀 지출계획</t>
        </is>
      </c>
      <c r="D9" s="247" t="inlineStr">
        <is>
          <t>미반영(별도 관리)</t>
        </is>
      </c>
      <c r="E9" s="247" t="inlineStr">
        <is>
          <t>경영지원팀</t>
        </is>
      </c>
      <c r="F9" s="247" t="inlineStr">
        <is>
          <t>가가사무기</t>
        </is>
      </c>
      <c r="G9" s="247" t="inlineStr">
        <is>
          <t>복합기 9월 임대비용</t>
        </is>
      </c>
      <c r="H9" s="248" t="n">
        <v>280000</v>
      </c>
      <c r="I9" s="247" t="inlineStr">
        <is>
          <t>계좌송금</t>
        </is>
      </c>
      <c r="J9" s="247" t="inlineStr">
        <is>
          <t>에이팜</t>
        </is>
      </c>
    </row>
    <row r="10">
      <c r="A10" s="246" t="n">
        <v>46295</v>
      </c>
      <c r="B10" s="247" t="inlineStr">
        <is>
          <t>수</t>
        </is>
      </c>
      <c r="C10" s="247" t="inlineStr">
        <is>
          <t>팀 지출계획</t>
        </is>
      </c>
      <c r="D10" s="247" t="inlineStr">
        <is>
          <t>미반영(별도 관리)</t>
        </is>
      </c>
      <c r="E10" s="247" t="inlineStr">
        <is>
          <t>경영지원팀</t>
        </is>
      </c>
      <c r="F10" s="247" t="inlineStr">
        <is>
          <t>대구상공회의소</t>
        </is>
      </c>
      <c r="G10" s="247" t="inlineStr">
        <is>
          <t>하반기연회비</t>
        </is>
      </c>
      <c r="H10" s="248" t="n">
        <v>250000</v>
      </c>
      <c r="I10" s="247" t="inlineStr">
        <is>
          <t>계좌송금</t>
        </is>
      </c>
      <c r="J10" s="247" t="inlineStr">
        <is>
          <t>에이팜</t>
        </is>
      </c>
    </row>
    <row r="11">
      <c r="G11" s="249" t="inlineStr">
        <is>
          <t>합계(자금계획 미반영)</t>
        </is>
      </c>
      <c r="H11" s="250" t="n">
        <v>5216220</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46280.42721064815</v>
      </c>
      <c r="B2" s="147" t="n">
        <v>46280</v>
      </c>
      <c r="C2" s="67" t="inlineStr">
        <is>
          <t>국민은행</t>
        </is>
      </c>
      <c r="D2" s="67" t="inlineStr">
        <is>
          <t>국민 169124</t>
        </is>
      </c>
      <c r="E2" s="148" t="n">
        <v>0</v>
      </c>
      <c r="F2" s="148" t="n">
        <v>1472990</v>
      </c>
      <c r="G2" s="148" t="n">
        <v>101472990</v>
      </c>
      <c r="H2" s="75" t="inlineStr">
        <is>
          <t>기일입금</t>
        </is>
      </c>
      <c r="I2" s="75" t="inlineStr">
        <is>
          <t>(주)에이팜건강</t>
        </is>
      </c>
      <c r="J2" s="75" t="inlineStr">
        <is>
          <t>진천역</t>
        </is>
      </c>
      <c r="K2" s="67" t="inlineStr">
        <is>
          <t>계좌간이체</t>
        </is>
      </c>
      <c r="L2" s="67" t="inlineStr">
        <is>
          <t>Y</t>
        </is>
      </c>
      <c r="M2" s="67" t="inlineStr">
        <is>
          <t>N</t>
        </is>
      </c>
      <c r="N2" s="148" t="n">
        <v>0</v>
      </c>
      <c r="O2" s="67" t="inlineStr">
        <is>
          <t>농협계좌_6개월(20260913).xls</t>
        </is>
      </c>
      <c r="P2" s="69" t="inlineStr">
        <is>
          <t>기존내역</t>
        </is>
      </c>
    </row>
    <row r="3">
      <c r="A3" s="146" t="n">
        <v>46280.81505787037</v>
      </c>
      <c r="B3" s="147" t="n">
        <v>46280</v>
      </c>
      <c r="C3" s="67" t="inlineStr">
        <is>
          <t>국민은행</t>
        </is>
      </c>
      <c r="D3" s="67" t="inlineStr">
        <is>
          <t>국민 169124</t>
        </is>
      </c>
      <c r="E3" s="148" t="n">
        <v>785790</v>
      </c>
      <c r="F3" s="148" t="n">
        <v>0</v>
      </c>
      <c r="G3" s="148" t="n">
        <v>100687200</v>
      </c>
      <c r="H3" s="75" t="inlineStr">
        <is>
          <t>FBS출금</t>
        </is>
      </c>
      <c r="I3" s="75" t="inlineStr">
        <is>
          <t>삼성09016건</t>
        </is>
      </c>
      <c r="J3" s="75" t="inlineStr">
        <is>
          <t>ERP사</t>
        </is>
      </c>
      <c r="K3" s="67" t="inlineStr">
        <is>
          <t>보험료</t>
        </is>
      </c>
      <c r="L3" s="67" t="inlineStr">
        <is>
          <t>N</t>
        </is>
      </c>
      <c r="M3" s="67" t="inlineStr">
        <is>
          <t>Y</t>
        </is>
      </c>
      <c r="N3" s="148" t="n">
        <v>-785790</v>
      </c>
      <c r="O3" s="67" t="inlineStr">
        <is>
          <t>농협계좌_6개월(20260913).xls</t>
        </is>
      </c>
      <c r="P3" s="69" t="inlineStr">
        <is>
          <t>기존내역</t>
        </is>
      </c>
    </row>
    <row r="4">
      <c r="A4" s="146" t="n">
        <v>46283.38587962963</v>
      </c>
      <c r="B4" s="147" t="n">
        <v>46283</v>
      </c>
      <c r="C4" s="67" t="inlineStr">
        <is>
          <t>농협</t>
        </is>
      </c>
      <c r="D4" s="67" t="inlineStr">
        <is>
          <t>농협 569003</t>
        </is>
      </c>
      <c r="E4" s="148" t="n">
        <v>0</v>
      </c>
      <c r="F4" s="148" t="n">
        <v>29433</v>
      </c>
      <c r="G4" s="148" t="n">
        <v>1693429</v>
      </c>
      <c r="H4" s="75" t="inlineStr">
        <is>
          <t>센터일괄</t>
        </is>
      </c>
      <c r="I4" s="75" t="inlineStr">
        <is>
          <t>삼성카드가맹</t>
        </is>
      </c>
      <c r="J4" s="75" t="inlineStr">
        <is>
          <t>농협 000056</t>
        </is>
      </c>
      <c r="K4" s="67" t="inlineStr">
        <is>
          <t>보험 중도인출·보험금 입금</t>
        </is>
      </c>
      <c r="L4" s="67" t="inlineStr">
        <is>
          <t>N</t>
        </is>
      </c>
      <c r="M4" s="67" t="inlineStr">
        <is>
          <t>N</t>
        </is>
      </c>
      <c r="N4" s="148" t="n">
        <v>29433</v>
      </c>
      <c r="O4" s="67" t="inlineStr">
        <is>
          <t>농협계좌_6개월(20260913).xls</t>
        </is>
      </c>
      <c r="P4" s="69" t="inlineStr">
        <is>
          <t>기존내역</t>
        </is>
      </c>
    </row>
    <row r="5">
      <c r="A5" s="146" t="n">
        <v>46283.39877314815</v>
      </c>
      <c r="B5" s="147" t="n">
        <v>46283</v>
      </c>
      <c r="C5" s="67" t="inlineStr">
        <is>
          <t>농협</t>
        </is>
      </c>
      <c r="D5" s="67" t="inlineStr">
        <is>
          <t>농협 569003</t>
        </is>
      </c>
      <c r="E5" s="148" t="n">
        <v>0</v>
      </c>
      <c r="F5" s="148" t="n">
        <v>141000</v>
      </c>
      <c r="G5" s="148" t="n">
        <v>1834429</v>
      </c>
      <c r="H5" s="75" t="inlineStr">
        <is>
          <t>PC하나은행</t>
        </is>
      </c>
      <c r="I5" s="75" t="inlineStr">
        <is>
          <t>김수희</t>
        </is>
      </c>
      <c r="J5" s="75" t="inlineStr">
        <is>
          <t>하나 0812256</t>
        </is>
      </c>
      <c r="K5" s="67" t="inlineStr">
        <is>
          <t>기타입금</t>
        </is>
      </c>
      <c r="L5" s="67" t="inlineStr">
        <is>
          <t>N</t>
        </is>
      </c>
      <c r="M5" s="67" t="inlineStr">
        <is>
          <t>N</t>
        </is>
      </c>
      <c r="N5" s="148" t="n">
        <v>141000</v>
      </c>
      <c r="O5" s="67" t="inlineStr">
        <is>
          <t>농협계좌_6개월(20260913).xls</t>
        </is>
      </c>
      <c r="P5" s="69" t="inlineStr">
        <is>
          <t>기존내역</t>
        </is>
      </c>
    </row>
    <row r="6">
      <c r="A6" s="251" t="n">
        <v>46284.39604166667</v>
      </c>
      <c r="B6" s="252" t="n">
        <v>46284</v>
      </c>
      <c r="C6" s="67" t="inlineStr">
        <is>
          <t>우리은행</t>
        </is>
      </c>
      <c r="D6" s="67" t="inlineStr">
        <is>
          <t>우리 220351</t>
        </is>
      </c>
      <c r="E6" s="148" t="n">
        <v>0</v>
      </c>
      <c r="F6" s="148" t="n">
        <v>2852</v>
      </c>
      <c r="G6" s="148" t="n">
        <v>11948137</v>
      </c>
      <c r="H6" s="75" t="inlineStr">
        <is>
          <t>예금결산</t>
        </is>
      </c>
      <c r="I6" s="75" t="inlineStr">
        <is>
          <t>예금결산이자</t>
        </is>
      </c>
      <c r="J6" s="75" t="inlineStr">
        <is>
          <t>성서공단금융센터</t>
        </is>
      </c>
      <c r="K6" s="67" t="inlineStr">
        <is>
          <t>기타입금</t>
        </is>
      </c>
      <c r="L6" s="67" t="inlineStr">
        <is>
          <t>N</t>
        </is>
      </c>
      <c r="M6" s="67" t="inlineStr">
        <is>
          <t>N</t>
        </is>
      </c>
      <c r="N6" s="148" t="n">
        <v>2852</v>
      </c>
      <c r="O6" s="67" t="inlineStr">
        <is>
          <t>농협계좌_6개월(20260913).xls</t>
        </is>
      </c>
      <c r="P6" s="69" t="inlineStr">
        <is>
          <t>기존내역</t>
        </is>
      </c>
    </row>
    <row r="7">
      <c r="A7" s="251" t="n">
        <v>46285.82394675926</v>
      </c>
      <c r="B7" s="252" t="n">
        <v>46285</v>
      </c>
      <c r="C7" s="67" t="inlineStr">
        <is>
          <t>국민은행</t>
        </is>
      </c>
      <c r="D7" s="67" t="inlineStr">
        <is>
          <t>국민 154577</t>
        </is>
      </c>
      <c r="E7" s="148" t="n">
        <v>0</v>
      </c>
      <c r="F7" s="148" t="n">
        <v>37000</v>
      </c>
      <c r="G7" s="148" t="n">
        <v>20184954</v>
      </c>
      <c r="H7" s="75" t="inlineStr">
        <is>
          <t>전자금융</t>
        </is>
      </c>
      <c r="I7" s="75" t="inlineStr">
        <is>
          <t>김은미</t>
        </is>
      </c>
      <c r="J7" s="75" t="inlineStr">
        <is>
          <t>카뱅</t>
        </is>
      </c>
      <c r="K7" s="67" t="inlineStr">
        <is>
          <t>기타입금</t>
        </is>
      </c>
      <c r="L7" s="67" t="inlineStr">
        <is>
          <t>N</t>
        </is>
      </c>
      <c r="M7" s="67" t="inlineStr">
        <is>
          <t>N</t>
        </is>
      </c>
      <c r="N7" s="148" t="n">
        <v>37000</v>
      </c>
      <c r="O7" s="67" t="inlineStr">
        <is>
          <t>국민은행_계좌 조회 6개월(20260913).xls</t>
        </is>
      </c>
      <c r="P7" s="69" t="inlineStr">
        <is>
          <t>기존내역</t>
        </is>
      </c>
    </row>
    <row r="8">
      <c r="A8" s="146" t="n">
        <v>46286.14091435185</v>
      </c>
      <c r="B8" s="147" t="n">
        <v>46286</v>
      </c>
      <c r="C8" s="67" t="inlineStr">
        <is>
          <t>우리은행</t>
        </is>
      </c>
      <c r="D8" s="67" t="inlineStr">
        <is>
          <t>우리 220351</t>
        </is>
      </c>
      <c r="E8" s="148" t="n">
        <v>85621</v>
      </c>
      <c r="F8" s="148" t="n">
        <v>0</v>
      </c>
      <c r="G8" s="148" t="n">
        <v>11727894</v>
      </c>
      <c r="H8" s="75" t="inlineStr">
        <is>
          <t>통신요금</t>
        </is>
      </c>
      <c r="I8" s="75" t="inlineStr">
        <is>
          <t>SKB6486358411</t>
        </is>
      </c>
      <c r="J8" s="75" t="inlineStr">
        <is>
          <t>성서공단금융센터</t>
        </is>
      </c>
      <c r="K8" s="67" t="inlineStr">
        <is>
          <t>기타지출</t>
        </is>
      </c>
      <c r="L8" s="67" t="inlineStr">
        <is>
          <t>N</t>
        </is>
      </c>
      <c r="M8" s="67" t="inlineStr">
        <is>
          <t>Y</t>
        </is>
      </c>
      <c r="N8" s="148" t="n">
        <v>-85621</v>
      </c>
      <c r="O8" s="67" t="inlineStr">
        <is>
          <t>국민은행_계좌 조회 6개월(20260913).xls</t>
        </is>
      </c>
      <c r="P8" s="69" t="inlineStr">
        <is>
          <t>기존내역</t>
        </is>
      </c>
    </row>
    <row r="9">
      <c r="A9" s="146" t="n">
        <v>46286.14091435185</v>
      </c>
      <c r="B9" s="147" t="n">
        <v>46286</v>
      </c>
      <c r="C9" s="67" t="inlineStr">
        <is>
          <t>우리은행</t>
        </is>
      </c>
      <c r="D9" s="67" t="inlineStr">
        <is>
          <t>우리 220351</t>
        </is>
      </c>
      <c r="E9" s="148" t="n">
        <v>134622</v>
      </c>
      <c r="F9" s="148" t="n">
        <v>0</v>
      </c>
      <c r="G9" s="148" t="n">
        <v>11813515</v>
      </c>
      <c r="H9" s="75" t="inlineStr">
        <is>
          <t>통신요금</t>
        </is>
      </c>
      <c r="I9" s="75" t="inlineStr">
        <is>
          <t>SKB6452342048</t>
        </is>
      </c>
      <c r="J9" s="75" t="inlineStr">
        <is>
          <t>성서공단금융센터</t>
        </is>
      </c>
      <c r="K9" s="67" t="inlineStr">
        <is>
          <t>기타지출</t>
        </is>
      </c>
      <c r="L9" s="67" t="inlineStr">
        <is>
          <t>N</t>
        </is>
      </c>
      <c r="M9" s="67" t="inlineStr">
        <is>
          <t>Y</t>
        </is>
      </c>
      <c r="N9" s="148" t="n">
        <v>-134622</v>
      </c>
      <c r="O9" s="67" t="inlineStr">
        <is>
          <t>국민은행_계좌 조회 6개월(20260913).xls</t>
        </is>
      </c>
      <c r="P9" s="69" t="inlineStr">
        <is>
          <t>기존내역</t>
        </is>
      </c>
    </row>
    <row r="10">
      <c r="A10" s="146" t="n">
        <v>46286.14101851852</v>
      </c>
      <c r="B10" s="147" t="n">
        <v>46286</v>
      </c>
      <c r="C10" s="67" t="inlineStr">
        <is>
          <t>우리은행</t>
        </is>
      </c>
      <c r="D10" s="67" t="inlineStr">
        <is>
          <t>우리 220351</t>
        </is>
      </c>
      <c r="E10" s="148" t="n">
        <v>107800</v>
      </c>
      <c r="F10" s="148" t="n">
        <v>0</v>
      </c>
      <c r="G10" s="148" t="n">
        <v>11620094</v>
      </c>
      <c r="H10" s="75" t="inlineStr">
        <is>
          <t>지로자동</t>
        </is>
      </c>
      <c r="I10" s="75" t="inlineStr">
        <is>
          <t>S1(N6203178)</t>
        </is>
      </c>
      <c r="J10" s="75" t="inlineStr">
        <is>
          <t>성서공단금융센터</t>
        </is>
      </c>
      <c r="K10" s="67" t="inlineStr">
        <is>
          <t>기타지출</t>
        </is>
      </c>
      <c r="L10" s="67" t="inlineStr">
        <is>
          <t>N</t>
        </is>
      </c>
      <c r="M10" s="67" t="inlineStr">
        <is>
          <t>Y</t>
        </is>
      </c>
      <c r="N10" s="148" t="n">
        <v>-107800</v>
      </c>
      <c r="O10" s="67" t="inlineStr">
        <is>
          <t>국민은행_계좌 조회 6개월(20260913).xls</t>
        </is>
      </c>
      <c r="P10" s="69" t="inlineStr">
        <is>
          <t>기존내역</t>
        </is>
      </c>
    </row>
    <row r="11">
      <c r="A11" s="146" t="n">
        <v>46286.21854166667</v>
      </c>
      <c r="B11" s="147" t="n">
        <v>46286</v>
      </c>
      <c r="C11" s="67" t="inlineStr">
        <is>
          <t>우리은행</t>
        </is>
      </c>
      <c r="D11" s="67" t="inlineStr">
        <is>
          <t>우리 220351</t>
        </is>
      </c>
      <c r="E11" s="148" t="n">
        <v>0</v>
      </c>
      <c r="F11" s="148" t="n">
        <v>5694170</v>
      </c>
      <c r="G11" s="148" t="n">
        <v>17314264</v>
      </c>
      <c r="H11" s="75" t="inlineStr">
        <is>
          <t>펌뱅킹</t>
        </is>
      </c>
      <c r="I11" s="75" t="inlineStr">
        <is>
          <t>스마트스토어정산</t>
        </is>
      </c>
      <c r="J11" s="75" t="inlineStr">
        <is>
          <t>두산타워기업영업지원팀</t>
        </is>
      </c>
      <c r="K11" s="67" t="inlineStr">
        <is>
          <t>온라인매출입금</t>
        </is>
      </c>
      <c r="L11" s="67" t="inlineStr">
        <is>
          <t>N</t>
        </is>
      </c>
      <c r="M11" s="67" t="inlineStr">
        <is>
          <t>N</t>
        </is>
      </c>
      <c r="N11" s="148" t="n">
        <v>5694170</v>
      </c>
      <c r="O11" s="67" t="inlineStr">
        <is>
          <t>우리은행 거래내역조회 20260913.xlsx</t>
        </is>
      </c>
      <c r="P11" s="69" t="inlineStr">
        <is>
          <t>기존내역</t>
        </is>
      </c>
    </row>
    <row r="12">
      <c r="A12" s="146" t="n">
        <v>46286.42916666667</v>
      </c>
      <c r="B12" s="147" t="n">
        <v>46286</v>
      </c>
      <c r="C12" s="67" t="inlineStr">
        <is>
          <t>농협</t>
        </is>
      </c>
      <c r="D12" s="67" t="inlineStr">
        <is>
          <t>농협 569003</t>
        </is>
      </c>
      <c r="E12" s="148" t="n">
        <v>0</v>
      </c>
      <c r="F12" s="148" t="n">
        <v>110000</v>
      </c>
      <c r="G12" s="148" t="n">
        <v>1944429</v>
      </c>
      <c r="H12" s="75" t="inlineStr">
        <is>
          <t>E-K뱅크</t>
        </is>
      </c>
      <c r="I12" s="75" t="inlineStr">
        <is>
          <t>양혜원</t>
        </is>
      </c>
      <c r="J12" s="75" t="inlineStr">
        <is>
          <t>K뱅크 0891002</t>
        </is>
      </c>
      <c r="K12" s="67" t="inlineStr">
        <is>
          <t>기타입금</t>
        </is>
      </c>
      <c r="L12" s="67" t="inlineStr">
        <is>
          <t>N</t>
        </is>
      </c>
      <c r="M12" s="67" t="inlineStr">
        <is>
          <t>N</t>
        </is>
      </c>
      <c r="N12" s="148" t="n">
        <v>110000</v>
      </c>
      <c r="O12" s="67" t="inlineStr">
        <is>
          <t>우리은행 거래내역조회 20260913.xlsx</t>
        </is>
      </c>
      <c r="P12" s="69" t="inlineStr">
        <is>
          <t>기존내역</t>
        </is>
      </c>
    </row>
    <row r="13">
      <c r="A13" s="146" t="n">
        <v>46286.42984953704</v>
      </c>
      <c r="B13" s="147" t="n">
        <v>46286</v>
      </c>
      <c r="C13" s="67" t="inlineStr">
        <is>
          <t>국민은행</t>
        </is>
      </c>
      <c r="D13" s="67" t="inlineStr">
        <is>
          <t>국민 154577</t>
        </is>
      </c>
      <c r="E13" s="148" t="n">
        <v>0</v>
      </c>
      <c r="F13" s="148" t="n">
        <v>750249</v>
      </c>
      <c r="G13" s="148" t="n">
        <v>20935203</v>
      </c>
      <c r="H13" s="75" t="inlineStr">
        <is>
          <t>전자금융</t>
        </is>
      </c>
      <c r="I13" s="75" t="inlineStr">
        <is>
          <t>KG이니시스</t>
        </is>
      </c>
      <c r="J13" s="75" t="inlineStr">
        <is>
          <t>하나은행</t>
        </is>
      </c>
      <c r="K13" s="67" t="inlineStr">
        <is>
          <t>온라인매출입금</t>
        </is>
      </c>
      <c r="L13" s="67" t="inlineStr">
        <is>
          <t>N</t>
        </is>
      </c>
      <c r="M13" s="67" t="inlineStr">
        <is>
          <t>N</t>
        </is>
      </c>
      <c r="N13" s="148" t="n">
        <v>750249</v>
      </c>
      <c r="O13" s="67" t="inlineStr">
        <is>
          <t>우리은행 거래내역조회 20260913.xlsx</t>
        </is>
      </c>
      <c r="P13" s="69" t="inlineStr">
        <is>
          <t>기존내역</t>
        </is>
      </c>
    </row>
    <row r="14">
      <c r="A14" s="146" t="n">
        <v>46286.4372337963</v>
      </c>
      <c r="B14" s="147" t="n">
        <v>46286</v>
      </c>
      <c r="C14" s="67" t="inlineStr">
        <is>
          <t>국민은행</t>
        </is>
      </c>
      <c r="D14" s="67" t="inlineStr">
        <is>
          <t>국민 154577</t>
        </is>
      </c>
      <c r="E14" s="148" t="n">
        <v>0</v>
      </c>
      <c r="F14" s="148" t="n">
        <v>68816</v>
      </c>
      <c r="G14" s="148" t="n">
        <v>21004019</v>
      </c>
      <c r="H14" s="75" t="inlineStr">
        <is>
          <t>전자금융</t>
        </is>
      </c>
      <c r="I14" s="75" t="inlineStr">
        <is>
          <t>KG이니시스</t>
        </is>
      </c>
      <c r="J14" s="75" t="inlineStr">
        <is>
          <t>하나은행</t>
        </is>
      </c>
      <c r="K14" s="67" t="inlineStr">
        <is>
          <t>온라인매출입금</t>
        </is>
      </c>
      <c r="L14" s="67" t="inlineStr">
        <is>
          <t>N</t>
        </is>
      </c>
      <c r="M14" s="67" t="inlineStr">
        <is>
          <t>N</t>
        </is>
      </c>
      <c r="N14" s="148" t="n">
        <v>68816</v>
      </c>
      <c r="O14" s="67" t="inlineStr">
        <is>
          <t>국민은행_계좌 조회 6개월(20260913).xls</t>
        </is>
      </c>
      <c r="P14" s="69" t="inlineStr">
        <is>
          <t>기존내역</t>
        </is>
      </c>
    </row>
    <row r="15">
      <c r="A15" s="146" t="n">
        <v>46286.47028935186</v>
      </c>
      <c r="B15" s="147" t="n">
        <v>46286</v>
      </c>
      <c r="C15" s="67" t="inlineStr">
        <is>
          <t>국민은행</t>
        </is>
      </c>
      <c r="D15" s="67" t="inlineStr">
        <is>
          <t>국민 154577</t>
        </is>
      </c>
      <c r="E15" s="148" t="n">
        <v>0</v>
      </c>
      <c r="F15" s="148" t="n">
        <v>3860670</v>
      </c>
      <c r="G15" s="148" t="n">
        <v>24864689</v>
      </c>
      <c r="H15" s="75" t="inlineStr">
        <is>
          <t>FBS입금</t>
        </is>
      </c>
      <c r="I15" s="75" t="inlineStr">
        <is>
          <t>(주)현대이지웰</t>
        </is>
      </c>
      <c r="J15" s="75" t="inlineStr">
        <is>
          <t>ERP사</t>
        </is>
      </c>
      <c r="K15" s="67" t="inlineStr">
        <is>
          <t>온라인매출입금</t>
        </is>
      </c>
      <c r="L15" s="67" t="inlineStr">
        <is>
          <t>N</t>
        </is>
      </c>
      <c r="M15" s="67" t="inlineStr">
        <is>
          <t>N</t>
        </is>
      </c>
      <c r="N15" s="148" t="n">
        <v>3860670</v>
      </c>
      <c r="O15" s="67" t="inlineStr">
        <is>
          <t>국민은행_계좌 조회 6개월(20260913).xls</t>
        </is>
      </c>
      <c r="P15" s="69" t="inlineStr">
        <is>
          <t>기존내역</t>
        </is>
      </c>
    </row>
    <row r="16">
      <c r="A16" s="146" t="n">
        <v>46286.48598379629</v>
      </c>
      <c r="B16" s="147" t="n">
        <v>46286</v>
      </c>
      <c r="C16" s="67" t="inlineStr">
        <is>
          <t>국민은행</t>
        </is>
      </c>
      <c r="D16" s="67" t="inlineStr">
        <is>
          <t>국민 154577</t>
        </is>
      </c>
      <c r="E16" s="148" t="n">
        <v>0</v>
      </c>
      <c r="F16" s="148" t="n">
        <v>20000000</v>
      </c>
      <c r="G16" s="148" t="n">
        <v>44864689</v>
      </c>
      <c r="H16" s="75" t="inlineStr">
        <is>
          <t>전자금융</t>
        </is>
      </c>
      <c r="I16" s="75" t="inlineStr">
        <is>
          <t>허용</t>
        </is>
      </c>
      <c r="J16" s="75" t="inlineStr">
        <is>
          <t>아이엠뱅</t>
        </is>
      </c>
      <c r="K16" s="67" t="inlineStr">
        <is>
          <t>가지급금 회수</t>
        </is>
      </c>
      <c r="L16" s="67" t="inlineStr">
        <is>
          <t>N</t>
        </is>
      </c>
      <c r="M16" s="67" t="inlineStr">
        <is>
          <t>N</t>
        </is>
      </c>
      <c r="N16" s="148" t="n">
        <v>20000000</v>
      </c>
      <c r="O16" s="67" t="inlineStr">
        <is>
          <t>국민은행_계좌 조회 6개월(20260913).xls</t>
        </is>
      </c>
      <c r="P16" s="69" t="inlineStr">
        <is>
          <t>기존내역</t>
        </is>
      </c>
    </row>
    <row r="17">
      <c r="A17" s="146" t="n">
        <v>46286.70733796297</v>
      </c>
      <c r="B17" s="147" t="n">
        <v>46286</v>
      </c>
      <c r="C17" s="67" t="inlineStr">
        <is>
          <t>우리은행</t>
        </is>
      </c>
      <c r="D17" s="67" t="inlineStr">
        <is>
          <t>우리 220351</t>
        </is>
      </c>
      <c r="E17" s="148" t="n">
        <v>2178000</v>
      </c>
      <c r="F17" s="148" t="n">
        <v>0</v>
      </c>
      <c r="G17" s="148" t="n">
        <v>15136264</v>
      </c>
      <c r="H17" s="75" t="inlineStr">
        <is>
          <t>인터넷</t>
        </is>
      </c>
      <c r="I17" s="75" t="inlineStr">
        <is>
          <t>국민네이버 apha</t>
        </is>
      </c>
      <c r="J17" s="75" t="inlineStr">
        <is>
          <t>성서공단금융센터</t>
        </is>
      </c>
      <c r="K17" s="67" t="inlineStr">
        <is>
          <t>기타지출</t>
        </is>
      </c>
      <c r="L17" s="67" t="inlineStr">
        <is>
          <t>N</t>
        </is>
      </c>
      <c r="M17" s="67" t="inlineStr">
        <is>
          <t>Y</t>
        </is>
      </c>
      <c r="N17" s="148" t="n">
        <v>-2178000</v>
      </c>
      <c r="O17" s="67" t="inlineStr">
        <is>
          <t>국민은행_계좌 조회 6개월(20260913).xls</t>
        </is>
      </c>
      <c r="P17" s="69" t="inlineStr">
        <is>
          <t>기존내역</t>
        </is>
      </c>
    </row>
    <row r="18">
      <c r="A18" s="146" t="n">
        <v>46286.70734953704</v>
      </c>
      <c r="B18" s="147" t="n">
        <v>46286</v>
      </c>
      <c r="C18" s="67" t="inlineStr">
        <is>
          <t>우리은행</t>
        </is>
      </c>
      <c r="D18" s="67" t="inlineStr">
        <is>
          <t>우리 220351</t>
        </is>
      </c>
      <c r="E18" s="148" t="n">
        <v>330000</v>
      </c>
      <c r="F18" s="148" t="n">
        <v>0</v>
      </c>
      <c r="G18" s="148" t="n">
        <v>14806264</v>
      </c>
      <c r="H18" s="75" t="inlineStr">
        <is>
          <t>인터넷</t>
        </is>
      </c>
      <c r="I18" s="75" t="inlineStr">
        <is>
          <t>국민네이버 에이팜건</t>
        </is>
      </c>
      <c r="J18" s="75" t="inlineStr">
        <is>
          <t>성서공단금융센터</t>
        </is>
      </c>
      <c r="K18" s="67" t="inlineStr">
        <is>
          <t>기타지출</t>
        </is>
      </c>
      <c r="L18" s="67" t="inlineStr">
        <is>
          <t>N</t>
        </is>
      </c>
      <c r="M18" s="67" t="inlineStr">
        <is>
          <t>Y</t>
        </is>
      </c>
      <c r="N18" s="148" t="n">
        <v>-330000</v>
      </c>
      <c r="O18" s="67" t="inlineStr">
        <is>
          <t>우리은행 거래내역조회 20260913.xlsx</t>
        </is>
      </c>
      <c r="P18" s="69" t="inlineStr">
        <is>
          <t>기존내역</t>
        </is>
      </c>
    </row>
    <row r="19">
      <c r="A19" s="146" t="n">
        <v>46286.70736111111</v>
      </c>
      <c r="B19" s="147" t="n">
        <v>46286</v>
      </c>
      <c r="C19" s="67" t="inlineStr">
        <is>
          <t>우리은행</t>
        </is>
      </c>
      <c r="D19" s="67" t="inlineStr">
        <is>
          <t>우리 220351</t>
        </is>
      </c>
      <c r="E19" s="148" t="n">
        <v>632250</v>
      </c>
      <c r="F19" s="148" t="n">
        <v>0</v>
      </c>
      <c r="G19" s="148" t="n">
        <v>14174014</v>
      </c>
      <c r="H19" s="75" t="inlineStr">
        <is>
          <t>인터넷</t>
        </is>
      </c>
      <c r="I19" s="75" t="inlineStr">
        <is>
          <t>국민서울보증보험</t>
        </is>
      </c>
      <c r="J19" s="75" t="inlineStr">
        <is>
          <t>성서공단금융센터</t>
        </is>
      </c>
      <c r="K19" s="67" t="inlineStr">
        <is>
          <t>기타지출</t>
        </is>
      </c>
      <c r="L19" s="67" t="inlineStr">
        <is>
          <t>N</t>
        </is>
      </c>
      <c r="M19" s="67" t="inlineStr">
        <is>
          <t>Y</t>
        </is>
      </c>
      <c r="N19" s="148" t="n">
        <v>-632250</v>
      </c>
      <c r="O19" s="67" t="inlineStr">
        <is>
          <t>우리은행 거래내역조회 20260913.xlsx</t>
        </is>
      </c>
      <c r="P19" s="69" t="inlineStr">
        <is>
          <t>기존내역</t>
        </is>
      </c>
    </row>
    <row r="20">
      <c r="A20" s="146" t="n">
        <v>46286.84199074074</v>
      </c>
      <c r="B20" s="147" t="n">
        <v>46286</v>
      </c>
      <c r="C20" s="67" t="inlineStr">
        <is>
          <t>국민은행</t>
        </is>
      </c>
      <c r="D20" s="67" t="inlineStr">
        <is>
          <t>국민 154577</t>
        </is>
      </c>
      <c r="E20" s="148" t="n">
        <v>4795900</v>
      </c>
      <c r="F20" s="148" t="n">
        <v>0</v>
      </c>
      <c r="G20" s="148" t="n">
        <v>40068789</v>
      </c>
      <c r="H20" s="75" t="inlineStr">
        <is>
          <t>CMS 공동</t>
        </is>
      </c>
      <c r="I20" s="75" t="inlineStr">
        <is>
          <t>METLIFE09002</t>
        </is>
      </c>
      <c r="J20" s="75" t="inlineStr">
        <is>
          <t>ERP사</t>
        </is>
      </c>
      <c r="K20" s="67" t="inlineStr">
        <is>
          <t>기타지출</t>
        </is>
      </c>
      <c r="L20" s="67" t="inlineStr">
        <is>
          <t>N</t>
        </is>
      </c>
      <c r="M20" s="67" t="inlineStr">
        <is>
          <t>Y</t>
        </is>
      </c>
      <c r="N20" s="148" t="n">
        <v>-4795900</v>
      </c>
      <c r="O20" s="67" t="inlineStr">
        <is>
          <t>우리은행 거래내역조회 20260913.xlsx</t>
        </is>
      </c>
      <c r="P20" s="69" t="inlineStr">
        <is>
          <t>기존내역</t>
        </is>
      </c>
    </row>
    <row r="21">
      <c r="A21" s="146" t="n">
        <v>46287.15763888889</v>
      </c>
      <c r="B21" s="147" t="n">
        <v>46287</v>
      </c>
      <c r="C21" s="67" t="inlineStr">
        <is>
          <t>우리은행</t>
        </is>
      </c>
      <c r="D21" s="67" t="inlineStr">
        <is>
          <t>우리 220351</t>
        </is>
      </c>
      <c r="E21" s="148" t="n">
        <v>0</v>
      </c>
      <c r="F21" s="148" t="n">
        <v>15847736</v>
      </c>
      <c r="G21" s="148" t="n">
        <v>30021750</v>
      </c>
      <c r="H21" s="75" t="inlineStr">
        <is>
          <t>펌뱅킹</t>
        </is>
      </c>
      <c r="I21" s="75" t="inlineStr">
        <is>
          <t>스마트스토어정산</t>
        </is>
      </c>
      <c r="J21" s="75" t="inlineStr">
        <is>
          <t>두산타워기업영업지원팀</t>
        </is>
      </c>
      <c r="K21" s="67" t="inlineStr">
        <is>
          <t>온라인매출입금</t>
        </is>
      </c>
      <c r="L21" s="67" t="inlineStr">
        <is>
          <t>N</t>
        </is>
      </c>
      <c r="M21" s="67" t="inlineStr">
        <is>
          <t>N</t>
        </is>
      </c>
      <c r="N21" s="148" t="n">
        <v>15847736</v>
      </c>
      <c r="O21" s="67" t="inlineStr">
        <is>
          <t>우리은행 거래내역조회 20260913.xlsx</t>
        </is>
      </c>
      <c r="P21" s="69" t="inlineStr">
        <is>
          <t>기존내역</t>
        </is>
      </c>
    </row>
    <row r="22">
      <c r="A22" s="146" t="n">
        <v>46287.20571759259</v>
      </c>
      <c r="B22" s="147" t="n">
        <v>46287</v>
      </c>
      <c r="C22" s="67" t="inlineStr">
        <is>
          <t>국민은행</t>
        </is>
      </c>
      <c r="D22" s="67" t="inlineStr">
        <is>
          <t>국민 154577</t>
        </is>
      </c>
      <c r="E22" s="148" t="n">
        <v>0</v>
      </c>
      <c r="F22" s="148" t="n">
        <v>168361</v>
      </c>
      <c r="G22" s="148" t="n">
        <v>40237150</v>
      </c>
      <c r="H22" s="75" t="inlineStr">
        <is>
          <t>전자금융</t>
        </is>
      </c>
      <c r="I22" s="75" t="inlineStr">
        <is>
          <t>Npay정산</t>
        </is>
      </c>
      <c r="J22" s="75" t="inlineStr">
        <is>
          <t>SC은행</t>
        </is>
      </c>
      <c r="K22" s="67" t="inlineStr">
        <is>
          <t>온라인매출입금</t>
        </is>
      </c>
      <c r="L22" s="67" t="inlineStr">
        <is>
          <t>N</t>
        </is>
      </c>
      <c r="M22" s="67" t="inlineStr">
        <is>
          <t>N</t>
        </is>
      </c>
      <c r="N22" s="148" t="n">
        <v>168361</v>
      </c>
      <c r="O22" s="67" t="inlineStr">
        <is>
          <t>우리은행 거래내역조회 20260913.xlsx</t>
        </is>
      </c>
      <c r="P22" s="69" t="inlineStr">
        <is>
          <t>기존내역</t>
        </is>
      </c>
    </row>
    <row r="23">
      <c r="A23" s="146" t="n">
        <v>46287.42416666666</v>
      </c>
      <c r="B23" s="147" t="n">
        <v>46287</v>
      </c>
      <c r="C23" s="67" t="inlineStr">
        <is>
          <t>농협</t>
        </is>
      </c>
      <c r="D23" s="67" t="inlineStr">
        <is>
          <t>농협 569003</t>
        </is>
      </c>
      <c r="E23" s="148" t="n">
        <v>0</v>
      </c>
      <c r="F23" s="148" t="n">
        <v>1000</v>
      </c>
      <c r="G23" s="148" t="n">
        <v>1945429</v>
      </c>
      <c r="H23" s="75" t="inlineStr">
        <is>
          <t>E-K뱅크</t>
        </is>
      </c>
      <c r="I23" s="75" t="inlineStr">
        <is>
          <t>양혜원</t>
        </is>
      </c>
      <c r="J23" s="75" t="inlineStr">
        <is>
          <t>K뱅크 0891002</t>
        </is>
      </c>
      <c r="K23" s="67" t="inlineStr">
        <is>
          <t>기타입금</t>
        </is>
      </c>
      <c r="L23" s="67" t="inlineStr">
        <is>
          <t>N</t>
        </is>
      </c>
      <c r="M23" s="67" t="inlineStr">
        <is>
          <t>N</t>
        </is>
      </c>
      <c r="N23" s="148" t="n">
        <v>1000</v>
      </c>
      <c r="O23" s="67" t="inlineStr">
        <is>
          <t>국민은행_계좌 조회 6개월(20260913).xls</t>
        </is>
      </c>
      <c r="P23" s="69" t="inlineStr">
        <is>
          <t>기존내역</t>
        </is>
      </c>
    </row>
    <row r="24">
      <c r="A24" s="146" t="n">
        <v>46287.42908564815</v>
      </c>
      <c r="B24" s="147" t="n">
        <v>46287</v>
      </c>
      <c r="C24" s="67" t="inlineStr">
        <is>
          <t>국민은행</t>
        </is>
      </c>
      <c r="D24" s="67" t="inlineStr">
        <is>
          <t>국민 154577</t>
        </is>
      </c>
      <c r="E24" s="148" t="n">
        <v>0</v>
      </c>
      <c r="F24" s="148" t="n">
        <v>618283</v>
      </c>
      <c r="G24" s="148" t="n">
        <v>40855433</v>
      </c>
      <c r="H24" s="75" t="inlineStr">
        <is>
          <t>전자금융</t>
        </is>
      </c>
      <c r="I24" s="75" t="inlineStr">
        <is>
          <t>KG이니시스</t>
        </is>
      </c>
      <c r="J24" s="75" t="inlineStr">
        <is>
          <t>하나은행</t>
        </is>
      </c>
      <c r="K24" s="67" t="inlineStr">
        <is>
          <t>온라인매출입금</t>
        </is>
      </c>
      <c r="L24" s="67" t="inlineStr">
        <is>
          <t>N</t>
        </is>
      </c>
      <c r="M24" s="67" t="inlineStr">
        <is>
          <t>N</t>
        </is>
      </c>
      <c r="N24" s="148" t="n">
        <v>618283</v>
      </c>
      <c r="O24" s="67" t="inlineStr">
        <is>
          <t>우리은행 거래내역조회 20260913.xlsx</t>
        </is>
      </c>
      <c r="P24" s="69" t="inlineStr">
        <is>
          <t>기존내역</t>
        </is>
      </c>
    </row>
    <row r="25">
      <c r="A25" s="146" t="n">
        <v>46287.44971064815</v>
      </c>
      <c r="B25" s="147" t="n">
        <v>46287</v>
      </c>
      <c r="C25" s="67" t="inlineStr">
        <is>
          <t>국민은행</t>
        </is>
      </c>
      <c r="D25" s="67" t="inlineStr">
        <is>
          <t>국민 154577</t>
        </is>
      </c>
      <c r="E25" s="148" t="n">
        <v>0</v>
      </c>
      <c r="F25" s="148" t="n">
        <v>2739917</v>
      </c>
      <c r="G25" s="148" t="n">
        <v>43595350</v>
      </c>
      <c r="H25" s="75" t="inlineStr">
        <is>
          <t>전자금융</t>
        </is>
      </c>
      <c r="I25" s="75" t="inlineStr">
        <is>
          <t>KG이니시스</t>
        </is>
      </c>
      <c r="J25" s="75" t="inlineStr">
        <is>
          <t>하나은행</t>
        </is>
      </c>
      <c r="K25" s="67" t="inlineStr">
        <is>
          <t>온라인매출입금</t>
        </is>
      </c>
      <c r="L25" s="67" t="inlineStr">
        <is>
          <t>N</t>
        </is>
      </c>
      <c r="M25" s="67" t="inlineStr">
        <is>
          <t>N</t>
        </is>
      </c>
      <c r="N25" s="148" t="n">
        <v>2739917</v>
      </c>
      <c r="O25" s="67" t="inlineStr">
        <is>
          <t>국민은행_계좌 조회 6개월(20260913).xls</t>
        </is>
      </c>
      <c r="P25" s="69" t="inlineStr">
        <is>
          <t>기존내역</t>
        </is>
      </c>
    </row>
    <row r="26">
      <c r="A26" s="146" t="n">
        <v>46287.52225694444</v>
      </c>
      <c r="B26" s="147" t="n">
        <v>46287</v>
      </c>
      <c r="C26" s="67" t="inlineStr">
        <is>
          <t>국민은행</t>
        </is>
      </c>
      <c r="D26" s="67" t="inlineStr">
        <is>
          <t>국민 154577</t>
        </is>
      </c>
      <c r="E26" s="148" t="n">
        <v>0</v>
      </c>
      <c r="F26" s="148" t="n">
        <v>246613</v>
      </c>
      <c r="G26" s="148" t="n">
        <v>43841963</v>
      </c>
      <c r="H26" s="75" t="inlineStr">
        <is>
          <t>전자금융</t>
        </is>
      </c>
      <c r="I26" s="75" t="inlineStr">
        <is>
          <t>화물택배물</t>
        </is>
      </c>
      <c r="J26" s="75" t="inlineStr">
        <is>
          <t>농협</t>
        </is>
      </c>
      <c r="K26" s="67" t="inlineStr">
        <is>
          <t>기타입금</t>
        </is>
      </c>
      <c r="L26" s="67" t="inlineStr">
        <is>
          <t>N</t>
        </is>
      </c>
      <c r="M26" s="67" t="inlineStr">
        <is>
          <t>N</t>
        </is>
      </c>
      <c r="N26" s="148" t="n">
        <v>246613</v>
      </c>
      <c r="O26" s="67" t="inlineStr">
        <is>
          <t>국민은행_계좌 조회 6개월(20260913).xls</t>
        </is>
      </c>
      <c r="P26" s="69" t="inlineStr">
        <is>
          <t>기존내역</t>
        </is>
      </c>
    </row>
    <row r="27">
      <c r="A27" s="146" t="n">
        <v>46287.56802083334</v>
      </c>
      <c r="B27" s="147" t="n">
        <v>46287</v>
      </c>
      <c r="C27" s="67" t="inlineStr">
        <is>
          <t>우리은행</t>
        </is>
      </c>
      <c r="D27" s="67" t="inlineStr">
        <is>
          <t>우리 220351</t>
        </is>
      </c>
      <c r="E27" s="148" t="n">
        <v>20000000</v>
      </c>
      <c r="F27" s="148" t="n">
        <v>0</v>
      </c>
      <c r="G27" s="148" t="n">
        <v>10021750</v>
      </c>
      <c r="H27" s="75" t="inlineStr">
        <is>
          <t>인터넷</t>
        </is>
      </c>
      <c r="I27" s="75" t="inlineStr">
        <is>
          <t>기업엠에스바이오텍(</t>
        </is>
      </c>
      <c r="J27" s="75" t="inlineStr">
        <is>
          <t>성서공단금융센터</t>
        </is>
      </c>
      <c r="K27" s="67" t="inlineStr">
        <is>
          <t>기타지출</t>
        </is>
      </c>
      <c r="L27" s="67" t="inlineStr">
        <is>
          <t>N</t>
        </is>
      </c>
      <c r="M27" s="67" t="inlineStr">
        <is>
          <t>N</t>
        </is>
      </c>
      <c r="N27" s="148" t="n">
        <v>-20000000</v>
      </c>
      <c r="O27" s="67" t="inlineStr">
        <is>
          <t>우리은행 거래내역조회 20260913.xlsx</t>
        </is>
      </c>
      <c r="P27" s="69" t="inlineStr">
        <is>
          <t>기존내역</t>
        </is>
      </c>
    </row>
    <row r="28">
      <c r="A28" s="146" t="n">
        <v>46287.60900462963</v>
      </c>
      <c r="B28" s="147" t="n">
        <v>46287</v>
      </c>
      <c r="C28" s="67" t="inlineStr">
        <is>
          <t>농협</t>
        </is>
      </c>
      <c r="D28" s="67" t="inlineStr">
        <is>
          <t>농협 569003</t>
        </is>
      </c>
      <c r="E28" s="148" t="n">
        <v>0</v>
      </c>
      <c r="F28" s="148" t="n">
        <v>2000</v>
      </c>
      <c r="G28" s="148" t="n">
        <v>1947429</v>
      </c>
      <c r="H28" s="75" t="inlineStr">
        <is>
          <t>PC신한은행</t>
        </is>
      </c>
      <c r="I28" s="75" t="inlineStr">
        <is>
          <t>송채은</t>
        </is>
      </c>
      <c r="J28" s="75" t="inlineStr">
        <is>
          <t>신한 0267623</t>
        </is>
      </c>
      <c r="K28" s="67" t="inlineStr">
        <is>
          <t>기타입금</t>
        </is>
      </c>
      <c r="L28" s="67" t="inlineStr">
        <is>
          <t>N</t>
        </is>
      </c>
      <c r="M28" s="67" t="inlineStr">
        <is>
          <t>N</t>
        </is>
      </c>
      <c r="N28" s="148" t="n">
        <v>2000</v>
      </c>
      <c r="O28" s="67" t="inlineStr">
        <is>
          <t>우리은행 거래내역조회 20260913.xlsx</t>
        </is>
      </c>
      <c r="P28" s="69" t="inlineStr">
        <is>
          <t>기존내역</t>
        </is>
      </c>
    </row>
    <row r="29">
      <c r="A29" s="146" t="n">
        <v>46287.62135416667</v>
      </c>
      <c r="B29" s="147" t="n">
        <v>46287</v>
      </c>
      <c r="C29" s="67" t="inlineStr">
        <is>
          <t>농협</t>
        </is>
      </c>
      <c r="D29" s="67" t="inlineStr">
        <is>
          <t>농협 569003</t>
        </is>
      </c>
      <c r="E29" s="148" t="n">
        <v>0</v>
      </c>
      <c r="F29" s="148" t="n">
        <v>280000</v>
      </c>
      <c r="G29" s="148" t="n">
        <v>2227429</v>
      </c>
      <c r="H29" s="75" t="inlineStr">
        <is>
          <t>E-아이엠</t>
        </is>
      </c>
      <c r="I29" s="75" t="inlineStr">
        <is>
          <t>석계아이엔디(주)(</t>
        </is>
      </c>
      <c r="J29" s="75" t="inlineStr">
        <is>
          <t>아이엠 (구)대구 0310017</t>
        </is>
      </c>
      <c r="K29" s="67" t="inlineStr">
        <is>
          <t>기타입금</t>
        </is>
      </c>
      <c r="L29" s="67" t="inlineStr">
        <is>
          <t>N</t>
        </is>
      </c>
      <c r="M29" s="67" t="inlineStr">
        <is>
          <t>N</t>
        </is>
      </c>
      <c r="N29" s="148" t="n">
        <v>280000</v>
      </c>
      <c r="O29" s="67" t="inlineStr">
        <is>
          <t>국민은행_계좌 조회 6개월(20260913).xls</t>
        </is>
      </c>
      <c r="P29" s="69" t="inlineStr">
        <is>
          <t>기존내역</t>
        </is>
      </c>
    </row>
    <row r="30">
      <c r="A30" s="146" t="n">
        <v>46287.64728009259</v>
      </c>
      <c r="B30" s="147" t="n">
        <v>46287</v>
      </c>
      <c r="C30" s="67" t="inlineStr">
        <is>
          <t>국민은행</t>
        </is>
      </c>
      <c r="D30" s="67" t="inlineStr">
        <is>
          <t>국민 154577</t>
        </is>
      </c>
      <c r="E30" s="148" t="n">
        <v>0</v>
      </c>
      <c r="F30" s="148" t="n">
        <v>43975</v>
      </c>
      <c r="G30" s="148" t="n">
        <v>43885938</v>
      </c>
      <c r="H30" s="75" t="inlineStr">
        <is>
          <t>전자금융</t>
        </is>
      </c>
      <c r="I30" s="75" t="inlineStr">
        <is>
          <t>엔에이치엔페이</t>
        </is>
      </c>
      <c r="J30" s="75" t="inlineStr">
        <is>
          <t>신한은행</t>
        </is>
      </c>
      <c r="K30" s="67" t="inlineStr">
        <is>
          <t>온라인매출입금</t>
        </is>
      </c>
      <c r="L30" s="67" t="inlineStr">
        <is>
          <t>N</t>
        </is>
      </c>
      <c r="M30" s="67" t="inlineStr">
        <is>
          <t>N</t>
        </is>
      </c>
      <c r="N30" s="148" t="n">
        <v>43975</v>
      </c>
      <c r="O30" s="67" t="inlineStr">
        <is>
          <t>우리은행 거래내역조회 20260913.xlsx</t>
        </is>
      </c>
      <c r="P30" s="69" t="inlineStr">
        <is>
          <t>기존내역</t>
        </is>
      </c>
    </row>
    <row r="31">
      <c r="A31" s="146" t="n">
        <v>46287.69748842593</v>
      </c>
      <c r="B31" s="147" t="n">
        <v>46287</v>
      </c>
      <c r="C31" s="67" t="inlineStr">
        <is>
          <t>우리은행</t>
        </is>
      </c>
      <c r="D31" s="67" t="inlineStr">
        <is>
          <t>우리 220351</t>
        </is>
      </c>
      <c r="E31" s="148" t="n">
        <v>250000</v>
      </c>
      <c r="F31" s="148" t="n">
        <v>0</v>
      </c>
      <c r="G31" s="148" t="n">
        <v>9771750</v>
      </c>
      <c r="H31" s="75" t="inlineStr">
        <is>
          <t>인터넷</t>
        </is>
      </c>
      <c r="I31" s="75" t="inlineStr">
        <is>
          <t>아이대구상공회의소</t>
        </is>
      </c>
      <c r="J31" s="75" t="inlineStr">
        <is>
          <t>성서공단금융센터</t>
        </is>
      </c>
      <c r="K31" s="67" t="inlineStr">
        <is>
          <t>기타지출</t>
        </is>
      </c>
      <c r="L31" s="67" t="inlineStr">
        <is>
          <t>N</t>
        </is>
      </c>
      <c r="M31" s="67" t="inlineStr">
        <is>
          <t>N</t>
        </is>
      </c>
      <c r="N31" s="148" t="n">
        <v>-250000</v>
      </c>
      <c r="O31" s="67" t="inlineStr">
        <is>
          <t>국민은행_계좌 조회 6개월(20260913).xls</t>
        </is>
      </c>
      <c r="P31" s="69" t="inlineStr">
        <is>
          <t>기존내역</t>
        </is>
      </c>
    </row>
    <row r="32">
      <c r="A32" s="146" t="n">
        <v>46287.6975</v>
      </c>
      <c r="B32" s="147" t="n">
        <v>46287</v>
      </c>
      <c r="C32" s="67" t="inlineStr">
        <is>
          <t>우리은행</t>
        </is>
      </c>
      <c r="D32" s="67" t="inlineStr">
        <is>
          <t>우리 220351</t>
        </is>
      </c>
      <c r="E32" s="148" t="n">
        <v>495517</v>
      </c>
      <c r="F32" s="148" t="n">
        <v>0</v>
      </c>
      <c r="G32" s="148" t="n">
        <v>8926233</v>
      </c>
      <c r="H32" s="75" t="inlineStr">
        <is>
          <t>인터넷</t>
        </is>
      </c>
      <c r="I32" s="75" t="inlineStr">
        <is>
          <t>국민비즈월렛_쁘띠앤</t>
        </is>
      </c>
      <c r="J32" s="75" t="inlineStr">
        <is>
          <t>성서공단금융센터</t>
        </is>
      </c>
      <c r="K32" s="67" t="inlineStr">
        <is>
          <t>기타지출</t>
        </is>
      </c>
      <c r="L32" s="67" t="inlineStr">
        <is>
          <t>N</t>
        </is>
      </c>
      <c r="M32" s="67" t="inlineStr">
        <is>
          <t>Y</t>
        </is>
      </c>
      <c r="N32" s="148" t="n">
        <v>-495517</v>
      </c>
      <c r="O32" s="67" t="inlineStr">
        <is>
          <t>우리은행 거래내역조회 20260913.xlsx</t>
        </is>
      </c>
      <c r="P32" s="69" t="inlineStr">
        <is>
          <t>기존내역</t>
        </is>
      </c>
    </row>
    <row r="33">
      <c r="A33" s="146" t="n">
        <v>46287.6975</v>
      </c>
      <c r="B33" s="147" t="n">
        <v>46287</v>
      </c>
      <c r="C33" s="67" t="inlineStr">
        <is>
          <t>우리은행</t>
        </is>
      </c>
      <c r="D33" s="67" t="inlineStr">
        <is>
          <t>우리 220351</t>
        </is>
      </c>
      <c r="E33" s="148" t="n">
        <v>350000</v>
      </c>
      <c r="F33" s="148" t="n">
        <v>0</v>
      </c>
      <c r="G33" s="148" t="n">
        <v>9421750</v>
      </c>
      <c r="H33" s="75" t="inlineStr">
        <is>
          <t>인터넷</t>
        </is>
      </c>
      <c r="I33" s="75" t="inlineStr">
        <is>
          <t>아이임대규</t>
        </is>
      </c>
      <c r="J33" s="75" t="inlineStr">
        <is>
          <t>성서공단금융센터</t>
        </is>
      </c>
      <c r="K33" s="67" t="inlineStr">
        <is>
          <t>기타지출</t>
        </is>
      </c>
      <c r="L33" s="67" t="inlineStr">
        <is>
          <t>N</t>
        </is>
      </c>
      <c r="M33" s="67" t="inlineStr">
        <is>
          <t>Y</t>
        </is>
      </c>
      <c r="N33" s="148" t="n">
        <v>-350000</v>
      </c>
      <c r="O33" s="67" t="inlineStr">
        <is>
          <t>우리은행 거래내역조회 20260913.xlsx</t>
        </is>
      </c>
      <c r="P33" s="69" t="inlineStr">
        <is>
          <t>기존내역</t>
        </is>
      </c>
    </row>
    <row r="34">
      <c r="A34" s="146" t="n">
        <v>46287.7091087963</v>
      </c>
      <c r="B34" s="147" t="n">
        <v>46287</v>
      </c>
      <c r="C34" s="67" t="inlineStr">
        <is>
          <t>국민은행</t>
        </is>
      </c>
      <c r="D34" s="67" t="inlineStr">
        <is>
          <t>국민 154577</t>
        </is>
      </c>
      <c r="E34" s="148" t="n">
        <v>7800000</v>
      </c>
      <c r="F34" s="148" t="n">
        <v>0</v>
      </c>
      <c r="G34" s="148" t="n">
        <v>36085938</v>
      </c>
      <c r="H34" s="75" t="inlineStr">
        <is>
          <t>TOP출금</t>
        </is>
      </c>
      <c r="I34" s="75" t="inlineStr"/>
      <c r="J34" s="75" t="inlineStr">
        <is>
          <t>진천역</t>
        </is>
      </c>
      <c r="K34" s="67" t="inlineStr">
        <is>
          <t>확인필요</t>
        </is>
      </c>
      <c r="L34" s="67" t="inlineStr">
        <is>
          <t>N</t>
        </is>
      </c>
      <c r="M34" s="67" t="inlineStr">
        <is>
          <t>Y</t>
        </is>
      </c>
      <c r="N34" s="148" t="n">
        <v>-7800000</v>
      </c>
      <c r="O34" s="67" t="inlineStr">
        <is>
          <t>우리은행 거래내역조회 20260913.xlsx</t>
        </is>
      </c>
      <c r="P34" s="69" t="inlineStr">
        <is>
          <t>기존내역</t>
        </is>
      </c>
    </row>
    <row r="35">
      <c r="A35" s="146" t="n">
        <v>46288.10270833333</v>
      </c>
      <c r="B35" s="147" t="n">
        <v>46288</v>
      </c>
      <c r="C35" s="67" t="inlineStr">
        <is>
          <t>우리은행</t>
        </is>
      </c>
      <c r="D35" s="67" t="inlineStr">
        <is>
          <t>우리 220351</t>
        </is>
      </c>
      <c r="E35" s="148" t="n">
        <v>0</v>
      </c>
      <c r="F35" s="148" t="n">
        <v>5580156</v>
      </c>
      <c r="G35" s="148" t="n">
        <v>14506389</v>
      </c>
      <c r="H35" s="75" t="inlineStr">
        <is>
          <t>펌뱅킹</t>
        </is>
      </c>
      <c r="I35" s="75" t="inlineStr">
        <is>
          <t>스마트스토어정산</t>
        </is>
      </c>
      <c r="J35" s="75" t="inlineStr">
        <is>
          <t>두산타워기업영업지원팀</t>
        </is>
      </c>
      <c r="K35" s="67" t="inlineStr">
        <is>
          <t>온라인매출입금</t>
        </is>
      </c>
      <c r="L35" s="67" t="inlineStr">
        <is>
          <t>N</t>
        </is>
      </c>
      <c r="M35" s="67" t="inlineStr">
        <is>
          <t>N</t>
        </is>
      </c>
      <c r="N35" s="148" t="n">
        <v>5580156</v>
      </c>
      <c r="O35" s="67" t="inlineStr">
        <is>
          <t>국민은행_계좌 조회 6개월(20260913).xls</t>
        </is>
      </c>
      <c r="P35" s="69" t="inlineStr">
        <is>
          <t>기존내역</t>
        </is>
      </c>
    </row>
    <row r="36">
      <c r="A36" s="146" t="n">
        <v>46288.135</v>
      </c>
      <c r="B36" s="147" t="n">
        <v>46288</v>
      </c>
      <c r="C36" s="67" t="inlineStr">
        <is>
          <t>우리은행</t>
        </is>
      </c>
      <c r="D36" s="67" t="inlineStr">
        <is>
          <t>우리 220351</t>
        </is>
      </c>
      <c r="E36" s="148" t="n">
        <v>14506389</v>
      </c>
      <c r="F36" s="148" t="n">
        <v>0</v>
      </c>
      <c r="G36" s="148" t="n">
        <v>0</v>
      </c>
      <c r="H36" s="75" t="inlineStr">
        <is>
          <t>우리카드</t>
        </is>
      </c>
      <c r="I36" s="75" t="inlineStr">
        <is>
          <t>우리카드결제대금</t>
        </is>
      </c>
      <c r="J36" s="75" t="inlineStr">
        <is>
          <t>리테일영업총괄부(카드)</t>
        </is>
      </c>
      <c r="K36" s="67" t="inlineStr">
        <is>
          <t>우리카드 결제</t>
        </is>
      </c>
      <c r="L36" s="67" t="inlineStr">
        <is>
          <t>N</t>
        </is>
      </c>
      <c r="M36" s="67" t="inlineStr">
        <is>
          <t>Y</t>
        </is>
      </c>
      <c r="N36" s="148" t="n">
        <v>-14506389</v>
      </c>
      <c r="O36" s="67" t="inlineStr">
        <is>
          <t>국민은행_계좌 조회 6개월(20260913).xls</t>
        </is>
      </c>
      <c r="P36" s="69" t="inlineStr">
        <is>
          <t>기존내역</t>
        </is>
      </c>
    </row>
    <row r="37">
      <c r="A37" s="146" t="n">
        <v>46288.14192129629</v>
      </c>
      <c r="B37" s="147" t="n">
        <v>46288</v>
      </c>
      <c r="C37" s="67" t="inlineStr">
        <is>
          <t>국민은행</t>
        </is>
      </c>
      <c r="D37" s="67" t="inlineStr">
        <is>
          <t>국민 154577</t>
        </is>
      </c>
      <c r="E37" s="148" t="n">
        <v>0</v>
      </c>
      <c r="F37" s="148" t="n">
        <v>76239</v>
      </c>
      <c r="G37" s="148" t="n">
        <v>36162177</v>
      </c>
      <c r="H37" s="75" t="inlineStr">
        <is>
          <t>전자금융</t>
        </is>
      </c>
      <c r="I37" s="75" t="inlineStr">
        <is>
          <t>Npay정산</t>
        </is>
      </c>
      <c r="J37" s="75" t="inlineStr">
        <is>
          <t>SC은행</t>
        </is>
      </c>
      <c r="K37" s="67" t="inlineStr">
        <is>
          <t>온라인매출입금</t>
        </is>
      </c>
      <c r="L37" s="67" t="inlineStr">
        <is>
          <t>N</t>
        </is>
      </c>
      <c r="M37" s="67" t="inlineStr">
        <is>
          <t>N</t>
        </is>
      </c>
      <c r="N37" s="148" t="n">
        <v>76239</v>
      </c>
      <c r="O37" s="67" t="inlineStr">
        <is>
          <t>우리은행 거래내역조회 20260913.xlsx</t>
        </is>
      </c>
      <c r="P37" s="69" t="inlineStr">
        <is>
          <t>기존내역</t>
        </is>
      </c>
    </row>
    <row r="38">
      <c r="A38" s="146" t="n">
        <v>46288.21836805555</v>
      </c>
      <c r="B38" s="147" t="n">
        <v>46288</v>
      </c>
      <c r="C38" s="67" t="inlineStr">
        <is>
          <t>농협</t>
        </is>
      </c>
      <c r="D38" s="67" t="inlineStr">
        <is>
          <t>농협 569003</t>
        </is>
      </c>
      <c r="E38" s="148" t="n">
        <v>0</v>
      </c>
      <c r="F38" s="148" t="n">
        <v>39066</v>
      </c>
      <c r="G38" s="148" t="n">
        <v>2266495</v>
      </c>
      <c r="H38" s="75" t="inlineStr">
        <is>
          <t>BC카드</t>
        </is>
      </c>
      <c r="I38" s="75" t="inlineStr">
        <is>
          <t>726168386BC</t>
        </is>
      </c>
      <c r="J38" s="75" t="inlineStr">
        <is>
          <t>농협 000998</t>
        </is>
      </c>
      <c r="K38" s="67" t="inlineStr">
        <is>
          <t>기타입금</t>
        </is>
      </c>
      <c r="L38" s="67" t="inlineStr">
        <is>
          <t>N</t>
        </is>
      </c>
      <c r="M38" s="67" t="inlineStr">
        <is>
          <t>N</t>
        </is>
      </c>
      <c r="N38" s="148" t="n">
        <v>39066</v>
      </c>
      <c r="O38" s="67" t="inlineStr">
        <is>
          <t>국민은행_계좌 조회 6개월(20260913).xls</t>
        </is>
      </c>
      <c r="P38" s="69" t="inlineStr">
        <is>
          <t>기존내역</t>
        </is>
      </c>
    </row>
    <row r="39">
      <c r="A39" s="146" t="n">
        <v>46288.44695601852</v>
      </c>
      <c r="B39" s="147" t="n">
        <v>46288</v>
      </c>
      <c r="C39" s="67" t="inlineStr">
        <is>
          <t>국민은행</t>
        </is>
      </c>
      <c r="D39" s="67" t="inlineStr">
        <is>
          <t>국민 154577</t>
        </is>
      </c>
      <c r="E39" s="148" t="n">
        <v>0</v>
      </c>
      <c r="F39" s="148" t="n">
        <v>228129</v>
      </c>
      <c r="G39" s="148" t="n">
        <v>36390306</v>
      </c>
      <c r="H39" s="75" t="inlineStr">
        <is>
          <t>전자금융</t>
        </is>
      </c>
      <c r="I39" s="75" t="inlineStr">
        <is>
          <t>KG이니시스</t>
        </is>
      </c>
      <c r="J39" s="75" t="inlineStr">
        <is>
          <t>하나은행</t>
        </is>
      </c>
      <c r="K39" s="67" t="inlineStr">
        <is>
          <t>온라인매출입금</t>
        </is>
      </c>
      <c r="L39" s="67" t="inlineStr">
        <is>
          <t>N</t>
        </is>
      </c>
      <c r="M39" s="67" t="inlineStr">
        <is>
          <t>N</t>
        </is>
      </c>
      <c r="N39" s="148" t="n">
        <v>228129</v>
      </c>
      <c r="O39" s="67" t="inlineStr">
        <is>
          <t>국민은행_계좌 조회 6개월(20260913).xls</t>
        </is>
      </c>
      <c r="P39" s="69" t="inlineStr">
        <is>
          <t>기존내역</t>
        </is>
      </c>
    </row>
    <row r="40">
      <c r="A40" s="146" t="n">
        <v>46288.44983796297</v>
      </c>
      <c r="B40" s="147" t="n">
        <v>46288</v>
      </c>
      <c r="C40" s="67" t="inlineStr">
        <is>
          <t>국민은행</t>
        </is>
      </c>
      <c r="D40" s="67" t="inlineStr">
        <is>
          <t>국민 154577</t>
        </is>
      </c>
      <c r="E40" s="148" t="n">
        <v>0</v>
      </c>
      <c r="F40" s="148" t="n">
        <v>1533549</v>
      </c>
      <c r="G40" s="148" t="n">
        <v>37923855</v>
      </c>
      <c r="H40" s="75" t="inlineStr">
        <is>
          <t>전자금융</t>
        </is>
      </c>
      <c r="I40" s="75" t="inlineStr">
        <is>
          <t>KG이니시스</t>
        </is>
      </c>
      <c r="J40" s="75" t="inlineStr">
        <is>
          <t>하나은행</t>
        </is>
      </c>
      <c r="K40" s="67" t="inlineStr">
        <is>
          <t>온라인매출입금</t>
        </is>
      </c>
      <c r="L40" s="67" t="inlineStr">
        <is>
          <t>N</t>
        </is>
      </c>
      <c r="M40" s="67" t="inlineStr">
        <is>
          <t>N</t>
        </is>
      </c>
      <c r="N40" s="148" t="n">
        <v>1533549</v>
      </c>
      <c r="O40" s="67" t="inlineStr">
        <is>
          <t>국민은행_계좌 조회 6개월(20260913).xls</t>
        </is>
      </c>
      <c r="P40" s="69" t="inlineStr">
        <is>
          <t>기존내역</t>
        </is>
      </c>
    </row>
    <row r="41">
      <c r="A41" s="146" t="n">
        <v>46288.4909837963</v>
      </c>
      <c r="B41" s="147" t="n">
        <v>46288</v>
      </c>
      <c r="C41" s="67" t="inlineStr">
        <is>
          <t>농협</t>
        </is>
      </c>
      <c r="D41" s="67" t="inlineStr">
        <is>
          <t>농협 569003</t>
        </is>
      </c>
      <c r="E41" s="148" t="n">
        <v>0</v>
      </c>
      <c r="F41" s="148" t="n">
        <v>45000</v>
      </c>
      <c r="G41" s="148" t="n">
        <v>2311495</v>
      </c>
      <c r="H41" s="75" t="inlineStr">
        <is>
          <t>폰국민은행</t>
        </is>
      </c>
      <c r="I41" s="75" t="inlineStr">
        <is>
          <t>허수원</t>
        </is>
      </c>
      <c r="J41" s="75" t="inlineStr">
        <is>
          <t>국민 0068398</t>
        </is>
      </c>
      <c r="K41" s="67" t="inlineStr">
        <is>
          <t>기타입금</t>
        </is>
      </c>
      <c r="L41" s="67" t="inlineStr">
        <is>
          <t>N</t>
        </is>
      </c>
      <c r="M41" s="67" t="inlineStr">
        <is>
          <t>N</t>
        </is>
      </c>
      <c r="N41" s="148" t="n">
        <v>45000</v>
      </c>
      <c r="O41" s="67" t="inlineStr">
        <is>
          <t>국민은행_계좌 조회 6개월(20260913).xls</t>
        </is>
      </c>
      <c r="P41" s="69" t="inlineStr">
        <is>
          <t>기존내역</t>
        </is>
      </c>
    </row>
    <row r="42">
      <c r="A42" s="146" t="n">
        <v>46288.49289351852</v>
      </c>
      <c r="B42" s="147" t="n">
        <v>46288</v>
      </c>
      <c r="C42" s="67" t="inlineStr">
        <is>
          <t>국민은행</t>
        </is>
      </c>
      <c r="D42" s="67" t="inlineStr">
        <is>
          <t>국민 154577</t>
        </is>
      </c>
      <c r="E42" s="148" t="n">
        <v>0</v>
      </c>
      <c r="F42" s="148" t="n">
        <v>8591494</v>
      </c>
      <c r="G42" s="148" t="n">
        <v>48033349</v>
      </c>
      <c r="H42" s="75" t="inlineStr">
        <is>
          <t>FBS입금</t>
        </is>
      </c>
      <c r="I42" s="75" t="inlineStr">
        <is>
          <t>쿠팡(주)</t>
        </is>
      </c>
      <c r="J42" s="75" t="inlineStr">
        <is>
          <t>ERP사</t>
        </is>
      </c>
      <c r="K42" s="67" t="inlineStr">
        <is>
          <t>온라인매출입금</t>
        </is>
      </c>
      <c r="L42" s="67" t="inlineStr">
        <is>
          <t>N</t>
        </is>
      </c>
      <c r="M42" s="67" t="inlineStr">
        <is>
          <t>N</t>
        </is>
      </c>
      <c r="N42" s="148" t="n">
        <v>8591494</v>
      </c>
      <c r="O42" s="67" t="inlineStr">
        <is>
          <t>국민은행_계좌 조회 6개월(20260913).xls</t>
        </is>
      </c>
      <c r="P42" s="69" t="inlineStr">
        <is>
          <t>기존내역</t>
        </is>
      </c>
    </row>
    <row r="43">
      <c r="A43" s="146" t="n">
        <v>46288.49289351852</v>
      </c>
      <c r="B43" s="147" t="n">
        <v>46288</v>
      </c>
      <c r="C43" s="67" t="inlineStr">
        <is>
          <t>국민은행</t>
        </is>
      </c>
      <c r="D43" s="67" t="inlineStr">
        <is>
          <t>국민 154577</t>
        </is>
      </c>
      <c r="E43" s="148" t="n">
        <v>0</v>
      </c>
      <c r="F43" s="148" t="n">
        <v>1518000</v>
      </c>
      <c r="G43" s="148" t="n">
        <v>39441855</v>
      </c>
      <c r="H43" s="75" t="inlineStr">
        <is>
          <t>FBS입금</t>
        </is>
      </c>
      <c r="I43" s="75" t="inlineStr">
        <is>
          <t>쿠팡(주)</t>
        </is>
      </c>
      <c r="J43" s="75" t="inlineStr">
        <is>
          <t>ERP사</t>
        </is>
      </c>
      <c r="K43" s="67" t="inlineStr">
        <is>
          <t>온라인매출입금</t>
        </is>
      </c>
      <c r="L43" s="67" t="inlineStr">
        <is>
          <t>N</t>
        </is>
      </c>
      <c r="M43" s="67" t="inlineStr">
        <is>
          <t>N</t>
        </is>
      </c>
      <c r="N43" s="148" t="n">
        <v>1518000</v>
      </c>
      <c r="O43" s="67" t="inlineStr">
        <is>
          <t>우리은행 거래내역조회 20260913.xlsx</t>
        </is>
      </c>
      <c r="P43" s="69" t="inlineStr">
        <is>
          <t>기존내역</t>
        </is>
      </c>
    </row>
    <row r="44">
      <c r="A44" s="146" t="n">
        <v>46288.50967592592</v>
      </c>
      <c r="B44" s="147" t="n">
        <v>46288</v>
      </c>
      <c r="C44" s="67" t="inlineStr">
        <is>
          <t>국민은행</t>
        </is>
      </c>
      <c r="D44" s="67" t="inlineStr">
        <is>
          <t>국민 154577</t>
        </is>
      </c>
      <c r="E44" s="148" t="n">
        <v>4675000</v>
      </c>
      <c r="F44" s="148" t="n">
        <v>0</v>
      </c>
      <c r="G44" s="148" t="n">
        <v>43358349</v>
      </c>
      <c r="H44" s="75" t="inlineStr">
        <is>
          <t>스마트출금</t>
        </is>
      </c>
      <c r="I44" s="75" t="inlineStr">
        <is>
          <t>네이버 aphar</t>
        </is>
      </c>
      <c r="J44" s="75" t="inlineStr">
        <is>
          <t>진천역</t>
        </is>
      </c>
      <c r="K44" s="67" t="inlineStr">
        <is>
          <t>기타지출</t>
        </is>
      </c>
      <c r="L44" s="67" t="inlineStr">
        <is>
          <t>N</t>
        </is>
      </c>
      <c r="M44" s="67" t="inlineStr">
        <is>
          <t>N</t>
        </is>
      </c>
      <c r="N44" s="148" t="n">
        <v>-4675000</v>
      </c>
      <c r="O44" s="67" t="inlineStr">
        <is>
          <t>우리은행 거래내역조회 20260913.xlsx</t>
        </is>
      </c>
      <c r="P44" s="69" t="inlineStr">
        <is>
          <t>기존내역</t>
        </is>
      </c>
    </row>
    <row r="45">
      <c r="A45" s="146" t="n">
        <v>46288.51189814815</v>
      </c>
      <c r="B45" s="147" t="n">
        <v>46288</v>
      </c>
      <c r="C45" s="67" t="inlineStr">
        <is>
          <t>국민은행</t>
        </is>
      </c>
      <c r="D45" s="67" t="inlineStr">
        <is>
          <t>국민 154577</t>
        </is>
      </c>
      <c r="E45" s="148" t="n">
        <v>330000</v>
      </c>
      <c r="F45" s="148" t="n">
        <v>0</v>
      </c>
      <c r="G45" s="148" t="n">
        <v>43028349</v>
      </c>
      <c r="H45" s="75" t="inlineStr">
        <is>
          <t>스마트출금</t>
        </is>
      </c>
      <c r="I45" s="75" t="inlineStr">
        <is>
          <t>네이버 에이팜건강</t>
        </is>
      </c>
      <c r="J45" s="75" t="inlineStr">
        <is>
          <t>진천역</t>
        </is>
      </c>
      <c r="K45" s="67" t="inlineStr">
        <is>
          <t>기타지출</t>
        </is>
      </c>
      <c r="L45" s="67" t="inlineStr">
        <is>
          <t>N</t>
        </is>
      </c>
      <c r="M45" s="67" t="inlineStr">
        <is>
          <t>N</t>
        </is>
      </c>
      <c r="N45" s="148" t="n">
        <v>-330000</v>
      </c>
      <c r="O45" s="67" t="inlineStr">
        <is>
          <t>우리은행 거래내역조회 20260913.xlsx</t>
        </is>
      </c>
      <c r="P45" s="69" t="inlineStr">
        <is>
          <t>기존내역</t>
        </is>
      </c>
    </row>
    <row r="46">
      <c r="A46" s="146" t="n">
        <v>46288.51282407407</v>
      </c>
      <c r="B46" s="147" t="n">
        <v>46288</v>
      </c>
      <c r="C46" s="67" t="inlineStr">
        <is>
          <t>국민은행</t>
        </is>
      </c>
      <c r="D46" s="67" t="inlineStr">
        <is>
          <t>국민 154577</t>
        </is>
      </c>
      <c r="E46" s="148" t="n">
        <v>990000</v>
      </c>
      <c r="F46" s="148" t="n">
        <v>0</v>
      </c>
      <c r="G46" s="148" t="n">
        <v>42038349</v>
      </c>
      <c r="H46" s="75" t="inlineStr">
        <is>
          <t>스마트출금</t>
        </is>
      </c>
      <c r="I46" s="75" t="inlineStr">
        <is>
          <t>네이버 ddi50</t>
        </is>
      </c>
      <c r="J46" s="75" t="inlineStr">
        <is>
          <t>진천역</t>
        </is>
      </c>
      <c r="K46" s="67" t="inlineStr">
        <is>
          <t>기타지출</t>
        </is>
      </c>
      <c r="L46" s="67" t="inlineStr">
        <is>
          <t>N</t>
        </is>
      </c>
      <c r="M46" s="67" t="inlineStr">
        <is>
          <t>N</t>
        </is>
      </c>
      <c r="N46" s="148" t="n">
        <v>-990000</v>
      </c>
      <c r="O46" s="67" t="inlineStr">
        <is>
          <t>우리은행 거래내역조회 20260913.xlsx</t>
        </is>
      </c>
      <c r="P46" s="69" t="inlineStr">
        <is>
          <t>기존내역</t>
        </is>
      </c>
    </row>
    <row r="47">
      <c r="A47" s="146" t="n">
        <v>46288.51495370371</v>
      </c>
      <c r="B47" s="147" t="n">
        <v>46288</v>
      </c>
      <c r="C47" s="67" t="inlineStr">
        <is>
          <t>우리은행</t>
        </is>
      </c>
      <c r="D47" s="67" t="inlineStr">
        <is>
          <t>우리 220351</t>
        </is>
      </c>
      <c r="E47" s="148" t="n">
        <v>0</v>
      </c>
      <c r="F47" s="148" t="n">
        <v>5000000</v>
      </c>
      <c r="G47" s="148" t="n">
        <v>5000000</v>
      </c>
      <c r="H47" s="75" t="inlineStr">
        <is>
          <t>모바일</t>
        </is>
      </c>
      <c r="I47" s="75" t="inlineStr">
        <is>
          <t>(주)에이팜건강</t>
        </is>
      </c>
      <c r="J47" s="75" t="inlineStr">
        <is>
          <t>0195960</t>
        </is>
      </c>
      <c r="K47" s="67" t="inlineStr">
        <is>
          <t>계좌간이체</t>
        </is>
      </c>
      <c r="L47" s="67" t="inlineStr">
        <is>
          <t>Y</t>
        </is>
      </c>
      <c r="M47" s="67" t="inlineStr">
        <is>
          <t>N</t>
        </is>
      </c>
      <c r="N47" s="148" t="n">
        <v>0</v>
      </c>
      <c r="O47" s="67" t="inlineStr">
        <is>
          <t>우리은행 거래내역조회 20260913.xlsx</t>
        </is>
      </c>
      <c r="P47" s="69" t="inlineStr">
        <is>
          <t>기존내역</t>
        </is>
      </c>
    </row>
    <row r="48">
      <c r="A48" s="146" t="n">
        <v>46288.51495370371</v>
      </c>
      <c r="B48" s="147" t="n">
        <v>46288</v>
      </c>
      <c r="C48" s="67" t="inlineStr">
        <is>
          <t>국민은행</t>
        </is>
      </c>
      <c r="D48" s="67" t="inlineStr">
        <is>
          <t>국민 154577</t>
        </is>
      </c>
      <c r="E48" s="148" t="n">
        <v>5000000</v>
      </c>
      <c r="F48" s="148" t="n">
        <v>0</v>
      </c>
      <c r="G48" s="148" t="n">
        <v>37038349</v>
      </c>
      <c r="H48" s="75" t="inlineStr">
        <is>
          <t>스마트출금</t>
        </is>
      </c>
      <c r="I48" s="75" t="inlineStr">
        <is>
          <t>주식회사에이팜건강</t>
        </is>
      </c>
      <c r="J48" s="75" t="inlineStr">
        <is>
          <t>진천역</t>
        </is>
      </c>
      <c r="K48" s="67" t="inlineStr">
        <is>
          <t>계좌간이체</t>
        </is>
      </c>
      <c r="L48" s="67" t="inlineStr">
        <is>
          <t>Y</t>
        </is>
      </c>
      <c r="M48" s="67" t="inlineStr">
        <is>
          <t>N</t>
        </is>
      </c>
      <c r="N48" s="148" t="n">
        <v>0</v>
      </c>
      <c r="O48" s="67" t="inlineStr">
        <is>
          <t>우리은행 거래내역조회 20260913.xlsx</t>
        </is>
      </c>
      <c r="P48" s="69" t="inlineStr">
        <is>
          <t>기존내역</t>
        </is>
      </c>
    </row>
    <row r="49">
      <c r="A49" s="146" t="n">
        <v>46288.54792824074</v>
      </c>
      <c r="B49" s="147" t="n">
        <v>46288</v>
      </c>
      <c r="C49" s="67" t="inlineStr">
        <is>
          <t>우리은행</t>
        </is>
      </c>
      <c r="D49" s="67" t="inlineStr">
        <is>
          <t>우리 220351</t>
        </is>
      </c>
      <c r="E49" s="148" t="n">
        <v>0</v>
      </c>
      <c r="F49" s="148" t="n">
        <v>2000000</v>
      </c>
      <c r="G49" s="148" t="n">
        <v>7000000</v>
      </c>
      <c r="H49" s="75" t="inlineStr">
        <is>
          <t>모바일</t>
        </is>
      </c>
      <c r="I49" s="75" t="inlineStr">
        <is>
          <t>(주)에이팜건강</t>
        </is>
      </c>
      <c r="J49" s="75" t="inlineStr">
        <is>
          <t>0195960</t>
        </is>
      </c>
      <c r="K49" s="67" t="inlineStr">
        <is>
          <t>계좌간이체</t>
        </is>
      </c>
      <c r="L49" s="67" t="inlineStr">
        <is>
          <t>Y</t>
        </is>
      </c>
      <c r="M49" s="67" t="inlineStr">
        <is>
          <t>N</t>
        </is>
      </c>
      <c r="N49" s="148" t="n">
        <v>0</v>
      </c>
      <c r="O49" s="67" t="inlineStr">
        <is>
          <t>우리은행 거래내역조회 20260913.xlsx</t>
        </is>
      </c>
      <c r="P49" s="69" t="inlineStr">
        <is>
          <t>기존내역</t>
        </is>
      </c>
    </row>
    <row r="50">
      <c r="A50" s="146" t="n">
        <v>46288.54792824074</v>
      </c>
      <c r="B50" s="147" t="n">
        <v>46288</v>
      </c>
      <c r="C50" s="67" t="inlineStr">
        <is>
          <t>국민은행</t>
        </is>
      </c>
      <c r="D50" s="67" t="inlineStr">
        <is>
          <t>국민 154577</t>
        </is>
      </c>
      <c r="E50" s="148" t="n">
        <v>2000000</v>
      </c>
      <c r="F50" s="148" t="n">
        <v>0</v>
      </c>
      <c r="G50" s="148" t="n">
        <v>35038349</v>
      </c>
      <c r="H50" s="75" t="inlineStr">
        <is>
          <t>스마트출금</t>
        </is>
      </c>
      <c r="I50" s="75" t="inlineStr">
        <is>
          <t>주식회사에이팜건강</t>
        </is>
      </c>
      <c r="J50" s="75" t="inlineStr">
        <is>
          <t>진천역</t>
        </is>
      </c>
      <c r="K50" s="67" t="inlineStr">
        <is>
          <t>계좌간이체</t>
        </is>
      </c>
      <c r="L50" s="67" t="inlineStr">
        <is>
          <t>Y</t>
        </is>
      </c>
      <c r="M50" s="67" t="inlineStr">
        <is>
          <t>N</t>
        </is>
      </c>
      <c r="N50" s="148" t="n">
        <v>0</v>
      </c>
      <c r="O50" s="67" t="inlineStr">
        <is>
          <t>우리은행 거래내역조회 20260913.xlsx</t>
        </is>
      </c>
      <c r="P50" s="69" t="inlineStr">
        <is>
          <t>기존내역</t>
        </is>
      </c>
    </row>
    <row r="51">
      <c r="A51" s="146" t="n">
        <v>46288.55136574074</v>
      </c>
      <c r="B51" s="147" t="n">
        <v>46288</v>
      </c>
      <c r="C51" s="67" t="inlineStr">
        <is>
          <t>우리은행</t>
        </is>
      </c>
      <c r="D51" s="67" t="inlineStr">
        <is>
          <t>우리 220351</t>
        </is>
      </c>
      <c r="E51" s="148" t="n">
        <v>2094800</v>
      </c>
      <c r="F51" s="148" t="n">
        <v>0</v>
      </c>
      <c r="G51" s="148" t="n">
        <v>4905200</v>
      </c>
      <c r="H51" s="75" t="inlineStr">
        <is>
          <t>인터넷</t>
        </is>
      </c>
      <c r="I51" s="75" t="inlineStr">
        <is>
          <t>국민트라이앵글 리뷰</t>
        </is>
      </c>
      <c r="J51" s="75" t="inlineStr">
        <is>
          <t>성서공단금융센터</t>
        </is>
      </c>
      <c r="K51" s="67" t="inlineStr">
        <is>
          <t>기타지출</t>
        </is>
      </c>
      <c r="L51" s="67" t="inlineStr">
        <is>
          <t>N</t>
        </is>
      </c>
      <c r="M51" s="67" t="inlineStr">
        <is>
          <t>N</t>
        </is>
      </c>
      <c r="N51" s="148" t="n">
        <v>-2094800</v>
      </c>
      <c r="O51" s="67" t="inlineStr">
        <is>
          <t>국민은행_계좌 조회 6개월(20260913).xls</t>
        </is>
      </c>
      <c r="P51" s="69" t="inlineStr">
        <is>
          <t>기존내역</t>
        </is>
      </c>
    </row>
    <row r="52">
      <c r="A52" s="146" t="n">
        <v>46288.61418981481</v>
      </c>
      <c r="B52" s="147" t="n">
        <v>46288</v>
      </c>
      <c r="C52" s="67" t="inlineStr">
        <is>
          <t>국민은행</t>
        </is>
      </c>
      <c r="D52" s="67" t="inlineStr">
        <is>
          <t>국민 154577</t>
        </is>
      </c>
      <c r="E52" s="148" t="n">
        <v>0</v>
      </c>
      <c r="F52" s="148" t="n">
        <v>218117</v>
      </c>
      <c r="G52" s="148" t="n">
        <v>35256466</v>
      </c>
      <c r="H52" s="75" t="inlineStr">
        <is>
          <t>인터넷입금이체</t>
        </is>
      </c>
      <c r="I52" s="75" t="inlineStr">
        <is>
          <t>(주)씨제이이엔엠</t>
        </is>
      </c>
      <c r="J52" s="75" t="inlineStr">
        <is>
          <t>대1-5</t>
        </is>
      </c>
      <c r="K52" s="67" t="inlineStr">
        <is>
          <t>온라인매출입금</t>
        </is>
      </c>
      <c r="L52" s="67" t="inlineStr">
        <is>
          <t>N</t>
        </is>
      </c>
      <c r="M52" s="67" t="inlineStr">
        <is>
          <t>N</t>
        </is>
      </c>
      <c r="N52" s="148" t="n">
        <v>218117</v>
      </c>
      <c r="O52" s="67" t="inlineStr">
        <is>
          <t>국민은행_계좌 조회 6개월(20260913).xls</t>
        </is>
      </c>
      <c r="P52" s="69" t="inlineStr">
        <is>
          <t>기존내역</t>
        </is>
      </c>
    </row>
    <row r="53">
      <c r="A53" s="146" t="n">
        <v>46288.69210648148</v>
      </c>
      <c r="B53" s="147" t="n">
        <v>46288</v>
      </c>
      <c r="C53" s="67" t="inlineStr">
        <is>
          <t>우리은행</t>
        </is>
      </c>
      <c r="D53" s="67" t="inlineStr">
        <is>
          <t>우리 220351</t>
        </is>
      </c>
      <c r="E53" s="148" t="n">
        <v>4905200</v>
      </c>
      <c r="F53" s="148" t="n">
        <v>0</v>
      </c>
      <c r="G53" s="148" t="n">
        <v>0</v>
      </c>
      <c r="H53" s="75" t="inlineStr">
        <is>
          <t>우리카드</t>
        </is>
      </c>
      <c r="I53" s="75" t="inlineStr">
        <is>
          <t>우리카드결제대금</t>
        </is>
      </c>
      <c r="J53" s="75" t="inlineStr">
        <is>
          <t>리테일영업총괄부(카드)</t>
        </is>
      </c>
      <c r="K53" s="67" t="inlineStr">
        <is>
          <t>우리카드 결제</t>
        </is>
      </c>
      <c r="L53" s="67" t="inlineStr">
        <is>
          <t>N</t>
        </is>
      </c>
      <c r="M53" s="67" t="inlineStr">
        <is>
          <t>Y</t>
        </is>
      </c>
      <c r="N53" s="148" t="n">
        <v>-4905200</v>
      </c>
      <c r="O53" s="67" t="inlineStr">
        <is>
          <t>우리은행 거래내역조회 20260913.xlsx</t>
        </is>
      </c>
      <c r="P53" s="69" t="inlineStr">
        <is>
          <t>기존내역</t>
        </is>
      </c>
    </row>
    <row r="54">
      <c r="A54" s="146" t="n">
        <v>46288.71649305556</v>
      </c>
      <c r="B54" s="147" t="n">
        <v>46288</v>
      </c>
      <c r="C54" s="67" t="inlineStr">
        <is>
          <t>농협</t>
        </is>
      </c>
      <c r="D54" s="67" t="inlineStr">
        <is>
          <t>농협 569003</t>
        </is>
      </c>
      <c r="E54" s="148" t="n">
        <v>2311495</v>
      </c>
      <c r="F54" s="148" t="n">
        <v>0</v>
      </c>
      <c r="G54" s="148" t="n">
        <v>0</v>
      </c>
      <c r="H54" s="75" t="inlineStr">
        <is>
          <t>NH카드대금</t>
        </is>
      </c>
      <c r="I54" s="75" t="inlineStr">
        <is>
          <t>NH기업카드</t>
        </is>
      </c>
      <c r="J54" s="75" t="inlineStr">
        <is>
          <t>농협 000998</t>
        </is>
      </c>
      <c r="K54" s="67" t="inlineStr">
        <is>
          <t>기타지출</t>
        </is>
      </c>
      <c r="L54" s="67" t="inlineStr">
        <is>
          <t>N</t>
        </is>
      </c>
      <c r="M54" s="67" t="inlineStr">
        <is>
          <t>Y</t>
        </is>
      </c>
      <c r="N54" s="148" t="n">
        <v>-2311495</v>
      </c>
      <c r="O54" s="67" t="inlineStr">
        <is>
          <t>국민은행_계좌 조회 6개월(20260913).xls</t>
        </is>
      </c>
      <c r="P54" s="69" t="inlineStr">
        <is>
          <t>기존내역</t>
        </is>
      </c>
    </row>
    <row r="55">
      <c r="A55" s="251" t="n">
        <v>46289.3608912037</v>
      </c>
      <c r="B55" s="252" t="n">
        <v>46289</v>
      </c>
      <c r="C55" s="67" t="inlineStr">
        <is>
          <t>농협</t>
        </is>
      </c>
      <c r="D55" s="67" t="inlineStr">
        <is>
          <t>농협 569003</t>
        </is>
      </c>
      <c r="E55" s="148" t="n">
        <v>0</v>
      </c>
      <c r="F55" s="148" t="n">
        <v>15</v>
      </c>
      <c r="G55" s="148" t="n">
        <v>15</v>
      </c>
      <c r="H55" s="75" t="inlineStr">
        <is>
          <t>예금이자</t>
        </is>
      </c>
      <c r="I55" s="75" t="inlineStr"/>
      <c r="J55" s="75" t="inlineStr">
        <is>
          <t>농협 150073</t>
        </is>
      </c>
      <c r="K55" s="67" t="inlineStr">
        <is>
          <t>기타입금</t>
        </is>
      </c>
      <c r="L55" s="67" t="inlineStr">
        <is>
          <t>N</t>
        </is>
      </c>
      <c r="M55" s="67" t="inlineStr">
        <is>
          <t>N</t>
        </is>
      </c>
      <c r="N55" s="148" t="n">
        <v>15</v>
      </c>
      <c r="O55" s="67" t="inlineStr">
        <is>
          <t>국민은행_계좌 조회 6개월(20260913).xls</t>
        </is>
      </c>
      <c r="P55" s="69" t="inlineStr">
        <is>
          <t>기존내역</t>
        </is>
      </c>
    </row>
    <row r="56">
      <c r="A56" s="251" t="n">
        <v>46289.96121527778</v>
      </c>
      <c r="B56" s="252" t="n">
        <v>46289</v>
      </c>
      <c r="C56" s="67" t="inlineStr">
        <is>
          <t>국민은행</t>
        </is>
      </c>
      <c r="D56" s="67" t="inlineStr">
        <is>
          <t>국민 154577</t>
        </is>
      </c>
      <c r="E56" s="148" t="n">
        <v>0</v>
      </c>
      <c r="F56" s="148" t="n">
        <v>78200</v>
      </c>
      <c r="G56" s="148" t="n">
        <v>35334666</v>
      </c>
      <c r="H56" s="75" t="inlineStr">
        <is>
          <t>전자금융</t>
        </is>
      </c>
      <c r="I56" s="75" t="inlineStr">
        <is>
          <t>이해민</t>
        </is>
      </c>
      <c r="J56" s="75" t="inlineStr">
        <is>
          <t>케이뱅크</t>
        </is>
      </c>
      <c r="K56" s="67" t="inlineStr">
        <is>
          <t>기타입금</t>
        </is>
      </c>
      <c r="L56" s="67" t="inlineStr">
        <is>
          <t>N</t>
        </is>
      </c>
      <c r="M56" s="67" t="inlineStr">
        <is>
          <t>N</t>
        </is>
      </c>
      <c r="N56" s="148" t="n">
        <v>78200</v>
      </c>
      <c r="O56" s="67" t="inlineStr">
        <is>
          <t>국민은행_계좌 조회 6개월(20260913).xls</t>
        </is>
      </c>
      <c r="P56" s="69" t="inlineStr">
        <is>
          <t>기존내역</t>
        </is>
      </c>
    </row>
    <row r="57">
      <c r="A57" s="146" t="n">
        <v>46293.12998842593</v>
      </c>
      <c r="B57" s="147" t="n">
        <v>46293</v>
      </c>
      <c r="C57" s="67" t="inlineStr">
        <is>
          <t>우리은행</t>
        </is>
      </c>
      <c r="D57" s="67" t="inlineStr">
        <is>
          <t>우리 220351</t>
        </is>
      </c>
      <c r="E57" s="148" t="n">
        <v>0</v>
      </c>
      <c r="F57" s="148" t="n">
        <v>2493338</v>
      </c>
      <c r="G57" s="148" t="n">
        <v>2493338</v>
      </c>
      <c r="H57" s="75" t="inlineStr">
        <is>
          <t>펌뱅킹</t>
        </is>
      </c>
      <c r="I57" s="75" t="inlineStr">
        <is>
          <t>스마트스토어정산</t>
        </is>
      </c>
      <c r="J57" s="75" t="inlineStr">
        <is>
          <t>두산타워기업영업지원팀</t>
        </is>
      </c>
      <c r="K57" s="67" t="inlineStr">
        <is>
          <t>온라인매출입금</t>
        </is>
      </c>
      <c r="L57" s="67" t="inlineStr">
        <is>
          <t>N</t>
        </is>
      </c>
      <c r="M57" s="67" t="inlineStr">
        <is>
          <t>N</t>
        </is>
      </c>
      <c r="N57" s="148" t="n">
        <v>2493338</v>
      </c>
      <c r="O57" s="67" t="inlineStr">
        <is>
          <t>국민은행_계좌 조회 6개월(20260913).xls</t>
        </is>
      </c>
      <c r="P57" s="69" t="inlineStr">
        <is>
          <t>기존내역</t>
        </is>
      </c>
    </row>
    <row r="58">
      <c r="A58" s="146" t="n">
        <v>46293.20311342592</v>
      </c>
      <c r="B58" s="147" t="n">
        <v>46293</v>
      </c>
      <c r="C58" s="67" t="inlineStr">
        <is>
          <t>국민은행</t>
        </is>
      </c>
      <c r="D58" s="67" t="inlineStr">
        <is>
          <t>국민 154577</t>
        </is>
      </c>
      <c r="E58" s="148" t="n">
        <v>0</v>
      </c>
      <c r="F58" s="148" t="n">
        <v>108774</v>
      </c>
      <c r="G58" s="148" t="n">
        <v>35443440</v>
      </c>
      <c r="H58" s="75" t="inlineStr">
        <is>
          <t>전자금융</t>
        </is>
      </c>
      <c r="I58" s="75" t="inlineStr">
        <is>
          <t>Npay정산</t>
        </is>
      </c>
      <c r="J58" s="75" t="inlineStr">
        <is>
          <t>SC은행</t>
        </is>
      </c>
      <c r="K58" s="67" t="inlineStr">
        <is>
          <t>온라인매출입금</t>
        </is>
      </c>
      <c r="L58" s="67" t="inlineStr">
        <is>
          <t>N</t>
        </is>
      </c>
      <c r="M58" s="67" t="inlineStr">
        <is>
          <t>N</t>
        </is>
      </c>
      <c r="N58" s="148" t="n">
        <v>108774</v>
      </c>
      <c r="O58" s="67" t="inlineStr">
        <is>
          <t>국민은행_계좌 조회 6개월(20260913).xls</t>
        </is>
      </c>
      <c r="P58" s="69" t="inlineStr">
        <is>
          <t>기존내역</t>
        </is>
      </c>
    </row>
    <row r="59">
      <c r="A59" s="146" t="n">
        <v>46293.29472222222</v>
      </c>
      <c r="B59" s="147" t="n">
        <v>46293</v>
      </c>
      <c r="C59" s="67" t="inlineStr">
        <is>
          <t>농협</t>
        </is>
      </c>
      <c r="D59" s="67" t="inlineStr">
        <is>
          <t>농협 569003</t>
        </is>
      </c>
      <c r="E59" s="148" t="n">
        <v>15</v>
      </c>
      <c r="F59" s="148" t="n">
        <v>0</v>
      </c>
      <c r="G59" s="148" t="n">
        <v>0</v>
      </c>
      <c r="H59" s="75" t="inlineStr">
        <is>
          <t>NH카드대금</t>
        </is>
      </c>
      <c r="I59" s="75" t="inlineStr">
        <is>
          <t>NH기업카드</t>
        </is>
      </c>
      <c r="J59" s="75" t="inlineStr">
        <is>
          <t>농협 150073</t>
        </is>
      </c>
      <c r="K59" s="67" t="inlineStr">
        <is>
          <t>기타지출</t>
        </is>
      </c>
      <c r="L59" s="67" t="inlineStr">
        <is>
          <t>N</t>
        </is>
      </c>
      <c r="M59" s="67" t="inlineStr">
        <is>
          <t>N</t>
        </is>
      </c>
      <c r="N59" s="148" t="n">
        <v>-15</v>
      </c>
      <c r="O59" s="67" t="inlineStr">
        <is>
          <t>우리은행 거래내역조회 20260913.xlsx</t>
        </is>
      </c>
      <c r="P59" s="69" t="inlineStr">
        <is>
          <t>기존내역</t>
        </is>
      </c>
    </row>
    <row r="60">
      <c r="A60" s="146" t="n">
        <v>46293.4440625</v>
      </c>
      <c r="B60" s="147" t="n">
        <v>46293</v>
      </c>
      <c r="C60" s="67" t="inlineStr">
        <is>
          <t>국민은행</t>
        </is>
      </c>
      <c r="D60" s="67" t="inlineStr">
        <is>
          <t>국민 169124</t>
        </is>
      </c>
      <c r="E60" s="148" t="n">
        <v>0</v>
      </c>
      <c r="F60" s="148" t="n">
        <v>2497000</v>
      </c>
      <c r="G60" s="148" t="n">
        <v>103184200</v>
      </c>
      <c r="H60" s="75" t="inlineStr">
        <is>
          <t>기일입금</t>
        </is>
      </c>
      <c r="I60" s="75" t="inlineStr">
        <is>
          <t>(주)에이팜건강</t>
        </is>
      </c>
      <c r="J60" s="75" t="inlineStr">
        <is>
          <t>진천역</t>
        </is>
      </c>
      <c r="K60" s="67" t="inlineStr">
        <is>
          <t>계좌간이체</t>
        </is>
      </c>
      <c r="L60" s="67" t="inlineStr">
        <is>
          <t>Y</t>
        </is>
      </c>
      <c r="M60" s="67" t="inlineStr">
        <is>
          <t>N</t>
        </is>
      </c>
      <c r="N60" s="148" t="n">
        <v>0</v>
      </c>
      <c r="O60" s="67" t="inlineStr">
        <is>
          <t>우리은행 거래내역조회 20260913.xlsx</t>
        </is>
      </c>
      <c r="P60" s="69" t="inlineStr">
        <is>
          <t>기존내역</t>
        </is>
      </c>
    </row>
    <row r="61">
      <c r="A61" s="146" t="n">
        <v>46293.4440625</v>
      </c>
      <c r="B61" s="147" t="n">
        <v>46293</v>
      </c>
      <c r="C61" s="67" t="inlineStr">
        <is>
          <t>국민은행</t>
        </is>
      </c>
      <c r="D61" s="67" t="inlineStr">
        <is>
          <t>국민 154577</t>
        </is>
      </c>
      <c r="E61" s="148" t="n">
        <v>2497000</v>
      </c>
      <c r="F61" s="148" t="n">
        <v>0</v>
      </c>
      <c r="G61" s="148" t="n">
        <v>32946440</v>
      </c>
      <c r="H61" s="75" t="inlineStr">
        <is>
          <t>기일출금</t>
        </is>
      </c>
      <c r="I61" s="75" t="inlineStr">
        <is>
          <t>(주)에이팜건강</t>
        </is>
      </c>
      <c r="J61" s="75" t="inlineStr">
        <is>
          <t>진천역</t>
        </is>
      </c>
      <c r="K61" s="67" t="inlineStr">
        <is>
          <t>계좌간이체</t>
        </is>
      </c>
      <c r="L61" s="67" t="inlineStr">
        <is>
          <t>Y</t>
        </is>
      </c>
      <c r="M61" s="67" t="inlineStr">
        <is>
          <t>N</t>
        </is>
      </c>
      <c r="N61" s="148" t="n">
        <v>0</v>
      </c>
      <c r="O61" s="67" t="inlineStr">
        <is>
          <t>우리은행 거래내역조회 20260913.xlsx</t>
        </is>
      </c>
      <c r="P61" s="69" t="inlineStr">
        <is>
          <t>기존내역</t>
        </is>
      </c>
    </row>
    <row r="62">
      <c r="A62" s="146" t="n">
        <v>46293.44828703703</v>
      </c>
      <c r="B62" s="147" t="n">
        <v>46293</v>
      </c>
      <c r="C62" s="67" t="inlineStr">
        <is>
          <t>국민은행</t>
        </is>
      </c>
      <c r="D62" s="67" t="inlineStr">
        <is>
          <t>국민 154577</t>
        </is>
      </c>
      <c r="E62" s="148" t="n">
        <v>0</v>
      </c>
      <c r="F62" s="148" t="n">
        <v>1139217</v>
      </c>
      <c r="G62" s="148" t="n">
        <v>34085657</v>
      </c>
      <c r="H62" s="75" t="inlineStr">
        <is>
          <t>전자금융</t>
        </is>
      </c>
      <c r="I62" s="75" t="inlineStr">
        <is>
          <t>KG이니시스</t>
        </is>
      </c>
      <c r="J62" s="75" t="inlineStr">
        <is>
          <t>하나은행</t>
        </is>
      </c>
      <c r="K62" s="67" t="inlineStr">
        <is>
          <t>온라인매출입금</t>
        </is>
      </c>
      <c r="L62" s="67" t="inlineStr">
        <is>
          <t>N</t>
        </is>
      </c>
      <c r="M62" s="67" t="inlineStr">
        <is>
          <t>N</t>
        </is>
      </c>
      <c r="N62" s="148" t="n">
        <v>1139217</v>
      </c>
      <c r="O62" s="67" t="inlineStr">
        <is>
          <t>우리은행 거래내역조회 20260913.xlsx</t>
        </is>
      </c>
      <c r="P62" s="69" t="inlineStr">
        <is>
          <t>기존내역</t>
        </is>
      </c>
    </row>
    <row r="63">
      <c r="A63" s="146" t="n">
        <v>46293.44983796297</v>
      </c>
      <c r="B63" s="147" t="n">
        <v>46293</v>
      </c>
      <c r="C63" s="67" t="inlineStr">
        <is>
          <t>국민은행</t>
        </is>
      </c>
      <c r="D63" s="67" t="inlineStr">
        <is>
          <t>국민 154577</t>
        </is>
      </c>
      <c r="E63" s="148" t="n">
        <v>0</v>
      </c>
      <c r="F63" s="148" t="n">
        <v>58308</v>
      </c>
      <c r="G63" s="148" t="n">
        <v>34143965</v>
      </c>
      <c r="H63" s="75" t="inlineStr">
        <is>
          <t>전자금융</t>
        </is>
      </c>
      <c r="I63" s="75" t="inlineStr">
        <is>
          <t>주식회사지마켓</t>
        </is>
      </c>
      <c r="J63" s="75" t="inlineStr">
        <is>
          <t>신한은행</t>
        </is>
      </c>
      <c r="K63" s="67" t="inlineStr">
        <is>
          <t>온라인매출입금</t>
        </is>
      </c>
      <c r="L63" s="67" t="inlineStr">
        <is>
          <t>N</t>
        </is>
      </c>
      <c r="M63" s="67" t="inlineStr">
        <is>
          <t>N</t>
        </is>
      </c>
      <c r="N63" s="148" t="n">
        <v>58308</v>
      </c>
      <c r="O63" s="67" t="inlineStr">
        <is>
          <t>우리은행 거래내역조회 20260913.xlsx</t>
        </is>
      </c>
      <c r="P63" s="69" t="inlineStr">
        <is>
          <t>기존내역</t>
        </is>
      </c>
    </row>
    <row r="64">
      <c r="A64" s="146" t="n">
        <v>46293.47164351852</v>
      </c>
      <c r="B64" s="147" t="n">
        <v>46293</v>
      </c>
      <c r="C64" s="67" t="inlineStr">
        <is>
          <t>국민은행</t>
        </is>
      </c>
      <c r="D64" s="67" t="inlineStr">
        <is>
          <t>국민 154577</t>
        </is>
      </c>
      <c r="E64" s="148" t="n">
        <v>0</v>
      </c>
      <c r="F64" s="148" t="n">
        <v>302844</v>
      </c>
      <c r="G64" s="148" t="n">
        <v>34446809</v>
      </c>
      <c r="H64" s="75" t="inlineStr">
        <is>
          <t>전자금융</t>
        </is>
      </c>
      <c r="I64" s="75" t="inlineStr">
        <is>
          <t>KG이니시스</t>
        </is>
      </c>
      <c r="J64" s="75" t="inlineStr">
        <is>
          <t>하나은행</t>
        </is>
      </c>
      <c r="K64" s="67" t="inlineStr">
        <is>
          <t>온라인매출입금</t>
        </is>
      </c>
      <c r="L64" s="67" t="inlineStr">
        <is>
          <t>N</t>
        </is>
      </c>
      <c r="M64" s="67" t="inlineStr">
        <is>
          <t>N</t>
        </is>
      </c>
      <c r="N64" s="148" t="n">
        <v>302844</v>
      </c>
      <c r="O64" s="67" t="inlineStr">
        <is>
          <t>우리은행 거래내역조회 20260913.xlsx</t>
        </is>
      </c>
      <c r="P64" s="69" t="inlineStr">
        <is>
          <t>기존내역</t>
        </is>
      </c>
    </row>
    <row r="65">
      <c r="A65" s="146" t="n">
        <v>46293.49666666667</v>
      </c>
      <c r="B65" s="147" t="n">
        <v>46293</v>
      </c>
      <c r="C65" s="67" t="inlineStr">
        <is>
          <t>농협</t>
        </is>
      </c>
      <c r="D65" s="67" t="inlineStr">
        <is>
          <t>농협 569003</t>
        </is>
      </c>
      <c r="E65" s="148" t="n">
        <v>0</v>
      </c>
      <c r="F65" s="148" t="n">
        <v>35000</v>
      </c>
      <c r="G65" s="148" t="n">
        <v>35000</v>
      </c>
      <c r="H65" s="75" t="inlineStr">
        <is>
          <t>폰국민은행</t>
        </is>
      </c>
      <c r="I65" s="75" t="inlineStr">
        <is>
          <t>허수원</t>
        </is>
      </c>
      <c r="J65" s="75" t="inlineStr">
        <is>
          <t>국민 0068398</t>
        </is>
      </c>
      <c r="K65" s="67" t="inlineStr">
        <is>
          <t>기타입금</t>
        </is>
      </c>
      <c r="L65" s="67" t="inlineStr">
        <is>
          <t>N</t>
        </is>
      </c>
      <c r="M65" s="67" t="inlineStr">
        <is>
          <t>N</t>
        </is>
      </c>
      <c r="N65" s="148" t="n">
        <v>35000</v>
      </c>
      <c r="O65" s="67" t="inlineStr">
        <is>
          <t>우리은행 거래내역조회 20260913.xlsx</t>
        </is>
      </c>
      <c r="P65" s="69" t="inlineStr">
        <is>
          <t>기존내역</t>
        </is>
      </c>
    </row>
    <row r="66">
      <c r="A66" s="146" t="n">
        <v>46293.49667824074</v>
      </c>
      <c r="B66" s="147" t="n">
        <v>46293</v>
      </c>
      <c r="C66" s="67" t="inlineStr">
        <is>
          <t>농협</t>
        </is>
      </c>
      <c r="D66" s="67" t="inlineStr">
        <is>
          <t>농협 569003</t>
        </is>
      </c>
      <c r="E66" s="148" t="n">
        <v>35000</v>
      </c>
      <c r="F66" s="148" t="n">
        <v>0</v>
      </c>
      <c r="G66" s="148" t="n">
        <v>0</v>
      </c>
      <c r="H66" s="75" t="inlineStr">
        <is>
          <t>NH카드대금</t>
        </is>
      </c>
      <c r="I66" s="75" t="inlineStr">
        <is>
          <t>NH기업카드</t>
        </is>
      </c>
      <c r="J66" s="75" t="inlineStr">
        <is>
          <t>농협 150073</t>
        </is>
      </c>
      <c r="K66" s="67" t="inlineStr">
        <is>
          <t>기타지출</t>
        </is>
      </c>
      <c r="L66" s="67" t="inlineStr">
        <is>
          <t>N</t>
        </is>
      </c>
      <c r="M66" s="67" t="inlineStr">
        <is>
          <t>N</t>
        </is>
      </c>
      <c r="N66" s="148" t="n">
        <v>-35000</v>
      </c>
      <c r="O66" s="67" t="inlineStr">
        <is>
          <t>농협계좌_6개월(20260913).xls</t>
        </is>
      </c>
      <c r="P66" s="69" t="inlineStr">
        <is>
          <t>기존내역</t>
        </is>
      </c>
    </row>
    <row r="67">
      <c r="A67" s="146" t="n">
        <v>46293.55993055556</v>
      </c>
      <c r="B67" s="147" t="n">
        <v>46293</v>
      </c>
      <c r="C67" s="67" t="inlineStr">
        <is>
          <t>국민은행</t>
        </is>
      </c>
      <c r="D67" s="67" t="inlineStr">
        <is>
          <t>국민 154577</t>
        </is>
      </c>
      <c r="E67" s="148" t="n">
        <v>0</v>
      </c>
      <c r="F67" s="148" t="n">
        <v>6000</v>
      </c>
      <c r="G67" s="148" t="n">
        <v>34452809</v>
      </c>
      <c r="H67" s="75" t="inlineStr">
        <is>
          <t>전자금융</t>
        </is>
      </c>
      <c r="I67" s="75" t="inlineStr">
        <is>
          <t>정소영</t>
        </is>
      </c>
      <c r="J67" s="75" t="inlineStr">
        <is>
          <t>농협</t>
        </is>
      </c>
      <c r="K67" s="67" t="inlineStr">
        <is>
          <t>기타입금</t>
        </is>
      </c>
      <c r="L67" s="67" t="inlineStr">
        <is>
          <t>N</t>
        </is>
      </c>
      <c r="M67" s="67" t="inlineStr">
        <is>
          <t>N</t>
        </is>
      </c>
      <c r="N67" s="148" t="n">
        <v>6000</v>
      </c>
      <c r="O67" s="67" t="inlineStr">
        <is>
          <t>국민은행_계좌 조회 6개월(20260913).xls</t>
        </is>
      </c>
      <c r="P67" s="69" t="inlineStr">
        <is>
          <t>기존내역</t>
        </is>
      </c>
    </row>
    <row r="68">
      <c r="A68" s="146" t="n"/>
      <c r="B68" s="147" t="n"/>
      <c r="C68" s="67" t="n"/>
      <c r="D68" s="67" t="n"/>
      <c r="E68" s="148" t="n"/>
      <c r="F68" s="148" t="n"/>
      <c r="G68" s="148" t="n"/>
      <c r="H68" s="75" t="n"/>
      <c r="I68" s="75" t="n"/>
      <c r="J68" s="75" t="n"/>
      <c r="K68" s="67" t="n"/>
      <c r="L68" s="67" t="n"/>
      <c r="M68" s="67" t="n"/>
      <c r="N68" s="148" t="n"/>
      <c r="O68" s="67" t="inlineStr">
        <is>
          <t>우리은행 거래내역조회 20260913.xlsx</t>
        </is>
      </c>
      <c r="P68" s="69" t="inlineStr">
        <is>
          <t>기존내역</t>
        </is>
      </c>
    </row>
    <row r="69">
      <c r="A69" s="146" t="n"/>
      <c r="B69" s="147" t="n"/>
      <c r="C69" s="67" t="n"/>
      <c r="D69" s="67" t="n"/>
      <c r="E69" s="148" t="n"/>
      <c r="F69" s="148" t="n"/>
      <c r="G69" s="148" t="n"/>
      <c r="H69" s="75" t="n"/>
      <c r="I69" s="75" t="n"/>
      <c r="J69" s="75" t="n"/>
      <c r="K69" s="67" t="n"/>
      <c r="L69" s="67" t="n"/>
      <c r="M69" s="67" t="n"/>
      <c r="N69" s="148" t="n"/>
      <c r="O69" s="67" t="inlineStr">
        <is>
          <t>국민은행_계좌 조회 6개월(20260913).xls</t>
        </is>
      </c>
      <c r="P69" s="69" t="inlineStr">
        <is>
          <t>기존내역</t>
        </is>
      </c>
    </row>
    <row r="70">
      <c r="A70" s="146" t="n"/>
      <c r="B70" s="147" t="n"/>
      <c r="C70" s="67" t="n"/>
      <c r="D70" s="67" t="n"/>
      <c r="E70" s="148" t="n"/>
      <c r="F70" s="148" t="n"/>
      <c r="G70" s="148" t="n"/>
      <c r="H70" s="75" t="n"/>
      <c r="I70" s="75" t="n"/>
      <c r="J70" s="75" t="n"/>
      <c r="K70" s="67" t="n"/>
      <c r="L70" s="67" t="n"/>
      <c r="M70" s="67" t="n"/>
      <c r="N70" s="148" t="n"/>
      <c r="O70" s="67" t="inlineStr">
        <is>
          <t>국민은행_계좌 조회 6개월(20260913).xls</t>
        </is>
      </c>
      <c r="P70" s="69" t="inlineStr">
        <is>
          <t>기존내역</t>
        </is>
      </c>
    </row>
    <row r="71">
      <c r="A71" s="146" t="n"/>
      <c r="B71" s="147" t="n"/>
      <c r="C71" s="67" t="n"/>
      <c r="D71" s="67" t="n"/>
      <c r="E71" s="148" t="n"/>
      <c r="F71" s="148" t="n"/>
      <c r="G71" s="148" t="n"/>
      <c r="H71" s="75" t="n"/>
      <c r="I71" s="75" t="n"/>
      <c r="J71" s="75" t="n"/>
      <c r="K71" s="67" t="n"/>
      <c r="L71" s="67" t="n"/>
      <c r="M71" s="67" t="n"/>
      <c r="N71" s="148" t="n"/>
      <c r="O71" s="67" t="inlineStr">
        <is>
          <t>국민은행_계좌 조회 6개월(20260913).xls</t>
        </is>
      </c>
      <c r="P71" s="69" t="inlineStr">
        <is>
          <t>기존내역</t>
        </is>
      </c>
    </row>
    <row r="72">
      <c r="A72" s="146" t="n"/>
      <c r="B72" s="147" t="n"/>
      <c r="C72" s="67" t="n"/>
      <c r="D72" s="67" t="n"/>
      <c r="E72" s="148" t="n"/>
      <c r="F72" s="148" t="n"/>
      <c r="G72" s="148" t="n"/>
      <c r="H72" s="75" t="n"/>
      <c r="I72" s="75" t="n"/>
      <c r="J72" s="75" t="n"/>
      <c r="K72" s="67" t="n"/>
      <c r="L72" s="67" t="n"/>
      <c r="M72" s="67" t="n"/>
      <c r="N72" s="148" t="n"/>
      <c r="O72" s="67" t="inlineStr">
        <is>
          <t>농협계좌_6개월(20260913).xls</t>
        </is>
      </c>
      <c r="P72" s="69" t="inlineStr">
        <is>
          <t>기존내역</t>
        </is>
      </c>
    </row>
    <row r="73">
      <c r="A73" s="146" t="n"/>
      <c r="B73" s="147" t="n"/>
      <c r="C73" s="67" t="n"/>
      <c r="D73" s="67" t="n"/>
      <c r="E73" s="148" t="n"/>
      <c r="F73" s="148" t="n"/>
      <c r="G73" s="148" t="n"/>
      <c r="H73" s="75" t="n"/>
      <c r="I73" s="75" t="n"/>
      <c r="J73" s="75" t="n"/>
      <c r="K73" s="67" t="n"/>
      <c r="L73" s="67" t="n"/>
      <c r="M73" s="67" t="n"/>
      <c r="N73" s="148" t="n"/>
      <c r="O73" s="67" t="inlineStr">
        <is>
          <t>우리은행 거래내역조회 20260913.xlsx</t>
        </is>
      </c>
      <c r="P73" s="69" t="inlineStr">
        <is>
          <t>기존내역</t>
        </is>
      </c>
    </row>
    <row r="74">
      <c r="A74" s="146" t="n"/>
      <c r="B74" s="147" t="n"/>
      <c r="C74" s="67" t="n"/>
      <c r="D74" s="67" t="n"/>
      <c r="E74" s="148" t="n"/>
      <c r="F74" s="148" t="n"/>
      <c r="G74" s="148" t="n"/>
      <c r="H74" s="75" t="n"/>
      <c r="I74" s="75" t="n"/>
      <c r="J74" s="75" t="n"/>
      <c r="K74" s="67" t="n"/>
      <c r="L74" s="67" t="n"/>
      <c r="M74" s="67" t="n"/>
      <c r="N74" s="148" t="n"/>
      <c r="O74" s="67" t="inlineStr">
        <is>
          <t>우리은행 거래내역조회 20260913.xlsx</t>
        </is>
      </c>
      <c r="P74" s="69" t="inlineStr">
        <is>
          <t>기존내역</t>
        </is>
      </c>
    </row>
    <row r="75">
      <c r="A75" s="146" t="n"/>
      <c r="B75" s="147" t="n"/>
      <c r="C75" s="67" t="n"/>
      <c r="D75" s="67" t="n"/>
      <c r="E75" s="148" t="n"/>
      <c r="F75" s="148" t="n"/>
      <c r="G75" s="148" t="n"/>
      <c r="H75" s="75" t="n"/>
      <c r="I75" s="75" t="n"/>
      <c r="J75" s="75" t="n"/>
      <c r="K75" s="67" t="n"/>
      <c r="L75" s="67" t="n"/>
      <c r="M75" s="67" t="n"/>
      <c r="N75" s="148" t="n"/>
      <c r="O75" s="67" t="inlineStr">
        <is>
          <t>농협계좌_6개월(20260913).xls</t>
        </is>
      </c>
      <c r="P75" s="69" t="inlineStr">
        <is>
          <t>기존내역</t>
        </is>
      </c>
    </row>
    <row r="76">
      <c r="A76" s="146" t="n"/>
      <c r="B76" s="147" t="n"/>
      <c r="C76" s="67" t="n"/>
      <c r="D76" s="67" t="n"/>
      <c r="E76" s="148" t="n"/>
      <c r="F76" s="148" t="n"/>
      <c r="G76" s="148" t="n"/>
      <c r="H76" s="75" t="n"/>
      <c r="I76" s="75" t="n"/>
      <c r="J76" s="75" t="n"/>
      <c r="K76" s="67" t="n"/>
      <c r="L76" s="67" t="n"/>
      <c r="M76" s="67" t="n"/>
      <c r="N76" s="148" t="n"/>
      <c r="O76" s="67" t="inlineStr">
        <is>
          <t>국민은행_계좌 조회 6개월(20260913).xls</t>
        </is>
      </c>
      <c r="P76" s="69" t="inlineStr">
        <is>
          <t>기존내역</t>
        </is>
      </c>
    </row>
    <row r="77">
      <c r="A77" s="146" t="n"/>
      <c r="B77" s="147" t="n"/>
      <c r="C77" s="67" t="n"/>
      <c r="D77" s="67" t="n"/>
      <c r="E77" s="148" t="n"/>
      <c r="F77" s="148" t="n"/>
      <c r="G77" s="148" t="n"/>
      <c r="H77" s="75" t="n"/>
      <c r="I77" s="75" t="n"/>
      <c r="J77" s="75" t="n"/>
      <c r="K77" s="67" t="n"/>
      <c r="L77" s="67" t="n"/>
      <c r="M77" s="67" t="n"/>
      <c r="N77" s="148" t="n"/>
      <c r="O77" s="67" t="inlineStr">
        <is>
          <t>국민은행_계좌 조회 6개월(20260913).xls</t>
        </is>
      </c>
      <c r="P77" s="69" t="inlineStr">
        <is>
          <t>기존내역</t>
        </is>
      </c>
    </row>
    <row r="78">
      <c r="A78" s="146" t="n"/>
      <c r="B78" s="147" t="n"/>
      <c r="C78" s="67" t="n"/>
      <c r="D78" s="67" t="n"/>
      <c r="E78" s="148" t="n"/>
      <c r="F78" s="148" t="n"/>
      <c r="G78" s="148" t="n"/>
      <c r="H78" s="75" t="n"/>
      <c r="I78" s="75" t="n"/>
      <c r="J78" s="75" t="n"/>
      <c r="K78" s="67" t="n"/>
      <c r="L78" s="67" t="n"/>
      <c r="M78" s="67" t="n"/>
      <c r="N78" s="148" t="n"/>
      <c r="O78" s="67" t="inlineStr">
        <is>
          <t>국민은행_계좌 조회 6개월(20260913).xls</t>
        </is>
      </c>
      <c r="P78" s="69" t="inlineStr">
        <is>
          <t>기존내역</t>
        </is>
      </c>
    </row>
    <row r="79">
      <c r="A79" s="146" t="n"/>
      <c r="B79" s="147" t="n"/>
      <c r="C79" s="67" t="n"/>
      <c r="D79" s="67" t="n"/>
      <c r="E79" s="148" t="n"/>
      <c r="F79" s="148" t="n"/>
      <c r="G79" s="148" t="n"/>
      <c r="H79" s="75" t="n"/>
      <c r="I79" s="75" t="n"/>
      <c r="J79" s="75" t="n"/>
      <c r="K79" s="67" t="n"/>
      <c r="L79" s="67" t="n"/>
      <c r="M79" s="67" t="n"/>
      <c r="N79" s="148" t="n"/>
      <c r="O79" s="67" t="inlineStr">
        <is>
          <t>우리은행 거래내역조회 20260913.xlsx</t>
        </is>
      </c>
      <c r="P79" s="69" t="inlineStr">
        <is>
          <t>기존내역</t>
        </is>
      </c>
    </row>
    <row r="80">
      <c r="A80" s="146" t="n"/>
      <c r="B80" s="147" t="n"/>
      <c r="C80" s="67" t="n"/>
      <c r="D80" s="67" t="n"/>
      <c r="E80" s="148" t="n"/>
      <c r="F80" s="148" t="n"/>
      <c r="G80" s="148" t="n"/>
      <c r="H80" s="75" t="n"/>
      <c r="I80" s="75" t="n"/>
      <c r="J80" s="75" t="n"/>
      <c r="K80" s="67" t="n"/>
      <c r="L80" s="67" t="n"/>
      <c r="M80" s="67" t="n"/>
      <c r="N80" s="148" t="n"/>
      <c r="O80" s="67" t="inlineStr">
        <is>
          <t>우리은행 거래내역조회 20260913.xlsx</t>
        </is>
      </c>
      <c r="P80" s="69" t="inlineStr">
        <is>
          <t>기존내역</t>
        </is>
      </c>
    </row>
    <row r="81">
      <c r="A81" s="146" t="n"/>
      <c r="B81" s="147" t="n"/>
      <c r="C81" s="67" t="n"/>
      <c r="D81" s="67" t="n"/>
      <c r="E81" s="148" t="n"/>
      <c r="F81" s="148" t="n"/>
      <c r="G81" s="148" t="n"/>
      <c r="H81" s="75" t="n"/>
      <c r="I81" s="75" t="n"/>
      <c r="J81" s="75" t="n"/>
      <c r="K81" s="67" t="n"/>
      <c r="L81" s="67" t="n"/>
      <c r="M81" s="67" t="n"/>
      <c r="N81" s="148" t="n"/>
      <c r="O81" s="67" t="inlineStr">
        <is>
          <t>농협계좌_6개월(20260913).xls</t>
        </is>
      </c>
      <c r="P81" s="69" t="inlineStr">
        <is>
          <t>기존내역</t>
        </is>
      </c>
    </row>
    <row r="82">
      <c r="A82" s="146" t="n"/>
      <c r="B82" s="147" t="n"/>
      <c r="C82" s="67" t="n"/>
      <c r="D82" s="67" t="n"/>
      <c r="E82" s="148" t="n"/>
      <c r="F82" s="148" t="n"/>
      <c r="G82" s="148" t="n"/>
      <c r="H82" s="75" t="n"/>
      <c r="I82" s="75" t="n"/>
      <c r="J82" s="75" t="n"/>
      <c r="K82" s="67" t="n"/>
      <c r="L82" s="67" t="n"/>
      <c r="M82" s="67" t="n"/>
      <c r="N82" s="148" t="n"/>
      <c r="O82" s="67" t="inlineStr">
        <is>
          <t>국민은행_계좌 조회 6개월(20260913).xls</t>
        </is>
      </c>
      <c r="P82" s="69" t="inlineStr">
        <is>
          <t>기존내역</t>
        </is>
      </c>
    </row>
    <row r="83">
      <c r="A83" s="146" t="n"/>
      <c r="B83" s="147" t="n"/>
      <c r="C83" s="67" t="n"/>
      <c r="D83" s="67" t="n"/>
      <c r="E83" s="148" t="n"/>
      <c r="F83" s="148" t="n"/>
      <c r="G83" s="148" t="n"/>
      <c r="H83" s="75" t="n"/>
      <c r="I83" s="75" t="n"/>
      <c r="J83" s="75" t="n"/>
      <c r="K83" s="67" t="n"/>
      <c r="L83" s="67" t="n"/>
      <c r="M83" s="67" t="n"/>
      <c r="N83" s="148" t="n"/>
      <c r="O83" s="67" t="inlineStr">
        <is>
          <t>국민은행_계좌 조회 6개월(20260913).xls</t>
        </is>
      </c>
      <c r="P83" s="69" t="inlineStr">
        <is>
          <t>기존내역</t>
        </is>
      </c>
    </row>
    <row r="84">
      <c r="A84" s="146" t="n"/>
      <c r="B84" s="147" t="n"/>
      <c r="C84" s="67" t="n"/>
      <c r="D84" s="67" t="n"/>
      <c r="E84" s="148" t="n"/>
      <c r="F84" s="148" t="n"/>
      <c r="G84" s="148" t="n"/>
      <c r="H84" s="75" t="n"/>
      <c r="I84" s="75" t="n"/>
      <c r="J84" s="75" t="n"/>
      <c r="K84" s="67" t="n"/>
      <c r="L84" s="67" t="n"/>
      <c r="M84" s="67" t="n"/>
      <c r="N84" s="148" t="n"/>
      <c r="O84" s="67" t="inlineStr">
        <is>
          <t>국민은행_계좌 조회 6개월(20260913).xls</t>
        </is>
      </c>
      <c r="P84" s="69" t="inlineStr">
        <is>
          <t>기존내역</t>
        </is>
      </c>
    </row>
    <row r="85">
      <c r="A85" s="146" t="n"/>
      <c r="B85" s="147" t="n"/>
      <c r="C85" s="67" t="n"/>
      <c r="D85" s="67" t="n"/>
      <c r="E85" s="148" t="n"/>
      <c r="F85" s="148" t="n"/>
      <c r="G85" s="148" t="n"/>
      <c r="H85" s="75" t="n"/>
      <c r="I85" s="75" t="n"/>
      <c r="J85" s="75" t="n"/>
      <c r="K85" s="67" t="n"/>
      <c r="L85" s="67" t="n"/>
      <c r="M85" s="67" t="n"/>
      <c r="N85" s="148" t="n"/>
      <c r="O85" s="67" t="inlineStr">
        <is>
          <t>국민은행_계좌 조회 6개월(20260913).xls</t>
        </is>
      </c>
      <c r="P85" s="69" t="inlineStr">
        <is>
          <t>기존내역</t>
        </is>
      </c>
    </row>
    <row r="86">
      <c r="A86" s="146" t="n"/>
      <c r="B86" s="147" t="n"/>
      <c r="C86" s="67" t="n"/>
      <c r="D86" s="67" t="n"/>
      <c r="E86" s="148" t="n"/>
      <c r="F86" s="148" t="n"/>
      <c r="G86" s="148" t="n"/>
      <c r="H86" s="75" t="n"/>
      <c r="I86" s="75" t="n"/>
      <c r="J86" s="75" t="n"/>
      <c r="K86" s="67" t="n"/>
      <c r="L86" s="67" t="n"/>
      <c r="M86" s="67" t="n"/>
      <c r="N86" s="148" t="n"/>
      <c r="O86" s="67" t="inlineStr">
        <is>
          <t>국민은행_계좌 조회 6개월(20260913).xls</t>
        </is>
      </c>
      <c r="P86" s="69" t="inlineStr">
        <is>
          <t>기존내역</t>
        </is>
      </c>
    </row>
    <row r="87">
      <c r="A87" s="146" t="n"/>
      <c r="B87" s="147" t="n"/>
      <c r="C87" s="67" t="n"/>
      <c r="D87" s="67" t="n"/>
      <c r="E87" s="148" t="n"/>
      <c r="F87" s="148" t="n"/>
      <c r="G87" s="148" t="n"/>
      <c r="H87" s="75" t="n"/>
      <c r="I87" s="75" t="n"/>
      <c r="J87" s="75" t="n"/>
      <c r="K87" s="67" t="n"/>
      <c r="L87" s="67" t="n"/>
      <c r="M87" s="67" t="n"/>
      <c r="N87" s="148" t="n"/>
      <c r="O87" s="67" t="inlineStr">
        <is>
          <t>우리은행 거래내역조회 20260913.xlsx</t>
        </is>
      </c>
      <c r="P87" s="69" t="inlineStr">
        <is>
          <t>기존내역</t>
        </is>
      </c>
    </row>
    <row r="88">
      <c r="A88" s="146" t="n"/>
      <c r="B88" s="147" t="n"/>
      <c r="C88" s="67" t="n"/>
      <c r="D88" s="67" t="n"/>
      <c r="E88" s="148" t="n"/>
      <c r="F88" s="148" t="n"/>
      <c r="G88" s="148" t="n"/>
      <c r="H88" s="75" t="n"/>
      <c r="I88" s="75" t="n"/>
      <c r="J88" s="75" t="n"/>
      <c r="K88" s="67" t="n"/>
      <c r="L88" s="67" t="n"/>
      <c r="M88" s="67" t="n"/>
      <c r="N88" s="148" t="n"/>
      <c r="O88" s="67" t="inlineStr">
        <is>
          <t>국민은행_계좌 조회 6개월(20260913).xls</t>
        </is>
      </c>
      <c r="P88" s="69" t="inlineStr">
        <is>
          <t>기존내역</t>
        </is>
      </c>
    </row>
    <row r="89">
      <c r="A89" s="146" t="n"/>
      <c r="B89" s="147" t="n"/>
      <c r="C89" s="67" t="n"/>
      <c r="D89" s="67" t="n"/>
      <c r="E89" s="148" t="n"/>
      <c r="F89" s="148" t="n"/>
      <c r="G89" s="148" t="n"/>
      <c r="H89" s="75" t="n"/>
      <c r="I89" s="75" t="n"/>
      <c r="J89" s="75" t="n"/>
      <c r="K89" s="67" t="n"/>
      <c r="L89" s="67" t="n"/>
      <c r="M89" s="67" t="n"/>
      <c r="N89" s="148" t="n"/>
      <c r="O89" s="67" t="inlineStr">
        <is>
          <t>우리은행 거래내역조회 20260913.xlsx</t>
        </is>
      </c>
      <c r="P89" s="69" t="inlineStr">
        <is>
          <t>기존내역</t>
        </is>
      </c>
    </row>
    <row r="90">
      <c r="A90" s="146" t="n"/>
      <c r="B90" s="147" t="n"/>
      <c r="C90" s="67" t="n"/>
      <c r="D90" s="67" t="n"/>
      <c r="E90" s="148" t="n"/>
      <c r="F90" s="148" t="n"/>
      <c r="G90" s="148" t="n"/>
      <c r="H90" s="75" t="n"/>
      <c r="I90" s="75" t="n"/>
      <c r="J90" s="75" t="n"/>
      <c r="K90" s="67" t="n"/>
      <c r="L90" s="67" t="n"/>
      <c r="M90" s="67" t="n"/>
      <c r="N90" s="148" t="n"/>
      <c r="O90" s="67" t="inlineStr">
        <is>
          <t>우리은행 거래내역조회 20260913.xlsx</t>
        </is>
      </c>
      <c r="P90" s="69" t="inlineStr">
        <is>
          <t>기존내역</t>
        </is>
      </c>
    </row>
    <row r="91">
      <c r="A91" s="146" t="n"/>
      <c r="B91" s="147" t="n"/>
      <c r="C91" s="67" t="n"/>
      <c r="D91" s="67" t="n"/>
      <c r="E91" s="148" t="n"/>
      <c r="F91" s="148" t="n"/>
      <c r="G91" s="148" t="n"/>
      <c r="H91" s="75" t="n"/>
      <c r="I91" s="75" t="n"/>
      <c r="J91" s="75" t="n"/>
      <c r="K91" s="67" t="n"/>
      <c r="L91" s="67" t="n"/>
      <c r="M91" s="67" t="n"/>
      <c r="N91" s="148" t="n"/>
      <c r="O91" s="67" t="inlineStr">
        <is>
          <t>우리은행 거래내역조회 20260913.xlsx</t>
        </is>
      </c>
      <c r="P91" s="69" t="inlineStr">
        <is>
          <t>기존내역</t>
        </is>
      </c>
    </row>
    <row r="92">
      <c r="A92" s="146" t="n"/>
      <c r="B92" s="147" t="n"/>
      <c r="C92" s="67" t="n"/>
      <c r="D92" s="67" t="n"/>
      <c r="E92" s="148" t="n"/>
      <c r="F92" s="148" t="n"/>
      <c r="G92" s="148" t="n"/>
      <c r="H92" s="75" t="n"/>
      <c r="I92" s="75" t="n"/>
      <c r="J92" s="75" t="n"/>
      <c r="K92" s="67" t="n"/>
      <c r="L92" s="67" t="n"/>
      <c r="M92" s="67" t="n"/>
      <c r="N92" s="148" t="n"/>
      <c r="O92" s="67" t="inlineStr">
        <is>
          <t>우리은행 거래내역조회 20260913.xlsx</t>
        </is>
      </c>
      <c r="P92" s="69" t="inlineStr">
        <is>
          <t>기존내역</t>
        </is>
      </c>
    </row>
    <row r="93">
      <c r="A93" s="146" t="n"/>
      <c r="B93" s="147" t="n"/>
      <c r="C93" s="67" t="n"/>
      <c r="D93" s="67" t="n"/>
      <c r="E93" s="148" t="n"/>
      <c r="F93" s="148" t="n"/>
      <c r="G93" s="148" t="n"/>
      <c r="H93" s="75" t="n"/>
      <c r="I93" s="75" t="n"/>
      <c r="J93" s="75" t="n"/>
      <c r="K93" s="67" t="n"/>
      <c r="L93" s="67" t="n"/>
      <c r="M93" s="67" t="n"/>
      <c r="N93" s="148" t="n"/>
      <c r="O93" s="67" t="inlineStr">
        <is>
          <t>우리은행 거래내역조회 20260913.xlsx</t>
        </is>
      </c>
      <c r="P93" s="69" t="inlineStr">
        <is>
          <t>기존내역</t>
        </is>
      </c>
    </row>
    <row r="94">
      <c r="A94" s="146" t="n"/>
      <c r="B94" s="147" t="n"/>
      <c r="C94" s="67" t="n"/>
      <c r="D94" s="67" t="n"/>
      <c r="E94" s="148" t="n"/>
      <c r="F94" s="148" t="n"/>
      <c r="G94" s="148" t="n"/>
      <c r="H94" s="75" t="n"/>
      <c r="I94" s="75" t="inlineStr"/>
      <c r="J94" s="75" t="n"/>
      <c r="K94" s="67" t="n"/>
      <c r="L94" s="67" t="n"/>
      <c r="M94" s="67" t="n"/>
      <c r="N94" s="148" t="n"/>
      <c r="O94" s="67" t="inlineStr">
        <is>
          <t>우리은행 거래내역조회 20260913.xlsx</t>
        </is>
      </c>
      <c r="P94" s="69" t="inlineStr">
        <is>
          <t>기존내역</t>
        </is>
      </c>
    </row>
    <row r="95">
      <c r="A95" s="146" t="n"/>
      <c r="B95" s="147" t="n"/>
      <c r="C95" s="67" t="n"/>
      <c r="D95" s="67" t="n"/>
      <c r="E95" s="148" t="n"/>
      <c r="F95" s="148" t="n"/>
      <c r="G95" s="148" t="n"/>
      <c r="H95" s="75" t="n"/>
      <c r="I95" s="75" t="n"/>
      <c r="J95" s="75" t="n"/>
      <c r="K95" s="67" t="n"/>
      <c r="L95" s="67" t="n"/>
      <c r="M95" s="67" t="n"/>
      <c r="N95" s="148" t="n"/>
      <c r="O95" s="67" t="inlineStr">
        <is>
          <t>국민은행_계좌 조회 6개월(20260913).xls</t>
        </is>
      </c>
      <c r="P95" s="69" t="inlineStr">
        <is>
          <t>기존내역</t>
        </is>
      </c>
    </row>
    <row r="96">
      <c r="A96" s="146" t="n"/>
      <c r="B96" s="147" t="n"/>
      <c r="C96" s="67" t="n"/>
      <c r="D96" s="67" t="n"/>
      <c r="E96" s="148" t="n"/>
      <c r="F96" s="148" t="n"/>
      <c r="G96" s="148" t="n"/>
      <c r="H96" s="75" t="n"/>
      <c r="I96" s="75" t="n"/>
      <c r="J96" s="75" t="n"/>
      <c r="K96" s="67" t="n"/>
      <c r="L96" s="67" t="n"/>
      <c r="M96" s="67" t="n"/>
      <c r="N96" s="148" t="n"/>
      <c r="O96" s="67" t="inlineStr">
        <is>
          <t>우리은행 거래내역조회 20260913.xlsx</t>
        </is>
      </c>
      <c r="P96" s="69" t="inlineStr">
        <is>
          <t>기존내역</t>
        </is>
      </c>
    </row>
    <row r="97">
      <c r="A97" s="146" t="n"/>
      <c r="B97" s="147" t="n"/>
      <c r="C97" s="67" t="n"/>
      <c r="D97" s="67" t="n"/>
      <c r="E97" s="148" t="n"/>
      <c r="F97" s="148" t="n"/>
      <c r="G97" s="148" t="n"/>
      <c r="H97" s="75" t="n"/>
      <c r="I97" s="75" t="n"/>
      <c r="J97" s="75" t="n"/>
      <c r="K97" s="67" t="n"/>
      <c r="L97" s="67" t="n"/>
      <c r="M97" s="67" t="n"/>
      <c r="N97" s="148" t="n"/>
      <c r="O97" s="67" t="inlineStr">
        <is>
          <t>국민은행_계좌 조회 6개월(20260913).xls</t>
        </is>
      </c>
      <c r="P97" s="69" t="inlineStr">
        <is>
          <t>기존내역</t>
        </is>
      </c>
    </row>
    <row r="98">
      <c r="A98" s="146" t="n"/>
      <c r="B98" s="147" t="n"/>
      <c r="C98" s="67" t="n"/>
      <c r="D98" s="67" t="n"/>
      <c r="E98" s="148" t="n"/>
      <c r="F98" s="148" t="n"/>
      <c r="G98" s="148" t="n"/>
      <c r="H98" s="75" t="n"/>
      <c r="I98" s="75" t="n"/>
      <c r="J98" s="75" t="n"/>
      <c r="K98" s="67" t="n"/>
      <c r="L98" s="67" t="n"/>
      <c r="M98" s="67" t="n"/>
      <c r="N98" s="148" t="n"/>
      <c r="O98" s="67" t="inlineStr">
        <is>
          <t>국민은행_계좌 조회 6개월(20260913).xls</t>
        </is>
      </c>
      <c r="P98" s="69" t="inlineStr">
        <is>
          <t>기존내역</t>
        </is>
      </c>
    </row>
    <row r="99">
      <c r="A99" s="146" t="n"/>
      <c r="B99" s="147" t="n"/>
      <c r="C99" s="67" t="n"/>
      <c r="D99" s="67" t="n"/>
      <c r="E99" s="148" t="n"/>
      <c r="F99" s="148" t="n"/>
      <c r="G99" s="148" t="n"/>
      <c r="H99" s="75" t="n"/>
      <c r="I99" s="75" t="n"/>
      <c r="J99" s="75" t="n"/>
      <c r="K99" s="67" t="n"/>
      <c r="L99" s="67" t="n"/>
      <c r="M99" s="67" t="n"/>
      <c r="N99" s="148" t="n"/>
      <c r="O99" s="67" t="inlineStr">
        <is>
          <t>우리은행 거래내역조회 20260913.xlsx</t>
        </is>
      </c>
      <c r="P99" s="69" t="inlineStr">
        <is>
          <t>기존내역</t>
        </is>
      </c>
    </row>
    <row r="100">
      <c r="A100" s="146" t="n"/>
      <c r="B100" s="147" t="n"/>
      <c r="C100" s="67" t="n"/>
      <c r="D100" s="67" t="n"/>
      <c r="E100" s="148" t="n"/>
      <c r="F100" s="148" t="n"/>
      <c r="G100" s="148" t="n"/>
      <c r="H100" s="75" t="n"/>
      <c r="I100" s="75" t="n"/>
      <c r="J100" s="75" t="n"/>
      <c r="K100" s="67" t="n"/>
      <c r="L100" s="67" t="n"/>
      <c r="M100" s="67" t="n"/>
      <c r="N100" s="148" t="n"/>
      <c r="O100" s="67" t="inlineStr">
        <is>
          <t>우리은행 거래내역조회 20260913.xlsx</t>
        </is>
      </c>
      <c r="P100" s="69" t="inlineStr">
        <is>
          <t>기존내역</t>
        </is>
      </c>
    </row>
    <row r="101">
      <c r="A101" s="146" t="n"/>
      <c r="B101" s="147" t="n"/>
      <c r="C101" s="67" t="n"/>
      <c r="D101" s="67" t="n"/>
      <c r="E101" s="148" t="n"/>
      <c r="F101" s="148" t="n"/>
      <c r="G101" s="148" t="n"/>
      <c r="H101" s="75" t="n"/>
      <c r="I101" s="75" t="n"/>
      <c r="J101" s="75" t="n"/>
      <c r="K101" s="67" t="n"/>
      <c r="L101" s="67" t="n"/>
      <c r="M101" s="67" t="n"/>
      <c r="N101" s="148" t="n"/>
      <c r="O101" s="67" t="inlineStr">
        <is>
          <t>우리은행 거래내역조회 20260913.xlsx</t>
        </is>
      </c>
      <c r="P101" s="69" t="inlineStr">
        <is>
          <t>기존내역</t>
        </is>
      </c>
    </row>
    <row r="102">
      <c r="A102" s="146" t="n"/>
      <c r="B102" s="147" t="n"/>
      <c r="C102" s="67" t="n"/>
      <c r="D102" s="67" t="n"/>
      <c r="E102" s="148" t="n"/>
      <c r="F102" s="148" t="n"/>
      <c r="G102" s="148" t="n"/>
      <c r="H102" s="75" t="n"/>
      <c r="I102" s="75" t="n"/>
      <c r="J102" s="75" t="n"/>
      <c r="K102" s="67" t="n"/>
      <c r="L102" s="67" t="n"/>
      <c r="M102" s="67" t="n"/>
      <c r="N102" s="148" t="n"/>
      <c r="O102" s="67" t="inlineStr">
        <is>
          <t>우리은행 거래내역조회 20260913.xlsx</t>
        </is>
      </c>
      <c r="P102" s="69" t="inlineStr">
        <is>
          <t>기존내역</t>
        </is>
      </c>
    </row>
    <row r="103">
      <c r="A103" s="146" t="n"/>
      <c r="B103" s="147" t="n"/>
      <c r="C103" s="67" t="n"/>
      <c r="D103" s="67" t="n"/>
      <c r="E103" s="148" t="n"/>
      <c r="F103" s="148" t="n"/>
      <c r="G103" s="148" t="n"/>
      <c r="H103" s="75" t="n"/>
      <c r="I103" s="75" t="n"/>
      <c r="J103" s="75" t="n"/>
      <c r="K103" s="67" t="n"/>
      <c r="L103" s="67" t="n"/>
      <c r="M103" s="67" t="n"/>
      <c r="N103" s="148" t="n"/>
      <c r="O103" s="67" t="inlineStr">
        <is>
          <t>우리은행 거래내역조회 20260913.xlsx</t>
        </is>
      </c>
      <c r="P103" s="69" t="inlineStr">
        <is>
          <t>기존내역</t>
        </is>
      </c>
    </row>
    <row r="104">
      <c r="A104" s="146" t="n"/>
      <c r="B104" s="147" t="n"/>
      <c r="C104" s="67" t="n"/>
      <c r="D104" s="67" t="n"/>
      <c r="E104" s="148" t="n"/>
      <c r="F104" s="148" t="n"/>
      <c r="G104" s="148" t="n"/>
      <c r="H104" s="75" t="n"/>
      <c r="I104" s="75" t="n"/>
      <c r="J104" s="75" t="n"/>
      <c r="K104" s="67" t="n"/>
      <c r="L104" s="67" t="n"/>
      <c r="M104" s="67" t="n"/>
      <c r="N104" s="148" t="n"/>
      <c r="O104" s="67" t="inlineStr">
        <is>
          <t>우리은행 거래내역조회 20260913.xlsx</t>
        </is>
      </c>
      <c r="P104" s="69" t="inlineStr">
        <is>
          <t>기존내역</t>
        </is>
      </c>
    </row>
    <row r="105">
      <c r="A105" s="146" t="n"/>
      <c r="B105" s="147" t="n"/>
      <c r="C105" s="67" t="n"/>
      <c r="D105" s="67" t="n"/>
      <c r="E105" s="148" t="n"/>
      <c r="F105" s="148" t="n"/>
      <c r="G105" s="148" t="n"/>
      <c r="H105" s="75" t="n"/>
      <c r="I105" s="75" t="n"/>
      <c r="J105" s="75" t="n"/>
      <c r="K105" s="67" t="n"/>
      <c r="L105" s="67" t="n"/>
      <c r="M105" s="67" t="n"/>
      <c r="N105" s="148" t="n"/>
      <c r="O105" s="67" t="inlineStr">
        <is>
          <t>농협계좌_6개월(20260913).xls</t>
        </is>
      </c>
      <c r="P105" s="69" t="inlineStr">
        <is>
          <t>기존내역</t>
        </is>
      </c>
    </row>
    <row r="106">
      <c r="A106" s="146" t="n"/>
      <c r="B106" s="147" t="n"/>
      <c r="C106" s="67" t="n"/>
      <c r="D106" s="67" t="n"/>
      <c r="E106" s="148" t="n"/>
      <c r="F106" s="148" t="n"/>
      <c r="G106" s="148" t="n"/>
      <c r="H106" s="75" t="n"/>
      <c r="I106" s="75" t="n"/>
      <c r="J106" s="75" t="n"/>
      <c r="K106" s="67" t="n"/>
      <c r="L106" s="67" t="n"/>
      <c r="M106" s="67" t="n"/>
      <c r="N106" s="148" t="n"/>
      <c r="O106" s="67" t="inlineStr">
        <is>
          <t>국민은행_계좌 조회 6개월(20260913).xls</t>
        </is>
      </c>
      <c r="P106" s="69" t="inlineStr">
        <is>
          <t>기존내역</t>
        </is>
      </c>
    </row>
    <row r="107">
      <c r="A107" s="146" t="n"/>
      <c r="B107" s="147" t="n"/>
      <c r="C107" s="67" t="n"/>
      <c r="D107" s="67" t="n"/>
      <c r="E107" s="148" t="n"/>
      <c r="F107" s="148" t="n"/>
      <c r="G107" s="148" t="n"/>
      <c r="H107" s="75" t="n"/>
      <c r="I107" s="75" t="n"/>
      <c r="J107" s="75" t="n"/>
      <c r="K107" s="67" t="n"/>
      <c r="L107" s="67" t="n"/>
      <c r="M107" s="67" t="n"/>
      <c r="N107" s="148" t="n"/>
      <c r="O107" s="67" t="inlineStr">
        <is>
          <t>농협계좌_6개월(20260913).xls</t>
        </is>
      </c>
      <c r="P107" s="69" t="inlineStr">
        <is>
          <t>기존내역</t>
        </is>
      </c>
    </row>
    <row r="108">
      <c r="A108" s="146" t="n"/>
      <c r="B108" s="147" t="n"/>
      <c r="C108" s="67" t="n"/>
      <c r="D108" s="67" t="n"/>
      <c r="E108" s="148" t="n"/>
      <c r="F108" s="148" t="n"/>
      <c r="G108" s="148" t="n"/>
      <c r="H108" s="75" t="n"/>
      <c r="I108" s="75" t="n"/>
      <c r="J108" s="75" t="n"/>
      <c r="K108" s="67" t="n"/>
      <c r="L108" s="67" t="n"/>
      <c r="M108" s="67" t="n"/>
      <c r="N108" s="148" t="n"/>
      <c r="O108" s="67" t="inlineStr">
        <is>
          <t>국민은행_계좌 조회 6개월(20260913).xls</t>
        </is>
      </c>
      <c r="P108" s="69" t="inlineStr">
        <is>
          <t>기존내역</t>
        </is>
      </c>
    </row>
    <row r="109">
      <c r="A109" s="146" t="n"/>
      <c r="B109" s="147" t="n"/>
      <c r="C109" s="67" t="n"/>
      <c r="D109" s="67" t="n"/>
      <c r="E109" s="148" t="n"/>
      <c r="F109" s="148" t="n"/>
      <c r="G109" s="148" t="n"/>
      <c r="H109" s="75" t="n"/>
      <c r="I109" s="75" t="n"/>
      <c r="J109" s="75" t="n"/>
      <c r="K109" s="67" t="n"/>
      <c r="L109" s="67" t="n"/>
      <c r="M109" s="67" t="n"/>
      <c r="N109" s="148" t="n"/>
      <c r="O109" s="67" t="inlineStr">
        <is>
          <t>국민은행_계좌 조회 6개월(20260913).xls</t>
        </is>
      </c>
      <c r="P109" s="69" t="inlineStr">
        <is>
          <t>기존내역</t>
        </is>
      </c>
    </row>
    <row r="110">
      <c r="A110" s="146" t="n"/>
      <c r="B110" s="147" t="n"/>
      <c r="C110" s="67" t="n"/>
      <c r="D110" s="67" t="n"/>
      <c r="E110" s="148" t="n"/>
      <c r="F110" s="148" t="n"/>
      <c r="G110" s="148" t="n"/>
      <c r="H110" s="75" t="n"/>
      <c r="I110" s="75" t="n"/>
      <c r="J110" s="75" t="n"/>
      <c r="K110" s="67" t="n"/>
      <c r="L110" s="67" t="n"/>
      <c r="M110" s="67" t="n"/>
      <c r="N110" s="148" t="n"/>
      <c r="O110" s="67" t="inlineStr">
        <is>
          <t>농협계좌_6개월(20260913).xls</t>
        </is>
      </c>
      <c r="P110" s="69" t="inlineStr">
        <is>
          <t>기존내역</t>
        </is>
      </c>
    </row>
    <row r="111">
      <c r="A111" s="146" t="n"/>
      <c r="B111" s="147" t="n"/>
      <c r="C111" s="67" t="n"/>
      <c r="D111" s="67" t="n"/>
      <c r="E111" s="148" t="n"/>
      <c r="F111" s="148" t="n"/>
      <c r="G111" s="148" t="n"/>
      <c r="H111" s="75" t="n"/>
      <c r="I111" s="75" t="n"/>
      <c r="J111" s="75" t="n"/>
      <c r="K111" s="67" t="n"/>
      <c r="L111" s="67" t="n"/>
      <c r="M111" s="67" t="n"/>
      <c r="N111" s="148" t="n"/>
      <c r="O111" s="67" t="inlineStr">
        <is>
          <t>국민은행_계좌 조회 6개월(20260913).xls</t>
        </is>
      </c>
      <c r="P111" s="69" t="inlineStr">
        <is>
          <t>기존내역</t>
        </is>
      </c>
    </row>
    <row r="112">
      <c r="A112" s="146" t="n"/>
      <c r="B112" s="147" t="n"/>
      <c r="C112" s="67" t="n"/>
      <c r="D112" s="67" t="n"/>
      <c r="E112" s="148" t="n"/>
      <c r="F112" s="148" t="n"/>
      <c r="G112" s="148" t="n"/>
      <c r="H112" s="75" t="n"/>
      <c r="I112" s="75" t="n"/>
      <c r="J112" s="75" t="n"/>
      <c r="K112" s="67" t="n"/>
      <c r="L112" s="67" t="n"/>
      <c r="M112" s="67" t="n"/>
      <c r="N112" s="148" t="n"/>
      <c r="O112" s="67" t="inlineStr">
        <is>
          <t>농협계좌_6개월(20260913).xls</t>
        </is>
      </c>
      <c r="P112" s="69" t="inlineStr">
        <is>
          <t>기존내역</t>
        </is>
      </c>
    </row>
    <row r="113">
      <c r="A113" s="146" t="n"/>
      <c r="B113" s="147" t="n"/>
      <c r="C113" s="67" t="n"/>
      <c r="D113" s="67" t="n"/>
      <c r="E113" s="148" t="n"/>
      <c r="F113" s="148" t="n"/>
      <c r="G113" s="148" t="n"/>
      <c r="H113" s="75" t="n"/>
      <c r="I113" s="75" t="n"/>
      <c r="J113" s="75" t="n"/>
      <c r="K113" s="67" t="n"/>
      <c r="L113" s="67" t="n"/>
      <c r="M113" s="67" t="n"/>
      <c r="N113" s="148" t="n"/>
      <c r="O113" s="67" t="inlineStr">
        <is>
          <t>우리은행 거래내역조회 20260913.xlsx</t>
        </is>
      </c>
      <c r="P113" s="69" t="inlineStr">
        <is>
          <t>기존내역</t>
        </is>
      </c>
    </row>
    <row r="114">
      <c r="A114" s="146" t="n"/>
      <c r="B114" s="147" t="n"/>
      <c r="C114" s="67" t="n"/>
      <c r="D114" s="67" t="n"/>
      <c r="E114" s="148" t="n"/>
      <c r="F114" s="148" t="n"/>
      <c r="G114" s="148" t="n"/>
      <c r="H114" s="75" t="n"/>
      <c r="I114" s="75" t="n"/>
      <c r="J114" s="75" t="n"/>
      <c r="K114" s="67" t="n"/>
      <c r="L114" s="67" t="n"/>
      <c r="M114" s="67" t="n"/>
      <c r="N114" s="148" t="n"/>
      <c r="O114" s="67" t="inlineStr">
        <is>
          <t>우리은행 거래내역조회 20260913.xlsx</t>
        </is>
      </c>
      <c r="P114" s="69" t="inlineStr">
        <is>
          <t>기존내역</t>
        </is>
      </c>
    </row>
    <row r="115">
      <c r="A115" s="146" t="n"/>
      <c r="B115" s="147" t="n"/>
      <c r="C115" s="67" t="n"/>
      <c r="D115" s="67" t="n"/>
      <c r="E115" s="148" t="n"/>
      <c r="F115" s="148" t="n"/>
      <c r="G115" s="148" t="n"/>
      <c r="H115" s="75" t="n"/>
      <c r="I115" s="75" t="n"/>
      <c r="J115" s="75" t="n"/>
      <c r="K115" s="67" t="n"/>
      <c r="L115" s="67" t="n"/>
      <c r="M115" s="67" t="n"/>
      <c r="N115" s="148" t="n"/>
      <c r="O115" s="67" t="inlineStr">
        <is>
          <t>우리은행 거래내역조회 20260913.xlsx</t>
        </is>
      </c>
      <c r="P115" s="69" t="inlineStr">
        <is>
          <t>기존내역</t>
        </is>
      </c>
    </row>
    <row r="116">
      <c r="A116" s="146" t="n"/>
      <c r="B116" s="147" t="n"/>
      <c r="C116" s="67" t="n"/>
      <c r="D116" s="67" t="n"/>
      <c r="E116" s="148" t="n"/>
      <c r="F116" s="148" t="n"/>
      <c r="G116" s="148" t="n"/>
      <c r="H116" s="75" t="n"/>
      <c r="I116" s="75" t="n"/>
      <c r="J116" s="75" t="n"/>
      <c r="K116" s="67" t="n"/>
      <c r="L116" s="67" t="n"/>
      <c r="M116" s="67" t="n"/>
      <c r="N116" s="148" t="n"/>
      <c r="O116" s="67" t="inlineStr">
        <is>
          <t>우리은행 거래내역조회 20260913.xlsx</t>
        </is>
      </c>
      <c r="P116" s="69" t="inlineStr">
        <is>
          <t>기존내역</t>
        </is>
      </c>
    </row>
    <row r="117">
      <c r="A117" s="146" t="n"/>
      <c r="B117" s="147" t="n"/>
      <c r="C117" s="67" t="n"/>
      <c r="D117" s="67" t="n"/>
      <c r="E117" s="148" t="n"/>
      <c r="F117" s="148" t="n"/>
      <c r="G117" s="148" t="n"/>
      <c r="H117" s="75" t="n"/>
      <c r="I117" s="75" t="n"/>
      <c r="J117" s="75" t="n"/>
      <c r="K117" s="67" t="n"/>
      <c r="L117" s="67" t="n"/>
      <c r="M117" s="67" t="n"/>
      <c r="N117" s="148" t="n"/>
      <c r="O117" s="67" t="inlineStr">
        <is>
          <t>우리은행 거래내역조회 20260913.xlsx</t>
        </is>
      </c>
      <c r="P117" s="69" t="inlineStr">
        <is>
          <t>기존내역</t>
        </is>
      </c>
    </row>
    <row r="118">
      <c r="A118" s="146" t="n"/>
      <c r="B118" s="147" t="n"/>
      <c r="C118" s="67" t="n"/>
      <c r="D118" s="67" t="n"/>
      <c r="E118" s="148" t="n"/>
      <c r="F118" s="148" t="n"/>
      <c r="G118" s="148" t="n"/>
      <c r="H118" s="75" t="n"/>
      <c r="I118" s="75" t="n"/>
      <c r="J118" s="75" t="n"/>
      <c r="K118" s="67" t="n"/>
      <c r="L118" s="67" t="n"/>
      <c r="M118" s="67" t="n"/>
      <c r="N118" s="148" t="n"/>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12572607</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24396851</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14769134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10899812</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8365128</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2026-09-28T08:56:01Z</dcterms:modified>
</cp:coreProperties>
</file>