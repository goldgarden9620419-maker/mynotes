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'지출계획_취합'!$A$5:$Q$19</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2">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FFF2CC"/>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EFEFEF"/>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07">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pivotButton="0" quotePrefix="0" xfId="0"/>
    <xf numFmtId="0" fontId="19" fillId="10" borderId="24" pivotButton="0" quotePrefix="0" xfId="0"/>
    <xf numFmtId="167" fontId="19" fillId="11" borderId="24" pivotButton="0" quotePrefix="0" xfId="0"/>
    <xf numFmtId="0" fontId="0" fillId="10" borderId="24" pivotButton="0" quotePrefix="0" xfId="0"/>
    <xf numFmtId="3" fontId="19" fillId="10" borderId="24" pivotButton="0" quotePrefix="0" xfId="0"/>
    <xf numFmtId="165" fontId="20" fillId="10" borderId="24" pivotButton="0" quotePrefix="0" xfId="0"/>
    <xf numFmtId="0" fontId="20" fillId="10" borderId="24" pivotButton="0" quotePrefix="0" xfId="0"/>
    <xf numFmtId="167" fontId="20" fillId="11" borderId="24" pivotButton="0" quotePrefix="0" xfId="0"/>
    <xf numFmtId="3" fontId="20" fillId="10" borderId="24" pivotButton="0" quotePrefix="0" xfId="0"/>
    <xf numFmtId="165" fontId="13" fillId="0" borderId="24" pivotButton="0" quotePrefix="0" xfId="0"/>
    <xf numFmtId="0" fontId="13" fillId="0" borderId="24" pivotButton="0" quotePrefix="0" xfId="0"/>
    <xf numFmtId="167" fontId="13" fillId="11" borderId="24" pivotButton="0" quotePrefix="0" xfId="0"/>
    <xf numFmtId="3" fontId="13" fillId="13" borderId="24" pivotButton="0" quotePrefix="0" xfId="0"/>
    <xf numFmtId="168" fontId="13" fillId="12" borderId="24" pivotButton="0" quotePrefix="0" xfId="0"/>
    <xf numFmtId="164" fontId="13" fillId="14" borderId="24" pivotButton="0" quotePrefix="0" xfId="0"/>
    <xf numFmtId="164" fontId="13" fillId="15" borderId="24" pivotButton="0" quotePrefix="0" xfId="0"/>
    <xf numFmtId="3" fontId="13" fillId="15" borderId="24" pivotButton="0" quotePrefix="0" xfId="0"/>
    <xf numFmtId="0" fontId="13" fillId="0" borderId="24" applyAlignment="1" pivotButton="0" quotePrefix="0" xfId="0">
      <alignment horizontal="left" vertical="top" wrapText="1"/>
    </xf>
    <xf numFmtId="165" fontId="21" fillId="0" borderId="24" pivotButton="0" quotePrefix="0" xfId="0"/>
    <xf numFmtId="0" fontId="21" fillId="0" borderId="24" pivotButton="0" quotePrefix="0" xfId="0"/>
    <xf numFmtId="169" fontId="13" fillId="15" borderId="24" pivotButton="0" quotePrefix="0" xfId="0"/>
    <xf numFmtId="165" fontId="21" fillId="0" borderId="31" pivotButton="0" quotePrefix="0" xfId="0"/>
    <xf numFmtId="0" fontId="21" fillId="0" borderId="29" pivotButton="0" quotePrefix="0" xfId="0"/>
    <xf numFmtId="167" fontId="13" fillId="11" borderId="29" pivotButton="0" quotePrefix="0" xfId="0"/>
    <xf numFmtId="164" fontId="13" fillId="13" borderId="29" pivotButton="0" quotePrefix="0" xfId="0"/>
    <xf numFmtId="168" fontId="13" fillId="12" borderId="29" pivotButton="0" quotePrefix="0" xfId="0"/>
    <xf numFmtId="169" fontId="13" fillId="15" borderId="29" pivotButton="0" quotePrefix="0" xfId="0"/>
    <xf numFmtId="164" fontId="13" fillId="15" borderId="29" pivotButton="0" quotePrefix="0" xfId="0"/>
    <xf numFmtId="3" fontId="13" fillId="15" borderId="29" pivotButton="0" quotePrefix="0" xfId="0"/>
    <xf numFmtId="0" fontId="13" fillId="0" borderId="32" applyAlignment="1" pivotButton="0" quotePrefix="0" xfId="0">
      <alignment horizontal="left" vertical="top" wrapText="1"/>
    </xf>
    <xf numFmtId="165" fontId="21" fillId="0" borderId="33" pivotButton="0" quotePrefix="0" xfId="0"/>
    <xf numFmtId="0" fontId="13" fillId="0" borderId="34" applyAlignment="1" pivotButton="0" quotePrefix="0" xfId="0">
      <alignment horizontal="left" vertical="top" wrapText="1"/>
    </xf>
    <xf numFmtId="165" fontId="13" fillId="0" borderId="33" pivotButton="0" quotePrefix="0" xfId="0"/>
    <xf numFmtId="164" fontId="13" fillId="13" borderId="24" pivotButton="0" quotePrefix="0" xfId="0"/>
    <xf numFmtId="165" fontId="21" fillId="0" borderId="35" pivotButton="0" quotePrefix="0" xfId="0"/>
    <xf numFmtId="0" fontId="21" fillId="0" borderId="30" pivotButton="0" quotePrefix="0" xfId="0"/>
    <xf numFmtId="167" fontId="13" fillId="11" borderId="30" pivotButton="0" quotePrefix="0" xfId="0"/>
    <xf numFmtId="3" fontId="13" fillId="13" borderId="30" pivotButton="0" quotePrefix="0" xfId="0"/>
    <xf numFmtId="168" fontId="13" fillId="12" borderId="30" pivotButton="0" quotePrefix="0" xfId="0"/>
    <xf numFmtId="169" fontId="13" fillId="15" borderId="30" pivotButton="0" quotePrefix="0" xfId="0"/>
    <xf numFmtId="164" fontId="13" fillId="15" borderId="30" pivotButton="0" quotePrefix="0" xfId="0"/>
    <xf numFmtId="3" fontId="13" fillId="15" borderId="30" pivotButton="0" quotePrefix="0" xfId="0"/>
    <xf numFmtId="0" fontId="13" fillId="0" borderId="36" applyAlignment="1" pivotButton="0" quotePrefix="0" xfId="0">
      <alignment horizontal="left" vertical="top" wrapText="1"/>
    </xf>
    <xf numFmtId="0" fontId="0" fillId="0" borderId="24" pivotButton="0" quotePrefix="0" xfId="0"/>
    <xf numFmtId="0" fontId="18" fillId="16" borderId="24" applyAlignment="1" pivotButton="0" quotePrefix="0" xfId="0">
      <alignment horizontal="left" vertical="center"/>
    </xf>
    <xf numFmtId="0" fontId="18" fillId="17" borderId="24" applyAlignment="1" pivotButton="0" quotePrefix="0" xfId="0">
      <alignment horizontal="left" vertical="center"/>
    </xf>
    <xf numFmtId="0" fontId="18" fillId="18" borderId="24" applyAlignment="1" pivotButton="0" quotePrefix="0" xfId="0">
      <alignment horizontal="center" vertical="center"/>
    </xf>
    <xf numFmtId="0" fontId="0" fillId="0" borderId="39" pivotButton="0" quotePrefix="0" xfId="0"/>
    <xf numFmtId="0" fontId="18" fillId="16" borderId="24" applyAlignment="1" pivotButton="0" quotePrefix="0" xfId="0">
      <alignment horizontal="center" vertical="center"/>
    </xf>
    <xf numFmtId="0" fontId="18" fillId="17" borderId="24" applyAlignment="1" pivotButton="0" quotePrefix="0" xfId="0">
      <alignment horizontal="center" vertical="center"/>
    </xf>
    <xf numFmtId="165" fontId="19" fillId="0" borderId="24" pivotButton="0" quotePrefix="0" xfId="0"/>
    <xf numFmtId="0" fontId="19" fillId="0" borderId="24" pivotButton="0" quotePrefix="0" xfId="0"/>
    <xf numFmtId="0" fontId="22" fillId="0" borderId="24" pivotButton="0" quotePrefix="0" xfId="0"/>
    <xf numFmtId="165" fontId="20" fillId="0" borderId="24" pivotButton="0" quotePrefix="0" xfId="0"/>
    <xf numFmtId="0" fontId="20" fillId="0" borderId="24" pivotButton="0" quotePrefix="0" xfId="0"/>
    <xf numFmtId="0" fontId="11" fillId="0" borderId="24" pivotButton="0" quotePrefix="0" xfId="0"/>
    <xf numFmtId="165" fontId="0" fillId="0" borderId="24" pivotButton="0" quotePrefix="0" xfId="0"/>
    <xf numFmtId="0" fontId="0" fillId="11" borderId="24" pivotButton="0" quotePrefix="0" xfId="0"/>
    <xf numFmtId="0" fontId="0" fillId="12" borderId="24" pivotButton="0" quotePrefix="0" xfId="0"/>
    <xf numFmtId="0" fontId="0" fillId="19" borderId="24" pivotButton="0" quotePrefix="0" xfId="0"/>
    <xf numFmtId="0" fontId="0" fillId="20" borderId="24" pivotButton="0" quotePrefix="0" xfId="0"/>
    <xf numFmtId="167" fontId="13" fillId="0" borderId="24" pivotButton="0" quotePrefix="0" xfId="0"/>
    <xf numFmtId="168" fontId="13" fillId="19" borderId="24" pivotButton="0" quotePrefix="0" xfId="0"/>
    <xf numFmtId="168" fontId="13" fillId="20" borderId="24" pivotButton="0" quotePrefix="0" xfId="0"/>
    <xf numFmtId="0" fontId="23" fillId="0" borderId="24" pivotButton="0" quotePrefix="0" xfId="0"/>
    <xf numFmtId="168" fontId="13" fillId="0" borderId="0" pivotButton="0" quotePrefix="0" xfId="0"/>
    <xf numFmtId="0" fontId="20" fillId="0" borderId="0" pivotButton="0" quotePrefix="0" xfId="0"/>
    <xf numFmtId="166" fontId="21" fillId="0" borderId="13" applyAlignment="1" pivotButton="0" quotePrefix="0" xfId="0">
      <alignment vertical="center"/>
    </xf>
    <xf numFmtId="165" fontId="21" fillId="0" borderId="14" applyAlignment="1" pivotButton="0" quotePrefix="0" xfId="0">
      <alignment vertical="center"/>
    </xf>
    <xf numFmtId="0" fontId="24" fillId="0" borderId="0" pivotButton="0" quotePrefix="0" xfId="0"/>
    <xf numFmtId="0" fontId="25" fillId="0" borderId="0" pivotButton="0" quotePrefix="0" xfId="0"/>
    <xf numFmtId="0" fontId="17" fillId="0" borderId="0" pivotButton="0" quotePrefix="0" xfId="0"/>
    <xf numFmtId="0" fontId="14" fillId="7" borderId="19" pivotButton="0" quotePrefix="0" xfId="0"/>
    <xf numFmtId="0" fontId="0" fillId="7" borderId="19" pivotButton="0" quotePrefix="0" xfId="0"/>
    <xf numFmtId="0" fontId="16" fillId="0" borderId="19" pivotButton="0" quotePrefix="0" xfId="0"/>
    <xf numFmtId="3" fontId="16" fillId="0" borderId="19" pivotButton="0" quotePrefix="0" xfId="0"/>
    <xf numFmtId="0" fontId="15" fillId="0" borderId="19" pivotButton="0" quotePrefix="0" xfId="0"/>
    <xf numFmtId="3" fontId="15" fillId="0" borderId="19" pivotButton="0" quotePrefix="0" xfId="0"/>
    <xf numFmtId="0" fontId="15" fillId="0" borderId="0" pivotButton="0" quotePrefix="0" xfId="0"/>
    <xf numFmtId="9" fontId="16" fillId="14" borderId="19" applyAlignment="1" pivotButton="0" quotePrefix="0" xfId="0">
      <alignment horizontal="center" vertical="center"/>
    </xf>
    <xf numFmtId="0" fontId="12" fillId="7" borderId="19" applyAlignment="1" pivotButton="0" quotePrefix="0" xfId="0">
      <alignment horizontal="center" vertical="center"/>
    </xf>
    <xf numFmtId="165" fontId="16" fillId="14" borderId="19" pivotButton="0" quotePrefix="0" xfId="0"/>
    <xf numFmtId="0" fontId="16" fillId="0" borderId="19" applyAlignment="1" pivotButton="0" quotePrefix="0" xfId="0">
      <alignment horizontal="center" vertical="center"/>
    </xf>
    <xf numFmtId="3" fontId="16" fillId="14" borderId="19" pivotButton="0" quotePrefix="0" xfId="0"/>
    <xf numFmtId="0" fontId="16" fillId="14" borderId="19" applyAlignment="1" pivotButton="0" quotePrefix="0" xfId="0">
      <alignment horizontal="center" vertical="center"/>
    </xf>
    <xf numFmtId="0" fontId="15" fillId="0" borderId="0" applyAlignment="1" pivotButton="0" quotePrefix="0" xfId="0">
      <alignment horizontal="center" vertical="center"/>
    </xf>
    <xf numFmtId="3" fontId="15" fillId="0" borderId="0" pivotButton="0" quotePrefix="0" xfId="0"/>
    <xf numFmtId="165" fontId="21" fillId="0" borderId="19" pivotButton="0" quotePrefix="0" xfId="0"/>
    <xf numFmtId="0" fontId="21" fillId="0" borderId="19" applyAlignment="1" pivotButton="0" quotePrefix="0" xfId="0">
      <alignment horizontal="center" vertical="center"/>
    </xf>
    <xf numFmtId="165" fontId="16" fillId="0" borderId="19" pivotButton="0" quotePrefix="0" xfId="0"/>
    <xf numFmtId="3" fontId="16" fillId="0" borderId="0" pivotButton="0" quotePrefix="0" xfId="0"/>
    <xf numFmtId="3" fontId="16" fillId="21" borderId="19" pivotButton="0" quotePrefix="0" xfId="0"/>
    <xf numFmtId="0" fontId="11" fillId="0" borderId="19" applyAlignment="1" pivotButton="0" quotePrefix="0" xfId="0">
      <alignment horizontal="left" vertical="center" wrapText="1"/>
    </xf>
    <xf numFmtId="0" fontId="26" fillId="0" borderId="19" applyAlignment="1" pivotButton="0" quotePrefix="0" xfId="0">
      <alignment horizontal="left" vertical="center" wrapText="1"/>
    </xf>
    <xf numFmtId="165" fontId="21" fillId="0" borderId="42" pivotButton="0" quotePrefix="0" xfId="0"/>
    <xf numFmtId="0" fontId="21" fillId="0" borderId="40" applyAlignment="1" pivotButton="0" quotePrefix="0" xfId="0">
      <alignment horizontal="center" vertical="center"/>
    </xf>
    <xf numFmtId="3" fontId="16" fillId="0" borderId="40" pivotButton="0" quotePrefix="0" xfId="0"/>
    <xf numFmtId="0" fontId="26" fillId="0" borderId="43" applyAlignment="1" pivotButton="0" quotePrefix="0" xfId="0">
      <alignment horizontal="left" vertical="center" wrapText="1"/>
    </xf>
    <xf numFmtId="165" fontId="21" fillId="0" borderId="44" pivotButton="0" quotePrefix="0" xfId="0"/>
    <xf numFmtId="0" fontId="26" fillId="0" borderId="45" applyAlignment="1" pivotButton="0" quotePrefix="0" xfId="0">
      <alignment horizontal="left" vertical="center" wrapText="1"/>
    </xf>
    <xf numFmtId="165" fontId="16" fillId="0" borderId="44" pivotButton="0" quotePrefix="0" xfId="0"/>
    <xf numFmtId="165" fontId="21" fillId="0" borderId="46" pivotButton="0" quotePrefix="0" xfId="0"/>
    <xf numFmtId="0" fontId="21" fillId="0" borderId="41" applyAlignment="1" pivotButton="0" quotePrefix="0" xfId="0">
      <alignment horizontal="center" vertical="center"/>
    </xf>
    <xf numFmtId="3" fontId="16" fillId="0" borderId="41" pivotButton="0" quotePrefix="0" xfId="0"/>
    <xf numFmtId="0" fontId="26" fillId="0" borderId="47"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top" wrapText="1"/>
    </xf>
    <xf numFmtId="0" fontId="27" fillId="0" borderId="0" pivotButton="0" quotePrefix="0" xfId="0"/>
    <xf numFmtId="0" fontId="11" fillId="0" borderId="19" pivotButton="0" quotePrefix="0" xfId="0"/>
    <xf numFmtId="0" fontId="28" fillId="0" borderId="0" applyAlignment="1" pivotButton="0" quotePrefix="0" xfId="0">
      <alignment horizontal="left" vertical="center" wrapText="1"/>
    </xf>
    <xf numFmtId="167" fontId="19" fillId="11" borderId="24" pivotButton="0" quotePrefix="0" xfId="0"/>
    <xf numFmtId="167" fontId="20" fillId="11" borderId="24" pivotButton="0" quotePrefix="0" xfId="0"/>
    <xf numFmtId="167" fontId="13" fillId="11" borderId="24" pivotButton="0" quotePrefix="0" xfId="0"/>
    <xf numFmtId="168" fontId="13" fillId="12" borderId="24" pivotButton="0" quotePrefix="0" xfId="0"/>
    <xf numFmtId="169" fontId="13" fillId="15" borderId="24" pivotButton="0" quotePrefix="0" xfId="0"/>
    <xf numFmtId="167" fontId="13" fillId="11" borderId="29" pivotButton="0" quotePrefix="0" xfId="0"/>
    <xf numFmtId="168" fontId="13" fillId="12" borderId="29" pivotButton="0" quotePrefix="0" xfId="0"/>
    <xf numFmtId="169" fontId="13" fillId="15" borderId="29" pivotButton="0" quotePrefix="0" xfId="0"/>
    <xf numFmtId="167" fontId="13" fillId="11" borderId="30" pivotButton="0" quotePrefix="0" xfId="0"/>
    <xf numFmtId="168" fontId="13" fillId="12" borderId="30" pivotButton="0" quotePrefix="0" xfId="0"/>
    <xf numFmtId="169" fontId="13" fillId="15" borderId="30" pivotButton="0" quotePrefix="0" xfId="0"/>
    <xf numFmtId="167" fontId="13" fillId="0" borderId="24" pivotButton="0" quotePrefix="0" xfId="0"/>
    <xf numFmtId="168" fontId="13" fillId="19" borderId="24" pivotButton="0" quotePrefix="0" xfId="0"/>
    <xf numFmtId="168" fontId="13" fillId="20" borderId="24" pivotButton="0" quotePrefix="0" xfId="0"/>
    <xf numFmtId="168" fontId="13" fillId="0" borderId="0" pivotButton="0" quotePrefix="0" xfId="0"/>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2026-09-28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72530640</v>
      </c>
      <c r="C6" s="2" t="n"/>
      <c r="D6" s="2" t="inlineStr">
        <is>
          <t>국민 154577</t>
        </is>
      </c>
      <c r="E6" s="120" t="n">
        <v>46297</v>
      </c>
      <c r="F6" s="119" t="n">
        <v>40946401</v>
      </c>
      <c r="G6" s="2" t="n"/>
      <c r="H6" s="2" t="n"/>
      <c r="I6" s="2" t="n"/>
      <c r="J6" s="2" t="n"/>
      <c r="K6" s="2" t="n"/>
      <c r="L6" s="2" t="n"/>
      <c r="M6" s="2" t="n"/>
      <c r="N6" s="2" t="n"/>
      <c r="O6" s="2" t="n"/>
      <c r="P6" s="2" t="n"/>
    </row>
    <row r="7">
      <c r="A7" s="9" t="inlineStr">
        <is>
          <t>6개월 외부입금</t>
        </is>
      </c>
      <c r="B7" s="119" t="n">
        <v>3408819820</v>
      </c>
      <c r="C7" s="2" t="n"/>
      <c r="D7" s="2" t="inlineStr">
        <is>
          <t>국민 169124</t>
        </is>
      </c>
      <c r="E7" s="120" t="n">
        <v>46294</v>
      </c>
      <c r="F7" s="119" t="n">
        <v>30687200</v>
      </c>
      <c r="G7" s="2" t="n"/>
      <c r="H7" s="2" t="n"/>
      <c r="I7" s="2" t="n"/>
      <c r="J7" s="2" t="n"/>
      <c r="K7" s="2" t="n"/>
      <c r="L7" s="2" t="n"/>
      <c r="M7" s="2" t="n"/>
      <c r="N7" s="2" t="n"/>
      <c r="O7" s="2" t="n"/>
      <c r="P7" s="2" t="n"/>
    </row>
    <row r="8">
      <c r="A8" s="9" t="inlineStr">
        <is>
          <t>6개월 외부출금</t>
        </is>
      </c>
      <c r="B8" s="119" t="n">
        <v>3656421770</v>
      </c>
      <c r="C8" s="2" t="n"/>
      <c r="D8" s="2" t="inlineStr">
        <is>
          <t>농협 569003</t>
        </is>
      </c>
      <c r="E8" s="120" t="n">
        <v>46297</v>
      </c>
      <c r="F8" s="119" t="n">
        <v>210724</v>
      </c>
      <c r="G8" s="2" t="n"/>
      <c r="H8" s="2" t="n"/>
      <c r="I8" s="2" t="n"/>
      <c r="J8" s="2" t="n"/>
      <c r="K8" s="2" t="n"/>
      <c r="L8" s="2" t="n"/>
      <c r="M8" s="2" t="n"/>
      <c r="N8" s="2" t="n"/>
      <c r="O8" s="2" t="n"/>
      <c r="P8" s="2" t="n"/>
    </row>
    <row r="9">
      <c r="A9" s="9" t="inlineStr">
        <is>
          <t>온라인매출 입금</t>
        </is>
      </c>
      <c r="B9" s="119" t="n">
        <v>2107057659</v>
      </c>
      <c r="C9" s="2" t="n"/>
      <c r="D9" s="2" t="inlineStr">
        <is>
          <t>우리 220351</t>
        </is>
      </c>
      <c r="E9" s="120" t="n">
        <v>46297</v>
      </c>
      <c r="F9" s="119" t="n">
        <v>686315</v>
      </c>
      <c r="G9" s="2" t="n"/>
      <c r="H9" s="2" t="n"/>
      <c r="I9" s="2" t="n"/>
      <c r="J9" s="2" t="n"/>
      <c r="K9" s="2" t="n"/>
      <c r="L9" s="2" t="n"/>
      <c r="M9" s="2" t="n"/>
      <c r="N9" s="2" t="n"/>
      <c r="O9" s="2" t="n"/>
      <c r="P9" s="2" t="n"/>
    </row>
    <row r="10">
      <c r="A10" s="9" t="inlineStr">
        <is>
          <t>최근 12주 주평균 온라인입금</t>
        </is>
      </c>
      <c r="B10" s="119" t="n">
        <v>71003532</v>
      </c>
      <c r="C10" s="2" t="n"/>
      <c r="D10" s="2" t="n"/>
      <c r="E10" s="2" t="n"/>
      <c r="F10" s="2" t="n"/>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'4주일별계획'!R35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MIN('4주일별계획'!R8:R35)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4"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28"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26"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20"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145</v>
      </c>
      <c r="C28" s="173" t="n">
        <v>46272</v>
      </c>
      <c r="D28" s="173" t="n">
        <v>46297</v>
      </c>
      <c r="E28" s="2" t="n"/>
      <c r="F28" s="2" t="n"/>
      <c r="G28" s="2" t="n"/>
      <c r="H28" s="2" t="n"/>
      <c r="I28" s="2" t="n"/>
      <c r="J28" s="2" t="n"/>
      <c r="K28" s="2" t="n"/>
      <c r="L28" s="2" t="n"/>
      <c r="M28" s="2" t="n"/>
      <c r="N28" s="2" t="n"/>
      <c r="O28" s="2" t="n"/>
      <c r="P28" s="2" t="n"/>
    </row>
    <row r="29">
      <c r="A29" s="171" t="inlineStr">
        <is>
          <t>농협</t>
        </is>
      </c>
      <c r="B29" s="172" t="n">
        <v>36</v>
      </c>
      <c r="C29" s="173" t="n">
        <v>46272</v>
      </c>
      <c r="D29" s="173" t="n">
        <v>46297</v>
      </c>
      <c r="E29" s="2" t="n"/>
      <c r="F29" s="2" t="n"/>
      <c r="G29" s="2" t="n"/>
      <c r="H29" s="2" t="n"/>
      <c r="I29" s="2" t="n"/>
      <c r="J29" s="2" t="n"/>
      <c r="K29" s="2" t="n"/>
      <c r="L29" s="2" t="n"/>
      <c r="M29" s="2" t="n"/>
      <c r="N29" s="2" t="n"/>
      <c r="O29" s="2" t="n"/>
      <c r="P29" s="2" t="n"/>
    </row>
    <row r="30">
      <c r="A30" s="171" t="inlineStr">
        <is>
          <t>우리은행</t>
        </is>
      </c>
      <c r="B30" s="172" t="n">
        <v>128</v>
      </c>
      <c r="C30" s="173" t="n">
        <v>46271</v>
      </c>
      <c r="D30" s="173" t="n">
        <v>46297</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49" t="inlineStr">
        <is>
          <t>주간 자금 경영보고 — (주)에이팜건강</t>
        </is>
      </c>
    </row>
    <row r="2">
      <c r="A2" s="250" t="inlineStr">
        <is>
          <t>기준주 2026-09-28 (월) ~ 2026-10-04 (일) · 작성 2026-10-04 23:19:26 · 실행일~차주 금요일만 표시 (그 밖의 일자 행은 숨김 — 행 숨기기 해제로 열람 가능)</t>
        </is>
      </c>
    </row>
    <row r="3">
      <c r="A3" s="251"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5">
      <c r="A5" s="252" t="inlineStr">
        <is>
          <t>① 현재 자금 현황</t>
        </is>
      </c>
      <c r="B5" s="253" t="n"/>
      <c r="C5" s="253" t="n"/>
      <c r="D5" s="253" t="n"/>
      <c r="E5" s="253" t="n"/>
      <c r="F5" s="253" t="n"/>
      <c r="G5" s="253" t="n"/>
      <c r="H5" s="253" t="n"/>
      <c r="I5" s="253" t="n"/>
    </row>
    <row r="6">
      <c r="A6" s="254" t="inlineStr">
        <is>
          <t>국민 154577</t>
        </is>
      </c>
      <c r="C6" s="255" t="n">
        <v>40946401</v>
      </c>
      <c r="D6" s="140" t="inlineStr">
        <is>
          <t>최종 거래일 2026-10-02</t>
        </is>
      </c>
    </row>
    <row r="7">
      <c r="A7" s="254" t="inlineStr">
        <is>
          <t>국민 169124</t>
        </is>
      </c>
      <c r="C7" s="255" t="n">
        <v>30687200</v>
      </c>
      <c r="D7" s="140" t="inlineStr">
        <is>
          <t>최종 거래일 2026-09-29</t>
        </is>
      </c>
    </row>
    <row r="8">
      <c r="A8" s="254" t="inlineStr">
        <is>
          <t>농협 569003</t>
        </is>
      </c>
      <c r="C8" s="255" t="n">
        <v>210724</v>
      </c>
      <c r="D8" s="140" t="inlineStr">
        <is>
          <t>최종 거래일 2026-10-02</t>
        </is>
      </c>
    </row>
    <row r="9">
      <c r="A9" s="254" t="inlineStr">
        <is>
          <t>우리 220351</t>
        </is>
      </c>
      <c r="C9" s="255" t="n">
        <v>686315</v>
      </c>
      <c r="D9" s="140" t="inlineStr">
        <is>
          <t>최종 거래일 2026-10-02</t>
        </is>
      </c>
    </row>
    <row r="12">
      <c r="A12" s="256" t="inlineStr">
        <is>
          <t>총잔액</t>
        </is>
      </c>
      <c r="C12" s="257">
        <f>SUM(C6:C11)</f>
        <v/>
      </c>
      <c r="E12" s="258" t="inlineStr">
        <is>
          <t>입금 반영률</t>
        </is>
      </c>
      <c r="F12" s="259" t="n">
        <v>0.8</v>
      </c>
    </row>
    <row r="14">
      <c r="A14" s="252"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53" t="n"/>
      <c r="C14" s="253" t="n"/>
      <c r="D14" s="253" t="n"/>
      <c r="E14" s="253" t="n"/>
      <c r="F14" s="253" t="n"/>
      <c r="G14" s="253" t="n"/>
      <c r="H14" s="253" t="n"/>
      <c r="I14" s="253" t="n"/>
    </row>
    <row r="15">
      <c r="A15" s="260" t="inlineStr">
        <is>
          <t>지급일</t>
        </is>
      </c>
      <c r="B15" s="260" t="inlineStr">
        <is>
          <t>요일</t>
        </is>
      </c>
      <c r="C15" s="260" t="inlineStr">
        <is>
          <t>구분</t>
        </is>
      </c>
      <c r="D15" s="260" t="inlineStr">
        <is>
          <t>내용</t>
        </is>
      </c>
      <c r="E15" s="260" t="inlineStr">
        <is>
          <t>금액</t>
        </is>
      </c>
      <c r="F15" s="260" t="inlineStr">
        <is>
          <t>지급방법</t>
        </is>
      </c>
      <c r="G15" s="260" t="inlineStr">
        <is>
          <t>실지출(은행 확인)</t>
        </is>
      </c>
      <c r="H15" s="260" t="inlineStr">
        <is>
          <t>차이(잔여)</t>
        </is>
      </c>
      <c r="I15" s="260" t="inlineStr">
        <is>
          <t>확인</t>
        </is>
      </c>
    </row>
    <row r="16">
      <c r="A16" s="261" t="n">
        <v>46301</v>
      </c>
      <c r="B16" s="262">
        <f>IF(A16="","",MID("월화수목금토일",WEEKDAY(A16,2),1))</f>
        <v/>
      </c>
      <c r="C16" s="254" t="inlineStr">
        <is>
          <t>건강사업팀</t>
        </is>
      </c>
      <c r="D16" s="161" t="inlineStr">
        <is>
          <t>네이버 네이버 SA&amp;GFA 광고 비용</t>
        </is>
      </c>
      <c r="E16" s="263" t="n">
        <v>3366000</v>
      </c>
      <c r="F16" s="262" t="inlineStr">
        <is>
          <t>계좌송금</t>
        </is>
      </c>
      <c r="G16" s="263" t="inlineStr"/>
      <c r="H16" s="255">
        <f>IF(OR(G16="",E16=""),"",E16-G16)</f>
        <v/>
      </c>
      <c r="I16" s="264" t="inlineStr"/>
    </row>
    <row r="17">
      <c r="A17" s="261" t="n">
        <v>46301</v>
      </c>
      <c r="B17" s="262">
        <f>IF(A17="","",MID("월화수목금토일",WEEKDAY(A17,2),1))</f>
        <v/>
      </c>
      <c r="C17" s="254" t="inlineStr">
        <is>
          <t>건강사업팀</t>
        </is>
      </c>
      <c r="D17" s="161" t="inlineStr">
        <is>
          <t>카카오톡 플러스친구 카카오톡 플러스친구 충전</t>
        </is>
      </c>
      <c r="E17" s="263" t="n">
        <v>1500000</v>
      </c>
      <c r="F17" s="262" t="inlineStr">
        <is>
          <t>계좌송금</t>
        </is>
      </c>
      <c r="G17" s="263" t="inlineStr"/>
      <c r="H17" s="255">
        <f>IF(OR(G17="",E17=""),"",E17-G17)</f>
        <v/>
      </c>
      <c r="I17" s="264" t="inlineStr"/>
    </row>
    <row r="18">
      <c r="A18" s="261" t="n">
        <v>46301</v>
      </c>
      <c r="B18" s="262">
        <f>IF(A18="","",MID("월화수목금토일",WEEKDAY(A18,2),1))</f>
        <v/>
      </c>
      <c r="C18" s="254" t="inlineStr">
        <is>
          <t>건강사업팀</t>
        </is>
      </c>
      <c r="D18" s="161" t="inlineStr">
        <is>
          <t>네이버 네이버 톡톡</t>
        </is>
      </c>
      <c r="E18" s="263" t="n">
        <v>500000</v>
      </c>
      <c r="F18" s="262" t="inlineStr">
        <is>
          <t>계좌송금</t>
        </is>
      </c>
      <c r="G18" s="263" t="inlineStr"/>
      <c r="H18" s="255">
        <f>IF(OR(G18="",E18=""),"",E18-G18)</f>
        <v/>
      </c>
      <c r="I18" s="264" t="inlineStr"/>
    </row>
    <row r="19">
      <c r="A19" s="261" t="n">
        <v>46301</v>
      </c>
      <c r="B19" s="262">
        <f>IF(A19="","",MID("월화수목금토일",WEEKDAY(A19,2),1))</f>
        <v/>
      </c>
      <c r="C19" s="254" t="inlineStr">
        <is>
          <t>건강사업팀</t>
        </is>
      </c>
      <c r="D19" s="161" t="inlineStr">
        <is>
          <t>비즈콘 정기배송 50회차, 60회차 달성8명, 신세계상품권 5만원권 발송</t>
        </is>
      </c>
      <c r="E19" s="263" t="n">
        <v>400000</v>
      </c>
      <c r="F19" s="262" t="inlineStr">
        <is>
          <t>계좌송금</t>
        </is>
      </c>
      <c r="G19" s="263" t="inlineStr"/>
      <c r="H19" s="255">
        <f>IF(OR(G19="",E19=""),"",E19-G19)</f>
        <v/>
      </c>
      <c r="I19" s="264" t="inlineStr"/>
    </row>
    <row r="20">
      <c r="A20" s="261" t="n">
        <v>46302</v>
      </c>
      <c r="B20" s="262">
        <f>IF(A20="","",MID("월화수목금토일",WEEKDAY(A20,2),1))</f>
        <v/>
      </c>
      <c r="C20" s="254" t="inlineStr">
        <is>
          <t>건강사업팀</t>
        </is>
      </c>
      <c r="D20" s="161" t="inlineStr">
        <is>
          <t>인포크비즈니스 베리시톨 인플루언서 비용</t>
        </is>
      </c>
      <c r="E20" s="263" t="n">
        <v>3300000</v>
      </c>
      <c r="F20" s="262" t="inlineStr">
        <is>
          <t>계좌송금</t>
        </is>
      </c>
      <c r="G20" s="263" t="inlineStr"/>
      <c r="H20" s="255">
        <f>IF(OR(G20="",E20=""),"",E20-G20)</f>
        <v/>
      </c>
      <c r="I20" s="264" t="inlineStr"/>
    </row>
    <row r="21">
      <c r="A21" s="261" t="n">
        <v>46302</v>
      </c>
      <c r="B21" s="262">
        <f>IF(A21="","",MID("월화수목금토일",WEEKDAY(A21,2),1))</f>
        <v/>
      </c>
      <c r="C21" s="254" t="inlineStr">
        <is>
          <t>건강사업팀</t>
        </is>
      </c>
      <c r="D21" s="161" t="inlineStr">
        <is>
          <t>써치엠 메타 광고 대행 수수</t>
        </is>
      </c>
      <c r="E21" s="263" t="n">
        <v>1487786</v>
      </c>
      <c r="F21" s="262" t="inlineStr">
        <is>
          <t>계좌송금</t>
        </is>
      </c>
      <c r="G21" s="263" t="inlineStr"/>
      <c r="H21" s="255">
        <f>IF(OR(G21="",E21=""),"",E21-G21)</f>
        <v/>
      </c>
      <c r="I21" s="264" t="inlineStr"/>
    </row>
    <row r="22">
      <c r="A22" s="261" t="n">
        <v>46302</v>
      </c>
      <c r="B22" s="262">
        <f>IF(A22="","",MID("월화수목금토일",WEEKDAY(A22,2),1))</f>
        <v/>
      </c>
      <c r="C22" s="254" t="inlineStr">
        <is>
          <t>건강사업팀</t>
        </is>
      </c>
      <c r="D22" s="161" t="inlineStr">
        <is>
          <t>ADN ADN 광고 송출 비용</t>
        </is>
      </c>
      <c r="E22" s="263" t="n">
        <v>500000</v>
      </c>
      <c r="F22" s="262" t="inlineStr">
        <is>
          <t>계좌송금</t>
        </is>
      </c>
      <c r="G22" s="263" t="inlineStr"/>
      <c r="H22" s="255">
        <f>IF(OR(G22="",E22=""),"",E22-G22)</f>
        <v/>
      </c>
      <c r="I22" s="264" t="inlineStr"/>
    </row>
    <row r="23">
      <c r="A23" s="261" t="n">
        <v>46302</v>
      </c>
      <c r="B23" s="262">
        <f>IF(A23="","",MID("월화수목금토일",WEEKDAY(A23,2),1))</f>
        <v/>
      </c>
      <c r="C23" s="254" t="inlineStr">
        <is>
          <t>경영지원팀</t>
        </is>
      </c>
      <c r="D23" s="161" t="inlineStr">
        <is>
          <t>서원회계법인 기장료</t>
        </is>
      </c>
      <c r="E23" s="263" t="n">
        <v>385000</v>
      </c>
      <c r="F23" s="262" t="inlineStr">
        <is>
          <t>계좌송금</t>
        </is>
      </c>
      <c r="G23" s="263" t="inlineStr"/>
      <c r="H23" s="255">
        <f>IF(OR(G23="",E23=""),"",E23-G23)</f>
        <v/>
      </c>
      <c r="I23" s="264" t="inlineStr"/>
    </row>
    <row r="24">
      <c r="A24" s="261" t="n">
        <v>46302</v>
      </c>
      <c r="B24" s="262">
        <f>IF(A24="","",MID("월화수목금토일",WEEKDAY(A24,2),1))</f>
        <v/>
      </c>
      <c r="C24" s="254" t="inlineStr">
        <is>
          <t>건강사업팀</t>
        </is>
      </c>
      <c r="D24" s="161" t="inlineStr">
        <is>
          <t>비즈콘 9월 프로모션 사은품 지급</t>
        </is>
      </c>
      <c r="E24" s="263" t="n">
        <v>300000</v>
      </c>
      <c r="F24" s="262" t="inlineStr">
        <is>
          <t>계좌송금</t>
        </is>
      </c>
      <c r="G24" s="263" t="inlineStr"/>
      <c r="H24" s="255">
        <f>IF(OR(G24="",E24=""),"",E24-G24)</f>
        <v/>
      </c>
      <c r="I24" s="264" t="inlineStr"/>
    </row>
    <row r="25">
      <c r="A25" s="261" t="n">
        <v>46303</v>
      </c>
      <c r="B25" s="262">
        <f>IF(A25="","",MID("월화수목금토일",WEEKDAY(A25,2),1))</f>
        <v/>
      </c>
      <c r="C25" s="254" t="inlineStr">
        <is>
          <t>데이터사이언스팀</t>
        </is>
      </c>
      <c r="D25" s="161" t="inlineStr">
        <is>
          <t>KICTA CES 참가 부스 최종 대금</t>
        </is>
      </c>
      <c r="E25" s="263" t="n">
        <v>9189417</v>
      </c>
      <c r="F25" s="262" t="inlineStr">
        <is>
          <t>계좌송금</t>
        </is>
      </c>
      <c r="G25" s="263" t="inlineStr"/>
      <c r="H25" s="255">
        <f>IF(OR(G25="",E25=""),"",E25-G25)</f>
        <v/>
      </c>
      <c r="I25" s="264" t="inlineStr"/>
    </row>
    <row r="26">
      <c r="A26" s="261" t="n">
        <v>46303</v>
      </c>
      <c r="B26" s="262">
        <f>IF(A26="","",MID("월화수목금토일",WEEKDAY(A26,2),1))</f>
        <v/>
      </c>
      <c r="C26" s="254" t="inlineStr">
        <is>
          <t>건강사업팀</t>
        </is>
      </c>
      <c r="D26" s="161" t="inlineStr">
        <is>
          <t>네이버 네이버 SA&amp;GFA 광고 비용</t>
        </is>
      </c>
      <c r="E26" s="263" t="n">
        <v>6424000</v>
      </c>
      <c r="F26" s="262" t="inlineStr">
        <is>
          <t>계좌송금</t>
        </is>
      </c>
      <c r="G26" s="263" t="inlineStr"/>
      <c r="H26" s="255">
        <f>IF(OR(G26="",E26=""),"",E26-G26)</f>
        <v/>
      </c>
      <c r="I26" s="264" t="inlineStr"/>
    </row>
    <row r="27">
      <c r="A27" s="261" t="n">
        <v>46303</v>
      </c>
      <c r="B27" s="262">
        <f>IF(A27="","",MID("월화수목금토일",WEEKDAY(A27,2),1))</f>
        <v/>
      </c>
      <c r="C27" s="254" t="inlineStr">
        <is>
          <t>건강사업팀</t>
        </is>
      </c>
      <c r="D27" s="161" t="inlineStr">
        <is>
          <t>네이버 브랜드 검색 광고</t>
        </is>
      </c>
      <c r="E27" s="263" t="n">
        <v>1980000</v>
      </c>
      <c r="F27" s="262" t="inlineStr">
        <is>
          <t>계좌송금</t>
        </is>
      </c>
      <c r="G27" s="263" t="inlineStr"/>
      <c r="H27" s="255">
        <f>IF(OR(G27="",E27=""),"",E27-G27)</f>
        <v/>
      </c>
      <c r="I27" s="264" t="inlineStr"/>
    </row>
    <row r="28">
      <c r="A28" s="261" t="n">
        <v>46303</v>
      </c>
      <c r="B28" s="262">
        <f>IF(A28="","",MID("월화수목금토일",WEEKDAY(A28,2),1))</f>
        <v/>
      </c>
      <c r="C28" s="254" t="inlineStr">
        <is>
          <t>CS팀</t>
        </is>
      </c>
      <c r="D28" s="161" t="inlineStr">
        <is>
          <t>(주)채널코퍼레이션 쁘띠앤 채널톡 예치금 충전</t>
        </is>
      </c>
      <c r="E28" s="263" t="n">
        <v>198000</v>
      </c>
      <c r="F28" s="262" t="inlineStr">
        <is>
          <t>계좌송금</t>
        </is>
      </c>
      <c r="G28" s="263" t="inlineStr"/>
      <c r="H28" s="255">
        <f>IF(OR(G28="",E28=""),"",E28-G28)</f>
        <v/>
      </c>
      <c r="I28" s="264" t="inlineStr"/>
    </row>
    <row r="29" hidden="1">
      <c r="A29" s="261" t="n">
        <v>46318</v>
      </c>
      <c r="B29" s="262">
        <f>IF(A29="","",MID("월화수목금토일",WEEKDAY(A29,2),1))</f>
        <v/>
      </c>
      <c r="C29" s="254" t="inlineStr">
        <is>
          <t>경영지원팀</t>
        </is>
      </c>
      <c r="D29" s="161" t="inlineStr">
        <is>
          <t>위버 워크샵 (1부/2부) 이용료</t>
        </is>
      </c>
      <c r="E29" s="263" t="n">
        <v>1675000</v>
      </c>
      <c r="F29" s="262" t="inlineStr">
        <is>
          <t>법인카드</t>
        </is>
      </c>
      <c r="G29" s="263" t="inlineStr"/>
      <c r="H29" s="255">
        <f>IF(OR(G29="",E29=""),"",E29-G29)</f>
        <v/>
      </c>
      <c r="I29" s="264" t="inlineStr"/>
    </row>
    <row r="30">
      <c r="A30" s="261" t="inlineStr"/>
      <c r="B30" s="262">
        <f>IF(A30="","",MID("월화수목금토일",WEEKDAY(A30,2),1))</f>
        <v/>
      </c>
      <c r="C30" s="254" t="inlineStr"/>
      <c r="D30" s="254" t="inlineStr"/>
      <c r="E30" s="263" t="inlineStr"/>
      <c r="F30" s="254" t="inlineStr"/>
      <c r="G30" s="263" t="inlineStr"/>
      <c r="H30" s="255">
        <f>IF(OR(G30="",E30=""),"",E30-G30)</f>
        <v/>
      </c>
      <c r="I30" s="264" t="inlineStr"/>
    </row>
    <row r="31">
      <c r="A31" s="261" t="inlineStr"/>
      <c r="B31" s="262">
        <f>IF(A31="","",MID("월화수목금토일",WEEKDAY(A31,2),1))</f>
        <v/>
      </c>
      <c r="C31" s="254" t="inlineStr"/>
      <c r="D31" s="254" t="inlineStr"/>
      <c r="E31" s="263" t="inlineStr"/>
      <c r="F31" s="254" t="inlineStr"/>
      <c r="G31" s="263" t="inlineStr"/>
      <c r="H31" s="255">
        <f>IF(OR(G31="",E31=""),"",E31-G31)</f>
        <v/>
      </c>
      <c r="I31" s="264" t="inlineStr"/>
    </row>
    <row r="32">
      <c r="A32" s="261" t="inlineStr"/>
      <c r="B32" s="262">
        <f>IF(A32="","",MID("월화수목금토일",WEEKDAY(A32,2),1))</f>
        <v/>
      </c>
      <c r="C32" s="254" t="inlineStr"/>
      <c r="D32" s="254" t="inlineStr"/>
      <c r="E32" s="263" t="inlineStr"/>
      <c r="F32" s="254" t="inlineStr"/>
      <c r="G32" s="263" t="inlineStr"/>
      <c r="H32" s="255">
        <f>IF(OR(G32="",E32=""),"",E32-G32)</f>
        <v/>
      </c>
      <c r="I32" s="264" t="inlineStr"/>
    </row>
    <row r="33" hidden="1">
      <c r="A33" s="261" t="inlineStr"/>
      <c r="B33" s="262">
        <f>IF(A33="","",MID("월화수목금토일",WEEKDAY(A33,2),1))</f>
        <v/>
      </c>
      <c r="C33" s="254" t="inlineStr"/>
      <c r="D33" s="254" t="inlineStr"/>
      <c r="E33" s="263" t="inlineStr"/>
      <c r="F33" s="254" t="inlineStr"/>
      <c r="G33" s="263" t="inlineStr"/>
      <c r="H33" s="255">
        <f>IF(OR(G33="",E33=""),"",E33-G33)</f>
        <v/>
      </c>
      <c r="I33" s="264" t="inlineStr"/>
    </row>
    <row r="34" hidden="1">
      <c r="A34" s="261" t="inlineStr"/>
      <c r="B34" s="262">
        <f>IF(A34="","",MID("월화수목금토일",WEEKDAY(A34,2),1))</f>
        <v/>
      </c>
      <c r="C34" s="254" t="inlineStr"/>
      <c r="D34" s="254" t="inlineStr"/>
      <c r="E34" s="263" t="inlineStr"/>
      <c r="F34" s="254" t="inlineStr"/>
      <c r="G34" s="263" t="inlineStr"/>
      <c r="H34" s="255">
        <f>IF(OR(G34="",E34=""),"",E34-G34)</f>
        <v/>
      </c>
      <c r="I34" s="264" t="inlineStr"/>
    </row>
    <row r="35" hidden="1">
      <c r="A35" s="261" t="inlineStr"/>
      <c r="B35" s="262">
        <f>IF(A35="","",MID("월화수목금토일",WEEKDAY(A35,2),1))</f>
        <v/>
      </c>
      <c r="C35" s="254" t="inlineStr"/>
      <c r="D35" s="254" t="inlineStr"/>
      <c r="E35" s="263" t="inlineStr"/>
      <c r="F35" s="254" t="inlineStr"/>
      <c r="G35" s="263" t="inlineStr"/>
      <c r="H35" s="255">
        <f>IF(OR(G35="",E35=""),"",E35-G35)</f>
        <v/>
      </c>
      <c r="I35" s="264" t="inlineStr"/>
    </row>
    <row r="36" hidden="1">
      <c r="A36" s="261" t="inlineStr"/>
      <c r="B36" s="262">
        <f>IF(A36="","",MID("월화수목금토일",WEEKDAY(A36,2),1))</f>
        <v/>
      </c>
      <c r="C36" s="254" t="inlineStr"/>
      <c r="D36" s="254" t="inlineStr"/>
      <c r="E36" s="263" t="inlineStr"/>
      <c r="F36" s="254" t="inlineStr"/>
      <c r="G36" s="263" t="inlineStr"/>
      <c r="H36" s="255">
        <f>IF(OR(G36="",E36=""),"",E36-G36)</f>
        <v/>
      </c>
      <c r="I36" s="264" t="inlineStr"/>
    </row>
    <row r="37" hidden="1">
      <c r="A37" s="261" t="inlineStr"/>
      <c r="B37" s="262">
        <f>IF(A37="","",MID("월화수목금토일",WEEKDAY(A37,2),1))</f>
        <v/>
      </c>
      <c r="C37" s="254" t="inlineStr"/>
      <c r="D37" s="254" t="inlineStr"/>
      <c r="E37" s="263" t="inlineStr"/>
      <c r="F37" s="254" t="inlineStr"/>
      <c r="G37" s="263" t="inlineStr"/>
      <c r="H37" s="255">
        <f>IF(OR(G37="",E37=""),"",E37-G37)</f>
        <v/>
      </c>
      <c r="I37" s="264" t="inlineStr"/>
    </row>
    <row r="38" hidden="1">
      <c r="A38" s="261" t="inlineStr"/>
      <c r="B38" s="262">
        <f>IF(A38="","",MID("월화수목금토일",WEEKDAY(A38,2),1))</f>
        <v/>
      </c>
      <c r="C38" s="254" t="inlineStr"/>
      <c r="D38" s="254" t="inlineStr"/>
      <c r="E38" s="263" t="inlineStr"/>
      <c r="F38" s="254" t="inlineStr"/>
      <c r="G38" s="263" t="inlineStr"/>
      <c r="H38" s="255">
        <f>IF(OR(G38="",E38=""),"",E38-G38)</f>
        <v/>
      </c>
      <c r="I38" s="264" t="inlineStr"/>
    </row>
    <row r="39" hidden="1">
      <c r="A39" s="261" t="inlineStr"/>
      <c r="B39" s="262">
        <f>IF(A39="","",MID("월화수목금토일",WEEKDAY(A39,2),1))</f>
        <v/>
      </c>
      <c r="C39" s="254" t="inlineStr"/>
      <c r="D39" s="254" t="inlineStr"/>
      <c r="E39" s="263" t="inlineStr"/>
      <c r="F39" s="254" t="inlineStr"/>
      <c r="G39" s="263" t="inlineStr"/>
      <c r="H39" s="255">
        <f>IF(OR(G39="",E39=""),"",E39-G39)</f>
        <v/>
      </c>
      <c r="I39" s="264" t="inlineStr"/>
    </row>
    <row r="40" hidden="1">
      <c r="A40" s="261" t="inlineStr"/>
      <c r="B40" s="262">
        <f>IF(A40="","",MID("월화수목금토일",WEEKDAY(A40,2),1))</f>
        <v/>
      </c>
      <c r="C40" s="254" t="inlineStr"/>
      <c r="D40" s="254" t="inlineStr"/>
      <c r="E40" s="263" t="inlineStr"/>
      <c r="F40" s="254" t="inlineStr"/>
      <c r="G40" s="263" t="inlineStr"/>
      <c r="H40" s="255">
        <f>IF(OR(G40="",E40=""),"",E40-G40)</f>
        <v/>
      </c>
      <c r="I40" s="264" t="inlineStr"/>
    </row>
    <row r="41" hidden="1">
      <c r="A41" s="261" t="inlineStr"/>
      <c r="B41" s="262">
        <f>IF(A41="","",MID("월화수목금토일",WEEKDAY(A41,2),1))</f>
        <v/>
      </c>
      <c r="C41" s="254" t="inlineStr"/>
      <c r="D41" s="254" t="inlineStr"/>
      <c r="E41" s="263" t="inlineStr"/>
      <c r="F41" s="254" t="inlineStr"/>
      <c r="G41" s="263" t="inlineStr"/>
      <c r="H41" s="255">
        <f>IF(OR(G41="",E41=""),"",E41-G41)</f>
        <v/>
      </c>
      <c r="I41" s="264" t="inlineStr"/>
    </row>
    <row r="42" hidden="1">
      <c r="A42" s="261" t="inlineStr"/>
      <c r="B42" s="262">
        <f>IF(A42="","",MID("월화수목금토일",WEEKDAY(A42,2),1))</f>
        <v/>
      </c>
      <c r="C42" s="254" t="inlineStr"/>
      <c r="D42" s="254" t="inlineStr"/>
      <c r="E42" s="263" t="inlineStr"/>
      <c r="F42" s="254" t="inlineStr"/>
      <c r="G42" s="263" t="inlineStr"/>
      <c r="H42" s="255">
        <f>IF(OR(G42="",E42=""),"",E42-G42)</f>
        <v/>
      </c>
      <c r="I42" s="264" t="inlineStr"/>
    </row>
    <row r="43" hidden="1">
      <c r="A43" s="261" t="inlineStr"/>
      <c r="B43" s="262">
        <f>IF(A43="","",MID("월화수목금토일",WEEKDAY(A43,2),1))</f>
        <v/>
      </c>
      <c r="C43" s="254" t="inlineStr"/>
      <c r="D43" s="254" t="inlineStr"/>
      <c r="E43" s="263" t="inlineStr"/>
      <c r="F43" s="254" t="inlineStr"/>
      <c r="G43" s="263" t="inlineStr"/>
      <c r="H43" s="255">
        <f>IF(OR(G43="",E43=""),"",E43-G43)</f>
        <v/>
      </c>
      <c r="I43" s="264" t="inlineStr"/>
    </row>
    <row r="44" hidden="1">
      <c r="A44" s="261" t="inlineStr"/>
      <c r="B44" s="262">
        <f>IF(A44="","",MID("월화수목금토일",WEEKDAY(A44,2),1))</f>
        <v/>
      </c>
      <c r="C44" s="254" t="inlineStr"/>
      <c r="D44" s="254" t="inlineStr"/>
      <c r="E44" s="263" t="inlineStr"/>
      <c r="F44" s="254" t="inlineStr"/>
      <c r="G44" s="263" t="inlineStr"/>
      <c r="H44" s="255">
        <f>IF(OR(G44="",E44=""),"",E44-G44)</f>
        <v/>
      </c>
      <c r="I44" s="264" t="inlineStr"/>
    </row>
    <row r="45" hidden="1">
      <c r="A45" s="261" t="inlineStr"/>
      <c r="B45" s="262">
        <f>IF(A45="","",MID("월화수목금토일",WEEKDAY(A45,2),1))</f>
        <v/>
      </c>
      <c r="C45" s="254" t="inlineStr"/>
      <c r="D45" s="254" t="inlineStr"/>
      <c r="E45" s="263" t="inlineStr"/>
      <c r="F45" s="254" t="inlineStr"/>
      <c r="G45" s="263" t="inlineStr"/>
      <c r="H45" s="255">
        <f>IF(OR(G45="",E45=""),"",E45-G45)</f>
        <v/>
      </c>
      <c r="I45" s="264" t="inlineStr"/>
    </row>
    <row r="46" hidden="1">
      <c r="A46" s="261" t="inlineStr"/>
      <c r="B46" s="262">
        <f>IF(A46="","",MID("월화수목금토일",WEEKDAY(A46,2),1))</f>
        <v/>
      </c>
      <c r="C46" s="254" t="inlineStr"/>
      <c r="D46" s="254" t="inlineStr"/>
      <c r="E46" s="263" t="inlineStr"/>
      <c r="F46" s="254" t="inlineStr"/>
      <c r="G46" s="263" t="inlineStr"/>
      <c r="H46" s="255">
        <f>IF(OR(G46="",E46=""),"",E46-G46)</f>
        <v/>
      </c>
      <c r="I46" s="264" t="inlineStr"/>
    </row>
    <row r="47" hidden="1">
      <c r="A47" s="261" t="inlineStr"/>
      <c r="B47" s="262">
        <f>IF(A47="","",MID("월화수목금토일",WEEKDAY(A47,2),1))</f>
        <v/>
      </c>
      <c r="C47" s="254" t="inlineStr"/>
      <c r="D47" s="254" t="inlineStr"/>
      <c r="E47" s="263" t="inlineStr"/>
      <c r="F47" s="254" t="inlineStr"/>
      <c r="G47" s="263" t="inlineStr"/>
      <c r="H47" s="255">
        <f>IF(OR(G47="",E47=""),"",E47-G47)</f>
        <v/>
      </c>
      <c r="I47" s="264" t="inlineStr"/>
    </row>
    <row r="48" hidden="1">
      <c r="A48" s="261" t="inlineStr"/>
      <c r="B48" s="262">
        <f>IF(A48="","",MID("월화수목금토일",WEEKDAY(A48,2),1))</f>
        <v/>
      </c>
      <c r="C48" s="254" t="inlineStr"/>
      <c r="D48" s="254" t="inlineStr"/>
      <c r="E48" s="263" t="inlineStr"/>
      <c r="F48" s="254" t="inlineStr"/>
      <c r="G48" s="263" t="inlineStr"/>
      <c r="H48" s="255">
        <f>IF(OR(G48="",E48=""),"",E48-G48)</f>
        <v/>
      </c>
      <c r="I48" s="264" t="inlineStr"/>
    </row>
    <row r="49" hidden="1">
      <c r="A49" s="261" t="inlineStr"/>
      <c r="B49" s="262">
        <f>IF(A49="","",MID("월화수목금토일",WEEKDAY(A49,2),1))</f>
        <v/>
      </c>
      <c r="C49" s="254" t="inlineStr"/>
      <c r="D49" s="254" t="inlineStr"/>
      <c r="E49" s="263" t="inlineStr"/>
      <c r="F49" s="254" t="inlineStr"/>
      <c r="G49" s="263" t="inlineStr"/>
      <c r="H49" s="255">
        <f>IF(OR(G49="",E49=""),"",E49-G49)</f>
        <v/>
      </c>
      <c r="I49" s="264" t="inlineStr"/>
    </row>
    <row r="50" hidden="1">
      <c r="A50" s="261" t="inlineStr"/>
      <c r="B50" s="262">
        <f>IF(A50="","",MID("월화수목금토일",WEEKDAY(A50,2),1))</f>
        <v/>
      </c>
      <c r="C50" s="254" t="inlineStr"/>
      <c r="D50" s="254" t="inlineStr"/>
      <c r="E50" s="263" t="inlineStr"/>
      <c r="F50" s="254" t="inlineStr"/>
      <c r="G50" s="263" t="inlineStr"/>
      <c r="H50" s="255">
        <f>IF(OR(G50="",E50=""),"",E50-G50)</f>
        <v/>
      </c>
      <c r="I50" s="264" t="inlineStr"/>
    </row>
    <row r="51" hidden="1">
      <c r="A51" s="261" t="inlineStr"/>
      <c r="B51" s="262">
        <f>IF(A51="","",MID("월화수목금토일",WEEKDAY(A51,2),1))</f>
        <v/>
      </c>
      <c r="C51" s="254" t="inlineStr"/>
      <c r="D51" s="254" t="inlineStr"/>
      <c r="E51" s="263" t="inlineStr"/>
      <c r="F51" s="254" t="inlineStr"/>
      <c r="G51" s="263" t="inlineStr"/>
      <c r="H51" s="255">
        <f>IF(OR(G51="",E51=""),"",E51-G51)</f>
        <v/>
      </c>
      <c r="I51" s="264" t="inlineStr"/>
    </row>
    <row r="52" hidden="1">
      <c r="A52" s="261" t="inlineStr"/>
      <c r="B52" s="262">
        <f>IF(A52="","",MID("월화수목금토일",WEEKDAY(A52,2),1))</f>
        <v/>
      </c>
      <c r="C52" s="254" t="inlineStr"/>
      <c r="D52" s="254" t="inlineStr"/>
      <c r="E52" s="263" t="inlineStr"/>
      <c r="F52" s="254" t="inlineStr"/>
      <c r="G52" s="263" t="inlineStr"/>
      <c r="H52" s="255">
        <f>IF(OR(G52="",E52=""),"",E52-G52)</f>
        <v/>
      </c>
      <c r="I52" s="264" t="inlineStr"/>
    </row>
    <row r="53" hidden="1">
      <c r="A53" s="261" t="inlineStr"/>
      <c r="B53" s="262">
        <f>IF(A53="","",MID("월화수목금토일",WEEKDAY(A53,2),1))</f>
        <v/>
      </c>
      <c r="C53" s="254" t="inlineStr"/>
      <c r="D53" s="254" t="inlineStr"/>
      <c r="E53" s="263" t="inlineStr"/>
      <c r="F53" s="254" t="inlineStr"/>
      <c r="G53" s="263" t="inlineStr"/>
      <c r="H53" s="255">
        <f>IF(OR(G53="",E53=""),"",E53-G53)</f>
        <v/>
      </c>
      <c r="I53" s="264" t="inlineStr"/>
    </row>
    <row r="54" hidden="1">
      <c r="A54" s="261" t="inlineStr"/>
      <c r="B54" s="262">
        <f>IF(A54="","",MID("월화수목금토일",WEEKDAY(A54,2),1))</f>
        <v/>
      </c>
      <c r="C54" s="254" t="inlineStr"/>
      <c r="D54" s="254" t="inlineStr"/>
      <c r="E54" s="263" t="inlineStr"/>
      <c r="F54" s="254" t="inlineStr"/>
      <c r="G54" s="263" t="inlineStr"/>
      <c r="H54" s="255">
        <f>IF(OR(G54="",E54=""),"",E54-G54)</f>
        <v/>
      </c>
      <c r="I54" s="264" t="inlineStr"/>
    </row>
    <row r="55" hidden="1">
      <c r="A55" s="261" t="inlineStr"/>
      <c r="B55" s="262">
        <f>IF(A55="","",MID("월화수목금토일",WEEKDAY(A55,2),1))</f>
        <v/>
      </c>
      <c r="C55" s="254" t="inlineStr"/>
      <c r="D55" s="254" t="inlineStr"/>
      <c r="E55" s="263" t="inlineStr"/>
      <c r="F55" s="254" t="inlineStr"/>
      <c r="G55" s="263" t="inlineStr"/>
      <c r="H55" s="255">
        <f>IF(OR(G55="",E55=""),"",E55-G55)</f>
        <v/>
      </c>
      <c r="I55" s="264" t="inlineStr"/>
    </row>
    <row r="56" hidden="1">
      <c r="A56" s="261" t="inlineStr"/>
      <c r="B56" s="262">
        <f>IF(A56="","",MID("월화수목금토일",WEEKDAY(A56,2),1))</f>
        <v/>
      </c>
      <c r="C56" s="254" t="inlineStr"/>
      <c r="D56" s="254" t="inlineStr"/>
      <c r="E56" s="263" t="inlineStr"/>
      <c r="F56" s="254" t="inlineStr"/>
      <c r="G56" s="263" t="inlineStr"/>
      <c r="H56" s="255">
        <f>IF(OR(G56="",E56=""),"",E56-G56)</f>
        <v/>
      </c>
      <c r="I56" s="264" t="inlineStr"/>
    </row>
    <row r="57" hidden="1">
      <c r="A57" s="261" t="inlineStr"/>
      <c r="B57" s="262">
        <f>IF(A57="","",MID("월화수목금토일",WEEKDAY(A57,2),1))</f>
        <v/>
      </c>
      <c r="C57" s="254" t="inlineStr"/>
      <c r="D57" s="254" t="inlineStr"/>
      <c r="E57" s="263" t="inlineStr"/>
      <c r="F57" s="254" t="inlineStr"/>
      <c r="G57" s="263" t="inlineStr"/>
      <c r="H57" s="255">
        <f>IF(OR(G57="",E57=""),"",E57-G57)</f>
        <v/>
      </c>
      <c r="I57" s="264" t="inlineStr"/>
    </row>
    <row r="58" hidden="1">
      <c r="A58" s="261" t="inlineStr"/>
      <c r="B58" s="262">
        <f>IF(A58="","",MID("월화수목금토일",WEEKDAY(A58,2),1))</f>
        <v/>
      </c>
      <c r="C58" s="254" t="inlineStr"/>
      <c r="D58" s="254" t="inlineStr"/>
      <c r="E58" s="263" t="inlineStr"/>
      <c r="F58" s="254" t="inlineStr"/>
      <c r="G58" s="263" t="inlineStr"/>
      <c r="H58" s="255">
        <f>IF(OR(G58="",E58=""),"",E58-G58)</f>
        <v/>
      </c>
      <c r="I58" s="264" t="inlineStr"/>
    </row>
    <row r="59" hidden="1">
      <c r="A59" s="261" t="inlineStr"/>
      <c r="B59" s="262">
        <f>IF(A59="","",MID("월화수목금토일",WEEKDAY(A59,2),1))</f>
        <v/>
      </c>
      <c r="C59" s="254" t="inlineStr"/>
      <c r="D59" s="254" t="inlineStr"/>
      <c r="E59" s="263" t="inlineStr"/>
      <c r="F59" s="254" t="inlineStr"/>
      <c r="G59" s="263" t="inlineStr"/>
      <c r="H59" s="255">
        <f>IF(OR(G59="",E59=""),"",E59-G59)</f>
        <v/>
      </c>
      <c r="I59" s="264" t="inlineStr"/>
    </row>
    <row r="60" hidden="1">
      <c r="A60" s="261" t="inlineStr"/>
      <c r="B60" s="262">
        <f>IF(A60="","",MID("월화수목금토일",WEEKDAY(A60,2),1))</f>
        <v/>
      </c>
      <c r="C60" s="254" t="inlineStr"/>
      <c r="D60" s="254" t="inlineStr"/>
      <c r="E60" s="263" t="inlineStr"/>
      <c r="F60" s="254" t="inlineStr"/>
      <c r="G60" s="263" t="inlineStr"/>
      <c r="H60" s="255">
        <f>IF(OR(G60="",E60=""),"",E60-G60)</f>
        <v/>
      </c>
      <c r="I60" s="264" t="inlineStr"/>
    </row>
    <row r="61" hidden="1">
      <c r="A61" s="261" t="inlineStr"/>
      <c r="B61" s="262">
        <f>IF(A61="","",MID("월화수목금토일",WEEKDAY(A61,2),1))</f>
        <v/>
      </c>
      <c r="C61" s="254" t="inlineStr"/>
      <c r="D61" s="254" t="inlineStr"/>
      <c r="E61" s="263" t="inlineStr"/>
      <c r="F61" s="254" t="inlineStr"/>
      <c r="G61" s="263" t="inlineStr"/>
      <c r="H61" s="255">
        <f>IF(OR(G61="",E61=""),"",E61-G61)</f>
        <v/>
      </c>
      <c r="I61" s="264" t="inlineStr"/>
    </row>
    <row r="62" hidden="1">
      <c r="A62" s="261" t="inlineStr"/>
      <c r="B62" s="262">
        <f>IF(A62="","",MID("월화수목금토일",WEEKDAY(A62,2),1))</f>
        <v/>
      </c>
      <c r="C62" s="254" t="inlineStr"/>
      <c r="D62" s="254" t="inlineStr"/>
      <c r="E62" s="263" t="inlineStr"/>
      <c r="F62" s="254" t="inlineStr"/>
      <c r="G62" s="263" t="inlineStr"/>
      <c r="H62" s="255">
        <f>IF(OR(G62="",E62=""),"",E62-G62)</f>
        <v/>
      </c>
      <c r="I62" s="264" t="inlineStr"/>
    </row>
    <row r="63" hidden="1">
      <c r="A63" s="261" t="inlineStr"/>
      <c r="B63" s="262">
        <f>IF(A63="","",MID("월화수목금토일",WEEKDAY(A63,2),1))</f>
        <v/>
      </c>
      <c r="C63" s="254" t="inlineStr"/>
      <c r="D63" s="254" t="inlineStr"/>
      <c r="E63" s="263" t="inlineStr"/>
      <c r="F63" s="254" t="inlineStr"/>
      <c r="G63" s="263" t="inlineStr"/>
      <c r="H63" s="255">
        <f>IF(OR(G63="",E63=""),"",E63-G63)</f>
        <v/>
      </c>
      <c r="I63" s="264" t="inlineStr"/>
    </row>
    <row r="64" hidden="1">
      <c r="A64" s="261" t="inlineStr"/>
      <c r="B64" s="262">
        <f>IF(A64="","",MID("월화수목금토일",WEEKDAY(A64,2),1))</f>
        <v/>
      </c>
      <c r="C64" s="254" t="inlineStr"/>
      <c r="D64" s="254" t="inlineStr"/>
      <c r="E64" s="263" t="inlineStr"/>
      <c r="F64" s="254" t="inlineStr"/>
      <c r="G64" s="263" t="inlineStr"/>
      <c r="H64" s="255">
        <f>IF(OR(G64="",E64=""),"",E64-G64)</f>
        <v/>
      </c>
      <c r="I64" s="264" t="inlineStr"/>
    </row>
    <row r="65" hidden="1">
      <c r="A65" s="261" t="inlineStr"/>
      <c r="B65" s="262">
        <f>IF(A65="","",MID("월화수목금토일",WEEKDAY(A65,2),1))</f>
        <v/>
      </c>
      <c r="C65" s="254" t="inlineStr"/>
      <c r="D65" s="254" t="inlineStr"/>
      <c r="E65" s="263" t="inlineStr"/>
      <c r="F65" s="254" t="inlineStr"/>
      <c r="G65" s="263" t="inlineStr"/>
      <c r="H65" s="255">
        <f>IF(OR(G65="",E65=""),"",E65-G65)</f>
        <v/>
      </c>
      <c r="I65" s="264" t="inlineStr"/>
    </row>
    <row r="66" hidden="1">
      <c r="A66" s="261" t="inlineStr"/>
      <c r="B66" s="262">
        <f>IF(A66="","",MID("월화수목금토일",WEEKDAY(A66,2),1))</f>
        <v/>
      </c>
      <c r="C66" s="254" t="inlineStr"/>
      <c r="D66" s="254" t="inlineStr"/>
      <c r="E66" s="263" t="inlineStr"/>
      <c r="F66" s="254" t="inlineStr"/>
      <c r="G66" s="263" t="inlineStr"/>
      <c r="H66" s="255">
        <f>IF(OR(G66="",E66=""),"",E66-G66)</f>
        <v/>
      </c>
      <c r="I66" s="264" t="inlineStr"/>
    </row>
    <row r="67" hidden="1">
      <c r="A67" s="261" t="inlineStr"/>
      <c r="B67" s="262">
        <f>IF(A67="","",MID("월화수목금토일",WEEKDAY(A67,2),1))</f>
        <v/>
      </c>
      <c r="C67" s="254" t="inlineStr"/>
      <c r="D67" s="254" t="inlineStr"/>
      <c r="E67" s="263" t="inlineStr"/>
      <c r="F67" s="254" t="inlineStr"/>
      <c r="G67" s="263" t="inlineStr"/>
      <c r="H67" s="255">
        <f>IF(OR(G67="",E67=""),"",E67-G67)</f>
        <v/>
      </c>
      <c r="I67" s="264" t="inlineStr"/>
    </row>
    <row r="68" hidden="1">
      <c r="A68" s="261" t="inlineStr"/>
      <c r="B68" s="262">
        <f>IF(A68="","",MID("월화수목금토일",WEEKDAY(A68,2),1))</f>
        <v/>
      </c>
      <c r="C68" s="254" t="inlineStr"/>
      <c r="D68" s="254" t="inlineStr"/>
      <c r="E68" s="263" t="inlineStr"/>
      <c r="F68" s="254" t="inlineStr"/>
      <c r="G68" s="263" t="inlineStr"/>
      <c r="H68" s="255">
        <f>IF(OR(G68="",E68=""),"",E68-G68)</f>
        <v/>
      </c>
      <c r="I68" s="264" t="inlineStr"/>
    </row>
    <row r="69" hidden="1">
      <c r="A69" s="261" t="inlineStr"/>
      <c r="B69" s="262">
        <f>IF(A69="","",MID("월화수목금토일",WEEKDAY(A69,2),1))</f>
        <v/>
      </c>
      <c r="C69" s="254" t="inlineStr"/>
      <c r="D69" s="254" t="inlineStr"/>
      <c r="E69" s="263" t="inlineStr"/>
      <c r="F69" s="254" t="inlineStr"/>
      <c r="G69" s="263" t="inlineStr"/>
      <c r="H69" s="255">
        <f>IF(OR(G69="",E69=""),"",E69-G69)</f>
        <v/>
      </c>
      <c r="I69" s="264" t="inlineStr"/>
    </row>
    <row r="70" hidden="1">
      <c r="A70" s="261" t="inlineStr"/>
      <c r="B70" s="262">
        <f>IF(A70="","",MID("월화수목금토일",WEEKDAY(A70,2),1))</f>
        <v/>
      </c>
      <c r="C70" s="254" t="inlineStr"/>
      <c r="D70" s="254" t="inlineStr"/>
      <c r="E70" s="263" t="inlineStr"/>
      <c r="F70" s="254" t="inlineStr"/>
      <c r="G70" s="263" t="inlineStr"/>
      <c r="H70" s="255">
        <f>IF(OR(G70="",E70=""),"",E70-G70)</f>
        <v/>
      </c>
      <c r="I70" s="264" t="inlineStr"/>
    </row>
    <row r="71" hidden="1">
      <c r="A71" s="261" t="inlineStr"/>
      <c r="B71" s="262">
        <f>IF(A71="","",MID("월화수목금토일",WEEKDAY(A71,2),1))</f>
        <v/>
      </c>
      <c r="C71" s="254" t="inlineStr"/>
      <c r="D71" s="254" t="inlineStr"/>
      <c r="E71" s="263" t="inlineStr"/>
      <c r="F71" s="254" t="inlineStr"/>
      <c r="G71" s="263" t="inlineStr"/>
      <c r="H71" s="255">
        <f>IF(OR(G71="",E71=""),"",E71-G71)</f>
        <v/>
      </c>
      <c r="I71" s="264" t="inlineStr"/>
    </row>
    <row r="72" hidden="1">
      <c r="A72" s="261" t="inlineStr"/>
      <c r="B72" s="262">
        <f>IF(A72="","",MID("월화수목금토일",WEEKDAY(A72,2),1))</f>
        <v/>
      </c>
      <c r="C72" s="254" t="inlineStr"/>
      <c r="D72" s="254" t="inlineStr"/>
      <c r="E72" s="263" t="inlineStr"/>
      <c r="F72" s="254" t="inlineStr"/>
      <c r="G72" s="263" t="inlineStr"/>
      <c r="H72" s="255">
        <f>IF(OR(G72="",E72=""),"",E72-G72)</f>
        <v/>
      </c>
      <c r="I72" s="264" t="inlineStr"/>
    </row>
    <row r="73" hidden="1">
      <c r="A73" s="261" t="inlineStr"/>
      <c r="B73" s="262">
        <f>IF(A73="","",MID("월화수목금토일",WEEKDAY(A73,2),1))</f>
        <v/>
      </c>
      <c r="C73" s="254" t="inlineStr"/>
      <c r="D73" s="254" t="inlineStr"/>
      <c r="E73" s="263" t="inlineStr"/>
      <c r="F73" s="254" t="inlineStr"/>
      <c r="G73" s="263" t="inlineStr"/>
      <c r="H73" s="255">
        <f>IF(OR(G73="",E73=""),"",E73-G73)</f>
        <v/>
      </c>
      <c r="I73" s="264" t="inlineStr"/>
    </row>
    <row r="74" hidden="1">
      <c r="A74" s="261" t="inlineStr"/>
      <c r="B74" s="262">
        <f>IF(A74="","",MID("월화수목금토일",WEEKDAY(A74,2),1))</f>
        <v/>
      </c>
      <c r="C74" s="254" t="inlineStr"/>
      <c r="D74" s="254" t="inlineStr"/>
      <c r="E74" s="263" t="inlineStr"/>
      <c r="F74" s="254" t="inlineStr"/>
      <c r="G74" s="263" t="inlineStr"/>
      <c r="H74" s="255">
        <f>IF(OR(G74="",E74=""),"",E74-G74)</f>
        <v/>
      </c>
      <c r="I74" s="264" t="inlineStr"/>
    </row>
    <row r="75" hidden="1">
      <c r="A75" s="261" t="inlineStr"/>
      <c r="B75" s="262">
        <f>IF(A75="","",MID("월화수목금토일",WEEKDAY(A75,2),1))</f>
        <v/>
      </c>
      <c r="C75" s="254" t="inlineStr"/>
      <c r="D75" s="254" t="inlineStr"/>
      <c r="E75" s="263" t="inlineStr"/>
      <c r="F75" s="254" t="inlineStr"/>
      <c r="G75" s="263" t="inlineStr"/>
      <c r="H75" s="255">
        <f>IF(OR(G75="",E75=""),"",E75-G75)</f>
        <v/>
      </c>
      <c r="I75" s="264" t="inlineStr"/>
    </row>
    <row r="76" hidden="1">
      <c r="A76" s="261" t="inlineStr"/>
      <c r="B76" s="262">
        <f>IF(A76="","",MID("월화수목금토일",WEEKDAY(A76,2),1))</f>
        <v/>
      </c>
      <c r="C76" s="254" t="inlineStr"/>
      <c r="D76" s="254" t="inlineStr"/>
      <c r="E76" s="263" t="inlineStr"/>
      <c r="F76" s="254" t="inlineStr"/>
      <c r="G76" s="263" t="inlineStr"/>
      <c r="H76" s="255">
        <f>IF(OR(G76="",E76=""),"",E76-G76)</f>
        <v/>
      </c>
      <c r="I76" s="264" t="inlineStr"/>
    </row>
    <row r="77" hidden="1">
      <c r="A77" s="261" t="inlineStr"/>
      <c r="B77" s="262">
        <f>IF(A77="","",MID("월화수목금토일",WEEKDAY(A77,2),1))</f>
        <v/>
      </c>
      <c r="C77" s="254" t="inlineStr"/>
      <c r="D77" s="254" t="inlineStr"/>
      <c r="E77" s="263" t="inlineStr"/>
      <c r="F77" s="254" t="inlineStr"/>
      <c r="G77" s="263" t="inlineStr"/>
      <c r="H77" s="255">
        <f>IF(OR(G77="",E77=""),"",E77-G77)</f>
        <v/>
      </c>
      <c r="I77" s="264" t="inlineStr"/>
    </row>
    <row r="78" hidden="1">
      <c r="A78" s="261" t="inlineStr"/>
      <c r="B78" s="262">
        <f>IF(A78="","",MID("월화수목금토일",WEEKDAY(A78,2),1))</f>
        <v/>
      </c>
      <c r="C78" s="254" t="inlineStr"/>
      <c r="D78" s="254" t="inlineStr"/>
      <c r="E78" s="263" t="inlineStr"/>
      <c r="F78" s="254" t="inlineStr"/>
      <c r="G78" s="263" t="inlineStr"/>
      <c r="H78" s="255">
        <f>IF(OR(G78="",E78=""),"",E78-G78)</f>
        <v/>
      </c>
      <c r="I78" s="264" t="inlineStr"/>
    </row>
    <row r="79" hidden="1">
      <c r="A79" s="261" t="inlineStr"/>
      <c r="B79" s="262">
        <f>IF(A79="","",MID("월화수목금토일",WEEKDAY(A79,2),1))</f>
        <v/>
      </c>
      <c r="C79" s="254" t="inlineStr"/>
      <c r="D79" s="254" t="inlineStr"/>
      <c r="E79" s="263" t="inlineStr"/>
      <c r="F79" s="254" t="inlineStr"/>
      <c r="G79" s="263" t="inlineStr"/>
      <c r="H79" s="255">
        <f>IF(OR(G79="",E79=""),"",E79-G79)</f>
        <v/>
      </c>
      <c r="I79" s="264" t="inlineStr"/>
    </row>
    <row r="80" hidden="1">
      <c r="A80" s="261" t="inlineStr"/>
      <c r="B80" s="262">
        <f>IF(A80="","",MID("월화수목금토일",WEEKDAY(A80,2),1))</f>
        <v/>
      </c>
      <c r="C80" s="254" t="inlineStr"/>
      <c r="D80" s="254" t="inlineStr"/>
      <c r="E80" s="263" t="inlineStr"/>
      <c r="F80" s="254" t="inlineStr"/>
      <c r="G80" s="263" t="inlineStr"/>
      <c r="H80" s="255">
        <f>IF(OR(G80="",E80=""),"",E80-G80)</f>
        <v/>
      </c>
      <c r="I80" s="264" t="inlineStr"/>
    </row>
    <row r="81" hidden="1">
      <c r="A81" s="261" t="inlineStr"/>
      <c r="B81" s="262">
        <f>IF(A81="","",MID("월화수목금토일",WEEKDAY(A81,2),1))</f>
        <v/>
      </c>
      <c r="C81" s="254" t="inlineStr"/>
      <c r="D81" s="254" t="inlineStr"/>
      <c r="E81" s="263" t="inlineStr"/>
      <c r="F81" s="254" t="inlineStr"/>
      <c r="G81" s="263" t="inlineStr"/>
      <c r="H81" s="255">
        <f>IF(OR(G81="",E81=""),"",E81-G81)</f>
        <v/>
      </c>
      <c r="I81" s="264" t="inlineStr"/>
    </row>
    <row r="82" hidden="1">
      <c r="A82" s="261" t="inlineStr"/>
      <c r="B82" s="262">
        <f>IF(A82="","",MID("월화수목금토일",WEEKDAY(A82,2),1))</f>
        <v/>
      </c>
      <c r="C82" s="254" t="inlineStr"/>
      <c r="D82" s="254" t="inlineStr"/>
      <c r="E82" s="263" t="inlineStr"/>
      <c r="F82" s="254" t="inlineStr"/>
      <c r="G82" s="263" t="inlineStr"/>
      <c r="H82" s="255">
        <f>IF(OR(G82="",E82=""),"",E82-G82)</f>
        <v/>
      </c>
      <c r="I82" s="264" t="inlineStr"/>
    </row>
    <row r="83" hidden="1">
      <c r="A83" s="261" t="inlineStr"/>
      <c r="B83" s="262">
        <f>IF(A83="","",MID("월화수목금토일",WEEKDAY(A83,2),1))</f>
        <v/>
      </c>
      <c r="C83" s="254" t="inlineStr"/>
      <c r="D83" s="254" t="inlineStr"/>
      <c r="E83" s="263" t="inlineStr"/>
      <c r="F83" s="254" t="inlineStr"/>
      <c r="G83" s="263" t="inlineStr"/>
      <c r="H83" s="255">
        <f>IF(OR(G83="",E83=""),"",E83-G83)</f>
        <v/>
      </c>
      <c r="I83" s="264" t="inlineStr"/>
    </row>
    <row r="84" hidden="1">
      <c r="A84" s="261" t="inlineStr"/>
      <c r="B84" s="262">
        <f>IF(A84="","",MID("월화수목금토일",WEEKDAY(A84,2),1))</f>
        <v/>
      </c>
      <c r="C84" s="254" t="inlineStr"/>
      <c r="D84" s="254" t="inlineStr"/>
      <c r="E84" s="263" t="inlineStr"/>
      <c r="F84" s="254" t="inlineStr"/>
      <c r="G84" s="263" t="inlineStr"/>
      <c r="H84" s="255">
        <f>IF(OR(G84="",E84=""),"",E84-G84)</f>
        <v/>
      </c>
      <c r="I84" s="264" t="inlineStr"/>
    </row>
    <row r="85" hidden="1">
      <c r="A85" s="261" t="inlineStr"/>
      <c r="B85" s="262">
        <f>IF(A85="","",MID("월화수목금토일",WEEKDAY(A85,2),1))</f>
        <v/>
      </c>
      <c r="C85" s="254" t="inlineStr"/>
      <c r="D85" s="254" t="inlineStr"/>
      <c r="E85" s="263" t="inlineStr"/>
      <c r="F85" s="254" t="inlineStr"/>
      <c r="G85" s="263" t="inlineStr"/>
      <c r="H85" s="255">
        <f>IF(OR(G85="",E85=""),"",E85-G85)</f>
        <v/>
      </c>
      <c r="I85" s="264" t="inlineStr"/>
    </row>
    <row r="86" hidden="1">
      <c r="A86" s="261" t="inlineStr"/>
      <c r="B86" s="262">
        <f>IF(A86="","",MID("월화수목금토일",WEEKDAY(A86,2),1))</f>
        <v/>
      </c>
      <c r="C86" s="254" t="inlineStr"/>
      <c r="D86" s="254" t="inlineStr"/>
      <c r="E86" s="263" t="inlineStr"/>
      <c r="F86" s="254" t="inlineStr"/>
      <c r="G86" s="263" t="inlineStr"/>
      <c r="H86" s="255">
        <f>IF(OR(G86="",E86=""),"",E86-G86)</f>
        <v/>
      </c>
      <c r="I86" s="264" t="inlineStr"/>
    </row>
    <row r="87" hidden="1">
      <c r="A87" s="261" t="inlineStr"/>
      <c r="B87" s="262">
        <f>IF(A87="","",MID("월화수목금토일",WEEKDAY(A87,2),1))</f>
        <v/>
      </c>
      <c r="C87" s="254" t="inlineStr"/>
      <c r="D87" s="254" t="inlineStr"/>
      <c r="E87" s="263" t="inlineStr"/>
      <c r="F87" s="254" t="inlineStr"/>
      <c r="G87" s="263" t="inlineStr"/>
      <c r="H87" s="255">
        <f>IF(OR(G87="",E87=""),"",E87-G87)</f>
        <v/>
      </c>
      <c r="I87" s="264" t="inlineStr"/>
    </row>
    <row r="88" hidden="1">
      <c r="A88" s="261" t="inlineStr"/>
      <c r="B88" s="262">
        <f>IF(A88="","",MID("월화수목금토일",WEEKDAY(A88,2),1))</f>
        <v/>
      </c>
      <c r="C88" s="254" t="inlineStr"/>
      <c r="D88" s="254" t="inlineStr"/>
      <c r="E88" s="263" t="inlineStr"/>
      <c r="F88" s="254" t="inlineStr"/>
      <c r="G88" s="263" t="inlineStr"/>
      <c r="H88" s="255">
        <f>IF(OR(G88="",E88=""),"",E88-G88)</f>
        <v/>
      </c>
      <c r="I88" s="264" t="inlineStr"/>
    </row>
    <row r="89" hidden="1">
      <c r="A89" s="261" t="inlineStr"/>
      <c r="B89" s="262">
        <f>IF(A89="","",MID("월화수목금토일",WEEKDAY(A89,2),1))</f>
        <v/>
      </c>
      <c r="C89" s="254" t="inlineStr"/>
      <c r="D89" s="254" t="inlineStr"/>
      <c r="E89" s="263" t="inlineStr"/>
      <c r="F89" s="254" t="inlineStr"/>
      <c r="G89" s="263" t="inlineStr"/>
      <c r="H89" s="255">
        <f>IF(OR(G89="",E89=""),"",E89-G89)</f>
        <v/>
      </c>
      <c r="I89" s="264" t="inlineStr"/>
    </row>
    <row r="90" hidden="1">
      <c r="A90" s="261" t="inlineStr"/>
      <c r="B90" s="262">
        <f>IF(A90="","",MID("월화수목금토일",WEEKDAY(A90,2),1))</f>
        <v/>
      </c>
      <c r="C90" s="254" t="inlineStr"/>
      <c r="D90" s="254" t="inlineStr"/>
      <c r="E90" s="263" t="inlineStr"/>
      <c r="F90" s="254" t="inlineStr"/>
      <c r="G90" s="263" t="inlineStr"/>
      <c r="H90" s="255">
        <f>IF(OR(G90="",E90=""),"",E90-G90)</f>
        <v/>
      </c>
      <c r="I90" s="264" t="inlineStr"/>
    </row>
    <row r="91" hidden="1">
      <c r="A91" s="261" t="inlineStr"/>
      <c r="B91" s="262">
        <f>IF(A91="","",MID("월화수목금토일",WEEKDAY(A91,2),1))</f>
        <v/>
      </c>
      <c r="C91" s="254" t="inlineStr"/>
      <c r="D91" s="254" t="inlineStr"/>
      <c r="E91" s="263" t="inlineStr"/>
      <c r="F91" s="254" t="inlineStr"/>
      <c r="G91" s="263" t="inlineStr"/>
      <c r="H91" s="255">
        <f>IF(OR(G91="",E91=""),"",E91-G91)</f>
        <v/>
      </c>
      <c r="I91" s="264" t="inlineStr"/>
    </row>
    <row r="92" hidden="1">
      <c r="A92" s="261" t="inlineStr"/>
      <c r="B92" s="262">
        <f>IF(A92="","",MID("월화수목금토일",WEEKDAY(A92,2),1))</f>
        <v/>
      </c>
      <c r="C92" s="254" t="inlineStr"/>
      <c r="D92" s="254" t="inlineStr"/>
      <c r="E92" s="263" t="inlineStr"/>
      <c r="F92" s="254" t="inlineStr"/>
      <c r="G92" s="263" t="inlineStr"/>
      <c r="H92" s="255">
        <f>IF(OR(G92="",E92=""),"",E92-G92)</f>
        <v/>
      </c>
      <c r="I92" s="264" t="inlineStr"/>
    </row>
    <row r="93" hidden="1">
      <c r="A93" s="261" t="inlineStr"/>
      <c r="B93" s="262">
        <f>IF(A93="","",MID("월화수목금토일",WEEKDAY(A93,2),1))</f>
        <v/>
      </c>
      <c r="C93" s="254" t="inlineStr"/>
      <c r="D93" s="254" t="inlineStr"/>
      <c r="E93" s="263" t="inlineStr"/>
      <c r="F93" s="254" t="inlineStr"/>
      <c r="G93" s="263" t="inlineStr"/>
      <c r="H93" s="255">
        <f>IF(OR(G93="",E93=""),"",E93-G93)</f>
        <v/>
      </c>
      <c r="I93" s="264" t="inlineStr"/>
    </row>
    <row r="94" hidden="1">
      <c r="A94" s="261" t="inlineStr"/>
      <c r="B94" s="262">
        <f>IF(A94="","",MID("월화수목금토일",WEEKDAY(A94,2),1))</f>
        <v/>
      </c>
      <c r="C94" s="254" t="inlineStr"/>
      <c r="D94" s="254" t="inlineStr"/>
      <c r="E94" s="263" t="inlineStr"/>
      <c r="F94" s="254" t="inlineStr"/>
      <c r="G94" s="263" t="inlineStr"/>
      <c r="H94" s="255">
        <f>IF(OR(G94="",E94=""),"",E94-G94)</f>
        <v/>
      </c>
      <c r="I94" s="264" t="inlineStr"/>
    </row>
    <row r="95" hidden="1">
      <c r="A95" s="261" t="inlineStr"/>
      <c r="B95" s="262">
        <f>IF(A95="","",MID("월화수목금토일",WEEKDAY(A95,2),1))</f>
        <v/>
      </c>
      <c r="C95" s="254" t="inlineStr"/>
      <c r="D95" s="254" t="inlineStr"/>
      <c r="E95" s="263" t="inlineStr"/>
      <c r="F95" s="254" t="inlineStr"/>
      <c r="G95" s="263" t="inlineStr"/>
      <c r="H95" s="255">
        <f>IF(OR(G95="",E95=""),"",E95-G95)</f>
        <v/>
      </c>
      <c r="I95" s="264" t="inlineStr"/>
    </row>
    <row r="96" hidden="1">
      <c r="A96" s="261" t="inlineStr"/>
      <c r="B96" s="262">
        <f>IF(A96="","",MID("월화수목금토일",WEEKDAY(A96,2),1))</f>
        <v/>
      </c>
      <c r="C96" s="254" t="inlineStr"/>
      <c r="D96" s="254" t="inlineStr"/>
      <c r="E96" s="263" t="inlineStr"/>
      <c r="F96" s="254" t="inlineStr"/>
      <c r="G96" s="263" t="inlineStr"/>
      <c r="H96" s="255">
        <f>IF(OR(G96="",E96=""),"",E96-G96)</f>
        <v/>
      </c>
      <c r="I96" s="264" t="inlineStr"/>
    </row>
    <row r="97" hidden="1">
      <c r="A97" s="261" t="inlineStr"/>
      <c r="B97" s="262">
        <f>IF(A97="","",MID("월화수목금토일",WEEKDAY(A97,2),1))</f>
        <v/>
      </c>
      <c r="C97" s="254" t="inlineStr"/>
      <c r="D97" s="254" t="inlineStr"/>
      <c r="E97" s="263" t="inlineStr"/>
      <c r="F97" s="254" t="inlineStr"/>
      <c r="G97" s="263" t="inlineStr"/>
      <c r="H97" s="255">
        <f>IF(OR(G97="",E97=""),"",E97-G97)</f>
        <v/>
      </c>
      <c r="I97" s="264" t="inlineStr"/>
    </row>
    <row r="98" hidden="1">
      <c r="A98" s="261" t="inlineStr"/>
      <c r="B98" s="262">
        <f>IF(A98="","",MID("월화수목금토일",WEEKDAY(A98,2),1))</f>
        <v/>
      </c>
      <c r="C98" s="254" t="inlineStr"/>
      <c r="D98" s="254" t="inlineStr"/>
      <c r="E98" s="263" t="inlineStr"/>
      <c r="F98" s="254" t="inlineStr"/>
      <c r="G98" s="263" t="inlineStr"/>
      <c r="H98" s="255">
        <f>IF(OR(G98="",E98=""),"",E98-G98)</f>
        <v/>
      </c>
      <c r="I98" s="264" t="inlineStr"/>
    </row>
    <row r="99" hidden="1">
      <c r="A99" s="261" t="inlineStr"/>
      <c r="B99" s="262">
        <f>IF(A99="","",MID("월화수목금토일",WEEKDAY(A99,2),1))</f>
        <v/>
      </c>
      <c r="C99" s="254" t="inlineStr"/>
      <c r="D99" s="254" t="inlineStr"/>
      <c r="E99" s="263" t="inlineStr"/>
      <c r="F99" s="254" t="inlineStr"/>
      <c r="G99" s="263" t="inlineStr"/>
      <c r="H99" s="255">
        <f>IF(OR(G99="",E99=""),"",E99-G99)</f>
        <v/>
      </c>
      <c r="I99" s="264" t="inlineStr"/>
    </row>
    <row r="100" hidden="1">
      <c r="A100" s="261" t="inlineStr"/>
      <c r="B100" s="262">
        <f>IF(A100="","",MID("월화수목금토일",WEEKDAY(A100,2),1))</f>
        <v/>
      </c>
      <c r="C100" s="254" t="inlineStr"/>
      <c r="D100" s="254" t="inlineStr"/>
      <c r="E100" s="263" t="inlineStr"/>
      <c r="F100" s="254" t="inlineStr"/>
      <c r="G100" s="263" t="inlineStr"/>
      <c r="H100" s="255">
        <f>IF(OR(G100="",E100=""),"",E100-G100)</f>
        <v/>
      </c>
      <c r="I100" s="264" t="inlineStr"/>
    </row>
    <row r="101" hidden="1">
      <c r="A101" s="261" t="inlineStr"/>
      <c r="B101" s="262">
        <f>IF(A101="","",MID("월화수목금토일",WEEKDAY(A101,2),1))</f>
        <v/>
      </c>
      <c r="C101" s="254" t="inlineStr"/>
      <c r="D101" s="254" t="inlineStr"/>
      <c r="E101" s="263" t="inlineStr"/>
      <c r="F101" s="254" t="inlineStr"/>
      <c r="G101" s="263" t="inlineStr"/>
      <c r="H101" s="255">
        <f>IF(OR(G101="",E101=""),"",E101-G101)</f>
        <v/>
      </c>
      <c r="I101" s="264" t="inlineStr"/>
    </row>
    <row r="102" hidden="1">
      <c r="A102" s="261" t="inlineStr"/>
      <c r="B102" s="262">
        <f>IF(A102="","",MID("월화수목금토일",WEEKDAY(A102,2),1))</f>
        <v/>
      </c>
      <c r="C102" s="254" t="inlineStr"/>
      <c r="D102" s="254" t="inlineStr"/>
      <c r="E102" s="263" t="inlineStr"/>
      <c r="F102" s="254" t="inlineStr"/>
      <c r="G102" s="263" t="inlineStr"/>
      <c r="H102" s="255">
        <f>IF(OR(G102="",E102=""),"",E102-G102)</f>
        <v/>
      </c>
      <c r="I102" s="264" t="inlineStr"/>
    </row>
    <row r="103" hidden="1">
      <c r="A103" s="261" t="inlineStr"/>
      <c r="B103" s="262">
        <f>IF(A103="","",MID("월화수목금토일",WEEKDAY(A103,2),1))</f>
        <v/>
      </c>
      <c r="C103" s="254" t="inlineStr"/>
      <c r="D103" s="254" t="inlineStr"/>
      <c r="E103" s="263" t="inlineStr"/>
      <c r="F103" s="254" t="inlineStr"/>
      <c r="G103" s="263" t="inlineStr"/>
      <c r="H103" s="255">
        <f>IF(OR(G103="",E103=""),"",E103-G103)</f>
        <v/>
      </c>
      <c r="I103" s="264" t="inlineStr"/>
    </row>
    <row r="104" hidden="1">
      <c r="A104" s="261" t="inlineStr"/>
      <c r="B104" s="262">
        <f>IF(A104="","",MID("월화수목금토일",WEEKDAY(A104,2),1))</f>
        <v/>
      </c>
      <c r="C104" s="254" t="inlineStr"/>
      <c r="D104" s="254" t="inlineStr"/>
      <c r="E104" s="263" t="inlineStr"/>
      <c r="F104" s="254" t="inlineStr"/>
      <c r="G104" s="263" t="inlineStr"/>
      <c r="H104" s="255">
        <f>IF(OR(G104="",E104=""),"",E104-G104)</f>
        <v/>
      </c>
      <c r="I104" s="264" t="inlineStr"/>
    </row>
    <row r="105" hidden="1">
      <c r="A105" s="261" t="inlineStr"/>
      <c r="B105" s="262">
        <f>IF(A105="","",MID("월화수목금토일",WEEKDAY(A105,2),1))</f>
        <v/>
      </c>
      <c r="C105" s="254" t="inlineStr"/>
      <c r="D105" s="254" t="inlineStr"/>
      <c r="E105" s="263" t="inlineStr"/>
      <c r="F105" s="254" t="inlineStr"/>
      <c r="G105" s="263" t="inlineStr"/>
      <c r="H105" s="255">
        <f>IF(OR(G105="",E105=""),"",E105-G105)</f>
        <v/>
      </c>
      <c r="I105" s="264" t="inlineStr"/>
    </row>
    <row r="106" hidden="1">
      <c r="A106" s="261" t="inlineStr"/>
      <c r="B106" s="262">
        <f>IF(A106="","",MID("월화수목금토일",WEEKDAY(A106,2),1))</f>
        <v/>
      </c>
      <c r="C106" s="254" t="inlineStr"/>
      <c r="D106" s="254" t="inlineStr"/>
      <c r="E106" s="263" t="inlineStr"/>
      <c r="F106" s="254" t="inlineStr"/>
      <c r="G106" s="263" t="inlineStr"/>
      <c r="H106" s="255">
        <f>IF(OR(G106="",E106=""),"",E106-G106)</f>
        <v/>
      </c>
      <c r="I106" s="264" t="inlineStr"/>
    </row>
    <row r="107" hidden="1">
      <c r="A107" s="261" t="inlineStr"/>
      <c r="B107" s="262">
        <f>IF(A107="","",MID("월화수목금토일",WEEKDAY(A107,2),1))</f>
        <v/>
      </c>
      <c r="C107" s="254" t="inlineStr"/>
      <c r="D107" s="254" t="inlineStr"/>
      <c r="E107" s="263" t="inlineStr"/>
      <c r="F107" s="254" t="inlineStr"/>
      <c r="G107" s="263" t="inlineStr"/>
      <c r="H107" s="255">
        <f>IF(OR(G107="",E107=""),"",E107-G107)</f>
        <v/>
      </c>
      <c r="I107" s="264" t="inlineStr"/>
    </row>
    <row r="108" hidden="1">
      <c r="A108" s="261" t="inlineStr"/>
      <c r="B108" s="262">
        <f>IF(A108="","",MID("월화수목금토일",WEEKDAY(A108,2),1))</f>
        <v/>
      </c>
      <c r="C108" s="254" t="inlineStr"/>
      <c r="D108" s="254" t="inlineStr"/>
      <c r="E108" s="263" t="inlineStr"/>
      <c r="F108" s="254" t="inlineStr"/>
      <c r="G108" s="263" t="inlineStr"/>
      <c r="H108" s="255">
        <f>IF(OR(G108="",E108=""),"",E108-G108)</f>
        <v/>
      </c>
      <c r="I108" s="264" t="inlineStr"/>
    </row>
    <row r="109" hidden="1">
      <c r="A109" s="261" t="inlineStr"/>
      <c r="B109" s="262">
        <f>IF(A109="","",MID("월화수목금토일",WEEKDAY(A109,2),1))</f>
        <v/>
      </c>
      <c r="C109" s="254" t="inlineStr"/>
      <c r="D109" s="254" t="inlineStr"/>
      <c r="E109" s="263" t="inlineStr"/>
      <c r="F109" s="254" t="inlineStr"/>
      <c r="G109" s="263" t="inlineStr"/>
      <c r="H109" s="255">
        <f>IF(OR(G109="",E109=""),"",E109-G109)</f>
        <v/>
      </c>
      <c r="I109" s="264" t="inlineStr"/>
    </row>
    <row r="110">
      <c r="D110" s="265" t="inlineStr">
        <is>
          <t>합계(숨긴 행 포함 4주 전체 · 보류 제외)</t>
        </is>
      </c>
      <c r="E110" s="266">
        <f>SUMIFS(E16:E109,I16:I109,"&lt;&gt;보류")</f>
        <v/>
      </c>
    </row>
    <row r="112">
      <c r="A112" s="252" t="inlineStr">
        <is>
          <t>③ 반영된 입금예정 (실행일~차주 금요일) — 예상은 반영률(F12) 연동 · 실입금은 은행 확인 값</t>
        </is>
      </c>
      <c r="B112" s="253" t="n"/>
      <c r="C112" s="253" t="n"/>
      <c r="D112" s="253" t="n"/>
      <c r="E112" s="253" t="n"/>
      <c r="F112" s="253" t="n"/>
      <c r="G112" s="253" t="n"/>
      <c r="H112" s="253" t="n"/>
      <c r="I112" s="253" t="n"/>
    </row>
    <row r="113">
      <c r="A113" s="260" t="inlineStr">
        <is>
          <t>입금일</t>
        </is>
      </c>
      <c r="B113" s="260" t="inlineStr">
        <is>
          <t>요일</t>
        </is>
      </c>
      <c r="C113" s="260" t="inlineStr">
        <is>
          <t>구분</t>
        </is>
      </c>
      <c r="D113" s="260" t="inlineStr">
        <is>
          <t>내용</t>
        </is>
      </c>
      <c r="E113" s="260" t="inlineStr">
        <is>
          <t>예상금액</t>
        </is>
      </c>
      <c r="F113" s="260" t="inlineStr">
        <is>
          <t>실입금(은행 확인)</t>
        </is>
      </c>
      <c r="G113" s="260" t="inlineStr">
        <is>
          <t>차이</t>
        </is>
      </c>
    </row>
    <row r="114">
      <c r="A114" s="267" t="n">
        <v>46299</v>
      </c>
      <c r="B114" s="268" t="inlineStr">
        <is>
          <t>일</t>
        </is>
      </c>
      <c r="C114" s="254" t="inlineStr">
        <is>
          <t>온라인 예상</t>
        </is>
      </c>
      <c r="D114" s="161" t="inlineStr">
        <is>
          <t>12주 요일평균 × 반영률</t>
        </is>
      </c>
      <c r="E114" s="255">
        <f>ROUND(J146*$F$12,0)</f>
        <v/>
      </c>
      <c r="F114" s="254" t="inlineStr"/>
      <c r="G114" s="255">
        <f>IF(OR(F114="",E114=""),"",F114-E114)</f>
        <v/>
      </c>
    </row>
    <row r="115">
      <c r="A115" s="267" t="n">
        <v>46300</v>
      </c>
      <c r="B115" s="268" t="inlineStr">
        <is>
          <t>월</t>
        </is>
      </c>
      <c r="C115" s="254" t="inlineStr">
        <is>
          <t>온라인 예상</t>
        </is>
      </c>
      <c r="D115" s="161" t="inlineStr">
        <is>
          <t>12주 요일평균 × 반영률</t>
        </is>
      </c>
      <c r="E115" s="255">
        <f>ROUND(J147*$F$12,0)</f>
        <v/>
      </c>
      <c r="F115" s="254" t="inlineStr"/>
      <c r="G115" s="255">
        <f>IF(OR(F115="",E115=""),"",F115-E115)</f>
        <v/>
      </c>
    </row>
    <row r="116">
      <c r="A116" s="269" t="n">
        <v>46301</v>
      </c>
      <c r="B116" s="262" t="inlineStr">
        <is>
          <t>화</t>
        </is>
      </c>
      <c r="C116" s="254" t="inlineStr">
        <is>
          <t>온라인 예상</t>
        </is>
      </c>
      <c r="D116" s="161" t="inlineStr">
        <is>
          <t>12주 요일평균 × 반영률</t>
        </is>
      </c>
      <c r="E116" s="255">
        <f>ROUND(J148*$F$12,0)</f>
        <v/>
      </c>
      <c r="F116" s="254" t="inlineStr"/>
      <c r="G116" s="255">
        <f>IF(OR(F116="",E116=""),"",F116-E116)</f>
        <v/>
      </c>
    </row>
    <row r="117">
      <c r="A117" s="269" t="n">
        <v>46302</v>
      </c>
      <c r="B117" s="262" t="inlineStr">
        <is>
          <t>수</t>
        </is>
      </c>
      <c r="C117" s="254" t="inlineStr">
        <is>
          <t>온라인 예상</t>
        </is>
      </c>
      <c r="D117" s="161" t="inlineStr">
        <is>
          <t>12주 요일평균 × 반영률</t>
        </is>
      </c>
      <c r="E117" s="255">
        <f>ROUND(J149*$F$12,0)</f>
        <v/>
      </c>
      <c r="F117" s="254" t="inlineStr"/>
      <c r="G117" s="255">
        <f>IF(OR(F117="",E117=""),"",F117-E117)</f>
        <v/>
      </c>
    </row>
    <row r="118">
      <c r="A118" s="269" t="n">
        <v>46303</v>
      </c>
      <c r="B118" s="262" t="inlineStr">
        <is>
          <t>목</t>
        </is>
      </c>
      <c r="C118" s="254" t="inlineStr">
        <is>
          <t>온라인 예상</t>
        </is>
      </c>
      <c r="D118" s="161" t="inlineStr">
        <is>
          <t>12주 요일평균 × 반영률</t>
        </is>
      </c>
      <c r="E118" s="255">
        <f>ROUND(J150*$F$12,0)</f>
        <v/>
      </c>
      <c r="F118" s="254" t="inlineStr"/>
      <c r="G118" s="255">
        <f>IF(OR(F118="",E118=""),"",F118-E118)</f>
        <v/>
      </c>
    </row>
    <row r="119">
      <c r="A119" s="267" t="n">
        <v>46304</v>
      </c>
      <c r="B119" s="268" t="inlineStr">
        <is>
          <t>금</t>
        </is>
      </c>
      <c r="C119" s="254" t="inlineStr">
        <is>
          <t>온라인 예상</t>
        </is>
      </c>
      <c r="D119" s="161" t="inlineStr">
        <is>
          <t>12주 요일평균 × 반영률</t>
        </is>
      </c>
      <c r="E119" s="255">
        <f>ROUND(J151*$F$12,0)</f>
        <v/>
      </c>
      <c r="F119" s="254" t="inlineStr"/>
      <c r="G119" s="255">
        <f>IF(OR(F119="",E119=""),"",F119-E119)</f>
        <v/>
      </c>
    </row>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c r="D136" s="265" t="inlineStr">
        <is>
          <t>합계(표시 구간)</t>
        </is>
      </c>
      <c r="E136" s="266">
        <f>SUM(E114:E135)</f>
        <v/>
      </c>
      <c r="F136" s="266">
        <f>SUM(F114:F135)</f>
        <v/>
      </c>
    </row>
    <row r="138">
      <c r="A138" s="252" t="inlineStr">
        <is>
          <t>④ 향후 4주 일별 자금 흐름 — ② 지출·③ 입금 수정과 반영률(F12)에 즉시 연동 (실행일~차주 금요일만 표시 · 계산은 4주 전체)</t>
        </is>
      </c>
      <c r="B138" s="253" t="n"/>
      <c r="C138" s="253" t="n"/>
      <c r="D138" s="253" t="n"/>
      <c r="E138" s="253" t="n"/>
      <c r="F138" s="253" t="n"/>
      <c r="G138" s="253" t="n"/>
      <c r="H138" s="253" t="n"/>
      <c r="I138" s="253" t="n"/>
    </row>
    <row r="139">
      <c r="A139" s="260" t="inlineStr">
        <is>
          <t>일자</t>
        </is>
      </c>
      <c r="B139" s="260" t="inlineStr">
        <is>
          <t>요일</t>
        </is>
      </c>
      <c r="C139" s="260" t="inlineStr">
        <is>
          <t>입금</t>
        </is>
      </c>
      <c r="D139" s="260" t="inlineStr">
        <is>
          <t>지출</t>
        </is>
      </c>
      <c r="E139" s="260" t="inlineStr">
        <is>
          <t>예상잔액</t>
        </is>
      </c>
      <c r="F139" s="260" t="inlineStr">
        <is>
          <t>지출 내역</t>
        </is>
      </c>
      <c r="G139" s="160" t="n"/>
      <c r="H139" s="160" t="n"/>
      <c r="I139" s="159" t="n"/>
      <c r="K139" s="270" t="n">
        <v>136021881</v>
      </c>
    </row>
    <row r="140" hidden="1">
      <c r="A140" s="269" t="n">
        <v>46293</v>
      </c>
      <c r="B140" s="262" t="inlineStr">
        <is>
          <t>월</t>
        </is>
      </c>
      <c r="C140" s="271" t="n">
        <v>4143481</v>
      </c>
      <c r="D140" s="271" t="n">
        <v>5025353</v>
      </c>
      <c r="E140" s="255">
        <f>$K$139+C140-D140</f>
        <v/>
      </c>
      <c r="F140" s="272" t="inlineStr">
        <is>
          <t>실적(은행 확인)</t>
        </is>
      </c>
      <c r="G140" s="160" t="n"/>
      <c r="H140" s="160" t="n"/>
      <c r="I140" s="159" t="n"/>
      <c r="J140" s="270" t="n">
        <v>12572607</v>
      </c>
      <c r="K140" s="270" t="n">
        <v>41000</v>
      </c>
    </row>
    <row r="141" hidden="1">
      <c r="A141" s="269" t="n">
        <v>46294</v>
      </c>
      <c r="B141" s="262" t="inlineStr">
        <is>
          <t>화</t>
        </is>
      </c>
      <c r="C141" s="271" t="n">
        <v>24495884</v>
      </c>
      <c r="D141" s="271" t="n">
        <v>15624012</v>
      </c>
      <c r="E141" s="255">
        <f>E140+C141-D141</f>
        <v/>
      </c>
      <c r="F141" s="272" t="inlineStr">
        <is>
          <t>실적(은행 확인)</t>
        </is>
      </c>
      <c r="G141" s="160" t="n"/>
      <c r="H141" s="160" t="n"/>
      <c r="I141" s="159" t="n"/>
      <c r="J141" s="270" t="n">
        <v>24396851</v>
      </c>
      <c r="K141" s="270" t="n">
        <v>134000</v>
      </c>
    </row>
    <row r="142" hidden="1">
      <c r="A142" s="269" t="n">
        <v>46295</v>
      </c>
      <c r="B142" s="262" t="inlineStr">
        <is>
          <t>수</t>
        </is>
      </c>
      <c r="C142" s="271" t="n">
        <v>40818407</v>
      </c>
      <c r="D142" s="271" t="n">
        <v>108772816</v>
      </c>
      <c r="E142" s="255">
        <f>E141+C142-D142</f>
        <v/>
      </c>
      <c r="F142" s="272" t="inlineStr">
        <is>
          <t>실적(은행 확인)</t>
        </is>
      </c>
      <c r="G142" s="160" t="n"/>
      <c r="H142" s="160" t="n"/>
      <c r="I142" s="159" t="n"/>
      <c r="J142" s="270" t="n">
        <v>14769134</v>
      </c>
      <c r="K142" s="270" t="n">
        <v>24570387</v>
      </c>
    </row>
    <row r="143" hidden="1">
      <c r="A143" s="269" t="n">
        <v>46296</v>
      </c>
      <c r="B143" s="262" t="inlineStr">
        <is>
          <t>목</t>
        </is>
      </c>
      <c r="C143" s="271" t="n">
        <v>9317681</v>
      </c>
      <c r="D143" s="271" t="n">
        <v>15378890</v>
      </c>
      <c r="E143" s="255">
        <f>E142+C143-D143</f>
        <v/>
      </c>
      <c r="F143" s="272" t="inlineStr">
        <is>
          <t>실적(은행 확인)</t>
        </is>
      </c>
      <c r="G143" s="160" t="n"/>
      <c r="H143" s="160" t="n"/>
      <c r="I143" s="159" t="n"/>
      <c r="J143" s="270" t="n">
        <v>10899812</v>
      </c>
      <c r="K143" s="270" t="n">
        <v>26800</v>
      </c>
    </row>
    <row r="144" hidden="1">
      <c r="A144" s="269" t="n">
        <v>46297</v>
      </c>
      <c r="B144" s="262" t="inlineStr">
        <is>
          <t>금</t>
        </is>
      </c>
      <c r="C144" s="271" t="n">
        <v>8767377</v>
      </c>
      <c r="D144" s="271" t="n">
        <v>6233000</v>
      </c>
      <c r="E144" s="255">
        <f>E143+C144-D144</f>
        <v/>
      </c>
      <c r="F144" s="272" t="inlineStr">
        <is>
          <t>실적(은행 확인)</t>
        </is>
      </c>
      <c r="G144" s="160" t="n"/>
      <c r="H144" s="160" t="n"/>
      <c r="I144" s="159" t="n"/>
      <c r="J144" s="270" t="n">
        <v>8365128</v>
      </c>
      <c r="K144" s="270" t="n">
        <v>105280</v>
      </c>
    </row>
    <row r="145" hidden="1">
      <c r="A145" s="267" t="n">
        <v>46298</v>
      </c>
      <c r="B145" s="268" t="inlineStr">
        <is>
          <t>토</t>
        </is>
      </c>
      <c r="C145" s="255">
        <f>ROUND(J145*$F$12,0)+K145</f>
        <v/>
      </c>
      <c r="D145" s="255">
        <f>SUMIFS($E$16:$E$109,$A$16:$A$109,A145,$I$16:$I$109,"&lt;&gt;보류")</f>
        <v/>
      </c>
      <c r="E145" s="255">
        <f>E144+C145-D145</f>
        <v/>
      </c>
      <c r="F145" s="273">
        <f t="array" ref="F145">IFERROR(""&amp;IF(E145&lt;0,"⚠ 잔액 부족 · ","")&amp;_xlfn.TEXTJOIN(" · ",TRUE,IF(($A$16:$A$109=$A145)*($E$16:$E$109&lt;&gt;0)*($I$16:$I$109&lt;&gt;"보류"),$D$16:$D$109&amp;" "&amp;TEXT($E$16:$E$109,"#,##0"),"")),""&amp;IF(E145&lt;0,"⚠ 잔액 부족",""))</f>
        <v/>
      </c>
      <c r="G145" s="160" t="n"/>
      <c r="H145" s="160" t="n"/>
      <c r="I145" s="159" t="n"/>
      <c r="J145" s="270" t="n">
        <v>0</v>
      </c>
      <c r="K145" s="270">
        <f>SUMIFS($E$114:$E$135,$A$114:$A$135,A145,$C$114:$C$135,"확정입금")</f>
        <v/>
      </c>
    </row>
    <row r="146">
      <c r="A146" s="274" t="n">
        <v>46299</v>
      </c>
      <c r="B146" s="275" t="inlineStr">
        <is>
          <t>일</t>
        </is>
      </c>
      <c r="C146" s="276">
        <f>ROUND(J146*$F$12,0)+K146</f>
        <v/>
      </c>
      <c r="D146" s="276">
        <f>SUMIFS($E$16:$E$109,$A$16:$A$109,A146,$I$16:$I$109,"&lt;&gt;보류")</f>
        <v/>
      </c>
      <c r="E146" s="276">
        <f>E145+C146-D146</f>
        <v/>
      </c>
      <c r="F146" s="277">
        <f t="array" ref="F146">IFERROR(""&amp;IF(E146&lt;0,"⚠ 잔액 부족 · ","")&amp;_xlfn.TEXTJOIN(" · ",TRUE,IF(($A$16:$A$109=$A146)*($E$16:$E$109&lt;&gt;0)*($I$16:$I$109&lt;&gt;"보류"),$D$16:$D$109&amp;" "&amp;TEXT($E$16:$E$109,"#,##0"),"")),""&amp;IF(E146&lt;0,"⚠ 잔액 부족",""))</f>
        <v/>
      </c>
      <c r="G146" s="160" t="n"/>
      <c r="H146" s="160" t="n"/>
      <c r="I146" s="159" t="n"/>
      <c r="J146" s="270" t="n">
        <v>0</v>
      </c>
      <c r="K146" s="270">
        <f>SUMIFS($E$114:$E$135,$A$114:$A$135,A146,$C$114:$C$135,"확정입금")</f>
        <v/>
      </c>
    </row>
    <row r="147">
      <c r="A147" s="278" t="n">
        <v>46300</v>
      </c>
      <c r="B147" s="268" t="inlineStr">
        <is>
          <t>월</t>
        </is>
      </c>
      <c r="C147" s="255">
        <f>ROUND(J147*$F$12,0)+K147</f>
        <v/>
      </c>
      <c r="D147" s="255">
        <f>SUMIFS($E$16:$E$109,$A$16:$A$109,A147,$I$16:$I$109,"&lt;&gt;보류")</f>
        <v/>
      </c>
      <c r="E147" s="255">
        <f>E146+C147-D147</f>
        <v/>
      </c>
      <c r="F147" s="279">
        <f t="array" ref="F147">IFERROR(""&amp;IF(E147&lt;0,"⚠ 잔액 부족 · ","")&amp;_xlfn.TEXTJOIN(" · ",TRUE,IF(($A$16:$A$109=$A147)*($E$16:$E$109&lt;&gt;0)*($I$16:$I$109&lt;&gt;"보류"),$D$16:$D$109&amp;" "&amp;TEXT($E$16:$E$109,"#,##0"),"")),""&amp;IF(E147&lt;0,"⚠ 잔액 부족",""))</f>
        <v/>
      </c>
      <c r="G147" s="160" t="n"/>
      <c r="H147" s="160" t="n"/>
      <c r="I147" s="159" t="n"/>
      <c r="J147" s="270" t="n">
        <v>0</v>
      </c>
      <c r="K147" s="270">
        <f>SUMIFS($E$114:$E$135,$A$114:$A$135,A147,$C$114:$C$135,"확정입금")</f>
        <v/>
      </c>
    </row>
    <row r="148">
      <c r="A148" s="280" t="n">
        <v>46301</v>
      </c>
      <c r="B148" s="262" t="inlineStr">
        <is>
          <t>화</t>
        </is>
      </c>
      <c r="C148" s="255">
        <f>ROUND(J148*$F$12,0)+K148</f>
        <v/>
      </c>
      <c r="D148" s="255">
        <f>SUMIFS($E$16:$E$109,$A$16:$A$109,A148,$I$16:$I$109,"&lt;&gt;보류")</f>
        <v/>
      </c>
      <c r="E148" s="255">
        <f>E147+C148-D148</f>
        <v/>
      </c>
      <c r="F148" s="279">
        <f t="array" ref="F148">IFERROR(""&amp;IF(E148&lt;0,"⚠ 잔액 부족 · ","")&amp;_xlfn.TEXTJOIN(" · ",TRUE,IF(($A$16:$A$109=$A148)*($E$16:$E$109&lt;&gt;0)*($I$16:$I$109&lt;&gt;"보류"),$D$16:$D$109&amp;" "&amp;TEXT($E$16:$E$109,"#,##0"),"")),""&amp;IF(E148&lt;0,"⚠ 잔액 부족",""))</f>
        <v/>
      </c>
      <c r="G148" s="160" t="n"/>
      <c r="H148" s="160" t="n"/>
      <c r="I148" s="159" t="n"/>
      <c r="J148" s="270" t="n">
        <v>24396851</v>
      </c>
      <c r="K148" s="270">
        <f>SUMIFS($E$114:$E$135,$A$114:$A$135,A148,$C$114:$C$135,"확정입금")</f>
        <v/>
      </c>
    </row>
    <row r="149">
      <c r="A149" s="280" t="n">
        <v>46302</v>
      </c>
      <c r="B149" s="262" t="inlineStr">
        <is>
          <t>수</t>
        </is>
      </c>
      <c r="C149" s="255">
        <f>ROUND(J149*$F$12,0)+K149</f>
        <v/>
      </c>
      <c r="D149" s="255">
        <f>SUMIFS($E$16:$E$109,$A$16:$A$109,A149,$I$16:$I$109,"&lt;&gt;보류")</f>
        <v/>
      </c>
      <c r="E149" s="255">
        <f>E148+C149-D149</f>
        <v/>
      </c>
      <c r="F149" s="279">
        <f t="array" ref="F149">IFERROR(""&amp;IF(E149&lt;0,"⚠ 잔액 부족 · ","")&amp;_xlfn.TEXTJOIN(" · ",TRUE,IF(($A$16:$A$109=$A149)*($E$16:$E$109&lt;&gt;0)*($I$16:$I$109&lt;&gt;"보류"),$D$16:$D$109&amp;" "&amp;TEXT($E$16:$E$109,"#,##0"),"")),""&amp;IF(E149&lt;0,"⚠ 잔액 부족",""))</f>
        <v/>
      </c>
      <c r="G149" s="160" t="n"/>
      <c r="H149" s="160" t="n"/>
      <c r="I149" s="159" t="n"/>
      <c r="J149" s="270" t="n">
        <v>14769134</v>
      </c>
      <c r="K149" s="270">
        <f>SUMIFS($E$114:$E$135,$A$114:$A$135,A149,$C$114:$C$135,"확정입금")</f>
        <v/>
      </c>
    </row>
    <row r="150">
      <c r="A150" s="280" t="n">
        <v>46303</v>
      </c>
      <c r="B150" s="262" t="inlineStr">
        <is>
          <t>목</t>
        </is>
      </c>
      <c r="C150" s="255">
        <f>ROUND(J150*$F$12,0)+K150</f>
        <v/>
      </c>
      <c r="D150" s="255">
        <f>SUMIFS($E$16:$E$109,$A$16:$A$109,A150,$I$16:$I$109,"&lt;&gt;보류")</f>
        <v/>
      </c>
      <c r="E150" s="255">
        <f>E149+C150-D150</f>
        <v/>
      </c>
      <c r="F150" s="279">
        <f t="array" ref="F150">IFERROR(""&amp;IF(E150&lt;0,"⚠ 잔액 부족 · ","")&amp;_xlfn.TEXTJOIN(" · ",TRUE,IF(($A$16:$A$109=$A150)*($E$16:$E$109&lt;&gt;0)*($I$16:$I$109&lt;&gt;"보류"),$D$16:$D$109&amp;" "&amp;TEXT($E$16:$E$109,"#,##0"),"")),""&amp;IF(E150&lt;0,"⚠ 잔액 부족",""))</f>
        <v/>
      </c>
      <c r="G150" s="160" t="n"/>
      <c r="H150" s="160" t="n"/>
      <c r="I150" s="159" t="n"/>
      <c r="J150" s="270" t="n">
        <v>10899812</v>
      </c>
      <c r="K150" s="270">
        <f>SUMIFS($E$114:$E$135,$A$114:$A$135,A150,$C$114:$C$135,"확정입금")</f>
        <v/>
      </c>
    </row>
    <row r="151">
      <c r="A151" s="281" t="n">
        <v>46304</v>
      </c>
      <c r="B151" s="282" t="inlineStr">
        <is>
          <t>금</t>
        </is>
      </c>
      <c r="C151" s="283">
        <f>ROUND(J151*$F$12,0)+K151</f>
        <v/>
      </c>
      <c r="D151" s="283">
        <f>SUMIFS($E$16:$E$109,$A$16:$A$109,A151,$I$16:$I$109,"&lt;&gt;보류")</f>
        <v/>
      </c>
      <c r="E151" s="283">
        <f>E150+C151-D151</f>
        <v/>
      </c>
      <c r="F151" s="284">
        <f t="array" ref="F151">IFERROR(""&amp;IF(E151&lt;0,"⚠ 잔액 부족 · ","")&amp;_xlfn.TEXTJOIN(" · ",TRUE,IF(($A$16:$A$109=$A151)*($E$16:$E$109&lt;&gt;0)*($I$16:$I$109&lt;&gt;"보류"),$D$16:$D$109&amp;" "&amp;TEXT($E$16:$E$109,"#,##0"),"")),""&amp;IF(E151&lt;0,"⚠ 잔액 부족",""))</f>
        <v/>
      </c>
      <c r="G151" s="160" t="n"/>
      <c r="H151" s="160" t="n"/>
      <c r="I151" s="159" t="n"/>
      <c r="J151" s="270" t="n">
        <v>0</v>
      </c>
      <c r="K151" s="270">
        <f>SUMIFS($E$114:$E$135,$A$114:$A$135,A151,$C$114:$C$135,"확정입금")</f>
        <v/>
      </c>
    </row>
    <row r="152" hidden="1">
      <c r="A152" s="267" t="n">
        <v>46305</v>
      </c>
      <c r="B152" s="268" t="inlineStr">
        <is>
          <t>토</t>
        </is>
      </c>
      <c r="C152" s="255">
        <f>ROUND(J152*$F$12,0)+K152</f>
        <v/>
      </c>
      <c r="D152" s="255">
        <f>SUMIFS($E$16:$E$109,$A$16:$A$109,A152,$I$16:$I$109,"&lt;&gt;보류")</f>
        <v/>
      </c>
      <c r="E152" s="255">
        <f>E151+C152-D152</f>
        <v/>
      </c>
      <c r="F152" s="273">
        <f t="array" ref="F152">IFERROR(""&amp;IF(E152&lt;0,"⚠ 잔액 부족 · ","")&amp;_xlfn.TEXTJOIN(" · ",TRUE,IF(($A$16:$A$109=$A152)*($E$16:$E$109&lt;&gt;0)*($I$16:$I$109&lt;&gt;"보류"),$D$16:$D$109&amp;" "&amp;TEXT($E$16:$E$109,"#,##0"),"")),""&amp;IF(E152&lt;0,"⚠ 잔액 부족",""))</f>
        <v/>
      </c>
      <c r="G152" s="160" t="n"/>
      <c r="H152" s="160" t="n"/>
      <c r="I152" s="159" t="n"/>
      <c r="J152" s="270" t="n">
        <v>0</v>
      </c>
      <c r="K152" s="270">
        <f>SUMIFS($E$114:$E$135,$A$114:$A$135,A152,$C$114:$C$135,"확정입금")</f>
        <v/>
      </c>
    </row>
    <row r="153" hidden="1">
      <c r="A153" s="267" t="n">
        <v>46306</v>
      </c>
      <c r="B153" s="268" t="inlineStr">
        <is>
          <t>일</t>
        </is>
      </c>
      <c r="C153" s="255">
        <f>ROUND(J153*$F$12,0)+K153</f>
        <v/>
      </c>
      <c r="D153" s="255">
        <f>SUMIFS($E$16:$E$109,$A$16:$A$109,A153,$I$16:$I$109,"&lt;&gt;보류")</f>
        <v/>
      </c>
      <c r="E153" s="255">
        <f>E152+C153-D153</f>
        <v/>
      </c>
      <c r="F153" s="273">
        <f t="array" ref="F153">IFERROR(""&amp;IF(E153&lt;0,"⚠ 잔액 부족 · ","")&amp;_xlfn.TEXTJOIN(" · ",TRUE,IF(($A$16:$A$109=$A153)*($E$16:$E$109&lt;&gt;0)*($I$16:$I$109&lt;&gt;"보류"),$D$16:$D$109&amp;" "&amp;TEXT($E$16:$E$109,"#,##0"),"")),""&amp;IF(E153&lt;0,"⚠ 잔액 부족",""))</f>
        <v/>
      </c>
      <c r="G153" s="160" t="n"/>
      <c r="H153" s="160" t="n"/>
      <c r="I153" s="159" t="n"/>
      <c r="J153" s="270" t="n">
        <v>0</v>
      </c>
      <c r="K153" s="270">
        <f>SUMIFS($E$114:$E$135,$A$114:$A$135,A153,$C$114:$C$135,"확정입금")</f>
        <v/>
      </c>
    </row>
    <row r="154" hidden="1">
      <c r="A154" s="269" t="n">
        <v>46307</v>
      </c>
      <c r="B154" s="262" t="inlineStr">
        <is>
          <t>월</t>
        </is>
      </c>
      <c r="C154" s="255">
        <f>ROUND(J154*$F$12,0)+K154</f>
        <v/>
      </c>
      <c r="D154" s="255">
        <f>SUMIFS($E$16:$E$109,$A$16:$A$109,A154,$I$16:$I$109,"&lt;&gt;보류")</f>
        <v/>
      </c>
      <c r="E154" s="255">
        <f>E153+C154-D154</f>
        <v/>
      </c>
      <c r="F154" s="273">
        <f t="array" ref="F154">IFERROR(""&amp;IF(E154&lt;0,"⚠ 잔액 부족 · ","")&amp;_xlfn.TEXTJOIN(" · ",TRUE,IF(($A$16:$A$109=$A154)*($E$16:$E$109&lt;&gt;0)*($I$16:$I$109&lt;&gt;"보류"),$D$16:$D$109&amp;" "&amp;TEXT($E$16:$E$109,"#,##0"),"")),""&amp;IF(E154&lt;0,"⚠ 잔액 부족",""))</f>
        <v/>
      </c>
      <c r="G154" s="160" t="n"/>
      <c r="H154" s="160" t="n"/>
      <c r="I154" s="159" t="n"/>
      <c r="J154" s="270" t="n">
        <v>12572607</v>
      </c>
      <c r="K154" s="270">
        <f>SUMIFS($E$114:$E$135,$A$114:$A$135,A154,$C$114:$C$135,"확정입금")</f>
        <v/>
      </c>
    </row>
    <row r="155" hidden="1">
      <c r="A155" s="269" t="n">
        <v>46308</v>
      </c>
      <c r="B155" s="262" t="inlineStr">
        <is>
          <t>화</t>
        </is>
      </c>
      <c r="C155" s="255">
        <f>ROUND(J155*$F$12,0)+K155</f>
        <v/>
      </c>
      <c r="D155" s="255">
        <f>SUMIFS($E$16:$E$109,$A$16:$A$109,A155,$I$16:$I$109,"&lt;&gt;보류")</f>
        <v/>
      </c>
      <c r="E155" s="255">
        <f>E154+C155-D155</f>
        <v/>
      </c>
      <c r="F155" s="273">
        <f t="array" ref="F155">IFERROR(""&amp;IF(E155&lt;0,"⚠ 잔액 부족 · ","")&amp;_xlfn.TEXTJOIN(" · ",TRUE,IF(($A$16:$A$109=$A155)*($E$16:$E$109&lt;&gt;0)*($I$16:$I$109&lt;&gt;"보류"),$D$16:$D$109&amp;" "&amp;TEXT($E$16:$E$109,"#,##0"),"")),""&amp;IF(E155&lt;0,"⚠ 잔액 부족",""))</f>
        <v/>
      </c>
      <c r="G155" s="160" t="n"/>
      <c r="H155" s="160" t="n"/>
      <c r="I155" s="159" t="n"/>
      <c r="J155" s="270" t="n">
        <v>24396851</v>
      </c>
      <c r="K155" s="270">
        <f>SUMIFS($E$114:$E$135,$A$114:$A$135,A155,$C$114:$C$135,"확정입금")</f>
        <v/>
      </c>
    </row>
    <row r="156" hidden="1">
      <c r="A156" s="269" t="n">
        <v>46309</v>
      </c>
      <c r="B156" s="262" t="inlineStr">
        <is>
          <t>수</t>
        </is>
      </c>
      <c r="C156" s="255">
        <f>ROUND(J156*$F$12,0)+K156</f>
        <v/>
      </c>
      <c r="D156" s="255">
        <f>SUMIFS($E$16:$E$109,$A$16:$A$109,A156,$I$16:$I$109,"&lt;&gt;보류")</f>
        <v/>
      </c>
      <c r="E156" s="255">
        <f>E155+C156-D156</f>
        <v/>
      </c>
      <c r="F156" s="273">
        <f t="array" ref="F156">IFERROR(""&amp;IF(E156&lt;0,"⚠ 잔액 부족 · ","")&amp;_xlfn.TEXTJOIN(" · ",TRUE,IF(($A$16:$A$109=$A156)*($E$16:$E$109&lt;&gt;0)*($I$16:$I$109&lt;&gt;"보류"),$D$16:$D$109&amp;" "&amp;TEXT($E$16:$E$109,"#,##0"),"")),""&amp;IF(E156&lt;0,"⚠ 잔액 부족",""))</f>
        <v/>
      </c>
      <c r="G156" s="160" t="n"/>
      <c r="H156" s="160" t="n"/>
      <c r="I156" s="159" t="n"/>
      <c r="J156" s="270" t="n">
        <v>14769134</v>
      </c>
      <c r="K156" s="270">
        <f>SUMIFS($E$114:$E$135,$A$114:$A$135,A156,$C$114:$C$135,"확정입금")</f>
        <v/>
      </c>
    </row>
    <row r="157" hidden="1">
      <c r="A157" s="269" t="n">
        <v>46310</v>
      </c>
      <c r="B157" s="262" t="inlineStr">
        <is>
          <t>목</t>
        </is>
      </c>
      <c r="C157" s="255">
        <f>ROUND(J157*$F$12,0)+K157</f>
        <v/>
      </c>
      <c r="D157" s="255">
        <f>SUMIFS($E$16:$E$109,$A$16:$A$109,A157,$I$16:$I$109,"&lt;&gt;보류")</f>
        <v/>
      </c>
      <c r="E157" s="255">
        <f>E156+C157-D157</f>
        <v/>
      </c>
      <c r="F157" s="273">
        <f t="array" ref="F157">IFERROR(""&amp;IF(E157&lt;0,"⚠ 잔액 부족 · ","")&amp;_xlfn.TEXTJOIN(" · ",TRUE,IF(($A$16:$A$109=$A157)*($E$16:$E$109&lt;&gt;0)*($I$16:$I$109&lt;&gt;"보류"),$D$16:$D$109&amp;" "&amp;TEXT($E$16:$E$109,"#,##0"),"")),""&amp;IF(E157&lt;0,"⚠ 잔액 부족",""))</f>
        <v/>
      </c>
      <c r="G157" s="160" t="n"/>
      <c r="H157" s="160" t="n"/>
      <c r="I157" s="159" t="n"/>
      <c r="J157" s="270" t="n">
        <v>10899812</v>
      </c>
      <c r="K157" s="270">
        <f>SUMIFS($E$114:$E$135,$A$114:$A$135,A157,$C$114:$C$135,"확정입금")</f>
        <v/>
      </c>
    </row>
    <row r="158" hidden="1">
      <c r="A158" s="269" t="n">
        <v>46311</v>
      </c>
      <c r="B158" s="262" t="inlineStr">
        <is>
          <t>금</t>
        </is>
      </c>
      <c r="C158" s="255">
        <f>ROUND(J158*$F$12,0)+K158</f>
        <v/>
      </c>
      <c r="D158" s="255">
        <f>SUMIFS($E$16:$E$109,$A$16:$A$109,A158,$I$16:$I$109,"&lt;&gt;보류")</f>
        <v/>
      </c>
      <c r="E158" s="255">
        <f>E157+C158-D158</f>
        <v/>
      </c>
      <c r="F158" s="273">
        <f t="array" ref="F158">IFERROR(""&amp;IF(E158&lt;0,"⚠ 잔액 부족 · ","")&amp;_xlfn.TEXTJOIN(" · ",TRUE,IF(($A$16:$A$109=$A158)*($E$16:$E$109&lt;&gt;0)*($I$16:$I$109&lt;&gt;"보류"),$D$16:$D$109&amp;" "&amp;TEXT($E$16:$E$109,"#,##0"),"")),""&amp;IF(E158&lt;0,"⚠ 잔액 부족",""))</f>
        <v/>
      </c>
      <c r="G158" s="160" t="n"/>
      <c r="H158" s="160" t="n"/>
      <c r="I158" s="159" t="n"/>
      <c r="J158" s="270" t="n">
        <v>8365128</v>
      </c>
      <c r="K158" s="270">
        <f>SUMIFS($E$114:$E$135,$A$114:$A$135,A158,$C$114:$C$135,"확정입금")</f>
        <v/>
      </c>
    </row>
    <row r="159" hidden="1">
      <c r="A159" s="267" t="n">
        <v>46312</v>
      </c>
      <c r="B159" s="268" t="inlineStr">
        <is>
          <t>토</t>
        </is>
      </c>
      <c r="C159" s="255">
        <f>ROUND(J159*$F$12,0)+K159</f>
        <v/>
      </c>
      <c r="D159" s="255">
        <f>SUMIFS($E$16:$E$109,$A$16:$A$109,A159,$I$16:$I$109,"&lt;&gt;보류")</f>
        <v/>
      </c>
      <c r="E159" s="255">
        <f>E158+C159-D159</f>
        <v/>
      </c>
      <c r="F159" s="273">
        <f t="array" ref="F159">IFERROR(""&amp;IF(E159&lt;0,"⚠ 잔액 부족 · ","")&amp;_xlfn.TEXTJOIN(" · ",TRUE,IF(($A$16:$A$109=$A159)*($E$16:$E$109&lt;&gt;0)*($I$16:$I$109&lt;&gt;"보류"),$D$16:$D$109&amp;" "&amp;TEXT($E$16:$E$109,"#,##0"),"")),""&amp;IF(E159&lt;0,"⚠ 잔액 부족",""))</f>
        <v/>
      </c>
      <c r="G159" s="160" t="n"/>
      <c r="H159" s="160" t="n"/>
      <c r="I159" s="159" t="n"/>
      <c r="J159" s="270" t="n">
        <v>0</v>
      </c>
      <c r="K159" s="270">
        <f>SUMIFS($E$114:$E$135,$A$114:$A$135,A159,$C$114:$C$135,"확정입금")</f>
        <v/>
      </c>
    </row>
    <row r="160" hidden="1">
      <c r="A160" s="267" t="n">
        <v>46313</v>
      </c>
      <c r="B160" s="268" t="inlineStr">
        <is>
          <t>일</t>
        </is>
      </c>
      <c r="C160" s="255">
        <f>ROUND(J160*$F$12,0)+K160</f>
        <v/>
      </c>
      <c r="D160" s="255">
        <f>SUMIFS($E$16:$E$109,$A$16:$A$109,A160,$I$16:$I$109,"&lt;&gt;보류")</f>
        <v/>
      </c>
      <c r="E160" s="255">
        <f>E159+C160-D160</f>
        <v/>
      </c>
      <c r="F160" s="273">
        <f t="array" ref="F160">IFERROR(""&amp;IF(E160&lt;0,"⚠ 잔액 부족 · ","")&amp;_xlfn.TEXTJOIN(" · ",TRUE,IF(($A$16:$A$109=$A160)*($E$16:$E$109&lt;&gt;0)*($I$16:$I$109&lt;&gt;"보류"),$D$16:$D$109&amp;" "&amp;TEXT($E$16:$E$109,"#,##0"),"")),""&amp;IF(E160&lt;0,"⚠ 잔액 부족",""))</f>
        <v/>
      </c>
      <c r="G160" s="160" t="n"/>
      <c r="H160" s="160" t="n"/>
      <c r="I160" s="159" t="n"/>
      <c r="J160" s="270" t="n">
        <v>0</v>
      </c>
      <c r="K160" s="270">
        <f>SUMIFS($E$114:$E$135,$A$114:$A$135,A160,$C$114:$C$135,"확정입금")</f>
        <v/>
      </c>
    </row>
    <row r="161" hidden="1">
      <c r="A161" s="269" t="n">
        <v>46314</v>
      </c>
      <c r="B161" s="262" t="inlineStr">
        <is>
          <t>월</t>
        </is>
      </c>
      <c r="C161" s="255">
        <f>ROUND(J161*$F$12,0)+K161</f>
        <v/>
      </c>
      <c r="D161" s="255">
        <f>SUMIFS($E$16:$E$109,$A$16:$A$109,A161,$I$16:$I$109,"&lt;&gt;보류")</f>
        <v/>
      </c>
      <c r="E161" s="255">
        <f>E160+C161-D161</f>
        <v/>
      </c>
      <c r="F161" s="273">
        <f t="array" ref="F161">IFERROR(""&amp;IF(E161&lt;0,"⚠ 잔액 부족 · ","")&amp;_xlfn.TEXTJOIN(" · ",TRUE,IF(($A$16:$A$109=$A161)*($E$16:$E$109&lt;&gt;0)*($I$16:$I$109&lt;&gt;"보류"),$D$16:$D$109&amp;" "&amp;TEXT($E$16:$E$109,"#,##0"),"")),""&amp;IF(E161&lt;0,"⚠ 잔액 부족",""))</f>
        <v/>
      </c>
      <c r="G161" s="160" t="n"/>
      <c r="H161" s="160" t="n"/>
      <c r="I161" s="159" t="n"/>
      <c r="J161" s="270" t="n">
        <v>12572607</v>
      </c>
      <c r="K161" s="270">
        <f>SUMIFS($E$114:$E$135,$A$114:$A$135,A161,$C$114:$C$135,"확정입금")</f>
        <v/>
      </c>
    </row>
    <row r="162" hidden="1">
      <c r="A162" s="269" t="n">
        <v>46315</v>
      </c>
      <c r="B162" s="262" t="inlineStr">
        <is>
          <t>화</t>
        </is>
      </c>
      <c r="C162" s="255">
        <f>ROUND(J162*$F$12,0)+K162</f>
        <v/>
      </c>
      <c r="D162" s="255">
        <f>SUMIFS($E$16:$E$109,$A$16:$A$109,A162,$I$16:$I$109,"&lt;&gt;보류")</f>
        <v/>
      </c>
      <c r="E162" s="255">
        <f>E161+C162-D162</f>
        <v/>
      </c>
      <c r="F162" s="273">
        <f t="array" ref="F162">IFERROR(""&amp;IF(E162&lt;0,"⚠ 잔액 부족 · ","")&amp;_xlfn.TEXTJOIN(" · ",TRUE,IF(($A$16:$A$109=$A162)*($E$16:$E$109&lt;&gt;0)*($I$16:$I$109&lt;&gt;"보류"),$D$16:$D$109&amp;" "&amp;TEXT($E$16:$E$109,"#,##0"),"")),""&amp;IF(E162&lt;0,"⚠ 잔액 부족",""))</f>
        <v/>
      </c>
      <c r="G162" s="160" t="n"/>
      <c r="H162" s="160" t="n"/>
      <c r="I162" s="159" t="n"/>
      <c r="J162" s="270" t="n">
        <v>24396851</v>
      </c>
      <c r="K162" s="270">
        <f>SUMIFS($E$114:$E$135,$A$114:$A$135,A162,$C$114:$C$135,"확정입금")</f>
        <v/>
      </c>
    </row>
    <row r="163" hidden="1">
      <c r="A163" s="269" t="n">
        <v>46316</v>
      </c>
      <c r="B163" s="262" t="inlineStr">
        <is>
          <t>수</t>
        </is>
      </c>
      <c r="C163" s="255">
        <f>ROUND(J163*$F$12,0)+K163</f>
        <v/>
      </c>
      <c r="D163" s="255">
        <f>SUMIFS($E$16:$E$109,$A$16:$A$109,A163,$I$16:$I$109,"&lt;&gt;보류")</f>
        <v/>
      </c>
      <c r="E163" s="255">
        <f>E162+C163-D163</f>
        <v/>
      </c>
      <c r="F163" s="273">
        <f t="array" ref="F163">IFERROR(""&amp;IF(E163&lt;0,"⚠ 잔액 부족 · ","")&amp;_xlfn.TEXTJOIN(" · ",TRUE,IF(($A$16:$A$109=$A163)*($E$16:$E$109&lt;&gt;0)*($I$16:$I$109&lt;&gt;"보류"),$D$16:$D$109&amp;" "&amp;TEXT($E$16:$E$109,"#,##0"),"")),""&amp;IF(E163&lt;0,"⚠ 잔액 부족",""))</f>
        <v/>
      </c>
      <c r="G163" s="160" t="n"/>
      <c r="H163" s="160" t="n"/>
      <c r="I163" s="159" t="n"/>
      <c r="J163" s="270" t="n">
        <v>14769134</v>
      </c>
      <c r="K163" s="270">
        <f>SUMIFS($E$114:$E$135,$A$114:$A$135,A163,$C$114:$C$135,"확정입금")</f>
        <v/>
      </c>
    </row>
    <row r="164" hidden="1">
      <c r="A164" s="269" t="n">
        <v>46317</v>
      </c>
      <c r="B164" s="262" t="inlineStr">
        <is>
          <t>목</t>
        </is>
      </c>
      <c r="C164" s="255">
        <f>ROUND(J164*$F$12,0)+K164</f>
        <v/>
      </c>
      <c r="D164" s="255">
        <f>SUMIFS($E$16:$E$109,$A$16:$A$109,A164,$I$16:$I$109,"&lt;&gt;보류")</f>
        <v/>
      </c>
      <c r="E164" s="255">
        <f>E163+C164-D164</f>
        <v/>
      </c>
      <c r="F164" s="273">
        <f t="array" ref="F164">IFERROR(""&amp;IF(E164&lt;0,"⚠ 잔액 부족 · ","")&amp;_xlfn.TEXTJOIN(" · ",TRUE,IF(($A$16:$A$109=$A164)*($E$16:$E$109&lt;&gt;0)*($I$16:$I$109&lt;&gt;"보류"),$D$16:$D$109&amp;" "&amp;TEXT($E$16:$E$109,"#,##0"),"")),""&amp;IF(E164&lt;0,"⚠ 잔액 부족",""))</f>
        <v/>
      </c>
      <c r="G164" s="160" t="n"/>
      <c r="H164" s="160" t="n"/>
      <c r="I164" s="159" t="n"/>
      <c r="J164" s="270" t="n">
        <v>10899812</v>
      </c>
      <c r="K164" s="270">
        <f>SUMIFS($E$114:$E$135,$A$114:$A$135,A164,$C$114:$C$135,"확정입금")</f>
        <v/>
      </c>
    </row>
    <row r="165" hidden="1">
      <c r="A165" s="269" t="n">
        <v>46318</v>
      </c>
      <c r="B165" s="262" t="inlineStr">
        <is>
          <t>금</t>
        </is>
      </c>
      <c r="C165" s="255">
        <f>ROUND(J165*$F$12,0)+K165</f>
        <v/>
      </c>
      <c r="D165" s="255">
        <f>SUMIFS($E$16:$E$109,$A$16:$A$109,A165,$I$16:$I$109,"&lt;&gt;보류")</f>
        <v/>
      </c>
      <c r="E165" s="255">
        <f>E164+C165-D165</f>
        <v/>
      </c>
      <c r="F165" s="273">
        <f t="array" ref="F165">IFERROR(""&amp;IF(E165&lt;0,"⚠ 잔액 부족 · ","")&amp;_xlfn.TEXTJOIN(" · ",TRUE,IF(($A$16:$A$109=$A165)*($E$16:$E$109&lt;&gt;0)*($I$16:$I$109&lt;&gt;"보류"),$D$16:$D$109&amp;" "&amp;TEXT($E$16:$E$109,"#,##0"),"")),""&amp;IF(E165&lt;0,"⚠ 잔액 부족",""))</f>
        <v/>
      </c>
      <c r="G165" s="160" t="n"/>
      <c r="H165" s="160" t="n"/>
      <c r="I165" s="159" t="n"/>
      <c r="J165" s="270" t="n">
        <v>8365128</v>
      </c>
      <c r="K165" s="270">
        <f>SUMIFS($E$114:$E$135,$A$114:$A$135,A165,$C$114:$C$135,"확정입금")</f>
        <v/>
      </c>
    </row>
    <row r="166" hidden="1">
      <c r="A166" s="267" t="n">
        <v>46319</v>
      </c>
      <c r="B166" s="268" t="inlineStr">
        <is>
          <t>토</t>
        </is>
      </c>
      <c r="C166" s="255">
        <f>ROUND(J166*$F$12,0)+K166</f>
        <v/>
      </c>
      <c r="D166" s="255">
        <f>SUMIFS($E$16:$E$109,$A$16:$A$109,A166,$I$16:$I$109,"&lt;&gt;보류")</f>
        <v/>
      </c>
      <c r="E166" s="255">
        <f>E165+C166-D166</f>
        <v/>
      </c>
      <c r="F166" s="273">
        <f t="array" ref="F166">IFERROR(""&amp;IF(E166&lt;0,"⚠ 잔액 부족 · ","")&amp;_xlfn.TEXTJOIN(" · ",TRUE,IF(($A$16:$A$109=$A166)*($E$16:$E$109&lt;&gt;0)*($I$16:$I$109&lt;&gt;"보류"),$D$16:$D$109&amp;" "&amp;TEXT($E$16:$E$109,"#,##0"),"")),""&amp;IF(E166&lt;0,"⚠ 잔액 부족",""))</f>
        <v/>
      </c>
      <c r="G166" s="160" t="n"/>
      <c r="H166" s="160" t="n"/>
      <c r="I166" s="159" t="n"/>
      <c r="J166" s="270" t="n">
        <v>0</v>
      </c>
      <c r="K166" s="270">
        <f>SUMIFS($E$114:$E$135,$A$114:$A$135,A166,$C$114:$C$135,"확정입금")</f>
        <v/>
      </c>
    </row>
    <row r="167" hidden="1">
      <c r="A167" s="267" t="n">
        <v>46320</v>
      </c>
      <c r="B167" s="268" t="inlineStr">
        <is>
          <t>일</t>
        </is>
      </c>
      <c r="C167" s="255">
        <f>ROUND(J167*$F$12,0)+K167</f>
        <v/>
      </c>
      <c r="D167" s="255">
        <f>SUMIFS($E$16:$E$109,$A$16:$A$109,A167,$I$16:$I$109,"&lt;&gt;보류")</f>
        <v/>
      </c>
      <c r="E167" s="255">
        <f>E166+C167-D167</f>
        <v/>
      </c>
      <c r="F167" s="273">
        <f t="array" ref="F167">IFERROR(""&amp;IF(E167&lt;0,"⚠ 잔액 부족 · ","")&amp;_xlfn.TEXTJOIN(" · ",TRUE,IF(($A$16:$A$109=$A167)*($E$16:$E$109&lt;&gt;0)*($I$16:$I$109&lt;&gt;"보류"),$D$16:$D$109&amp;" "&amp;TEXT($E$16:$E$109,"#,##0"),"")),""&amp;IF(E167&lt;0,"⚠ 잔액 부족",""))</f>
        <v/>
      </c>
      <c r="G167" s="160" t="n"/>
      <c r="H167" s="160" t="n"/>
      <c r="I167" s="159" t="n"/>
      <c r="J167" s="270" t="n">
        <v>0</v>
      </c>
      <c r="K167" s="270">
        <f>SUMIFS($E$114:$E$135,$A$114:$A$135,A167,$C$114:$C$135,"확정입금")</f>
        <v/>
      </c>
    </row>
    <row r="168">
      <c r="A168" s="258" t="inlineStr">
        <is>
          <t>4주 최저 잔액</t>
        </is>
      </c>
      <c r="C168" s="266">
        <f>MIN(E140:E167)</f>
        <v/>
      </c>
      <c r="D168" s="285" t="inlineStr">
        <is>
          <t>4주 예상 기말잔액</t>
        </is>
      </c>
      <c r="E168" s="266">
        <f>E167</f>
        <v/>
      </c>
    </row>
    <row r="169">
      <c r="A169" s="258">
        <f>IF(C168&gt;=0,"향후 4주 부족분 없음 — 계획대로 집행 가능합니다.","향후 4주 최대 부족 "&amp;TEXT(-C168,"#,##0")&amp;"원 — 지출 일정 조정 또는 자금 조치가 필요합니다.")</f>
        <v/>
      </c>
    </row>
    <row r="171">
      <c r="A171" s="252" t="inlineStr">
        <is>
          <t>⑤ 안정을 위한 필요 추가 입금 (향후 4주)</t>
        </is>
      </c>
      <c r="B171" s="253" t="n"/>
      <c r="C171" s="253" t="n"/>
      <c r="D171" s="253" t="n"/>
      <c r="E171" s="253" t="n"/>
      <c r="F171" s="253" t="n"/>
      <c r="G171" s="253" t="n"/>
      <c r="H171" s="253" t="n"/>
      <c r="I171" s="253" t="n"/>
    </row>
    <row r="172">
      <c r="A172" s="258" t="inlineStr">
        <is>
          <t>목표 최저잔액</t>
        </is>
      </c>
      <c r="C172" s="263" t="n">
        <v>0</v>
      </c>
      <c r="D172" s="286" t="inlineStr">
        <is>
          <t>예: 0원(적자 없음) 또는 안전하게 유지하고 싶은 잔액을 입력하세요.</t>
        </is>
      </c>
    </row>
    <row r="173">
      <c r="A173" s="260" t="inlineStr">
        <is>
          <t>반영률</t>
        </is>
      </c>
      <c r="B173" s="260" t="n"/>
      <c r="C173" s="260" t="inlineStr">
        <is>
          <t>4주 기말잔액</t>
        </is>
      </c>
      <c r="D173" s="260" t="inlineStr">
        <is>
          <t>4주 최저잔액</t>
        </is>
      </c>
      <c r="E173" s="260" t="inlineStr">
        <is>
          <t>자금부족 예상일</t>
        </is>
      </c>
      <c r="F173" s="260" t="inlineStr">
        <is>
          <t>필요 추가 입금</t>
        </is>
      </c>
    </row>
    <row r="174">
      <c r="A174" s="287" t="n">
        <v>0.8</v>
      </c>
      <c r="C174" s="255" t="n">
        <v>194983726</v>
      </c>
      <c r="D174" s="255" t="n">
        <v>69996263</v>
      </c>
      <c r="E174" s="262" t="inlineStr">
        <is>
          <t>없음</t>
        </is>
      </c>
      <c r="F174" s="257">
        <f>MAX(0,$C$172-D174)</f>
        <v/>
      </c>
    </row>
    <row r="175">
      <c r="A175" s="287" t="n">
        <v>0.9</v>
      </c>
      <c r="C175" s="255" t="n">
        <v>214191012</v>
      </c>
      <c r="D175" s="255" t="n">
        <v>69996263</v>
      </c>
      <c r="E175" s="262" t="inlineStr">
        <is>
          <t>없음</t>
        </is>
      </c>
      <c r="F175" s="257">
        <f>MAX(0,$C$172-D175)</f>
        <v/>
      </c>
    </row>
    <row r="176">
      <c r="A176" s="287" t="n">
        <v>1</v>
      </c>
      <c r="C176" s="255" t="n">
        <v>233398298</v>
      </c>
      <c r="D176" s="255" t="n">
        <v>69996263</v>
      </c>
      <c r="E176" s="262" t="inlineStr">
        <is>
          <t>없음</t>
        </is>
      </c>
      <c r="F176" s="257">
        <f>MAX(0,$C$172-D176)</f>
        <v/>
      </c>
    </row>
    <row r="177">
      <c r="A177" s="258" t="inlineStr">
        <is>
          <t>주당 추가 입금 목표</t>
        </is>
      </c>
      <c r="C177" s="266">
        <f>ROUND(F174/4,0)</f>
        <v/>
      </c>
      <c r="D177" s="285" t="inlineStr">
        <is>
          <t>영업일당(주 5일 기준)</t>
        </is>
      </c>
      <c r="E177" s="266">
        <f>ROUND(F174/20,0)</f>
        <v/>
      </c>
    </row>
    <row r="179">
      <c r="A179" s="252" t="inlineStr">
        <is>
          <t>⑥ 건강사업팀 전달 메모 (자동 작성)</t>
        </is>
      </c>
      <c r="B179" s="253" t="n"/>
      <c r="C179" s="253" t="n"/>
      <c r="D179" s="253" t="n"/>
      <c r="E179" s="253" t="n"/>
      <c r="F179" s="253" t="n"/>
      <c r="G179" s="253" t="n"/>
      <c r="H179" s="253" t="n"/>
      <c r="I179" s="253" t="n"/>
    </row>
    <row r="180">
      <c r="A180" s="288">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289" t="inlineStr">
        <is>
          <t>(주)에이팜건강 주간 자금계획 보고</t>
        </is>
      </c>
    </row>
    <row r="2">
      <c r="A2" s="250">
        <f>"기준일 2026-09-28 · 작성 2026-10-04 23:19:26 · 입금 반영률 "&amp;TEXT('경영보고'!$F$12,"0%")&amp;" (경영보고 시트와 실시간 연동)"</f>
        <v/>
      </c>
    </row>
    <row r="4">
      <c r="A4" s="252" t="inlineStr">
        <is>
          <t>핵심 요약</t>
        </is>
      </c>
      <c r="B4" s="253" t="n"/>
      <c r="C4" s="253" t="n"/>
      <c r="D4" s="253" t="n"/>
      <c r="E4" s="253" t="n"/>
    </row>
    <row r="5">
      <c r="A5" s="256" t="inlineStr">
        <is>
          <t>현재 전체 계좌잔액</t>
        </is>
      </c>
      <c r="C5" s="255">
        <f>'경영보고'!C12</f>
        <v/>
      </c>
    </row>
    <row r="6">
      <c r="A6" s="256" t="inlineStr">
        <is>
          <t>4주 예상 기말잔액</t>
        </is>
      </c>
      <c r="C6" s="255">
        <f>'경영보고'!E167</f>
        <v/>
      </c>
    </row>
    <row r="7">
      <c r="A7" s="256" t="inlineStr">
        <is>
          <t>4주 최저 예상잔액</t>
        </is>
      </c>
      <c r="C7" s="255">
        <f>'경영보고'!C168</f>
        <v/>
      </c>
      <c r="D7" s="290">
        <f>TEXT(INDEX('경영보고'!$A$140:$A$167,MATCH('경영보고'!C168,'경영보고'!$E$140:$E$167,0)),"m/d 예상")</f>
        <v/>
      </c>
    </row>
    <row r="8">
      <c r="A8" s="256" t="inlineStr">
        <is>
          <t>향후 4주 확정지출</t>
        </is>
      </c>
      <c r="C8" s="255">
        <f>'경영보고'!E110</f>
        <v/>
      </c>
    </row>
    <row r="9">
      <c r="A9" s="256" t="inlineStr">
        <is>
          <t>카드 결제 예정액(4주)</t>
        </is>
      </c>
      <c r="C9" s="255">
        <f>SUMIFS('경영보고'!$E$16:$E$109,'경영보고'!$F$16:$F$109,"법인카드",'경영보고'!$I$16:$I$109,"&lt;&gt;보류")</f>
        <v/>
      </c>
    </row>
    <row r="10">
      <c r="A10" s="256" t="inlineStr">
        <is>
          <t>자금부족 예상일</t>
        </is>
      </c>
      <c r="C10" s="254">
        <f>IFERROR(TEXT(INDEX('경영보고'!$A$140:$A$167,MATCH(TRUE,INDEX('경영보고'!$E$140:$E$167&lt;0,0),0)),"yyyy-mm-dd"),"없음")</f>
        <v/>
      </c>
    </row>
    <row r="11">
      <c r="A11" s="256" t="inlineStr">
        <is>
          <t>확인필요 건수</t>
        </is>
      </c>
      <c r="C11" s="254" t="inlineStr">
        <is>
          <t>64건</t>
        </is>
      </c>
    </row>
    <row r="12">
      <c r="A12" s="256" t="inlineStr">
        <is>
          <t>자료 미제출 팀</t>
        </is>
      </c>
      <c r="C12" s="254" t="inlineStr">
        <is>
          <t>없음</t>
        </is>
      </c>
    </row>
    <row r="14">
      <c r="A14" s="291">
        <f>'경영보고'!A169</f>
        <v/>
      </c>
    </row>
    <row r="16">
      <c r="A16" s="252" t="inlineStr">
        <is>
          <t>차주 일별 잔액 전망 (월~금) — 반영률·지출 수정과 실시간 연동</t>
        </is>
      </c>
      <c r="B16" s="253" t="n"/>
      <c r="C16" s="253" t="n"/>
      <c r="D16" s="253" t="n"/>
      <c r="E16" s="253" t="n"/>
    </row>
    <row r="17">
      <c r="A17" s="260" t="inlineStr">
        <is>
          <t>일자</t>
        </is>
      </c>
      <c r="B17" s="260" t="inlineStr">
        <is>
          <t>요일</t>
        </is>
      </c>
      <c r="C17" s="260" t="inlineStr">
        <is>
          <t>예상 기말잔액</t>
        </is>
      </c>
      <c r="D17" s="260" t="inlineStr">
        <is>
          <t>상태</t>
        </is>
      </c>
    </row>
    <row r="18">
      <c r="A18" s="267">
        <f>'경영보고'!A147</f>
        <v/>
      </c>
      <c r="B18" s="268" t="inlineStr">
        <is>
          <t>월</t>
        </is>
      </c>
      <c r="C18" s="255">
        <f>'경영보고'!E147</f>
        <v/>
      </c>
      <c r="D18" s="268">
        <f>IF(C18&lt;0,"부족","")</f>
        <v/>
      </c>
    </row>
    <row r="19">
      <c r="A19" s="269">
        <f>'경영보고'!A148</f>
        <v/>
      </c>
      <c r="B19" s="262" t="inlineStr">
        <is>
          <t>화</t>
        </is>
      </c>
      <c r="C19" s="255">
        <f>'경영보고'!E148</f>
        <v/>
      </c>
      <c r="D19" s="268">
        <f>IF(C19&lt;0,"부족","")</f>
        <v/>
      </c>
    </row>
    <row r="20">
      <c r="A20" s="269">
        <f>'경영보고'!A149</f>
        <v/>
      </c>
      <c r="B20" s="262" t="inlineStr">
        <is>
          <t>수</t>
        </is>
      </c>
      <c r="C20" s="255">
        <f>'경영보고'!E149</f>
        <v/>
      </c>
      <c r="D20" s="268">
        <f>IF(C20&lt;0,"부족","")</f>
        <v/>
      </c>
    </row>
    <row r="21">
      <c r="A21" s="269">
        <f>'경영보고'!A150</f>
        <v/>
      </c>
      <c r="B21" s="262" t="inlineStr">
        <is>
          <t>목</t>
        </is>
      </c>
      <c r="C21" s="255">
        <f>'경영보고'!E150</f>
        <v/>
      </c>
      <c r="D21" s="268">
        <f>IF(C21&lt;0,"부족","")</f>
        <v/>
      </c>
    </row>
    <row r="22">
      <c r="A22" s="267">
        <f>'경영보고'!A151</f>
        <v/>
      </c>
      <c r="B22" s="268" t="inlineStr">
        <is>
          <t>금</t>
        </is>
      </c>
      <c r="C22" s="255">
        <f>'경영보고'!E151</f>
        <v/>
      </c>
      <c r="D22" s="268">
        <f>IF(C22&lt;0,"부족","")</f>
        <v/>
      </c>
    </row>
    <row r="24">
      <c r="A24" s="252" t="inlineStr">
        <is>
          <t>입금 반영률 시나리오 (80·90·100%) — 필요 추가 입금</t>
        </is>
      </c>
      <c r="B24" s="253" t="n"/>
      <c r="C24" s="253" t="n"/>
      <c r="D24" s="253" t="n"/>
      <c r="E24" s="253" t="n"/>
    </row>
    <row r="25">
      <c r="A25" s="260" t="inlineStr">
        <is>
          <t>반영률</t>
        </is>
      </c>
      <c r="C25" s="260" t="inlineStr">
        <is>
          <t>4주 기말잔액</t>
        </is>
      </c>
      <c r="D25" s="260" t="inlineStr">
        <is>
          <t>4주 최저잔액</t>
        </is>
      </c>
      <c r="E25" s="260" t="inlineStr">
        <is>
          <t>필요 추가 입금</t>
        </is>
      </c>
    </row>
    <row r="26">
      <c r="A26" s="287">
        <f>'경영보고'!A174</f>
        <v/>
      </c>
      <c r="C26" s="255">
        <f>'경영보고'!C174</f>
        <v/>
      </c>
      <c r="D26" s="255">
        <f>'경영보고'!D174</f>
        <v/>
      </c>
      <c r="E26" s="257">
        <f>'경영보고'!F174</f>
        <v/>
      </c>
    </row>
    <row r="27">
      <c r="A27" s="287">
        <f>'경영보고'!A175</f>
        <v/>
      </c>
      <c r="C27" s="255">
        <f>'경영보고'!C175</f>
        <v/>
      </c>
      <c r="D27" s="255">
        <f>'경영보고'!D175</f>
        <v/>
      </c>
      <c r="E27" s="257">
        <f>'경영보고'!F175</f>
        <v/>
      </c>
    </row>
    <row r="28">
      <c r="A28" s="287">
        <f>'경영보고'!A176</f>
        <v/>
      </c>
      <c r="C28" s="255">
        <f>'경영보고'!C176</f>
        <v/>
      </c>
      <c r="D28" s="255">
        <f>'경영보고'!D176</f>
        <v/>
      </c>
      <c r="E28" s="257">
        <f>'경영보고'!F176</f>
        <v/>
      </c>
    </row>
    <row r="30">
      <c r="A30" s="140">
        <f>"· 목표 최저잔액 "&amp;TEXT('경영보고'!$C$172,"#,##0")&amp;"원 기준. 시나리오 값은 실행 시점 계산이며, 반영률·지출 수정은 위 표와 경영보고에 즉시 반영됩니다."</f>
        <v/>
      </c>
    </row>
    <row r="31">
      <c r="A31" s="140"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2:S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width="14" customWidth="1" min="7" max="7"/>
    <col outlineLevel="1" width="13" customWidth="1" min="8" max="8"/>
    <col outlineLevel="1" width="13" customWidth="1" min="9" max="9"/>
    <col outlineLevel="1" width="13" customWidth="1" min="10" max="10"/>
    <col outlineLevel="1" width="13" customWidth="1" min="11" max="11"/>
    <col width="13" customWidth="1" min="12" max="12"/>
    <col width="13" customWidth="1" min="13" max="13"/>
    <col width="12" customWidth="1" min="14" max="14"/>
    <col width="13" customWidth="1" min="15" max="15"/>
    <col width="13" customWidth="1" min="16" max="16"/>
    <col width="14" customWidth="1" min="17" max="17"/>
    <col width="14" customWidth="1" min="18" max="18"/>
    <col width="34" customWidth="1" min="19" max="19"/>
  </cols>
  <sheetData>
    <row r="2">
      <c r="A2" s="139" t="inlineStr">
        <is>
          <t>향후 4주 일별 자금계획</t>
        </is>
      </c>
    </row>
    <row r="3">
      <c r="A3" s="140"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686,315(10-02) · 농협 569003 210,724(10-02) · 국민 154577 40,946,401(10-02) · 국민 169124 30,687,200(09-29) — 실행일 행은 은행 파일 그대로 실적으로 마감(기말 = 오늘 실잔고)하고, 아직 안 나간 예정(보류 제외)은 익일로 이월합니다. 자금 예산은 익일부터 오늘 실잔고에서 출발합니다(반영률 B13 연동)</t>
        </is>
      </c>
    </row>
    <row r="4">
      <c r="C4" s="174" t="inlineStr">
        <is>
          <t>계좌별 예상잔고</t>
        </is>
      </c>
      <c r="D4" s="175" t="n"/>
      <c r="E4" s="175" t="n"/>
      <c r="F4" s="176" t="n"/>
      <c r="H4" s="177" t="inlineStr">
        <is>
          <t>계좌별 입금 배분(예상)</t>
        </is>
      </c>
      <c r="I4" s="175" t="n"/>
      <c r="J4" s="175" t="n"/>
      <c r="K4" s="176" t="n"/>
    </row>
    <row r="5">
      <c r="A5" s="178" t="inlineStr">
        <is>
          <t>일자</t>
        </is>
      </c>
      <c r="B5" s="178" t="inlineStr">
        <is>
          <t>요일</t>
        </is>
      </c>
      <c r="C5" s="178" t="inlineStr">
        <is>
          <t>우리 220351</t>
        </is>
      </c>
      <c r="D5" s="178" t="inlineStr">
        <is>
          <t>농협 569003</t>
        </is>
      </c>
      <c r="E5" s="178" t="inlineStr">
        <is>
          <t>국민 154577</t>
        </is>
      </c>
      <c r="F5" s="178" t="inlineStr">
        <is>
          <t>국민 169124</t>
        </is>
      </c>
      <c r="G5" s="178" t="inlineStr">
        <is>
          <t>온라인 예상입금</t>
        </is>
      </c>
      <c r="H5" s="179" t="inlineStr">
        <is>
          <t>우리 220351</t>
        </is>
      </c>
      <c r="I5" s="179" t="inlineStr">
        <is>
          <t>농협 569003</t>
        </is>
      </c>
      <c r="J5" s="179" t="inlineStr">
        <is>
          <t>국민 154577</t>
        </is>
      </c>
      <c r="K5" s="179" t="inlineStr">
        <is>
          <t>국민 169124</t>
        </is>
      </c>
      <c r="L5" s="178" t="inlineStr">
        <is>
          <t>확정·기타입금</t>
        </is>
      </c>
      <c r="M5" s="178" t="inlineStr">
        <is>
          <t>송금예정</t>
        </is>
      </c>
      <c r="N5" s="178" t="inlineStr">
        <is>
          <t>카드결제</t>
        </is>
      </c>
      <c r="O5" s="178" t="inlineStr">
        <is>
          <t>조정·추정 지출</t>
        </is>
      </c>
      <c r="P5" s="178" t="inlineStr">
        <is>
          <t>순현금흐름</t>
        </is>
      </c>
      <c r="Q5" s="178" t="inlineStr">
        <is>
          <t>기초잔액</t>
        </is>
      </c>
      <c r="R5" s="178" t="inlineStr">
        <is>
          <t>기말잔액</t>
        </is>
      </c>
      <c r="S5" s="178" t="inlineStr">
        <is>
          <t>비고</t>
        </is>
      </c>
    </row>
    <row r="6">
      <c r="A6" s="180" t="n">
        <v>46298</v>
      </c>
      <c r="B6" s="181" t="inlineStr">
        <is>
          <t>토</t>
        </is>
      </c>
      <c r="C6" s="292">
        <f>'계좌별시나리오'!D6</f>
        <v/>
      </c>
      <c r="D6" s="292">
        <f>'계좌별시나리오'!E6</f>
        <v/>
      </c>
      <c r="E6" s="292">
        <f>'계좌별시나리오'!F6</f>
        <v/>
      </c>
      <c r="F6" s="292">
        <f>'계좌별시나리오'!G6</f>
        <v/>
      </c>
      <c r="G6" s="183" t="n"/>
      <c r="H6" s="183" t="n"/>
      <c r="I6" s="183" t="n"/>
      <c r="J6" s="183" t="n"/>
      <c r="K6" s="183" t="n"/>
      <c r="L6" s="183" t="n"/>
      <c r="M6" s="183" t="n"/>
      <c r="N6" s="183" t="n"/>
      <c r="O6" s="183" t="n"/>
      <c r="P6" s="183" t="n"/>
      <c r="Q6" s="183" t="n"/>
      <c r="R6" s="184">
        <f>'계좌별시나리오'!C6</f>
        <v/>
      </c>
      <c r="S6" s="181" t="inlineStr">
        <is>
          <t>전일 마감 실잔고 — 여기서 계획 시작</t>
        </is>
      </c>
    </row>
    <row r="7">
      <c r="A7" s="185" t="n">
        <v>46299</v>
      </c>
      <c r="B7" s="186" t="inlineStr">
        <is>
          <t>일</t>
        </is>
      </c>
      <c r="C7" s="293">
        <f>'계좌별시나리오'!D7</f>
        <v/>
      </c>
      <c r="D7" s="293">
        <f>'계좌별시나리오'!E7</f>
        <v/>
      </c>
      <c r="E7" s="293">
        <f>'계좌별시나리오'!F7</f>
        <v/>
      </c>
      <c r="F7" s="293">
        <f>'계좌별시나리오'!G7</f>
        <v/>
      </c>
      <c r="G7" s="183" t="n"/>
      <c r="H7" s="183" t="n"/>
      <c r="I7" s="183" t="n"/>
      <c r="J7" s="183" t="n"/>
      <c r="K7" s="183" t="n"/>
      <c r="L7" s="183" t="n"/>
      <c r="M7" s="183" t="n"/>
      <c r="N7" s="183" t="n"/>
      <c r="O7" s="183" t="n"/>
      <c r="P7" s="183" t="n"/>
      <c r="Q7" s="183" t="n"/>
      <c r="R7" s="188">
        <f>'요약'!$B$6</f>
        <v/>
      </c>
      <c r="S7" s="186" t="inlineStr">
        <is>
          <t>오늘 실잔고(은행 확인)·실제 입금·출금 — 참고 (이중계산 안 됨)</t>
        </is>
      </c>
    </row>
    <row r="8" hidden="1">
      <c r="A8" s="189" t="n">
        <v>46293</v>
      </c>
      <c r="B8" s="190" t="inlineStr">
        <is>
          <t>월</t>
        </is>
      </c>
      <c r="C8" s="294">
        <f>'계좌별시나리오'!D8</f>
        <v/>
      </c>
      <c r="D8" s="294">
        <f>'계좌별시나리오'!E8</f>
        <v/>
      </c>
      <c r="E8" s="294">
        <f>'계좌별시나리오'!F8</f>
        <v/>
      </c>
      <c r="F8" s="294">
        <f>'계좌별시나리오'!G8</f>
        <v/>
      </c>
      <c r="G8" s="192" t="n">
        <v>4102481</v>
      </c>
      <c r="H8" s="295">
        <f>'계좌별시나리오'!I8</f>
        <v/>
      </c>
      <c r="I8" s="295">
        <f>'계좌별시나리오'!J8</f>
        <v/>
      </c>
      <c r="J8" s="295">
        <f>'계좌별시나리오'!K8</f>
        <v/>
      </c>
      <c r="K8" s="295">
        <f>'계좌별시나리오'!L8</f>
        <v/>
      </c>
      <c r="L8" s="194" t="n">
        <v>41000</v>
      </c>
      <c r="M8" s="194" t="n"/>
      <c r="N8" s="194" t="n"/>
      <c r="O8" s="194" t="n">
        <v>5025353</v>
      </c>
      <c r="P8" s="195">
        <f>G8+L8-M8-N8-O8</f>
        <v/>
      </c>
      <c r="Q8" s="196" t="n">
        <v>136021881</v>
      </c>
      <c r="R8" s="195">
        <f>Q8+P8</f>
        <v/>
      </c>
      <c r="S8" s="197" t="inlineStr">
        <is>
          <t>실적 | 지출: METLIFE09042 2,497,000, 우리카드결제대금 2,493,338, NH기업카드 35,000 외 1건 | 기타입금: 허수원 35,000, 정소영 6,000</t>
        </is>
      </c>
    </row>
    <row r="9" hidden="1">
      <c r="A9" s="189" t="n">
        <v>46294</v>
      </c>
      <c r="B9" s="190" t="inlineStr">
        <is>
          <t>화</t>
        </is>
      </c>
      <c r="C9" s="294">
        <f>'계좌별시나리오'!D9</f>
        <v/>
      </c>
      <c r="D9" s="294">
        <f>'계좌별시나리오'!E9</f>
        <v/>
      </c>
      <c r="E9" s="294">
        <f>'계좌별시나리오'!F9</f>
        <v/>
      </c>
      <c r="F9" s="294">
        <f>'계좌별시나리오'!G9</f>
        <v/>
      </c>
      <c r="G9" s="192" t="n">
        <v>24361884</v>
      </c>
      <c r="H9" s="295">
        <f>'계좌별시나리오'!I9</f>
        <v/>
      </c>
      <c r="I9" s="295">
        <f>'계좌별시나리오'!J9</f>
        <v/>
      </c>
      <c r="J9" s="295">
        <f>'계좌별시나리오'!K9</f>
        <v/>
      </c>
      <c r="K9" s="295">
        <f>'계좌별시나리오'!L9</f>
        <v/>
      </c>
      <c r="L9" s="194" t="n">
        <v>134000</v>
      </c>
      <c r="M9" s="194" t="n"/>
      <c r="N9" s="194" t="n"/>
      <c r="O9" s="194" t="n">
        <v>15624012</v>
      </c>
      <c r="P9" s="195">
        <f>G9+L9-M9-N9-O9</f>
        <v/>
      </c>
      <c r="Q9" s="196">
        <f>R8</f>
        <v/>
      </c>
      <c r="R9" s="195">
        <f>Q9+P9</f>
        <v/>
      </c>
      <c r="S9" s="197" t="inlineStr">
        <is>
          <t>실적 | 지출: NH기업카드 4,490,586, 우리카드결제대금 3,438,607, 국민네이버 apha 2,310,000 외 9건 | 기타입금: 양혜원 103,000, 전수민 20,000 외 1건</t>
        </is>
      </c>
    </row>
    <row r="10" hidden="1">
      <c r="A10" s="189" t="n">
        <v>46295</v>
      </c>
      <c r="B10" s="190" t="inlineStr">
        <is>
          <t>수</t>
        </is>
      </c>
      <c r="C10" s="294">
        <f>'계좌별시나리오'!D10</f>
        <v/>
      </c>
      <c r="D10" s="294">
        <f>'계좌별시나리오'!E10</f>
        <v/>
      </c>
      <c r="E10" s="294">
        <f>'계좌별시나리오'!F10</f>
        <v/>
      </c>
      <c r="F10" s="294">
        <f>'계좌별시나리오'!G10</f>
        <v/>
      </c>
      <c r="G10" s="192" t="n">
        <v>16248020</v>
      </c>
      <c r="H10" s="295">
        <f>'계좌별시나리오'!I10</f>
        <v/>
      </c>
      <c r="I10" s="295">
        <f>'계좌별시나리오'!J10</f>
        <v/>
      </c>
      <c r="J10" s="295">
        <f>'계좌별시나리오'!K10</f>
        <v/>
      </c>
      <c r="K10" s="295">
        <f>'계좌별시나리오'!L10</f>
        <v/>
      </c>
      <c r="L10" s="194" t="n">
        <v>24570387</v>
      </c>
      <c r="M10" s="194" t="n"/>
      <c r="N10" s="194" t="n"/>
      <c r="O10" s="194" t="n">
        <v>108772816</v>
      </c>
      <c r="P10" s="195">
        <f>G10+L10-M10-N10-O10</f>
        <v/>
      </c>
      <c r="Q10" s="196">
        <f>R9</f>
        <v/>
      </c>
      <c r="R10" s="195">
        <f>Q10+P10</f>
        <v/>
      </c>
      <c r="S10" s="197" t="inlineStr">
        <is>
          <t>실적 | 지출: TOP출금 70,320,656, 주식회사 서흥헬스케 20,000,000, 한진-주식회사 9,350,870 외 8건 | 기타입금: (주)에이팜건강 20,000,000, 주식회사에이팜 4,040,700 외 3건</t>
        </is>
      </c>
    </row>
    <row r="11" hidden="1">
      <c r="A11" s="189" t="n">
        <v>46296</v>
      </c>
      <c r="B11" s="190" t="inlineStr">
        <is>
          <t>목</t>
        </is>
      </c>
      <c r="C11" s="294">
        <f>'계좌별시나리오'!D11</f>
        <v/>
      </c>
      <c r="D11" s="294">
        <f>'계좌별시나리오'!E11</f>
        <v/>
      </c>
      <c r="E11" s="294">
        <f>'계좌별시나리오'!F11</f>
        <v/>
      </c>
      <c r="F11" s="294">
        <f>'계좌별시나리오'!G11</f>
        <v/>
      </c>
      <c r="G11" s="192" t="n">
        <v>9290881</v>
      </c>
      <c r="H11" s="295">
        <f>'계좌별시나리오'!I11</f>
        <v/>
      </c>
      <c r="I11" s="295">
        <f>'계좌별시나리오'!J11</f>
        <v/>
      </c>
      <c r="J11" s="295">
        <f>'계좌별시나리오'!K11</f>
        <v/>
      </c>
      <c r="K11" s="295">
        <f>'계좌별시나리오'!L11</f>
        <v/>
      </c>
      <c r="L11" s="194" t="n">
        <v>26800</v>
      </c>
      <c r="M11" s="194" t="n"/>
      <c r="N11" s="194" t="n"/>
      <c r="O11" s="194" t="n">
        <v>15378890</v>
      </c>
      <c r="P11" s="195">
        <f>G11+L11-M11-N11-O11</f>
        <v/>
      </c>
      <c r="Q11" s="196">
        <f>R10</f>
        <v/>
      </c>
      <c r="R11" s="195">
        <f>Q11+P11</f>
        <v/>
      </c>
      <c r="S11" s="197" t="inlineStr">
        <is>
          <t>실적 | 지출: 김정원 9,000,000, KB7008 2,797,570, 국민네이버 apha 1,144,000 외 3건 | 기타입금: 신민경 20,800, 강철왕 6,000</t>
        </is>
      </c>
    </row>
    <row r="12" hidden="1">
      <c r="A12" s="189" t="n">
        <v>46297</v>
      </c>
      <c r="B12" s="190" t="inlineStr">
        <is>
          <t>금</t>
        </is>
      </c>
      <c r="C12" s="294">
        <f>'계좌별시나리오'!D12</f>
        <v/>
      </c>
      <c r="D12" s="294">
        <f>'계좌별시나리오'!E12</f>
        <v/>
      </c>
      <c r="E12" s="294">
        <f>'계좌별시나리오'!F12</f>
        <v/>
      </c>
      <c r="F12" s="294">
        <f>'계좌별시나리오'!G12</f>
        <v/>
      </c>
      <c r="G12" s="192" t="n">
        <v>8662097</v>
      </c>
      <c r="H12" s="295">
        <f>'계좌별시나리오'!I12</f>
        <v/>
      </c>
      <c r="I12" s="295">
        <f>'계좌별시나리오'!J12</f>
        <v/>
      </c>
      <c r="J12" s="295">
        <f>'계좌별시나리오'!K12</f>
        <v/>
      </c>
      <c r="K12" s="295">
        <f>'계좌별시나리오'!L12</f>
        <v/>
      </c>
      <c r="L12" s="194" t="n">
        <v>105280</v>
      </c>
      <c r="M12" s="194" t="n"/>
      <c r="N12" s="194" t="n"/>
      <c r="O12" s="194" t="n">
        <v>6233000</v>
      </c>
      <c r="P12" s="195">
        <f>G12+L12-M12-N12-O12</f>
        <v/>
      </c>
      <c r="Q12" s="196">
        <f>R11</f>
        <v/>
      </c>
      <c r="R12" s="195">
        <f>Q12+P12</f>
        <v/>
      </c>
      <c r="S12" s="197" t="inlineStr">
        <is>
          <t>실적 | 지출: 국민네이버 apha 3,718,000, 국민네이버 ddi5 1,320,000, 국민네이버 에이팜건 880,000 외 2건 | 기타입금: 김소희 56,300, 허수원 25,000 외 2건</t>
        </is>
      </c>
    </row>
    <row r="13">
      <c r="A13" s="198" t="n">
        <v>46298</v>
      </c>
      <c r="B13" s="199" t="inlineStr">
        <is>
          <t>토</t>
        </is>
      </c>
      <c r="C13" s="294">
        <f>'계좌별시나리오'!D13</f>
        <v/>
      </c>
      <c r="D13" s="294">
        <f>'계좌별시나리오'!E13</f>
        <v/>
      </c>
      <c r="E13" s="294">
        <f>'계좌별시나리오'!F13</f>
        <v/>
      </c>
      <c r="F13" s="294">
        <f>'계좌별시나리오'!G13</f>
        <v/>
      </c>
      <c r="G13" s="192" t="n">
        <v>0</v>
      </c>
      <c r="H13" s="295">
        <f>'계좌별시나리오'!I13</f>
        <v/>
      </c>
      <c r="I13" s="295">
        <f>'계좌별시나리오'!J13</f>
        <v/>
      </c>
      <c r="J13" s="295">
        <f>'계좌별시나리오'!K13</f>
        <v/>
      </c>
      <c r="K13" s="295">
        <f>'계좌별시나리오'!L13</f>
        <v/>
      </c>
      <c r="L13" s="296">
        <f>SUMIFS('경영보고'!$E$114:$E$135,'경영보고'!$A$114:$A$135,$A13,'경영보고'!$C$114:$C$135,"확정입금")</f>
        <v/>
      </c>
      <c r="M13" s="296">
        <f>SUMIFS('경영보고'!$E$16:$E$109,'경영보고'!$A$16:$A$109,$A13,'경영보고'!$I$16:$I$109,"&lt;&gt;보류",'경영보고'!$F$16:$F$109,"계좌송금")</f>
        <v/>
      </c>
      <c r="N13" s="296">
        <f>SUMIFS('경영보고'!$E$16:$E$109,'경영보고'!$A$16:$A$109,$A13,'경영보고'!$I$16:$I$109,"&lt;&gt;보류",'경영보고'!$F$16:$F$109,"법인카드")</f>
        <v/>
      </c>
      <c r="O13" s="296">
        <f>SUMIFS('경영보고'!$E$16:$E$109,'경영보고'!$A$16:$A$109,$A13,'경영보고'!$I$16:$I$109,"&lt;&gt;보류")-M13-N13</f>
        <v/>
      </c>
      <c r="P13" s="195">
        <f>G13+L13-M13-N13-O13</f>
        <v/>
      </c>
      <c r="Q13" s="196">
        <f>R12</f>
        <v/>
      </c>
      <c r="R13" s="195">
        <f>Q13+P13</f>
        <v/>
      </c>
      <c r="S13" s="197" t="n"/>
    </row>
    <row r="14">
      <c r="A14" s="201" t="n">
        <v>46299</v>
      </c>
      <c r="B14" s="202" t="inlineStr">
        <is>
          <t>일</t>
        </is>
      </c>
      <c r="C14" s="297">
        <f>'계좌별시나리오'!D14</f>
        <v/>
      </c>
      <c r="D14" s="297">
        <f>'계좌별시나리오'!E14</f>
        <v/>
      </c>
      <c r="E14" s="297">
        <f>'계좌별시나리오'!F14</f>
        <v/>
      </c>
      <c r="F14" s="297">
        <f>'계좌별시나리오'!G14</f>
        <v/>
      </c>
      <c r="G14" s="204">
        <f>INDEX('설정및분류'!$C$6:$C$12,WEEKDAY(A14,2))*'요약'!$B$13</f>
        <v/>
      </c>
      <c r="H14" s="298">
        <f>'계좌별시나리오'!I14</f>
        <v/>
      </c>
      <c r="I14" s="298">
        <f>'계좌별시나리오'!J14</f>
        <v/>
      </c>
      <c r="J14" s="298">
        <f>'계좌별시나리오'!K14</f>
        <v/>
      </c>
      <c r="K14" s="298">
        <f>'계좌별시나리오'!L14</f>
        <v/>
      </c>
      <c r="L14" s="299">
        <f>SUMIFS('경영보고'!$E$114:$E$135,'경영보고'!$A$114:$A$135,$A14,'경영보고'!$C$114:$C$135,"확정입금")</f>
        <v/>
      </c>
      <c r="M14" s="299">
        <f>SUMIFS('경영보고'!$E$16:$E$109,'경영보고'!$A$16:$A$109,$A14,'경영보고'!$I$16:$I$109,"&lt;&gt;보류",'경영보고'!$F$16:$F$109,"계좌송금")</f>
        <v/>
      </c>
      <c r="N14" s="299">
        <f>SUMIFS('경영보고'!$E$16:$E$109,'경영보고'!$A$16:$A$109,$A14,'경영보고'!$I$16:$I$109,"&lt;&gt;보류",'경영보고'!$F$16:$F$109,"법인카드")</f>
        <v/>
      </c>
      <c r="O14" s="299">
        <f>SUMIFS('경영보고'!$E$16:$E$109,'경영보고'!$A$16:$A$109,$A14,'경영보고'!$I$16:$I$109,"&lt;&gt;보류")-M14-N14</f>
        <v/>
      </c>
      <c r="P14" s="207">
        <f>G14+L14-M14-N14-O14</f>
        <v/>
      </c>
      <c r="Q14" s="208">
        <f>R13</f>
        <v/>
      </c>
      <c r="R14" s="207">
        <f>Q14+P14</f>
        <v/>
      </c>
      <c r="S14" s="209" t="n"/>
    </row>
    <row r="15">
      <c r="A15" s="210" t="n">
        <v>46300</v>
      </c>
      <c r="B15" s="199" t="inlineStr">
        <is>
          <t>월</t>
        </is>
      </c>
      <c r="C15" s="294">
        <f>'계좌별시나리오'!D15</f>
        <v/>
      </c>
      <c r="D15" s="294">
        <f>'계좌별시나리오'!E15</f>
        <v/>
      </c>
      <c r="E15" s="294">
        <f>'계좌별시나리오'!F15</f>
        <v/>
      </c>
      <c r="F15" s="294">
        <f>'계좌별시나리오'!G15</f>
        <v/>
      </c>
      <c r="G15" s="192" t="n">
        <v>0</v>
      </c>
      <c r="H15" s="295">
        <f>'계좌별시나리오'!I15</f>
        <v/>
      </c>
      <c r="I15" s="295">
        <f>'계좌별시나리오'!J15</f>
        <v/>
      </c>
      <c r="J15" s="295">
        <f>'계좌별시나리오'!K15</f>
        <v/>
      </c>
      <c r="K15" s="295">
        <f>'계좌별시나리오'!L15</f>
        <v/>
      </c>
      <c r="L15" s="296">
        <f>SUMIFS('경영보고'!$E$114:$E$135,'경영보고'!$A$114:$A$135,$A15,'경영보고'!$C$114:$C$135,"확정입금")</f>
        <v/>
      </c>
      <c r="M15" s="296">
        <f>SUMIFS('경영보고'!$E$16:$E$109,'경영보고'!$A$16:$A$109,$A15,'경영보고'!$I$16:$I$109,"&lt;&gt;보류",'경영보고'!$F$16:$F$109,"계좌송금")</f>
        <v/>
      </c>
      <c r="N15" s="296">
        <f>SUMIFS('경영보고'!$E$16:$E$109,'경영보고'!$A$16:$A$109,$A15,'경영보고'!$I$16:$I$109,"&lt;&gt;보류",'경영보고'!$F$16:$F$109,"법인카드")</f>
        <v/>
      </c>
      <c r="O15" s="296">
        <f>SUMIFS('경영보고'!$E$16:$E$109,'경영보고'!$A$16:$A$109,$A15,'경영보고'!$I$16:$I$109,"&lt;&gt;보류")-M15-N15</f>
        <v/>
      </c>
      <c r="P15" s="195">
        <f>G15+L15-M15-N15-O15</f>
        <v/>
      </c>
      <c r="Q15" s="196">
        <f>R14</f>
        <v/>
      </c>
      <c r="R15" s="195">
        <f>Q15+P15</f>
        <v/>
      </c>
      <c r="S15" s="211" t="n"/>
    </row>
    <row r="16">
      <c r="A16" s="212" t="n">
        <v>46301</v>
      </c>
      <c r="B16" s="190" t="inlineStr">
        <is>
          <t>화</t>
        </is>
      </c>
      <c r="C16" s="294">
        <f>'계좌별시나리오'!D16</f>
        <v/>
      </c>
      <c r="D16" s="294">
        <f>'계좌별시나리오'!E16</f>
        <v/>
      </c>
      <c r="E16" s="294">
        <f>'계좌별시나리오'!F16</f>
        <v/>
      </c>
      <c r="F16" s="294">
        <f>'계좌별시나리오'!G16</f>
        <v/>
      </c>
      <c r="G16" s="213">
        <f>INDEX('설정및분류'!$C$6:$C$12,WEEKDAY(A16,2))*'요약'!$B$13</f>
        <v/>
      </c>
      <c r="H16" s="295">
        <f>'계좌별시나리오'!I16</f>
        <v/>
      </c>
      <c r="I16" s="295">
        <f>'계좌별시나리오'!J16</f>
        <v/>
      </c>
      <c r="J16" s="295">
        <f>'계좌별시나리오'!K16</f>
        <v/>
      </c>
      <c r="K16" s="295">
        <f>'계좌별시나리오'!L16</f>
        <v/>
      </c>
      <c r="L16" s="296">
        <f>SUMIFS('경영보고'!$E$114:$E$135,'경영보고'!$A$114:$A$135,$A16,'경영보고'!$C$114:$C$135,"확정입금")</f>
        <v/>
      </c>
      <c r="M16" s="296">
        <f>SUMIFS('경영보고'!$E$16:$E$109,'경영보고'!$A$16:$A$109,$A16,'경영보고'!$I$16:$I$109,"&lt;&gt;보류",'경영보고'!$F$16:$F$109,"계좌송금")</f>
        <v/>
      </c>
      <c r="N16" s="296">
        <f>SUMIFS('경영보고'!$E$16:$E$109,'경영보고'!$A$16:$A$109,$A16,'경영보고'!$I$16:$I$109,"&lt;&gt;보류",'경영보고'!$F$16:$F$109,"법인카드")</f>
        <v/>
      </c>
      <c r="O16" s="296">
        <f>SUMIFS('경영보고'!$E$16:$E$109,'경영보고'!$A$16:$A$109,$A16,'경영보고'!$I$16:$I$109,"&lt;&gt;보류")-M16-N16</f>
        <v/>
      </c>
      <c r="P16" s="195">
        <f>G16+L16-M16-N16-O16</f>
        <v/>
      </c>
      <c r="Q16" s="196">
        <f>R15</f>
        <v/>
      </c>
      <c r="R16" s="195">
        <f>Q16+P16</f>
        <v/>
      </c>
      <c r="S16" s="211" t="inlineStr">
        <is>
          <t>네이버 3,366,000, 카카오톡 플러스친구 1,500,000, 네이버 500,000, 비즈콘 400,000</t>
        </is>
      </c>
    </row>
    <row r="17">
      <c r="A17" s="212" t="n">
        <v>46302</v>
      </c>
      <c r="B17" s="190" t="inlineStr">
        <is>
          <t>수</t>
        </is>
      </c>
      <c r="C17" s="294">
        <f>'계좌별시나리오'!D17</f>
        <v/>
      </c>
      <c r="D17" s="294">
        <f>'계좌별시나리오'!E17</f>
        <v/>
      </c>
      <c r="E17" s="294">
        <f>'계좌별시나리오'!F17</f>
        <v/>
      </c>
      <c r="F17" s="294">
        <f>'계좌별시나리오'!G17</f>
        <v/>
      </c>
      <c r="G17" s="213">
        <f>INDEX('설정및분류'!$C$6:$C$12,WEEKDAY(A17,2))*'요약'!$B$13</f>
        <v/>
      </c>
      <c r="H17" s="295">
        <f>'계좌별시나리오'!I17</f>
        <v/>
      </c>
      <c r="I17" s="295">
        <f>'계좌별시나리오'!J17</f>
        <v/>
      </c>
      <c r="J17" s="295">
        <f>'계좌별시나리오'!K17</f>
        <v/>
      </c>
      <c r="K17" s="295">
        <f>'계좌별시나리오'!L17</f>
        <v/>
      </c>
      <c r="L17" s="296">
        <f>SUMIFS('경영보고'!$E$114:$E$135,'경영보고'!$A$114:$A$135,$A17,'경영보고'!$C$114:$C$135,"확정입금")</f>
        <v/>
      </c>
      <c r="M17" s="296">
        <f>SUMIFS('경영보고'!$E$16:$E$109,'경영보고'!$A$16:$A$109,$A17,'경영보고'!$I$16:$I$109,"&lt;&gt;보류",'경영보고'!$F$16:$F$109,"계좌송금")</f>
        <v/>
      </c>
      <c r="N17" s="296">
        <f>SUMIFS('경영보고'!$E$16:$E$109,'경영보고'!$A$16:$A$109,$A17,'경영보고'!$I$16:$I$109,"&lt;&gt;보류",'경영보고'!$F$16:$F$109,"법인카드")</f>
        <v/>
      </c>
      <c r="O17" s="296">
        <f>SUMIFS('경영보고'!$E$16:$E$109,'경영보고'!$A$16:$A$109,$A17,'경영보고'!$I$16:$I$109,"&lt;&gt;보류")-M17-N17</f>
        <v/>
      </c>
      <c r="P17" s="195">
        <f>G17+L17-M17-N17-O17</f>
        <v/>
      </c>
      <c r="Q17" s="196">
        <f>R16</f>
        <v/>
      </c>
      <c r="R17" s="195">
        <f>Q17+P17</f>
        <v/>
      </c>
      <c r="S17" s="211" t="inlineStr">
        <is>
          <t>인포크비즈니스 3,300,000, 써치엠 1,487,786, ADN 500,000, 서원회계법인 385,000, 비즈콘 300,000</t>
        </is>
      </c>
    </row>
    <row r="18">
      <c r="A18" s="212" t="n">
        <v>46303</v>
      </c>
      <c r="B18" s="190" t="inlineStr">
        <is>
          <t>목</t>
        </is>
      </c>
      <c r="C18" s="294">
        <f>'계좌별시나리오'!D18</f>
        <v/>
      </c>
      <c r="D18" s="294">
        <f>'계좌별시나리오'!E18</f>
        <v/>
      </c>
      <c r="E18" s="294">
        <f>'계좌별시나리오'!F18</f>
        <v/>
      </c>
      <c r="F18" s="294">
        <f>'계좌별시나리오'!G18</f>
        <v/>
      </c>
      <c r="G18" s="213">
        <f>INDEX('설정및분류'!$C$6:$C$12,WEEKDAY(A18,2))*'요약'!$B$13</f>
        <v/>
      </c>
      <c r="H18" s="295">
        <f>'계좌별시나리오'!I18</f>
        <v/>
      </c>
      <c r="I18" s="295">
        <f>'계좌별시나리오'!J18</f>
        <v/>
      </c>
      <c r="J18" s="295">
        <f>'계좌별시나리오'!K18</f>
        <v/>
      </c>
      <c r="K18" s="295">
        <f>'계좌별시나리오'!L18</f>
        <v/>
      </c>
      <c r="L18" s="296">
        <f>SUMIFS('경영보고'!$E$114:$E$135,'경영보고'!$A$114:$A$135,$A18,'경영보고'!$C$114:$C$135,"확정입금")</f>
        <v/>
      </c>
      <c r="M18" s="296">
        <f>SUMIFS('경영보고'!$E$16:$E$109,'경영보고'!$A$16:$A$109,$A18,'경영보고'!$I$16:$I$109,"&lt;&gt;보류",'경영보고'!$F$16:$F$109,"계좌송금")</f>
        <v/>
      </c>
      <c r="N18" s="296">
        <f>SUMIFS('경영보고'!$E$16:$E$109,'경영보고'!$A$16:$A$109,$A18,'경영보고'!$I$16:$I$109,"&lt;&gt;보류",'경영보고'!$F$16:$F$109,"법인카드")</f>
        <v/>
      </c>
      <c r="O18" s="296">
        <f>SUMIFS('경영보고'!$E$16:$E$109,'경영보고'!$A$16:$A$109,$A18,'경영보고'!$I$16:$I$109,"&lt;&gt;보류")-M18-N18</f>
        <v/>
      </c>
      <c r="P18" s="195">
        <f>G18+L18-M18-N18-O18</f>
        <v/>
      </c>
      <c r="Q18" s="196">
        <f>R17</f>
        <v/>
      </c>
      <c r="R18" s="195">
        <f>Q18+P18</f>
        <v/>
      </c>
      <c r="S18" s="211" t="inlineStr">
        <is>
          <t>KICTA 9,189,417, 네이버 6,424,000, 네이버 1,980,000, (주)채널코퍼레이션 198,000</t>
        </is>
      </c>
    </row>
    <row r="19">
      <c r="A19" s="214" t="n">
        <v>46304</v>
      </c>
      <c r="B19" s="215" t="inlineStr">
        <is>
          <t>금</t>
        </is>
      </c>
      <c r="C19" s="300">
        <f>'계좌별시나리오'!D19</f>
        <v/>
      </c>
      <c r="D19" s="300">
        <f>'계좌별시나리오'!E19</f>
        <v/>
      </c>
      <c r="E19" s="300">
        <f>'계좌별시나리오'!F19</f>
        <v/>
      </c>
      <c r="F19" s="300">
        <f>'계좌별시나리오'!G19</f>
        <v/>
      </c>
      <c r="G19" s="217" t="n">
        <v>0</v>
      </c>
      <c r="H19" s="301">
        <f>'계좌별시나리오'!I19</f>
        <v/>
      </c>
      <c r="I19" s="301">
        <f>'계좌별시나리오'!J19</f>
        <v/>
      </c>
      <c r="J19" s="301">
        <f>'계좌별시나리오'!K19</f>
        <v/>
      </c>
      <c r="K19" s="301">
        <f>'계좌별시나리오'!L19</f>
        <v/>
      </c>
      <c r="L19" s="302">
        <f>SUMIFS('경영보고'!$E$114:$E$135,'경영보고'!$A$114:$A$135,$A19,'경영보고'!$C$114:$C$135,"확정입금")</f>
        <v/>
      </c>
      <c r="M19" s="302">
        <f>SUMIFS('경영보고'!$E$16:$E$109,'경영보고'!$A$16:$A$109,$A19,'경영보고'!$I$16:$I$109,"&lt;&gt;보류",'경영보고'!$F$16:$F$109,"계좌송금")</f>
        <v/>
      </c>
      <c r="N19" s="302">
        <f>SUMIFS('경영보고'!$E$16:$E$109,'경영보고'!$A$16:$A$109,$A19,'경영보고'!$I$16:$I$109,"&lt;&gt;보류",'경영보고'!$F$16:$F$109,"법인카드")</f>
        <v/>
      </c>
      <c r="O19" s="302">
        <f>SUMIFS('경영보고'!$E$16:$E$109,'경영보고'!$A$16:$A$109,$A19,'경영보고'!$I$16:$I$109,"&lt;&gt;보류")-M19-N19</f>
        <v/>
      </c>
      <c r="P19" s="220">
        <f>G19+L19-M19-N19-O19</f>
        <v/>
      </c>
      <c r="Q19" s="221">
        <f>R18</f>
        <v/>
      </c>
      <c r="R19" s="220">
        <f>Q19+P19</f>
        <v/>
      </c>
      <c r="S19" s="222" t="n"/>
    </row>
    <row r="20">
      <c r="A20" s="198" t="n">
        <v>46305</v>
      </c>
      <c r="B20" s="199" t="inlineStr">
        <is>
          <t>토</t>
        </is>
      </c>
      <c r="C20" s="294">
        <f>'계좌별시나리오'!D20</f>
        <v/>
      </c>
      <c r="D20" s="294">
        <f>'계좌별시나리오'!E20</f>
        <v/>
      </c>
      <c r="E20" s="294">
        <f>'계좌별시나리오'!F20</f>
        <v/>
      </c>
      <c r="F20" s="294">
        <f>'계좌별시나리오'!G20</f>
        <v/>
      </c>
      <c r="G20" s="213">
        <f>INDEX('설정및분류'!$C$6:$C$12,WEEKDAY(A20,2))*'요약'!$B$13</f>
        <v/>
      </c>
      <c r="H20" s="295">
        <f>'계좌별시나리오'!I20</f>
        <v/>
      </c>
      <c r="I20" s="295">
        <f>'계좌별시나리오'!J20</f>
        <v/>
      </c>
      <c r="J20" s="295">
        <f>'계좌별시나리오'!K20</f>
        <v/>
      </c>
      <c r="K20" s="295">
        <f>'계좌별시나리오'!L20</f>
        <v/>
      </c>
      <c r="L20" s="296">
        <f>SUMIFS('경영보고'!$E$114:$E$135,'경영보고'!$A$114:$A$135,$A20,'경영보고'!$C$114:$C$135,"확정입금")</f>
        <v/>
      </c>
      <c r="M20" s="296">
        <f>SUMIFS('경영보고'!$E$16:$E$109,'경영보고'!$A$16:$A$109,$A20,'경영보고'!$I$16:$I$109,"&lt;&gt;보류",'경영보고'!$F$16:$F$109,"계좌송금")</f>
        <v/>
      </c>
      <c r="N20" s="296">
        <f>SUMIFS('경영보고'!$E$16:$E$109,'경영보고'!$A$16:$A$109,$A20,'경영보고'!$I$16:$I$109,"&lt;&gt;보류",'경영보고'!$F$16:$F$109,"법인카드")</f>
        <v/>
      </c>
      <c r="O20" s="296">
        <f>SUMIFS('경영보고'!$E$16:$E$109,'경영보고'!$A$16:$A$109,$A20,'경영보고'!$I$16:$I$109,"&lt;&gt;보류")-M20-N20</f>
        <v/>
      </c>
      <c r="P20" s="195">
        <f>G20+L20-M20-N20-O20</f>
        <v/>
      </c>
      <c r="Q20" s="196">
        <f>R19</f>
        <v/>
      </c>
      <c r="R20" s="195">
        <f>Q20+P20</f>
        <v/>
      </c>
      <c r="S20" s="197" t="n"/>
    </row>
    <row r="21">
      <c r="A21" s="198" t="n">
        <v>46306</v>
      </c>
      <c r="B21" s="199" t="inlineStr">
        <is>
          <t>일</t>
        </is>
      </c>
      <c r="C21" s="294">
        <f>'계좌별시나리오'!D21</f>
        <v/>
      </c>
      <c r="D21" s="294">
        <f>'계좌별시나리오'!E21</f>
        <v/>
      </c>
      <c r="E21" s="294">
        <f>'계좌별시나리오'!F21</f>
        <v/>
      </c>
      <c r="F21" s="294">
        <f>'계좌별시나리오'!G21</f>
        <v/>
      </c>
      <c r="G21" s="213">
        <f>INDEX('설정및분류'!$C$6:$C$12,WEEKDAY(A21,2))*'요약'!$B$13</f>
        <v/>
      </c>
      <c r="H21" s="295">
        <f>'계좌별시나리오'!I21</f>
        <v/>
      </c>
      <c r="I21" s="295">
        <f>'계좌별시나리오'!J21</f>
        <v/>
      </c>
      <c r="J21" s="295">
        <f>'계좌별시나리오'!K21</f>
        <v/>
      </c>
      <c r="K21" s="295">
        <f>'계좌별시나리오'!L21</f>
        <v/>
      </c>
      <c r="L21" s="296">
        <f>SUMIFS('경영보고'!$E$114:$E$135,'경영보고'!$A$114:$A$135,$A21,'경영보고'!$C$114:$C$135,"확정입금")</f>
        <v/>
      </c>
      <c r="M21" s="296">
        <f>SUMIFS('경영보고'!$E$16:$E$109,'경영보고'!$A$16:$A$109,$A21,'경영보고'!$I$16:$I$109,"&lt;&gt;보류",'경영보고'!$F$16:$F$109,"계좌송금")</f>
        <v/>
      </c>
      <c r="N21" s="296">
        <f>SUMIFS('경영보고'!$E$16:$E$109,'경영보고'!$A$16:$A$109,$A21,'경영보고'!$I$16:$I$109,"&lt;&gt;보류",'경영보고'!$F$16:$F$109,"법인카드")</f>
        <v/>
      </c>
      <c r="O21" s="296">
        <f>SUMIFS('경영보고'!$E$16:$E$109,'경영보고'!$A$16:$A$109,$A21,'경영보고'!$I$16:$I$109,"&lt;&gt;보류")-M21-N21</f>
        <v/>
      </c>
      <c r="P21" s="195">
        <f>G21+L21-M21-N21-O21</f>
        <v/>
      </c>
      <c r="Q21" s="196">
        <f>R20</f>
        <v/>
      </c>
      <c r="R21" s="195">
        <f>Q21+P21</f>
        <v/>
      </c>
      <c r="S21" s="197" t="n"/>
    </row>
    <row r="22">
      <c r="A22" s="189" t="n">
        <v>46307</v>
      </c>
      <c r="B22" s="190" t="inlineStr">
        <is>
          <t>월</t>
        </is>
      </c>
      <c r="C22" s="294">
        <f>'계좌별시나리오'!D22</f>
        <v/>
      </c>
      <c r="D22" s="294">
        <f>'계좌별시나리오'!E22</f>
        <v/>
      </c>
      <c r="E22" s="294">
        <f>'계좌별시나리오'!F22</f>
        <v/>
      </c>
      <c r="F22" s="294">
        <f>'계좌별시나리오'!G22</f>
        <v/>
      </c>
      <c r="G22" s="213">
        <f>INDEX('설정및분류'!$C$6:$C$12,WEEKDAY(A22,2))*'요약'!$B$13</f>
        <v/>
      </c>
      <c r="H22" s="295">
        <f>'계좌별시나리오'!I22</f>
        <v/>
      </c>
      <c r="I22" s="295">
        <f>'계좌별시나리오'!J22</f>
        <v/>
      </c>
      <c r="J22" s="295">
        <f>'계좌별시나리오'!K22</f>
        <v/>
      </c>
      <c r="K22" s="295">
        <f>'계좌별시나리오'!L22</f>
        <v/>
      </c>
      <c r="L22" s="296">
        <f>SUMIFS('경영보고'!$E$114:$E$135,'경영보고'!$A$114:$A$135,$A22,'경영보고'!$C$114:$C$135,"확정입금")</f>
        <v/>
      </c>
      <c r="M22" s="296">
        <f>SUMIFS('경영보고'!$E$16:$E$109,'경영보고'!$A$16:$A$109,$A22,'경영보고'!$I$16:$I$109,"&lt;&gt;보류",'경영보고'!$F$16:$F$109,"계좌송금")</f>
        <v/>
      </c>
      <c r="N22" s="296">
        <f>SUMIFS('경영보고'!$E$16:$E$109,'경영보고'!$A$16:$A$109,$A22,'경영보고'!$I$16:$I$109,"&lt;&gt;보류",'경영보고'!$F$16:$F$109,"법인카드")</f>
        <v/>
      </c>
      <c r="O22" s="296">
        <f>SUMIFS('경영보고'!$E$16:$E$109,'경영보고'!$A$16:$A$109,$A22,'경영보고'!$I$16:$I$109,"&lt;&gt;보류")-M22-N22</f>
        <v/>
      </c>
      <c r="P22" s="195">
        <f>G22+L22-M22-N22-O22</f>
        <v/>
      </c>
      <c r="Q22" s="196">
        <f>R21</f>
        <v/>
      </c>
      <c r="R22" s="195">
        <f>Q22+P22</f>
        <v/>
      </c>
      <c r="S22" s="197" t="n"/>
    </row>
    <row r="23">
      <c r="A23" s="189" t="n">
        <v>46308</v>
      </c>
      <c r="B23" s="190" t="inlineStr">
        <is>
          <t>화</t>
        </is>
      </c>
      <c r="C23" s="294">
        <f>'계좌별시나리오'!D23</f>
        <v/>
      </c>
      <c r="D23" s="294">
        <f>'계좌별시나리오'!E23</f>
        <v/>
      </c>
      <c r="E23" s="294">
        <f>'계좌별시나리오'!F23</f>
        <v/>
      </c>
      <c r="F23" s="294">
        <f>'계좌별시나리오'!G23</f>
        <v/>
      </c>
      <c r="G23" s="213">
        <f>INDEX('설정및분류'!$C$6:$C$12,WEEKDAY(A23,2))*'요약'!$B$13</f>
        <v/>
      </c>
      <c r="H23" s="295">
        <f>'계좌별시나리오'!I23</f>
        <v/>
      </c>
      <c r="I23" s="295">
        <f>'계좌별시나리오'!J23</f>
        <v/>
      </c>
      <c r="J23" s="295">
        <f>'계좌별시나리오'!K23</f>
        <v/>
      </c>
      <c r="K23" s="295">
        <f>'계좌별시나리오'!L23</f>
        <v/>
      </c>
      <c r="L23" s="296">
        <f>SUMIFS('경영보고'!$E$114:$E$135,'경영보고'!$A$114:$A$135,$A23,'경영보고'!$C$114:$C$135,"확정입금")</f>
        <v/>
      </c>
      <c r="M23" s="296">
        <f>SUMIFS('경영보고'!$E$16:$E$109,'경영보고'!$A$16:$A$109,$A23,'경영보고'!$I$16:$I$109,"&lt;&gt;보류",'경영보고'!$F$16:$F$109,"계좌송금")</f>
        <v/>
      </c>
      <c r="N23" s="296">
        <f>SUMIFS('경영보고'!$E$16:$E$109,'경영보고'!$A$16:$A$109,$A23,'경영보고'!$I$16:$I$109,"&lt;&gt;보류",'경영보고'!$F$16:$F$109,"법인카드")</f>
        <v/>
      </c>
      <c r="O23" s="296">
        <f>SUMIFS('경영보고'!$E$16:$E$109,'경영보고'!$A$16:$A$109,$A23,'경영보고'!$I$16:$I$109,"&lt;&gt;보류")-M23-N23</f>
        <v/>
      </c>
      <c r="P23" s="195">
        <f>G23+L23-M23-N23-O23</f>
        <v/>
      </c>
      <c r="Q23" s="196">
        <f>R22</f>
        <v/>
      </c>
      <c r="R23" s="195">
        <f>Q23+P23</f>
        <v/>
      </c>
      <c r="S23" s="197" t="n"/>
    </row>
    <row r="24">
      <c r="A24" s="189" t="n">
        <v>46309</v>
      </c>
      <c r="B24" s="190" t="inlineStr">
        <is>
          <t>수</t>
        </is>
      </c>
      <c r="C24" s="294">
        <f>'계좌별시나리오'!D24</f>
        <v/>
      </c>
      <c r="D24" s="294">
        <f>'계좌별시나리오'!E24</f>
        <v/>
      </c>
      <c r="E24" s="294">
        <f>'계좌별시나리오'!F24</f>
        <v/>
      </c>
      <c r="F24" s="294">
        <f>'계좌별시나리오'!G24</f>
        <v/>
      </c>
      <c r="G24" s="213">
        <f>INDEX('설정및분류'!$C$6:$C$12,WEEKDAY(A24,2))*'요약'!$B$13</f>
        <v/>
      </c>
      <c r="H24" s="295">
        <f>'계좌별시나리오'!I24</f>
        <v/>
      </c>
      <c r="I24" s="295">
        <f>'계좌별시나리오'!J24</f>
        <v/>
      </c>
      <c r="J24" s="295">
        <f>'계좌별시나리오'!K24</f>
        <v/>
      </c>
      <c r="K24" s="295">
        <f>'계좌별시나리오'!L24</f>
        <v/>
      </c>
      <c r="L24" s="296">
        <f>SUMIFS('경영보고'!$E$114:$E$135,'경영보고'!$A$114:$A$135,$A24,'경영보고'!$C$114:$C$135,"확정입금")</f>
        <v/>
      </c>
      <c r="M24" s="296">
        <f>SUMIFS('경영보고'!$E$16:$E$109,'경영보고'!$A$16:$A$109,$A24,'경영보고'!$I$16:$I$109,"&lt;&gt;보류",'경영보고'!$F$16:$F$109,"계좌송금")</f>
        <v/>
      </c>
      <c r="N24" s="296">
        <f>SUMIFS('경영보고'!$E$16:$E$109,'경영보고'!$A$16:$A$109,$A24,'경영보고'!$I$16:$I$109,"&lt;&gt;보류",'경영보고'!$F$16:$F$109,"법인카드")</f>
        <v/>
      </c>
      <c r="O24" s="296">
        <f>SUMIFS('경영보고'!$E$16:$E$109,'경영보고'!$A$16:$A$109,$A24,'경영보고'!$I$16:$I$109,"&lt;&gt;보류")-M24-N24</f>
        <v/>
      </c>
      <c r="P24" s="195">
        <f>G24+L24-M24-N24-O24</f>
        <v/>
      </c>
      <c r="Q24" s="196">
        <f>R23</f>
        <v/>
      </c>
      <c r="R24" s="195">
        <f>Q24+P24</f>
        <v/>
      </c>
      <c r="S24" s="197" t="n"/>
    </row>
    <row r="25">
      <c r="A25" s="189" t="n">
        <v>46310</v>
      </c>
      <c r="B25" s="190" t="inlineStr">
        <is>
          <t>목</t>
        </is>
      </c>
      <c r="C25" s="294">
        <f>'계좌별시나리오'!D25</f>
        <v/>
      </c>
      <c r="D25" s="294">
        <f>'계좌별시나리오'!E25</f>
        <v/>
      </c>
      <c r="E25" s="294">
        <f>'계좌별시나리오'!F25</f>
        <v/>
      </c>
      <c r="F25" s="294">
        <f>'계좌별시나리오'!G25</f>
        <v/>
      </c>
      <c r="G25" s="213">
        <f>INDEX('설정및분류'!$C$6:$C$12,WEEKDAY(A25,2))*'요약'!$B$13</f>
        <v/>
      </c>
      <c r="H25" s="295">
        <f>'계좌별시나리오'!I25</f>
        <v/>
      </c>
      <c r="I25" s="295">
        <f>'계좌별시나리오'!J25</f>
        <v/>
      </c>
      <c r="J25" s="295">
        <f>'계좌별시나리오'!K25</f>
        <v/>
      </c>
      <c r="K25" s="295">
        <f>'계좌별시나리오'!L25</f>
        <v/>
      </c>
      <c r="L25" s="296">
        <f>SUMIFS('경영보고'!$E$114:$E$135,'경영보고'!$A$114:$A$135,$A25,'경영보고'!$C$114:$C$135,"확정입금")</f>
        <v/>
      </c>
      <c r="M25" s="296">
        <f>SUMIFS('경영보고'!$E$16:$E$109,'경영보고'!$A$16:$A$109,$A25,'경영보고'!$I$16:$I$109,"&lt;&gt;보류",'경영보고'!$F$16:$F$109,"계좌송금")</f>
        <v/>
      </c>
      <c r="N25" s="296">
        <f>SUMIFS('경영보고'!$E$16:$E$109,'경영보고'!$A$16:$A$109,$A25,'경영보고'!$I$16:$I$109,"&lt;&gt;보류",'경영보고'!$F$16:$F$109,"법인카드")</f>
        <v/>
      </c>
      <c r="O25" s="296">
        <f>SUMIFS('경영보고'!$E$16:$E$109,'경영보고'!$A$16:$A$109,$A25,'경영보고'!$I$16:$I$109,"&lt;&gt;보류")-M25-N25</f>
        <v/>
      </c>
      <c r="P25" s="195">
        <f>G25+L25-M25-N25-O25</f>
        <v/>
      </c>
      <c r="Q25" s="196">
        <f>R24</f>
        <v/>
      </c>
      <c r="R25" s="195">
        <f>Q25+P25</f>
        <v/>
      </c>
      <c r="S25" s="197" t="n"/>
    </row>
    <row r="26">
      <c r="A26" s="189" t="n">
        <v>46311</v>
      </c>
      <c r="B26" s="190" t="inlineStr">
        <is>
          <t>금</t>
        </is>
      </c>
      <c r="C26" s="294">
        <f>'계좌별시나리오'!D26</f>
        <v/>
      </c>
      <c r="D26" s="294">
        <f>'계좌별시나리오'!E26</f>
        <v/>
      </c>
      <c r="E26" s="294">
        <f>'계좌별시나리오'!F26</f>
        <v/>
      </c>
      <c r="F26" s="294">
        <f>'계좌별시나리오'!G26</f>
        <v/>
      </c>
      <c r="G26" s="213">
        <f>INDEX('설정및분류'!$C$6:$C$12,WEEKDAY(A26,2))*'요약'!$B$13</f>
        <v/>
      </c>
      <c r="H26" s="295">
        <f>'계좌별시나리오'!I26</f>
        <v/>
      </c>
      <c r="I26" s="295">
        <f>'계좌별시나리오'!J26</f>
        <v/>
      </c>
      <c r="J26" s="295">
        <f>'계좌별시나리오'!K26</f>
        <v/>
      </c>
      <c r="K26" s="295">
        <f>'계좌별시나리오'!L26</f>
        <v/>
      </c>
      <c r="L26" s="296">
        <f>SUMIFS('경영보고'!$E$114:$E$135,'경영보고'!$A$114:$A$135,$A26,'경영보고'!$C$114:$C$135,"확정입금")</f>
        <v/>
      </c>
      <c r="M26" s="296">
        <f>SUMIFS('경영보고'!$E$16:$E$109,'경영보고'!$A$16:$A$109,$A26,'경영보고'!$I$16:$I$109,"&lt;&gt;보류",'경영보고'!$F$16:$F$109,"계좌송금")</f>
        <v/>
      </c>
      <c r="N26" s="296">
        <f>SUMIFS('경영보고'!$E$16:$E$109,'경영보고'!$A$16:$A$109,$A26,'경영보고'!$I$16:$I$109,"&lt;&gt;보류",'경영보고'!$F$16:$F$109,"법인카드")</f>
        <v/>
      </c>
      <c r="O26" s="296">
        <f>SUMIFS('경영보고'!$E$16:$E$109,'경영보고'!$A$16:$A$109,$A26,'경영보고'!$I$16:$I$109,"&lt;&gt;보류")-M26-N26</f>
        <v/>
      </c>
      <c r="P26" s="195">
        <f>G26+L26-M26-N26-O26</f>
        <v/>
      </c>
      <c r="Q26" s="196">
        <f>R25</f>
        <v/>
      </c>
      <c r="R26" s="195">
        <f>Q26+P26</f>
        <v/>
      </c>
      <c r="S26" s="197" t="n"/>
    </row>
    <row r="27">
      <c r="A27" s="198" t="n">
        <v>46312</v>
      </c>
      <c r="B27" s="199" t="inlineStr">
        <is>
          <t>토</t>
        </is>
      </c>
      <c r="C27" s="294">
        <f>'계좌별시나리오'!D27</f>
        <v/>
      </c>
      <c r="D27" s="294">
        <f>'계좌별시나리오'!E27</f>
        <v/>
      </c>
      <c r="E27" s="294">
        <f>'계좌별시나리오'!F27</f>
        <v/>
      </c>
      <c r="F27" s="294">
        <f>'계좌별시나리오'!G27</f>
        <v/>
      </c>
      <c r="G27" s="213">
        <f>INDEX('설정및분류'!$C$6:$C$12,WEEKDAY(A27,2))*'요약'!$B$13</f>
        <v/>
      </c>
      <c r="H27" s="295">
        <f>'계좌별시나리오'!I27</f>
        <v/>
      </c>
      <c r="I27" s="295">
        <f>'계좌별시나리오'!J27</f>
        <v/>
      </c>
      <c r="J27" s="295">
        <f>'계좌별시나리오'!K27</f>
        <v/>
      </c>
      <c r="K27" s="295">
        <f>'계좌별시나리오'!L27</f>
        <v/>
      </c>
      <c r="L27" s="296">
        <f>SUMIFS('경영보고'!$E$114:$E$135,'경영보고'!$A$114:$A$135,$A27,'경영보고'!$C$114:$C$135,"확정입금")</f>
        <v/>
      </c>
      <c r="M27" s="296">
        <f>SUMIFS('경영보고'!$E$16:$E$109,'경영보고'!$A$16:$A$109,$A27,'경영보고'!$I$16:$I$109,"&lt;&gt;보류",'경영보고'!$F$16:$F$109,"계좌송금")</f>
        <v/>
      </c>
      <c r="N27" s="296">
        <f>SUMIFS('경영보고'!$E$16:$E$109,'경영보고'!$A$16:$A$109,$A27,'경영보고'!$I$16:$I$109,"&lt;&gt;보류",'경영보고'!$F$16:$F$109,"법인카드")</f>
        <v/>
      </c>
      <c r="O27" s="296">
        <f>SUMIFS('경영보고'!$E$16:$E$109,'경영보고'!$A$16:$A$109,$A27,'경영보고'!$I$16:$I$109,"&lt;&gt;보류")-M27-N27</f>
        <v/>
      </c>
      <c r="P27" s="195">
        <f>G27+L27-M27-N27-O27</f>
        <v/>
      </c>
      <c r="Q27" s="196">
        <f>R26</f>
        <v/>
      </c>
      <c r="R27" s="195">
        <f>Q27+P27</f>
        <v/>
      </c>
      <c r="S27" s="197" t="n"/>
    </row>
    <row r="28">
      <c r="A28" s="198" t="n">
        <v>46313</v>
      </c>
      <c r="B28" s="199" t="inlineStr">
        <is>
          <t>일</t>
        </is>
      </c>
      <c r="C28" s="294">
        <f>'계좌별시나리오'!D28</f>
        <v/>
      </c>
      <c r="D28" s="294">
        <f>'계좌별시나리오'!E28</f>
        <v/>
      </c>
      <c r="E28" s="294">
        <f>'계좌별시나리오'!F28</f>
        <v/>
      </c>
      <c r="F28" s="294">
        <f>'계좌별시나리오'!G28</f>
        <v/>
      </c>
      <c r="G28" s="213">
        <f>INDEX('설정및분류'!$C$6:$C$12,WEEKDAY(A28,2))*'요약'!$B$13</f>
        <v/>
      </c>
      <c r="H28" s="295">
        <f>'계좌별시나리오'!I28</f>
        <v/>
      </c>
      <c r="I28" s="295">
        <f>'계좌별시나리오'!J28</f>
        <v/>
      </c>
      <c r="J28" s="295">
        <f>'계좌별시나리오'!K28</f>
        <v/>
      </c>
      <c r="K28" s="295">
        <f>'계좌별시나리오'!L28</f>
        <v/>
      </c>
      <c r="L28" s="296">
        <f>SUMIFS('경영보고'!$E$114:$E$135,'경영보고'!$A$114:$A$135,$A28,'경영보고'!$C$114:$C$135,"확정입금")</f>
        <v/>
      </c>
      <c r="M28" s="296">
        <f>SUMIFS('경영보고'!$E$16:$E$109,'경영보고'!$A$16:$A$109,$A28,'경영보고'!$I$16:$I$109,"&lt;&gt;보류",'경영보고'!$F$16:$F$109,"계좌송금")</f>
        <v/>
      </c>
      <c r="N28" s="296">
        <f>SUMIFS('경영보고'!$E$16:$E$109,'경영보고'!$A$16:$A$109,$A28,'경영보고'!$I$16:$I$109,"&lt;&gt;보류",'경영보고'!$F$16:$F$109,"법인카드")</f>
        <v/>
      </c>
      <c r="O28" s="296">
        <f>SUMIFS('경영보고'!$E$16:$E$109,'경영보고'!$A$16:$A$109,$A28,'경영보고'!$I$16:$I$109,"&lt;&gt;보류")-M28-N28</f>
        <v/>
      </c>
      <c r="P28" s="195">
        <f>G28+L28-M28-N28-O28</f>
        <v/>
      </c>
      <c r="Q28" s="196">
        <f>R27</f>
        <v/>
      </c>
      <c r="R28" s="195">
        <f>Q28+P28</f>
        <v/>
      </c>
      <c r="S28" s="197" t="n"/>
    </row>
    <row r="29">
      <c r="A29" s="189" t="n">
        <v>46314</v>
      </c>
      <c r="B29" s="190" t="inlineStr">
        <is>
          <t>월</t>
        </is>
      </c>
      <c r="C29" s="294">
        <f>'계좌별시나리오'!D29</f>
        <v/>
      </c>
      <c r="D29" s="294">
        <f>'계좌별시나리오'!E29</f>
        <v/>
      </c>
      <c r="E29" s="294">
        <f>'계좌별시나리오'!F29</f>
        <v/>
      </c>
      <c r="F29" s="294">
        <f>'계좌별시나리오'!G29</f>
        <v/>
      </c>
      <c r="G29" s="213">
        <f>INDEX('설정및분류'!$C$6:$C$12,WEEKDAY(A29,2))*'요약'!$B$13</f>
        <v/>
      </c>
      <c r="H29" s="295">
        <f>'계좌별시나리오'!I29</f>
        <v/>
      </c>
      <c r="I29" s="295">
        <f>'계좌별시나리오'!J29</f>
        <v/>
      </c>
      <c r="J29" s="295">
        <f>'계좌별시나리오'!K29</f>
        <v/>
      </c>
      <c r="K29" s="295">
        <f>'계좌별시나리오'!L29</f>
        <v/>
      </c>
      <c r="L29" s="296">
        <f>SUMIFS('경영보고'!$E$114:$E$135,'경영보고'!$A$114:$A$135,$A29,'경영보고'!$C$114:$C$135,"확정입금")</f>
        <v/>
      </c>
      <c r="M29" s="296">
        <f>SUMIFS('경영보고'!$E$16:$E$109,'경영보고'!$A$16:$A$109,$A29,'경영보고'!$I$16:$I$109,"&lt;&gt;보류",'경영보고'!$F$16:$F$109,"계좌송금")</f>
        <v/>
      </c>
      <c r="N29" s="296">
        <f>SUMIFS('경영보고'!$E$16:$E$109,'경영보고'!$A$16:$A$109,$A29,'경영보고'!$I$16:$I$109,"&lt;&gt;보류",'경영보고'!$F$16:$F$109,"법인카드")</f>
        <v/>
      </c>
      <c r="O29" s="296">
        <f>SUMIFS('경영보고'!$E$16:$E$109,'경영보고'!$A$16:$A$109,$A29,'경영보고'!$I$16:$I$109,"&lt;&gt;보류")-M29-N29</f>
        <v/>
      </c>
      <c r="P29" s="195">
        <f>G29+L29-M29-N29-O29</f>
        <v/>
      </c>
      <c r="Q29" s="196">
        <f>R28</f>
        <v/>
      </c>
      <c r="R29" s="195">
        <f>Q29+P29</f>
        <v/>
      </c>
      <c r="S29" s="197" t="n"/>
    </row>
    <row r="30">
      <c r="A30" s="189" t="n">
        <v>46315</v>
      </c>
      <c r="B30" s="190" t="inlineStr">
        <is>
          <t>화</t>
        </is>
      </c>
      <c r="C30" s="294">
        <f>'계좌별시나리오'!D30</f>
        <v/>
      </c>
      <c r="D30" s="294">
        <f>'계좌별시나리오'!E30</f>
        <v/>
      </c>
      <c r="E30" s="294">
        <f>'계좌별시나리오'!F30</f>
        <v/>
      </c>
      <c r="F30" s="294">
        <f>'계좌별시나리오'!G30</f>
        <v/>
      </c>
      <c r="G30" s="213">
        <f>INDEX('설정및분류'!$C$6:$C$12,WEEKDAY(A30,2))*'요약'!$B$13</f>
        <v/>
      </c>
      <c r="H30" s="295">
        <f>'계좌별시나리오'!I30</f>
        <v/>
      </c>
      <c r="I30" s="295">
        <f>'계좌별시나리오'!J30</f>
        <v/>
      </c>
      <c r="J30" s="295">
        <f>'계좌별시나리오'!K30</f>
        <v/>
      </c>
      <c r="K30" s="295">
        <f>'계좌별시나리오'!L30</f>
        <v/>
      </c>
      <c r="L30" s="296">
        <f>SUMIFS('경영보고'!$E$114:$E$135,'경영보고'!$A$114:$A$135,$A30,'경영보고'!$C$114:$C$135,"확정입금")</f>
        <v/>
      </c>
      <c r="M30" s="296">
        <f>SUMIFS('경영보고'!$E$16:$E$109,'경영보고'!$A$16:$A$109,$A30,'경영보고'!$I$16:$I$109,"&lt;&gt;보류",'경영보고'!$F$16:$F$109,"계좌송금")</f>
        <v/>
      </c>
      <c r="N30" s="296">
        <f>SUMIFS('경영보고'!$E$16:$E$109,'경영보고'!$A$16:$A$109,$A30,'경영보고'!$I$16:$I$109,"&lt;&gt;보류",'경영보고'!$F$16:$F$109,"법인카드")</f>
        <v/>
      </c>
      <c r="O30" s="296">
        <f>SUMIFS('경영보고'!$E$16:$E$109,'경영보고'!$A$16:$A$109,$A30,'경영보고'!$I$16:$I$109,"&lt;&gt;보류")-M30-N30</f>
        <v/>
      </c>
      <c r="P30" s="195">
        <f>G30+L30-M30-N30-O30</f>
        <v/>
      </c>
      <c r="Q30" s="196">
        <f>R29</f>
        <v/>
      </c>
      <c r="R30" s="195">
        <f>Q30+P30</f>
        <v/>
      </c>
      <c r="S30" s="197" t="n"/>
    </row>
    <row r="31">
      <c r="A31" s="189" t="n">
        <v>46316</v>
      </c>
      <c r="B31" s="190" t="inlineStr">
        <is>
          <t>수</t>
        </is>
      </c>
      <c r="C31" s="294">
        <f>'계좌별시나리오'!D31</f>
        <v/>
      </c>
      <c r="D31" s="294">
        <f>'계좌별시나리오'!E31</f>
        <v/>
      </c>
      <c r="E31" s="294">
        <f>'계좌별시나리오'!F31</f>
        <v/>
      </c>
      <c r="F31" s="294">
        <f>'계좌별시나리오'!G31</f>
        <v/>
      </c>
      <c r="G31" s="213">
        <f>INDEX('설정및분류'!$C$6:$C$12,WEEKDAY(A31,2))*'요약'!$B$13</f>
        <v/>
      </c>
      <c r="H31" s="295">
        <f>'계좌별시나리오'!I31</f>
        <v/>
      </c>
      <c r="I31" s="295">
        <f>'계좌별시나리오'!J31</f>
        <v/>
      </c>
      <c r="J31" s="295">
        <f>'계좌별시나리오'!K31</f>
        <v/>
      </c>
      <c r="K31" s="295">
        <f>'계좌별시나리오'!L31</f>
        <v/>
      </c>
      <c r="L31" s="296">
        <f>SUMIFS('경영보고'!$E$114:$E$135,'경영보고'!$A$114:$A$135,$A31,'경영보고'!$C$114:$C$135,"확정입금")</f>
        <v/>
      </c>
      <c r="M31" s="296">
        <f>SUMIFS('경영보고'!$E$16:$E$109,'경영보고'!$A$16:$A$109,$A31,'경영보고'!$I$16:$I$109,"&lt;&gt;보류",'경영보고'!$F$16:$F$109,"계좌송금")</f>
        <v/>
      </c>
      <c r="N31" s="296">
        <f>SUMIFS('경영보고'!$E$16:$E$109,'경영보고'!$A$16:$A$109,$A31,'경영보고'!$I$16:$I$109,"&lt;&gt;보류",'경영보고'!$F$16:$F$109,"법인카드")</f>
        <v/>
      </c>
      <c r="O31" s="296">
        <f>SUMIFS('경영보고'!$E$16:$E$109,'경영보고'!$A$16:$A$109,$A31,'경영보고'!$I$16:$I$109,"&lt;&gt;보류")-M31-N31</f>
        <v/>
      </c>
      <c r="P31" s="195">
        <f>G31+L31-M31-N31-O31</f>
        <v/>
      </c>
      <c r="Q31" s="196">
        <f>R30</f>
        <v/>
      </c>
      <c r="R31" s="195">
        <f>Q31+P31</f>
        <v/>
      </c>
      <c r="S31" s="197" t="n"/>
    </row>
    <row r="32">
      <c r="A32" s="189" t="n">
        <v>46317</v>
      </c>
      <c r="B32" s="190" t="inlineStr">
        <is>
          <t>목</t>
        </is>
      </c>
      <c r="C32" s="294">
        <f>'계좌별시나리오'!D32</f>
        <v/>
      </c>
      <c r="D32" s="294">
        <f>'계좌별시나리오'!E32</f>
        <v/>
      </c>
      <c r="E32" s="294">
        <f>'계좌별시나리오'!F32</f>
        <v/>
      </c>
      <c r="F32" s="294">
        <f>'계좌별시나리오'!G32</f>
        <v/>
      </c>
      <c r="G32" s="213">
        <f>INDEX('설정및분류'!$C$6:$C$12,WEEKDAY(A32,2))*'요약'!$B$13</f>
        <v/>
      </c>
      <c r="H32" s="295">
        <f>'계좌별시나리오'!I32</f>
        <v/>
      </c>
      <c r="I32" s="295">
        <f>'계좌별시나리오'!J32</f>
        <v/>
      </c>
      <c r="J32" s="295">
        <f>'계좌별시나리오'!K32</f>
        <v/>
      </c>
      <c r="K32" s="295">
        <f>'계좌별시나리오'!L32</f>
        <v/>
      </c>
      <c r="L32" s="296">
        <f>SUMIFS('경영보고'!$E$114:$E$135,'경영보고'!$A$114:$A$135,$A32,'경영보고'!$C$114:$C$135,"확정입금")</f>
        <v/>
      </c>
      <c r="M32" s="296">
        <f>SUMIFS('경영보고'!$E$16:$E$109,'경영보고'!$A$16:$A$109,$A32,'경영보고'!$I$16:$I$109,"&lt;&gt;보류",'경영보고'!$F$16:$F$109,"계좌송금")</f>
        <v/>
      </c>
      <c r="N32" s="296">
        <f>SUMIFS('경영보고'!$E$16:$E$109,'경영보고'!$A$16:$A$109,$A32,'경영보고'!$I$16:$I$109,"&lt;&gt;보류",'경영보고'!$F$16:$F$109,"법인카드")</f>
        <v/>
      </c>
      <c r="O32" s="296">
        <f>SUMIFS('경영보고'!$E$16:$E$109,'경영보고'!$A$16:$A$109,$A32,'경영보고'!$I$16:$I$109,"&lt;&gt;보류")-M32-N32</f>
        <v/>
      </c>
      <c r="P32" s="195">
        <f>G32+L32-M32-N32-O32</f>
        <v/>
      </c>
      <c r="Q32" s="196">
        <f>R31</f>
        <v/>
      </c>
      <c r="R32" s="195">
        <f>Q32+P32</f>
        <v/>
      </c>
      <c r="S32" s="197" t="n"/>
    </row>
    <row r="33">
      <c r="A33" s="189" t="n">
        <v>46318</v>
      </c>
      <c r="B33" s="190" t="inlineStr">
        <is>
          <t>금</t>
        </is>
      </c>
      <c r="C33" s="294">
        <f>'계좌별시나리오'!D33</f>
        <v/>
      </c>
      <c r="D33" s="294">
        <f>'계좌별시나리오'!E33</f>
        <v/>
      </c>
      <c r="E33" s="294">
        <f>'계좌별시나리오'!F33</f>
        <v/>
      </c>
      <c r="F33" s="294">
        <f>'계좌별시나리오'!G33</f>
        <v/>
      </c>
      <c r="G33" s="213">
        <f>INDEX('설정및분류'!$C$6:$C$12,WEEKDAY(A33,2))*'요약'!$B$13</f>
        <v/>
      </c>
      <c r="H33" s="295">
        <f>'계좌별시나리오'!I33</f>
        <v/>
      </c>
      <c r="I33" s="295">
        <f>'계좌별시나리오'!J33</f>
        <v/>
      </c>
      <c r="J33" s="295">
        <f>'계좌별시나리오'!K33</f>
        <v/>
      </c>
      <c r="K33" s="295">
        <f>'계좌별시나리오'!L33</f>
        <v/>
      </c>
      <c r="L33" s="296">
        <f>SUMIFS('경영보고'!$E$114:$E$135,'경영보고'!$A$114:$A$135,$A33,'경영보고'!$C$114:$C$135,"확정입금")</f>
        <v/>
      </c>
      <c r="M33" s="296">
        <f>SUMIFS('경영보고'!$E$16:$E$109,'경영보고'!$A$16:$A$109,$A33,'경영보고'!$I$16:$I$109,"&lt;&gt;보류",'경영보고'!$F$16:$F$109,"계좌송금")</f>
        <v/>
      </c>
      <c r="N33" s="296">
        <f>SUMIFS('경영보고'!$E$16:$E$109,'경영보고'!$A$16:$A$109,$A33,'경영보고'!$I$16:$I$109,"&lt;&gt;보류",'경영보고'!$F$16:$F$109,"법인카드")</f>
        <v/>
      </c>
      <c r="O33" s="296">
        <f>SUMIFS('경영보고'!$E$16:$E$109,'경영보고'!$A$16:$A$109,$A33,'경영보고'!$I$16:$I$109,"&lt;&gt;보류")-M33-N33</f>
        <v/>
      </c>
      <c r="P33" s="195">
        <f>G33+L33-M33-N33-O33</f>
        <v/>
      </c>
      <c r="Q33" s="196">
        <f>R32</f>
        <v/>
      </c>
      <c r="R33" s="195">
        <f>Q33+P33</f>
        <v/>
      </c>
      <c r="S33" s="197" t="inlineStr">
        <is>
          <t>위버 1,675,000</t>
        </is>
      </c>
    </row>
    <row r="34">
      <c r="A34" s="198" t="n">
        <v>46319</v>
      </c>
      <c r="B34" s="199" t="inlineStr">
        <is>
          <t>토</t>
        </is>
      </c>
      <c r="C34" s="294">
        <f>'계좌별시나리오'!D34</f>
        <v/>
      </c>
      <c r="D34" s="294">
        <f>'계좌별시나리오'!E34</f>
        <v/>
      </c>
      <c r="E34" s="294">
        <f>'계좌별시나리오'!F34</f>
        <v/>
      </c>
      <c r="F34" s="294">
        <f>'계좌별시나리오'!G34</f>
        <v/>
      </c>
      <c r="G34" s="213">
        <f>INDEX('설정및분류'!$C$6:$C$12,WEEKDAY(A34,2))*'요약'!$B$13</f>
        <v/>
      </c>
      <c r="H34" s="295">
        <f>'계좌별시나리오'!I34</f>
        <v/>
      </c>
      <c r="I34" s="295">
        <f>'계좌별시나리오'!J34</f>
        <v/>
      </c>
      <c r="J34" s="295">
        <f>'계좌별시나리오'!K34</f>
        <v/>
      </c>
      <c r="K34" s="295">
        <f>'계좌별시나리오'!L34</f>
        <v/>
      </c>
      <c r="L34" s="296">
        <f>SUMIFS('경영보고'!$E$114:$E$135,'경영보고'!$A$114:$A$135,$A34,'경영보고'!$C$114:$C$135,"확정입금")</f>
        <v/>
      </c>
      <c r="M34" s="296">
        <f>SUMIFS('경영보고'!$E$16:$E$109,'경영보고'!$A$16:$A$109,$A34,'경영보고'!$I$16:$I$109,"&lt;&gt;보류",'경영보고'!$F$16:$F$109,"계좌송금")</f>
        <v/>
      </c>
      <c r="N34" s="296">
        <f>SUMIFS('경영보고'!$E$16:$E$109,'경영보고'!$A$16:$A$109,$A34,'경영보고'!$I$16:$I$109,"&lt;&gt;보류",'경영보고'!$F$16:$F$109,"법인카드")</f>
        <v/>
      </c>
      <c r="O34" s="296">
        <f>SUMIFS('경영보고'!$E$16:$E$109,'경영보고'!$A$16:$A$109,$A34,'경영보고'!$I$16:$I$109,"&lt;&gt;보류")-M34-N34</f>
        <v/>
      </c>
      <c r="P34" s="195">
        <f>G34+L34-M34-N34-O34</f>
        <v/>
      </c>
      <c r="Q34" s="196">
        <f>R33</f>
        <v/>
      </c>
      <c r="R34" s="195">
        <f>Q34+P34</f>
        <v/>
      </c>
      <c r="S34" s="197" t="n"/>
    </row>
    <row r="35">
      <c r="A35" s="198" t="n">
        <v>46320</v>
      </c>
      <c r="B35" s="199" t="inlineStr">
        <is>
          <t>일</t>
        </is>
      </c>
      <c r="C35" s="294">
        <f>'계좌별시나리오'!D35</f>
        <v/>
      </c>
      <c r="D35" s="294">
        <f>'계좌별시나리오'!E35</f>
        <v/>
      </c>
      <c r="E35" s="294">
        <f>'계좌별시나리오'!F35</f>
        <v/>
      </c>
      <c r="F35" s="294">
        <f>'계좌별시나리오'!G35</f>
        <v/>
      </c>
      <c r="G35" s="213">
        <f>INDEX('설정및분류'!$C$6:$C$12,WEEKDAY(A35,2))*'요약'!$B$13</f>
        <v/>
      </c>
      <c r="H35" s="295">
        <f>'계좌별시나리오'!I35</f>
        <v/>
      </c>
      <c r="I35" s="295">
        <f>'계좌별시나리오'!J35</f>
        <v/>
      </c>
      <c r="J35" s="295">
        <f>'계좌별시나리오'!K35</f>
        <v/>
      </c>
      <c r="K35" s="295">
        <f>'계좌별시나리오'!L35</f>
        <v/>
      </c>
      <c r="L35" s="296">
        <f>SUMIFS('경영보고'!$E$114:$E$135,'경영보고'!$A$114:$A$135,$A35,'경영보고'!$C$114:$C$135,"확정입금")</f>
        <v/>
      </c>
      <c r="M35" s="296">
        <f>SUMIFS('경영보고'!$E$16:$E$109,'경영보고'!$A$16:$A$109,$A35,'경영보고'!$I$16:$I$109,"&lt;&gt;보류",'경영보고'!$F$16:$F$109,"계좌송금")</f>
        <v/>
      </c>
      <c r="N35" s="296">
        <f>SUMIFS('경영보고'!$E$16:$E$109,'경영보고'!$A$16:$A$109,$A35,'경영보고'!$I$16:$I$109,"&lt;&gt;보류",'경영보고'!$F$16:$F$109,"법인카드")</f>
        <v/>
      </c>
      <c r="O35" s="296">
        <f>SUMIFS('경영보고'!$E$16:$E$109,'경영보고'!$A$16:$A$109,$A35,'경영보고'!$I$16:$I$109,"&lt;&gt;보류")-M35-N35</f>
        <v/>
      </c>
      <c r="P35" s="195">
        <f>G35+L35-M35-N35-O35</f>
        <v/>
      </c>
      <c r="Q35" s="196">
        <f>R34</f>
        <v/>
      </c>
      <c r="R35" s="195">
        <f>Q35+P35</f>
        <v/>
      </c>
      <c r="S35" s="197" t="n"/>
    </row>
  </sheetData>
  <mergeCells count="2">
    <mergeCell ref="H4:K4"/>
    <mergeCell ref="C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S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3" customWidth="1" min="8" max="8"/>
    <col width="14" customWidth="1" min="9" max="9"/>
    <col width="14" customWidth="1" min="10" max="10"/>
    <col width="14" customWidth="1" min="11" max="11"/>
    <col width="14" customWidth="1" min="12" max="12"/>
    <col width="13" customWidth="1" min="13" max="13"/>
    <col width="12" customWidth="1" min="14" max="14"/>
    <col width="12" customWidth="1" min="15" max="15"/>
    <col width="22" customWidth="1" min="16" max="16"/>
    <col hidden="1" width="13" customWidth="1" min="17" max="17"/>
    <col hidden="1" width="13" customWidth="1" min="18" max="18"/>
    <col hidden="1" width="13" customWidth="1" min="19" max="19"/>
  </cols>
  <sheetData>
    <row r="2">
      <c r="A2" s="139" t="inlineStr">
        <is>
          <t>계좌별 일별 잔액 시나리오 (자동 반영)</t>
        </is>
      </c>
    </row>
    <row r="3">
      <c r="A3" s="140"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154577 34% · 국민 169124 20%</t>
        </is>
      </c>
    </row>
    <row r="4">
      <c r="A4" s="178" t="inlineStr">
        <is>
          <t>일자</t>
        </is>
      </c>
      <c r="B4" s="178" t="inlineStr">
        <is>
          <t>요일</t>
        </is>
      </c>
      <c r="C4" s="174" t="inlineStr">
        <is>
          <t>① 잔액 (총잔액 · 계좌별)</t>
        </is>
      </c>
      <c r="D4" s="175" t="n"/>
      <c r="E4" s="175" t="n"/>
      <c r="F4" s="175" t="n"/>
      <c r="G4" s="176" t="n"/>
      <c r="H4" s="177" t="inlineStr">
        <is>
          <t>② 오늘 들어오는 돈 — 예상입금 배분</t>
        </is>
      </c>
      <c r="I4" s="175" t="n"/>
      <c r="J4" s="175" t="n"/>
      <c r="K4" s="175" t="n"/>
      <c r="L4" s="176" t="n"/>
      <c r="M4" s="224" t="inlineStr">
        <is>
          <t>③ 지출</t>
        </is>
      </c>
      <c r="N4" s="225" t="inlineStr">
        <is>
          <t>④ 부족분 이체</t>
        </is>
      </c>
      <c r="O4" s="176" t="n"/>
      <c r="P4" s="226" t="inlineStr">
        <is>
          <t>비고</t>
        </is>
      </c>
    </row>
    <row r="5">
      <c r="A5" s="227" t="n"/>
      <c r="B5" s="227" t="n"/>
      <c r="C5" s="178" t="inlineStr">
        <is>
          <t>총잔액</t>
        </is>
      </c>
      <c r="D5" s="178" t="inlineStr">
        <is>
          <t>우리 220351</t>
        </is>
      </c>
      <c r="E5" s="178" t="inlineStr">
        <is>
          <t>농협 569003</t>
        </is>
      </c>
      <c r="F5" s="178" t="inlineStr">
        <is>
          <t>국민 154577</t>
        </is>
      </c>
      <c r="G5" s="178" t="inlineStr">
        <is>
          <t>국민 169124</t>
        </is>
      </c>
      <c r="H5" s="179" t="inlineStr">
        <is>
          <t>합계</t>
        </is>
      </c>
      <c r="I5" s="179" t="inlineStr">
        <is>
          <t>우리 220351</t>
        </is>
      </c>
      <c r="J5" s="179" t="inlineStr">
        <is>
          <t>농협 569003</t>
        </is>
      </c>
      <c r="K5" s="179" t="inlineStr">
        <is>
          <t>국민 154577</t>
        </is>
      </c>
      <c r="L5" s="179" t="inlineStr">
        <is>
          <t>국민 169124</t>
        </is>
      </c>
      <c r="M5" s="228" t="inlineStr">
        <is>
          <t>우리은행 집행</t>
        </is>
      </c>
      <c r="N5" s="229" t="inlineStr">
        <is>
          <t>농협→우리</t>
        </is>
      </c>
      <c r="O5" s="229" t="inlineStr">
        <is>
          <t>국민→우리</t>
        </is>
      </c>
      <c r="P5" s="227" t="n"/>
    </row>
    <row r="6">
      <c r="A6" s="230" t="n">
        <v>46298</v>
      </c>
      <c r="B6" s="231" t="inlineStr">
        <is>
          <t>토</t>
        </is>
      </c>
      <c r="C6" s="292">
        <f>SUM(D6:G6)</f>
        <v/>
      </c>
      <c r="D6" s="292" t="n">
        <v>686315</v>
      </c>
      <c r="E6" s="292" t="n">
        <v>210724</v>
      </c>
      <c r="F6" s="292" t="n">
        <v>40946401</v>
      </c>
      <c r="G6" s="292" t="n">
        <v>30687200</v>
      </c>
      <c r="H6" s="223" t="n"/>
      <c r="I6" s="223" t="n"/>
      <c r="J6" s="223" t="n"/>
      <c r="K6" s="223" t="n"/>
      <c r="L6" s="223" t="n"/>
      <c r="M6" s="223" t="n"/>
      <c r="N6" s="223" t="n"/>
      <c r="O6" s="223" t="n"/>
      <c r="P6" s="232" t="inlineStr">
        <is>
          <t>전일 마감 실잔고 — 여기서 출발</t>
        </is>
      </c>
    </row>
    <row r="7">
      <c r="A7" s="233" t="n">
        <v>46299</v>
      </c>
      <c r="B7" s="234" t="inlineStr">
        <is>
          <t>일</t>
        </is>
      </c>
      <c r="C7" s="292">
        <f>SUM(D7:G7)</f>
        <v/>
      </c>
      <c r="D7" s="294" t="n">
        <v>686315</v>
      </c>
      <c r="E7" s="294" t="n">
        <v>210724</v>
      </c>
      <c r="F7" s="294" t="n">
        <v>40946401</v>
      </c>
      <c r="G7" s="294" t="n">
        <v>30687200</v>
      </c>
      <c r="H7" s="223" t="n"/>
      <c r="I7" s="223" t="n"/>
      <c r="J7" s="223" t="n"/>
      <c r="K7" s="223" t="n"/>
      <c r="L7" s="223" t="n"/>
      <c r="M7" s="223" t="n"/>
      <c r="N7" s="223" t="n"/>
      <c r="O7" s="223" t="n"/>
      <c r="P7" s="235" t="inlineStr">
        <is>
          <t>오늘 실잔고(은행 확인) — 참고</t>
        </is>
      </c>
    </row>
    <row r="8" hidden="1">
      <c r="A8" s="236" t="n">
        <v>46293</v>
      </c>
      <c r="B8" s="223" t="inlineStr">
        <is>
          <t>월</t>
        </is>
      </c>
      <c r="C8" s="237" t="n"/>
      <c r="D8" s="223" t="n"/>
      <c r="E8" s="223" t="n"/>
      <c r="F8" s="223" t="n"/>
      <c r="G8" s="223" t="n"/>
      <c r="H8" s="238" t="n"/>
      <c r="I8" s="238" t="n"/>
      <c r="J8" s="238" t="n"/>
      <c r="K8" s="238" t="n"/>
      <c r="L8" s="238" t="n"/>
      <c r="M8" s="239" t="n"/>
      <c r="N8" s="240" t="n"/>
      <c r="O8" s="240" t="n"/>
      <c r="P8" s="235" t="inlineStr">
        <is>
          <t>실적 구간</t>
        </is>
      </c>
    </row>
    <row r="9" hidden="1">
      <c r="A9" s="236" t="n">
        <v>46294</v>
      </c>
      <c r="B9" s="223" t="inlineStr">
        <is>
          <t>화</t>
        </is>
      </c>
      <c r="C9" s="237" t="n"/>
      <c r="D9" s="223" t="n"/>
      <c r="E9" s="223" t="n"/>
      <c r="F9" s="223" t="n"/>
      <c r="G9" s="223" t="n"/>
      <c r="H9" s="238" t="n"/>
      <c r="I9" s="238" t="n"/>
      <c r="J9" s="238" t="n"/>
      <c r="K9" s="238" t="n"/>
      <c r="L9" s="238" t="n"/>
      <c r="M9" s="239" t="n"/>
      <c r="N9" s="240" t="n"/>
      <c r="O9" s="240" t="n"/>
      <c r="P9" s="235" t="inlineStr">
        <is>
          <t>실적 구간</t>
        </is>
      </c>
    </row>
    <row r="10" hidden="1">
      <c r="A10" s="236" t="n">
        <v>46295</v>
      </c>
      <c r="B10" s="223" t="inlineStr">
        <is>
          <t>수</t>
        </is>
      </c>
      <c r="C10" s="237" t="n"/>
      <c r="D10" s="223" t="n"/>
      <c r="E10" s="223" t="n"/>
      <c r="F10" s="223" t="n"/>
      <c r="G10" s="223" t="n"/>
      <c r="H10" s="238" t="n"/>
      <c r="I10" s="238" t="n"/>
      <c r="J10" s="238" t="n"/>
      <c r="K10" s="238" t="n"/>
      <c r="L10" s="238" t="n"/>
      <c r="M10" s="239" t="n"/>
      <c r="N10" s="240" t="n"/>
      <c r="O10" s="240" t="n"/>
      <c r="P10" s="235" t="inlineStr">
        <is>
          <t>실적 구간</t>
        </is>
      </c>
    </row>
    <row r="11" hidden="1">
      <c r="A11" s="236" t="n">
        <v>46296</v>
      </c>
      <c r="B11" s="223" t="inlineStr">
        <is>
          <t>목</t>
        </is>
      </c>
      <c r="C11" s="237" t="n"/>
      <c r="D11" s="223" t="n"/>
      <c r="E11" s="223" t="n"/>
      <c r="F11" s="223" t="n"/>
      <c r="G11" s="223" t="n"/>
      <c r="H11" s="238" t="n"/>
      <c r="I11" s="238" t="n"/>
      <c r="J11" s="238" t="n"/>
      <c r="K11" s="238" t="n"/>
      <c r="L11" s="238" t="n"/>
      <c r="M11" s="239" t="n"/>
      <c r="N11" s="240" t="n"/>
      <c r="O11" s="240" t="n"/>
      <c r="P11" s="235" t="inlineStr">
        <is>
          <t>실적 구간</t>
        </is>
      </c>
    </row>
    <row r="12" hidden="1">
      <c r="A12" s="236" t="n">
        <v>46297</v>
      </c>
      <c r="B12" s="223" t="inlineStr">
        <is>
          <t>금</t>
        </is>
      </c>
      <c r="C12" s="292" t="n">
        <v>72530640</v>
      </c>
      <c r="D12" s="303" t="n">
        <v>686315</v>
      </c>
      <c r="E12" s="303" t="n">
        <v>210724</v>
      </c>
      <c r="F12" s="303" t="n">
        <v>40946401</v>
      </c>
      <c r="G12" s="303" t="n">
        <v>30687200</v>
      </c>
      <c r="H12" s="238" t="n"/>
      <c r="I12" s="238" t="n"/>
      <c r="J12" s="238" t="n"/>
      <c r="K12" s="238" t="n"/>
      <c r="L12" s="238" t="n"/>
      <c r="M12" s="239" t="n"/>
      <c r="N12" s="240" t="n"/>
      <c r="O12" s="240" t="n"/>
      <c r="P12" s="235" t="inlineStr">
        <is>
          <t>실적 구간</t>
        </is>
      </c>
    </row>
    <row r="13">
      <c r="A13" s="198" t="n">
        <v>46298</v>
      </c>
      <c r="B13" s="199" t="inlineStr">
        <is>
          <t>토</t>
        </is>
      </c>
      <c r="C13" s="292">
        <f>SUM(D13:G13)</f>
        <v/>
      </c>
      <c r="D13" s="303">
        <f>D12+I13-M13+Q13+R13+S13</f>
        <v/>
      </c>
      <c r="E13" s="303">
        <f>E12+J13-Q13</f>
        <v/>
      </c>
      <c r="F13" s="303">
        <f>F12+K13-R13</f>
        <v/>
      </c>
      <c r="G13" s="303">
        <f>G12+L13-S13</f>
        <v/>
      </c>
      <c r="H13" s="295">
        <f>'4주일별계획'!G13+'4주일별계획'!L13</f>
        <v/>
      </c>
      <c r="I13" s="295">
        <f>H13*0.440226</f>
        <v/>
      </c>
      <c r="J13" s="295">
        <f>H13*0.019948</f>
        <v/>
      </c>
      <c r="K13" s="295">
        <f>H13*0.337410</f>
        <v/>
      </c>
      <c r="L13" s="295">
        <f>H13*0.202416</f>
        <v/>
      </c>
      <c r="M13" s="304">
        <f>'4주일별계획'!M13+'4주일별계획'!N13+'4주일별계획'!O13</f>
        <v/>
      </c>
      <c r="N13" s="305">
        <f>Q13</f>
        <v/>
      </c>
      <c r="O13" s="305">
        <f>R13+S13</f>
        <v/>
      </c>
      <c r="P13" s="244">
        <f>IF(D13&lt;-0.5,"전 계좌 소진 — 부족 "&amp;TEXT(-D13,"#,##0")&amp;"원","")</f>
        <v/>
      </c>
      <c r="Q13" s="306">
        <f>MIN(MAX(0,E12+J13),MAX(0,M13-D12-I13))</f>
        <v/>
      </c>
      <c r="R13" s="306">
        <f>MIN(MAX(0,F12+K13),MAX(0,M13-D12-I13)-Q13)</f>
        <v/>
      </c>
      <c r="S13" s="306">
        <f>MIN(MAX(0,G12+L13),MAX(0,M13-D12-I13)-Q13-R13)</f>
        <v/>
      </c>
    </row>
    <row r="14">
      <c r="A14" s="198" t="n">
        <v>46299</v>
      </c>
      <c r="B14" s="199" t="inlineStr">
        <is>
          <t>일</t>
        </is>
      </c>
      <c r="C14" s="292">
        <f>SUM(D14:G14)</f>
        <v/>
      </c>
      <c r="D14" s="303">
        <f>D13+I14-M14+Q14+R14+S14</f>
        <v/>
      </c>
      <c r="E14" s="303">
        <f>E13+J14-Q14</f>
        <v/>
      </c>
      <c r="F14" s="303">
        <f>F13+K14-R14</f>
        <v/>
      </c>
      <c r="G14" s="303">
        <f>G13+L14-S14</f>
        <v/>
      </c>
      <c r="H14" s="295">
        <f>'4주일별계획'!G14+'4주일별계획'!L14</f>
        <v/>
      </c>
      <c r="I14" s="295">
        <f>H14*0.440226</f>
        <v/>
      </c>
      <c r="J14" s="295">
        <f>H14*0.019948</f>
        <v/>
      </c>
      <c r="K14" s="295">
        <f>H14*0.337410</f>
        <v/>
      </c>
      <c r="L14" s="295">
        <f>H14*0.202416</f>
        <v/>
      </c>
      <c r="M14" s="304">
        <f>'4주일별계획'!M14+'4주일별계획'!N14+'4주일별계획'!O14</f>
        <v/>
      </c>
      <c r="N14" s="305">
        <f>Q14</f>
        <v/>
      </c>
      <c r="O14" s="305">
        <f>R14+S14</f>
        <v/>
      </c>
      <c r="P14" s="244">
        <f>IF(D14&lt;-0.5,"전 계좌 소진 — 부족 "&amp;TEXT(-D14,"#,##0")&amp;"원","")</f>
        <v/>
      </c>
      <c r="Q14" s="306">
        <f>MIN(MAX(0,E13+J14),MAX(0,M14-D13-I14))</f>
        <v/>
      </c>
      <c r="R14" s="306">
        <f>MIN(MAX(0,F13+K14),MAX(0,M14-D13-I14)-Q14)</f>
        <v/>
      </c>
      <c r="S14" s="306">
        <f>MIN(MAX(0,G13+L14),MAX(0,M14-D13-I14)-Q14-R14)</f>
        <v/>
      </c>
    </row>
    <row r="15">
      <c r="A15" s="198" t="n">
        <v>46300</v>
      </c>
      <c r="B15" s="199" t="inlineStr">
        <is>
          <t>월</t>
        </is>
      </c>
      <c r="C15" s="292">
        <f>SUM(D15:G15)</f>
        <v/>
      </c>
      <c r="D15" s="303">
        <f>D14+I15-M15+Q15+R15+S15</f>
        <v/>
      </c>
      <c r="E15" s="303">
        <f>E14+J15-Q15</f>
        <v/>
      </c>
      <c r="F15" s="303">
        <f>F14+K15-R15</f>
        <v/>
      </c>
      <c r="G15" s="303">
        <f>G14+L15-S15</f>
        <v/>
      </c>
      <c r="H15" s="295">
        <f>'4주일별계획'!G15+'4주일별계획'!L15</f>
        <v/>
      </c>
      <c r="I15" s="295">
        <f>H15*0.440226</f>
        <v/>
      </c>
      <c r="J15" s="295">
        <f>H15*0.019948</f>
        <v/>
      </c>
      <c r="K15" s="295">
        <f>H15*0.337410</f>
        <v/>
      </c>
      <c r="L15" s="295">
        <f>H15*0.202416</f>
        <v/>
      </c>
      <c r="M15" s="304">
        <f>'4주일별계획'!M15+'4주일별계획'!N15+'4주일별계획'!O15</f>
        <v/>
      </c>
      <c r="N15" s="305">
        <f>Q15</f>
        <v/>
      </c>
      <c r="O15" s="305">
        <f>R15+S15</f>
        <v/>
      </c>
      <c r="P15" s="244">
        <f>IF(D15&lt;-0.5,"전 계좌 소진 — 부족 "&amp;TEXT(-D15,"#,##0")&amp;"원","")</f>
        <v/>
      </c>
      <c r="Q15" s="306">
        <f>MIN(MAX(0,E14+J15),MAX(0,M15-D14-I15))</f>
        <v/>
      </c>
      <c r="R15" s="306">
        <f>MIN(MAX(0,F14+K15),MAX(0,M15-D14-I15)-Q15)</f>
        <v/>
      </c>
      <c r="S15" s="306">
        <f>MIN(MAX(0,G14+L15),MAX(0,M15-D14-I15)-Q15-R15)</f>
        <v/>
      </c>
    </row>
    <row r="16">
      <c r="A16" s="236" t="n">
        <v>46301</v>
      </c>
      <c r="B16" s="223" t="inlineStr">
        <is>
          <t>화</t>
        </is>
      </c>
      <c r="C16" s="292">
        <f>SUM(D16:G16)</f>
        <v/>
      </c>
      <c r="D16" s="303">
        <f>D15+I16-M16+Q16+R16+S16</f>
        <v/>
      </c>
      <c r="E16" s="303">
        <f>E15+J16-Q16</f>
        <v/>
      </c>
      <c r="F16" s="303">
        <f>F15+K16-R16</f>
        <v/>
      </c>
      <c r="G16" s="303">
        <f>G15+L16-S16</f>
        <v/>
      </c>
      <c r="H16" s="295">
        <f>'4주일별계획'!G16+'4주일별계획'!L16</f>
        <v/>
      </c>
      <c r="I16" s="295">
        <f>H16*0.440226</f>
        <v/>
      </c>
      <c r="J16" s="295">
        <f>H16*0.019948</f>
        <v/>
      </c>
      <c r="K16" s="295">
        <f>H16*0.337410</f>
        <v/>
      </c>
      <c r="L16" s="295">
        <f>H16*0.202416</f>
        <v/>
      </c>
      <c r="M16" s="304">
        <f>'4주일별계획'!M16+'4주일별계획'!N16+'4주일별계획'!O16</f>
        <v/>
      </c>
      <c r="N16" s="305">
        <f>Q16</f>
        <v/>
      </c>
      <c r="O16" s="305">
        <f>R16+S16</f>
        <v/>
      </c>
      <c r="P16" s="244">
        <f>IF(D16&lt;-0.5,"전 계좌 소진 — 부족 "&amp;TEXT(-D16,"#,##0")&amp;"원","")</f>
        <v/>
      </c>
      <c r="Q16" s="306">
        <f>MIN(MAX(0,E15+J16),MAX(0,M16-D15-I16))</f>
        <v/>
      </c>
      <c r="R16" s="306">
        <f>MIN(MAX(0,F15+K16),MAX(0,M16-D15-I16)-Q16)</f>
        <v/>
      </c>
      <c r="S16" s="306">
        <f>MIN(MAX(0,G15+L16),MAX(0,M16-D15-I16)-Q16-R16)</f>
        <v/>
      </c>
    </row>
    <row r="17">
      <c r="A17" s="236" t="n">
        <v>46302</v>
      </c>
      <c r="B17" s="223" t="inlineStr">
        <is>
          <t>수</t>
        </is>
      </c>
      <c r="C17" s="292">
        <f>SUM(D17:G17)</f>
        <v/>
      </c>
      <c r="D17" s="303">
        <f>D16+I17-M17+Q17+R17+S17</f>
        <v/>
      </c>
      <c r="E17" s="303">
        <f>E16+J17-Q17</f>
        <v/>
      </c>
      <c r="F17" s="303">
        <f>F16+K17-R17</f>
        <v/>
      </c>
      <c r="G17" s="303">
        <f>G16+L17-S17</f>
        <v/>
      </c>
      <c r="H17" s="295">
        <f>'4주일별계획'!G17+'4주일별계획'!L17</f>
        <v/>
      </c>
      <c r="I17" s="295">
        <f>H17*0.440226</f>
        <v/>
      </c>
      <c r="J17" s="295">
        <f>H17*0.019948</f>
        <v/>
      </c>
      <c r="K17" s="295">
        <f>H17*0.337410</f>
        <v/>
      </c>
      <c r="L17" s="295">
        <f>H17*0.202416</f>
        <v/>
      </c>
      <c r="M17" s="304">
        <f>'4주일별계획'!M17+'4주일별계획'!N17+'4주일별계획'!O17</f>
        <v/>
      </c>
      <c r="N17" s="305">
        <f>Q17</f>
        <v/>
      </c>
      <c r="O17" s="305">
        <f>R17+S17</f>
        <v/>
      </c>
      <c r="P17" s="244">
        <f>IF(D17&lt;-0.5,"전 계좌 소진 — 부족 "&amp;TEXT(-D17,"#,##0")&amp;"원","")</f>
        <v/>
      </c>
      <c r="Q17" s="306">
        <f>MIN(MAX(0,E16+J17),MAX(0,M17-D16-I17))</f>
        <v/>
      </c>
      <c r="R17" s="306">
        <f>MIN(MAX(0,F16+K17),MAX(0,M17-D16-I17)-Q17)</f>
        <v/>
      </c>
      <c r="S17" s="306">
        <f>MIN(MAX(0,G16+L17),MAX(0,M17-D16-I17)-Q17-R17)</f>
        <v/>
      </c>
    </row>
    <row r="18">
      <c r="A18" s="236" t="n">
        <v>46303</v>
      </c>
      <c r="B18" s="223" t="inlineStr">
        <is>
          <t>목</t>
        </is>
      </c>
      <c r="C18" s="292">
        <f>SUM(D18:G18)</f>
        <v/>
      </c>
      <c r="D18" s="303">
        <f>D17+I18-M18+Q18+R18+S18</f>
        <v/>
      </c>
      <c r="E18" s="303">
        <f>E17+J18-Q18</f>
        <v/>
      </c>
      <c r="F18" s="303">
        <f>F17+K18-R18</f>
        <v/>
      </c>
      <c r="G18" s="303">
        <f>G17+L18-S18</f>
        <v/>
      </c>
      <c r="H18" s="295">
        <f>'4주일별계획'!G18+'4주일별계획'!L18</f>
        <v/>
      </c>
      <c r="I18" s="295">
        <f>H18*0.440226</f>
        <v/>
      </c>
      <c r="J18" s="295">
        <f>H18*0.019948</f>
        <v/>
      </c>
      <c r="K18" s="295">
        <f>H18*0.337410</f>
        <v/>
      </c>
      <c r="L18" s="295">
        <f>H18*0.202416</f>
        <v/>
      </c>
      <c r="M18" s="304">
        <f>'4주일별계획'!M18+'4주일별계획'!N18+'4주일별계획'!O18</f>
        <v/>
      </c>
      <c r="N18" s="305">
        <f>Q18</f>
        <v/>
      </c>
      <c r="O18" s="305">
        <f>R18+S18</f>
        <v/>
      </c>
      <c r="P18" s="244">
        <f>IF(D18&lt;-0.5,"전 계좌 소진 — 부족 "&amp;TEXT(-D18,"#,##0")&amp;"원","")</f>
        <v/>
      </c>
      <c r="Q18" s="306">
        <f>MIN(MAX(0,E17+J18),MAX(0,M18-D17-I18))</f>
        <v/>
      </c>
      <c r="R18" s="306">
        <f>MIN(MAX(0,F17+K18),MAX(0,M18-D17-I18)-Q18)</f>
        <v/>
      </c>
      <c r="S18" s="306">
        <f>MIN(MAX(0,G17+L18),MAX(0,M18-D17-I18)-Q18-R18)</f>
        <v/>
      </c>
    </row>
    <row r="19">
      <c r="A19" s="198" t="n">
        <v>46304</v>
      </c>
      <c r="B19" s="199" t="inlineStr">
        <is>
          <t>금</t>
        </is>
      </c>
      <c r="C19" s="292">
        <f>SUM(D19:G19)</f>
        <v/>
      </c>
      <c r="D19" s="303">
        <f>D18+I19-M19+Q19+R19+S19</f>
        <v/>
      </c>
      <c r="E19" s="303">
        <f>E18+J19-Q19</f>
        <v/>
      </c>
      <c r="F19" s="303">
        <f>F18+K19-R19</f>
        <v/>
      </c>
      <c r="G19" s="303">
        <f>G18+L19-S19</f>
        <v/>
      </c>
      <c r="H19" s="295">
        <f>'4주일별계획'!G19+'4주일별계획'!L19</f>
        <v/>
      </c>
      <c r="I19" s="295">
        <f>H19*0.440226</f>
        <v/>
      </c>
      <c r="J19" s="295">
        <f>H19*0.019948</f>
        <v/>
      </c>
      <c r="K19" s="295">
        <f>H19*0.337410</f>
        <v/>
      </c>
      <c r="L19" s="295">
        <f>H19*0.202416</f>
        <v/>
      </c>
      <c r="M19" s="304">
        <f>'4주일별계획'!M19+'4주일별계획'!N19+'4주일별계획'!O19</f>
        <v/>
      </c>
      <c r="N19" s="305">
        <f>Q19</f>
        <v/>
      </c>
      <c r="O19" s="305">
        <f>R19+S19</f>
        <v/>
      </c>
      <c r="P19" s="244">
        <f>IF(D19&lt;-0.5,"전 계좌 소진 — 부족 "&amp;TEXT(-D19,"#,##0")&amp;"원","")</f>
        <v/>
      </c>
      <c r="Q19" s="306">
        <f>MIN(MAX(0,E18+J19),MAX(0,M19-D18-I19))</f>
        <v/>
      </c>
      <c r="R19" s="306">
        <f>MIN(MAX(0,F18+K19),MAX(0,M19-D18-I19)-Q19)</f>
        <v/>
      </c>
      <c r="S19" s="306">
        <f>MIN(MAX(0,G18+L19),MAX(0,M19-D18-I19)-Q19-R19)</f>
        <v/>
      </c>
    </row>
    <row r="20">
      <c r="A20" s="198" t="n">
        <v>46305</v>
      </c>
      <c r="B20" s="199" t="inlineStr">
        <is>
          <t>토</t>
        </is>
      </c>
      <c r="C20" s="292">
        <f>SUM(D20:G20)</f>
        <v/>
      </c>
      <c r="D20" s="303">
        <f>D19+I20-M20+Q20+R20+S20</f>
        <v/>
      </c>
      <c r="E20" s="303">
        <f>E19+J20-Q20</f>
        <v/>
      </c>
      <c r="F20" s="303">
        <f>F19+K20-R20</f>
        <v/>
      </c>
      <c r="G20" s="303">
        <f>G19+L20-S20</f>
        <v/>
      </c>
      <c r="H20" s="295">
        <f>'4주일별계획'!G20+'4주일별계획'!L20</f>
        <v/>
      </c>
      <c r="I20" s="295">
        <f>H20*0.440226</f>
        <v/>
      </c>
      <c r="J20" s="295">
        <f>H20*0.019948</f>
        <v/>
      </c>
      <c r="K20" s="295">
        <f>H20*0.337410</f>
        <v/>
      </c>
      <c r="L20" s="295">
        <f>H20*0.202416</f>
        <v/>
      </c>
      <c r="M20" s="304">
        <f>'4주일별계획'!M20+'4주일별계획'!N20+'4주일별계획'!O20</f>
        <v/>
      </c>
      <c r="N20" s="305">
        <f>Q20</f>
        <v/>
      </c>
      <c r="O20" s="305">
        <f>R20+S20</f>
        <v/>
      </c>
      <c r="P20" s="244">
        <f>IF(D20&lt;-0.5,"전 계좌 소진 — 부족 "&amp;TEXT(-D20,"#,##0")&amp;"원","")</f>
        <v/>
      </c>
      <c r="Q20" s="306">
        <f>MIN(MAX(0,E19+J20),MAX(0,M20-D19-I20))</f>
        <v/>
      </c>
      <c r="R20" s="306">
        <f>MIN(MAX(0,F19+K20),MAX(0,M20-D19-I20)-Q20)</f>
        <v/>
      </c>
      <c r="S20" s="306">
        <f>MIN(MAX(0,G19+L20),MAX(0,M20-D19-I20)-Q20-R20)</f>
        <v/>
      </c>
    </row>
    <row r="21">
      <c r="A21" s="198" t="n">
        <v>46306</v>
      </c>
      <c r="B21" s="199" t="inlineStr">
        <is>
          <t>일</t>
        </is>
      </c>
      <c r="C21" s="292">
        <f>SUM(D21:G21)</f>
        <v/>
      </c>
      <c r="D21" s="303">
        <f>D20+I21-M21+Q21+R21+S21</f>
        <v/>
      </c>
      <c r="E21" s="303">
        <f>E20+J21-Q21</f>
        <v/>
      </c>
      <c r="F21" s="303">
        <f>F20+K21-R21</f>
        <v/>
      </c>
      <c r="G21" s="303">
        <f>G20+L21-S21</f>
        <v/>
      </c>
      <c r="H21" s="295">
        <f>'4주일별계획'!G21+'4주일별계획'!L21</f>
        <v/>
      </c>
      <c r="I21" s="295">
        <f>H21*0.440226</f>
        <v/>
      </c>
      <c r="J21" s="295">
        <f>H21*0.019948</f>
        <v/>
      </c>
      <c r="K21" s="295">
        <f>H21*0.337410</f>
        <v/>
      </c>
      <c r="L21" s="295">
        <f>H21*0.202416</f>
        <v/>
      </c>
      <c r="M21" s="304">
        <f>'4주일별계획'!M21+'4주일별계획'!N21+'4주일별계획'!O21</f>
        <v/>
      </c>
      <c r="N21" s="305">
        <f>Q21</f>
        <v/>
      </c>
      <c r="O21" s="305">
        <f>R21+S21</f>
        <v/>
      </c>
      <c r="P21" s="244">
        <f>IF(D21&lt;-0.5,"전 계좌 소진 — 부족 "&amp;TEXT(-D21,"#,##0")&amp;"원","")</f>
        <v/>
      </c>
      <c r="Q21" s="306">
        <f>MIN(MAX(0,E20+J21),MAX(0,M21-D20-I21))</f>
        <v/>
      </c>
      <c r="R21" s="306">
        <f>MIN(MAX(0,F20+K21),MAX(0,M21-D20-I21)-Q21)</f>
        <v/>
      </c>
      <c r="S21" s="306">
        <f>MIN(MAX(0,G20+L21),MAX(0,M21-D20-I21)-Q21-R21)</f>
        <v/>
      </c>
    </row>
    <row r="22">
      <c r="A22" s="236" t="n">
        <v>46307</v>
      </c>
      <c r="B22" s="223" t="inlineStr">
        <is>
          <t>월</t>
        </is>
      </c>
      <c r="C22" s="292">
        <f>SUM(D22:G22)</f>
        <v/>
      </c>
      <c r="D22" s="303">
        <f>D21+I22-M22+Q22+R22+S22</f>
        <v/>
      </c>
      <c r="E22" s="303">
        <f>E21+J22-Q22</f>
        <v/>
      </c>
      <c r="F22" s="303">
        <f>F21+K22-R22</f>
        <v/>
      </c>
      <c r="G22" s="303">
        <f>G21+L22-S22</f>
        <v/>
      </c>
      <c r="H22" s="295">
        <f>'4주일별계획'!G22+'4주일별계획'!L22</f>
        <v/>
      </c>
      <c r="I22" s="295">
        <f>H22*0.440226</f>
        <v/>
      </c>
      <c r="J22" s="295">
        <f>H22*0.019948</f>
        <v/>
      </c>
      <c r="K22" s="295">
        <f>H22*0.337410</f>
        <v/>
      </c>
      <c r="L22" s="295">
        <f>H22*0.202416</f>
        <v/>
      </c>
      <c r="M22" s="304">
        <f>'4주일별계획'!M22+'4주일별계획'!N22+'4주일별계획'!O22</f>
        <v/>
      </c>
      <c r="N22" s="305">
        <f>Q22</f>
        <v/>
      </c>
      <c r="O22" s="305">
        <f>R22+S22</f>
        <v/>
      </c>
      <c r="P22" s="244">
        <f>IF(D22&lt;-0.5,"전 계좌 소진 — 부족 "&amp;TEXT(-D22,"#,##0")&amp;"원","")</f>
        <v/>
      </c>
      <c r="Q22" s="306">
        <f>MIN(MAX(0,E21+J22),MAX(0,M22-D21-I22))</f>
        <v/>
      </c>
      <c r="R22" s="306">
        <f>MIN(MAX(0,F21+K22),MAX(0,M22-D21-I22)-Q22)</f>
        <v/>
      </c>
      <c r="S22" s="306">
        <f>MIN(MAX(0,G21+L22),MAX(0,M22-D21-I22)-Q22-R22)</f>
        <v/>
      </c>
    </row>
    <row r="23">
      <c r="A23" s="236" t="n">
        <v>46308</v>
      </c>
      <c r="B23" s="223" t="inlineStr">
        <is>
          <t>화</t>
        </is>
      </c>
      <c r="C23" s="292">
        <f>SUM(D23:G23)</f>
        <v/>
      </c>
      <c r="D23" s="303">
        <f>D22+I23-M23+Q23+R23+S23</f>
        <v/>
      </c>
      <c r="E23" s="303">
        <f>E22+J23-Q23</f>
        <v/>
      </c>
      <c r="F23" s="303">
        <f>F22+K23-R23</f>
        <v/>
      </c>
      <c r="G23" s="303">
        <f>G22+L23-S23</f>
        <v/>
      </c>
      <c r="H23" s="295">
        <f>'4주일별계획'!G23+'4주일별계획'!L23</f>
        <v/>
      </c>
      <c r="I23" s="295">
        <f>H23*0.440226</f>
        <v/>
      </c>
      <c r="J23" s="295">
        <f>H23*0.019948</f>
        <v/>
      </c>
      <c r="K23" s="295">
        <f>H23*0.337410</f>
        <v/>
      </c>
      <c r="L23" s="295">
        <f>H23*0.202416</f>
        <v/>
      </c>
      <c r="M23" s="304">
        <f>'4주일별계획'!M23+'4주일별계획'!N23+'4주일별계획'!O23</f>
        <v/>
      </c>
      <c r="N23" s="305">
        <f>Q23</f>
        <v/>
      </c>
      <c r="O23" s="305">
        <f>R23+S23</f>
        <v/>
      </c>
      <c r="P23" s="244">
        <f>IF(D23&lt;-0.5,"전 계좌 소진 — 부족 "&amp;TEXT(-D23,"#,##0")&amp;"원","")</f>
        <v/>
      </c>
      <c r="Q23" s="306">
        <f>MIN(MAX(0,E22+J23),MAX(0,M23-D22-I23))</f>
        <v/>
      </c>
      <c r="R23" s="306">
        <f>MIN(MAX(0,F22+K23),MAX(0,M23-D22-I23)-Q23)</f>
        <v/>
      </c>
      <c r="S23" s="306">
        <f>MIN(MAX(0,G22+L23),MAX(0,M23-D22-I23)-Q23-R23)</f>
        <v/>
      </c>
    </row>
    <row r="24">
      <c r="A24" s="236" t="n">
        <v>46309</v>
      </c>
      <c r="B24" s="223" t="inlineStr">
        <is>
          <t>수</t>
        </is>
      </c>
      <c r="C24" s="292">
        <f>SUM(D24:G24)</f>
        <v/>
      </c>
      <c r="D24" s="303">
        <f>D23+I24-M24+Q24+R24+S24</f>
        <v/>
      </c>
      <c r="E24" s="303">
        <f>E23+J24-Q24</f>
        <v/>
      </c>
      <c r="F24" s="303">
        <f>F23+K24-R24</f>
        <v/>
      </c>
      <c r="G24" s="303">
        <f>G23+L24-S24</f>
        <v/>
      </c>
      <c r="H24" s="295">
        <f>'4주일별계획'!G24+'4주일별계획'!L24</f>
        <v/>
      </c>
      <c r="I24" s="295">
        <f>H24*0.440226</f>
        <v/>
      </c>
      <c r="J24" s="295">
        <f>H24*0.019948</f>
        <v/>
      </c>
      <c r="K24" s="295">
        <f>H24*0.337410</f>
        <v/>
      </c>
      <c r="L24" s="295">
        <f>H24*0.202416</f>
        <v/>
      </c>
      <c r="M24" s="304">
        <f>'4주일별계획'!M24+'4주일별계획'!N24+'4주일별계획'!O24</f>
        <v/>
      </c>
      <c r="N24" s="305">
        <f>Q24</f>
        <v/>
      </c>
      <c r="O24" s="305">
        <f>R24+S24</f>
        <v/>
      </c>
      <c r="P24" s="244">
        <f>IF(D24&lt;-0.5,"전 계좌 소진 — 부족 "&amp;TEXT(-D24,"#,##0")&amp;"원","")</f>
        <v/>
      </c>
      <c r="Q24" s="306">
        <f>MIN(MAX(0,E23+J24),MAX(0,M24-D23-I24))</f>
        <v/>
      </c>
      <c r="R24" s="306">
        <f>MIN(MAX(0,F23+K24),MAX(0,M24-D23-I24)-Q24)</f>
        <v/>
      </c>
      <c r="S24" s="306">
        <f>MIN(MAX(0,G23+L24),MAX(0,M24-D23-I24)-Q24-R24)</f>
        <v/>
      </c>
    </row>
    <row r="25">
      <c r="A25" s="236" t="n">
        <v>46310</v>
      </c>
      <c r="B25" s="223" t="inlineStr">
        <is>
          <t>목</t>
        </is>
      </c>
      <c r="C25" s="292">
        <f>SUM(D25:G25)</f>
        <v/>
      </c>
      <c r="D25" s="303">
        <f>D24+I25-M25+Q25+R25+S25</f>
        <v/>
      </c>
      <c r="E25" s="303">
        <f>E24+J25-Q25</f>
        <v/>
      </c>
      <c r="F25" s="303">
        <f>F24+K25-R25</f>
        <v/>
      </c>
      <c r="G25" s="303">
        <f>G24+L25-S25</f>
        <v/>
      </c>
      <c r="H25" s="295">
        <f>'4주일별계획'!G25+'4주일별계획'!L25</f>
        <v/>
      </c>
      <c r="I25" s="295">
        <f>H25*0.440226</f>
        <v/>
      </c>
      <c r="J25" s="295">
        <f>H25*0.019948</f>
        <v/>
      </c>
      <c r="K25" s="295">
        <f>H25*0.337410</f>
        <v/>
      </c>
      <c r="L25" s="295">
        <f>H25*0.202416</f>
        <v/>
      </c>
      <c r="M25" s="304">
        <f>'4주일별계획'!M25+'4주일별계획'!N25+'4주일별계획'!O25</f>
        <v/>
      </c>
      <c r="N25" s="305">
        <f>Q25</f>
        <v/>
      </c>
      <c r="O25" s="305">
        <f>R25+S25</f>
        <v/>
      </c>
      <c r="P25" s="244">
        <f>IF(D25&lt;-0.5,"전 계좌 소진 — 부족 "&amp;TEXT(-D25,"#,##0")&amp;"원","")</f>
        <v/>
      </c>
      <c r="Q25" s="306">
        <f>MIN(MAX(0,E24+J25),MAX(0,M25-D24-I25))</f>
        <v/>
      </c>
      <c r="R25" s="306">
        <f>MIN(MAX(0,F24+K25),MAX(0,M25-D24-I25)-Q25)</f>
        <v/>
      </c>
      <c r="S25" s="306">
        <f>MIN(MAX(0,G24+L25),MAX(0,M25-D24-I25)-Q25-R25)</f>
        <v/>
      </c>
    </row>
    <row r="26">
      <c r="A26" s="236" t="n">
        <v>46311</v>
      </c>
      <c r="B26" s="223" t="inlineStr">
        <is>
          <t>금</t>
        </is>
      </c>
      <c r="C26" s="292">
        <f>SUM(D26:G26)</f>
        <v/>
      </c>
      <c r="D26" s="303">
        <f>D25+I26-M26+Q26+R26+S26</f>
        <v/>
      </c>
      <c r="E26" s="303">
        <f>E25+J26-Q26</f>
        <v/>
      </c>
      <c r="F26" s="303">
        <f>F25+K26-R26</f>
        <v/>
      </c>
      <c r="G26" s="303">
        <f>G25+L26-S26</f>
        <v/>
      </c>
      <c r="H26" s="295">
        <f>'4주일별계획'!G26+'4주일별계획'!L26</f>
        <v/>
      </c>
      <c r="I26" s="295">
        <f>H26*0.440226</f>
        <v/>
      </c>
      <c r="J26" s="295">
        <f>H26*0.019948</f>
        <v/>
      </c>
      <c r="K26" s="295">
        <f>H26*0.337410</f>
        <v/>
      </c>
      <c r="L26" s="295">
        <f>H26*0.202416</f>
        <v/>
      </c>
      <c r="M26" s="304">
        <f>'4주일별계획'!M26+'4주일별계획'!N26+'4주일별계획'!O26</f>
        <v/>
      </c>
      <c r="N26" s="305">
        <f>Q26</f>
        <v/>
      </c>
      <c r="O26" s="305">
        <f>R26+S26</f>
        <v/>
      </c>
      <c r="P26" s="244">
        <f>IF(D26&lt;-0.5,"전 계좌 소진 — 부족 "&amp;TEXT(-D26,"#,##0")&amp;"원","")</f>
        <v/>
      </c>
      <c r="Q26" s="306">
        <f>MIN(MAX(0,E25+J26),MAX(0,M26-D25-I26))</f>
        <v/>
      </c>
      <c r="R26" s="306">
        <f>MIN(MAX(0,F25+K26),MAX(0,M26-D25-I26)-Q26)</f>
        <v/>
      </c>
      <c r="S26" s="306">
        <f>MIN(MAX(0,G25+L26),MAX(0,M26-D25-I26)-Q26-R26)</f>
        <v/>
      </c>
    </row>
    <row r="27">
      <c r="A27" s="198" t="n">
        <v>46312</v>
      </c>
      <c r="B27" s="199" t="inlineStr">
        <is>
          <t>토</t>
        </is>
      </c>
      <c r="C27" s="292">
        <f>SUM(D27:G27)</f>
        <v/>
      </c>
      <c r="D27" s="303">
        <f>D26+I27-M27+Q27+R27+S27</f>
        <v/>
      </c>
      <c r="E27" s="303">
        <f>E26+J27-Q27</f>
        <v/>
      </c>
      <c r="F27" s="303">
        <f>F26+K27-R27</f>
        <v/>
      </c>
      <c r="G27" s="303">
        <f>G26+L27-S27</f>
        <v/>
      </c>
      <c r="H27" s="295">
        <f>'4주일별계획'!G27+'4주일별계획'!L27</f>
        <v/>
      </c>
      <c r="I27" s="295">
        <f>H27*0.440226</f>
        <v/>
      </c>
      <c r="J27" s="295">
        <f>H27*0.019948</f>
        <v/>
      </c>
      <c r="K27" s="295">
        <f>H27*0.337410</f>
        <v/>
      </c>
      <c r="L27" s="295">
        <f>H27*0.202416</f>
        <v/>
      </c>
      <c r="M27" s="304">
        <f>'4주일별계획'!M27+'4주일별계획'!N27+'4주일별계획'!O27</f>
        <v/>
      </c>
      <c r="N27" s="305">
        <f>Q27</f>
        <v/>
      </c>
      <c r="O27" s="305">
        <f>R27+S27</f>
        <v/>
      </c>
      <c r="P27" s="244">
        <f>IF(D27&lt;-0.5,"전 계좌 소진 — 부족 "&amp;TEXT(-D27,"#,##0")&amp;"원","")</f>
        <v/>
      </c>
      <c r="Q27" s="306">
        <f>MIN(MAX(0,E26+J27),MAX(0,M27-D26-I27))</f>
        <v/>
      </c>
      <c r="R27" s="306">
        <f>MIN(MAX(0,F26+K27),MAX(0,M27-D26-I27)-Q27)</f>
        <v/>
      </c>
      <c r="S27" s="306">
        <f>MIN(MAX(0,G26+L27),MAX(0,M27-D26-I27)-Q27-R27)</f>
        <v/>
      </c>
    </row>
    <row r="28">
      <c r="A28" s="198" t="n">
        <v>46313</v>
      </c>
      <c r="B28" s="199" t="inlineStr">
        <is>
          <t>일</t>
        </is>
      </c>
      <c r="C28" s="292">
        <f>SUM(D28:G28)</f>
        <v/>
      </c>
      <c r="D28" s="303">
        <f>D27+I28-M28+Q28+R28+S28</f>
        <v/>
      </c>
      <c r="E28" s="303">
        <f>E27+J28-Q28</f>
        <v/>
      </c>
      <c r="F28" s="303">
        <f>F27+K28-R28</f>
        <v/>
      </c>
      <c r="G28" s="303">
        <f>G27+L28-S28</f>
        <v/>
      </c>
      <c r="H28" s="295">
        <f>'4주일별계획'!G28+'4주일별계획'!L28</f>
        <v/>
      </c>
      <c r="I28" s="295">
        <f>H28*0.440226</f>
        <v/>
      </c>
      <c r="J28" s="295">
        <f>H28*0.019948</f>
        <v/>
      </c>
      <c r="K28" s="295">
        <f>H28*0.337410</f>
        <v/>
      </c>
      <c r="L28" s="295">
        <f>H28*0.202416</f>
        <v/>
      </c>
      <c r="M28" s="304">
        <f>'4주일별계획'!M28+'4주일별계획'!N28+'4주일별계획'!O28</f>
        <v/>
      </c>
      <c r="N28" s="305">
        <f>Q28</f>
        <v/>
      </c>
      <c r="O28" s="305">
        <f>R28+S28</f>
        <v/>
      </c>
      <c r="P28" s="244">
        <f>IF(D28&lt;-0.5,"전 계좌 소진 — 부족 "&amp;TEXT(-D28,"#,##0")&amp;"원","")</f>
        <v/>
      </c>
      <c r="Q28" s="306">
        <f>MIN(MAX(0,E27+J28),MAX(0,M28-D27-I28))</f>
        <v/>
      </c>
      <c r="R28" s="306">
        <f>MIN(MAX(0,F27+K28),MAX(0,M28-D27-I28)-Q28)</f>
        <v/>
      </c>
      <c r="S28" s="306">
        <f>MIN(MAX(0,G27+L28),MAX(0,M28-D27-I28)-Q28-R28)</f>
        <v/>
      </c>
    </row>
    <row r="29">
      <c r="A29" s="236" t="n">
        <v>46314</v>
      </c>
      <c r="B29" s="223" t="inlineStr">
        <is>
          <t>월</t>
        </is>
      </c>
      <c r="C29" s="292">
        <f>SUM(D29:G29)</f>
        <v/>
      </c>
      <c r="D29" s="303">
        <f>D28+I29-M29+Q29+R29+S29</f>
        <v/>
      </c>
      <c r="E29" s="303">
        <f>E28+J29-Q29</f>
        <v/>
      </c>
      <c r="F29" s="303">
        <f>F28+K29-R29</f>
        <v/>
      </c>
      <c r="G29" s="303">
        <f>G28+L29-S29</f>
        <v/>
      </c>
      <c r="H29" s="295">
        <f>'4주일별계획'!G29+'4주일별계획'!L29</f>
        <v/>
      </c>
      <c r="I29" s="295">
        <f>H29*0.440226</f>
        <v/>
      </c>
      <c r="J29" s="295">
        <f>H29*0.019948</f>
        <v/>
      </c>
      <c r="K29" s="295">
        <f>H29*0.337410</f>
        <v/>
      </c>
      <c r="L29" s="295">
        <f>H29*0.202416</f>
        <v/>
      </c>
      <c r="M29" s="304">
        <f>'4주일별계획'!M29+'4주일별계획'!N29+'4주일별계획'!O29</f>
        <v/>
      </c>
      <c r="N29" s="305">
        <f>Q29</f>
        <v/>
      </c>
      <c r="O29" s="305">
        <f>R29+S29</f>
        <v/>
      </c>
      <c r="P29" s="244">
        <f>IF(D29&lt;-0.5,"전 계좌 소진 — 부족 "&amp;TEXT(-D29,"#,##0")&amp;"원","")</f>
        <v/>
      </c>
      <c r="Q29" s="306">
        <f>MIN(MAX(0,E28+J29),MAX(0,M29-D28-I29))</f>
        <v/>
      </c>
      <c r="R29" s="306">
        <f>MIN(MAX(0,F28+K29),MAX(0,M29-D28-I29)-Q29)</f>
        <v/>
      </c>
      <c r="S29" s="306">
        <f>MIN(MAX(0,G28+L29),MAX(0,M29-D28-I29)-Q29-R29)</f>
        <v/>
      </c>
    </row>
    <row r="30">
      <c r="A30" s="236" t="n">
        <v>46315</v>
      </c>
      <c r="B30" s="223" t="inlineStr">
        <is>
          <t>화</t>
        </is>
      </c>
      <c r="C30" s="292">
        <f>SUM(D30:G30)</f>
        <v/>
      </c>
      <c r="D30" s="303">
        <f>D29+I30-M30+Q30+R30+S30</f>
        <v/>
      </c>
      <c r="E30" s="303">
        <f>E29+J30-Q30</f>
        <v/>
      </c>
      <c r="F30" s="303">
        <f>F29+K30-R30</f>
        <v/>
      </c>
      <c r="G30" s="303">
        <f>G29+L30-S30</f>
        <v/>
      </c>
      <c r="H30" s="295">
        <f>'4주일별계획'!G30+'4주일별계획'!L30</f>
        <v/>
      </c>
      <c r="I30" s="295">
        <f>H30*0.440226</f>
        <v/>
      </c>
      <c r="J30" s="295">
        <f>H30*0.019948</f>
        <v/>
      </c>
      <c r="K30" s="295">
        <f>H30*0.337410</f>
        <v/>
      </c>
      <c r="L30" s="295">
        <f>H30*0.202416</f>
        <v/>
      </c>
      <c r="M30" s="304">
        <f>'4주일별계획'!M30+'4주일별계획'!N30+'4주일별계획'!O30</f>
        <v/>
      </c>
      <c r="N30" s="305">
        <f>Q30</f>
        <v/>
      </c>
      <c r="O30" s="305">
        <f>R30+S30</f>
        <v/>
      </c>
      <c r="P30" s="244">
        <f>IF(D30&lt;-0.5,"전 계좌 소진 — 부족 "&amp;TEXT(-D30,"#,##0")&amp;"원","")</f>
        <v/>
      </c>
      <c r="Q30" s="306">
        <f>MIN(MAX(0,E29+J30),MAX(0,M30-D29-I30))</f>
        <v/>
      </c>
      <c r="R30" s="306">
        <f>MIN(MAX(0,F29+K30),MAX(0,M30-D29-I30)-Q30)</f>
        <v/>
      </c>
      <c r="S30" s="306">
        <f>MIN(MAX(0,G29+L30),MAX(0,M30-D29-I30)-Q30-R30)</f>
        <v/>
      </c>
    </row>
    <row r="31">
      <c r="A31" s="236" t="n">
        <v>46316</v>
      </c>
      <c r="B31" s="223" t="inlineStr">
        <is>
          <t>수</t>
        </is>
      </c>
      <c r="C31" s="292">
        <f>SUM(D31:G31)</f>
        <v/>
      </c>
      <c r="D31" s="303">
        <f>D30+I31-M31+Q31+R31+S31</f>
        <v/>
      </c>
      <c r="E31" s="303">
        <f>E30+J31-Q31</f>
        <v/>
      </c>
      <c r="F31" s="303">
        <f>F30+K31-R31</f>
        <v/>
      </c>
      <c r="G31" s="303">
        <f>G30+L31-S31</f>
        <v/>
      </c>
      <c r="H31" s="295">
        <f>'4주일별계획'!G31+'4주일별계획'!L31</f>
        <v/>
      </c>
      <c r="I31" s="295">
        <f>H31*0.440226</f>
        <v/>
      </c>
      <c r="J31" s="295">
        <f>H31*0.019948</f>
        <v/>
      </c>
      <c r="K31" s="295">
        <f>H31*0.337410</f>
        <v/>
      </c>
      <c r="L31" s="295">
        <f>H31*0.202416</f>
        <v/>
      </c>
      <c r="M31" s="304">
        <f>'4주일별계획'!M31+'4주일별계획'!N31+'4주일별계획'!O31</f>
        <v/>
      </c>
      <c r="N31" s="305">
        <f>Q31</f>
        <v/>
      </c>
      <c r="O31" s="305">
        <f>R31+S31</f>
        <v/>
      </c>
      <c r="P31" s="244">
        <f>IF(D31&lt;-0.5,"전 계좌 소진 — 부족 "&amp;TEXT(-D31,"#,##0")&amp;"원","")</f>
        <v/>
      </c>
      <c r="Q31" s="306">
        <f>MIN(MAX(0,E30+J31),MAX(0,M31-D30-I31))</f>
        <v/>
      </c>
      <c r="R31" s="306">
        <f>MIN(MAX(0,F30+K31),MAX(0,M31-D30-I31)-Q31)</f>
        <v/>
      </c>
      <c r="S31" s="306">
        <f>MIN(MAX(0,G30+L31),MAX(0,M31-D30-I31)-Q31-R31)</f>
        <v/>
      </c>
    </row>
    <row r="32">
      <c r="A32" s="236" t="n">
        <v>46317</v>
      </c>
      <c r="B32" s="223" t="inlineStr">
        <is>
          <t>목</t>
        </is>
      </c>
      <c r="C32" s="292">
        <f>SUM(D32:G32)</f>
        <v/>
      </c>
      <c r="D32" s="303">
        <f>D31+I32-M32+Q32+R32+S32</f>
        <v/>
      </c>
      <c r="E32" s="303">
        <f>E31+J32-Q32</f>
        <v/>
      </c>
      <c r="F32" s="303">
        <f>F31+K32-R32</f>
        <v/>
      </c>
      <c r="G32" s="303">
        <f>G31+L32-S32</f>
        <v/>
      </c>
      <c r="H32" s="295">
        <f>'4주일별계획'!G32+'4주일별계획'!L32</f>
        <v/>
      </c>
      <c r="I32" s="295">
        <f>H32*0.440226</f>
        <v/>
      </c>
      <c r="J32" s="295">
        <f>H32*0.019948</f>
        <v/>
      </c>
      <c r="K32" s="295">
        <f>H32*0.337410</f>
        <v/>
      </c>
      <c r="L32" s="295">
        <f>H32*0.202416</f>
        <v/>
      </c>
      <c r="M32" s="304">
        <f>'4주일별계획'!M32+'4주일별계획'!N32+'4주일별계획'!O32</f>
        <v/>
      </c>
      <c r="N32" s="305">
        <f>Q32</f>
        <v/>
      </c>
      <c r="O32" s="305">
        <f>R32+S32</f>
        <v/>
      </c>
      <c r="P32" s="244">
        <f>IF(D32&lt;-0.5,"전 계좌 소진 — 부족 "&amp;TEXT(-D32,"#,##0")&amp;"원","")</f>
        <v/>
      </c>
      <c r="Q32" s="306">
        <f>MIN(MAX(0,E31+J32),MAX(0,M32-D31-I32))</f>
        <v/>
      </c>
      <c r="R32" s="306">
        <f>MIN(MAX(0,F31+K32),MAX(0,M32-D31-I32)-Q32)</f>
        <v/>
      </c>
      <c r="S32" s="306">
        <f>MIN(MAX(0,G31+L32),MAX(0,M32-D31-I32)-Q32-R32)</f>
        <v/>
      </c>
    </row>
    <row r="33">
      <c r="A33" s="236" t="n">
        <v>46318</v>
      </c>
      <c r="B33" s="223" t="inlineStr">
        <is>
          <t>금</t>
        </is>
      </c>
      <c r="C33" s="292">
        <f>SUM(D33:G33)</f>
        <v/>
      </c>
      <c r="D33" s="303">
        <f>D32+I33-M33+Q33+R33+S33</f>
        <v/>
      </c>
      <c r="E33" s="303">
        <f>E32+J33-Q33</f>
        <v/>
      </c>
      <c r="F33" s="303">
        <f>F32+K33-R33</f>
        <v/>
      </c>
      <c r="G33" s="303">
        <f>G32+L33-S33</f>
        <v/>
      </c>
      <c r="H33" s="295">
        <f>'4주일별계획'!G33+'4주일별계획'!L33</f>
        <v/>
      </c>
      <c r="I33" s="295">
        <f>H33*0.440226</f>
        <v/>
      </c>
      <c r="J33" s="295">
        <f>H33*0.019948</f>
        <v/>
      </c>
      <c r="K33" s="295">
        <f>H33*0.337410</f>
        <v/>
      </c>
      <c r="L33" s="295">
        <f>H33*0.202416</f>
        <v/>
      </c>
      <c r="M33" s="304">
        <f>'4주일별계획'!M33+'4주일별계획'!N33+'4주일별계획'!O33</f>
        <v/>
      </c>
      <c r="N33" s="305">
        <f>Q33</f>
        <v/>
      </c>
      <c r="O33" s="305">
        <f>R33+S33</f>
        <v/>
      </c>
      <c r="P33" s="244">
        <f>IF(D33&lt;-0.5,"전 계좌 소진 — 부족 "&amp;TEXT(-D33,"#,##0")&amp;"원","")</f>
        <v/>
      </c>
      <c r="Q33" s="306">
        <f>MIN(MAX(0,E32+J33),MAX(0,M33-D32-I33))</f>
        <v/>
      </c>
      <c r="R33" s="306">
        <f>MIN(MAX(0,F32+K33),MAX(0,M33-D32-I33)-Q33)</f>
        <v/>
      </c>
      <c r="S33" s="306">
        <f>MIN(MAX(0,G32+L33),MAX(0,M33-D32-I33)-Q33-R33)</f>
        <v/>
      </c>
    </row>
    <row r="34">
      <c r="A34" s="198" t="n">
        <v>46319</v>
      </c>
      <c r="B34" s="199" t="inlineStr">
        <is>
          <t>토</t>
        </is>
      </c>
      <c r="C34" s="292">
        <f>SUM(D34:G34)</f>
        <v/>
      </c>
      <c r="D34" s="303">
        <f>D33+I34-M34+Q34+R34+S34</f>
        <v/>
      </c>
      <c r="E34" s="303">
        <f>E33+J34-Q34</f>
        <v/>
      </c>
      <c r="F34" s="303">
        <f>F33+K34-R34</f>
        <v/>
      </c>
      <c r="G34" s="303">
        <f>G33+L34-S34</f>
        <v/>
      </c>
      <c r="H34" s="295">
        <f>'4주일별계획'!G34+'4주일별계획'!L34</f>
        <v/>
      </c>
      <c r="I34" s="295">
        <f>H34*0.440226</f>
        <v/>
      </c>
      <c r="J34" s="295">
        <f>H34*0.019948</f>
        <v/>
      </c>
      <c r="K34" s="295">
        <f>H34*0.337410</f>
        <v/>
      </c>
      <c r="L34" s="295">
        <f>H34*0.202416</f>
        <v/>
      </c>
      <c r="M34" s="304">
        <f>'4주일별계획'!M34+'4주일별계획'!N34+'4주일별계획'!O34</f>
        <v/>
      </c>
      <c r="N34" s="305">
        <f>Q34</f>
        <v/>
      </c>
      <c r="O34" s="305">
        <f>R34+S34</f>
        <v/>
      </c>
      <c r="P34" s="244">
        <f>IF(D34&lt;-0.5,"전 계좌 소진 — 부족 "&amp;TEXT(-D34,"#,##0")&amp;"원","")</f>
        <v/>
      </c>
      <c r="Q34" s="306">
        <f>MIN(MAX(0,E33+J34),MAX(0,M34-D33-I34))</f>
        <v/>
      </c>
      <c r="R34" s="306">
        <f>MIN(MAX(0,F33+K34),MAX(0,M34-D33-I34)-Q34)</f>
        <v/>
      </c>
      <c r="S34" s="306">
        <f>MIN(MAX(0,G33+L34),MAX(0,M34-D33-I34)-Q34-R34)</f>
        <v/>
      </c>
    </row>
    <row r="35">
      <c r="A35" s="198" t="n">
        <v>46320</v>
      </c>
      <c r="B35" s="199" t="inlineStr">
        <is>
          <t>일</t>
        </is>
      </c>
      <c r="C35" s="292">
        <f>SUM(D35:G35)</f>
        <v/>
      </c>
      <c r="D35" s="303">
        <f>D34+I35-M35+Q35+R35+S35</f>
        <v/>
      </c>
      <c r="E35" s="303">
        <f>E34+J35-Q35</f>
        <v/>
      </c>
      <c r="F35" s="303">
        <f>F34+K35-R35</f>
        <v/>
      </c>
      <c r="G35" s="303">
        <f>G34+L35-S35</f>
        <v/>
      </c>
      <c r="H35" s="295">
        <f>'4주일별계획'!G35+'4주일별계획'!L35</f>
        <v/>
      </c>
      <c r="I35" s="295">
        <f>H35*0.440226</f>
        <v/>
      </c>
      <c r="J35" s="295">
        <f>H35*0.019948</f>
        <v/>
      </c>
      <c r="K35" s="295">
        <f>H35*0.337410</f>
        <v/>
      </c>
      <c r="L35" s="295">
        <f>H35*0.202416</f>
        <v/>
      </c>
      <c r="M35" s="304">
        <f>'4주일별계획'!M35+'4주일별계획'!N35+'4주일별계획'!O35</f>
        <v/>
      </c>
      <c r="N35" s="305">
        <f>Q35</f>
        <v/>
      </c>
      <c r="O35" s="305">
        <f>R35+S35</f>
        <v/>
      </c>
      <c r="P35" s="244">
        <f>IF(D35&lt;-0.5,"전 계좌 소진 — 부족 "&amp;TEXT(-D35,"#,##0")&amp;"원","")</f>
        <v/>
      </c>
      <c r="Q35" s="306">
        <f>MIN(MAX(0,E34+J35),MAX(0,M35-D34-I35))</f>
        <v/>
      </c>
      <c r="R35" s="306">
        <f>MIN(MAX(0,F34+K35),MAX(0,M35-D34-I35)-Q35)</f>
        <v/>
      </c>
      <c r="S35" s="306">
        <f>MIN(MAX(0,G34+L35),MAX(0,M35-D34-I35)-Q35-R35)</f>
        <v/>
      </c>
    </row>
  </sheetData>
  <sheetProtection selectLockedCells="0" selectUnlockedCells="0" sheet="1" objects="0" insertRows="1" insertHyperlinks="1" autoFilter="1" scenarios="0" formatColumns="0" deleteColumns="1" insertColumns="1" pivotTables="1" deleteRows="1" formatCells="1" formatRows="0" sort="1"/>
  <mergeCells count="6">
    <mergeCell ref="C4:G4"/>
    <mergeCell ref="B4:B5"/>
    <mergeCell ref="A4:A5"/>
    <mergeCell ref="P4:P5"/>
    <mergeCell ref="H4:L4"/>
    <mergeCell ref="N4:O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2026-09-28 ~ 2026-10-04</t>
        </is>
      </c>
      <c r="C6" s="126">
        <f>SUMIFS('4주일별계획'!$G$8:$G$35,'4주일별계획'!$A$8:$A$35,"&gt;="&amp;DATE(2026,9,28),'4주일별계획'!$A$8:$A$35,"&lt;="&amp;DATE(2026,10,4))</f>
        <v/>
      </c>
      <c r="D6" s="126">
        <f>SUMIFS('4주일별계획'!$L$8:$L$35,'4주일별계획'!$A$8:$A$35,"&gt;="&amp;DATE(2026,9,28),'4주일별계획'!$A$8:$A$35,"&lt;="&amp;DATE(2026,10,4))</f>
        <v/>
      </c>
      <c r="E6" s="126">
        <f>SUMIFS('4주일별계획'!$M$8:$M$35,'4주일별계획'!$A$8:$A$35,"&gt;="&amp;DATE(2026,9,28),'4주일별계획'!$A$8:$A$35,"&lt;="&amp;DATE(2026,10,4))</f>
        <v/>
      </c>
      <c r="F6" s="126">
        <f>SUMIFS('4주일별계획'!$N$8:$N$35,'4주일별계획'!$A$8:$A$35,"&gt;="&amp;DATE(2026,9,28),'4주일별계획'!$A$8:$A$35,"&lt;="&amp;DATE(2026,10,4))</f>
        <v/>
      </c>
      <c r="G6" s="126">
        <f>SUMIFS('4주일별계획'!$O$8:$O$35,'4주일별계획'!$A$8:$A$35,"&gt;="&amp;DATE(2026,9,28),'4주일별계획'!$A$8:$A$35,"&lt;="&amp;DATE(2026,10,4))</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2026-10-05 ~ 2026-10-11</t>
        </is>
      </c>
      <c r="C7" s="130">
        <f>SUMIFS('4주일별계획'!$G$8:$G$35,'4주일별계획'!$A$8:$A$35,"&gt;="&amp;DATE(2026,10,5),'4주일별계획'!$A$8:$A$35,"&lt;="&amp;DATE(2026,10,11))</f>
        <v/>
      </c>
      <c r="D7" s="130">
        <f>SUMIFS('4주일별계획'!$L$8:$L$35,'4주일별계획'!$A$8:$A$35,"&gt;="&amp;DATE(2026,10,5),'4주일별계획'!$A$8:$A$35,"&lt;="&amp;DATE(2026,10,11))</f>
        <v/>
      </c>
      <c r="E7" s="130">
        <f>SUMIFS('4주일별계획'!$M$8:$M$35,'4주일별계획'!$A$8:$A$35,"&gt;="&amp;DATE(2026,10,5),'4주일별계획'!$A$8:$A$35,"&lt;="&amp;DATE(2026,10,11))</f>
        <v/>
      </c>
      <c r="F7" s="130">
        <f>SUMIFS('4주일별계획'!$N$8:$N$35,'4주일별계획'!$A$8:$A$35,"&gt;="&amp;DATE(2026,10,5),'4주일별계획'!$A$8:$A$35,"&lt;="&amp;DATE(2026,10,11))</f>
        <v/>
      </c>
      <c r="G7" s="130">
        <f>SUMIFS('4주일별계획'!$O$8:$O$35,'4주일별계획'!$A$8:$A$35,"&gt;="&amp;DATE(2026,10,5),'4주일별계획'!$A$8:$A$35,"&lt;="&amp;DATE(2026,10,11))</f>
        <v/>
      </c>
      <c r="H7" s="138" t="n"/>
      <c r="I7" s="132">
        <f>C7+D7-E7-F7-G7+H7</f>
        <v/>
      </c>
      <c r="J7" s="132">
        <f>J6+I7</f>
        <v/>
      </c>
      <c r="K7" s="43">
        <f>IF(J7&lt;0,"자금부족",IF(J7&lt;'요약'!$B$6*0.2,"주의","정상"))</f>
        <v/>
      </c>
      <c r="L7" s="2" t="n"/>
      <c r="M7" s="2" t="n"/>
      <c r="N7" s="2" t="n"/>
      <c r="O7" s="2" t="n"/>
      <c r="P7" s="2" t="n"/>
    </row>
    <row r="8">
      <c r="A8" s="117" t="inlineStr">
        <is>
          <t>3주차</t>
        </is>
      </c>
      <c r="B8" s="104" t="inlineStr">
        <is>
          <t>2026-10-12 ~ 2026-10-18</t>
        </is>
      </c>
      <c r="C8" s="130">
        <f>SUMIFS('4주일별계획'!$G$8:$G$35,'4주일별계획'!$A$8:$A$35,"&gt;="&amp;DATE(2026,10,12),'4주일별계획'!$A$8:$A$35,"&lt;="&amp;DATE(2026,10,18))</f>
        <v/>
      </c>
      <c r="D8" s="130">
        <f>SUMIFS('4주일별계획'!$L$8:$L$35,'4주일별계획'!$A$8:$A$35,"&gt;="&amp;DATE(2026,10,12),'4주일별계획'!$A$8:$A$35,"&lt;="&amp;DATE(2026,10,18))</f>
        <v/>
      </c>
      <c r="E8" s="130">
        <f>SUMIFS('4주일별계획'!$M$8:$M$35,'4주일별계획'!$A$8:$A$35,"&gt;="&amp;DATE(2026,10,12),'4주일별계획'!$A$8:$A$35,"&lt;="&amp;DATE(2026,10,18))</f>
        <v/>
      </c>
      <c r="F8" s="130">
        <f>SUMIFS('4주일별계획'!$N$8:$N$35,'4주일별계획'!$A$8:$A$35,"&gt;="&amp;DATE(2026,10,12),'4주일별계획'!$A$8:$A$35,"&lt;="&amp;DATE(2026,10,18))</f>
        <v/>
      </c>
      <c r="G8" s="130">
        <f>SUMIFS('4주일별계획'!$O$8:$O$35,'4주일별계획'!$A$8:$A$35,"&gt;="&amp;DATE(2026,10,12),'4주일별계획'!$A$8:$A$35,"&lt;="&amp;DATE(2026,10,18))</f>
        <v/>
      </c>
      <c r="H8" s="138" t="n"/>
      <c r="I8" s="132">
        <f>C8+D8-E8-F8-G8+H8</f>
        <v/>
      </c>
      <c r="J8" s="132">
        <f>J7+I8</f>
        <v/>
      </c>
      <c r="K8" s="43">
        <f>IF(J8&lt;0,"자금부족",IF(J8&lt;'요약'!$B$6*0.2,"주의","정상"))</f>
        <v/>
      </c>
      <c r="L8" s="2" t="n"/>
      <c r="M8" s="2" t="n"/>
      <c r="N8" s="2" t="n"/>
      <c r="O8" s="2" t="n"/>
      <c r="P8" s="2" t="n"/>
    </row>
    <row r="9">
      <c r="A9" s="117" t="inlineStr">
        <is>
          <t>4주차</t>
        </is>
      </c>
      <c r="B9" s="104" t="inlineStr">
        <is>
          <t>2026-10-19 ~ 2026-10-25</t>
        </is>
      </c>
      <c r="C9" s="130">
        <f>SUMIFS('4주일별계획'!$G$8:$G$35,'4주일별계획'!$A$8:$A$35,"&gt;="&amp;DATE(2026,10,19),'4주일별계획'!$A$8:$A$35,"&lt;="&amp;DATE(2026,10,25))</f>
        <v/>
      </c>
      <c r="D9" s="130">
        <f>SUMIFS('4주일별계획'!$L$8:$L$35,'4주일별계획'!$A$8:$A$35,"&gt;="&amp;DATE(2026,10,19),'4주일별계획'!$A$8:$A$35,"&lt;="&amp;DATE(2026,10,25))</f>
        <v/>
      </c>
      <c r="E9" s="130">
        <f>SUMIFS('4주일별계획'!$M$8:$M$35,'4주일별계획'!$A$8:$A$35,"&gt;="&amp;DATE(2026,10,19),'4주일별계획'!$A$8:$A$35,"&lt;="&amp;DATE(2026,10,25))</f>
        <v/>
      </c>
      <c r="F9" s="130">
        <f>SUMIFS('4주일별계획'!$N$8:$N$35,'4주일별계획'!$A$8:$A$35,"&gt;="&amp;DATE(2026,10,19),'4주일별계획'!$A$8:$A$35,"&lt;="&amp;DATE(2026,10,25))</f>
        <v/>
      </c>
      <c r="G9" s="130">
        <f>SUMIFS('4주일별계획'!$O$8:$O$35,'4주일별계획'!$A$8:$A$35,"&gt;="&amp;DATE(2026,10,19),'4주일별계획'!$A$8:$A$35,"&lt;="&amp;DATE(2026,10,25))</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2026-10-26 ~ 2026-11-01</t>
        </is>
      </c>
      <c r="C10" s="130">
        <f>SUM('설정및분류'!$C$6:$C$12)*'요약'!$B$13</f>
        <v/>
      </c>
      <c r="D10" s="131" t="n">
        <v>10021867</v>
      </c>
      <c r="E10" s="131" t="n"/>
      <c r="F10" s="131" t="n"/>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2026-11-02 ~ 2026-11-08</t>
        </is>
      </c>
      <c r="C11" s="130">
        <f>SUM('설정및분류'!$C$6:$C$12)*'요약'!$B$13</f>
        <v/>
      </c>
      <c r="D11" s="131" t="n"/>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2026-11-09 ~ 2026-11-15</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2026-11-16 ~ 2026-11-22</t>
        </is>
      </c>
      <c r="C13" s="130">
        <f>SUM('설정및분류'!$C$6:$C$12)*'요약'!$B$13</f>
        <v/>
      </c>
      <c r="D13" s="131" t="n"/>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2026-11-23 ~ 2026-11-29</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2026-11-30 ~ 2026-12-06</t>
        </is>
      </c>
      <c r="C15" s="130">
        <f>SUM('설정및분류'!$C$6:$C$12)*'요약'!$B$13</f>
        <v/>
      </c>
      <c r="D15" s="131" t="n">
        <v>10021867</v>
      </c>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2026-12-07 ~ 2026-12-13</t>
        </is>
      </c>
      <c r="C16" s="130">
        <f>SUM('설정및분류'!$C$6:$C$12)*'요약'!$B$13</f>
        <v/>
      </c>
      <c r="D16" s="131" t="n"/>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2026-12-14 ~ 2026-12-20</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2026-12-21 ~ 2026-12-27</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2:Q19"/>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2">
      <c r="A2" s="139" t="inlineStr">
        <is>
          <t>팀 지출계획 취합 (자동 반영)</t>
        </is>
      </c>
    </row>
    <row r="3">
      <c r="A3" s="140"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5">
      <c r="A5" s="141" t="inlineStr">
        <is>
          <t>요청ID</t>
        </is>
      </c>
      <c r="B5" s="141" t="inlineStr">
        <is>
          <t>팀명</t>
        </is>
      </c>
      <c r="C5" s="141" t="inlineStr">
        <is>
          <t>신청자</t>
        </is>
      </c>
      <c r="D5" s="141" t="inlineStr">
        <is>
          <t>품의승인</t>
        </is>
      </c>
      <c r="E5" s="141" t="inlineStr">
        <is>
          <t>지급예정일</t>
        </is>
      </c>
      <c r="F5" s="141" t="inlineStr">
        <is>
          <t>자금계획 반영일</t>
        </is>
      </c>
      <c r="G5" s="141" t="inlineStr">
        <is>
          <t>거래처</t>
        </is>
      </c>
      <c r="H5" s="141" t="inlineStr">
        <is>
          <t>지출내용</t>
        </is>
      </c>
      <c r="I5" s="141" t="inlineStr">
        <is>
          <t>예상금액</t>
        </is>
      </c>
      <c r="J5" s="141" t="inlineStr">
        <is>
          <t>지급방법</t>
        </is>
      </c>
      <c r="K5" s="141" t="inlineStr">
        <is>
          <t>카드구분</t>
        </is>
      </c>
      <c r="L5" s="141" t="inlineStr">
        <is>
          <t>확정여부</t>
        </is>
      </c>
      <c r="M5" s="141" t="inlineStr">
        <is>
          <t>진행상태</t>
        </is>
      </c>
      <c r="N5" s="141" t="inlineStr">
        <is>
          <t>최종수정일</t>
        </is>
      </c>
      <c r="O5" s="141" t="inlineStr">
        <is>
          <t>원본파일</t>
        </is>
      </c>
      <c r="P5" s="141" t="inlineStr">
        <is>
          <t>반영상태</t>
        </is>
      </c>
      <c r="Q5" s="141" t="inlineStr">
        <is>
          <t>확인사항</t>
        </is>
      </c>
    </row>
    <row r="6">
      <c r="A6" s="142" t="inlineStr">
        <is>
          <t>건강-20261002-001</t>
        </is>
      </c>
      <c r="B6" s="142" t="inlineStr">
        <is>
          <t>건강사업팀</t>
        </is>
      </c>
      <c r="C6" s="142" t="inlineStr">
        <is>
          <t>김솔이</t>
        </is>
      </c>
      <c r="D6" s="142" t="inlineStr"/>
      <c r="E6" s="143" t="n">
        <v>46301</v>
      </c>
      <c r="F6" s="143" t="n">
        <v>46301</v>
      </c>
      <c r="G6" s="142" t="inlineStr">
        <is>
          <t>비즈콘</t>
        </is>
      </c>
      <c r="H6" s="142" t="inlineStr">
        <is>
          <t>정기배송 50회차, 60회차 달성8명, 신세계상품권 5만원권 발송</t>
        </is>
      </c>
      <c r="I6" s="144" t="n">
        <v>400000</v>
      </c>
      <c r="J6" s="142" t="inlineStr">
        <is>
          <t>계좌송금</t>
        </is>
      </c>
      <c r="K6" s="142" t="inlineStr"/>
      <c r="L6" s="142" t="inlineStr">
        <is>
          <t>확정</t>
        </is>
      </c>
      <c r="M6" s="142" t="inlineStr">
        <is>
          <t>신규</t>
        </is>
      </c>
      <c r="N6" s="143" t="n">
        <v>46297</v>
      </c>
      <c r="O6" s="142" t="inlineStr">
        <is>
          <t>지출계획_2026-10-04.xlsx</t>
        </is>
      </c>
      <c r="P6" s="142" t="inlineStr">
        <is>
          <t>정상반영</t>
        </is>
      </c>
      <c r="Q6" s="142" t="inlineStr"/>
    </row>
    <row r="7">
      <c r="A7" s="142" t="inlineStr">
        <is>
          <t>건강-20261002-005</t>
        </is>
      </c>
      <c r="B7" s="142" t="inlineStr">
        <is>
          <t>건강사업팀</t>
        </is>
      </c>
      <c r="C7" s="142" t="inlineStr">
        <is>
          <t>전은신</t>
        </is>
      </c>
      <c r="D7" s="142" t="inlineStr"/>
      <c r="E7" s="143" t="n">
        <v>46301</v>
      </c>
      <c r="F7" s="143" t="n">
        <v>46301</v>
      </c>
      <c r="G7" s="142" t="inlineStr">
        <is>
          <t>네이버</t>
        </is>
      </c>
      <c r="H7" s="142" t="inlineStr">
        <is>
          <t>네이버 SA&amp;GFA 광고 비용</t>
        </is>
      </c>
      <c r="I7" s="144" t="n">
        <v>3366000</v>
      </c>
      <c r="J7" s="142" t="inlineStr">
        <is>
          <t>계좌송금</t>
        </is>
      </c>
      <c r="K7" s="142" t="inlineStr"/>
      <c r="L7" s="142" t="inlineStr">
        <is>
          <t>확정</t>
        </is>
      </c>
      <c r="M7" s="142" t="inlineStr">
        <is>
          <t>신규</t>
        </is>
      </c>
      <c r="N7" s="143" t="n">
        <v>46297</v>
      </c>
      <c r="O7" s="142" t="inlineStr">
        <is>
          <t>지출계획_2026-10-04.xlsx</t>
        </is>
      </c>
      <c r="P7" s="142" t="inlineStr">
        <is>
          <t>정상반영</t>
        </is>
      </c>
      <c r="Q7" s="142" t="inlineStr"/>
    </row>
    <row r="8">
      <c r="A8" s="142" t="inlineStr">
        <is>
          <t>건강-20261002-008</t>
        </is>
      </c>
      <c r="B8" s="142" t="inlineStr">
        <is>
          <t>건강사업팀</t>
        </is>
      </c>
      <c r="C8" s="142" t="inlineStr">
        <is>
          <t>양혜원</t>
        </is>
      </c>
      <c r="D8" s="142" t="inlineStr"/>
      <c r="E8" s="143" t="n">
        <v>46301</v>
      </c>
      <c r="F8" s="143" t="n">
        <v>46301</v>
      </c>
      <c r="G8" s="142" t="inlineStr">
        <is>
          <t>카카오톡 플러스친구</t>
        </is>
      </c>
      <c r="H8" s="142" t="inlineStr">
        <is>
          <t>카카오톡 플러스친구 충전</t>
        </is>
      </c>
      <c r="I8" s="144" t="n">
        <v>1500000</v>
      </c>
      <c r="J8" s="142" t="inlineStr">
        <is>
          <t>계좌송금</t>
        </is>
      </c>
      <c r="K8" s="142" t="inlineStr"/>
      <c r="L8" s="142" t="inlineStr">
        <is>
          <t>확정</t>
        </is>
      </c>
      <c r="M8" s="142" t="inlineStr">
        <is>
          <t>신규</t>
        </is>
      </c>
      <c r="N8" s="143" t="n">
        <v>46297</v>
      </c>
      <c r="O8" s="142" t="inlineStr">
        <is>
          <t>지출계획_2026-10-04.xlsx</t>
        </is>
      </c>
      <c r="P8" s="142" t="inlineStr">
        <is>
          <t>정상반영</t>
        </is>
      </c>
      <c r="Q8" s="142" t="inlineStr"/>
    </row>
    <row r="9">
      <c r="A9" s="142" t="inlineStr">
        <is>
          <t>건강-20261002-009</t>
        </is>
      </c>
      <c r="B9" s="142" t="inlineStr">
        <is>
          <t>건강사업팀</t>
        </is>
      </c>
      <c r="C9" s="142" t="inlineStr">
        <is>
          <t>양혜원</t>
        </is>
      </c>
      <c r="D9" s="142" t="inlineStr"/>
      <c r="E9" s="143" t="n">
        <v>46301</v>
      </c>
      <c r="F9" s="143" t="n">
        <v>46301</v>
      </c>
      <c r="G9" s="142" t="inlineStr">
        <is>
          <t>네이버</t>
        </is>
      </c>
      <c r="H9" s="142" t="inlineStr">
        <is>
          <t>네이버 톡톡</t>
        </is>
      </c>
      <c r="I9" s="144" t="n">
        <v>500000</v>
      </c>
      <c r="J9" s="142" t="inlineStr">
        <is>
          <t>계좌송금</t>
        </is>
      </c>
      <c r="K9" s="142" t="inlineStr"/>
      <c r="L9" s="142" t="inlineStr">
        <is>
          <t>확정</t>
        </is>
      </c>
      <c r="M9" s="142" t="inlineStr">
        <is>
          <t>신규</t>
        </is>
      </c>
      <c r="N9" s="143" t="n">
        <v>46297</v>
      </c>
      <c r="O9" s="142" t="inlineStr">
        <is>
          <t>지출계획_2026-10-04.xlsx</t>
        </is>
      </c>
      <c r="P9" s="142" t="inlineStr">
        <is>
          <t>정상반영</t>
        </is>
      </c>
      <c r="Q9" s="142" t="inlineStr"/>
    </row>
    <row r="10">
      <c r="A10" s="142" t="inlineStr">
        <is>
          <t>건강-20260918-004</t>
        </is>
      </c>
      <c r="B10" s="142" t="inlineStr">
        <is>
          <t>건강사업팀</t>
        </is>
      </c>
      <c r="C10" s="142" t="inlineStr">
        <is>
          <t>전은신</t>
        </is>
      </c>
      <c r="D10" s="142" t="inlineStr"/>
      <c r="E10" s="143" t="n">
        <v>46302</v>
      </c>
      <c r="F10" s="143" t="n">
        <v>46302</v>
      </c>
      <c r="G10" s="142" t="inlineStr">
        <is>
          <t>인포크비즈니스</t>
        </is>
      </c>
      <c r="H10" s="142" t="inlineStr">
        <is>
          <t>베리시톨 인플루언서 비용</t>
        </is>
      </c>
      <c r="I10" s="144" t="n">
        <v>3300000</v>
      </c>
      <c r="J10" s="142" t="inlineStr">
        <is>
          <t>계좌송금</t>
        </is>
      </c>
      <c r="K10" s="142" t="inlineStr"/>
      <c r="L10" s="142" t="inlineStr">
        <is>
          <t>확정</t>
        </is>
      </c>
      <c r="M10" s="142" t="inlineStr">
        <is>
          <t>변경</t>
        </is>
      </c>
      <c r="N10" s="143" t="n">
        <v>46297</v>
      </c>
      <c r="O10" s="142" t="inlineStr">
        <is>
          <t>지출계획_2026-10-04.xlsx</t>
        </is>
      </c>
      <c r="P10" s="142" t="inlineStr">
        <is>
          <t>정상반영</t>
        </is>
      </c>
      <c r="Q10" s="142" t="inlineStr"/>
    </row>
    <row r="11">
      <c r="A11" s="142" t="inlineStr">
        <is>
          <t>건강-20260918-005</t>
        </is>
      </c>
      <c r="B11" s="142" t="inlineStr">
        <is>
          <t>건강사업팀</t>
        </is>
      </c>
      <c r="C11" s="142" t="inlineStr">
        <is>
          <t>전은신</t>
        </is>
      </c>
      <c r="D11" s="142" t="inlineStr"/>
      <c r="E11" s="143" t="n">
        <v>46302</v>
      </c>
      <c r="F11" s="143" t="n">
        <v>46302</v>
      </c>
      <c r="G11" s="142" t="inlineStr">
        <is>
          <t>써치엠</t>
        </is>
      </c>
      <c r="H11" s="142" t="inlineStr">
        <is>
          <t>메타 광고 대행 수수</t>
        </is>
      </c>
      <c r="I11" s="144" t="n">
        <v>1487786</v>
      </c>
      <c r="J11" s="142" t="inlineStr">
        <is>
          <t>계좌송금</t>
        </is>
      </c>
      <c r="K11" s="142" t="inlineStr"/>
      <c r="L11" s="142" t="inlineStr">
        <is>
          <t>확정</t>
        </is>
      </c>
      <c r="M11" s="142" t="inlineStr">
        <is>
          <t>변경</t>
        </is>
      </c>
      <c r="N11" s="143" t="n">
        <v>46297</v>
      </c>
      <c r="O11" s="142" t="inlineStr">
        <is>
          <t>지출계획_2026-10-04.xlsx</t>
        </is>
      </c>
      <c r="P11" s="142" t="inlineStr">
        <is>
          <t>정상반영</t>
        </is>
      </c>
      <c r="Q11" s="142" t="inlineStr"/>
    </row>
    <row r="12">
      <c r="A12" s="142" t="inlineStr">
        <is>
          <t>건강-20261002-002</t>
        </is>
      </c>
      <c r="B12" s="142" t="inlineStr">
        <is>
          <t>건강사업팀</t>
        </is>
      </c>
      <c r="C12" s="142" t="inlineStr">
        <is>
          <t>전은신</t>
        </is>
      </c>
      <c r="D12" s="142" t="inlineStr"/>
      <c r="E12" s="143" t="n">
        <v>46302</v>
      </c>
      <c r="F12" s="143" t="n">
        <v>46302</v>
      </c>
      <c r="G12" s="142" t="inlineStr">
        <is>
          <t>ADN</t>
        </is>
      </c>
      <c r="H12" s="142" t="inlineStr">
        <is>
          <t>ADN 광고 송출 비용</t>
        </is>
      </c>
      <c r="I12" s="144" t="n">
        <v>500000</v>
      </c>
      <c r="J12" s="142" t="inlineStr">
        <is>
          <t>계좌송금</t>
        </is>
      </c>
      <c r="K12" s="142" t="inlineStr"/>
      <c r="L12" s="142" t="inlineStr">
        <is>
          <t>확정</t>
        </is>
      </c>
      <c r="M12" s="142" t="inlineStr">
        <is>
          <t>신규</t>
        </is>
      </c>
      <c r="N12" s="143" t="n">
        <v>46297</v>
      </c>
      <c r="O12" s="142" t="inlineStr">
        <is>
          <t>지출계획_2026-10-04.xlsx</t>
        </is>
      </c>
      <c r="P12" s="142" t="inlineStr">
        <is>
          <t>정상반영</t>
        </is>
      </c>
      <c r="Q12" s="142" t="inlineStr"/>
    </row>
    <row r="13">
      <c r="A13" s="142" t="inlineStr">
        <is>
          <t>건강-20261002-010</t>
        </is>
      </c>
      <c r="B13" s="142" t="inlineStr">
        <is>
          <t>건강사업팀</t>
        </is>
      </c>
      <c r="C13" s="142" t="inlineStr">
        <is>
          <t>양혜원</t>
        </is>
      </c>
      <c r="D13" s="142" t="inlineStr"/>
      <c r="E13" s="143" t="n">
        <v>46302</v>
      </c>
      <c r="F13" s="143" t="n">
        <v>46302</v>
      </c>
      <c r="G13" s="142" t="inlineStr">
        <is>
          <t>비즈콘</t>
        </is>
      </c>
      <c r="H13" s="142" t="inlineStr">
        <is>
          <t>9월 프로모션 사은품 지급</t>
        </is>
      </c>
      <c r="I13" s="144" t="n">
        <v>300000</v>
      </c>
      <c r="J13" s="142" t="inlineStr">
        <is>
          <t>계좌송금</t>
        </is>
      </c>
      <c r="K13" s="142" t="inlineStr"/>
      <c r="L13" s="142" t="inlineStr">
        <is>
          <t>확정</t>
        </is>
      </c>
      <c r="M13" s="142" t="inlineStr">
        <is>
          <t>신규</t>
        </is>
      </c>
      <c r="N13" s="143" t="n">
        <v>46297</v>
      </c>
      <c r="O13" s="142" t="inlineStr">
        <is>
          <t>지출계획_2026-10-04.xlsx</t>
        </is>
      </c>
      <c r="P13" s="142" t="inlineStr">
        <is>
          <t>정상반영</t>
        </is>
      </c>
      <c r="Q13" s="142" t="inlineStr"/>
    </row>
    <row r="14">
      <c r="A14" s="142" t="inlineStr">
        <is>
          <t>경영-20260923-004</t>
        </is>
      </c>
      <c r="B14" s="142" t="inlineStr">
        <is>
          <t>경영지원팀</t>
        </is>
      </c>
      <c r="C14" s="142" t="inlineStr">
        <is>
          <t>김수희</t>
        </is>
      </c>
      <c r="D14" s="142" t="inlineStr"/>
      <c r="E14" s="143" t="n">
        <v>46302</v>
      </c>
      <c r="F14" s="143" t="n">
        <v>46302</v>
      </c>
      <c r="G14" s="142" t="inlineStr">
        <is>
          <t>서원회계법인</t>
        </is>
      </c>
      <c r="H14" s="142" t="inlineStr">
        <is>
          <t>기장료</t>
        </is>
      </c>
      <c r="I14" s="144" t="n">
        <v>385000</v>
      </c>
      <c r="J14" s="142" t="inlineStr">
        <is>
          <t>계좌송금</t>
        </is>
      </c>
      <c r="K14" s="142" t="inlineStr"/>
      <c r="L14" s="142" t="inlineStr">
        <is>
          <t>확정</t>
        </is>
      </c>
      <c r="M14" s="142" t="inlineStr">
        <is>
          <t>변경</t>
        </is>
      </c>
      <c r="N14" s="143" t="n">
        <v>46297</v>
      </c>
      <c r="O14" s="142" t="inlineStr">
        <is>
          <t>지출계획_2026-10-04.xlsx</t>
        </is>
      </c>
      <c r="P14" s="142" t="inlineStr">
        <is>
          <t>정상반영</t>
        </is>
      </c>
      <c r="Q14" s="142" t="inlineStr"/>
    </row>
    <row r="15">
      <c r="A15" s="142" t="inlineStr">
        <is>
          <t>CS-20261001-001</t>
        </is>
      </c>
      <c r="B15" s="142" t="inlineStr">
        <is>
          <t>CS팀</t>
        </is>
      </c>
      <c r="C15" s="142" t="inlineStr">
        <is>
          <t>조민경</t>
        </is>
      </c>
      <c r="D15" s="142" t="inlineStr"/>
      <c r="E15" s="143" t="n">
        <v>46303</v>
      </c>
      <c r="F15" s="143" t="n">
        <v>46303</v>
      </c>
      <c r="G15" s="142" t="inlineStr">
        <is>
          <t>(주)채널코퍼레이션</t>
        </is>
      </c>
      <c r="H15" s="142" t="inlineStr">
        <is>
          <t>쁘띠앤 채널톡 예치금 충전</t>
        </is>
      </c>
      <c r="I15" s="144" t="n">
        <v>198000</v>
      </c>
      <c r="J15" s="142" t="inlineStr">
        <is>
          <t>계좌송금</t>
        </is>
      </c>
      <c r="K15" s="142" t="inlineStr"/>
      <c r="L15" s="142" t="inlineStr">
        <is>
          <t>확정</t>
        </is>
      </c>
      <c r="M15" s="142" t="inlineStr">
        <is>
          <t>신규</t>
        </is>
      </c>
      <c r="N15" s="143" t="n">
        <v>46296</v>
      </c>
      <c r="O15" s="142" t="inlineStr">
        <is>
          <t>지출계획_2026-10-04.xlsx</t>
        </is>
      </c>
      <c r="P15" s="142" t="inlineStr">
        <is>
          <t>정상반영</t>
        </is>
      </c>
      <c r="Q15" s="142" t="inlineStr"/>
    </row>
    <row r="16">
      <c r="A16" s="142" t="inlineStr">
        <is>
          <t>건강-20261002-006</t>
        </is>
      </c>
      <c r="B16" s="142" t="inlineStr">
        <is>
          <t>건강사업팀</t>
        </is>
      </c>
      <c r="C16" s="142" t="inlineStr">
        <is>
          <t>전은신</t>
        </is>
      </c>
      <c r="D16" s="142" t="inlineStr"/>
      <c r="E16" s="143" t="n">
        <v>46303</v>
      </c>
      <c r="F16" s="143" t="n">
        <v>46303</v>
      </c>
      <c r="G16" s="142" t="inlineStr">
        <is>
          <t>네이버</t>
        </is>
      </c>
      <c r="H16" s="142" t="inlineStr">
        <is>
          <t>네이버 SA&amp;GFA 광고 비용</t>
        </is>
      </c>
      <c r="I16" s="144" t="n">
        <v>6424000</v>
      </c>
      <c r="J16" s="142" t="inlineStr">
        <is>
          <t>계좌송금</t>
        </is>
      </c>
      <c r="K16" s="142" t="inlineStr"/>
      <c r="L16" s="142" t="inlineStr">
        <is>
          <t>확정</t>
        </is>
      </c>
      <c r="M16" s="142" t="inlineStr">
        <is>
          <t>신규</t>
        </is>
      </c>
      <c r="N16" s="143" t="n">
        <v>46297</v>
      </c>
      <c r="O16" s="142" t="inlineStr">
        <is>
          <t>지출계획_2026-10-04.xlsx</t>
        </is>
      </c>
      <c r="P16" s="142" t="inlineStr">
        <is>
          <t>정상반영</t>
        </is>
      </c>
      <c r="Q16" s="142" t="inlineStr"/>
    </row>
    <row r="17">
      <c r="A17" s="142" t="inlineStr">
        <is>
          <t>건강-20261002-007</t>
        </is>
      </c>
      <c r="B17" s="142" t="inlineStr">
        <is>
          <t>건강사업팀</t>
        </is>
      </c>
      <c r="C17" s="142" t="inlineStr">
        <is>
          <t>전은신</t>
        </is>
      </c>
      <c r="D17" s="142" t="inlineStr"/>
      <c r="E17" s="143" t="n">
        <v>46303</v>
      </c>
      <c r="F17" s="143" t="n">
        <v>46303</v>
      </c>
      <c r="G17" s="142" t="inlineStr">
        <is>
          <t>네이버</t>
        </is>
      </c>
      <c r="H17" s="142" t="inlineStr">
        <is>
          <t>브랜드 검색 광고</t>
        </is>
      </c>
      <c r="I17" s="144" t="n">
        <v>1980000</v>
      </c>
      <c r="J17" s="142" t="inlineStr">
        <is>
          <t>계좌송금</t>
        </is>
      </c>
      <c r="K17" s="142" t="inlineStr"/>
      <c r="L17" s="142" t="inlineStr">
        <is>
          <t>확정</t>
        </is>
      </c>
      <c r="M17" s="142" t="inlineStr">
        <is>
          <t>신규</t>
        </is>
      </c>
      <c r="N17" s="143" t="n">
        <v>46297</v>
      </c>
      <c r="O17" s="142" t="inlineStr">
        <is>
          <t>지출계획_2026-10-04.xlsx</t>
        </is>
      </c>
      <c r="P17" s="142" t="inlineStr">
        <is>
          <t>정상반영</t>
        </is>
      </c>
      <c r="Q17" s="142" t="inlineStr"/>
    </row>
    <row r="18">
      <c r="A18" s="142" t="inlineStr">
        <is>
          <t>데이터-20261002-001</t>
        </is>
      </c>
      <c r="B18" s="142" t="inlineStr">
        <is>
          <t>데이터사이언스팀</t>
        </is>
      </c>
      <c r="C18" s="142" t="inlineStr">
        <is>
          <t>조성윤</t>
        </is>
      </c>
      <c r="D18" s="142" t="inlineStr"/>
      <c r="E18" s="143" t="n">
        <v>46303</v>
      </c>
      <c r="F18" s="143" t="n">
        <v>46303</v>
      </c>
      <c r="G18" s="142" t="inlineStr">
        <is>
          <t>KICTA</t>
        </is>
      </c>
      <c r="H18" s="142" t="inlineStr">
        <is>
          <t>CES 참가 부스 최종 대금</t>
        </is>
      </c>
      <c r="I18" s="144" t="n">
        <v>9189417</v>
      </c>
      <c r="J18" s="142" t="inlineStr">
        <is>
          <t>계좌송금</t>
        </is>
      </c>
      <c r="K18" s="142" t="inlineStr"/>
      <c r="L18" s="142" t="inlineStr">
        <is>
          <t>확정</t>
        </is>
      </c>
      <c r="M18" s="142" t="inlineStr">
        <is>
          <t>신규</t>
        </is>
      </c>
      <c r="N18" s="143" t="n">
        <v>46297</v>
      </c>
      <c r="O18" s="142" t="inlineStr">
        <is>
          <t>지출계획_2026-10-04.xlsx</t>
        </is>
      </c>
      <c r="P18" s="142" t="inlineStr">
        <is>
          <t>정상반영</t>
        </is>
      </c>
      <c r="Q18" s="142" t="inlineStr"/>
    </row>
    <row r="19" hidden="1">
      <c r="A19" s="142" t="inlineStr">
        <is>
          <t>경영-20260922-008</t>
        </is>
      </c>
      <c r="B19" s="142" t="inlineStr">
        <is>
          <t>경영지원팀</t>
        </is>
      </c>
      <c r="C19" s="142" t="inlineStr">
        <is>
          <t>장은총</t>
        </is>
      </c>
      <c r="D19" s="142" t="inlineStr"/>
      <c r="E19" s="143" t="n">
        <v>46302</v>
      </c>
      <c r="F19" s="143" t="n">
        <v>46318</v>
      </c>
      <c r="G19" s="142" t="inlineStr">
        <is>
          <t>위버</t>
        </is>
      </c>
      <c r="H19" s="142" t="inlineStr">
        <is>
          <t>워크샵 (1부/2부) 이용료</t>
        </is>
      </c>
      <c r="I19" s="144" t="n">
        <v>1675000</v>
      </c>
      <c r="J19" s="142" t="inlineStr">
        <is>
          <t>법인카드</t>
        </is>
      </c>
      <c r="K19" s="142" t="inlineStr">
        <is>
          <t>우리카드</t>
        </is>
      </c>
      <c r="L19" s="142" t="inlineStr">
        <is>
          <t>확정</t>
        </is>
      </c>
      <c r="M19" s="142" t="inlineStr">
        <is>
          <t>변경</t>
        </is>
      </c>
      <c r="N19" s="143" t="n">
        <v>46296</v>
      </c>
      <c r="O19" s="142" t="inlineStr">
        <is>
          <t>지출계획_2026-10-04.xlsx</t>
        </is>
      </c>
      <c r="P19" s="142" t="inlineStr">
        <is>
          <t>정상반영</t>
        </is>
      </c>
      <c r="Q19" s="142" t="inlineStr"/>
    </row>
  </sheetData>
  <autoFilter ref="A5:Q19"/>
  <pageMargins left="0.75" right="0.75" top="1" bottom="1" header="0.5" footer="0.5"/>
</worksheet>
</file>

<file path=xl/worksheets/sheet9.xml><?xml version="1.0" encoding="utf-8"?>
<worksheet xmlns="http://schemas.openxmlformats.org/spreadsheetml/2006/main">
  <sheetPr>
    <outlinePr summaryBelow="1" summaryRight="1"/>
    <pageSetUpPr/>
  </sheetPr>
  <dimension ref="A2:J6"/>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2">
      <c r="A2" s="139" t="inlineStr">
        <is>
          <t>에이팜 지출계획 (자동 반영)</t>
        </is>
      </c>
    </row>
    <row r="3">
      <c r="A3" s="140" t="inlineStr">
        <is>
          <t>지출계획 비고에 '에이팜'으로 표시한 건은 자금계획(4주·13주)에 반영하지 않고 여기서만 관리합니다. '반영' 표시 건은 자금계획에 포함된 에이팜 관련 참고 항목입니다.</t>
        </is>
      </c>
    </row>
    <row r="5">
      <c r="A5" s="141" t="inlineStr">
        <is>
          <t>일자</t>
        </is>
      </c>
      <c r="B5" s="141" t="inlineStr">
        <is>
          <t>요일</t>
        </is>
      </c>
      <c r="C5" s="141" t="inlineStr">
        <is>
          <t>출처</t>
        </is>
      </c>
      <c r="D5" s="141" t="inlineStr">
        <is>
          <t>자금계획 반영</t>
        </is>
      </c>
      <c r="E5" s="141" t="inlineStr">
        <is>
          <t>팀명</t>
        </is>
      </c>
      <c r="F5" s="141" t="inlineStr">
        <is>
          <t>거래처</t>
        </is>
      </c>
      <c r="G5" s="141" t="inlineStr">
        <is>
          <t>지출내용</t>
        </is>
      </c>
      <c r="H5" s="141" t="inlineStr">
        <is>
          <t>예상금액</t>
        </is>
      </c>
      <c r="I5" s="141" t="inlineStr">
        <is>
          <t>지급방법</t>
        </is>
      </c>
      <c r="J5" s="141" t="inlineStr">
        <is>
          <t>비고</t>
        </is>
      </c>
    </row>
    <row r="6">
      <c r="A6" s="246" t="inlineStr">
        <is>
          <t>이번 실행에 정리할 에이팜 지출계획이 없습니다.</t>
        </is>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247" t="n">
        <v>46271.69340277778</v>
      </c>
      <c r="B2" s="248" t="n">
        <v>46271</v>
      </c>
      <c r="C2" s="67" t="inlineStr">
        <is>
          <t>우리은행</t>
        </is>
      </c>
      <c r="D2" s="67" t="inlineStr">
        <is>
          <t>우리 220351</t>
        </is>
      </c>
      <c r="E2" s="148" t="n">
        <v>0</v>
      </c>
      <c r="F2" s="148" t="n">
        <v>25895</v>
      </c>
      <c r="G2" s="148" t="n">
        <v>919723</v>
      </c>
      <c r="H2" s="75" t="inlineStr">
        <is>
          <t>타행건별</t>
        </is>
      </c>
      <c r="I2" s="75" t="inlineStr">
        <is>
          <t>박신영</t>
        </is>
      </c>
      <c r="J2" s="75" t="inlineStr">
        <is>
          <t>하나은행(081225)</t>
        </is>
      </c>
      <c r="K2" s="67" t="inlineStr">
        <is>
          <t>기타입금</t>
        </is>
      </c>
      <c r="L2" s="67" t="inlineStr">
        <is>
          <t>N</t>
        </is>
      </c>
      <c r="M2" s="67" t="inlineStr">
        <is>
          <t>N</t>
        </is>
      </c>
      <c r="N2" s="148" t="n">
        <v>25895</v>
      </c>
      <c r="O2" s="67" t="inlineStr">
        <is>
          <t>농협계좌_6개월(20260913).xls</t>
        </is>
      </c>
      <c r="P2" s="69" t="inlineStr">
        <is>
          <t>기존내역</t>
        </is>
      </c>
    </row>
    <row r="3">
      <c r="A3" s="146" t="n">
        <v>46272.13328703704</v>
      </c>
      <c r="B3" s="147" t="n">
        <v>46272</v>
      </c>
      <c r="C3" s="67" t="inlineStr">
        <is>
          <t>우리은행</t>
        </is>
      </c>
      <c r="D3" s="67" t="inlineStr">
        <is>
          <t>우리 220351</t>
        </is>
      </c>
      <c r="E3" s="148" t="n">
        <v>0</v>
      </c>
      <c r="F3" s="148" t="n">
        <v>6637041</v>
      </c>
      <c r="G3" s="148" t="n">
        <v>7556764</v>
      </c>
      <c r="H3" s="75" t="inlineStr">
        <is>
          <t>펌뱅킹</t>
        </is>
      </c>
      <c r="I3" s="75" t="inlineStr">
        <is>
          <t>스마트스토어정산</t>
        </is>
      </c>
      <c r="J3" s="75" t="inlineStr">
        <is>
          <t>두산타워기업영업지원팀</t>
        </is>
      </c>
      <c r="K3" s="67" t="inlineStr">
        <is>
          <t>온라인매출입금</t>
        </is>
      </c>
      <c r="L3" s="67" t="inlineStr">
        <is>
          <t>N</t>
        </is>
      </c>
      <c r="M3" s="67" t="inlineStr">
        <is>
          <t>N</t>
        </is>
      </c>
      <c r="N3" s="148" t="n">
        <v>6637041</v>
      </c>
      <c r="O3" s="67" t="inlineStr">
        <is>
          <t>농협계좌_6개월(20260913).xls</t>
        </is>
      </c>
      <c r="P3" s="69" t="inlineStr">
        <is>
          <t>기존내역</t>
        </is>
      </c>
    </row>
    <row r="4">
      <c r="A4" s="146" t="n">
        <v>46272.1937962963</v>
      </c>
      <c r="B4" s="147" t="n">
        <v>46272</v>
      </c>
      <c r="C4" s="67" t="inlineStr">
        <is>
          <t>국민은행</t>
        </is>
      </c>
      <c r="D4" s="67" t="inlineStr">
        <is>
          <t>국민 154577</t>
        </is>
      </c>
      <c r="E4" s="148" t="n">
        <v>0</v>
      </c>
      <c r="F4" s="148" t="n">
        <v>49863</v>
      </c>
      <c r="G4" s="148" t="n">
        <v>26397326</v>
      </c>
      <c r="H4" s="75" t="inlineStr">
        <is>
          <t>전자금융</t>
        </is>
      </c>
      <c r="I4" s="75" t="inlineStr">
        <is>
          <t>Npay정산</t>
        </is>
      </c>
      <c r="J4" s="75" t="inlineStr">
        <is>
          <t>SC은행</t>
        </is>
      </c>
      <c r="K4" s="67" t="inlineStr">
        <is>
          <t>온라인매출입금</t>
        </is>
      </c>
      <c r="L4" s="67" t="inlineStr">
        <is>
          <t>N</t>
        </is>
      </c>
      <c r="M4" s="67" t="inlineStr">
        <is>
          <t>N</t>
        </is>
      </c>
      <c r="N4" s="148" t="n">
        <v>49863</v>
      </c>
      <c r="O4" s="67" t="inlineStr">
        <is>
          <t>농협계좌_6개월(20260913).xls</t>
        </is>
      </c>
      <c r="P4" s="69" t="inlineStr">
        <is>
          <t>기존내역</t>
        </is>
      </c>
    </row>
    <row r="5">
      <c r="A5" s="146" t="n">
        <v>46272.40884259259</v>
      </c>
      <c r="B5" s="147" t="n">
        <v>46272</v>
      </c>
      <c r="C5" s="67" t="inlineStr">
        <is>
          <t>농협</t>
        </is>
      </c>
      <c r="D5" s="67" t="inlineStr">
        <is>
          <t>농협 569003</t>
        </is>
      </c>
      <c r="E5" s="148" t="n">
        <v>0</v>
      </c>
      <c r="F5" s="148" t="n">
        <v>159268</v>
      </c>
      <c r="G5" s="148" t="n">
        <v>324618</v>
      </c>
      <c r="H5" s="75" t="inlineStr">
        <is>
          <t>PC우리은행</t>
        </is>
      </c>
      <c r="I5" s="75" t="inlineStr">
        <is>
          <t>현423337508</t>
        </is>
      </c>
      <c r="J5" s="75" t="inlineStr">
        <is>
          <t>우리 0202905</t>
        </is>
      </c>
      <c r="K5" s="67" t="inlineStr">
        <is>
          <t>기타입금</t>
        </is>
      </c>
      <c r="L5" s="67" t="inlineStr">
        <is>
          <t>N</t>
        </is>
      </c>
      <c r="M5" s="67" t="inlineStr">
        <is>
          <t>N</t>
        </is>
      </c>
      <c r="N5" s="148" t="n">
        <v>159268</v>
      </c>
      <c r="O5" s="67" t="inlineStr">
        <is>
          <t>농협계좌_6개월(20260913).xls</t>
        </is>
      </c>
      <c r="P5" s="69" t="inlineStr">
        <is>
          <t>기존내역</t>
        </is>
      </c>
    </row>
    <row r="6">
      <c r="A6" s="146" t="n">
        <v>46272.42371527778</v>
      </c>
      <c r="B6" s="147" t="n">
        <v>46272</v>
      </c>
      <c r="C6" s="67" t="inlineStr">
        <is>
          <t>농협</t>
        </is>
      </c>
      <c r="D6" s="67" t="inlineStr">
        <is>
          <t>농협 569003</t>
        </is>
      </c>
      <c r="E6" s="148" t="n">
        <v>0</v>
      </c>
      <c r="F6" s="148" t="n">
        <v>168000</v>
      </c>
      <c r="G6" s="148" t="n">
        <v>492618</v>
      </c>
      <c r="H6" s="75" t="inlineStr">
        <is>
          <t>폰카카오</t>
        </is>
      </c>
      <c r="I6" s="75" t="inlineStr">
        <is>
          <t>류기련</t>
        </is>
      </c>
      <c r="J6" s="75" t="inlineStr">
        <is>
          <t>카카오뱅크 0900032</t>
        </is>
      </c>
      <c r="K6" s="67" t="inlineStr">
        <is>
          <t>기타입금</t>
        </is>
      </c>
      <c r="L6" s="67" t="inlineStr">
        <is>
          <t>N</t>
        </is>
      </c>
      <c r="M6" s="67" t="inlineStr">
        <is>
          <t>N</t>
        </is>
      </c>
      <c r="N6" s="148" t="n">
        <v>168000</v>
      </c>
      <c r="O6" s="67" t="inlineStr">
        <is>
          <t>농협계좌_6개월(20260913).xls</t>
        </is>
      </c>
      <c r="P6" s="69" t="inlineStr">
        <is>
          <t>기존내역</t>
        </is>
      </c>
    </row>
    <row r="7">
      <c r="A7" s="146" t="n">
        <v>46272.42827546296</v>
      </c>
      <c r="B7" s="147" t="n">
        <v>46272</v>
      </c>
      <c r="C7" s="67" t="inlineStr">
        <is>
          <t>국민은행</t>
        </is>
      </c>
      <c r="D7" s="67" t="inlineStr">
        <is>
          <t>국민 154577</t>
        </is>
      </c>
      <c r="E7" s="148" t="n">
        <v>500000</v>
      </c>
      <c r="F7" s="148" t="n">
        <v>0</v>
      </c>
      <c r="G7" s="148" t="n">
        <v>20656926</v>
      </c>
      <c r="H7" s="75" t="inlineStr">
        <is>
          <t>기일출금</t>
        </is>
      </c>
      <c r="I7" s="75" t="inlineStr">
        <is>
          <t>(주)에이팜건강</t>
        </is>
      </c>
      <c r="J7" s="75" t="inlineStr">
        <is>
          <t>진천역</t>
        </is>
      </c>
      <c r="K7" s="67" t="inlineStr">
        <is>
          <t>계좌간이체</t>
        </is>
      </c>
      <c r="L7" s="67" t="inlineStr">
        <is>
          <t>Y</t>
        </is>
      </c>
      <c r="M7" s="67" t="inlineStr">
        <is>
          <t>N</t>
        </is>
      </c>
      <c r="N7" s="148" t="n">
        <v>0</v>
      </c>
      <c r="O7" s="67" t="inlineStr">
        <is>
          <t>국민은행_계좌 조회 6개월(20260913).xls</t>
        </is>
      </c>
      <c r="P7" s="69" t="inlineStr">
        <is>
          <t>기존내역</t>
        </is>
      </c>
    </row>
    <row r="8">
      <c r="A8" s="146" t="n">
        <v>46272.42827546296</v>
      </c>
      <c r="B8" s="147" t="n">
        <v>46272</v>
      </c>
      <c r="C8" s="67" t="inlineStr">
        <is>
          <t>국민은행</t>
        </is>
      </c>
      <c r="D8" s="67" t="inlineStr">
        <is>
          <t>국민 154577</t>
        </is>
      </c>
      <c r="E8" s="148" t="n">
        <v>5240400</v>
      </c>
      <c r="F8" s="148" t="n">
        <v>0</v>
      </c>
      <c r="G8" s="148" t="n">
        <v>21156926</v>
      </c>
      <c r="H8" s="75" t="inlineStr">
        <is>
          <t>기일출금</t>
        </is>
      </c>
      <c r="I8" s="75" t="inlineStr">
        <is>
          <t>(주)에이팜건강</t>
        </is>
      </c>
      <c r="J8" s="75" t="inlineStr">
        <is>
          <t>진천역</t>
        </is>
      </c>
      <c r="K8" s="67" t="inlineStr">
        <is>
          <t>계좌간이체</t>
        </is>
      </c>
      <c r="L8" s="67" t="inlineStr">
        <is>
          <t>Y</t>
        </is>
      </c>
      <c r="M8" s="67" t="inlineStr">
        <is>
          <t>N</t>
        </is>
      </c>
      <c r="N8" s="148" t="n">
        <v>0</v>
      </c>
      <c r="O8" s="67" t="inlineStr">
        <is>
          <t>국민은행_계좌 조회 6개월(20260913).xls</t>
        </is>
      </c>
      <c r="P8" s="69" t="inlineStr">
        <is>
          <t>기존내역</t>
        </is>
      </c>
    </row>
    <row r="9">
      <c r="A9" s="146" t="n">
        <v>46272.42827546296</v>
      </c>
      <c r="B9" s="147" t="n">
        <v>46272</v>
      </c>
      <c r="C9" s="67" t="inlineStr">
        <is>
          <t>국민은행</t>
        </is>
      </c>
      <c r="D9" s="67" t="inlineStr">
        <is>
          <t>국민 169124</t>
        </is>
      </c>
      <c r="E9" s="148" t="n">
        <v>0</v>
      </c>
      <c r="F9" s="148" t="n">
        <v>500000</v>
      </c>
      <c r="G9" s="148" t="n">
        <v>148764600</v>
      </c>
      <c r="H9" s="75" t="inlineStr">
        <is>
          <t>기일입금</t>
        </is>
      </c>
      <c r="I9" s="75" t="inlineStr">
        <is>
          <t>(주)에이팜건강</t>
        </is>
      </c>
      <c r="J9" s="75" t="inlineStr">
        <is>
          <t>진천역</t>
        </is>
      </c>
      <c r="K9" s="67" t="inlineStr">
        <is>
          <t>계좌간이체</t>
        </is>
      </c>
      <c r="L9" s="67" t="inlineStr">
        <is>
          <t>Y</t>
        </is>
      </c>
      <c r="M9" s="67" t="inlineStr">
        <is>
          <t>N</t>
        </is>
      </c>
      <c r="N9" s="148" t="n">
        <v>0</v>
      </c>
      <c r="O9" s="67" t="inlineStr">
        <is>
          <t>국민은행_계좌 조회 6개월(20260913).xls</t>
        </is>
      </c>
      <c r="P9" s="69" t="inlineStr">
        <is>
          <t>기존내역</t>
        </is>
      </c>
    </row>
    <row r="10">
      <c r="A10" s="146" t="n">
        <v>46272.42827546296</v>
      </c>
      <c r="B10" s="147" t="n">
        <v>46272</v>
      </c>
      <c r="C10" s="67" t="inlineStr">
        <is>
          <t>국민은행</t>
        </is>
      </c>
      <c r="D10" s="67" t="inlineStr">
        <is>
          <t>국민 169124</t>
        </is>
      </c>
      <c r="E10" s="148" t="n">
        <v>0</v>
      </c>
      <c r="F10" s="148" t="n">
        <v>5240400</v>
      </c>
      <c r="G10" s="148" t="n">
        <v>148264600</v>
      </c>
      <c r="H10" s="75" t="inlineStr">
        <is>
          <t>기일입금</t>
        </is>
      </c>
      <c r="I10" s="75" t="inlineStr">
        <is>
          <t>(주)에이팜건강</t>
        </is>
      </c>
      <c r="J10" s="75" t="inlineStr">
        <is>
          <t>진천역</t>
        </is>
      </c>
      <c r="K10" s="67" t="inlineStr">
        <is>
          <t>계좌간이체</t>
        </is>
      </c>
      <c r="L10" s="67" t="inlineStr">
        <is>
          <t>Y</t>
        </is>
      </c>
      <c r="M10" s="67" t="inlineStr">
        <is>
          <t>N</t>
        </is>
      </c>
      <c r="N10" s="148" t="n">
        <v>0</v>
      </c>
      <c r="O10" s="67" t="inlineStr">
        <is>
          <t>국민은행_계좌 조회 6개월(20260913).xls</t>
        </is>
      </c>
      <c r="P10" s="69" t="inlineStr">
        <is>
          <t>기존내역</t>
        </is>
      </c>
    </row>
    <row r="11">
      <c r="A11" s="146" t="n">
        <v>46272.45971064815</v>
      </c>
      <c r="B11" s="147" t="n">
        <v>46272</v>
      </c>
      <c r="C11" s="67" t="inlineStr">
        <is>
          <t>국민은행</t>
        </is>
      </c>
      <c r="D11" s="67" t="inlineStr">
        <is>
          <t>국민 154577</t>
        </is>
      </c>
      <c r="E11" s="148" t="n">
        <v>0</v>
      </c>
      <c r="F11" s="148" t="n">
        <v>2550320</v>
      </c>
      <c r="G11" s="148" t="n">
        <v>23207246</v>
      </c>
      <c r="H11" s="75" t="inlineStr">
        <is>
          <t>전자금융</t>
        </is>
      </c>
      <c r="I11" s="75" t="inlineStr">
        <is>
          <t>KG이니시스</t>
        </is>
      </c>
      <c r="J11" s="75" t="inlineStr">
        <is>
          <t>하나은행</t>
        </is>
      </c>
      <c r="K11" s="67" t="inlineStr">
        <is>
          <t>온라인매출입금</t>
        </is>
      </c>
      <c r="L11" s="67" t="inlineStr">
        <is>
          <t>N</t>
        </is>
      </c>
      <c r="M11" s="67" t="inlineStr">
        <is>
          <t>N</t>
        </is>
      </c>
      <c r="N11" s="148" t="n">
        <v>2550320</v>
      </c>
      <c r="O11" s="67" t="inlineStr">
        <is>
          <t>우리은행 거래내역조회 20260913.xlsx</t>
        </is>
      </c>
      <c r="P11" s="69" t="inlineStr">
        <is>
          <t>기존내역</t>
        </is>
      </c>
    </row>
    <row r="12">
      <c r="A12" s="146" t="n">
        <v>46272.4716087963</v>
      </c>
      <c r="B12" s="147" t="n">
        <v>46272</v>
      </c>
      <c r="C12" s="67" t="inlineStr">
        <is>
          <t>국민은행</t>
        </is>
      </c>
      <c r="D12" s="67" t="inlineStr">
        <is>
          <t>국민 154577</t>
        </is>
      </c>
      <c r="E12" s="148" t="n">
        <v>0</v>
      </c>
      <c r="F12" s="148" t="n">
        <v>51404</v>
      </c>
      <c r="G12" s="148" t="n">
        <v>23258650</v>
      </c>
      <c r="H12" s="75" t="inlineStr">
        <is>
          <t>전자금융</t>
        </is>
      </c>
      <c r="I12" s="75" t="inlineStr">
        <is>
          <t>KG이니시스</t>
        </is>
      </c>
      <c r="J12" s="75" t="inlineStr">
        <is>
          <t>하나은행</t>
        </is>
      </c>
      <c r="K12" s="67" t="inlineStr">
        <is>
          <t>온라인매출입금</t>
        </is>
      </c>
      <c r="L12" s="67" t="inlineStr">
        <is>
          <t>N</t>
        </is>
      </c>
      <c r="M12" s="67" t="inlineStr">
        <is>
          <t>N</t>
        </is>
      </c>
      <c r="N12" s="148" t="n">
        <v>51404</v>
      </c>
      <c r="O12" s="67" t="inlineStr">
        <is>
          <t>우리은행 거래내역조회 20260913.xlsx</t>
        </is>
      </c>
      <c r="P12" s="69" t="inlineStr">
        <is>
          <t>기존내역</t>
        </is>
      </c>
    </row>
    <row r="13">
      <c r="A13" s="146" t="n">
        <v>46272.64737268518</v>
      </c>
      <c r="B13" s="147" t="n">
        <v>46272</v>
      </c>
      <c r="C13" s="67" t="inlineStr">
        <is>
          <t>국민은행</t>
        </is>
      </c>
      <c r="D13" s="67" t="inlineStr">
        <is>
          <t>국민 154577</t>
        </is>
      </c>
      <c r="E13" s="148" t="n">
        <v>0</v>
      </c>
      <c r="F13" s="148" t="n">
        <v>128071</v>
      </c>
      <c r="G13" s="148" t="n">
        <v>23386721</v>
      </c>
      <c r="H13" s="75" t="inlineStr">
        <is>
          <t>전자금융</t>
        </is>
      </c>
      <c r="I13" s="75" t="inlineStr">
        <is>
          <t>엔에이치엔페이</t>
        </is>
      </c>
      <c r="J13" s="75" t="inlineStr">
        <is>
          <t>신한은행</t>
        </is>
      </c>
      <c r="K13" s="67" t="inlineStr">
        <is>
          <t>온라인매출입금</t>
        </is>
      </c>
      <c r="L13" s="67" t="inlineStr">
        <is>
          <t>N</t>
        </is>
      </c>
      <c r="M13" s="67" t="inlineStr">
        <is>
          <t>N</t>
        </is>
      </c>
      <c r="N13" s="148" t="n">
        <v>128071</v>
      </c>
      <c r="O13" s="67" t="inlineStr">
        <is>
          <t>우리은행 거래내역조회 20260913.xlsx</t>
        </is>
      </c>
      <c r="P13" s="69" t="inlineStr">
        <is>
          <t>기존내역</t>
        </is>
      </c>
    </row>
    <row r="14">
      <c r="A14" s="146" t="n">
        <v>46272.70862268518</v>
      </c>
      <c r="B14" s="147" t="n">
        <v>46272</v>
      </c>
      <c r="C14" s="67" t="inlineStr">
        <is>
          <t>우리은행</t>
        </is>
      </c>
      <c r="D14" s="67" t="inlineStr">
        <is>
          <t>우리 220351</t>
        </is>
      </c>
      <c r="E14" s="148" t="n">
        <v>1881000</v>
      </c>
      <c r="F14" s="148" t="n">
        <v>0</v>
      </c>
      <c r="G14" s="148" t="n">
        <v>5675764</v>
      </c>
      <c r="H14" s="75" t="inlineStr">
        <is>
          <t>인터넷</t>
        </is>
      </c>
      <c r="I14" s="75" t="inlineStr">
        <is>
          <t>국민네이버 apha</t>
        </is>
      </c>
      <c r="J14" s="75" t="inlineStr">
        <is>
          <t>성서공단금융센터</t>
        </is>
      </c>
      <c r="K14" s="67" t="inlineStr">
        <is>
          <t>기타지출</t>
        </is>
      </c>
      <c r="L14" s="67" t="inlineStr">
        <is>
          <t>N</t>
        </is>
      </c>
      <c r="M14" s="67" t="inlineStr">
        <is>
          <t>Y</t>
        </is>
      </c>
      <c r="N14" s="148" t="n">
        <v>-1881000</v>
      </c>
      <c r="O14" s="67" t="inlineStr">
        <is>
          <t>국민은행_계좌 조회 6개월(20260913).xls</t>
        </is>
      </c>
      <c r="P14" s="69" t="inlineStr">
        <is>
          <t>기존내역</t>
        </is>
      </c>
    </row>
    <row r="15">
      <c r="A15" s="146" t="n">
        <v>46272.70863425926</v>
      </c>
      <c r="B15" s="147" t="n">
        <v>46272</v>
      </c>
      <c r="C15" s="67" t="inlineStr">
        <is>
          <t>우리은행</t>
        </is>
      </c>
      <c r="D15" s="67" t="inlineStr">
        <is>
          <t>우리 220351</t>
        </is>
      </c>
      <c r="E15" s="148" t="n">
        <v>440000</v>
      </c>
      <c r="F15" s="148" t="n">
        <v>0</v>
      </c>
      <c r="G15" s="148" t="n">
        <v>5235764</v>
      </c>
      <c r="H15" s="75" t="inlineStr">
        <is>
          <t>인터넷</t>
        </is>
      </c>
      <c r="I15" s="75" t="inlineStr">
        <is>
          <t>국민네이버 에이팜건</t>
        </is>
      </c>
      <c r="J15" s="75" t="inlineStr">
        <is>
          <t>성서공단금융센터</t>
        </is>
      </c>
      <c r="K15" s="67" t="inlineStr">
        <is>
          <t>기타지출</t>
        </is>
      </c>
      <c r="L15" s="67" t="inlineStr">
        <is>
          <t>N</t>
        </is>
      </c>
      <c r="M15" s="67" t="inlineStr">
        <is>
          <t>Y</t>
        </is>
      </c>
      <c r="N15" s="148" t="n">
        <v>-440000</v>
      </c>
      <c r="O15" s="67" t="inlineStr">
        <is>
          <t>국민은행_계좌 조회 6개월(20260913).xls</t>
        </is>
      </c>
      <c r="P15" s="69" t="inlineStr">
        <is>
          <t>기존내역</t>
        </is>
      </c>
    </row>
    <row r="16">
      <c r="A16" s="146" t="n">
        <v>46272.70864583334</v>
      </c>
      <c r="B16" s="147" t="n">
        <v>46272</v>
      </c>
      <c r="C16" s="67" t="inlineStr">
        <is>
          <t>우리은행</t>
        </is>
      </c>
      <c r="D16" s="67" t="inlineStr">
        <is>
          <t>우리 220351</t>
        </is>
      </c>
      <c r="E16" s="148" t="n">
        <v>498000</v>
      </c>
      <c r="F16" s="148" t="n">
        <v>0</v>
      </c>
      <c r="G16" s="148" t="n">
        <v>4737764</v>
      </c>
      <c r="H16" s="75" t="inlineStr">
        <is>
          <t>인터넷</t>
        </is>
      </c>
      <c r="I16" s="75" t="inlineStr">
        <is>
          <t>국민비즈월렛_쁘띠앤</t>
        </is>
      </c>
      <c r="J16" s="75" t="inlineStr">
        <is>
          <t>성서공단금융센터</t>
        </is>
      </c>
      <c r="K16" s="67" t="inlineStr">
        <is>
          <t>기타지출</t>
        </is>
      </c>
      <c r="L16" s="67" t="inlineStr">
        <is>
          <t>N</t>
        </is>
      </c>
      <c r="M16" s="67" t="inlineStr">
        <is>
          <t>Y</t>
        </is>
      </c>
      <c r="N16" s="148" t="n">
        <v>-498000</v>
      </c>
      <c r="O16" s="67" t="inlineStr">
        <is>
          <t>국민은행_계좌 조회 6개월(20260913).xls</t>
        </is>
      </c>
      <c r="P16" s="69" t="inlineStr">
        <is>
          <t>기존내역</t>
        </is>
      </c>
    </row>
    <row r="17">
      <c r="A17" s="146" t="n">
        <v>46272.70865740741</v>
      </c>
      <c r="B17" s="147" t="n">
        <v>46272</v>
      </c>
      <c r="C17" s="67" t="inlineStr">
        <is>
          <t>우리은행</t>
        </is>
      </c>
      <c r="D17" s="67" t="inlineStr">
        <is>
          <t>우리 220351</t>
        </is>
      </c>
      <c r="E17" s="148" t="n">
        <v>2420000</v>
      </c>
      <c r="F17" s="148" t="n">
        <v>0</v>
      </c>
      <c r="G17" s="148" t="n">
        <v>2317764</v>
      </c>
      <c r="H17" s="75" t="inlineStr">
        <is>
          <t>인터넷</t>
        </is>
      </c>
      <c r="I17" s="75" t="inlineStr">
        <is>
          <t>(주)삼성출판사</t>
        </is>
      </c>
      <c r="J17" s="75" t="inlineStr">
        <is>
          <t>성서공단금융센터</t>
        </is>
      </c>
      <c r="K17" s="67" t="inlineStr">
        <is>
          <t>기타지출</t>
        </is>
      </c>
      <c r="L17" s="67" t="inlineStr">
        <is>
          <t>N</t>
        </is>
      </c>
      <c r="M17" s="67" t="inlineStr">
        <is>
          <t>N</t>
        </is>
      </c>
      <c r="N17" s="148" t="n">
        <v>-2420000</v>
      </c>
      <c r="O17" s="67" t="inlineStr">
        <is>
          <t>국민은행_계좌 조회 6개월(20260913).xls</t>
        </is>
      </c>
      <c r="P17" s="69" t="inlineStr">
        <is>
          <t>기존내역</t>
        </is>
      </c>
    </row>
    <row r="18">
      <c r="A18" s="146" t="n">
        <v>46272.79643518518</v>
      </c>
      <c r="B18" s="147" t="n">
        <v>46272</v>
      </c>
      <c r="C18" s="67" t="inlineStr">
        <is>
          <t>국민은행</t>
        </is>
      </c>
      <c r="D18" s="67" t="inlineStr">
        <is>
          <t>국민 169124</t>
        </is>
      </c>
      <c r="E18" s="148" t="n">
        <v>40521200</v>
      </c>
      <c r="F18" s="148" t="n">
        <v>0</v>
      </c>
      <c r="G18" s="148" t="n">
        <v>108243400</v>
      </c>
      <c r="H18" s="75" t="inlineStr">
        <is>
          <t>FBS출금</t>
        </is>
      </c>
      <c r="I18" s="75" t="inlineStr">
        <is>
          <t>한화생09-03</t>
        </is>
      </c>
      <c r="J18" s="75" t="inlineStr">
        <is>
          <t>ERP사</t>
        </is>
      </c>
      <c r="K18" s="67" t="inlineStr">
        <is>
          <t>보험료</t>
        </is>
      </c>
      <c r="L18" s="67" t="inlineStr">
        <is>
          <t>N</t>
        </is>
      </c>
      <c r="M18" s="67" t="inlineStr">
        <is>
          <t>Y</t>
        </is>
      </c>
      <c r="N18" s="148" t="n">
        <v>-40521200</v>
      </c>
      <c r="O18" s="67" t="inlineStr">
        <is>
          <t>우리은행 거래내역조회 20260913.xlsx</t>
        </is>
      </c>
      <c r="P18" s="69" t="inlineStr">
        <is>
          <t>기존내역</t>
        </is>
      </c>
    </row>
    <row r="19">
      <c r="A19" s="146" t="n">
        <v>46272.8093287037</v>
      </c>
      <c r="B19" s="147" t="n">
        <v>46272</v>
      </c>
      <c r="C19" s="67" t="inlineStr">
        <is>
          <t>국민은행</t>
        </is>
      </c>
      <c r="D19" s="67" t="inlineStr">
        <is>
          <t>국민 169124</t>
        </is>
      </c>
      <c r="E19" s="148" t="n">
        <v>8243400</v>
      </c>
      <c r="F19" s="148" t="n">
        <v>0</v>
      </c>
      <c r="G19" s="148" t="n">
        <v>100000000</v>
      </c>
      <c r="H19" s="75" t="inlineStr">
        <is>
          <t>FBS출금</t>
        </is>
      </c>
      <c r="I19" s="75" t="inlineStr">
        <is>
          <t>삼성09002건</t>
        </is>
      </c>
      <c r="J19" s="75" t="inlineStr">
        <is>
          <t>ERP사</t>
        </is>
      </c>
      <c r="K19" s="67" t="inlineStr">
        <is>
          <t>보험료</t>
        </is>
      </c>
      <c r="L19" s="67" t="inlineStr">
        <is>
          <t>N</t>
        </is>
      </c>
      <c r="M19" s="67" t="inlineStr">
        <is>
          <t>Y</t>
        </is>
      </c>
      <c r="N19" s="148" t="n">
        <v>-8243400</v>
      </c>
      <c r="O19" s="67" t="inlineStr">
        <is>
          <t>우리은행 거래내역조회 20260913.xlsx</t>
        </is>
      </c>
      <c r="P19" s="69" t="inlineStr">
        <is>
          <t>기존내역</t>
        </is>
      </c>
    </row>
    <row r="20">
      <c r="A20" s="146" t="n">
        <v>46272.82208333333</v>
      </c>
      <c r="B20" s="147" t="n">
        <v>46272</v>
      </c>
      <c r="C20" s="67" t="inlineStr">
        <is>
          <t>국민은행</t>
        </is>
      </c>
      <c r="D20" s="67" t="inlineStr">
        <is>
          <t>국민 154577</t>
        </is>
      </c>
      <c r="E20" s="148" t="n">
        <v>4494000</v>
      </c>
      <c r="F20" s="148" t="n">
        <v>0</v>
      </c>
      <c r="G20" s="148" t="n">
        <v>18892721</v>
      </c>
      <c r="H20" s="75" t="inlineStr">
        <is>
          <t>CMS 공동</t>
        </is>
      </c>
      <c r="I20" s="75" t="inlineStr">
        <is>
          <t>미래09070</t>
        </is>
      </c>
      <c r="J20" s="75" t="inlineStr">
        <is>
          <t>ERP사</t>
        </is>
      </c>
      <c r="K20" s="67" t="inlineStr">
        <is>
          <t>기타지출</t>
        </is>
      </c>
      <c r="L20" s="67" t="inlineStr">
        <is>
          <t>N</t>
        </is>
      </c>
      <c r="M20" s="67" t="inlineStr">
        <is>
          <t>Y</t>
        </is>
      </c>
      <c r="N20" s="148" t="n">
        <v>-4494000</v>
      </c>
      <c r="O20" s="67" t="inlineStr">
        <is>
          <t>우리은행 거래내역조회 20260913.xlsx</t>
        </is>
      </c>
      <c r="P20" s="69" t="inlineStr">
        <is>
          <t>기존내역</t>
        </is>
      </c>
    </row>
    <row r="21">
      <c r="A21" s="146" t="n">
        <v>46273.10449074074</v>
      </c>
      <c r="B21" s="147" t="n">
        <v>46273</v>
      </c>
      <c r="C21" s="67" t="inlineStr">
        <is>
          <t>우리은행</t>
        </is>
      </c>
      <c r="D21" s="67" t="inlineStr">
        <is>
          <t>우리 220351</t>
        </is>
      </c>
      <c r="E21" s="148" t="n">
        <v>0</v>
      </c>
      <c r="F21" s="148" t="n">
        <v>17934966</v>
      </c>
      <c r="G21" s="148" t="n">
        <v>20252730</v>
      </c>
      <c r="H21" s="75" t="inlineStr">
        <is>
          <t>펌뱅킹</t>
        </is>
      </c>
      <c r="I21" s="75" t="inlineStr">
        <is>
          <t>스마트스토어정산</t>
        </is>
      </c>
      <c r="J21" s="75" t="inlineStr">
        <is>
          <t>두산타워기업영업지원팀</t>
        </is>
      </c>
      <c r="K21" s="67" t="inlineStr">
        <is>
          <t>온라인매출입금</t>
        </is>
      </c>
      <c r="L21" s="67" t="inlineStr">
        <is>
          <t>N</t>
        </is>
      </c>
      <c r="M21" s="67" t="inlineStr">
        <is>
          <t>N</t>
        </is>
      </c>
      <c r="N21" s="148" t="n">
        <v>17934966</v>
      </c>
      <c r="O21" s="67" t="inlineStr">
        <is>
          <t>우리은행 거래내역조회 20260913.xlsx</t>
        </is>
      </c>
      <c r="P21" s="69" t="inlineStr">
        <is>
          <t>기존내역</t>
        </is>
      </c>
    </row>
    <row r="22">
      <c r="A22" s="146" t="n">
        <v>46273.14228009259</v>
      </c>
      <c r="B22" s="147" t="n">
        <v>46273</v>
      </c>
      <c r="C22" s="67" t="inlineStr">
        <is>
          <t>국민은행</t>
        </is>
      </c>
      <c r="D22" s="67" t="inlineStr">
        <is>
          <t>국민 154577</t>
        </is>
      </c>
      <c r="E22" s="148" t="n">
        <v>0</v>
      </c>
      <c r="F22" s="148" t="n">
        <v>421628</v>
      </c>
      <c r="G22" s="148" t="n">
        <v>19314349</v>
      </c>
      <c r="H22" s="75" t="inlineStr">
        <is>
          <t>전자금융</t>
        </is>
      </c>
      <c r="I22" s="75" t="inlineStr">
        <is>
          <t>Npay정산</t>
        </is>
      </c>
      <c r="J22" s="75" t="inlineStr">
        <is>
          <t>SC은행</t>
        </is>
      </c>
      <c r="K22" s="67" t="inlineStr">
        <is>
          <t>온라인매출입금</t>
        </is>
      </c>
      <c r="L22" s="67" t="inlineStr">
        <is>
          <t>N</t>
        </is>
      </c>
      <c r="M22" s="67" t="inlineStr">
        <is>
          <t>N</t>
        </is>
      </c>
      <c r="N22" s="148" t="n">
        <v>421628</v>
      </c>
      <c r="O22" s="67" t="inlineStr">
        <is>
          <t>우리은행 거래내역조회 20260913.xlsx</t>
        </is>
      </c>
      <c r="P22" s="69" t="inlineStr">
        <is>
          <t>기존내역</t>
        </is>
      </c>
    </row>
    <row r="23">
      <c r="A23" s="146" t="n">
        <v>46273.46542824074</v>
      </c>
      <c r="B23" s="147" t="n">
        <v>46273</v>
      </c>
      <c r="C23" s="67" t="inlineStr">
        <is>
          <t>국민은행</t>
        </is>
      </c>
      <c r="D23" s="67" t="inlineStr">
        <is>
          <t>국민 154577</t>
        </is>
      </c>
      <c r="E23" s="148" t="n">
        <v>0</v>
      </c>
      <c r="F23" s="148" t="n">
        <v>1470000</v>
      </c>
      <c r="G23" s="148" t="n">
        <v>20784349</v>
      </c>
      <c r="H23" s="75" t="inlineStr">
        <is>
          <t>전자금융</t>
        </is>
      </c>
      <c r="I23" s="75" t="inlineStr">
        <is>
          <t>대구광역시수영연맹(</t>
        </is>
      </c>
      <c r="J23" s="75" t="inlineStr">
        <is>
          <t>아이엠뱅</t>
        </is>
      </c>
      <c r="K23" s="67" t="inlineStr">
        <is>
          <t>기타입금</t>
        </is>
      </c>
      <c r="L23" s="67" t="inlineStr">
        <is>
          <t>N</t>
        </is>
      </c>
      <c r="M23" s="67" t="inlineStr">
        <is>
          <t>N</t>
        </is>
      </c>
      <c r="N23" s="148" t="n">
        <v>1470000</v>
      </c>
      <c r="O23" s="67" t="inlineStr">
        <is>
          <t>국민은행_계좌 조회 6개월(20260913).xls</t>
        </is>
      </c>
      <c r="P23" s="69" t="inlineStr">
        <is>
          <t>기존내역</t>
        </is>
      </c>
    </row>
    <row r="24">
      <c r="A24" s="146" t="n">
        <v>46273.48320601852</v>
      </c>
      <c r="B24" s="147" t="n">
        <v>46273</v>
      </c>
      <c r="C24" s="67" t="inlineStr">
        <is>
          <t>국민은행</t>
        </is>
      </c>
      <c r="D24" s="67" t="inlineStr">
        <is>
          <t>국민 154577</t>
        </is>
      </c>
      <c r="E24" s="148" t="n">
        <v>0</v>
      </c>
      <c r="F24" s="148" t="n">
        <v>1004117</v>
      </c>
      <c r="G24" s="148" t="n">
        <v>21788466</v>
      </c>
      <c r="H24" s="75" t="inlineStr">
        <is>
          <t>전자금융</t>
        </is>
      </c>
      <c r="I24" s="75" t="inlineStr">
        <is>
          <t>(주)케이지모</t>
        </is>
      </c>
      <c r="J24" s="75" t="inlineStr">
        <is>
          <t>하나은행</t>
        </is>
      </c>
      <c r="K24" s="67" t="inlineStr">
        <is>
          <t>기타입금</t>
        </is>
      </c>
      <c r="L24" s="67" t="inlineStr">
        <is>
          <t>N</t>
        </is>
      </c>
      <c r="M24" s="67" t="inlineStr">
        <is>
          <t>N</t>
        </is>
      </c>
      <c r="N24" s="148" t="n">
        <v>1004117</v>
      </c>
      <c r="O24" s="67" t="inlineStr">
        <is>
          <t>우리은행 거래내역조회 20260913.xlsx</t>
        </is>
      </c>
      <c r="P24" s="69" t="inlineStr">
        <is>
          <t>기존내역</t>
        </is>
      </c>
    </row>
    <row r="25">
      <c r="A25" s="146" t="n">
        <v>46273.48694444444</v>
      </c>
      <c r="B25" s="147" t="n">
        <v>46273</v>
      </c>
      <c r="C25" s="67" t="inlineStr">
        <is>
          <t>국민은행</t>
        </is>
      </c>
      <c r="D25" s="67" t="inlineStr">
        <is>
          <t>국민 154577</t>
        </is>
      </c>
      <c r="E25" s="148" t="n">
        <v>0</v>
      </c>
      <c r="F25" s="148" t="n">
        <v>343986</v>
      </c>
      <c r="G25" s="148" t="n">
        <v>22132452</v>
      </c>
      <c r="H25" s="75" t="inlineStr">
        <is>
          <t>전자금융</t>
        </is>
      </c>
      <c r="I25" s="75" t="inlineStr">
        <is>
          <t>KG이니시스</t>
        </is>
      </c>
      <c r="J25" s="75" t="inlineStr">
        <is>
          <t>하나은행</t>
        </is>
      </c>
      <c r="K25" s="67" t="inlineStr">
        <is>
          <t>온라인매출입금</t>
        </is>
      </c>
      <c r="L25" s="67" t="inlineStr">
        <is>
          <t>N</t>
        </is>
      </c>
      <c r="M25" s="67" t="inlineStr">
        <is>
          <t>N</t>
        </is>
      </c>
      <c r="N25" s="148" t="n">
        <v>343986</v>
      </c>
      <c r="O25" s="67" t="inlineStr">
        <is>
          <t>국민은행_계좌 조회 6개월(20260913).xls</t>
        </is>
      </c>
      <c r="P25" s="69" t="inlineStr">
        <is>
          <t>기존내역</t>
        </is>
      </c>
    </row>
    <row r="26">
      <c r="A26" s="146" t="n">
        <v>46273.50429398148</v>
      </c>
      <c r="B26" s="147" t="n">
        <v>46273</v>
      </c>
      <c r="C26" s="67" t="inlineStr">
        <is>
          <t>국민은행</t>
        </is>
      </c>
      <c r="D26" s="67" t="inlineStr">
        <is>
          <t>국민 154577</t>
        </is>
      </c>
      <c r="E26" s="148" t="n">
        <v>0</v>
      </c>
      <c r="F26" s="148" t="n">
        <v>4517087</v>
      </c>
      <c r="G26" s="148" t="n">
        <v>26649539</v>
      </c>
      <c r="H26" s="75" t="inlineStr">
        <is>
          <t>전자금융</t>
        </is>
      </c>
      <c r="I26" s="75" t="inlineStr">
        <is>
          <t>KG이니시스</t>
        </is>
      </c>
      <c r="J26" s="75" t="inlineStr">
        <is>
          <t>하나은행</t>
        </is>
      </c>
      <c r="K26" s="67" t="inlineStr">
        <is>
          <t>온라인매출입금</t>
        </is>
      </c>
      <c r="L26" s="67" t="inlineStr">
        <is>
          <t>N</t>
        </is>
      </c>
      <c r="M26" s="67" t="inlineStr">
        <is>
          <t>N</t>
        </is>
      </c>
      <c r="N26" s="148" t="n">
        <v>4517087</v>
      </c>
      <c r="O26" s="67" t="inlineStr">
        <is>
          <t>국민은행_계좌 조회 6개월(20260913).xls</t>
        </is>
      </c>
      <c r="P26" s="69" t="inlineStr">
        <is>
          <t>기존내역</t>
        </is>
      </c>
    </row>
    <row r="27">
      <c r="A27" s="146" t="n">
        <v>46273.61069444445</v>
      </c>
      <c r="B27" s="147" t="n">
        <v>46273</v>
      </c>
      <c r="C27" s="67" t="inlineStr">
        <is>
          <t>국민은행</t>
        </is>
      </c>
      <c r="D27" s="67" t="inlineStr">
        <is>
          <t>국민 154577</t>
        </is>
      </c>
      <c r="E27" s="148" t="n">
        <v>0</v>
      </c>
      <c r="F27" s="148" t="n">
        <v>105800</v>
      </c>
      <c r="G27" s="148" t="n">
        <v>26755339</v>
      </c>
      <c r="H27" s="75" t="inlineStr">
        <is>
          <t>전자금융</t>
        </is>
      </c>
      <c r="I27" s="75" t="inlineStr">
        <is>
          <t>GS리테일</t>
        </is>
      </c>
      <c r="J27" s="75" t="inlineStr">
        <is>
          <t>우리은행</t>
        </is>
      </c>
      <c r="K27" s="67" t="inlineStr">
        <is>
          <t>기타입금</t>
        </is>
      </c>
      <c r="L27" s="67" t="inlineStr">
        <is>
          <t>N</t>
        </is>
      </c>
      <c r="M27" s="67" t="inlineStr">
        <is>
          <t>N</t>
        </is>
      </c>
      <c r="N27" s="148" t="n">
        <v>105800</v>
      </c>
      <c r="O27" s="67" t="inlineStr">
        <is>
          <t>우리은행 거래내역조회 20260913.xlsx</t>
        </is>
      </c>
      <c r="P27" s="69" t="inlineStr">
        <is>
          <t>기존내역</t>
        </is>
      </c>
    </row>
    <row r="28">
      <c r="A28" s="146" t="n">
        <v>46273.61173611111</v>
      </c>
      <c r="B28" s="147" t="n">
        <v>46273</v>
      </c>
      <c r="C28" s="67" t="inlineStr">
        <is>
          <t>농협</t>
        </is>
      </c>
      <c r="D28" s="67" t="inlineStr">
        <is>
          <t>농협 569003</t>
        </is>
      </c>
      <c r="E28" s="148" t="n">
        <v>0</v>
      </c>
      <c r="F28" s="148" t="n">
        <v>230000</v>
      </c>
      <c r="G28" s="148" t="n">
        <v>722618</v>
      </c>
      <c r="H28" s="75" t="inlineStr">
        <is>
          <t>E-아이엠</t>
        </is>
      </c>
      <c r="I28" s="75" t="inlineStr">
        <is>
          <t>필약국(이양희)</t>
        </is>
      </c>
      <c r="J28" s="75" t="inlineStr">
        <is>
          <t>아이엠 (구)대구 0310017</t>
        </is>
      </c>
      <c r="K28" s="67" t="inlineStr">
        <is>
          <t>기타입금</t>
        </is>
      </c>
      <c r="L28" s="67" t="inlineStr">
        <is>
          <t>N</t>
        </is>
      </c>
      <c r="M28" s="67" t="inlineStr">
        <is>
          <t>N</t>
        </is>
      </c>
      <c r="N28" s="148" t="n">
        <v>230000</v>
      </c>
      <c r="O28" s="67" t="inlineStr">
        <is>
          <t>우리은행 거래내역조회 20260913.xlsx</t>
        </is>
      </c>
      <c r="P28" s="69" t="inlineStr">
        <is>
          <t>기존내역</t>
        </is>
      </c>
    </row>
    <row r="29">
      <c r="A29" s="146" t="n">
        <v>46273.63680555556</v>
      </c>
      <c r="B29" s="147" t="n">
        <v>46273</v>
      </c>
      <c r="C29" s="67" t="inlineStr">
        <is>
          <t>국민은행</t>
        </is>
      </c>
      <c r="D29" s="67" t="inlineStr">
        <is>
          <t>국민 154577</t>
        </is>
      </c>
      <c r="E29" s="148" t="n">
        <v>0</v>
      </c>
      <c r="F29" s="148" t="n">
        <v>160000</v>
      </c>
      <c r="G29" s="148" t="n">
        <v>26915339</v>
      </c>
      <c r="H29" s="75" t="inlineStr">
        <is>
          <t>전자금융</t>
        </is>
      </c>
      <c r="I29" s="75" t="inlineStr">
        <is>
          <t>김은제(합정동산약국</t>
        </is>
      </c>
      <c r="J29" s="75" t="inlineStr">
        <is>
          <t>경남은행</t>
        </is>
      </c>
      <c r="K29" s="67" t="inlineStr">
        <is>
          <t>기타입금</t>
        </is>
      </c>
      <c r="L29" s="67" t="inlineStr">
        <is>
          <t>N</t>
        </is>
      </c>
      <c r="M29" s="67" t="inlineStr">
        <is>
          <t>N</t>
        </is>
      </c>
      <c r="N29" s="148" t="n">
        <v>160000</v>
      </c>
      <c r="O29" s="67" t="inlineStr">
        <is>
          <t>국민은행_계좌 조회 6개월(20260913).xls</t>
        </is>
      </c>
      <c r="P29" s="69" t="inlineStr">
        <is>
          <t>기존내역</t>
        </is>
      </c>
    </row>
    <row r="30">
      <c r="A30" s="146" t="n">
        <v>46273.64721064815</v>
      </c>
      <c r="B30" s="147" t="n">
        <v>46273</v>
      </c>
      <c r="C30" s="67" t="inlineStr">
        <is>
          <t>국민은행</t>
        </is>
      </c>
      <c r="D30" s="67" t="inlineStr">
        <is>
          <t>국민 154577</t>
        </is>
      </c>
      <c r="E30" s="148" t="n">
        <v>0</v>
      </c>
      <c r="F30" s="148" t="n">
        <v>261626</v>
      </c>
      <c r="G30" s="148" t="n">
        <v>27176965</v>
      </c>
      <c r="H30" s="75" t="inlineStr">
        <is>
          <t>전자금융</t>
        </is>
      </c>
      <c r="I30" s="75" t="inlineStr">
        <is>
          <t>엔에이치엔페이</t>
        </is>
      </c>
      <c r="J30" s="75" t="inlineStr">
        <is>
          <t>신한은행</t>
        </is>
      </c>
      <c r="K30" s="67" t="inlineStr">
        <is>
          <t>온라인매출입금</t>
        </is>
      </c>
      <c r="L30" s="67" t="inlineStr">
        <is>
          <t>N</t>
        </is>
      </c>
      <c r="M30" s="67" t="inlineStr">
        <is>
          <t>N</t>
        </is>
      </c>
      <c r="N30" s="148" t="n">
        <v>261626</v>
      </c>
      <c r="O30" s="67" t="inlineStr">
        <is>
          <t>우리은행 거래내역조회 20260913.xlsx</t>
        </is>
      </c>
      <c r="P30" s="69" t="inlineStr">
        <is>
          <t>기존내역</t>
        </is>
      </c>
    </row>
    <row r="31">
      <c r="A31" s="146" t="n">
        <v>46273.73128472222</v>
      </c>
      <c r="B31" s="147" t="n">
        <v>46273</v>
      </c>
      <c r="C31" s="67" t="inlineStr">
        <is>
          <t>우리은행</t>
        </is>
      </c>
      <c r="D31" s="67" t="inlineStr">
        <is>
          <t>우리 220351</t>
        </is>
      </c>
      <c r="E31" s="148" t="n">
        <v>1881000</v>
      </c>
      <c r="F31" s="148" t="n">
        <v>0</v>
      </c>
      <c r="G31" s="148" t="n">
        <v>18371730</v>
      </c>
      <c r="H31" s="75" t="inlineStr">
        <is>
          <t>인터넷</t>
        </is>
      </c>
      <c r="I31" s="75" t="inlineStr">
        <is>
          <t>국민네이버 apha</t>
        </is>
      </c>
      <c r="J31" s="75" t="inlineStr">
        <is>
          <t>성서공단금융센터</t>
        </is>
      </c>
      <c r="K31" s="67" t="inlineStr">
        <is>
          <t>기타지출</t>
        </is>
      </c>
      <c r="L31" s="67" t="inlineStr">
        <is>
          <t>N</t>
        </is>
      </c>
      <c r="M31" s="67" t="inlineStr">
        <is>
          <t>Y</t>
        </is>
      </c>
      <c r="N31" s="148" t="n">
        <v>-1881000</v>
      </c>
      <c r="O31" s="67" t="inlineStr">
        <is>
          <t>국민은행_계좌 조회 6개월(20260913).xls</t>
        </is>
      </c>
      <c r="P31" s="69" t="inlineStr">
        <is>
          <t>기존내역</t>
        </is>
      </c>
    </row>
    <row r="32">
      <c r="A32" s="146" t="n">
        <v>46273.7312962963</v>
      </c>
      <c r="B32" s="147" t="n">
        <v>46273</v>
      </c>
      <c r="C32" s="67" t="inlineStr">
        <is>
          <t>우리은행</t>
        </is>
      </c>
      <c r="D32" s="67" t="inlineStr">
        <is>
          <t>우리 220351</t>
        </is>
      </c>
      <c r="E32" s="148" t="n">
        <v>220000</v>
      </c>
      <c r="F32" s="148" t="n">
        <v>0</v>
      </c>
      <c r="G32" s="148" t="n">
        <v>18151730</v>
      </c>
      <c r="H32" s="75" t="inlineStr">
        <is>
          <t>인터넷</t>
        </is>
      </c>
      <c r="I32" s="75" t="inlineStr">
        <is>
          <t>국민네이버 에이팜건</t>
        </is>
      </c>
      <c r="J32" s="75" t="inlineStr">
        <is>
          <t>성서공단금융센터</t>
        </is>
      </c>
      <c r="K32" s="67" t="inlineStr">
        <is>
          <t>기타지출</t>
        </is>
      </c>
      <c r="L32" s="67" t="inlineStr">
        <is>
          <t>N</t>
        </is>
      </c>
      <c r="M32" s="67" t="inlineStr">
        <is>
          <t>Y</t>
        </is>
      </c>
      <c r="N32" s="148" t="n">
        <v>-220000</v>
      </c>
      <c r="O32" s="67" t="inlineStr">
        <is>
          <t>우리은행 거래내역조회 20260913.xlsx</t>
        </is>
      </c>
      <c r="P32" s="69" t="inlineStr">
        <is>
          <t>기존내역</t>
        </is>
      </c>
    </row>
    <row r="33">
      <c r="A33" s="146" t="n">
        <v>46273.73130787037</v>
      </c>
      <c r="B33" s="147" t="n">
        <v>46273</v>
      </c>
      <c r="C33" s="67" t="inlineStr">
        <is>
          <t>우리은행</t>
        </is>
      </c>
      <c r="D33" s="67" t="inlineStr">
        <is>
          <t>우리 220351</t>
        </is>
      </c>
      <c r="E33" s="148" t="n">
        <v>1100000</v>
      </c>
      <c r="F33" s="148" t="n">
        <v>0</v>
      </c>
      <c r="G33" s="148" t="n">
        <v>17051730</v>
      </c>
      <c r="H33" s="75" t="inlineStr">
        <is>
          <t>인터넷</t>
        </is>
      </c>
      <c r="I33" s="75" t="inlineStr">
        <is>
          <t>국민주식회사 캐시워</t>
        </is>
      </c>
      <c r="J33" s="75" t="inlineStr">
        <is>
          <t>성서공단금융센터</t>
        </is>
      </c>
      <c r="K33" s="67" t="inlineStr">
        <is>
          <t>기타지출</t>
        </is>
      </c>
      <c r="L33" s="67" t="inlineStr">
        <is>
          <t>N</t>
        </is>
      </c>
      <c r="M33" s="67" t="inlineStr">
        <is>
          <t>N</t>
        </is>
      </c>
      <c r="N33" s="148" t="n">
        <v>-1100000</v>
      </c>
      <c r="O33" s="67" t="inlineStr">
        <is>
          <t>우리은행 거래내역조회 20260913.xlsx</t>
        </is>
      </c>
      <c r="P33" s="69" t="inlineStr">
        <is>
          <t>기존내역</t>
        </is>
      </c>
    </row>
    <row r="34">
      <c r="A34" s="146" t="n">
        <v>46273.73131944444</v>
      </c>
      <c r="B34" s="147" t="n">
        <v>46273</v>
      </c>
      <c r="C34" s="67" t="inlineStr">
        <is>
          <t>우리은행</t>
        </is>
      </c>
      <c r="D34" s="67" t="inlineStr">
        <is>
          <t>우리 220351</t>
        </is>
      </c>
      <c r="E34" s="148" t="n">
        <v>498938</v>
      </c>
      <c r="F34" s="148" t="n">
        <v>0</v>
      </c>
      <c r="G34" s="148" t="n">
        <v>16552792</v>
      </c>
      <c r="H34" s="75" t="inlineStr">
        <is>
          <t>인터넷</t>
        </is>
      </c>
      <c r="I34" s="75" t="inlineStr">
        <is>
          <t>국민비즈월렛_쁘띠앤</t>
        </is>
      </c>
      <c r="J34" s="75" t="inlineStr">
        <is>
          <t>성서공단금융센터</t>
        </is>
      </c>
      <c r="K34" s="67" t="inlineStr">
        <is>
          <t>기타지출</t>
        </is>
      </c>
      <c r="L34" s="67" t="inlineStr">
        <is>
          <t>N</t>
        </is>
      </c>
      <c r="M34" s="67" t="inlineStr">
        <is>
          <t>Y</t>
        </is>
      </c>
      <c r="N34" s="148" t="n">
        <v>-498938</v>
      </c>
      <c r="O34" s="67" t="inlineStr">
        <is>
          <t>우리은행 거래내역조회 20260913.xlsx</t>
        </is>
      </c>
      <c r="P34" s="69" t="inlineStr">
        <is>
          <t>기존내역</t>
        </is>
      </c>
    </row>
    <row r="35">
      <c r="A35" s="146" t="n">
        <v>46273.76520833333</v>
      </c>
      <c r="B35" s="147" t="n">
        <v>46273</v>
      </c>
      <c r="C35" s="67" t="inlineStr">
        <is>
          <t>우리은행</t>
        </is>
      </c>
      <c r="D35" s="67" t="inlineStr">
        <is>
          <t>우리 220351</t>
        </is>
      </c>
      <c r="E35" s="148" t="n">
        <v>3630000</v>
      </c>
      <c r="F35" s="148" t="n">
        <v>0</v>
      </c>
      <c r="G35" s="148" t="n">
        <v>12922792</v>
      </c>
      <c r="H35" s="75" t="inlineStr">
        <is>
          <t>인터넷</t>
        </is>
      </c>
      <c r="I35" s="75" t="inlineStr">
        <is>
          <t>국민9월 릴스광고</t>
        </is>
      </c>
      <c r="J35" s="75" t="inlineStr">
        <is>
          <t>성서공단금융센터</t>
        </is>
      </c>
      <c r="K35" s="67" t="inlineStr">
        <is>
          <t>기타지출</t>
        </is>
      </c>
      <c r="L35" s="67" t="inlineStr">
        <is>
          <t>N</t>
        </is>
      </c>
      <c r="M35" s="67" t="inlineStr">
        <is>
          <t>N</t>
        </is>
      </c>
      <c r="N35" s="148" t="n">
        <v>-3630000</v>
      </c>
      <c r="O35" s="67" t="inlineStr">
        <is>
          <t>국민은행_계좌 조회 6개월(20260913).xls</t>
        </is>
      </c>
      <c r="P35" s="69" t="inlineStr">
        <is>
          <t>기존내역</t>
        </is>
      </c>
    </row>
    <row r="36">
      <c r="A36" s="146" t="n">
        <v>46274.07239583333</v>
      </c>
      <c r="B36" s="147" t="n">
        <v>46274</v>
      </c>
      <c r="C36" s="67" t="inlineStr">
        <is>
          <t>국민은행</t>
        </is>
      </c>
      <c r="D36" s="67" t="inlineStr">
        <is>
          <t>국민 154577</t>
        </is>
      </c>
      <c r="E36" s="148" t="n">
        <v>0</v>
      </c>
      <c r="F36" s="148" t="n">
        <v>99920</v>
      </c>
      <c r="G36" s="148" t="n">
        <v>27276885</v>
      </c>
      <c r="H36" s="75" t="inlineStr">
        <is>
          <t>전자금융</t>
        </is>
      </c>
      <c r="I36" s="75" t="inlineStr">
        <is>
          <t>Npay정산</t>
        </is>
      </c>
      <c r="J36" s="75" t="inlineStr">
        <is>
          <t>SC은행</t>
        </is>
      </c>
      <c r="K36" s="67" t="inlineStr">
        <is>
          <t>온라인매출입금</t>
        </is>
      </c>
      <c r="L36" s="67" t="inlineStr">
        <is>
          <t>N</t>
        </is>
      </c>
      <c r="M36" s="67" t="inlineStr">
        <is>
          <t>N</t>
        </is>
      </c>
      <c r="N36" s="148" t="n">
        <v>99920</v>
      </c>
      <c r="O36" s="67" t="inlineStr">
        <is>
          <t>국민은행_계좌 조회 6개월(20260913).xls</t>
        </is>
      </c>
      <c r="P36" s="69" t="inlineStr">
        <is>
          <t>기존내역</t>
        </is>
      </c>
    </row>
    <row r="37">
      <c r="A37" s="146" t="n">
        <v>46274.10020833334</v>
      </c>
      <c r="B37" s="147" t="n">
        <v>46274</v>
      </c>
      <c r="C37" s="67" t="inlineStr">
        <is>
          <t>우리은행</t>
        </is>
      </c>
      <c r="D37" s="67" t="inlineStr">
        <is>
          <t>우리 220351</t>
        </is>
      </c>
      <c r="E37" s="148" t="n">
        <v>0</v>
      </c>
      <c r="F37" s="148" t="n">
        <v>7245629</v>
      </c>
      <c r="G37" s="148" t="n">
        <v>20168421</v>
      </c>
      <c r="H37" s="75" t="inlineStr">
        <is>
          <t>펌뱅킹</t>
        </is>
      </c>
      <c r="I37" s="75" t="inlineStr">
        <is>
          <t>스마트스토어정산</t>
        </is>
      </c>
      <c r="J37" s="75" t="inlineStr">
        <is>
          <t>두산타워기업영업지원팀</t>
        </is>
      </c>
      <c r="K37" s="67" t="inlineStr">
        <is>
          <t>온라인매출입금</t>
        </is>
      </c>
      <c r="L37" s="67" t="inlineStr">
        <is>
          <t>N</t>
        </is>
      </c>
      <c r="M37" s="67" t="inlineStr">
        <is>
          <t>N</t>
        </is>
      </c>
      <c r="N37" s="148" t="n">
        <v>7245629</v>
      </c>
      <c r="O37" s="67" t="inlineStr">
        <is>
          <t>우리은행 거래내역조회 20260913.xlsx</t>
        </is>
      </c>
      <c r="P37" s="69" t="inlineStr">
        <is>
          <t>기존내역</t>
        </is>
      </c>
    </row>
    <row r="38">
      <c r="A38" s="146" t="n">
        <v>46274.17804398148</v>
      </c>
      <c r="B38" s="147" t="n">
        <v>46274</v>
      </c>
      <c r="C38" s="67" t="inlineStr">
        <is>
          <t>국민은행</t>
        </is>
      </c>
      <c r="D38" s="67" t="inlineStr">
        <is>
          <t>국민 154577</t>
        </is>
      </c>
      <c r="E38" s="148" t="n">
        <v>0</v>
      </c>
      <c r="F38" s="148" t="n">
        <v>45835</v>
      </c>
      <c r="G38" s="148" t="n">
        <v>27322720</v>
      </c>
      <c r="H38" s="75" t="inlineStr">
        <is>
          <t>전자금융</t>
        </is>
      </c>
      <c r="I38" s="75" t="inlineStr">
        <is>
          <t>김진이</t>
        </is>
      </c>
      <c r="J38" s="75" t="inlineStr">
        <is>
          <t>아이엠뱅</t>
        </is>
      </c>
      <c r="K38" s="67" t="inlineStr">
        <is>
          <t>기타입금</t>
        </is>
      </c>
      <c r="L38" s="67" t="inlineStr">
        <is>
          <t>N</t>
        </is>
      </c>
      <c r="M38" s="67" t="inlineStr">
        <is>
          <t>N</t>
        </is>
      </c>
      <c r="N38" s="148" t="n">
        <v>45835</v>
      </c>
      <c r="O38" s="67" t="inlineStr">
        <is>
          <t>국민은행_계좌 조회 6개월(20260913).xls</t>
        </is>
      </c>
      <c r="P38" s="69" t="inlineStr">
        <is>
          <t>기존내역</t>
        </is>
      </c>
    </row>
    <row r="39">
      <c r="A39" s="146" t="n">
        <v>46274.35211805555</v>
      </c>
      <c r="B39" s="147" t="n">
        <v>46274</v>
      </c>
      <c r="C39" s="67" t="inlineStr">
        <is>
          <t>국민은행</t>
        </is>
      </c>
      <c r="D39" s="67" t="inlineStr">
        <is>
          <t>국민 154577</t>
        </is>
      </c>
      <c r="E39" s="148" t="n">
        <v>20000000</v>
      </c>
      <c r="F39" s="148" t="n">
        <v>0</v>
      </c>
      <c r="G39" s="148" t="n">
        <v>7322720</v>
      </c>
      <c r="H39" s="75" t="inlineStr">
        <is>
          <t>스마트출금</t>
        </is>
      </c>
      <c r="I39" s="75" t="inlineStr">
        <is>
          <t>허용</t>
        </is>
      </c>
      <c r="J39" s="75" t="inlineStr">
        <is>
          <t>진천역</t>
        </is>
      </c>
      <c r="K39" s="67" t="inlineStr">
        <is>
          <t>대표 가지급금</t>
        </is>
      </c>
      <c r="L39" s="67" t="inlineStr">
        <is>
          <t>N</t>
        </is>
      </c>
      <c r="M39" s="67" t="inlineStr">
        <is>
          <t>Y</t>
        </is>
      </c>
      <c r="N39" s="148" t="n">
        <v>-20000000</v>
      </c>
      <c r="O39" s="67" t="inlineStr">
        <is>
          <t>국민은행_계좌 조회 6개월(20260913).xls</t>
        </is>
      </c>
      <c r="P39" s="69" t="inlineStr">
        <is>
          <t>기존내역</t>
        </is>
      </c>
    </row>
    <row r="40">
      <c r="A40" s="146" t="n">
        <v>46274.4265625</v>
      </c>
      <c r="B40" s="147" t="n">
        <v>46274</v>
      </c>
      <c r="C40" s="67" t="inlineStr">
        <is>
          <t>농협</t>
        </is>
      </c>
      <c r="D40" s="67" t="inlineStr">
        <is>
          <t>농협 569003</t>
        </is>
      </c>
      <c r="E40" s="148" t="n">
        <v>0</v>
      </c>
      <c r="F40" s="148" t="n">
        <v>41370</v>
      </c>
      <c r="G40" s="148" t="n">
        <v>763988</v>
      </c>
      <c r="H40" s="75" t="inlineStr">
        <is>
          <t>KB카드</t>
        </is>
      </c>
      <c r="I40" s="75" t="inlineStr">
        <is>
          <t>KB103013814</t>
        </is>
      </c>
      <c r="J40" s="75" t="inlineStr">
        <is>
          <t>농협 000998</t>
        </is>
      </c>
      <c r="K40" s="67" t="inlineStr">
        <is>
          <t>기타입금</t>
        </is>
      </c>
      <c r="L40" s="67" t="inlineStr">
        <is>
          <t>N</t>
        </is>
      </c>
      <c r="M40" s="67" t="inlineStr">
        <is>
          <t>N</t>
        </is>
      </c>
      <c r="N40" s="148" t="n">
        <v>41370</v>
      </c>
      <c r="O40" s="67" t="inlineStr">
        <is>
          <t>국민은행_계좌 조회 6개월(20260913).xls</t>
        </is>
      </c>
      <c r="P40" s="69" t="inlineStr">
        <is>
          <t>기존내역</t>
        </is>
      </c>
    </row>
    <row r="41">
      <c r="A41" s="146" t="n">
        <v>46274.46190972222</v>
      </c>
      <c r="B41" s="147" t="n">
        <v>46274</v>
      </c>
      <c r="C41" s="67" t="inlineStr">
        <is>
          <t>국민은행</t>
        </is>
      </c>
      <c r="D41" s="67" t="inlineStr">
        <is>
          <t>국민 154577</t>
        </is>
      </c>
      <c r="E41" s="148" t="n">
        <v>0</v>
      </c>
      <c r="F41" s="148" t="n">
        <v>42400</v>
      </c>
      <c r="G41" s="148" t="n">
        <v>7365120</v>
      </c>
      <c r="H41" s="75" t="inlineStr">
        <is>
          <t>전자금융</t>
        </is>
      </c>
      <c r="I41" s="75" t="inlineStr">
        <is>
          <t>양희선</t>
        </is>
      </c>
      <c r="J41" s="75" t="inlineStr">
        <is>
          <t>토스뱅크</t>
        </is>
      </c>
      <c r="K41" s="67" t="inlineStr">
        <is>
          <t>기타입금</t>
        </is>
      </c>
      <c r="L41" s="67" t="inlineStr">
        <is>
          <t>N</t>
        </is>
      </c>
      <c r="M41" s="67" t="inlineStr">
        <is>
          <t>N</t>
        </is>
      </c>
      <c r="N41" s="148" t="n">
        <v>42400</v>
      </c>
      <c r="O41" s="67" t="inlineStr">
        <is>
          <t>국민은행_계좌 조회 6개월(20260913).xls</t>
        </is>
      </c>
      <c r="P41" s="69" t="inlineStr">
        <is>
          <t>기존내역</t>
        </is>
      </c>
    </row>
    <row r="42">
      <c r="A42" s="146" t="n">
        <v>46274.46859953704</v>
      </c>
      <c r="B42" s="147" t="n">
        <v>46274</v>
      </c>
      <c r="C42" s="67" t="inlineStr">
        <is>
          <t>국민은행</t>
        </is>
      </c>
      <c r="D42" s="67" t="inlineStr">
        <is>
          <t>국민 154577</t>
        </is>
      </c>
      <c r="E42" s="148" t="n">
        <v>0</v>
      </c>
      <c r="F42" s="148" t="n">
        <v>1437952</v>
      </c>
      <c r="G42" s="148" t="n">
        <v>8803072</v>
      </c>
      <c r="H42" s="75" t="inlineStr">
        <is>
          <t>전자금융</t>
        </is>
      </c>
      <c r="I42" s="75" t="inlineStr">
        <is>
          <t>KG이니시스</t>
        </is>
      </c>
      <c r="J42" s="75" t="inlineStr">
        <is>
          <t>하나은행</t>
        </is>
      </c>
      <c r="K42" s="67" t="inlineStr">
        <is>
          <t>온라인매출입금</t>
        </is>
      </c>
      <c r="L42" s="67" t="inlineStr">
        <is>
          <t>N</t>
        </is>
      </c>
      <c r="M42" s="67" t="inlineStr">
        <is>
          <t>N</t>
        </is>
      </c>
      <c r="N42" s="148" t="n">
        <v>1437952</v>
      </c>
      <c r="O42" s="67" t="inlineStr">
        <is>
          <t>국민은행_계좌 조회 6개월(20260913).xls</t>
        </is>
      </c>
      <c r="P42" s="69" t="inlineStr">
        <is>
          <t>기존내역</t>
        </is>
      </c>
    </row>
    <row r="43">
      <c r="A43" s="146" t="n">
        <v>46274.4778125</v>
      </c>
      <c r="B43" s="147" t="n">
        <v>46274</v>
      </c>
      <c r="C43" s="67" t="inlineStr">
        <is>
          <t>국민은행</t>
        </is>
      </c>
      <c r="D43" s="67" t="inlineStr">
        <is>
          <t>국민 154577</t>
        </is>
      </c>
      <c r="E43" s="148" t="n">
        <v>0</v>
      </c>
      <c r="F43" s="148" t="n">
        <v>868853</v>
      </c>
      <c r="G43" s="148" t="n">
        <v>9671925</v>
      </c>
      <c r="H43" s="75" t="inlineStr">
        <is>
          <t>전자금융</t>
        </is>
      </c>
      <c r="I43" s="75" t="inlineStr">
        <is>
          <t>KG이니시스</t>
        </is>
      </c>
      <c r="J43" s="75" t="inlineStr">
        <is>
          <t>하나은행</t>
        </is>
      </c>
      <c r="K43" s="67" t="inlineStr">
        <is>
          <t>온라인매출입금</t>
        </is>
      </c>
      <c r="L43" s="67" t="inlineStr">
        <is>
          <t>N</t>
        </is>
      </c>
      <c r="M43" s="67" t="inlineStr">
        <is>
          <t>N</t>
        </is>
      </c>
      <c r="N43" s="148" t="n">
        <v>868853</v>
      </c>
      <c r="O43" s="67" t="inlineStr">
        <is>
          <t>우리은행 거래내역조회 20260913.xlsx</t>
        </is>
      </c>
      <c r="P43" s="69" t="inlineStr">
        <is>
          <t>기존내역</t>
        </is>
      </c>
    </row>
    <row r="44">
      <c r="A44" s="146" t="n">
        <v>46274.49234953704</v>
      </c>
      <c r="B44" s="147" t="n">
        <v>46274</v>
      </c>
      <c r="C44" s="67" t="inlineStr">
        <is>
          <t>우리은행</t>
        </is>
      </c>
      <c r="D44" s="67" t="inlineStr">
        <is>
          <t>우리 220351</t>
        </is>
      </c>
      <c r="E44" s="148" t="n">
        <v>0</v>
      </c>
      <c r="F44" s="148" t="n">
        <v>43300</v>
      </c>
      <c r="G44" s="148" t="n">
        <v>20211721</v>
      </c>
      <c r="H44" s="75" t="inlineStr">
        <is>
          <t>모바일</t>
        </is>
      </c>
      <c r="I44" s="75" t="inlineStr">
        <is>
          <t>김은주</t>
        </is>
      </c>
      <c r="J44" s="75" t="inlineStr">
        <is>
          <t>천천동지점</t>
        </is>
      </c>
      <c r="K44" s="67" t="inlineStr">
        <is>
          <t>기타입금</t>
        </is>
      </c>
      <c r="L44" s="67" t="inlineStr">
        <is>
          <t>N</t>
        </is>
      </c>
      <c r="M44" s="67" t="inlineStr">
        <is>
          <t>N</t>
        </is>
      </c>
      <c r="N44" s="148" t="n">
        <v>43300</v>
      </c>
      <c r="O44" s="67" t="inlineStr">
        <is>
          <t>우리은행 거래내역조회 20260913.xlsx</t>
        </is>
      </c>
      <c r="P44" s="69" t="inlineStr">
        <is>
          <t>기존내역</t>
        </is>
      </c>
    </row>
    <row r="45">
      <c r="A45" s="146" t="n">
        <v>46274.60909722222</v>
      </c>
      <c r="B45" s="147" t="n">
        <v>46274</v>
      </c>
      <c r="C45" s="67" t="inlineStr">
        <is>
          <t>국민은행</t>
        </is>
      </c>
      <c r="D45" s="67" t="inlineStr">
        <is>
          <t>국민 154577</t>
        </is>
      </c>
      <c r="E45" s="148" t="n">
        <v>0</v>
      </c>
      <c r="F45" s="148" t="n">
        <v>139500</v>
      </c>
      <c r="G45" s="148" t="n">
        <v>9811425</v>
      </c>
      <c r="H45" s="75" t="inlineStr">
        <is>
          <t>타행환</t>
        </is>
      </c>
      <c r="I45" s="75" t="inlineStr">
        <is>
          <t>(사)약령시보존위원</t>
        </is>
      </c>
      <c r="J45" s="75" t="inlineStr">
        <is>
          <t>아이엠뱅</t>
        </is>
      </c>
      <c r="K45" s="67" t="inlineStr">
        <is>
          <t>기타입금</t>
        </is>
      </c>
      <c r="L45" s="67" t="inlineStr">
        <is>
          <t>N</t>
        </is>
      </c>
      <c r="M45" s="67" t="inlineStr">
        <is>
          <t>N</t>
        </is>
      </c>
      <c r="N45" s="148" t="n">
        <v>139500</v>
      </c>
      <c r="O45" s="67" t="inlineStr">
        <is>
          <t>우리은행 거래내역조회 20260913.xlsx</t>
        </is>
      </c>
      <c r="P45" s="69" t="inlineStr">
        <is>
          <t>기존내역</t>
        </is>
      </c>
    </row>
    <row r="46">
      <c r="A46" s="146" t="n">
        <v>46274.73363425926</v>
      </c>
      <c r="B46" s="147" t="n">
        <v>46274</v>
      </c>
      <c r="C46" s="67" t="inlineStr">
        <is>
          <t>우리은행</t>
        </is>
      </c>
      <c r="D46" s="67" t="inlineStr">
        <is>
          <t>우리 220351</t>
        </is>
      </c>
      <c r="E46" s="148" t="n">
        <v>3762000</v>
      </c>
      <c r="F46" s="148" t="n">
        <v>0</v>
      </c>
      <c r="G46" s="148" t="n">
        <v>10949721</v>
      </c>
      <c r="H46" s="75" t="inlineStr">
        <is>
          <t>인터넷</t>
        </is>
      </c>
      <c r="I46" s="75" t="inlineStr">
        <is>
          <t>국민네이버 apha</t>
        </is>
      </c>
      <c r="J46" s="75" t="inlineStr">
        <is>
          <t>성서공단금융센터</t>
        </is>
      </c>
      <c r="K46" s="67" t="inlineStr">
        <is>
          <t>기타지출</t>
        </is>
      </c>
      <c r="L46" s="67" t="inlineStr">
        <is>
          <t>N</t>
        </is>
      </c>
      <c r="M46" s="67" t="inlineStr">
        <is>
          <t>Y</t>
        </is>
      </c>
      <c r="N46" s="148" t="n">
        <v>-3762000</v>
      </c>
      <c r="O46" s="67" t="inlineStr">
        <is>
          <t>우리은행 거래내역조회 20260913.xlsx</t>
        </is>
      </c>
      <c r="P46" s="69" t="inlineStr">
        <is>
          <t>기존내역</t>
        </is>
      </c>
    </row>
    <row r="47">
      <c r="A47" s="146" t="n">
        <v>46274.73363425926</v>
      </c>
      <c r="B47" s="147" t="n">
        <v>46274</v>
      </c>
      <c r="C47" s="67" t="inlineStr">
        <is>
          <t>우리은행</t>
        </is>
      </c>
      <c r="D47" s="67" t="inlineStr">
        <is>
          <t>우리 220351</t>
        </is>
      </c>
      <c r="E47" s="148" t="n">
        <v>5500000</v>
      </c>
      <c r="F47" s="148" t="n">
        <v>0</v>
      </c>
      <c r="G47" s="148" t="n">
        <v>14711721</v>
      </c>
      <c r="H47" s="75" t="inlineStr">
        <is>
          <t>인터넷</t>
        </is>
      </c>
      <c r="I47" s="75" t="inlineStr">
        <is>
          <t>국민주식회사 원정대</t>
        </is>
      </c>
      <c r="J47" s="75" t="inlineStr">
        <is>
          <t>성서공단금융센터</t>
        </is>
      </c>
      <c r="K47" s="67" t="inlineStr">
        <is>
          <t>기타지출</t>
        </is>
      </c>
      <c r="L47" s="67" t="inlineStr">
        <is>
          <t>N</t>
        </is>
      </c>
      <c r="M47" s="67" t="inlineStr">
        <is>
          <t>N</t>
        </is>
      </c>
      <c r="N47" s="148" t="n">
        <v>-5500000</v>
      </c>
      <c r="O47" s="67" t="inlineStr">
        <is>
          <t>우리은행 거래내역조회 20260913.xlsx</t>
        </is>
      </c>
      <c r="P47" s="69" t="inlineStr">
        <is>
          <t>기존내역</t>
        </is>
      </c>
    </row>
    <row r="48">
      <c r="A48" s="146" t="n">
        <v>46274.73364583333</v>
      </c>
      <c r="B48" s="147" t="n">
        <v>46274</v>
      </c>
      <c r="C48" s="67" t="inlineStr">
        <is>
          <t>우리은행</t>
        </is>
      </c>
      <c r="D48" s="67" t="inlineStr">
        <is>
          <t>우리 220351</t>
        </is>
      </c>
      <c r="E48" s="148" t="n">
        <v>660000</v>
      </c>
      <c r="F48" s="148" t="n">
        <v>0</v>
      </c>
      <c r="G48" s="148" t="n">
        <v>10289721</v>
      </c>
      <c r="H48" s="75" t="inlineStr">
        <is>
          <t>인터넷</t>
        </is>
      </c>
      <c r="I48" s="75" t="inlineStr">
        <is>
          <t>국민네이버 에이팜건</t>
        </is>
      </c>
      <c r="J48" s="75" t="inlineStr">
        <is>
          <t>성서공단금융센터</t>
        </is>
      </c>
      <c r="K48" s="67" t="inlineStr">
        <is>
          <t>기타지출</t>
        </is>
      </c>
      <c r="L48" s="67" t="inlineStr">
        <is>
          <t>N</t>
        </is>
      </c>
      <c r="M48" s="67" t="inlineStr">
        <is>
          <t>Y</t>
        </is>
      </c>
      <c r="N48" s="148" t="n">
        <v>-660000</v>
      </c>
      <c r="O48" s="67" t="inlineStr">
        <is>
          <t>우리은행 거래내역조회 20260913.xlsx</t>
        </is>
      </c>
      <c r="P48" s="69" t="inlineStr">
        <is>
          <t>기존내역</t>
        </is>
      </c>
    </row>
    <row r="49">
      <c r="A49" s="146" t="n">
        <v>46274.73365740741</v>
      </c>
      <c r="B49" s="147" t="n">
        <v>46274</v>
      </c>
      <c r="C49" s="67" t="inlineStr">
        <is>
          <t>우리은행</t>
        </is>
      </c>
      <c r="D49" s="67" t="inlineStr">
        <is>
          <t>우리 220351</t>
        </is>
      </c>
      <c r="E49" s="148" t="n">
        <v>198000</v>
      </c>
      <c r="F49" s="148" t="n">
        <v>0</v>
      </c>
      <c r="G49" s="148" t="n">
        <v>10091721</v>
      </c>
      <c r="H49" s="75" t="inlineStr">
        <is>
          <t>인터넷</t>
        </is>
      </c>
      <c r="I49" s="75" t="inlineStr">
        <is>
          <t>기업주식회사 채널코</t>
        </is>
      </c>
      <c r="J49" s="75" t="inlineStr">
        <is>
          <t>성서공단금융센터</t>
        </is>
      </c>
      <c r="K49" s="67" t="inlineStr">
        <is>
          <t>기타지출</t>
        </is>
      </c>
      <c r="L49" s="67" t="inlineStr">
        <is>
          <t>N</t>
        </is>
      </c>
      <c r="M49" s="67" t="inlineStr">
        <is>
          <t>Y</t>
        </is>
      </c>
      <c r="N49" s="148" t="n">
        <v>-198000</v>
      </c>
      <c r="O49" s="67" t="inlineStr">
        <is>
          <t>우리은행 거래내역조회 20260913.xlsx</t>
        </is>
      </c>
      <c r="P49" s="69" t="inlineStr">
        <is>
          <t>기존내역</t>
        </is>
      </c>
    </row>
    <row r="50">
      <c r="A50" s="146" t="n">
        <v>46274.90344907407</v>
      </c>
      <c r="B50" s="147" t="n">
        <v>46274</v>
      </c>
      <c r="C50" s="67" t="inlineStr">
        <is>
          <t>국민은행</t>
        </is>
      </c>
      <c r="D50" s="67" t="inlineStr">
        <is>
          <t>국민 154577</t>
        </is>
      </c>
      <c r="E50" s="148" t="n">
        <v>0</v>
      </c>
      <c r="F50" s="148" t="n">
        <v>49300</v>
      </c>
      <c r="G50" s="148" t="n">
        <v>9860725</v>
      </c>
      <c r="H50" s="75" t="inlineStr">
        <is>
          <t>스마트입금</t>
        </is>
      </c>
      <c r="I50" s="75" t="inlineStr">
        <is>
          <t>김사랑</t>
        </is>
      </c>
      <c r="J50" s="75" t="inlineStr">
        <is>
          <t>가경동</t>
        </is>
      </c>
      <c r="K50" s="67" t="inlineStr">
        <is>
          <t>기타입금</t>
        </is>
      </c>
      <c r="L50" s="67" t="inlineStr">
        <is>
          <t>N</t>
        </is>
      </c>
      <c r="M50" s="67" t="inlineStr">
        <is>
          <t>N</t>
        </is>
      </c>
      <c r="N50" s="148" t="n">
        <v>49300</v>
      </c>
      <c r="O50" s="67" t="inlineStr">
        <is>
          <t>우리은행 거래내역조회 20260913.xlsx</t>
        </is>
      </c>
      <c r="P50" s="69" t="inlineStr">
        <is>
          <t>기존내역</t>
        </is>
      </c>
    </row>
    <row r="51">
      <c r="A51" s="146" t="n">
        <v>46275.11489583334</v>
      </c>
      <c r="B51" s="147" t="n">
        <v>46275</v>
      </c>
      <c r="C51" s="67" t="inlineStr">
        <is>
          <t>우리은행</t>
        </is>
      </c>
      <c r="D51" s="67" t="inlineStr">
        <is>
          <t>우리 220351</t>
        </is>
      </c>
      <c r="E51" s="148" t="n">
        <v>0</v>
      </c>
      <c r="F51" s="148" t="n">
        <v>6351340</v>
      </c>
      <c r="G51" s="148" t="n">
        <v>16443061</v>
      </c>
      <c r="H51" s="75" t="inlineStr">
        <is>
          <t>펌뱅킹</t>
        </is>
      </c>
      <c r="I51" s="75" t="inlineStr">
        <is>
          <t>스마트스토어정산</t>
        </is>
      </c>
      <c r="J51" s="75" t="inlineStr">
        <is>
          <t>두산타워기업영업지원팀</t>
        </is>
      </c>
      <c r="K51" s="67" t="inlineStr">
        <is>
          <t>온라인매출입금</t>
        </is>
      </c>
      <c r="L51" s="67" t="inlineStr">
        <is>
          <t>N</t>
        </is>
      </c>
      <c r="M51" s="67" t="inlineStr">
        <is>
          <t>N</t>
        </is>
      </c>
      <c r="N51" s="148" t="n">
        <v>6351340</v>
      </c>
      <c r="O51" s="67" t="inlineStr">
        <is>
          <t>국민은행_계좌 조회 6개월(20260913).xls</t>
        </is>
      </c>
      <c r="P51" s="69" t="inlineStr">
        <is>
          <t>기존내역</t>
        </is>
      </c>
    </row>
    <row r="52">
      <c r="A52" s="146" t="n">
        <v>46275.1358912037</v>
      </c>
      <c r="B52" s="147" t="n">
        <v>46275</v>
      </c>
      <c r="C52" s="67" t="inlineStr">
        <is>
          <t>우리은행</t>
        </is>
      </c>
      <c r="D52" s="67" t="inlineStr">
        <is>
          <t>우리 220351</t>
        </is>
      </c>
      <c r="E52" s="148" t="n">
        <v>14349310</v>
      </c>
      <c r="F52" s="148" t="n">
        <v>0</v>
      </c>
      <c r="G52" s="148" t="n">
        <v>2093751</v>
      </c>
      <c r="H52" s="75" t="inlineStr">
        <is>
          <t>건강보험</t>
        </is>
      </c>
      <c r="I52" s="75" t="inlineStr">
        <is>
          <t>2608사회보험</t>
        </is>
      </c>
      <c r="J52" s="75" t="inlineStr">
        <is>
          <t>성서공단금융센터</t>
        </is>
      </c>
      <c r="K52" s="67" t="inlineStr">
        <is>
          <t>4대보험</t>
        </is>
      </c>
      <c r="L52" s="67" t="inlineStr">
        <is>
          <t>N</t>
        </is>
      </c>
      <c r="M52" s="67" t="inlineStr">
        <is>
          <t>Y</t>
        </is>
      </c>
      <c r="N52" s="148" t="n">
        <v>-14349310</v>
      </c>
      <c r="O52" s="67" t="inlineStr">
        <is>
          <t>국민은행_계좌 조회 6개월(20260913).xls</t>
        </is>
      </c>
      <c r="P52" s="69" t="inlineStr">
        <is>
          <t>기존내역</t>
        </is>
      </c>
    </row>
    <row r="53">
      <c r="A53" s="146" t="n">
        <v>46275.37820601852</v>
      </c>
      <c r="B53" s="147" t="n">
        <v>46275</v>
      </c>
      <c r="C53" s="67" t="inlineStr">
        <is>
          <t>국민은행</t>
        </is>
      </c>
      <c r="D53" s="67" t="inlineStr">
        <is>
          <t>국민 154577</t>
        </is>
      </c>
      <c r="E53" s="148" t="n">
        <v>0</v>
      </c>
      <c r="F53" s="148" t="n">
        <v>3587459</v>
      </c>
      <c r="G53" s="148" t="n">
        <v>13448184</v>
      </c>
      <c r="H53" s="75" t="inlineStr">
        <is>
          <t>전자금융</t>
        </is>
      </c>
      <c r="I53" s="75" t="inlineStr">
        <is>
          <t>삼성18967412</t>
        </is>
      </c>
      <c r="J53" s="75" t="inlineStr">
        <is>
          <t>SC은행</t>
        </is>
      </c>
      <c r="K53" s="67" t="inlineStr">
        <is>
          <t>보험 중도인출·보험금 입금</t>
        </is>
      </c>
      <c r="L53" s="67" t="inlineStr">
        <is>
          <t>N</t>
        </is>
      </c>
      <c r="M53" s="67" t="inlineStr">
        <is>
          <t>N</t>
        </is>
      </c>
      <c r="N53" s="148" t="n">
        <v>3587459</v>
      </c>
      <c r="O53" s="67" t="inlineStr">
        <is>
          <t>우리은행 거래내역조회 20260913.xlsx</t>
        </is>
      </c>
      <c r="P53" s="69" t="inlineStr">
        <is>
          <t>기존내역</t>
        </is>
      </c>
    </row>
    <row r="54">
      <c r="A54" s="146" t="n">
        <v>46275.3819212963</v>
      </c>
      <c r="B54" s="147" t="n">
        <v>46275</v>
      </c>
      <c r="C54" s="67" t="inlineStr">
        <is>
          <t>농협</t>
        </is>
      </c>
      <c r="D54" s="67" t="inlineStr">
        <is>
          <t>농협 569003</t>
        </is>
      </c>
      <c r="E54" s="148" t="n">
        <v>0</v>
      </c>
      <c r="F54" s="148" t="n">
        <v>20000</v>
      </c>
      <c r="G54" s="148" t="n">
        <v>783988</v>
      </c>
      <c r="H54" s="75" t="inlineStr">
        <is>
          <t>폰하나은행</t>
        </is>
      </c>
      <c r="I54" s="75" t="inlineStr">
        <is>
          <t>전수민</t>
        </is>
      </c>
      <c r="J54" s="75" t="inlineStr">
        <is>
          <t>하나 0818043</t>
        </is>
      </c>
      <c r="K54" s="67" t="inlineStr">
        <is>
          <t>기타입금</t>
        </is>
      </c>
      <c r="L54" s="67" t="inlineStr">
        <is>
          <t>N</t>
        </is>
      </c>
      <c r="M54" s="67" t="inlineStr">
        <is>
          <t>N</t>
        </is>
      </c>
      <c r="N54" s="148" t="n">
        <v>20000</v>
      </c>
      <c r="O54" s="67" t="inlineStr">
        <is>
          <t>국민은행_계좌 조회 6개월(20260913).xls</t>
        </is>
      </c>
      <c r="P54" s="69" t="inlineStr">
        <is>
          <t>기존내역</t>
        </is>
      </c>
    </row>
    <row r="55">
      <c r="A55" s="146" t="n">
        <v>46275.45078703704</v>
      </c>
      <c r="B55" s="147" t="n">
        <v>46275</v>
      </c>
      <c r="C55" s="67" t="inlineStr">
        <is>
          <t>국민은행</t>
        </is>
      </c>
      <c r="D55" s="67" t="inlineStr">
        <is>
          <t>국민 154577</t>
        </is>
      </c>
      <c r="E55" s="148" t="n">
        <v>0</v>
      </c>
      <c r="F55" s="148" t="n">
        <v>74667</v>
      </c>
      <c r="G55" s="148" t="n">
        <v>13522851</v>
      </c>
      <c r="H55" s="75" t="inlineStr">
        <is>
          <t>전자금융</t>
        </is>
      </c>
      <c r="I55" s="75" t="inlineStr">
        <is>
          <t>빌리지베이비</t>
        </is>
      </c>
      <c r="J55" s="75" t="inlineStr">
        <is>
          <t>우리은행</t>
        </is>
      </c>
      <c r="K55" s="67" t="inlineStr">
        <is>
          <t>기타입금</t>
        </is>
      </c>
      <c r="L55" s="67" t="inlineStr">
        <is>
          <t>N</t>
        </is>
      </c>
      <c r="M55" s="67" t="inlineStr">
        <is>
          <t>N</t>
        </is>
      </c>
      <c r="N55" s="148" t="n">
        <v>74667</v>
      </c>
      <c r="O55" s="67" t="inlineStr">
        <is>
          <t>국민은행_계좌 조회 6개월(20260913).xls</t>
        </is>
      </c>
      <c r="P55" s="69" t="inlineStr">
        <is>
          <t>기존내역</t>
        </is>
      </c>
    </row>
    <row r="56">
      <c r="A56" s="146" t="n">
        <v>46275.45302083333</v>
      </c>
      <c r="B56" s="147" t="n">
        <v>46275</v>
      </c>
      <c r="C56" s="67" t="inlineStr">
        <is>
          <t>국민은행</t>
        </is>
      </c>
      <c r="D56" s="67" t="inlineStr">
        <is>
          <t>국민 154577</t>
        </is>
      </c>
      <c r="E56" s="148" t="n">
        <v>0</v>
      </c>
      <c r="F56" s="148" t="n">
        <v>1465463</v>
      </c>
      <c r="G56" s="148" t="n">
        <v>14988314</v>
      </c>
      <c r="H56" s="75" t="inlineStr">
        <is>
          <t>전자금융</t>
        </is>
      </c>
      <c r="I56" s="75" t="inlineStr">
        <is>
          <t>KG이니시스</t>
        </is>
      </c>
      <c r="J56" s="75" t="inlineStr">
        <is>
          <t>하나은행</t>
        </is>
      </c>
      <c r="K56" s="67" t="inlineStr">
        <is>
          <t>온라인매출입금</t>
        </is>
      </c>
      <c r="L56" s="67" t="inlineStr">
        <is>
          <t>N</t>
        </is>
      </c>
      <c r="M56" s="67" t="inlineStr">
        <is>
          <t>N</t>
        </is>
      </c>
      <c r="N56" s="148" t="n">
        <v>1465463</v>
      </c>
      <c r="O56" s="67" t="inlineStr">
        <is>
          <t>국민은행_계좌 조회 6개월(20260913).xls</t>
        </is>
      </c>
      <c r="P56" s="69" t="inlineStr">
        <is>
          <t>기존내역</t>
        </is>
      </c>
    </row>
    <row r="57">
      <c r="A57" s="146" t="n">
        <v>46275.45621527778</v>
      </c>
      <c r="B57" s="147" t="n">
        <v>46275</v>
      </c>
      <c r="C57" s="67" t="inlineStr">
        <is>
          <t>국민은행</t>
        </is>
      </c>
      <c r="D57" s="67" t="inlineStr">
        <is>
          <t>국민 154577</t>
        </is>
      </c>
      <c r="E57" s="148" t="n">
        <v>0</v>
      </c>
      <c r="F57" s="148" t="n">
        <v>311907</v>
      </c>
      <c r="G57" s="148" t="n">
        <v>15300221</v>
      </c>
      <c r="H57" s="75" t="inlineStr">
        <is>
          <t>전자금융</t>
        </is>
      </c>
      <c r="I57" s="75" t="inlineStr">
        <is>
          <t>KG이니시스</t>
        </is>
      </c>
      <c r="J57" s="75" t="inlineStr">
        <is>
          <t>하나은행</t>
        </is>
      </c>
      <c r="K57" s="67" t="inlineStr">
        <is>
          <t>온라인매출입금</t>
        </is>
      </c>
      <c r="L57" s="67" t="inlineStr">
        <is>
          <t>N</t>
        </is>
      </c>
      <c r="M57" s="67" t="inlineStr">
        <is>
          <t>N</t>
        </is>
      </c>
      <c r="N57" s="148" t="n">
        <v>311907</v>
      </c>
      <c r="O57" s="67" t="inlineStr">
        <is>
          <t>국민은행_계좌 조회 6개월(20260913).xls</t>
        </is>
      </c>
      <c r="P57" s="69" t="inlineStr">
        <is>
          <t>기존내역</t>
        </is>
      </c>
    </row>
    <row r="58">
      <c r="A58" s="146" t="n">
        <v>46275.47247685185</v>
      </c>
      <c r="B58" s="147" t="n">
        <v>46275</v>
      </c>
      <c r="C58" s="67" t="inlineStr">
        <is>
          <t>농협</t>
        </is>
      </c>
      <c r="D58" s="67" t="inlineStr">
        <is>
          <t>농협 569003</t>
        </is>
      </c>
      <c r="E58" s="148" t="n">
        <v>0</v>
      </c>
      <c r="F58" s="148" t="n">
        <v>7721455</v>
      </c>
      <c r="G58" s="148" t="n">
        <v>8505443</v>
      </c>
      <c r="H58" s="75" t="inlineStr">
        <is>
          <t>PC신한은행</t>
        </is>
      </c>
      <c r="I58" s="75" t="inlineStr">
        <is>
          <t>(주)카카오</t>
        </is>
      </c>
      <c r="J58" s="75" t="inlineStr">
        <is>
          <t>신한 0267623</t>
        </is>
      </c>
      <c r="K58" s="67" t="inlineStr">
        <is>
          <t>온라인매출입금</t>
        </is>
      </c>
      <c r="L58" s="67" t="inlineStr">
        <is>
          <t>N</t>
        </is>
      </c>
      <c r="M58" s="67" t="inlineStr">
        <is>
          <t>N</t>
        </is>
      </c>
      <c r="N58" s="148" t="n">
        <v>7721455</v>
      </c>
      <c r="O58" s="67" t="inlineStr">
        <is>
          <t>국민은행_계좌 조회 6개월(20260913).xls</t>
        </is>
      </c>
      <c r="P58" s="69" t="inlineStr">
        <is>
          <t>기존내역</t>
        </is>
      </c>
    </row>
    <row r="59">
      <c r="A59" s="146" t="n">
        <v>46275.4872337963</v>
      </c>
      <c r="B59" s="147" t="n">
        <v>46275</v>
      </c>
      <c r="C59" s="67" t="inlineStr">
        <is>
          <t>농협</t>
        </is>
      </c>
      <c r="D59" s="67" t="inlineStr">
        <is>
          <t>농협 569003</t>
        </is>
      </c>
      <c r="E59" s="148" t="n">
        <v>8505443</v>
      </c>
      <c r="F59" s="148" t="n">
        <v>0</v>
      </c>
      <c r="G59" s="148" t="n">
        <v>0</v>
      </c>
      <c r="H59" s="75" t="inlineStr">
        <is>
          <t>G-우리은행</t>
        </is>
      </c>
      <c r="I59" s="75" t="inlineStr">
        <is>
          <t>주식회사에이팜건강</t>
        </is>
      </c>
      <c r="J59" s="75" t="inlineStr">
        <is>
          <t>농협 150073</t>
        </is>
      </c>
      <c r="K59" s="67" t="inlineStr">
        <is>
          <t>관계사 지급</t>
        </is>
      </c>
      <c r="L59" s="67" t="inlineStr">
        <is>
          <t>N</t>
        </is>
      </c>
      <c r="M59" s="67" t="inlineStr">
        <is>
          <t>Y</t>
        </is>
      </c>
      <c r="N59" s="148" t="n">
        <v>-8505443</v>
      </c>
      <c r="O59" s="67" t="inlineStr">
        <is>
          <t>우리은행 거래내역조회 20260913.xlsx</t>
        </is>
      </c>
      <c r="P59" s="69" t="inlineStr">
        <is>
          <t>기존내역</t>
        </is>
      </c>
    </row>
    <row r="60">
      <c r="A60" s="146" t="n">
        <v>46275.48724537037</v>
      </c>
      <c r="B60" s="147" t="n">
        <v>46275</v>
      </c>
      <c r="C60" s="67" t="inlineStr">
        <is>
          <t>우리은행</t>
        </is>
      </c>
      <c r="D60" s="67" t="inlineStr">
        <is>
          <t>우리 220351</t>
        </is>
      </c>
      <c r="E60" s="148" t="n">
        <v>0</v>
      </c>
      <c r="F60" s="148" t="n">
        <v>8504943</v>
      </c>
      <c r="G60" s="148" t="n">
        <v>10598694</v>
      </c>
      <c r="H60" s="75" t="inlineStr">
        <is>
          <t>인터넷</t>
        </is>
      </c>
      <c r="I60" s="75" t="inlineStr">
        <is>
          <t>주식회사에이팜건강</t>
        </is>
      </c>
      <c r="J60" s="75" t="inlineStr">
        <is>
          <t>지역농축협(012194)</t>
        </is>
      </c>
      <c r="K60" s="67" t="inlineStr">
        <is>
          <t>관계사 입금</t>
        </is>
      </c>
      <c r="L60" s="67" t="inlineStr">
        <is>
          <t>N</t>
        </is>
      </c>
      <c r="M60" s="67" t="inlineStr">
        <is>
          <t>N</t>
        </is>
      </c>
      <c r="N60" s="148" t="n">
        <v>8504943</v>
      </c>
      <c r="O60" s="67" t="inlineStr">
        <is>
          <t>우리은행 거래내역조회 20260913.xlsx</t>
        </is>
      </c>
      <c r="P60" s="69" t="inlineStr">
        <is>
          <t>기존내역</t>
        </is>
      </c>
    </row>
    <row r="61">
      <c r="A61" s="146" t="n">
        <v>46275.58280092593</v>
      </c>
      <c r="B61" s="147" t="n">
        <v>46275</v>
      </c>
      <c r="C61" s="67" t="inlineStr">
        <is>
          <t>국민은행</t>
        </is>
      </c>
      <c r="D61" s="67" t="inlineStr">
        <is>
          <t>국민 154577</t>
        </is>
      </c>
      <c r="E61" s="148" t="n">
        <v>0</v>
      </c>
      <c r="F61" s="148" t="n">
        <v>50963</v>
      </c>
      <c r="G61" s="148" t="n">
        <v>15351184</v>
      </c>
      <c r="H61" s="75" t="inlineStr">
        <is>
          <t>전자금융</t>
        </is>
      </c>
      <c r="I61" s="75" t="inlineStr">
        <is>
          <t>빌리지베이비</t>
        </is>
      </c>
      <c r="J61" s="75" t="inlineStr">
        <is>
          <t>우리은행</t>
        </is>
      </c>
      <c r="K61" s="67" t="inlineStr">
        <is>
          <t>기타입금</t>
        </is>
      </c>
      <c r="L61" s="67" t="inlineStr">
        <is>
          <t>N</t>
        </is>
      </c>
      <c r="M61" s="67" t="inlineStr">
        <is>
          <t>N</t>
        </is>
      </c>
      <c r="N61" s="148" t="n">
        <v>50963</v>
      </c>
      <c r="O61" s="67" t="inlineStr">
        <is>
          <t>우리은행 거래내역조회 20260913.xlsx</t>
        </is>
      </c>
      <c r="P61" s="69" t="inlineStr">
        <is>
          <t>기존내역</t>
        </is>
      </c>
    </row>
    <row r="62">
      <c r="A62" s="146" t="n">
        <v>46275.58422453704</v>
      </c>
      <c r="B62" s="147" t="n">
        <v>46275</v>
      </c>
      <c r="C62" s="67" t="inlineStr">
        <is>
          <t>국민은행</t>
        </is>
      </c>
      <c r="D62" s="67" t="inlineStr">
        <is>
          <t>국민 154577</t>
        </is>
      </c>
      <c r="E62" s="148" t="n">
        <v>0</v>
      </c>
      <c r="F62" s="148" t="n">
        <v>65145</v>
      </c>
      <c r="G62" s="148" t="n">
        <v>15416329</v>
      </c>
      <c r="H62" s="75" t="inlineStr">
        <is>
          <t>전자금융</t>
        </is>
      </c>
      <c r="I62" s="75" t="inlineStr">
        <is>
          <t>YUHAN-KIMB</t>
        </is>
      </c>
      <c r="J62" s="75" t="inlineStr">
        <is>
          <t>한국씨티</t>
        </is>
      </c>
      <c r="K62" s="67" t="inlineStr">
        <is>
          <t>기타입금</t>
        </is>
      </c>
      <c r="L62" s="67" t="inlineStr">
        <is>
          <t>N</t>
        </is>
      </c>
      <c r="M62" s="67" t="inlineStr">
        <is>
          <t>N</t>
        </is>
      </c>
      <c r="N62" s="148" t="n">
        <v>65145</v>
      </c>
      <c r="O62" s="67" t="inlineStr">
        <is>
          <t>우리은행 거래내역조회 20260913.xlsx</t>
        </is>
      </c>
      <c r="P62" s="69" t="inlineStr">
        <is>
          <t>기존내역</t>
        </is>
      </c>
    </row>
    <row r="63">
      <c r="A63" s="146" t="n">
        <v>46275.61568287037</v>
      </c>
      <c r="B63" s="147" t="n">
        <v>46275</v>
      </c>
      <c r="C63" s="67" t="inlineStr">
        <is>
          <t>국민은행</t>
        </is>
      </c>
      <c r="D63" s="67" t="inlineStr">
        <is>
          <t>국민 154577</t>
        </is>
      </c>
      <c r="E63" s="148" t="n">
        <v>0</v>
      </c>
      <c r="F63" s="148" t="n">
        <v>3897668</v>
      </c>
      <c r="G63" s="148" t="n">
        <v>19313997</v>
      </c>
      <c r="H63" s="75" t="inlineStr">
        <is>
          <t>FBS입금</t>
        </is>
      </c>
      <c r="I63" s="75" t="inlineStr">
        <is>
          <t>SSG상품대</t>
        </is>
      </c>
      <c r="J63" s="75" t="inlineStr">
        <is>
          <t>ERP사</t>
        </is>
      </c>
      <c r="K63" s="67" t="inlineStr">
        <is>
          <t>온라인매출입금</t>
        </is>
      </c>
      <c r="L63" s="67" t="inlineStr">
        <is>
          <t>N</t>
        </is>
      </c>
      <c r="M63" s="67" t="inlineStr">
        <is>
          <t>N</t>
        </is>
      </c>
      <c r="N63" s="148" t="n">
        <v>3897668</v>
      </c>
      <c r="O63" s="67" t="inlineStr">
        <is>
          <t>우리은행 거래내역조회 20260913.xlsx</t>
        </is>
      </c>
      <c r="P63" s="69" t="inlineStr">
        <is>
          <t>기존내역</t>
        </is>
      </c>
    </row>
    <row r="64">
      <c r="A64" s="146" t="n">
        <v>46275.69784722223</v>
      </c>
      <c r="B64" s="147" t="n">
        <v>46275</v>
      </c>
      <c r="C64" s="67" t="inlineStr">
        <is>
          <t>우리은행</t>
        </is>
      </c>
      <c r="D64" s="67" t="inlineStr">
        <is>
          <t>우리 220351</t>
        </is>
      </c>
      <c r="E64" s="148" t="n">
        <v>80000</v>
      </c>
      <c r="F64" s="148" t="n">
        <v>0</v>
      </c>
      <c r="G64" s="148" t="n">
        <v>6325774</v>
      </c>
      <c r="H64" s="75" t="inlineStr">
        <is>
          <t>인터넷</t>
        </is>
      </c>
      <c r="I64" s="75" t="inlineStr">
        <is>
          <t>국고_주식회사</t>
        </is>
      </c>
      <c r="J64" s="75" t="inlineStr">
        <is>
          <t>성서공단금융센터</t>
        </is>
      </c>
      <c r="K64" s="67" t="inlineStr">
        <is>
          <t>원천세·국세</t>
        </is>
      </c>
      <c r="L64" s="67" t="inlineStr">
        <is>
          <t>N</t>
        </is>
      </c>
      <c r="M64" s="67" t="inlineStr">
        <is>
          <t>Y</t>
        </is>
      </c>
      <c r="N64" s="148" t="n">
        <v>-80000</v>
      </c>
      <c r="O64" s="67" t="inlineStr">
        <is>
          <t>우리은행 거래내역조회 20260913.xlsx</t>
        </is>
      </c>
      <c r="P64" s="69" t="inlineStr">
        <is>
          <t>기존내역</t>
        </is>
      </c>
    </row>
    <row r="65">
      <c r="A65" s="146" t="n">
        <v>46275.69784722223</v>
      </c>
      <c r="B65" s="147" t="n">
        <v>46275</v>
      </c>
      <c r="C65" s="67" t="inlineStr">
        <is>
          <t>우리은행</t>
        </is>
      </c>
      <c r="D65" s="67" t="inlineStr">
        <is>
          <t>우리 220351</t>
        </is>
      </c>
      <c r="E65" s="148" t="n">
        <v>4192920</v>
      </c>
      <c r="F65" s="148" t="n">
        <v>0</v>
      </c>
      <c r="G65" s="148" t="n">
        <v>6405774</v>
      </c>
      <c r="H65" s="75" t="inlineStr">
        <is>
          <t>인터넷</t>
        </is>
      </c>
      <c r="I65" s="75" t="inlineStr">
        <is>
          <t>국고_주식회사</t>
        </is>
      </c>
      <c r="J65" s="75" t="inlineStr">
        <is>
          <t>성서공단금융센터</t>
        </is>
      </c>
      <c r="K65" s="67" t="inlineStr">
        <is>
          <t>원천세·국세</t>
        </is>
      </c>
      <c r="L65" s="67" t="inlineStr">
        <is>
          <t>N</t>
        </is>
      </c>
      <c r="M65" s="67" t="inlineStr">
        <is>
          <t>Y</t>
        </is>
      </c>
      <c r="N65" s="148" t="n">
        <v>-4192920</v>
      </c>
      <c r="O65" s="67" t="inlineStr">
        <is>
          <t>우리은행 거래내역조회 20260913.xlsx</t>
        </is>
      </c>
      <c r="P65" s="69" t="inlineStr">
        <is>
          <t>기존내역</t>
        </is>
      </c>
    </row>
    <row r="66">
      <c r="A66" s="146" t="n">
        <v>46275.69785879629</v>
      </c>
      <c r="B66" s="147" t="n">
        <v>46275</v>
      </c>
      <c r="C66" s="67" t="inlineStr">
        <is>
          <t>우리은행</t>
        </is>
      </c>
      <c r="D66" s="67" t="inlineStr">
        <is>
          <t>우리 220351</t>
        </is>
      </c>
      <c r="E66" s="148" t="n">
        <v>427260</v>
      </c>
      <c r="F66" s="148" t="n">
        <v>0</v>
      </c>
      <c r="G66" s="148" t="n">
        <v>5898514</v>
      </c>
      <c r="H66" s="75" t="inlineStr">
        <is>
          <t>인터넷</t>
        </is>
      </c>
      <c r="I66" s="75" t="inlineStr">
        <is>
          <t>신한대구달서구(주식</t>
        </is>
      </c>
      <c r="J66" s="75" t="inlineStr">
        <is>
          <t>성서공단금융센터</t>
        </is>
      </c>
      <c r="K66" s="67" t="inlineStr">
        <is>
          <t>기타지출</t>
        </is>
      </c>
      <c r="L66" s="67" t="inlineStr">
        <is>
          <t>N</t>
        </is>
      </c>
      <c r="M66" s="67" t="inlineStr">
        <is>
          <t>Y</t>
        </is>
      </c>
      <c r="N66" s="148" t="n">
        <v>-427260</v>
      </c>
      <c r="O66" s="67" t="inlineStr">
        <is>
          <t>농협계좌_6개월(20260913).xls</t>
        </is>
      </c>
      <c r="P66" s="69" t="inlineStr">
        <is>
          <t>기존내역</t>
        </is>
      </c>
    </row>
    <row r="67">
      <c r="A67" s="146" t="n">
        <v>46275.69787037037</v>
      </c>
      <c r="B67" s="147" t="n">
        <v>46275</v>
      </c>
      <c r="C67" s="67" t="inlineStr">
        <is>
          <t>우리은행</t>
        </is>
      </c>
      <c r="D67" s="67" t="inlineStr">
        <is>
          <t>우리 220351</t>
        </is>
      </c>
      <c r="E67" s="148" t="n">
        <v>1980000</v>
      </c>
      <c r="F67" s="148" t="n">
        <v>0</v>
      </c>
      <c r="G67" s="148" t="n">
        <v>3918514</v>
      </c>
      <c r="H67" s="75" t="inlineStr">
        <is>
          <t>인터넷</t>
        </is>
      </c>
      <c r="I67" s="75" t="inlineStr">
        <is>
          <t>국민네이버 apha</t>
        </is>
      </c>
      <c r="J67" s="75" t="inlineStr">
        <is>
          <t>성서공단금융센터</t>
        </is>
      </c>
      <c r="K67" s="67" t="inlineStr">
        <is>
          <t>기타지출</t>
        </is>
      </c>
      <c r="L67" s="67" t="inlineStr">
        <is>
          <t>N</t>
        </is>
      </c>
      <c r="M67" s="67" t="inlineStr">
        <is>
          <t>Y</t>
        </is>
      </c>
      <c r="N67" s="148" t="n">
        <v>-1980000</v>
      </c>
      <c r="O67" s="67" t="inlineStr">
        <is>
          <t>국민은행_계좌 조회 6개월(20260913).xls</t>
        </is>
      </c>
      <c r="P67" s="69" t="inlineStr">
        <is>
          <t>기존내역</t>
        </is>
      </c>
    </row>
    <row r="68">
      <c r="A68" s="146" t="n">
        <v>46275.69788194444</v>
      </c>
      <c r="B68" s="147" t="n">
        <v>46275</v>
      </c>
      <c r="C68" s="67" t="inlineStr">
        <is>
          <t>우리은행</t>
        </is>
      </c>
      <c r="D68" s="67" t="inlineStr">
        <is>
          <t>우리 220351</t>
        </is>
      </c>
      <c r="E68" s="148" t="n">
        <v>498289</v>
      </c>
      <c r="F68" s="148" t="n">
        <v>0</v>
      </c>
      <c r="G68" s="148" t="n">
        <v>3420225</v>
      </c>
      <c r="H68" s="75" t="inlineStr">
        <is>
          <t>인터넷</t>
        </is>
      </c>
      <c r="I68" s="75" t="inlineStr">
        <is>
          <t>국민비즈월렛_쁘띠앤</t>
        </is>
      </c>
      <c r="J68" s="75" t="inlineStr">
        <is>
          <t>성서공단금융센터</t>
        </is>
      </c>
      <c r="K68" s="67" t="inlineStr">
        <is>
          <t>기타지출</t>
        </is>
      </c>
      <c r="L68" s="67" t="inlineStr">
        <is>
          <t>N</t>
        </is>
      </c>
      <c r="M68" s="67" t="inlineStr">
        <is>
          <t>Y</t>
        </is>
      </c>
      <c r="N68" s="148" t="n">
        <v>-498289</v>
      </c>
      <c r="O68" s="67" t="inlineStr">
        <is>
          <t>우리은행 거래내역조회 20260913.xlsx</t>
        </is>
      </c>
      <c r="P68" s="69" t="inlineStr">
        <is>
          <t>기존내역</t>
        </is>
      </c>
    </row>
    <row r="69">
      <c r="A69" s="146" t="n">
        <v>46275.74636574074</v>
      </c>
      <c r="B69" s="147" t="n">
        <v>46275</v>
      </c>
      <c r="C69" s="67" t="inlineStr">
        <is>
          <t>국민은행</t>
        </is>
      </c>
      <c r="D69" s="67" t="inlineStr">
        <is>
          <t>국민 154577</t>
        </is>
      </c>
      <c r="E69" s="148" t="n">
        <v>0</v>
      </c>
      <c r="F69" s="148" t="n">
        <v>67920</v>
      </c>
      <c r="G69" s="148" t="n">
        <v>19381917</v>
      </c>
      <c r="H69" s="75" t="inlineStr">
        <is>
          <t>전자금융</t>
        </is>
      </c>
      <c r="I69" s="75" t="inlineStr">
        <is>
          <t>김혜미</t>
        </is>
      </c>
      <c r="J69" s="75" t="inlineStr">
        <is>
          <t>카뱅</t>
        </is>
      </c>
      <c r="K69" s="67" t="inlineStr">
        <is>
          <t>기타입금</t>
        </is>
      </c>
      <c r="L69" s="67" t="inlineStr">
        <is>
          <t>N</t>
        </is>
      </c>
      <c r="M69" s="67" t="inlineStr">
        <is>
          <t>N</t>
        </is>
      </c>
      <c r="N69" s="148" t="n">
        <v>67920</v>
      </c>
      <c r="O69" s="67" t="inlineStr">
        <is>
          <t>국민은행_계좌 조회 6개월(20260913).xls</t>
        </is>
      </c>
      <c r="P69" s="69" t="inlineStr">
        <is>
          <t>기존내역</t>
        </is>
      </c>
    </row>
    <row r="70">
      <c r="A70" s="146" t="n">
        <v>46275.79675925926</v>
      </c>
      <c r="B70" s="147" t="n">
        <v>46275</v>
      </c>
      <c r="C70" s="67" t="inlineStr">
        <is>
          <t>국민은행</t>
        </is>
      </c>
      <c r="D70" s="67" t="inlineStr">
        <is>
          <t>국민 154577</t>
        </is>
      </c>
      <c r="E70" s="148" t="n">
        <v>1485000</v>
      </c>
      <c r="F70" s="148" t="n">
        <v>0</v>
      </c>
      <c r="G70" s="148" t="n">
        <v>17896917</v>
      </c>
      <c r="H70" s="75" t="inlineStr">
        <is>
          <t>FBS출금</t>
        </is>
      </c>
      <c r="I70" s="75" t="inlineStr">
        <is>
          <t>한화생09000</t>
        </is>
      </c>
      <c r="J70" s="75" t="inlineStr">
        <is>
          <t>ERP사</t>
        </is>
      </c>
      <c r="K70" s="67" t="inlineStr">
        <is>
          <t>보험료</t>
        </is>
      </c>
      <c r="L70" s="67" t="inlineStr">
        <is>
          <t>N</t>
        </is>
      </c>
      <c r="M70" s="67" t="inlineStr">
        <is>
          <t>Y</t>
        </is>
      </c>
      <c r="N70" s="148" t="n">
        <v>-1485000</v>
      </c>
      <c r="O70" s="67" t="inlineStr">
        <is>
          <t>국민은행_계좌 조회 6개월(20260913).xls</t>
        </is>
      </c>
      <c r="P70" s="69" t="inlineStr">
        <is>
          <t>기존내역</t>
        </is>
      </c>
    </row>
    <row r="71">
      <c r="A71" s="146" t="n">
        <v>46275.91655092593</v>
      </c>
      <c r="B71" s="147" t="n">
        <v>46275</v>
      </c>
      <c r="C71" s="67" t="inlineStr">
        <is>
          <t>국민은행</t>
        </is>
      </c>
      <c r="D71" s="67" t="inlineStr">
        <is>
          <t>국민 154577</t>
        </is>
      </c>
      <c r="E71" s="148" t="n">
        <v>0</v>
      </c>
      <c r="F71" s="148" t="n">
        <v>49835</v>
      </c>
      <c r="G71" s="148" t="n">
        <v>17946752</v>
      </c>
      <c r="H71" s="75" t="inlineStr">
        <is>
          <t>전자금융</t>
        </is>
      </c>
      <c r="I71" s="75" t="inlineStr">
        <is>
          <t>임수진</t>
        </is>
      </c>
      <c r="J71" s="75" t="inlineStr">
        <is>
          <t>중소기업</t>
        </is>
      </c>
      <c r="K71" s="67" t="inlineStr">
        <is>
          <t>기타입금</t>
        </is>
      </c>
      <c r="L71" s="67" t="inlineStr">
        <is>
          <t>N</t>
        </is>
      </c>
      <c r="M71" s="67" t="inlineStr">
        <is>
          <t>N</t>
        </is>
      </c>
      <c r="N71" s="148" t="n">
        <v>49835</v>
      </c>
      <c r="O71" s="67" t="inlineStr">
        <is>
          <t>국민은행_계좌 조회 6개월(20260913).xls</t>
        </is>
      </c>
      <c r="P71" s="69" t="inlineStr">
        <is>
          <t>기존내역</t>
        </is>
      </c>
    </row>
    <row r="72">
      <c r="A72" s="146" t="n">
        <v>46276.10795138889</v>
      </c>
      <c r="B72" s="147" t="n">
        <v>46276</v>
      </c>
      <c r="C72" s="67" t="inlineStr">
        <is>
          <t>우리은행</t>
        </is>
      </c>
      <c r="D72" s="67" t="inlineStr">
        <is>
          <t>우리 220351</t>
        </is>
      </c>
      <c r="E72" s="148" t="n">
        <v>0</v>
      </c>
      <c r="F72" s="148" t="n">
        <v>5937777</v>
      </c>
      <c r="G72" s="148" t="n">
        <v>9358002</v>
      </c>
      <c r="H72" s="75" t="inlineStr">
        <is>
          <t>펌뱅킹</t>
        </is>
      </c>
      <c r="I72" s="75" t="inlineStr">
        <is>
          <t>스마트스토어정산</t>
        </is>
      </c>
      <c r="J72" s="75" t="inlineStr">
        <is>
          <t>두산타워기업영업지원팀</t>
        </is>
      </c>
      <c r="K72" s="67" t="inlineStr">
        <is>
          <t>온라인매출입금</t>
        </is>
      </c>
      <c r="L72" s="67" t="inlineStr">
        <is>
          <t>N</t>
        </is>
      </c>
      <c r="M72" s="67" t="inlineStr">
        <is>
          <t>N</t>
        </is>
      </c>
      <c r="N72" s="148" t="n">
        <v>5937777</v>
      </c>
      <c r="O72" s="67" t="inlineStr">
        <is>
          <t>농협계좌_6개월(20260913).xls</t>
        </is>
      </c>
      <c r="P72" s="69" t="inlineStr">
        <is>
          <t>기존내역</t>
        </is>
      </c>
    </row>
    <row r="73">
      <c r="A73" s="146" t="n">
        <v>46276.41774305556</v>
      </c>
      <c r="B73" s="147" t="n">
        <v>46276</v>
      </c>
      <c r="C73" s="67" t="inlineStr">
        <is>
          <t>국민은행</t>
        </is>
      </c>
      <c r="D73" s="67" t="inlineStr">
        <is>
          <t>국민 154577</t>
        </is>
      </c>
      <c r="E73" s="148" t="n">
        <v>1227818</v>
      </c>
      <c r="F73" s="148" t="n">
        <v>0</v>
      </c>
      <c r="G73" s="148" t="n">
        <v>16718934</v>
      </c>
      <c r="H73" s="75" t="inlineStr">
        <is>
          <t>TOP출금</t>
        </is>
      </c>
      <c r="I73" s="75" t="inlineStr"/>
      <c r="J73" s="75" t="inlineStr">
        <is>
          <t>진천역</t>
        </is>
      </c>
      <c r="K73" s="67" t="inlineStr">
        <is>
          <t>확인필요</t>
        </is>
      </c>
      <c r="L73" s="67" t="inlineStr">
        <is>
          <t>N</t>
        </is>
      </c>
      <c r="M73" s="67" t="inlineStr">
        <is>
          <t>Y</t>
        </is>
      </c>
      <c r="N73" s="148" t="n">
        <v>-1227818</v>
      </c>
      <c r="O73" s="67" t="inlineStr">
        <is>
          <t>우리은행 거래내역조회 20260913.xlsx</t>
        </is>
      </c>
      <c r="P73" s="69" t="inlineStr">
        <is>
          <t>기존내역</t>
        </is>
      </c>
    </row>
    <row r="74">
      <c r="A74" s="146" t="n">
        <v>46276.42369212963</v>
      </c>
      <c r="B74" s="147" t="n">
        <v>46276</v>
      </c>
      <c r="C74" s="67" t="inlineStr">
        <is>
          <t>국민은행</t>
        </is>
      </c>
      <c r="D74" s="67" t="inlineStr">
        <is>
          <t>국민 154577</t>
        </is>
      </c>
      <c r="E74" s="148" t="n">
        <v>550356</v>
      </c>
      <c r="F74" s="148" t="n">
        <v>0</v>
      </c>
      <c r="G74" s="148" t="n">
        <v>16168578</v>
      </c>
      <c r="H74" s="75" t="inlineStr">
        <is>
          <t>기일출금</t>
        </is>
      </c>
      <c r="I74" s="75" t="inlineStr">
        <is>
          <t>59601604151338</t>
        </is>
      </c>
      <c r="J74" s="75" t="inlineStr">
        <is>
          <t>진천역</t>
        </is>
      </c>
      <c r="K74" s="67" t="inlineStr">
        <is>
          <t>기타지출</t>
        </is>
      </c>
      <c r="L74" s="67" t="inlineStr">
        <is>
          <t>N</t>
        </is>
      </c>
      <c r="M74" s="67" t="inlineStr">
        <is>
          <t>N</t>
        </is>
      </c>
      <c r="N74" s="148" t="n">
        <v>-550356</v>
      </c>
      <c r="O74" s="67" t="inlineStr">
        <is>
          <t>우리은행 거래내역조회 20260913.xlsx</t>
        </is>
      </c>
      <c r="P74" s="69" t="inlineStr">
        <is>
          <t>기존내역</t>
        </is>
      </c>
    </row>
    <row r="75">
      <c r="A75" s="146" t="n">
        <v>46276.42599537037</v>
      </c>
      <c r="B75" s="147" t="n">
        <v>46276</v>
      </c>
      <c r="C75" s="67" t="inlineStr">
        <is>
          <t>농협</t>
        </is>
      </c>
      <c r="D75" s="67" t="inlineStr">
        <is>
          <t>농협 569003</t>
        </is>
      </c>
      <c r="E75" s="148" t="n">
        <v>0</v>
      </c>
      <c r="F75" s="148" t="n">
        <v>45310</v>
      </c>
      <c r="G75" s="148" t="n">
        <v>45310</v>
      </c>
      <c r="H75" s="75" t="inlineStr">
        <is>
          <t>KB카드</t>
        </is>
      </c>
      <c r="I75" s="75" t="inlineStr">
        <is>
          <t>KB103013814</t>
        </is>
      </c>
      <c r="J75" s="75" t="inlineStr">
        <is>
          <t>농협 000998</t>
        </is>
      </c>
      <c r="K75" s="67" t="inlineStr">
        <is>
          <t>기타입금</t>
        </is>
      </c>
      <c r="L75" s="67" t="inlineStr">
        <is>
          <t>N</t>
        </is>
      </c>
      <c r="M75" s="67" t="inlineStr">
        <is>
          <t>N</t>
        </is>
      </c>
      <c r="N75" s="148" t="n">
        <v>45310</v>
      </c>
      <c r="O75" s="67" t="inlineStr">
        <is>
          <t>농협계좌_6개월(20260913).xls</t>
        </is>
      </c>
      <c r="P75" s="69" t="inlineStr">
        <is>
          <t>기존내역</t>
        </is>
      </c>
    </row>
    <row r="76">
      <c r="A76" s="146" t="n">
        <v>46276.45965277778</v>
      </c>
      <c r="B76" s="147" t="n">
        <v>46276</v>
      </c>
      <c r="C76" s="67" t="inlineStr">
        <is>
          <t>국민은행</t>
        </is>
      </c>
      <c r="D76" s="67" t="inlineStr">
        <is>
          <t>국민 154577</t>
        </is>
      </c>
      <c r="E76" s="148" t="n">
        <v>0</v>
      </c>
      <c r="F76" s="148" t="n">
        <v>184067</v>
      </c>
      <c r="G76" s="148" t="n">
        <v>16352645</v>
      </c>
      <c r="H76" s="75" t="inlineStr">
        <is>
          <t>전자금융</t>
        </is>
      </c>
      <c r="I76" s="75" t="inlineStr">
        <is>
          <t>KG이니시스</t>
        </is>
      </c>
      <c r="J76" s="75" t="inlineStr">
        <is>
          <t>하나은행</t>
        </is>
      </c>
      <c r="K76" s="67" t="inlineStr">
        <is>
          <t>온라인매출입금</t>
        </is>
      </c>
      <c r="L76" s="67" t="inlineStr">
        <is>
          <t>N</t>
        </is>
      </c>
      <c r="M76" s="67" t="inlineStr">
        <is>
          <t>N</t>
        </is>
      </c>
      <c r="N76" s="148" t="n">
        <v>184067</v>
      </c>
      <c r="O76" s="67" t="inlineStr">
        <is>
          <t>국민은행_계좌 조회 6개월(20260913).xls</t>
        </is>
      </c>
      <c r="P76" s="69" t="inlineStr">
        <is>
          <t>기존내역</t>
        </is>
      </c>
    </row>
    <row r="77">
      <c r="A77" s="146" t="n">
        <v>46276.46592592593</v>
      </c>
      <c r="B77" s="147" t="n">
        <v>46276</v>
      </c>
      <c r="C77" s="67" t="inlineStr">
        <is>
          <t>국민은행</t>
        </is>
      </c>
      <c r="D77" s="67" t="inlineStr">
        <is>
          <t>국민 154577</t>
        </is>
      </c>
      <c r="E77" s="148" t="n">
        <v>0</v>
      </c>
      <c r="F77" s="148" t="n">
        <v>1053497</v>
      </c>
      <c r="G77" s="148" t="n">
        <v>17406142</v>
      </c>
      <c r="H77" s="75" t="inlineStr">
        <is>
          <t>전자금융</t>
        </is>
      </c>
      <c r="I77" s="75" t="inlineStr">
        <is>
          <t>KG이니시스</t>
        </is>
      </c>
      <c r="J77" s="75" t="inlineStr">
        <is>
          <t>하나은행</t>
        </is>
      </c>
      <c r="K77" s="67" t="inlineStr">
        <is>
          <t>온라인매출입금</t>
        </is>
      </c>
      <c r="L77" s="67" t="inlineStr">
        <is>
          <t>N</t>
        </is>
      </c>
      <c r="M77" s="67" t="inlineStr">
        <is>
          <t>N</t>
        </is>
      </c>
      <c r="N77" s="148" t="n">
        <v>1053497</v>
      </c>
      <c r="O77" s="67" t="inlineStr">
        <is>
          <t>국민은행_계좌 조회 6개월(20260913).xls</t>
        </is>
      </c>
      <c r="P77" s="69" t="inlineStr">
        <is>
          <t>기존내역</t>
        </is>
      </c>
    </row>
    <row r="78">
      <c r="A78" s="146" t="n">
        <v>46276.7349537037</v>
      </c>
      <c r="B78" s="147" t="n">
        <v>46276</v>
      </c>
      <c r="C78" s="67" t="inlineStr">
        <is>
          <t>우리은행</t>
        </is>
      </c>
      <c r="D78" s="67" t="inlineStr">
        <is>
          <t>우리 220351</t>
        </is>
      </c>
      <c r="E78" s="148" t="n">
        <v>600000</v>
      </c>
      <c r="F78" s="148" t="n">
        <v>0</v>
      </c>
      <c r="G78" s="148" t="n">
        <v>8758002</v>
      </c>
      <c r="H78" s="75" t="inlineStr">
        <is>
          <t>전자결제</t>
        </is>
      </c>
      <c r="I78" s="75" t="inlineStr"/>
      <c r="J78" s="75" t="inlineStr">
        <is>
          <t>자금부</t>
        </is>
      </c>
      <c r="K78" s="67" t="inlineStr">
        <is>
          <t>기타지출</t>
        </is>
      </c>
      <c r="L78" s="67" t="inlineStr">
        <is>
          <t>N</t>
        </is>
      </c>
      <c r="M78" s="67" t="inlineStr">
        <is>
          <t>Y</t>
        </is>
      </c>
      <c r="N78" s="148" t="n">
        <v>-600000</v>
      </c>
      <c r="O78" s="67" t="inlineStr">
        <is>
          <t>국민은행_계좌 조회 6개월(20260913).xls</t>
        </is>
      </c>
      <c r="P78" s="69" t="inlineStr">
        <is>
          <t>기존내역</t>
        </is>
      </c>
    </row>
    <row r="79">
      <c r="A79" s="146" t="n">
        <v>46276.73954861111</v>
      </c>
      <c r="B79" s="147" t="n">
        <v>46276</v>
      </c>
      <c r="C79" s="67" t="inlineStr">
        <is>
          <t>우리은행</t>
        </is>
      </c>
      <c r="D79" s="67" t="inlineStr">
        <is>
          <t>우리 220351</t>
        </is>
      </c>
      <c r="E79" s="148" t="n">
        <v>3960000</v>
      </c>
      <c r="F79" s="148" t="n">
        <v>0</v>
      </c>
      <c r="G79" s="148" t="n">
        <v>4248002</v>
      </c>
      <c r="H79" s="75" t="inlineStr">
        <is>
          <t>인터넷</t>
        </is>
      </c>
      <c r="I79" s="75" t="inlineStr">
        <is>
          <t>국민네이버 apha</t>
        </is>
      </c>
      <c r="J79" s="75" t="inlineStr">
        <is>
          <t>성서공단금융센터</t>
        </is>
      </c>
      <c r="K79" s="67" t="inlineStr">
        <is>
          <t>기타지출</t>
        </is>
      </c>
      <c r="L79" s="67" t="inlineStr">
        <is>
          <t>N</t>
        </is>
      </c>
      <c r="M79" s="67" t="inlineStr">
        <is>
          <t>Y</t>
        </is>
      </c>
      <c r="N79" s="148" t="n">
        <v>-3960000</v>
      </c>
      <c r="O79" s="67" t="inlineStr">
        <is>
          <t>우리은행 거래내역조회 20260913.xlsx</t>
        </is>
      </c>
      <c r="P79" s="69" t="inlineStr">
        <is>
          <t>기존내역</t>
        </is>
      </c>
    </row>
    <row r="80">
      <c r="A80" s="146" t="n">
        <v>46276.73954861111</v>
      </c>
      <c r="B80" s="147" t="n">
        <v>46276</v>
      </c>
      <c r="C80" s="67" t="inlineStr">
        <is>
          <t>우리은행</t>
        </is>
      </c>
      <c r="D80" s="67" t="inlineStr">
        <is>
          <t>우리 220351</t>
        </is>
      </c>
      <c r="E80" s="148" t="n">
        <v>550000</v>
      </c>
      <c r="F80" s="148" t="n">
        <v>0</v>
      </c>
      <c r="G80" s="148" t="n">
        <v>8208002</v>
      </c>
      <c r="H80" s="75" t="inlineStr">
        <is>
          <t>인터넷</t>
        </is>
      </c>
      <c r="I80" s="75" t="inlineStr">
        <is>
          <t>농협(주)레인보우8</t>
        </is>
      </c>
      <c r="J80" s="75" t="inlineStr">
        <is>
          <t>성서공단금융센터</t>
        </is>
      </c>
      <c r="K80" s="67" t="inlineStr">
        <is>
          <t>기타지출</t>
        </is>
      </c>
      <c r="L80" s="67" t="inlineStr">
        <is>
          <t>N</t>
        </is>
      </c>
      <c r="M80" s="67" t="inlineStr">
        <is>
          <t>Y</t>
        </is>
      </c>
      <c r="N80" s="148" t="n">
        <v>-550000</v>
      </c>
      <c r="O80" s="67" t="inlineStr">
        <is>
          <t>우리은행 거래내역조회 20260913.xlsx</t>
        </is>
      </c>
      <c r="P80" s="69" t="inlineStr">
        <is>
          <t>기존내역</t>
        </is>
      </c>
    </row>
    <row r="81">
      <c r="A81" s="146" t="n">
        <v>46276.73957175926</v>
      </c>
      <c r="B81" s="147" t="n">
        <v>46276</v>
      </c>
      <c r="C81" s="67" t="inlineStr">
        <is>
          <t>우리은행</t>
        </is>
      </c>
      <c r="D81" s="67" t="inlineStr">
        <is>
          <t>우리 220351</t>
        </is>
      </c>
      <c r="E81" s="148" t="n">
        <v>330000</v>
      </c>
      <c r="F81" s="148" t="n">
        <v>0</v>
      </c>
      <c r="G81" s="148" t="n">
        <v>3918002</v>
      </c>
      <c r="H81" s="75" t="inlineStr">
        <is>
          <t>인터넷</t>
        </is>
      </c>
      <c r="I81" s="75" t="inlineStr">
        <is>
          <t>국민네이버 에이팜건</t>
        </is>
      </c>
      <c r="J81" s="75" t="inlineStr">
        <is>
          <t>성서공단금융센터</t>
        </is>
      </c>
      <c r="K81" s="67" t="inlineStr">
        <is>
          <t>기타지출</t>
        </is>
      </c>
      <c r="L81" s="67" t="inlineStr">
        <is>
          <t>N</t>
        </is>
      </c>
      <c r="M81" s="67" t="inlineStr">
        <is>
          <t>Y</t>
        </is>
      </c>
      <c r="N81" s="148" t="n">
        <v>-330000</v>
      </c>
      <c r="O81" s="67" t="inlineStr">
        <is>
          <t>농협계좌_6개월(20260913).xls</t>
        </is>
      </c>
      <c r="P81" s="69" t="inlineStr">
        <is>
          <t>기존내역</t>
        </is>
      </c>
    </row>
    <row r="82">
      <c r="A82" s="146" t="n">
        <v>46276.73958333334</v>
      </c>
      <c r="B82" s="147" t="n">
        <v>46276</v>
      </c>
      <c r="C82" s="67" t="inlineStr">
        <is>
          <t>우리은행</t>
        </is>
      </c>
      <c r="D82" s="67" t="inlineStr">
        <is>
          <t>우리 220351</t>
        </is>
      </c>
      <c r="E82" s="148" t="n">
        <v>990000</v>
      </c>
      <c r="F82" s="148" t="n">
        <v>0</v>
      </c>
      <c r="G82" s="148" t="n">
        <v>2928002</v>
      </c>
      <c r="H82" s="75" t="inlineStr">
        <is>
          <t>인터넷</t>
        </is>
      </c>
      <c r="I82" s="75" t="inlineStr">
        <is>
          <t>국민네이버 ddi5</t>
        </is>
      </c>
      <c r="J82" s="75" t="inlineStr">
        <is>
          <t>성서공단금융센터</t>
        </is>
      </c>
      <c r="K82" s="67" t="inlineStr">
        <is>
          <t>기타지출</t>
        </is>
      </c>
      <c r="L82" s="67" t="inlineStr">
        <is>
          <t>N</t>
        </is>
      </c>
      <c r="M82" s="67" t="inlineStr">
        <is>
          <t>N</t>
        </is>
      </c>
      <c r="N82" s="148" t="n">
        <v>-990000</v>
      </c>
      <c r="O82" s="67" t="inlineStr">
        <is>
          <t>국민은행_계좌 조회 6개월(20260913).xls</t>
        </is>
      </c>
      <c r="P82" s="69" t="inlineStr">
        <is>
          <t>기존내역</t>
        </is>
      </c>
    </row>
    <row r="83">
      <c r="A83" s="146" t="n">
        <v>46276.73959490741</v>
      </c>
      <c r="B83" s="147" t="n">
        <v>46276</v>
      </c>
      <c r="C83" s="67" t="inlineStr">
        <is>
          <t>우리은행</t>
        </is>
      </c>
      <c r="D83" s="67" t="inlineStr">
        <is>
          <t>우리 220351</t>
        </is>
      </c>
      <c r="E83" s="148" t="n">
        <v>434000</v>
      </c>
      <c r="F83" s="148" t="n">
        <v>0</v>
      </c>
      <c r="G83" s="148" t="n">
        <v>1209702</v>
      </c>
      <c r="H83" s="75" t="inlineStr">
        <is>
          <t>인터넷</t>
        </is>
      </c>
      <c r="I83" s="75" t="inlineStr">
        <is>
          <t>국민비즈월렛_쁘띠앤</t>
        </is>
      </c>
      <c r="J83" s="75" t="inlineStr">
        <is>
          <t>성서공단금융센터</t>
        </is>
      </c>
      <c r="K83" s="67" t="inlineStr">
        <is>
          <t>기타지출</t>
        </is>
      </c>
      <c r="L83" s="67" t="inlineStr">
        <is>
          <t>N</t>
        </is>
      </c>
      <c r="M83" s="67" t="inlineStr">
        <is>
          <t>Y</t>
        </is>
      </c>
      <c r="N83" s="148" t="n">
        <v>-434000</v>
      </c>
      <c r="O83" s="67" t="inlineStr">
        <is>
          <t>국민은행_계좌 조회 6개월(20260913).xls</t>
        </is>
      </c>
      <c r="P83" s="69" t="inlineStr">
        <is>
          <t>기존내역</t>
        </is>
      </c>
    </row>
    <row r="84">
      <c r="A84" s="146" t="n">
        <v>46276.73959490741</v>
      </c>
      <c r="B84" s="147" t="n">
        <v>46276</v>
      </c>
      <c r="C84" s="67" t="inlineStr">
        <is>
          <t>우리은행</t>
        </is>
      </c>
      <c r="D84" s="67" t="inlineStr">
        <is>
          <t>우리 220351</t>
        </is>
      </c>
      <c r="E84" s="148" t="n">
        <v>1236000</v>
      </c>
      <c r="F84" s="148" t="n">
        <v>0</v>
      </c>
      <c r="G84" s="148" t="n">
        <v>1643702</v>
      </c>
      <c r="H84" s="75" t="inlineStr">
        <is>
          <t>인터넷</t>
        </is>
      </c>
      <c r="I84" s="75" t="inlineStr">
        <is>
          <t>SC임정아</t>
        </is>
      </c>
      <c r="J84" s="75" t="inlineStr">
        <is>
          <t>성서공단금융센터</t>
        </is>
      </c>
      <c r="K84" s="67" t="inlineStr">
        <is>
          <t>기타지출</t>
        </is>
      </c>
      <c r="L84" s="67" t="inlineStr">
        <is>
          <t>N</t>
        </is>
      </c>
      <c r="M84" s="67" t="inlineStr">
        <is>
          <t>N</t>
        </is>
      </c>
      <c r="N84" s="148" t="n">
        <v>-1236000</v>
      </c>
      <c r="O84" s="67" t="inlineStr">
        <is>
          <t>국민은행_계좌 조회 6개월(20260913).xls</t>
        </is>
      </c>
      <c r="P84" s="69" t="inlineStr">
        <is>
          <t>기존내역</t>
        </is>
      </c>
    </row>
    <row r="85">
      <c r="A85" s="146" t="n">
        <v>46276.73959490741</v>
      </c>
      <c r="B85" s="147" t="n">
        <v>46276</v>
      </c>
      <c r="C85" s="67" t="inlineStr">
        <is>
          <t>우리은행</t>
        </is>
      </c>
      <c r="D85" s="67" t="inlineStr">
        <is>
          <t>우리 220351</t>
        </is>
      </c>
      <c r="E85" s="148" t="n">
        <v>48300</v>
      </c>
      <c r="F85" s="148" t="n">
        <v>0</v>
      </c>
      <c r="G85" s="148" t="n">
        <v>2879702</v>
      </c>
      <c r="H85" s="75" t="inlineStr">
        <is>
          <t>인터넷</t>
        </is>
      </c>
      <c r="I85" s="75" t="inlineStr">
        <is>
          <t>국민김사랑</t>
        </is>
      </c>
      <c r="J85" s="75" t="inlineStr">
        <is>
          <t>성서공단금융센터</t>
        </is>
      </c>
      <c r="K85" s="67" t="inlineStr">
        <is>
          <t>기타지출</t>
        </is>
      </c>
      <c r="L85" s="67" t="inlineStr">
        <is>
          <t>N</t>
        </is>
      </c>
      <c r="M85" s="67" t="inlineStr">
        <is>
          <t>N</t>
        </is>
      </c>
      <c r="N85" s="148" t="n">
        <v>-48300</v>
      </c>
      <c r="O85" s="67" t="inlineStr">
        <is>
          <t>국민은행_계좌 조회 6개월(20260913).xls</t>
        </is>
      </c>
      <c r="P85" s="69" t="inlineStr">
        <is>
          <t>기존내역</t>
        </is>
      </c>
    </row>
    <row r="86">
      <c r="A86" s="146" t="n">
        <v>46276.965</v>
      </c>
      <c r="B86" s="147" t="n">
        <v>46276</v>
      </c>
      <c r="C86" s="67" t="inlineStr">
        <is>
          <t>국민은행</t>
        </is>
      </c>
      <c r="D86" s="67" t="inlineStr">
        <is>
          <t>국민 154577</t>
        </is>
      </c>
      <c r="E86" s="148" t="n">
        <v>0</v>
      </c>
      <c r="F86" s="148" t="n">
        <v>51500</v>
      </c>
      <c r="G86" s="148" t="n">
        <v>17457642</v>
      </c>
      <c r="H86" s="75" t="inlineStr">
        <is>
          <t>전자금융</t>
        </is>
      </c>
      <c r="I86" s="75" t="inlineStr">
        <is>
          <t>김금란</t>
        </is>
      </c>
      <c r="J86" s="75" t="inlineStr">
        <is>
          <t>카뱅</t>
        </is>
      </c>
      <c r="K86" s="67" t="inlineStr">
        <is>
          <t>기타입금</t>
        </is>
      </c>
      <c r="L86" s="67" t="inlineStr">
        <is>
          <t>N</t>
        </is>
      </c>
      <c r="M86" s="67" t="inlineStr">
        <is>
          <t>N</t>
        </is>
      </c>
      <c r="N86" s="148" t="n">
        <v>51500</v>
      </c>
      <c r="O86" s="67" t="inlineStr">
        <is>
          <t>국민은행_계좌 조회 6개월(20260913).xls</t>
        </is>
      </c>
      <c r="P86" s="69" t="inlineStr">
        <is>
          <t>기존내역</t>
        </is>
      </c>
    </row>
    <row r="87">
      <c r="A87" s="247" t="n">
        <v>46277.558125</v>
      </c>
      <c r="B87" s="248" t="n">
        <v>46277</v>
      </c>
      <c r="C87" s="67" t="inlineStr">
        <is>
          <t>우리은행</t>
        </is>
      </c>
      <c r="D87" s="67" t="inlineStr">
        <is>
          <t>우리 220351</t>
        </is>
      </c>
      <c r="E87" s="148" t="n">
        <v>0</v>
      </c>
      <c r="F87" s="148" t="n">
        <v>55335</v>
      </c>
      <c r="G87" s="148" t="n">
        <v>1265037</v>
      </c>
      <c r="H87" s="75" t="inlineStr">
        <is>
          <t>타행건별</t>
        </is>
      </c>
      <c r="I87" s="75" t="inlineStr">
        <is>
          <t>정지민</t>
        </is>
      </c>
      <c r="J87" s="75" t="inlineStr">
        <is>
          <t>하나은행(081225)</t>
        </is>
      </c>
      <c r="K87" s="67" t="inlineStr">
        <is>
          <t>기타입금</t>
        </is>
      </c>
      <c r="L87" s="67" t="inlineStr">
        <is>
          <t>N</t>
        </is>
      </c>
      <c r="M87" s="67" t="inlineStr">
        <is>
          <t>N</t>
        </is>
      </c>
      <c r="N87" s="148" t="n">
        <v>55335</v>
      </c>
      <c r="O87" s="67" t="inlineStr">
        <is>
          <t>우리은행 거래내역조회 20260913.xlsx</t>
        </is>
      </c>
      <c r="P87" s="69" t="inlineStr">
        <is>
          <t>기존내역</t>
        </is>
      </c>
    </row>
    <row r="88">
      <c r="A88" s="247" t="n">
        <v>46278.89222222222</v>
      </c>
      <c r="B88" s="248" t="n">
        <v>46278</v>
      </c>
      <c r="C88" s="67" t="inlineStr">
        <is>
          <t>국민은행</t>
        </is>
      </c>
      <c r="D88" s="67" t="inlineStr">
        <is>
          <t>국민 154577</t>
        </is>
      </c>
      <c r="E88" s="148" t="n">
        <v>0</v>
      </c>
      <c r="F88" s="148" t="n">
        <v>77430</v>
      </c>
      <c r="G88" s="148" t="n">
        <v>17535072</v>
      </c>
      <c r="H88" s="75" t="inlineStr">
        <is>
          <t>전자금융</t>
        </is>
      </c>
      <c r="I88" s="75" t="inlineStr">
        <is>
          <t>양효진</t>
        </is>
      </c>
      <c r="J88" s="75" t="inlineStr">
        <is>
          <t>토스뱅크</t>
        </is>
      </c>
      <c r="K88" s="67" t="inlineStr">
        <is>
          <t>기타입금</t>
        </is>
      </c>
      <c r="L88" s="67" t="inlineStr">
        <is>
          <t>N</t>
        </is>
      </c>
      <c r="M88" s="67" t="inlineStr">
        <is>
          <t>N</t>
        </is>
      </c>
      <c r="N88" s="148" t="n">
        <v>77430</v>
      </c>
      <c r="O88" s="67" t="inlineStr">
        <is>
          <t>국민은행_계좌 조회 6개월(20260913).xls</t>
        </is>
      </c>
      <c r="P88" s="69" t="inlineStr">
        <is>
          <t>기존내역</t>
        </is>
      </c>
    </row>
    <row r="89">
      <c r="A89" s="146" t="n">
        <v>46279.09033564815</v>
      </c>
      <c r="B89" s="147" t="n">
        <v>46279</v>
      </c>
      <c r="C89" s="67" t="inlineStr">
        <is>
          <t>국민은행</t>
        </is>
      </c>
      <c r="D89" s="67" t="inlineStr">
        <is>
          <t>국민 154577</t>
        </is>
      </c>
      <c r="E89" s="148" t="n">
        <v>0</v>
      </c>
      <c r="F89" s="148" t="n">
        <v>101554</v>
      </c>
      <c r="G89" s="148" t="n">
        <v>17636626</v>
      </c>
      <c r="H89" s="75" t="inlineStr">
        <is>
          <t>전자금융</t>
        </is>
      </c>
      <c r="I89" s="75" t="inlineStr">
        <is>
          <t>Npay정산</t>
        </is>
      </c>
      <c r="J89" s="75" t="inlineStr">
        <is>
          <t>SC은행</t>
        </is>
      </c>
      <c r="K89" s="67" t="inlineStr">
        <is>
          <t>온라인매출입금</t>
        </is>
      </c>
      <c r="L89" s="67" t="inlineStr">
        <is>
          <t>N</t>
        </is>
      </c>
      <c r="M89" s="67" t="inlineStr">
        <is>
          <t>N</t>
        </is>
      </c>
      <c r="N89" s="148" t="n">
        <v>101554</v>
      </c>
      <c r="O89" s="67" t="inlineStr">
        <is>
          <t>우리은행 거래내역조회 20260913.xlsx</t>
        </is>
      </c>
      <c r="P89" s="69" t="inlineStr">
        <is>
          <t>기존내역</t>
        </is>
      </c>
    </row>
    <row r="90">
      <c r="A90" s="146" t="n">
        <v>46279.12704861111</v>
      </c>
      <c r="B90" s="147" t="n">
        <v>46279</v>
      </c>
      <c r="C90" s="67" t="inlineStr">
        <is>
          <t>우리은행</t>
        </is>
      </c>
      <c r="D90" s="67" t="inlineStr">
        <is>
          <t>우리 220351</t>
        </is>
      </c>
      <c r="E90" s="148" t="n">
        <v>0</v>
      </c>
      <c r="F90" s="148" t="n">
        <v>6026309</v>
      </c>
      <c r="G90" s="148" t="n">
        <v>7291346</v>
      </c>
      <c r="H90" s="75" t="inlineStr">
        <is>
          <t>펌뱅킹</t>
        </is>
      </c>
      <c r="I90" s="75" t="inlineStr">
        <is>
          <t>스마트스토어정산</t>
        </is>
      </c>
      <c r="J90" s="75" t="inlineStr">
        <is>
          <t>두산타워기업영업지원팀</t>
        </is>
      </c>
      <c r="K90" s="67" t="inlineStr">
        <is>
          <t>온라인매출입금</t>
        </is>
      </c>
      <c r="L90" s="67" t="inlineStr">
        <is>
          <t>N</t>
        </is>
      </c>
      <c r="M90" s="67" t="inlineStr">
        <is>
          <t>N</t>
        </is>
      </c>
      <c r="N90" s="148" t="n">
        <v>6026309</v>
      </c>
      <c r="O90" s="67" t="inlineStr">
        <is>
          <t>우리은행 거래내역조회 20260913.xlsx</t>
        </is>
      </c>
      <c r="P90" s="69" t="inlineStr">
        <is>
          <t>기존내역</t>
        </is>
      </c>
    </row>
    <row r="91">
      <c r="A91" s="146" t="n">
        <v>46279.42850694444</v>
      </c>
      <c r="B91" s="147" t="n">
        <v>46279</v>
      </c>
      <c r="C91" s="67" t="inlineStr">
        <is>
          <t>농협</t>
        </is>
      </c>
      <c r="D91" s="67" t="inlineStr">
        <is>
          <t>농협 569003</t>
        </is>
      </c>
      <c r="E91" s="148" t="n">
        <v>0</v>
      </c>
      <c r="F91" s="148" t="n">
        <v>25610</v>
      </c>
      <c r="G91" s="148" t="n">
        <v>70920</v>
      </c>
      <c r="H91" s="75" t="inlineStr">
        <is>
          <t>KB카드</t>
        </is>
      </c>
      <c r="I91" s="75" t="inlineStr">
        <is>
          <t>KB103013814</t>
        </is>
      </c>
      <c r="J91" s="75" t="inlineStr">
        <is>
          <t>농협 000998</t>
        </is>
      </c>
      <c r="K91" s="67" t="inlineStr">
        <is>
          <t>기타입금</t>
        </is>
      </c>
      <c r="L91" s="67" t="inlineStr">
        <is>
          <t>N</t>
        </is>
      </c>
      <c r="M91" s="67" t="inlineStr">
        <is>
          <t>N</t>
        </is>
      </c>
      <c r="N91" s="148" t="n">
        <v>25610</v>
      </c>
      <c r="O91" s="67" t="inlineStr">
        <is>
          <t>우리은행 거래내역조회 20260913.xlsx</t>
        </is>
      </c>
      <c r="P91" s="69" t="inlineStr">
        <is>
          <t>기존내역</t>
        </is>
      </c>
    </row>
    <row r="92">
      <c r="A92" s="146" t="n">
        <v>46279.44269675926</v>
      </c>
      <c r="B92" s="147" t="n">
        <v>46279</v>
      </c>
      <c r="C92" s="67" t="inlineStr">
        <is>
          <t>국민은행</t>
        </is>
      </c>
      <c r="D92" s="67" t="inlineStr">
        <is>
          <t>국민 154577</t>
        </is>
      </c>
      <c r="E92" s="148" t="n">
        <v>0</v>
      </c>
      <c r="F92" s="148" t="n">
        <v>25387</v>
      </c>
      <c r="G92" s="148" t="n">
        <v>17662013</v>
      </c>
      <c r="H92" s="75" t="inlineStr">
        <is>
          <t>전자금융</t>
        </is>
      </c>
      <c r="I92" s="75" t="inlineStr">
        <is>
          <t>KG이니시스</t>
        </is>
      </c>
      <c r="J92" s="75" t="inlineStr">
        <is>
          <t>하나은행</t>
        </is>
      </c>
      <c r="K92" s="67" t="inlineStr">
        <is>
          <t>온라인매출입금</t>
        </is>
      </c>
      <c r="L92" s="67" t="inlineStr">
        <is>
          <t>N</t>
        </is>
      </c>
      <c r="M92" s="67" t="inlineStr">
        <is>
          <t>N</t>
        </is>
      </c>
      <c r="N92" s="148" t="n">
        <v>25387</v>
      </c>
      <c r="O92" s="67" t="inlineStr">
        <is>
          <t>우리은행 거래내역조회 20260913.xlsx</t>
        </is>
      </c>
      <c r="P92" s="69" t="inlineStr">
        <is>
          <t>기존내역</t>
        </is>
      </c>
    </row>
    <row r="93">
      <c r="A93" s="146" t="n">
        <v>46279.45957175926</v>
      </c>
      <c r="B93" s="147" t="n">
        <v>46279</v>
      </c>
      <c r="C93" s="67" t="inlineStr">
        <is>
          <t>국민은행</t>
        </is>
      </c>
      <c r="D93" s="67" t="inlineStr">
        <is>
          <t>국민 154577</t>
        </is>
      </c>
      <c r="E93" s="148" t="n">
        <v>0</v>
      </c>
      <c r="F93" s="148" t="n">
        <v>1160667</v>
      </c>
      <c r="G93" s="148" t="n">
        <v>18822680</v>
      </c>
      <c r="H93" s="75" t="inlineStr">
        <is>
          <t>전자금융</t>
        </is>
      </c>
      <c r="I93" s="75" t="inlineStr">
        <is>
          <t>KG이니시스</t>
        </is>
      </c>
      <c r="J93" s="75" t="inlineStr">
        <is>
          <t>하나은행</t>
        </is>
      </c>
      <c r="K93" s="67" t="inlineStr">
        <is>
          <t>온라인매출입금</t>
        </is>
      </c>
      <c r="L93" s="67" t="inlineStr">
        <is>
          <t>N</t>
        </is>
      </c>
      <c r="M93" s="67" t="inlineStr">
        <is>
          <t>N</t>
        </is>
      </c>
      <c r="N93" s="148" t="n">
        <v>1160667</v>
      </c>
      <c r="O93" s="67" t="inlineStr">
        <is>
          <t>우리은행 거래내역조회 20260913.xlsx</t>
        </is>
      </c>
      <c r="P93" s="69" t="inlineStr">
        <is>
          <t>기존내역</t>
        </is>
      </c>
    </row>
    <row r="94">
      <c r="A94" s="146" t="n">
        <v>46279.46236111111</v>
      </c>
      <c r="B94" s="147" t="n">
        <v>46279</v>
      </c>
      <c r="C94" s="67" t="inlineStr">
        <is>
          <t>국민은행</t>
        </is>
      </c>
      <c r="D94" s="67" t="inlineStr">
        <is>
          <t>국민 154577</t>
        </is>
      </c>
      <c r="E94" s="148" t="n">
        <v>0</v>
      </c>
      <c r="F94" s="148" t="n">
        <v>84150</v>
      </c>
      <c r="G94" s="148" t="n">
        <v>18906830</v>
      </c>
      <c r="H94" s="75" t="inlineStr">
        <is>
          <t>전자금융</t>
        </is>
      </c>
      <c r="I94" s="75" t="inlineStr">
        <is>
          <t>주식회사지마켓</t>
        </is>
      </c>
      <c r="J94" s="75" t="inlineStr">
        <is>
          <t>신한은행</t>
        </is>
      </c>
      <c r="K94" s="67" t="inlineStr">
        <is>
          <t>온라인매출입금</t>
        </is>
      </c>
      <c r="L94" s="67" t="inlineStr">
        <is>
          <t>N</t>
        </is>
      </c>
      <c r="M94" s="67" t="inlineStr">
        <is>
          <t>N</t>
        </is>
      </c>
      <c r="N94" s="148" t="n">
        <v>84150</v>
      </c>
      <c r="O94" s="67" t="inlineStr">
        <is>
          <t>우리은행 거래내역조회 20260913.xlsx</t>
        </is>
      </c>
      <c r="P94" s="69" t="inlineStr">
        <is>
          <t>기존내역</t>
        </is>
      </c>
    </row>
    <row r="95">
      <c r="A95" s="146" t="n">
        <v>46279.46267361111</v>
      </c>
      <c r="B95" s="147" t="n">
        <v>46279</v>
      </c>
      <c r="C95" s="67" t="inlineStr">
        <is>
          <t>국민은행</t>
        </is>
      </c>
      <c r="D95" s="67" t="inlineStr">
        <is>
          <t>국민 154577</t>
        </is>
      </c>
      <c r="E95" s="148" t="n">
        <v>0</v>
      </c>
      <c r="F95" s="148" t="n">
        <v>328338</v>
      </c>
      <c r="G95" s="148" t="n">
        <v>19235168</v>
      </c>
      <c r="H95" s="75" t="inlineStr">
        <is>
          <t>전자금융</t>
        </is>
      </c>
      <c r="I95" s="75" t="inlineStr">
        <is>
          <t>KG이니시스</t>
        </is>
      </c>
      <c r="J95" s="75" t="inlineStr">
        <is>
          <t>하나은행</t>
        </is>
      </c>
      <c r="K95" s="67" t="inlineStr">
        <is>
          <t>온라인매출입금</t>
        </is>
      </c>
      <c r="L95" s="67" t="inlineStr">
        <is>
          <t>N</t>
        </is>
      </c>
      <c r="M95" s="67" t="inlineStr">
        <is>
          <t>N</t>
        </is>
      </c>
      <c r="N95" s="148" t="n">
        <v>328338</v>
      </c>
      <c r="O95" s="67" t="inlineStr">
        <is>
          <t>국민은행_계좌 조회 6개월(20260913).xls</t>
        </is>
      </c>
      <c r="P95" s="69" t="inlineStr">
        <is>
          <t>기존내역</t>
        </is>
      </c>
    </row>
    <row r="96">
      <c r="A96" s="146" t="n">
        <v>46279.5640625</v>
      </c>
      <c r="B96" s="147" t="n">
        <v>46279</v>
      </c>
      <c r="C96" s="67" t="inlineStr">
        <is>
          <t>우리은행</t>
        </is>
      </c>
      <c r="D96" s="67" t="inlineStr">
        <is>
          <t>우리 220351</t>
        </is>
      </c>
      <c r="E96" s="148" t="n">
        <v>200000</v>
      </c>
      <c r="F96" s="148" t="n">
        <v>0</v>
      </c>
      <c r="G96" s="148" t="n">
        <v>7091346</v>
      </c>
      <c r="H96" s="75" t="inlineStr">
        <is>
          <t>인터넷</t>
        </is>
      </c>
      <c r="I96" s="75" t="inlineStr">
        <is>
          <t>농협사단법인한국경영</t>
        </is>
      </c>
      <c r="J96" s="75" t="inlineStr">
        <is>
          <t>성서공단금융센터</t>
        </is>
      </c>
      <c r="K96" s="67" t="inlineStr">
        <is>
          <t>기타지출</t>
        </is>
      </c>
      <c r="L96" s="67" t="inlineStr">
        <is>
          <t>N</t>
        </is>
      </c>
      <c r="M96" s="67" t="inlineStr">
        <is>
          <t>N</t>
        </is>
      </c>
      <c r="N96" s="148" t="n">
        <v>-200000</v>
      </c>
      <c r="O96" s="67" t="inlineStr">
        <is>
          <t>우리은행 거래내역조회 20260913.xlsx</t>
        </is>
      </c>
      <c r="P96" s="69" t="inlineStr">
        <is>
          <t>기존내역</t>
        </is>
      </c>
    </row>
    <row r="97">
      <c r="A97" s="146" t="n">
        <v>46279.70739583333</v>
      </c>
      <c r="B97" s="147" t="n">
        <v>46279</v>
      </c>
      <c r="C97" s="67" t="inlineStr">
        <is>
          <t>농협</t>
        </is>
      </c>
      <c r="D97" s="67" t="inlineStr">
        <is>
          <t>농협 569003</t>
        </is>
      </c>
      <c r="E97" s="148" t="n">
        <v>0</v>
      </c>
      <c r="F97" s="148" t="n">
        <v>16000</v>
      </c>
      <c r="G97" s="148" t="n">
        <v>86920</v>
      </c>
      <c r="H97" s="75" t="inlineStr">
        <is>
          <t>폰카카오</t>
        </is>
      </c>
      <c r="I97" s="75" t="inlineStr">
        <is>
          <t>조성윤</t>
        </is>
      </c>
      <c r="J97" s="75" t="inlineStr">
        <is>
          <t>카카오뱅크 0900032</t>
        </is>
      </c>
      <c r="K97" s="67" t="inlineStr">
        <is>
          <t>기타입금</t>
        </is>
      </c>
      <c r="L97" s="67" t="inlineStr">
        <is>
          <t>N</t>
        </is>
      </c>
      <c r="M97" s="67" t="inlineStr">
        <is>
          <t>N</t>
        </is>
      </c>
      <c r="N97" s="148" t="n">
        <v>16000</v>
      </c>
      <c r="O97" s="67" t="inlineStr">
        <is>
          <t>국민은행_계좌 조회 6개월(20260913).xls</t>
        </is>
      </c>
      <c r="P97" s="69" t="inlineStr">
        <is>
          <t>기존내역</t>
        </is>
      </c>
    </row>
    <row r="98">
      <c r="A98" s="146" t="n">
        <v>46279.73373842592</v>
      </c>
      <c r="B98" s="147" t="n">
        <v>46279</v>
      </c>
      <c r="C98" s="67" t="inlineStr">
        <is>
          <t>우리은행</t>
        </is>
      </c>
      <c r="D98" s="67" t="inlineStr">
        <is>
          <t>우리 220351</t>
        </is>
      </c>
      <c r="E98" s="148" t="n">
        <v>1991000</v>
      </c>
      <c r="F98" s="148" t="n">
        <v>0</v>
      </c>
      <c r="G98" s="148" t="n">
        <v>5100346</v>
      </c>
      <c r="H98" s="75" t="inlineStr">
        <is>
          <t>인터넷</t>
        </is>
      </c>
      <c r="I98" s="75" t="inlineStr">
        <is>
          <t>국민네이버 apha</t>
        </is>
      </c>
      <c r="J98" s="75" t="inlineStr">
        <is>
          <t>성서공단금융센터</t>
        </is>
      </c>
      <c r="K98" s="67" t="inlineStr">
        <is>
          <t>기타지출</t>
        </is>
      </c>
      <c r="L98" s="67" t="inlineStr">
        <is>
          <t>N</t>
        </is>
      </c>
      <c r="M98" s="67" t="inlineStr">
        <is>
          <t>Y</t>
        </is>
      </c>
      <c r="N98" s="148" t="n">
        <v>-1991000</v>
      </c>
      <c r="O98" s="67" t="inlineStr">
        <is>
          <t>국민은행_계좌 조회 6개월(20260913).xls</t>
        </is>
      </c>
      <c r="P98" s="69" t="inlineStr">
        <is>
          <t>기존내역</t>
        </is>
      </c>
    </row>
    <row r="99">
      <c r="A99" s="146" t="n">
        <v>46279.73375</v>
      </c>
      <c r="B99" s="147" t="n">
        <v>46279</v>
      </c>
      <c r="C99" s="67" t="inlineStr">
        <is>
          <t>우리은행</t>
        </is>
      </c>
      <c r="D99" s="67" t="inlineStr">
        <is>
          <t>우리 220351</t>
        </is>
      </c>
      <c r="E99" s="148" t="n">
        <v>184800</v>
      </c>
      <c r="F99" s="148" t="n">
        <v>0</v>
      </c>
      <c r="G99" s="148" t="n">
        <v>4915546</v>
      </c>
      <c r="H99" s="75" t="inlineStr">
        <is>
          <t>인터넷</t>
        </is>
      </c>
      <c r="I99" s="75" t="inlineStr">
        <is>
          <t>주식회사이포넷</t>
        </is>
      </c>
      <c r="J99" s="75" t="inlineStr">
        <is>
          <t>성서공단금융센터</t>
        </is>
      </c>
      <c r="K99" s="67" t="inlineStr">
        <is>
          <t>기타지출</t>
        </is>
      </c>
      <c r="L99" s="67" t="inlineStr">
        <is>
          <t>N</t>
        </is>
      </c>
      <c r="M99" s="67" t="inlineStr">
        <is>
          <t>N</t>
        </is>
      </c>
      <c r="N99" s="148" t="n">
        <v>-184800</v>
      </c>
      <c r="O99" s="67" t="inlineStr">
        <is>
          <t>우리은행 거래내역조회 20260913.xlsx</t>
        </is>
      </c>
      <c r="P99" s="69" t="inlineStr">
        <is>
          <t>기존내역</t>
        </is>
      </c>
    </row>
    <row r="100">
      <c r="A100" s="146" t="n">
        <v>46279.73376157408</v>
      </c>
      <c r="B100" s="147" t="n">
        <v>46279</v>
      </c>
      <c r="C100" s="67" t="inlineStr">
        <is>
          <t>우리은행</t>
        </is>
      </c>
      <c r="D100" s="67" t="inlineStr">
        <is>
          <t>우리 220351</t>
        </is>
      </c>
      <c r="E100" s="148" t="n">
        <v>1000000</v>
      </c>
      <c r="F100" s="148" t="n">
        <v>0</v>
      </c>
      <c r="G100" s="148" t="n">
        <v>2987946</v>
      </c>
      <c r="H100" s="75" t="inlineStr">
        <is>
          <t>인터넷</t>
        </is>
      </c>
      <c r="I100" s="75" t="inlineStr">
        <is>
          <t>국민(주)트레이드파</t>
        </is>
      </c>
      <c r="J100" s="75" t="inlineStr">
        <is>
          <t>성서공단금융센터</t>
        </is>
      </c>
      <c r="K100" s="67" t="inlineStr">
        <is>
          <t>기타지출</t>
        </is>
      </c>
      <c r="L100" s="67" t="inlineStr">
        <is>
          <t>N</t>
        </is>
      </c>
      <c r="M100" s="67" t="inlineStr">
        <is>
          <t>N</t>
        </is>
      </c>
      <c r="N100" s="148" t="n">
        <v>-1000000</v>
      </c>
      <c r="O100" s="67" t="inlineStr">
        <is>
          <t>우리은행 거래내역조회 20260913.xlsx</t>
        </is>
      </c>
      <c r="P100" s="69" t="inlineStr">
        <is>
          <t>기존내역</t>
        </is>
      </c>
    </row>
    <row r="101">
      <c r="A101" s="146" t="n">
        <v>46279.73376157408</v>
      </c>
      <c r="B101" s="147" t="n">
        <v>46279</v>
      </c>
      <c r="C101" s="67" t="inlineStr">
        <is>
          <t>우리은행</t>
        </is>
      </c>
      <c r="D101" s="67" t="inlineStr">
        <is>
          <t>우리 220351</t>
        </is>
      </c>
      <c r="E101" s="148" t="n">
        <v>800000</v>
      </c>
      <c r="F101" s="148" t="n">
        <v>0</v>
      </c>
      <c r="G101" s="148" t="n">
        <v>3987946</v>
      </c>
      <c r="H101" s="75" t="inlineStr">
        <is>
          <t>인터넷</t>
        </is>
      </c>
      <c r="I101" s="75" t="inlineStr">
        <is>
          <t>국민(주)트레이드파</t>
        </is>
      </c>
      <c r="J101" s="75" t="inlineStr">
        <is>
          <t>성서공단금융센터</t>
        </is>
      </c>
      <c r="K101" s="67" t="inlineStr">
        <is>
          <t>기타지출</t>
        </is>
      </c>
      <c r="L101" s="67" t="inlineStr">
        <is>
          <t>N</t>
        </is>
      </c>
      <c r="M101" s="67" t="inlineStr">
        <is>
          <t>N</t>
        </is>
      </c>
      <c r="N101" s="148" t="n">
        <v>-800000</v>
      </c>
      <c r="O101" s="67" t="inlineStr">
        <is>
          <t>우리은행 거래내역조회 20260913.xlsx</t>
        </is>
      </c>
      <c r="P101" s="69" t="inlineStr">
        <is>
          <t>기존내역</t>
        </is>
      </c>
    </row>
    <row r="102">
      <c r="A102" s="146" t="n">
        <v>46279.73376157408</v>
      </c>
      <c r="B102" s="147" t="n">
        <v>46279</v>
      </c>
      <c r="C102" s="67" t="inlineStr">
        <is>
          <t>우리은행</t>
        </is>
      </c>
      <c r="D102" s="67" t="inlineStr">
        <is>
          <t>우리 220351</t>
        </is>
      </c>
      <c r="E102" s="148" t="n">
        <v>127600</v>
      </c>
      <c r="F102" s="148" t="n">
        <v>0</v>
      </c>
      <c r="G102" s="148" t="n">
        <v>4787946</v>
      </c>
      <c r="H102" s="75" t="inlineStr">
        <is>
          <t>인터넷</t>
        </is>
      </c>
      <c r="I102" s="75" t="inlineStr">
        <is>
          <t>주식회사이포넷</t>
        </is>
      </c>
      <c r="J102" s="75" t="inlineStr">
        <is>
          <t>성서공단금융센터</t>
        </is>
      </c>
      <c r="K102" s="67" t="inlineStr">
        <is>
          <t>기타지출</t>
        </is>
      </c>
      <c r="L102" s="67" t="inlineStr">
        <is>
          <t>N</t>
        </is>
      </c>
      <c r="M102" s="67" t="inlineStr">
        <is>
          <t>N</t>
        </is>
      </c>
      <c r="N102" s="148" t="n">
        <v>-127600</v>
      </c>
      <c r="O102" s="67" t="inlineStr">
        <is>
          <t>우리은행 거래내역조회 20260913.xlsx</t>
        </is>
      </c>
      <c r="P102" s="69" t="inlineStr">
        <is>
          <t>기존내역</t>
        </is>
      </c>
    </row>
    <row r="103">
      <c r="A103" s="146" t="n">
        <v>46280.08842592593</v>
      </c>
      <c r="B103" s="147" t="n">
        <v>46280</v>
      </c>
      <c r="C103" s="67" t="inlineStr">
        <is>
          <t>국민은행</t>
        </is>
      </c>
      <c r="D103" s="67" t="inlineStr">
        <is>
          <t>국민 154577</t>
        </is>
      </c>
      <c r="E103" s="148" t="n">
        <v>0</v>
      </c>
      <c r="F103" s="148" t="n">
        <v>221807</v>
      </c>
      <c r="G103" s="148" t="n">
        <v>19456975</v>
      </c>
      <c r="H103" s="75" t="inlineStr">
        <is>
          <t>전자금융</t>
        </is>
      </c>
      <c r="I103" s="75" t="inlineStr">
        <is>
          <t>Npay정산</t>
        </is>
      </c>
      <c r="J103" s="75" t="inlineStr">
        <is>
          <t>SC은행</t>
        </is>
      </c>
      <c r="K103" s="67" t="inlineStr">
        <is>
          <t>온라인매출입금</t>
        </is>
      </c>
      <c r="L103" s="67" t="inlineStr">
        <is>
          <t>N</t>
        </is>
      </c>
      <c r="M103" s="67" t="inlineStr">
        <is>
          <t>N</t>
        </is>
      </c>
      <c r="N103" s="148" t="n">
        <v>221807</v>
      </c>
      <c r="O103" s="67" t="inlineStr">
        <is>
          <t>우리은행 거래내역조회 20260913.xlsx</t>
        </is>
      </c>
      <c r="P103" s="69" t="inlineStr">
        <is>
          <t>기존내역</t>
        </is>
      </c>
    </row>
    <row r="104">
      <c r="A104" s="146" t="n">
        <v>46280.09949074074</v>
      </c>
      <c r="B104" s="147" t="n">
        <v>46280</v>
      </c>
      <c r="C104" s="67" t="inlineStr">
        <is>
          <t>우리은행</t>
        </is>
      </c>
      <c r="D104" s="67" t="inlineStr">
        <is>
          <t>우리 220351</t>
        </is>
      </c>
      <c r="E104" s="148" t="n">
        <v>0</v>
      </c>
      <c r="F104" s="148" t="n">
        <v>16004657</v>
      </c>
      <c r="G104" s="148" t="n">
        <v>18992603</v>
      </c>
      <c r="H104" s="75" t="inlineStr">
        <is>
          <t>펌뱅킹</t>
        </is>
      </c>
      <c r="I104" s="75" t="inlineStr">
        <is>
          <t>스마트스토어정산</t>
        </is>
      </c>
      <c r="J104" s="75" t="inlineStr">
        <is>
          <t>두산타워기업영업지원팀</t>
        </is>
      </c>
      <c r="K104" s="67" t="inlineStr">
        <is>
          <t>온라인매출입금</t>
        </is>
      </c>
      <c r="L104" s="67" t="inlineStr">
        <is>
          <t>N</t>
        </is>
      </c>
      <c r="M104" s="67" t="inlineStr">
        <is>
          <t>N</t>
        </is>
      </c>
      <c r="N104" s="148" t="n">
        <v>16004657</v>
      </c>
      <c r="O104" s="67" t="inlineStr">
        <is>
          <t>우리은행 거래내역조회 20260913.xlsx</t>
        </is>
      </c>
      <c r="P104" s="69" t="inlineStr">
        <is>
          <t>기존내역</t>
        </is>
      </c>
    </row>
    <row r="105">
      <c r="A105" s="146" t="n">
        <v>46280.13498842593</v>
      </c>
      <c r="B105" s="147" t="n">
        <v>46280</v>
      </c>
      <c r="C105" s="67" t="inlineStr">
        <is>
          <t>우리은행</t>
        </is>
      </c>
      <c r="D105" s="67" t="inlineStr">
        <is>
          <t>우리 220351</t>
        </is>
      </c>
      <c r="E105" s="148" t="n">
        <v>100000</v>
      </c>
      <c r="F105" s="148" t="n">
        <v>0</v>
      </c>
      <c r="G105" s="148" t="n">
        <v>18892603</v>
      </c>
      <c r="H105" s="75" t="inlineStr">
        <is>
          <t>지로자동</t>
        </is>
      </c>
      <c r="I105" s="75" t="inlineStr">
        <is>
          <t>적십자후원2</t>
        </is>
      </c>
      <c r="J105" s="75" t="inlineStr">
        <is>
          <t>성서공단금융센터</t>
        </is>
      </c>
      <c r="K105" s="67" t="inlineStr">
        <is>
          <t>기타지출</t>
        </is>
      </c>
      <c r="L105" s="67" t="inlineStr">
        <is>
          <t>N</t>
        </is>
      </c>
      <c r="M105" s="67" t="inlineStr">
        <is>
          <t>Y</t>
        </is>
      </c>
      <c r="N105" s="148" t="n">
        <v>-100000</v>
      </c>
      <c r="O105" s="67" t="inlineStr">
        <is>
          <t>농협계좌_6개월(20260913).xls</t>
        </is>
      </c>
      <c r="P105" s="69" t="inlineStr">
        <is>
          <t>기존내역</t>
        </is>
      </c>
    </row>
    <row r="106">
      <c r="A106" s="146" t="n">
        <v>46280.1394212963</v>
      </c>
      <c r="B106" s="147" t="n">
        <v>46280</v>
      </c>
      <c r="C106" s="67" t="inlineStr">
        <is>
          <t>우리은행</t>
        </is>
      </c>
      <c r="D106" s="67" t="inlineStr">
        <is>
          <t>우리 220351</t>
        </is>
      </c>
      <c r="E106" s="148" t="n">
        <v>11000</v>
      </c>
      <c r="F106" s="148" t="n">
        <v>0</v>
      </c>
      <c r="G106" s="148" t="n">
        <v>18881603</v>
      </c>
      <c r="H106" s="75" t="inlineStr">
        <is>
          <t>통신요금</t>
        </is>
      </c>
      <c r="I106" s="75" t="inlineStr">
        <is>
          <t>LGUM2M</t>
        </is>
      </c>
      <c r="J106" s="75" t="inlineStr">
        <is>
          <t>성서공단금융센터</t>
        </is>
      </c>
      <c r="K106" s="67" t="inlineStr">
        <is>
          <t>기타지출</t>
        </is>
      </c>
      <c r="L106" s="67" t="inlineStr">
        <is>
          <t>N</t>
        </is>
      </c>
      <c r="M106" s="67" t="inlineStr">
        <is>
          <t>Y</t>
        </is>
      </c>
      <c r="N106" s="148" t="n">
        <v>-11000</v>
      </c>
      <c r="O106" s="67" t="inlineStr">
        <is>
          <t>국민은행_계좌 조회 6개월(20260913).xls</t>
        </is>
      </c>
      <c r="P106" s="69" t="inlineStr">
        <is>
          <t>기존내역</t>
        </is>
      </c>
    </row>
    <row r="107">
      <c r="A107" s="146" t="n">
        <v>46280.13943287037</v>
      </c>
      <c r="B107" s="147" t="n">
        <v>46280</v>
      </c>
      <c r="C107" s="67" t="inlineStr">
        <is>
          <t>우리은행</t>
        </is>
      </c>
      <c r="D107" s="67" t="inlineStr">
        <is>
          <t>우리 220351</t>
        </is>
      </c>
      <c r="E107" s="148" t="n">
        <v>33990</v>
      </c>
      <c r="F107" s="148" t="n">
        <v>0</v>
      </c>
      <c r="G107" s="148" t="n">
        <v>18847613</v>
      </c>
      <c r="H107" s="75" t="inlineStr">
        <is>
          <t>통신요금</t>
        </is>
      </c>
      <c r="I107" s="75" t="inlineStr">
        <is>
          <t>LGU48453341</t>
        </is>
      </c>
      <c r="J107" s="75" t="inlineStr">
        <is>
          <t>성서공단금융센터</t>
        </is>
      </c>
      <c r="K107" s="67" t="inlineStr">
        <is>
          <t>기타지출</t>
        </is>
      </c>
      <c r="L107" s="67" t="inlineStr">
        <is>
          <t>N</t>
        </is>
      </c>
      <c r="M107" s="67" t="inlineStr">
        <is>
          <t>Y</t>
        </is>
      </c>
      <c r="N107" s="148" t="n">
        <v>-33990</v>
      </c>
      <c r="O107" s="67" t="inlineStr">
        <is>
          <t>농협계좌_6개월(20260913).xls</t>
        </is>
      </c>
      <c r="P107" s="69" t="inlineStr">
        <is>
          <t>기존내역</t>
        </is>
      </c>
    </row>
    <row r="108">
      <c r="A108" s="146" t="n">
        <v>46280.42652777778</v>
      </c>
      <c r="B108" s="147" t="n">
        <v>46280</v>
      </c>
      <c r="C108" s="67" t="inlineStr">
        <is>
          <t>농협</t>
        </is>
      </c>
      <c r="D108" s="67" t="inlineStr">
        <is>
          <t>농협 569003</t>
        </is>
      </c>
      <c r="E108" s="148" t="n">
        <v>0</v>
      </c>
      <c r="F108" s="148" t="n">
        <v>68600</v>
      </c>
      <c r="G108" s="148" t="n">
        <v>155520</v>
      </c>
      <c r="H108" s="75" t="inlineStr">
        <is>
          <t>KB카드</t>
        </is>
      </c>
      <c r="I108" s="75" t="inlineStr">
        <is>
          <t>KB103013814</t>
        </is>
      </c>
      <c r="J108" s="75" t="inlineStr">
        <is>
          <t>농협 000998</t>
        </is>
      </c>
      <c r="K108" s="67" t="inlineStr">
        <is>
          <t>기타입금</t>
        </is>
      </c>
      <c r="L108" s="67" t="inlineStr">
        <is>
          <t>N</t>
        </is>
      </c>
      <c r="M108" s="67" t="inlineStr">
        <is>
          <t>N</t>
        </is>
      </c>
      <c r="N108" s="148" t="n">
        <v>68600</v>
      </c>
      <c r="O108" s="67" t="inlineStr">
        <is>
          <t>국민은행_계좌 조회 6개월(20260913).xls</t>
        </is>
      </c>
      <c r="P108" s="69" t="inlineStr">
        <is>
          <t>기존내역</t>
        </is>
      </c>
    </row>
    <row r="109">
      <c r="A109" s="146" t="n">
        <v>46280.42721064815</v>
      </c>
      <c r="B109" s="147" t="n">
        <v>46280</v>
      </c>
      <c r="C109" s="67" t="inlineStr">
        <is>
          <t>국민은행</t>
        </is>
      </c>
      <c r="D109" s="67" t="inlineStr">
        <is>
          <t>국민 154577</t>
        </is>
      </c>
      <c r="E109" s="148" t="n">
        <v>1472990</v>
      </c>
      <c r="F109" s="148" t="n">
        <v>0</v>
      </c>
      <c r="G109" s="148" t="n">
        <v>17983985</v>
      </c>
      <c r="H109" s="75" t="inlineStr">
        <is>
          <t>기일출금</t>
        </is>
      </c>
      <c r="I109" s="75" t="inlineStr">
        <is>
          <t>(주)에이팜건강</t>
        </is>
      </c>
      <c r="J109" s="75" t="inlineStr">
        <is>
          <t>진천역</t>
        </is>
      </c>
      <c r="K109" s="67" t="inlineStr">
        <is>
          <t>계좌간이체</t>
        </is>
      </c>
      <c r="L109" s="67" t="inlineStr">
        <is>
          <t>Y</t>
        </is>
      </c>
      <c r="M109" s="67" t="inlineStr">
        <is>
          <t>N</t>
        </is>
      </c>
      <c r="N109" s="148" t="n">
        <v>0</v>
      </c>
      <c r="O109" s="67" t="inlineStr">
        <is>
          <t>국민은행_계좌 조회 6개월(20260913).xls</t>
        </is>
      </c>
      <c r="P109" s="69" t="inlineStr">
        <is>
          <t>기존내역</t>
        </is>
      </c>
    </row>
    <row r="110">
      <c r="A110" s="146" t="n">
        <v>46280.42721064815</v>
      </c>
      <c r="B110" s="147" t="n">
        <v>46280</v>
      </c>
      <c r="C110" s="67" t="inlineStr">
        <is>
          <t>국민은행</t>
        </is>
      </c>
      <c r="D110" s="67" t="inlineStr">
        <is>
          <t>국민 169124</t>
        </is>
      </c>
      <c r="E110" s="148" t="n">
        <v>0</v>
      </c>
      <c r="F110" s="148" t="n">
        <v>1472990</v>
      </c>
      <c r="G110" s="148" t="n">
        <v>101472990</v>
      </c>
      <c r="H110" s="75" t="inlineStr">
        <is>
          <t>기일입금</t>
        </is>
      </c>
      <c r="I110" s="75" t="inlineStr">
        <is>
          <t>(주)에이팜건강</t>
        </is>
      </c>
      <c r="J110" s="75" t="inlineStr">
        <is>
          <t>진천역</t>
        </is>
      </c>
      <c r="K110" s="67" t="inlineStr">
        <is>
          <t>계좌간이체</t>
        </is>
      </c>
      <c r="L110" s="67" t="inlineStr">
        <is>
          <t>Y</t>
        </is>
      </c>
      <c r="M110" s="67" t="inlineStr">
        <is>
          <t>N</t>
        </is>
      </c>
      <c r="N110" s="148" t="n">
        <v>0</v>
      </c>
      <c r="O110" s="67" t="inlineStr">
        <is>
          <t>농협계좌_6개월(20260913).xls</t>
        </is>
      </c>
      <c r="P110" s="69" t="inlineStr">
        <is>
          <t>기존내역</t>
        </is>
      </c>
    </row>
    <row r="111">
      <c r="A111" s="146" t="n">
        <v>46280.43946759259</v>
      </c>
      <c r="B111" s="147" t="n">
        <v>46280</v>
      </c>
      <c r="C111" s="67" t="inlineStr">
        <is>
          <t>농협</t>
        </is>
      </c>
      <c r="D111" s="67" t="inlineStr">
        <is>
          <t>농협 569003</t>
        </is>
      </c>
      <c r="E111" s="148" t="n">
        <v>0</v>
      </c>
      <c r="F111" s="148" t="n">
        <v>34000</v>
      </c>
      <c r="G111" s="148" t="n">
        <v>189520</v>
      </c>
      <c r="H111" s="75" t="inlineStr">
        <is>
          <t>폰토스뱅크</t>
        </is>
      </c>
      <c r="I111" s="75" t="inlineStr">
        <is>
          <t>김수희</t>
        </is>
      </c>
      <c r="J111" s="75" t="inlineStr">
        <is>
          <t>토스뱅크 0921008</t>
        </is>
      </c>
      <c r="K111" s="67" t="inlineStr">
        <is>
          <t>기타입금</t>
        </is>
      </c>
      <c r="L111" s="67" t="inlineStr">
        <is>
          <t>N</t>
        </is>
      </c>
      <c r="M111" s="67" t="inlineStr">
        <is>
          <t>N</t>
        </is>
      </c>
      <c r="N111" s="148" t="n">
        <v>34000</v>
      </c>
      <c r="O111" s="67" t="inlineStr">
        <is>
          <t>국민은행_계좌 조회 6개월(20260913).xls</t>
        </is>
      </c>
      <c r="P111" s="69" t="inlineStr">
        <is>
          <t>기존내역</t>
        </is>
      </c>
    </row>
    <row r="112">
      <c r="A112" s="146" t="n">
        <v>46280.44305555556</v>
      </c>
      <c r="B112" s="147" t="n">
        <v>46280</v>
      </c>
      <c r="C112" s="67" t="inlineStr">
        <is>
          <t>국민은행</t>
        </is>
      </c>
      <c r="D112" s="67" t="inlineStr">
        <is>
          <t>국민 154577</t>
        </is>
      </c>
      <c r="E112" s="148" t="n">
        <v>0</v>
      </c>
      <c r="F112" s="148" t="n">
        <v>2685770</v>
      </c>
      <c r="G112" s="148" t="n">
        <v>20669755</v>
      </c>
      <c r="H112" s="75" t="inlineStr">
        <is>
          <t>전자금융</t>
        </is>
      </c>
      <c r="I112" s="75" t="inlineStr">
        <is>
          <t>KG이니시스</t>
        </is>
      </c>
      <c r="J112" s="75" t="inlineStr">
        <is>
          <t>하나은행</t>
        </is>
      </c>
      <c r="K112" s="67" t="inlineStr">
        <is>
          <t>온라인매출입금</t>
        </is>
      </c>
      <c r="L112" s="67" t="inlineStr">
        <is>
          <t>N</t>
        </is>
      </c>
      <c r="M112" s="67" t="inlineStr">
        <is>
          <t>N</t>
        </is>
      </c>
      <c r="N112" s="148" t="n">
        <v>2685770</v>
      </c>
      <c r="O112" s="67" t="inlineStr">
        <is>
          <t>농협계좌_6개월(20260913).xls</t>
        </is>
      </c>
      <c r="P112" s="69" t="inlineStr">
        <is>
          <t>기존내역</t>
        </is>
      </c>
    </row>
    <row r="113">
      <c r="A113" s="146" t="n">
        <v>46280.44626157408</v>
      </c>
      <c r="B113" s="147" t="n">
        <v>46280</v>
      </c>
      <c r="C113" s="67" t="inlineStr">
        <is>
          <t>국민은행</t>
        </is>
      </c>
      <c r="D113" s="67" t="inlineStr">
        <is>
          <t>국민 154577</t>
        </is>
      </c>
      <c r="E113" s="148" t="n">
        <v>0</v>
      </c>
      <c r="F113" s="148" t="n">
        <v>824288</v>
      </c>
      <c r="G113" s="148" t="n">
        <v>21494043</v>
      </c>
      <c r="H113" s="75" t="inlineStr">
        <is>
          <t>전자금융</t>
        </is>
      </c>
      <c r="I113" s="75" t="inlineStr">
        <is>
          <t>KG이니시스</t>
        </is>
      </c>
      <c r="J113" s="75" t="inlineStr">
        <is>
          <t>하나은행</t>
        </is>
      </c>
      <c r="K113" s="67" t="inlineStr">
        <is>
          <t>온라인매출입금</t>
        </is>
      </c>
      <c r="L113" s="67" t="inlineStr">
        <is>
          <t>N</t>
        </is>
      </c>
      <c r="M113" s="67" t="inlineStr">
        <is>
          <t>N</t>
        </is>
      </c>
      <c r="N113" s="148" t="n">
        <v>824288</v>
      </c>
      <c r="O113" s="67" t="inlineStr">
        <is>
          <t>우리은행 거래내역조회 20260913.xlsx</t>
        </is>
      </c>
      <c r="P113" s="69" t="inlineStr">
        <is>
          <t>기존내역</t>
        </is>
      </c>
    </row>
    <row r="114">
      <c r="A114" s="146" t="n">
        <v>46280.45497685186</v>
      </c>
      <c r="B114" s="147" t="n">
        <v>46280</v>
      </c>
      <c r="C114" s="67" t="inlineStr">
        <is>
          <t>우리은행</t>
        </is>
      </c>
      <c r="D114" s="67" t="inlineStr">
        <is>
          <t>우리 220351</t>
        </is>
      </c>
      <c r="E114" s="148" t="n">
        <v>498762</v>
      </c>
      <c r="F114" s="148" t="n">
        <v>0</v>
      </c>
      <c r="G114" s="148" t="n">
        <v>18348851</v>
      </c>
      <c r="H114" s="75" t="inlineStr">
        <is>
          <t>인터넷</t>
        </is>
      </c>
      <c r="I114" s="75" t="inlineStr">
        <is>
          <t>국민비즈월렛_쁘띠앤</t>
        </is>
      </c>
      <c r="J114" s="75" t="inlineStr">
        <is>
          <t>성서공단금융센터</t>
        </is>
      </c>
      <c r="K114" s="67" t="inlineStr">
        <is>
          <t>기타지출</t>
        </is>
      </c>
      <c r="L114" s="67" t="inlineStr">
        <is>
          <t>N</t>
        </is>
      </c>
      <c r="M114" s="67" t="inlineStr">
        <is>
          <t>Y</t>
        </is>
      </c>
      <c r="N114" s="148" t="n">
        <v>-498762</v>
      </c>
      <c r="O114" s="67" t="inlineStr">
        <is>
          <t>우리은행 거래내역조회 20260913.xlsx</t>
        </is>
      </c>
      <c r="P114" s="69" t="inlineStr">
        <is>
          <t>기존내역</t>
        </is>
      </c>
    </row>
    <row r="115">
      <c r="A115" s="146" t="n">
        <v>46280.63819444444</v>
      </c>
      <c r="B115" s="147" t="n">
        <v>46280</v>
      </c>
      <c r="C115" s="67" t="inlineStr">
        <is>
          <t>국민은행</t>
        </is>
      </c>
      <c r="D115" s="67" t="inlineStr">
        <is>
          <t>국민 154577</t>
        </is>
      </c>
      <c r="E115" s="148" t="n">
        <v>0</v>
      </c>
      <c r="F115" s="148" t="n">
        <v>29700</v>
      </c>
      <c r="G115" s="148" t="n">
        <v>21523743</v>
      </c>
      <c r="H115" s="75" t="inlineStr">
        <is>
          <t>전자금융</t>
        </is>
      </c>
      <c r="I115" s="75" t="inlineStr">
        <is>
          <t>한진8364</t>
        </is>
      </c>
      <c r="J115" s="75" t="inlineStr">
        <is>
          <t>우리은행</t>
        </is>
      </c>
      <c r="K115" s="67" t="inlineStr">
        <is>
          <t>기타입금</t>
        </is>
      </c>
      <c r="L115" s="67" t="inlineStr">
        <is>
          <t>N</t>
        </is>
      </c>
      <c r="M115" s="67" t="inlineStr">
        <is>
          <t>N</t>
        </is>
      </c>
      <c r="N115" s="148" t="n">
        <v>29700</v>
      </c>
      <c r="O115" s="67" t="inlineStr">
        <is>
          <t>우리은행 거래내역조회 20260913.xlsx</t>
        </is>
      </c>
      <c r="P115" s="69" t="inlineStr">
        <is>
          <t>기존내역</t>
        </is>
      </c>
    </row>
    <row r="116">
      <c r="A116" s="146" t="n">
        <v>46280.64746527778</v>
      </c>
      <c r="B116" s="147" t="n">
        <v>46280</v>
      </c>
      <c r="C116" s="67" t="inlineStr">
        <is>
          <t>국민은행</t>
        </is>
      </c>
      <c r="D116" s="67" t="inlineStr">
        <is>
          <t>국민 154577</t>
        </is>
      </c>
      <c r="E116" s="148" t="n">
        <v>0</v>
      </c>
      <c r="F116" s="148" t="n">
        <v>73690</v>
      </c>
      <c r="G116" s="148" t="n">
        <v>21597433</v>
      </c>
      <c r="H116" s="75" t="inlineStr">
        <is>
          <t>전자금융</t>
        </is>
      </c>
      <c r="I116" s="75" t="inlineStr">
        <is>
          <t>엔에이치엔페이</t>
        </is>
      </c>
      <c r="J116" s="75" t="inlineStr">
        <is>
          <t>신한은행</t>
        </is>
      </c>
      <c r="K116" s="67" t="inlineStr">
        <is>
          <t>온라인매출입금</t>
        </is>
      </c>
      <c r="L116" s="67" t="inlineStr">
        <is>
          <t>N</t>
        </is>
      </c>
      <c r="M116" s="67" t="inlineStr">
        <is>
          <t>N</t>
        </is>
      </c>
      <c r="N116" s="148" t="n">
        <v>73690</v>
      </c>
      <c r="O116" s="67" t="inlineStr">
        <is>
          <t>우리은행 거래내역조회 20260913.xlsx</t>
        </is>
      </c>
      <c r="P116" s="69" t="inlineStr">
        <is>
          <t>기존내역</t>
        </is>
      </c>
    </row>
    <row r="117">
      <c r="A117" s="146" t="n">
        <v>46280.67892361111</v>
      </c>
      <c r="B117" s="147" t="n">
        <v>46280</v>
      </c>
      <c r="C117" s="67" t="inlineStr">
        <is>
          <t>우리은행</t>
        </is>
      </c>
      <c r="D117" s="67" t="inlineStr">
        <is>
          <t>우리 220351</t>
        </is>
      </c>
      <c r="E117" s="148" t="n">
        <v>1881000</v>
      </c>
      <c r="F117" s="148" t="n">
        <v>0</v>
      </c>
      <c r="G117" s="148" t="n">
        <v>16467851</v>
      </c>
      <c r="H117" s="75" t="inlineStr">
        <is>
          <t>인터넷</t>
        </is>
      </c>
      <c r="I117" s="75" t="inlineStr">
        <is>
          <t>국민네이버 apha</t>
        </is>
      </c>
      <c r="J117" s="75" t="inlineStr">
        <is>
          <t>성서공단금융센터</t>
        </is>
      </c>
      <c r="K117" s="67" t="inlineStr">
        <is>
          <t>기타지출</t>
        </is>
      </c>
      <c r="L117" s="67" t="inlineStr">
        <is>
          <t>N</t>
        </is>
      </c>
      <c r="M117" s="67" t="inlineStr">
        <is>
          <t>Y</t>
        </is>
      </c>
      <c r="N117" s="148" t="n">
        <v>-1881000</v>
      </c>
      <c r="O117" s="67" t="inlineStr">
        <is>
          <t>우리은행 거래내역조회 20260913.xlsx</t>
        </is>
      </c>
      <c r="P117" s="69" t="inlineStr">
        <is>
          <t>기존내역</t>
        </is>
      </c>
    </row>
    <row r="118">
      <c r="A118" s="146" t="n">
        <v>46280.67893518518</v>
      </c>
      <c r="B118" s="147" t="n">
        <v>46280</v>
      </c>
      <c r="C118" s="67" t="inlineStr">
        <is>
          <t>우리은행</t>
        </is>
      </c>
      <c r="D118" s="67" t="inlineStr">
        <is>
          <t>우리 220351</t>
        </is>
      </c>
      <c r="E118" s="148" t="n">
        <v>330000</v>
      </c>
      <c r="F118" s="148" t="n">
        <v>0</v>
      </c>
      <c r="G118" s="148" t="n">
        <v>16137851</v>
      </c>
      <c r="H118" s="75" t="inlineStr">
        <is>
          <t>인터넷</t>
        </is>
      </c>
      <c r="I118" s="75" t="inlineStr">
        <is>
          <t>국민네이버 에이팜건</t>
        </is>
      </c>
      <c r="J118" s="75" t="inlineStr">
        <is>
          <t>성서공단금융센터</t>
        </is>
      </c>
      <c r="K118" s="67" t="inlineStr">
        <is>
          <t>기타지출</t>
        </is>
      </c>
      <c r="L118" s="67" t="inlineStr">
        <is>
          <t>N</t>
        </is>
      </c>
      <c r="M118" s="67" t="inlineStr">
        <is>
          <t>Y</t>
        </is>
      </c>
      <c r="N118" s="148" t="n">
        <v>-330000</v>
      </c>
      <c r="O118" s="67" t="inlineStr">
        <is>
          <t>국민은행_계좌 조회 6개월(20260913).xls</t>
        </is>
      </c>
      <c r="P118" s="69" t="inlineStr">
        <is>
          <t>기존내역</t>
        </is>
      </c>
    </row>
    <row r="119">
      <c r="A119" s="146" t="n">
        <v>46280.67895833333</v>
      </c>
      <c r="B119" s="147" t="n">
        <v>46280</v>
      </c>
      <c r="C119" s="67" t="inlineStr">
        <is>
          <t>우리은행</t>
        </is>
      </c>
      <c r="D119" s="67" t="inlineStr">
        <is>
          <t>우리 220351</t>
        </is>
      </c>
      <c r="E119" s="148" t="n">
        <v>20000</v>
      </c>
      <c r="F119" s="148" t="n">
        <v>0</v>
      </c>
      <c r="G119" s="148" t="n">
        <v>14617851</v>
      </c>
      <c r="H119" s="75" t="inlineStr">
        <is>
          <t>인터넷</t>
        </is>
      </c>
      <c r="I119" s="75" t="inlineStr">
        <is>
          <t>기업특허법인 다옴</t>
        </is>
      </c>
      <c r="J119" s="75" t="inlineStr">
        <is>
          <t>성서공단금융센터</t>
        </is>
      </c>
      <c r="K119" s="67" t="inlineStr">
        <is>
          <t>기타지출</t>
        </is>
      </c>
      <c r="L119" s="67" t="inlineStr">
        <is>
          <t>N</t>
        </is>
      </c>
      <c r="M119" s="67" t="inlineStr">
        <is>
          <t>Y</t>
        </is>
      </c>
      <c r="N119" s="148" t="n">
        <v>-20000</v>
      </c>
      <c r="O119" s="67" t="inlineStr">
        <is>
          <t>농협계좌_6개월(20260913).xls</t>
        </is>
      </c>
      <c r="P119" s="69" t="inlineStr">
        <is>
          <t>기존내역</t>
        </is>
      </c>
    </row>
    <row r="120">
      <c r="A120" s="146" t="n">
        <v>46280.67895833333</v>
      </c>
      <c r="B120" s="147" t="n">
        <v>46280</v>
      </c>
      <c r="C120" s="67" t="inlineStr">
        <is>
          <t>우리은행</t>
        </is>
      </c>
      <c r="D120" s="67" t="inlineStr">
        <is>
          <t>우리 220351</t>
        </is>
      </c>
      <c r="E120" s="148" t="n">
        <v>1500000</v>
      </c>
      <c r="F120" s="148" t="n">
        <v>0</v>
      </c>
      <c r="G120" s="148" t="n">
        <v>14637851</v>
      </c>
      <c r="H120" s="75" t="inlineStr">
        <is>
          <t>인터넷</t>
        </is>
      </c>
      <c r="I120" s="75" t="inlineStr">
        <is>
          <t>(주)카카오</t>
        </is>
      </c>
      <c r="J120" s="75" t="inlineStr">
        <is>
          <t>성서공단금융센터</t>
        </is>
      </c>
      <c r="K120" s="67" t="inlineStr">
        <is>
          <t>기타지출</t>
        </is>
      </c>
      <c r="L120" s="67" t="inlineStr">
        <is>
          <t>N</t>
        </is>
      </c>
      <c r="M120" s="67" t="inlineStr">
        <is>
          <t>Y</t>
        </is>
      </c>
      <c r="N120" s="148" t="n">
        <v>-1500000</v>
      </c>
      <c r="O120" s="67" t="inlineStr">
        <is>
          <t>국민은행_계좌 조회 6개월(20260913).xls</t>
        </is>
      </c>
      <c r="P120" s="69" t="inlineStr">
        <is>
          <t>기존내역</t>
        </is>
      </c>
    </row>
    <row r="121">
      <c r="A121" s="146" t="n">
        <v>46280.67896990741</v>
      </c>
      <c r="B121" s="147" t="n">
        <v>46280</v>
      </c>
      <c r="C121" s="67" t="inlineStr">
        <is>
          <t>우리은행</t>
        </is>
      </c>
      <c r="D121" s="67" t="inlineStr">
        <is>
          <t>우리 220351</t>
        </is>
      </c>
      <c r="E121" s="148" t="n">
        <v>20000</v>
      </c>
      <c r="F121" s="148" t="n">
        <v>0</v>
      </c>
      <c r="G121" s="148" t="n">
        <v>14597851</v>
      </c>
      <c r="H121" s="75" t="inlineStr">
        <is>
          <t>인터넷</t>
        </is>
      </c>
      <c r="I121" s="75" t="inlineStr">
        <is>
          <t>기업특허법인 다옴</t>
        </is>
      </c>
      <c r="J121" s="75" t="inlineStr">
        <is>
          <t>성서공단금융센터</t>
        </is>
      </c>
      <c r="K121" s="67" t="inlineStr">
        <is>
          <t>기타지출</t>
        </is>
      </c>
      <c r="L121" s="67" t="inlineStr">
        <is>
          <t>N</t>
        </is>
      </c>
      <c r="M121" s="67" t="inlineStr">
        <is>
          <t>Y</t>
        </is>
      </c>
      <c r="N121" s="148" t="n">
        <v>-20000</v>
      </c>
      <c r="O121" s="67" t="inlineStr">
        <is>
          <t>국민은행_계좌 조회 6개월(20260913).xls</t>
        </is>
      </c>
      <c r="P121" s="69" t="inlineStr">
        <is>
          <t>기존내역</t>
        </is>
      </c>
    </row>
    <row r="122">
      <c r="A122" s="146" t="n">
        <v>46280.67898148148</v>
      </c>
      <c r="B122" s="147" t="n">
        <v>46280</v>
      </c>
      <c r="C122" s="67" t="inlineStr">
        <is>
          <t>우리은행</t>
        </is>
      </c>
      <c r="D122" s="67" t="inlineStr">
        <is>
          <t>우리 220351</t>
        </is>
      </c>
      <c r="E122" s="148" t="n">
        <v>20000</v>
      </c>
      <c r="F122" s="148" t="n">
        <v>0</v>
      </c>
      <c r="G122" s="148" t="n">
        <v>14577851</v>
      </c>
      <c r="H122" s="75" t="inlineStr">
        <is>
          <t>인터넷</t>
        </is>
      </c>
      <c r="I122" s="75" t="inlineStr">
        <is>
          <t>기업특허법인 다옴</t>
        </is>
      </c>
      <c r="J122" s="75" t="inlineStr">
        <is>
          <t>성서공단금융센터</t>
        </is>
      </c>
      <c r="K122" s="67" t="inlineStr">
        <is>
          <t>기타지출</t>
        </is>
      </c>
      <c r="L122" s="67" t="inlineStr">
        <is>
          <t>N</t>
        </is>
      </c>
      <c r="M122" s="67" t="inlineStr">
        <is>
          <t>Y</t>
        </is>
      </c>
      <c r="N122" s="148" t="n">
        <v>-20000</v>
      </c>
      <c r="O122" s="67" t="inlineStr">
        <is>
          <t>국민은행_계좌 조회 6개월(20260913).xls</t>
        </is>
      </c>
      <c r="P122" s="69" t="inlineStr">
        <is>
          <t>기존내역</t>
        </is>
      </c>
    </row>
    <row r="123">
      <c r="A123" s="146" t="n">
        <v>46280.67899305555</v>
      </c>
      <c r="B123" s="147" t="n">
        <v>46280</v>
      </c>
      <c r="C123" s="67" t="inlineStr">
        <is>
          <t>우리은행</t>
        </is>
      </c>
      <c r="D123" s="67" t="inlineStr">
        <is>
          <t>우리 220351</t>
        </is>
      </c>
      <c r="E123" s="148" t="n">
        <v>11953700</v>
      </c>
      <c r="F123" s="148" t="n">
        <v>0</v>
      </c>
      <c r="G123" s="148" t="n">
        <v>2624151</v>
      </c>
      <c r="H123" s="75" t="inlineStr">
        <is>
          <t>인터넷</t>
        </is>
      </c>
      <c r="I123" s="75" t="inlineStr">
        <is>
          <t>신한고은미(이룸파트</t>
        </is>
      </c>
      <c r="J123" s="75" t="inlineStr">
        <is>
          <t>성서공단금융센터</t>
        </is>
      </c>
      <c r="K123" s="67" t="inlineStr">
        <is>
          <t>기타지출</t>
        </is>
      </c>
      <c r="L123" s="67" t="inlineStr">
        <is>
          <t>N</t>
        </is>
      </c>
      <c r="M123" s="67" t="inlineStr">
        <is>
          <t>Y</t>
        </is>
      </c>
      <c r="N123" s="148" t="n">
        <v>-11953700</v>
      </c>
      <c r="O123" s="67" t="inlineStr">
        <is>
          <t>농협계좌_6개월(20260913).xls</t>
        </is>
      </c>
      <c r="P123" s="69" t="inlineStr">
        <is>
          <t>기존내역</t>
        </is>
      </c>
    </row>
    <row r="124">
      <c r="A124" s="146" t="n">
        <v>46280.69144675926</v>
      </c>
      <c r="B124" s="147" t="n">
        <v>46280</v>
      </c>
      <c r="C124" s="67" t="inlineStr">
        <is>
          <t>국민은행</t>
        </is>
      </c>
      <c r="D124" s="67" t="inlineStr">
        <is>
          <t>국민 154577</t>
        </is>
      </c>
      <c r="E124" s="148" t="n">
        <v>0</v>
      </c>
      <c r="F124" s="148" t="n">
        <v>78710</v>
      </c>
      <c r="G124" s="148" t="n">
        <v>21676143</v>
      </c>
      <c r="H124" s="75" t="inlineStr">
        <is>
          <t>전자금융</t>
        </is>
      </c>
      <c r="I124" s="75" t="inlineStr">
        <is>
          <t>에스케이엠앤서비스</t>
        </is>
      </c>
      <c r="J124" s="75" t="inlineStr">
        <is>
          <t>하나은행</t>
        </is>
      </c>
      <c r="K124" s="67" t="inlineStr">
        <is>
          <t>기타입금</t>
        </is>
      </c>
      <c r="L124" s="67" t="inlineStr">
        <is>
          <t>N</t>
        </is>
      </c>
      <c r="M124" s="67" t="inlineStr">
        <is>
          <t>N</t>
        </is>
      </c>
      <c r="N124" s="148" t="n">
        <v>78710</v>
      </c>
      <c r="O124" s="67" t="inlineStr">
        <is>
          <t>국민은행_계좌 조회 6개월(20260913).xls</t>
        </is>
      </c>
      <c r="P124" s="69" t="inlineStr">
        <is>
          <t>기존내역</t>
        </is>
      </c>
    </row>
    <row r="125">
      <c r="A125" s="146" t="n">
        <v>46280.69503472222</v>
      </c>
      <c r="B125" s="147" t="n">
        <v>46280</v>
      </c>
      <c r="C125" s="67" t="inlineStr">
        <is>
          <t>국민은행</t>
        </is>
      </c>
      <c r="D125" s="67" t="inlineStr">
        <is>
          <t>국민 154577</t>
        </is>
      </c>
      <c r="E125" s="148" t="n">
        <v>0</v>
      </c>
      <c r="F125" s="148" t="n">
        <v>539023</v>
      </c>
      <c r="G125" s="148" t="n">
        <v>22215166</v>
      </c>
      <c r="H125" s="75" t="inlineStr">
        <is>
          <t>인터넷입금이체</t>
        </is>
      </c>
      <c r="I125" s="75" t="inlineStr">
        <is>
          <t>(주)씨제이이엔엠</t>
        </is>
      </c>
      <c r="J125" s="75" t="inlineStr">
        <is>
          <t>대1-5</t>
        </is>
      </c>
      <c r="K125" s="67" t="inlineStr">
        <is>
          <t>온라인매출입금</t>
        </is>
      </c>
      <c r="L125" s="67" t="inlineStr">
        <is>
          <t>N</t>
        </is>
      </c>
      <c r="M125" s="67" t="inlineStr">
        <is>
          <t>N</t>
        </is>
      </c>
      <c r="N125" s="148" t="n">
        <v>539023</v>
      </c>
      <c r="O125" s="67" t="inlineStr">
        <is>
          <t>농협계좌_6개월(20260913).xls</t>
        </is>
      </c>
      <c r="P125" s="69" t="inlineStr">
        <is>
          <t>기존내역</t>
        </is>
      </c>
    </row>
    <row r="126">
      <c r="A126" s="146" t="n">
        <v>46280.70096064815</v>
      </c>
      <c r="B126" s="147" t="n">
        <v>46280</v>
      </c>
      <c r="C126" s="67" t="inlineStr">
        <is>
          <t>국민은행</t>
        </is>
      </c>
      <c r="D126" s="67" t="inlineStr">
        <is>
          <t>국민 154577</t>
        </is>
      </c>
      <c r="E126" s="148" t="n">
        <v>0</v>
      </c>
      <c r="F126" s="148" t="n">
        <v>67500</v>
      </c>
      <c r="G126" s="148" t="n">
        <v>22282666</v>
      </c>
      <c r="H126" s="75" t="inlineStr">
        <is>
          <t>FBS입금</t>
        </is>
      </c>
      <c r="I126" s="75" t="inlineStr">
        <is>
          <t>김선정</t>
        </is>
      </c>
      <c r="J126" s="75" t="inlineStr">
        <is>
          <t>ERP사</t>
        </is>
      </c>
      <c r="K126" s="67" t="inlineStr">
        <is>
          <t>기타입금</t>
        </is>
      </c>
      <c r="L126" s="67" t="inlineStr">
        <is>
          <t>N</t>
        </is>
      </c>
      <c r="M126" s="67" t="inlineStr">
        <is>
          <t>N</t>
        </is>
      </c>
      <c r="N126" s="148" t="n">
        <v>67500</v>
      </c>
      <c r="O126" s="67" t="inlineStr">
        <is>
          <t>국민은행_계좌 조회 6개월(20260913).xls</t>
        </is>
      </c>
      <c r="P126" s="69" t="inlineStr">
        <is>
          <t>기존내역</t>
        </is>
      </c>
    </row>
    <row r="127">
      <c r="A127" s="146" t="n">
        <v>46280.70457175926</v>
      </c>
      <c r="B127" s="147" t="n">
        <v>46280</v>
      </c>
      <c r="C127" s="67" t="inlineStr">
        <is>
          <t>우리은행</t>
        </is>
      </c>
      <c r="D127" s="67" t="inlineStr">
        <is>
          <t>우리 220351</t>
        </is>
      </c>
      <c r="E127" s="148" t="n">
        <v>20800</v>
      </c>
      <c r="F127" s="148" t="n">
        <v>0</v>
      </c>
      <c r="G127" s="148" t="n">
        <v>2603351</v>
      </c>
      <c r="H127" s="75" t="inlineStr">
        <is>
          <t>F/B 출금</t>
        </is>
      </c>
      <c r="I127" s="75" t="inlineStr">
        <is>
          <t>코웨이멤버쉽09</t>
        </is>
      </c>
      <c r="J127" s="75" t="inlineStr">
        <is>
          <t>성서공단금융센터</t>
        </is>
      </c>
      <c r="K127" s="67" t="inlineStr">
        <is>
          <t>기타지출</t>
        </is>
      </c>
      <c r="L127" s="67" t="inlineStr">
        <is>
          <t>N</t>
        </is>
      </c>
      <c r="M127" s="67" t="inlineStr">
        <is>
          <t>Y</t>
        </is>
      </c>
      <c r="N127" s="148" t="n">
        <v>-20800</v>
      </c>
      <c r="O127" s="67" t="inlineStr">
        <is>
          <t>우리은행 거래내역조회 20260913.xlsx</t>
        </is>
      </c>
      <c r="P127" s="69" t="inlineStr">
        <is>
          <t>기존내역</t>
        </is>
      </c>
    </row>
    <row r="128">
      <c r="A128" s="146" t="n">
        <v>46280.70458333333</v>
      </c>
      <c r="B128" s="147" t="n">
        <v>46280</v>
      </c>
      <c r="C128" s="67" t="inlineStr">
        <is>
          <t>우리은행</t>
        </is>
      </c>
      <c r="D128" s="67" t="inlineStr">
        <is>
          <t>우리 220351</t>
        </is>
      </c>
      <c r="E128" s="148" t="n">
        <v>50910</v>
      </c>
      <c r="F128" s="148" t="n">
        <v>0</v>
      </c>
      <c r="G128" s="148" t="n">
        <v>2535041</v>
      </c>
      <c r="H128" s="75" t="inlineStr">
        <is>
          <t>F/B 출금</t>
        </is>
      </c>
      <c r="I128" s="75" t="inlineStr">
        <is>
          <t>코웨이렌탈09</t>
        </is>
      </c>
      <c r="J128" s="75" t="inlineStr">
        <is>
          <t>성서공단금융센터</t>
        </is>
      </c>
      <c r="K128" s="67" t="inlineStr">
        <is>
          <t>기타지출</t>
        </is>
      </c>
      <c r="L128" s="67" t="inlineStr">
        <is>
          <t>N</t>
        </is>
      </c>
      <c r="M128" s="67" t="inlineStr">
        <is>
          <t>Y</t>
        </is>
      </c>
      <c r="N128" s="148" t="n">
        <v>-50910</v>
      </c>
      <c r="O128" s="67" t="inlineStr">
        <is>
          <t>우리은행 거래내역조회 20260913.xlsx</t>
        </is>
      </c>
      <c r="P128" s="69" t="inlineStr">
        <is>
          <t>기존내역</t>
        </is>
      </c>
    </row>
    <row r="129">
      <c r="A129" s="146" t="n">
        <v>46280.70458333333</v>
      </c>
      <c r="B129" s="147" t="n">
        <v>46280</v>
      </c>
      <c r="C129" s="67" t="inlineStr">
        <is>
          <t>우리은행</t>
        </is>
      </c>
      <c r="D129" s="67" t="inlineStr">
        <is>
          <t>우리 220351</t>
        </is>
      </c>
      <c r="E129" s="148" t="n">
        <v>17400</v>
      </c>
      <c r="F129" s="148" t="n">
        <v>0</v>
      </c>
      <c r="G129" s="148" t="n">
        <v>2585951</v>
      </c>
      <c r="H129" s="75" t="inlineStr">
        <is>
          <t>F/B 출금</t>
        </is>
      </c>
      <c r="I129" s="75" t="inlineStr">
        <is>
          <t>코웨이멤버쉽09</t>
        </is>
      </c>
      <c r="J129" s="75" t="inlineStr">
        <is>
          <t>성서공단금융센터</t>
        </is>
      </c>
      <c r="K129" s="67" t="inlineStr">
        <is>
          <t>기타지출</t>
        </is>
      </c>
      <c r="L129" s="67" t="inlineStr">
        <is>
          <t>N</t>
        </is>
      </c>
      <c r="M129" s="67" t="inlineStr">
        <is>
          <t>Y</t>
        </is>
      </c>
      <c r="N129" s="148" t="n">
        <v>-17400</v>
      </c>
      <c r="O129" s="67" t="inlineStr">
        <is>
          <t>우리은행 거래내역조회 20260913.xlsx</t>
        </is>
      </c>
      <c r="P129" s="69" t="inlineStr">
        <is>
          <t>기존내역</t>
        </is>
      </c>
    </row>
    <row r="130">
      <c r="A130" s="146" t="n">
        <v>46280.70459490741</v>
      </c>
      <c r="B130" s="147" t="n">
        <v>46280</v>
      </c>
      <c r="C130" s="67" t="inlineStr">
        <is>
          <t>우리은행</t>
        </is>
      </c>
      <c r="D130" s="67" t="inlineStr">
        <is>
          <t>우리 220351</t>
        </is>
      </c>
      <c r="E130" s="148" t="n">
        <v>22010</v>
      </c>
      <c r="F130" s="148" t="n">
        <v>0</v>
      </c>
      <c r="G130" s="148" t="n">
        <v>2513031</v>
      </c>
      <c r="H130" s="75" t="inlineStr">
        <is>
          <t>F/B 출금</t>
        </is>
      </c>
      <c r="I130" s="75" t="inlineStr">
        <is>
          <t>코웨이렌탈09</t>
        </is>
      </c>
      <c r="J130" s="75" t="inlineStr">
        <is>
          <t>성서공단금융센터</t>
        </is>
      </c>
      <c r="K130" s="67" t="inlineStr">
        <is>
          <t>기타지출</t>
        </is>
      </c>
      <c r="L130" s="67" t="inlineStr">
        <is>
          <t>N</t>
        </is>
      </c>
      <c r="M130" s="67" t="inlineStr">
        <is>
          <t>Y</t>
        </is>
      </c>
      <c r="N130" s="148" t="n">
        <v>-22010</v>
      </c>
      <c r="O130" s="67" t="inlineStr">
        <is>
          <t>국민은행_계좌 조회 6개월(20260913).xls</t>
        </is>
      </c>
      <c r="P130" s="69" t="inlineStr">
        <is>
          <t>기존내역</t>
        </is>
      </c>
    </row>
    <row r="131">
      <c r="A131" s="146" t="n">
        <v>46280.70460648148</v>
      </c>
      <c r="B131" s="147" t="n">
        <v>46280</v>
      </c>
      <c r="C131" s="67" t="inlineStr">
        <is>
          <t>우리은행</t>
        </is>
      </c>
      <c r="D131" s="67" t="inlineStr">
        <is>
          <t>우리 220351</t>
        </is>
      </c>
      <c r="E131" s="148" t="n">
        <v>28900</v>
      </c>
      <c r="F131" s="148" t="n">
        <v>0</v>
      </c>
      <c r="G131" s="148" t="n">
        <v>2452341</v>
      </c>
      <c r="H131" s="75" t="inlineStr">
        <is>
          <t>F/B 출금</t>
        </is>
      </c>
      <c r="I131" s="75" t="inlineStr">
        <is>
          <t>코웨이멤버쉽09</t>
        </is>
      </c>
      <c r="J131" s="75" t="inlineStr">
        <is>
          <t>성서공단금융센터</t>
        </is>
      </c>
      <c r="K131" s="67" t="inlineStr">
        <is>
          <t>기타지출</t>
        </is>
      </c>
      <c r="L131" s="67" t="inlineStr">
        <is>
          <t>N</t>
        </is>
      </c>
      <c r="M131" s="67" t="inlineStr">
        <is>
          <t>Y</t>
        </is>
      </c>
      <c r="N131" s="148" t="n">
        <v>-28900</v>
      </c>
      <c r="O131" s="67" t="inlineStr">
        <is>
          <t>국민은행_계좌 조회 6개월(20260913).xls</t>
        </is>
      </c>
      <c r="P131" s="69" t="inlineStr">
        <is>
          <t>기존내역</t>
        </is>
      </c>
    </row>
    <row r="132">
      <c r="A132" s="146" t="n">
        <v>46280.70460648148</v>
      </c>
      <c r="B132" s="147" t="n">
        <v>46280</v>
      </c>
      <c r="C132" s="67" t="inlineStr">
        <is>
          <t>우리은행</t>
        </is>
      </c>
      <c r="D132" s="67" t="inlineStr">
        <is>
          <t>우리 220351</t>
        </is>
      </c>
      <c r="E132" s="148" t="n">
        <v>31790</v>
      </c>
      <c r="F132" s="148" t="n">
        <v>0</v>
      </c>
      <c r="G132" s="148" t="n">
        <v>2481241</v>
      </c>
      <c r="H132" s="75" t="inlineStr">
        <is>
          <t>F/B 출금</t>
        </is>
      </c>
      <c r="I132" s="75" t="inlineStr">
        <is>
          <t>코웨이렌탈09</t>
        </is>
      </c>
      <c r="J132" s="75" t="inlineStr">
        <is>
          <t>성서공단금융센터</t>
        </is>
      </c>
      <c r="K132" s="67" t="inlineStr">
        <is>
          <t>기타지출</t>
        </is>
      </c>
      <c r="L132" s="67" t="inlineStr">
        <is>
          <t>N</t>
        </is>
      </c>
      <c r="M132" s="67" t="inlineStr">
        <is>
          <t>Y</t>
        </is>
      </c>
      <c r="N132" s="148" t="n">
        <v>-31790</v>
      </c>
      <c r="O132" s="67" t="inlineStr">
        <is>
          <t>우리은행 거래내역조회 20260913.xlsx</t>
        </is>
      </c>
      <c r="P132" s="69" t="inlineStr">
        <is>
          <t>기존내역</t>
        </is>
      </c>
    </row>
    <row r="133">
      <c r="A133" s="146" t="n">
        <v>46280.70805555556</v>
      </c>
      <c r="B133" s="147" t="n">
        <v>46280</v>
      </c>
      <c r="C133" s="67" t="inlineStr">
        <is>
          <t>국민은행</t>
        </is>
      </c>
      <c r="D133" s="67" t="inlineStr">
        <is>
          <t>국민 154577</t>
        </is>
      </c>
      <c r="E133" s="148" t="n">
        <v>0</v>
      </c>
      <c r="F133" s="148" t="n">
        <v>189836</v>
      </c>
      <c r="G133" s="148" t="n">
        <v>22472502</v>
      </c>
      <c r="H133" s="75" t="inlineStr">
        <is>
          <t>인터넷입금이체</t>
        </is>
      </c>
      <c r="I133" s="75" t="inlineStr">
        <is>
          <t>(주)씨제이이엔엠</t>
        </is>
      </c>
      <c r="J133" s="75" t="inlineStr">
        <is>
          <t>대1-5</t>
        </is>
      </c>
      <c r="K133" s="67" t="inlineStr">
        <is>
          <t>온라인매출입금</t>
        </is>
      </c>
      <c r="L133" s="67" t="inlineStr">
        <is>
          <t>N</t>
        </is>
      </c>
      <c r="M133" s="67" t="inlineStr">
        <is>
          <t>N</t>
        </is>
      </c>
      <c r="N133" s="148" t="n">
        <v>189836</v>
      </c>
      <c r="O133" s="67" t="inlineStr">
        <is>
          <t>우리은행 거래내역조회 20260913.xlsx</t>
        </is>
      </c>
      <c r="P133" s="69" t="inlineStr">
        <is>
          <t>기존내역</t>
        </is>
      </c>
    </row>
    <row r="134">
      <c r="A134" s="146" t="n">
        <v>46280.75979166666</v>
      </c>
      <c r="B134" s="147" t="n">
        <v>46280</v>
      </c>
      <c r="C134" s="67" t="inlineStr">
        <is>
          <t>국민은행</t>
        </is>
      </c>
      <c r="D134" s="67" t="inlineStr">
        <is>
          <t>국민 154577</t>
        </is>
      </c>
      <c r="E134" s="148" t="n">
        <v>253800</v>
      </c>
      <c r="F134" s="148" t="n">
        <v>0</v>
      </c>
      <c r="G134" s="148" t="n">
        <v>22218702</v>
      </c>
      <c r="H134" s="75" t="inlineStr">
        <is>
          <t>국민카드</t>
        </is>
      </c>
      <c r="I134" s="75" t="inlineStr">
        <is>
          <t>KB카드출금</t>
        </is>
      </c>
      <c r="J134" s="75" t="inlineStr">
        <is>
          <t>수신상</t>
        </is>
      </c>
      <c r="K134" s="67" t="inlineStr">
        <is>
          <t>국민카드 결제</t>
        </is>
      </c>
      <c r="L134" s="67" t="inlineStr">
        <is>
          <t>N</t>
        </is>
      </c>
      <c r="M134" s="67" t="inlineStr">
        <is>
          <t>Y</t>
        </is>
      </c>
      <c r="N134" s="148" t="n">
        <v>-253800</v>
      </c>
      <c r="O134" s="67" t="inlineStr">
        <is>
          <t>우리은행 거래내역조회 20260913.xlsx</t>
        </is>
      </c>
      <c r="P134" s="69" t="inlineStr">
        <is>
          <t>기존내역</t>
        </is>
      </c>
    </row>
    <row r="135">
      <c r="A135" s="146" t="n">
        <v>46280.81505787037</v>
      </c>
      <c r="B135" s="147" t="n">
        <v>46280</v>
      </c>
      <c r="C135" s="67" t="inlineStr">
        <is>
          <t>국민은행</t>
        </is>
      </c>
      <c r="D135" s="67" t="inlineStr">
        <is>
          <t>국민 169124</t>
        </is>
      </c>
      <c r="E135" s="148" t="n">
        <v>785790</v>
      </c>
      <c r="F135" s="148" t="n">
        <v>0</v>
      </c>
      <c r="G135" s="148" t="n">
        <v>100687200</v>
      </c>
      <c r="H135" s="75" t="inlineStr">
        <is>
          <t>FBS출금</t>
        </is>
      </c>
      <c r="I135" s="75" t="inlineStr">
        <is>
          <t>삼성09016건</t>
        </is>
      </c>
      <c r="J135" s="75" t="inlineStr">
        <is>
          <t>ERP사</t>
        </is>
      </c>
      <c r="K135" s="67" t="inlineStr">
        <is>
          <t>보험료</t>
        </is>
      </c>
      <c r="L135" s="67" t="inlineStr">
        <is>
          <t>N</t>
        </is>
      </c>
      <c r="M135" s="67" t="inlineStr">
        <is>
          <t>Y</t>
        </is>
      </c>
      <c r="N135" s="148" t="n">
        <v>-785790</v>
      </c>
      <c r="O135" s="67" t="inlineStr">
        <is>
          <t>우리은행 거래내역조회 20260913.xlsx</t>
        </is>
      </c>
      <c r="P135" s="69" t="inlineStr">
        <is>
          <t>기존내역</t>
        </is>
      </c>
    </row>
    <row r="136">
      <c r="A136" s="146" t="n">
        <v>46280.84253472222</v>
      </c>
      <c r="B136" s="147" t="n">
        <v>46280</v>
      </c>
      <c r="C136" s="67" t="inlineStr">
        <is>
          <t>국민은행</t>
        </is>
      </c>
      <c r="D136" s="67" t="inlineStr">
        <is>
          <t>국민 154577</t>
        </is>
      </c>
      <c r="E136" s="148" t="n">
        <v>5001750</v>
      </c>
      <c r="F136" s="148" t="n">
        <v>0</v>
      </c>
      <c r="G136" s="148" t="n">
        <v>17216952</v>
      </c>
      <c r="H136" s="75" t="inlineStr">
        <is>
          <t>FBS출금</t>
        </is>
      </c>
      <c r="I136" s="75" t="inlineStr">
        <is>
          <t>ABL생명09010</t>
        </is>
      </c>
      <c r="J136" s="75" t="inlineStr">
        <is>
          <t>ERP사</t>
        </is>
      </c>
      <c r="K136" s="67" t="inlineStr">
        <is>
          <t>보험료</t>
        </is>
      </c>
      <c r="L136" s="67" t="inlineStr">
        <is>
          <t>N</t>
        </is>
      </c>
      <c r="M136" s="67" t="inlineStr">
        <is>
          <t>Y</t>
        </is>
      </c>
      <c r="N136" s="148" t="n">
        <v>-5001750</v>
      </c>
      <c r="O136" s="67" t="inlineStr">
        <is>
          <t>국민은행_계좌 조회 6개월(20260913).xls</t>
        </is>
      </c>
      <c r="P136" s="69" t="inlineStr">
        <is>
          <t>기존내역</t>
        </is>
      </c>
    </row>
    <row r="137">
      <c r="A137" s="146" t="n">
        <v>46281.10140046296</v>
      </c>
      <c r="B137" s="147" t="n">
        <v>46281</v>
      </c>
      <c r="C137" s="67" t="inlineStr">
        <is>
          <t>우리은행</t>
        </is>
      </c>
      <c r="D137" s="67" t="inlineStr">
        <is>
          <t>우리 220351</t>
        </is>
      </c>
      <c r="E137" s="148" t="n">
        <v>0</v>
      </c>
      <c r="F137" s="148" t="n">
        <v>7176912</v>
      </c>
      <c r="G137" s="148" t="n">
        <v>9629253</v>
      </c>
      <c r="H137" s="75" t="inlineStr">
        <is>
          <t>펌뱅킹</t>
        </is>
      </c>
      <c r="I137" s="75" t="inlineStr">
        <is>
          <t>스마트스토어정산</t>
        </is>
      </c>
      <c r="J137" s="75" t="inlineStr">
        <is>
          <t>두산타워기업영업지원팀</t>
        </is>
      </c>
      <c r="K137" s="67" t="inlineStr">
        <is>
          <t>온라인매출입금</t>
        </is>
      </c>
      <c r="L137" s="67" t="inlineStr">
        <is>
          <t>N</t>
        </is>
      </c>
      <c r="M137" s="67" t="inlineStr">
        <is>
          <t>N</t>
        </is>
      </c>
      <c r="N137" s="148" t="n">
        <v>7176912</v>
      </c>
      <c r="O137" s="67" t="inlineStr">
        <is>
          <t>농협계좌_6개월(20260913).xls</t>
        </is>
      </c>
      <c r="P137" s="69" t="inlineStr">
        <is>
          <t>기존내역</t>
        </is>
      </c>
    </row>
    <row r="138">
      <c r="A138" s="146" t="n">
        <v>46281.12967592593</v>
      </c>
      <c r="B138" s="147" t="n">
        <v>46281</v>
      </c>
      <c r="C138" s="67" t="inlineStr">
        <is>
          <t>국민은행</t>
        </is>
      </c>
      <c r="D138" s="67" t="inlineStr">
        <is>
          <t>국민 154577</t>
        </is>
      </c>
      <c r="E138" s="148" t="n">
        <v>0</v>
      </c>
      <c r="F138" s="148" t="n">
        <v>5776</v>
      </c>
      <c r="G138" s="148" t="n">
        <v>17222728</v>
      </c>
      <c r="H138" s="75" t="inlineStr">
        <is>
          <t>전자금융</t>
        </is>
      </c>
      <c r="I138" s="75" t="inlineStr">
        <is>
          <t>Npay정산</t>
        </is>
      </c>
      <c r="J138" s="75" t="inlineStr">
        <is>
          <t>SC은행</t>
        </is>
      </c>
      <c r="K138" s="67" t="inlineStr">
        <is>
          <t>온라인매출입금</t>
        </is>
      </c>
      <c r="L138" s="67" t="inlineStr">
        <is>
          <t>N</t>
        </is>
      </c>
      <c r="M138" s="67" t="inlineStr">
        <is>
          <t>N</t>
        </is>
      </c>
      <c r="N138" s="148" t="n">
        <v>5776</v>
      </c>
      <c r="O138" s="67" t="inlineStr">
        <is>
          <t>국민은행_계좌 조회 6개월(20260913).xls</t>
        </is>
      </c>
      <c r="P138" s="69" t="inlineStr">
        <is>
          <t>기존내역</t>
        </is>
      </c>
    </row>
    <row r="139">
      <c r="A139" s="146" t="n">
        <v>46281.2155787037</v>
      </c>
      <c r="B139" s="147" t="n">
        <v>46281</v>
      </c>
      <c r="C139" s="67" t="inlineStr">
        <is>
          <t>농협</t>
        </is>
      </c>
      <c r="D139" s="67" t="inlineStr">
        <is>
          <t>농협 569003</t>
        </is>
      </c>
      <c r="E139" s="148" t="n">
        <v>0</v>
      </c>
      <c r="F139" s="148" t="n">
        <v>1333398</v>
      </c>
      <c r="G139" s="148" t="n">
        <v>1522918</v>
      </c>
      <c r="H139" s="75" t="inlineStr">
        <is>
          <t>BC카드</t>
        </is>
      </c>
      <c r="I139" s="75" t="inlineStr">
        <is>
          <t>726168386BC</t>
        </is>
      </c>
      <c r="J139" s="75" t="inlineStr">
        <is>
          <t>농협 000998</t>
        </is>
      </c>
      <c r="K139" s="67" t="inlineStr">
        <is>
          <t>기타입금</t>
        </is>
      </c>
      <c r="L139" s="67" t="inlineStr">
        <is>
          <t>N</t>
        </is>
      </c>
      <c r="M139" s="67" t="inlineStr">
        <is>
          <t>N</t>
        </is>
      </c>
      <c r="N139" s="148" t="n">
        <v>1333398</v>
      </c>
      <c r="O139" s="67" t="inlineStr">
        <is>
          <t>국민은행_계좌 조회 6개월(20260913).xls</t>
        </is>
      </c>
      <c r="P139" s="69" t="inlineStr">
        <is>
          <t>기존내역</t>
        </is>
      </c>
    </row>
    <row r="140">
      <c r="A140" s="146" t="n">
        <v>46281.40854166666</v>
      </c>
      <c r="B140" s="147" t="n">
        <v>46281</v>
      </c>
      <c r="C140" s="67" t="inlineStr">
        <is>
          <t>농협</t>
        </is>
      </c>
      <c r="D140" s="67" t="inlineStr">
        <is>
          <t>농협 569003</t>
        </is>
      </c>
      <c r="E140" s="148" t="n">
        <v>0</v>
      </c>
      <c r="F140" s="148" t="n">
        <v>80278</v>
      </c>
      <c r="G140" s="148" t="n">
        <v>1603196</v>
      </c>
      <c r="H140" s="75" t="inlineStr">
        <is>
          <t>PC-SC제일</t>
        </is>
      </c>
      <c r="I140" s="75" t="inlineStr">
        <is>
          <t>롯데45933388</t>
        </is>
      </c>
      <c r="J140" s="75" t="inlineStr">
        <is>
          <t>SC제일 0231040</t>
        </is>
      </c>
      <c r="K140" s="67" t="inlineStr">
        <is>
          <t>기타입금</t>
        </is>
      </c>
      <c r="L140" s="67" t="inlineStr">
        <is>
          <t>N</t>
        </is>
      </c>
      <c r="M140" s="67" t="inlineStr">
        <is>
          <t>N</t>
        </is>
      </c>
      <c r="N140" s="148" t="n">
        <v>80278</v>
      </c>
      <c r="O140" s="67" t="inlineStr">
        <is>
          <t>농협계좌_6개월(20260913).xls</t>
        </is>
      </c>
      <c r="P140" s="69" t="inlineStr">
        <is>
          <t>기존내역</t>
        </is>
      </c>
    </row>
    <row r="141">
      <c r="A141" s="146" t="n">
        <v>46281.45313657408</v>
      </c>
      <c r="B141" s="147" t="n">
        <v>46281</v>
      </c>
      <c r="C141" s="67" t="inlineStr">
        <is>
          <t>국민은행</t>
        </is>
      </c>
      <c r="D141" s="67" t="inlineStr">
        <is>
          <t>국민 154577</t>
        </is>
      </c>
      <c r="E141" s="148" t="n">
        <v>0</v>
      </c>
      <c r="F141" s="148" t="n">
        <v>398851</v>
      </c>
      <c r="G141" s="148" t="n">
        <v>17621579</v>
      </c>
      <c r="H141" s="75" t="inlineStr">
        <is>
          <t>전자금융</t>
        </is>
      </c>
      <c r="I141" s="75" t="inlineStr">
        <is>
          <t>KG이니시스</t>
        </is>
      </c>
      <c r="J141" s="75" t="inlineStr">
        <is>
          <t>하나은행</t>
        </is>
      </c>
      <c r="K141" s="67" t="inlineStr">
        <is>
          <t>온라인매출입금</t>
        </is>
      </c>
      <c r="L141" s="67" t="inlineStr">
        <is>
          <t>N</t>
        </is>
      </c>
      <c r="M141" s="67" t="inlineStr">
        <is>
          <t>N</t>
        </is>
      </c>
      <c r="N141" s="148" t="n">
        <v>398851</v>
      </c>
      <c r="O141" s="67" t="inlineStr">
        <is>
          <t>농협계좌_6개월(20260913).xls</t>
        </is>
      </c>
      <c r="P141" s="69" t="inlineStr">
        <is>
          <t>기존내역</t>
        </is>
      </c>
    </row>
    <row r="142">
      <c r="A142" s="146" t="n">
        <v>46281.4655324074</v>
      </c>
      <c r="B142" s="147" t="n">
        <v>46281</v>
      </c>
      <c r="C142" s="67" t="inlineStr">
        <is>
          <t>국민은행</t>
        </is>
      </c>
      <c r="D142" s="67" t="inlineStr">
        <is>
          <t>국민 154577</t>
        </is>
      </c>
      <c r="E142" s="148" t="n">
        <v>0</v>
      </c>
      <c r="F142" s="148" t="n">
        <v>76235</v>
      </c>
      <c r="G142" s="148" t="n">
        <v>17697814</v>
      </c>
      <c r="H142" s="75" t="inlineStr">
        <is>
          <t>전자금융</t>
        </is>
      </c>
      <c r="I142" s="75" t="inlineStr">
        <is>
          <t>KG이니시스</t>
        </is>
      </c>
      <c r="J142" s="75" t="inlineStr">
        <is>
          <t>하나은행</t>
        </is>
      </c>
      <c r="K142" s="67" t="inlineStr">
        <is>
          <t>온라인매출입금</t>
        </is>
      </c>
      <c r="L142" s="67" t="inlineStr">
        <is>
          <t>N</t>
        </is>
      </c>
      <c r="M142" s="67" t="inlineStr">
        <is>
          <t>N</t>
        </is>
      </c>
      <c r="N142" s="148" t="n">
        <v>76235</v>
      </c>
      <c r="O142" s="67" t="inlineStr">
        <is>
          <t>국민은행_계좌 조회 6개월(20260913).xls</t>
        </is>
      </c>
      <c r="P142" s="69" t="inlineStr">
        <is>
          <t>기존내역</t>
        </is>
      </c>
    </row>
    <row r="143">
      <c r="A143" s="146" t="n">
        <v>46281.55491898148</v>
      </c>
      <c r="B143" s="147" t="n">
        <v>46281</v>
      </c>
      <c r="C143" s="67" t="inlineStr">
        <is>
          <t>농협</t>
        </is>
      </c>
      <c r="D143" s="67" t="inlineStr">
        <is>
          <t>농협 569003</t>
        </is>
      </c>
      <c r="E143" s="148" t="n">
        <v>0</v>
      </c>
      <c r="F143" s="148" t="n">
        <v>60800</v>
      </c>
      <c r="G143" s="148" t="n">
        <v>1663996</v>
      </c>
      <c r="H143" s="75" t="inlineStr">
        <is>
          <t>NH콕송금</t>
        </is>
      </c>
      <c r="I143" s="75" t="inlineStr">
        <is>
          <t>조민경</t>
        </is>
      </c>
      <c r="J143" s="75" t="inlineStr">
        <is>
          <t>농협 150020</t>
        </is>
      </c>
      <c r="K143" s="67" t="inlineStr">
        <is>
          <t>기타입금</t>
        </is>
      </c>
      <c r="L143" s="67" t="inlineStr">
        <is>
          <t>N</t>
        </is>
      </c>
      <c r="M143" s="67" t="inlineStr">
        <is>
          <t>N</t>
        </is>
      </c>
      <c r="N143" s="148" t="n">
        <v>60800</v>
      </c>
      <c r="O143" s="67" t="inlineStr">
        <is>
          <t>국민은행_계좌 조회 6개월(20260913).xls</t>
        </is>
      </c>
      <c r="P143" s="69" t="inlineStr">
        <is>
          <t>기존내역</t>
        </is>
      </c>
    </row>
    <row r="144">
      <c r="A144" s="146" t="n">
        <v>46281.72231481481</v>
      </c>
      <c r="B144" s="147" t="n">
        <v>46281</v>
      </c>
      <c r="C144" s="67" t="inlineStr">
        <is>
          <t>우리은행</t>
        </is>
      </c>
      <c r="D144" s="67" t="inlineStr">
        <is>
          <t>우리 220351</t>
        </is>
      </c>
      <c r="E144" s="148" t="n">
        <v>40000</v>
      </c>
      <c r="F144" s="148" t="n">
        <v>0</v>
      </c>
      <c r="G144" s="148" t="n">
        <v>9589253</v>
      </c>
      <c r="H144" s="75" t="inlineStr">
        <is>
          <t>전자결제</t>
        </is>
      </c>
      <c r="I144" s="75" t="inlineStr">
        <is>
          <t>(사)한국</t>
        </is>
      </c>
      <c r="J144" s="75" t="inlineStr">
        <is>
          <t>자금부</t>
        </is>
      </c>
      <c r="K144" s="67" t="inlineStr">
        <is>
          <t>기타지출</t>
        </is>
      </c>
      <c r="L144" s="67" t="inlineStr">
        <is>
          <t>N</t>
        </is>
      </c>
      <c r="M144" s="67" t="inlineStr">
        <is>
          <t>N</t>
        </is>
      </c>
      <c r="N144" s="148" t="n">
        <v>-40000</v>
      </c>
      <c r="O144" s="67" t="inlineStr">
        <is>
          <t>국민은행_계좌 조회 6개월(20260913).xls</t>
        </is>
      </c>
      <c r="P144" s="69" t="inlineStr">
        <is>
          <t>기존내역</t>
        </is>
      </c>
    </row>
    <row r="145">
      <c r="A145" s="146" t="n">
        <v>46281.72320601852</v>
      </c>
      <c r="B145" s="147" t="n">
        <v>46281</v>
      </c>
      <c r="C145" s="67" t="inlineStr">
        <is>
          <t>우리은행</t>
        </is>
      </c>
      <c r="D145" s="67" t="inlineStr">
        <is>
          <t>우리 220351</t>
        </is>
      </c>
      <c r="E145" s="148" t="n">
        <v>2002000</v>
      </c>
      <c r="F145" s="148" t="n">
        <v>0</v>
      </c>
      <c r="G145" s="148" t="n">
        <v>7587253</v>
      </c>
      <c r="H145" s="75" t="inlineStr">
        <is>
          <t>인터넷</t>
        </is>
      </c>
      <c r="I145" s="75" t="inlineStr">
        <is>
          <t>국민네이버 apha</t>
        </is>
      </c>
      <c r="J145" s="75" t="inlineStr">
        <is>
          <t>성서공단금융센터</t>
        </is>
      </c>
      <c r="K145" s="67" t="inlineStr">
        <is>
          <t>기타지출</t>
        </is>
      </c>
      <c r="L145" s="67" t="inlineStr">
        <is>
          <t>N</t>
        </is>
      </c>
      <c r="M145" s="67" t="inlineStr">
        <is>
          <t>Y</t>
        </is>
      </c>
      <c r="N145" s="148" t="n">
        <v>-2002000</v>
      </c>
      <c r="O145" s="67" t="inlineStr">
        <is>
          <t>국민은행_계좌 조회 6개월(20260913).xls</t>
        </is>
      </c>
      <c r="P145" s="69" t="inlineStr">
        <is>
          <t>기존내역</t>
        </is>
      </c>
    </row>
    <row r="146">
      <c r="A146" s="146" t="n">
        <v>46281.90350694444</v>
      </c>
      <c r="B146" s="147" t="n">
        <v>46281</v>
      </c>
      <c r="C146" s="67" t="inlineStr">
        <is>
          <t>국민은행</t>
        </is>
      </c>
      <c r="D146" s="67" t="inlineStr">
        <is>
          <t>국민 154577</t>
        </is>
      </c>
      <c r="E146" s="148" t="n">
        <v>0</v>
      </c>
      <c r="F146" s="148" t="n">
        <v>105760</v>
      </c>
      <c r="G146" s="148" t="n">
        <v>17803574</v>
      </c>
      <c r="H146" s="75" t="inlineStr">
        <is>
          <t>전자금융</t>
        </is>
      </c>
      <c r="I146" s="75" t="inlineStr">
        <is>
          <t>도정은</t>
        </is>
      </c>
      <c r="J146" s="75" t="inlineStr">
        <is>
          <t>신한은행</t>
        </is>
      </c>
      <c r="K146" s="67" t="inlineStr">
        <is>
          <t>기타입금</t>
        </is>
      </c>
      <c r="L146" s="67" t="inlineStr">
        <is>
          <t>N</t>
        </is>
      </c>
      <c r="M146" s="67" t="inlineStr">
        <is>
          <t>N</t>
        </is>
      </c>
      <c r="N146" s="148" t="n">
        <v>105760</v>
      </c>
      <c r="O146" s="67" t="inlineStr">
        <is>
          <t>우리은행 거래내역조회 20260913.xlsx</t>
        </is>
      </c>
      <c r="P146" s="69" t="inlineStr">
        <is>
          <t>기존내역</t>
        </is>
      </c>
    </row>
    <row r="147">
      <c r="A147" s="146" t="n">
        <v>46282.11561342593</v>
      </c>
      <c r="B147" s="147" t="n">
        <v>46282</v>
      </c>
      <c r="C147" s="67" t="inlineStr">
        <is>
          <t>우리은행</t>
        </is>
      </c>
      <c r="D147" s="67" t="inlineStr">
        <is>
          <t>우리 220351</t>
        </is>
      </c>
      <c r="E147" s="148" t="n">
        <v>0</v>
      </c>
      <c r="F147" s="148" t="n">
        <v>6519025</v>
      </c>
      <c r="G147" s="148" t="n">
        <v>14106278</v>
      </c>
      <c r="H147" s="75" t="inlineStr">
        <is>
          <t>펌뱅킹</t>
        </is>
      </c>
      <c r="I147" s="75" t="inlineStr">
        <is>
          <t>스마트스토어정산</t>
        </is>
      </c>
      <c r="J147" s="75" t="inlineStr">
        <is>
          <t>두산타워기업영업지원팀</t>
        </is>
      </c>
      <c r="K147" s="67" t="inlineStr">
        <is>
          <t>온라인매출입금</t>
        </is>
      </c>
      <c r="L147" s="67" t="inlineStr">
        <is>
          <t>N</t>
        </is>
      </c>
      <c r="M147" s="67" t="inlineStr">
        <is>
          <t>N</t>
        </is>
      </c>
      <c r="N147" s="148" t="n">
        <v>6519025</v>
      </c>
      <c r="O147" s="67" t="inlineStr">
        <is>
          <t>우리은행 거래내역조회 20260913.xlsx</t>
        </is>
      </c>
      <c r="P147" s="69" t="inlineStr">
        <is>
          <t>기존내역</t>
        </is>
      </c>
    </row>
    <row r="148">
      <c r="A148" s="146" t="n">
        <v>46282.14266203704</v>
      </c>
      <c r="B148" s="147" t="n">
        <v>46282</v>
      </c>
      <c r="C148" s="67" t="inlineStr">
        <is>
          <t>국민은행</t>
        </is>
      </c>
      <c r="D148" s="67" t="inlineStr">
        <is>
          <t>국민 154577</t>
        </is>
      </c>
      <c r="E148" s="148" t="n">
        <v>0</v>
      </c>
      <c r="F148" s="148" t="n">
        <v>32729</v>
      </c>
      <c r="G148" s="148" t="n">
        <v>17836303</v>
      </c>
      <c r="H148" s="75" t="inlineStr">
        <is>
          <t>전자금융</t>
        </is>
      </c>
      <c r="I148" s="75" t="inlineStr">
        <is>
          <t>Npay정산</t>
        </is>
      </c>
      <c r="J148" s="75" t="inlineStr">
        <is>
          <t>SC은행</t>
        </is>
      </c>
      <c r="K148" s="67" t="inlineStr">
        <is>
          <t>온라인매출입금</t>
        </is>
      </c>
      <c r="L148" s="67" t="inlineStr">
        <is>
          <t>N</t>
        </is>
      </c>
      <c r="M148" s="67" t="inlineStr">
        <is>
          <t>N</t>
        </is>
      </c>
      <c r="N148" s="148" t="n">
        <v>32729</v>
      </c>
      <c r="O148" s="67" t="inlineStr">
        <is>
          <t>우리은행 거래내역조회 20260913.xlsx</t>
        </is>
      </c>
      <c r="P148" s="69" t="inlineStr">
        <is>
          <t>기존내역</t>
        </is>
      </c>
    </row>
    <row r="149">
      <c r="A149" s="146" t="n">
        <v>46282.46387731482</v>
      </c>
      <c r="B149" s="147" t="n">
        <v>46282</v>
      </c>
      <c r="C149" s="67" t="inlineStr">
        <is>
          <t>국민은행</t>
        </is>
      </c>
      <c r="D149" s="67" t="inlineStr">
        <is>
          <t>국민 154577</t>
        </is>
      </c>
      <c r="E149" s="148" t="n">
        <v>0</v>
      </c>
      <c r="F149" s="148" t="n">
        <v>708904</v>
      </c>
      <c r="G149" s="148" t="n">
        <v>18545207</v>
      </c>
      <c r="H149" s="75" t="inlineStr">
        <is>
          <t>전자금융</t>
        </is>
      </c>
      <c r="I149" s="75" t="inlineStr">
        <is>
          <t>KG이니시스</t>
        </is>
      </c>
      <c r="J149" s="75" t="inlineStr">
        <is>
          <t>하나은행</t>
        </is>
      </c>
      <c r="K149" s="67" t="inlineStr">
        <is>
          <t>온라인매출입금</t>
        </is>
      </c>
      <c r="L149" s="67" t="inlineStr">
        <is>
          <t>N</t>
        </is>
      </c>
      <c r="M149" s="67" t="inlineStr">
        <is>
          <t>N</t>
        </is>
      </c>
      <c r="N149" s="148" t="n">
        <v>708904</v>
      </c>
      <c r="O149" s="67" t="inlineStr">
        <is>
          <t>우리은행 거래내역조회 20260913.xlsx</t>
        </is>
      </c>
      <c r="P149" s="69" t="inlineStr">
        <is>
          <t>기존내역</t>
        </is>
      </c>
    </row>
    <row r="150">
      <c r="A150" s="146" t="n">
        <v>46282.46910879629</v>
      </c>
      <c r="B150" s="147" t="n">
        <v>46282</v>
      </c>
      <c r="C150" s="67" t="inlineStr">
        <is>
          <t>국민은행</t>
        </is>
      </c>
      <c r="D150" s="67" t="inlineStr">
        <is>
          <t>국민 154577</t>
        </is>
      </c>
      <c r="E150" s="148" t="n">
        <v>0</v>
      </c>
      <c r="F150" s="148" t="n">
        <v>188773</v>
      </c>
      <c r="G150" s="148" t="n">
        <v>18733980</v>
      </c>
      <c r="H150" s="75" t="inlineStr">
        <is>
          <t>전자금융</t>
        </is>
      </c>
      <c r="I150" s="75" t="inlineStr">
        <is>
          <t>KG이니시스</t>
        </is>
      </c>
      <c r="J150" s="75" t="inlineStr">
        <is>
          <t>하나은행</t>
        </is>
      </c>
      <c r="K150" s="67" t="inlineStr">
        <is>
          <t>온라인매출입금</t>
        </is>
      </c>
      <c r="L150" s="67" t="inlineStr">
        <is>
          <t>N</t>
        </is>
      </c>
      <c r="M150" s="67" t="inlineStr">
        <is>
          <t>N</t>
        </is>
      </c>
      <c r="N150" s="148" t="n">
        <v>188773</v>
      </c>
      <c r="O150" s="67" t="inlineStr">
        <is>
          <t>우리은행 거래내역조회 20260913.xlsx</t>
        </is>
      </c>
      <c r="P150" s="69" t="inlineStr">
        <is>
          <t>기존내역</t>
        </is>
      </c>
    </row>
    <row r="151">
      <c r="A151" s="146" t="n">
        <v>46282.70287037037</v>
      </c>
      <c r="B151" s="147" t="n">
        <v>46282</v>
      </c>
      <c r="C151" s="67" t="inlineStr">
        <is>
          <t>우리은행</t>
        </is>
      </c>
      <c r="D151" s="67" t="inlineStr">
        <is>
          <t>우리 220351</t>
        </is>
      </c>
      <c r="E151" s="148" t="n">
        <v>498509</v>
      </c>
      <c r="F151" s="148" t="n">
        <v>0</v>
      </c>
      <c r="G151" s="148" t="n">
        <v>13607769</v>
      </c>
      <c r="H151" s="75" t="inlineStr">
        <is>
          <t>인터넷</t>
        </is>
      </c>
      <c r="I151" s="75" t="inlineStr">
        <is>
          <t>국민비즈월렛_쁘띠앤</t>
        </is>
      </c>
      <c r="J151" s="75" t="inlineStr">
        <is>
          <t>성서공단금융센터</t>
        </is>
      </c>
      <c r="K151" s="67" t="inlineStr">
        <is>
          <t>기타지출</t>
        </is>
      </c>
      <c r="L151" s="67" t="inlineStr">
        <is>
          <t>N</t>
        </is>
      </c>
      <c r="M151" s="67" t="inlineStr">
        <is>
          <t>Y</t>
        </is>
      </c>
      <c r="N151" s="148" t="n">
        <v>-498509</v>
      </c>
      <c r="O151" s="67" t="inlineStr">
        <is>
          <t>우리은행 거래내역조회 20260913.xlsx</t>
        </is>
      </c>
      <c r="P151" s="69" t="inlineStr">
        <is>
          <t>기존내역</t>
        </is>
      </c>
    </row>
    <row r="152">
      <c r="A152" s="146" t="n">
        <v>46282.70288194445</v>
      </c>
      <c r="B152" s="147" t="n">
        <v>46282</v>
      </c>
      <c r="C152" s="67" t="inlineStr">
        <is>
          <t>우리은행</t>
        </is>
      </c>
      <c r="D152" s="67" t="inlineStr">
        <is>
          <t>우리 220351</t>
        </is>
      </c>
      <c r="E152" s="148" t="n">
        <v>550000</v>
      </c>
      <c r="F152" s="148" t="n">
        <v>0</v>
      </c>
      <c r="G152" s="148" t="n">
        <v>13057769</v>
      </c>
      <c r="H152" s="75" t="inlineStr">
        <is>
          <t>인터넷</t>
        </is>
      </c>
      <c r="I152" s="75" t="inlineStr">
        <is>
          <t>농협(주)레인보우8</t>
        </is>
      </c>
      <c r="J152" s="75" t="inlineStr">
        <is>
          <t>성서공단금융센터</t>
        </is>
      </c>
      <c r="K152" s="67" t="inlineStr">
        <is>
          <t>기타지출</t>
        </is>
      </c>
      <c r="L152" s="67" t="inlineStr">
        <is>
          <t>N</t>
        </is>
      </c>
      <c r="M152" s="67" t="inlineStr">
        <is>
          <t>Y</t>
        </is>
      </c>
      <c r="N152" s="148" t="n">
        <v>-550000</v>
      </c>
      <c r="O152" s="67" t="inlineStr">
        <is>
          <t>국민은행_계좌 조회 6개월(20260913).xls</t>
        </is>
      </c>
      <c r="P152" s="69" t="inlineStr">
        <is>
          <t>기존내역</t>
        </is>
      </c>
    </row>
    <row r="153">
      <c r="A153" s="146" t="n">
        <v>46282.70289351852</v>
      </c>
      <c r="B153" s="147" t="n">
        <v>46282</v>
      </c>
      <c r="C153" s="67" t="inlineStr">
        <is>
          <t>우리은행</t>
        </is>
      </c>
      <c r="D153" s="67" t="inlineStr">
        <is>
          <t>우리 220351</t>
        </is>
      </c>
      <c r="E153" s="148" t="n">
        <v>1661000</v>
      </c>
      <c r="F153" s="148" t="n">
        <v>0</v>
      </c>
      <c r="G153" s="148" t="n">
        <v>11396769</v>
      </c>
      <c r="H153" s="75" t="inlineStr">
        <is>
          <t>인터넷</t>
        </is>
      </c>
      <c r="I153" s="75" t="inlineStr">
        <is>
          <t>국민네이버 apha</t>
        </is>
      </c>
      <c r="J153" s="75" t="inlineStr">
        <is>
          <t>성서공단금융센터</t>
        </is>
      </c>
      <c r="K153" s="67" t="inlineStr">
        <is>
          <t>기타지출</t>
        </is>
      </c>
      <c r="L153" s="67" t="inlineStr">
        <is>
          <t>N</t>
        </is>
      </c>
      <c r="M153" s="67" t="inlineStr">
        <is>
          <t>Y</t>
        </is>
      </c>
      <c r="N153" s="148" t="n">
        <v>-1661000</v>
      </c>
      <c r="O153" s="67" t="inlineStr">
        <is>
          <t>국민은행_계좌 조회 6개월(20260913).xls</t>
        </is>
      </c>
      <c r="P153" s="69" t="inlineStr">
        <is>
          <t>기존내역</t>
        </is>
      </c>
    </row>
    <row r="154">
      <c r="A154" s="146" t="n">
        <v>46282.70290509259</v>
      </c>
      <c r="B154" s="147" t="n">
        <v>46282</v>
      </c>
      <c r="C154" s="67" t="inlineStr">
        <is>
          <t>우리은행</t>
        </is>
      </c>
      <c r="D154" s="67" t="inlineStr">
        <is>
          <t>우리 220351</t>
        </is>
      </c>
      <c r="E154" s="148" t="n">
        <v>330000</v>
      </c>
      <c r="F154" s="148" t="n">
        <v>0</v>
      </c>
      <c r="G154" s="148" t="n">
        <v>11066769</v>
      </c>
      <c r="H154" s="75" t="inlineStr">
        <is>
          <t>인터넷</t>
        </is>
      </c>
      <c r="I154" s="75" t="inlineStr">
        <is>
          <t>국민네이버 에이팜건</t>
        </is>
      </c>
      <c r="J154" s="75" t="inlineStr">
        <is>
          <t>성서공단금융센터</t>
        </is>
      </c>
      <c r="K154" s="67" t="inlineStr">
        <is>
          <t>기타지출</t>
        </is>
      </c>
      <c r="L154" s="67" t="inlineStr">
        <is>
          <t>N</t>
        </is>
      </c>
      <c r="M154" s="67" t="inlineStr">
        <is>
          <t>Y</t>
        </is>
      </c>
      <c r="N154" s="148" t="n">
        <v>-330000</v>
      </c>
      <c r="O154" s="67" t="inlineStr">
        <is>
          <t>국민은행_계좌 조회 6개월(20260913).xls</t>
        </is>
      </c>
      <c r="P154" s="69" t="inlineStr">
        <is>
          <t>기존내역</t>
        </is>
      </c>
    </row>
    <row r="155">
      <c r="A155" s="146" t="n">
        <v>46282.70291666667</v>
      </c>
      <c r="B155" s="147" t="n">
        <v>46282</v>
      </c>
      <c r="C155" s="67" t="inlineStr">
        <is>
          <t>우리은행</t>
        </is>
      </c>
      <c r="D155" s="67" t="inlineStr">
        <is>
          <t>우리 220351</t>
        </is>
      </c>
      <c r="E155" s="148" t="n">
        <v>330000</v>
      </c>
      <c r="F155" s="148" t="n">
        <v>0</v>
      </c>
      <c r="G155" s="148" t="n">
        <v>10736769</v>
      </c>
      <c r="H155" s="75" t="inlineStr">
        <is>
          <t>인터넷</t>
        </is>
      </c>
      <c r="I155" s="75" t="inlineStr">
        <is>
          <t>국민네이버 ddi5</t>
        </is>
      </c>
      <c r="J155" s="75" t="inlineStr">
        <is>
          <t>성서공단금융센터</t>
        </is>
      </c>
      <c r="K155" s="67" t="inlineStr">
        <is>
          <t>기타지출</t>
        </is>
      </c>
      <c r="L155" s="67" t="inlineStr">
        <is>
          <t>N</t>
        </is>
      </c>
      <c r="M155" s="67" t="inlineStr">
        <is>
          <t>N</t>
        </is>
      </c>
      <c r="N155" s="148" t="n">
        <v>-330000</v>
      </c>
      <c r="O155" s="67" t="inlineStr">
        <is>
          <t>국민은행_계좌 조회 6개월(20260913).xls</t>
        </is>
      </c>
      <c r="P155" s="69" t="inlineStr">
        <is>
          <t>기존내역</t>
        </is>
      </c>
    </row>
    <row r="156">
      <c r="A156" s="146" t="n">
        <v>46282.94186342593</v>
      </c>
      <c r="B156" s="147" t="n">
        <v>46282</v>
      </c>
      <c r="C156" s="67" t="inlineStr">
        <is>
          <t>국민은행</t>
        </is>
      </c>
      <c r="D156" s="67" t="inlineStr">
        <is>
          <t>국민 154577</t>
        </is>
      </c>
      <c r="E156" s="148" t="n">
        <v>0</v>
      </c>
      <c r="F156" s="148" t="n">
        <v>80720</v>
      </c>
      <c r="G156" s="148" t="n">
        <v>18814700</v>
      </c>
      <c r="H156" s="75" t="inlineStr">
        <is>
          <t>전자금융</t>
        </is>
      </c>
      <c r="I156" s="75" t="inlineStr">
        <is>
          <t>정유림</t>
        </is>
      </c>
      <c r="J156" s="75" t="inlineStr">
        <is>
          <t>카뱅</t>
        </is>
      </c>
      <c r="K156" s="67" t="inlineStr">
        <is>
          <t>기타입금</t>
        </is>
      </c>
      <c r="L156" s="67" t="inlineStr">
        <is>
          <t>N</t>
        </is>
      </c>
      <c r="M156" s="67" t="inlineStr">
        <is>
          <t>N</t>
        </is>
      </c>
      <c r="N156" s="148" t="n">
        <v>80720</v>
      </c>
      <c r="O156" s="67" t="inlineStr">
        <is>
          <t>국민은행_계좌 조회 6개월(20260913).xls</t>
        </is>
      </c>
      <c r="P156" s="69" t="inlineStr">
        <is>
          <t>기존내역</t>
        </is>
      </c>
    </row>
    <row r="157">
      <c r="A157" s="146" t="n">
        <v>46283.11054398148</v>
      </c>
      <c r="B157" s="147" t="n">
        <v>46283</v>
      </c>
      <c r="C157" s="67" t="inlineStr">
        <is>
          <t>우리은행</t>
        </is>
      </c>
      <c r="D157" s="67" t="inlineStr">
        <is>
          <t>우리 220351</t>
        </is>
      </c>
      <c r="E157" s="148" t="n">
        <v>0</v>
      </c>
      <c r="F157" s="148" t="n">
        <v>6599516</v>
      </c>
      <c r="G157" s="148" t="n">
        <v>17336285</v>
      </c>
      <c r="H157" s="75" t="inlineStr">
        <is>
          <t>펌뱅킹</t>
        </is>
      </c>
      <c r="I157" s="75" t="inlineStr">
        <is>
          <t>스마트스토어정산</t>
        </is>
      </c>
      <c r="J157" s="75" t="inlineStr">
        <is>
          <t>두산타워기업영업지원팀</t>
        </is>
      </c>
      <c r="K157" s="67" t="inlineStr">
        <is>
          <t>온라인매출입금</t>
        </is>
      </c>
      <c r="L157" s="67" t="inlineStr">
        <is>
          <t>N</t>
        </is>
      </c>
      <c r="M157" s="67" t="inlineStr">
        <is>
          <t>N</t>
        </is>
      </c>
      <c r="N157" s="148" t="n">
        <v>6599516</v>
      </c>
      <c r="O157" s="67" t="inlineStr">
        <is>
          <t>국민은행_계좌 조회 6개월(20260913).xls</t>
        </is>
      </c>
      <c r="P157" s="69" t="inlineStr">
        <is>
          <t>기존내역</t>
        </is>
      </c>
    </row>
    <row r="158">
      <c r="A158" s="146" t="n">
        <v>46283.14090277778</v>
      </c>
      <c r="B158" s="147" t="n">
        <v>46283</v>
      </c>
      <c r="C158" s="67" t="inlineStr">
        <is>
          <t>국민은행</t>
        </is>
      </c>
      <c r="D158" s="67" t="inlineStr">
        <is>
          <t>국민 154577</t>
        </is>
      </c>
      <c r="E158" s="148" t="n">
        <v>0</v>
      </c>
      <c r="F158" s="148" t="n">
        <v>49093</v>
      </c>
      <c r="G158" s="148" t="n">
        <v>18863793</v>
      </c>
      <c r="H158" s="75" t="inlineStr">
        <is>
          <t>전자금융</t>
        </is>
      </c>
      <c r="I158" s="75" t="inlineStr">
        <is>
          <t>Npay정산</t>
        </is>
      </c>
      <c r="J158" s="75" t="inlineStr">
        <is>
          <t>SC은행</t>
        </is>
      </c>
      <c r="K158" s="67" t="inlineStr">
        <is>
          <t>온라인매출입금</t>
        </is>
      </c>
      <c r="L158" s="67" t="inlineStr">
        <is>
          <t>N</t>
        </is>
      </c>
      <c r="M158" s="67" t="inlineStr">
        <is>
          <t>N</t>
        </is>
      </c>
      <c r="N158" s="148" t="n">
        <v>49093</v>
      </c>
      <c r="O158" s="67" t="inlineStr">
        <is>
          <t>농협계좌_6개월(20260913).xls</t>
        </is>
      </c>
      <c r="P158" s="69" t="inlineStr">
        <is>
          <t>기존내역</t>
        </is>
      </c>
    </row>
    <row r="159">
      <c r="A159" s="146" t="n">
        <v>46283.38587962963</v>
      </c>
      <c r="B159" s="147" t="n">
        <v>46283</v>
      </c>
      <c r="C159" s="67" t="inlineStr">
        <is>
          <t>농협</t>
        </is>
      </c>
      <c r="D159" s="67" t="inlineStr">
        <is>
          <t>농협 569003</t>
        </is>
      </c>
      <c r="E159" s="148" t="n">
        <v>0</v>
      </c>
      <c r="F159" s="148" t="n">
        <v>29433</v>
      </c>
      <c r="G159" s="148" t="n">
        <v>1693429</v>
      </c>
      <c r="H159" s="75" t="inlineStr">
        <is>
          <t>센터일괄</t>
        </is>
      </c>
      <c r="I159" s="75" t="inlineStr">
        <is>
          <t>삼성카드가맹</t>
        </is>
      </c>
      <c r="J159" s="75" t="inlineStr">
        <is>
          <t>농협 000056</t>
        </is>
      </c>
      <c r="K159" s="67" t="inlineStr">
        <is>
          <t>보험 중도인출·보험금 입금</t>
        </is>
      </c>
      <c r="L159" s="67" t="inlineStr">
        <is>
          <t>N</t>
        </is>
      </c>
      <c r="M159" s="67" t="inlineStr">
        <is>
          <t>N</t>
        </is>
      </c>
      <c r="N159" s="148" t="n">
        <v>29433</v>
      </c>
      <c r="O159" s="67" t="inlineStr">
        <is>
          <t>국민은행_계좌 조회 6개월(20260913).xls</t>
        </is>
      </c>
      <c r="P159" s="69" t="inlineStr">
        <is>
          <t>기존내역</t>
        </is>
      </c>
    </row>
    <row r="160">
      <c r="A160" s="146" t="n">
        <v>46283.39877314815</v>
      </c>
      <c r="B160" s="147" t="n">
        <v>46283</v>
      </c>
      <c r="C160" s="67" t="inlineStr">
        <is>
          <t>농협</t>
        </is>
      </c>
      <c r="D160" s="67" t="inlineStr">
        <is>
          <t>농협 569003</t>
        </is>
      </c>
      <c r="E160" s="148" t="n">
        <v>0</v>
      </c>
      <c r="F160" s="148" t="n">
        <v>141000</v>
      </c>
      <c r="G160" s="148" t="n">
        <v>1834429</v>
      </c>
      <c r="H160" s="75" t="inlineStr">
        <is>
          <t>PC하나은행</t>
        </is>
      </c>
      <c r="I160" s="75" t="inlineStr">
        <is>
          <t>김수희</t>
        </is>
      </c>
      <c r="J160" s="75" t="inlineStr">
        <is>
          <t>하나 0812256</t>
        </is>
      </c>
      <c r="K160" s="67" t="inlineStr">
        <is>
          <t>기타입금</t>
        </is>
      </c>
      <c r="L160" s="67" t="inlineStr">
        <is>
          <t>N</t>
        </is>
      </c>
      <c r="M160" s="67" t="inlineStr">
        <is>
          <t>N</t>
        </is>
      </c>
      <c r="N160" s="148" t="n">
        <v>141000</v>
      </c>
      <c r="O160" s="67" t="inlineStr">
        <is>
          <t>국민은행_계좌 조회 6개월(20260913).xls</t>
        </is>
      </c>
      <c r="P160" s="69" t="inlineStr">
        <is>
          <t>기존내역</t>
        </is>
      </c>
    </row>
    <row r="161">
      <c r="A161" s="146" t="n">
        <v>46283.45922453704</v>
      </c>
      <c r="B161" s="147" t="n">
        <v>46283</v>
      </c>
      <c r="C161" s="67" t="inlineStr">
        <is>
          <t>국민은행</t>
        </is>
      </c>
      <c r="D161" s="67" t="inlineStr">
        <is>
          <t>국민 154577</t>
        </is>
      </c>
      <c r="E161" s="148" t="n">
        <v>0</v>
      </c>
      <c r="F161" s="148" t="n">
        <v>871022</v>
      </c>
      <c r="G161" s="148" t="n">
        <v>19734815</v>
      </c>
      <c r="H161" s="75" t="inlineStr">
        <is>
          <t>전자금융</t>
        </is>
      </c>
      <c r="I161" s="75" t="inlineStr">
        <is>
          <t>KG이니시스</t>
        </is>
      </c>
      <c r="J161" s="75" t="inlineStr">
        <is>
          <t>하나은행</t>
        </is>
      </c>
      <c r="K161" s="67" t="inlineStr">
        <is>
          <t>온라인매출입금</t>
        </is>
      </c>
      <c r="L161" s="67" t="inlineStr">
        <is>
          <t>N</t>
        </is>
      </c>
      <c r="M161" s="67" t="inlineStr">
        <is>
          <t>N</t>
        </is>
      </c>
      <c r="N161" s="148" t="n">
        <v>871022</v>
      </c>
      <c r="O161" s="67" t="inlineStr">
        <is>
          <t>우리은행 거래내역조회 20260913.xlsx</t>
        </is>
      </c>
      <c r="P161" s="69" t="inlineStr">
        <is>
          <t>기존내역</t>
        </is>
      </c>
    </row>
    <row r="162">
      <c r="A162" s="146" t="n">
        <v>46283.46777777778</v>
      </c>
      <c r="B162" s="147" t="n">
        <v>46283</v>
      </c>
      <c r="C162" s="67" t="inlineStr">
        <is>
          <t>국민은행</t>
        </is>
      </c>
      <c r="D162" s="67" t="inlineStr">
        <is>
          <t>국민 154577</t>
        </is>
      </c>
      <c r="E162" s="148" t="n">
        <v>0</v>
      </c>
      <c r="F162" s="148" t="n">
        <v>299722</v>
      </c>
      <c r="G162" s="148" t="n">
        <v>20034537</v>
      </c>
      <c r="H162" s="75" t="inlineStr">
        <is>
          <t>전자금융</t>
        </is>
      </c>
      <c r="I162" s="75" t="inlineStr">
        <is>
          <t>KG이니시스</t>
        </is>
      </c>
      <c r="J162" s="75" t="inlineStr">
        <is>
          <t>하나은행</t>
        </is>
      </c>
      <c r="K162" s="67" t="inlineStr">
        <is>
          <t>온라인매출입금</t>
        </is>
      </c>
      <c r="L162" s="67" t="inlineStr">
        <is>
          <t>N</t>
        </is>
      </c>
      <c r="M162" s="67" t="inlineStr">
        <is>
          <t>N</t>
        </is>
      </c>
      <c r="N162" s="148" t="n">
        <v>299722</v>
      </c>
      <c r="O162" s="67" t="inlineStr">
        <is>
          <t>국민은행_계좌 조회 6개월(20260913).xls</t>
        </is>
      </c>
      <c r="P162" s="69" t="inlineStr">
        <is>
          <t>기존내역</t>
        </is>
      </c>
    </row>
    <row r="163">
      <c r="A163" s="146" t="n">
        <v>46283.6475</v>
      </c>
      <c r="B163" s="147" t="n">
        <v>46283</v>
      </c>
      <c r="C163" s="67" t="inlineStr">
        <is>
          <t>국민은행</t>
        </is>
      </c>
      <c r="D163" s="67" t="inlineStr">
        <is>
          <t>국민 154577</t>
        </is>
      </c>
      <c r="E163" s="148" t="n">
        <v>0</v>
      </c>
      <c r="F163" s="148" t="n">
        <v>83017</v>
      </c>
      <c r="G163" s="148" t="n">
        <v>20117554</v>
      </c>
      <c r="H163" s="75" t="inlineStr">
        <is>
          <t>전자금융</t>
        </is>
      </c>
      <c r="I163" s="75" t="inlineStr">
        <is>
          <t>엔에이치엔페이</t>
        </is>
      </c>
      <c r="J163" s="75" t="inlineStr">
        <is>
          <t>신한은행</t>
        </is>
      </c>
      <c r="K163" s="67" t="inlineStr">
        <is>
          <t>온라인매출입금</t>
        </is>
      </c>
      <c r="L163" s="67" t="inlineStr">
        <is>
          <t>N</t>
        </is>
      </c>
      <c r="M163" s="67" t="inlineStr">
        <is>
          <t>N</t>
        </is>
      </c>
      <c r="N163" s="148" t="n">
        <v>83017</v>
      </c>
      <c r="O163" s="67" t="inlineStr">
        <is>
          <t>국민은행_계좌 조회 6개월(20260913).xls</t>
        </is>
      </c>
      <c r="P163" s="69" t="inlineStr">
        <is>
          <t>기존내역</t>
        </is>
      </c>
    </row>
    <row r="164">
      <c r="A164" s="146" t="n">
        <v>46283.66711805556</v>
      </c>
      <c r="B164" s="147" t="n">
        <v>46283</v>
      </c>
      <c r="C164" s="67" t="inlineStr">
        <is>
          <t>국민은행</t>
        </is>
      </c>
      <c r="D164" s="67" t="inlineStr">
        <is>
          <t>국민 154577</t>
        </is>
      </c>
      <c r="E164" s="148" t="n">
        <v>0</v>
      </c>
      <c r="F164" s="148" t="n">
        <v>30400</v>
      </c>
      <c r="G164" s="148" t="n">
        <v>20147954</v>
      </c>
      <c r="H164" s="75" t="inlineStr">
        <is>
          <t>전자금융</t>
        </is>
      </c>
      <c r="I164" s="75" t="inlineStr">
        <is>
          <t>GS리테일</t>
        </is>
      </c>
      <c r="J164" s="75" t="inlineStr">
        <is>
          <t>우리은행</t>
        </is>
      </c>
      <c r="K164" s="67" t="inlineStr">
        <is>
          <t>기타입금</t>
        </is>
      </c>
      <c r="L164" s="67" t="inlineStr">
        <is>
          <t>N</t>
        </is>
      </c>
      <c r="M164" s="67" t="inlineStr">
        <is>
          <t>N</t>
        </is>
      </c>
      <c r="N164" s="148" t="n">
        <v>30400</v>
      </c>
      <c r="O164" s="67" t="inlineStr">
        <is>
          <t>국민은행_계좌 조회 6개월(20260913).xls</t>
        </is>
      </c>
      <c r="P164" s="69" t="inlineStr">
        <is>
          <t>기존내역</t>
        </is>
      </c>
    </row>
    <row r="165">
      <c r="A165" s="146" t="n">
        <v>46283.70120370371</v>
      </c>
      <c r="B165" s="147" t="n">
        <v>46283</v>
      </c>
      <c r="C165" s="67" t="inlineStr">
        <is>
          <t>우리은행</t>
        </is>
      </c>
      <c r="D165" s="67" t="inlineStr">
        <is>
          <t>우리 220351</t>
        </is>
      </c>
      <c r="E165" s="148" t="n">
        <v>3311000</v>
      </c>
      <c r="F165" s="148" t="n">
        <v>0</v>
      </c>
      <c r="G165" s="148" t="n">
        <v>13925285</v>
      </c>
      <c r="H165" s="75" t="inlineStr">
        <is>
          <t>인터넷</t>
        </is>
      </c>
      <c r="I165" s="75" t="inlineStr">
        <is>
          <t>국민네이버 apha</t>
        </is>
      </c>
      <c r="J165" s="75" t="inlineStr">
        <is>
          <t>성서공단금융센터</t>
        </is>
      </c>
      <c r="K165" s="67" t="inlineStr">
        <is>
          <t>기타지출</t>
        </is>
      </c>
      <c r="L165" s="67" t="inlineStr">
        <is>
          <t>N</t>
        </is>
      </c>
      <c r="M165" s="67" t="inlineStr">
        <is>
          <t>Y</t>
        </is>
      </c>
      <c r="N165" s="148" t="n">
        <v>-3311000</v>
      </c>
      <c r="O165" s="67" t="inlineStr">
        <is>
          <t>국민은행_계좌 조회 6개월(20260913).xls</t>
        </is>
      </c>
      <c r="P165" s="69" t="inlineStr">
        <is>
          <t>기존내역</t>
        </is>
      </c>
    </row>
    <row r="166">
      <c r="A166" s="146" t="n">
        <v>46283.70120370371</v>
      </c>
      <c r="B166" s="147" t="n">
        <v>46283</v>
      </c>
      <c r="C166" s="67" t="inlineStr">
        <is>
          <t>우리은행</t>
        </is>
      </c>
      <c r="D166" s="67" t="inlineStr">
        <is>
          <t>우리 220351</t>
        </is>
      </c>
      <c r="E166" s="148" t="n">
        <v>100000</v>
      </c>
      <c r="F166" s="148" t="n">
        <v>0</v>
      </c>
      <c r="G166" s="148" t="n">
        <v>17236285</v>
      </c>
      <c r="H166" s="75" t="inlineStr">
        <is>
          <t>인터넷</t>
        </is>
      </c>
      <c r="I166" s="75" t="inlineStr">
        <is>
          <t>카카이찬민</t>
        </is>
      </c>
      <c r="J166" s="75" t="inlineStr">
        <is>
          <t>성서공단금융센터</t>
        </is>
      </c>
      <c r="K166" s="67" t="inlineStr">
        <is>
          <t>기타지출</t>
        </is>
      </c>
      <c r="L166" s="67" t="inlineStr">
        <is>
          <t>N</t>
        </is>
      </c>
      <c r="M166" s="67" t="inlineStr">
        <is>
          <t>N</t>
        </is>
      </c>
      <c r="N166" s="148" t="n">
        <v>-100000</v>
      </c>
      <c r="O166" s="67" t="inlineStr">
        <is>
          <t>우리은행 거래내역조회 20260913.xlsx</t>
        </is>
      </c>
      <c r="P166" s="69" t="inlineStr">
        <is>
          <t>기존내역</t>
        </is>
      </c>
    </row>
    <row r="167">
      <c r="A167" s="146" t="n">
        <v>46283.70122685185</v>
      </c>
      <c r="B167" s="147" t="n">
        <v>46283</v>
      </c>
      <c r="C167" s="67" t="inlineStr">
        <is>
          <t>우리은행</t>
        </is>
      </c>
      <c r="D167" s="67" t="inlineStr">
        <is>
          <t>우리 220351</t>
        </is>
      </c>
      <c r="E167" s="148" t="n">
        <v>990000</v>
      </c>
      <c r="F167" s="148" t="n">
        <v>0</v>
      </c>
      <c r="G167" s="148" t="n">
        <v>12935285</v>
      </c>
      <c r="H167" s="75" t="inlineStr">
        <is>
          <t>인터넷</t>
        </is>
      </c>
      <c r="I167" s="75" t="inlineStr">
        <is>
          <t>국민네이버 에이팜건</t>
        </is>
      </c>
      <c r="J167" s="75" t="inlineStr">
        <is>
          <t>성서공단금융센터</t>
        </is>
      </c>
      <c r="K167" s="67" t="inlineStr">
        <is>
          <t>기타지출</t>
        </is>
      </c>
      <c r="L167" s="67" t="inlineStr">
        <is>
          <t>N</t>
        </is>
      </c>
      <c r="M167" s="67" t="inlineStr">
        <is>
          <t>Y</t>
        </is>
      </c>
      <c r="N167" s="148" t="n">
        <v>-990000</v>
      </c>
      <c r="O167" s="67" t="inlineStr">
        <is>
          <t>우리은행 거래내역조회 20260913.xlsx</t>
        </is>
      </c>
      <c r="P167" s="69" t="inlineStr">
        <is>
          <t>기존내역</t>
        </is>
      </c>
    </row>
    <row r="168">
      <c r="A168" s="146" t="n">
        <v>46283.70123842593</v>
      </c>
      <c r="B168" s="147" t="n">
        <v>46283</v>
      </c>
      <c r="C168" s="67" t="inlineStr">
        <is>
          <t>우리은행</t>
        </is>
      </c>
      <c r="D168" s="67" t="inlineStr">
        <is>
          <t>우리 220351</t>
        </is>
      </c>
      <c r="E168" s="148" t="n">
        <v>990000</v>
      </c>
      <c r="F168" s="148" t="n">
        <v>0</v>
      </c>
      <c r="G168" s="148" t="n">
        <v>11945285</v>
      </c>
      <c r="H168" s="75" t="inlineStr">
        <is>
          <t>인터넷</t>
        </is>
      </c>
      <c r="I168" s="75" t="inlineStr">
        <is>
          <t>국민네이버 ddi5</t>
        </is>
      </c>
      <c r="J168" s="75" t="inlineStr">
        <is>
          <t>성서공단금융센터</t>
        </is>
      </c>
      <c r="K168" s="67" t="inlineStr">
        <is>
          <t>기타지출</t>
        </is>
      </c>
      <c r="L168" s="67" t="inlineStr">
        <is>
          <t>N</t>
        </is>
      </c>
      <c r="M168" s="67" t="inlineStr">
        <is>
          <t>N</t>
        </is>
      </c>
      <c r="N168" s="148" t="n">
        <v>-990000</v>
      </c>
      <c r="O168" s="67" t="inlineStr">
        <is>
          <t>우리은행 거래내역조회 20260913.xlsx</t>
        </is>
      </c>
      <c r="P168" s="69" t="inlineStr">
        <is>
          <t>기존내역</t>
        </is>
      </c>
    </row>
    <row r="169">
      <c r="A169" s="247" t="n">
        <v>46284.39604166667</v>
      </c>
      <c r="B169" s="248" t="n">
        <v>46284</v>
      </c>
      <c r="C169" s="67" t="inlineStr">
        <is>
          <t>우리은행</t>
        </is>
      </c>
      <c r="D169" s="67" t="inlineStr">
        <is>
          <t>우리 220351</t>
        </is>
      </c>
      <c r="E169" s="148" t="n">
        <v>0</v>
      </c>
      <c r="F169" s="148" t="n">
        <v>2852</v>
      </c>
      <c r="G169" s="148" t="n">
        <v>11948137</v>
      </c>
      <c r="H169" s="75" t="inlineStr">
        <is>
          <t>예금결산</t>
        </is>
      </c>
      <c r="I169" s="75" t="inlineStr">
        <is>
          <t>예금결산이자</t>
        </is>
      </c>
      <c r="J169" s="75" t="inlineStr">
        <is>
          <t>성서공단금융센터</t>
        </is>
      </c>
      <c r="K169" s="67" t="inlineStr">
        <is>
          <t>기타입금</t>
        </is>
      </c>
      <c r="L169" s="67" t="inlineStr">
        <is>
          <t>N</t>
        </is>
      </c>
      <c r="M169" s="67" t="inlineStr">
        <is>
          <t>N</t>
        </is>
      </c>
      <c r="N169" s="148" t="n">
        <v>2852</v>
      </c>
      <c r="O169" s="67" t="inlineStr">
        <is>
          <t>우리은행 거래내역조회 20260913.xlsx</t>
        </is>
      </c>
      <c r="P169" s="69" t="inlineStr">
        <is>
          <t>기존내역</t>
        </is>
      </c>
    </row>
    <row r="170">
      <c r="A170" s="247" t="n">
        <v>46285.82394675926</v>
      </c>
      <c r="B170" s="248" t="n">
        <v>46285</v>
      </c>
      <c r="C170" s="67" t="inlineStr">
        <is>
          <t>국민은행</t>
        </is>
      </c>
      <c r="D170" s="67" t="inlineStr">
        <is>
          <t>국민 154577</t>
        </is>
      </c>
      <c r="E170" s="148" t="n">
        <v>0</v>
      </c>
      <c r="F170" s="148" t="n">
        <v>37000</v>
      </c>
      <c r="G170" s="148" t="n">
        <v>20184954</v>
      </c>
      <c r="H170" s="75" t="inlineStr">
        <is>
          <t>전자금융</t>
        </is>
      </c>
      <c r="I170" s="75" t="inlineStr">
        <is>
          <t>김은미</t>
        </is>
      </c>
      <c r="J170" s="75" t="inlineStr">
        <is>
          <t>카뱅</t>
        </is>
      </c>
      <c r="K170" s="67" t="inlineStr">
        <is>
          <t>기타입금</t>
        </is>
      </c>
      <c r="L170" s="67" t="inlineStr">
        <is>
          <t>N</t>
        </is>
      </c>
      <c r="M170" s="67" t="inlineStr">
        <is>
          <t>N</t>
        </is>
      </c>
      <c r="N170" s="148" t="n">
        <v>37000</v>
      </c>
      <c r="O170" s="67" t="inlineStr">
        <is>
          <t>우리은행 거래내역조회 20260913.xlsx</t>
        </is>
      </c>
      <c r="P170" s="69" t="inlineStr">
        <is>
          <t>기존내역</t>
        </is>
      </c>
    </row>
    <row r="171">
      <c r="A171" s="146" t="n">
        <v>46286.14091435185</v>
      </c>
      <c r="B171" s="147" t="n">
        <v>46286</v>
      </c>
      <c r="C171" s="67" t="inlineStr">
        <is>
          <t>우리은행</t>
        </is>
      </c>
      <c r="D171" s="67" t="inlineStr">
        <is>
          <t>우리 220351</t>
        </is>
      </c>
      <c r="E171" s="148" t="n">
        <v>85621</v>
      </c>
      <c r="F171" s="148" t="n">
        <v>0</v>
      </c>
      <c r="G171" s="148" t="n">
        <v>11727894</v>
      </c>
      <c r="H171" s="75" t="inlineStr">
        <is>
          <t>통신요금</t>
        </is>
      </c>
      <c r="I171" s="75" t="inlineStr">
        <is>
          <t>SKB6486358411</t>
        </is>
      </c>
      <c r="J171" s="75" t="inlineStr">
        <is>
          <t>성서공단금융센터</t>
        </is>
      </c>
      <c r="K171" s="67" t="inlineStr">
        <is>
          <t>기타지출</t>
        </is>
      </c>
      <c r="L171" s="67" t="inlineStr">
        <is>
          <t>N</t>
        </is>
      </c>
      <c r="M171" s="67" t="inlineStr">
        <is>
          <t>Y</t>
        </is>
      </c>
      <c r="N171" s="148" t="n">
        <v>-85621</v>
      </c>
      <c r="O171" s="67" t="inlineStr">
        <is>
          <t>우리은행 거래내역조회 20260913.xlsx</t>
        </is>
      </c>
      <c r="P171" s="69" t="inlineStr">
        <is>
          <t>기존내역</t>
        </is>
      </c>
    </row>
    <row r="172">
      <c r="A172" s="146" t="n">
        <v>46286.14091435185</v>
      </c>
      <c r="B172" s="147" t="n">
        <v>46286</v>
      </c>
      <c r="C172" s="67" t="inlineStr">
        <is>
          <t>우리은행</t>
        </is>
      </c>
      <c r="D172" s="67" t="inlineStr">
        <is>
          <t>우리 220351</t>
        </is>
      </c>
      <c r="E172" s="148" t="n">
        <v>134622</v>
      </c>
      <c r="F172" s="148" t="n">
        <v>0</v>
      </c>
      <c r="G172" s="148" t="n">
        <v>11813515</v>
      </c>
      <c r="H172" s="75" t="inlineStr">
        <is>
          <t>통신요금</t>
        </is>
      </c>
      <c r="I172" s="75" t="inlineStr">
        <is>
          <t>SKB6452342048</t>
        </is>
      </c>
      <c r="J172" s="75" t="inlineStr">
        <is>
          <t>성서공단금융센터</t>
        </is>
      </c>
      <c r="K172" s="67" t="inlineStr">
        <is>
          <t>기타지출</t>
        </is>
      </c>
      <c r="L172" s="67" t="inlineStr">
        <is>
          <t>N</t>
        </is>
      </c>
      <c r="M172" s="67" t="inlineStr">
        <is>
          <t>Y</t>
        </is>
      </c>
      <c r="N172" s="148" t="n">
        <v>-134622</v>
      </c>
      <c r="O172" s="67" t="inlineStr">
        <is>
          <t>국민은행_계좌 조회 6개월(20260913).xls</t>
        </is>
      </c>
      <c r="P172" s="69" t="inlineStr">
        <is>
          <t>기존내역</t>
        </is>
      </c>
    </row>
    <row r="173">
      <c r="A173" s="146" t="n">
        <v>46286.14101851852</v>
      </c>
      <c r="B173" s="147" t="n">
        <v>46286</v>
      </c>
      <c r="C173" s="67" t="inlineStr">
        <is>
          <t>우리은행</t>
        </is>
      </c>
      <c r="D173" s="67" t="inlineStr">
        <is>
          <t>우리 220351</t>
        </is>
      </c>
      <c r="E173" s="148" t="n">
        <v>107800</v>
      </c>
      <c r="F173" s="148" t="n">
        <v>0</v>
      </c>
      <c r="G173" s="148" t="n">
        <v>11620094</v>
      </c>
      <c r="H173" s="75" t="inlineStr">
        <is>
          <t>지로자동</t>
        </is>
      </c>
      <c r="I173" s="75" t="inlineStr">
        <is>
          <t>S1(N6203178)</t>
        </is>
      </c>
      <c r="J173" s="75" t="inlineStr">
        <is>
          <t>성서공단금융센터</t>
        </is>
      </c>
      <c r="K173" s="67" t="inlineStr">
        <is>
          <t>기타지출</t>
        </is>
      </c>
      <c r="L173" s="67" t="inlineStr">
        <is>
          <t>N</t>
        </is>
      </c>
      <c r="M173" s="67" t="inlineStr">
        <is>
          <t>Y</t>
        </is>
      </c>
      <c r="N173" s="148" t="n">
        <v>-107800</v>
      </c>
      <c r="O173" s="67" t="inlineStr">
        <is>
          <t>국민은행_계좌 조회 6개월(20260913).xls</t>
        </is>
      </c>
      <c r="P173" s="69" t="inlineStr">
        <is>
          <t>기존내역</t>
        </is>
      </c>
    </row>
    <row r="174">
      <c r="A174" s="146" t="n">
        <v>46286.21854166667</v>
      </c>
      <c r="B174" s="147" t="n">
        <v>46286</v>
      </c>
      <c r="C174" s="67" t="inlineStr">
        <is>
          <t>우리은행</t>
        </is>
      </c>
      <c r="D174" s="67" t="inlineStr">
        <is>
          <t>우리 220351</t>
        </is>
      </c>
      <c r="E174" s="148" t="n">
        <v>0</v>
      </c>
      <c r="F174" s="148" t="n">
        <v>5694170</v>
      </c>
      <c r="G174" s="148" t="n">
        <v>17314264</v>
      </c>
      <c r="H174" s="75" t="inlineStr">
        <is>
          <t>펌뱅킹</t>
        </is>
      </c>
      <c r="I174" s="75" t="inlineStr">
        <is>
          <t>스마트스토어정산</t>
        </is>
      </c>
      <c r="J174" s="75" t="inlineStr">
        <is>
          <t>두산타워기업영업지원팀</t>
        </is>
      </c>
      <c r="K174" s="67" t="inlineStr">
        <is>
          <t>온라인매출입금</t>
        </is>
      </c>
      <c r="L174" s="67" t="inlineStr">
        <is>
          <t>N</t>
        </is>
      </c>
      <c r="M174" s="67" t="inlineStr">
        <is>
          <t>N</t>
        </is>
      </c>
      <c r="N174" s="148" t="n">
        <v>5694170</v>
      </c>
      <c r="O174" s="67" t="inlineStr">
        <is>
          <t>국민은행_계좌 조회 6개월(20260913).xls</t>
        </is>
      </c>
      <c r="P174" s="69" t="inlineStr">
        <is>
          <t>기존내역</t>
        </is>
      </c>
    </row>
    <row r="175">
      <c r="A175" s="146" t="n">
        <v>46286.42916666667</v>
      </c>
      <c r="B175" s="147" t="n">
        <v>46286</v>
      </c>
      <c r="C175" s="67" t="inlineStr">
        <is>
          <t>농협</t>
        </is>
      </c>
      <c r="D175" s="67" t="inlineStr">
        <is>
          <t>농협 569003</t>
        </is>
      </c>
      <c r="E175" s="148" t="n">
        <v>0</v>
      </c>
      <c r="F175" s="148" t="n">
        <v>110000</v>
      </c>
      <c r="G175" s="148" t="n">
        <v>1944429</v>
      </c>
      <c r="H175" s="75" t="inlineStr">
        <is>
          <t>E-K뱅크</t>
        </is>
      </c>
      <c r="I175" s="75" t="inlineStr">
        <is>
          <t>양혜원</t>
        </is>
      </c>
      <c r="J175" s="75" t="inlineStr">
        <is>
          <t>K뱅크 0891002</t>
        </is>
      </c>
      <c r="K175" s="67" t="inlineStr">
        <is>
          <t>기타입금</t>
        </is>
      </c>
      <c r="L175" s="67" t="inlineStr">
        <is>
          <t>N</t>
        </is>
      </c>
      <c r="M175" s="67" t="inlineStr">
        <is>
          <t>N</t>
        </is>
      </c>
      <c r="N175" s="148" t="n">
        <v>110000</v>
      </c>
      <c r="O175" s="67" t="inlineStr">
        <is>
          <t>국민은행_계좌 조회 6개월(20260913).xls</t>
        </is>
      </c>
      <c r="P175" s="69" t="inlineStr">
        <is>
          <t>기존내역</t>
        </is>
      </c>
    </row>
    <row r="176">
      <c r="A176" s="146" t="n">
        <v>46286.42984953704</v>
      </c>
      <c r="B176" s="147" t="n">
        <v>46286</v>
      </c>
      <c r="C176" s="67" t="inlineStr">
        <is>
          <t>국민은행</t>
        </is>
      </c>
      <c r="D176" s="67" t="inlineStr">
        <is>
          <t>국민 154577</t>
        </is>
      </c>
      <c r="E176" s="148" t="n">
        <v>0</v>
      </c>
      <c r="F176" s="148" t="n">
        <v>750249</v>
      </c>
      <c r="G176" s="148" t="n">
        <v>20935203</v>
      </c>
      <c r="H176" s="75" t="inlineStr">
        <is>
          <t>전자금융</t>
        </is>
      </c>
      <c r="I176" s="75" t="inlineStr">
        <is>
          <t>KG이니시스</t>
        </is>
      </c>
      <c r="J176" s="75" t="inlineStr">
        <is>
          <t>하나은행</t>
        </is>
      </c>
      <c r="K176" s="67" t="inlineStr">
        <is>
          <t>온라인매출입금</t>
        </is>
      </c>
      <c r="L176" s="67" t="inlineStr">
        <is>
          <t>N</t>
        </is>
      </c>
      <c r="M176" s="67" t="inlineStr">
        <is>
          <t>N</t>
        </is>
      </c>
      <c r="N176" s="148" t="n">
        <v>750249</v>
      </c>
      <c r="O176" s="67" t="inlineStr">
        <is>
          <t>국민은행_계좌 조회 6개월(20260913).xls</t>
        </is>
      </c>
      <c r="P176" s="69" t="inlineStr">
        <is>
          <t>기존내역</t>
        </is>
      </c>
    </row>
    <row r="177">
      <c r="A177" s="146" t="n">
        <v>46286.4372337963</v>
      </c>
      <c r="B177" s="147" t="n">
        <v>46286</v>
      </c>
      <c r="C177" s="67" t="inlineStr">
        <is>
          <t>국민은행</t>
        </is>
      </c>
      <c r="D177" s="67" t="inlineStr">
        <is>
          <t>국민 154577</t>
        </is>
      </c>
      <c r="E177" s="148" t="n">
        <v>0</v>
      </c>
      <c r="F177" s="148" t="n">
        <v>68816</v>
      </c>
      <c r="G177" s="148" t="n">
        <v>21004019</v>
      </c>
      <c r="H177" s="75" t="inlineStr">
        <is>
          <t>전자금융</t>
        </is>
      </c>
      <c r="I177" s="75" t="inlineStr">
        <is>
          <t>KG이니시스</t>
        </is>
      </c>
      <c r="J177" s="75" t="inlineStr">
        <is>
          <t>하나은행</t>
        </is>
      </c>
      <c r="K177" s="67" t="inlineStr">
        <is>
          <t>온라인매출입금</t>
        </is>
      </c>
      <c r="L177" s="67" t="inlineStr">
        <is>
          <t>N</t>
        </is>
      </c>
      <c r="M177" s="67" t="inlineStr">
        <is>
          <t>N</t>
        </is>
      </c>
      <c r="N177" s="148" t="n">
        <v>68816</v>
      </c>
      <c r="O177" s="67" t="inlineStr">
        <is>
          <t>농협계좌_6개월(20260913).xls</t>
        </is>
      </c>
      <c r="P177" s="69" t="inlineStr">
        <is>
          <t>기존내역</t>
        </is>
      </c>
    </row>
    <row r="178">
      <c r="A178" s="146" t="n">
        <v>46286.47028935186</v>
      </c>
      <c r="B178" s="147" t="n">
        <v>46286</v>
      </c>
      <c r="C178" s="67" t="inlineStr">
        <is>
          <t>국민은행</t>
        </is>
      </c>
      <c r="D178" s="67" t="inlineStr">
        <is>
          <t>국민 154577</t>
        </is>
      </c>
      <c r="E178" s="148" t="n">
        <v>0</v>
      </c>
      <c r="F178" s="148" t="n">
        <v>3860670</v>
      </c>
      <c r="G178" s="148" t="n">
        <v>24864689</v>
      </c>
      <c r="H178" s="75" t="inlineStr">
        <is>
          <t>FBS입금</t>
        </is>
      </c>
      <c r="I178" s="75" t="inlineStr">
        <is>
          <t>(주)현대이지웰</t>
        </is>
      </c>
      <c r="J178" s="75" t="inlineStr">
        <is>
          <t>ERP사</t>
        </is>
      </c>
      <c r="K178" s="67" t="inlineStr">
        <is>
          <t>온라인매출입금</t>
        </is>
      </c>
      <c r="L178" s="67" t="inlineStr">
        <is>
          <t>N</t>
        </is>
      </c>
      <c r="M178" s="67" t="inlineStr">
        <is>
          <t>N</t>
        </is>
      </c>
      <c r="N178" s="148" t="n">
        <v>3860670</v>
      </c>
      <c r="O178" s="67" t="inlineStr">
        <is>
          <t>우리은행 거래내역조회 20260913.xlsx</t>
        </is>
      </c>
      <c r="P178" s="69" t="inlineStr">
        <is>
          <t>기존내역</t>
        </is>
      </c>
    </row>
    <row r="179">
      <c r="A179" s="146" t="n">
        <v>46286.48598379629</v>
      </c>
      <c r="B179" s="147" t="n">
        <v>46286</v>
      </c>
      <c r="C179" s="67" t="inlineStr">
        <is>
          <t>국민은행</t>
        </is>
      </c>
      <c r="D179" s="67" t="inlineStr">
        <is>
          <t>국민 154577</t>
        </is>
      </c>
      <c r="E179" s="148" t="n">
        <v>0</v>
      </c>
      <c r="F179" s="148" t="n">
        <v>20000000</v>
      </c>
      <c r="G179" s="148" t="n">
        <v>44864689</v>
      </c>
      <c r="H179" s="75" t="inlineStr">
        <is>
          <t>전자금융</t>
        </is>
      </c>
      <c r="I179" s="75" t="inlineStr">
        <is>
          <t>허용</t>
        </is>
      </c>
      <c r="J179" s="75" t="inlineStr">
        <is>
          <t>아이엠뱅</t>
        </is>
      </c>
      <c r="K179" s="67" t="inlineStr">
        <is>
          <t>가지급금 회수</t>
        </is>
      </c>
      <c r="L179" s="67" t="inlineStr">
        <is>
          <t>N</t>
        </is>
      </c>
      <c r="M179" s="67" t="inlineStr">
        <is>
          <t>N</t>
        </is>
      </c>
      <c r="N179" s="148" t="n">
        <v>20000000</v>
      </c>
      <c r="O179" s="67" t="inlineStr">
        <is>
          <t>우리은행 거래내역조회 20260913.xlsx</t>
        </is>
      </c>
      <c r="P179" s="69" t="inlineStr">
        <is>
          <t>기존내역</t>
        </is>
      </c>
    </row>
    <row r="180">
      <c r="A180" s="146" t="n">
        <v>46286.70733796297</v>
      </c>
      <c r="B180" s="147" t="n">
        <v>46286</v>
      </c>
      <c r="C180" s="67" t="inlineStr">
        <is>
          <t>우리은행</t>
        </is>
      </c>
      <c r="D180" s="67" t="inlineStr">
        <is>
          <t>우리 220351</t>
        </is>
      </c>
      <c r="E180" s="148" t="n">
        <v>2178000</v>
      </c>
      <c r="F180" s="148" t="n">
        <v>0</v>
      </c>
      <c r="G180" s="148" t="n">
        <v>15136264</v>
      </c>
      <c r="H180" s="75" t="inlineStr">
        <is>
          <t>인터넷</t>
        </is>
      </c>
      <c r="I180" s="75" t="inlineStr">
        <is>
          <t>국민네이버 apha</t>
        </is>
      </c>
      <c r="J180" s="75" t="inlineStr">
        <is>
          <t>성서공단금융센터</t>
        </is>
      </c>
      <c r="K180" s="67" t="inlineStr">
        <is>
          <t>기타지출</t>
        </is>
      </c>
      <c r="L180" s="67" t="inlineStr">
        <is>
          <t>N</t>
        </is>
      </c>
      <c r="M180" s="67" t="inlineStr">
        <is>
          <t>Y</t>
        </is>
      </c>
      <c r="N180" s="148" t="n">
        <v>-2178000</v>
      </c>
      <c r="O180" s="67" t="inlineStr">
        <is>
          <t>우리은행 거래내역조회 20260913.xlsx</t>
        </is>
      </c>
      <c r="P180" s="69" t="inlineStr">
        <is>
          <t>기존내역</t>
        </is>
      </c>
    </row>
    <row r="181">
      <c r="A181" s="146" t="n">
        <v>46286.70734953704</v>
      </c>
      <c r="B181" s="147" t="n">
        <v>46286</v>
      </c>
      <c r="C181" s="67" t="inlineStr">
        <is>
          <t>우리은행</t>
        </is>
      </c>
      <c r="D181" s="67" t="inlineStr">
        <is>
          <t>우리 220351</t>
        </is>
      </c>
      <c r="E181" s="148" t="n">
        <v>330000</v>
      </c>
      <c r="F181" s="148" t="n">
        <v>0</v>
      </c>
      <c r="G181" s="148" t="n">
        <v>14806264</v>
      </c>
      <c r="H181" s="75" t="inlineStr">
        <is>
          <t>인터넷</t>
        </is>
      </c>
      <c r="I181" s="75" t="inlineStr">
        <is>
          <t>국민네이버 에이팜건</t>
        </is>
      </c>
      <c r="J181" s="75" t="inlineStr">
        <is>
          <t>성서공단금융센터</t>
        </is>
      </c>
      <c r="K181" s="67" t="inlineStr">
        <is>
          <t>기타지출</t>
        </is>
      </c>
      <c r="L181" s="67" t="inlineStr">
        <is>
          <t>N</t>
        </is>
      </c>
      <c r="M181" s="67" t="inlineStr">
        <is>
          <t>Y</t>
        </is>
      </c>
      <c r="N181" s="148" t="n">
        <v>-330000</v>
      </c>
      <c r="O181" s="67" t="inlineStr">
        <is>
          <t>우리은행 거래내역조회 20260913.xlsx</t>
        </is>
      </c>
      <c r="P181" s="69" t="inlineStr">
        <is>
          <t>기존내역</t>
        </is>
      </c>
    </row>
    <row r="182">
      <c r="A182" s="146" t="n">
        <v>46286.70736111111</v>
      </c>
      <c r="B182" s="147" t="n">
        <v>46286</v>
      </c>
      <c r="C182" s="67" t="inlineStr">
        <is>
          <t>우리은행</t>
        </is>
      </c>
      <c r="D182" s="67" t="inlineStr">
        <is>
          <t>우리 220351</t>
        </is>
      </c>
      <c r="E182" s="148" t="n">
        <v>632250</v>
      </c>
      <c r="F182" s="148" t="n">
        <v>0</v>
      </c>
      <c r="G182" s="148" t="n">
        <v>14174014</v>
      </c>
      <c r="H182" s="75" t="inlineStr">
        <is>
          <t>인터넷</t>
        </is>
      </c>
      <c r="I182" s="75" t="inlineStr">
        <is>
          <t>국민서울보증보험</t>
        </is>
      </c>
      <c r="J182" s="75" t="inlineStr">
        <is>
          <t>성서공단금융센터</t>
        </is>
      </c>
      <c r="K182" s="67" t="inlineStr">
        <is>
          <t>기타지출</t>
        </is>
      </c>
      <c r="L182" s="67" t="inlineStr">
        <is>
          <t>N</t>
        </is>
      </c>
      <c r="M182" s="67" t="inlineStr">
        <is>
          <t>Y</t>
        </is>
      </c>
      <c r="N182" s="148" t="n">
        <v>-632250</v>
      </c>
      <c r="O182" s="67" t="inlineStr">
        <is>
          <t>우리은행 거래내역조회 20260913.xlsx</t>
        </is>
      </c>
      <c r="P182" s="69" t="inlineStr">
        <is>
          <t>기존내역</t>
        </is>
      </c>
    </row>
    <row r="183">
      <c r="A183" s="146" t="n">
        <v>46286.84199074074</v>
      </c>
      <c r="B183" s="147" t="n">
        <v>46286</v>
      </c>
      <c r="C183" s="67" t="inlineStr">
        <is>
          <t>국민은행</t>
        </is>
      </c>
      <c r="D183" s="67" t="inlineStr">
        <is>
          <t>국민 154577</t>
        </is>
      </c>
      <c r="E183" s="148" t="n">
        <v>4795900</v>
      </c>
      <c r="F183" s="148" t="n">
        <v>0</v>
      </c>
      <c r="G183" s="148" t="n">
        <v>40068789</v>
      </c>
      <c r="H183" s="75" t="inlineStr">
        <is>
          <t>CMS 공동</t>
        </is>
      </c>
      <c r="I183" s="75" t="inlineStr">
        <is>
          <t>METLIFE09002</t>
        </is>
      </c>
      <c r="J183" s="75" t="inlineStr">
        <is>
          <t>ERP사</t>
        </is>
      </c>
      <c r="K183" s="67" t="inlineStr">
        <is>
          <t>기타지출</t>
        </is>
      </c>
      <c r="L183" s="67" t="inlineStr">
        <is>
          <t>N</t>
        </is>
      </c>
      <c r="M183" s="67" t="inlineStr">
        <is>
          <t>Y</t>
        </is>
      </c>
      <c r="N183" s="148" t="n">
        <v>-4795900</v>
      </c>
      <c r="O183" s="67" t="inlineStr">
        <is>
          <t>우리은행 거래내역조회 20260913.xlsx</t>
        </is>
      </c>
      <c r="P183" s="69" t="inlineStr">
        <is>
          <t>기존내역</t>
        </is>
      </c>
    </row>
    <row r="184">
      <c r="A184" s="146" t="n">
        <v>46287.15763888889</v>
      </c>
      <c r="B184" s="147" t="n">
        <v>46287</v>
      </c>
      <c r="C184" s="67" t="inlineStr">
        <is>
          <t>우리은행</t>
        </is>
      </c>
      <c r="D184" s="67" t="inlineStr">
        <is>
          <t>우리 220351</t>
        </is>
      </c>
      <c r="E184" s="148" t="n">
        <v>0</v>
      </c>
      <c r="F184" s="148" t="n">
        <v>15847736</v>
      </c>
      <c r="G184" s="148" t="n">
        <v>30021750</v>
      </c>
      <c r="H184" s="75" t="inlineStr">
        <is>
          <t>펌뱅킹</t>
        </is>
      </c>
      <c r="I184" s="75" t="inlineStr">
        <is>
          <t>스마트스토어정산</t>
        </is>
      </c>
      <c r="J184" s="75" t="inlineStr">
        <is>
          <t>두산타워기업영업지원팀</t>
        </is>
      </c>
      <c r="K184" s="67" t="inlineStr">
        <is>
          <t>온라인매출입금</t>
        </is>
      </c>
      <c r="L184" s="67" t="inlineStr">
        <is>
          <t>N</t>
        </is>
      </c>
      <c r="M184" s="67" t="inlineStr">
        <is>
          <t>N</t>
        </is>
      </c>
      <c r="N184" s="148" t="n">
        <v>15847736</v>
      </c>
      <c r="O184" s="67" t="inlineStr">
        <is>
          <t>우리은행 거래내역조회 20260913.xlsx</t>
        </is>
      </c>
      <c r="P184" s="69" t="inlineStr">
        <is>
          <t>기존내역</t>
        </is>
      </c>
    </row>
    <row r="185">
      <c r="A185" s="146" t="n">
        <v>46287.20571759259</v>
      </c>
      <c r="B185" s="147" t="n">
        <v>46287</v>
      </c>
      <c r="C185" s="67" t="inlineStr">
        <is>
          <t>국민은행</t>
        </is>
      </c>
      <c r="D185" s="67" t="inlineStr">
        <is>
          <t>국민 154577</t>
        </is>
      </c>
      <c r="E185" s="148" t="n">
        <v>0</v>
      </c>
      <c r="F185" s="148" t="n">
        <v>168361</v>
      </c>
      <c r="G185" s="148" t="n">
        <v>40237150</v>
      </c>
      <c r="H185" s="75" t="inlineStr">
        <is>
          <t>전자금융</t>
        </is>
      </c>
      <c r="I185" s="75" t="inlineStr">
        <is>
          <t>Npay정산</t>
        </is>
      </c>
      <c r="J185" s="75" t="inlineStr">
        <is>
          <t>SC은행</t>
        </is>
      </c>
      <c r="K185" s="67" t="inlineStr">
        <is>
          <t>온라인매출입금</t>
        </is>
      </c>
      <c r="L185" s="67" t="inlineStr">
        <is>
          <t>N</t>
        </is>
      </c>
      <c r="M185" s="67" t="inlineStr">
        <is>
          <t>N</t>
        </is>
      </c>
      <c r="N185" s="148" t="n">
        <v>168361</v>
      </c>
      <c r="O185" s="67" t="inlineStr">
        <is>
          <t>우리은행 거래내역조회 20260913.xlsx</t>
        </is>
      </c>
      <c r="P185" s="69" t="inlineStr">
        <is>
          <t>기존내역</t>
        </is>
      </c>
    </row>
    <row r="186">
      <c r="A186" s="146" t="n">
        <v>46287.42416666666</v>
      </c>
      <c r="B186" s="147" t="n">
        <v>46287</v>
      </c>
      <c r="C186" s="67" t="inlineStr">
        <is>
          <t>농협</t>
        </is>
      </c>
      <c r="D186" s="67" t="inlineStr">
        <is>
          <t>농협 569003</t>
        </is>
      </c>
      <c r="E186" s="148" t="n">
        <v>0</v>
      </c>
      <c r="F186" s="148" t="n">
        <v>1000</v>
      </c>
      <c r="G186" s="148" t="n">
        <v>1945429</v>
      </c>
      <c r="H186" s="75" t="inlineStr">
        <is>
          <t>E-K뱅크</t>
        </is>
      </c>
      <c r="I186" s="75" t="inlineStr">
        <is>
          <t>양혜원</t>
        </is>
      </c>
      <c r="J186" s="75" t="inlineStr">
        <is>
          <t>K뱅크 0891002</t>
        </is>
      </c>
      <c r="K186" s="67" t="inlineStr">
        <is>
          <t>기타입금</t>
        </is>
      </c>
      <c r="L186" s="67" t="inlineStr">
        <is>
          <t>N</t>
        </is>
      </c>
      <c r="M186" s="67" t="inlineStr">
        <is>
          <t>N</t>
        </is>
      </c>
      <c r="N186" s="148" t="n">
        <v>1000</v>
      </c>
      <c r="O186" s="67" t="inlineStr">
        <is>
          <t>국민은행_계좌 조회 6개월(20260913).xls</t>
        </is>
      </c>
      <c r="P186" s="69" t="inlineStr">
        <is>
          <t>기존내역</t>
        </is>
      </c>
    </row>
    <row r="187">
      <c r="A187" s="146" t="n">
        <v>46287.42908564815</v>
      </c>
      <c r="B187" s="147" t="n">
        <v>46287</v>
      </c>
      <c r="C187" s="67" t="inlineStr">
        <is>
          <t>국민은행</t>
        </is>
      </c>
      <c r="D187" s="67" t="inlineStr">
        <is>
          <t>국민 154577</t>
        </is>
      </c>
      <c r="E187" s="148" t="n">
        <v>0</v>
      </c>
      <c r="F187" s="148" t="n">
        <v>618283</v>
      </c>
      <c r="G187" s="148" t="n">
        <v>40855433</v>
      </c>
      <c r="H187" s="75" t="inlineStr">
        <is>
          <t>전자금융</t>
        </is>
      </c>
      <c r="I187" s="75" t="inlineStr">
        <is>
          <t>KG이니시스</t>
        </is>
      </c>
      <c r="J187" s="75" t="inlineStr">
        <is>
          <t>하나은행</t>
        </is>
      </c>
      <c r="K187" s="67" t="inlineStr">
        <is>
          <t>온라인매출입금</t>
        </is>
      </c>
      <c r="L187" s="67" t="inlineStr">
        <is>
          <t>N</t>
        </is>
      </c>
      <c r="M187" s="67" t="inlineStr">
        <is>
          <t>N</t>
        </is>
      </c>
      <c r="N187" s="148" t="n">
        <v>618283</v>
      </c>
      <c r="O187" s="67" t="inlineStr">
        <is>
          <t>국민은행_계좌 조회 6개월(20260913).xls</t>
        </is>
      </c>
      <c r="P187" s="69" t="inlineStr">
        <is>
          <t>기존내역</t>
        </is>
      </c>
    </row>
    <row r="188">
      <c r="A188" s="146" t="n">
        <v>46287.44971064815</v>
      </c>
      <c r="B188" s="147" t="n">
        <v>46287</v>
      </c>
      <c r="C188" s="67" t="inlineStr">
        <is>
          <t>국민은행</t>
        </is>
      </c>
      <c r="D188" s="67" t="inlineStr">
        <is>
          <t>국민 154577</t>
        </is>
      </c>
      <c r="E188" s="148" t="n">
        <v>0</v>
      </c>
      <c r="F188" s="148" t="n">
        <v>2739917</v>
      </c>
      <c r="G188" s="148" t="n">
        <v>43595350</v>
      </c>
      <c r="H188" s="75" t="inlineStr">
        <is>
          <t>전자금융</t>
        </is>
      </c>
      <c r="I188" s="75" t="inlineStr">
        <is>
          <t>KG이니시스</t>
        </is>
      </c>
      <c r="J188" s="75" t="inlineStr">
        <is>
          <t>하나은행</t>
        </is>
      </c>
      <c r="K188" s="67" t="inlineStr">
        <is>
          <t>온라인매출입금</t>
        </is>
      </c>
      <c r="L188" s="67" t="inlineStr">
        <is>
          <t>N</t>
        </is>
      </c>
      <c r="M188" s="67" t="inlineStr">
        <is>
          <t>N</t>
        </is>
      </c>
      <c r="N188" s="148" t="n">
        <v>2739917</v>
      </c>
      <c r="O188" s="67" t="inlineStr">
        <is>
          <t>농협계좌_6개월(20260913).xls</t>
        </is>
      </c>
      <c r="P188" s="69" t="inlineStr">
        <is>
          <t>기존내역</t>
        </is>
      </c>
    </row>
    <row r="189">
      <c r="A189" s="146" t="n">
        <v>46287.52225694444</v>
      </c>
      <c r="B189" s="147" t="n">
        <v>46287</v>
      </c>
      <c r="C189" s="67" t="inlineStr">
        <is>
          <t>국민은행</t>
        </is>
      </c>
      <c r="D189" s="67" t="inlineStr">
        <is>
          <t>국민 154577</t>
        </is>
      </c>
      <c r="E189" s="148" t="n">
        <v>0</v>
      </c>
      <c r="F189" s="148" t="n">
        <v>246613</v>
      </c>
      <c r="G189" s="148" t="n">
        <v>43841963</v>
      </c>
      <c r="H189" s="75" t="inlineStr">
        <is>
          <t>전자금융</t>
        </is>
      </c>
      <c r="I189" s="75" t="inlineStr">
        <is>
          <t>화물택배물</t>
        </is>
      </c>
      <c r="J189" s="75" t="inlineStr">
        <is>
          <t>농협</t>
        </is>
      </c>
      <c r="K189" s="67" t="inlineStr">
        <is>
          <t>기타입금</t>
        </is>
      </c>
      <c r="L189" s="67" t="inlineStr">
        <is>
          <t>N</t>
        </is>
      </c>
      <c r="M189" s="67" t="inlineStr">
        <is>
          <t>N</t>
        </is>
      </c>
      <c r="N189" s="148" t="n">
        <v>246613</v>
      </c>
      <c r="O189" s="67" t="inlineStr">
        <is>
          <t>우리은행 거래내역조회 20260913.xlsx</t>
        </is>
      </c>
      <c r="P189" s="69" t="inlineStr">
        <is>
          <t>기존내역</t>
        </is>
      </c>
    </row>
    <row r="190">
      <c r="A190" s="146" t="n">
        <v>46287.56802083334</v>
      </c>
      <c r="B190" s="147" t="n">
        <v>46287</v>
      </c>
      <c r="C190" s="67" t="inlineStr">
        <is>
          <t>우리은행</t>
        </is>
      </c>
      <c r="D190" s="67" t="inlineStr">
        <is>
          <t>우리 220351</t>
        </is>
      </c>
      <c r="E190" s="148" t="n">
        <v>20000000</v>
      </c>
      <c r="F190" s="148" t="n">
        <v>0</v>
      </c>
      <c r="G190" s="148" t="n">
        <v>10021750</v>
      </c>
      <c r="H190" s="75" t="inlineStr">
        <is>
          <t>인터넷</t>
        </is>
      </c>
      <c r="I190" s="75" t="inlineStr">
        <is>
          <t>기업엠에스바이오텍(</t>
        </is>
      </c>
      <c r="J190" s="75" t="inlineStr">
        <is>
          <t>성서공단금융센터</t>
        </is>
      </c>
      <c r="K190" s="67" t="inlineStr">
        <is>
          <t>기타지출</t>
        </is>
      </c>
      <c r="L190" s="67" t="inlineStr">
        <is>
          <t>N</t>
        </is>
      </c>
      <c r="M190" s="67" t="inlineStr">
        <is>
          <t>N</t>
        </is>
      </c>
      <c r="N190" s="148" t="n">
        <v>-20000000</v>
      </c>
      <c r="O190" s="67" t="inlineStr">
        <is>
          <t>국민은행_계좌 조회 6개월(20260913).xls</t>
        </is>
      </c>
      <c r="P190" s="69" t="inlineStr">
        <is>
          <t>기존내역</t>
        </is>
      </c>
    </row>
    <row r="191">
      <c r="A191" s="146" t="n">
        <v>46287.60900462963</v>
      </c>
      <c r="B191" s="147" t="n">
        <v>46287</v>
      </c>
      <c r="C191" s="67" t="inlineStr">
        <is>
          <t>농협</t>
        </is>
      </c>
      <c r="D191" s="67" t="inlineStr">
        <is>
          <t>농협 569003</t>
        </is>
      </c>
      <c r="E191" s="148" t="n">
        <v>0</v>
      </c>
      <c r="F191" s="148" t="n">
        <v>2000</v>
      </c>
      <c r="G191" s="148" t="n">
        <v>1947429</v>
      </c>
      <c r="H191" s="75" t="inlineStr">
        <is>
          <t>PC신한은행</t>
        </is>
      </c>
      <c r="I191" s="75" t="inlineStr">
        <is>
          <t>송채은</t>
        </is>
      </c>
      <c r="J191" s="75" t="inlineStr">
        <is>
          <t>신한 0267623</t>
        </is>
      </c>
      <c r="K191" s="67" t="inlineStr">
        <is>
          <t>기타입금</t>
        </is>
      </c>
      <c r="L191" s="67" t="inlineStr">
        <is>
          <t>N</t>
        </is>
      </c>
      <c r="M191" s="67" t="inlineStr">
        <is>
          <t>N</t>
        </is>
      </c>
      <c r="N191" s="148" t="n">
        <v>2000</v>
      </c>
      <c r="O191" s="67" t="inlineStr">
        <is>
          <t>우리은행 거래내역조회 20260913.xlsx</t>
        </is>
      </c>
      <c r="P191" s="69" t="inlineStr">
        <is>
          <t>기존내역</t>
        </is>
      </c>
    </row>
    <row r="192">
      <c r="A192" s="146" t="n">
        <v>46287.62135416667</v>
      </c>
      <c r="B192" s="147" t="n">
        <v>46287</v>
      </c>
      <c r="C192" s="67" t="inlineStr">
        <is>
          <t>농협</t>
        </is>
      </c>
      <c r="D192" s="67" t="inlineStr">
        <is>
          <t>농협 569003</t>
        </is>
      </c>
      <c r="E192" s="148" t="n">
        <v>0</v>
      </c>
      <c r="F192" s="148" t="n">
        <v>280000</v>
      </c>
      <c r="G192" s="148" t="n">
        <v>2227429</v>
      </c>
      <c r="H192" s="75" t="inlineStr">
        <is>
          <t>E-아이엠</t>
        </is>
      </c>
      <c r="I192" s="75" t="inlineStr">
        <is>
          <t>석계아이엔디(주)(</t>
        </is>
      </c>
      <c r="J192" s="75" t="inlineStr">
        <is>
          <t>아이엠 (구)대구 0310017</t>
        </is>
      </c>
      <c r="K192" s="67" t="inlineStr">
        <is>
          <t>기타입금</t>
        </is>
      </c>
      <c r="L192" s="67" t="inlineStr">
        <is>
          <t>N</t>
        </is>
      </c>
      <c r="M192" s="67" t="inlineStr">
        <is>
          <t>N</t>
        </is>
      </c>
      <c r="N192" s="148" t="n">
        <v>280000</v>
      </c>
      <c r="O192" s="67" t="inlineStr">
        <is>
          <t>국민은행_계좌 조회 6개월(20260913).xls</t>
        </is>
      </c>
      <c r="P192" s="69" t="inlineStr">
        <is>
          <t>기존내역</t>
        </is>
      </c>
    </row>
    <row r="193">
      <c r="A193" s="146" t="n">
        <v>46287.64728009259</v>
      </c>
      <c r="B193" s="147" t="n">
        <v>46287</v>
      </c>
      <c r="C193" s="67" t="inlineStr">
        <is>
          <t>국민은행</t>
        </is>
      </c>
      <c r="D193" s="67" t="inlineStr">
        <is>
          <t>국민 154577</t>
        </is>
      </c>
      <c r="E193" s="148" t="n">
        <v>0</v>
      </c>
      <c r="F193" s="148" t="n">
        <v>43975</v>
      </c>
      <c r="G193" s="148" t="n">
        <v>43885938</v>
      </c>
      <c r="H193" s="75" t="inlineStr">
        <is>
          <t>전자금융</t>
        </is>
      </c>
      <c r="I193" s="75" t="inlineStr">
        <is>
          <t>엔에이치엔페이</t>
        </is>
      </c>
      <c r="J193" s="75" t="inlineStr">
        <is>
          <t>신한은행</t>
        </is>
      </c>
      <c r="K193" s="67" t="inlineStr">
        <is>
          <t>온라인매출입금</t>
        </is>
      </c>
      <c r="L193" s="67" t="inlineStr">
        <is>
          <t>N</t>
        </is>
      </c>
      <c r="M193" s="67" t="inlineStr">
        <is>
          <t>N</t>
        </is>
      </c>
      <c r="N193" s="148" t="n">
        <v>43975</v>
      </c>
      <c r="O193" s="67" t="inlineStr">
        <is>
          <t>농협계좌_6개월(20260913).xls</t>
        </is>
      </c>
      <c r="P193" s="69" t="inlineStr">
        <is>
          <t>기존내역</t>
        </is>
      </c>
    </row>
    <row r="194">
      <c r="A194" s="146" t="n">
        <v>46287.69748842593</v>
      </c>
      <c r="B194" s="147" t="n">
        <v>46287</v>
      </c>
      <c r="C194" s="67" t="inlineStr">
        <is>
          <t>우리은행</t>
        </is>
      </c>
      <c r="D194" s="67" t="inlineStr">
        <is>
          <t>우리 220351</t>
        </is>
      </c>
      <c r="E194" s="148" t="n">
        <v>250000</v>
      </c>
      <c r="F194" s="148" t="n">
        <v>0</v>
      </c>
      <c r="G194" s="148" t="n">
        <v>9771750</v>
      </c>
      <c r="H194" s="75" t="inlineStr">
        <is>
          <t>인터넷</t>
        </is>
      </c>
      <c r="I194" s="75" t="inlineStr">
        <is>
          <t>아이대구상공회의소</t>
        </is>
      </c>
      <c r="J194" s="75" t="inlineStr">
        <is>
          <t>성서공단금융센터</t>
        </is>
      </c>
      <c r="K194" s="67" t="inlineStr">
        <is>
          <t>기타지출</t>
        </is>
      </c>
      <c r="L194" s="67" t="inlineStr">
        <is>
          <t>N</t>
        </is>
      </c>
      <c r="M194" s="67" t="inlineStr">
        <is>
          <t>N</t>
        </is>
      </c>
      <c r="N194" s="148" t="n">
        <v>-250000</v>
      </c>
      <c r="O194" s="67" t="inlineStr">
        <is>
          <t>국민은행_계좌 조회 6개월(20260913).xls</t>
        </is>
      </c>
      <c r="P194" s="69" t="inlineStr">
        <is>
          <t>기존내역</t>
        </is>
      </c>
    </row>
    <row r="195">
      <c r="A195" s="146" t="n">
        <v>46287.6975</v>
      </c>
      <c r="B195" s="147" t="n">
        <v>46287</v>
      </c>
      <c r="C195" s="67" t="inlineStr">
        <is>
          <t>우리은행</t>
        </is>
      </c>
      <c r="D195" s="67" t="inlineStr">
        <is>
          <t>우리 220351</t>
        </is>
      </c>
      <c r="E195" s="148" t="n">
        <v>495517</v>
      </c>
      <c r="F195" s="148" t="n">
        <v>0</v>
      </c>
      <c r="G195" s="148" t="n">
        <v>8926233</v>
      </c>
      <c r="H195" s="75" t="inlineStr">
        <is>
          <t>인터넷</t>
        </is>
      </c>
      <c r="I195" s="75" t="inlineStr">
        <is>
          <t>국민비즈월렛_쁘띠앤</t>
        </is>
      </c>
      <c r="J195" s="75" t="inlineStr">
        <is>
          <t>성서공단금융센터</t>
        </is>
      </c>
      <c r="K195" s="67" t="inlineStr">
        <is>
          <t>기타지출</t>
        </is>
      </c>
      <c r="L195" s="67" t="inlineStr">
        <is>
          <t>N</t>
        </is>
      </c>
      <c r="M195" s="67" t="inlineStr">
        <is>
          <t>Y</t>
        </is>
      </c>
      <c r="N195" s="148" t="n">
        <v>-495517</v>
      </c>
      <c r="O195" s="67" t="inlineStr">
        <is>
          <t>국민은행_계좌 조회 6개월(20260913).xls</t>
        </is>
      </c>
      <c r="P195" s="69" t="inlineStr">
        <is>
          <t>기존내역</t>
        </is>
      </c>
    </row>
    <row r="196">
      <c r="A196" s="146" t="n">
        <v>46287.6975</v>
      </c>
      <c r="B196" s="147" t="n">
        <v>46287</v>
      </c>
      <c r="C196" s="67" t="inlineStr">
        <is>
          <t>우리은행</t>
        </is>
      </c>
      <c r="D196" s="67" t="inlineStr">
        <is>
          <t>우리 220351</t>
        </is>
      </c>
      <c r="E196" s="148" t="n">
        <v>350000</v>
      </c>
      <c r="F196" s="148" t="n">
        <v>0</v>
      </c>
      <c r="G196" s="148" t="n">
        <v>9421750</v>
      </c>
      <c r="H196" s="75" t="inlineStr">
        <is>
          <t>인터넷</t>
        </is>
      </c>
      <c r="I196" s="75" t="inlineStr">
        <is>
          <t>아이임대규</t>
        </is>
      </c>
      <c r="J196" s="75" t="inlineStr">
        <is>
          <t>성서공단금융센터</t>
        </is>
      </c>
      <c r="K196" s="67" t="inlineStr">
        <is>
          <t>기타지출</t>
        </is>
      </c>
      <c r="L196" s="67" t="inlineStr">
        <is>
          <t>N</t>
        </is>
      </c>
      <c r="M196" s="67" t="inlineStr">
        <is>
          <t>Y</t>
        </is>
      </c>
      <c r="N196" s="148" t="n">
        <v>-350000</v>
      </c>
      <c r="O196" s="67" t="inlineStr">
        <is>
          <t>국민은행_계좌 조회 6개월(20260913).xls</t>
        </is>
      </c>
      <c r="P196" s="69" t="inlineStr">
        <is>
          <t>기존내역</t>
        </is>
      </c>
    </row>
    <row r="197">
      <c r="A197" s="146" t="n">
        <v>46287.7091087963</v>
      </c>
      <c r="B197" s="147" t="n">
        <v>46287</v>
      </c>
      <c r="C197" s="67" t="inlineStr">
        <is>
          <t>국민은행</t>
        </is>
      </c>
      <c r="D197" s="67" t="inlineStr">
        <is>
          <t>국민 154577</t>
        </is>
      </c>
      <c r="E197" s="148" t="n">
        <v>7800000</v>
      </c>
      <c r="F197" s="148" t="n">
        <v>0</v>
      </c>
      <c r="G197" s="148" t="n">
        <v>36085938</v>
      </c>
      <c r="H197" s="75" t="inlineStr">
        <is>
          <t>TOP출금</t>
        </is>
      </c>
      <c r="I197" s="75" t="inlineStr"/>
      <c r="J197" s="75" t="inlineStr">
        <is>
          <t>진천역</t>
        </is>
      </c>
      <c r="K197" s="67" t="inlineStr">
        <is>
          <t>확인필요</t>
        </is>
      </c>
      <c r="L197" s="67" t="inlineStr">
        <is>
          <t>N</t>
        </is>
      </c>
      <c r="M197" s="67" t="inlineStr">
        <is>
          <t>Y</t>
        </is>
      </c>
      <c r="N197" s="148" t="n">
        <v>-7800000</v>
      </c>
      <c r="O197" s="67" t="inlineStr">
        <is>
          <t>국민은행_계좌 조회 6개월(20260913).xls</t>
        </is>
      </c>
      <c r="P197" s="69" t="inlineStr">
        <is>
          <t>기존내역</t>
        </is>
      </c>
    </row>
    <row r="198">
      <c r="A198" s="146" t="n">
        <v>46288.10270833333</v>
      </c>
      <c r="B198" s="147" t="n">
        <v>46288</v>
      </c>
      <c r="C198" s="67" t="inlineStr">
        <is>
          <t>우리은행</t>
        </is>
      </c>
      <c r="D198" s="67" t="inlineStr">
        <is>
          <t>우리 220351</t>
        </is>
      </c>
      <c r="E198" s="148" t="n">
        <v>0</v>
      </c>
      <c r="F198" s="148" t="n">
        <v>5580156</v>
      </c>
      <c r="G198" s="148" t="n">
        <v>14506389</v>
      </c>
      <c r="H198" s="75" t="inlineStr">
        <is>
          <t>펌뱅킹</t>
        </is>
      </c>
      <c r="I198" s="75" t="inlineStr">
        <is>
          <t>스마트스토어정산</t>
        </is>
      </c>
      <c r="J198" s="75" t="inlineStr">
        <is>
          <t>두산타워기업영업지원팀</t>
        </is>
      </c>
      <c r="K198" s="67" t="inlineStr">
        <is>
          <t>온라인매출입금</t>
        </is>
      </c>
      <c r="L198" s="67" t="inlineStr">
        <is>
          <t>N</t>
        </is>
      </c>
      <c r="M198" s="67" t="inlineStr">
        <is>
          <t>N</t>
        </is>
      </c>
      <c r="N198" s="148" t="n">
        <v>5580156</v>
      </c>
      <c r="O198" s="67" t="inlineStr">
        <is>
          <t>국민은행_계좌 조회 6개월(20260913).xls</t>
        </is>
      </c>
      <c r="P198" s="69" t="inlineStr">
        <is>
          <t>기존내역</t>
        </is>
      </c>
    </row>
    <row r="199">
      <c r="A199" s="146" t="n">
        <v>46288.135</v>
      </c>
      <c r="B199" s="147" t="n">
        <v>46288</v>
      </c>
      <c r="C199" s="67" t="inlineStr">
        <is>
          <t>우리은행</t>
        </is>
      </c>
      <c r="D199" s="67" t="inlineStr">
        <is>
          <t>우리 220351</t>
        </is>
      </c>
      <c r="E199" s="148" t="n">
        <v>14506389</v>
      </c>
      <c r="F199" s="148" t="n">
        <v>0</v>
      </c>
      <c r="G199" s="148" t="n">
        <v>0</v>
      </c>
      <c r="H199" s="75" t="inlineStr">
        <is>
          <t>우리카드</t>
        </is>
      </c>
      <c r="I199" s="75" t="inlineStr">
        <is>
          <t>우리카드결제대금</t>
        </is>
      </c>
      <c r="J199" s="75" t="inlineStr">
        <is>
          <t>리테일영업총괄부(카드)</t>
        </is>
      </c>
      <c r="K199" s="67" t="inlineStr">
        <is>
          <t>우리카드 결제</t>
        </is>
      </c>
      <c r="L199" s="67" t="inlineStr">
        <is>
          <t>N</t>
        </is>
      </c>
      <c r="M199" s="67" t="inlineStr">
        <is>
          <t>Y</t>
        </is>
      </c>
      <c r="N199" s="148" t="n">
        <v>-14506389</v>
      </c>
      <c r="O199" s="67" t="inlineStr">
        <is>
          <t>우리은행 거래내역조회 20260913.xlsx</t>
        </is>
      </c>
      <c r="P199" s="69" t="inlineStr">
        <is>
          <t>기존내역</t>
        </is>
      </c>
    </row>
    <row r="200">
      <c r="A200" s="146" t="n">
        <v>46288.14192129629</v>
      </c>
      <c r="B200" s="147" t="n">
        <v>46288</v>
      </c>
      <c r="C200" s="67" t="inlineStr">
        <is>
          <t>국민은행</t>
        </is>
      </c>
      <c r="D200" s="67" t="inlineStr">
        <is>
          <t>국민 154577</t>
        </is>
      </c>
      <c r="E200" s="148" t="n">
        <v>0</v>
      </c>
      <c r="F200" s="148" t="n">
        <v>76239</v>
      </c>
      <c r="G200" s="148" t="n">
        <v>36162177</v>
      </c>
      <c r="H200" s="75" t="inlineStr">
        <is>
          <t>전자금융</t>
        </is>
      </c>
      <c r="I200" s="75" t="inlineStr">
        <is>
          <t>Npay정산</t>
        </is>
      </c>
      <c r="J200" s="75" t="inlineStr">
        <is>
          <t>SC은행</t>
        </is>
      </c>
      <c r="K200" s="67" t="inlineStr">
        <is>
          <t>온라인매출입금</t>
        </is>
      </c>
      <c r="L200" s="67" t="inlineStr">
        <is>
          <t>N</t>
        </is>
      </c>
      <c r="M200" s="67" t="inlineStr">
        <is>
          <t>N</t>
        </is>
      </c>
      <c r="N200" s="148" t="n">
        <v>76239</v>
      </c>
      <c r="O200" s="67" t="inlineStr">
        <is>
          <t>우리은행 거래내역조회 20260913.xlsx</t>
        </is>
      </c>
      <c r="P200" s="69" t="inlineStr">
        <is>
          <t>기존내역</t>
        </is>
      </c>
    </row>
    <row r="201">
      <c r="A201" s="146" t="n">
        <v>46288.21836805555</v>
      </c>
      <c r="B201" s="147" t="n">
        <v>46288</v>
      </c>
      <c r="C201" s="67" t="inlineStr">
        <is>
          <t>농협</t>
        </is>
      </c>
      <c r="D201" s="67" t="inlineStr">
        <is>
          <t>농협 569003</t>
        </is>
      </c>
      <c r="E201" s="148" t="n">
        <v>0</v>
      </c>
      <c r="F201" s="148" t="n">
        <v>39066</v>
      </c>
      <c r="G201" s="148" t="n">
        <v>2266495</v>
      </c>
      <c r="H201" s="75" t="inlineStr">
        <is>
          <t>BC카드</t>
        </is>
      </c>
      <c r="I201" s="75" t="inlineStr">
        <is>
          <t>726168386BC</t>
        </is>
      </c>
      <c r="J201" s="75" t="inlineStr">
        <is>
          <t>농협 000998</t>
        </is>
      </c>
      <c r="K201" s="67" t="inlineStr">
        <is>
          <t>기타입금</t>
        </is>
      </c>
      <c r="L201" s="67" t="inlineStr">
        <is>
          <t>N</t>
        </is>
      </c>
      <c r="M201" s="67" t="inlineStr">
        <is>
          <t>N</t>
        </is>
      </c>
      <c r="N201" s="148" t="n">
        <v>39066</v>
      </c>
      <c r="O201" s="67" t="inlineStr">
        <is>
          <t>우리은행 거래내역조회 20260913.xlsx</t>
        </is>
      </c>
      <c r="P201" s="69" t="inlineStr">
        <is>
          <t>기존내역</t>
        </is>
      </c>
    </row>
    <row r="202">
      <c r="A202" s="146" t="n">
        <v>46288.44695601852</v>
      </c>
      <c r="B202" s="147" t="n">
        <v>46288</v>
      </c>
      <c r="C202" s="67" t="inlineStr">
        <is>
          <t>국민은행</t>
        </is>
      </c>
      <c r="D202" s="67" t="inlineStr">
        <is>
          <t>국민 154577</t>
        </is>
      </c>
      <c r="E202" s="148" t="n">
        <v>0</v>
      </c>
      <c r="F202" s="148" t="n">
        <v>228129</v>
      </c>
      <c r="G202" s="148" t="n">
        <v>36390306</v>
      </c>
      <c r="H202" s="75" t="inlineStr">
        <is>
          <t>전자금융</t>
        </is>
      </c>
      <c r="I202" s="75" t="inlineStr">
        <is>
          <t>KG이니시스</t>
        </is>
      </c>
      <c r="J202" s="75" t="inlineStr">
        <is>
          <t>하나은행</t>
        </is>
      </c>
      <c r="K202" s="67" t="inlineStr">
        <is>
          <t>온라인매출입금</t>
        </is>
      </c>
      <c r="L202" s="67" t="inlineStr">
        <is>
          <t>N</t>
        </is>
      </c>
      <c r="M202" s="67" t="inlineStr">
        <is>
          <t>N</t>
        </is>
      </c>
      <c r="N202" s="148" t="n">
        <v>228129</v>
      </c>
      <c r="O202" s="67" t="inlineStr">
        <is>
          <t>국민은행_계좌 조회 6개월(20260913).xls</t>
        </is>
      </c>
      <c r="P202" s="69" t="inlineStr">
        <is>
          <t>기존내역</t>
        </is>
      </c>
    </row>
    <row r="203">
      <c r="A203" s="146" t="n">
        <v>46288.44983796297</v>
      </c>
      <c r="B203" s="147" t="n">
        <v>46288</v>
      </c>
      <c r="C203" s="67" t="inlineStr">
        <is>
          <t>국민은행</t>
        </is>
      </c>
      <c r="D203" s="67" t="inlineStr">
        <is>
          <t>국민 154577</t>
        </is>
      </c>
      <c r="E203" s="148" t="n">
        <v>0</v>
      </c>
      <c r="F203" s="148" t="n">
        <v>1533549</v>
      </c>
      <c r="G203" s="148" t="n">
        <v>37923855</v>
      </c>
      <c r="H203" s="75" t="inlineStr">
        <is>
          <t>전자금융</t>
        </is>
      </c>
      <c r="I203" s="75" t="inlineStr">
        <is>
          <t>KG이니시스</t>
        </is>
      </c>
      <c r="J203" s="75" t="inlineStr">
        <is>
          <t>하나은행</t>
        </is>
      </c>
      <c r="K203" s="67" t="inlineStr">
        <is>
          <t>온라인매출입금</t>
        </is>
      </c>
      <c r="L203" s="67" t="inlineStr">
        <is>
          <t>N</t>
        </is>
      </c>
      <c r="M203" s="67" t="inlineStr">
        <is>
          <t>N</t>
        </is>
      </c>
      <c r="N203" s="148" t="n">
        <v>1533549</v>
      </c>
      <c r="O203" s="67" t="inlineStr">
        <is>
          <t>우리은행 거래내역조회 20260913.xlsx</t>
        </is>
      </c>
      <c r="P203" s="69" t="inlineStr">
        <is>
          <t>기존내역</t>
        </is>
      </c>
    </row>
    <row r="204">
      <c r="A204" s="146" t="n">
        <v>46288.4909837963</v>
      </c>
      <c r="B204" s="147" t="n">
        <v>46288</v>
      </c>
      <c r="C204" s="67" t="inlineStr">
        <is>
          <t>농협</t>
        </is>
      </c>
      <c r="D204" s="67" t="inlineStr">
        <is>
          <t>농협 569003</t>
        </is>
      </c>
      <c r="E204" s="148" t="n">
        <v>0</v>
      </c>
      <c r="F204" s="148" t="n">
        <v>45000</v>
      </c>
      <c r="G204" s="148" t="n">
        <v>2311495</v>
      </c>
      <c r="H204" s="75" t="inlineStr">
        <is>
          <t>폰국민은행</t>
        </is>
      </c>
      <c r="I204" s="75" t="inlineStr">
        <is>
          <t>허수원</t>
        </is>
      </c>
      <c r="J204" s="75" t="inlineStr">
        <is>
          <t>국민 0068398</t>
        </is>
      </c>
      <c r="K204" s="67" t="inlineStr">
        <is>
          <t>기타입금</t>
        </is>
      </c>
      <c r="L204" s="67" t="inlineStr">
        <is>
          <t>N</t>
        </is>
      </c>
      <c r="M204" s="67" t="inlineStr">
        <is>
          <t>N</t>
        </is>
      </c>
      <c r="N204" s="148" t="n">
        <v>45000</v>
      </c>
      <c r="O204" s="67" t="inlineStr">
        <is>
          <t>국민은행_계좌 조회 6개월(20260913).xls</t>
        </is>
      </c>
      <c r="P204" s="69" t="inlineStr">
        <is>
          <t>기존내역</t>
        </is>
      </c>
    </row>
    <row r="205">
      <c r="A205" s="146" t="n">
        <v>46288.49289351852</v>
      </c>
      <c r="B205" s="147" t="n">
        <v>46288</v>
      </c>
      <c r="C205" s="67" t="inlineStr">
        <is>
          <t>국민은행</t>
        </is>
      </c>
      <c r="D205" s="67" t="inlineStr">
        <is>
          <t>국민 154577</t>
        </is>
      </c>
      <c r="E205" s="148" t="n">
        <v>0</v>
      </c>
      <c r="F205" s="148" t="n">
        <v>8591494</v>
      </c>
      <c r="G205" s="148" t="n">
        <v>48033349</v>
      </c>
      <c r="H205" s="75" t="inlineStr">
        <is>
          <t>FBS입금</t>
        </is>
      </c>
      <c r="I205" s="75" t="inlineStr">
        <is>
          <t>쿠팡(주)</t>
        </is>
      </c>
      <c r="J205" s="75" t="inlineStr">
        <is>
          <t>ERP사</t>
        </is>
      </c>
      <c r="K205" s="67" t="inlineStr">
        <is>
          <t>온라인매출입금</t>
        </is>
      </c>
      <c r="L205" s="67" t="inlineStr">
        <is>
          <t>N</t>
        </is>
      </c>
      <c r="M205" s="67" t="inlineStr">
        <is>
          <t>N</t>
        </is>
      </c>
      <c r="N205" s="148" t="n">
        <v>8591494</v>
      </c>
      <c r="O205" s="67" t="inlineStr">
        <is>
          <t>국민은행_계좌 조회 6개월(20260913).xls</t>
        </is>
      </c>
      <c r="P205" s="69" t="inlineStr">
        <is>
          <t>기존내역</t>
        </is>
      </c>
    </row>
    <row r="206">
      <c r="A206" s="146" t="n">
        <v>46288.49289351852</v>
      </c>
      <c r="B206" s="147" t="n">
        <v>46288</v>
      </c>
      <c r="C206" s="67" t="inlineStr">
        <is>
          <t>국민은행</t>
        </is>
      </c>
      <c r="D206" s="67" t="inlineStr">
        <is>
          <t>국민 154577</t>
        </is>
      </c>
      <c r="E206" s="148" t="n">
        <v>0</v>
      </c>
      <c r="F206" s="148" t="n">
        <v>1518000</v>
      </c>
      <c r="G206" s="148" t="n">
        <v>39441855</v>
      </c>
      <c r="H206" s="75" t="inlineStr">
        <is>
          <t>FBS입금</t>
        </is>
      </c>
      <c r="I206" s="75" t="inlineStr">
        <is>
          <t>쿠팡(주)</t>
        </is>
      </c>
      <c r="J206" s="75" t="inlineStr">
        <is>
          <t>ERP사</t>
        </is>
      </c>
      <c r="K206" s="67" t="inlineStr">
        <is>
          <t>온라인매출입금</t>
        </is>
      </c>
      <c r="L206" s="67" t="inlineStr">
        <is>
          <t>N</t>
        </is>
      </c>
      <c r="M206" s="67" t="inlineStr">
        <is>
          <t>N</t>
        </is>
      </c>
      <c r="N206" s="148" t="n">
        <v>1518000</v>
      </c>
      <c r="O206" s="67" t="inlineStr">
        <is>
          <t>국민은행_계좌 조회 6개월(20260913).xls</t>
        </is>
      </c>
      <c r="P206" s="69" t="inlineStr">
        <is>
          <t>기존내역</t>
        </is>
      </c>
    </row>
    <row r="207">
      <c r="A207" s="146" t="n">
        <v>46288.50967592592</v>
      </c>
      <c r="B207" s="147" t="n">
        <v>46288</v>
      </c>
      <c r="C207" s="67" t="inlineStr">
        <is>
          <t>국민은행</t>
        </is>
      </c>
      <c r="D207" s="67" t="inlineStr">
        <is>
          <t>국민 154577</t>
        </is>
      </c>
      <c r="E207" s="148" t="n">
        <v>4675000</v>
      </c>
      <c r="F207" s="148" t="n">
        <v>0</v>
      </c>
      <c r="G207" s="148" t="n">
        <v>43358349</v>
      </c>
      <c r="H207" s="75" t="inlineStr">
        <is>
          <t>스마트출금</t>
        </is>
      </c>
      <c r="I207" s="75" t="inlineStr">
        <is>
          <t>네이버 aphar</t>
        </is>
      </c>
      <c r="J207" s="75" t="inlineStr">
        <is>
          <t>진천역</t>
        </is>
      </c>
      <c r="K207" s="67" t="inlineStr">
        <is>
          <t>기타지출</t>
        </is>
      </c>
      <c r="L207" s="67" t="inlineStr">
        <is>
          <t>N</t>
        </is>
      </c>
      <c r="M207" s="67" t="inlineStr">
        <is>
          <t>N</t>
        </is>
      </c>
      <c r="N207" s="148" t="n">
        <v>-4675000</v>
      </c>
      <c r="O207" s="67" t="inlineStr">
        <is>
          <t>농협계좌_6개월(20260913).xls</t>
        </is>
      </c>
      <c r="P207" s="69" t="inlineStr">
        <is>
          <t>기존내역</t>
        </is>
      </c>
    </row>
    <row r="208">
      <c r="A208" s="146" t="n">
        <v>46288.51189814815</v>
      </c>
      <c r="B208" s="147" t="n">
        <v>46288</v>
      </c>
      <c r="C208" s="67" t="inlineStr">
        <is>
          <t>국민은행</t>
        </is>
      </c>
      <c r="D208" s="67" t="inlineStr">
        <is>
          <t>국민 154577</t>
        </is>
      </c>
      <c r="E208" s="148" t="n">
        <v>330000</v>
      </c>
      <c r="F208" s="148" t="n">
        <v>0</v>
      </c>
      <c r="G208" s="148" t="n">
        <v>43028349</v>
      </c>
      <c r="H208" s="75" t="inlineStr">
        <is>
          <t>스마트출금</t>
        </is>
      </c>
      <c r="I208" s="75" t="inlineStr">
        <is>
          <t>네이버 에이팜건강</t>
        </is>
      </c>
      <c r="J208" s="75" t="inlineStr">
        <is>
          <t>진천역</t>
        </is>
      </c>
      <c r="K208" s="67" t="inlineStr">
        <is>
          <t>기타지출</t>
        </is>
      </c>
      <c r="L208" s="67" t="inlineStr">
        <is>
          <t>N</t>
        </is>
      </c>
      <c r="M208" s="67" t="inlineStr">
        <is>
          <t>N</t>
        </is>
      </c>
      <c r="N208" s="148" t="n">
        <v>-330000</v>
      </c>
      <c r="O208" s="67" t="inlineStr">
        <is>
          <t>국민은행_계좌 조회 6개월(20260913).xls</t>
        </is>
      </c>
      <c r="P208" s="69" t="inlineStr">
        <is>
          <t>기존내역</t>
        </is>
      </c>
    </row>
    <row r="209">
      <c r="A209" s="146" t="n">
        <v>46288.51282407407</v>
      </c>
      <c r="B209" s="147" t="n">
        <v>46288</v>
      </c>
      <c r="C209" s="67" t="inlineStr">
        <is>
          <t>국민은행</t>
        </is>
      </c>
      <c r="D209" s="67" t="inlineStr">
        <is>
          <t>국민 154577</t>
        </is>
      </c>
      <c r="E209" s="148" t="n">
        <v>990000</v>
      </c>
      <c r="F209" s="148" t="n">
        <v>0</v>
      </c>
      <c r="G209" s="148" t="n">
        <v>42038349</v>
      </c>
      <c r="H209" s="75" t="inlineStr">
        <is>
          <t>스마트출금</t>
        </is>
      </c>
      <c r="I209" s="75" t="inlineStr">
        <is>
          <t>네이버 ddi50</t>
        </is>
      </c>
      <c r="J209" s="75" t="inlineStr">
        <is>
          <t>진천역</t>
        </is>
      </c>
      <c r="K209" s="67" t="inlineStr">
        <is>
          <t>기타지출</t>
        </is>
      </c>
      <c r="L209" s="67" t="inlineStr">
        <is>
          <t>N</t>
        </is>
      </c>
      <c r="M209" s="67" t="inlineStr">
        <is>
          <t>N</t>
        </is>
      </c>
      <c r="N209" s="148" t="n">
        <v>-990000</v>
      </c>
      <c r="O209" s="67" t="inlineStr">
        <is>
          <t>국민은행_계좌 조회 6개월(20260913).xls</t>
        </is>
      </c>
      <c r="P209" s="69" t="inlineStr">
        <is>
          <t>기존내역</t>
        </is>
      </c>
    </row>
    <row r="210">
      <c r="A210" s="146" t="n">
        <v>46288.51495370371</v>
      </c>
      <c r="B210" s="147" t="n">
        <v>46288</v>
      </c>
      <c r="C210" s="67" t="inlineStr">
        <is>
          <t>우리은행</t>
        </is>
      </c>
      <c r="D210" s="67" t="inlineStr">
        <is>
          <t>우리 220351</t>
        </is>
      </c>
      <c r="E210" s="148" t="n">
        <v>0</v>
      </c>
      <c r="F210" s="148" t="n">
        <v>5000000</v>
      </c>
      <c r="G210" s="148" t="n">
        <v>5000000</v>
      </c>
      <c r="H210" s="75" t="inlineStr">
        <is>
          <t>모바일</t>
        </is>
      </c>
      <c r="I210" s="75" t="inlineStr">
        <is>
          <t>(주)에이팜건강</t>
        </is>
      </c>
      <c r="J210" s="75" t="inlineStr">
        <is>
          <t>0195960</t>
        </is>
      </c>
      <c r="K210" s="67" t="inlineStr">
        <is>
          <t>계좌간이체</t>
        </is>
      </c>
      <c r="L210" s="67" t="inlineStr">
        <is>
          <t>Y</t>
        </is>
      </c>
      <c r="M210" s="67" t="inlineStr">
        <is>
          <t>N</t>
        </is>
      </c>
      <c r="N210" s="148" t="n">
        <v>0</v>
      </c>
      <c r="O210" s="67" t="inlineStr">
        <is>
          <t>우리은행 거래내역조회 20260913.xlsx</t>
        </is>
      </c>
      <c r="P210" s="69" t="inlineStr">
        <is>
          <t>기존내역</t>
        </is>
      </c>
    </row>
    <row r="211">
      <c r="A211" s="146" t="n">
        <v>46288.51495370371</v>
      </c>
      <c r="B211" s="147" t="n">
        <v>46288</v>
      </c>
      <c r="C211" s="67" t="inlineStr">
        <is>
          <t>국민은행</t>
        </is>
      </c>
      <c r="D211" s="67" t="inlineStr">
        <is>
          <t>국민 154577</t>
        </is>
      </c>
      <c r="E211" s="148" t="n">
        <v>5000000</v>
      </c>
      <c r="F211" s="148" t="n">
        <v>0</v>
      </c>
      <c r="G211" s="148" t="n">
        <v>37038349</v>
      </c>
      <c r="H211" s="75" t="inlineStr">
        <is>
          <t>스마트출금</t>
        </is>
      </c>
      <c r="I211" s="75" t="inlineStr">
        <is>
          <t>주식회사에이팜건강</t>
        </is>
      </c>
      <c r="J211" s="75" t="inlineStr">
        <is>
          <t>진천역</t>
        </is>
      </c>
      <c r="K211" s="67" t="inlineStr">
        <is>
          <t>계좌간이체</t>
        </is>
      </c>
      <c r="L211" s="67" t="inlineStr">
        <is>
          <t>Y</t>
        </is>
      </c>
      <c r="M211" s="67" t="inlineStr">
        <is>
          <t>N</t>
        </is>
      </c>
      <c r="N211" s="148" t="n">
        <v>0</v>
      </c>
      <c r="O211" s="67" t="inlineStr">
        <is>
          <t>우리은행 거래내역조회 20260913.xlsx</t>
        </is>
      </c>
      <c r="P211" s="69" t="inlineStr">
        <is>
          <t>기존내역</t>
        </is>
      </c>
    </row>
    <row r="212">
      <c r="A212" s="146" t="n">
        <v>46288.54792824074</v>
      </c>
      <c r="B212" s="147" t="n">
        <v>46288</v>
      </c>
      <c r="C212" s="67" t="inlineStr">
        <is>
          <t>우리은행</t>
        </is>
      </c>
      <c r="D212" s="67" t="inlineStr">
        <is>
          <t>우리 220351</t>
        </is>
      </c>
      <c r="E212" s="148" t="n">
        <v>0</v>
      </c>
      <c r="F212" s="148" t="n">
        <v>2000000</v>
      </c>
      <c r="G212" s="148" t="n">
        <v>7000000</v>
      </c>
      <c r="H212" s="75" t="inlineStr">
        <is>
          <t>모바일</t>
        </is>
      </c>
      <c r="I212" s="75" t="inlineStr">
        <is>
          <t>(주)에이팜건강</t>
        </is>
      </c>
      <c r="J212" s="75" t="inlineStr">
        <is>
          <t>0195960</t>
        </is>
      </c>
      <c r="K212" s="67" t="inlineStr">
        <is>
          <t>계좌간이체</t>
        </is>
      </c>
      <c r="L212" s="67" t="inlineStr">
        <is>
          <t>Y</t>
        </is>
      </c>
      <c r="M212" s="67" t="inlineStr">
        <is>
          <t>N</t>
        </is>
      </c>
      <c r="N212" s="148" t="n">
        <v>0</v>
      </c>
      <c r="O212" s="67" t="inlineStr">
        <is>
          <t>우리은행 거래내역조회 20260913.xlsx</t>
        </is>
      </c>
      <c r="P212" s="69" t="inlineStr">
        <is>
          <t>기존내역</t>
        </is>
      </c>
    </row>
    <row r="213">
      <c r="A213" s="146" t="n">
        <v>46288.54792824074</v>
      </c>
      <c r="B213" s="147" t="n">
        <v>46288</v>
      </c>
      <c r="C213" s="67" t="inlineStr">
        <is>
          <t>국민은행</t>
        </is>
      </c>
      <c r="D213" s="67" t="inlineStr">
        <is>
          <t>국민 154577</t>
        </is>
      </c>
      <c r="E213" s="148" t="n">
        <v>2000000</v>
      </c>
      <c r="F213" s="148" t="n">
        <v>0</v>
      </c>
      <c r="G213" s="148" t="n">
        <v>35038349</v>
      </c>
      <c r="H213" s="75" t="inlineStr">
        <is>
          <t>스마트출금</t>
        </is>
      </c>
      <c r="I213" s="75" t="inlineStr">
        <is>
          <t>주식회사에이팜건강</t>
        </is>
      </c>
      <c r="J213" s="75" t="inlineStr">
        <is>
          <t>진천역</t>
        </is>
      </c>
      <c r="K213" s="67" t="inlineStr">
        <is>
          <t>계좌간이체</t>
        </is>
      </c>
      <c r="L213" s="67" t="inlineStr">
        <is>
          <t>Y</t>
        </is>
      </c>
      <c r="M213" s="67" t="inlineStr">
        <is>
          <t>N</t>
        </is>
      </c>
      <c r="N213" s="148" t="n">
        <v>0</v>
      </c>
      <c r="O213" s="67" t="inlineStr">
        <is>
          <t>우리은행 거래내역조회 20260913.xlsx</t>
        </is>
      </c>
      <c r="P213" s="69" t="inlineStr">
        <is>
          <t>기존내역</t>
        </is>
      </c>
    </row>
    <row r="214">
      <c r="A214" s="146" t="n">
        <v>46288.55136574074</v>
      </c>
      <c r="B214" s="147" t="n">
        <v>46288</v>
      </c>
      <c r="C214" s="67" t="inlineStr">
        <is>
          <t>우리은행</t>
        </is>
      </c>
      <c r="D214" s="67" t="inlineStr">
        <is>
          <t>우리 220351</t>
        </is>
      </c>
      <c r="E214" s="148" t="n">
        <v>2094800</v>
      </c>
      <c r="F214" s="148" t="n">
        <v>0</v>
      </c>
      <c r="G214" s="148" t="n">
        <v>4905200</v>
      </c>
      <c r="H214" s="75" t="inlineStr">
        <is>
          <t>인터넷</t>
        </is>
      </c>
      <c r="I214" s="75" t="inlineStr">
        <is>
          <t>국민트라이앵글 리뷰</t>
        </is>
      </c>
      <c r="J214" s="75" t="inlineStr">
        <is>
          <t>성서공단금융센터</t>
        </is>
      </c>
      <c r="K214" s="67" t="inlineStr">
        <is>
          <t>기타지출</t>
        </is>
      </c>
      <c r="L214" s="67" t="inlineStr">
        <is>
          <t>N</t>
        </is>
      </c>
      <c r="M214" s="67" t="inlineStr">
        <is>
          <t>N</t>
        </is>
      </c>
      <c r="N214" s="148" t="n">
        <v>-2094800</v>
      </c>
      <c r="O214" s="67" t="inlineStr">
        <is>
          <t>우리은행 거래내역조회 20260913.xlsx</t>
        </is>
      </c>
      <c r="P214" s="69" t="inlineStr">
        <is>
          <t>기존내역</t>
        </is>
      </c>
    </row>
    <row r="215">
      <c r="A215" s="146" t="n">
        <v>46288.61418981481</v>
      </c>
      <c r="B215" s="147" t="n">
        <v>46288</v>
      </c>
      <c r="C215" s="67" t="inlineStr">
        <is>
          <t>국민은행</t>
        </is>
      </c>
      <c r="D215" s="67" t="inlineStr">
        <is>
          <t>국민 154577</t>
        </is>
      </c>
      <c r="E215" s="148" t="n">
        <v>0</v>
      </c>
      <c r="F215" s="148" t="n">
        <v>218117</v>
      </c>
      <c r="G215" s="148" t="n">
        <v>35256466</v>
      </c>
      <c r="H215" s="75" t="inlineStr">
        <is>
          <t>인터넷입금이체</t>
        </is>
      </c>
      <c r="I215" s="75" t="inlineStr">
        <is>
          <t>(주)씨제이이엔엠</t>
        </is>
      </c>
      <c r="J215" s="75" t="inlineStr">
        <is>
          <t>대1-5</t>
        </is>
      </c>
      <c r="K215" s="67" t="inlineStr">
        <is>
          <t>온라인매출입금</t>
        </is>
      </c>
      <c r="L215" s="67" t="inlineStr">
        <is>
          <t>N</t>
        </is>
      </c>
      <c r="M215" s="67" t="inlineStr">
        <is>
          <t>N</t>
        </is>
      </c>
      <c r="N215" s="148" t="n">
        <v>218117</v>
      </c>
      <c r="O215" s="67" t="inlineStr">
        <is>
          <t>우리은행 거래내역조회 20260913.xlsx</t>
        </is>
      </c>
      <c r="P215" s="69" t="inlineStr">
        <is>
          <t>기존내역</t>
        </is>
      </c>
    </row>
    <row r="216">
      <c r="A216" s="146" t="n">
        <v>46288.69210648148</v>
      </c>
      <c r="B216" s="147" t="n">
        <v>46288</v>
      </c>
      <c r="C216" s="67" t="inlineStr">
        <is>
          <t>우리은행</t>
        </is>
      </c>
      <c r="D216" s="67" t="inlineStr">
        <is>
          <t>우리 220351</t>
        </is>
      </c>
      <c r="E216" s="148" t="n">
        <v>4905200</v>
      </c>
      <c r="F216" s="148" t="n">
        <v>0</v>
      </c>
      <c r="G216" s="148" t="n">
        <v>0</v>
      </c>
      <c r="H216" s="75" t="inlineStr">
        <is>
          <t>우리카드</t>
        </is>
      </c>
      <c r="I216" s="75" t="inlineStr">
        <is>
          <t>우리카드결제대금</t>
        </is>
      </c>
      <c r="J216" s="75" t="inlineStr">
        <is>
          <t>리테일영업총괄부(카드)</t>
        </is>
      </c>
      <c r="K216" s="67" t="inlineStr">
        <is>
          <t>우리카드 결제</t>
        </is>
      </c>
      <c r="L216" s="67" t="inlineStr">
        <is>
          <t>N</t>
        </is>
      </c>
      <c r="M216" s="67" t="inlineStr">
        <is>
          <t>Y</t>
        </is>
      </c>
      <c r="N216" s="148" t="n">
        <v>-4905200</v>
      </c>
      <c r="O216" s="67" t="inlineStr">
        <is>
          <t>국민은행_계좌 조회 6개월(20260913).xls</t>
        </is>
      </c>
      <c r="P216" s="69" t="inlineStr">
        <is>
          <t>기존내역</t>
        </is>
      </c>
    </row>
    <row r="217">
      <c r="A217" s="146" t="n">
        <v>46288.71649305556</v>
      </c>
      <c r="B217" s="147" t="n">
        <v>46288</v>
      </c>
      <c r="C217" s="67" t="inlineStr">
        <is>
          <t>농협</t>
        </is>
      </c>
      <c r="D217" s="67" t="inlineStr">
        <is>
          <t>농협 569003</t>
        </is>
      </c>
      <c r="E217" s="148" t="n">
        <v>2311495</v>
      </c>
      <c r="F217" s="148" t="n">
        <v>0</v>
      </c>
      <c r="G217" s="148" t="n">
        <v>0</v>
      </c>
      <c r="H217" s="75" t="inlineStr">
        <is>
          <t>NH카드대금</t>
        </is>
      </c>
      <c r="I217" s="75" t="inlineStr">
        <is>
          <t>NH기업카드</t>
        </is>
      </c>
      <c r="J217" s="75" t="inlineStr">
        <is>
          <t>농협 000998</t>
        </is>
      </c>
      <c r="K217" s="67" t="inlineStr">
        <is>
          <t>기타지출</t>
        </is>
      </c>
      <c r="L217" s="67" t="inlineStr">
        <is>
          <t>N</t>
        </is>
      </c>
      <c r="M217" s="67" t="inlineStr">
        <is>
          <t>Y</t>
        </is>
      </c>
      <c r="N217" s="148" t="n">
        <v>-2311495</v>
      </c>
      <c r="O217" s="67" t="inlineStr">
        <is>
          <t>농협계좌_6개월(20260913).xls</t>
        </is>
      </c>
      <c r="P217" s="69" t="inlineStr">
        <is>
          <t>기존내역</t>
        </is>
      </c>
    </row>
    <row r="218">
      <c r="A218" s="247" t="n">
        <v>46289.3608912037</v>
      </c>
      <c r="B218" s="248" t="n">
        <v>46289</v>
      </c>
      <c r="C218" s="67" t="inlineStr">
        <is>
          <t>농협</t>
        </is>
      </c>
      <c r="D218" s="67" t="inlineStr">
        <is>
          <t>농협 569003</t>
        </is>
      </c>
      <c r="E218" s="148" t="n">
        <v>0</v>
      </c>
      <c r="F218" s="148" t="n">
        <v>15</v>
      </c>
      <c r="G218" s="148" t="n">
        <v>15</v>
      </c>
      <c r="H218" s="75" t="inlineStr">
        <is>
          <t>예금이자</t>
        </is>
      </c>
      <c r="I218" s="75" t="inlineStr"/>
      <c r="J218" s="75" t="inlineStr">
        <is>
          <t>농협 150073</t>
        </is>
      </c>
      <c r="K218" s="67" t="inlineStr">
        <is>
          <t>기타입금</t>
        </is>
      </c>
      <c r="L218" s="67" t="inlineStr">
        <is>
          <t>N</t>
        </is>
      </c>
      <c r="M218" s="67" t="inlineStr">
        <is>
          <t>N</t>
        </is>
      </c>
      <c r="N218" s="148" t="n">
        <v>15</v>
      </c>
      <c r="O218" s="67" t="inlineStr">
        <is>
          <t>농협계좌_6개월(20260913).xls</t>
        </is>
      </c>
      <c r="P218" s="69" t="inlineStr">
        <is>
          <t>기존내역</t>
        </is>
      </c>
    </row>
    <row r="219">
      <c r="A219" s="247" t="n">
        <v>46289.96121527778</v>
      </c>
      <c r="B219" s="248" t="n">
        <v>46289</v>
      </c>
      <c r="C219" s="67" t="inlineStr">
        <is>
          <t>국민은행</t>
        </is>
      </c>
      <c r="D219" s="67" t="inlineStr">
        <is>
          <t>국민 154577</t>
        </is>
      </c>
      <c r="E219" s="148" t="n">
        <v>0</v>
      </c>
      <c r="F219" s="148" t="n">
        <v>78200</v>
      </c>
      <c r="G219" s="148" t="n">
        <v>35334666</v>
      </c>
      <c r="H219" s="75" t="inlineStr">
        <is>
          <t>전자금융</t>
        </is>
      </c>
      <c r="I219" s="75" t="inlineStr">
        <is>
          <t>이해민</t>
        </is>
      </c>
      <c r="J219" s="75" t="inlineStr">
        <is>
          <t>케이뱅크</t>
        </is>
      </c>
      <c r="K219" s="67" t="inlineStr">
        <is>
          <t>기타입금</t>
        </is>
      </c>
      <c r="L219" s="67" t="inlineStr">
        <is>
          <t>N</t>
        </is>
      </c>
      <c r="M219" s="67" t="inlineStr">
        <is>
          <t>N</t>
        </is>
      </c>
      <c r="N219" s="148" t="n">
        <v>78200</v>
      </c>
      <c r="O219" s="67" t="inlineStr">
        <is>
          <t>국민은행_계좌 조회 6개월(20260913).xls</t>
        </is>
      </c>
      <c r="P219" s="69" t="inlineStr">
        <is>
          <t>기존내역</t>
        </is>
      </c>
    </row>
    <row r="220">
      <c r="A220" s="146" t="n">
        <v>46293.12998842593</v>
      </c>
      <c r="B220" s="147" t="n">
        <v>46293</v>
      </c>
      <c r="C220" s="67" t="inlineStr">
        <is>
          <t>우리은행</t>
        </is>
      </c>
      <c r="D220" s="67" t="inlineStr">
        <is>
          <t>우리 220351</t>
        </is>
      </c>
      <c r="E220" s="148" t="n">
        <v>0</v>
      </c>
      <c r="F220" s="148" t="n">
        <v>2493338</v>
      </c>
      <c r="G220" s="148" t="n">
        <v>2493338</v>
      </c>
      <c r="H220" s="75" t="inlineStr">
        <is>
          <t>펌뱅킹</t>
        </is>
      </c>
      <c r="I220" s="75" t="inlineStr">
        <is>
          <t>스마트스토어정산</t>
        </is>
      </c>
      <c r="J220" s="75" t="inlineStr">
        <is>
          <t>두산타워기업영업지원팀</t>
        </is>
      </c>
      <c r="K220" s="67" t="inlineStr">
        <is>
          <t>온라인매출입금</t>
        </is>
      </c>
      <c r="L220" s="67" t="inlineStr">
        <is>
          <t>N</t>
        </is>
      </c>
      <c r="M220" s="67" t="inlineStr">
        <is>
          <t>N</t>
        </is>
      </c>
      <c r="N220" s="148" t="n">
        <v>2493338</v>
      </c>
      <c r="O220" s="67" t="inlineStr">
        <is>
          <t>우리은행 거래내역조회 20260913.xlsx</t>
        </is>
      </c>
      <c r="P220" s="69" t="inlineStr">
        <is>
          <t>기존내역</t>
        </is>
      </c>
    </row>
    <row r="221">
      <c r="A221" s="146" t="n">
        <v>46293.20311342592</v>
      </c>
      <c r="B221" s="147" t="n">
        <v>46293</v>
      </c>
      <c r="C221" s="67" t="inlineStr">
        <is>
          <t>국민은행</t>
        </is>
      </c>
      <c r="D221" s="67" t="inlineStr">
        <is>
          <t>국민 154577</t>
        </is>
      </c>
      <c r="E221" s="148" t="n">
        <v>0</v>
      </c>
      <c r="F221" s="148" t="n">
        <v>108774</v>
      </c>
      <c r="G221" s="148" t="n">
        <v>35443440</v>
      </c>
      <c r="H221" s="75" t="inlineStr">
        <is>
          <t>전자금융</t>
        </is>
      </c>
      <c r="I221" s="75" t="inlineStr">
        <is>
          <t>Npay정산</t>
        </is>
      </c>
      <c r="J221" s="75" t="inlineStr">
        <is>
          <t>SC은행</t>
        </is>
      </c>
      <c r="K221" s="67" t="inlineStr">
        <is>
          <t>온라인매출입금</t>
        </is>
      </c>
      <c r="L221" s="67" t="inlineStr">
        <is>
          <t>N</t>
        </is>
      </c>
      <c r="M221" s="67" t="inlineStr">
        <is>
          <t>N</t>
        </is>
      </c>
      <c r="N221" s="148" t="n">
        <v>108774</v>
      </c>
      <c r="O221" s="67" t="inlineStr">
        <is>
          <t>우리은행 거래내역조회 20260913.xlsx</t>
        </is>
      </c>
      <c r="P221" s="69" t="inlineStr">
        <is>
          <t>기존내역</t>
        </is>
      </c>
    </row>
    <row r="222">
      <c r="A222" s="146" t="n">
        <v>46293.29472222222</v>
      </c>
      <c r="B222" s="147" t="n">
        <v>46293</v>
      </c>
      <c r="C222" s="67" t="inlineStr">
        <is>
          <t>농협</t>
        </is>
      </c>
      <c r="D222" s="67" t="inlineStr">
        <is>
          <t>농협 569003</t>
        </is>
      </c>
      <c r="E222" s="148" t="n">
        <v>15</v>
      </c>
      <c r="F222" s="148" t="n">
        <v>0</v>
      </c>
      <c r="G222" s="148" t="n">
        <v>0</v>
      </c>
      <c r="H222" s="75" t="inlineStr">
        <is>
          <t>NH카드대금</t>
        </is>
      </c>
      <c r="I222" s="75" t="inlineStr">
        <is>
          <t>NH기업카드</t>
        </is>
      </c>
      <c r="J222" s="75" t="inlineStr">
        <is>
          <t>농협 150073</t>
        </is>
      </c>
      <c r="K222" s="67" t="inlineStr">
        <is>
          <t>기타지출</t>
        </is>
      </c>
      <c r="L222" s="67" t="inlineStr">
        <is>
          <t>N</t>
        </is>
      </c>
      <c r="M222" s="67" t="inlineStr">
        <is>
          <t>N</t>
        </is>
      </c>
      <c r="N222" s="148" t="n">
        <v>-15</v>
      </c>
      <c r="O222" s="67" t="inlineStr">
        <is>
          <t>우리은행 거래내역조회 20260913.xlsx</t>
        </is>
      </c>
      <c r="P222" s="69" t="inlineStr">
        <is>
          <t>기존내역</t>
        </is>
      </c>
    </row>
    <row r="223">
      <c r="A223" s="146" t="n">
        <v>46293.4440625</v>
      </c>
      <c r="B223" s="147" t="n">
        <v>46293</v>
      </c>
      <c r="C223" s="67" t="inlineStr">
        <is>
          <t>국민은행</t>
        </is>
      </c>
      <c r="D223" s="67" t="inlineStr">
        <is>
          <t>국민 169124</t>
        </is>
      </c>
      <c r="E223" s="148" t="n">
        <v>0</v>
      </c>
      <c r="F223" s="148" t="n">
        <v>2497000</v>
      </c>
      <c r="G223" s="148" t="n">
        <v>103184200</v>
      </c>
      <c r="H223" s="75" t="inlineStr">
        <is>
          <t>기일입금</t>
        </is>
      </c>
      <c r="I223" s="75" t="inlineStr">
        <is>
          <t>(주)에이팜건강</t>
        </is>
      </c>
      <c r="J223" s="75" t="inlineStr">
        <is>
          <t>진천역</t>
        </is>
      </c>
      <c r="K223" s="67" t="inlineStr">
        <is>
          <t>계좌간이체</t>
        </is>
      </c>
      <c r="L223" s="67" t="inlineStr">
        <is>
          <t>Y</t>
        </is>
      </c>
      <c r="M223" s="67" t="inlineStr">
        <is>
          <t>N</t>
        </is>
      </c>
      <c r="N223" s="148" t="n">
        <v>0</v>
      </c>
      <c r="O223" s="67" t="inlineStr">
        <is>
          <t>국민은행_계좌 조회 6개월(20260913).xls</t>
        </is>
      </c>
      <c r="P223" s="69" t="inlineStr">
        <is>
          <t>기존내역</t>
        </is>
      </c>
    </row>
    <row r="224">
      <c r="A224" s="146" t="n">
        <v>46293.4440625</v>
      </c>
      <c r="B224" s="147" t="n">
        <v>46293</v>
      </c>
      <c r="C224" s="67" t="inlineStr">
        <is>
          <t>국민은행</t>
        </is>
      </c>
      <c r="D224" s="67" t="inlineStr">
        <is>
          <t>국민 154577</t>
        </is>
      </c>
      <c r="E224" s="148" t="n">
        <v>2497000</v>
      </c>
      <c r="F224" s="148" t="n">
        <v>0</v>
      </c>
      <c r="G224" s="148" t="n">
        <v>32946440</v>
      </c>
      <c r="H224" s="75" t="inlineStr">
        <is>
          <t>기일출금</t>
        </is>
      </c>
      <c r="I224" s="75" t="inlineStr">
        <is>
          <t>(주)에이팜건강</t>
        </is>
      </c>
      <c r="J224" s="75" t="inlineStr">
        <is>
          <t>진천역</t>
        </is>
      </c>
      <c r="K224" s="67" t="inlineStr">
        <is>
          <t>계좌간이체</t>
        </is>
      </c>
      <c r="L224" s="67" t="inlineStr">
        <is>
          <t>Y</t>
        </is>
      </c>
      <c r="M224" s="67" t="inlineStr">
        <is>
          <t>N</t>
        </is>
      </c>
      <c r="N224" s="148" t="n">
        <v>0</v>
      </c>
      <c r="O224" s="67" t="inlineStr">
        <is>
          <t>국민은행_계좌 조회 6개월(20260913).xls</t>
        </is>
      </c>
      <c r="P224" s="69" t="inlineStr">
        <is>
          <t>기존내역</t>
        </is>
      </c>
    </row>
    <row r="225">
      <c r="A225" s="146" t="n">
        <v>46293.44828703703</v>
      </c>
      <c r="B225" s="147" t="n">
        <v>46293</v>
      </c>
      <c r="C225" s="67" t="inlineStr">
        <is>
          <t>국민은행</t>
        </is>
      </c>
      <c r="D225" s="67" t="inlineStr">
        <is>
          <t>국민 154577</t>
        </is>
      </c>
      <c r="E225" s="148" t="n">
        <v>0</v>
      </c>
      <c r="F225" s="148" t="n">
        <v>1139217</v>
      </c>
      <c r="G225" s="148" t="n">
        <v>34085657</v>
      </c>
      <c r="H225" s="75" t="inlineStr">
        <is>
          <t>전자금융</t>
        </is>
      </c>
      <c r="I225" s="75" t="inlineStr">
        <is>
          <t>KG이니시스</t>
        </is>
      </c>
      <c r="J225" s="75" t="inlineStr">
        <is>
          <t>하나은행</t>
        </is>
      </c>
      <c r="K225" s="67" t="inlineStr">
        <is>
          <t>온라인매출입금</t>
        </is>
      </c>
      <c r="L225" s="67" t="inlineStr">
        <is>
          <t>N</t>
        </is>
      </c>
      <c r="M225" s="67" t="inlineStr">
        <is>
          <t>N</t>
        </is>
      </c>
      <c r="N225" s="148" t="n">
        <v>1139217</v>
      </c>
      <c r="O225" s="67" t="inlineStr">
        <is>
          <t>국민은행_계좌 조회 6개월(20260913).xls</t>
        </is>
      </c>
      <c r="P225" s="69" t="inlineStr">
        <is>
          <t>기존내역</t>
        </is>
      </c>
    </row>
    <row r="226">
      <c r="A226" s="146" t="n">
        <v>46293.44983796297</v>
      </c>
      <c r="B226" s="147" t="n">
        <v>46293</v>
      </c>
      <c r="C226" s="67" t="inlineStr">
        <is>
          <t>국민은행</t>
        </is>
      </c>
      <c r="D226" s="67" t="inlineStr">
        <is>
          <t>국민 154577</t>
        </is>
      </c>
      <c r="E226" s="148" t="n">
        <v>0</v>
      </c>
      <c r="F226" s="148" t="n">
        <v>58308</v>
      </c>
      <c r="G226" s="148" t="n">
        <v>34143965</v>
      </c>
      <c r="H226" s="75" t="inlineStr">
        <is>
          <t>전자금융</t>
        </is>
      </c>
      <c r="I226" s="75" t="inlineStr">
        <is>
          <t>주식회사지마켓</t>
        </is>
      </c>
      <c r="J226" s="75" t="inlineStr">
        <is>
          <t>신한은행</t>
        </is>
      </c>
      <c r="K226" s="67" t="inlineStr">
        <is>
          <t>온라인매출입금</t>
        </is>
      </c>
      <c r="L226" s="67" t="inlineStr">
        <is>
          <t>N</t>
        </is>
      </c>
      <c r="M226" s="67" t="inlineStr">
        <is>
          <t>N</t>
        </is>
      </c>
      <c r="N226" s="148" t="n">
        <v>58308</v>
      </c>
      <c r="O226" s="67" t="inlineStr">
        <is>
          <t>국민은행_계좌 조회 6개월(20260913).xls</t>
        </is>
      </c>
      <c r="P226" s="69" t="inlineStr">
        <is>
          <t>기존내역</t>
        </is>
      </c>
    </row>
    <row r="227">
      <c r="A227" s="146" t="n">
        <v>46293.47164351852</v>
      </c>
      <c r="B227" s="147" t="n">
        <v>46293</v>
      </c>
      <c r="C227" s="67" t="inlineStr">
        <is>
          <t>국민은행</t>
        </is>
      </c>
      <c r="D227" s="67" t="inlineStr">
        <is>
          <t>국민 154577</t>
        </is>
      </c>
      <c r="E227" s="148" t="n">
        <v>0</v>
      </c>
      <c r="F227" s="148" t="n">
        <v>302844</v>
      </c>
      <c r="G227" s="148" t="n">
        <v>34446809</v>
      </c>
      <c r="H227" s="75" t="inlineStr">
        <is>
          <t>전자금융</t>
        </is>
      </c>
      <c r="I227" s="75" t="inlineStr">
        <is>
          <t>KG이니시스</t>
        </is>
      </c>
      <c r="J227" s="75" t="inlineStr">
        <is>
          <t>하나은행</t>
        </is>
      </c>
      <c r="K227" s="67" t="inlineStr">
        <is>
          <t>온라인매출입금</t>
        </is>
      </c>
      <c r="L227" s="67" t="inlineStr">
        <is>
          <t>N</t>
        </is>
      </c>
      <c r="M227" s="67" t="inlineStr">
        <is>
          <t>N</t>
        </is>
      </c>
      <c r="N227" s="148" t="n">
        <v>302844</v>
      </c>
      <c r="O227" s="67" t="inlineStr">
        <is>
          <t>우리은행 거래내역조회 20260913.xlsx</t>
        </is>
      </c>
      <c r="P227" s="69" t="inlineStr">
        <is>
          <t>기존내역</t>
        </is>
      </c>
    </row>
    <row r="228">
      <c r="A228" s="146" t="n">
        <v>46293.49666666667</v>
      </c>
      <c r="B228" s="147" t="n">
        <v>46293</v>
      </c>
      <c r="C228" s="67" t="inlineStr">
        <is>
          <t>농협</t>
        </is>
      </c>
      <c r="D228" s="67" t="inlineStr">
        <is>
          <t>농협 569003</t>
        </is>
      </c>
      <c r="E228" s="148" t="n">
        <v>0</v>
      </c>
      <c r="F228" s="148" t="n">
        <v>35000</v>
      </c>
      <c r="G228" s="148" t="n">
        <v>35000</v>
      </c>
      <c r="H228" s="75" t="inlineStr">
        <is>
          <t>폰국민은행</t>
        </is>
      </c>
      <c r="I228" s="75" t="inlineStr">
        <is>
          <t>허수원</t>
        </is>
      </c>
      <c r="J228" s="75" t="inlineStr">
        <is>
          <t>국민 0068398</t>
        </is>
      </c>
      <c r="K228" s="67" t="inlineStr">
        <is>
          <t>기타입금</t>
        </is>
      </c>
      <c r="L228" s="67" t="inlineStr">
        <is>
          <t>N</t>
        </is>
      </c>
      <c r="M228" s="67" t="inlineStr">
        <is>
          <t>N</t>
        </is>
      </c>
      <c r="N228" s="148" t="n">
        <v>35000</v>
      </c>
      <c r="O228" s="67" t="inlineStr">
        <is>
          <t>국민은행_계좌 조회 6개월(20260913).xls</t>
        </is>
      </c>
      <c r="P228" s="69" t="inlineStr">
        <is>
          <t>기존내역</t>
        </is>
      </c>
    </row>
    <row r="229">
      <c r="A229" s="146" t="n">
        <v>46293.49667824074</v>
      </c>
      <c r="B229" s="147" t="n">
        <v>46293</v>
      </c>
      <c r="C229" s="67" t="inlineStr">
        <is>
          <t>농협</t>
        </is>
      </c>
      <c r="D229" s="67" t="inlineStr">
        <is>
          <t>농협 569003</t>
        </is>
      </c>
      <c r="E229" s="148" t="n">
        <v>35000</v>
      </c>
      <c r="F229" s="148" t="n">
        <v>0</v>
      </c>
      <c r="G229" s="148" t="n">
        <v>0</v>
      </c>
      <c r="H229" s="75" t="inlineStr">
        <is>
          <t>NH카드대금</t>
        </is>
      </c>
      <c r="I229" s="75" t="inlineStr">
        <is>
          <t>NH기업카드</t>
        </is>
      </c>
      <c r="J229" s="75" t="inlineStr">
        <is>
          <t>농협 150073</t>
        </is>
      </c>
      <c r="K229" s="67" t="inlineStr">
        <is>
          <t>기타지출</t>
        </is>
      </c>
      <c r="L229" s="67" t="inlineStr">
        <is>
          <t>N</t>
        </is>
      </c>
      <c r="M229" s="67" t="inlineStr">
        <is>
          <t>N</t>
        </is>
      </c>
      <c r="N229" s="148" t="n">
        <v>-35000</v>
      </c>
      <c r="O229" s="67" t="inlineStr">
        <is>
          <t>국민은행_계좌 조회 6개월(20260913).xls</t>
        </is>
      </c>
      <c r="P229" s="69" t="inlineStr">
        <is>
          <t>기존내역</t>
        </is>
      </c>
    </row>
    <row r="230">
      <c r="A230" s="146" t="n">
        <v>46293.55993055556</v>
      </c>
      <c r="B230" s="147" t="n">
        <v>46293</v>
      </c>
      <c r="C230" s="67" t="inlineStr">
        <is>
          <t>국민은행</t>
        </is>
      </c>
      <c r="D230" s="67" t="inlineStr">
        <is>
          <t>국민 154577</t>
        </is>
      </c>
      <c r="E230" s="148" t="n">
        <v>0</v>
      </c>
      <c r="F230" s="148" t="n">
        <v>6000</v>
      </c>
      <c r="G230" s="148" t="n">
        <v>34452809</v>
      </c>
      <c r="H230" s="75" t="inlineStr">
        <is>
          <t>전자금융</t>
        </is>
      </c>
      <c r="I230" s="75" t="inlineStr">
        <is>
          <t>정소영</t>
        </is>
      </c>
      <c r="J230" s="75" t="inlineStr">
        <is>
          <t>농협</t>
        </is>
      </c>
      <c r="K230" s="67" t="inlineStr">
        <is>
          <t>기타입금</t>
        </is>
      </c>
      <c r="L230" s="67" t="inlineStr">
        <is>
          <t>N</t>
        </is>
      </c>
      <c r="M230" s="67" t="inlineStr">
        <is>
          <t>N</t>
        </is>
      </c>
      <c r="N230" s="148" t="n">
        <v>6000</v>
      </c>
      <c r="O230" s="67" t="inlineStr">
        <is>
          <t>국민은행_계좌 조회 6개월(20260913).xls</t>
        </is>
      </c>
      <c r="P230" s="69" t="inlineStr">
        <is>
          <t>기존내역</t>
        </is>
      </c>
    </row>
    <row r="231">
      <c r="A231" s="146" t="n">
        <v>46293.69542824074</v>
      </c>
      <c r="B231" s="147" t="n">
        <v>46293</v>
      </c>
      <c r="C231" s="67" t="inlineStr">
        <is>
          <t>우리은행</t>
        </is>
      </c>
      <c r="D231" s="67" t="inlineStr">
        <is>
          <t>우리 220351</t>
        </is>
      </c>
      <c r="E231" s="148" t="n">
        <v>2493338</v>
      </c>
      <c r="F231" s="148" t="n">
        <v>0</v>
      </c>
      <c r="G231" s="148" t="n">
        <v>0</v>
      </c>
      <c r="H231" s="75" t="inlineStr">
        <is>
          <t>우리카드</t>
        </is>
      </c>
      <c r="I231" s="75" t="inlineStr">
        <is>
          <t>우리카드결제대금</t>
        </is>
      </c>
      <c r="J231" s="75" t="inlineStr">
        <is>
          <t>리테일영업총괄부(카드)</t>
        </is>
      </c>
      <c r="K231" s="67" t="inlineStr">
        <is>
          <t>우리카드 결제</t>
        </is>
      </c>
      <c r="L231" s="67" t="inlineStr">
        <is>
          <t>N</t>
        </is>
      </c>
      <c r="M231" s="67" t="inlineStr">
        <is>
          <t>N</t>
        </is>
      </c>
      <c r="N231" s="148" t="n">
        <v>-2493338</v>
      </c>
      <c r="O231" s="67" t="inlineStr">
        <is>
          <t>국민은행_계좌 조회 6개월(20260913).xls</t>
        </is>
      </c>
      <c r="P231" s="69" t="inlineStr">
        <is>
          <t>기존내역</t>
        </is>
      </c>
    </row>
    <row r="232">
      <c r="A232" s="146" t="n">
        <v>46293.83987268519</v>
      </c>
      <c r="B232" s="147" t="n">
        <v>46293</v>
      </c>
      <c r="C232" s="67" t="inlineStr">
        <is>
          <t>국민은행</t>
        </is>
      </c>
      <c r="D232" s="67" t="inlineStr">
        <is>
          <t>국민 169124</t>
        </is>
      </c>
      <c r="E232" s="148" t="n">
        <v>2497000</v>
      </c>
      <c r="F232" s="148" t="n">
        <v>0</v>
      </c>
      <c r="G232" s="148" t="n">
        <v>100687200</v>
      </c>
      <c r="H232" s="75" t="inlineStr">
        <is>
          <t>CMS 공동</t>
        </is>
      </c>
      <c r="I232" s="75" t="inlineStr">
        <is>
          <t>METLIFE09042</t>
        </is>
      </c>
      <c r="J232" s="75" t="inlineStr">
        <is>
          <t>ERP사</t>
        </is>
      </c>
      <c r="K232" s="67" t="inlineStr">
        <is>
          <t>기타지출</t>
        </is>
      </c>
      <c r="L232" s="67" t="inlineStr">
        <is>
          <t>N</t>
        </is>
      </c>
      <c r="M232" s="67" t="inlineStr">
        <is>
          <t>N</t>
        </is>
      </c>
      <c r="N232" s="148" t="n">
        <v>-2497000</v>
      </c>
      <c r="O232" s="67" t="inlineStr">
        <is>
          <t>국민은행_계좌 조회 6개월(20260913).xls</t>
        </is>
      </c>
      <c r="P232" s="69" t="inlineStr">
        <is>
          <t>기존내역</t>
        </is>
      </c>
    </row>
    <row r="233">
      <c r="A233" s="146" t="n">
        <v>46294.08918981482</v>
      </c>
      <c r="B233" s="147" t="n">
        <v>46294</v>
      </c>
      <c r="C233" s="67" t="inlineStr">
        <is>
          <t>우리은행</t>
        </is>
      </c>
      <c r="D233" s="67" t="inlineStr">
        <is>
          <t>우리 220351</t>
        </is>
      </c>
      <c r="E233" s="148" t="n">
        <v>0</v>
      </c>
      <c r="F233" s="148" t="n">
        <v>22735428</v>
      </c>
      <c r="G233" s="148" t="n">
        <v>22735428</v>
      </c>
      <c r="H233" s="75" t="inlineStr">
        <is>
          <t>펌뱅킹</t>
        </is>
      </c>
      <c r="I233" s="75" t="inlineStr">
        <is>
          <t>스마트스토어정산</t>
        </is>
      </c>
      <c r="J233" s="75" t="inlineStr">
        <is>
          <t>두산타워기업영업지원팀</t>
        </is>
      </c>
      <c r="K233" s="67" t="inlineStr">
        <is>
          <t>온라인매출입금</t>
        </is>
      </c>
      <c r="L233" s="67" t="inlineStr">
        <is>
          <t>N</t>
        </is>
      </c>
      <c r="M233" s="67" t="inlineStr">
        <is>
          <t>N</t>
        </is>
      </c>
      <c r="N233" s="148" t="n">
        <v>22735428</v>
      </c>
      <c r="O233" s="67" t="inlineStr">
        <is>
          <t>농협계좌_6개월(20260913).xls</t>
        </is>
      </c>
      <c r="P233" s="69" t="inlineStr">
        <is>
          <t>기존내역</t>
        </is>
      </c>
    </row>
    <row r="234">
      <c r="A234" s="146" t="n">
        <v>46294.12986111111</v>
      </c>
      <c r="B234" s="147" t="n">
        <v>46294</v>
      </c>
      <c r="C234" s="67" t="inlineStr">
        <is>
          <t>우리은행</t>
        </is>
      </c>
      <c r="D234" s="67" t="inlineStr">
        <is>
          <t>우리 220351</t>
        </is>
      </c>
      <c r="E234" s="148" t="n">
        <v>3438607</v>
      </c>
      <c r="F234" s="148" t="n">
        <v>0</v>
      </c>
      <c r="G234" s="148" t="n">
        <v>19296821</v>
      </c>
      <c r="H234" s="75" t="inlineStr">
        <is>
          <t>우리카드</t>
        </is>
      </c>
      <c r="I234" s="75" t="inlineStr">
        <is>
          <t>우리카드결제대금</t>
        </is>
      </c>
      <c r="J234" s="75" t="inlineStr">
        <is>
          <t>리테일영업총괄부(카드)</t>
        </is>
      </c>
      <c r="K234" s="67" t="inlineStr">
        <is>
          <t>우리카드 결제</t>
        </is>
      </c>
      <c r="L234" s="67" t="inlineStr">
        <is>
          <t>N</t>
        </is>
      </c>
      <c r="M234" s="67" t="inlineStr">
        <is>
          <t>N</t>
        </is>
      </c>
      <c r="N234" s="148" t="n">
        <v>-3438607</v>
      </c>
      <c r="O234" s="67" t="inlineStr">
        <is>
          <t>농협계좌_6개월(20260913).xls</t>
        </is>
      </c>
      <c r="P234" s="69" t="inlineStr">
        <is>
          <t>기존내역</t>
        </is>
      </c>
    </row>
    <row r="235">
      <c r="A235" s="146" t="n">
        <v>46294.13719907407</v>
      </c>
      <c r="B235" s="147" t="n">
        <v>46294</v>
      </c>
      <c r="C235" s="67" t="inlineStr">
        <is>
          <t>국민은행</t>
        </is>
      </c>
      <c r="D235" s="67" t="inlineStr">
        <is>
          <t>국민 154577</t>
        </is>
      </c>
      <c r="E235" s="148" t="n">
        <v>0</v>
      </c>
      <c r="F235" s="148" t="n">
        <v>282141</v>
      </c>
      <c r="G235" s="148" t="n">
        <v>34734950</v>
      </c>
      <c r="H235" s="75" t="inlineStr">
        <is>
          <t>전자금융</t>
        </is>
      </c>
      <c r="I235" s="75" t="inlineStr">
        <is>
          <t>Npay정산</t>
        </is>
      </c>
      <c r="J235" s="75" t="inlineStr">
        <is>
          <t>SC은행</t>
        </is>
      </c>
      <c r="K235" s="67" t="inlineStr">
        <is>
          <t>온라인매출입금</t>
        </is>
      </c>
      <c r="L235" s="67" t="inlineStr">
        <is>
          <t>N</t>
        </is>
      </c>
      <c r="M235" s="67" t="inlineStr">
        <is>
          <t>N</t>
        </is>
      </c>
      <c r="N235" s="148" t="n">
        <v>282141</v>
      </c>
      <c r="O235" s="67" t="inlineStr">
        <is>
          <t>우리은행 거래내역조회 20260913.xlsx</t>
        </is>
      </c>
      <c r="P235" s="69" t="inlineStr">
        <is>
          <t>기존내역</t>
        </is>
      </c>
    </row>
    <row r="236">
      <c r="A236" s="146" t="n">
        <v>46294.37609953704</v>
      </c>
      <c r="B236" s="147" t="n">
        <v>46294</v>
      </c>
      <c r="C236" s="67" t="inlineStr">
        <is>
          <t>국민은행</t>
        </is>
      </c>
      <c r="D236" s="67" t="inlineStr">
        <is>
          <t>국민 154577</t>
        </is>
      </c>
      <c r="E236" s="148" t="n">
        <v>0</v>
      </c>
      <c r="F236" s="148" t="n">
        <v>497231</v>
      </c>
      <c r="G236" s="148" t="n">
        <v>35232181</v>
      </c>
      <c r="H236" s="75" t="inlineStr">
        <is>
          <t>FBS입금</t>
        </is>
      </c>
      <c r="I236" s="75" t="inlineStr">
        <is>
          <t>카카오페이정산</t>
        </is>
      </c>
      <c r="J236" s="75" t="inlineStr">
        <is>
          <t>ERP사</t>
        </is>
      </c>
      <c r="K236" s="67" t="inlineStr">
        <is>
          <t>온라인매출입금</t>
        </is>
      </c>
      <c r="L236" s="67" t="inlineStr">
        <is>
          <t>N</t>
        </is>
      </c>
      <c r="M236" s="67" t="inlineStr">
        <is>
          <t>N</t>
        </is>
      </c>
      <c r="N236" s="148" t="n">
        <v>497231</v>
      </c>
      <c r="O236" s="67" t="inlineStr">
        <is>
          <t>우리은행 거래내역조회 20260913.xlsx</t>
        </is>
      </c>
      <c r="P236" s="69" t="inlineStr">
        <is>
          <t>기존내역</t>
        </is>
      </c>
    </row>
    <row r="237">
      <c r="A237" s="146" t="n">
        <v>46294.3809375</v>
      </c>
      <c r="B237" s="147" t="n">
        <v>46294</v>
      </c>
      <c r="C237" s="67" t="inlineStr">
        <is>
          <t>농협</t>
        </is>
      </c>
      <c r="D237" s="67" t="inlineStr">
        <is>
          <t>농협 569003</t>
        </is>
      </c>
      <c r="E237" s="148" t="n">
        <v>0</v>
      </c>
      <c r="F237" s="148" t="n">
        <v>4500000</v>
      </c>
      <c r="G237" s="148" t="n">
        <v>4500000</v>
      </c>
      <c r="H237" s="75" t="inlineStr">
        <is>
          <t>E-우리은행</t>
        </is>
      </c>
      <c r="I237" s="75" t="inlineStr">
        <is>
          <t>주식회사에이팜건강</t>
        </is>
      </c>
      <c r="J237" s="75" t="inlineStr">
        <is>
          <t>우리 0842226</t>
        </is>
      </c>
      <c r="K237" s="67" t="inlineStr">
        <is>
          <t>계좌간이체</t>
        </is>
      </c>
      <c r="L237" s="67" t="inlineStr">
        <is>
          <t>Y</t>
        </is>
      </c>
      <c r="M237" s="67" t="inlineStr">
        <is>
          <t>N</t>
        </is>
      </c>
      <c r="N237" s="148" t="n">
        <v>0</v>
      </c>
      <c r="O237" s="67" t="inlineStr">
        <is>
          <t>우리은행 거래내역조회 20260913.xlsx</t>
        </is>
      </c>
      <c r="P237" s="69" t="inlineStr">
        <is>
          <t>기존내역</t>
        </is>
      </c>
    </row>
    <row r="238">
      <c r="A238" s="146" t="n">
        <v>46294.3809375</v>
      </c>
      <c r="B238" s="147" t="n">
        <v>46294</v>
      </c>
      <c r="C238" s="67" t="inlineStr">
        <is>
          <t>우리은행</t>
        </is>
      </c>
      <c r="D238" s="67" t="inlineStr">
        <is>
          <t>우리 220351</t>
        </is>
      </c>
      <c r="E238" s="148" t="n">
        <v>4500000</v>
      </c>
      <c r="F238" s="148" t="n">
        <v>0</v>
      </c>
      <c r="G238" s="148" t="n">
        <v>14796821</v>
      </c>
      <c r="H238" s="75" t="inlineStr">
        <is>
          <t>인터넷</t>
        </is>
      </c>
      <c r="I238" s="75" t="inlineStr">
        <is>
          <t>농협주식회사에이팜건</t>
        </is>
      </c>
      <c r="J238" s="75" t="inlineStr">
        <is>
          <t>성서공단금융센터</t>
        </is>
      </c>
      <c r="K238" s="67" t="inlineStr">
        <is>
          <t>계좌간이체</t>
        </is>
      </c>
      <c r="L238" s="67" t="inlineStr">
        <is>
          <t>Y</t>
        </is>
      </c>
      <c r="M238" s="67" t="inlineStr">
        <is>
          <t>N</t>
        </is>
      </c>
      <c r="N238" s="148" t="n">
        <v>0</v>
      </c>
      <c r="O238" s="67" t="inlineStr">
        <is>
          <t>우리은행 거래내역조회 20260913.xlsx</t>
        </is>
      </c>
      <c r="P238" s="69" t="inlineStr">
        <is>
          <t>기존내역</t>
        </is>
      </c>
    </row>
    <row r="239">
      <c r="A239" s="146" t="n">
        <v>46294.38096064814</v>
      </c>
      <c r="B239" s="147" t="n">
        <v>46294</v>
      </c>
      <c r="C239" s="67" t="inlineStr">
        <is>
          <t>농협</t>
        </is>
      </c>
      <c r="D239" s="67" t="inlineStr">
        <is>
          <t>농협 569003</t>
        </is>
      </c>
      <c r="E239" s="148" t="n">
        <v>4490586</v>
      </c>
      <c r="F239" s="148" t="n">
        <v>0</v>
      </c>
      <c r="G239" s="148" t="n">
        <v>9414</v>
      </c>
      <c r="H239" s="75" t="inlineStr">
        <is>
          <t>NH카드대금</t>
        </is>
      </c>
      <c r="I239" s="75" t="inlineStr">
        <is>
          <t>NH기업카드</t>
        </is>
      </c>
      <c r="J239" s="75" t="inlineStr">
        <is>
          <t>농협 150073</t>
        </is>
      </c>
      <c r="K239" s="67" t="inlineStr">
        <is>
          <t>기타지출</t>
        </is>
      </c>
      <c r="L239" s="67" t="inlineStr">
        <is>
          <t>N</t>
        </is>
      </c>
      <c r="M239" s="67" t="inlineStr">
        <is>
          <t>N</t>
        </is>
      </c>
      <c r="N239" s="148" t="n">
        <v>-4490586</v>
      </c>
      <c r="O239" s="67" t="inlineStr">
        <is>
          <t>우리은행 거래내역조회 20260913.xlsx</t>
        </is>
      </c>
      <c r="P239" s="69" t="inlineStr">
        <is>
          <t>기존내역</t>
        </is>
      </c>
    </row>
    <row r="240">
      <c r="A240" s="146" t="n">
        <v>46294.39940972222</v>
      </c>
      <c r="B240" s="147" t="n">
        <v>46294</v>
      </c>
      <c r="C240" s="67" t="inlineStr">
        <is>
          <t>농협</t>
        </is>
      </c>
      <c r="D240" s="67" t="inlineStr">
        <is>
          <t>농협 569003</t>
        </is>
      </c>
      <c r="E240" s="148" t="n">
        <v>0</v>
      </c>
      <c r="F240" s="148" t="n">
        <v>11000</v>
      </c>
      <c r="G240" s="148" t="n">
        <v>20414</v>
      </c>
      <c r="H240" s="75" t="inlineStr">
        <is>
          <t>폰토스뱅크</t>
        </is>
      </c>
      <c r="I240" s="75" t="inlineStr">
        <is>
          <t>김수희</t>
        </is>
      </c>
      <c r="J240" s="75" t="inlineStr">
        <is>
          <t>토스뱅크 0921008</t>
        </is>
      </c>
      <c r="K240" s="67" t="inlineStr">
        <is>
          <t>기타입금</t>
        </is>
      </c>
      <c r="L240" s="67" t="inlineStr">
        <is>
          <t>N</t>
        </is>
      </c>
      <c r="M240" s="67" t="inlineStr">
        <is>
          <t>N</t>
        </is>
      </c>
      <c r="N240" s="148" t="n">
        <v>11000</v>
      </c>
      <c r="O240" s="67" t="inlineStr">
        <is>
          <t>국민은행_계좌 조회 6개월(20260913).xls</t>
        </is>
      </c>
      <c r="P240" s="69" t="inlineStr">
        <is>
          <t>기존내역</t>
        </is>
      </c>
    </row>
    <row r="241">
      <c r="A241" s="146" t="n">
        <v>46294.39976851852</v>
      </c>
      <c r="B241" s="147" t="n">
        <v>46294</v>
      </c>
      <c r="C241" s="67" t="inlineStr">
        <is>
          <t>농협</t>
        </is>
      </c>
      <c r="D241" s="67" t="inlineStr">
        <is>
          <t>농협 569003</t>
        </is>
      </c>
      <c r="E241" s="148" t="n">
        <v>0</v>
      </c>
      <c r="F241" s="148" t="n">
        <v>103000</v>
      </c>
      <c r="G241" s="148" t="n">
        <v>123414</v>
      </c>
      <c r="H241" s="75" t="inlineStr">
        <is>
          <t>E-K뱅크</t>
        </is>
      </c>
      <c r="I241" s="75" t="inlineStr">
        <is>
          <t>양혜원</t>
        </is>
      </c>
      <c r="J241" s="75" t="inlineStr">
        <is>
          <t>K뱅크 0891002</t>
        </is>
      </c>
      <c r="K241" s="67" t="inlineStr">
        <is>
          <t>기타입금</t>
        </is>
      </c>
      <c r="L241" s="67" t="inlineStr">
        <is>
          <t>N</t>
        </is>
      </c>
      <c r="M241" s="67" t="inlineStr">
        <is>
          <t>N</t>
        </is>
      </c>
      <c r="N241" s="148" t="n">
        <v>103000</v>
      </c>
      <c r="O241" s="67" t="inlineStr">
        <is>
          <t>국민은행_계좌 조회 6개월(20260913).xls</t>
        </is>
      </c>
      <c r="P241" s="69" t="inlineStr">
        <is>
          <t>기존내역</t>
        </is>
      </c>
    </row>
    <row r="242">
      <c r="A242" s="146" t="n">
        <v>46294.43704861111</v>
      </c>
      <c r="B242" s="147" t="n">
        <v>46294</v>
      </c>
      <c r="C242" s="67" t="inlineStr">
        <is>
          <t>국민은행</t>
        </is>
      </c>
      <c r="D242" s="67" t="inlineStr">
        <is>
          <t>국민 154577</t>
        </is>
      </c>
      <c r="E242" s="148" t="n">
        <v>0</v>
      </c>
      <c r="F242" s="148" t="n">
        <v>768971</v>
      </c>
      <c r="G242" s="148" t="n">
        <v>36001152</v>
      </c>
      <c r="H242" s="75" t="inlineStr">
        <is>
          <t>전자금융</t>
        </is>
      </c>
      <c r="I242" s="75" t="inlineStr">
        <is>
          <t>KG이니시스</t>
        </is>
      </c>
      <c r="J242" s="75" t="inlineStr">
        <is>
          <t>하나은행</t>
        </is>
      </c>
      <c r="K242" s="67" t="inlineStr">
        <is>
          <t>온라인매출입금</t>
        </is>
      </c>
      <c r="L242" s="67" t="inlineStr">
        <is>
          <t>N</t>
        </is>
      </c>
      <c r="M242" s="67" t="inlineStr">
        <is>
          <t>N</t>
        </is>
      </c>
      <c r="N242" s="148" t="n">
        <v>768971</v>
      </c>
      <c r="O242" s="67" t="inlineStr">
        <is>
          <t>우리은행 거래내역조회 20260913.xlsx</t>
        </is>
      </c>
      <c r="P242" s="69" t="inlineStr">
        <is>
          <t>기존내역</t>
        </is>
      </c>
    </row>
    <row r="243">
      <c r="A243" s="146" t="n">
        <v>46294.45259259259</v>
      </c>
      <c r="B243" s="147" t="n">
        <v>46294</v>
      </c>
      <c r="C243" s="67" t="inlineStr">
        <is>
          <t>국민은행</t>
        </is>
      </c>
      <c r="D243" s="67" t="inlineStr">
        <is>
          <t>국민 154577</t>
        </is>
      </c>
      <c r="E243" s="148" t="n">
        <v>0</v>
      </c>
      <c r="F243" s="148" t="n">
        <v>78113</v>
      </c>
      <c r="G243" s="148" t="n">
        <v>36079265</v>
      </c>
      <c r="H243" s="75" t="inlineStr">
        <is>
          <t>전자금융</t>
        </is>
      </c>
      <c r="I243" s="75" t="inlineStr">
        <is>
          <t>KG이니시스</t>
        </is>
      </c>
      <c r="J243" s="75" t="inlineStr">
        <is>
          <t>하나은행</t>
        </is>
      </c>
      <c r="K243" s="67" t="inlineStr">
        <is>
          <t>온라인매출입금</t>
        </is>
      </c>
      <c r="L243" s="67" t="inlineStr">
        <is>
          <t>N</t>
        </is>
      </c>
      <c r="M243" s="67" t="inlineStr">
        <is>
          <t>N</t>
        </is>
      </c>
      <c r="N243" s="148" t="n">
        <v>78113</v>
      </c>
      <c r="O243" s="67" t="inlineStr">
        <is>
          <t>국민은행_계좌 조회 6개월(20260913).xls</t>
        </is>
      </c>
      <c r="P243" s="69" t="inlineStr">
        <is>
          <t>기존내역</t>
        </is>
      </c>
    </row>
    <row r="244">
      <c r="A244" s="146" t="n">
        <v>46294.46821759259</v>
      </c>
      <c r="B244" s="147" t="n">
        <v>46294</v>
      </c>
      <c r="C244" s="67" t="inlineStr">
        <is>
          <t>농협</t>
        </is>
      </c>
      <c r="D244" s="67" t="inlineStr">
        <is>
          <t>농협 569003</t>
        </is>
      </c>
      <c r="E244" s="148" t="n">
        <v>0</v>
      </c>
      <c r="F244" s="148" t="n">
        <v>20000</v>
      </c>
      <c r="G244" s="148" t="n">
        <v>143414</v>
      </c>
      <c r="H244" s="75" t="inlineStr">
        <is>
          <t>폰하나은행</t>
        </is>
      </c>
      <c r="I244" s="75" t="inlineStr">
        <is>
          <t>전수민</t>
        </is>
      </c>
      <c r="J244" s="75" t="inlineStr">
        <is>
          <t>하나 0818043</t>
        </is>
      </c>
      <c r="K244" s="67" t="inlineStr">
        <is>
          <t>기타입금</t>
        </is>
      </c>
      <c r="L244" s="67" t="inlineStr">
        <is>
          <t>N</t>
        </is>
      </c>
      <c r="M244" s="67" t="inlineStr">
        <is>
          <t>N</t>
        </is>
      </c>
      <c r="N244" s="148" t="n">
        <v>20000</v>
      </c>
      <c r="O244" s="67" t="inlineStr">
        <is>
          <t>국민은행_계좌 조회 6개월(20260913).xls</t>
        </is>
      </c>
      <c r="P244" s="69" t="inlineStr">
        <is>
          <t>기존내역</t>
        </is>
      </c>
    </row>
    <row r="245">
      <c r="A245" s="146" t="n">
        <v>46294.67569444444</v>
      </c>
      <c r="B245" s="147" t="n">
        <v>46294</v>
      </c>
      <c r="C245" s="67" t="inlineStr">
        <is>
          <t>우리은행</t>
        </is>
      </c>
      <c r="D245" s="67" t="inlineStr">
        <is>
          <t>우리 220351</t>
        </is>
      </c>
      <c r="E245" s="148" t="n">
        <v>550000</v>
      </c>
      <c r="F245" s="148" t="n">
        <v>0</v>
      </c>
      <c r="G245" s="148" t="n">
        <v>14103192</v>
      </c>
      <c r="H245" s="75" t="inlineStr">
        <is>
          <t>인터넷</t>
        </is>
      </c>
      <c r="I245" s="75" t="inlineStr">
        <is>
          <t>농협(주)레인보우8</t>
        </is>
      </c>
      <c r="J245" s="75" t="inlineStr">
        <is>
          <t>성서공단금융센터</t>
        </is>
      </c>
      <c r="K245" s="67" t="inlineStr">
        <is>
          <t>기타지출</t>
        </is>
      </c>
      <c r="L245" s="67" t="inlineStr">
        <is>
          <t>N</t>
        </is>
      </c>
      <c r="M245" s="67" t="inlineStr">
        <is>
          <t>N</t>
        </is>
      </c>
      <c r="N245" s="148" t="n">
        <v>-550000</v>
      </c>
      <c r="O245" s="67" t="inlineStr">
        <is>
          <t>국민은행_계좌 조회 6개월(20260913).xls</t>
        </is>
      </c>
      <c r="P245" s="69" t="inlineStr">
        <is>
          <t>기존내역</t>
        </is>
      </c>
    </row>
    <row r="246">
      <c r="A246" s="146" t="n">
        <v>46294.67569444444</v>
      </c>
      <c r="B246" s="147" t="n">
        <v>46294</v>
      </c>
      <c r="C246" s="67" t="inlineStr">
        <is>
          <t>우리은행</t>
        </is>
      </c>
      <c r="D246" s="67" t="inlineStr">
        <is>
          <t>우리 220351</t>
        </is>
      </c>
      <c r="E246" s="148" t="n">
        <v>143629</v>
      </c>
      <c r="F246" s="148" t="n">
        <v>0</v>
      </c>
      <c r="G246" s="148" t="n">
        <v>14653192</v>
      </c>
      <c r="H246" s="75" t="inlineStr">
        <is>
          <t>인터넷</t>
        </is>
      </c>
      <c r="I246" s="75" t="inlineStr">
        <is>
          <t>국민주식회사 에이팜</t>
        </is>
      </c>
      <c r="J246" s="75" t="inlineStr">
        <is>
          <t>성서공단금융센터</t>
        </is>
      </c>
      <c r="K246" s="67" t="inlineStr">
        <is>
          <t>기타지출</t>
        </is>
      </c>
      <c r="L246" s="67" t="inlineStr">
        <is>
          <t>N</t>
        </is>
      </c>
      <c r="M246" s="67" t="inlineStr">
        <is>
          <t>N</t>
        </is>
      </c>
      <c r="N246" s="148" t="n">
        <v>-143629</v>
      </c>
      <c r="O246" s="67" t="inlineStr">
        <is>
          <t>농협계좌_6개월(20260913).xls</t>
        </is>
      </c>
      <c r="P246" s="69" t="inlineStr">
        <is>
          <t>기존내역</t>
        </is>
      </c>
    </row>
    <row r="247">
      <c r="A247" s="146" t="n">
        <v>46294.67570601852</v>
      </c>
      <c r="B247" s="147" t="n">
        <v>46294</v>
      </c>
      <c r="C247" s="67" t="inlineStr">
        <is>
          <t>우리은행</t>
        </is>
      </c>
      <c r="D247" s="67" t="inlineStr">
        <is>
          <t>우리 220351</t>
        </is>
      </c>
      <c r="E247" s="148" t="n">
        <v>2310000</v>
      </c>
      <c r="F247" s="148" t="n">
        <v>0</v>
      </c>
      <c r="G247" s="148" t="n">
        <v>11793192</v>
      </c>
      <c r="H247" s="75" t="inlineStr">
        <is>
          <t>인터넷</t>
        </is>
      </c>
      <c r="I247" s="75" t="inlineStr">
        <is>
          <t>국민네이버 apha</t>
        </is>
      </c>
      <c r="J247" s="75" t="inlineStr">
        <is>
          <t>성서공단금융센터</t>
        </is>
      </c>
      <c r="K247" s="67" t="inlineStr">
        <is>
          <t>기타지출</t>
        </is>
      </c>
      <c r="L247" s="67" t="inlineStr">
        <is>
          <t>N</t>
        </is>
      </c>
      <c r="M247" s="67" t="inlineStr">
        <is>
          <t>N</t>
        </is>
      </c>
      <c r="N247" s="148" t="n">
        <v>-2310000</v>
      </c>
      <c r="O247" s="67" t="inlineStr">
        <is>
          <t>우리은행 거래내역조회 20260913.xlsx</t>
        </is>
      </c>
      <c r="P247" s="69" t="inlineStr">
        <is>
          <t>기존내역</t>
        </is>
      </c>
    </row>
    <row r="248">
      <c r="A248" s="146" t="n">
        <v>46294.6757175926</v>
      </c>
      <c r="B248" s="147" t="n">
        <v>46294</v>
      </c>
      <c r="C248" s="67" t="inlineStr">
        <is>
          <t>우리은행</t>
        </is>
      </c>
      <c r="D248" s="67" t="inlineStr">
        <is>
          <t>우리 220351</t>
        </is>
      </c>
      <c r="E248" s="148" t="n">
        <v>550000</v>
      </c>
      <c r="F248" s="148" t="n">
        <v>0</v>
      </c>
      <c r="G248" s="148" t="n">
        <v>11243192</v>
      </c>
      <c r="H248" s="75" t="inlineStr">
        <is>
          <t>인터넷</t>
        </is>
      </c>
      <c r="I248" s="75" t="inlineStr">
        <is>
          <t>국민네이버 에이팜건</t>
        </is>
      </c>
      <c r="J248" s="75" t="inlineStr">
        <is>
          <t>성서공단금융센터</t>
        </is>
      </c>
      <c r="K248" s="67" t="inlineStr">
        <is>
          <t>기타지출</t>
        </is>
      </c>
      <c r="L248" s="67" t="inlineStr">
        <is>
          <t>N</t>
        </is>
      </c>
      <c r="M248" s="67" t="inlineStr">
        <is>
          <t>N</t>
        </is>
      </c>
      <c r="N248" s="148" t="n">
        <v>-550000</v>
      </c>
      <c r="O248" s="67" t="inlineStr">
        <is>
          <t>우리은행 거래내역조회 20260913.xlsx</t>
        </is>
      </c>
      <c r="P248" s="69" t="inlineStr">
        <is>
          <t>기존내역</t>
        </is>
      </c>
    </row>
    <row r="249">
      <c r="A249" s="146" t="n">
        <v>46294.67572916667</v>
      </c>
      <c r="B249" s="147" t="n">
        <v>46294</v>
      </c>
      <c r="C249" s="67" t="inlineStr">
        <is>
          <t>우리은행</t>
        </is>
      </c>
      <c r="D249" s="67" t="inlineStr">
        <is>
          <t>우리 220351</t>
        </is>
      </c>
      <c r="E249" s="148" t="n">
        <v>660000</v>
      </c>
      <c r="F249" s="148" t="n">
        <v>0</v>
      </c>
      <c r="G249" s="148" t="n">
        <v>10583192</v>
      </c>
      <c r="H249" s="75" t="inlineStr">
        <is>
          <t>인터넷</t>
        </is>
      </c>
      <c r="I249" s="75" t="inlineStr">
        <is>
          <t>국민네이버 ddi5</t>
        </is>
      </c>
      <c r="J249" s="75" t="inlineStr">
        <is>
          <t>성서공단금융센터</t>
        </is>
      </c>
      <c r="K249" s="67" t="inlineStr">
        <is>
          <t>기타지출</t>
        </is>
      </c>
      <c r="L249" s="67" t="inlineStr">
        <is>
          <t>N</t>
        </is>
      </c>
      <c r="M249" s="67" t="inlineStr">
        <is>
          <t>N</t>
        </is>
      </c>
      <c r="N249" s="148" t="n">
        <v>-660000</v>
      </c>
      <c r="O249" s="67" t="inlineStr">
        <is>
          <t>우리은행 거래내역조회 20260913.xlsx</t>
        </is>
      </c>
      <c r="P249" s="69" t="inlineStr">
        <is>
          <t>기존내역</t>
        </is>
      </c>
    </row>
    <row r="250">
      <c r="A250" s="146" t="n">
        <v>46294.67574074074</v>
      </c>
      <c r="B250" s="147" t="n">
        <v>46294</v>
      </c>
      <c r="C250" s="67" t="inlineStr">
        <is>
          <t>우리은행</t>
        </is>
      </c>
      <c r="D250" s="67" t="inlineStr">
        <is>
          <t>우리 220351</t>
        </is>
      </c>
      <c r="E250" s="148" t="n">
        <v>200000</v>
      </c>
      <c r="F250" s="148" t="n">
        <v>0</v>
      </c>
      <c r="G250" s="148" t="n">
        <v>10383192</v>
      </c>
      <c r="H250" s="75" t="inlineStr">
        <is>
          <t>인터넷</t>
        </is>
      </c>
      <c r="I250" s="75" t="inlineStr">
        <is>
          <t>(주)카카오</t>
        </is>
      </c>
      <c r="J250" s="75" t="inlineStr">
        <is>
          <t>성서공단금융센터</t>
        </is>
      </c>
      <c r="K250" s="67" t="inlineStr">
        <is>
          <t>기타지출</t>
        </is>
      </c>
      <c r="L250" s="67" t="inlineStr">
        <is>
          <t>N</t>
        </is>
      </c>
      <c r="M250" s="67" t="inlineStr">
        <is>
          <t>N</t>
        </is>
      </c>
      <c r="N250" s="148" t="n">
        <v>-200000</v>
      </c>
      <c r="O250" s="67" t="inlineStr">
        <is>
          <t>우리은행 거래내역조회 20260913.xlsx</t>
        </is>
      </c>
      <c r="P250" s="69" t="inlineStr">
        <is>
          <t>기존내역</t>
        </is>
      </c>
    </row>
    <row r="251">
      <c r="A251" s="146" t="n">
        <v>46294.67575231481</v>
      </c>
      <c r="B251" s="147" t="n">
        <v>46294</v>
      </c>
      <c r="C251" s="67" t="inlineStr">
        <is>
          <t>우리은행</t>
        </is>
      </c>
      <c r="D251" s="67" t="inlineStr">
        <is>
          <t>우리 220351</t>
        </is>
      </c>
      <c r="E251" s="148" t="n">
        <v>498630</v>
      </c>
      <c r="F251" s="148" t="n">
        <v>0</v>
      </c>
      <c r="G251" s="148" t="n">
        <v>9884562</v>
      </c>
      <c r="H251" s="75" t="inlineStr">
        <is>
          <t>인터넷</t>
        </is>
      </c>
      <c r="I251" s="75" t="inlineStr">
        <is>
          <t>국민비즈월렛_쁘띠앤</t>
        </is>
      </c>
      <c r="J251" s="75" t="inlineStr">
        <is>
          <t>성서공단금융센터</t>
        </is>
      </c>
      <c r="K251" s="67" t="inlineStr">
        <is>
          <t>기타지출</t>
        </is>
      </c>
      <c r="L251" s="67" t="inlineStr">
        <is>
          <t>N</t>
        </is>
      </c>
      <c r="M251" s="67" t="inlineStr">
        <is>
          <t>N</t>
        </is>
      </c>
      <c r="N251" s="148" t="n">
        <v>-498630</v>
      </c>
      <c r="O251" s="67" t="inlineStr">
        <is>
          <t>국민은행_계좌 조회 6개월(20260913).xls</t>
        </is>
      </c>
      <c r="P251" s="69" t="inlineStr">
        <is>
          <t>기존내역</t>
        </is>
      </c>
    </row>
    <row r="252">
      <c r="A252" s="146" t="n">
        <v>46294.67576388889</v>
      </c>
      <c r="B252" s="147" t="n">
        <v>46294</v>
      </c>
      <c r="C252" s="67" t="inlineStr">
        <is>
          <t>우리은행</t>
        </is>
      </c>
      <c r="D252" s="67" t="inlineStr">
        <is>
          <t>우리 220351</t>
        </is>
      </c>
      <c r="E252" s="148" t="n">
        <v>1650000</v>
      </c>
      <c r="F252" s="148" t="n">
        <v>0</v>
      </c>
      <c r="G252" s="148" t="n">
        <v>8234562</v>
      </c>
      <c r="H252" s="75" t="inlineStr">
        <is>
          <t>인터넷</t>
        </is>
      </c>
      <c r="I252" s="75" t="inlineStr">
        <is>
          <t>농협한혜선</t>
        </is>
      </c>
      <c r="J252" s="75" t="inlineStr">
        <is>
          <t>성서공단금융센터</t>
        </is>
      </c>
      <c r="K252" s="67" t="inlineStr">
        <is>
          <t>기타지출</t>
        </is>
      </c>
      <c r="L252" s="67" t="inlineStr">
        <is>
          <t>N</t>
        </is>
      </c>
      <c r="M252" s="67" t="inlineStr">
        <is>
          <t>N</t>
        </is>
      </c>
      <c r="N252" s="148" t="n">
        <v>-1650000</v>
      </c>
      <c r="O252" s="67" t="inlineStr">
        <is>
          <t>국민은행_계좌 조회 6개월(20260913).xls</t>
        </is>
      </c>
      <c r="P252" s="69" t="inlineStr">
        <is>
          <t>기존내역</t>
        </is>
      </c>
    </row>
    <row r="253">
      <c r="A253" s="146" t="n">
        <v>46294.67577546297</v>
      </c>
      <c r="B253" s="147" t="n">
        <v>46294</v>
      </c>
      <c r="C253" s="67" t="inlineStr">
        <is>
          <t>우리은행</t>
        </is>
      </c>
      <c r="D253" s="67" t="inlineStr">
        <is>
          <t>우리 220351</t>
        </is>
      </c>
      <c r="E253" s="148" t="n">
        <v>1023110</v>
      </c>
      <c r="F253" s="148" t="n">
        <v>0</v>
      </c>
      <c r="G253" s="148" t="n">
        <v>7211452</v>
      </c>
      <c r="H253" s="75" t="inlineStr">
        <is>
          <t>인터넷</t>
        </is>
      </c>
      <c r="I253" s="75" t="inlineStr">
        <is>
          <t>신한조미란(와이투홀</t>
        </is>
      </c>
      <c r="J253" s="75" t="inlineStr">
        <is>
          <t>성서공단금융센터</t>
        </is>
      </c>
      <c r="K253" s="67" t="inlineStr">
        <is>
          <t>기타지출</t>
        </is>
      </c>
      <c r="L253" s="67" t="inlineStr">
        <is>
          <t>N</t>
        </is>
      </c>
      <c r="M253" s="67" t="inlineStr">
        <is>
          <t>N</t>
        </is>
      </c>
      <c r="N253" s="148" t="n">
        <v>-1023110</v>
      </c>
      <c r="O253" s="67" t="inlineStr">
        <is>
          <t>국민은행_계좌 조회 6개월(20260913).xls</t>
        </is>
      </c>
      <c r="P253" s="69" t="inlineStr">
        <is>
          <t>기존내역</t>
        </is>
      </c>
    </row>
    <row r="254">
      <c r="A254" s="146" t="n">
        <v>46294.69428240741</v>
      </c>
      <c r="B254" s="147" t="n">
        <v>46294</v>
      </c>
      <c r="C254" s="67" t="inlineStr">
        <is>
          <t>우리은행</t>
        </is>
      </c>
      <c r="D254" s="67" t="inlineStr">
        <is>
          <t>우리 220351</t>
        </is>
      </c>
      <c r="E254" s="148" t="n">
        <v>109450</v>
      </c>
      <c r="F254" s="148" t="n">
        <v>0</v>
      </c>
      <c r="G254" s="148" t="n">
        <v>7102002</v>
      </c>
      <c r="H254" s="75" t="inlineStr">
        <is>
          <t>F/B 출금</t>
        </is>
      </c>
      <c r="I254" s="75" t="inlineStr">
        <is>
          <t>KT0600852509</t>
        </is>
      </c>
      <c r="J254" s="75" t="inlineStr">
        <is>
          <t>성서공단금융센터</t>
        </is>
      </c>
      <c r="K254" s="67" t="inlineStr">
        <is>
          <t>기타지출</t>
        </is>
      </c>
      <c r="L254" s="67" t="inlineStr">
        <is>
          <t>N</t>
        </is>
      </c>
      <c r="M254" s="67" t="inlineStr">
        <is>
          <t>N</t>
        </is>
      </c>
      <c r="N254" s="148" t="n">
        <v>-109450</v>
      </c>
      <c r="O254" s="67" t="inlineStr">
        <is>
          <t>우리은행 거래내역조회 20260913.xlsx</t>
        </is>
      </c>
      <c r="P254" s="69" t="inlineStr">
        <is>
          <t>기존내역</t>
        </is>
      </c>
    </row>
    <row r="255">
      <c r="A255" s="146" t="n">
        <v>46294.74716435185</v>
      </c>
      <c r="B255" s="147" t="n">
        <v>46294</v>
      </c>
      <c r="C255" s="67" t="inlineStr">
        <is>
          <t>국민은행</t>
        </is>
      </c>
      <c r="D255" s="67" t="inlineStr">
        <is>
          <t>국민 154577</t>
        </is>
      </c>
      <c r="E255" s="148" t="n">
        <v>0</v>
      </c>
      <c r="F255" s="148" t="n">
        <v>70000000</v>
      </c>
      <c r="G255" s="148" t="n">
        <v>106079265</v>
      </c>
      <c r="H255" s="75" t="inlineStr">
        <is>
          <t>스마트입금</t>
        </is>
      </c>
      <c r="I255" s="75" t="inlineStr">
        <is>
          <t>(주)에이팜건강</t>
        </is>
      </c>
      <c r="J255" s="75" t="inlineStr">
        <is>
          <t>진천역</t>
        </is>
      </c>
      <c r="K255" s="67" t="inlineStr">
        <is>
          <t>계좌간이체</t>
        </is>
      </c>
      <c r="L255" s="67" t="inlineStr">
        <is>
          <t>Y</t>
        </is>
      </c>
      <c r="M255" s="67" t="inlineStr">
        <is>
          <t>N</t>
        </is>
      </c>
      <c r="N255" s="148" t="n">
        <v>0</v>
      </c>
      <c r="O255" s="67" t="inlineStr">
        <is>
          <t>우리은행 거래내역조회 20260913.xlsx</t>
        </is>
      </c>
      <c r="P255" s="69" t="inlineStr">
        <is>
          <t>기존내역</t>
        </is>
      </c>
    </row>
    <row r="256">
      <c r="A256" s="146" t="n">
        <v>46294.74716435185</v>
      </c>
      <c r="B256" s="147" t="n">
        <v>46294</v>
      </c>
      <c r="C256" s="67" t="inlineStr">
        <is>
          <t>국민은행</t>
        </is>
      </c>
      <c r="D256" s="67" t="inlineStr">
        <is>
          <t>국민 169124</t>
        </is>
      </c>
      <c r="E256" s="148" t="n">
        <v>70000000</v>
      </c>
      <c r="F256" s="148" t="n">
        <v>0</v>
      </c>
      <c r="G256" s="148" t="n">
        <v>30687200</v>
      </c>
      <c r="H256" s="75" t="inlineStr">
        <is>
          <t>스마트출금</t>
        </is>
      </c>
      <c r="I256" s="75" t="inlineStr">
        <is>
          <t>(주)에이팜건강</t>
        </is>
      </c>
      <c r="J256" s="75" t="inlineStr">
        <is>
          <t>진천역</t>
        </is>
      </c>
      <c r="K256" s="67" t="inlineStr">
        <is>
          <t>계좌간이체</t>
        </is>
      </c>
      <c r="L256" s="67" t="inlineStr">
        <is>
          <t>Y</t>
        </is>
      </c>
      <c r="M256" s="67" t="inlineStr">
        <is>
          <t>N</t>
        </is>
      </c>
      <c r="N256" s="148" t="n">
        <v>0</v>
      </c>
      <c r="O256" s="67" t="inlineStr">
        <is>
          <t>국민은행_계좌 조회 6개월(20260913).xls</t>
        </is>
      </c>
      <c r="P256" s="69" t="inlineStr">
        <is>
          <t>기존내역</t>
        </is>
      </c>
    </row>
    <row r="257">
      <c r="A257" s="146" t="n">
        <v>46295.1108912037</v>
      </c>
      <c r="B257" s="147" t="n">
        <v>46295</v>
      </c>
      <c r="C257" s="67" t="inlineStr">
        <is>
          <t>우리은행</t>
        </is>
      </c>
      <c r="D257" s="67" t="inlineStr">
        <is>
          <t>우리 220351</t>
        </is>
      </c>
      <c r="E257" s="148" t="n">
        <v>0</v>
      </c>
      <c r="F257" s="148" t="n">
        <v>5332118</v>
      </c>
      <c r="G257" s="148" t="n">
        <v>12434120</v>
      </c>
      <c r="H257" s="75" t="inlineStr">
        <is>
          <t>펌뱅킹</t>
        </is>
      </c>
      <c r="I257" s="75" t="inlineStr">
        <is>
          <t>스마트스토어정산</t>
        </is>
      </c>
      <c r="J257" s="75" t="inlineStr">
        <is>
          <t>두산타워기업영업지원팀</t>
        </is>
      </c>
      <c r="K257" s="67" t="inlineStr">
        <is>
          <t>온라인매출입금</t>
        </is>
      </c>
      <c r="L257" s="67" t="inlineStr">
        <is>
          <t>N</t>
        </is>
      </c>
      <c r="M257" s="67" t="inlineStr">
        <is>
          <t>N</t>
        </is>
      </c>
      <c r="N257" s="148" t="n">
        <v>5332118</v>
      </c>
      <c r="O257" s="67" t="inlineStr">
        <is>
          <t>농협계좌_6개월(20260913).xls</t>
        </is>
      </c>
      <c r="P257" s="69" t="inlineStr">
        <is>
          <t>기존내역</t>
        </is>
      </c>
    </row>
    <row r="258">
      <c r="A258" s="146" t="n">
        <v>46295.13541666666</v>
      </c>
      <c r="B258" s="147" t="n">
        <v>46295</v>
      </c>
      <c r="C258" s="67" t="inlineStr">
        <is>
          <t>우리은행</t>
        </is>
      </c>
      <c r="D258" s="67" t="inlineStr">
        <is>
          <t>우리 220351</t>
        </is>
      </c>
      <c r="E258" s="148" t="n">
        <v>3180</v>
      </c>
      <c r="F258" s="148" t="n">
        <v>0</v>
      </c>
      <c r="G258" s="148" t="n">
        <v>12430940</v>
      </c>
      <c r="H258" s="75" t="inlineStr">
        <is>
          <t>가스요금</t>
        </is>
      </c>
      <c r="I258" s="75" t="inlineStr">
        <is>
          <t>가스2609</t>
        </is>
      </c>
      <c r="J258" s="75" t="inlineStr">
        <is>
          <t>성서공단금융센터</t>
        </is>
      </c>
      <c r="K258" s="67" t="inlineStr">
        <is>
          <t>기타지출</t>
        </is>
      </c>
      <c r="L258" s="67" t="inlineStr">
        <is>
          <t>N</t>
        </is>
      </c>
      <c r="M258" s="67" t="inlineStr">
        <is>
          <t>N</t>
        </is>
      </c>
      <c r="N258" s="148" t="n">
        <v>-3180</v>
      </c>
      <c r="O258" s="67" t="inlineStr">
        <is>
          <t>농협계좌_6개월(20260913).xls</t>
        </is>
      </c>
      <c r="P258" s="69" t="inlineStr">
        <is>
          <t>기존내역</t>
        </is>
      </c>
    </row>
    <row r="259">
      <c r="A259" s="146" t="n">
        <v>46295.14949074074</v>
      </c>
      <c r="B259" s="147" t="n">
        <v>46295</v>
      </c>
      <c r="C259" s="67" t="inlineStr">
        <is>
          <t>국민은행</t>
        </is>
      </c>
      <c r="D259" s="67" t="inlineStr">
        <is>
          <t>국민 154577</t>
        </is>
      </c>
      <c r="E259" s="148" t="n">
        <v>0</v>
      </c>
      <c r="F259" s="148" t="n">
        <v>261924</v>
      </c>
      <c r="G259" s="148" t="n">
        <v>106341189</v>
      </c>
      <c r="H259" s="75" t="inlineStr">
        <is>
          <t>전자금융</t>
        </is>
      </c>
      <c r="I259" s="75" t="inlineStr">
        <is>
          <t>Npay정산</t>
        </is>
      </c>
      <c r="J259" s="75" t="inlineStr">
        <is>
          <t>SC은행</t>
        </is>
      </c>
      <c r="K259" s="67" t="inlineStr">
        <is>
          <t>온라인매출입금</t>
        </is>
      </c>
      <c r="L259" s="67" t="inlineStr">
        <is>
          <t>N</t>
        </is>
      </c>
      <c r="M259" s="67" t="inlineStr">
        <is>
          <t>N</t>
        </is>
      </c>
      <c r="N259" s="148" t="n">
        <v>261924</v>
      </c>
      <c r="O259" s="67" t="inlineStr">
        <is>
          <t>농협계좌_6개월(20260913).xls</t>
        </is>
      </c>
      <c r="P259" s="69" t="inlineStr">
        <is>
          <t>기존내역</t>
        </is>
      </c>
    </row>
    <row r="260">
      <c r="A260" s="146" t="n">
        <v>46295.2794212963</v>
      </c>
      <c r="B260" s="147" t="n">
        <v>46295</v>
      </c>
      <c r="C260" s="67" t="inlineStr">
        <is>
          <t>국민은행</t>
        </is>
      </c>
      <c r="D260" s="67" t="inlineStr">
        <is>
          <t>국민 154577</t>
        </is>
      </c>
      <c r="E260" s="148" t="n">
        <v>0</v>
      </c>
      <c r="F260" s="148" t="n">
        <v>4040700</v>
      </c>
      <c r="G260" s="148" t="n">
        <v>110381889</v>
      </c>
      <c r="H260" s="75" t="inlineStr">
        <is>
          <t>스마트입금</t>
        </is>
      </c>
      <c r="I260" s="75" t="inlineStr">
        <is>
          <t>주식회사에이팜</t>
        </is>
      </c>
      <c r="J260" s="75" t="inlineStr">
        <is>
          <t>진천역</t>
        </is>
      </c>
      <c r="K260" s="67" t="inlineStr">
        <is>
          <t>관계사 입금</t>
        </is>
      </c>
      <c r="L260" s="67" t="inlineStr">
        <is>
          <t>N</t>
        </is>
      </c>
      <c r="M260" s="67" t="inlineStr">
        <is>
          <t>N</t>
        </is>
      </c>
      <c r="N260" s="148" t="n">
        <v>4040700</v>
      </c>
      <c r="O260" s="67" t="inlineStr">
        <is>
          <t>농협계좌_6개월(20260913).xls</t>
        </is>
      </c>
      <c r="P260" s="69" t="inlineStr">
        <is>
          <t>기존내역</t>
        </is>
      </c>
    </row>
    <row r="261">
      <c r="A261" s="146" t="n">
        <v>46295.3759375</v>
      </c>
      <c r="B261" s="147" t="n">
        <v>46295</v>
      </c>
      <c r="C261" s="67" t="inlineStr">
        <is>
          <t>국민은행</t>
        </is>
      </c>
      <c r="D261" s="67" t="inlineStr">
        <is>
          <t>국민 154577</t>
        </is>
      </c>
      <c r="E261" s="148" t="n">
        <v>0</v>
      </c>
      <c r="F261" s="148" t="n">
        <v>166269</v>
      </c>
      <c r="G261" s="148" t="n">
        <v>110548158</v>
      </c>
      <c r="H261" s="75" t="inlineStr">
        <is>
          <t>FBS입금</t>
        </is>
      </c>
      <c r="I261" s="75" t="inlineStr">
        <is>
          <t>카카오페이정산</t>
        </is>
      </c>
      <c r="J261" s="75" t="inlineStr">
        <is>
          <t>ERP사</t>
        </is>
      </c>
      <c r="K261" s="67" t="inlineStr">
        <is>
          <t>온라인매출입금</t>
        </is>
      </c>
      <c r="L261" s="67" t="inlineStr">
        <is>
          <t>N</t>
        </is>
      </c>
      <c r="M261" s="67" t="inlineStr">
        <is>
          <t>N</t>
        </is>
      </c>
      <c r="N261" s="148" t="n">
        <v>166269</v>
      </c>
      <c r="O261" s="67" t="inlineStr">
        <is>
          <t>국민은행_계좌 조회 6개월(20260913).xls</t>
        </is>
      </c>
      <c r="P261" s="69" t="inlineStr">
        <is>
          <t>기존내역</t>
        </is>
      </c>
    </row>
    <row r="262">
      <c r="A262" s="146" t="n">
        <v>46295.39284722223</v>
      </c>
      <c r="B262" s="147" t="n">
        <v>46295</v>
      </c>
      <c r="C262" s="67" t="inlineStr">
        <is>
          <t>국민은행</t>
        </is>
      </c>
      <c r="D262" s="67" t="inlineStr">
        <is>
          <t>국민 154577</t>
        </is>
      </c>
      <c r="E262" s="148" t="n">
        <v>70320656</v>
      </c>
      <c r="F262" s="148" t="n">
        <v>0</v>
      </c>
      <c r="G262" s="148" t="n">
        <v>40227502</v>
      </c>
      <c r="H262" s="75" t="inlineStr">
        <is>
          <t>TOP출금</t>
        </is>
      </c>
      <c r="I262" s="75" t="inlineStr"/>
      <c r="J262" s="75" t="inlineStr">
        <is>
          <t>진천역</t>
        </is>
      </c>
      <c r="K262" s="67" t="inlineStr">
        <is>
          <t>급여·인건비(대외비)</t>
        </is>
      </c>
      <c r="L262" s="67" t="inlineStr">
        <is>
          <t>N</t>
        </is>
      </c>
      <c r="M262" s="67" t="inlineStr">
        <is>
          <t>N</t>
        </is>
      </c>
      <c r="N262" s="148" t="n">
        <v>-70320656</v>
      </c>
      <c r="O262" s="67" t="inlineStr">
        <is>
          <t>국민은행_계좌 조회 6개월(20260913).xls</t>
        </is>
      </c>
      <c r="P262" s="69" t="inlineStr">
        <is>
          <t>기존내역</t>
        </is>
      </c>
    </row>
    <row r="263">
      <c r="A263" s="146" t="n">
        <v>46295.40201388889</v>
      </c>
      <c r="B263" s="147" t="n">
        <v>46295</v>
      </c>
      <c r="C263" s="67" t="inlineStr">
        <is>
          <t>국민은행</t>
        </is>
      </c>
      <c r="D263" s="67" t="inlineStr">
        <is>
          <t>국민 154577</t>
        </is>
      </c>
      <c r="E263" s="148" t="n">
        <v>75000</v>
      </c>
      <c r="F263" s="148" t="n">
        <v>0</v>
      </c>
      <c r="G263" s="148" t="n">
        <v>40152502</v>
      </c>
      <c r="H263" s="75" t="inlineStr">
        <is>
          <t>대체출금</t>
        </is>
      </c>
      <c r="I263" s="75" t="inlineStr">
        <is>
          <t>외국환한도인지대</t>
        </is>
      </c>
      <c r="J263" s="75" t="inlineStr">
        <is>
          <t>대출실</t>
        </is>
      </c>
      <c r="K263" s="67" t="inlineStr">
        <is>
          <t>기타지출</t>
        </is>
      </c>
      <c r="L263" s="67" t="inlineStr">
        <is>
          <t>N</t>
        </is>
      </c>
      <c r="M263" s="67" t="inlineStr">
        <is>
          <t>N</t>
        </is>
      </c>
      <c r="N263" s="148" t="n">
        <v>-75000</v>
      </c>
      <c r="O263" s="67" t="inlineStr">
        <is>
          <t>국민은행_계좌 조회 6개월(20260913).xls</t>
        </is>
      </c>
      <c r="P263" s="69" t="inlineStr">
        <is>
          <t>기존내역</t>
        </is>
      </c>
    </row>
    <row r="264">
      <c r="A264" s="146" t="n">
        <v>46295.43748842592</v>
      </c>
      <c r="B264" s="147" t="n">
        <v>46295</v>
      </c>
      <c r="C264" s="67" t="inlineStr">
        <is>
          <t>국민은행</t>
        </is>
      </c>
      <c r="D264" s="67" t="inlineStr">
        <is>
          <t>국민 154577</t>
        </is>
      </c>
      <c r="E264" s="148" t="n">
        <v>0</v>
      </c>
      <c r="F264" s="148" t="n">
        <v>59000</v>
      </c>
      <c r="G264" s="148" t="n">
        <v>40211502</v>
      </c>
      <c r="H264" s="75" t="inlineStr">
        <is>
          <t>전자금융</t>
        </is>
      </c>
      <c r="I264" s="75" t="inlineStr">
        <is>
          <t>노민지</t>
        </is>
      </c>
      <c r="J264" s="75" t="inlineStr">
        <is>
          <t>농협</t>
        </is>
      </c>
      <c r="K264" s="67" t="inlineStr">
        <is>
          <t>기타입금</t>
        </is>
      </c>
      <c r="L264" s="67" t="inlineStr">
        <is>
          <t>N</t>
        </is>
      </c>
      <c r="M264" s="67" t="inlineStr">
        <is>
          <t>N</t>
        </is>
      </c>
      <c r="N264" s="148" t="n">
        <v>59000</v>
      </c>
      <c r="O264" s="67" t="inlineStr">
        <is>
          <t>우리은행 거래내역조회 20260913.xlsx</t>
        </is>
      </c>
      <c r="P264" s="69" t="inlineStr">
        <is>
          <t>기존내역</t>
        </is>
      </c>
    </row>
    <row r="265">
      <c r="A265" s="146" t="n">
        <v>46295.44259259259</v>
      </c>
      <c r="B265" s="147" t="n">
        <v>46295</v>
      </c>
      <c r="C265" s="67" t="inlineStr">
        <is>
          <t>국민은행</t>
        </is>
      </c>
      <c r="D265" s="67" t="inlineStr">
        <is>
          <t>국민 154577</t>
        </is>
      </c>
      <c r="E265" s="148" t="n">
        <v>0</v>
      </c>
      <c r="F265" s="148" t="n">
        <v>114970</v>
      </c>
      <c r="G265" s="148" t="n">
        <v>40326472</v>
      </c>
      <c r="H265" s="75" t="inlineStr">
        <is>
          <t>전자금융</t>
        </is>
      </c>
      <c r="I265" s="75" t="inlineStr">
        <is>
          <t>KG이니시스</t>
        </is>
      </c>
      <c r="J265" s="75" t="inlineStr">
        <is>
          <t>하나은행</t>
        </is>
      </c>
      <c r="K265" s="67" t="inlineStr">
        <is>
          <t>온라인매출입금</t>
        </is>
      </c>
      <c r="L265" s="67" t="inlineStr">
        <is>
          <t>N</t>
        </is>
      </c>
      <c r="M265" s="67" t="inlineStr">
        <is>
          <t>N</t>
        </is>
      </c>
      <c r="N265" s="148" t="n">
        <v>114970</v>
      </c>
      <c r="O265" s="67" t="inlineStr">
        <is>
          <t>우리은행 거래내역조회 20260913.xlsx</t>
        </is>
      </c>
      <c r="P265" s="69" t="inlineStr">
        <is>
          <t>기존내역</t>
        </is>
      </c>
    </row>
    <row r="266">
      <c r="A266" s="146" t="n">
        <v>46295.46520833333</v>
      </c>
      <c r="B266" s="147" t="n">
        <v>46295</v>
      </c>
      <c r="C266" s="67" t="inlineStr">
        <is>
          <t>국민은행</t>
        </is>
      </c>
      <c r="D266" s="67" t="inlineStr">
        <is>
          <t>국민 154577</t>
        </is>
      </c>
      <c r="E266" s="148" t="n">
        <v>0</v>
      </c>
      <c r="F266" s="148" t="n">
        <v>694739</v>
      </c>
      <c r="G266" s="148" t="n">
        <v>41021211</v>
      </c>
      <c r="H266" s="75" t="inlineStr">
        <is>
          <t>전자금융</t>
        </is>
      </c>
      <c r="I266" s="75" t="inlineStr">
        <is>
          <t>KG이니시스</t>
        </is>
      </c>
      <c r="J266" s="75" t="inlineStr">
        <is>
          <t>하나은행</t>
        </is>
      </c>
      <c r="K266" s="67" t="inlineStr">
        <is>
          <t>온라인매출입금</t>
        </is>
      </c>
      <c r="L266" s="67" t="inlineStr">
        <is>
          <t>N</t>
        </is>
      </c>
      <c r="M266" s="67" t="inlineStr">
        <is>
          <t>N</t>
        </is>
      </c>
      <c r="N266" s="148" t="n">
        <v>694739</v>
      </c>
      <c r="O266" s="67" t="inlineStr">
        <is>
          <t>우리은행 거래내역조회 20260913.xlsx</t>
        </is>
      </c>
      <c r="P266" s="69" t="inlineStr">
        <is>
          <t>기존내역</t>
        </is>
      </c>
    </row>
    <row r="267">
      <c r="A267" s="146" t="n">
        <v>46295.47495370371</v>
      </c>
      <c r="B267" s="147" t="n">
        <v>46295</v>
      </c>
      <c r="C267" s="67" t="inlineStr">
        <is>
          <t>국민은행</t>
        </is>
      </c>
      <c r="D267" s="67" t="inlineStr">
        <is>
          <t>국민 154577</t>
        </is>
      </c>
      <c r="E267" s="148" t="n">
        <v>0</v>
      </c>
      <c r="F267" s="148" t="n">
        <v>3828000</v>
      </c>
      <c r="G267" s="148" t="n">
        <v>50699211</v>
      </c>
      <c r="H267" s="75" t="inlineStr">
        <is>
          <t>FBS입금</t>
        </is>
      </c>
      <c r="I267" s="75" t="inlineStr">
        <is>
          <t>쿠팡(주)</t>
        </is>
      </c>
      <c r="J267" s="75" t="inlineStr">
        <is>
          <t>ERP사</t>
        </is>
      </c>
      <c r="K267" s="67" t="inlineStr">
        <is>
          <t>온라인매출입금</t>
        </is>
      </c>
      <c r="L267" s="67" t="inlineStr">
        <is>
          <t>N</t>
        </is>
      </c>
      <c r="M267" s="67" t="inlineStr">
        <is>
          <t>N</t>
        </is>
      </c>
      <c r="N267" s="148" t="n">
        <v>3828000</v>
      </c>
      <c r="O267" s="67" t="inlineStr">
        <is>
          <t>우리은행 거래내역조회 20260913.xlsx</t>
        </is>
      </c>
      <c r="P267" s="69" t="inlineStr">
        <is>
          <t>기존내역</t>
        </is>
      </c>
    </row>
    <row r="268">
      <c r="A268" s="146" t="n">
        <v>46295.47495370371</v>
      </c>
      <c r="B268" s="147" t="n">
        <v>46295</v>
      </c>
      <c r="C268" s="67" t="inlineStr">
        <is>
          <t>국민은행</t>
        </is>
      </c>
      <c r="D268" s="67" t="inlineStr">
        <is>
          <t>국민 154577</t>
        </is>
      </c>
      <c r="E268" s="148" t="n">
        <v>0</v>
      </c>
      <c r="F268" s="148" t="n">
        <v>2925000</v>
      </c>
      <c r="G268" s="148" t="n">
        <v>46871211</v>
      </c>
      <c r="H268" s="75" t="inlineStr">
        <is>
          <t>FBS입금</t>
        </is>
      </c>
      <c r="I268" s="75" t="inlineStr">
        <is>
          <t>쿠팡(주)</t>
        </is>
      </c>
      <c r="J268" s="75" t="inlineStr">
        <is>
          <t>ERP사</t>
        </is>
      </c>
      <c r="K268" s="67" t="inlineStr">
        <is>
          <t>온라인매출입금</t>
        </is>
      </c>
      <c r="L268" s="67" t="inlineStr">
        <is>
          <t>N</t>
        </is>
      </c>
      <c r="M268" s="67" t="inlineStr">
        <is>
          <t>N</t>
        </is>
      </c>
      <c r="N268" s="148" t="n">
        <v>2925000</v>
      </c>
      <c r="O268" s="67" t="inlineStr">
        <is>
          <t>우리은행 거래내역조회 20260913.xlsx</t>
        </is>
      </c>
      <c r="P268" s="69" t="inlineStr">
        <is>
          <t>기존내역</t>
        </is>
      </c>
    </row>
    <row r="269">
      <c r="A269" s="146" t="n">
        <v>46295.47495370371</v>
      </c>
      <c r="B269" s="147" t="n">
        <v>46295</v>
      </c>
      <c r="C269" s="67" t="inlineStr">
        <is>
          <t>국민은행</t>
        </is>
      </c>
      <c r="D269" s="67" t="inlineStr">
        <is>
          <t>국민 154577</t>
        </is>
      </c>
      <c r="E269" s="148" t="n">
        <v>0</v>
      </c>
      <c r="F269" s="148" t="n">
        <v>2925000</v>
      </c>
      <c r="G269" s="148" t="n">
        <v>43946211</v>
      </c>
      <c r="H269" s="75" t="inlineStr">
        <is>
          <t>FBS입금</t>
        </is>
      </c>
      <c r="I269" s="75" t="inlineStr">
        <is>
          <t>쿠팡(주)</t>
        </is>
      </c>
      <c r="J269" s="75" t="inlineStr">
        <is>
          <t>ERP사</t>
        </is>
      </c>
      <c r="K269" s="67" t="inlineStr">
        <is>
          <t>온라인매출입금</t>
        </is>
      </c>
      <c r="L269" s="67" t="inlineStr">
        <is>
          <t>N</t>
        </is>
      </c>
      <c r="M269" s="67" t="inlineStr">
        <is>
          <t>N</t>
        </is>
      </c>
      <c r="N269" s="148" t="n">
        <v>2925000</v>
      </c>
      <c r="O269" s="67" t="inlineStr">
        <is>
          <t>농협계좌_6개월(20260913).xls</t>
        </is>
      </c>
      <c r="P269" s="69" t="inlineStr">
        <is>
          <t>기존내역</t>
        </is>
      </c>
    </row>
    <row r="270">
      <c r="A270" s="146" t="n">
        <v>46295.4794675926</v>
      </c>
      <c r="B270" s="147" t="n">
        <v>46295</v>
      </c>
      <c r="C270" s="67" t="inlineStr">
        <is>
          <t>국민은행</t>
        </is>
      </c>
      <c r="D270" s="67" t="inlineStr">
        <is>
          <t>국민 154577</t>
        </is>
      </c>
      <c r="E270" s="148" t="n">
        <v>0</v>
      </c>
      <c r="F270" s="148" t="n">
        <v>403737</v>
      </c>
      <c r="G270" s="148" t="n">
        <v>51102948</v>
      </c>
      <c r="H270" s="75" t="inlineStr">
        <is>
          <t>전자금융</t>
        </is>
      </c>
      <c r="I270" s="75" t="inlineStr">
        <is>
          <t>롯데온</t>
        </is>
      </c>
      <c r="J270" s="75" t="inlineStr">
        <is>
          <t>우리은행</t>
        </is>
      </c>
      <c r="K270" s="67" t="inlineStr">
        <is>
          <t>기타입금</t>
        </is>
      </c>
      <c r="L270" s="67" t="inlineStr">
        <is>
          <t>N</t>
        </is>
      </c>
      <c r="M270" s="67" t="inlineStr">
        <is>
          <t>N</t>
        </is>
      </c>
      <c r="N270" s="148" t="n">
        <v>403737</v>
      </c>
      <c r="O270" s="67" t="inlineStr">
        <is>
          <t>농협계좌_6개월(20260913).xls</t>
        </is>
      </c>
      <c r="P270" s="69" t="inlineStr">
        <is>
          <t>기존내역</t>
        </is>
      </c>
    </row>
    <row r="271">
      <c r="A271" s="146" t="n">
        <v>46295.55912037037</v>
      </c>
      <c r="B271" s="147" t="n">
        <v>46295</v>
      </c>
      <c r="C271" s="67" t="inlineStr">
        <is>
          <t>우리은행</t>
        </is>
      </c>
      <c r="D271" s="67" t="inlineStr">
        <is>
          <t>우리 220351</t>
        </is>
      </c>
      <c r="E271" s="148" t="n">
        <v>9350870</v>
      </c>
      <c r="F271" s="148" t="n">
        <v>0</v>
      </c>
      <c r="G271" s="148" t="n">
        <v>3080070</v>
      </c>
      <c r="H271" s="75" t="inlineStr">
        <is>
          <t>인터넷</t>
        </is>
      </c>
      <c r="I271" s="75" t="inlineStr">
        <is>
          <t>한진-주식회사</t>
        </is>
      </c>
      <c r="J271" s="75" t="inlineStr">
        <is>
          <t>성서공단금융센터</t>
        </is>
      </c>
      <c r="K271" s="67" t="inlineStr">
        <is>
          <t>기타지출</t>
        </is>
      </c>
      <c r="L271" s="67" t="inlineStr">
        <is>
          <t>N</t>
        </is>
      </c>
      <c r="M271" s="67" t="inlineStr">
        <is>
          <t>N</t>
        </is>
      </c>
      <c r="N271" s="148" t="n">
        <v>-9350870</v>
      </c>
      <c r="O271" s="67" t="inlineStr">
        <is>
          <t>농협계좌_6개월(20260913).xls</t>
        </is>
      </c>
      <c r="P271" s="69" t="inlineStr">
        <is>
          <t>기존내역</t>
        </is>
      </c>
    </row>
    <row r="272">
      <c r="A272" s="146" t="n">
        <v>46295.56886574074</v>
      </c>
      <c r="B272" s="147" t="n">
        <v>46295</v>
      </c>
      <c r="C272" s="67" t="inlineStr">
        <is>
          <t>국민은행</t>
        </is>
      </c>
      <c r="D272" s="67" t="inlineStr">
        <is>
          <t>국민 154577</t>
        </is>
      </c>
      <c r="E272" s="148" t="n">
        <v>0</v>
      </c>
      <c r="F272" s="148" t="n">
        <v>20000000</v>
      </c>
      <c r="G272" s="148" t="n">
        <v>71102948</v>
      </c>
      <c r="H272" s="75" t="inlineStr">
        <is>
          <t>대체입금</t>
        </is>
      </c>
      <c r="I272" s="75" t="inlineStr">
        <is>
          <t>(주)에이팜건강</t>
        </is>
      </c>
      <c r="J272" s="75" t="inlineStr">
        <is>
          <t>진천역</t>
        </is>
      </c>
      <c r="K272" s="67" t="inlineStr">
        <is>
          <t>기타입금</t>
        </is>
      </c>
      <c r="L272" s="67" t="inlineStr">
        <is>
          <t>N</t>
        </is>
      </c>
      <c r="M272" s="67" t="inlineStr">
        <is>
          <t>N</t>
        </is>
      </c>
      <c r="N272" s="148" t="n">
        <v>20000000</v>
      </c>
      <c r="O272" s="67" t="inlineStr">
        <is>
          <t>농협계좌_6개월(20260913).xls</t>
        </is>
      </c>
      <c r="P272" s="69" t="inlineStr">
        <is>
          <t>기존내역</t>
        </is>
      </c>
    </row>
    <row r="273">
      <c r="A273" s="146" t="n">
        <v>46295.64862268518</v>
      </c>
      <c r="B273" s="147" t="n">
        <v>46295</v>
      </c>
      <c r="C273" s="67" t="inlineStr">
        <is>
          <t>국민은행</t>
        </is>
      </c>
      <c r="D273" s="67" t="inlineStr">
        <is>
          <t>국민 154577</t>
        </is>
      </c>
      <c r="E273" s="148" t="n">
        <v>20000000</v>
      </c>
      <c r="F273" s="148" t="n">
        <v>0</v>
      </c>
      <c r="G273" s="148" t="n">
        <v>51102948</v>
      </c>
      <c r="H273" s="75" t="inlineStr">
        <is>
          <t>스마트출금</t>
        </is>
      </c>
      <c r="I273" s="75" t="inlineStr">
        <is>
          <t>주식회사 서흥헬스케</t>
        </is>
      </c>
      <c r="J273" s="75" t="inlineStr">
        <is>
          <t>진천역</t>
        </is>
      </c>
      <c r="K273" s="67" t="inlineStr">
        <is>
          <t>기타지출</t>
        </is>
      </c>
      <c r="L273" s="67" t="inlineStr">
        <is>
          <t>N</t>
        </is>
      </c>
      <c r="M273" s="67" t="inlineStr">
        <is>
          <t>N</t>
        </is>
      </c>
      <c r="N273" s="148" t="n">
        <v>-20000000</v>
      </c>
      <c r="O273" s="67" t="inlineStr">
        <is>
          <t>국민은행_계좌 조회 6개월(20260913).xls</t>
        </is>
      </c>
      <c r="P273" s="69" t="inlineStr">
        <is>
          <t>기존내역</t>
        </is>
      </c>
    </row>
    <row r="274">
      <c r="A274" s="146" t="n">
        <v>46295.66568287037</v>
      </c>
      <c r="B274" s="147" t="n">
        <v>46295</v>
      </c>
      <c r="C274" s="67" t="inlineStr">
        <is>
          <t>국민은행</t>
        </is>
      </c>
      <c r="D274" s="67" t="inlineStr">
        <is>
          <t>국민 154577</t>
        </is>
      </c>
      <c r="E274" s="148" t="n">
        <v>0</v>
      </c>
      <c r="F274" s="148" t="n">
        <v>66950</v>
      </c>
      <c r="G274" s="148" t="n">
        <v>51169898</v>
      </c>
      <c r="H274" s="75" t="inlineStr">
        <is>
          <t>전자금융</t>
        </is>
      </c>
      <c r="I274" s="75" t="inlineStr">
        <is>
          <t>GS리테일</t>
        </is>
      </c>
      <c r="J274" s="75" t="inlineStr">
        <is>
          <t>우리은행</t>
        </is>
      </c>
      <c r="K274" s="67" t="inlineStr">
        <is>
          <t>기타입금</t>
        </is>
      </c>
      <c r="L274" s="67" t="inlineStr">
        <is>
          <t>N</t>
        </is>
      </c>
      <c r="M274" s="67" t="inlineStr">
        <is>
          <t>N</t>
        </is>
      </c>
      <c r="N274" s="148" t="n">
        <v>66950</v>
      </c>
      <c r="O274" s="67" t="inlineStr">
        <is>
          <t>국민은행_계좌 조회 6개월(20260913).xls</t>
        </is>
      </c>
      <c r="P274" s="69" t="inlineStr">
        <is>
          <t>기존내역</t>
        </is>
      </c>
    </row>
    <row r="275">
      <c r="A275" s="146" t="n">
        <v>46295.71591435185</v>
      </c>
      <c r="B275" s="147" t="n">
        <v>46295</v>
      </c>
      <c r="C275" s="67" t="inlineStr">
        <is>
          <t>국민은행</t>
        </is>
      </c>
      <c r="D275" s="67" t="inlineStr">
        <is>
          <t>국민 154577</t>
        </is>
      </c>
      <c r="E275" s="148" t="n">
        <v>6106420</v>
      </c>
      <c r="F275" s="148" t="n">
        <v>0</v>
      </c>
      <c r="G275" s="148" t="n">
        <v>45063478</v>
      </c>
      <c r="H275" s="75" t="inlineStr">
        <is>
          <t>예약이체</t>
        </is>
      </c>
      <c r="I275" s="75" t="inlineStr">
        <is>
          <t>퇴직예약출금</t>
        </is>
      </c>
      <c r="J275" s="75" t="inlineStr">
        <is>
          <t>진천역</t>
        </is>
      </c>
      <c r="K275" s="67" t="inlineStr">
        <is>
          <t>기타지출</t>
        </is>
      </c>
      <c r="L275" s="67" t="inlineStr">
        <is>
          <t>N</t>
        </is>
      </c>
      <c r="M275" s="67" t="inlineStr">
        <is>
          <t>N</t>
        </is>
      </c>
      <c r="N275" s="148" t="n">
        <v>-6106420</v>
      </c>
      <c r="O275" s="67" t="inlineStr">
        <is>
          <t>국민은행_계좌 조회 6개월(20260913).xls</t>
        </is>
      </c>
      <c r="P275" s="69" t="inlineStr">
        <is>
          <t>기존내역</t>
        </is>
      </c>
    </row>
    <row r="276">
      <c r="A276" s="146" t="n">
        <v>46295.73155092593</v>
      </c>
      <c r="B276" s="147" t="n">
        <v>46295</v>
      </c>
      <c r="C276" s="67" t="inlineStr">
        <is>
          <t>우리은행</t>
        </is>
      </c>
      <c r="D276" s="67" t="inlineStr">
        <is>
          <t>우리 220351</t>
        </is>
      </c>
      <c r="E276" s="148" t="n">
        <v>1210000</v>
      </c>
      <c r="F276" s="148" t="n">
        <v>0</v>
      </c>
      <c r="G276" s="148" t="n">
        <v>1370070</v>
      </c>
      <c r="H276" s="75" t="inlineStr">
        <is>
          <t>인터넷</t>
        </is>
      </c>
      <c r="I276" s="75" t="inlineStr">
        <is>
          <t>국민SA</t>
        </is>
      </c>
      <c r="J276" s="75" t="inlineStr">
        <is>
          <t>성서공단금융센터</t>
        </is>
      </c>
      <c r="K276" s="67" t="inlineStr">
        <is>
          <t>기타지출</t>
        </is>
      </c>
      <c r="L276" s="67" t="inlineStr">
        <is>
          <t>N</t>
        </is>
      </c>
      <c r="M276" s="67" t="inlineStr">
        <is>
          <t>N</t>
        </is>
      </c>
      <c r="N276" s="148" t="n">
        <v>-1210000</v>
      </c>
      <c r="O276" s="67" t="inlineStr">
        <is>
          <t>우리은행 거래내역조회 20260913.xlsx</t>
        </is>
      </c>
      <c r="P276" s="69" t="inlineStr">
        <is>
          <t>기존내역</t>
        </is>
      </c>
    </row>
    <row r="277">
      <c r="A277" s="146" t="n">
        <v>46295.73155092593</v>
      </c>
      <c r="B277" s="147" t="n">
        <v>46295</v>
      </c>
      <c r="C277" s="67" t="inlineStr">
        <is>
          <t>우리은행</t>
        </is>
      </c>
      <c r="D277" s="67" t="inlineStr">
        <is>
          <t>우리 220351</t>
        </is>
      </c>
      <c r="E277" s="148" t="n">
        <v>500000</v>
      </c>
      <c r="F277" s="148" t="n">
        <v>0</v>
      </c>
      <c r="G277" s="148" t="n">
        <v>2580070</v>
      </c>
      <c r="H277" s="75" t="inlineStr">
        <is>
          <t>인터넷</t>
        </is>
      </c>
      <c r="I277" s="75" t="inlineStr">
        <is>
          <t>농협이준이서맘</t>
        </is>
      </c>
      <c r="J277" s="75" t="inlineStr">
        <is>
          <t>성서공단금융센터</t>
        </is>
      </c>
      <c r="K277" s="67" t="inlineStr">
        <is>
          <t>기타지출</t>
        </is>
      </c>
      <c r="L277" s="67" t="inlineStr">
        <is>
          <t>N</t>
        </is>
      </c>
      <c r="M277" s="67" t="inlineStr">
        <is>
          <t>N</t>
        </is>
      </c>
      <c r="N277" s="148" t="n">
        <v>-500000</v>
      </c>
      <c r="O277" s="67" t="inlineStr">
        <is>
          <t>국민은행_계좌 조회 6개월(20260913).xls</t>
        </is>
      </c>
      <c r="P277" s="69" t="inlineStr">
        <is>
          <t>기존내역</t>
        </is>
      </c>
    </row>
    <row r="278">
      <c r="A278" s="146" t="n">
        <v>46295.7315625</v>
      </c>
      <c r="B278" s="147" t="n">
        <v>46295</v>
      </c>
      <c r="C278" s="67" t="inlineStr">
        <is>
          <t>우리은행</t>
        </is>
      </c>
      <c r="D278" s="67" t="inlineStr">
        <is>
          <t>우리 220351</t>
        </is>
      </c>
      <c r="E278" s="148" t="n">
        <v>211640</v>
      </c>
      <c r="F278" s="148" t="n">
        <v>0</v>
      </c>
      <c r="G278" s="148" t="n">
        <v>1158430</v>
      </c>
      <c r="H278" s="75" t="inlineStr">
        <is>
          <t>인터넷</t>
        </is>
      </c>
      <c r="I278" s="75" t="inlineStr">
        <is>
          <t>국민물류관리비</t>
        </is>
      </c>
      <c r="J278" s="75" t="inlineStr">
        <is>
          <t>성서공단금융센터</t>
        </is>
      </c>
      <c r="K278" s="67" t="inlineStr">
        <is>
          <t>기타지출</t>
        </is>
      </c>
      <c r="L278" s="67" t="inlineStr">
        <is>
          <t>N</t>
        </is>
      </c>
      <c r="M278" s="67" t="inlineStr">
        <is>
          <t>N</t>
        </is>
      </c>
      <c r="N278" s="148" t="n">
        <v>-211640</v>
      </c>
      <c r="O278" s="67" t="inlineStr">
        <is>
          <t>국민은행_계좌 조회 6개월(20260913).xls</t>
        </is>
      </c>
      <c r="P278" s="69" t="inlineStr">
        <is>
          <t>기존내역</t>
        </is>
      </c>
    </row>
    <row r="279">
      <c r="A279" s="146" t="n">
        <v>46295.73157407407</v>
      </c>
      <c r="B279" s="147" t="n">
        <v>46295</v>
      </c>
      <c r="C279" s="67" t="inlineStr">
        <is>
          <t>우리은행</t>
        </is>
      </c>
      <c r="D279" s="67" t="inlineStr">
        <is>
          <t>우리 220351</t>
        </is>
      </c>
      <c r="E279" s="148" t="n">
        <v>903320</v>
      </c>
      <c r="F279" s="148" t="n">
        <v>0</v>
      </c>
      <c r="G279" s="148" t="n">
        <v>255110</v>
      </c>
      <c r="H279" s="75" t="inlineStr">
        <is>
          <t>인터넷</t>
        </is>
      </c>
      <c r="I279" s="75" t="inlineStr">
        <is>
          <t>기업흥덕관리비</t>
        </is>
      </c>
      <c r="J279" s="75" t="inlineStr">
        <is>
          <t>성서공단금융센터</t>
        </is>
      </c>
      <c r="K279" s="67" t="inlineStr">
        <is>
          <t>기타지출</t>
        </is>
      </c>
      <c r="L279" s="67" t="inlineStr">
        <is>
          <t>N</t>
        </is>
      </c>
      <c r="M279" s="67" t="inlineStr">
        <is>
          <t>N</t>
        </is>
      </c>
      <c r="N279" s="148" t="n">
        <v>-903320</v>
      </c>
      <c r="O279" s="67" t="inlineStr">
        <is>
          <t>농협계좌_6개월(20260913).xls</t>
        </is>
      </c>
      <c r="P279" s="69" t="inlineStr">
        <is>
          <t>기존내역</t>
        </is>
      </c>
    </row>
    <row r="280">
      <c r="A280" s="146" t="n">
        <v>46295.73158564815</v>
      </c>
      <c r="B280" s="147" t="n">
        <v>46295</v>
      </c>
      <c r="C280" s="67" t="inlineStr">
        <is>
          <t>우리은행</t>
        </is>
      </c>
      <c r="D280" s="67" t="inlineStr">
        <is>
          <t>우리 220351</t>
        </is>
      </c>
      <c r="E280" s="148" t="n">
        <v>91730</v>
      </c>
      <c r="F280" s="148" t="n">
        <v>0</v>
      </c>
      <c r="G280" s="148" t="n">
        <v>163380</v>
      </c>
      <c r="H280" s="75" t="inlineStr">
        <is>
          <t>인터넷</t>
        </is>
      </c>
      <c r="I280" s="75" t="inlineStr">
        <is>
          <t>기업특허법인 다옴</t>
        </is>
      </c>
      <c r="J280" s="75" t="inlineStr">
        <is>
          <t>성서공단금융센터</t>
        </is>
      </c>
      <c r="K280" s="67" t="inlineStr">
        <is>
          <t>기타지출</t>
        </is>
      </c>
      <c r="L280" s="67" t="inlineStr">
        <is>
          <t>N</t>
        </is>
      </c>
      <c r="M280" s="67" t="inlineStr">
        <is>
          <t>N</t>
        </is>
      </c>
      <c r="N280" s="148" t="n">
        <v>-91730</v>
      </c>
      <c r="O280" s="67" t="inlineStr">
        <is>
          <t>국민은행_계좌 조회 6개월(20260913).xls</t>
        </is>
      </c>
      <c r="P280" s="69" t="inlineStr">
        <is>
          <t>기존내역</t>
        </is>
      </c>
    </row>
    <row r="281">
      <c r="A281" s="146" t="n">
        <v>46296.06688657407</v>
      </c>
      <c r="B281" s="147" t="n">
        <v>46296</v>
      </c>
      <c r="C281" s="67" t="inlineStr">
        <is>
          <t>우리은행</t>
        </is>
      </c>
      <c r="D281" s="67" t="inlineStr">
        <is>
          <t>우리 220351</t>
        </is>
      </c>
      <c r="E281" s="148" t="n">
        <v>0</v>
      </c>
      <c r="F281" s="148" t="n">
        <v>4533017</v>
      </c>
      <c r="G281" s="148" t="n">
        <v>4696397</v>
      </c>
      <c r="H281" s="75" t="inlineStr">
        <is>
          <t>펌뱅킹</t>
        </is>
      </c>
      <c r="I281" s="75" t="inlineStr">
        <is>
          <t>스마트스토어정산</t>
        </is>
      </c>
      <c r="J281" s="75" t="inlineStr">
        <is>
          <t>두산타워기업영업지원팀</t>
        </is>
      </c>
      <c r="K281" s="67" t="inlineStr">
        <is>
          <t>온라인매출입금</t>
        </is>
      </c>
      <c r="L281" s="67" t="inlineStr">
        <is>
          <t>N</t>
        </is>
      </c>
      <c r="M281" s="67" t="inlineStr">
        <is>
          <t>N</t>
        </is>
      </c>
      <c r="N281" s="148" t="n">
        <v>4533017</v>
      </c>
      <c r="O281" s="67" t="inlineStr">
        <is>
          <t>국민은행_계좌 조회 6개월(20260913).xls</t>
        </is>
      </c>
      <c r="P281" s="69" t="inlineStr">
        <is>
          <t>기존내역</t>
        </is>
      </c>
    </row>
    <row r="282">
      <c r="A282" s="146" t="n">
        <v>46296.07520833334</v>
      </c>
      <c r="B282" s="147" t="n">
        <v>46296</v>
      </c>
      <c r="C282" s="67" t="inlineStr">
        <is>
          <t>국민은행</t>
        </is>
      </c>
      <c r="D282" s="67" t="inlineStr">
        <is>
          <t>국민 154577</t>
        </is>
      </c>
      <c r="E282" s="148" t="n">
        <v>9000000</v>
      </c>
      <c r="F282" s="148" t="n">
        <v>0</v>
      </c>
      <c r="G282" s="148" t="n">
        <v>36063478</v>
      </c>
      <c r="H282" s="75" t="inlineStr">
        <is>
          <t>스마트출금</t>
        </is>
      </c>
      <c r="I282" s="75" t="inlineStr">
        <is>
          <t>김정원</t>
        </is>
      </c>
      <c r="J282" s="75" t="inlineStr">
        <is>
          <t>진천역</t>
        </is>
      </c>
      <c r="K282" s="67" t="inlineStr">
        <is>
          <t>기타지출</t>
        </is>
      </c>
      <c r="L282" s="67" t="inlineStr">
        <is>
          <t>N</t>
        </is>
      </c>
      <c r="M282" s="67" t="inlineStr">
        <is>
          <t>N</t>
        </is>
      </c>
      <c r="N282" s="148" t="n">
        <v>-9000000</v>
      </c>
      <c r="O282" s="67" t="inlineStr">
        <is>
          <t>국민은행_계좌 조회 6개월(20260913).xls</t>
        </is>
      </c>
      <c r="P282" s="69" t="inlineStr">
        <is>
          <t>기존내역</t>
        </is>
      </c>
    </row>
    <row r="283">
      <c r="A283" s="146" t="n">
        <v>46296.37723379629</v>
      </c>
      <c r="B283" s="147" t="n">
        <v>46296</v>
      </c>
      <c r="C283" s="67" t="inlineStr">
        <is>
          <t>국민은행</t>
        </is>
      </c>
      <c r="D283" s="67" t="inlineStr">
        <is>
          <t>국민 154577</t>
        </is>
      </c>
      <c r="E283" s="148" t="n">
        <v>0</v>
      </c>
      <c r="F283" s="148" t="n">
        <v>251135</v>
      </c>
      <c r="G283" s="148" t="n">
        <v>36314613</v>
      </c>
      <c r="H283" s="75" t="inlineStr">
        <is>
          <t>FBS입금</t>
        </is>
      </c>
      <c r="I283" s="75" t="inlineStr">
        <is>
          <t>카카오페이정산</t>
        </is>
      </c>
      <c r="J283" s="75" t="inlineStr">
        <is>
          <t>ERP사</t>
        </is>
      </c>
      <c r="K283" s="67" t="inlineStr">
        <is>
          <t>온라인매출입금</t>
        </is>
      </c>
      <c r="L283" s="67" t="inlineStr">
        <is>
          <t>N</t>
        </is>
      </c>
      <c r="M283" s="67" t="inlineStr">
        <is>
          <t>N</t>
        </is>
      </c>
      <c r="N283" s="148" t="n">
        <v>251135</v>
      </c>
      <c r="O283" s="67" t="inlineStr">
        <is>
          <t>국민은행_계좌 조회 6개월(20260913).xls</t>
        </is>
      </c>
      <c r="P283" s="69" t="inlineStr">
        <is>
          <t>기존내역</t>
        </is>
      </c>
    </row>
    <row r="284">
      <c r="A284" s="146" t="n">
        <v>46296.46258101852</v>
      </c>
      <c r="B284" s="147" t="n">
        <v>46296</v>
      </c>
      <c r="C284" s="67" t="inlineStr">
        <is>
          <t>국민은행</t>
        </is>
      </c>
      <c r="D284" s="67" t="inlineStr">
        <is>
          <t>국민 154577</t>
        </is>
      </c>
      <c r="E284" s="148" t="n">
        <v>0</v>
      </c>
      <c r="F284" s="148" t="n">
        <v>2872584</v>
      </c>
      <c r="G284" s="148" t="n">
        <v>39187197</v>
      </c>
      <c r="H284" s="75" t="inlineStr">
        <is>
          <t>전자금융</t>
        </is>
      </c>
      <c r="I284" s="75" t="inlineStr">
        <is>
          <t>KG이니시스</t>
        </is>
      </c>
      <c r="J284" s="75" t="inlineStr">
        <is>
          <t>하나은행</t>
        </is>
      </c>
      <c r="K284" s="67" t="inlineStr">
        <is>
          <t>온라인매출입금</t>
        </is>
      </c>
      <c r="L284" s="67" t="inlineStr">
        <is>
          <t>N</t>
        </is>
      </c>
      <c r="M284" s="67" t="inlineStr">
        <is>
          <t>N</t>
        </is>
      </c>
      <c r="N284" s="148" t="n">
        <v>2872584</v>
      </c>
      <c r="O284" s="67" t="inlineStr">
        <is>
          <t>국민은행_계좌 조회 6개월(20260913).xls</t>
        </is>
      </c>
      <c r="P284" s="69" t="inlineStr">
        <is>
          <t>기존내역</t>
        </is>
      </c>
    </row>
    <row r="285">
      <c r="A285" s="146" t="n">
        <v>46296.46618055556</v>
      </c>
      <c r="B285" s="147" t="n">
        <v>46296</v>
      </c>
      <c r="C285" s="67" t="inlineStr">
        <is>
          <t>국민은행</t>
        </is>
      </c>
      <c r="D285" s="67" t="inlineStr">
        <is>
          <t>국민 154577</t>
        </is>
      </c>
      <c r="E285" s="148" t="n">
        <v>0</v>
      </c>
      <c r="F285" s="148" t="n">
        <v>487545</v>
      </c>
      <c r="G285" s="148" t="n">
        <v>39674742</v>
      </c>
      <c r="H285" s="75" t="inlineStr">
        <is>
          <t>전자금융</t>
        </is>
      </c>
      <c r="I285" s="75" t="inlineStr">
        <is>
          <t>KG이니시스</t>
        </is>
      </c>
      <c r="J285" s="75" t="inlineStr">
        <is>
          <t>하나은행</t>
        </is>
      </c>
      <c r="K285" s="67" t="inlineStr">
        <is>
          <t>온라인매출입금</t>
        </is>
      </c>
      <c r="L285" s="67" t="inlineStr">
        <is>
          <t>N</t>
        </is>
      </c>
      <c r="M285" s="67" t="inlineStr">
        <is>
          <t>N</t>
        </is>
      </c>
      <c r="N285" s="148" t="n">
        <v>487545</v>
      </c>
      <c r="O285" s="67" t="inlineStr">
        <is>
          <t>국민은행_계좌 조회 6개월(20260913).xls</t>
        </is>
      </c>
      <c r="P285" s="69" t="inlineStr">
        <is>
          <t>기존내역</t>
        </is>
      </c>
    </row>
    <row r="286">
      <c r="A286" s="146" t="n">
        <v>46296.4759375</v>
      </c>
      <c r="B286" s="147" t="n">
        <v>46296</v>
      </c>
      <c r="C286" s="67" t="inlineStr">
        <is>
          <t>국민은행</t>
        </is>
      </c>
      <c r="D286" s="67" t="inlineStr">
        <is>
          <t>국민 154577</t>
        </is>
      </c>
      <c r="E286" s="148" t="n">
        <v>0</v>
      </c>
      <c r="F286" s="148" t="n">
        <v>444600</v>
      </c>
      <c r="G286" s="148" t="n">
        <v>40821342</v>
      </c>
      <c r="H286" s="75" t="inlineStr">
        <is>
          <t>FBS입금</t>
        </is>
      </c>
      <c r="I286" s="75" t="inlineStr">
        <is>
          <t>쿠팡(주)</t>
        </is>
      </c>
      <c r="J286" s="75" t="inlineStr">
        <is>
          <t>ERP사</t>
        </is>
      </c>
      <c r="K286" s="67" t="inlineStr">
        <is>
          <t>온라인매출입금</t>
        </is>
      </c>
      <c r="L286" s="67" t="inlineStr">
        <is>
          <t>N</t>
        </is>
      </c>
      <c r="M286" s="67" t="inlineStr">
        <is>
          <t>N</t>
        </is>
      </c>
      <c r="N286" s="148" t="n">
        <v>444600</v>
      </c>
      <c r="O286" s="67" t="inlineStr">
        <is>
          <t>국민은행_계좌 조회 6개월(20260913).xls</t>
        </is>
      </c>
      <c r="P286" s="69" t="inlineStr">
        <is>
          <t>기존내역</t>
        </is>
      </c>
    </row>
    <row r="287">
      <c r="A287" s="146" t="n">
        <v>46296.4759375</v>
      </c>
      <c r="B287" s="147" t="n">
        <v>46296</v>
      </c>
      <c r="C287" s="67" t="inlineStr">
        <is>
          <t>국민은행</t>
        </is>
      </c>
      <c r="D287" s="67" t="inlineStr">
        <is>
          <t>국민 154577</t>
        </is>
      </c>
      <c r="E287" s="148" t="n">
        <v>0</v>
      </c>
      <c r="F287" s="148" t="n">
        <v>702000</v>
      </c>
      <c r="G287" s="148" t="n">
        <v>40376742</v>
      </c>
      <c r="H287" s="75" t="inlineStr">
        <is>
          <t>FBS입금</t>
        </is>
      </c>
      <c r="I287" s="75" t="inlineStr">
        <is>
          <t>쿠팡(주)</t>
        </is>
      </c>
      <c r="J287" s="75" t="inlineStr">
        <is>
          <t>ERP사</t>
        </is>
      </c>
      <c r="K287" s="67" t="inlineStr">
        <is>
          <t>온라인매출입금</t>
        </is>
      </c>
      <c r="L287" s="67" t="inlineStr">
        <is>
          <t>N</t>
        </is>
      </c>
      <c r="M287" s="67" t="inlineStr">
        <is>
          <t>N</t>
        </is>
      </c>
      <c r="N287" s="148" t="n">
        <v>702000</v>
      </c>
      <c r="O287" s="67" t="inlineStr">
        <is>
          <t>농협계좌_6개월(20260913).xls</t>
        </is>
      </c>
      <c r="P287" s="69" t="inlineStr">
        <is>
          <t>기존내역</t>
        </is>
      </c>
    </row>
    <row r="288">
      <c r="A288" s="146" t="n">
        <v>46296.50315972222</v>
      </c>
      <c r="B288" s="147" t="n">
        <v>46296</v>
      </c>
      <c r="C288" s="67" t="inlineStr">
        <is>
          <t>농협</t>
        </is>
      </c>
      <c r="D288" s="67" t="inlineStr">
        <is>
          <t>농협 569003</t>
        </is>
      </c>
      <c r="E288" s="148" t="n">
        <v>0</v>
      </c>
      <c r="F288" s="148" t="n">
        <v>20800</v>
      </c>
      <c r="G288" s="148" t="n">
        <v>164214</v>
      </c>
      <c r="H288" s="75" t="inlineStr">
        <is>
          <t>PC토스뱅크</t>
        </is>
      </c>
      <c r="I288" s="75" t="inlineStr">
        <is>
          <t>신민경</t>
        </is>
      </c>
      <c r="J288" s="75" t="inlineStr">
        <is>
          <t>토스뱅크 0925004</t>
        </is>
      </c>
      <c r="K288" s="67" t="inlineStr">
        <is>
          <t>기타입금</t>
        </is>
      </c>
      <c r="L288" s="67" t="inlineStr">
        <is>
          <t>N</t>
        </is>
      </c>
      <c r="M288" s="67" t="inlineStr">
        <is>
          <t>N</t>
        </is>
      </c>
      <c r="N288" s="148" t="n">
        <v>20800</v>
      </c>
      <c r="O288" s="67" t="inlineStr">
        <is>
          <t>우리은행 거래내역조회 20260913.xlsx</t>
        </is>
      </c>
      <c r="P288" s="69" t="inlineStr">
        <is>
          <t>기존내역</t>
        </is>
      </c>
    </row>
    <row r="289">
      <c r="A289" s="146" t="n">
        <v>46296.6912037037</v>
      </c>
      <c r="B289" s="147" t="n">
        <v>46296</v>
      </c>
      <c r="C289" s="67" t="inlineStr">
        <is>
          <t>국민은행</t>
        </is>
      </c>
      <c r="D289" s="67" t="inlineStr">
        <is>
          <t>국민 154577</t>
        </is>
      </c>
      <c r="E289" s="148" t="n">
        <v>0</v>
      </c>
      <c r="F289" s="148" t="n">
        <v>6000</v>
      </c>
      <c r="G289" s="148" t="n">
        <v>40827342</v>
      </c>
      <c r="H289" s="75" t="inlineStr">
        <is>
          <t>스마트입금</t>
        </is>
      </c>
      <c r="I289" s="75" t="inlineStr">
        <is>
          <t>강철왕</t>
        </is>
      </c>
      <c r="J289" s="75" t="inlineStr">
        <is>
          <t>여서동</t>
        </is>
      </c>
      <c r="K289" s="67" t="inlineStr">
        <is>
          <t>기타입금</t>
        </is>
      </c>
      <c r="L289" s="67" t="inlineStr">
        <is>
          <t>N</t>
        </is>
      </c>
      <c r="M289" s="67" t="inlineStr">
        <is>
          <t>N</t>
        </is>
      </c>
      <c r="N289" s="148" t="n">
        <v>6000</v>
      </c>
      <c r="O289" s="67" t="inlineStr">
        <is>
          <t>우리은행 거래내역조회 20260913.xlsx</t>
        </is>
      </c>
      <c r="P289" s="69" t="inlineStr">
        <is>
          <t>기존내역</t>
        </is>
      </c>
    </row>
    <row r="290">
      <c r="A290" s="146" t="n">
        <v>46296.7452662037</v>
      </c>
      <c r="B290" s="147" t="n">
        <v>46296</v>
      </c>
      <c r="C290" s="67" t="inlineStr">
        <is>
          <t>우리은행</t>
        </is>
      </c>
      <c r="D290" s="67" t="inlineStr">
        <is>
          <t>우리 220351</t>
        </is>
      </c>
      <c r="E290" s="148" t="n">
        <v>500000</v>
      </c>
      <c r="F290" s="148" t="n">
        <v>0</v>
      </c>
      <c r="G290" s="148" t="n">
        <v>4196397</v>
      </c>
      <c r="H290" s="75" t="inlineStr">
        <is>
          <t>인터넷</t>
        </is>
      </c>
      <c r="I290" s="75" t="inlineStr">
        <is>
          <t>(주)카카오</t>
        </is>
      </c>
      <c r="J290" s="75" t="inlineStr">
        <is>
          <t>성서공단금융센터</t>
        </is>
      </c>
      <c r="K290" s="67" t="inlineStr">
        <is>
          <t>기타지출</t>
        </is>
      </c>
      <c r="L290" s="67" t="inlineStr">
        <is>
          <t>N</t>
        </is>
      </c>
      <c r="M290" s="67" t="inlineStr">
        <is>
          <t>N</t>
        </is>
      </c>
      <c r="N290" s="148" t="n">
        <v>-500000</v>
      </c>
      <c r="O290" s="67" t="inlineStr">
        <is>
          <t>우리은행 거래내역조회 20260913.xlsx</t>
        </is>
      </c>
      <c r="P290" s="69" t="inlineStr">
        <is>
          <t>기존내역</t>
        </is>
      </c>
    </row>
    <row r="291">
      <c r="A291" s="146" t="n">
        <v>46296.74527777778</v>
      </c>
      <c r="B291" s="147" t="n">
        <v>46296</v>
      </c>
      <c r="C291" s="67" t="inlineStr">
        <is>
          <t>우리은행</t>
        </is>
      </c>
      <c r="D291" s="67" t="inlineStr">
        <is>
          <t>우리 220351</t>
        </is>
      </c>
      <c r="E291" s="148" t="n">
        <v>1057320</v>
      </c>
      <c r="F291" s="148" t="n">
        <v>0</v>
      </c>
      <c r="G291" s="148" t="n">
        <v>1995077</v>
      </c>
      <c r="H291" s="75" t="inlineStr">
        <is>
          <t>인터넷</t>
        </is>
      </c>
      <c r="I291" s="75" t="inlineStr">
        <is>
          <t>기업주식회사 샐러드</t>
        </is>
      </c>
      <c r="J291" s="75" t="inlineStr">
        <is>
          <t>성서공단금융센터</t>
        </is>
      </c>
      <c r="K291" s="67" t="inlineStr">
        <is>
          <t>기타지출</t>
        </is>
      </c>
      <c r="L291" s="67" t="inlineStr">
        <is>
          <t>N</t>
        </is>
      </c>
      <c r="M291" s="67" t="inlineStr">
        <is>
          <t>N</t>
        </is>
      </c>
      <c r="N291" s="148" t="n">
        <v>-1057320</v>
      </c>
      <c r="O291" s="67" t="inlineStr">
        <is>
          <t>우리은행 거래내역조회 20260913.xlsx</t>
        </is>
      </c>
      <c r="P291" s="69" t="inlineStr">
        <is>
          <t>기존내역</t>
        </is>
      </c>
    </row>
    <row r="292">
      <c r="A292" s="146" t="n">
        <v>46296.74527777778</v>
      </c>
      <c r="B292" s="147" t="n">
        <v>46296</v>
      </c>
      <c r="C292" s="67" t="inlineStr">
        <is>
          <t>우리은행</t>
        </is>
      </c>
      <c r="D292" s="67" t="inlineStr">
        <is>
          <t>우리 220351</t>
        </is>
      </c>
      <c r="E292" s="148" t="n">
        <v>1144000</v>
      </c>
      <c r="F292" s="148" t="n">
        <v>0</v>
      </c>
      <c r="G292" s="148" t="n">
        <v>3052397</v>
      </c>
      <c r="H292" s="75" t="inlineStr">
        <is>
          <t>인터넷</t>
        </is>
      </c>
      <c r="I292" s="75" t="inlineStr">
        <is>
          <t>국민네이버 apha</t>
        </is>
      </c>
      <c r="J292" s="75" t="inlineStr">
        <is>
          <t>성서공단금융센터</t>
        </is>
      </c>
      <c r="K292" s="67" t="inlineStr">
        <is>
          <t>기타지출</t>
        </is>
      </c>
      <c r="L292" s="67" t="inlineStr">
        <is>
          <t>N</t>
        </is>
      </c>
      <c r="M292" s="67" t="inlineStr">
        <is>
          <t>N</t>
        </is>
      </c>
      <c r="N292" s="148" t="n">
        <v>-1144000</v>
      </c>
      <c r="O292" s="67" t="inlineStr">
        <is>
          <t>우리은행 거래내역조회 20260913.xlsx</t>
        </is>
      </c>
      <c r="P292" s="69" t="inlineStr">
        <is>
          <t>기존내역</t>
        </is>
      </c>
    </row>
    <row r="293">
      <c r="A293" s="146" t="n">
        <v>46296.74528935185</v>
      </c>
      <c r="B293" s="147" t="n">
        <v>46296</v>
      </c>
      <c r="C293" s="67" t="inlineStr">
        <is>
          <t>우리은행</t>
        </is>
      </c>
      <c r="D293" s="67" t="inlineStr">
        <is>
          <t>우리 220351</t>
        </is>
      </c>
      <c r="E293" s="148" t="n">
        <v>880000</v>
      </c>
      <c r="F293" s="148" t="n">
        <v>0</v>
      </c>
      <c r="G293" s="148" t="n">
        <v>1115077</v>
      </c>
      <c r="H293" s="75" t="inlineStr">
        <is>
          <t>인터넷</t>
        </is>
      </c>
      <c r="I293" s="75" t="inlineStr">
        <is>
          <t>국민주식회사 오애드</t>
        </is>
      </c>
      <c r="J293" s="75" t="inlineStr">
        <is>
          <t>성서공단금융센터</t>
        </is>
      </c>
      <c r="K293" s="67" t="inlineStr">
        <is>
          <t>기타지출</t>
        </is>
      </c>
      <c r="L293" s="67" t="inlineStr">
        <is>
          <t>N</t>
        </is>
      </c>
      <c r="M293" s="67" t="inlineStr">
        <is>
          <t>N</t>
        </is>
      </c>
      <c r="N293" s="148" t="n">
        <v>-880000</v>
      </c>
      <c r="O293" s="67" t="inlineStr">
        <is>
          <t>국민은행_계좌 조회 6개월(20260913).xls</t>
        </is>
      </c>
      <c r="P293" s="69" t="inlineStr">
        <is>
          <t>기존내역</t>
        </is>
      </c>
    </row>
    <row r="294">
      <c r="A294" s="146" t="n">
        <v>46296.81741898148</v>
      </c>
      <c r="B294" s="147" t="n">
        <v>46296</v>
      </c>
      <c r="C294" s="67" t="inlineStr">
        <is>
          <t>국민은행</t>
        </is>
      </c>
      <c r="D294" s="67" t="inlineStr">
        <is>
          <t>국민 154577</t>
        </is>
      </c>
      <c r="E294" s="148" t="n">
        <v>2797570</v>
      </c>
      <c r="F294" s="148" t="n">
        <v>0</v>
      </c>
      <c r="G294" s="148" t="n">
        <v>38029772</v>
      </c>
      <c r="H294" s="75" t="inlineStr">
        <is>
          <t>FBS출금</t>
        </is>
      </c>
      <c r="I294" s="75" t="inlineStr">
        <is>
          <t>KB7008</t>
        </is>
      </c>
      <c r="J294" s="75" t="inlineStr">
        <is>
          <t>ERP사</t>
        </is>
      </c>
      <c r="K294" s="67" t="inlineStr">
        <is>
          <t>기타지출</t>
        </is>
      </c>
      <c r="L294" s="67" t="inlineStr">
        <is>
          <t>N</t>
        </is>
      </c>
      <c r="M294" s="67" t="inlineStr">
        <is>
          <t>N</t>
        </is>
      </c>
      <c r="N294" s="148" t="n">
        <v>-2797570</v>
      </c>
      <c r="O294" s="67" t="inlineStr">
        <is>
          <t>국민은행_계좌 조회 6개월(20260913).xls</t>
        </is>
      </c>
      <c r="P294" s="69" t="inlineStr">
        <is>
          <t>기존내역</t>
        </is>
      </c>
    </row>
    <row r="295">
      <c r="A295" s="146" t="n">
        <v>46297.09947916667</v>
      </c>
      <c r="B295" s="147" t="n">
        <v>46297</v>
      </c>
      <c r="C295" s="67" t="inlineStr">
        <is>
          <t>국민은행</t>
        </is>
      </c>
      <c r="D295" s="67" t="inlineStr">
        <is>
          <t>국민 154577</t>
        </is>
      </c>
      <c r="E295" s="148" t="n">
        <v>0</v>
      </c>
      <c r="F295" s="148" t="n">
        <v>96068</v>
      </c>
      <c r="G295" s="148" t="n">
        <v>38125840</v>
      </c>
      <c r="H295" s="75" t="inlineStr">
        <is>
          <t>전자금융</t>
        </is>
      </c>
      <c r="I295" s="75" t="inlineStr">
        <is>
          <t>Npay정산</t>
        </is>
      </c>
      <c r="J295" s="75" t="inlineStr">
        <is>
          <t>SC은행</t>
        </is>
      </c>
      <c r="K295" s="67" t="inlineStr">
        <is>
          <t>온라인매출입금</t>
        </is>
      </c>
      <c r="L295" s="67" t="inlineStr">
        <is>
          <t>N</t>
        </is>
      </c>
      <c r="M295" s="67" t="inlineStr">
        <is>
          <t>N</t>
        </is>
      </c>
      <c r="N295" s="148" t="n">
        <v>96068</v>
      </c>
      <c r="O295" s="67" t="inlineStr">
        <is>
          <t>우리은행 거래내역조회 20260913.xlsx</t>
        </is>
      </c>
      <c r="P295" s="69" t="inlineStr">
        <is>
          <t>기존내역</t>
        </is>
      </c>
    </row>
    <row r="296">
      <c r="A296" s="146" t="n">
        <v>46297.10918981482</v>
      </c>
      <c r="B296" s="147" t="n">
        <v>46297</v>
      </c>
      <c r="C296" s="67" t="inlineStr">
        <is>
          <t>우리은행</t>
        </is>
      </c>
      <c r="D296" s="67" t="inlineStr">
        <is>
          <t>우리 220351</t>
        </is>
      </c>
      <c r="E296" s="148" t="n">
        <v>0</v>
      </c>
      <c r="F296" s="148" t="n">
        <v>5804238</v>
      </c>
      <c r="G296" s="148" t="n">
        <v>6919315</v>
      </c>
      <c r="H296" s="75" t="inlineStr">
        <is>
          <t>펌뱅킹</t>
        </is>
      </c>
      <c r="I296" s="75" t="inlineStr">
        <is>
          <t>스마트스토어정산</t>
        </is>
      </c>
      <c r="J296" s="75" t="inlineStr">
        <is>
          <t>두산타워기업영업지원팀</t>
        </is>
      </c>
      <c r="K296" s="67" t="inlineStr">
        <is>
          <t>온라인매출입금</t>
        </is>
      </c>
      <c r="L296" s="67" t="inlineStr">
        <is>
          <t>N</t>
        </is>
      </c>
      <c r="M296" s="67" t="inlineStr">
        <is>
          <t>N</t>
        </is>
      </c>
      <c r="N296" s="148" t="n">
        <v>5804238</v>
      </c>
      <c r="O296" s="67" t="inlineStr">
        <is>
          <t>국민은행_계좌 조회 6개월(20260913).xls</t>
        </is>
      </c>
      <c r="P296" s="69" t="inlineStr">
        <is>
          <t>기존내역</t>
        </is>
      </c>
    </row>
    <row r="297">
      <c r="A297" s="146" t="n">
        <v>46297.28256944445</v>
      </c>
      <c r="B297" s="147" t="n">
        <v>46297</v>
      </c>
      <c r="C297" s="67" t="inlineStr">
        <is>
          <t>농협</t>
        </is>
      </c>
      <c r="D297" s="67" t="inlineStr">
        <is>
          <t>농협 569003</t>
        </is>
      </c>
      <c r="E297" s="148" t="n">
        <v>0</v>
      </c>
      <c r="F297" s="148" t="n">
        <v>21510</v>
      </c>
      <c r="G297" s="148" t="n">
        <v>185724</v>
      </c>
      <c r="H297" s="75" t="inlineStr">
        <is>
          <t>PC하나은행</t>
        </is>
      </c>
      <c r="I297" s="75" t="inlineStr">
        <is>
          <t>하나90816144</t>
        </is>
      </c>
      <c r="J297" s="75" t="inlineStr">
        <is>
          <t>하나 0811406</t>
        </is>
      </c>
      <c r="K297" s="67" t="inlineStr">
        <is>
          <t>기타입금</t>
        </is>
      </c>
      <c r="L297" s="67" t="inlineStr">
        <is>
          <t>N</t>
        </is>
      </c>
      <c r="M297" s="67" t="inlineStr">
        <is>
          <t>N</t>
        </is>
      </c>
      <c r="N297" s="148" t="n">
        <v>21510</v>
      </c>
      <c r="O297" s="67" t="inlineStr">
        <is>
          <t>농협계좌_6개월(20260913).xls</t>
        </is>
      </c>
      <c r="P297" s="69" t="inlineStr">
        <is>
          <t>기존내역</t>
        </is>
      </c>
    </row>
    <row r="298">
      <c r="A298" s="146" t="n">
        <v>46297.37607638889</v>
      </c>
      <c r="B298" s="147" t="n">
        <v>46297</v>
      </c>
      <c r="C298" s="67" t="inlineStr">
        <is>
          <t>국민은행</t>
        </is>
      </c>
      <c r="D298" s="67" t="inlineStr">
        <is>
          <t>국민 154577</t>
        </is>
      </c>
      <c r="E298" s="148" t="n">
        <v>0</v>
      </c>
      <c r="F298" s="148" t="n">
        <v>330345</v>
      </c>
      <c r="G298" s="148" t="n">
        <v>38456185</v>
      </c>
      <c r="H298" s="75" t="inlineStr">
        <is>
          <t>FBS입금</t>
        </is>
      </c>
      <c r="I298" s="75" t="inlineStr">
        <is>
          <t>카카오페이정산</t>
        </is>
      </c>
      <c r="J298" s="75" t="inlineStr">
        <is>
          <t>ERP사</t>
        </is>
      </c>
      <c r="K298" s="67" t="inlineStr">
        <is>
          <t>온라인매출입금</t>
        </is>
      </c>
      <c r="L298" s="67" t="inlineStr">
        <is>
          <t>N</t>
        </is>
      </c>
      <c r="M298" s="67" t="inlineStr">
        <is>
          <t>N</t>
        </is>
      </c>
      <c r="N298" s="148" t="n">
        <v>330345</v>
      </c>
      <c r="O298" s="67" t="inlineStr">
        <is>
          <t>국민은행_계좌 조회 6개월(20260913).xls</t>
        </is>
      </c>
      <c r="P298" s="69" t="inlineStr">
        <is>
          <t>기존내역</t>
        </is>
      </c>
    </row>
    <row r="299">
      <c r="A299" s="146" t="n">
        <v>46297.45837962963</v>
      </c>
      <c r="B299" s="147" t="n">
        <v>46297</v>
      </c>
      <c r="C299" s="67" t="inlineStr">
        <is>
          <t>국민은행</t>
        </is>
      </c>
      <c r="D299" s="67" t="inlineStr">
        <is>
          <t>국민 154577</t>
        </is>
      </c>
      <c r="E299" s="148" t="n">
        <v>0</v>
      </c>
      <c r="F299" s="148" t="n">
        <v>644436</v>
      </c>
      <c r="G299" s="148" t="n">
        <v>39100621</v>
      </c>
      <c r="H299" s="75" t="inlineStr">
        <is>
          <t>전자금융</t>
        </is>
      </c>
      <c r="I299" s="75" t="inlineStr">
        <is>
          <t>KG이니시스</t>
        </is>
      </c>
      <c r="J299" s="75" t="inlineStr">
        <is>
          <t>하나은행</t>
        </is>
      </c>
      <c r="K299" s="67" t="inlineStr">
        <is>
          <t>온라인매출입금</t>
        </is>
      </c>
      <c r="L299" s="67" t="inlineStr">
        <is>
          <t>N</t>
        </is>
      </c>
      <c r="M299" s="67" t="inlineStr">
        <is>
          <t>N</t>
        </is>
      </c>
      <c r="N299" s="148" t="n">
        <v>644436</v>
      </c>
      <c r="O299" s="67" t="inlineStr">
        <is>
          <t>국민은행_계좌 조회 6개월(20260913).xls</t>
        </is>
      </c>
      <c r="P299" s="69" t="inlineStr">
        <is>
          <t>기존내역</t>
        </is>
      </c>
    </row>
    <row r="300">
      <c r="A300" s="146" t="n">
        <v>46297.46946759259</v>
      </c>
      <c r="B300" s="147" t="n">
        <v>46297</v>
      </c>
      <c r="C300" s="67" t="inlineStr">
        <is>
          <t>국민은행</t>
        </is>
      </c>
      <c r="D300" s="67" t="inlineStr">
        <is>
          <t>국민 154577</t>
        </is>
      </c>
      <c r="E300" s="148" t="n">
        <v>0</v>
      </c>
      <c r="F300" s="148" t="n">
        <v>127804</v>
      </c>
      <c r="G300" s="148" t="n">
        <v>39228425</v>
      </c>
      <c r="H300" s="75" t="inlineStr">
        <is>
          <t>전자금융</t>
        </is>
      </c>
      <c r="I300" s="75" t="inlineStr">
        <is>
          <t>KG이니시스</t>
        </is>
      </c>
      <c r="J300" s="75" t="inlineStr">
        <is>
          <t>하나은행</t>
        </is>
      </c>
      <c r="K300" s="67" t="inlineStr">
        <is>
          <t>온라인매출입금</t>
        </is>
      </c>
      <c r="L300" s="67" t="inlineStr">
        <is>
          <t>N</t>
        </is>
      </c>
      <c r="M300" s="67" t="inlineStr">
        <is>
          <t>N</t>
        </is>
      </c>
      <c r="N300" s="148" t="n">
        <v>127804</v>
      </c>
      <c r="O300" s="67" t="inlineStr">
        <is>
          <t>국민은행_계좌 조회 6개월(20260913).xls</t>
        </is>
      </c>
      <c r="P300" s="69" t="inlineStr">
        <is>
          <t>기존내역</t>
        </is>
      </c>
    </row>
    <row r="301">
      <c r="A301" s="146" t="n">
        <v>46297.4727662037</v>
      </c>
      <c r="B301" s="147" t="n">
        <v>46297</v>
      </c>
      <c r="C301" s="67" t="inlineStr">
        <is>
          <t>국민은행</t>
        </is>
      </c>
      <c r="D301" s="67" t="inlineStr">
        <is>
          <t>국민 154577</t>
        </is>
      </c>
      <c r="E301" s="148" t="n">
        <v>0</v>
      </c>
      <c r="F301" s="148" t="n">
        <v>1214850</v>
      </c>
      <c r="G301" s="148" t="n">
        <v>40443275</v>
      </c>
      <c r="H301" s="75" t="inlineStr">
        <is>
          <t>FBS입금</t>
        </is>
      </c>
      <c r="I301" s="75" t="inlineStr">
        <is>
          <t>쿠팡(주)</t>
        </is>
      </c>
      <c r="J301" s="75" t="inlineStr">
        <is>
          <t>ERP사</t>
        </is>
      </c>
      <c r="K301" s="67" t="inlineStr">
        <is>
          <t>온라인매출입금</t>
        </is>
      </c>
      <c r="L301" s="67" t="inlineStr">
        <is>
          <t>N</t>
        </is>
      </c>
      <c r="M301" s="67" t="inlineStr">
        <is>
          <t>N</t>
        </is>
      </c>
      <c r="N301" s="148" t="n">
        <v>1214850</v>
      </c>
      <c r="O301" s="67" t="inlineStr">
        <is>
          <t>국민은행_계좌 조회 6개월(20260913).xls</t>
        </is>
      </c>
      <c r="P301" s="69" t="inlineStr">
        <is>
          <t>기존내역</t>
        </is>
      </c>
    </row>
    <row r="302">
      <c r="A302" s="146" t="n">
        <v>46297.54731481482</v>
      </c>
      <c r="B302" s="147" t="n">
        <v>46297</v>
      </c>
      <c r="C302" s="67" t="inlineStr">
        <is>
          <t>농협</t>
        </is>
      </c>
      <c r="D302" s="67" t="inlineStr">
        <is>
          <t>농협 569003</t>
        </is>
      </c>
      <c r="E302" s="148" t="n">
        <v>0</v>
      </c>
      <c r="F302" s="148" t="n">
        <v>25000</v>
      </c>
      <c r="G302" s="148" t="n">
        <v>210724</v>
      </c>
      <c r="H302" s="75" t="inlineStr">
        <is>
          <t>폰국민은행</t>
        </is>
      </c>
      <c r="I302" s="75" t="inlineStr">
        <is>
          <t>허수원</t>
        </is>
      </c>
      <c r="J302" s="75" t="inlineStr">
        <is>
          <t>국민 0068398</t>
        </is>
      </c>
      <c r="K302" s="67" t="inlineStr">
        <is>
          <t>기타입금</t>
        </is>
      </c>
      <c r="L302" s="67" t="inlineStr">
        <is>
          <t>N</t>
        </is>
      </c>
      <c r="M302" s="67" t="inlineStr">
        <is>
          <t>N</t>
        </is>
      </c>
      <c r="N302" s="148" t="n">
        <v>25000</v>
      </c>
      <c r="O302" s="67" t="inlineStr">
        <is>
          <t>우리은행 거래내역조회 20260913.xlsx</t>
        </is>
      </c>
      <c r="P302" s="69" t="inlineStr">
        <is>
          <t>기존내역</t>
        </is>
      </c>
    </row>
    <row r="303">
      <c r="A303" s="146" t="n">
        <v>46297.60028935185</v>
      </c>
      <c r="B303" s="147" t="n">
        <v>46297</v>
      </c>
      <c r="C303" s="67" t="inlineStr">
        <is>
          <t>국민은행</t>
        </is>
      </c>
      <c r="D303" s="67" t="inlineStr">
        <is>
          <t>국민 154577</t>
        </is>
      </c>
      <c r="E303" s="148" t="n">
        <v>0</v>
      </c>
      <c r="F303" s="148" t="n">
        <v>56300</v>
      </c>
      <c r="G303" s="148" t="n">
        <v>40499575</v>
      </c>
      <c r="H303" s="75" t="inlineStr">
        <is>
          <t>전자금융</t>
        </is>
      </c>
      <c r="I303" s="75" t="inlineStr">
        <is>
          <t>김소희</t>
        </is>
      </c>
      <c r="J303" s="75" t="inlineStr">
        <is>
          <t>토스뱅크</t>
        </is>
      </c>
      <c r="K303" s="67" t="inlineStr">
        <is>
          <t>기타입금</t>
        </is>
      </c>
      <c r="L303" s="67" t="inlineStr">
        <is>
          <t>N</t>
        </is>
      </c>
      <c r="M303" s="67" t="inlineStr">
        <is>
          <t>N</t>
        </is>
      </c>
      <c r="N303" s="148" t="n">
        <v>56300</v>
      </c>
      <c r="O303" s="67" t="inlineStr">
        <is>
          <t>우리은행 거래내역조회 20260913.xlsx</t>
        </is>
      </c>
      <c r="P303" s="69" t="inlineStr">
        <is>
          <t>기존내역</t>
        </is>
      </c>
    </row>
    <row r="304">
      <c r="A304" s="146" t="n">
        <v>46297.64930555555</v>
      </c>
      <c r="B304" s="147" t="n">
        <v>46297</v>
      </c>
      <c r="C304" s="67" t="inlineStr">
        <is>
          <t>국민은행</t>
        </is>
      </c>
      <c r="D304" s="67" t="inlineStr">
        <is>
          <t>국민 154577</t>
        </is>
      </c>
      <c r="E304" s="148" t="n">
        <v>0</v>
      </c>
      <c r="F304" s="148" t="n">
        <v>444356</v>
      </c>
      <c r="G304" s="148" t="n">
        <v>40943931</v>
      </c>
      <c r="H304" s="75" t="inlineStr">
        <is>
          <t>인터넷입금이체</t>
        </is>
      </c>
      <c r="I304" s="75" t="inlineStr">
        <is>
          <t>(주)씨제이이엔엠</t>
        </is>
      </c>
      <c r="J304" s="75" t="inlineStr">
        <is>
          <t>대1-5</t>
        </is>
      </c>
      <c r="K304" s="67" t="inlineStr">
        <is>
          <t>온라인매출입금</t>
        </is>
      </c>
      <c r="L304" s="67" t="inlineStr">
        <is>
          <t>N</t>
        </is>
      </c>
      <c r="M304" s="67" t="inlineStr">
        <is>
          <t>N</t>
        </is>
      </c>
      <c r="N304" s="148" t="n">
        <v>444356</v>
      </c>
      <c r="O304" s="67" t="inlineStr">
        <is>
          <t>우리은행 거래내역조회 20260913.xlsx</t>
        </is>
      </c>
      <c r="P304" s="69" t="inlineStr">
        <is>
          <t>기존내역</t>
        </is>
      </c>
    </row>
    <row r="305">
      <c r="A305" s="146" t="n">
        <v>46297.72553240741</v>
      </c>
      <c r="B305" s="147" t="n">
        <v>46297</v>
      </c>
      <c r="C305" s="67" t="inlineStr">
        <is>
          <t>우리은행</t>
        </is>
      </c>
      <c r="D305" s="67" t="inlineStr">
        <is>
          <t>우리 220351</t>
        </is>
      </c>
      <c r="E305" s="148" t="n">
        <v>275000</v>
      </c>
      <c r="F305" s="148" t="n">
        <v>0</v>
      </c>
      <c r="G305" s="148" t="n">
        <v>6644315</v>
      </c>
      <c r="H305" s="75" t="inlineStr">
        <is>
          <t>인터넷</t>
        </is>
      </c>
      <c r="I305" s="75" t="inlineStr">
        <is>
          <t>하나남경 노무법인</t>
        </is>
      </c>
      <c r="J305" s="75" t="inlineStr">
        <is>
          <t>성서공단금융센터</t>
        </is>
      </c>
      <c r="K305" s="67" t="inlineStr">
        <is>
          <t>기타지출</t>
        </is>
      </c>
      <c r="L305" s="67" t="inlineStr">
        <is>
          <t>N</t>
        </is>
      </c>
      <c r="M305" s="67" t="inlineStr">
        <is>
          <t>N</t>
        </is>
      </c>
      <c r="N305" s="148" t="n">
        <v>-275000</v>
      </c>
      <c r="O305" s="67" t="inlineStr">
        <is>
          <t>우리은행 거래내역조회 20260913.xlsx</t>
        </is>
      </c>
      <c r="P305" s="69" t="inlineStr">
        <is>
          <t>기존내역</t>
        </is>
      </c>
    </row>
    <row r="306">
      <c r="A306" s="146" t="n">
        <v>46297.72554398148</v>
      </c>
      <c r="B306" s="147" t="n">
        <v>46297</v>
      </c>
      <c r="C306" s="67" t="inlineStr">
        <is>
          <t>우리은행</t>
        </is>
      </c>
      <c r="D306" s="67" t="inlineStr">
        <is>
          <t>우리 220351</t>
        </is>
      </c>
      <c r="E306" s="148" t="n">
        <v>40000</v>
      </c>
      <c r="F306" s="148" t="n">
        <v>0</v>
      </c>
      <c r="G306" s="148" t="n">
        <v>6604315</v>
      </c>
      <c r="H306" s="75" t="inlineStr">
        <is>
          <t>인터넷</t>
        </is>
      </c>
      <c r="I306" s="75" t="inlineStr">
        <is>
          <t>농협이승연</t>
        </is>
      </c>
      <c r="J306" s="75" t="inlineStr">
        <is>
          <t>성서공단금융센터</t>
        </is>
      </c>
      <c r="K306" s="67" t="inlineStr">
        <is>
          <t>기타지출</t>
        </is>
      </c>
      <c r="L306" s="67" t="inlineStr">
        <is>
          <t>N</t>
        </is>
      </c>
      <c r="M306" s="67" t="inlineStr">
        <is>
          <t>N</t>
        </is>
      </c>
      <c r="N306" s="148" t="n">
        <v>-40000</v>
      </c>
      <c r="O306" s="67" t="inlineStr">
        <is>
          <t>농협계좌_6개월(20260913).xls</t>
        </is>
      </c>
      <c r="P306" s="69" t="inlineStr">
        <is>
          <t>기존내역</t>
        </is>
      </c>
    </row>
    <row r="307">
      <c r="A307" s="146" t="n">
        <v>46297.72555555555</v>
      </c>
      <c r="B307" s="147" t="n">
        <v>46297</v>
      </c>
      <c r="C307" s="67" t="inlineStr">
        <is>
          <t>우리은행</t>
        </is>
      </c>
      <c r="D307" s="67" t="inlineStr">
        <is>
          <t>우리 220351</t>
        </is>
      </c>
      <c r="E307" s="148" t="n">
        <v>3718000</v>
      </c>
      <c r="F307" s="148" t="n">
        <v>0</v>
      </c>
      <c r="G307" s="148" t="n">
        <v>2886315</v>
      </c>
      <c r="H307" s="75" t="inlineStr">
        <is>
          <t>인터넷</t>
        </is>
      </c>
      <c r="I307" s="75" t="inlineStr">
        <is>
          <t>국민네이버 apha</t>
        </is>
      </c>
      <c r="J307" s="75" t="inlineStr">
        <is>
          <t>성서공단금융센터</t>
        </is>
      </c>
      <c r="K307" s="67" t="inlineStr">
        <is>
          <t>기타지출</t>
        </is>
      </c>
      <c r="L307" s="67" t="inlineStr">
        <is>
          <t>N</t>
        </is>
      </c>
      <c r="M307" s="67" t="inlineStr">
        <is>
          <t>N</t>
        </is>
      </c>
      <c r="N307" s="148" t="n">
        <v>-3718000</v>
      </c>
      <c r="O307" s="67" t="inlineStr">
        <is>
          <t>국민은행_계좌 조회 6개월(20260913).xls</t>
        </is>
      </c>
      <c r="P307" s="69" t="inlineStr">
        <is>
          <t>기존내역</t>
        </is>
      </c>
    </row>
    <row r="308">
      <c r="A308" s="146" t="n">
        <v>46297.72556712963</v>
      </c>
      <c r="B308" s="147" t="n">
        <v>46297</v>
      </c>
      <c r="C308" s="67" t="inlineStr">
        <is>
          <t>우리은행</t>
        </is>
      </c>
      <c r="D308" s="67" t="inlineStr">
        <is>
          <t>우리 220351</t>
        </is>
      </c>
      <c r="E308" s="148" t="n">
        <v>880000</v>
      </c>
      <c r="F308" s="148" t="n">
        <v>0</v>
      </c>
      <c r="G308" s="148" t="n">
        <v>2006315</v>
      </c>
      <c r="H308" s="75" t="inlineStr">
        <is>
          <t>인터넷</t>
        </is>
      </c>
      <c r="I308" s="75" t="inlineStr">
        <is>
          <t>국민네이버 에이팜건</t>
        </is>
      </c>
      <c r="J308" s="75" t="inlineStr">
        <is>
          <t>성서공단금융센터</t>
        </is>
      </c>
      <c r="K308" s="67" t="inlineStr">
        <is>
          <t>기타지출</t>
        </is>
      </c>
      <c r="L308" s="67" t="inlineStr">
        <is>
          <t>N</t>
        </is>
      </c>
      <c r="M308" s="67" t="inlineStr">
        <is>
          <t>N</t>
        </is>
      </c>
      <c r="N308" s="148" t="n">
        <v>-880000</v>
      </c>
      <c r="O308" s="67" t="inlineStr">
        <is>
          <t>국민은행_계좌 조회 6개월(20260913).xls</t>
        </is>
      </c>
      <c r="P308" s="69" t="inlineStr">
        <is>
          <t>기존내역</t>
        </is>
      </c>
    </row>
    <row r="309">
      <c r="A309" s="146" t="n">
        <v>46297.72557870371</v>
      </c>
      <c r="B309" s="147" t="n">
        <v>46297</v>
      </c>
      <c r="C309" s="67" t="inlineStr">
        <is>
          <t>우리은행</t>
        </is>
      </c>
      <c r="D309" s="67" t="inlineStr">
        <is>
          <t>우리 220351</t>
        </is>
      </c>
      <c r="E309" s="148" t="n">
        <v>1320000</v>
      </c>
      <c r="F309" s="148" t="n">
        <v>0</v>
      </c>
      <c r="G309" s="148" t="n">
        <v>686315</v>
      </c>
      <c r="H309" s="75" t="inlineStr">
        <is>
          <t>인터넷</t>
        </is>
      </c>
      <c r="I309" s="75" t="inlineStr">
        <is>
          <t>국민네이버 ddi5</t>
        </is>
      </c>
      <c r="J309" s="75" t="inlineStr">
        <is>
          <t>성서공단금융센터</t>
        </is>
      </c>
      <c r="K309" s="67" t="inlineStr">
        <is>
          <t>기타지출</t>
        </is>
      </c>
      <c r="L309" s="67" t="inlineStr">
        <is>
          <t>N</t>
        </is>
      </c>
      <c r="M309" s="67" t="inlineStr">
        <is>
          <t>N</t>
        </is>
      </c>
      <c r="N309" s="148" t="n">
        <v>-1320000</v>
      </c>
      <c r="O309" s="67" t="inlineStr">
        <is>
          <t>우리은행 거래내역조회 20260913.xlsx</t>
        </is>
      </c>
      <c r="P309" s="69" t="inlineStr">
        <is>
          <t>기존내역</t>
        </is>
      </c>
    </row>
    <row r="310">
      <c r="A310" s="146" t="n">
        <v>46297.97887731482</v>
      </c>
      <c r="B310" s="147" t="n">
        <v>46297</v>
      </c>
      <c r="C310" s="67" t="inlineStr">
        <is>
          <t>국민은행</t>
        </is>
      </c>
      <c r="D310" s="67" t="inlineStr">
        <is>
          <t>국민 154577</t>
        </is>
      </c>
      <c r="E310" s="148" t="n">
        <v>0</v>
      </c>
      <c r="F310" s="148" t="n">
        <v>2470</v>
      </c>
      <c r="G310" s="148" t="n">
        <v>40946401</v>
      </c>
      <c r="H310" s="75" t="inlineStr">
        <is>
          <t>전자금융</t>
        </is>
      </c>
      <c r="I310" s="75" t="inlineStr">
        <is>
          <t>차다연</t>
        </is>
      </c>
      <c r="J310" s="75" t="inlineStr">
        <is>
          <t>카뱅</t>
        </is>
      </c>
      <c r="K310" s="67" t="inlineStr">
        <is>
          <t>기타입금</t>
        </is>
      </c>
      <c r="L310" s="67" t="inlineStr">
        <is>
          <t>N</t>
        </is>
      </c>
      <c r="M310" s="67" t="inlineStr">
        <is>
          <t>N</t>
        </is>
      </c>
      <c r="N310" s="148" t="n">
        <v>2470</v>
      </c>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12572607</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24396851</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14769134</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10899812</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8365128</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2026-10-04T14:19:35Z</dcterms:modified>
</cp:coreProperties>
</file>