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경영보고" sheetId="1" state="visible" r:id="rId1"/>
    <sheet name="대표보고" sheetId="2" state="visible" r:id="rId2"/>
    <sheet name="요약" sheetId="3" state="visible" r:id="rId3"/>
    <sheet name="업데이트운영" sheetId="4" state="visible" r:id="rId4"/>
    <sheet name="4주일별계획" sheetId="5" state="visible" r:id="rId5"/>
    <sheet name="계좌별시나리오" sheetId="6" state="visible" r:id="rId6"/>
    <sheet name="13주주별계획" sheetId="7" state="hidden" r:id="rId7"/>
    <sheet name="지출계획_취합" sheetId="8" state="visible" r:id="rId8"/>
    <sheet name="에이팜 지출계획" sheetId="9" state="visible" r:id="rId9"/>
    <sheet name="계좌내역통합_RAW" sheetId="10" state="visible" r:id="rId10"/>
    <sheet name="설정및분류" sheetId="11" state="visible" r:id="rId11"/>
  </sheets>
  <definedNames>
    <definedName name="_xlnm._FilterDatabase" localSheetId="0" hidden="1">'경영보고'!$A$72:$I$166</definedName>
    <definedName name="_xlnm.Print_Area" localSheetId="0">'경영보고'!$A$1:$I$181</definedName>
    <definedName name="_xlnm.Print_Area" localSheetId="1">'대표보고'!$A$1:$E$31</definedName>
    <definedName name="_xlnm._FilterDatabase" localSheetId="7" hidden="1">'지출계획_취합'!$A$5:$Q$48</definedName>
  </definedNames>
</workbook>
</file>

<file path=xl/styles.xml><?xml version="1.0" encoding="utf-8"?>
<styleSheet xmlns="http://schemas.openxmlformats.org/spreadsheetml/2006/main">
  <numFmts count="7">
    <numFmt numFmtId="164" formatCode="#,##0&quot;원&quot;"/>
    <numFmt numFmtId="165" formatCode="yyyy-mm-dd"/>
    <numFmt numFmtId="166" formatCode="yyyy-mm-dd hh:mm:ss"/>
    <numFmt numFmtId="167" formatCode="#,##0;[Red]-#,##0"/>
    <numFmt numFmtId="168" formatCode="#,##0;[Red]-#,##0;"/>
    <numFmt numFmtId="169" formatCode="#,##0&quot;원&quot;;-#,##0&quot;원&quot;;"/>
    <numFmt numFmtId="170" formatCode="yyyy-mm-dd h:mm:ss"/>
  </numFmts>
  <fonts count="28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1F4E79"/>
      <sz val="15"/>
    </font>
    <font>
      <name val="맑은 고딕"/>
      <b val="1"/>
      <color rgb="001F4E79"/>
      <sz val="10"/>
    </font>
  </fonts>
  <fills count="22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FEFEF"/>
      </patternFill>
    </fill>
    <fill>
      <patternFill patternType="solid">
        <fgColor rgb="00FFE699"/>
      </patternFill>
    </fill>
  </fills>
  <borders count="44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30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7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7" fontId="16" fillId="10" borderId="19" pivotButton="0" quotePrefix="0" xfId="0"/>
    <xf numFmtId="168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7" fontId="13" fillId="10" borderId="19" pivotButton="0" quotePrefix="0" xfId="0"/>
    <xf numFmtId="3" fontId="13" fillId="12" borderId="19" pivotButton="0" quotePrefix="0" xfId="0"/>
    <xf numFmtId="168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7" fontId="13" fillId="10" borderId="24" pivotButton="0" quotePrefix="0" xfId="0"/>
    <xf numFmtId="3" fontId="13" fillId="12" borderId="24" pivotButton="0" quotePrefix="0" xfId="0"/>
    <xf numFmtId="168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9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4" fontId="13" fillId="12" borderId="19" pivotButton="0" quotePrefix="0" xfId="0"/>
    <xf numFmtId="165" fontId="13" fillId="0" borderId="28" pivotButton="0" quotePrefix="0" xfId="0"/>
    <xf numFmtId="165" fontId="13" fillId="0" borderId="30" pivotButton="0" quotePrefix="0" xfId="0"/>
    <xf numFmtId="0" fontId="13" fillId="0" borderId="25" pivotButton="0" quotePrefix="0" xfId="0"/>
    <xf numFmtId="167" fontId="13" fillId="10" borderId="25" pivotButton="0" quotePrefix="0" xfId="0"/>
    <xf numFmtId="164" fontId="13" fillId="12" borderId="25" pivotButton="0" quotePrefix="0" xfId="0"/>
    <xf numFmtId="168" fontId="13" fillId="11" borderId="25" pivotButton="0" quotePrefix="0" xfId="0"/>
    <xf numFmtId="169" fontId="13" fillId="14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0" fontId="0" fillId="1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7" fontId="13" fillId="0" borderId="19" pivotButton="0" quotePrefix="0" xfId="0"/>
    <xf numFmtId="167" fontId="15" fillId="0" borderId="19" pivotButton="0" quotePrefix="0" xfId="0"/>
    <xf numFmtId="168" fontId="13" fillId="18" borderId="19" pivotButton="0" quotePrefix="0" xfId="0"/>
    <xf numFmtId="168" fontId="13" fillId="19" borderId="19" pivotButton="0" quotePrefix="0" xfId="0"/>
    <xf numFmtId="0" fontId="19" fillId="0" borderId="19" pivotButton="0" quotePrefix="0" xfId="0"/>
    <xf numFmtId="168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7" borderId="35" pivotButton="0" quotePrefix="0" xfId="0"/>
    <xf numFmtId="0" fontId="0" fillId="7" borderId="35" pivotButton="0" quotePrefix="0" xfId="0"/>
    <xf numFmtId="0" fontId="24" fillId="0" borderId="35" pivotButton="0" quotePrefix="0" xfId="0"/>
    <xf numFmtId="3" fontId="24" fillId="0" borderId="35" pivotButton="0" quotePrefix="0" xfId="0"/>
    <xf numFmtId="0" fontId="25" fillId="0" borderId="35" pivotButton="0" quotePrefix="0" xfId="0"/>
    <xf numFmtId="3" fontId="25" fillId="0" borderId="35" pivotButton="0" quotePrefix="0" xfId="0"/>
    <xf numFmtId="0" fontId="12" fillId="7" borderId="35" pivotButton="0" quotePrefix="0" xfId="0"/>
    <xf numFmtId="9" fontId="24" fillId="13" borderId="35" applyAlignment="1" pivotButton="0" quotePrefix="0" xfId="0">
      <alignment horizontal="center" vertical="center"/>
    </xf>
    <xf numFmtId="0" fontId="12" fillId="7" borderId="35" applyAlignment="1" pivotButton="0" quotePrefix="0" xfId="0">
      <alignment horizontal="center" vertical="center"/>
    </xf>
    <xf numFmtId="3" fontId="24" fillId="0" borderId="0" pivotButton="0" quotePrefix="0" xfId="0"/>
    <xf numFmtId="165" fontId="24" fillId="0" borderId="35" pivotButton="0" quotePrefix="0" xfId="0"/>
    <xf numFmtId="0" fontId="24" fillId="0" borderId="35" applyAlignment="1" pivotButton="0" quotePrefix="0" xfId="0">
      <alignment horizontal="center" vertical="center"/>
    </xf>
    <xf numFmtId="3" fontId="24" fillId="20" borderId="35" pivotButton="0" quotePrefix="0" xfId="0"/>
    <xf numFmtId="0" fontId="11" fillId="0" borderId="35" applyAlignment="1" pivotButton="0" quotePrefix="0" xfId="0">
      <alignment horizontal="center" vertical="center"/>
    </xf>
    <xf numFmtId="165" fontId="24" fillId="0" borderId="38" pivotButton="0" quotePrefix="0" xfId="0"/>
    <xf numFmtId="0" fontId="24" fillId="0" borderId="36" applyAlignment="1" pivotButton="0" quotePrefix="0" xfId="0">
      <alignment horizontal="center" vertical="center"/>
    </xf>
    <xf numFmtId="3" fontId="24" fillId="20" borderId="36" pivotButton="0" quotePrefix="0" xfId="0"/>
    <xf numFmtId="3" fontId="24" fillId="0" borderId="36" pivotButton="0" quotePrefix="0" xfId="0"/>
    <xf numFmtId="0" fontId="11" fillId="0" borderId="39" applyAlignment="1" pivotButton="0" quotePrefix="0" xfId="0">
      <alignment horizontal="center" vertical="center"/>
    </xf>
    <xf numFmtId="165" fontId="17" fillId="0" borderId="40" pivotButton="0" quotePrefix="0" xfId="0"/>
    <xf numFmtId="0" fontId="17" fillId="0" borderId="35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165" fontId="24" fillId="0" borderId="40" pivotButton="0" quotePrefix="0" xfId="0"/>
    <xf numFmtId="165" fontId="24" fillId="0" borderId="42" pivotButton="0" quotePrefix="0" xfId="0"/>
    <xf numFmtId="0" fontId="24" fillId="0" borderId="37" applyAlignment="1" pivotButton="0" quotePrefix="0" xfId="0">
      <alignment horizontal="center" vertical="center"/>
    </xf>
    <xf numFmtId="3" fontId="24" fillId="0" borderId="37" pivotButton="0" quotePrefix="0" xfId="0"/>
    <xf numFmtId="0" fontId="17" fillId="0" borderId="43" applyAlignment="1" pivotButton="0" quotePrefix="0" xfId="0">
      <alignment horizontal="center" vertical="center"/>
    </xf>
    <xf numFmtId="165" fontId="17" fillId="0" borderId="35" pivotButton="0" quotePrefix="0" xfId="0"/>
    <xf numFmtId="0" fontId="25" fillId="0" borderId="0" pivotButton="0" quotePrefix="0" xfId="0"/>
    <xf numFmtId="3" fontId="25" fillId="0" borderId="0" pivotButton="0" quotePrefix="0" xfId="0"/>
    <xf numFmtId="0" fontId="25" fillId="0" borderId="0" applyAlignment="1" pivotButton="0" quotePrefix="0" xfId="0">
      <alignment horizontal="left" vertical="center" wrapText="1"/>
    </xf>
    <xf numFmtId="0" fontId="24" fillId="0" borderId="35" applyAlignment="1" pivotButton="0" quotePrefix="0" xfId="0">
      <alignment horizontal="left" vertical="center" wrapText="1"/>
    </xf>
    <xf numFmtId="165" fontId="24" fillId="13" borderId="35" pivotButton="0" quotePrefix="0" xfId="0"/>
    <xf numFmtId="3" fontId="24" fillId="13" borderId="35" pivotButton="0" quotePrefix="0" xfId="0"/>
    <xf numFmtId="0" fontId="25" fillId="0" borderId="0" applyAlignment="1" pivotButton="0" quotePrefix="0" xfId="0">
      <alignment horizontal="center" vertical="center"/>
    </xf>
    <xf numFmtId="3" fontId="24" fillId="21" borderId="35" pivotButton="0" quotePrefix="0" xfId="0"/>
    <xf numFmtId="0" fontId="24" fillId="13" borderId="35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9" fontId="24" fillId="0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11" fillId="0" borderId="35" pivotButton="0" quotePrefix="0" xfId="0"/>
    <xf numFmtId="0" fontId="27" fillId="0" borderId="0" applyAlignment="1" pivotButton="0" quotePrefix="0" xfId="0">
      <alignment horizontal="left" vertical="center" wrapText="1"/>
    </xf>
    <xf numFmtId="167" fontId="15" fillId="10" borderId="19" pivotButton="0" quotePrefix="0" xfId="0"/>
    <xf numFmtId="167" fontId="16" fillId="10" borderId="19" pivotButton="0" quotePrefix="0" xfId="0"/>
    <xf numFmtId="168" fontId="16" fillId="9" borderId="19" pivotButton="0" quotePrefix="0" xfId="0"/>
    <xf numFmtId="167" fontId="13" fillId="10" borderId="19" pivotButton="0" quotePrefix="0" xfId="0"/>
    <xf numFmtId="168" fontId="13" fillId="11" borderId="19" pivotButton="0" quotePrefix="0" xfId="0"/>
    <xf numFmtId="167" fontId="13" fillId="10" borderId="24" pivotButton="0" quotePrefix="0" xfId="0"/>
    <xf numFmtId="168" fontId="13" fillId="11" borderId="24" pivotButton="0" quotePrefix="0" xfId="0"/>
    <xf numFmtId="169" fontId="13" fillId="14" borderId="19" pivotButton="0" quotePrefix="0" xfId="0"/>
    <xf numFmtId="167" fontId="13" fillId="10" borderId="25" pivotButton="0" quotePrefix="0" xfId="0"/>
    <xf numFmtId="168" fontId="13" fillId="11" borderId="25" pivotButton="0" quotePrefix="0" xfId="0"/>
    <xf numFmtId="169" fontId="13" fillId="14" borderId="25" pivotButton="0" quotePrefix="0" xfId="0"/>
    <xf numFmtId="167" fontId="13" fillId="0" borderId="19" pivotButton="0" quotePrefix="0" xfId="0"/>
    <xf numFmtId="167" fontId="15" fillId="0" borderId="19" pivotButton="0" quotePrefix="0" xfId="0"/>
    <xf numFmtId="168" fontId="13" fillId="18" borderId="19" pivotButton="0" quotePrefix="0" xfId="0"/>
    <xf numFmtId="168" fontId="13" fillId="19" borderId="19" pivotButton="0" quotePrefix="0" xfId="0"/>
    <xf numFmtId="168" fontId="13" fillId="0" borderId="0" pivotButton="0" quotePrefix="0" xfId="0"/>
  </cellXfs>
  <cellStyles count="1">
    <cellStyle name="Normal" xfId="0"/>
  </cellStyles>
  <dxfs count="6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ill>
        <patternFill patternType="solid">
          <f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hidden="1" width="12" customWidth="1" min="10" max="10"/>
    <col hidden="1" width="12" customWidth="1" min="11" max="11"/>
  </cols>
  <sheetData>
    <row r="1">
      <c r="A1" s="238" t="inlineStr">
        <is>
          <t>주간 자금 경영보고 — (주)에이팜건강</t>
        </is>
      </c>
    </row>
    <row r="2">
      <c r="A2" s="239" t="inlineStr">
        <is>
          <t>기준주 2026-09-21 (월) ~ 2026-09-27 (일) · 작성 2026-09-23 17:56:01 · 실행일~차주 금요일만 표시 (그 밖의 일자 행은 숨김 — 행 숨기기 해제로 열람 가능)</t>
        </is>
      </c>
    </row>
    <row r="3">
      <c r="A3" s="240" t="inlineStr">
        <is>
          <t>노란 칸(입금 반영률·목표 최저잔액·지출 지급일·금액)을 고치면 아래 모든 수치가 즉시 다시 계산됩니다. ④ 지출예정에서 실지출과 차이 나는 행(주황)은 확인(I열) 드롭다운으로 확인 표시하세요.</t>
        </is>
      </c>
    </row>
    <row r="5">
      <c r="A5" s="241" t="inlineStr">
        <is>
          <t>① 현재 자금 현황</t>
        </is>
      </c>
      <c r="B5" s="242" t="n"/>
      <c r="C5" s="242" t="n"/>
      <c r="D5" s="242" t="n"/>
      <c r="E5" s="242" t="n"/>
      <c r="F5" s="242" t="n"/>
      <c r="G5" s="242" t="n"/>
      <c r="H5" s="242" t="n"/>
      <c r="I5" s="242" t="n"/>
    </row>
    <row r="6">
      <c r="A6" s="243" t="inlineStr">
        <is>
          <t>국민 154577</t>
        </is>
      </c>
      <c r="C6" s="244" t="n">
        <v>35256466</v>
      </c>
      <c r="D6" s="140" t="inlineStr">
        <is>
          <t>최종 거래일 2026-09-23</t>
        </is>
      </c>
    </row>
    <row r="7">
      <c r="A7" s="243" t="inlineStr">
        <is>
          <t>국민 169124</t>
        </is>
      </c>
      <c r="C7" s="244" t="n">
        <v>100687200</v>
      </c>
      <c r="D7" s="140" t="inlineStr">
        <is>
          <t>최종 거래일 2026-09-15</t>
        </is>
      </c>
    </row>
    <row r="8">
      <c r="A8" s="243" t="inlineStr">
        <is>
          <t>농협 569003</t>
        </is>
      </c>
      <c r="C8" s="244" t="n">
        <v>2311495</v>
      </c>
      <c r="D8" s="140" t="inlineStr">
        <is>
          <t>최종 거래일 2026-09-23</t>
        </is>
      </c>
    </row>
    <row r="9">
      <c r="A9" s="243" t="inlineStr">
        <is>
          <t>우리 220351</t>
        </is>
      </c>
      <c r="C9" s="244" t="n">
        <v>0</v>
      </c>
      <c r="D9" s="140" t="inlineStr">
        <is>
          <t>최종 거래일 2026-09-23</t>
        </is>
      </c>
    </row>
    <row r="10">
      <c r="A10" s="245" t="inlineStr">
        <is>
          <t>총잔액</t>
        </is>
      </c>
      <c r="C10" s="246">
        <f>SUM(C6:C9)</f>
        <v/>
      </c>
    </row>
    <row r="12">
      <c r="A12" s="241" t="inlineStr">
        <is>
          <t>② 향후 4주 일별 자금 흐름 (실행일~차주 금요일만 표시 · 계산은 4주 전체)</t>
        </is>
      </c>
      <c r="B12" s="242" t="n"/>
      <c r="C12" s="242" t="n"/>
      <c r="D12" s="242" t="n"/>
      <c r="E12" s="247" t="inlineStr">
        <is>
          <t>입금 반영률</t>
        </is>
      </c>
      <c r="F12" s="248" t="n">
        <v>0.8</v>
      </c>
      <c r="G12" s="242" t="n"/>
      <c r="H12" s="242" t="n"/>
      <c r="I12" s="242" t="n"/>
    </row>
    <row r="13">
      <c r="A13" s="249" t="inlineStr">
        <is>
          <t>일자</t>
        </is>
      </c>
      <c r="B13" s="249" t="inlineStr">
        <is>
          <t>요일</t>
        </is>
      </c>
      <c r="C13" s="249" t="inlineStr">
        <is>
          <t>입금</t>
        </is>
      </c>
      <c r="D13" s="249" t="inlineStr">
        <is>
          <t>지출</t>
        </is>
      </c>
      <c r="E13" s="249" t="inlineStr">
        <is>
          <t>예상잔액</t>
        </is>
      </c>
      <c r="F13" s="249" t="inlineStr">
        <is>
          <t>상태</t>
        </is>
      </c>
      <c r="K13" s="250" t="n">
        <v>96418911</v>
      </c>
    </row>
    <row r="14" hidden="1">
      <c r="A14" s="251" t="n">
        <v>46286</v>
      </c>
      <c r="B14" s="252" t="inlineStr">
        <is>
          <t>월</t>
        </is>
      </c>
      <c r="C14" s="253" t="n">
        <v>60967810</v>
      </c>
      <c r="D14" s="253" t="n">
        <v>16528386</v>
      </c>
      <c r="E14" s="244">
        <f>$K$13+C14-D14</f>
        <v/>
      </c>
      <c r="F14" s="254" t="inlineStr">
        <is>
          <t>실적</t>
        </is>
      </c>
      <c r="J14" s="250" t="n">
        <v>10677756</v>
      </c>
      <c r="K14" s="250" t="n">
        <v>40220000</v>
      </c>
    </row>
    <row r="15" hidden="1">
      <c r="A15" s="251" t="n">
        <v>46287</v>
      </c>
      <c r="B15" s="252" t="inlineStr">
        <is>
          <t>화</t>
        </is>
      </c>
      <c r="C15" s="253" t="n">
        <v>35963982</v>
      </c>
      <c r="D15" s="253" t="n">
        <v>28895517</v>
      </c>
      <c r="E15" s="244">
        <f>E14+C15-D15</f>
        <v/>
      </c>
      <c r="F15" s="254" t="inlineStr">
        <is>
          <t>실적</t>
        </is>
      </c>
      <c r="J15" s="250" t="n">
        <v>22255001</v>
      </c>
      <c r="K15" s="250" t="n">
        <v>529613</v>
      </c>
    </row>
    <row r="16">
      <c r="A16" s="255" t="n">
        <v>46288</v>
      </c>
      <c r="B16" s="256" t="inlineStr">
        <is>
          <t>수</t>
        </is>
      </c>
      <c r="C16" s="257" t="n">
        <v>17829750</v>
      </c>
      <c r="D16" s="257" t="n">
        <v>27501389</v>
      </c>
      <c r="E16" s="258">
        <f>E15+C16-D16</f>
        <v/>
      </c>
      <c r="F16" s="259" t="inlineStr">
        <is>
          <t>실적</t>
        </is>
      </c>
      <c r="J16" s="250" t="n">
        <v>14296943</v>
      </c>
      <c r="K16" s="250" t="n">
        <v>84066</v>
      </c>
    </row>
    <row r="17">
      <c r="A17" s="260" t="n">
        <v>46289</v>
      </c>
      <c r="B17" s="261" t="inlineStr">
        <is>
          <t>목</t>
        </is>
      </c>
      <c r="C17" s="244">
        <f>ROUND(J17*$F$12,0)+K17</f>
        <v/>
      </c>
      <c r="D17" s="244">
        <f>SUMIFS($E$73:$E$166,$A$73:$A$166,A17)</f>
        <v/>
      </c>
      <c r="E17" s="244">
        <f>E16+C17-D17</f>
        <v/>
      </c>
      <c r="F17" s="262">
        <f>IF(E17&lt;0,"부족","")</f>
        <v/>
      </c>
      <c r="J17" s="250" t="n">
        <v>0</v>
      </c>
      <c r="K17" s="250">
        <f>SUMIFS($E$47:$E$68,$A$47:$A$68,A17,$C$47:$C$68,"확정입금")</f>
        <v/>
      </c>
    </row>
    <row r="18">
      <c r="A18" s="260" t="n">
        <v>46290</v>
      </c>
      <c r="B18" s="261" t="inlineStr">
        <is>
          <t>금</t>
        </is>
      </c>
      <c r="C18" s="244">
        <f>ROUND(J18*$F$12,0)+K18</f>
        <v/>
      </c>
      <c r="D18" s="244">
        <f>SUMIFS($E$73:$E$166,$A$73:$A$166,A18)</f>
        <v/>
      </c>
      <c r="E18" s="244">
        <f>E17+C18-D18</f>
        <v/>
      </c>
      <c r="F18" s="262">
        <f>IF(E18&lt;0,"부족","")</f>
        <v/>
      </c>
      <c r="J18" s="250" t="n">
        <v>0</v>
      </c>
      <c r="K18" s="250">
        <f>SUMIFS($E$47:$E$68,$A$47:$A$68,A18,$C$47:$C$68,"확정입금")</f>
        <v/>
      </c>
    </row>
    <row r="19">
      <c r="A19" s="260" t="n">
        <v>46291</v>
      </c>
      <c r="B19" s="261" t="inlineStr">
        <is>
          <t>토</t>
        </is>
      </c>
      <c r="C19" s="244">
        <f>ROUND(J19*$F$12,0)+K19</f>
        <v/>
      </c>
      <c r="D19" s="244">
        <f>SUMIFS($E$73:$E$166,$A$73:$A$166,A19)</f>
        <v/>
      </c>
      <c r="E19" s="244">
        <f>E18+C19-D19</f>
        <v/>
      </c>
      <c r="F19" s="262">
        <f>IF(E19&lt;0,"부족","")</f>
        <v/>
      </c>
      <c r="J19" s="250" t="n">
        <v>0</v>
      </c>
      <c r="K19" s="250">
        <f>SUMIFS($E$47:$E$68,$A$47:$A$68,A19,$C$47:$C$68,"확정입금")</f>
        <v/>
      </c>
    </row>
    <row r="20">
      <c r="A20" s="260" t="n">
        <v>46292</v>
      </c>
      <c r="B20" s="261" t="inlineStr">
        <is>
          <t>일</t>
        </is>
      </c>
      <c r="C20" s="244">
        <f>ROUND(J20*$F$12,0)+K20</f>
        <v/>
      </c>
      <c r="D20" s="244">
        <f>SUMIFS($E$73:$E$166,$A$73:$A$166,A20)</f>
        <v/>
      </c>
      <c r="E20" s="244">
        <f>E19+C20-D20</f>
        <v/>
      </c>
      <c r="F20" s="262">
        <f>IF(E20&lt;0,"부족","")</f>
        <v/>
      </c>
      <c r="J20" s="250" t="n">
        <v>0</v>
      </c>
      <c r="K20" s="250">
        <f>SUMIFS($E$47:$E$68,$A$47:$A$68,A20,$C$47:$C$68,"확정입금")</f>
        <v/>
      </c>
    </row>
    <row r="21">
      <c r="A21" s="263" t="n">
        <v>46293</v>
      </c>
      <c r="B21" s="252" t="inlineStr">
        <is>
          <t>월</t>
        </is>
      </c>
      <c r="C21" s="244">
        <f>ROUND(J21*$F$12,0)+K21</f>
        <v/>
      </c>
      <c r="D21" s="244">
        <f>SUMIFS($E$73:$E$166,$A$73:$A$166,A21)+0</f>
        <v/>
      </c>
      <c r="E21" s="244">
        <f>E20+C21-D21</f>
        <v/>
      </c>
      <c r="F21" s="262">
        <f>IF(E21&lt;0,"부족","")</f>
        <v/>
      </c>
      <c r="J21" s="250" t="n">
        <v>10677756</v>
      </c>
      <c r="K21" s="250">
        <f>SUMIFS($E$47:$E$68,$A$47:$A$68,A21,$C$47:$C$68,"확정입금")+0</f>
        <v/>
      </c>
    </row>
    <row r="22">
      <c r="A22" s="263" t="n">
        <v>46294</v>
      </c>
      <c r="B22" s="252" t="inlineStr">
        <is>
          <t>화</t>
        </is>
      </c>
      <c r="C22" s="244">
        <f>ROUND(J22*$F$12,0)+K22</f>
        <v/>
      </c>
      <c r="D22" s="244">
        <f>SUMIFS($E$73:$E$166,$A$73:$A$166,A22)</f>
        <v/>
      </c>
      <c r="E22" s="244">
        <f>E21+C22-D22</f>
        <v/>
      </c>
      <c r="F22" s="262">
        <f>IF(E22&lt;0,"부족","")</f>
        <v/>
      </c>
      <c r="J22" s="250" t="n">
        <v>22255001</v>
      </c>
      <c r="K22" s="250">
        <f>SUMIFS($E$47:$E$68,$A$47:$A$68,A22,$C$47:$C$68,"확정입금")</f>
        <v/>
      </c>
    </row>
    <row r="23">
      <c r="A23" s="263" t="n">
        <v>46295</v>
      </c>
      <c r="B23" s="252" t="inlineStr">
        <is>
          <t>수</t>
        </is>
      </c>
      <c r="C23" s="244">
        <f>ROUND(J23*$F$12,0)+K23</f>
        <v/>
      </c>
      <c r="D23" s="244">
        <f>SUMIFS($E$73:$E$166,$A$73:$A$166,A23)</f>
        <v/>
      </c>
      <c r="E23" s="244">
        <f>E22+C23-D23</f>
        <v/>
      </c>
      <c r="F23" s="262">
        <f>IF(E23&lt;0,"부족","")</f>
        <v/>
      </c>
      <c r="J23" s="250" t="n">
        <v>14296943</v>
      </c>
      <c r="K23" s="250">
        <f>SUMIFS($E$47:$E$68,$A$47:$A$68,A23,$C$47:$C$68,"확정입금")</f>
        <v/>
      </c>
    </row>
    <row r="24">
      <c r="A24" s="263" t="n">
        <v>46296</v>
      </c>
      <c r="B24" s="252" t="inlineStr">
        <is>
          <t>목</t>
        </is>
      </c>
      <c r="C24" s="244">
        <f>ROUND(J24*$F$12,0)+K24</f>
        <v/>
      </c>
      <c r="D24" s="244">
        <f>SUMIFS($E$73:$E$166,$A$73:$A$166,A24)</f>
        <v/>
      </c>
      <c r="E24" s="244">
        <f>E23+C24-D24</f>
        <v/>
      </c>
      <c r="F24" s="262">
        <f>IF(E24&lt;0,"부족","")</f>
        <v/>
      </c>
      <c r="J24" s="250" t="n">
        <v>13264811</v>
      </c>
      <c r="K24" s="250">
        <f>SUMIFS($E$47:$E$68,$A$47:$A$68,A24,$C$47:$C$68,"확정입금")</f>
        <v/>
      </c>
    </row>
    <row r="25">
      <c r="A25" s="264" t="n">
        <v>46297</v>
      </c>
      <c r="B25" s="265" t="inlineStr">
        <is>
          <t>금</t>
        </is>
      </c>
      <c r="C25" s="266">
        <f>ROUND(J25*$F$12,0)+K25</f>
        <v/>
      </c>
      <c r="D25" s="266">
        <f>SUMIFS($E$73:$E$166,$A$73:$A$166,A25)</f>
        <v/>
      </c>
      <c r="E25" s="266">
        <f>E24+C25-D25</f>
        <v/>
      </c>
      <c r="F25" s="267">
        <f>IF(E25&lt;0,"부족","")</f>
        <v/>
      </c>
      <c r="J25" s="250" t="n">
        <v>10320905</v>
      </c>
      <c r="K25" s="250">
        <f>SUMIFS($E$47:$E$68,$A$47:$A$68,A25,$C$47:$C$68,"확정입금")</f>
        <v/>
      </c>
    </row>
    <row r="26" hidden="1">
      <c r="A26" s="268" t="n">
        <v>46298</v>
      </c>
      <c r="B26" s="261" t="inlineStr">
        <is>
          <t>토</t>
        </is>
      </c>
      <c r="C26" s="244">
        <f>ROUND(J26*$F$12,0)+K26</f>
        <v/>
      </c>
      <c r="D26" s="244">
        <f>SUMIFS($E$73:$E$166,$A$73:$A$166,A26)</f>
        <v/>
      </c>
      <c r="E26" s="244">
        <f>E25+C26-D26</f>
        <v/>
      </c>
      <c r="F26" s="261">
        <f>IF(E26&lt;0,"부족","")</f>
        <v/>
      </c>
      <c r="J26" s="250" t="n">
        <v>0</v>
      </c>
      <c r="K26" s="250">
        <f>SUMIFS($E$47:$E$68,$A$47:$A$68,A26,$C$47:$C$68,"확정입금")</f>
        <v/>
      </c>
    </row>
    <row r="27" hidden="1">
      <c r="A27" s="268" t="n">
        <v>46299</v>
      </c>
      <c r="B27" s="261" t="inlineStr">
        <is>
          <t>일</t>
        </is>
      </c>
      <c r="C27" s="244">
        <f>ROUND(J27*$F$12,0)+K27</f>
        <v/>
      </c>
      <c r="D27" s="244">
        <f>SUMIFS($E$73:$E$166,$A$73:$A$166,A27)</f>
        <v/>
      </c>
      <c r="E27" s="244">
        <f>E26+C27-D27</f>
        <v/>
      </c>
      <c r="F27" s="261">
        <f>IF(E27&lt;0,"부족","")</f>
        <v/>
      </c>
      <c r="J27" s="250" t="n">
        <v>0</v>
      </c>
      <c r="K27" s="250">
        <f>SUMIFS($E$47:$E$68,$A$47:$A$68,A27,$C$47:$C$68,"확정입금")</f>
        <v/>
      </c>
    </row>
    <row r="28" hidden="1">
      <c r="A28" s="268" t="n">
        <v>46300</v>
      </c>
      <c r="B28" s="261" t="inlineStr">
        <is>
          <t>월</t>
        </is>
      </c>
      <c r="C28" s="244">
        <f>ROUND(J28*$F$12,0)+K28</f>
        <v/>
      </c>
      <c r="D28" s="244">
        <f>SUMIFS($E$73:$E$166,$A$73:$A$166,A28)</f>
        <v/>
      </c>
      <c r="E28" s="244">
        <f>E27+C28-D28</f>
        <v/>
      </c>
      <c r="F28" s="261">
        <f>IF(E28&lt;0,"부족","")</f>
        <v/>
      </c>
      <c r="J28" s="250" t="n">
        <v>0</v>
      </c>
      <c r="K28" s="250">
        <f>SUMIFS($E$47:$E$68,$A$47:$A$68,A28,$C$47:$C$68,"확정입금")</f>
        <v/>
      </c>
    </row>
    <row r="29" hidden="1">
      <c r="A29" s="251" t="n">
        <v>46301</v>
      </c>
      <c r="B29" s="252" t="inlineStr">
        <is>
          <t>화</t>
        </is>
      </c>
      <c r="C29" s="244">
        <f>ROUND(J29*$F$12,0)+K29</f>
        <v/>
      </c>
      <c r="D29" s="244">
        <f>SUMIFS($E$73:$E$166,$A$73:$A$166,A29)</f>
        <v/>
      </c>
      <c r="E29" s="244">
        <f>E28+C29-D29</f>
        <v/>
      </c>
      <c r="F29" s="261">
        <f>IF(E29&lt;0,"부족","")</f>
        <v/>
      </c>
      <c r="J29" s="250" t="n">
        <v>22255001</v>
      </c>
      <c r="K29" s="250">
        <f>SUMIFS($E$47:$E$68,$A$47:$A$68,A29,$C$47:$C$68,"확정입금")</f>
        <v/>
      </c>
    </row>
    <row r="30" hidden="1">
      <c r="A30" s="251" t="n">
        <v>46302</v>
      </c>
      <c r="B30" s="252" t="inlineStr">
        <is>
          <t>수</t>
        </is>
      </c>
      <c r="C30" s="244">
        <f>ROUND(J30*$F$12,0)+K30</f>
        <v/>
      </c>
      <c r="D30" s="244">
        <f>SUMIFS($E$73:$E$166,$A$73:$A$166,A30)</f>
        <v/>
      </c>
      <c r="E30" s="244">
        <f>E29+C30-D30</f>
        <v/>
      </c>
      <c r="F30" s="261">
        <f>IF(E30&lt;0,"부족","")</f>
        <v/>
      </c>
      <c r="J30" s="250" t="n">
        <v>14296943</v>
      </c>
      <c r="K30" s="250">
        <f>SUMIFS($E$47:$E$68,$A$47:$A$68,A30,$C$47:$C$68,"확정입금")</f>
        <v/>
      </c>
    </row>
    <row r="31" hidden="1">
      <c r="A31" s="251" t="n">
        <v>46303</v>
      </c>
      <c r="B31" s="252" t="inlineStr">
        <is>
          <t>목</t>
        </is>
      </c>
      <c r="C31" s="244">
        <f>ROUND(J31*$F$12,0)+K31</f>
        <v/>
      </c>
      <c r="D31" s="244">
        <f>SUMIFS($E$73:$E$166,$A$73:$A$166,A31)</f>
        <v/>
      </c>
      <c r="E31" s="244">
        <f>E30+C31-D31</f>
        <v/>
      </c>
      <c r="F31" s="261">
        <f>IF(E31&lt;0,"부족","")</f>
        <v/>
      </c>
      <c r="J31" s="250" t="n">
        <v>13264811</v>
      </c>
      <c r="K31" s="250">
        <f>SUMIFS($E$47:$E$68,$A$47:$A$68,A31,$C$47:$C$68,"확정입금")</f>
        <v/>
      </c>
    </row>
    <row r="32" hidden="1">
      <c r="A32" s="268" t="n">
        <v>46304</v>
      </c>
      <c r="B32" s="261" t="inlineStr">
        <is>
          <t>금</t>
        </is>
      </c>
      <c r="C32" s="244">
        <f>ROUND(J32*$F$12,0)+K32</f>
        <v/>
      </c>
      <c r="D32" s="244">
        <f>SUMIFS($E$73:$E$166,$A$73:$A$166,A32)</f>
        <v/>
      </c>
      <c r="E32" s="244">
        <f>E31+C32-D32</f>
        <v/>
      </c>
      <c r="F32" s="261">
        <f>IF(E32&lt;0,"부족","")</f>
        <v/>
      </c>
      <c r="J32" s="250" t="n">
        <v>0</v>
      </c>
      <c r="K32" s="250">
        <f>SUMIFS($E$47:$E$68,$A$47:$A$68,A32,$C$47:$C$68,"확정입금")</f>
        <v/>
      </c>
    </row>
    <row r="33" hidden="1">
      <c r="A33" s="268" t="n">
        <v>46305</v>
      </c>
      <c r="B33" s="261" t="inlineStr">
        <is>
          <t>토</t>
        </is>
      </c>
      <c r="C33" s="244">
        <f>ROUND(J33*$F$12,0)+K33</f>
        <v/>
      </c>
      <c r="D33" s="244">
        <f>SUMIFS($E$73:$E$166,$A$73:$A$166,A33)</f>
        <v/>
      </c>
      <c r="E33" s="244">
        <f>E32+C33-D33</f>
        <v/>
      </c>
      <c r="F33" s="261">
        <f>IF(E33&lt;0,"부족","")</f>
        <v/>
      </c>
      <c r="J33" s="250" t="n">
        <v>0</v>
      </c>
      <c r="K33" s="250">
        <f>SUMIFS($E$47:$E$68,$A$47:$A$68,A33,$C$47:$C$68,"확정입금")</f>
        <v/>
      </c>
    </row>
    <row r="34" hidden="1">
      <c r="A34" s="268" t="n">
        <v>46306</v>
      </c>
      <c r="B34" s="261" t="inlineStr">
        <is>
          <t>일</t>
        </is>
      </c>
      <c r="C34" s="244">
        <f>ROUND(J34*$F$12,0)+K34</f>
        <v/>
      </c>
      <c r="D34" s="244">
        <f>SUMIFS($E$73:$E$166,$A$73:$A$166,A34)</f>
        <v/>
      </c>
      <c r="E34" s="244">
        <f>E33+C34-D34</f>
        <v/>
      </c>
      <c r="F34" s="261">
        <f>IF(E34&lt;0,"부족","")</f>
        <v/>
      </c>
      <c r="J34" s="250" t="n">
        <v>0</v>
      </c>
      <c r="K34" s="250">
        <f>SUMIFS($E$47:$E$68,$A$47:$A$68,A34,$C$47:$C$68,"확정입금")</f>
        <v/>
      </c>
    </row>
    <row r="35" hidden="1">
      <c r="A35" s="251" t="n">
        <v>46307</v>
      </c>
      <c r="B35" s="252" t="inlineStr">
        <is>
          <t>월</t>
        </is>
      </c>
      <c r="C35" s="244">
        <f>ROUND(J35*$F$12,0)+K35</f>
        <v/>
      </c>
      <c r="D35" s="244">
        <f>SUMIFS($E$73:$E$166,$A$73:$A$166,A35)</f>
        <v/>
      </c>
      <c r="E35" s="244">
        <f>E34+C35-D35</f>
        <v/>
      </c>
      <c r="F35" s="261">
        <f>IF(E35&lt;0,"부족","")</f>
        <v/>
      </c>
      <c r="J35" s="250" t="n">
        <v>10677756</v>
      </c>
      <c r="K35" s="250">
        <f>SUMIFS($E$47:$E$68,$A$47:$A$68,A35,$C$47:$C$68,"확정입금")</f>
        <v/>
      </c>
    </row>
    <row r="36" hidden="1">
      <c r="A36" s="251" t="n">
        <v>46308</v>
      </c>
      <c r="B36" s="252" t="inlineStr">
        <is>
          <t>화</t>
        </is>
      </c>
      <c r="C36" s="244">
        <f>ROUND(J36*$F$12,0)+K36</f>
        <v/>
      </c>
      <c r="D36" s="244">
        <f>SUMIFS($E$73:$E$166,$A$73:$A$166,A36)</f>
        <v/>
      </c>
      <c r="E36" s="244">
        <f>E35+C36-D36</f>
        <v/>
      </c>
      <c r="F36" s="261">
        <f>IF(E36&lt;0,"부족","")</f>
        <v/>
      </c>
      <c r="J36" s="250" t="n">
        <v>22255001</v>
      </c>
      <c r="K36" s="250">
        <f>SUMIFS($E$47:$E$68,$A$47:$A$68,A36,$C$47:$C$68,"확정입금")</f>
        <v/>
      </c>
    </row>
    <row r="37" hidden="1">
      <c r="A37" s="251" t="n">
        <v>46309</v>
      </c>
      <c r="B37" s="252" t="inlineStr">
        <is>
          <t>수</t>
        </is>
      </c>
      <c r="C37" s="244">
        <f>ROUND(J37*$F$12,0)+K37</f>
        <v/>
      </c>
      <c r="D37" s="244">
        <f>SUMIFS($E$73:$E$166,$A$73:$A$166,A37)</f>
        <v/>
      </c>
      <c r="E37" s="244">
        <f>E36+C37-D37</f>
        <v/>
      </c>
      <c r="F37" s="261">
        <f>IF(E37&lt;0,"부족","")</f>
        <v/>
      </c>
      <c r="J37" s="250" t="n">
        <v>14296943</v>
      </c>
      <c r="K37" s="250">
        <f>SUMIFS($E$47:$E$68,$A$47:$A$68,A37,$C$47:$C$68,"확정입금")</f>
        <v/>
      </c>
    </row>
    <row r="38" hidden="1">
      <c r="A38" s="251" t="n">
        <v>46310</v>
      </c>
      <c r="B38" s="252" t="inlineStr">
        <is>
          <t>목</t>
        </is>
      </c>
      <c r="C38" s="244">
        <f>ROUND(J38*$F$12,0)+K38</f>
        <v/>
      </c>
      <c r="D38" s="244">
        <f>SUMIFS($E$73:$E$166,$A$73:$A$166,A38)</f>
        <v/>
      </c>
      <c r="E38" s="244">
        <f>E37+C38-D38</f>
        <v/>
      </c>
      <c r="F38" s="261">
        <f>IF(E38&lt;0,"부족","")</f>
        <v/>
      </c>
      <c r="J38" s="250" t="n">
        <v>13264811</v>
      </c>
      <c r="K38" s="250">
        <f>SUMIFS($E$47:$E$68,$A$47:$A$68,A38,$C$47:$C$68,"확정입금")</f>
        <v/>
      </c>
    </row>
    <row r="39" hidden="1">
      <c r="A39" s="251" t="n">
        <v>46311</v>
      </c>
      <c r="B39" s="252" t="inlineStr">
        <is>
          <t>금</t>
        </is>
      </c>
      <c r="C39" s="244">
        <f>ROUND(J39*$F$12,0)+K39</f>
        <v/>
      </c>
      <c r="D39" s="244">
        <f>SUMIFS($E$73:$E$166,$A$73:$A$166,A39)</f>
        <v/>
      </c>
      <c r="E39" s="244">
        <f>E38+C39-D39</f>
        <v/>
      </c>
      <c r="F39" s="261">
        <f>IF(E39&lt;0,"부족","")</f>
        <v/>
      </c>
      <c r="J39" s="250" t="n">
        <v>10320905</v>
      </c>
      <c r="K39" s="250">
        <f>SUMIFS($E$47:$E$68,$A$47:$A$68,A39,$C$47:$C$68,"확정입금")</f>
        <v/>
      </c>
    </row>
    <row r="40" hidden="1">
      <c r="A40" s="268" t="n">
        <v>46312</v>
      </c>
      <c r="B40" s="261" t="inlineStr">
        <is>
          <t>토</t>
        </is>
      </c>
      <c r="C40" s="244">
        <f>ROUND(J40*$F$12,0)+K40</f>
        <v/>
      </c>
      <c r="D40" s="244">
        <f>SUMIFS($E$73:$E$166,$A$73:$A$166,A40)</f>
        <v/>
      </c>
      <c r="E40" s="244">
        <f>E39+C40-D40</f>
        <v/>
      </c>
      <c r="F40" s="261">
        <f>IF(E40&lt;0,"부족","")</f>
        <v/>
      </c>
      <c r="J40" s="250" t="n">
        <v>0</v>
      </c>
      <c r="K40" s="250">
        <f>SUMIFS($E$47:$E$68,$A$47:$A$68,A40,$C$47:$C$68,"확정입금")</f>
        <v/>
      </c>
    </row>
    <row r="41" hidden="1">
      <c r="A41" s="268" t="n">
        <v>46313</v>
      </c>
      <c r="B41" s="261" t="inlineStr">
        <is>
          <t>일</t>
        </is>
      </c>
      <c r="C41" s="244">
        <f>ROUND(J41*$F$12,0)+K41</f>
        <v/>
      </c>
      <c r="D41" s="244">
        <f>SUMIFS($E$73:$E$166,$A$73:$A$166,A41)</f>
        <v/>
      </c>
      <c r="E41" s="244">
        <f>E40+C41-D41</f>
        <v/>
      </c>
      <c r="F41" s="261">
        <f>IF(E41&lt;0,"부족","")</f>
        <v/>
      </c>
      <c r="J41" s="250" t="n">
        <v>0</v>
      </c>
      <c r="K41" s="250">
        <f>SUMIFS($E$47:$E$68,$A$47:$A$68,A41,$C$47:$C$68,"확정입금")</f>
        <v/>
      </c>
    </row>
    <row r="42">
      <c r="A42" s="269" t="inlineStr">
        <is>
          <t>4주 최저 잔액</t>
        </is>
      </c>
      <c r="C42" s="270">
        <f>MIN(E14:E41)</f>
        <v/>
      </c>
      <c r="D42" s="271" t="inlineStr">
        <is>
          <t>4주 예상 기말잔액</t>
        </is>
      </c>
      <c r="E42" s="270">
        <f>E41</f>
        <v/>
      </c>
    </row>
    <row r="43">
      <c r="A43" s="269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241" t="inlineStr">
        <is>
          <t>③ 반영된 입금예정 (실행일~차주 금요일) — 예상은 반영률(F12) 연동 · 실입금은 은행 확인 값</t>
        </is>
      </c>
      <c r="B45" s="242" t="n"/>
      <c r="C45" s="242" t="n"/>
      <c r="D45" s="242" t="n"/>
      <c r="E45" s="242" t="n"/>
      <c r="F45" s="242" t="n"/>
      <c r="G45" s="242" t="n"/>
      <c r="H45" s="242" t="n"/>
      <c r="I45" s="242" t="n"/>
    </row>
    <row r="46">
      <c r="A46" s="249" t="inlineStr">
        <is>
          <t>입금일</t>
        </is>
      </c>
      <c r="B46" s="249" t="inlineStr">
        <is>
          <t>요일</t>
        </is>
      </c>
      <c r="C46" s="249" t="inlineStr">
        <is>
          <t>구분</t>
        </is>
      </c>
      <c r="D46" s="249" t="inlineStr">
        <is>
          <t>내용</t>
        </is>
      </c>
      <c r="E46" s="249" t="inlineStr">
        <is>
          <t>예상금액</t>
        </is>
      </c>
      <c r="F46" s="249" t="inlineStr">
        <is>
          <t>실입금(은행 확인)</t>
        </is>
      </c>
      <c r="G46" s="249" t="inlineStr">
        <is>
          <t>차이</t>
        </is>
      </c>
    </row>
    <row r="47">
      <c r="A47" s="251" t="n">
        <v>46288</v>
      </c>
      <c r="B47" s="252" t="inlineStr">
        <is>
          <t>수</t>
        </is>
      </c>
      <c r="C47" s="243" t="inlineStr">
        <is>
          <t>온라인 예상</t>
        </is>
      </c>
      <c r="D47" s="272" t="inlineStr">
        <is>
          <t>12주 요일평균 × 반영률</t>
        </is>
      </c>
      <c r="E47" s="244">
        <f>ROUND(J16*$F$12,0)</f>
        <v/>
      </c>
      <c r="F47" s="253" t="n">
        <v>17745684</v>
      </c>
      <c r="G47" s="244">
        <f>IF(OR(F47="",E47=""),"",F47-E47)</f>
        <v/>
      </c>
    </row>
    <row r="48">
      <c r="A48" s="251" t="n">
        <v>46288</v>
      </c>
      <c r="B48" s="252" t="inlineStr">
        <is>
          <t>수</t>
        </is>
      </c>
      <c r="C48" s="243" t="inlineStr">
        <is>
          <t>기타 실입금</t>
        </is>
      </c>
      <c r="D48" s="272" t="inlineStr">
        <is>
          <t>계획 외 입금(은행 확인)</t>
        </is>
      </c>
      <c r="E48" s="243" t="inlineStr"/>
      <c r="F48" s="253" t="n">
        <v>84066</v>
      </c>
      <c r="G48" s="244">
        <f>IF(OR(F48="",E48=""),"",F48-E48)</f>
        <v/>
      </c>
    </row>
    <row r="49">
      <c r="A49" s="268" t="n">
        <v>46289</v>
      </c>
      <c r="B49" s="261" t="inlineStr">
        <is>
          <t>목</t>
        </is>
      </c>
      <c r="C49" s="243" t="inlineStr">
        <is>
          <t>온라인 예상</t>
        </is>
      </c>
      <c r="D49" s="272" t="inlineStr">
        <is>
          <t>12주 요일평균 × 반영률</t>
        </is>
      </c>
      <c r="E49" s="244">
        <f>ROUND(J17*$F$12,0)</f>
        <v/>
      </c>
      <c r="F49" s="243" t="inlineStr"/>
      <c r="G49" s="244">
        <f>IF(OR(F49="",E49=""),"",F49-E49)</f>
        <v/>
      </c>
    </row>
    <row r="50">
      <c r="A50" s="268" t="n">
        <v>46290</v>
      </c>
      <c r="B50" s="261" t="inlineStr">
        <is>
          <t>금</t>
        </is>
      </c>
      <c r="C50" s="243" t="inlineStr">
        <is>
          <t>온라인 예상</t>
        </is>
      </c>
      <c r="D50" s="272" t="inlineStr">
        <is>
          <t>12주 요일평균 × 반영률</t>
        </is>
      </c>
      <c r="E50" s="244">
        <f>ROUND(J18*$F$12,0)</f>
        <v/>
      </c>
      <c r="F50" s="243" t="inlineStr"/>
      <c r="G50" s="244">
        <f>IF(OR(F50="",E50=""),"",F50-E50)</f>
        <v/>
      </c>
    </row>
    <row r="51">
      <c r="A51" s="268" t="n">
        <v>46291</v>
      </c>
      <c r="B51" s="261" t="inlineStr">
        <is>
          <t>토</t>
        </is>
      </c>
      <c r="C51" s="243" t="inlineStr">
        <is>
          <t>온라인 예상</t>
        </is>
      </c>
      <c r="D51" s="272" t="inlineStr">
        <is>
          <t>12주 요일평균 × 반영률</t>
        </is>
      </c>
      <c r="E51" s="244">
        <f>ROUND(J19*$F$12,0)</f>
        <v/>
      </c>
      <c r="F51" s="243" t="inlineStr"/>
      <c r="G51" s="244">
        <f>IF(OR(F51="",E51=""),"",F51-E51)</f>
        <v/>
      </c>
    </row>
    <row r="52">
      <c r="A52" s="268" t="n">
        <v>46292</v>
      </c>
      <c r="B52" s="261" t="inlineStr">
        <is>
          <t>일</t>
        </is>
      </c>
      <c r="C52" s="243" t="inlineStr">
        <is>
          <t>온라인 예상</t>
        </is>
      </c>
      <c r="D52" s="272" t="inlineStr">
        <is>
          <t>12주 요일평균 × 반영률</t>
        </is>
      </c>
      <c r="E52" s="244">
        <f>ROUND(J20*$F$12,0)</f>
        <v/>
      </c>
      <c r="F52" s="243" t="inlineStr"/>
      <c r="G52" s="244">
        <f>IF(OR(F52="",E52=""),"",F52-E52)</f>
        <v/>
      </c>
    </row>
    <row r="53">
      <c r="A53" s="251" t="n">
        <v>46293</v>
      </c>
      <c r="B53" s="252" t="inlineStr">
        <is>
          <t>월</t>
        </is>
      </c>
      <c r="C53" s="243" t="inlineStr">
        <is>
          <t>온라인 예상</t>
        </is>
      </c>
      <c r="D53" s="272" t="inlineStr">
        <is>
          <t>12주 요일평균 × 반영률</t>
        </is>
      </c>
      <c r="E53" s="244">
        <f>ROUND(J21*$F$12,0)</f>
        <v/>
      </c>
      <c r="F53" s="243" t="inlineStr"/>
      <c r="G53" s="244">
        <f>IF(OR(F53="",E53=""),"",F53-E53)</f>
        <v/>
      </c>
    </row>
    <row r="54">
      <c r="A54" s="251" t="n">
        <v>46294</v>
      </c>
      <c r="B54" s="252" t="inlineStr">
        <is>
          <t>화</t>
        </is>
      </c>
      <c r="C54" s="243" t="inlineStr">
        <is>
          <t>온라인 예상</t>
        </is>
      </c>
      <c r="D54" s="272" t="inlineStr">
        <is>
          <t>12주 요일평균 × 반영률</t>
        </is>
      </c>
      <c r="E54" s="244">
        <f>ROUND(J22*$F$12,0)</f>
        <v/>
      </c>
      <c r="F54" s="243" t="inlineStr"/>
      <c r="G54" s="244">
        <f>IF(OR(F54="",E54=""),"",F54-E54)</f>
        <v/>
      </c>
    </row>
    <row r="55">
      <c r="A55" s="251" t="n">
        <v>46295</v>
      </c>
      <c r="B55" s="252" t="inlineStr">
        <is>
          <t>수</t>
        </is>
      </c>
      <c r="C55" s="243" t="inlineStr">
        <is>
          <t>온라인 예상</t>
        </is>
      </c>
      <c r="D55" s="272" t="inlineStr">
        <is>
          <t>12주 요일평균 × 반영률</t>
        </is>
      </c>
      <c r="E55" s="244">
        <f>ROUND(J23*$F$12,0)</f>
        <v/>
      </c>
      <c r="F55" s="243" t="inlineStr"/>
      <c r="G55" s="244">
        <f>IF(OR(F55="",E55=""),"",F55-E55)</f>
        <v/>
      </c>
    </row>
    <row r="56">
      <c r="A56" s="273" t="n">
        <v>46295</v>
      </c>
      <c r="B56" s="252" t="inlineStr">
        <is>
          <t>수</t>
        </is>
      </c>
      <c r="C56" s="243" t="inlineStr">
        <is>
          <t>확정입금</t>
        </is>
      </c>
      <c r="D56" s="272" t="inlineStr">
        <is>
          <t>관계사 외상대 입금 추정(주식회사에이팜, 말일)</t>
        </is>
      </c>
      <c r="E56" s="274" t="n">
        <v>10021867</v>
      </c>
      <c r="F56" s="243" t="inlineStr"/>
      <c r="G56" s="244">
        <f>IF(OR(F56="",E56=""),"",F56-E56)</f>
        <v/>
      </c>
    </row>
    <row r="57">
      <c r="A57" s="251" t="n">
        <v>46296</v>
      </c>
      <c r="B57" s="252" t="inlineStr">
        <is>
          <t>목</t>
        </is>
      </c>
      <c r="C57" s="243" t="inlineStr">
        <is>
          <t>온라인 예상</t>
        </is>
      </c>
      <c r="D57" s="272" t="inlineStr">
        <is>
          <t>12주 요일평균 × 반영률</t>
        </is>
      </c>
      <c r="E57" s="244">
        <f>ROUND(J24*$F$12,0)</f>
        <v/>
      </c>
      <c r="F57" s="243" t="inlineStr"/>
      <c r="G57" s="244">
        <f>IF(OR(F57="",E57=""),"",F57-E57)</f>
        <v/>
      </c>
    </row>
    <row r="58">
      <c r="A58" s="251" t="n">
        <v>46297</v>
      </c>
      <c r="B58" s="252" t="inlineStr">
        <is>
          <t>금</t>
        </is>
      </c>
      <c r="C58" s="243" t="inlineStr">
        <is>
          <t>온라인 예상</t>
        </is>
      </c>
      <c r="D58" s="272" t="inlineStr">
        <is>
          <t>12주 요일평균 × 반영률</t>
        </is>
      </c>
      <c r="E58" s="244">
        <f>ROUND(J25*$F$12,0)</f>
        <v/>
      </c>
      <c r="F58" s="243" t="inlineStr"/>
      <c r="G58" s="244">
        <f>IF(OR(F58="",E58=""),"",F58-E58)</f>
        <v/>
      </c>
    </row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>
      <c r="D69" s="275" t="inlineStr">
        <is>
          <t>합계(표시 구간)</t>
        </is>
      </c>
      <c r="E69" s="270">
        <f>SUM(E47:E68)</f>
        <v/>
      </c>
      <c r="F69" s="270">
        <f>SUM(F47:F68)</f>
        <v/>
      </c>
    </row>
    <row r="71">
      <c r="A71" s="241" t="inlineStr">
        <is>
          <t>④ 반영된 지출예정 (실행일~차주 금요일 표시) — 지급일·금액을 고치면 ②가 다시 계산됩니다 · 실지출과 차이 나는 행(주황)은 확인(I열) 선택</t>
        </is>
      </c>
      <c r="B71" s="242" t="n"/>
      <c r="C71" s="242" t="n"/>
      <c r="D71" s="242" t="n"/>
      <c r="E71" s="242" t="n"/>
      <c r="F71" s="242" t="n"/>
      <c r="G71" s="242" t="n"/>
      <c r="H71" s="242" t="n"/>
      <c r="I71" s="242" t="n"/>
    </row>
    <row r="72">
      <c r="A72" s="249" t="inlineStr">
        <is>
          <t>지급일</t>
        </is>
      </c>
      <c r="B72" s="249" t="inlineStr">
        <is>
          <t>요일</t>
        </is>
      </c>
      <c r="C72" s="249" t="inlineStr">
        <is>
          <t>구분</t>
        </is>
      </c>
      <c r="D72" s="249" t="inlineStr">
        <is>
          <t>내용</t>
        </is>
      </c>
      <c r="E72" s="249" t="inlineStr">
        <is>
          <t>금액</t>
        </is>
      </c>
      <c r="F72" s="249" t="inlineStr">
        <is>
          <t>지급방법</t>
        </is>
      </c>
      <c r="G72" s="249" t="inlineStr">
        <is>
          <t>실지출(은행 확인)</t>
        </is>
      </c>
      <c r="H72" s="249" t="inlineStr">
        <is>
          <t>차이(잔여)</t>
        </is>
      </c>
      <c r="I72" s="249" t="inlineStr">
        <is>
          <t>확인</t>
        </is>
      </c>
    </row>
    <row r="73">
      <c r="A73" s="273" t="n">
        <v>46288</v>
      </c>
      <c r="B73" s="252">
        <f>IF(A73="","",MID("월화수목금토일",WEEKDAY(A73,2),1))</f>
        <v/>
      </c>
      <c r="C73" s="243" t="inlineStr">
        <is>
          <t>경영지원팀</t>
        </is>
      </c>
      <c r="D73" s="272" t="inlineStr">
        <is>
          <t>우리카드 8월 카드대금</t>
        </is>
      </c>
      <c r="E73" s="274" t="n">
        <v>14506389</v>
      </c>
      <c r="F73" s="252" t="inlineStr">
        <is>
          <t>자동이체</t>
        </is>
      </c>
      <c r="G73" s="244" t="n">
        <v>14506389</v>
      </c>
      <c r="H73" s="244">
        <f>IF(G73="","",E73-G73)</f>
        <v/>
      </c>
      <c r="I73" s="252" t="inlineStr"/>
    </row>
    <row r="74">
      <c r="A74" s="273" t="n">
        <v>46288</v>
      </c>
      <c r="B74" s="252">
        <f>IF(A74="","",MID("월화수목금토일",WEEKDAY(A74,2),1))</f>
        <v/>
      </c>
      <c r="C74" s="243" t="inlineStr">
        <is>
          <t>건강사업팀</t>
        </is>
      </c>
      <c r="D74" s="272" t="inlineStr">
        <is>
          <t>네이버SA&amp;GFA 네이버SA&amp;GFA 광고 비용 충전</t>
        </is>
      </c>
      <c r="E74" s="274" t="n">
        <v>8305000</v>
      </c>
      <c r="F74" s="252" t="inlineStr">
        <is>
          <t>계좌송금</t>
        </is>
      </c>
      <c r="G74" s="276" t="n">
        <v>5995000</v>
      </c>
      <c r="H74" s="276">
        <f>IF(G74="","",E74-G74)</f>
        <v/>
      </c>
      <c r="I74" s="277" t="inlineStr"/>
    </row>
    <row r="75">
      <c r="A75" s="273" t="n">
        <v>46288</v>
      </c>
      <c r="B75" s="252">
        <f>IF(A75="","",MID("월화수목금토일",WEEKDAY(A75,2),1))</f>
        <v/>
      </c>
      <c r="C75" s="243" t="inlineStr">
        <is>
          <t>건강사업팀</t>
        </is>
      </c>
      <c r="D75" s="272" t="inlineStr">
        <is>
          <t>인포크비즈니스 베리시톨 인플루언서 비용</t>
        </is>
      </c>
      <c r="E75" s="274" t="n">
        <v>3300000</v>
      </c>
      <c r="F75" s="252" t="inlineStr">
        <is>
          <t>계좌송금</t>
        </is>
      </c>
      <c r="G75" s="276" t="n">
        <v>0</v>
      </c>
      <c r="H75" s="276">
        <f>IF(G75="","",E75-G75)</f>
        <v/>
      </c>
      <c r="I75" s="277" t="inlineStr"/>
    </row>
    <row r="76">
      <c r="A76" s="273" t="n">
        <v>46288</v>
      </c>
      <c r="B76" s="252">
        <f>IF(A76="","",MID("월화수목금토일",WEEKDAY(A76,2),1))</f>
        <v/>
      </c>
      <c r="C76" s="243" t="inlineStr">
        <is>
          <t>경영지원팀</t>
        </is>
      </c>
      <c r="D76" s="272" t="inlineStr">
        <is>
          <t>농협카드 8월 카드대금</t>
        </is>
      </c>
      <c r="E76" s="274" t="n">
        <v>2266495</v>
      </c>
      <c r="F76" s="252" t="inlineStr">
        <is>
          <t>자동이체</t>
        </is>
      </c>
      <c r="G76" s="276" t="n">
        <v>0</v>
      </c>
      <c r="H76" s="276">
        <f>IF(G76="","",E76-G76)</f>
        <v/>
      </c>
      <c r="I76" s="277" t="inlineStr"/>
    </row>
    <row r="77">
      <c r="A77" s="273" t="n">
        <v>46288</v>
      </c>
      <c r="B77" s="252">
        <f>IF(A77="","",MID("월화수목금토일",WEEKDAY(A77,2),1))</f>
        <v/>
      </c>
      <c r="C77" s="243" t="inlineStr">
        <is>
          <t>건강사업팀</t>
        </is>
      </c>
      <c r="D77" s="272" t="inlineStr">
        <is>
          <t>써치엠 메타 광고 대행 수수</t>
        </is>
      </c>
      <c r="E77" s="274" t="n">
        <v>1487786</v>
      </c>
      <c r="F77" s="252" t="inlineStr">
        <is>
          <t>계좌송금</t>
        </is>
      </c>
      <c r="G77" s="276" t="n">
        <v>0</v>
      </c>
      <c r="H77" s="276">
        <f>IF(G77="","",E77-G77)</f>
        <v/>
      </c>
      <c r="I77" s="277" t="inlineStr"/>
    </row>
    <row r="78">
      <c r="A78" s="273" t="n">
        <v>46288</v>
      </c>
      <c r="B78" s="252">
        <f>IF(A78="","",MID("월화수목금토일",WEEKDAY(A78,2),1))</f>
        <v/>
      </c>
      <c r="C78" s="243" t="inlineStr">
        <is>
          <t>경영지원팀</t>
        </is>
      </c>
      <c r="D78" s="272" t="inlineStr">
        <is>
          <t>와이투홀딩스 직원 추석 선물세트 구입</t>
        </is>
      </c>
      <c r="E78" s="274" t="n">
        <v>1023110</v>
      </c>
      <c r="F78" s="252" t="inlineStr">
        <is>
          <t>계좌송금</t>
        </is>
      </c>
      <c r="G78" s="276" t="n">
        <v>0</v>
      </c>
      <c r="H78" s="276">
        <f>IF(G78="","",E78-G78)</f>
        <v/>
      </c>
      <c r="I78" s="277" t="inlineStr"/>
    </row>
    <row r="79">
      <c r="A79" s="273" t="n">
        <v>46288</v>
      </c>
      <c r="B79" s="252">
        <f>IF(A79="","",MID("월화수목금토일",WEEKDAY(A79,2),1))</f>
        <v/>
      </c>
      <c r="C79" s="243" t="inlineStr">
        <is>
          <t>건강사업팀</t>
        </is>
      </c>
      <c r="D79" s="272" t="inlineStr">
        <is>
          <t>ADN ADN 광고-추석 유입</t>
        </is>
      </c>
      <c r="E79" s="274" t="n">
        <v>550000</v>
      </c>
      <c r="F79" s="252" t="inlineStr">
        <is>
          <t>계좌송금</t>
        </is>
      </c>
      <c r="G79" s="276" t="n">
        <v>0</v>
      </c>
      <c r="H79" s="276">
        <f>IF(G79="","",E79-G79)</f>
        <v/>
      </c>
      <c r="I79" s="277" t="inlineStr"/>
    </row>
    <row r="80">
      <c r="A80" s="273" t="n">
        <v>46293</v>
      </c>
      <c r="B80" s="252">
        <f>IF(A80="","",MID("월화수목금토일",WEEKDAY(A80,2),1))</f>
        <v/>
      </c>
      <c r="C80" s="243" t="inlineStr">
        <is>
          <t>경영지원팀</t>
        </is>
      </c>
      <c r="D80" s="272" t="inlineStr">
        <is>
          <t>우리카드 8월 카드대금</t>
        </is>
      </c>
      <c r="E80" s="274" t="n">
        <v>10839960</v>
      </c>
      <c r="F80" s="252" t="inlineStr">
        <is>
          <t>자동이체</t>
        </is>
      </c>
      <c r="G80" s="243" t="inlineStr"/>
      <c r="H80" s="243" t="inlineStr"/>
      <c r="I80" s="243" t="inlineStr"/>
    </row>
    <row r="81">
      <c r="A81" s="273" t="n">
        <v>46293</v>
      </c>
      <c r="B81" s="252">
        <f>IF(A81="","",MID("월화수목금토일",WEEKDAY(A81,2),1))</f>
        <v/>
      </c>
      <c r="C81" s="243" t="inlineStr">
        <is>
          <t>경영지원팀</t>
        </is>
      </c>
      <c r="D81" s="272" t="inlineStr">
        <is>
          <t>농협카드 8월 카드대금</t>
        </is>
      </c>
      <c r="E81" s="274" t="n">
        <v>4610000</v>
      </c>
      <c r="F81" s="252" t="inlineStr">
        <is>
          <t>자동이체</t>
        </is>
      </c>
      <c r="G81" s="243" t="inlineStr"/>
      <c r="H81" s="243" t="inlineStr"/>
      <c r="I81" s="243" t="inlineStr"/>
    </row>
    <row r="82">
      <c r="A82" s="273" t="n">
        <v>46293</v>
      </c>
      <c r="B82" s="252">
        <f>IF(A82="","",MID("월화수목금토일",WEEKDAY(A82,2),1))</f>
        <v/>
      </c>
      <c r="C82" s="243" t="inlineStr">
        <is>
          <t>경영지원팀</t>
        </is>
      </c>
      <c r="D82" s="272" t="inlineStr">
        <is>
          <t>농협카드 8월 카드대금</t>
        </is>
      </c>
      <c r="E82" s="274" t="n">
        <v>4561388</v>
      </c>
      <c r="F82" s="252" t="inlineStr">
        <is>
          <t>자동이체</t>
        </is>
      </c>
      <c r="G82" s="243" t="inlineStr"/>
      <c r="H82" s="243" t="inlineStr"/>
      <c r="I82" s="243" t="inlineStr"/>
    </row>
    <row r="83">
      <c r="A83" s="273" t="n">
        <v>46293</v>
      </c>
      <c r="B83" s="252">
        <f>IF(A83="","",MID("월화수목금토일",WEEKDAY(A83,2),1))</f>
        <v/>
      </c>
      <c r="C83" s="243" t="inlineStr">
        <is>
          <t>경영지원팀</t>
        </is>
      </c>
      <c r="D83" s="272" t="inlineStr">
        <is>
          <t>메트라이프 정기보험_42회차</t>
        </is>
      </c>
      <c r="E83" s="274" t="n">
        <v>2497000</v>
      </c>
      <c r="F83" s="252" t="inlineStr">
        <is>
          <t>자동이체</t>
        </is>
      </c>
      <c r="G83" s="243" t="inlineStr"/>
      <c r="H83" s="243" t="inlineStr"/>
      <c r="I83" s="243" t="inlineStr"/>
    </row>
    <row r="84">
      <c r="A84" s="273" t="n">
        <v>46293</v>
      </c>
      <c r="B84" s="252">
        <f>IF(A84="","",MID("월화수목금토일",WEEKDAY(A84,2),1))</f>
        <v/>
      </c>
      <c r="C84" s="243" t="inlineStr">
        <is>
          <t>데이터사이언스팀</t>
        </is>
      </c>
      <c r="D84" s="272" t="inlineStr">
        <is>
          <t>엘앤에이치컴퍼니 흥덕IT밸리_사무실 임대료</t>
        </is>
      </c>
      <c r="E84" s="274" t="n">
        <v>1650000</v>
      </c>
      <c r="F84" s="252" t="inlineStr">
        <is>
          <t>계좌송금</t>
        </is>
      </c>
      <c r="G84" s="243" t="inlineStr"/>
      <c r="H84" s="243" t="inlineStr"/>
      <c r="I84" s="243" t="inlineStr"/>
    </row>
    <row r="85">
      <c r="A85" s="273" t="n">
        <v>46293</v>
      </c>
      <c r="B85" s="252">
        <f>IF(A85="","",MID("월화수목금토일",WEEKDAY(A85,2),1))</f>
        <v/>
      </c>
      <c r="C85" s="243" t="inlineStr">
        <is>
          <t>경영지원팀</t>
        </is>
      </c>
      <c r="D85" s="272" t="inlineStr">
        <is>
          <t>남경노무법인 인사노무수수료</t>
        </is>
      </c>
      <c r="E85" s="274" t="n">
        <v>275000</v>
      </c>
      <c r="F85" s="252" t="inlineStr">
        <is>
          <t>계좌송금</t>
        </is>
      </c>
      <c r="G85" s="243" t="inlineStr"/>
      <c r="H85" s="243" t="inlineStr"/>
      <c r="I85" s="243" t="inlineStr"/>
    </row>
    <row r="86">
      <c r="A86" s="273" t="n">
        <v>46293</v>
      </c>
      <c r="B86" s="252">
        <f>IF(A86="","",MID("월화수목금토일",WEEKDAY(A86,2),1))</f>
        <v/>
      </c>
      <c r="C86" s="243" t="inlineStr">
        <is>
          <t>경영지원팀</t>
        </is>
      </c>
      <c r="D86" s="272" t="inlineStr">
        <is>
          <t>KT 통신비</t>
        </is>
      </c>
      <c r="E86" s="274" t="n">
        <v>109450</v>
      </c>
      <c r="F86" s="252" t="inlineStr">
        <is>
          <t>자동이체</t>
        </is>
      </c>
      <c r="G86" s="243" t="inlineStr"/>
      <c r="H86" s="243" t="inlineStr"/>
      <c r="I86" s="243" t="inlineStr"/>
    </row>
    <row r="87">
      <c r="A87" s="273" t="n">
        <v>46294</v>
      </c>
      <c r="B87" s="252">
        <f>IF(A87="","",MID("월화수목금토일",WEEKDAY(A87,2),1))</f>
        <v/>
      </c>
      <c r="C87" s="243" t="inlineStr">
        <is>
          <t>건강사업팀</t>
        </is>
      </c>
      <c r="D87" s="272" t="inlineStr">
        <is>
          <t>네이버 네이버 톡톡 발송</t>
        </is>
      </c>
      <c r="E87" s="274" t="n">
        <v>500000</v>
      </c>
      <c r="F87" s="252" t="inlineStr">
        <is>
          <t>계좌송금</t>
        </is>
      </c>
      <c r="G87" s="243" t="inlineStr"/>
      <c r="H87" s="243" t="inlineStr"/>
      <c r="I87" s="243" t="inlineStr"/>
    </row>
    <row r="88">
      <c r="A88" s="273" t="n">
        <v>46294</v>
      </c>
      <c r="B88" s="252">
        <f>IF(A88="","",MID("월화수목금토일",WEEKDAY(A88,2),1))</f>
        <v/>
      </c>
      <c r="C88" s="243" t="inlineStr">
        <is>
          <t>건강사업팀</t>
        </is>
      </c>
      <c r="D88" s="272" t="inlineStr">
        <is>
          <t>정상은(이준이서맘) 인스타그램 효소 홍보</t>
        </is>
      </c>
      <c r="E88" s="274" t="n">
        <v>500000</v>
      </c>
      <c r="F88" s="252" t="inlineStr">
        <is>
          <t>계좌송금</t>
        </is>
      </c>
      <c r="G88" s="243" t="inlineStr"/>
      <c r="H88" s="243" t="inlineStr"/>
      <c r="I88" s="243" t="inlineStr"/>
    </row>
    <row r="89">
      <c r="A89" s="273" t="n">
        <v>46294</v>
      </c>
      <c r="B89" s="252">
        <f>IF(A89="","",MID("월화수목금토일",WEEKDAY(A89,2),1))</f>
        <v/>
      </c>
      <c r="C89" s="243" t="inlineStr">
        <is>
          <t>경영지원팀</t>
        </is>
      </c>
      <c r="D89" s="272" t="inlineStr">
        <is>
          <t>에이팜 이동매출</t>
        </is>
      </c>
      <c r="E89" s="274" t="n">
        <v>143629</v>
      </c>
      <c r="F89" s="252" t="inlineStr">
        <is>
          <t>계좌송금</t>
        </is>
      </c>
      <c r="G89" s="243" t="inlineStr"/>
      <c r="H89" s="243" t="inlineStr"/>
      <c r="I89" s="243" t="inlineStr"/>
    </row>
    <row r="90">
      <c r="A90" s="273" t="n">
        <v>46294</v>
      </c>
      <c r="B90" s="252">
        <f>IF(A90="","",MID("월화수목금토일",WEEKDAY(A90,2),1))</f>
        <v/>
      </c>
      <c r="C90" s="243" t="inlineStr">
        <is>
          <t>건강사업팀</t>
        </is>
      </c>
      <c r="D90" s="272" t="inlineStr">
        <is>
          <t>마고성인권연구소 임신체험키트</t>
        </is>
      </c>
      <c r="E90" s="274" t="n">
        <v>40000</v>
      </c>
      <c r="F90" s="252" t="inlineStr">
        <is>
          <t>계좌송금</t>
        </is>
      </c>
      <c r="G90" s="243" t="inlineStr"/>
      <c r="H90" s="243" t="inlineStr"/>
      <c r="I90" s="243" t="inlineStr"/>
    </row>
    <row r="91">
      <c r="A91" s="273" t="n">
        <v>46295</v>
      </c>
      <c r="B91" s="252">
        <f>IF(A91="","",MID("월화수목금토일",WEEKDAY(A91,2),1))</f>
        <v/>
      </c>
      <c r="C91" s="243" t="inlineStr">
        <is>
          <t>데이터사이언스팀</t>
        </is>
      </c>
      <c r="D91" s="272" t="inlineStr">
        <is>
          <t>흥덕IT밸리 관리위원회 흥덕 사무실 관리비</t>
        </is>
      </c>
      <c r="E91" s="274" t="n">
        <v>903320</v>
      </c>
      <c r="F91" s="252" t="inlineStr">
        <is>
          <t>계좌송금</t>
        </is>
      </c>
      <c r="G91" s="243" t="inlineStr"/>
      <c r="H91" s="243" t="inlineStr"/>
      <c r="I91" s="243" t="inlineStr"/>
    </row>
    <row r="92">
      <c r="A92" s="273" t="n">
        <v>46295</v>
      </c>
      <c r="B92" s="252">
        <f>IF(A92="","",MID("월화수목금토일",WEEKDAY(A92,2),1))</f>
        <v/>
      </c>
      <c r="C92" s="243" t="inlineStr">
        <is>
          <t>건강사업팀</t>
        </is>
      </c>
      <c r="D92" s="272" t="inlineStr">
        <is>
          <t>(주) 오애드 호기심딱지 8월 정산</t>
        </is>
      </c>
      <c r="E92" s="274" t="n">
        <v>880000</v>
      </c>
      <c r="F92" s="252" t="inlineStr">
        <is>
          <t>계좌송금</t>
        </is>
      </c>
      <c r="G92" s="243" t="inlineStr"/>
      <c r="H92" s="243" t="inlineStr"/>
      <c r="I92" s="243" t="inlineStr"/>
    </row>
    <row r="93">
      <c r="A93" s="273" t="n">
        <v>46295</v>
      </c>
      <c r="B93" s="252">
        <f>IF(A93="","",MID("월화수목금토일",WEEKDAY(A93,2),1))</f>
        <v/>
      </c>
      <c r="C93" s="243" t="inlineStr">
        <is>
          <t>경영지원팀</t>
        </is>
      </c>
      <c r="D93" s="272" t="inlineStr">
        <is>
          <t>서원회계법인 기장료</t>
        </is>
      </c>
      <c r="E93" s="274" t="n">
        <v>385000</v>
      </c>
      <c r="F93" s="252" t="inlineStr">
        <is>
          <t>계좌송금</t>
        </is>
      </c>
      <c r="G93" s="243" t="inlineStr"/>
      <c r="H93" s="243" t="inlineStr"/>
      <c r="I93" s="243" t="inlineStr"/>
    </row>
    <row r="94">
      <c r="A94" s="273" t="n">
        <v>46295</v>
      </c>
      <c r="B94" s="252">
        <f>IF(A94="","",MID("월화수목금토일",WEEKDAY(A94,2),1))</f>
        <v/>
      </c>
      <c r="C94" s="243" t="inlineStr">
        <is>
          <t>건강사업팀</t>
        </is>
      </c>
      <c r="D94" s="272" t="inlineStr">
        <is>
          <t>카카오톡 비즈니스 자사 카드뷰 발송</t>
        </is>
      </c>
      <c r="E94" s="274" t="n">
        <v>200000</v>
      </c>
      <c r="F94" s="252" t="inlineStr">
        <is>
          <t>계좌송금</t>
        </is>
      </c>
      <c r="G94" s="243" t="inlineStr"/>
      <c r="H94" s="243" t="inlineStr"/>
      <c r="I94" s="243" t="inlineStr"/>
    </row>
    <row r="95">
      <c r="A95" s="273" t="n">
        <v>46295</v>
      </c>
      <c r="B95" s="252">
        <f>IF(A95="","",MID("월화수목금토일",WEEKDAY(A95,2),1))</f>
        <v/>
      </c>
      <c r="C95" s="243" t="inlineStr">
        <is>
          <t>연구팀</t>
        </is>
      </c>
      <c r="D95" s="272" t="inlineStr">
        <is>
          <t>특허법인다옴 수출바우처 해외상표출원</t>
        </is>
      </c>
      <c r="E95" s="274" t="n">
        <v>91730</v>
      </c>
      <c r="F95" s="252" t="inlineStr">
        <is>
          <t>계좌송금</t>
        </is>
      </c>
      <c r="G95" s="243" t="inlineStr"/>
      <c r="H95" s="243" t="inlineStr"/>
      <c r="I95" s="243" t="inlineStr"/>
    </row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>
      <c r="D167" s="275" t="inlineStr">
        <is>
          <t>합계(숨긴 행 포함 4주 전체)</t>
        </is>
      </c>
      <c r="E167" s="270">
        <f>SUM(E73:E166)</f>
        <v/>
      </c>
    </row>
    <row r="169">
      <c r="A169" s="241" t="inlineStr">
        <is>
          <t>⑤ 안정을 위한 필요 추가 입금 (향후 4주)</t>
        </is>
      </c>
      <c r="B169" s="242" t="n"/>
      <c r="C169" s="242" t="n"/>
      <c r="D169" s="242" t="n"/>
      <c r="E169" s="242" t="n"/>
      <c r="F169" s="242" t="n"/>
      <c r="G169" s="242" t="n"/>
      <c r="H169" s="242" t="n"/>
      <c r="I169" s="242" t="n"/>
    </row>
    <row r="170">
      <c r="A170" s="269" t="inlineStr">
        <is>
          <t>목표 최저잔액</t>
        </is>
      </c>
      <c r="C170" s="274" t="n">
        <v>0</v>
      </c>
      <c r="D170" s="278" t="inlineStr">
        <is>
          <t>예: 0원(적자 없음) 또는 안전하게 유지하고 싶은 잔액을 입력하세요.</t>
        </is>
      </c>
    </row>
    <row r="171">
      <c r="A171" s="249" t="inlineStr">
        <is>
          <t>반영률</t>
        </is>
      </c>
      <c r="B171" s="249" t="n"/>
      <c r="C171" s="249" t="inlineStr">
        <is>
          <t>4주 기말잔액</t>
        </is>
      </c>
      <c r="D171" s="249" t="inlineStr">
        <is>
          <t>4주 최저잔액</t>
        </is>
      </c>
      <c r="E171" s="249" t="inlineStr">
        <is>
          <t>자금부족 예상일</t>
        </is>
      </c>
      <c r="F171" s="249" t="inlineStr">
        <is>
          <t>필요 추가 입금</t>
        </is>
      </c>
    </row>
    <row r="172">
      <c r="A172" s="279" t="n">
        <v>0.8</v>
      </c>
      <c r="C172" s="244" t="n">
        <v>273248622</v>
      </c>
      <c r="D172" s="244" t="n">
        <v>122254568</v>
      </c>
      <c r="E172" s="252" t="inlineStr">
        <is>
          <t>없음</t>
        </is>
      </c>
      <c r="F172" s="246">
        <f>MAX(0,$C$170-D172)</f>
        <v/>
      </c>
    </row>
    <row r="173">
      <c r="A173" s="279" t="n">
        <v>0.9</v>
      </c>
      <c r="C173" s="244" t="n">
        <v>292393380</v>
      </c>
      <c r="D173" s="244" t="n">
        <v>123322344</v>
      </c>
      <c r="E173" s="252" t="inlineStr">
        <is>
          <t>없음</t>
        </is>
      </c>
      <c r="F173" s="246">
        <f>MAX(0,$C$170-D173)</f>
        <v/>
      </c>
    </row>
    <row r="174">
      <c r="A174" s="279" t="n">
        <v>1</v>
      </c>
      <c r="C174" s="244" t="n">
        <v>311538139</v>
      </c>
      <c r="D174" s="244" t="n">
        <v>124390119</v>
      </c>
      <c r="E174" s="252" t="inlineStr">
        <is>
          <t>없음</t>
        </is>
      </c>
      <c r="F174" s="246">
        <f>MAX(0,$C$170-D174)</f>
        <v/>
      </c>
    </row>
    <row r="175">
      <c r="A175" s="269" t="inlineStr">
        <is>
          <t>주당 추가 입금 목표</t>
        </is>
      </c>
      <c r="C175" s="270">
        <f>ROUND(F172/4,0)</f>
        <v/>
      </c>
      <c r="D175" s="271" t="inlineStr">
        <is>
          <t>영업일당(주 5일 기준)</t>
        </is>
      </c>
      <c r="E175" s="270">
        <f>ROUND(F172/20,0)</f>
        <v/>
      </c>
    </row>
    <row r="177">
      <c r="A177" s="241" t="inlineStr">
        <is>
          <t>⑥ 건강사업팀 전달 메모 (자동 작성)</t>
        </is>
      </c>
      <c r="B177" s="242" t="n"/>
      <c r="C177" s="242" t="n"/>
      <c r="D177" s="242" t="n"/>
      <c r="E177" s="242" t="n"/>
      <c r="F177" s="242" t="n"/>
      <c r="G177" s="242" t="n"/>
      <c r="H177" s="242" t="n"/>
      <c r="I177" s="242" t="n"/>
    </row>
    <row r="178">
      <c r="A178" s="280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/>
      </c>
    </row>
    <row r="179"/>
    <row r="180"/>
  </sheetData>
  <autoFilter ref="A72:I166"/>
  <mergeCells count="1">
    <mergeCell ref="A178:F180"/>
  </mergeCells>
  <conditionalFormatting sqref="E14:E41">
    <cfRule type="cellIs" priority="1" operator="lessThan" dxfId="5">
      <formula>0</formula>
    </cfRule>
  </conditionalFormatting>
  <dataValidations count="2">
    <dataValidation sqref="F12" showDropDown="0" showInputMessage="0" showErrorMessage="1" allowBlank="1" error="목록에 있는 반영률만 선택할 수 있습니다." type="list">
      <formula1>"60%,70%,80%,90%,100%"</formula1>
    </dataValidation>
    <dataValidation sqref="I74 I75 I76 I77 I78 I79" showDropDown="0" showInputMessage="0" showErrorMessage="0" allowBlank="1" type="list">
      <formula1>"확인"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7" customWidth="1" min="3" max="3"/>
    <col width="17" customWidth="1" min="4" max="4"/>
    <col width="17" customWidth="1" min="5" max="5"/>
  </cols>
  <sheetData>
    <row r="1">
      <c r="A1" s="281" t="inlineStr">
        <is>
          <t>(주)에이팜건강 주간 자금계획 보고</t>
        </is>
      </c>
    </row>
    <row r="2">
      <c r="A2" s="239">
        <f>"기준일 2026-09-21 · 작성 2026-09-23 17:56:01 · 입금 반영률 "&amp;TEXT('경영보고'!$F$12,"0%")&amp;" (경영보고 시트와 실시간 연동)"</f>
        <v/>
      </c>
    </row>
    <row r="4">
      <c r="A4" s="241" t="inlineStr">
        <is>
          <t>핵심 요약</t>
        </is>
      </c>
      <c r="B4" s="242" t="n"/>
      <c r="C4" s="242" t="n"/>
      <c r="D4" s="242" t="n"/>
      <c r="E4" s="242" t="n"/>
    </row>
    <row r="5">
      <c r="A5" s="245" t="inlineStr">
        <is>
          <t>현재 전체 계좌잔액</t>
        </is>
      </c>
      <c r="C5" s="244">
        <f>'경영보고'!C10</f>
        <v/>
      </c>
    </row>
    <row r="6">
      <c r="A6" s="245" t="inlineStr">
        <is>
          <t>4주 예상 기말잔액</t>
        </is>
      </c>
      <c r="C6" s="244">
        <f>'경영보고'!E41</f>
        <v/>
      </c>
    </row>
    <row r="7">
      <c r="A7" s="245" t="inlineStr">
        <is>
          <t>4주 최저 예상잔액</t>
        </is>
      </c>
      <c r="C7" s="244">
        <f>'경영보고'!C42</f>
        <v/>
      </c>
      <c r="D7" s="282">
        <f>TEXT(INDEX('경영보고'!$A$14:$A$41,MATCH('경영보고'!C42,'경영보고'!$E$14:$E$41,0)),"m/d 예상")</f>
        <v/>
      </c>
    </row>
    <row r="8">
      <c r="A8" s="245" t="inlineStr">
        <is>
          <t>향후 4주 확정지출</t>
        </is>
      </c>
      <c r="C8" s="244">
        <f>'경영보고'!E167</f>
        <v/>
      </c>
    </row>
    <row r="9">
      <c r="A9" s="245" t="inlineStr">
        <is>
          <t>카드 결제 예정액(4주)</t>
        </is>
      </c>
      <c r="C9" s="244">
        <f>SUMIFS('경영보고'!$E$73:$E$166,'경영보고'!$F$73:$F$166,"법인카드")</f>
        <v/>
      </c>
    </row>
    <row r="10">
      <c r="A10" s="245" t="inlineStr">
        <is>
          <t>자금부족 예상일</t>
        </is>
      </c>
      <c r="C10" s="243">
        <f>IFERROR(TEXT(INDEX('경영보고'!$A$14:$A$41,MATCH(TRUE,INDEX('경영보고'!$E$14:$E$41&lt;0,0),0)),"yyyy-mm-dd"),"없음")</f>
        <v/>
      </c>
    </row>
    <row r="11">
      <c r="A11" s="245" t="inlineStr">
        <is>
          <t>확인필요 건수</t>
        </is>
      </c>
      <c r="C11" s="243" t="inlineStr">
        <is>
          <t>47건</t>
        </is>
      </c>
    </row>
    <row r="12">
      <c r="A12" s="245" t="inlineStr">
        <is>
          <t>자료 미제출 팀</t>
        </is>
      </c>
      <c r="C12" s="243" t="inlineStr">
        <is>
          <t>없음</t>
        </is>
      </c>
    </row>
    <row r="14">
      <c r="A14" s="283">
        <f>'경영보고'!A43</f>
        <v/>
      </c>
    </row>
    <row r="16">
      <c r="A16" s="241" t="inlineStr">
        <is>
          <t>금주 일별 잔액 전망 (월~금) — 반영률·지출 수정과 실시간 연동</t>
        </is>
      </c>
      <c r="B16" s="242" t="n"/>
      <c r="C16" s="242" t="n"/>
      <c r="D16" s="242" t="n"/>
      <c r="E16" s="242" t="n"/>
    </row>
    <row r="17">
      <c r="A17" s="249" t="inlineStr">
        <is>
          <t>일자</t>
        </is>
      </c>
      <c r="B17" s="249" t="inlineStr">
        <is>
          <t>요일</t>
        </is>
      </c>
      <c r="C17" s="249" t="inlineStr">
        <is>
          <t>예상 기말잔액</t>
        </is>
      </c>
      <c r="D17" s="249" t="inlineStr">
        <is>
          <t>상태</t>
        </is>
      </c>
    </row>
    <row r="18">
      <c r="A18" s="251">
        <f>'경영보고'!A14</f>
        <v/>
      </c>
      <c r="B18" s="252" t="inlineStr">
        <is>
          <t>월</t>
        </is>
      </c>
      <c r="C18" s="244">
        <f>'경영보고'!E14</f>
        <v/>
      </c>
      <c r="D18" s="261">
        <f>IF(C18&lt;0,"부족","")</f>
        <v/>
      </c>
    </row>
    <row r="19">
      <c r="A19" s="251">
        <f>'경영보고'!A15</f>
        <v/>
      </c>
      <c r="B19" s="252" t="inlineStr">
        <is>
          <t>화</t>
        </is>
      </c>
      <c r="C19" s="244">
        <f>'경영보고'!E15</f>
        <v/>
      </c>
      <c r="D19" s="261">
        <f>IF(C19&lt;0,"부족","")</f>
        <v/>
      </c>
    </row>
    <row r="20">
      <c r="A20" s="251">
        <f>'경영보고'!A16</f>
        <v/>
      </c>
      <c r="B20" s="252" t="inlineStr">
        <is>
          <t>수</t>
        </is>
      </c>
      <c r="C20" s="244">
        <f>'경영보고'!E16</f>
        <v/>
      </c>
      <c r="D20" s="261">
        <f>IF(C20&lt;0,"부족","")</f>
        <v/>
      </c>
    </row>
    <row r="21">
      <c r="A21" s="268">
        <f>'경영보고'!A17</f>
        <v/>
      </c>
      <c r="B21" s="261" t="inlineStr">
        <is>
          <t>목</t>
        </is>
      </c>
      <c r="C21" s="244">
        <f>'경영보고'!E17</f>
        <v/>
      </c>
      <c r="D21" s="261">
        <f>IF(C21&lt;0,"부족","")</f>
        <v/>
      </c>
    </row>
    <row r="22">
      <c r="A22" s="268">
        <f>'경영보고'!A18</f>
        <v/>
      </c>
      <c r="B22" s="261" t="inlineStr">
        <is>
          <t>금</t>
        </is>
      </c>
      <c r="C22" s="244">
        <f>'경영보고'!E18</f>
        <v/>
      </c>
      <c r="D22" s="261">
        <f>IF(C22&lt;0,"부족","")</f>
        <v/>
      </c>
    </row>
    <row r="24">
      <c r="A24" s="241" t="inlineStr">
        <is>
          <t>입금 반영률 시나리오 (80·90·100%) — 필요 추가 입금</t>
        </is>
      </c>
      <c r="B24" s="242" t="n"/>
      <c r="C24" s="242" t="n"/>
      <c r="D24" s="242" t="n"/>
      <c r="E24" s="242" t="n"/>
    </row>
    <row r="25">
      <c r="A25" s="249" t="inlineStr">
        <is>
          <t>반영률</t>
        </is>
      </c>
      <c r="C25" s="249" t="inlineStr">
        <is>
          <t>4주 기말잔액</t>
        </is>
      </c>
      <c r="D25" s="249" t="inlineStr">
        <is>
          <t>4주 최저잔액</t>
        </is>
      </c>
      <c r="E25" s="249" t="inlineStr">
        <is>
          <t>필요 추가 입금</t>
        </is>
      </c>
    </row>
    <row r="26">
      <c r="A26" s="279">
        <f>'경영보고'!A172</f>
        <v/>
      </c>
      <c r="C26" s="244">
        <f>'경영보고'!C172</f>
        <v/>
      </c>
      <c r="D26" s="244">
        <f>'경영보고'!D172</f>
        <v/>
      </c>
      <c r="E26" s="246">
        <f>'경영보고'!F172</f>
        <v/>
      </c>
    </row>
    <row r="27">
      <c r="A27" s="279">
        <f>'경영보고'!A173</f>
        <v/>
      </c>
      <c r="C27" s="244">
        <f>'경영보고'!C173</f>
        <v/>
      </c>
      <c r="D27" s="244">
        <f>'경영보고'!D173</f>
        <v/>
      </c>
      <c r="E27" s="246">
        <f>'경영보고'!F173</f>
        <v/>
      </c>
    </row>
    <row r="28">
      <c r="A28" s="279">
        <f>'경영보고'!A174</f>
        <v/>
      </c>
      <c r="C28" s="244">
        <f>'경영보고'!C174</f>
        <v/>
      </c>
      <c r="D28" s="244">
        <f>'경영보고'!D174</f>
        <v/>
      </c>
      <c r="E28" s="246">
        <f>'경영보고'!F174</f>
        <v/>
      </c>
    </row>
    <row r="30">
      <c r="A30" s="140">
        <f>"· 목표 최저잔액 "&amp;TEXT('경영보고'!$C$170,"#,##0")&amp;"원 기준. 시나리오 값은 실행 시점 계산이며, 반영률·지출 수정은 위 표와 경영보고에 즉시 반영됩니다."</f>
        <v/>
      </c>
    </row>
    <row r="31">
      <c r="A31" s="140" t="inlineStr">
        <is>
          <t>· 대외비 항목은 분류·총액으로만 표시됩니다. 상세 내역은 같은 파일의 경영보고·지출계획_취합 시트를 확인하십시오.</t>
        </is>
      </c>
    </row>
  </sheetData>
  <mergeCells count="1">
    <mergeCell ref="A14:E14"/>
  </mergeCells>
  <conditionalFormatting sqref="C18:C22">
    <cfRule type="cellIs" priority="1" operator="lessThan" dxfId="5">
      <formula>0</formula>
    </cfRule>
  </conditionalFormatting>
  <pageMargins left="0.5" right="0.5" top="0.6" bottom="0.6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138255161</v>
      </c>
      <c r="C6" s="2" t="n"/>
      <c r="D6" s="2" t="inlineStr">
        <is>
          <t>국민 154577</t>
        </is>
      </c>
      <c r="E6" s="120" t="n">
        <v>46288</v>
      </c>
      <c r="F6" s="119" t="n">
        <v>35256466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3336213775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3518091204</v>
      </c>
      <c r="C8" s="2" t="n"/>
      <c r="D8" s="2" t="inlineStr">
        <is>
          <t>농협 569003</t>
        </is>
      </c>
      <c r="E8" s="120" t="n">
        <v>46288</v>
      </c>
      <c r="F8" s="119" t="n">
        <v>2311495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2044392296</v>
      </c>
      <c r="C9" s="2" t="n"/>
      <c r="D9" s="2" t="inlineStr">
        <is>
          <t>우리 220351</t>
        </is>
      </c>
      <c r="E9" s="120" t="n">
        <v>46288</v>
      </c>
      <c r="F9" s="119" t="n">
        <v>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>
        <f>'경영보고'!$F$12</f>
        <v/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반영률('경영보고' F12 연동)로 계산됩니다. 지급일·금액·확정입금은 '경영보고' 시트의 ③·④ 표에서 고치세요 — 이 표는 자동으로 따라옵니다.  |  실잔고(은행 최근 확인): 우리 220351 0(09-23) · 농협 569003 2,311,495(09-23) · 국민 169124 100,687,200(09-15) · 국민 154577 35,256,466(09-23)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46287</v>
      </c>
      <c r="B6" s="163" t="inlineStr">
        <is>
          <t>화</t>
        </is>
      </c>
      <c r="C6" s="284">
        <f>'계좌별시나리오'!D6</f>
        <v/>
      </c>
      <c r="D6" s="284">
        <f>'계좌별시나리오'!E6</f>
        <v/>
      </c>
      <c r="E6" s="284">
        <f>'계좌별시나리오'!F6</f>
        <v/>
      </c>
      <c r="F6" s="28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46288</v>
      </c>
      <c r="B7" s="168" t="inlineStr">
        <is>
          <t>수</t>
        </is>
      </c>
      <c r="C7" s="285">
        <f>'계좌별시나리오'!D7</f>
        <v/>
      </c>
      <c r="D7" s="285">
        <f>'계좌별시나리오'!E7</f>
        <v/>
      </c>
      <c r="E7" s="285">
        <f>'계좌별시나리오'!F7</f>
        <v/>
      </c>
      <c r="F7" s="285">
        <f>'계좌별시나리오'!G7</f>
        <v/>
      </c>
      <c r="G7" s="286" t="n">
        <v>17745684</v>
      </c>
      <c r="H7" s="165" t="n"/>
      <c r="I7" s="165" t="n"/>
      <c r="J7" s="165" t="n"/>
      <c r="K7" s="165" t="n"/>
      <c r="L7" s="286" t="n">
        <v>84066</v>
      </c>
      <c r="M7" s="165" t="n"/>
      <c r="N7" s="165" t="n"/>
      <c r="O7" s="286" t="n">
        <v>27501389</v>
      </c>
      <c r="P7" s="286" t="n">
        <v>-9671639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287">
        <f>'계좌별시나리오'!D8</f>
        <v/>
      </c>
      <c r="D8" s="287">
        <f>'계좌별시나리오'!E8</f>
        <v/>
      </c>
      <c r="E8" s="287">
        <f>'계좌별시나리오'!F8</f>
        <v/>
      </c>
      <c r="F8" s="287">
        <f>'계좌별시나리오'!G8</f>
        <v/>
      </c>
      <c r="G8" s="175" t="n">
        <v>20747810</v>
      </c>
      <c r="H8" s="288">
        <f>'계좌별시나리오'!I8</f>
        <v/>
      </c>
      <c r="I8" s="288">
        <f>'계좌별시나리오'!J8</f>
        <v/>
      </c>
      <c r="J8" s="288">
        <f>'계좌별시나리오'!K8</f>
        <v/>
      </c>
      <c r="K8" s="288">
        <f>'계좌별시나리오'!L8</f>
        <v/>
      </c>
      <c r="L8" s="177" t="n">
        <v>40220000</v>
      </c>
      <c r="M8" s="177" t="n"/>
      <c r="N8" s="177" t="n"/>
      <c r="O8" s="177" t="n">
        <v>16528386</v>
      </c>
      <c r="P8" s="178">
        <f>G8+L8-M8-N8-O8</f>
        <v/>
      </c>
      <c r="Q8" s="179" t="n">
        <v>96418911</v>
      </c>
      <c r="R8" s="178">
        <f>Q8+P8</f>
        <v/>
      </c>
      <c r="S8" s="180" t="inlineStr">
        <is>
          <t>실적 | 지출: METLIFE09002 4,795,900, METLIFE09002 4,795,900, 국민네이버 ａｐｈａ 2,178,000 외 11건 | 기타입금: 허용 20,000,000, 허용 20,000,000 외 2건</t>
        </is>
      </c>
    </row>
    <row r="9" hidden="1">
      <c r="A9" s="172" t="n">
        <v>46287</v>
      </c>
      <c r="B9" s="173" t="inlineStr">
        <is>
          <t>화</t>
        </is>
      </c>
      <c r="C9" s="287">
        <f>'계좌별시나리오'!D9</f>
        <v/>
      </c>
      <c r="D9" s="287">
        <f>'계좌별시나리오'!E9</f>
        <v/>
      </c>
      <c r="E9" s="287">
        <f>'계좌별시나리오'!F9</f>
        <v/>
      </c>
      <c r="F9" s="287">
        <f>'계좌별시나리오'!G9</f>
        <v/>
      </c>
      <c r="G9" s="175" t="n">
        <v>35434369</v>
      </c>
      <c r="H9" s="288">
        <f>'계좌별시나리오'!I9</f>
        <v/>
      </c>
      <c r="I9" s="288">
        <f>'계좌별시나리오'!J9</f>
        <v/>
      </c>
      <c r="J9" s="288">
        <f>'계좌별시나리오'!K9</f>
        <v/>
      </c>
      <c r="K9" s="288">
        <f>'계좌별시나리오'!L9</f>
        <v/>
      </c>
      <c r="L9" s="177" t="n">
        <v>529613</v>
      </c>
      <c r="M9" s="177" t="n"/>
      <c r="N9" s="177" t="n"/>
      <c r="O9" s="177" t="n">
        <v>28895517</v>
      </c>
      <c r="P9" s="178">
        <f>G9+L9-M9-N9-O9</f>
        <v/>
      </c>
      <c r="Q9" s="179">
        <f>R8</f>
        <v/>
      </c>
      <c r="R9" s="178">
        <f>Q9+P9</f>
        <v/>
      </c>
      <c r="S9" s="180" t="inlineStr">
        <is>
          <t>실적 | 지출: 기업엠에스바이오텍( 20,000,000, TOP출금 7,800,000, 국민비즈월렛_쁘띠앤 495,517 외 2건 | 기타입금: 석계아이엔디(주)( 280,000, 화물택배물 246,613 외 2건</t>
        </is>
      </c>
    </row>
    <row r="10">
      <c r="A10" s="181" t="n">
        <v>46288</v>
      </c>
      <c r="B10" s="182" t="inlineStr">
        <is>
          <t>수</t>
        </is>
      </c>
      <c r="C10" s="289">
        <f>'계좌별시나리오'!D10</f>
        <v/>
      </c>
      <c r="D10" s="289">
        <f>'계좌별시나리오'!E10</f>
        <v/>
      </c>
      <c r="E10" s="289">
        <f>'계좌별시나리오'!F10</f>
        <v/>
      </c>
      <c r="F10" s="289">
        <f>'계좌별시나리오'!G10</f>
        <v/>
      </c>
      <c r="G10" s="184" t="n">
        <v>17745684</v>
      </c>
      <c r="H10" s="290">
        <f>'계좌별시나리오'!I10</f>
        <v/>
      </c>
      <c r="I10" s="290">
        <f>'계좌별시나리오'!J10</f>
        <v/>
      </c>
      <c r="J10" s="290">
        <f>'계좌별시나리오'!K10</f>
        <v/>
      </c>
      <c r="K10" s="290">
        <f>'계좌별시나리오'!L10</f>
        <v/>
      </c>
      <c r="L10" s="186" t="n">
        <v>84066</v>
      </c>
      <c r="M10" s="186" t="n">
        <v>5995000</v>
      </c>
      <c r="N10" s="186" t="n"/>
      <c r="O10" s="186" t="n">
        <v>21506389</v>
      </c>
      <c r="P10" s="187">
        <f>G10+L10-M10-N10-O10</f>
        <v/>
      </c>
      <c r="Q10" s="188">
        <f>R9</f>
        <v/>
      </c>
      <c r="R10" s="187">
        <f>Q10+P10</f>
        <v/>
      </c>
      <c r="S10" s="189" t="inlineStr">
        <is>
          <t>우리카드 14,506,389, 네이버SA&amp;GFA 8,305,000, 인포크비즈니스 3,300,000, 농협카드 2,266,495, 써치엠 1,487,786, 와이투홀딩스 1,023,110 외 1건; 실적(은행 확인): 입금 17,829,750·출금 27,501,389 / 보류 제외: 인포크비즈니스 3,300,000, 써치엠 1,487,786, 네이버SA&amp;GFA 2,310,000</t>
        </is>
      </c>
    </row>
    <row r="11">
      <c r="A11" s="190" t="n">
        <v>46289</v>
      </c>
      <c r="B11" s="191" t="inlineStr">
        <is>
          <t>목</t>
        </is>
      </c>
      <c r="C11" s="287">
        <f>'계좌별시나리오'!D11</f>
        <v/>
      </c>
      <c r="D11" s="287">
        <f>'계좌별시나리오'!E11</f>
        <v/>
      </c>
      <c r="E11" s="287">
        <f>'계좌별시나리오'!F11</f>
        <v/>
      </c>
      <c r="F11" s="287">
        <f>'계좌별시나리오'!G11</f>
        <v/>
      </c>
      <c r="G11" s="175" t="n">
        <v>0</v>
      </c>
      <c r="H11" s="288">
        <f>'계좌별시나리오'!I11</f>
        <v/>
      </c>
      <c r="I11" s="288">
        <f>'계좌별시나리오'!J11</f>
        <v/>
      </c>
      <c r="J11" s="288">
        <f>'계좌별시나리오'!K11</f>
        <v/>
      </c>
      <c r="K11" s="288">
        <f>'계좌별시나리오'!L11</f>
        <v/>
      </c>
      <c r="L11" s="291">
        <f>SUMIFS('경영보고'!$E$47:$E$68,'경영보고'!$A$47:$A$68,$A11,'경영보고'!$C$47:$C$68,"확정입금")</f>
        <v/>
      </c>
      <c r="M11" s="291">
        <f>SUMIFS('경영보고'!$E$73:$E$166,'경영보고'!$A$73:$A$166,$A11,'경영보고'!$F$73:$F$166,"계좌송금")</f>
        <v/>
      </c>
      <c r="N11" s="291">
        <f>SUMIFS('경영보고'!$E$73:$E$166,'경영보고'!$A$73:$A$166,$A11,'경영보고'!$F$73:$F$166,"법인카드")</f>
        <v/>
      </c>
      <c r="O11" s="291">
        <f>SUMIFS('경영보고'!$E$73:$E$166,'경영보고'!$A$73:$A$166,$A11)-M11-N11</f>
        <v/>
      </c>
      <c r="P11" s="178">
        <f>G11+L11-M11-N11-O11</f>
        <v/>
      </c>
      <c r="Q11" s="179">
        <f>R10</f>
        <v/>
      </c>
      <c r="R11" s="178">
        <f>Q11+P11</f>
        <v/>
      </c>
      <c r="S11" s="193" t="n"/>
    </row>
    <row r="12">
      <c r="A12" s="190" t="n">
        <v>46290</v>
      </c>
      <c r="B12" s="191" t="inlineStr">
        <is>
          <t>금</t>
        </is>
      </c>
      <c r="C12" s="287">
        <f>'계좌별시나리오'!D12</f>
        <v/>
      </c>
      <c r="D12" s="287">
        <f>'계좌별시나리오'!E12</f>
        <v/>
      </c>
      <c r="E12" s="287">
        <f>'계좌별시나리오'!F12</f>
        <v/>
      </c>
      <c r="F12" s="287">
        <f>'계좌별시나리오'!G12</f>
        <v/>
      </c>
      <c r="G12" s="175" t="n">
        <v>0</v>
      </c>
      <c r="H12" s="288">
        <f>'계좌별시나리오'!I12</f>
        <v/>
      </c>
      <c r="I12" s="288">
        <f>'계좌별시나리오'!J12</f>
        <v/>
      </c>
      <c r="J12" s="288">
        <f>'계좌별시나리오'!K12</f>
        <v/>
      </c>
      <c r="K12" s="288">
        <f>'계좌별시나리오'!L12</f>
        <v/>
      </c>
      <c r="L12" s="291">
        <f>SUMIFS('경영보고'!$E$47:$E$68,'경영보고'!$A$47:$A$68,$A12,'경영보고'!$C$47:$C$68,"확정입금")</f>
        <v/>
      </c>
      <c r="M12" s="291">
        <f>SUMIFS('경영보고'!$E$73:$E$166,'경영보고'!$A$73:$A$166,$A12,'경영보고'!$F$73:$F$166,"계좌송금")</f>
        <v/>
      </c>
      <c r="N12" s="291">
        <f>SUMIFS('경영보고'!$E$73:$E$166,'경영보고'!$A$73:$A$166,$A12,'경영보고'!$F$73:$F$166,"법인카드")</f>
        <v/>
      </c>
      <c r="O12" s="291">
        <f>SUMIFS('경영보고'!$E$73:$E$166,'경영보고'!$A$73:$A$166,$A12)-M12-N12</f>
        <v/>
      </c>
      <c r="P12" s="178">
        <f>G12+L12-M12-N12-O12</f>
        <v/>
      </c>
      <c r="Q12" s="179">
        <f>R11</f>
        <v/>
      </c>
      <c r="R12" s="178">
        <f>Q12+P12</f>
        <v/>
      </c>
      <c r="S12" s="193" t="n"/>
    </row>
    <row r="13">
      <c r="A13" s="190" t="n">
        <v>46291</v>
      </c>
      <c r="B13" s="191" t="inlineStr">
        <is>
          <t>토</t>
        </is>
      </c>
      <c r="C13" s="287">
        <f>'계좌별시나리오'!D13</f>
        <v/>
      </c>
      <c r="D13" s="287">
        <f>'계좌별시나리오'!E13</f>
        <v/>
      </c>
      <c r="E13" s="287">
        <f>'계좌별시나리오'!F13</f>
        <v/>
      </c>
      <c r="F13" s="287">
        <f>'계좌별시나리오'!G13</f>
        <v/>
      </c>
      <c r="G13" s="175" t="n">
        <v>0</v>
      </c>
      <c r="H13" s="288">
        <f>'계좌별시나리오'!I13</f>
        <v/>
      </c>
      <c r="I13" s="288">
        <f>'계좌별시나리오'!J13</f>
        <v/>
      </c>
      <c r="J13" s="288">
        <f>'계좌별시나리오'!K13</f>
        <v/>
      </c>
      <c r="K13" s="288">
        <f>'계좌별시나리오'!L13</f>
        <v/>
      </c>
      <c r="L13" s="291">
        <f>SUMIFS('경영보고'!$E$47:$E$68,'경영보고'!$A$47:$A$68,$A13,'경영보고'!$C$47:$C$68,"확정입금")</f>
        <v/>
      </c>
      <c r="M13" s="291">
        <f>SUMIFS('경영보고'!$E$73:$E$166,'경영보고'!$A$73:$A$166,$A13,'경영보고'!$F$73:$F$166,"계좌송금")</f>
        <v/>
      </c>
      <c r="N13" s="291">
        <f>SUMIFS('경영보고'!$E$73:$E$166,'경영보고'!$A$73:$A$166,$A13,'경영보고'!$F$73:$F$166,"법인카드")</f>
        <v/>
      </c>
      <c r="O13" s="291">
        <f>SUMIFS('경영보고'!$E$73:$E$166,'경영보고'!$A$73:$A$166,$A13)-M13-N13</f>
        <v/>
      </c>
      <c r="P13" s="178">
        <f>G13+L13-M13-N13-O13</f>
        <v/>
      </c>
      <c r="Q13" s="179">
        <f>R12</f>
        <v/>
      </c>
      <c r="R13" s="178">
        <f>Q13+P13</f>
        <v/>
      </c>
      <c r="S13" s="193" t="n"/>
    </row>
    <row r="14">
      <c r="A14" s="190" t="n">
        <v>46292</v>
      </c>
      <c r="B14" s="191" t="inlineStr">
        <is>
          <t>일</t>
        </is>
      </c>
      <c r="C14" s="287">
        <f>'계좌별시나리오'!D14</f>
        <v/>
      </c>
      <c r="D14" s="287">
        <f>'계좌별시나리오'!E14</f>
        <v/>
      </c>
      <c r="E14" s="287">
        <f>'계좌별시나리오'!F14</f>
        <v/>
      </c>
      <c r="F14" s="287">
        <f>'계좌별시나리오'!G14</f>
        <v/>
      </c>
      <c r="G14" s="194">
        <f>INDEX('설정및분류'!$C$6:$C$12,WEEKDAY(A14,2))*'요약'!$B$13</f>
        <v/>
      </c>
      <c r="H14" s="288">
        <f>'계좌별시나리오'!I14</f>
        <v/>
      </c>
      <c r="I14" s="288">
        <f>'계좌별시나리오'!J14</f>
        <v/>
      </c>
      <c r="J14" s="288">
        <f>'계좌별시나리오'!K14</f>
        <v/>
      </c>
      <c r="K14" s="288">
        <f>'계좌별시나리오'!L14</f>
        <v/>
      </c>
      <c r="L14" s="291">
        <f>SUMIFS('경영보고'!$E$47:$E$68,'경영보고'!$A$47:$A$68,$A14,'경영보고'!$C$47:$C$68,"확정입금")</f>
        <v/>
      </c>
      <c r="M14" s="291">
        <f>SUMIFS('경영보고'!$E$73:$E$166,'경영보고'!$A$73:$A$166,$A14,'경영보고'!$F$73:$F$166,"계좌송금")</f>
        <v/>
      </c>
      <c r="N14" s="291">
        <f>SUMIFS('경영보고'!$E$73:$E$166,'경영보고'!$A$73:$A$166,$A14,'경영보고'!$F$73:$F$166,"법인카드")</f>
        <v/>
      </c>
      <c r="O14" s="291">
        <f>SUMIFS('경영보고'!$E$73:$E$166,'경영보고'!$A$73:$A$166,$A14)-M14-N14</f>
        <v/>
      </c>
      <c r="P14" s="178">
        <f>G14+L14-M14-N14-O14</f>
        <v/>
      </c>
      <c r="Q14" s="179">
        <f>R13</f>
        <v/>
      </c>
      <c r="R14" s="178">
        <f>Q14+P14</f>
        <v/>
      </c>
      <c r="S14" s="193" t="n"/>
    </row>
    <row r="15">
      <c r="A15" s="195" t="n">
        <v>46293</v>
      </c>
      <c r="B15" s="173" t="inlineStr">
        <is>
          <t>월</t>
        </is>
      </c>
      <c r="C15" s="287">
        <f>'계좌별시나리오'!D15</f>
        <v/>
      </c>
      <c r="D15" s="287">
        <f>'계좌별시나리오'!E15</f>
        <v/>
      </c>
      <c r="E15" s="287">
        <f>'계좌별시나리오'!F15</f>
        <v/>
      </c>
      <c r="F15" s="287">
        <f>'계좌별시나리오'!G15</f>
        <v/>
      </c>
      <c r="G15" s="194">
        <f>INDEX('설정및분류'!$C$6:$C$12,WEEKDAY(A15,2))*'요약'!$B$13</f>
        <v/>
      </c>
      <c r="H15" s="288">
        <f>'계좌별시나리오'!I15</f>
        <v/>
      </c>
      <c r="I15" s="288">
        <f>'계좌별시나리오'!J15</f>
        <v/>
      </c>
      <c r="J15" s="288">
        <f>'계좌별시나리오'!K15</f>
        <v/>
      </c>
      <c r="K15" s="288">
        <f>'계좌별시나리오'!L15</f>
        <v/>
      </c>
      <c r="L15" s="291">
        <f>SUMIFS('경영보고'!$E$47:$E$68,'경영보고'!$A$47:$A$68,$A15,'경영보고'!$C$47:$C$68,"확정입금")</f>
        <v/>
      </c>
      <c r="M15" s="291">
        <f>SUMIFS('경영보고'!$E$73:$E$166,'경영보고'!$A$73:$A$166,$A15,'경영보고'!$F$73:$F$166,"계좌송금")</f>
        <v/>
      </c>
      <c r="N15" s="291">
        <f>SUMIFS('경영보고'!$E$73:$E$166,'경영보고'!$A$73:$A$166,$A15,'경영보고'!$F$73:$F$166,"법인카드")</f>
        <v/>
      </c>
      <c r="O15" s="291">
        <f>SUMIFS('경영보고'!$E$73:$E$166,'경영보고'!$A$73:$A$166,$A15)-M15-N15</f>
        <v/>
      </c>
      <c r="P15" s="178">
        <f>G15+L15-M15-N15-O15</f>
        <v/>
      </c>
      <c r="Q15" s="179">
        <f>R14</f>
        <v/>
      </c>
      <c r="R15" s="178">
        <f>Q15+P15</f>
        <v/>
      </c>
      <c r="S15" s="193" t="inlineStr">
        <is>
          <t>우리카드 10,839,960, 농협카드 4,610,000, 농협카드 4,561,388, 메트라이프 2,497,000, 엘앤에이치컴퍼니 1,650,000, 남경노무법인 275,000 외 1건</t>
        </is>
      </c>
    </row>
    <row r="16">
      <c r="A16" s="195" t="n">
        <v>46294</v>
      </c>
      <c r="B16" s="173" t="inlineStr">
        <is>
          <t>화</t>
        </is>
      </c>
      <c r="C16" s="287">
        <f>'계좌별시나리오'!D16</f>
        <v/>
      </c>
      <c r="D16" s="287">
        <f>'계좌별시나리오'!E16</f>
        <v/>
      </c>
      <c r="E16" s="287">
        <f>'계좌별시나리오'!F16</f>
        <v/>
      </c>
      <c r="F16" s="287">
        <f>'계좌별시나리오'!G16</f>
        <v/>
      </c>
      <c r="G16" s="194">
        <f>INDEX('설정및분류'!$C$6:$C$12,WEEKDAY(A16,2))*'요약'!$B$13</f>
        <v/>
      </c>
      <c r="H16" s="288">
        <f>'계좌별시나리오'!I16</f>
        <v/>
      </c>
      <c r="I16" s="288">
        <f>'계좌별시나리오'!J16</f>
        <v/>
      </c>
      <c r="J16" s="288">
        <f>'계좌별시나리오'!K16</f>
        <v/>
      </c>
      <c r="K16" s="288">
        <f>'계좌별시나리오'!L16</f>
        <v/>
      </c>
      <c r="L16" s="291">
        <f>SUMIFS('경영보고'!$E$47:$E$68,'경영보고'!$A$47:$A$68,$A16,'경영보고'!$C$47:$C$68,"확정입금")</f>
        <v/>
      </c>
      <c r="M16" s="291">
        <f>SUMIFS('경영보고'!$E$73:$E$166,'경영보고'!$A$73:$A$166,$A16,'경영보고'!$F$73:$F$166,"계좌송금")</f>
        <v/>
      </c>
      <c r="N16" s="291">
        <f>SUMIFS('경영보고'!$E$73:$E$166,'경영보고'!$A$73:$A$166,$A16,'경영보고'!$F$73:$F$166,"법인카드")</f>
        <v/>
      </c>
      <c r="O16" s="291">
        <f>SUMIFS('경영보고'!$E$73:$E$166,'경영보고'!$A$73:$A$166,$A16)-M16-N16</f>
        <v/>
      </c>
      <c r="P16" s="178">
        <f>G16+L16-M16-N16-O16</f>
        <v/>
      </c>
      <c r="Q16" s="179">
        <f>R15</f>
        <v/>
      </c>
      <c r="R16" s="178">
        <f>Q16+P16</f>
        <v/>
      </c>
      <c r="S16" s="193" t="inlineStr">
        <is>
          <t>네이버 500,000, 정상은(이준이서맘) 500,000, 마고성인권연구소 40,000</t>
        </is>
      </c>
    </row>
    <row r="17">
      <c r="A17" s="195" t="n">
        <v>46295</v>
      </c>
      <c r="B17" s="173" t="inlineStr">
        <is>
          <t>수</t>
        </is>
      </c>
      <c r="C17" s="287">
        <f>'계좌별시나리오'!D17</f>
        <v/>
      </c>
      <c r="D17" s="287">
        <f>'계좌별시나리오'!E17</f>
        <v/>
      </c>
      <c r="E17" s="287">
        <f>'계좌별시나리오'!F17</f>
        <v/>
      </c>
      <c r="F17" s="287">
        <f>'계좌별시나리오'!G17</f>
        <v/>
      </c>
      <c r="G17" s="194">
        <f>INDEX('설정및분류'!$C$6:$C$12,WEEKDAY(A17,2))*'요약'!$B$13</f>
        <v/>
      </c>
      <c r="H17" s="288">
        <f>'계좌별시나리오'!I17</f>
        <v/>
      </c>
      <c r="I17" s="288">
        <f>'계좌별시나리오'!J17</f>
        <v/>
      </c>
      <c r="J17" s="288">
        <f>'계좌별시나리오'!K17</f>
        <v/>
      </c>
      <c r="K17" s="288">
        <f>'계좌별시나리오'!L17</f>
        <v/>
      </c>
      <c r="L17" s="291">
        <f>SUMIFS('경영보고'!$E$47:$E$68,'경영보고'!$A$47:$A$68,$A17,'경영보고'!$C$47:$C$68,"확정입금")</f>
        <v/>
      </c>
      <c r="M17" s="291">
        <f>SUMIFS('경영보고'!$E$73:$E$166,'경영보고'!$A$73:$A$166,$A17,'경영보고'!$F$73:$F$166,"계좌송금")</f>
        <v/>
      </c>
      <c r="N17" s="291">
        <f>SUMIFS('경영보고'!$E$73:$E$166,'경영보고'!$A$73:$A$166,$A17,'경영보고'!$F$73:$F$166,"법인카드")</f>
        <v/>
      </c>
      <c r="O17" s="291">
        <f>SUMIFS('경영보고'!$E$73:$E$166,'경영보고'!$A$73:$A$166,$A17)-M17-N17</f>
        <v/>
      </c>
      <c r="P17" s="178">
        <f>G17+L17-M17-N17-O17</f>
        <v/>
      </c>
      <c r="Q17" s="179">
        <f>R16</f>
        <v/>
      </c>
      <c r="R17" s="178">
        <f>Q17+P17</f>
        <v/>
      </c>
      <c r="S17" s="193" t="inlineStr">
        <is>
          <t>흥덕IT밸리 관리위원회 903,320, (주) 오애드 880,000, 서원회계법인 385,000, 카카오톡 비즈니스 200,000, 특허법인다옴 91,730; 관계사 외상대 입금 추정(주식회사에이팜, 말일)</t>
        </is>
      </c>
    </row>
    <row r="18">
      <c r="A18" s="195" t="n">
        <v>46296</v>
      </c>
      <c r="B18" s="173" t="inlineStr">
        <is>
          <t>목</t>
        </is>
      </c>
      <c r="C18" s="287">
        <f>'계좌별시나리오'!D18</f>
        <v/>
      </c>
      <c r="D18" s="287">
        <f>'계좌별시나리오'!E18</f>
        <v/>
      </c>
      <c r="E18" s="287">
        <f>'계좌별시나리오'!F18</f>
        <v/>
      </c>
      <c r="F18" s="287">
        <f>'계좌별시나리오'!G18</f>
        <v/>
      </c>
      <c r="G18" s="194">
        <f>INDEX('설정및분류'!$C$6:$C$12,WEEKDAY(A18,2))*'요약'!$B$13</f>
        <v/>
      </c>
      <c r="H18" s="288">
        <f>'계좌별시나리오'!I18</f>
        <v/>
      </c>
      <c r="I18" s="288">
        <f>'계좌별시나리오'!J18</f>
        <v/>
      </c>
      <c r="J18" s="288">
        <f>'계좌별시나리오'!K18</f>
        <v/>
      </c>
      <c r="K18" s="288">
        <f>'계좌별시나리오'!L18</f>
        <v/>
      </c>
      <c r="L18" s="291">
        <f>SUMIFS('경영보고'!$E$47:$E$68,'경영보고'!$A$47:$A$68,$A18,'경영보고'!$C$47:$C$68,"확정입금")</f>
        <v/>
      </c>
      <c r="M18" s="291">
        <f>SUMIFS('경영보고'!$E$73:$E$166,'경영보고'!$A$73:$A$166,$A18,'경영보고'!$F$73:$F$166,"계좌송금")</f>
        <v/>
      </c>
      <c r="N18" s="291">
        <f>SUMIFS('경영보고'!$E$73:$E$166,'경영보고'!$A$73:$A$166,$A18,'경영보고'!$F$73:$F$166,"법인카드")</f>
        <v/>
      </c>
      <c r="O18" s="291">
        <f>SUMIFS('경영보고'!$E$73:$E$166,'경영보고'!$A$73:$A$166,$A18)-M18-N18</f>
        <v/>
      </c>
      <c r="P18" s="178">
        <f>G18+L18-M18-N18-O18</f>
        <v/>
      </c>
      <c r="Q18" s="179">
        <f>R17</f>
        <v/>
      </c>
      <c r="R18" s="178">
        <f>Q18+P18</f>
        <v/>
      </c>
      <c r="S18" s="193" t="n"/>
    </row>
    <row r="19">
      <c r="A19" s="196" t="n">
        <v>46297</v>
      </c>
      <c r="B19" s="197" t="inlineStr">
        <is>
          <t>금</t>
        </is>
      </c>
      <c r="C19" s="292">
        <f>'계좌별시나리오'!D19</f>
        <v/>
      </c>
      <c r="D19" s="292">
        <f>'계좌별시나리오'!E19</f>
        <v/>
      </c>
      <c r="E19" s="292">
        <f>'계좌별시나리오'!F19</f>
        <v/>
      </c>
      <c r="F19" s="292">
        <f>'계좌별시나리오'!G19</f>
        <v/>
      </c>
      <c r="G19" s="199">
        <f>INDEX('설정및분류'!$C$6:$C$12,WEEKDAY(A19,2))*'요약'!$B$13</f>
        <v/>
      </c>
      <c r="H19" s="293">
        <f>'계좌별시나리오'!I19</f>
        <v/>
      </c>
      <c r="I19" s="293">
        <f>'계좌별시나리오'!J19</f>
        <v/>
      </c>
      <c r="J19" s="293">
        <f>'계좌별시나리오'!K19</f>
        <v/>
      </c>
      <c r="K19" s="293">
        <f>'계좌별시나리오'!L19</f>
        <v/>
      </c>
      <c r="L19" s="294">
        <f>SUMIFS('경영보고'!$E$47:$E$68,'경영보고'!$A$47:$A$68,$A19,'경영보고'!$C$47:$C$68,"확정입금")</f>
        <v/>
      </c>
      <c r="M19" s="294">
        <f>SUMIFS('경영보고'!$E$73:$E$166,'경영보고'!$A$73:$A$166,$A19,'경영보고'!$F$73:$F$166,"계좌송금")</f>
        <v/>
      </c>
      <c r="N19" s="294">
        <f>SUMIFS('경영보고'!$E$73:$E$166,'경영보고'!$A$73:$A$166,$A19,'경영보고'!$F$73:$F$166,"법인카드")</f>
        <v/>
      </c>
      <c r="O19" s="294">
        <f>SUMIFS('경영보고'!$E$73:$E$166,'경영보고'!$A$73:$A$166,$A19)-M19-N19</f>
        <v/>
      </c>
      <c r="P19" s="202">
        <f>G19+L19-M19-N19-O19</f>
        <v/>
      </c>
      <c r="Q19" s="203">
        <f>R18</f>
        <v/>
      </c>
      <c r="R19" s="202">
        <f>Q19+P19</f>
        <v/>
      </c>
      <c r="S19" s="204" t="n"/>
    </row>
    <row r="20">
      <c r="A20" s="205" t="n">
        <v>46298</v>
      </c>
      <c r="B20" s="191" t="inlineStr">
        <is>
          <t>토</t>
        </is>
      </c>
      <c r="C20" s="287">
        <f>'계좌별시나리오'!D20</f>
        <v/>
      </c>
      <c r="D20" s="287">
        <f>'계좌별시나리오'!E20</f>
        <v/>
      </c>
      <c r="E20" s="287">
        <f>'계좌별시나리오'!F20</f>
        <v/>
      </c>
      <c r="F20" s="287">
        <f>'계좌별시나리오'!G20</f>
        <v/>
      </c>
      <c r="G20" s="175" t="n">
        <v>0</v>
      </c>
      <c r="H20" s="288">
        <f>'계좌별시나리오'!I20</f>
        <v/>
      </c>
      <c r="I20" s="288">
        <f>'계좌별시나리오'!J20</f>
        <v/>
      </c>
      <c r="J20" s="288">
        <f>'계좌별시나리오'!K20</f>
        <v/>
      </c>
      <c r="K20" s="288">
        <f>'계좌별시나리오'!L20</f>
        <v/>
      </c>
      <c r="L20" s="291">
        <f>SUMIFS('경영보고'!$E$47:$E$68,'경영보고'!$A$47:$A$68,$A20,'경영보고'!$C$47:$C$68,"확정입금")</f>
        <v/>
      </c>
      <c r="M20" s="291">
        <f>SUMIFS('경영보고'!$E$73:$E$166,'경영보고'!$A$73:$A$166,$A20,'경영보고'!$F$73:$F$166,"계좌송금")</f>
        <v/>
      </c>
      <c r="N20" s="291">
        <f>SUMIFS('경영보고'!$E$73:$E$166,'경영보고'!$A$73:$A$166,$A20,'경영보고'!$F$73:$F$166,"법인카드")</f>
        <v/>
      </c>
      <c r="O20" s="291">
        <f>SUMIFS('경영보고'!$E$73:$E$166,'경영보고'!$A$73:$A$166,$A20)-M20-N20</f>
        <v/>
      </c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5" t="n">
        <v>46299</v>
      </c>
      <c r="B21" s="191" t="inlineStr">
        <is>
          <t>일</t>
        </is>
      </c>
      <c r="C21" s="287">
        <f>'계좌별시나리오'!D21</f>
        <v/>
      </c>
      <c r="D21" s="287">
        <f>'계좌별시나리오'!E21</f>
        <v/>
      </c>
      <c r="E21" s="287">
        <f>'계좌별시나리오'!F21</f>
        <v/>
      </c>
      <c r="F21" s="287">
        <f>'계좌별시나리오'!G21</f>
        <v/>
      </c>
      <c r="G21" s="194">
        <f>INDEX('설정및분류'!$C$6:$C$12,WEEKDAY(A21,2))*'요약'!$B$13</f>
        <v/>
      </c>
      <c r="H21" s="288">
        <f>'계좌별시나리오'!I21</f>
        <v/>
      </c>
      <c r="I21" s="288">
        <f>'계좌별시나리오'!J21</f>
        <v/>
      </c>
      <c r="J21" s="288">
        <f>'계좌별시나리오'!K21</f>
        <v/>
      </c>
      <c r="K21" s="288">
        <f>'계좌별시나리오'!L21</f>
        <v/>
      </c>
      <c r="L21" s="291">
        <f>SUMIFS('경영보고'!$E$47:$E$68,'경영보고'!$A$47:$A$68,$A21,'경영보고'!$C$47:$C$68,"확정입금")</f>
        <v/>
      </c>
      <c r="M21" s="291">
        <f>SUMIFS('경영보고'!$E$73:$E$166,'경영보고'!$A$73:$A$166,$A21,'경영보고'!$F$73:$F$166,"계좌송금")</f>
        <v/>
      </c>
      <c r="N21" s="291">
        <f>SUMIFS('경영보고'!$E$73:$E$166,'경영보고'!$A$73:$A$166,$A21,'경영보고'!$F$73:$F$166,"법인카드")</f>
        <v/>
      </c>
      <c r="O21" s="291">
        <f>SUMIFS('경영보고'!$E$73:$E$166,'경영보고'!$A$73:$A$166,$A21)-M21-N21</f>
        <v/>
      </c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5" t="n">
        <v>46300</v>
      </c>
      <c r="B22" s="191" t="inlineStr">
        <is>
          <t>월</t>
        </is>
      </c>
      <c r="C22" s="287">
        <f>'계좌별시나리오'!D22</f>
        <v/>
      </c>
      <c r="D22" s="287">
        <f>'계좌별시나리오'!E22</f>
        <v/>
      </c>
      <c r="E22" s="287">
        <f>'계좌별시나리오'!F22</f>
        <v/>
      </c>
      <c r="F22" s="287">
        <f>'계좌별시나리오'!G22</f>
        <v/>
      </c>
      <c r="G22" s="175" t="n">
        <v>0</v>
      </c>
      <c r="H22" s="288">
        <f>'계좌별시나리오'!I22</f>
        <v/>
      </c>
      <c r="I22" s="288">
        <f>'계좌별시나리오'!J22</f>
        <v/>
      </c>
      <c r="J22" s="288">
        <f>'계좌별시나리오'!K22</f>
        <v/>
      </c>
      <c r="K22" s="288">
        <f>'계좌별시나리오'!L22</f>
        <v/>
      </c>
      <c r="L22" s="291">
        <f>SUMIFS('경영보고'!$E$47:$E$68,'경영보고'!$A$47:$A$68,$A22,'경영보고'!$C$47:$C$68,"확정입금")</f>
        <v/>
      </c>
      <c r="M22" s="291">
        <f>SUMIFS('경영보고'!$E$73:$E$166,'경영보고'!$A$73:$A$166,$A22,'경영보고'!$F$73:$F$166,"계좌송금")</f>
        <v/>
      </c>
      <c r="N22" s="291">
        <f>SUMIFS('경영보고'!$E$73:$E$166,'경영보고'!$A$73:$A$166,$A22,'경영보고'!$F$73:$F$166,"법인카드")</f>
        <v/>
      </c>
      <c r="O22" s="291">
        <f>SUMIFS('경영보고'!$E$73:$E$166,'경영보고'!$A$73:$A$166,$A22)-M22-N22</f>
        <v/>
      </c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287">
        <f>'계좌별시나리오'!D23</f>
        <v/>
      </c>
      <c r="D23" s="287">
        <f>'계좌별시나리오'!E23</f>
        <v/>
      </c>
      <c r="E23" s="287">
        <f>'계좌별시나리오'!F23</f>
        <v/>
      </c>
      <c r="F23" s="287">
        <f>'계좌별시나리오'!G23</f>
        <v/>
      </c>
      <c r="G23" s="194">
        <f>INDEX('설정및분류'!$C$6:$C$12,WEEKDAY(A23,2))*'요약'!$B$13</f>
        <v/>
      </c>
      <c r="H23" s="288">
        <f>'계좌별시나리오'!I23</f>
        <v/>
      </c>
      <c r="I23" s="288">
        <f>'계좌별시나리오'!J23</f>
        <v/>
      </c>
      <c r="J23" s="288">
        <f>'계좌별시나리오'!K23</f>
        <v/>
      </c>
      <c r="K23" s="288">
        <f>'계좌별시나리오'!L23</f>
        <v/>
      </c>
      <c r="L23" s="291">
        <f>SUMIFS('경영보고'!$E$47:$E$68,'경영보고'!$A$47:$A$68,$A23,'경영보고'!$C$47:$C$68,"확정입금")</f>
        <v/>
      </c>
      <c r="M23" s="291">
        <f>SUMIFS('경영보고'!$E$73:$E$166,'경영보고'!$A$73:$A$166,$A23,'경영보고'!$F$73:$F$166,"계좌송금")</f>
        <v/>
      </c>
      <c r="N23" s="291">
        <f>SUMIFS('경영보고'!$E$73:$E$166,'경영보고'!$A$73:$A$166,$A23,'경영보고'!$F$73:$F$166,"법인카드")</f>
        <v/>
      </c>
      <c r="O23" s="291">
        <f>SUMIFS('경영보고'!$E$73:$E$166,'경영보고'!$A$73:$A$166,$A23)-M23-N23</f>
        <v/>
      </c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287">
        <f>'계좌별시나리오'!D24</f>
        <v/>
      </c>
      <c r="D24" s="287">
        <f>'계좌별시나리오'!E24</f>
        <v/>
      </c>
      <c r="E24" s="287">
        <f>'계좌별시나리오'!F24</f>
        <v/>
      </c>
      <c r="F24" s="287">
        <f>'계좌별시나리오'!G24</f>
        <v/>
      </c>
      <c r="G24" s="194">
        <f>INDEX('설정및분류'!$C$6:$C$12,WEEKDAY(A24,2))*'요약'!$B$13</f>
        <v/>
      </c>
      <c r="H24" s="288">
        <f>'계좌별시나리오'!I24</f>
        <v/>
      </c>
      <c r="I24" s="288">
        <f>'계좌별시나리오'!J24</f>
        <v/>
      </c>
      <c r="J24" s="288">
        <f>'계좌별시나리오'!K24</f>
        <v/>
      </c>
      <c r="K24" s="288">
        <f>'계좌별시나리오'!L24</f>
        <v/>
      </c>
      <c r="L24" s="291">
        <f>SUMIFS('경영보고'!$E$47:$E$68,'경영보고'!$A$47:$A$68,$A24,'경영보고'!$C$47:$C$68,"확정입금")</f>
        <v/>
      </c>
      <c r="M24" s="291">
        <f>SUMIFS('경영보고'!$E$73:$E$166,'경영보고'!$A$73:$A$166,$A24,'경영보고'!$F$73:$F$166,"계좌송금")</f>
        <v/>
      </c>
      <c r="N24" s="291">
        <f>SUMIFS('경영보고'!$E$73:$E$166,'경영보고'!$A$73:$A$166,$A24,'경영보고'!$F$73:$F$166,"법인카드")</f>
        <v/>
      </c>
      <c r="O24" s="291">
        <f>SUMIFS('경영보고'!$E$73:$E$166,'경영보고'!$A$73:$A$166,$A24)-M24-N24</f>
        <v/>
      </c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287">
        <f>'계좌별시나리오'!D25</f>
        <v/>
      </c>
      <c r="D25" s="287">
        <f>'계좌별시나리오'!E25</f>
        <v/>
      </c>
      <c r="E25" s="287">
        <f>'계좌별시나리오'!F25</f>
        <v/>
      </c>
      <c r="F25" s="287">
        <f>'계좌별시나리오'!G25</f>
        <v/>
      </c>
      <c r="G25" s="194">
        <f>INDEX('설정및분류'!$C$6:$C$12,WEEKDAY(A25,2))*'요약'!$B$13</f>
        <v/>
      </c>
      <c r="H25" s="288">
        <f>'계좌별시나리오'!I25</f>
        <v/>
      </c>
      <c r="I25" s="288">
        <f>'계좌별시나리오'!J25</f>
        <v/>
      </c>
      <c r="J25" s="288">
        <f>'계좌별시나리오'!K25</f>
        <v/>
      </c>
      <c r="K25" s="288">
        <f>'계좌별시나리오'!L25</f>
        <v/>
      </c>
      <c r="L25" s="291">
        <f>SUMIFS('경영보고'!$E$47:$E$68,'경영보고'!$A$47:$A$68,$A25,'경영보고'!$C$47:$C$68,"확정입금")</f>
        <v/>
      </c>
      <c r="M25" s="291">
        <f>SUMIFS('경영보고'!$E$73:$E$166,'경영보고'!$A$73:$A$166,$A25,'경영보고'!$F$73:$F$166,"계좌송금")</f>
        <v/>
      </c>
      <c r="N25" s="291">
        <f>SUMIFS('경영보고'!$E$73:$E$166,'경영보고'!$A$73:$A$166,$A25,'경영보고'!$F$73:$F$166,"법인카드")</f>
        <v/>
      </c>
      <c r="O25" s="291">
        <f>SUMIFS('경영보고'!$E$73:$E$166,'경영보고'!$A$73:$A$166,$A25)-M25-N25</f>
        <v/>
      </c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5" t="n">
        <v>46304</v>
      </c>
      <c r="B26" s="191" t="inlineStr">
        <is>
          <t>금</t>
        </is>
      </c>
      <c r="C26" s="287">
        <f>'계좌별시나리오'!D26</f>
        <v/>
      </c>
      <c r="D26" s="287">
        <f>'계좌별시나리오'!E26</f>
        <v/>
      </c>
      <c r="E26" s="287">
        <f>'계좌별시나리오'!F26</f>
        <v/>
      </c>
      <c r="F26" s="287">
        <f>'계좌별시나리오'!G26</f>
        <v/>
      </c>
      <c r="G26" s="175" t="n">
        <v>0</v>
      </c>
      <c r="H26" s="288">
        <f>'계좌별시나리오'!I26</f>
        <v/>
      </c>
      <c r="I26" s="288">
        <f>'계좌별시나리오'!J26</f>
        <v/>
      </c>
      <c r="J26" s="288">
        <f>'계좌별시나리오'!K26</f>
        <v/>
      </c>
      <c r="K26" s="288">
        <f>'계좌별시나리오'!L26</f>
        <v/>
      </c>
      <c r="L26" s="291">
        <f>SUMIFS('경영보고'!$E$47:$E$68,'경영보고'!$A$47:$A$68,$A26,'경영보고'!$C$47:$C$68,"확정입금")</f>
        <v/>
      </c>
      <c r="M26" s="291">
        <f>SUMIFS('경영보고'!$E$73:$E$166,'경영보고'!$A$73:$A$166,$A26,'경영보고'!$F$73:$F$166,"계좌송금")</f>
        <v/>
      </c>
      <c r="N26" s="291">
        <f>SUMIFS('경영보고'!$E$73:$E$166,'경영보고'!$A$73:$A$166,$A26,'경영보고'!$F$73:$F$166,"법인카드")</f>
        <v/>
      </c>
      <c r="O26" s="291">
        <f>SUMIFS('경영보고'!$E$73:$E$166,'경영보고'!$A$73:$A$166,$A26)-M26-N26</f>
        <v/>
      </c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5" t="n">
        <v>46305</v>
      </c>
      <c r="B27" s="191" t="inlineStr">
        <is>
          <t>토</t>
        </is>
      </c>
      <c r="C27" s="287">
        <f>'계좌별시나리오'!D27</f>
        <v/>
      </c>
      <c r="D27" s="287">
        <f>'계좌별시나리오'!E27</f>
        <v/>
      </c>
      <c r="E27" s="287">
        <f>'계좌별시나리오'!F27</f>
        <v/>
      </c>
      <c r="F27" s="287">
        <f>'계좌별시나리오'!G27</f>
        <v/>
      </c>
      <c r="G27" s="194">
        <f>INDEX('설정및분류'!$C$6:$C$12,WEEKDAY(A27,2))*'요약'!$B$13</f>
        <v/>
      </c>
      <c r="H27" s="288">
        <f>'계좌별시나리오'!I27</f>
        <v/>
      </c>
      <c r="I27" s="288">
        <f>'계좌별시나리오'!J27</f>
        <v/>
      </c>
      <c r="J27" s="288">
        <f>'계좌별시나리오'!K27</f>
        <v/>
      </c>
      <c r="K27" s="288">
        <f>'계좌별시나리오'!L27</f>
        <v/>
      </c>
      <c r="L27" s="291">
        <f>SUMIFS('경영보고'!$E$47:$E$68,'경영보고'!$A$47:$A$68,$A27,'경영보고'!$C$47:$C$68,"확정입금")</f>
        <v/>
      </c>
      <c r="M27" s="291">
        <f>SUMIFS('경영보고'!$E$73:$E$166,'경영보고'!$A$73:$A$166,$A27,'경영보고'!$F$73:$F$166,"계좌송금")</f>
        <v/>
      </c>
      <c r="N27" s="291">
        <f>SUMIFS('경영보고'!$E$73:$E$166,'경영보고'!$A$73:$A$166,$A27,'경영보고'!$F$73:$F$166,"법인카드")</f>
        <v/>
      </c>
      <c r="O27" s="291">
        <f>SUMIFS('경영보고'!$E$73:$E$166,'경영보고'!$A$73:$A$166,$A27)-M27-N27</f>
        <v/>
      </c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5" t="n">
        <v>46306</v>
      </c>
      <c r="B28" s="191" t="inlineStr">
        <is>
          <t>일</t>
        </is>
      </c>
      <c r="C28" s="287">
        <f>'계좌별시나리오'!D28</f>
        <v/>
      </c>
      <c r="D28" s="287">
        <f>'계좌별시나리오'!E28</f>
        <v/>
      </c>
      <c r="E28" s="287">
        <f>'계좌별시나리오'!F28</f>
        <v/>
      </c>
      <c r="F28" s="287">
        <f>'계좌별시나리오'!G28</f>
        <v/>
      </c>
      <c r="G28" s="194">
        <f>INDEX('설정및분류'!$C$6:$C$12,WEEKDAY(A28,2))*'요약'!$B$13</f>
        <v/>
      </c>
      <c r="H28" s="288">
        <f>'계좌별시나리오'!I28</f>
        <v/>
      </c>
      <c r="I28" s="288">
        <f>'계좌별시나리오'!J28</f>
        <v/>
      </c>
      <c r="J28" s="288">
        <f>'계좌별시나리오'!K28</f>
        <v/>
      </c>
      <c r="K28" s="288">
        <f>'계좌별시나리오'!L28</f>
        <v/>
      </c>
      <c r="L28" s="291">
        <f>SUMIFS('경영보고'!$E$47:$E$68,'경영보고'!$A$47:$A$68,$A28,'경영보고'!$C$47:$C$68,"확정입금")</f>
        <v/>
      </c>
      <c r="M28" s="291">
        <f>SUMIFS('경영보고'!$E$73:$E$166,'경영보고'!$A$73:$A$166,$A28,'경영보고'!$F$73:$F$166,"계좌송금")</f>
        <v/>
      </c>
      <c r="N28" s="291">
        <f>SUMIFS('경영보고'!$E$73:$E$166,'경영보고'!$A$73:$A$166,$A28,'경영보고'!$F$73:$F$166,"법인카드")</f>
        <v/>
      </c>
      <c r="O28" s="291">
        <f>SUMIFS('경영보고'!$E$73:$E$166,'경영보고'!$A$73:$A$166,$A28)-M28-N28</f>
        <v/>
      </c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287">
        <f>'계좌별시나리오'!D29</f>
        <v/>
      </c>
      <c r="D29" s="287">
        <f>'계좌별시나리오'!E29</f>
        <v/>
      </c>
      <c r="E29" s="287">
        <f>'계좌별시나리오'!F29</f>
        <v/>
      </c>
      <c r="F29" s="287">
        <f>'계좌별시나리오'!G29</f>
        <v/>
      </c>
      <c r="G29" s="194">
        <f>INDEX('설정및분류'!$C$6:$C$12,WEEKDAY(A29,2))*'요약'!$B$13</f>
        <v/>
      </c>
      <c r="H29" s="288">
        <f>'계좌별시나리오'!I29</f>
        <v/>
      </c>
      <c r="I29" s="288">
        <f>'계좌별시나리오'!J29</f>
        <v/>
      </c>
      <c r="J29" s="288">
        <f>'계좌별시나리오'!K29</f>
        <v/>
      </c>
      <c r="K29" s="288">
        <f>'계좌별시나리오'!L29</f>
        <v/>
      </c>
      <c r="L29" s="291">
        <f>SUMIFS('경영보고'!$E$47:$E$68,'경영보고'!$A$47:$A$68,$A29,'경영보고'!$C$47:$C$68,"확정입금")</f>
        <v/>
      </c>
      <c r="M29" s="291">
        <f>SUMIFS('경영보고'!$E$73:$E$166,'경영보고'!$A$73:$A$166,$A29,'경영보고'!$F$73:$F$166,"계좌송금")</f>
        <v/>
      </c>
      <c r="N29" s="291">
        <f>SUMIFS('경영보고'!$E$73:$E$166,'경영보고'!$A$73:$A$166,$A29,'경영보고'!$F$73:$F$166,"법인카드")</f>
        <v/>
      </c>
      <c r="O29" s="291">
        <f>SUMIFS('경영보고'!$E$73:$E$166,'경영보고'!$A$73:$A$166,$A29)-M29-N29</f>
        <v/>
      </c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287">
        <f>'계좌별시나리오'!D30</f>
        <v/>
      </c>
      <c r="D30" s="287">
        <f>'계좌별시나리오'!E30</f>
        <v/>
      </c>
      <c r="E30" s="287">
        <f>'계좌별시나리오'!F30</f>
        <v/>
      </c>
      <c r="F30" s="287">
        <f>'계좌별시나리오'!G30</f>
        <v/>
      </c>
      <c r="G30" s="194">
        <f>INDEX('설정및분류'!$C$6:$C$12,WEEKDAY(A30,2))*'요약'!$B$13</f>
        <v/>
      </c>
      <c r="H30" s="288">
        <f>'계좌별시나리오'!I30</f>
        <v/>
      </c>
      <c r="I30" s="288">
        <f>'계좌별시나리오'!J30</f>
        <v/>
      </c>
      <c r="J30" s="288">
        <f>'계좌별시나리오'!K30</f>
        <v/>
      </c>
      <c r="K30" s="288">
        <f>'계좌별시나리오'!L30</f>
        <v/>
      </c>
      <c r="L30" s="291">
        <f>SUMIFS('경영보고'!$E$47:$E$68,'경영보고'!$A$47:$A$68,$A30,'경영보고'!$C$47:$C$68,"확정입금")</f>
        <v/>
      </c>
      <c r="M30" s="291">
        <f>SUMIFS('경영보고'!$E$73:$E$166,'경영보고'!$A$73:$A$166,$A30,'경영보고'!$F$73:$F$166,"계좌송금")</f>
        <v/>
      </c>
      <c r="N30" s="291">
        <f>SUMIFS('경영보고'!$E$73:$E$166,'경영보고'!$A$73:$A$166,$A30,'경영보고'!$F$73:$F$166,"법인카드")</f>
        <v/>
      </c>
      <c r="O30" s="291">
        <f>SUMIFS('경영보고'!$E$73:$E$166,'경영보고'!$A$73:$A$166,$A30)-M30-N30</f>
        <v/>
      </c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287">
        <f>'계좌별시나리오'!D31</f>
        <v/>
      </c>
      <c r="D31" s="287">
        <f>'계좌별시나리오'!E31</f>
        <v/>
      </c>
      <c r="E31" s="287">
        <f>'계좌별시나리오'!F31</f>
        <v/>
      </c>
      <c r="F31" s="287">
        <f>'계좌별시나리오'!G31</f>
        <v/>
      </c>
      <c r="G31" s="194">
        <f>INDEX('설정및분류'!$C$6:$C$12,WEEKDAY(A31,2))*'요약'!$B$13</f>
        <v/>
      </c>
      <c r="H31" s="288">
        <f>'계좌별시나리오'!I31</f>
        <v/>
      </c>
      <c r="I31" s="288">
        <f>'계좌별시나리오'!J31</f>
        <v/>
      </c>
      <c r="J31" s="288">
        <f>'계좌별시나리오'!K31</f>
        <v/>
      </c>
      <c r="K31" s="288">
        <f>'계좌별시나리오'!L31</f>
        <v/>
      </c>
      <c r="L31" s="291">
        <f>SUMIFS('경영보고'!$E$47:$E$68,'경영보고'!$A$47:$A$68,$A31,'경영보고'!$C$47:$C$68,"확정입금")</f>
        <v/>
      </c>
      <c r="M31" s="291">
        <f>SUMIFS('경영보고'!$E$73:$E$166,'경영보고'!$A$73:$A$166,$A31,'경영보고'!$F$73:$F$166,"계좌송금")</f>
        <v/>
      </c>
      <c r="N31" s="291">
        <f>SUMIFS('경영보고'!$E$73:$E$166,'경영보고'!$A$73:$A$166,$A31,'경영보고'!$F$73:$F$166,"법인카드")</f>
        <v/>
      </c>
      <c r="O31" s="291">
        <f>SUMIFS('경영보고'!$E$73:$E$166,'경영보고'!$A$73:$A$166,$A31)-M31-N31</f>
        <v/>
      </c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287">
        <f>'계좌별시나리오'!D32</f>
        <v/>
      </c>
      <c r="D32" s="287">
        <f>'계좌별시나리오'!E32</f>
        <v/>
      </c>
      <c r="E32" s="287">
        <f>'계좌별시나리오'!F32</f>
        <v/>
      </c>
      <c r="F32" s="287">
        <f>'계좌별시나리오'!G32</f>
        <v/>
      </c>
      <c r="G32" s="194">
        <f>INDEX('설정및분류'!$C$6:$C$12,WEEKDAY(A32,2))*'요약'!$B$13</f>
        <v/>
      </c>
      <c r="H32" s="288">
        <f>'계좌별시나리오'!I32</f>
        <v/>
      </c>
      <c r="I32" s="288">
        <f>'계좌별시나리오'!J32</f>
        <v/>
      </c>
      <c r="J32" s="288">
        <f>'계좌별시나리오'!K32</f>
        <v/>
      </c>
      <c r="K32" s="288">
        <f>'계좌별시나리오'!L32</f>
        <v/>
      </c>
      <c r="L32" s="291">
        <f>SUMIFS('경영보고'!$E$47:$E$68,'경영보고'!$A$47:$A$68,$A32,'경영보고'!$C$47:$C$68,"확정입금")</f>
        <v/>
      </c>
      <c r="M32" s="291">
        <f>SUMIFS('경영보고'!$E$73:$E$166,'경영보고'!$A$73:$A$166,$A32,'경영보고'!$F$73:$F$166,"계좌송금")</f>
        <v/>
      </c>
      <c r="N32" s="291">
        <f>SUMIFS('경영보고'!$E$73:$E$166,'경영보고'!$A$73:$A$166,$A32,'경영보고'!$F$73:$F$166,"법인카드")</f>
        <v/>
      </c>
      <c r="O32" s="291">
        <f>SUMIFS('경영보고'!$E$73:$E$166,'경영보고'!$A$73:$A$166,$A32)-M32-N32</f>
        <v/>
      </c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287">
        <f>'계좌별시나리오'!D33</f>
        <v/>
      </c>
      <c r="D33" s="287">
        <f>'계좌별시나리오'!E33</f>
        <v/>
      </c>
      <c r="E33" s="287">
        <f>'계좌별시나리오'!F33</f>
        <v/>
      </c>
      <c r="F33" s="287">
        <f>'계좌별시나리오'!G33</f>
        <v/>
      </c>
      <c r="G33" s="194">
        <f>INDEX('설정및분류'!$C$6:$C$12,WEEKDAY(A33,2))*'요약'!$B$13</f>
        <v/>
      </c>
      <c r="H33" s="288">
        <f>'계좌별시나리오'!I33</f>
        <v/>
      </c>
      <c r="I33" s="288">
        <f>'계좌별시나리오'!J33</f>
        <v/>
      </c>
      <c r="J33" s="288">
        <f>'계좌별시나리오'!K33</f>
        <v/>
      </c>
      <c r="K33" s="288">
        <f>'계좌별시나리오'!L33</f>
        <v/>
      </c>
      <c r="L33" s="291">
        <f>SUMIFS('경영보고'!$E$47:$E$68,'경영보고'!$A$47:$A$68,$A33,'경영보고'!$C$47:$C$68,"확정입금")</f>
        <v/>
      </c>
      <c r="M33" s="291">
        <f>SUMIFS('경영보고'!$E$73:$E$166,'경영보고'!$A$73:$A$166,$A33,'경영보고'!$F$73:$F$166,"계좌송금")</f>
        <v/>
      </c>
      <c r="N33" s="291">
        <f>SUMIFS('경영보고'!$E$73:$E$166,'경영보고'!$A$73:$A$166,$A33,'경영보고'!$F$73:$F$166,"법인카드")</f>
        <v/>
      </c>
      <c r="O33" s="291">
        <f>SUMIFS('경영보고'!$E$73:$E$166,'경영보고'!$A$73:$A$166,$A33)-M33-N33</f>
        <v/>
      </c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5" t="n">
        <v>46312</v>
      </c>
      <c r="B34" s="191" t="inlineStr">
        <is>
          <t>토</t>
        </is>
      </c>
      <c r="C34" s="287">
        <f>'계좌별시나리오'!D34</f>
        <v/>
      </c>
      <c r="D34" s="287">
        <f>'계좌별시나리오'!E34</f>
        <v/>
      </c>
      <c r="E34" s="287">
        <f>'계좌별시나리오'!F34</f>
        <v/>
      </c>
      <c r="F34" s="287">
        <f>'계좌별시나리오'!G34</f>
        <v/>
      </c>
      <c r="G34" s="194">
        <f>INDEX('설정및분류'!$C$6:$C$12,WEEKDAY(A34,2))*'요약'!$B$13</f>
        <v/>
      </c>
      <c r="H34" s="288">
        <f>'계좌별시나리오'!I34</f>
        <v/>
      </c>
      <c r="I34" s="288">
        <f>'계좌별시나리오'!J34</f>
        <v/>
      </c>
      <c r="J34" s="288">
        <f>'계좌별시나리오'!K34</f>
        <v/>
      </c>
      <c r="K34" s="288">
        <f>'계좌별시나리오'!L34</f>
        <v/>
      </c>
      <c r="L34" s="291">
        <f>SUMIFS('경영보고'!$E$47:$E$68,'경영보고'!$A$47:$A$68,$A34,'경영보고'!$C$47:$C$68,"확정입금")</f>
        <v/>
      </c>
      <c r="M34" s="291">
        <f>SUMIFS('경영보고'!$E$73:$E$166,'경영보고'!$A$73:$A$166,$A34,'경영보고'!$F$73:$F$166,"계좌송금")</f>
        <v/>
      </c>
      <c r="N34" s="291">
        <f>SUMIFS('경영보고'!$E$73:$E$166,'경영보고'!$A$73:$A$166,$A34,'경영보고'!$F$73:$F$166,"법인카드")</f>
        <v/>
      </c>
      <c r="O34" s="291">
        <f>SUMIFS('경영보고'!$E$73:$E$166,'경영보고'!$A$73:$A$166,$A34)-M34-N34</f>
        <v/>
      </c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5" t="n">
        <v>46313</v>
      </c>
      <c r="B35" s="191" t="inlineStr">
        <is>
          <t>일</t>
        </is>
      </c>
      <c r="C35" s="287">
        <f>'계좌별시나리오'!D35</f>
        <v/>
      </c>
      <c r="D35" s="287">
        <f>'계좌별시나리오'!E35</f>
        <v/>
      </c>
      <c r="E35" s="287">
        <f>'계좌별시나리오'!F35</f>
        <v/>
      </c>
      <c r="F35" s="287">
        <f>'계좌별시나리오'!G35</f>
        <v/>
      </c>
      <c r="G35" s="194">
        <f>INDEX('설정및분류'!$C$6:$C$12,WEEKDAY(A35,2))*'요약'!$B$13</f>
        <v/>
      </c>
      <c r="H35" s="288">
        <f>'계좌별시나리오'!I35</f>
        <v/>
      </c>
      <c r="I35" s="288">
        <f>'계좌별시나리오'!J35</f>
        <v/>
      </c>
      <c r="J35" s="288">
        <f>'계좌별시나리오'!K35</f>
        <v/>
      </c>
      <c r="K35" s="288">
        <f>'계좌별시나리오'!L35</f>
        <v/>
      </c>
      <c r="L35" s="291">
        <f>SUMIFS('경영보고'!$E$47:$E$68,'경영보고'!$A$47:$A$68,$A35,'경영보고'!$C$47:$C$68,"확정입금")</f>
        <v/>
      </c>
      <c r="M35" s="291">
        <f>SUMIFS('경영보고'!$E$73:$E$166,'경영보고'!$A$73:$A$166,$A35,'경영보고'!$F$73:$F$166,"계좌송금")</f>
        <v/>
      </c>
      <c r="N35" s="291">
        <f>SUMIFS('경영보고'!$E$73:$E$166,'경영보고'!$A$73:$A$166,$A35,'경영보고'!$F$73:$F$166,"법인카드")</f>
        <v/>
      </c>
      <c r="O35" s="291">
        <f>SUMIFS('경영보고'!$E$73:$E$166,'경영보고'!$A$73:$A$166,$A35)-M35-N35</f>
        <v/>
      </c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157" t="n"/>
      <c r="E4" s="157" t="n"/>
      <c r="F4" s="157" t="n"/>
      <c r="G4" s="158" t="n"/>
      <c r="H4" s="159" t="inlineStr">
        <is>
          <t>② 오늘 들어오는 돈 — 예상입금 배분</t>
        </is>
      </c>
      <c r="I4" s="157" t="n"/>
      <c r="J4" s="157" t="n"/>
      <c r="K4" s="157" t="n"/>
      <c r="L4" s="158" t="n"/>
      <c r="M4" s="207" t="inlineStr">
        <is>
          <t>③ 지출</t>
        </is>
      </c>
      <c r="N4" s="208" t="inlineStr">
        <is>
          <t>④ 부족분 이체</t>
        </is>
      </c>
      <c r="O4" s="158" t="n"/>
      <c r="P4" s="209" t="inlineStr">
        <is>
          <t>비고</t>
        </is>
      </c>
    </row>
    <row r="5">
      <c r="A5" s="210" t="n"/>
      <c r="B5" s="210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1" t="inlineStr">
        <is>
          <t>우리은행 집행</t>
        </is>
      </c>
      <c r="N5" s="212" t="inlineStr">
        <is>
          <t>농협→우리</t>
        </is>
      </c>
      <c r="O5" s="212" t="inlineStr">
        <is>
          <t>국민→우리</t>
        </is>
      </c>
      <c r="P5" s="210" t="n"/>
    </row>
    <row r="6">
      <c r="A6" s="213" t="n">
        <v>46287</v>
      </c>
      <c r="B6" s="214" t="inlineStr">
        <is>
          <t>화</t>
        </is>
      </c>
      <c r="C6" s="284">
        <f>SUM(D6:G6)</f>
        <v/>
      </c>
      <c r="D6" s="284" t="n">
        <v>8926233</v>
      </c>
      <c r="E6" s="284" t="n">
        <v>2227429</v>
      </c>
      <c r="F6" s="284" t="n">
        <v>100687200</v>
      </c>
      <c r="G6" s="284" t="n">
        <v>36085938</v>
      </c>
      <c r="H6" s="206" t="n"/>
      <c r="I6" s="206" t="n"/>
      <c r="J6" s="206" t="n"/>
      <c r="K6" s="206" t="n"/>
      <c r="L6" s="206" t="n"/>
      <c r="M6" s="206" t="n"/>
      <c r="N6" s="206" t="n"/>
      <c r="O6" s="206" t="n"/>
      <c r="P6" s="215" t="inlineStr">
        <is>
          <t>전일 마감 실잔고 — 여기서 출발</t>
        </is>
      </c>
    </row>
    <row r="7">
      <c r="A7" s="216" t="n">
        <v>46288</v>
      </c>
      <c r="B7" s="217" t="inlineStr">
        <is>
          <t>수</t>
        </is>
      </c>
      <c r="C7" s="284">
        <f>SUM(D7:G7)</f>
        <v/>
      </c>
      <c r="D7" s="287" t="n">
        <v>0</v>
      </c>
      <c r="E7" s="287" t="n">
        <v>2311495</v>
      </c>
      <c r="F7" s="287" t="n">
        <v>100687200</v>
      </c>
      <c r="G7" s="287" t="n">
        <v>35256466</v>
      </c>
      <c r="H7" s="206" t="n"/>
      <c r="I7" s="206" t="n"/>
      <c r="J7" s="206" t="n"/>
      <c r="K7" s="206" t="n"/>
      <c r="L7" s="206" t="n"/>
      <c r="M7" s="206" t="n"/>
      <c r="N7" s="206" t="n"/>
      <c r="O7" s="206" t="n"/>
      <c r="P7" s="218" t="inlineStr">
        <is>
          <t>오늘 실잔고(은행 확인) — 참고</t>
        </is>
      </c>
    </row>
    <row r="8" hidden="1">
      <c r="A8" s="219" t="n">
        <v>46286</v>
      </c>
      <c r="B8" s="206" t="inlineStr">
        <is>
          <t>월</t>
        </is>
      </c>
      <c r="C8" s="220" t="n"/>
      <c r="D8" s="206" t="n"/>
      <c r="E8" s="206" t="n"/>
      <c r="F8" s="206" t="n"/>
      <c r="G8" s="206" t="n"/>
      <c r="H8" s="221" t="n"/>
      <c r="I8" s="221" t="n"/>
      <c r="J8" s="221" t="n"/>
      <c r="K8" s="221" t="n"/>
      <c r="L8" s="221" t="n"/>
      <c r="M8" s="222" t="n"/>
      <c r="N8" s="223" t="n"/>
      <c r="O8" s="223" t="n"/>
      <c r="P8" s="218" t="inlineStr">
        <is>
          <t>실적 구간</t>
        </is>
      </c>
    </row>
    <row r="9" hidden="1">
      <c r="A9" s="219" t="n">
        <v>46287</v>
      </c>
      <c r="B9" s="206" t="inlineStr">
        <is>
          <t>화</t>
        </is>
      </c>
      <c r="C9" s="284" t="n">
        <v>147926800</v>
      </c>
      <c r="D9" s="295" t="n">
        <v>8926233</v>
      </c>
      <c r="E9" s="295" t="n">
        <v>2227429</v>
      </c>
      <c r="F9" s="295" t="n">
        <v>100687200</v>
      </c>
      <c r="G9" s="295" t="n">
        <v>36085938</v>
      </c>
      <c r="H9" s="221" t="n"/>
      <c r="I9" s="221" t="n"/>
      <c r="J9" s="221" t="n"/>
      <c r="K9" s="221" t="n"/>
      <c r="L9" s="221" t="n"/>
      <c r="M9" s="222" t="n"/>
      <c r="N9" s="223" t="n"/>
      <c r="O9" s="223" t="n"/>
      <c r="P9" s="218" t="inlineStr">
        <is>
          <t>실적 구간</t>
        </is>
      </c>
    </row>
    <row r="10">
      <c r="A10" s="219" t="n">
        <v>46288</v>
      </c>
      <c r="B10" s="206" t="inlineStr">
        <is>
          <t>수</t>
        </is>
      </c>
      <c r="C10" s="284" t="n">
        <v>138255161</v>
      </c>
      <c r="D10" s="296" t="n">
        <v>0</v>
      </c>
      <c r="E10" s="296" t="n">
        <v>2311495</v>
      </c>
      <c r="F10" s="296" t="n">
        <v>100687200</v>
      </c>
      <c r="G10" s="296" t="n">
        <v>35256466</v>
      </c>
      <c r="H10" s="221" t="n"/>
      <c r="I10" s="221" t="n"/>
      <c r="J10" s="221" t="n"/>
      <c r="K10" s="221" t="n"/>
      <c r="L10" s="221" t="n"/>
      <c r="M10" s="222" t="n"/>
      <c r="N10" s="223" t="n"/>
      <c r="O10" s="223" t="n"/>
      <c r="P10" s="215" t="inlineStr">
        <is>
          <t>실적(은행 확인) — 여기서 예산 출발</t>
        </is>
      </c>
    </row>
    <row r="11">
      <c r="A11" s="205" t="n">
        <v>46289</v>
      </c>
      <c r="B11" s="191" t="inlineStr">
        <is>
          <t>목</t>
        </is>
      </c>
      <c r="C11" s="284">
        <f>SUM(D11:G11)</f>
        <v/>
      </c>
      <c r="D11" s="295">
        <f>D10+I11-M11+Q11+R11+S11</f>
        <v/>
      </c>
      <c r="E11" s="295">
        <f>E10+J11-Q11</f>
        <v/>
      </c>
      <c r="F11" s="295">
        <f>F10+K11-R11</f>
        <v/>
      </c>
      <c r="G11" s="295">
        <f>G10+L11-S11</f>
        <v/>
      </c>
      <c r="H11" s="288">
        <f>'4주일별계획'!G11+'4주일별계획'!L11</f>
        <v/>
      </c>
      <c r="I11" s="288">
        <f>H11*0.437547</f>
        <v/>
      </c>
      <c r="J11" s="288">
        <f>H11*0.020312</f>
        <v/>
      </c>
      <c r="K11" s="288">
        <f>H11*0.211322</f>
        <v/>
      </c>
      <c r="L11" s="288">
        <f>H11*0.330819</f>
        <v/>
      </c>
      <c r="M11" s="297">
        <f>'4주일별계획'!M11+'4주일별계획'!N11+'4주일별계획'!O11</f>
        <v/>
      </c>
      <c r="N11" s="298">
        <f>Q11</f>
        <v/>
      </c>
      <c r="O11" s="298">
        <f>R11+S11</f>
        <v/>
      </c>
      <c r="P11" s="228">
        <f>IF(D11&lt;-0.5,"전 계좌 소진 — 부족 "&amp;TEXT(-D11,"#,##0")&amp;"원","")</f>
        <v/>
      </c>
      <c r="Q11" s="299">
        <f>MIN(MAX(0,E10+J11),MAX(0,M11-D10-I11))</f>
        <v/>
      </c>
      <c r="R11" s="299">
        <f>MIN(MAX(0,F10+K11),MAX(0,M11-D10-I11)-Q11)</f>
        <v/>
      </c>
      <c r="S11" s="299">
        <f>MIN(MAX(0,G10+L11),MAX(0,M11-D10-I11)-Q11-R11)</f>
        <v/>
      </c>
    </row>
    <row r="12">
      <c r="A12" s="205" t="n">
        <v>46290</v>
      </c>
      <c r="B12" s="191" t="inlineStr">
        <is>
          <t>금</t>
        </is>
      </c>
      <c r="C12" s="284">
        <f>SUM(D12:G12)</f>
        <v/>
      </c>
      <c r="D12" s="295">
        <f>D11+I12-M12+Q12+R12+S12</f>
        <v/>
      </c>
      <c r="E12" s="295">
        <f>E11+J12-Q12</f>
        <v/>
      </c>
      <c r="F12" s="295">
        <f>F11+K12-R12</f>
        <v/>
      </c>
      <c r="G12" s="295">
        <f>G11+L12-S12</f>
        <v/>
      </c>
      <c r="H12" s="288">
        <f>'4주일별계획'!G12+'4주일별계획'!L12</f>
        <v/>
      </c>
      <c r="I12" s="288">
        <f>H12*0.437547</f>
        <v/>
      </c>
      <c r="J12" s="288">
        <f>H12*0.020312</f>
        <v/>
      </c>
      <c r="K12" s="288">
        <f>H12*0.211322</f>
        <v/>
      </c>
      <c r="L12" s="288">
        <f>H12*0.330819</f>
        <v/>
      </c>
      <c r="M12" s="297">
        <f>'4주일별계획'!M12+'4주일별계획'!N12+'4주일별계획'!O12</f>
        <v/>
      </c>
      <c r="N12" s="298">
        <f>Q12</f>
        <v/>
      </c>
      <c r="O12" s="298">
        <f>R12+S12</f>
        <v/>
      </c>
      <c r="P12" s="228">
        <f>IF(D12&lt;-0.5,"전 계좌 소진 — 부족 "&amp;TEXT(-D12,"#,##0")&amp;"원","")</f>
        <v/>
      </c>
      <c r="Q12" s="299">
        <f>MIN(MAX(0,E11+J12),MAX(0,M12-D11-I12))</f>
        <v/>
      </c>
      <c r="R12" s="299">
        <f>MIN(MAX(0,F11+K12),MAX(0,M12-D11-I12)-Q12)</f>
        <v/>
      </c>
      <c r="S12" s="299">
        <f>MIN(MAX(0,G11+L12),MAX(0,M12-D11-I12)-Q12-R12)</f>
        <v/>
      </c>
    </row>
    <row r="13">
      <c r="A13" s="205" t="n">
        <v>46291</v>
      </c>
      <c r="B13" s="191" t="inlineStr">
        <is>
          <t>토</t>
        </is>
      </c>
      <c r="C13" s="284">
        <f>SUM(D13:G13)</f>
        <v/>
      </c>
      <c r="D13" s="295">
        <f>D12+I13-M13+Q13+R13+S13</f>
        <v/>
      </c>
      <c r="E13" s="295">
        <f>E12+J13-Q13</f>
        <v/>
      </c>
      <c r="F13" s="295">
        <f>F12+K13-R13</f>
        <v/>
      </c>
      <c r="G13" s="295">
        <f>G12+L13-S13</f>
        <v/>
      </c>
      <c r="H13" s="288">
        <f>'4주일별계획'!G13+'4주일별계획'!L13</f>
        <v/>
      </c>
      <c r="I13" s="288">
        <f>H13*0.437547</f>
        <v/>
      </c>
      <c r="J13" s="288">
        <f>H13*0.020312</f>
        <v/>
      </c>
      <c r="K13" s="288">
        <f>H13*0.211322</f>
        <v/>
      </c>
      <c r="L13" s="288">
        <f>H13*0.330819</f>
        <v/>
      </c>
      <c r="M13" s="297">
        <f>'4주일별계획'!M13+'4주일별계획'!N13+'4주일별계획'!O13</f>
        <v/>
      </c>
      <c r="N13" s="298">
        <f>Q13</f>
        <v/>
      </c>
      <c r="O13" s="298">
        <f>R13+S13</f>
        <v/>
      </c>
      <c r="P13" s="228">
        <f>IF(D13&lt;-0.5,"전 계좌 소진 — 부족 "&amp;TEXT(-D13,"#,##0")&amp;"원","")</f>
        <v/>
      </c>
      <c r="Q13" s="299">
        <f>MIN(MAX(0,E12+J13),MAX(0,M13-D12-I13))</f>
        <v/>
      </c>
      <c r="R13" s="299">
        <f>MIN(MAX(0,F12+K13),MAX(0,M13-D12-I13)-Q13)</f>
        <v/>
      </c>
      <c r="S13" s="299">
        <f>MIN(MAX(0,G12+L13),MAX(0,M13-D12-I13)-Q13-R13)</f>
        <v/>
      </c>
    </row>
    <row r="14">
      <c r="A14" s="205" t="n">
        <v>46292</v>
      </c>
      <c r="B14" s="191" t="inlineStr">
        <is>
          <t>일</t>
        </is>
      </c>
      <c r="C14" s="284">
        <f>SUM(D14:G14)</f>
        <v/>
      </c>
      <c r="D14" s="295">
        <f>D13+I14-M14+Q14+R14+S14</f>
        <v/>
      </c>
      <c r="E14" s="295">
        <f>E13+J14-Q14</f>
        <v/>
      </c>
      <c r="F14" s="295">
        <f>F13+K14-R14</f>
        <v/>
      </c>
      <c r="G14" s="295">
        <f>G13+L14-S14</f>
        <v/>
      </c>
      <c r="H14" s="288">
        <f>'4주일별계획'!G14+'4주일별계획'!L14</f>
        <v/>
      </c>
      <c r="I14" s="288">
        <f>H14*0.437547</f>
        <v/>
      </c>
      <c r="J14" s="288">
        <f>H14*0.020312</f>
        <v/>
      </c>
      <c r="K14" s="288">
        <f>H14*0.211322</f>
        <v/>
      </c>
      <c r="L14" s="288">
        <f>H14*0.330819</f>
        <v/>
      </c>
      <c r="M14" s="297">
        <f>'4주일별계획'!M14+'4주일별계획'!N14+'4주일별계획'!O14</f>
        <v/>
      </c>
      <c r="N14" s="298">
        <f>Q14</f>
        <v/>
      </c>
      <c r="O14" s="298">
        <f>R14+S14</f>
        <v/>
      </c>
      <c r="P14" s="228">
        <f>IF(D14&lt;-0.5,"전 계좌 소진 — 부족 "&amp;TEXT(-D14,"#,##0")&amp;"원","")</f>
        <v/>
      </c>
      <c r="Q14" s="299">
        <f>MIN(MAX(0,E13+J14),MAX(0,M14-D13-I14))</f>
        <v/>
      </c>
      <c r="R14" s="299">
        <f>MIN(MAX(0,F13+K14),MAX(0,M14-D13-I14)-Q14)</f>
        <v/>
      </c>
      <c r="S14" s="299">
        <f>MIN(MAX(0,G13+L14),MAX(0,M14-D13-I14)-Q14-R14)</f>
        <v/>
      </c>
    </row>
    <row r="15">
      <c r="A15" s="219" t="n">
        <v>46293</v>
      </c>
      <c r="B15" s="206" t="inlineStr">
        <is>
          <t>월</t>
        </is>
      </c>
      <c r="C15" s="284">
        <f>SUM(D15:G15)</f>
        <v/>
      </c>
      <c r="D15" s="295">
        <f>D14+I15-M15+Q15+R15+S15</f>
        <v/>
      </c>
      <c r="E15" s="295">
        <f>E14+J15-Q15</f>
        <v/>
      </c>
      <c r="F15" s="295">
        <f>F14+K15-R15</f>
        <v/>
      </c>
      <c r="G15" s="295">
        <f>G14+L15-S15</f>
        <v/>
      </c>
      <c r="H15" s="288">
        <f>'4주일별계획'!G15+'4주일별계획'!L15</f>
        <v/>
      </c>
      <c r="I15" s="288">
        <f>H15*0.437547</f>
        <v/>
      </c>
      <c r="J15" s="288">
        <f>H15*0.020312</f>
        <v/>
      </c>
      <c r="K15" s="288">
        <f>H15*0.211322</f>
        <v/>
      </c>
      <c r="L15" s="288">
        <f>H15*0.330819</f>
        <v/>
      </c>
      <c r="M15" s="297">
        <f>'4주일별계획'!M15+'4주일별계획'!N15+'4주일별계획'!O15</f>
        <v/>
      </c>
      <c r="N15" s="298">
        <f>Q15</f>
        <v/>
      </c>
      <c r="O15" s="298">
        <f>R15+S15</f>
        <v/>
      </c>
      <c r="P15" s="228">
        <f>IF(D15&lt;-0.5,"전 계좌 소진 — 부족 "&amp;TEXT(-D15,"#,##0")&amp;"원","")</f>
        <v/>
      </c>
      <c r="Q15" s="299">
        <f>MIN(MAX(0,E14+J15),MAX(0,M15-D14-I15))</f>
        <v/>
      </c>
      <c r="R15" s="299">
        <f>MIN(MAX(0,F14+K15),MAX(0,M15-D14-I15)-Q15)</f>
        <v/>
      </c>
      <c r="S15" s="299">
        <f>MIN(MAX(0,G14+L15),MAX(0,M15-D14-I15)-Q15-R15)</f>
        <v/>
      </c>
    </row>
    <row r="16">
      <c r="A16" s="219" t="n">
        <v>46294</v>
      </c>
      <c r="B16" s="206" t="inlineStr">
        <is>
          <t>화</t>
        </is>
      </c>
      <c r="C16" s="284">
        <f>SUM(D16:G16)</f>
        <v/>
      </c>
      <c r="D16" s="295">
        <f>D15+I16-M16+Q16+R16+S16</f>
        <v/>
      </c>
      <c r="E16" s="295">
        <f>E15+J16-Q16</f>
        <v/>
      </c>
      <c r="F16" s="295">
        <f>F15+K16-R16</f>
        <v/>
      </c>
      <c r="G16" s="295">
        <f>G15+L16-S16</f>
        <v/>
      </c>
      <c r="H16" s="288">
        <f>'4주일별계획'!G16+'4주일별계획'!L16</f>
        <v/>
      </c>
      <c r="I16" s="288">
        <f>H16*0.437547</f>
        <v/>
      </c>
      <c r="J16" s="288">
        <f>H16*0.020312</f>
        <v/>
      </c>
      <c r="K16" s="288">
        <f>H16*0.211322</f>
        <v/>
      </c>
      <c r="L16" s="288">
        <f>H16*0.330819</f>
        <v/>
      </c>
      <c r="M16" s="297">
        <f>'4주일별계획'!M16+'4주일별계획'!N16+'4주일별계획'!O16</f>
        <v/>
      </c>
      <c r="N16" s="298">
        <f>Q16</f>
        <v/>
      </c>
      <c r="O16" s="298">
        <f>R16+S16</f>
        <v/>
      </c>
      <c r="P16" s="228">
        <f>IF(D16&lt;-0.5,"전 계좌 소진 — 부족 "&amp;TEXT(-D16,"#,##0")&amp;"원","")</f>
        <v/>
      </c>
      <c r="Q16" s="299">
        <f>MIN(MAX(0,E15+J16),MAX(0,M16-D15-I16))</f>
        <v/>
      </c>
      <c r="R16" s="299">
        <f>MIN(MAX(0,F15+K16),MAX(0,M16-D15-I16)-Q16)</f>
        <v/>
      </c>
      <c r="S16" s="299">
        <f>MIN(MAX(0,G15+L16),MAX(0,M16-D15-I16)-Q16-R16)</f>
        <v/>
      </c>
    </row>
    <row r="17">
      <c r="A17" s="219" t="n">
        <v>46295</v>
      </c>
      <c r="B17" s="206" t="inlineStr">
        <is>
          <t>수</t>
        </is>
      </c>
      <c r="C17" s="284">
        <f>SUM(D17:G17)</f>
        <v/>
      </c>
      <c r="D17" s="295">
        <f>D16+I17-M17+Q17+R17+S17</f>
        <v/>
      </c>
      <c r="E17" s="295">
        <f>E16+J17-Q17</f>
        <v/>
      </c>
      <c r="F17" s="295">
        <f>F16+K17-R17</f>
        <v/>
      </c>
      <c r="G17" s="295">
        <f>G16+L17-S17</f>
        <v/>
      </c>
      <c r="H17" s="288">
        <f>'4주일별계획'!G17+'4주일별계획'!L17</f>
        <v/>
      </c>
      <c r="I17" s="288">
        <f>H17*0.437547</f>
        <v/>
      </c>
      <c r="J17" s="288">
        <f>H17*0.020312</f>
        <v/>
      </c>
      <c r="K17" s="288">
        <f>H17*0.211322</f>
        <v/>
      </c>
      <c r="L17" s="288">
        <f>H17*0.330819</f>
        <v/>
      </c>
      <c r="M17" s="297">
        <f>'4주일별계획'!M17+'4주일별계획'!N17+'4주일별계획'!O17</f>
        <v/>
      </c>
      <c r="N17" s="298">
        <f>Q17</f>
        <v/>
      </c>
      <c r="O17" s="298">
        <f>R17+S17</f>
        <v/>
      </c>
      <c r="P17" s="228">
        <f>IF(D17&lt;-0.5,"전 계좌 소진 — 부족 "&amp;TEXT(-D17,"#,##0")&amp;"원","")</f>
        <v/>
      </c>
      <c r="Q17" s="299">
        <f>MIN(MAX(0,E16+J17),MAX(0,M17-D16-I17))</f>
        <v/>
      </c>
      <c r="R17" s="299">
        <f>MIN(MAX(0,F16+K17),MAX(0,M17-D16-I17)-Q17)</f>
        <v/>
      </c>
      <c r="S17" s="299">
        <f>MIN(MAX(0,G16+L17),MAX(0,M17-D16-I17)-Q17-R17)</f>
        <v/>
      </c>
    </row>
    <row r="18">
      <c r="A18" s="219" t="n">
        <v>46296</v>
      </c>
      <c r="B18" s="206" t="inlineStr">
        <is>
          <t>목</t>
        </is>
      </c>
      <c r="C18" s="284">
        <f>SUM(D18:G18)</f>
        <v/>
      </c>
      <c r="D18" s="295">
        <f>D17+I18-M18+Q18+R18+S18</f>
        <v/>
      </c>
      <c r="E18" s="295">
        <f>E17+J18-Q18</f>
        <v/>
      </c>
      <c r="F18" s="295">
        <f>F17+K18-R18</f>
        <v/>
      </c>
      <c r="G18" s="295">
        <f>G17+L18-S18</f>
        <v/>
      </c>
      <c r="H18" s="288">
        <f>'4주일별계획'!G18+'4주일별계획'!L18</f>
        <v/>
      </c>
      <c r="I18" s="288">
        <f>H18*0.437547</f>
        <v/>
      </c>
      <c r="J18" s="288">
        <f>H18*0.020312</f>
        <v/>
      </c>
      <c r="K18" s="288">
        <f>H18*0.211322</f>
        <v/>
      </c>
      <c r="L18" s="288">
        <f>H18*0.330819</f>
        <v/>
      </c>
      <c r="M18" s="297">
        <f>'4주일별계획'!M18+'4주일별계획'!N18+'4주일별계획'!O18</f>
        <v/>
      </c>
      <c r="N18" s="298">
        <f>Q18</f>
        <v/>
      </c>
      <c r="O18" s="298">
        <f>R18+S18</f>
        <v/>
      </c>
      <c r="P18" s="228">
        <f>IF(D18&lt;-0.5,"전 계좌 소진 — 부족 "&amp;TEXT(-D18,"#,##0")&amp;"원","")</f>
        <v/>
      </c>
      <c r="Q18" s="299">
        <f>MIN(MAX(0,E17+J18),MAX(0,M18-D17-I18))</f>
        <v/>
      </c>
      <c r="R18" s="299">
        <f>MIN(MAX(0,F17+K18),MAX(0,M18-D17-I18)-Q18)</f>
        <v/>
      </c>
      <c r="S18" s="299">
        <f>MIN(MAX(0,G17+L18),MAX(0,M18-D17-I18)-Q18-R18)</f>
        <v/>
      </c>
    </row>
    <row r="19">
      <c r="A19" s="219" t="n">
        <v>46297</v>
      </c>
      <c r="B19" s="206" t="inlineStr">
        <is>
          <t>금</t>
        </is>
      </c>
      <c r="C19" s="284">
        <f>SUM(D19:G19)</f>
        <v/>
      </c>
      <c r="D19" s="295">
        <f>D18+I19-M19+Q19+R19+S19</f>
        <v/>
      </c>
      <c r="E19" s="295">
        <f>E18+J19-Q19</f>
        <v/>
      </c>
      <c r="F19" s="295">
        <f>F18+K19-R19</f>
        <v/>
      </c>
      <c r="G19" s="295">
        <f>G18+L19-S19</f>
        <v/>
      </c>
      <c r="H19" s="288">
        <f>'4주일별계획'!G19+'4주일별계획'!L19</f>
        <v/>
      </c>
      <c r="I19" s="288">
        <f>H19*0.437547</f>
        <v/>
      </c>
      <c r="J19" s="288">
        <f>H19*0.020312</f>
        <v/>
      </c>
      <c r="K19" s="288">
        <f>H19*0.211322</f>
        <v/>
      </c>
      <c r="L19" s="288">
        <f>H19*0.330819</f>
        <v/>
      </c>
      <c r="M19" s="297">
        <f>'4주일별계획'!M19+'4주일별계획'!N19+'4주일별계획'!O19</f>
        <v/>
      </c>
      <c r="N19" s="298">
        <f>Q19</f>
        <v/>
      </c>
      <c r="O19" s="298">
        <f>R19+S19</f>
        <v/>
      </c>
      <c r="P19" s="228">
        <f>IF(D19&lt;-0.5,"전 계좌 소진 — 부족 "&amp;TEXT(-D19,"#,##0")&amp;"원","")</f>
        <v/>
      </c>
      <c r="Q19" s="299">
        <f>MIN(MAX(0,E18+J19),MAX(0,M19-D18-I19))</f>
        <v/>
      </c>
      <c r="R19" s="299">
        <f>MIN(MAX(0,F18+K19),MAX(0,M19-D18-I19)-Q19)</f>
        <v/>
      </c>
      <c r="S19" s="299">
        <f>MIN(MAX(0,G18+L19),MAX(0,M19-D18-I19)-Q19-R19)</f>
        <v/>
      </c>
    </row>
    <row r="20">
      <c r="A20" s="205" t="n">
        <v>46298</v>
      </c>
      <c r="B20" s="191" t="inlineStr">
        <is>
          <t>토</t>
        </is>
      </c>
      <c r="C20" s="284">
        <f>SUM(D20:G20)</f>
        <v/>
      </c>
      <c r="D20" s="295">
        <f>D19+I20-M20+Q20+R20+S20</f>
        <v/>
      </c>
      <c r="E20" s="295">
        <f>E19+J20-Q20</f>
        <v/>
      </c>
      <c r="F20" s="295">
        <f>F19+K20-R20</f>
        <v/>
      </c>
      <c r="G20" s="295">
        <f>G19+L20-S20</f>
        <v/>
      </c>
      <c r="H20" s="288">
        <f>'4주일별계획'!G20+'4주일별계획'!L20</f>
        <v/>
      </c>
      <c r="I20" s="288">
        <f>H20*0.437547</f>
        <v/>
      </c>
      <c r="J20" s="288">
        <f>H20*0.020312</f>
        <v/>
      </c>
      <c r="K20" s="288">
        <f>H20*0.211322</f>
        <v/>
      </c>
      <c r="L20" s="288">
        <f>H20*0.330819</f>
        <v/>
      </c>
      <c r="M20" s="297">
        <f>'4주일별계획'!M20+'4주일별계획'!N20+'4주일별계획'!O20</f>
        <v/>
      </c>
      <c r="N20" s="298">
        <f>Q20</f>
        <v/>
      </c>
      <c r="O20" s="298">
        <f>R20+S20</f>
        <v/>
      </c>
      <c r="P20" s="228">
        <f>IF(D20&lt;-0.5,"전 계좌 소진 — 부족 "&amp;TEXT(-D20,"#,##0")&amp;"원","")</f>
        <v/>
      </c>
      <c r="Q20" s="299">
        <f>MIN(MAX(0,E19+J20),MAX(0,M20-D19-I20))</f>
        <v/>
      </c>
      <c r="R20" s="299">
        <f>MIN(MAX(0,F19+K20),MAX(0,M20-D19-I20)-Q20)</f>
        <v/>
      </c>
      <c r="S20" s="299">
        <f>MIN(MAX(0,G19+L20),MAX(0,M20-D19-I20)-Q20-R20)</f>
        <v/>
      </c>
    </row>
    <row r="21">
      <c r="A21" s="205" t="n">
        <v>46299</v>
      </c>
      <c r="B21" s="191" t="inlineStr">
        <is>
          <t>일</t>
        </is>
      </c>
      <c r="C21" s="284">
        <f>SUM(D21:G21)</f>
        <v/>
      </c>
      <c r="D21" s="295">
        <f>D20+I21-M21+Q21+R21+S21</f>
        <v/>
      </c>
      <c r="E21" s="295">
        <f>E20+J21-Q21</f>
        <v/>
      </c>
      <c r="F21" s="295">
        <f>F20+K21-R21</f>
        <v/>
      </c>
      <c r="G21" s="295">
        <f>G20+L21-S21</f>
        <v/>
      </c>
      <c r="H21" s="288">
        <f>'4주일별계획'!G21+'4주일별계획'!L21</f>
        <v/>
      </c>
      <c r="I21" s="288">
        <f>H21*0.437547</f>
        <v/>
      </c>
      <c r="J21" s="288">
        <f>H21*0.020312</f>
        <v/>
      </c>
      <c r="K21" s="288">
        <f>H21*0.211322</f>
        <v/>
      </c>
      <c r="L21" s="288">
        <f>H21*0.330819</f>
        <v/>
      </c>
      <c r="M21" s="297">
        <f>'4주일별계획'!M21+'4주일별계획'!N21+'4주일별계획'!O21</f>
        <v/>
      </c>
      <c r="N21" s="298">
        <f>Q21</f>
        <v/>
      </c>
      <c r="O21" s="298">
        <f>R21+S21</f>
        <v/>
      </c>
      <c r="P21" s="228">
        <f>IF(D21&lt;-0.5,"전 계좌 소진 — 부족 "&amp;TEXT(-D21,"#,##0")&amp;"원","")</f>
        <v/>
      </c>
      <c r="Q21" s="299">
        <f>MIN(MAX(0,E20+J21),MAX(0,M21-D20-I21))</f>
        <v/>
      </c>
      <c r="R21" s="299">
        <f>MIN(MAX(0,F20+K21),MAX(0,M21-D20-I21)-Q21)</f>
        <v/>
      </c>
      <c r="S21" s="299">
        <f>MIN(MAX(0,G20+L21),MAX(0,M21-D20-I21)-Q21-R21)</f>
        <v/>
      </c>
    </row>
    <row r="22">
      <c r="A22" s="205" t="n">
        <v>46300</v>
      </c>
      <c r="B22" s="191" t="inlineStr">
        <is>
          <t>월</t>
        </is>
      </c>
      <c r="C22" s="284">
        <f>SUM(D22:G22)</f>
        <v/>
      </c>
      <c r="D22" s="295">
        <f>D21+I22-M22+Q22+R22+S22</f>
        <v/>
      </c>
      <c r="E22" s="295">
        <f>E21+J22-Q22</f>
        <v/>
      </c>
      <c r="F22" s="295">
        <f>F21+K22-R22</f>
        <v/>
      </c>
      <c r="G22" s="295">
        <f>G21+L22-S22</f>
        <v/>
      </c>
      <c r="H22" s="288">
        <f>'4주일별계획'!G22+'4주일별계획'!L22</f>
        <v/>
      </c>
      <c r="I22" s="288">
        <f>H22*0.437547</f>
        <v/>
      </c>
      <c r="J22" s="288">
        <f>H22*0.020312</f>
        <v/>
      </c>
      <c r="K22" s="288">
        <f>H22*0.211322</f>
        <v/>
      </c>
      <c r="L22" s="288">
        <f>H22*0.330819</f>
        <v/>
      </c>
      <c r="M22" s="297">
        <f>'4주일별계획'!M22+'4주일별계획'!N22+'4주일별계획'!O22</f>
        <v/>
      </c>
      <c r="N22" s="298">
        <f>Q22</f>
        <v/>
      </c>
      <c r="O22" s="298">
        <f>R22+S22</f>
        <v/>
      </c>
      <c r="P22" s="228">
        <f>IF(D22&lt;-0.5,"전 계좌 소진 — 부족 "&amp;TEXT(-D22,"#,##0")&amp;"원","")</f>
        <v/>
      </c>
      <c r="Q22" s="299">
        <f>MIN(MAX(0,E21+J22),MAX(0,M22-D21-I22))</f>
        <v/>
      </c>
      <c r="R22" s="299">
        <f>MIN(MAX(0,F21+K22),MAX(0,M22-D21-I22)-Q22)</f>
        <v/>
      </c>
      <c r="S22" s="299">
        <f>MIN(MAX(0,G21+L22),MAX(0,M22-D21-I22)-Q22-R22)</f>
        <v/>
      </c>
    </row>
    <row r="23">
      <c r="A23" s="219" t="n">
        <v>46301</v>
      </c>
      <c r="B23" s="206" t="inlineStr">
        <is>
          <t>화</t>
        </is>
      </c>
      <c r="C23" s="284">
        <f>SUM(D23:G23)</f>
        <v/>
      </c>
      <c r="D23" s="295">
        <f>D22+I23-M23+Q23+R23+S23</f>
        <v/>
      </c>
      <c r="E23" s="295">
        <f>E22+J23-Q23</f>
        <v/>
      </c>
      <c r="F23" s="295">
        <f>F22+K23-R23</f>
        <v/>
      </c>
      <c r="G23" s="295">
        <f>G22+L23-S23</f>
        <v/>
      </c>
      <c r="H23" s="288">
        <f>'4주일별계획'!G23+'4주일별계획'!L23</f>
        <v/>
      </c>
      <c r="I23" s="288">
        <f>H23*0.437547</f>
        <v/>
      </c>
      <c r="J23" s="288">
        <f>H23*0.020312</f>
        <v/>
      </c>
      <c r="K23" s="288">
        <f>H23*0.211322</f>
        <v/>
      </c>
      <c r="L23" s="288">
        <f>H23*0.330819</f>
        <v/>
      </c>
      <c r="M23" s="297">
        <f>'4주일별계획'!M23+'4주일별계획'!N23+'4주일별계획'!O23</f>
        <v/>
      </c>
      <c r="N23" s="298">
        <f>Q23</f>
        <v/>
      </c>
      <c r="O23" s="298">
        <f>R23+S23</f>
        <v/>
      </c>
      <c r="P23" s="228">
        <f>IF(D23&lt;-0.5,"전 계좌 소진 — 부족 "&amp;TEXT(-D23,"#,##0")&amp;"원","")</f>
        <v/>
      </c>
      <c r="Q23" s="299">
        <f>MIN(MAX(0,E22+J23),MAX(0,M23-D22-I23))</f>
        <v/>
      </c>
      <c r="R23" s="299">
        <f>MIN(MAX(0,F22+K23),MAX(0,M23-D22-I23)-Q23)</f>
        <v/>
      </c>
      <c r="S23" s="299">
        <f>MIN(MAX(0,G22+L23),MAX(0,M23-D22-I23)-Q23-R23)</f>
        <v/>
      </c>
    </row>
    <row r="24">
      <c r="A24" s="219" t="n">
        <v>46302</v>
      </c>
      <c r="B24" s="206" t="inlineStr">
        <is>
          <t>수</t>
        </is>
      </c>
      <c r="C24" s="284">
        <f>SUM(D24:G24)</f>
        <v/>
      </c>
      <c r="D24" s="295">
        <f>D23+I24-M24+Q24+R24+S24</f>
        <v/>
      </c>
      <c r="E24" s="295">
        <f>E23+J24-Q24</f>
        <v/>
      </c>
      <c r="F24" s="295">
        <f>F23+K24-R24</f>
        <v/>
      </c>
      <c r="G24" s="295">
        <f>G23+L24-S24</f>
        <v/>
      </c>
      <c r="H24" s="288">
        <f>'4주일별계획'!G24+'4주일별계획'!L24</f>
        <v/>
      </c>
      <c r="I24" s="288">
        <f>H24*0.437547</f>
        <v/>
      </c>
      <c r="J24" s="288">
        <f>H24*0.020312</f>
        <v/>
      </c>
      <c r="K24" s="288">
        <f>H24*0.211322</f>
        <v/>
      </c>
      <c r="L24" s="288">
        <f>H24*0.330819</f>
        <v/>
      </c>
      <c r="M24" s="297">
        <f>'4주일별계획'!M24+'4주일별계획'!N24+'4주일별계획'!O24</f>
        <v/>
      </c>
      <c r="N24" s="298">
        <f>Q24</f>
        <v/>
      </c>
      <c r="O24" s="298">
        <f>R24+S24</f>
        <v/>
      </c>
      <c r="P24" s="228">
        <f>IF(D24&lt;-0.5,"전 계좌 소진 — 부족 "&amp;TEXT(-D24,"#,##0")&amp;"원","")</f>
        <v/>
      </c>
      <c r="Q24" s="299">
        <f>MIN(MAX(0,E23+J24),MAX(0,M24-D23-I24))</f>
        <v/>
      </c>
      <c r="R24" s="299">
        <f>MIN(MAX(0,F23+K24),MAX(0,M24-D23-I24)-Q24)</f>
        <v/>
      </c>
      <c r="S24" s="299">
        <f>MIN(MAX(0,G23+L24),MAX(0,M24-D23-I24)-Q24-R24)</f>
        <v/>
      </c>
    </row>
    <row r="25">
      <c r="A25" s="219" t="n">
        <v>46303</v>
      </c>
      <c r="B25" s="206" t="inlineStr">
        <is>
          <t>목</t>
        </is>
      </c>
      <c r="C25" s="284">
        <f>SUM(D25:G25)</f>
        <v/>
      </c>
      <c r="D25" s="295">
        <f>D24+I25-M25+Q25+R25+S25</f>
        <v/>
      </c>
      <c r="E25" s="295">
        <f>E24+J25-Q25</f>
        <v/>
      </c>
      <c r="F25" s="295">
        <f>F24+K25-R25</f>
        <v/>
      </c>
      <c r="G25" s="295">
        <f>G24+L25-S25</f>
        <v/>
      </c>
      <c r="H25" s="288">
        <f>'4주일별계획'!G25+'4주일별계획'!L25</f>
        <v/>
      </c>
      <c r="I25" s="288">
        <f>H25*0.437547</f>
        <v/>
      </c>
      <c r="J25" s="288">
        <f>H25*0.020312</f>
        <v/>
      </c>
      <c r="K25" s="288">
        <f>H25*0.211322</f>
        <v/>
      </c>
      <c r="L25" s="288">
        <f>H25*0.330819</f>
        <v/>
      </c>
      <c r="M25" s="297">
        <f>'4주일별계획'!M25+'4주일별계획'!N25+'4주일별계획'!O25</f>
        <v/>
      </c>
      <c r="N25" s="298">
        <f>Q25</f>
        <v/>
      </c>
      <c r="O25" s="298">
        <f>R25+S25</f>
        <v/>
      </c>
      <c r="P25" s="228">
        <f>IF(D25&lt;-0.5,"전 계좌 소진 — 부족 "&amp;TEXT(-D25,"#,##0")&amp;"원","")</f>
        <v/>
      </c>
      <c r="Q25" s="299">
        <f>MIN(MAX(0,E24+J25),MAX(0,M25-D24-I25))</f>
        <v/>
      </c>
      <c r="R25" s="299">
        <f>MIN(MAX(0,F24+K25),MAX(0,M25-D24-I25)-Q25)</f>
        <v/>
      </c>
      <c r="S25" s="299">
        <f>MIN(MAX(0,G24+L25),MAX(0,M25-D24-I25)-Q25-R25)</f>
        <v/>
      </c>
    </row>
    <row r="26">
      <c r="A26" s="205" t="n">
        <v>46304</v>
      </c>
      <c r="B26" s="191" t="inlineStr">
        <is>
          <t>금</t>
        </is>
      </c>
      <c r="C26" s="284">
        <f>SUM(D26:G26)</f>
        <v/>
      </c>
      <c r="D26" s="295">
        <f>D25+I26-M26+Q26+R26+S26</f>
        <v/>
      </c>
      <c r="E26" s="295">
        <f>E25+J26-Q26</f>
        <v/>
      </c>
      <c r="F26" s="295">
        <f>F25+K26-R26</f>
        <v/>
      </c>
      <c r="G26" s="295">
        <f>G25+L26-S26</f>
        <v/>
      </c>
      <c r="H26" s="288">
        <f>'4주일별계획'!G26+'4주일별계획'!L26</f>
        <v/>
      </c>
      <c r="I26" s="288">
        <f>H26*0.437547</f>
        <v/>
      </c>
      <c r="J26" s="288">
        <f>H26*0.020312</f>
        <v/>
      </c>
      <c r="K26" s="288">
        <f>H26*0.211322</f>
        <v/>
      </c>
      <c r="L26" s="288">
        <f>H26*0.330819</f>
        <v/>
      </c>
      <c r="M26" s="297">
        <f>'4주일별계획'!M26+'4주일별계획'!N26+'4주일별계획'!O26</f>
        <v/>
      </c>
      <c r="N26" s="298">
        <f>Q26</f>
        <v/>
      </c>
      <c r="O26" s="298">
        <f>R26+S26</f>
        <v/>
      </c>
      <c r="P26" s="228">
        <f>IF(D26&lt;-0.5,"전 계좌 소진 — 부족 "&amp;TEXT(-D26,"#,##0")&amp;"원","")</f>
        <v/>
      </c>
      <c r="Q26" s="299">
        <f>MIN(MAX(0,E25+J26),MAX(0,M26-D25-I26))</f>
        <v/>
      </c>
      <c r="R26" s="299">
        <f>MIN(MAX(0,F25+K26),MAX(0,M26-D25-I26)-Q26)</f>
        <v/>
      </c>
      <c r="S26" s="299">
        <f>MIN(MAX(0,G25+L26),MAX(0,M26-D25-I26)-Q26-R26)</f>
        <v/>
      </c>
    </row>
    <row r="27">
      <c r="A27" s="205" t="n">
        <v>46305</v>
      </c>
      <c r="B27" s="191" t="inlineStr">
        <is>
          <t>토</t>
        </is>
      </c>
      <c r="C27" s="284">
        <f>SUM(D27:G27)</f>
        <v/>
      </c>
      <c r="D27" s="295">
        <f>D26+I27-M27+Q27+R27+S27</f>
        <v/>
      </c>
      <c r="E27" s="295">
        <f>E26+J27-Q27</f>
        <v/>
      </c>
      <c r="F27" s="295">
        <f>F26+K27-R27</f>
        <v/>
      </c>
      <c r="G27" s="295">
        <f>G26+L27-S27</f>
        <v/>
      </c>
      <c r="H27" s="288">
        <f>'4주일별계획'!G27+'4주일별계획'!L27</f>
        <v/>
      </c>
      <c r="I27" s="288">
        <f>H27*0.437547</f>
        <v/>
      </c>
      <c r="J27" s="288">
        <f>H27*0.020312</f>
        <v/>
      </c>
      <c r="K27" s="288">
        <f>H27*0.211322</f>
        <v/>
      </c>
      <c r="L27" s="288">
        <f>H27*0.330819</f>
        <v/>
      </c>
      <c r="M27" s="297">
        <f>'4주일별계획'!M27+'4주일별계획'!N27+'4주일별계획'!O27</f>
        <v/>
      </c>
      <c r="N27" s="298">
        <f>Q27</f>
        <v/>
      </c>
      <c r="O27" s="298">
        <f>R27+S27</f>
        <v/>
      </c>
      <c r="P27" s="228">
        <f>IF(D27&lt;-0.5,"전 계좌 소진 — 부족 "&amp;TEXT(-D27,"#,##0")&amp;"원","")</f>
        <v/>
      </c>
      <c r="Q27" s="299">
        <f>MIN(MAX(0,E26+J27),MAX(0,M27-D26-I27))</f>
        <v/>
      </c>
      <c r="R27" s="299">
        <f>MIN(MAX(0,F26+K27),MAX(0,M27-D26-I27)-Q27)</f>
        <v/>
      </c>
      <c r="S27" s="299">
        <f>MIN(MAX(0,G26+L27),MAX(0,M27-D26-I27)-Q27-R27)</f>
        <v/>
      </c>
    </row>
    <row r="28">
      <c r="A28" s="205" t="n">
        <v>46306</v>
      </c>
      <c r="B28" s="191" t="inlineStr">
        <is>
          <t>일</t>
        </is>
      </c>
      <c r="C28" s="284">
        <f>SUM(D28:G28)</f>
        <v/>
      </c>
      <c r="D28" s="295">
        <f>D27+I28-M28+Q28+R28+S28</f>
        <v/>
      </c>
      <c r="E28" s="295">
        <f>E27+J28-Q28</f>
        <v/>
      </c>
      <c r="F28" s="295">
        <f>F27+K28-R28</f>
        <v/>
      </c>
      <c r="G28" s="295">
        <f>G27+L28-S28</f>
        <v/>
      </c>
      <c r="H28" s="288">
        <f>'4주일별계획'!G28+'4주일별계획'!L28</f>
        <v/>
      </c>
      <c r="I28" s="288">
        <f>H28*0.437547</f>
        <v/>
      </c>
      <c r="J28" s="288">
        <f>H28*0.020312</f>
        <v/>
      </c>
      <c r="K28" s="288">
        <f>H28*0.211322</f>
        <v/>
      </c>
      <c r="L28" s="288">
        <f>H28*0.330819</f>
        <v/>
      </c>
      <c r="M28" s="297">
        <f>'4주일별계획'!M28+'4주일별계획'!N28+'4주일별계획'!O28</f>
        <v/>
      </c>
      <c r="N28" s="298">
        <f>Q28</f>
        <v/>
      </c>
      <c r="O28" s="298">
        <f>R28+S28</f>
        <v/>
      </c>
      <c r="P28" s="228">
        <f>IF(D28&lt;-0.5,"전 계좌 소진 — 부족 "&amp;TEXT(-D28,"#,##0")&amp;"원","")</f>
        <v/>
      </c>
      <c r="Q28" s="299">
        <f>MIN(MAX(0,E27+J28),MAX(0,M28-D27-I28))</f>
        <v/>
      </c>
      <c r="R28" s="299">
        <f>MIN(MAX(0,F27+K28),MAX(0,M28-D27-I28)-Q28)</f>
        <v/>
      </c>
      <c r="S28" s="299">
        <f>MIN(MAX(0,G27+L28),MAX(0,M28-D27-I28)-Q28-R28)</f>
        <v/>
      </c>
    </row>
    <row r="29">
      <c r="A29" s="219" t="n">
        <v>46307</v>
      </c>
      <c r="B29" s="206" t="inlineStr">
        <is>
          <t>월</t>
        </is>
      </c>
      <c r="C29" s="284">
        <f>SUM(D29:G29)</f>
        <v/>
      </c>
      <c r="D29" s="295">
        <f>D28+I29-M29+Q29+R29+S29</f>
        <v/>
      </c>
      <c r="E29" s="295">
        <f>E28+J29-Q29</f>
        <v/>
      </c>
      <c r="F29" s="295">
        <f>F28+K29-R29</f>
        <v/>
      </c>
      <c r="G29" s="295">
        <f>G28+L29-S29</f>
        <v/>
      </c>
      <c r="H29" s="288">
        <f>'4주일별계획'!G29+'4주일별계획'!L29</f>
        <v/>
      </c>
      <c r="I29" s="288">
        <f>H29*0.437547</f>
        <v/>
      </c>
      <c r="J29" s="288">
        <f>H29*0.020312</f>
        <v/>
      </c>
      <c r="K29" s="288">
        <f>H29*0.211322</f>
        <v/>
      </c>
      <c r="L29" s="288">
        <f>H29*0.330819</f>
        <v/>
      </c>
      <c r="M29" s="297">
        <f>'4주일별계획'!M29+'4주일별계획'!N29+'4주일별계획'!O29</f>
        <v/>
      </c>
      <c r="N29" s="298">
        <f>Q29</f>
        <v/>
      </c>
      <c r="O29" s="298">
        <f>R29+S29</f>
        <v/>
      </c>
      <c r="P29" s="228">
        <f>IF(D29&lt;-0.5,"전 계좌 소진 — 부족 "&amp;TEXT(-D29,"#,##0")&amp;"원","")</f>
        <v/>
      </c>
      <c r="Q29" s="299">
        <f>MIN(MAX(0,E28+J29),MAX(0,M29-D28-I29))</f>
        <v/>
      </c>
      <c r="R29" s="299">
        <f>MIN(MAX(0,F28+K29),MAX(0,M29-D28-I29)-Q29)</f>
        <v/>
      </c>
      <c r="S29" s="299">
        <f>MIN(MAX(0,G28+L29),MAX(0,M29-D28-I29)-Q29-R29)</f>
        <v/>
      </c>
    </row>
    <row r="30">
      <c r="A30" s="219" t="n">
        <v>46308</v>
      </c>
      <c r="B30" s="206" t="inlineStr">
        <is>
          <t>화</t>
        </is>
      </c>
      <c r="C30" s="284">
        <f>SUM(D30:G30)</f>
        <v/>
      </c>
      <c r="D30" s="295">
        <f>D29+I30-M30+Q30+R30+S30</f>
        <v/>
      </c>
      <c r="E30" s="295">
        <f>E29+J30-Q30</f>
        <v/>
      </c>
      <c r="F30" s="295">
        <f>F29+K30-R30</f>
        <v/>
      </c>
      <c r="G30" s="295">
        <f>G29+L30-S30</f>
        <v/>
      </c>
      <c r="H30" s="288">
        <f>'4주일별계획'!G30+'4주일별계획'!L30</f>
        <v/>
      </c>
      <c r="I30" s="288">
        <f>H30*0.437547</f>
        <v/>
      </c>
      <c r="J30" s="288">
        <f>H30*0.020312</f>
        <v/>
      </c>
      <c r="K30" s="288">
        <f>H30*0.211322</f>
        <v/>
      </c>
      <c r="L30" s="288">
        <f>H30*0.330819</f>
        <v/>
      </c>
      <c r="M30" s="297">
        <f>'4주일별계획'!M30+'4주일별계획'!N30+'4주일별계획'!O30</f>
        <v/>
      </c>
      <c r="N30" s="298">
        <f>Q30</f>
        <v/>
      </c>
      <c r="O30" s="298">
        <f>R30+S30</f>
        <v/>
      </c>
      <c r="P30" s="228">
        <f>IF(D30&lt;-0.5,"전 계좌 소진 — 부족 "&amp;TEXT(-D30,"#,##0")&amp;"원","")</f>
        <v/>
      </c>
      <c r="Q30" s="299">
        <f>MIN(MAX(0,E29+J30),MAX(0,M30-D29-I30))</f>
        <v/>
      </c>
      <c r="R30" s="299">
        <f>MIN(MAX(0,F29+K30),MAX(0,M30-D29-I30)-Q30)</f>
        <v/>
      </c>
      <c r="S30" s="299">
        <f>MIN(MAX(0,G29+L30),MAX(0,M30-D29-I30)-Q30-R30)</f>
        <v/>
      </c>
    </row>
    <row r="31">
      <c r="A31" s="219" t="n">
        <v>46309</v>
      </c>
      <c r="B31" s="206" t="inlineStr">
        <is>
          <t>수</t>
        </is>
      </c>
      <c r="C31" s="284">
        <f>SUM(D31:G31)</f>
        <v/>
      </c>
      <c r="D31" s="295">
        <f>D30+I31-M31+Q31+R31+S31</f>
        <v/>
      </c>
      <c r="E31" s="295">
        <f>E30+J31-Q31</f>
        <v/>
      </c>
      <c r="F31" s="295">
        <f>F30+K31-R31</f>
        <v/>
      </c>
      <c r="G31" s="295">
        <f>G30+L31-S31</f>
        <v/>
      </c>
      <c r="H31" s="288">
        <f>'4주일별계획'!G31+'4주일별계획'!L31</f>
        <v/>
      </c>
      <c r="I31" s="288">
        <f>H31*0.437547</f>
        <v/>
      </c>
      <c r="J31" s="288">
        <f>H31*0.020312</f>
        <v/>
      </c>
      <c r="K31" s="288">
        <f>H31*0.211322</f>
        <v/>
      </c>
      <c r="L31" s="288">
        <f>H31*0.330819</f>
        <v/>
      </c>
      <c r="M31" s="297">
        <f>'4주일별계획'!M31+'4주일별계획'!N31+'4주일별계획'!O31</f>
        <v/>
      </c>
      <c r="N31" s="298">
        <f>Q31</f>
        <v/>
      </c>
      <c r="O31" s="298">
        <f>R31+S31</f>
        <v/>
      </c>
      <c r="P31" s="228">
        <f>IF(D31&lt;-0.5,"전 계좌 소진 — 부족 "&amp;TEXT(-D31,"#,##0")&amp;"원","")</f>
        <v/>
      </c>
      <c r="Q31" s="299">
        <f>MIN(MAX(0,E30+J31),MAX(0,M31-D30-I31))</f>
        <v/>
      </c>
      <c r="R31" s="299">
        <f>MIN(MAX(0,F30+K31),MAX(0,M31-D30-I31)-Q31)</f>
        <v/>
      </c>
      <c r="S31" s="299">
        <f>MIN(MAX(0,G30+L31),MAX(0,M31-D30-I31)-Q31-R31)</f>
        <v/>
      </c>
    </row>
    <row r="32">
      <c r="A32" s="219" t="n">
        <v>46310</v>
      </c>
      <c r="B32" s="206" t="inlineStr">
        <is>
          <t>목</t>
        </is>
      </c>
      <c r="C32" s="284">
        <f>SUM(D32:G32)</f>
        <v/>
      </c>
      <c r="D32" s="295">
        <f>D31+I32-M32+Q32+R32+S32</f>
        <v/>
      </c>
      <c r="E32" s="295">
        <f>E31+J32-Q32</f>
        <v/>
      </c>
      <c r="F32" s="295">
        <f>F31+K32-R32</f>
        <v/>
      </c>
      <c r="G32" s="295">
        <f>G31+L32-S32</f>
        <v/>
      </c>
      <c r="H32" s="288">
        <f>'4주일별계획'!G32+'4주일별계획'!L32</f>
        <v/>
      </c>
      <c r="I32" s="288">
        <f>H32*0.437547</f>
        <v/>
      </c>
      <c r="J32" s="288">
        <f>H32*0.020312</f>
        <v/>
      </c>
      <c r="K32" s="288">
        <f>H32*0.211322</f>
        <v/>
      </c>
      <c r="L32" s="288">
        <f>H32*0.330819</f>
        <v/>
      </c>
      <c r="M32" s="297">
        <f>'4주일별계획'!M32+'4주일별계획'!N32+'4주일별계획'!O32</f>
        <v/>
      </c>
      <c r="N32" s="298">
        <f>Q32</f>
        <v/>
      </c>
      <c r="O32" s="298">
        <f>R32+S32</f>
        <v/>
      </c>
      <c r="P32" s="228">
        <f>IF(D32&lt;-0.5,"전 계좌 소진 — 부족 "&amp;TEXT(-D32,"#,##0")&amp;"원","")</f>
        <v/>
      </c>
      <c r="Q32" s="299">
        <f>MIN(MAX(0,E31+J32),MAX(0,M32-D31-I32))</f>
        <v/>
      </c>
      <c r="R32" s="299">
        <f>MIN(MAX(0,F31+K32),MAX(0,M32-D31-I32)-Q32)</f>
        <v/>
      </c>
      <c r="S32" s="299">
        <f>MIN(MAX(0,G31+L32),MAX(0,M32-D31-I32)-Q32-R32)</f>
        <v/>
      </c>
    </row>
    <row r="33">
      <c r="A33" s="219" t="n">
        <v>46311</v>
      </c>
      <c r="B33" s="206" t="inlineStr">
        <is>
          <t>금</t>
        </is>
      </c>
      <c r="C33" s="284">
        <f>SUM(D33:G33)</f>
        <v/>
      </c>
      <c r="D33" s="295">
        <f>D32+I33-M33+Q33+R33+S33</f>
        <v/>
      </c>
      <c r="E33" s="295">
        <f>E32+J33-Q33</f>
        <v/>
      </c>
      <c r="F33" s="295">
        <f>F32+K33-R33</f>
        <v/>
      </c>
      <c r="G33" s="295">
        <f>G32+L33-S33</f>
        <v/>
      </c>
      <c r="H33" s="288">
        <f>'4주일별계획'!G33+'4주일별계획'!L33</f>
        <v/>
      </c>
      <c r="I33" s="288">
        <f>H33*0.437547</f>
        <v/>
      </c>
      <c r="J33" s="288">
        <f>H33*0.020312</f>
        <v/>
      </c>
      <c r="K33" s="288">
        <f>H33*0.211322</f>
        <v/>
      </c>
      <c r="L33" s="288">
        <f>H33*0.330819</f>
        <v/>
      </c>
      <c r="M33" s="297">
        <f>'4주일별계획'!M33+'4주일별계획'!N33+'4주일별계획'!O33</f>
        <v/>
      </c>
      <c r="N33" s="298">
        <f>Q33</f>
        <v/>
      </c>
      <c r="O33" s="298">
        <f>R33+S33</f>
        <v/>
      </c>
      <c r="P33" s="228">
        <f>IF(D33&lt;-0.5,"전 계좌 소진 — 부족 "&amp;TEXT(-D33,"#,##0")&amp;"원","")</f>
        <v/>
      </c>
      <c r="Q33" s="299">
        <f>MIN(MAX(0,E32+J33),MAX(0,M33-D32-I33))</f>
        <v/>
      </c>
      <c r="R33" s="299">
        <f>MIN(MAX(0,F32+K33),MAX(0,M33-D32-I33)-Q33)</f>
        <v/>
      </c>
      <c r="S33" s="299">
        <f>MIN(MAX(0,G32+L33),MAX(0,M33-D32-I33)-Q33-R33)</f>
        <v/>
      </c>
    </row>
    <row r="34">
      <c r="A34" s="205" t="n">
        <v>46312</v>
      </c>
      <c r="B34" s="191" t="inlineStr">
        <is>
          <t>토</t>
        </is>
      </c>
      <c r="C34" s="284">
        <f>SUM(D34:G34)</f>
        <v/>
      </c>
      <c r="D34" s="295">
        <f>D33+I34-M34+Q34+R34+S34</f>
        <v/>
      </c>
      <c r="E34" s="295">
        <f>E33+J34-Q34</f>
        <v/>
      </c>
      <c r="F34" s="295">
        <f>F33+K34-R34</f>
        <v/>
      </c>
      <c r="G34" s="295">
        <f>G33+L34-S34</f>
        <v/>
      </c>
      <c r="H34" s="288">
        <f>'4주일별계획'!G34+'4주일별계획'!L34</f>
        <v/>
      </c>
      <c r="I34" s="288">
        <f>H34*0.437547</f>
        <v/>
      </c>
      <c r="J34" s="288">
        <f>H34*0.020312</f>
        <v/>
      </c>
      <c r="K34" s="288">
        <f>H34*0.211322</f>
        <v/>
      </c>
      <c r="L34" s="288">
        <f>H34*0.330819</f>
        <v/>
      </c>
      <c r="M34" s="297">
        <f>'4주일별계획'!M34+'4주일별계획'!N34+'4주일별계획'!O34</f>
        <v/>
      </c>
      <c r="N34" s="298">
        <f>Q34</f>
        <v/>
      </c>
      <c r="O34" s="298">
        <f>R34+S34</f>
        <v/>
      </c>
      <c r="P34" s="228">
        <f>IF(D34&lt;-0.5,"전 계좌 소진 — 부족 "&amp;TEXT(-D34,"#,##0")&amp;"원","")</f>
        <v/>
      </c>
      <c r="Q34" s="299">
        <f>MIN(MAX(0,E33+J34),MAX(0,M34-D33-I34))</f>
        <v/>
      </c>
      <c r="R34" s="299">
        <f>MIN(MAX(0,F33+K34),MAX(0,M34-D33-I34)-Q34)</f>
        <v/>
      </c>
      <c r="S34" s="299">
        <f>MIN(MAX(0,G33+L34),MAX(0,M34-D33-I34)-Q34-R34)</f>
        <v/>
      </c>
    </row>
    <row r="35">
      <c r="A35" s="205" t="n">
        <v>46313</v>
      </c>
      <c r="B35" s="191" t="inlineStr">
        <is>
          <t>일</t>
        </is>
      </c>
      <c r="C35" s="284">
        <f>SUM(D35:G35)</f>
        <v/>
      </c>
      <c r="D35" s="295">
        <f>D34+I35-M35+Q35+R35+S35</f>
        <v/>
      </c>
      <c r="E35" s="295">
        <f>E34+J35-Q35</f>
        <v/>
      </c>
      <c r="F35" s="295">
        <f>F34+K35-R35</f>
        <v/>
      </c>
      <c r="G35" s="295">
        <f>G34+L35-S35</f>
        <v/>
      </c>
      <c r="H35" s="288">
        <f>'4주일별계획'!G35+'4주일별계획'!L35</f>
        <v/>
      </c>
      <c r="I35" s="288">
        <f>H35*0.437547</f>
        <v/>
      </c>
      <c r="J35" s="288">
        <f>H35*0.020312</f>
        <v/>
      </c>
      <c r="K35" s="288">
        <f>H35*0.211322</f>
        <v/>
      </c>
      <c r="L35" s="288">
        <f>H35*0.330819</f>
        <v/>
      </c>
      <c r="M35" s="297">
        <f>'4주일별계획'!M35+'4주일별계획'!N35+'4주일별계획'!O35</f>
        <v/>
      </c>
      <c r="N35" s="298">
        <f>Q35</f>
        <v/>
      </c>
      <c r="O35" s="298">
        <f>R35+S35</f>
        <v/>
      </c>
      <c r="P35" s="228">
        <f>IF(D35&lt;-0.5,"전 계좌 소진 — 부족 "&amp;TEXT(-D35,"#,##0")&amp;"원","")</f>
        <v/>
      </c>
      <c r="Q35" s="299">
        <f>MIN(MAX(0,E34+J35),MAX(0,M35-D34-I35))</f>
        <v/>
      </c>
      <c r="R35" s="299">
        <f>MIN(MAX(0,F34+K35),MAX(0,M35-D34-I35)-Q35)</f>
        <v/>
      </c>
      <c r="S35" s="299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2975000</v>
      </c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Q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지출계획_2026-09-23.xlsx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지출계획_2026-09-23.xlsx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지출계획_2026-09-23.xlsx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지출계획_2026-09-23.xlsx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지출계획_2026-09-23.xlsx</t>
        </is>
      </c>
      <c r="P10" s="142" t="inlineStr">
        <is>
          <t>정상반영</t>
        </is>
      </c>
      <c r="Q10" s="142" t="inlineStr"/>
    </row>
    <row r="11" hidden="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지출계획_2026-09-23.xlsx</t>
        </is>
      </c>
      <c r="P11" s="142" t="inlineStr">
        <is>
          <t>정상반영</t>
        </is>
      </c>
      <c r="Q11" s="142" t="inlineStr"/>
    </row>
    <row r="12" hidden="1">
      <c r="A12" s="142" t="inlineStr">
        <is>
          <t>경영-20260918-015</t>
        </is>
      </c>
      <c r="B12" s="142" t="inlineStr">
        <is>
          <t>경영지원팀</t>
        </is>
      </c>
      <c r="C12" s="142" t="inlineStr">
        <is>
          <t>김정원</t>
        </is>
      </c>
      <c r="D12" s="142" t="inlineStr"/>
      <c r="E12" s="143" t="n">
        <v>46287</v>
      </c>
      <c r="F12" s="143" t="n">
        <v>46287</v>
      </c>
      <c r="G12" s="142" t="inlineStr">
        <is>
          <t>엠에스바이오텍</t>
        </is>
      </c>
      <c r="H12" s="142" t="inlineStr">
        <is>
          <t>외상매입금</t>
        </is>
      </c>
      <c r="I12" s="144" t="n">
        <v>20000000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230" t="n">
        <v>46284</v>
      </c>
      <c r="O12" s="142" t="inlineStr">
        <is>
          <t>지출계획_2026-09-23.xlsx</t>
        </is>
      </c>
      <c r="P12" s="142" t="inlineStr">
        <is>
          <t>정상반영</t>
        </is>
      </c>
      <c r="Q12" s="142" t="inlineStr"/>
    </row>
    <row r="13" hidden="1">
      <c r="A13" s="142" t="inlineStr">
        <is>
          <t>경영-20260922-001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추석 상여금</t>
        </is>
      </c>
      <c r="H13" s="142" t="inlineStr">
        <is>
          <t>추석 상여금</t>
        </is>
      </c>
      <c r="I13" s="144" t="n">
        <v>4600000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46287</v>
      </c>
      <c r="O13" s="142" t="inlineStr">
        <is>
          <t>지출계획_2026-09-23.xlsx</t>
        </is>
      </c>
      <c r="P13" s="142" t="inlineStr">
        <is>
          <t>에이팜 별도관리</t>
        </is>
      </c>
      <c r="Q13" s="142" t="inlineStr"/>
    </row>
    <row r="14" hidden="1">
      <c r="A14" s="142" t="inlineStr">
        <is>
          <t>경영-20260922-002</t>
        </is>
      </c>
      <c r="B14" s="142" t="inlineStr">
        <is>
          <t>경영지원팀</t>
        </is>
      </c>
      <c r="C14" s="142" t="inlineStr">
        <is>
          <t>송채은</t>
        </is>
      </c>
      <c r="D14" s="142" t="inlineStr"/>
      <c r="E14" s="143" t="n">
        <v>46287</v>
      </c>
      <c r="F14" s="143" t="n">
        <v>46287</v>
      </c>
      <c r="G14" s="142" t="inlineStr">
        <is>
          <t>추석 상여금</t>
        </is>
      </c>
      <c r="H14" s="142" t="inlineStr">
        <is>
          <t>추석 상여금</t>
        </is>
      </c>
      <c r="I14" s="144" t="n">
        <v>7800000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46287</v>
      </c>
      <c r="O14" s="142" t="inlineStr">
        <is>
          <t>지출계획_2026-09-23.xlsx</t>
        </is>
      </c>
      <c r="P14" s="142" t="inlineStr">
        <is>
          <t>정상반영</t>
        </is>
      </c>
      <c r="Q14" s="142" t="inlineStr"/>
    </row>
    <row r="15" hidden="1">
      <c r="A15" s="142" t="inlineStr">
        <is>
          <t>경영-20260922-003</t>
        </is>
      </c>
      <c r="B15" s="142" t="inlineStr">
        <is>
          <t>경영지원팀</t>
        </is>
      </c>
      <c r="C15" s="142" t="inlineStr">
        <is>
          <t>김수희</t>
        </is>
      </c>
      <c r="D15" s="142" t="inlineStr"/>
      <c r="E15" s="143" t="n">
        <v>46287</v>
      </c>
      <c r="F15" s="143" t="n">
        <v>46287</v>
      </c>
      <c r="G15" s="142" t="inlineStr">
        <is>
          <t>임대규(대청하이츠)</t>
        </is>
      </c>
      <c r="H15" s="142" t="inlineStr">
        <is>
          <t>기숙사 월세 및 관리비</t>
        </is>
      </c>
      <c r="I15" s="144" t="n">
        <v>350000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46287</v>
      </c>
      <c r="O15" s="142" t="inlineStr">
        <is>
          <t>지출계획_2026-09-23.xlsx</t>
        </is>
      </c>
      <c r="P15" s="142" t="inlineStr">
        <is>
          <t>정상반영</t>
        </is>
      </c>
      <c r="Q15" s="142" t="inlineStr"/>
    </row>
    <row r="16" hidden="1">
      <c r="A16" s="142" t="inlineStr">
        <is>
          <t>경영-20260922-004</t>
        </is>
      </c>
      <c r="B16" s="142" t="inlineStr">
        <is>
          <t>경영지원팀</t>
        </is>
      </c>
      <c r="C16" s="142" t="inlineStr">
        <is>
          <t>김수희</t>
        </is>
      </c>
      <c r="D16" s="142" t="inlineStr"/>
      <c r="E16" s="143" t="n">
        <v>46287</v>
      </c>
      <c r="F16" s="143" t="n">
        <v>46287</v>
      </c>
      <c r="G16" s="142" t="inlineStr">
        <is>
          <t>엠에스바이오텍</t>
        </is>
      </c>
      <c r="H16" s="142" t="inlineStr">
        <is>
          <t>락토프리미엄 대금 지급 1차</t>
        </is>
      </c>
      <c r="I16" s="144" t="n">
        <v>20000000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46287</v>
      </c>
      <c r="O16" s="142" t="inlineStr">
        <is>
          <t>지출계획_2026-09-23.xlsx</t>
        </is>
      </c>
      <c r="P16" s="142" t="inlineStr">
        <is>
          <t>정상반영</t>
        </is>
      </c>
      <c r="Q16" s="142" t="inlineStr"/>
    </row>
    <row r="17" hidden="1">
      <c r="A17" s="142" t="inlineStr">
        <is>
          <t>경영-20260922-005</t>
        </is>
      </c>
      <c r="B17" s="142" t="inlineStr">
        <is>
          <t>경영지원팀</t>
        </is>
      </c>
      <c r="C17" s="142" t="inlineStr">
        <is>
          <t>김수희</t>
        </is>
      </c>
      <c r="D17" s="142" t="inlineStr"/>
      <c r="E17" s="143" t="n">
        <v>46287</v>
      </c>
      <c r="F17" s="143" t="n">
        <v>46287</v>
      </c>
      <c r="G17" s="142" t="inlineStr">
        <is>
          <t>대구상공회의소</t>
        </is>
      </c>
      <c r="H17" s="142" t="inlineStr">
        <is>
          <t>26년도 하반기 회비</t>
        </is>
      </c>
      <c r="I17" s="144" t="n">
        <v>250000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46287</v>
      </c>
      <c r="O17" s="142" t="inlineStr">
        <is>
          <t>지출계획_2026-09-23.xlsx</t>
        </is>
      </c>
      <c r="P17" s="142" t="inlineStr">
        <is>
          <t>정상반영</t>
        </is>
      </c>
      <c r="Q17" s="142" t="inlineStr"/>
    </row>
    <row r="18">
      <c r="A18" s="142" t="inlineStr">
        <is>
          <t>건강-20260918-004</t>
        </is>
      </c>
      <c r="B18" s="142" t="inlineStr">
        <is>
          <t>건강사업팀</t>
        </is>
      </c>
      <c r="C18" s="142" t="inlineStr">
        <is>
          <t>전은신</t>
        </is>
      </c>
      <c r="D18" s="142" t="inlineStr"/>
      <c r="E18" s="143" t="n">
        <v>46288</v>
      </c>
      <c r="F18" s="143" t="n">
        <v>46288</v>
      </c>
      <c r="G18" s="142" t="inlineStr">
        <is>
          <t>인포크비즈니스</t>
        </is>
      </c>
      <c r="H18" s="142" t="inlineStr">
        <is>
          <t>베리시톨 인플루언서 비용</t>
        </is>
      </c>
      <c r="I18" s="144" t="n">
        <v>3300000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>
        <is>
          <t>변경</t>
        </is>
      </c>
      <c r="N18" s="143" t="n">
        <v>46286</v>
      </c>
      <c r="O18" s="142" t="inlineStr">
        <is>
          <t>지출계획_2026-09-23.xlsx</t>
        </is>
      </c>
      <c r="P18" s="142" t="inlineStr">
        <is>
          <t>정상반영</t>
        </is>
      </c>
      <c r="Q18" s="142" t="inlineStr"/>
    </row>
    <row r="19">
      <c r="A19" s="142" t="inlineStr">
        <is>
          <t>건강-20260918-005</t>
        </is>
      </c>
      <c r="B19" s="142" t="inlineStr">
        <is>
          <t>건강사업팀</t>
        </is>
      </c>
      <c r="C19" s="142" t="inlineStr">
        <is>
          <t>전은신</t>
        </is>
      </c>
      <c r="D19" s="142" t="inlineStr"/>
      <c r="E19" s="143" t="n">
        <v>46288</v>
      </c>
      <c r="F19" s="143" t="n">
        <v>46288</v>
      </c>
      <c r="G19" s="142" t="inlineStr">
        <is>
          <t>써치엠</t>
        </is>
      </c>
      <c r="H19" s="142" t="inlineStr">
        <is>
          <t>메타 광고 대행 수수</t>
        </is>
      </c>
      <c r="I19" s="144" t="n">
        <v>1487786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지출계획_2026-09-23.xlsx</t>
        </is>
      </c>
      <c r="P19" s="142" t="inlineStr">
        <is>
          <t>정상반영</t>
        </is>
      </c>
      <c r="Q19" s="142" t="inlineStr"/>
    </row>
    <row r="20">
      <c r="A20" s="142" t="inlineStr">
        <is>
          <t>건강-20260918-006</t>
        </is>
      </c>
      <c r="B20" s="142" t="inlineStr">
        <is>
          <t>건강사업팀</t>
        </is>
      </c>
      <c r="C20" s="142" t="inlineStr">
        <is>
          <t>전은신</t>
        </is>
      </c>
      <c r="D20" s="142" t="inlineStr"/>
      <c r="E20" s="143" t="n">
        <v>46288</v>
      </c>
      <c r="F20" s="143" t="n">
        <v>46288</v>
      </c>
      <c r="G20" s="142" t="inlineStr">
        <is>
          <t>네이버SA&amp;GFA</t>
        </is>
      </c>
      <c r="H20" s="142" t="inlineStr">
        <is>
          <t>네이버SA&amp;GFA 광고 비용 충전</t>
        </is>
      </c>
      <c r="I20" s="144" t="n">
        <v>8305000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지출계획_2026-09-23.xlsx</t>
        </is>
      </c>
      <c r="P20" s="142" t="inlineStr">
        <is>
          <t>정상반영</t>
        </is>
      </c>
      <c r="Q20" s="142" t="inlineStr"/>
    </row>
    <row r="21">
      <c r="A21" s="142" t="inlineStr">
        <is>
          <t>건강-20260918-007</t>
        </is>
      </c>
      <c r="B21" s="142" t="inlineStr">
        <is>
          <t>건강사업팀</t>
        </is>
      </c>
      <c r="C21" s="142" t="inlineStr">
        <is>
          <t>전은신</t>
        </is>
      </c>
      <c r="D21" s="142" t="inlineStr"/>
      <c r="E21" s="143" t="n">
        <v>46288</v>
      </c>
      <c r="F21" s="143" t="n">
        <v>46288</v>
      </c>
      <c r="G21" s="142" t="inlineStr">
        <is>
          <t>ADN</t>
        </is>
      </c>
      <c r="H21" s="142" t="inlineStr">
        <is>
          <t>ADN 광고-추석 유입</t>
        </is>
      </c>
      <c r="I21" s="144" t="n">
        <v>550000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지출계획_2026-09-23.xlsx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경영-20260918-003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46288</v>
      </c>
      <c r="F22" s="143" t="n">
        <v>46288</v>
      </c>
      <c r="G22" s="142" t="inlineStr">
        <is>
          <t>농협카드</t>
        </is>
      </c>
      <c r="H22" s="142" t="inlineStr">
        <is>
          <t>8월 카드대금</t>
        </is>
      </c>
      <c r="I22" s="144" t="n">
        <v>2266495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변경</t>
        </is>
      </c>
      <c r="N22" s="143" t="n">
        <v>46288</v>
      </c>
      <c r="O22" s="142" t="inlineStr">
        <is>
          <t>지출계획_2026-09-23.xlsx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경영-20260918-004</t>
        </is>
      </c>
      <c r="B23" s="142" t="inlineStr">
        <is>
          <t>경영지원팀</t>
        </is>
      </c>
      <c r="C23" s="142" t="inlineStr">
        <is>
          <t>김수희</t>
        </is>
      </c>
      <c r="D23" s="142" t="inlineStr"/>
      <c r="E23" s="143" t="n">
        <v>46288</v>
      </c>
      <c r="F23" s="143" t="n">
        <v>46288</v>
      </c>
      <c r="G23" s="142" t="inlineStr">
        <is>
          <t>우리카드</t>
        </is>
      </c>
      <c r="H23" s="142" t="inlineStr">
        <is>
          <t>8월 카드대금</t>
        </is>
      </c>
      <c r="I23" s="144" t="n">
        <v>14506389</v>
      </c>
      <c r="J23" s="142" t="inlineStr">
        <is>
          <t>자동이체</t>
        </is>
      </c>
      <c r="K23" s="142" t="inlineStr"/>
      <c r="L23" s="142" t="inlineStr">
        <is>
          <t>확정</t>
        </is>
      </c>
      <c r="M23" s="142" t="inlineStr">
        <is>
          <t>변경</t>
        </is>
      </c>
      <c r="N23" s="143" t="n">
        <v>46288</v>
      </c>
      <c r="O23" s="142" t="inlineStr">
        <is>
          <t>지출계획_2026-09-23.xlsx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경영-20260918-007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46288</v>
      </c>
      <c r="F24" s="143" t="n">
        <v>46288</v>
      </c>
      <c r="G24" s="142" t="inlineStr">
        <is>
          <t>와이투홀딩스</t>
        </is>
      </c>
      <c r="H24" s="142" t="inlineStr">
        <is>
          <t>직원 추석 선물세트 구입</t>
        </is>
      </c>
      <c r="I24" s="144" t="n">
        <v>1023110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변경</t>
        </is>
      </c>
      <c r="N24" s="143" t="n">
        <v>46287</v>
      </c>
      <c r="O24" s="142" t="inlineStr">
        <is>
          <t>지출계획_2026-09-23.xlsx</t>
        </is>
      </c>
      <c r="P24" s="142" t="inlineStr">
        <is>
          <t>정상반영</t>
        </is>
      </c>
      <c r="Q24" s="142" t="inlineStr"/>
    </row>
    <row r="25">
      <c r="A25" s="142" t="inlineStr">
        <is>
          <t>경영-20260918-012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46288</v>
      </c>
      <c r="F25" s="143" t="n">
        <v>46288</v>
      </c>
      <c r="G25" s="142" t="inlineStr">
        <is>
          <t>비씨카드</t>
        </is>
      </c>
      <c r="H25" s="142" t="inlineStr">
        <is>
          <t>8월카드대금</t>
        </is>
      </c>
      <c r="I25" s="144" t="n">
        <v>269810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지출계획_2026-09-23.xlsx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경영-20260918-008</t>
        </is>
      </c>
      <c r="B26" s="142" t="inlineStr">
        <is>
          <t>경영지원팀</t>
        </is>
      </c>
      <c r="C26" s="142" t="inlineStr">
        <is>
          <t>김수희</t>
        </is>
      </c>
      <c r="D26" s="142" t="inlineStr"/>
      <c r="E26" s="143" t="n">
        <v>46293</v>
      </c>
      <c r="F26" s="143" t="n">
        <v>46293</v>
      </c>
      <c r="G26" s="142" t="inlineStr">
        <is>
          <t>메트라이프</t>
        </is>
      </c>
      <c r="H26" s="142" t="inlineStr">
        <is>
          <t>정기보험_42회차</t>
        </is>
      </c>
      <c r="I26" s="144" t="n">
        <v>2497000</v>
      </c>
      <c r="J26" s="142" t="inlineStr">
        <is>
          <t>자동이체</t>
        </is>
      </c>
      <c r="K26" s="142" t="inlineStr"/>
      <c r="L26" s="142" t="inlineStr">
        <is>
          <t>확정</t>
        </is>
      </c>
      <c r="M26" s="142" t="inlineStr">
        <is>
          <t>변경</t>
        </is>
      </c>
      <c r="N26" s="143" t="n">
        <v>46287</v>
      </c>
      <c r="O26" s="142" t="inlineStr">
        <is>
          <t>지출계획_2026-09-23.xlsx</t>
        </is>
      </c>
      <c r="P26" s="142" t="inlineStr">
        <is>
          <t>정상반영</t>
        </is>
      </c>
      <c r="Q26" s="142" t="inlineStr"/>
    </row>
    <row r="27">
      <c r="A27" s="142" t="inlineStr">
        <is>
          <t>경영-20260918-009</t>
        </is>
      </c>
      <c r="B27" s="142" t="inlineStr">
        <is>
          <t>경영지원팀</t>
        </is>
      </c>
      <c r="C27" s="142" t="inlineStr">
        <is>
          <t>김수희</t>
        </is>
      </c>
      <c r="D27" s="142" t="inlineStr"/>
      <c r="E27" s="143" t="n">
        <v>46293</v>
      </c>
      <c r="F27" s="143" t="n">
        <v>46293</v>
      </c>
      <c r="G27" s="142" t="inlineStr">
        <is>
          <t>KT</t>
        </is>
      </c>
      <c r="H27" s="142" t="inlineStr">
        <is>
          <t>통신비</t>
        </is>
      </c>
      <c r="I27" s="144" t="n">
        <v>109450</v>
      </c>
      <c r="J27" s="142" t="inlineStr">
        <is>
          <t>자동이체</t>
        </is>
      </c>
      <c r="K27" s="142" t="inlineStr"/>
      <c r="L27" s="142" t="inlineStr">
        <is>
          <t>확정</t>
        </is>
      </c>
      <c r="M27" s="142" t="inlineStr">
        <is>
          <t>변경</t>
        </is>
      </c>
      <c r="N27" s="143" t="n">
        <v>46287</v>
      </c>
      <c r="O27" s="142" t="inlineStr">
        <is>
          <t>지출계획_2026-09-23.xlsx</t>
        </is>
      </c>
      <c r="P27" s="142" t="inlineStr">
        <is>
          <t>정상반영</t>
        </is>
      </c>
      <c r="Q27" s="142" t="inlineStr"/>
    </row>
    <row r="28">
      <c r="A28" s="142" t="inlineStr">
        <is>
          <t>경영-20260922-007</t>
        </is>
      </c>
      <c r="B28" s="142" t="inlineStr">
        <is>
          <t>경영지원팀</t>
        </is>
      </c>
      <c r="C28" s="142" t="inlineStr">
        <is>
          <t>김수희</t>
        </is>
      </c>
      <c r="D28" s="142" t="inlineStr"/>
      <c r="E28" s="143" t="n">
        <v>46293</v>
      </c>
      <c r="F28" s="143" t="n">
        <v>46293</v>
      </c>
      <c r="G28" s="142" t="inlineStr">
        <is>
          <t>농협카드</t>
        </is>
      </c>
      <c r="H28" s="142" t="inlineStr">
        <is>
          <t>8월 카드대금</t>
        </is>
      </c>
      <c r="I28" s="144" t="n">
        <v>4610000</v>
      </c>
      <c r="J28" s="142" t="inlineStr">
        <is>
          <t>자동이체</t>
        </is>
      </c>
      <c r="K28" s="142" t="inlineStr"/>
      <c r="L28" s="142" t="inlineStr">
        <is>
          <t>확정</t>
        </is>
      </c>
      <c r="M28" s="142" t="inlineStr">
        <is>
          <t>신규</t>
        </is>
      </c>
      <c r="N28" s="143" t="n">
        <v>46287</v>
      </c>
      <c r="O28" s="142" t="inlineStr">
        <is>
          <t>지출계획_2026-09-23.xlsx</t>
        </is>
      </c>
      <c r="P28" s="142" t="inlineStr">
        <is>
          <t>정상반영</t>
        </is>
      </c>
      <c r="Q28" s="142" t="inlineStr"/>
    </row>
    <row r="29">
      <c r="A29" s="142" t="inlineStr">
        <is>
          <t>경영-20260923-001</t>
        </is>
      </c>
      <c r="B29" s="142" t="inlineStr">
        <is>
          <t>경영지원팀</t>
        </is>
      </c>
      <c r="C29" s="142" t="inlineStr">
        <is>
          <t>김수희</t>
        </is>
      </c>
      <c r="D29" s="142" t="inlineStr"/>
      <c r="E29" s="143" t="n">
        <v>46293</v>
      </c>
      <c r="F29" s="143" t="n">
        <v>46293</v>
      </c>
      <c r="G29" s="142" t="inlineStr">
        <is>
          <t>우리카드</t>
        </is>
      </c>
      <c r="H29" s="142" t="inlineStr">
        <is>
          <t>8월 카드대금</t>
        </is>
      </c>
      <c r="I29" s="144" t="n">
        <v>10839960</v>
      </c>
      <c r="J29" s="142" t="inlineStr">
        <is>
          <t>자동이체</t>
        </is>
      </c>
      <c r="K29" s="142" t="inlineStr"/>
      <c r="L29" s="142" t="inlineStr">
        <is>
          <t>확정</t>
        </is>
      </c>
      <c r="M29" s="142" t="inlineStr">
        <is>
          <t>신규</t>
        </is>
      </c>
      <c r="N29" s="143" t="n">
        <v>46288</v>
      </c>
      <c r="O29" s="142" t="inlineStr">
        <is>
          <t>지출계획_2026-09-23.xlsx</t>
        </is>
      </c>
      <c r="P29" s="142" t="inlineStr">
        <is>
          <t>정상반영</t>
        </is>
      </c>
      <c r="Q29" s="142" t="inlineStr"/>
    </row>
    <row r="30">
      <c r="A30" s="142" t="inlineStr">
        <is>
          <t>경영-20260923-002</t>
        </is>
      </c>
      <c r="B30" s="142" t="inlineStr">
        <is>
          <t>경영지원팀</t>
        </is>
      </c>
      <c r="C30" s="142" t="inlineStr">
        <is>
          <t>김수희</t>
        </is>
      </c>
      <c r="D30" s="142" t="inlineStr"/>
      <c r="E30" s="143" t="n">
        <v>46293</v>
      </c>
      <c r="F30" s="143" t="n">
        <v>46293</v>
      </c>
      <c r="G30" s="142" t="inlineStr">
        <is>
          <t>농협카드</t>
        </is>
      </c>
      <c r="H30" s="142" t="inlineStr">
        <is>
          <t>8월 카드대금</t>
        </is>
      </c>
      <c r="I30" s="144" t="n">
        <v>4561388</v>
      </c>
      <c r="J30" s="142" t="inlineStr">
        <is>
          <t>자동이체</t>
        </is>
      </c>
      <c r="K30" s="142" t="inlineStr"/>
      <c r="L30" s="142" t="inlineStr">
        <is>
          <t>확정</t>
        </is>
      </c>
      <c r="M30" s="142" t="inlineStr">
        <is>
          <t>신규</t>
        </is>
      </c>
      <c r="N30" s="143" t="n">
        <v>46288</v>
      </c>
      <c r="O30" s="142" t="inlineStr">
        <is>
          <t>지출계획_2026-09-23.xlsx</t>
        </is>
      </c>
      <c r="P30" s="142" t="inlineStr">
        <is>
          <t>정상반영</t>
        </is>
      </c>
      <c r="Q30" s="142" t="inlineStr"/>
    </row>
    <row r="31">
      <c r="A31" s="142" t="inlineStr">
        <is>
          <t>경영-20260923-003</t>
        </is>
      </c>
      <c r="B31" s="142" t="inlineStr">
        <is>
          <t>경영지원팀</t>
        </is>
      </c>
      <c r="C31" s="142" t="inlineStr">
        <is>
          <t>김수희</t>
        </is>
      </c>
      <c r="D31" s="142" t="inlineStr"/>
      <c r="E31" s="143" t="n">
        <v>46293</v>
      </c>
      <c r="F31" s="143" t="n">
        <v>46293</v>
      </c>
      <c r="G31" s="142" t="inlineStr">
        <is>
          <t>남경노무법인</t>
        </is>
      </c>
      <c r="H31" s="142" t="inlineStr">
        <is>
          <t>인사노무수수료</t>
        </is>
      </c>
      <c r="I31" s="144" t="n">
        <v>275000</v>
      </c>
      <c r="J31" s="142" t="inlineStr">
        <is>
          <t>계좌송금</t>
        </is>
      </c>
      <c r="K31" s="142" t="inlineStr"/>
      <c r="L31" s="142" t="inlineStr">
        <is>
          <t>확정</t>
        </is>
      </c>
      <c r="M31" s="142" t="inlineStr">
        <is>
          <t>신규</t>
        </is>
      </c>
      <c r="N31" s="143" t="n">
        <v>46288</v>
      </c>
      <c r="O31" s="142" t="inlineStr">
        <is>
          <t>지출계획_2026-09-23.xlsx</t>
        </is>
      </c>
      <c r="P31" s="142" t="inlineStr">
        <is>
          <t>정상반영</t>
        </is>
      </c>
      <c r="Q31" s="142" t="inlineStr"/>
    </row>
    <row r="32">
      <c r="A32" s="142" t="inlineStr">
        <is>
          <t>데이터-20260921-001</t>
        </is>
      </c>
      <c r="B32" s="142" t="inlineStr">
        <is>
          <t>데이터사이언스팀</t>
        </is>
      </c>
      <c r="C32" s="142" t="inlineStr">
        <is>
          <t>조성윤</t>
        </is>
      </c>
      <c r="D32" s="142" t="inlineStr"/>
      <c r="E32" s="143" t="n">
        <v>46293</v>
      </c>
      <c r="F32" s="143" t="n">
        <v>46293</v>
      </c>
      <c r="G32" s="142" t="inlineStr">
        <is>
          <t>엘앤에이치컴퍼니</t>
        </is>
      </c>
      <c r="H32" s="142" t="inlineStr">
        <is>
          <t>흥덕IT밸리_사무실 임대료</t>
        </is>
      </c>
      <c r="I32" s="144" t="n">
        <v>1650000</v>
      </c>
      <c r="J32" s="142" t="inlineStr">
        <is>
          <t>계좌송금</t>
        </is>
      </c>
      <c r="K32" s="142" t="inlineStr"/>
      <c r="L32" s="142" t="inlineStr">
        <is>
          <t>확정</t>
        </is>
      </c>
      <c r="M32" s="142" t="inlineStr">
        <is>
          <t>신규</t>
        </is>
      </c>
      <c r="N32" s="143" t="n">
        <v>46286</v>
      </c>
      <c r="O32" s="142" t="inlineStr">
        <is>
          <t>지출계획_2026-09-23.xlsx</t>
        </is>
      </c>
      <c r="P32" s="142" t="inlineStr">
        <is>
          <t>정상반영</t>
        </is>
      </c>
      <c r="Q32" s="142" t="inlineStr"/>
    </row>
    <row r="33">
      <c r="A33" s="142" t="inlineStr">
        <is>
          <t>건강-20260922-001</t>
        </is>
      </c>
      <c r="B33" s="142" t="inlineStr">
        <is>
          <t>건강사업팀</t>
        </is>
      </c>
      <c r="C33" s="142" t="inlineStr">
        <is>
          <t>양혜원</t>
        </is>
      </c>
      <c r="D33" s="142" t="inlineStr"/>
      <c r="E33" s="143" t="n">
        <v>46294</v>
      </c>
      <c r="F33" s="143" t="n">
        <v>46294</v>
      </c>
      <c r="G33" s="142" t="inlineStr">
        <is>
          <t>네이버</t>
        </is>
      </c>
      <c r="H33" s="142" t="inlineStr">
        <is>
          <t>네이버 톡톡 발송</t>
        </is>
      </c>
      <c r="I33" s="144" t="n">
        <v>500000</v>
      </c>
      <c r="J33" s="142" t="inlineStr">
        <is>
          <t>계좌송금</t>
        </is>
      </c>
      <c r="K33" s="142" t="inlineStr"/>
      <c r="L33" s="142" t="inlineStr">
        <is>
          <t>확정</t>
        </is>
      </c>
      <c r="M33" s="142" t="inlineStr">
        <is>
          <t>신규</t>
        </is>
      </c>
      <c r="N33" s="143" t="n">
        <v>46287</v>
      </c>
      <c r="O33" s="142" t="inlineStr">
        <is>
          <t>지출계획_2026-09-23.xlsx</t>
        </is>
      </c>
      <c r="P33" s="142" t="inlineStr">
        <is>
          <t>정상반영</t>
        </is>
      </c>
      <c r="Q33" s="142" t="inlineStr"/>
    </row>
    <row r="34">
      <c r="A34" s="142" t="inlineStr">
        <is>
          <t>건강-20260922-002</t>
        </is>
      </c>
      <c r="B34" s="142" t="inlineStr">
        <is>
          <t>건강사업팀</t>
        </is>
      </c>
      <c r="C34" s="142" t="inlineStr">
        <is>
          <t>신민경</t>
        </is>
      </c>
      <c r="D34" s="142" t="inlineStr"/>
      <c r="E34" s="143" t="n">
        <v>46294</v>
      </c>
      <c r="F34" s="143" t="n">
        <v>46294</v>
      </c>
      <c r="G34" s="142" t="inlineStr">
        <is>
          <t>정상은(이준이서맘)</t>
        </is>
      </c>
      <c r="H34" s="142" t="inlineStr">
        <is>
          <t>인스타그램 효소 홍보</t>
        </is>
      </c>
      <c r="I34" s="144" t="n">
        <v>500000</v>
      </c>
      <c r="J34" s="142" t="inlineStr">
        <is>
          <t>계좌송금</t>
        </is>
      </c>
      <c r="K34" s="142" t="inlineStr"/>
      <c r="L34" s="142" t="inlineStr">
        <is>
          <t>확정</t>
        </is>
      </c>
      <c r="M34" s="142" t="inlineStr">
        <is>
          <t>신규</t>
        </is>
      </c>
      <c r="N34" s="143" t="n">
        <v>46287</v>
      </c>
      <c r="O34" s="142" t="inlineStr">
        <is>
          <t>지출계획_2026-09-23.xlsx</t>
        </is>
      </c>
      <c r="P34" s="142" t="inlineStr">
        <is>
          <t>정상반영</t>
        </is>
      </c>
      <c r="Q34" s="142" t="inlineStr"/>
    </row>
    <row r="35">
      <c r="A35" s="142" t="inlineStr">
        <is>
          <t>건강-20260923-002</t>
        </is>
      </c>
      <c r="B35" s="142" t="inlineStr">
        <is>
          <t>건강사업팀</t>
        </is>
      </c>
      <c r="C35" s="142" t="inlineStr">
        <is>
          <t>신민경</t>
        </is>
      </c>
      <c r="D35" s="142" t="inlineStr"/>
      <c r="E35" s="143" t="n">
        <v>46294</v>
      </c>
      <c r="F35" s="143" t="n">
        <v>46294</v>
      </c>
      <c r="G35" s="142" t="inlineStr">
        <is>
          <t>마고성인권연구소</t>
        </is>
      </c>
      <c r="H35" s="142" t="inlineStr">
        <is>
          <t>임신체험키트</t>
        </is>
      </c>
      <c r="I35" s="144" t="n">
        <v>40000</v>
      </c>
      <c r="J35" s="142" t="inlineStr">
        <is>
          <t>계좌송금</t>
        </is>
      </c>
      <c r="K35" s="142" t="inlineStr"/>
      <c r="L35" s="142" t="inlineStr">
        <is>
          <t>확정</t>
        </is>
      </c>
      <c r="M35" s="142" t="inlineStr">
        <is>
          <t>신규</t>
        </is>
      </c>
      <c r="N35" s="143" t="n">
        <v>46288</v>
      </c>
      <c r="O35" s="142" t="inlineStr">
        <is>
          <t>지출계획_2026-09-23.xlsx</t>
        </is>
      </c>
      <c r="P35" s="142" t="inlineStr">
        <is>
          <t>정상반영</t>
        </is>
      </c>
      <c r="Q35" s="142" t="inlineStr"/>
    </row>
    <row r="36">
      <c r="A36" s="142" t="inlineStr">
        <is>
          <t>경영-20260923-006</t>
        </is>
      </c>
      <c r="B36" s="142" t="inlineStr">
        <is>
          <t>경영지원팀</t>
        </is>
      </c>
      <c r="C36" s="142" t="inlineStr">
        <is>
          <t>김수희</t>
        </is>
      </c>
      <c r="D36" s="142" t="inlineStr"/>
      <c r="E36" s="143" t="n">
        <v>46294</v>
      </c>
      <c r="F36" s="143" t="n">
        <v>46294</v>
      </c>
      <c r="G36" s="142" t="inlineStr">
        <is>
          <t>에이팜</t>
        </is>
      </c>
      <c r="H36" s="142" t="inlineStr">
        <is>
          <t>이동매출</t>
        </is>
      </c>
      <c r="I36" s="144" t="n">
        <v>143629</v>
      </c>
      <c r="J36" s="142" t="inlineStr">
        <is>
          <t>계좌송금</t>
        </is>
      </c>
      <c r="K36" s="142" t="inlineStr"/>
      <c r="L36" s="142" t="inlineStr">
        <is>
          <t>확정</t>
        </is>
      </c>
      <c r="M36" s="142" t="inlineStr">
        <is>
          <t>신규</t>
        </is>
      </c>
      <c r="N36" s="143" t="n">
        <v>46288</v>
      </c>
      <c r="O36" s="142" t="inlineStr">
        <is>
          <t>지출계획_2026-09-23.xlsx</t>
        </is>
      </c>
      <c r="P36" s="142" t="inlineStr">
        <is>
          <t>정상반영</t>
        </is>
      </c>
      <c r="Q36" s="142" t="inlineStr"/>
    </row>
    <row r="37">
      <c r="A37" s="142" t="inlineStr">
        <is>
          <t>건강-20260922-003</t>
        </is>
      </c>
      <c r="B37" s="142" t="inlineStr">
        <is>
          <t>건강사업팀</t>
        </is>
      </c>
      <c r="C37" s="142" t="inlineStr">
        <is>
          <t>신민경</t>
        </is>
      </c>
      <c r="D37" s="142" t="inlineStr"/>
      <c r="E37" s="143" t="n">
        <v>46295</v>
      </c>
      <c r="F37" s="143" t="n">
        <v>46295</v>
      </c>
      <c r="G37" s="142" t="inlineStr">
        <is>
          <t>(주) 오애드</t>
        </is>
      </c>
      <c r="H37" s="142" t="inlineStr">
        <is>
          <t>호기심딱지 8월 정산</t>
        </is>
      </c>
      <c r="I37" s="144" t="n">
        <v>880000</v>
      </c>
      <c r="J37" s="142" t="inlineStr">
        <is>
          <t>계좌송금</t>
        </is>
      </c>
      <c r="K37" s="142" t="inlineStr"/>
      <c r="L37" s="142" t="inlineStr">
        <is>
          <t>확정</t>
        </is>
      </c>
      <c r="M37" s="142" t="inlineStr">
        <is>
          <t>신규</t>
        </is>
      </c>
      <c r="N37" s="143" t="n">
        <v>46287</v>
      </c>
      <c r="O37" s="142" t="inlineStr">
        <is>
          <t>지출계획_2026-09-23.xlsx</t>
        </is>
      </c>
      <c r="P37" s="142" t="inlineStr">
        <is>
          <t>정상반영</t>
        </is>
      </c>
      <c r="Q37" s="142" t="inlineStr"/>
    </row>
    <row r="38">
      <c r="A38" s="142" t="inlineStr">
        <is>
          <t>건강-20260922-004</t>
        </is>
      </c>
      <c r="B38" s="142" t="inlineStr">
        <is>
          <t>건강사업팀</t>
        </is>
      </c>
      <c r="C38" s="142" t="inlineStr">
        <is>
          <t>양혜원</t>
        </is>
      </c>
      <c r="D38" s="142" t="inlineStr"/>
      <c r="E38" s="143" t="n">
        <v>46295</v>
      </c>
      <c r="F38" s="143" t="n">
        <v>46295</v>
      </c>
      <c r="G38" s="142" t="inlineStr">
        <is>
          <t>카카오톡 비즈니스</t>
        </is>
      </c>
      <c r="H38" s="142" t="inlineStr">
        <is>
          <t>자사 카드뷰 발송</t>
        </is>
      </c>
      <c r="I38" s="144" t="n">
        <v>200000</v>
      </c>
      <c r="J38" s="142" t="inlineStr">
        <is>
          <t>계좌송금</t>
        </is>
      </c>
      <c r="K38" s="142" t="inlineStr"/>
      <c r="L38" s="142" t="inlineStr">
        <is>
          <t>확정</t>
        </is>
      </c>
      <c r="M38" s="142" t="inlineStr">
        <is>
          <t>신규</t>
        </is>
      </c>
      <c r="N38" s="143" t="n">
        <v>46287</v>
      </c>
      <c r="O38" s="142" t="inlineStr">
        <is>
          <t>지출계획_2026-09-23.xlsx</t>
        </is>
      </c>
      <c r="P38" s="142" t="inlineStr">
        <is>
          <t>정상반영</t>
        </is>
      </c>
      <c r="Q38" s="142" t="inlineStr"/>
    </row>
    <row r="39">
      <c r="A39" s="142" t="inlineStr">
        <is>
          <t>경영-20260918-010</t>
        </is>
      </c>
      <c r="B39" s="142" t="inlineStr">
        <is>
          <t>경영지원팀</t>
        </is>
      </c>
      <c r="C39" s="142" t="inlineStr">
        <is>
          <t>송채은</t>
        </is>
      </c>
      <c r="D39" s="142" t="inlineStr"/>
      <c r="E39" s="143" t="n">
        <v>46295</v>
      </c>
      <c r="F39" s="143" t="n">
        <v>46295</v>
      </c>
      <c r="G39" s="142" t="inlineStr">
        <is>
          <t>서원회계법인</t>
        </is>
      </c>
      <c r="H39" s="142" t="inlineStr">
        <is>
          <t>기장료</t>
        </is>
      </c>
      <c r="I39" s="144" t="n">
        <v>330000</v>
      </c>
      <c r="J39" s="142" t="inlineStr">
        <is>
          <t>계좌송금</t>
        </is>
      </c>
      <c r="K39" s="142" t="inlineStr"/>
      <c r="L39" s="142" t="inlineStr">
        <is>
          <t>확정</t>
        </is>
      </c>
      <c r="M39" s="142" t="inlineStr">
        <is>
          <t>신규</t>
        </is>
      </c>
      <c r="N39" s="143" t="n">
        <v>46283</v>
      </c>
      <c r="O39" s="142" t="inlineStr">
        <is>
          <t>지출계획_2026-09-23.xlsx</t>
        </is>
      </c>
      <c r="P39" s="142" t="inlineStr">
        <is>
          <t>에이팜 별도관리</t>
        </is>
      </c>
      <c r="Q39" s="142" t="inlineStr"/>
    </row>
    <row r="40">
      <c r="A40" s="142" t="inlineStr">
        <is>
          <t>경영-20260918-013</t>
        </is>
      </c>
      <c r="B40" s="142" t="inlineStr">
        <is>
          <t>경영지원팀</t>
        </is>
      </c>
      <c r="C40" s="142" t="inlineStr">
        <is>
          <t>송채은</t>
        </is>
      </c>
      <c r="D40" s="142" t="inlineStr"/>
      <c r="E40" s="143" t="n">
        <v>46295</v>
      </c>
      <c r="F40" s="143" t="n">
        <v>46295</v>
      </c>
      <c r="G40" s="142" t="inlineStr">
        <is>
          <t>가가사무기</t>
        </is>
      </c>
      <c r="H40" s="142" t="inlineStr">
        <is>
          <t>복합기 9월 임대비용</t>
        </is>
      </c>
      <c r="I40" s="144" t="n">
        <v>280000</v>
      </c>
      <c r="J40" s="142" t="inlineStr">
        <is>
          <t>계좌송금</t>
        </is>
      </c>
      <c r="K40" s="142" t="inlineStr"/>
      <c r="L40" s="142" t="inlineStr">
        <is>
          <t>확정</t>
        </is>
      </c>
      <c r="M40" s="142" t="inlineStr">
        <is>
          <t>신규</t>
        </is>
      </c>
      <c r="N40" s="143" t="n">
        <v>46283</v>
      </c>
      <c r="O40" s="142" t="inlineStr">
        <is>
          <t>지출계획_2026-09-23.xlsx</t>
        </is>
      </c>
      <c r="P40" s="142" t="inlineStr">
        <is>
          <t>에이팜 별도관리</t>
        </is>
      </c>
      <c r="Q40" s="142" t="inlineStr"/>
    </row>
    <row r="41">
      <c r="A41" s="142" t="inlineStr">
        <is>
          <t>경영-20260918-014</t>
        </is>
      </c>
      <c r="B41" s="142" t="inlineStr">
        <is>
          <t>경영지원팀</t>
        </is>
      </c>
      <c r="C41" s="142" t="inlineStr">
        <is>
          <t>송채은</t>
        </is>
      </c>
      <c r="D41" s="142" t="inlineStr"/>
      <c r="E41" s="143" t="n">
        <v>46295</v>
      </c>
      <c r="F41" s="143" t="n">
        <v>46295</v>
      </c>
      <c r="G41" s="142" t="inlineStr">
        <is>
          <t>대구상공회의소</t>
        </is>
      </c>
      <c r="H41" s="142" t="inlineStr">
        <is>
          <t>하반기연회비</t>
        </is>
      </c>
      <c r="I41" s="144" t="n">
        <v>250000</v>
      </c>
      <c r="J41" s="142" t="inlineStr">
        <is>
          <t>계좌송금</t>
        </is>
      </c>
      <c r="K41" s="142" t="inlineStr"/>
      <c r="L41" s="142" t="inlineStr">
        <is>
          <t>확정</t>
        </is>
      </c>
      <c r="M41" s="142" t="inlineStr">
        <is>
          <t>신규</t>
        </is>
      </c>
      <c r="N41" s="143" t="n">
        <v>46283</v>
      </c>
      <c r="O41" s="142" t="inlineStr">
        <is>
          <t>지출계획_2026-09-23.xlsx</t>
        </is>
      </c>
      <c r="P41" s="142" t="inlineStr">
        <is>
          <t>에이팜 별도관리</t>
        </is>
      </c>
      <c r="Q41" s="142" t="inlineStr"/>
    </row>
    <row r="42">
      <c r="A42" s="142" t="inlineStr">
        <is>
          <t>경영-20260922-006</t>
        </is>
      </c>
      <c r="B42" s="142" t="inlineStr">
        <is>
          <t>경영지원팀</t>
        </is>
      </c>
      <c r="C42" s="142" t="inlineStr">
        <is>
          <t>송채은</t>
        </is>
      </c>
      <c r="D42" s="142" t="inlineStr"/>
      <c r="E42" s="143" t="n">
        <v>46295</v>
      </c>
      <c r="F42" s="143" t="n">
        <v>46295</v>
      </c>
      <c r="G42" s="142" t="inlineStr">
        <is>
          <t>달서구청</t>
        </is>
      </c>
      <c r="H42" s="142" t="inlineStr">
        <is>
          <t>2026년 토지재산세</t>
        </is>
      </c>
      <c r="I42" s="144" t="n">
        <v>315520</v>
      </c>
      <c r="J42" s="142" t="inlineStr">
        <is>
          <t>계좌송금</t>
        </is>
      </c>
      <c r="K42" s="142" t="inlineStr"/>
      <c r="L42" s="142" t="inlineStr">
        <is>
          <t>확정</t>
        </is>
      </c>
      <c r="M42" s="142" t="inlineStr">
        <is>
          <t>신규</t>
        </is>
      </c>
      <c r="N42" s="143" t="n">
        <v>46287</v>
      </c>
      <c r="O42" s="142" t="inlineStr">
        <is>
          <t>지출계획_2026-09-23.xlsx</t>
        </is>
      </c>
      <c r="P42" s="142" t="inlineStr">
        <is>
          <t>에이팜 별도관리</t>
        </is>
      </c>
      <c r="Q42" s="142" t="inlineStr"/>
    </row>
    <row r="43">
      <c r="A43" s="142" t="inlineStr">
        <is>
          <t>경영-20260923-004</t>
        </is>
      </c>
      <c r="B43" s="142" t="inlineStr">
        <is>
          <t>경영지원팀</t>
        </is>
      </c>
      <c r="C43" s="142" t="inlineStr">
        <is>
          <t>김수희</t>
        </is>
      </c>
      <c r="D43" s="142" t="inlineStr"/>
      <c r="E43" s="143" t="n">
        <v>46295</v>
      </c>
      <c r="F43" s="143" t="n">
        <v>46295</v>
      </c>
      <c r="G43" s="142" t="inlineStr">
        <is>
          <t>서원회계법인</t>
        </is>
      </c>
      <c r="H43" s="142" t="inlineStr">
        <is>
          <t>기장료</t>
        </is>
      </c>
      <c r="I43" s="144" t="n">
        <v>385000</v>
      </c>
      <c r="J43" s="142" t="inlineStr">
        <is>
          <t>계좌송금</t>
        </is>
      </c>
      <c r="K43" s="142" t="inlineStr"/>
      <c r="L43" s="142" t="inlineStr">
        <is>
          <t>확정</t>
        </is>
      </c>
      <c r="M43" s="142" t="inlineStr">
        <is>
          <t>신규</t>
        </is>
      </c>
      <c r="N43" s="143" t="n">
        <v>46288</v>
      </c>
      <c r="O43" s="142" t="inlineStr">
        <is>
          <t>지출계획_2026-09-23.xlsx</t>
        </is>
      </c>
      <c r="P43" s="142" t="inlineStr">
        <is>
          <t>정상반영</t>
        </is>
      </c>
      <c r="Q43" s="142" t="inlineStr"/>
    </row>
    <row r="44">
      <c r="A44" s="142" t="inlineStr">
        <is>
          <t>데이터-20260923-001</t>
        </is>
      </c>
      <c r="B44" s="142" t="inlineStr">
        <is>
          <t>데이터사이언스팀</t>
        </is>
      </c>
      <c r="C44" s="142" t="inlineStr">
        <is>
          <t>조성윤</t>
        </is>
      </c>
      <c r="D44" s="142" t="inlineStr"/>
      <c r="E44" s="143" t="n">
        <v>46295</v>
      </c>
      <c r="F44" s="143" t="n">
        <v>46295</v>
      </c>
      <c r="G44" s="142" t="inlineStr">
        <is>
          <t>흥덕IT밸리 관리위원회</t>
        </is>
      </c>
      <c r="H44" s="142" t="inlineStr">
        <is>
          <t>흥덕 사무실 관리비</t>
        </is>
      </c>
      <c r="I44" s="144" t="n">
        <v>903320</v>
      </c>
      <c r="J44" s="142" t="inlineStr">
        <is>
          <t>계좌송금</t>
        </is>
      </c>
      <c r="K44" s="142" t="inlineStr"/>
      <c r="L44" s="142" t="inlineStr">
        <is>
          <t>확정</t>
        </is>
      </c>
      <c r="M44" s="142" t="inlineStr">
        <is>
          <t>신규</t>
        </is>
      </c>
      <c r="N44" s="143" t="n">
        <v>46288</v>
      </c>
      <c r="O44" s="142" t="inlineStr">
        <is>
          <t>지출계획_2026-09-23.xlsx</t>
        </is>
      </c>
      <c r="P44" s="142" t="inlineStr">
        <is>
          <t>정상반영</t>
        </is>
      </c>
      <c r="Q44" s="142" t="inlineStr"/>
    </row>
    <row r="45">
      <c r="A45" s="142" t="inlineStr">
        <is>
          <t>연구-20260923-001</t>
        </is>
      </c>
      <c r="B45" s="142" t="inlineStr">
        <is>
          <t>연구팀</t>
        </is>
      </c>
      <c r="C45" s="142" t="inlineStr">
        <is>
          <t>이수민</t>
        </is>
      </c>
      <c r="D45" s="142" t="inlineStr"/>
      <c r="E45" s="143" t="n">
        <v>46295</v>
      </c>
      <c r="F45" s="143" t="n">
        <v>46295</v>
      </c>
      <c r="G45" s="142" t="inlineStr">
        <is>
          <t>특허법인다옴</t>
        </is>
      </c>
      <c r="H45" s="142" t="inlineStr">
        <is>
          <t>수출바우처 해외상표출원</t>
        </is>
      </c>
      <c r="I45" s="144" t="n">
        <v>91730</v>
      </c>
      <c r="J45" s="142" t="inlineStr">
        <is>
          <t>계좌송금</t>
        </is>
      </c>
      <c r="K45" s="142" t="inlineStr"/>
      <c r="L45" s="142" t="inlineStr">
        <is>
          <t>확정</t>
        </is>
      </c>
      <c r="M45" s="142" t="inlineStr">
        <is>
          <t>변경</t>
        </is>
      </c>
      <c r="N45" s="143" t="n">
        <v>46288</v>
      </c>
      <c r="O45" s="142" t="inlineStr">
        <is>
          <t>지출계획_2026-09-23.xlsx</t>
        </is>
      </c>
      <c r="P45" s="142" t="inlineStr">
        <is>
          <t>정상반영</t>
        </is>
      </c>
      <c r="Q45" s="142" t="inlineStr"/>
    </row>
    <row r="46" hidden="1">
      <c r="A46" s="142" t="inlineStr">
        <is>
          <t>건강-20260923-001</t>
        </is>
      </c>
      <c r="B46" s="142" t="inlineStr">
        <is>
          <t>건강사업팀</t>
        </is>
      </c>
      <c r="C46" s="142" t="inlineStr">
        <is>
          <t>김솔이</t>
        </is>
      </c>
      <c r="D46" s="142" t="inlineStr"/>
      <c r="E46" s="143" t="n">
        <v>46293</v>
      </c>
      <c r="F46" s="143" t="n">
        <v>46318</v>
      </c>
      <c r="G46" s="142" t="inlineStr">
        <is>
          <t>카페24</t>
        </is>
      </c>
      <c r="H46" s="142" t="inlineStr">
        <is>
          <t>sms 충전</t>
        </is>
      </c>
      <c r="I46" s="144" t="n">
        <v>1000000</v>
      </c>
      <c r="J46" s="142" t="inlineStr">
        <is>
          <t>법인카드</t>
        </is>
      </c>
      <c r="K46" s="142" t="inlineStr">
        <is>
          <t>우리카드</t>
        </is>
      </c>
      <c r="L46" s="142" t="inlineStr">
        <is>
          <t>확정</t>
        </is>
      </c>
      <c r="M46" s="142" t="inlineStr">
        <is>
          <t>신규</t>
        </is>
      </c>
      <c r="N46" s="143" t="n">
        <v>46288</v>
      </c>
      <c r="O46" s="142" t="inlineStr">
        <is>
          <t>지출계획_2026-09-23.xlsx</t>
        </is>
      </c>
      <c r="P46" s="142" t="inlineStr">
        <is>
          <t>정상반영</t>
        </is>
      </c>
      <c r="Q46" s="142" t="inlineStr"/>
    </row>
    <row r="47" hidden="1">
      <c r="A47" s="142" t="inlineStr">
        <is>
          <t>경영-20260922-008</t>
        </is>
      </c>
      <c r="B47" s="142" t="inlineStr">
        <is>
          <t>경영지원팀</t>
        </is>
      </c>
      <c r="C47" s="142" t="inlineStr">
        <is>
          <t>장은총</t>
        </is>
      </c>
      <c r="D47" s="142" t="inlineStr"/>
      <c r="E47" s="143" t="n">
        <v>46293</v>
      </c>
      <c r="F47" s="143" t="n">
        <v>46318</v>
      </c>
      <c r="G47" s="142" t="inlineStr">
        <is>
          <t>위버</t>
        </is>
      </c>
      <c r="H47" s="142" t="inlineStr">
        <is>
          <t>워크샵 (1부/2부) 이용료</t>
        </is>
      </c>
      <c r="I47" s="144" t="n">
        <v>1675000</v>
      </c>
      <c r="J47" s="142" t="inlineStr">
        <is>
          <t>법인카드</t>
        </is>
      </c>
      <c r="K47" s="142" t="inlineStr">
        <is>
          <t>우리카드</t>
        </is>
      </c>
      <c r="L47" s="142" t="inlineStr">
        <is>
          <t>확정</t>
        </is>
      </c>
      <c r="M47" s="142" t="inlineStr">
        <is>
          <t>신규</t>
        </is>
      </c>
      <c r="N47" s="143" t="n">
        <v>46287</v>
      </c>
      <c r="O47" s="142" t="inlineStr">
        <is>
          <t>지출계획_2026-09-23.xlsx</t>
        </is>
      </c>
      <c r="P47" s="142" t="inlineStr">
        <is>
          <t>정상반영</t>
        </is>
      </c>
      <c r="Q47" s="142" t="inlineStr"/>
    </row>
    <row r="48" hidden="1">
      <c r="A48" s="142" t="inlineStr">
        <is>
          <t>경영-20260923-005</t>
        </is>
      </c>
      <c r="B48" s="142" t="inlineStr">
        <is>
          <t>경영지원팀</t>
        </is>
      </c>
      <c r="C48" s="142" t="inlineStr">
        <is>
          <t>김수희</t>
        </is>
      </c>
      <c r="D48" s="142" t="inlineStr"/>
      <c r="E48" s="143" t="n">
        <v>46295</v>
      </c>
      <c r="F48" s="143" t="n">
        <v>46318</v>
      </c>
      <c r="G48" s="142" t="inlineStr">
        <is>
          <t>쿠팡</t>
        </is>
      </c>
      <c r="H48" s="142" t="inlineStr">
        <is>
          <t>직원 간식 구매</t>
        </is>
      </c>
      <c r="I48" s="144" t="n">
        <v>300000</v>
      </c>
      <c r="J48" s="142" t="inlineStr">
        <is>
          <t>법인카드</t>
        </is>
      </c>
      <c r="K48" s="142" t="inlineStr">
        <is>
          <t>우리카드</t>
        </is>
      </c>
      <c r="L48" s="142" t="inlineStr">
        <is>
          <t>확정</t>
        </is>
      </c>
      <c r="M48" s="142" t="inlineStr">
        <is>
          <t>신규</t>
        </is>
      </c>
      <c r="N48" s="143" t="n">
        <v>46288</v>
      </c>
      <c r="O48" s="142" t="inlineStr">
        <is>
          <t>지출계획_2026-09-23.xlsx</t>
        </is>
      </c>
      <c r="P48" s="142" t="inlineStr">
        <is>
          <t>정상반영</t>
        </is>
      </c>
      <c r="Q48" s="142" t="inlineStr"/>
    </row>
  </sheetData>
  <autoFilter ref="A5:Q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31" t="n">
        <v>46283</v>
      </c>
      <c r="B6" s="232" t="inlineStr">
        <is>
          <t>금</t>
        </is>
      </c>
      <c r="C6" s="232" t="inlineStr">
        <is>
          <t>팀 지출계획</t>
        </is>
      </c>
      <c r="D6" s="232" t="inlineStr">
        <is>
          <t>미반영(별도 관리)</t>
        </is>
      </c>
      <c r="E6" s="232" t="inlineStr">
        <is>
          <t>경영지원팀</t>
        </is>
      </c>
      <c r="F6" s="232" t="inlineStr">
        <is>
          <t>이앤씨이노비즈타워</t>
        </is>
      </c>
      <c r="G6" s="232" t="inlineStr">
        <is>
          <t>본사관리비</t>
        </is>
      </c>
      <c r="H6" s="233" t="n">
        <v>1553720</v>
      </c>
      <c r="I6" s="232" t="inlineStr">
        <is>
          <t>계좌송금</t>
        </is>
      </c>
      <c r="J6" s="232" t="inlineStr">
        <is>
          <t>에이팜</t>
        </is>
      </c>
    </row>
    <row r="7">
      <c r="A7" s="231" t="n">
        <v>46287</v>
      </c>
      <c r="B7" s="232" t="inlineStr">
        <is>
          <t>화</t>
        </is>
      </c>
      <c r="C7" s="232" t="inlineStr">
        <is>
          <t>팀 지출계획</t>
        </is>
      </c>
      <c r="D7" s="232" t="inlineStr">
        <is>
          <t>미반영(별도 관리)</t>
        </is>
      </c>
      <c r="E7" s="232" t="inlineStr">
        <is>
          <t>경영지원팀</t>
        </is>
      </c>
      <c r="F7" s="232" t="inlineStr">
        <is>
          <t>(대외비)</t>
        </is>
      </c>
      <c r="G7" s="232" t="inlineStr">
        <is>
          <t>급여·인건비(대외비)</t>
        </is>
      </c>
      <c r="H7" s="233" t="n">
        <v>4600000</v>
      </c>
      <c r="I7" s="232" t="inlineStr">
        <is>
          <t>계좌송금</t>
        </is>
      </c>
      <c r="J7" s="232" t="inlineStr">
        <is>
          <t>에이팜</t>
        </is>
      </c>
    </row>
    <row r="8">
      <c r="A8" s="231" t="n">
        <v>46288</v>
      </c>
      <c r="B8" s="232" t="inlineStr">
        <is>
          <t>수</t>
        </is>
      </c>
      <c r="C8" s="232" t="inlineStr">
        <is>
          <t>팀 지출계획</t>
        </is>
      </c>
      <c r="D8" s="232" t="inlineStr">
        <is>
          <t>미반영(별도 관리)</t>
        </is>
      </c>
      <c r="E8" s="232" t="inlineStr">
        <is>
          <t>경영지원팀</t>
        </is>
      </c>
      <c r="F8" s="232" t="inlineStr">
        <is>
          <t>비씨카드</t>
        </is>
      </c>
      <c r="G8" s="232" t="inlineStr">
        <is>
          <t>8월카드대금</t>
        </is>
      </c>
      <c r="H8" s="233" t="n">
        <v>269810</v>
      </c>
      <c r="I8" s="232" t="inlineStr">
        <is>
          <t>계좌송금</t>
        </is>
      </c>
      <c r="J8" s="232" t="inlineStr">
        <is>
          <t>에이팜</t>
        </is>
      </c>
    </row>
    <row r="9">
      <c r="A9" s="231" t="n">
        <v>46295</v>
      </c>
      <c r="B9" s="232" t="inlineStr">
        <is>
          <t>수</t>
        </is>
      </c>
      <c r="C9" s="232" t="inlineStr">
        <is>
          <t>팀 지출계획</t>
        </is>
      </c>
      <c r="D9" s="232" t="inlineStr">
        <is>
          <t>미반영(별도 관리)</t>
        </is>
      </c>
      <c r="E9" s="232" t="inlineStr">
        <is>
          <t>경영지원팀</t>
        </is>
      </c>
      <c r="F9" s="232" t="inlineStr">
        <is>
          <t>서원회계법인</t>
        </is>
      </c>
      <c r="G9" s="232" t="inlineStr">
        <is>
          <t>기장료</t>
        </is>
      </c>
      <c r="H9" s="233" t="n">
        <v>330000</v>
      </c>
      <c r="I9" s="232" t="inlineStr">
        <is>
          <t>계좌송금</t>
        </is>
      </c>
      <c r="J9" s="232" t="inlineStr">
        <is>
          <t>에이팜</t>
        </is>
      </c>
    </row>
    <row r="10">
      <c r="A10" s="231" t="n">
        <v>46295</v>
      </c>
      <c r="B10" s="232" t="inlineStr">
        <is>
          <t>수</t>
        </is>
      </c>
      <c r="C10" s="232" t="inlineStr">
        <is>
          <t>팀 지출계획</t>
        </is>
      </c>
      <c r="D10" s="232" t="inlineStr">
        <is>
          <t>미반영(별도 관리)</t>
        </is>
      </c>
      <c r="E10" s="232" t="inlineStr">
        <is>
          <t>경영지원팀</t>
        </is>
      </c>
      <c r="F10" s="232" t="inlineStr">
        <is>
          <t>달서구청</t>
        </is>
      </c>
      <c r="G10" s="232" t="inlineStr">
        <is>
          <t>2026년 토지재산세</t>
        </is>
      </c>
      <c r="H10" s="233" t="n">
        <v>315520</v>
      </c>
      <c r="I10" s="232" t="inlineStr">
        <is>
          <t>계좌송금</t>
        </is>
      </c>
      <c r="J10" s="232" t="inlineStr">
        <is>
          <t>에이팜</t>
        </is>
      </c>
    </row>
    <row r="11">
      <c r="A11" s="231" t="n">
        <v>46295</v>
      </c>
      <c r="B11" s="232" t="inlineStr">
        <is>
          <t>수</t>
        </is>
      </c>
      <c r="C11" s="232" t="inlineStr">
        <is>
          <t>팀 지출계획</t>
        </is>
      </c>
      <c r="D11" s="232" t="inlineStr">
        <is>
          <t>미반영(별도 관리)</t>
        </is>
      </c>
      <c r="E11" s="232" t="inlineStr">
        <is>
          <t>경영지원팀</t>
        </is>
      </c>
      <c r="F11" s="232" t="inlineStr">
        <is>
          <t>가가사무기</t>
        </is>
      </c>
      <c r="G11" s="232" t="inlineStr">
        <is>
          <t>복합기 9월 임대비용</t>
        </is>
      </c>
      <c r="H11" s="233" t="n">
        <v>280000</v>
      </c>
      <c r="I11" s="232" t="inlineStr">
        <is>
          <t>계좌송금</t>
        </is>
      </c>
      <c r="J11" s="232" t="inlineStr">
        <is>
          <t>에이팜</t>
        </is>
      </c>
    </row>
    <row r="12">
      <c r="A12" s="231" t="n">
        <v>46295</v>
      </c>
      <c r="B12" s="232" t="inlineStr">
        <is>
          <t>수</t>
        </is>
      </c>
      <c r="C12" s="232" t="inlineStr">
        <is>
          <t>팀 지출계획</t>
        </is>
      </c>
      <c r="D12" s="232" t="inlineStr">
        <is>
          <t>미반영(별도 관리)</t>
        </is>
      </c>
      <c r="E12" s="232" t="inlineStr">
        <is>
          <t>경영지원팀</t>
        </is>
      </c>
      <c r="F12" s="232" t="inlineStr">
        <is>
          <t>대구상공회의소</t>
        </is>
      </c>
      <c r="G12" s="232" t="inlineStr">
        <is>
          <t>하반기연회비</t>
        </is>
      </c>
      <c r="H12" s="233" t="n">
        <v>250000</v>
      </c>
      <c r="I12" s="232" t="inlineStr">
        <is>
          <t>계좌송금</t>
        </is>
      </c>
      <c r="J12" s="232" t="inlineStr">
        <is>
          <t>에이팜</t>
        </is>
      </c>
    </row>
    <row r="13">
      <c r="G13" s="234" t="inlineStr">
        <is>
          <t>합계(자금계획 미반영)</t>
        </is>
      </c>
      <c r="H13" s="235" t="n">
        <v>7599050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6" t="n">
        <v>46186.07862268519</v>
      </c>
      <c r="B36" s="23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46280.42721064815</v>
      </c>
      <c r="B73" s="147" t="n">
        <v>46280</v>
      </c>
      <c r="C73" s="67" t="inlineStr">
        <is>
          <t>국민은행</t>
        </is>
      </c>
      <c r="D73" s="67" t="inlineStr">
        <is>
          <t>국민 169124</t>
        </is>
      </c>
      <c r="E73" s="148" t="n">
        <v>0</v>
      </c>
      <c r="F73" s="148" t="n">
        <v>1472990</v>
      </c>
      <c r="G73" s="148" t="n">
        <v>101472990</v>
      </c>
      <c r="H73" s="75" t="inlineStr">
        <is>
          <t>기일입금</t>
        </is>
      </c>
      <c r="I73" s="75" t="inlineStr">
        <is>
          <t>(주)에이팜건강</t>
        </is>
      </c>
      <c r="J73" s="75" t="inlineStr">
        <is>
          <t>진천역</t>
        </is>
      </c>
      <c r="K73" s="67" t="inlineStr">
        <is>
          <t>계좌간이체</t>
        </is>
      </c>
      <c r="L73" s="67" t="inlineStr">
        <is>
          <t>Y</t>
        </is>
      </c>
      <c r="M73" s="67" t="inlineStr">
        <is>
          <t>N</t>
        </is>
      </c>
      <c r="N73" s="148" t="n">
        <v>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46280.81505787037</v>
      </c>
      <c r="B74" s="147" t="n">
        <v>46280</v>
      </c>
      <c r="C74" s="67" t="inlineStr">
        <is>
          <t>국민은행</t>
        </is>
      </c>
      <c r="D74" s="67" t="inlineStr">
        <is>
          <t>국민 169124</t>
        </is>
      </c>
      <c r="E74" s="148" t="n">
        <v>785790</v>
      </c>
      <c r="F74" s="148" t="n">
        <v>0</v>
      </c>
      <c r="G74" s="148" t="n">
        <v>100687200</v>
      </c>
      <c r="H74" s="75" t="inlineStr">
        <is>
          <t>FBS출금</t>
        </is>
      </c>
      <c r="I74" s="75" t="inlineStr">
        <is>
          <t>삼성09016건</t>
        </is>
      </c>
      <c r="J74" s="75" t="inlineStr">
        <is>
          <t>ERP사</t>
        </is>
      </c>
      <c r="K74" s="67" t="inlineStr">
        <is>
          <t>보험료</t>
        </is>
      </c>
      <c r="L74" s="67" t="inlineStr">
        <is>
          <t>N</t>
        </is>
      </c>
      <c r="M74" s="67" t="inlineStr">
        <is>
          <t>Y</t>
        </is>
      </c>
      <c r="N74" s="148" t="n">
        <v>-785790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46281.2155787037</v>
      </c>
      <c r="B75" s="147" t="n">
        <v>46281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1333398</v>
      </c>
      <c r="G75" s="148" t="n">
        <v>1522918</v>
      </c>
      <c r="H75" s="75" t="inlineStr">
        <is>
          <t>BC카드</t>
        </is>
      </c>
      <c r="I75" s="75" t="inlineStr">
        <is>
          <t>726168386BC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1333398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46281.40854166666</v>
      </c>
      <c r="B76" s="147" t="n">
        <v>46281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80278</v>
      </c>
      <c r="G76" s="148" t="n">
        <v>1603196</v>
      </c>
      <c r="H76" s="75" t="inlineStr">
        <is>
          <t>PC-SC제일</t>
        </is>
      </c>
      <c r="I76" s="75" t="inlineStr">
        <is>
          <t>롯데45933388</t>
        </is>
      </c>
      <c r="J76" s="75" t="inlineStr">
        <is>
          <t>SC제일 0231040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80278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46281.55491898148</v>
      </c>
      <c r="B77" s="147" t="n">
        <v>46281</v>
      </c>
      <c r="C77" s="67" t="inlineStr">
        <is>
          <t>농협</t>
        </is>
      </c>
      <c r="D77" s="67" t="inlineStr">
        <is>
          <t>농협 569003</t>
        </is>
      </c>
      <c r="E77" s="148" t="n">
        <v>0</v>
      </c>
      <c r="F77" s="148" t="n">
        <v>60800</v>
      </c>
      <c r="G77" s="148" t="n">
        <v>1663996</v>
      </c>
      <c r="H77" s="75" t="inlineStr">
        <is>
          <t>NH콕송금</t>
        </is>
      </c>
      <c r="I77" s="75" t="inlineStr">
        <is>
          <t>조민경</t>
        </is>
      </c>
      <c r="J77" s="75" t="inlineStr">
        <is>
          <t>농협 150020</t>
        </is>
      </c>
      <c r="K77" s="67" t="inlineStr">
        <is>
          <t>기타입금</t>
        </is>
      </c>
      <c r="L77" s="67" t="inlineStr">
        <is>
          <t>N</t>
        </is>
      </c>
      <c r="M77" s="67" t="inlineStr">
        <is>
          <t>N</t>
        </is>
      </c>
      <c r="N77" s="148" t="n">
        <v>60800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46282.11561342593</v>
      </c>
      <c r="B78" s="147" t="n">
        <v>46282</v>
      </c>
      <c r="C78" s="67" t="inlineStr">
        <is>
          <t>우리은행</t>
        </is>
      </c>
      <c r="D78" s="67" t="inlineStr">
        <is>
          <t>우리 220351</t>
        </is>
      </c>
      <c r="E78" s="148" t="n">
        <v>0</v>
      </c>
      <c r="F78" s="148" t="n">
        <v>6519025</v>
      </c>
      <c r="G78" s="148" t="n">
        <v>14106278</v>
      </c>
      <c r="H78" s="75" t="inlineStr">
        <is>
          <t>펌뱅킹</t>
        </is>
      </c>
      <c r="I78" s="75" t="inlineStr">
        <is>
          <t>스마트스토어정산</t>
        </is>
      </c>
      <c r="J78" s="75" t="inlineStr">
        <is>
          <t>두산타워기업영업지원팀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6519025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46282.14266203704</v>
      </c>
      <c r="B79" s="147" t="n">
        <v>46282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32729</v>
      </c>
      <c r="G79" s="148" t="n">
        <v>17836303</v>
      </c>
      <c r="H79" s="75" t="inlineStr">
        <is>
          <t>전자금융</t>
        </is>
      </c>
      <c r="I79" s="75" t="inlineStr">
        <is>
          <t>Npay정산</t>
        </is>
      </c>
      <c r="J79" s="75" t="inlineStr">
        <is>
          <t>SC은행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32729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46282.46387731482</v>
      </c>
      <c r="B80" s="147" t="n">
        <v>46282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708904</v>
      </c>
      <c r="G80" s="148" t="n">
        <v>18545207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708904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46282.46910879629</v>
      </c>
      <c r="B81" s="147" t="n">
        <v>46282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188773</v>
      </c>
      <c r="G81" s="148" t="n">
        <v>18733980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188773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46282.70287037037</v>
      </c>
      <c r="B82" s="147" t="n">
        <v>46282</v>
      </c>
      <c r="C82" s="67" t="inlineStr">
        <is>
          <t>우리은행</t>
        </is>
      </c>
      <c r="D82" s="67" t="inlineStr">
        <is>
          <t>우리 220351</t>
        </is>
      </c>
      <c r="E82" s="148" t="n">
        <v>498509</v>
      </c>
      <c r="F82" s="148" t="n">
        <v>0</v>
      </c>
      <c r="G82" s="148" t="n">
        <v>13607769</v>
      </c>
      <c r="H82" s="75" t="inlineStr">
        <is>
          <t>인터넷</t>
        </is>
      </c>
      <c r="I82" s="75" t="inlineStr">
        <is>
          <t>국민비즈월렛_쁘띠앤</t>
        </is>
      </c>
      <c r="J82" s="75" t="inlineStr">
        <is>
          <t>성서공단금융센터</t>
        </is>
      </c>
      <c r="K82" s="67" t="inlineStr">
        <is>
          <t>기타지출</t>
        </is>
      </c>
      <c r="L82" s="67" t="inlineStr">
        <is>
          <t>N</t>
        </is>
      </c>
      <c r="M82" s="67" t="inlineStr">
        <is>
          <t>Y</t>
        </is>
      </c>
      <c r="N82" s="148" t="n">
        <v>-498509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46282.70288194445</v>
      </c>
      <c r="B83" s="147" t="n">
        <v>46282</v>
      </c>
      <c r="C83" s="67" t="inlineStr">
        <is>
          <t>우리은행</t>
        </is>
      </c>
      <c r="D83" s="67" t="inlineStr">
        <is>
          <t>우리 220351</t>
        </is>
      </c>
      <c r="E83" s="148" t="n">
        <v>550000</v>
      </c>
      <c r="F83" s="148" t="n">
        <v>0</v>
      </c>
      <c r="G83" s="148" t="n">
        <v>13057769</v>
      </c>
      <c r="H83" s="75" t="inlineStr">
        <is>
          <t>인터넷</t>
        </is>
      </c>
      <c r="I83" s="75" t="inlineStr">
        <is>
          <t>농협(주)레인보우8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Y</t>
        </is>
      </c>
      <c r="N83" s="148" t="n">
        <v>-550000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46282.70289351852</v>
      </c>
      <c r="B84" s="147" t="n">
        <v>46282</v>
      </c>
      <c r="C84" s="67" t="inlineStr">
        <is>
          <t>우리은행</t>
        </is>
      </c>
      <c r="D84" s="67" t="inlineStr">
        <is>
          <t>우리 220351</t>
        </is>
      </c>
      <c r="E84" s="148" t="n">
        <v>1661000</v>
      </c>
      <c r="F84" s="148" t="n">
        <v>0</v>
      </c>
      <c r="G84" s="148" t="n">
        <v>11396769</v>
      </c>
      <c r="H84" s="75" t="inlineStr">
        <is>
          <t>인터넷</t>
        </is>
      </c>
      <c r="I84" s="75" t="inlineStr">
        <is>
          <t>국민네이버 apha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Y</t>
        </is>
      </c>
      <c r="N84" s="148" t="n">
        <v>-1661000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46282.70290509259</v>
      </c>
      <c r="B85" s="147" t="n">
        <v>46282</v>
      </c>
      <c r="C85" s="67" t="inlineStr">
        <is>
          <t>우리은행</t>
        </is>
      </c>
      <c r="D85" s="67" t="inlineStr">
        <is>
          <t>우리 220351</t>
        </is>
      </c>
      <c r="E85" s="148" t="n">
        <v>330000</v>
      </c>
      <c r="F85" s="148" t="n">
        <v>0</v>
      </c>
      <c r="G85" s="148" t="n">
        <v>11066769</v>
      </c>
      <c r="H85" s="75" t="inlineStr">
        <is>
          <t>인터넷</t>
        </is>
      </c>
      <c r="I85" s="75" t="inlineStr">
        <is>
          <t>국민네이버 에이팜건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Y</t>
        </is>
      </c>
      <c r="N85" s="148" t="n">
        <v>-330000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46282.70291666667</v>
      </c>
      <c r="B86" s="147" t="n">
        <v>46282</v>
      </c>
      <c r="C86" s="67" t="inlineStr">
        <is>
          <t>우리은행</t>
        </is>
      </c>
      <c r="D86" s="67" t="inlineStr">
        <is>
          <t>우리 220351</t>
        </is>
      </c>
      <c r="E86" s="148" t="n">
        <v>330000</v>
      </c>
      <c r="F86" s="148" t="n">
        <v>0</v>
      </c>
      <c r="G86" s="148" t="n">
        <v>10736769</v>
      </c>
      <c r="H86" s="75" t="inlineStr">
        <is>
          <t>인터넷</t>
        </is>
      </c>
      <c r="I86" s="75" t="inlineStr">
        <is>
          <t>국민네이버 ddi5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-330000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46282.94186342593</v>
      </c>
      <c r="B87" s="147" t="n">
        <v>46282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80720</v>
      </c>
      <c r="G87" s="148" t="n">
        <v>18814700</v>
      </c>
      <c r="H87" s="75" t="inlineStr">
        <is>
          <t>전자금융</t>
        </is>
      </c>
      <c r="I87" s="75" t="inlineStr">
        <is>
          <t>정유림</t>
        </is>
      </c>
      <c r="J87" s="75" t="inlineStr">
        <is>
          <t>카뱅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80720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46283.11054398148</v>
      </c>
      <c r="B88" s="147" t="n">
        <v>46283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6599516</v>
      </c>
      <c r="G88" s="148" t="n">
        <v>17336285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6599516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46283.14090277778</v>
      </c>
      <c r="B89" s="147" t="n">
        <v>46283</v>
      </c>
      <c r="C89" s="67" t="inlineStr">
        <is>
          <t>국민은행</t>
        </is>
      </c>
      <c r="D89" s="67" t="inlineStr">
        <is>
          <t>국민 154577</t>
        </is>
      </c>
      <c r="E89" s="148" t="n">
        <v>0</v>
      </c>
      <c r="F89" s="148" t="n">
        <v>49093</v>
      </c>
      <c r="G89" s="148" t="n">
        <v>18863793</v>
      </c>
      <c r="H89" s="75" t="inlineStr">
        <is>
          <t>전자금융</t>
        </is>
      </c>
      <c r="I89" s="75" t="inlineStr">
        <is>
          <t>Npay정산</t>
        </is>
      </c>
      <c r="J89" s="75" t="inlineStr">
        <is>
          <t>SC은행</t>
        </is>
      </c>
      <c r="K89" s="67" t="inlineStr">
        <is>
          <t>온라인매출입금</t>
        </is>
      </c>
      <c r="L89" s="67" t="inlineStr">
        <is>
          <t>N</t>
        </is>
      </c>
      <c r="M89" s="67" t="inlineStr">
        <is>
          <t>N</t>
        </is>
      </c>
      <c r="N89" s="148" t="n">
        <v>49093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46283.38587962963</v>
      </c>
      <c r="B90" s="147" t="n">
        <v>46283</v>
      </c>
      <c r="C90" s="67" t="inlineStr">
        <is>
          <t>농협</t>
        </is>
      </c>
      <c r="D90" s="67" t="inlineStr">
        <is>
          <t>농협 569003</t>
        </is>
      </c>
      <c r="E90" s="148" t="n">
        <v>0</v>
      </c>
      <c r="F90" s="148" t="n">
        <v>29433</v>
      </c>
      <c r="G90" s="148" t="n">
        <v>1693429</v>
      </c>
      <c r="H90" s="75" t="inlineStr">
        <is>
          <t>센터일괄</t>
        </is>
      </c>
      <c r="I90" s="75" t="inlineStr">
        <is>
          <t>삼성카드가맹</t>
        </is>
      </c>
      <c r="J90" s="75" t="inlineStr">
        <is>
          <t>농협 000056</t>
        </is>
      </c>
      <c r="K90" s="67" t="inlineStr">
        <is>
          <t>보험 중도인출·보험금 입금</t>
        </is>
      </c>
      <c r="L90" s="67" t="inlineStr">
        <is>
          <t>N</t>
        </is>
      </c>
      <c r="M90" s="67" t="inlineStr">
        <is>
          <t>N</t>
        </is>
      </c>
      <c r="N90" s="148" t="n">
        <v>29433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46283.39877314815</v>
      </c>
      <c r="B91" s="147" t="n">
        <v>46283</v>
      </c>
      <c r="C91" s="67" t="inlineStr">
        <is>
          <t>농협</t>
        </is>
      </c>
      <c r="D91" s="67" t="inlineStr">
        <is>
          <t>농협 569003</t>
        </is>
      </c>
      <c r="E91" s="148" t="n">
        <v>0</v>
      </c>
      <c r="F91" s="148" t="n">
        <v>141000</v>
      </c>
      <c r="G91" s="148" t="n">
        <v>1834429</v>
      </c>
      <c r="H91" s="75" t="inlineStr">
        <is>
          <t>PC하나은행</t>
        </is>
      </c>
      <c r="I91" s="75" t="inlineStr">
        <is>
          <t>김수희</t>
        </is>
      </c>
      <c r="J91" s="75" t="inlineStr">
        <is>
          <t>하나 0812256</t>
        </is>
      </c>
      <c r="K91" s="67" t="inlineStr">
        <is>
          <t>기타입금</t>
        </is>
      </c>
      <c r="L91" s="67" t="inlineStr">
        <is>
          <t>N</t>
        </is>
      </c>
      <c r="M91" s="67" t="inlineStr">
        <is>
          <t>N</t>
        </is>
      </c>
      <c r="N91" s="148" t="n">
        <v>141000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46283.45922453704</v>
      </c>
      <c r="B92" s="147" t="n">
        <v>46283</v>
      </c>
      <c r="C92" s="67" t="inlineStr">
        <is>
          <t>국민은행</t>
        </is>
      </c>
      <c r="D92" s="67" t="inlineStr">
        <is>
          <t>국민 154577</t>
        </is>
      </c>
      <c r="E92" s="148" t="n">
        <v>0</v>
      </c>
      <c r="F92" s="148" t="n">
        <v>871022</v>
      </c>
      <c r="G92" s="148" t="n">
        <v>19734815</v>
      </c>
      <c r="H92" s="75" t="inlineStr">
        <is>
          <t>전자금융</t>
        </is>
      </c>
      <c r="I92" s="75" t="inlineStr">
        <is>
          <t>KG이니시스</t>
        </is>
      </c>
      <c r="J92" s="75" t="inlineStr">
        <is>
          <t>하나은행</t>
        </is>
      </c>
      <c r="K92" s="67" t="inlineStr">
        <is>
          <t>온라인매출입금</t>
        </is>
      </c>
      <c r="L92" s="67" t="inlineStr">
        <is>
          <t>N</t>
        </is>
      </c>
      <c r="M92" s="67" t="inlineStr">
        <is>
          <t>N</t>
        </is>
      </c>
      <c r="N92" s="148" t="n">
        <v>871022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46283.46777777778</v>
      </c>
      <c r="B93" s="147" t="n">
        <v>46283</v>
      </c>
      <c r="C93" s="67" t="inlineStr">
        <is>
          <t>국민은행</t>
        </is>
      </c>
      <c r="D93" s="67" t="inlineStr">
        <is>
          <t>국민 154577</t>
        </is>
      </c>
      <c r="E93" s="148" t="n">
        <v>0</v>
      </c>
      <c r="F93" s="148" t="n">
        <v>299722</v>
      </c>
      <c r="G93" s="148" t="n">
        <v>20034537</v>
      </c>
      <c r="H93" s="75" t="inlineStr">
        <is>
          <t>전자금융</t>
        </is>
      </c>
      <c r="I93" s="75" t="inlineStr">
        <is>
          <t>KG이니시스</t>
        </is>
      </c>
      <c r="J93" s="75" t="inlineStr">
        <is>
          <t>하나은행</t>
        </is>
      </c>
      <c r="K93" s="67" t="inlineStr">
        <is>
          <t>온라인매출입금</t>
        </is>
      </c>
      <c r="L93" s="67" t="inlineStr">
        <is>
          <t>N</t>
        </is>
      </c>
      <c r="M93" s="67" t="inlineStr">
        <is>
          <t>N</t>
        </is>
      </c>
      <c r="N93" s="148" t="n">
        <v>299722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46283.6475</v>
      </c>
      <c r="B94" s="147" t="n">
        <v>46283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83017</v>
      </c>
      <c r="G94" s="148" t="n">
        <v>20117554</v>
      </c>
      <c r="H94" s="75" t="inlineStr">
        <is>
          <t>전자금융</t>
        </is>
      </c>
      <c r="I94" s="75" t="inlineStr">
        <is>
          <t>엔에이치엔페이</t>
        </is>
      </c>
      <c r="J94" s="75" t="inlineStr">
        <is>
          <t>신한은행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83017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46283.66711805556</v>
      </c>
      <c r="B95" s="147" t="n">
        <v>46283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30400</v>
      </c>
      <c r="G95" s="148" t="n">
        <v>20147954</v>
      </c>
      <c r="H95" s="75" t="inlineStr">
        <is>
          <t>전자금융</t>
        </is>
      </c>
      <c r="I95" s="75" t="inlineStr">
        <is>
          <t>GS리테일</t>
        </is>
      </c>
      <c r="J95" s="75" t="inlineStr">
        <is>
          <t>우리은행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30400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46283.70120370371</v>
      </c>
      <c r="B96" s="147" t="n">
        <v>46283</v>
      </c>
      <c r="C96" s="67" t="inlineStr">
        <is>
          <t>우리은행</t>
        </is>
      </c>
      <c r="D96" s="67" t="inlineStr">
        <is>
          <t>우리 220351</t>
        </is>
      </c>
      <c r="E96" s="148" t="n">
        <v>3311000</v>
      </c>
      <c r="F96" s="148" t="n">
        <v>0</v>
      </c>
      <c r="G96" s="148" t="n">
        <v>13925285</v>
      </c>
      <c r="H96" s="75" t="inlineStr">
        <is>
          <t>인터넷</t>
        </is>
      </c>
      <c r="I96" s="75" t="inlineStr">
        <is>
          <t>국민네이버 apha</t>
        </is>
      </c>
      <c r="J96" s="75" t="inlineStr">
        <is>
          <t>성서공단금융센터</t>
        </is>
      </c>
      <c r="K96" s="67" t="inlineStr">
        <is>
          <t>기타지출</t>
        </is>
      </c>
      <c r="L96" s="67" t="inlineStr">
        <is>
          <t>N</t>
        </is>
      </c>
      <c r="M96" s="67" t="inlineStr">
        <is>
          <t>Y</t>
        </is>
      </c>
      <c r="N96" s="148" t="n">
        <v>-3311000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46283.70120370371</v>
      </c>
      <c r="B97" s="147" t="n">
        <v>46283</v>
      </c>
      <c r="C97" s="67" t="inlineStr">
        <is>
          <t>우리은행</t>
        </is>
      </c>
      <c r="D97" s="67" t="inlineStr">
        <is>
          <t>우리 220351</t>
        </is>
      </c>
      <c r="E97" s="148" t="n">
        <v>100000</v>
      </c>
      <c r="F97" s="148" t="n">
        <v>0</v>
      </c>
      <c r="G97" s="148" t="n">
        <v>17236285</v>
      </c>
      <c r="H97" s="75" t="inlineStr">
        <is>
          <t>인터넷</t>
        </is>
      </c>
      <c r="I97" s="75" t="inlineStr">
        <is>
          <t>카카이찬민</t>
        </is>
      </c>
      <c r="J97" s="75" t="inlineStr">
        <is>
          <t>성서공단금융센터</t>
        </is>
      </c>
      <c r="K97" s="67" t="inlineStr">
        <is>
          <t>기타지출</t>
        </is>
      </c>
      <c r="L97" s="67" t="inlineStr">
        <is>
          <t>N</t>
        </is>
      </c>
      <c r="M97" s="67" t="inlineStr">
        <is>
          <t>N</t>
        </is>
      </c>
      <c r="N97" s="148" t="n">
        <v>-100000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46283.70122685185</v>
      </c>
      <c r="B98" s="147" t="n">
        <v>46283</v>
      </c>
      <c r="C98" s="67" t="inlineStr">
        <is>
          <t>우리은행</t>
        </is>
      </c>
      <c r="D98" s="67" t="inlineStr">
        <is>
          <t>우리 220351</t>
        </is>
      </c>
      <c r="E98" s="148" t="n">
        <v>990000</v>
      </c>
      <c r="F98" s="148" t="n">
        <v>0</v>
      </c>
      <c r="G98" s="148" t="n">
        <v>12935285</v>
      </c>
      <c r="H98" s="75" t="inlineStr">
        <is>
          <t>인터넷</t>
        </is>
      </c>
      <c r="I98" s="75" t="inlineStr">
        <is>
          <t>국민네이버 에이팜건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Y</t>
        </is>
      </c>
      <c r="N98" s="148" t="n">
        <v>-990000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46283.70123842593</v>
      </c>
      <c r="B99" s="147" t="n">
        <v>46283</v>
      </c>
      <c r="C99" s="67" t="inlineStr">
        <is>
          <t>우리은행</t>
        </is>
      </c>
      <c r="D99" s="67" t="inlineStr">
        <is>
          <t>우리 220351</t>
        </is>
      </c>
      <c r="E99" s="148" t="n">
        <v>990000</v>
      </c>
      <c r="F99" s="148" t="n">
        <v>0</v>
      </c>
      <c r="G99" s="148" t="n">
        <v>11945285</v>
      </c>
      <c r="H99" s="75" t="inlineStr">
        <is>
          <t>인터넷</t>
        </is>
      </c>
      <c r="I99" s="75" t="inlineStr">
        <is>
          <t>국민네이버 ddi5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N</t>
        </is>
      </c>
      <c r="N99" s="148" t="n">
        <v>-990000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236" t="n">
        <v>46284.39604166667</v>
      </c>
      <c r="B100" s="237" t="n">
        <v>46284</v>
      </c>
      <c r="C100" s="67" t="inlineStr">
        <is>
          <t>우리은행</t>
        </is>
      </c>
      <c r="D100" s="67" t="inlineStr">
        <is>
          <t>우리 220351</t>
        </is>
      </c>
      <c r="E100" s="148" t="n">
        <v>0</v>
      </c>
      <c r="F100" s="148" t="n">
        <v>2852</v>
      </c>
      <c r="G100" s="148" t="n">
        <v>11948137</v>
      </c>
      <c r="H100" s="75" t="inlineStr">
        <is>
          <t>예금결산</t>
        </is>
      </c>
      <c r="I100" s="75" t="inlineStr">
        <is>
          <t>예금결산이자</t>
        </is>
      </c>
      <c r="J100" s="75" t="inlineStr">
        <is>
          <t>성서공단금융센터</t>
        </is>
      </c>
      <c r="K100" s="67" t="inlineStr">
        <is>
          <t>기타입금</t>
        </is>
      </c>
      <c r="L100" s="67" t="inlineStr">
        <is>
          <t>N</t>
        </is>
      </c>
      <c r="M100" s="67" t="inlineStr">
        <is>
          <t>N</t>
        </is>
      </c>
      <c r="N100" s="148" t="n">
        <v>2852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236" t="n">
        <v>46285.82394675926</v>
      </c>
      <c r="B101" s="237" t="n">
        <v>46285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37000</v>
      </c>
      <c r="G101" s="148" t="n">
        <v>20184954</v>
      </c>
      <c r="H101" s="75" t="inlineStr">
        <is>
          <t>전자금융</t>
        </is>
      </c>
      <c r="I101" s="75" t="inlineStr">
        <is>
          <t>김은미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37000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46286.14091435185</v>
      </c>
      <c r="B102" s="147" t="n">
        <v>46286</v>
      </c>
      <c r="C102" s="67" t="inlineStr">
        <is>
          <t>우리은행</t>
        </is>
      </c>
      <c r="D102" s="67" t="inlineStr">
        <is>
          <t>우리 220351</t>
        </is>
      </c>
      <c r="E102" s="148" t="n">
        <v>85621</v>
      </c>
      <c r="F102" s="148" t="n">
        <v>0</v>
      </c>
      <c r="G102" s="148" t="n">
        <v>11727894</v>
      </c>
      <c r="H102" s="75" t="inlineStr">
        <is>
          <t>통신요금</t>
        </is>
      </c>
      <c r="I102" s="75" t="inlineStr">
        <is>
          <t>SKB6486358411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N</t>
        </is>
      </c>
      <c r="N102" s="148" t="n">
        <v>-85621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46286.14091435185</v>
      </c>
      <c r="B103" s="147" t="n">
        <v>46286</v>
      </c>
      <c r="C103" s="67" t="inlineStr">
        <is>
          <t>우리은행</t>
        </is>
      </c>
      <c r="D103" s="67" t="inlineStr">
        <is>
          <t>우리 220351</t>
        </is>
      </c>
      <c r="E103" s="148" t="n">
        <v>134622</v>
      </c>
      <c r="F103" s="148" t="n">
        <v>0</v>
      </c>
      <c r="G103" s="148" t="n">
        <v>11813515</v>
      </c>
      <c r="H103" s="75" t="inlineStr">
        <is>
          <t>통신요금</t>
        </is>
      </c>
      <c r="I103" s="75" t="inlineStr">
        <is>
          <t>SKB6452342048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-134622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46286.14101851852</v>
      </c>
      <c r="B104" s="147" t="n">
        <v>46286</v>
      </c>
      <c r="C104" s="67" t="inlineStr">
        <is>
          <t>우리은행</t>
        </is>
      </c>
      <c r="D104" s="67" t="inlineStr">
        <is>
          <t>우리 220351</t>
        </is>
      </c>
      <c r="E104" s="148" t="n">
        <v>107800</v>
      </c>
      <c r="F104" s="148" t="n">
        <v>0</v>
      </c>
      <c r="G104" s="148" t="n">
        <v>11620094</v>
      </c>
      <c r="H104" s="75" t="inlineStr">
        <is>
          <t>지로자동</t>
        </is>
      </c>
      <c r="I104" s="75" t="inlineStr">
        <is>
          <t>S1(N6203178)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-107800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46286.21854166667</v>
      </c>
      <c r="B105" s="147" t="n">
        <v>46286</v>
      </c>
      <c r="C105" s="67" t="inlineStr">
        <is>
          <t>우리은행</t>
        </is>
      </c>
      <c r="D105" s="67" t="inlineStr">
        <is>
          <t>우리 220351</t>
        </is>
      </c>
      <c r="E105" s="148" t="n">
        <v>0</v>
      </c>
      <c r="F105" s="148" t="n">
        <v>5694170</v>
      </c>
      <c r="G105" s="148" t="n">
        <v>17314264</v>
      </c>
      <c r="H105" s="75" t="inlineStr">
        <is>
          <t>펌뱅킹</t>
        </is>
      </c>
      <c r="I105" s="75" t="inlineStr">
        <is>
          <t>스마트스토어정산</t>
        </is>
      </c>
      <c r="J105" s="75" t="inlineStr">
        <is>
          <t>두산타워기업영업지원팀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5694170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46286.42916666667</v>
      </c>
      <c r="B106" s="147" t="n">
        <v>46286</v>
      </c>
      <c r="C106" s="67" t="inlineStr">
        <is>
          <t>농협</t>
        </is>
      </c>
      <c r="D106" s="67" t="inlineStr">
        <is>
          <t>농협 569003</t>
        </is>
      </c>
      <c r="E106" s="148" t="n">
        <v>0</v>
      </c>
      <c r="F106" s="148" t="n">
        <v>110000</v>
      </c>
      <c r="G106" s="148" t="n">
        <v>1944429</v>
      </c>
      <c r="H106" s="75" t="inlineStr">
        <is>
          <t>E-K뱅크</t>
        </is>
      </c>
      <c r="I106" s="75" t="inlineStr">
        <is>
          <t>양혜원</t>
        </is>
      </c>
      <c r="J106" s="75" t="inlineStr">
        <is>
          <t>K뱅크 0891002</t>
        </is>
      </c>
      <c r="K106" s="67" t="inlineStr">
        <is>
          <t>기타입금</t>
        </is>
      </c>
      <c r="L106" s="67" t="inlineStr">
        <is>
          <t>N</t>
        </is>
      </c>
      <c r="M106" s="67" t="inlineStr">
        <is>
          <t>N</t>
        </is>
      </c>
      <c r="N106" s="148" t="n">
        <v>110000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46286.42984953704</v>
      </c>
      <c r="B107" s="147" t="n">
        <v>46286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750249</v>
      </c>
      <c r="G107" s="148" t="n">
        <v>20935203</v>
      </c>
      <c r="H107" s="75" t="inlineStr">
        <is>
          <t>전자금융</t>
        </is>
      </c>
      <c r="I107" s="75" t="inlineStr">
        <is>
          <t>KG이니시스</t>
        </is>
      </c>
      <c r="J107" s="75" t="inlineStr">
        <is>
          <t>하나은행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750249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46286.4372337963</v>
      </c>
      <c r="B108" s="147" t="n">
        <v>46286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68816</v>
      </c>
      <c r="G108" s="148" t="n">
        <v>21004019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68816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46286.47028935186</v>
      </c>
      <c r="B109" s="147" t="n">
        <v>46286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3860670</v>
      </c>
      <c r="G109" s="148" t="n">
        <v>24864689</v>
      </c>
      <c r="H109" s="75" t="inlineStr">
        <is>
          <t>FBS입금</t>
        </is>
      </c>
      <c r="I109" s="75" t="inlineStr">
        <is>
          <t>(주)현대이지웰</t>
        </is>
      </c>
      <c r="J109" s="75" t="inlineStr">
        <is>
          <t>ERP사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3860670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46286.48598379629</v>
      </c>
      <c r="B110" s="147" t="n">
        <v>46286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20000000</v>
      </c>
      <c r="G110" s="148" t="n">
        <v>44864689</v>
      </c>
      <c r="H110" s="75" t="inlineStr">
        <is>
          <t>전자금융</t>
        </is>
      </c>
      <c r="I110" s="75" t="inlineStr">
        <is>
          <t>허용</t>
        </is>
      </c>
      <c r="J110" s="75" t="inlineStr">
        <is>
          <t>아이엠뱅</t>
        </is>
      </c>
      <c r="K110" s="67" t="inlineStr">
        <is>
          <t>가지급금 회수</t>
        </is>
      </c>
      <c r="L110" s="67" t="inlineStr">
        <is>
          <t>N</t>
        </is>
      </c>
      <c r="M110" s="67" t="inlineStr">
        <is>
          <t>N</t>
        </is>
      </c>
      <c r="N110" s="148" t="n">
        <v>20000000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46286.70733796297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2178000</v>
      </c>
      <c r="F111" s="148" t="n">
        <v>0</v>
      </c>
      <c r="G111" s="148" t="n">
        <v>15136264</v>
      </c>
      <c r="H111" s="75" t="inlineStr">
        <is>
          <t>인터넷</t>
        </is>
      </c>
      <c r="I111" s="75" t="inlineStr">
        <is>
          <t>국민네이버 apha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-2178000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46286.70734953704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330000</v>
      </c>
      <c r="F112" s="148" t="n">
        <v>0</v>
      </c>
      <c r="G112" s="148" t="n">
        <v>14806264</v>
      </c>
      <c r="H112" s="75" t="inlineStr">
        <is>
          <t>인터넷</t>
        </is>
      </c>
      <c r="I112" s="75" t="inlineStr">
        <is>
          <t>국민네이버 에이팜건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-330000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46286.70736111111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632250</v>
      </c>
      <c r="F113" s="148" t="n">
        <v>0</v>
      </c>
      <c r="G113" s="148" t="n">
        <v>14174014</v>
      </c>
      <c r="H113" s="75" t="inlineStr">
        <is>
          <t>인터넷</t>
        </is>
      </c>
      <c r="I113" s="75" t="inlineStr">
        <is>
          <t>국민서울보증보험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-632250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46286.84199074074</v>
      </c>
      <c r="B114" s="147" t="n">
        <v>46286</v>
      </c>
      <c r="C114" s="67" t="inlineStr">
        <is>
          <t>국민은행</t>
        </is>
      </c>
      <c r="D114" s="67" t="inlineStr">
        <is>
          <t>국민 154577</t>
        </is>
      </c>
      <c r="E114" s="148" t="n">
        <v>4795900</v>
      </c>
      <c r="F114" s="148" t="n">
        <v>0</v>
      </c>
      <c r="G114" s="148" t="n">
        <v>40068789</v>
      </c>
      <c r="H114" s="75" t="inlineStr">
        <is>
          <t>CMS 공동</t>
        </is>
      </c>
      <c r="I114" s="75" t="inlineStr">
        <is>
          <t>METLIFE09002</t>
        </is>
      </c>
      <c r="J114" s="75" t="inlineStr">
        <is>
          <t>ERP사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-4795900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46287.15763888889</v>
      </c>
      <c r="B115" s="147" t="n">
        <v>46287</v>
      </c>
      <c r="C115" s="67" t="inlineStr">
        <is>
          <t>우리은행</t>
        </is>
      </c>
      <c r="D115" s="67" t="inlineStr">
        <is>
          <t>우리 220351</t>
        </is>
      </c>
      <c r="E115" s="148" t="n">
        <v>0</v>
      </c>
      <c r="F115" s="148" t="n">
        <v>15847736</v>
      </c>
      <c r="G115" s="148" t="n">
        <v>30021750</v>
      </c>
      <c r="H115" s="75" t="inlineStr">
        <is>
          <t>펌뱅킹</t>
        </is>
      </c>
      <c r="I115" s="75" t="inlineStr">
        <is>
          <t>스마트스토어정산</t>
        </is>
      </c>
      <c r="J115" s="75" t="inlineStr">
        <is>
          <t>두산타워기업영업지원팀</t>
        </is>
      </c>
      <c r="K115" s="67" t="inlineStr">
        <is>
          <t>온라인매출입금</t>
        </is>
      </c>
      <c r="L115" s="67" t="inlineStr">
        <is>
          <t>N</t>
        </is>
      </c>
      <c r="M115" s="67" t="inlineStr">
        <is>
          <t>N</t>
        </is>
      </c>
      <c r="N115" s="148" t="n">
        <v>15847736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46287.20571759259</v>
      </c>
      <c r="B116" s="147" t="n">
        <v>46287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168361</v>
      </c>
      <c r="G116" s="148" t="n">
        <v>40237150</v>
      </c>
      <c r="H116" s="75" t="inlineStr">
        <is>
          <t>전자금융</t>
        </is>
      </c>
      <c r="I116" s="75" t="inlineStr">
        <is>
          <t>Npay정산</t>
        </is>
      </c>
      <c r="J116" s="75" t="inlineStr">
        <is>
          <t>SC은행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168361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46287.42416666666</v>
      </c>
      <c r="B117" s="147" t="n">
        <v>46287</v>
      </c>
      <c r="C117" s="67" t="inlineStr">
        <is>
          <t>농협</t>
        </is>
      </c>
      <c r="D117" s="67" t="inlineStr">
        <is>
          <t>농협 569003</t>
        </is>
      </c>
      <c r="E117" s="148" t="n">
        <v>0</v>
      </c>
      <c r="F117" s="148" t="n">
        <v>1000</v>
      </c>
      <c r="G117" s="148" t="n">
        <v>1945429</v>
      </c>
      <c r="H117" s="75" t="inlineStr">
        <is>
          <t>E-K뱅크</t>
        </is>
      </c>
      <c r="I117" s="75" t="inlineStr">
        <is>
          <t>양혜원</t>
        </is>
      </c>
      <c r="J117" s="75" t="inlineStr">
        <is>
          <t>K뱅크 0891002</t>
        </is>
      </c>
      <c r="K117" s="67" t="inlineStr">
        <is>
          <t>기타입금</t>
        </is>
      </c>
      <c r="L117" s="67" t="inlineStr">
        <is>
          <t>N</t>
        </is>
      </c>
      <c r="M117" s="67" t="inlineStr">
        <is>
          <t>N</t>
        </is>
      </c>
      <c r="N117" s="148" t="n">
        <v>1000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46287.42908564815</v>
      </c>
      <c r="B118" s="147" t="n">
        <v>46287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618283</v>
      </c>
      <c r="G118" s="148" t="n">
        <v>40855433</v>
      </c>
      <c r="H118" s="75" t="inlineStr">
        <is>
          <t>전자금융</t>
        </is>
      </c>
      <c r="I118" s="75" t="inlineStr">
        <is>
          <t>KG이니시스</t>
        </is>
      </c>
      <c r="J118" s="75" t="inlineStr">
        <is>
          <t>하나은행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618283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46287.44971064815</v>
      </c>
      <c r="B119" s="147" t="n">
        <v>46287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2739917</v>
      </c>
      <c r="G119" s="148" t="n">
        <v>43595350</v>
      </c>
      <c r="H119" s="75" t="inlineStr">
        <is>
          <t>전자금융</t>
        </is>
      </c>
      <c r="I119" s="75" t="inlineStr">
        <is>
          <t>KG이니시스</t>
        </is>
      </c>
      <c r="J119" s="75" t="inlineStr">
        <is>
          <t>하나은행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2739917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46287.52225694444</v>
      </c>
      <c r="B120" s="147" t="n">
        <v>46287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246613</v>
      </c>
      <c r="G120" s="148" t="n">
        <v>43841963</v>
      </c>
      <c r="H120" s="75" t="inlineStr">
        <is>
          <t>전자금융</t>
        </is>
      </c>
      <c r="I120" s="75" t="inlineStr">
        <is>
          <t>화물택배물</t>
        </is>
      </c>
      <c r="J120" s="75" t="inlineStr">
        <is>
          <t>농협</t>
        </is>
      </c>
      <c r="K120" s="67" t="inlineStr">
        <is>
          <t>기타입금</t>
        </is>
      </c>
      <c r="L120" s="67" t="inlineStr">
        <is>
          <t>N</t>
        </is>
      </c>
      <c r="M120" s="67" t="inlineStr">
        <is>
          <t>N</t>
        </is>
      </c>
      <c r="N120" s="148" t="n">
        <v>246613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46287.56802083334</v>
      </c>
      <c r="B121" s="147" t="n">
        <v>46287</v>
      </c>
      <c r="C121" s="67" t="inlineStr">
        <is>
          <t>우리은행</t>
        </is>
      </c>
      <c r="D121" s="67" t="inlineStr">
        <is>
          <t>우리 220351</t>
        </is>
      </c>
      <c r="E121" s="148" t="n">
        <v>20000000</v>
      </c>
      <c r="F121" s="148" t="n">
        <v>0</v>
      </c>
      <c r="G121" s="148" t="n">
        <v>10021750</v>
      </c>
      <c r="H121" s="75" t="inlineStr">
        <is>
          <t>인터넷</t>
        </is>
      </c>
      <c r="I121" s="75" t="inlineStr">
        <is>
          <t>기업엠에스바이오텍(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-20000000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46287.60900462963</v>
      </c>
      <c r="B122" s="147" t="n">
        <v>46287</v>
      </c>
      <c r="C122" s="67" t="inlineStr">
        <is>
          <t>농협</t>
        </is>
      </c>
      <c r="D122" s="67" t="inlineStr">
        <is>
          <t>농협 569003</t>
        </is>
      </c>
      <c r="E122" s="148" t="n">
        <v>0</v>
      </c>
      <c r="F122" s="148" t="n">
        <v>2000</v>
      </c>
      <c r="G122" s="148" t="n">
        <v>1947429</v>
      </c>
      <c r="H122" s="75" t="inlineStr">
        <is>
          <t>PC신한은행</t>
        </is>
      </c>
      <c r="I122" s="75" t="inlineStr">
        <is>
          <t>송채은</t>
        </is>
      </c>
      <c r="J122" s="75" t="inlineStr">
        <is>
          <t>신한 0267623</t>
        </is>
      </c>
      <c r="K122" s="67" t="inlineStr">
        <is>
          <t>기타입금</t>
        </is>
      </c>
      <c r="L122" s="67" t="inlineStr">
        <is>
          <t>N</t>
        </is>
      </c>
      <c r="M122" s="67" t="inlineStr">
        <is>
          <t>N</t>
        </is>
      </c>
      <c r="N122" s="148" t="n">
        <v>2000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46287.62135416667</v>
      </c>
      <c r="B123" s="147" t="n">
        <v>46287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280000</v>
      </c>
      <c r="G123" s="148" t="n">
        <v>2227429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 (구)대구 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280000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46287.64728009259</v>
      </c>
      <c r="B124" s="147" t="n">
        <v>46287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43975</v>
      </c>
      <c r="G124" s="148" t="n">
        <v>43885938</v>
      </c>
      <c r="H124" s="75" t="inlineStr">
        <is>
          <t>전자금융</t>
        </is>
      </c>
      <c r="I124" s="75" t="inlineStr">
        <is>
          <t>엔에이치엔페이</t>
        </is>
      </c>
      <c r="J124" s="75" t="inlineStr">
        <is>
          <t>신한은행</t>
        </is>
      </c>
      <c r="K124" s="67" t="inlineStr">
        <is>
          <t>온라인매출입금</t>
        </is>
      </c>
      <c r="L124" s="67" t="inlineStr">
        <is>
          <t>N</t>
        </is>
      </c>
      <c r="M124" s="67" t="inlineStr">
        <is>
          <t>N</t>
        </is>
      </c>
      <c r="N124" s="148" t="n">
        <v>43975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46287.69748842593</v>
      </c>
      <c r="B125" s="147" t="n">
        <v>46287</v>
      </c>
      <c r="C125" s="67" t="inlineStr">
        <is>
          <t>우리은행</t>
        </is>
      </c>
      <c r="D125" s="67" t="inlineStr">
        <is>
          <t>우리 220351</t>
        </is>
      </c>
      <c r="E125" s="148" t="n">
        <v>250000</v>
      </c>
      <c r="F125" s="148" t="n">
        <v>0</v>
      </c>
      <c r="G125" s="148" t="n">
        <v>9771750</v>
      </c>
      <c r="H125" s="75" t="inlineStr">
        <is>
          <t>인터넷</t>
        </is>
      </c>
      <c r="I125" s="75" t="inlineStr">
        <is>
          <t>아이대구상공회의소</t>
        </is>
      </c>
      <c r="J125" s="75" t="inlineStr">
        <is>
          <t>성서공단금융센터</t>
        </is>
      </c>
      <c r="K125" s="67" t="inlineStr">
        <is>
          <t>기타지출</t>
        </is>
      </c>
      <c r="L125" s="67" t="inlineStr">
        <is>
          <t>N</t>
        </is>
      </c>
      <c r="M125" s="67" t="inlineStr">
        <is>
          <t>N</t>
        </is>
      </c>
      <c r="N125" s="148" t="n">
        <v>-250000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46287.6975</v>
      </c>
      <c r="B126" s="147" t="n">
        <v>46287</v>
      </c>
      <c r="C126" s="67" t="inlineStr">
        <is>
          <t>우리은행</t>
        </is>
      </c>
      <c r="D126" s="67" t="inlineStr">
        <is>
          <t>우리 220351</t>
        </is>
      </c>
      <c r="E126" s="148" t="n">
        <v>495517</v>
      </c>
      <c r="F126" s="148" t="n">
        <v>0</v>
      </c>
      <c r="G126" s="148" t="n">
        <v>8926233</v>
      </c>
      <c r="H126" s="75" t="inlineStr">
        <is>
          <t>인터넷</t>
        </is>
      </c>
      <c r="I126" s="75" t="inlineStr">
        <is>
          <t>국민비즈월렛_쁘띠앤</t>
        </is>
      </c>
      <c r="J126" s="75" t="inlineStr">
        <is>
          <t>성서공단금융센터</t>
        </is>
      </c>
      <c r="K126" s="67" t="inlineStr">
        <is>
          <t>기타지출</t>
        </is>
      </c>
      <c r="L126" s="67" t="inlineStr">
        <is>
          <t>N</t>
        </is>
      </c>
      <c r="M126" s="67" t="inlineStr">
        <is>
          <t>N</t>
        </is>
      </c>
      <c r="N126" s="148" t="n">
        <v>-495517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46287.6975</v>
      </c>
      <c r="B127" s="147" t="n">
        <v>46287</v>
      </c>
      <c r="C127" s="67" t="inlineStr">
        <is>
          <t>우리은행</t>
        </is>
      </c>
      <c r="D127" s="67" t="inlineStr">
        <is>
          <t>우리 220351</t>
        </is>
      </c>
      <c r="E127" s="148" t="n">
        <v>350000</v>
      </c>
      <c r="F127" s="148" t="n">
        <v>0</v>
      </c>
      <c r="G127" s="148" t="n">
        <v>9421750</v>
      </c>
      <c r="H127" s="75" t="inlineStr">
        <is>
          <t>인터넷</t>
        </is>
      </c>
      <c r="I127" s="75" t="inlineStr">
        <is>
          <t>아이임대규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-350000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46287.7091087963</v>
      </c>
      <c r="B128" s="147" t="n">
        <v>46287</v>
      </c>
      <c r="C128" s="67" t="inlineStr">
        <is>
          <t>국민은행</t>
        </is>
      </c>
      <c r="D128" s="67" t="inlineStr">
        <is>
          <t>국민 154577</t>
        </is>
      </c>
      <c r="E128" s="148" t="n">
        <v>7800000</v>
      </c>
      <c r="F128" s="148" t="n">
        <v>0</v>
      </c>
      <c r="G128" s="148" t="n">
        <v>36085938</v>
      </c>
      <c r="H128" s="75" t="inlineStr">
        <is>
          <t>TOP출금</t>
        </is>
      </c>
      <c r="I128" s="75" t="inlineStr"/>
      <c r="J128" s="75" t="inlineStr">
        <is>
          <t>진천역</t>
        </is>
      </c>
      <c r="K128" s="67" t="inlineStr">
        <is>
          <t>확인필요</t>
        </is>
      </c>
      <c r="L128" s="67" t="inlineStr">
        <is>
          <t>N</t>
        </is>
      </c>
      <c r="M128" s="67" t="inlineStr">
        <is>
          <t>N</t>
        </is>
      </c>
      <c r="N128" s="148" t="n">
        <v>-7800000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46288.10270833333</v>
      </c>
      <c r="B129" s="147" t="n">
        <v>46288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5580156</v>
      </c>
      <c r="G129" s="148" t="n">
        <v>14506389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5580156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46288.135</v>
      </c>
      <c r="B130" s="147" t="n">
        <v>46288</v>
      </c>
      <c r="C130" s="67" t="inlineStr">
        <is>
          <t>우리은행</t>
        </is>
      </c>
      <c r="D130" s="67" t="inlineStr">
        <is>
          <t>우리 220351</t>
        </is>
      </c>
      <c r="E130" s="148" t="n">
        <v>14506389</v>
      </c>
      <c r="F130" s="148" t="n">
        <v>0</v>
      </c>
      <c r="G130" s="148" t="n">
        <v>0</v>
      </c>
      <c r="H130" s="75" t="inlineStr">
        <is>
          <t>우리카드</t>
        </is>
      </c>
      <c r="I130" s="75" t="inlineStr">
        <is>
          <t>우리카드결제대금</t>
        </is>
      </c>
      <c r="J130" s="75" t="inlineStr">
        <is>
          <t>리테일영업총괄부(카드)</t>
        </is>
      </c>
      <c r="K130" s="67" t="inlineStr">
        <is>
          <t>우리카드 결제</t>
        </is>
      </c>
      <c r="L130" s="67" t="inlineStr">
        <is>
          <t>N</t>
        </is>
      </c>
      <c r="M130" s="67" t="inlineStr">
        <is>
          <t>N</t>
        </is>
      </c>
      <c r="N130" s="148" t="n">
        <v>-14506389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46288.14192129629</v>
      </c>
      <c r="B131" s="147" t="n">
        <v>46288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76239</v>
      </c>
      <c r="G131" s="148" t="n">
        <v>36162177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76239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46288.21836805555</v>
      </c>
      <c r="B132" s="147" t="n">
        <v>46288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39066</v>
      </c>
      <c r="G132" s="148" t="n">
        <v>2266495</v>
      </c>
      <c r="H132" s="75" t="inlineStr">
        <is>
          <t>BC카드</t>
        </is>
      </c>
      <c r="I132" s="75" t="inlineStr">
        <is>
          <t>726168386BC</t>
        </is>
      </c>
      <c r="J132" s="75" t="inlineStr">
        <is>
          <t>농협 000998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39066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46288.44695601852</v>
      </c>
      <c r="B133" s="147" t="n">
        <v>46288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228129</v>
      </c>
      <c r="G133" s="148" t="n">
        <v>36390306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228129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46288.44983796297</v>
      </c>
      <c r="B134" s="147" t="n">
        <v>46288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1533549</v>
      </c>
      <c r="G134" s="148" t="n">
        <v>37923855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1533549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46288.4909837963</v>
      </c>
      <c r="B135" s="147" t="n">
        <v>46288</v>
      </c>
      <c r="C135" s="67" t="inlineStr">
        <is>
          <t>농협</t>
        </is>
      </c>
      <c r="D135" s="67" t="inlineStr">
        <is>
          <t>농협 569003</t>
        </is>
      </c>
      <c r="E135" s="148" t="n">
        <v>0</v>
      </c>
      <c r="F135" s="148" t="n">
        <v>45000</v>
      </c>
      <c r="G135" s="148" t="n">
        <v>2311495</v>
      </c>
      <c r="H135" s="75" t="inlineStr">
        <is>
          <t>폰국민은행</t>
        </is>
      </c>
      <c r="I135" s="75" t="inlineStr">
        <is>
          <t>허수원</t>
        </is>
      </c>
      <c r="J135" s="75" t="inlineStr">
        <is>
          <t>국민 0068398</t>
        </is>
      </c>
      <c r="K135" s="67" t="inlineStr">
        <is>
          <t>기타입금</t>
        </is>
      </c>
      <c r="L135" s="67" t="inlineStr">
        <is>
          <t>N</t>
        </is>
      </c>
      <c r="M135" s="67" t="inlineStr">
        <is>
          <t>N</t>
        </is>
      </c>
      <c r="N135" s="148" t="n">
        <v>45000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46288.49289351852</v>
      </c>
      <c r="B136" s="147" t="n">
        <v>46288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8591494</v>
      </c>
      <c r="G136" s="148" t="n">
        <v>48033349</v>
      </c>
      <c r="H136" s="75" t="inlineStr">
        <is>
          <t>FBS입금</t>
        </is>
      </c>
      <c r="I136" s="75" t="inlineStr">
        <is>
          <t>쿠팡(주)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8591494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46288.49289351852</v>
      </c>
      <c r="B137" s="147" t="n">
        <v>46288</v>
      </c>
      <c r="C137" s="67" t="inlineStr">
        <is>
          <t>국민은행</t>
        </is>
      </c>
      <c r="D137" s="67" t="inlineStr">
        <is>
          <t>국민 154577</t>
        </is>
      </c>
      <c r="E137" s="148" t="n">
        <v>0</v>
      </c>
      <c r="F137" s="148" t="n">
        <v>1518000</v>
      </c>
      <c r="G137" s="148" t="n">
        <v>39441855</v>
      </c>
      <c r="H137" s="75" t="inlineStr">
        <is>
          <t>FBS입금</t>
        </is>
      </c>
      <c r="I137" s="75" t="inlineStr">
        <is>
          <t>쿠팡(주)</t>
        </is>
      </c>
      <c r="J137" s="75" t="inlineStr">
        <is>
          <t>ERP사</t>
        </is>
      </c>
      <c r="K137" s="67" t="inlineStr">
        <is>
          <t>온라인매출입금</t>
        </is>
      </c>
      <c r="L137" s="67" t="inlineStr">
        <is>
          <t>N</t>
        </is>
      </c>
      <c r="M137" s="67" t="inlineStr">
        <is>
          <t>N</t>
        </is>
      </c>
      <c r="N137" s="148" t="n">
        <v>1518000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46288.50967592592</v>
      </c>
      <c r="B138" s="147" t="n">
        <v>46288</v>
      </c>
      <c r="C138" s="67" t="inlineStr">
        <is>
          <t>국민은행</t>
        </is>
      </c>
      <c r="D138" s="67" t="inlineStr">
        <is>
          <t>국민 154577</t>
        </is>
      </c>
      <c r="E138" s="148" t="n">
        <v>4675000</v>
      </c>
      <c r="F138" s="148" t="n">
        <v>0</v>
      </c>
      <c r="G138" s="148" t="n">
        <v>43358349</v>
      </c>
      <c r="H138" s="75" t="inlineStr">
        <is>
          <t>스마트출금</t>
        </is>
      </c>
      <c r="I138" s="75" t="inlineStr">
        <is>
          <t>네이버 aphar</t>
        </is>
      </c>
      <c r="J138" s="75" t="inlineStr">
        <is>
          <t>진천역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-4675000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46288.51189814815</v>
      </c>
      <c r="B139" s="147" t="n">
        <v>46288</v>
      </c>
      <c r="C139" s="67" t="inlineStr">
        <is>
          <t>국민은행</t>
        </is>
      </c>
      <c r="D139" s="67" t="inlineStr">
        <is>
          <t>국민 154577</t>
        </is>
      </c>
      <c r="E139" s="148" t="n">
        <v>330000</v>
      </c>
      <c r="F139" s="148" t="n">
        <v>0</v>
      </c>
      <c r="G139" s="148" t="n">
        <v>43028349</v>
      </c>
      <c r="H139" s="75" t="inlineStr">
        <is>
          <t>스마트출금</t>
        </is>
      </c>
      <c r="I139" s="75" t="inlineStr">
        <is>
          <t>네이버 에이팜건강</t>
        </is>
      </c>
      <c r="J139" s="75" t="inlineStr">
        <is>
          <t>진천역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46288.51282407407</v>
      </c>
      <c r="B140" s="147" t="n">
        <v>46288</v>
      </c>
      <c r="C140" s="67" t="inlineStr">
        <is>
          <t>국민은행</t>
        </is>
      </c>
      <c r="D140" s="67" t="inlineStr">
        <is>
          <t>국민 154577</t>
        </is>
      </c>
      <c r="E140" s="148" t="n">
        <v>990000</v>
      </c>
      <c r="F140" s="148" t="n">
        <v>0</v>
      </c>
      <c r="G140" s="148" t="n">
        <v>42038349</v>
      </c>
      <c r="H140" s="75" t="inlineStr">
        <is>
          <t>스마트출금</t>
        </is>
      </c>
      <c r="I140" s="75" t="inlineStr">
        <is>
          <t>네이버 ddi50</t>
        </is>
      </c>
      <c r="J140" s="75" t="inlineStr">
        <is>
          <t>진천역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46288.51495370371</v>
      </c>
      <c r="B141" s="147" t="n">
        <v>46288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5000000</v>
      </c>
      <c r="G141" s="148" t="n">
        <v>5000000</v>
      </c>
      <c r="H141" s="75" t="inlineStr">
        <is>
          <t>모바일</t>
        </is>
      </c>
      <c r="I141" s="75" t="inlineStr">
        <is>
          <t>(주)에이팜건강</t>
        </is>
      </c>
      <c r="J141" s="75" t="inlineStr">
        <is>
          <t>0195960</t>
        </is>
      </c>
      <c r="K141" s="67" t="inlineStr">
        <is>
          <t>계좌간이체</t>
        </is>
      </c>
      <c r="L141" s="67" t="inlineStr">
        <is>
          <t>Y</t>
        </is>
      </c>
      <c r="M141" s="67" t="inlineStr">
        <is>
          <t>N</t>
        </is>
      </c>
      <c r="N141" s="148" t="n">
        <v>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46288.51495370371</v>
      </c>
      <c r="B142" s="147" t="n">
        <v>46288</v>
      </c>
      <c r="C142" s="67" t="inlineStr">
        <is>
          <t>국민은행</t>
        </is>
      </c>
      <c r="D142" s="67" t="inlineStr">
        <is>
          <t>국민 154577</t>
        </is>
      </c>
      <c r="E142" s="148" t="n">
        <v>5000000</v>
      </c>
      <c r="F142" s="148" t="n">
        <v>0</v>
      </c>
      <c r="G142" s="148" t="n">
        <v>37038349</v>
      </c>
      <c r="H142" s="75" t="inlineStr">
        <is>
          <t>스마트출금</t>
        </is>
      </c>
      <c r="I142" s="75" t="inlineStr">
        <is>
          <t>주식회사에이팜건강</t>
        </is>
      </c>
      <c r="J142" s="75" t="inlineStr">
        <is>
          <t>진천역</t>
        </is>
      </c>
      <c r="K142" s="67" t="inlineStr">
        <is>
          <t>계좌간이체</t>
        </is>
      </c>
      <c r="L142" s="67" t="inlineStr">
        <is>
          <t>Y</t>
        </is>
      </c>
      <c r="M142" s="67" t="inlineStr">
        <is>
          <t>N</t>
        </is>
      </c>
      <c r="N142" s="148" t="n">
        <v>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46288.54792824074</v>
      </c>
      <c r="B143" s="147" t="n">
        <v>46288</v>
      </c>
      <c r="C143" s="67" t="inlineStr">
        <is>
          <t>우리은행</t>
        </is>
      </c>
      <c r="D143" s="67" t="inlineStr">
        <is>
          <t>우리 220351</t>
        </is>
      </c>
      <c r="E143" s="148" t="n">
        <v>0</v>
      </c>
      <c r="F143" s="148" t="n">
        <v>2000000</v>
      </c>
      <c r="G143" s="148" t="n">
        <v>7000000</v>
      </c>
      <c r="H143" s="75" t="inlineStr">
        <is>
          <t>모바일</t>
        </is>
      </c>
      <c r="I143" s="75" t="inlineStr">
        <is>
          <t>(주)에이팜건강</t>
        </is>
      </c>
      <c r="J143" s="75" t="inlineStr">
        <is>
          <t>0195960</t>
        </is>
      </c>
      <c r="K143" s="67" t="inlineStr">
        <is>
          <t>계좌간이체</t>
        </is>
      </c>
      <c r="L143" s="67" t="inlineStr">
        <is>
          <t>Y</t>
        </is>
      </c>
      <c r="M143" s="67" t="inlineStr">
        <is>
          <t>N</t>
        </is>
      </c>
      <c r="N143" s="148" t="n">
        <v>0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46288.54792824074</v>
      </c>
      <c r="B144" s="147" t="n">
        <v>46288</v>
      </c>
      <c r="C144" s="67" t="inlineStr">
        <is>
          <t>국민은행</t>
        </is>
      </c>
      <c r="D144" s="67" t="inlineStr">
        <is>
          <t>국민 154577</t>
        </is>
      </c>
      <c r="E144" s="148" t="n">
        <v>2000000</v>
      </c>
      <c r="F144" s="148" t="n">
        <v>0</v>
      </c>
      <c r="G144" s="148" t="n">
        <v>35038349</v>
      </c>
      <c r="H144" s="75" t="inlineStr">
        <is>
          <t>스마트출금</t>
        </is>
      </c>
      <c r="I144" s="75" t="inlineStr">
        <is>
          <t>주식회사에이팜건강</t>
        </is>
      </c>
      <c r="J144" s="75" t="inlineStr">
        <is>
          <t>진천역</t>
        </is>
      </c>
      <c r="K144" s="67" t="inlineStr">
        <is>
          <t>계좌간이체</t>
        </is>
      </c>
      <c r="L144" s="67" t="inlineStr">
        <is>
          <t>Y</t>
        </is>
      </c>
      <c r="M144" s="67" t="inlineStr">
        <is>
          <t>N</t>
        </is>
      </c>
      <c r="N144" s="148" t="n">
        <v>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46288.55136574074</v>
      </c>
      <c r="B145" s="147" t="n">
        <v>46288</v>
      </c>
      <c r="C145" s="67" t="inlineStr">
        <is>
          <t>우리은행</t>
        </is>
      </c>
      <c r="D145" s="67" t="inlineStr">
        <is>
          <t>우리 220351</t>
        </is>
      </c>
      <c r="E145" s="148" t="n">
        <v>2094800</v>
      </c>
      <c r="F145" s="148" t="n">
        <v>0</v>
      </c>
      <c r="G145" s="148" t="n">
        <v>4905200</v>
      </c>
      <c r="H145" s="75" t="inlineStr">
        <is>
          <t>인터넷</t>
        </is>
      </c>
      <c r="I145" s="75" t="inlineStr">
        <is>
          <t>국민트라이앵글 리뷰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-2094800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46288.61418981481</v>
      </c>
      <c r="B146" s="147" t="n">
        <v>46288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218117</v>
      </c>
      <c r="G146" s="148" t="n">
        <v>35256466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218117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46288.69210648148</v>
      </c>
      <c r="B147" s="147" t="n">
        <v>46288</v>
      </c>
      <c r="C147" s="67" t="inlineStr">
        <is>
          <t>우리은행</t>
        </is>
      </c>
      <c r="D147" s="67" t="inlineStr">
        <is>
          <t>우리 220351</t>
        </is>
      </c>
      <c r="E147" s="148" t="n">
        <v>4905200</v>
      </c>
      <c r="F147" s="148" t="n">
        <v>0</v>
      </c>
      <c r="G147" s="148" t="n">
        <v>0</v>
      </c>
      <c r="H147" s="75" t="inlineStr">
        <is>
          <t>우리카드</t>
        </is>
      </c>
      <c r="I147" s="75" t="inlineStr">
        <is>
          <t>우리카드결제대금</t>
        </is>
      </c>
      <c r="J147" s="75" t="inlineStr">
        <is>
          <t>리테일영업총괄부(카드)</t>
        </is>
      </c>
      <c r="K147" s="67" t="inlineStr">
        <is>
          <t>우리카드 결제</t>
        </is>
      </c>
      <c r="L147" s="67" t="inlineStr">
        <is>
          <t>N</t>
        </is>
      </c>
      <c r="M147" s="67" t="inlineStr">
        <is>
          <t>N</t>
        </is>
      </c>
      <c r="N147" s="148" t="n">
        <v>-4905200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2026-09-23T08:56:07Z</dcterms:modified>
</cp:coreProperties>
</file>