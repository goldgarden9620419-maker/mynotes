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_FilterDatabase" localSheetId="1" hidden="1">'정기지출 체크'!$A$5:$G$15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22:04:40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3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4">
        <f>IF(E21&lt;0,"부족","")</f>
        <v/>
      </c>
      <c r="G21" s="14" t="n">
        <v>11285864</v>
      </c>
      <c r="H21" s="14" t="n">
        <v>0</v>
      </c>
    </row>
    <row r="22">
      <c r="A22" s="23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4">
        <f>IF(E22&lt;0,"부족","")</f>
        <v/>
      </c>
      <c r="G22" s="14" t="n">
        <v>22714257</v>
      </c>
      <c r="H22" s="14" t="n">
        <v>0</v>
      </c>
    </row>
    <row r="23">
      <c r="A23" s="23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4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4">
        <f>IF(E24&lt;0,"부족","")</f>
        <v/>
      </c>
      <c r="G24" s="14" t="n">
        <v>14586277</v>
      </c>
      <c r="H24" s="14" t="n">
        <v>0</v>
      </c>
    </row>
    <row r="25">
      <c r="A25" s="25" t="n">
        <v>46290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9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9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9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9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9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9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9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9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9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9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9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9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9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9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9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9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4" t="inlineStr">
        <is>
          <t>대외비 세금·보험(대외비)</t>
        </is>
      </c>
      <c r="E47" s="35" t="n">
        <v>4900000</v>
      </c>
      <c r="F47" s="16" t="inlineStr">
        <is>
          <t>자동이체</t>
        </is>
      </c>
    </row>
    <row r="48">
      <c r="A48" s="33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16" t="inlineStr">
        <is>
          <t>계좌송금</t>
        </is>
      </c>
    </row>
    <row r="49">
      <c r="A49" s="33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4" t="inlineStr">
        <is>
          <t>인포크비즈니스 베리시톨 인플루언서 비용</t>
        </is>
      </c>
      <c r="E49" s="35" t="n">
        <v>3300000</v>
      </c>
      <c r="F49" s="16" t="inlineStr">
        <is>
          <t>계좌송금</t>
        </is>
      </c>
    </row>
    <row r="50">
      <c r="A50" s="33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4" t="inlineStr">
        <is>
          <t>트라이앵글하모니 카카오톡선물하기 베리시톨 리뷰작업</t>
        </is>
      </c>
      <c r="E50" s="35" t="n">
        <v>1996000</v>
      </c>
      <c r="F50" s="16" t="inlineStr">
        <is>
          <t>계좌송금</t>
        </is>
      </c>
    </row>
    <row r="51">
      <c r="A51" s="33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4" t="inlineStr">
        <is>
          <t>대외비 기타 대외비 지출</t>
        </is>
      </c>
      <c r="E51" s="35" t="n">
        <v>220000</v>
      </c>
      <c r="F51" s="16" t="inlineStr">
        <is>
          <t>자동이체</t>
        </is>
      </c>
    </row>
    <row r="52">
      <c r="A52" s="33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4" t="inlineStr">
        <is>
          <t>대외비 기타 대외비 지출</t>
        </is>
      </c>
      <c r="E52" s="35" t="n">
        <v>21023110</v>
      </c>
      <c r="F52" s="16" t="inlineStr">
        <is>
          <t>계좌송금</t>
        </is>
      </c>
    </row>
    <row r="53">
      <c r="A53" s="33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16" t="inlineStr">
        <is>
          <t>계좌송금</t>
        </is>
      </c>
    </row>
    <row r="54">
      <c r="A54" s="33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4" t="inlineStr">
        <is>
          <t>대외비 기타 대외비 지출</t>
        </is>
      </c>
      <c r="E54" s="35" t="n">
        <v>32174232</v>
      </c>
      <c r="F54" s="16" t="inlineStr">
        <is>
          <t>자동이체</t>
        </is>
      </c>
    </row>
    <row r="55">
      <c r="A55" s="33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16" t="inlineStr">
        <is>
          <t>계좌송금</t>
        </is>
      </c>
    </row>
    <row r="56">
      <c r="A56" s="33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4" t="inlineStr">
        <is>
          <t>써치엠 메타 광고 대행 수수</t>
        </is>
      </c>
      <c r="E56" s="35" t="n">
        <v>1487786</v>
      </c>
      <c r="F56" s="16" t="inlineStr">
        <is>
          <t>계좌송금</t>
        </is>
      </c>
    </row>
    <row r="57">
      <c r="A57" s="33" t="n">
        <v>46288</v>
      </c>
      <c r="B57" s="16">
        <f>IF(A57="","",MID("월화수목금토일",WEEKDAY(A57,2),1))</f>
        <v/>
      </c>
      <c r="C57" s="6" t="inlineStr">
        <is>
          <t>건강사업팀</t>
        </is>
      </c>
      <c r="D57" s="34" t="inlineStr">
        <is>
          <t>ADN ADN 광고-추석 유입</t>
        </is>
      </c>
      <c r="E57" s="35" t="n">
        <v>550000</v>
      </c>
      <c r="F57" s="16" t="inlineStr">
        <is>
          <t>계좌송금</t>
        </is>
      </c>
    </row>
    <row r="58">
      <c r="A58" s="33" t="n">
        <v>46290</v>
      </c>
      <c r="B58" s="16">
        <f>IF(A58="","",MID("월화수목금토일",WEEKDAY(A58,2),1))</f>
        <v/>
      </c>
      <c r="C58" s="6" t="inlineStr">
        <is>
          <t>경영지원팀</t>
        </is>
      </c>
      <c r="D58" s="34" t="inlineStr">
        <is>
          <t>대외비 세금·보험(대외비)</t>
        </is>
      </c>
      <c r="E58" s="35" t="n">
        <v>2497000</v>
      </c>
      <c r="F58" s="16" t="inlineStr">
        <is>
          <t>자동이체</t>
        </is>
      </c>
    </row>
    <row r="59">
      <c r="A59" s="33" t="n">
        <v>46290</v>
      </c>
      <c r="B59" s="16">
        <f>IF(A59="","",MID("월화수목금토일",WEEKDAY(A59,2),1))</f>
        <v/>
      </c>
      <c r="C59" s="6" t="inlineStr">
        <is>
          <t>경영지원팀</t>
        </is>
      </c>
      <c r="D59" s="34" t="inlineStr">
        <is>
          <t>대외비 기타 대외비 지출</t>
        </is>
      </c>
      <c r="E59" s="35" t="n">
        <v>109450</v>
      </c>
      <c r="F59" s="16" t="inlineStr">
        <is>
          <t>자동이체</t>
        </is>
      </c>
    </row>
    <row r="141">
      <c r="D141" s="36" t="inlineStr">
        <is>
          <t>합계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B144" s="35" t="n">
        <v>0</v>
      </c>
      <c r="D144" s="37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8" t="n">
        <v>0.8</v>
      </c>
      <c r="B146" s="7" t="n">
        <v>244268718</v>
      </c>
      <c r="C146" s="7" t="n">
        <v>96365457</v>
      </c>
      <c r="D146" s="16" t="inlineStr">
        <is>
          <t>없음</t>
        </is>
      </c>
      <c r="E146" s="10">
        <f>MAX(0,$B$144-C146)</f>
        <v/>
      </c>
    </row>
    <row r="147">
      <c r="A147" s="38" t="n">
        <v>0.9</v>
      </c>
      <c r="B147" s="7" t="n">
        <v>266792788</v>
      </c>
      <c r="C147" s="7" t="n">
        <v>101328547</v>
      </c>
      <c r="D147" s="16" t="inlineStr">
        <is>
          <t>없음</t>
        </is>
      </c>
      <c r="E147" s="10">
        <f>MAX(0,$B$144-C147)</f>
        <v/>
      </c>
    </row>
    <row r="148">
      <c r="A148" s="38" t="n">
        <v>1</v>
      </c>
      <c r="B148" s="7" t="n">
        <v>289316858</v>
      </c>
      <c r="C148" s="7" t="n">
        <v>106291637</v>
      </c>
      <c r="D148" s="16" t="inlineStr">
        <is>
          <t>없음</t>
        </is>
      </c>
      <c r="E148" s="10">
        <f>MAX(0,$B$144-C148)</f>
        <v/>
      </c>
    </row>
    <row r="149">
      <c r="A149" s="30" t="inlineStr">
        <is>
          <t>주당 추가 입금 목표</t>
        </is>
      </c>
      <c r="B149" s="31">
        <f>ROUND(E146/4,0)</f>
        <v/>
      </c>
      <c r="D149" s="32" t="inlineStr">
        <is>
          <t>영업일당(주 5일 기준)</t>
        </is>
      </c>
      <c r="E149" s="31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39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0" t="inlineStr">
        <is>
          <t>금주 정기지출 체크 — 팀 지출예정 제출 확인</t>
        </is>
      </c>
    </row>
    <row r="2">
      <c r="A2" s="2" t="inlineStr">
        <is>
          <t>확인 구간 2026-09-19 ~ 2026-09-25 (실행일~차주 금요일) · 매월 나가던 정기지출이 팀 지출예정 파일에 들어왔는지 자동 대조한 결과입니다.</t>
        </is>
      </c>
    </row>
    <row r="3">
      <c r="A3" s="41" t="inlineStr">
        <is>
          <t>⚠ 누락 의심 5건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42" t="n">
        <v>46284</v>
      </c>
      <c r="B6" s="43" t="inlineStr">
        <is>
          <t>토</t>
        </is>
      </c>
      <c r="C6" s="44" t="inlineStr">
        <is>
          <t>국민비즈월렛_쁘띠앤</t>
        </is>
      </c>
      <c r="D6" s="45" t="n">
        <v>2290345</v>
      </c>
      <c r="E6" s="43" t="inlineStr">
        <is>
          <t>변동</t>
        </is>
      </c>
      <c r="F6" s="44" t="inlineStr">
        <is>
          <t>없음</t>
        </is>
      </c>
      <c r="G6" s="46" t="inlineStr">
        <is>
          <t>누락 의심 — 팀 재제출 요청</t>
        </is>
      </c>
    </row>
    <row r="7">
      <c r="A7" s="15" t="n">
        <v>46285</v>
      </c>
      <c r="B7" s="16" t="inlineStr">
        <is>
          <t>일</t>
        </is>
      </c>
      <c r="C7" s="6" t="inlineStr">
        <is>
          <t>기업주써치엠</t>
        </is>
      </c>
      <c r="D7" s="7" t="n">
        <v>1533488</v>
      </c>
      <c r="E7" s="16" t="inlineStr">
        <is>
          <t>제외</t>
        </is>
      </c>
      <c r="F7" s="6" t="inlineStr">
        <is>
          <t>있음 · 1,487,786원 (9/23)</t>
        </is>
      </c>
      <c r="G7" s="6" t="inlineStr">
        <is>
          <t>팀 계획 반영</t>
        </is>
      </c>
    </row>
    <row r="8">
      <c r="A8" s="15" t="n">
        <v>46286</v>
      </c>
      <c r="B8" s="16" t="inlineStr">
        <is>
          <t>월</t>
        </is>
      </c>
      <c r="C8" s="6" t="inlineStr">
        <is>
          <t>SKB</t>
        </is>
      </c>
      <c r="D8" s="7" t="n">
        <v>223019</v>
      </c>
      <c r="E8" s="16" t="inlineStr">
        <is>
          <t>제외</t>
        </is>
      </c>
      <c r="F8" s="6" t="inlineStr">
        <is>
          <t>있음 · 220,000원 (9/21)</t>
        </is>
      </c>
      <c r="G8" s="6" t="inlineStr">
        <is>
          <t>팀 계획 반영</t>
        </is>
      </c>
    </row>
    <row r="9">
      <c r="A9" s="42" t="n">
        <v>46287</v>
      </c>
      <c r="B9" s="43" t="inlineStr">
        <is>
          <t>화</t>
        </is>
      </c>
      <c r="C9" s="44" t="inlineStr">
        <is>
          <t>SN</t>
        </is>
      </c>
      <c r="D9" s="45" t="n">
        <v>231733</v>
      </c>
      <c r="E9" s="43" t="inlineStr">
        <is>
          <t>제외</t>
        </is>
      </c>
      <c r="F9" s="44" t="inlineStr">
        <is>
          <t>없음</t>
        </is>
      </c>
      <c r="G9" s="46" t="inlineStr">
        <is>
          <t>누락 의심 — 팀 재제출 요청</t>
        </is>
      </c>
    </row>
    <row r="10">
      <c r="A10" s="15" t="n">
        <v>46288</v>
      </c>
      <c r="B10" s="16" t="inlineStr">
        <is>
          <t>수</t>
        </is>
      </c>
      <c r="C10" s="6" t="inlineStr">
        <is>
          <t>우리카드결제대금</t>
        </is>
      </c>
      <c r="D10" s="7" t="n">
        <v>26105540</v>
      </c>
      <c r="E10" s="16" t="inlineStr">
        <is>
          <t>제외</t>
        </is>
      </c>
      <c r="F10" s="6" t="inlineStr">
        <is>
          <t>있음 · 25,346,349원 (9/23)</t>
        </is>
      </c>
      <c r="G10" s="6" t="inlineStr">
        <is>
          <t>팀 계획 반영</t>
        </is>
      </c>
    </row>
    <row r="11">
      <c r="A11" s="42" t="n">
        <v>46288</v>
      </c>
      <c r="B11" s="43" t="inlineStr">
        <is>
          <t>수</t>
        </is>
      </c>
      <c r="C11" s="44" t="inlineStr">
        <is>
          <t>METLIFE</t>
        </is>
      </c>
      <c r="D11" s="45" t="n">
        <v>7641812</v>
      </c>
      <c r="E11" s="43" t="inlineStr">
        <is>
          <t>제외</t>
        </is>
      </c>
      <c r="F11" s="44" t="inlineStr">
        <is>
          <t>없음</t>
        </is>
      </c>
      <c r="G11" s="46" t="inlineStr">
        <is>
          <t>누락 의심 — 팀 재제출 요청</t>
        </is>
      </c>
    </row>
    <row r="12">
      <c r="A12" s="15" t="n">
        <v>46288</v>
      </c>
      <c r="B12" s="16" t="inlineStr">
        <is>
          <t>수</t>
        </is>
      </c>
      <c r="C12" s="6" t="inlineStr">
        <is>
          <t>NH기업카드</t>
        </is>
      </c>
      <c r="D12" s="7" t="n">
        <v>6066502</v>
      </c>
      <c r="E12" s="16" t="inlineStr">
        <is>
          <t>제외</t>
        </is>
      </c>
      <c r="F12" s="6" t="inlineStr">
        <is>
          <t>있음 · 6,827,883원 (9/23)</t>
        </is>
      </c>
      <c r="G12" s="6" t="inlineStr">
        <is>
          <t>팀 계획 반영</t>
        </is>
      </c>
    </row>
    <row r="13">
      <c r="A13" s="42" t="n">
        <v>46288</v>
      </c>
      <c r="B13" s="43" t="inlineStr">
        <is>
          <t>수</t>
        </is>
      </c>
      <c r="C13" s="44" t="inlineStr">
        <is>
          <t>아이현종찬</t>
        </is>
      </c>
      <c r="D13" s="45" t="n">
        <v>173250</v>
      </c>
      <c r="E13" s="43" t="inlineStr">
        <is>
          <t>제외</t>
        </is>
      </c>
      <c r="F13" s="44" t="inlineStr">
        <is>
          <t>없음</t>
        </is>
      </c>
      <c r="G13" s="46" t="inlineStr">
        <is>
          <t>누락 의심 — 팀 재제출 요청</t>
        </is>
      </c>
    </row>
    <row r="14">
      <c r="A14" s="42" t="n">
        <v>46289</v>
      </c>
      <c r="B14" s="43" t="inlineStr">
        <is>
          <t>목</t>
        </is>
      </c>
      <c r="C14" s="44" t="inlineStr">
        <is>
          <t>세이브더칠드런</t>
        </is>
      </c>
      <c r="D14" s="45" t="n">
        <v>2000000</v>
      </c>
      <c r="E14" s="43" t="inlineStr">
        <is>
          <t>제외</t>
        </is>
      </c>
      <c r="F14" s="44" t="inlineStr">
        <is>
          <t>없음</t>
        </is>
      </c>
      <c r="G14" s="46" t="inlineStr">
        <is>
          <t>누락 의심 — 팀 재제출 요청</t>
        </is>
      </c>
    </row>
    <row r="15">
      <c r="A15" s="15" t="n">
        <v>46290</v>
      </c>
      <c r="B15" s="16" t="inlineStr">
        <is>
          <t>금</t>
        </is>
      </c>
      <c r="C15" s="6" t="inlineStr">
        <is>
          <t>KT</t>
        </is>
      </c>
      <c r="D15" s="7" t="n">
        <v>113633</v>
      </c>
      <c r="E15" s="16" t="inlineStr">
        <is>
          <t>제외</t>
        </is>
      </c>
      <c r="F15" s="6" t="inlineStr">
        <is>
          <t>있음 · 109,450원 (9/25)</t>
        </is>
      </c>
      <c r="G15" s="6" t="inlineStr">
        <is>
          <t>팀 계획 반영</t>
        </is>
      </c>
    </row>
  </sheetData>
  <autoFilter ref="A5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2026-09-19T13:04:41Z</dcterms:created>
  <dcterms:modified xsi:type="dcterms:W3CDTF">2026-09-19T13:04:41Z</dcterms:modified>
</cp:coreProperties>
</file>