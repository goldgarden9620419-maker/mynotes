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주간보고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color rgb="00555555"/>
      <sz val="9"/>
    </font>
    <font>
      <name val="맑은 고딕"/>
      <color rgb="00B36B00"/>
      <sz val="9"/>
    </font>
    <font>
      <name val="맑은 고딕"/>
      <b val="1"/>
      <color rgb="00FFFFFF"/>
      <sz val="11"/>
    </font>
    <font>
      <name val="맑은 고딕"/>
      <color rgb="00000000"/>
      <sz val="10"/>
    </font>
    <font>
      <name val="맑은 고딕"/>
      <color rgb="00808080"/>
      <sz val="9"/>
    </font>
    <font>
      <name val="맑은 고딕"/>
      <b val="1"/>
      <color rgb="00000000"/>
      <sz val="10"/>
    </font>
    <font>
      <name val="맑은 고딕"/>
      <b val="1"/>
      <color rgb="00FFFFFF"/>
      <sz val="10"/>
    </font>
    <font>
      <name val="맑은 고딕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10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 style="thin">
        <color rgb="00BBBBBB"/>
      </right>
      <top style="medium">
        <color rgb="00C00000"/>
      </top>
      <bottom style="thin">
        <color rgb="00BBBBBB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medium">
        <color rgb="00C00000"/>
      </bottom>
    </border>
    <border>
      <left style="medium">
        <color rgb="00C00000"/>
      </left>
      <right style="thin">
        <color rgb="00BBBBBB"/>
      </right>
      <top style="medium">
        <color rgb="00C00000"/>
      </top>
      <bottom style="thin">
        <color rgb="00BBBBBB"/>
      </bottom>
    </border>
    <border>
      <left style="thin">
        <color rgb="00BBBBBB"/>
      </left>
      <right style="medium">
        <color rgb="00C00000"/>
      </right>
      <top style="medium">
        <color rgb="00C00000"/>
      </top>
      <bottom style="thin">
        <color rgb="00BBBBBB"/>
      </bottom>
    </border>
    <border>
      <left style="medium">
        <color rgb="00C00000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 style="medium">
        <color rgb="00C00000"/>
      </right>
      <top style="thin">
        <color rgb="00BBBBBB"/>
      </top>
      <bottom style="thin">
        <color rgb="00BBBBBB"/>
      </bottom>
    </border>
    <border>
      <left style="medium">
        <color rgb="00C00000"/>
      </left>
      <right style="thin">
        <color rgb="00BBBBBB"/>
      </right>
      <top style="thin">
        <color rgb="00BBBBBB"/>
      </top>
      <bottom style="medium">
        <color rgb="00C00000"/>
      </bottom>
    </border>
    <border>
      <left style="thin">
        <color rgb="00BBBBBB"/>
      </left>
      <right style="medium">
        <color rgb="00C00000"/>
      </right>
      <top style="thin">
        <color rgb="00BBBBBB"/>
      </top>
      <bottom style="medium">
        <color rgb="00C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2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6" fillId="0" borderId="0" pivotButton="0" quotePrefix="0" xfId="0"/>
    <xf numFmtId="0" fontId="7" fillId="0" borderId="1" pivotButton="0" quotePrefix="0" xfId="0"/>
    <xf numFmtId="3" fontId="7" fillId="0" borderId="1" pivotButton="0" quotePrefix="0" xfId="0"/>
    <xf numFmtId="0" fontId="8" fillId="2" borderId="1" pivotButton="0" quotePrefix="0" xfId="0"/>
    <xf numFmtId="9" fontId="5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3" fontId="5" fillId="0" borderId="0" pivotButton="0" quotePrefix="0" xfId="0"/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4" borderId="1" pivotButton="0" quotePrefix="0" xfId="0"/>
    <xf numFmtId="0" fontId="6" fillId="0" borderId="1" applyAlignment="1" pivotButton="0" quotePrefix="0" xfId="0">
      <alignment horizontal="center" vertical="center"/>
    </xf>
    <xf numFmtId="165" fontId="5" fillId="0" borderId="4" pivotButton="0" quotePrefix="0" xfId="0"/>
    <xf numFmtId="0" fontId="5" fillId="0" borderId="2" applyAlignment="1" pivotButton="0" quotePrefix="0" xfId="0">
      <alignment horizontal="center" vertical="center"/>
    </xf>
    <xf numFmtId="3" fontId="5" fillId="4" borderId="2" pivotButton="0" quotePrefix="0" xfId="0"/>
    <xf numFmtId="3" fontId="5" fillId="0" borderId="2" pivotButton="0" quotePrefix="0" xfId="0"/>
    <xf numFmtId="0" fontId="6" fillId="0" borderId="5" applyAlignment="1" pivotButton="0" quotePrefix="0" xfId="0">
      <alignment horizontal="center" vertical="center"/>
    </xf>
    <xf numFmtId="165" fontId="5" fillId="0" borderId="6" pivotButton="0" quotePrefix="0" xfId="0"/>
    <xf numFmtId="0" fontId="9" fillId="0" borderId="7" applyAlignment="1" pivotButton="0" quotePrefix="0" xfId="0">
      <alignment horizontal="center" vertical="center"/>
    </xf>
    <xf numFmtId="165" fontId="5" fillId="0" borderId="8" pivotButton="0" quotePrefix="0" xfId="0"/>
    <xf numFmtId="0" fontId="5" fillId="0" borderId="3" applyAlignment="1" pivotButton="0" quotePrefix="0" xfId="0">
      <alignment horizontal="center" vertical="center"/>
    </xf>
    <xf numFmtId="3" fontId="5" fillId="0" borderId="3" pivotButton="0" quotePrefix="0" xfId="0"/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3" borderId="1" pivotButton="0" quotePrefix="0" xfId="0"/>
    <xf numFmtId="0" fontId="5" fillId="0" borderId="1" applyAlignment="1" pivotButton="0" quotePrefix="0" xfId="0">
      <alignment horizontal="left" vertical="center" wrapText="1"/>
    </xf>
    <xf numFmtId="3" fontId="5" fillId="3" borderId="1" pivotButton="0" quotePrefix="0" xfId="0"/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15" customWidth="1" min="3" max="3"/>
    <col width="40" customWidth="1" min="4" max="4"/>
    <col width="15" customWidth="1" min="5" max="5"/>
    <col width="12" customWidth="1" min="6" max="6"/>
    <col hidden="1" width="12" customWidth="1" min="7" max="7"/>
    <col hidden="1" width="12" customWidth="1" min="8" max="8"/>
  </cols>
  <sheetData>
    <row r="1">
      <c r="A1" s="1" t="inlineStr">
        <is>
          <t>주간 자금 경영보고 — (주)에이팜건강</t>
        </is>
      </c>
    </row>
    <row r="2">
      <c r="A2" s="2" t="inlineStr">
        <is>
          <t>기준주 2026-09-14 (월) ~ 2026-09-20 (일) · 작성 2026-09-18 22:38:15 · 붉은 상자 = 실행일~차주 금요일</t>
        </is>
      </c>
    </row>
    <row r="3">
      <c r="A3" s="3" t="inlineStr">
        <is>
          <t>노란 칸(입금 반영률·목표 최저잔액·지출 지급일·금액)을 고치면 아래 모든 수치가 즉시 다시 계산됩니다.</t>
        </is>
      </c>
    </row>
    <row r="5">
      <c r="A5" s="4" t="inlineStr">
        <is>
          <t>① 현재 자금 현황</t>
        </is>
      </c>
      <c r="B5" s="5" t="n"/>
      <c r="C5" s="5" t="n"/>
      <c r="D5" s="5" t="n"/>
      <c r="E5" s="5" t="n"/>
      <c r="F5" s="5" t="n"/>
    </row>
    <row r="6">
      <c r="A6" s="6" t="inlineStr">
        <is>
          <t>국민 154577</t>
        </is>
      </c>
      <c r="C6" s="7" t="n">
        <v>20147954</v>
      </c>
      <c r="D6" s="8" t="inlineStr">
        <is>
          <t>최종 거래일 2026-09-18</t>
        </is>
      </c>
    </row>
    <row r="7">
      <c r="A7" s="6" t="inlineStr">
        <is>
          <t>국민 169124</t>
        </is>
      </c>
      <c r="C7" s="7" t="n">
        <v>100687200</v>
      </c>
      <c r="D7" s="8" t="inlineStr">
        <is>
          <t>최종 거래일 2026-09-15</t>
        </is>
      </c>
    </row>
    <row r="8">
      <c r="A8" s="6" t="inlineStr">
        <is>
          <t>농협 569003</t>
        </is>
      </c>
      <c r="C8" s="7" t="n">
        <v>1834429</v>
      </c>
      <c r="D8" s="8" t="inlineStr">
        <is>
          <t>최종 거래일 2026-09-18</t>
        </is>
      </c>
    </row>
    <row r="9">
      <c r="A9" s="6" t="inlineStr">
        <is>
          <t>우리 220351</t>
        </is>
      </c>
      <c r="C9" s="7" t="n">
        <v>11945285</v>
      </c>
      <c r="D9" s="8" t="inlineStr">
        <is>
          <t>최종 거래일 2026-09-18</t>
        </is>
      </c>
    </row>
    <row r="10">
      <c r="A10" s="9" t="inlineStr">
        <is>
          <t>총잔액</t>
        </is>
      </c>
      <c r="C10" s="10">
        <f>SUM(C6:C9)</f>
        <v/>
      </c>
    </row>
    <row r="12">
      <c r="A12" s="4" t="inlineStr">
        <is>
          <t>② 향후 4주 일별 자금 흐름 (붉은 상자 = 실행일~차주 금요일)</t>
        </is>
      </c>
      <c r="B12" s="5" t="n"/>
      <c r="C12" s="5" t="n"/>
      <c r="D12" s="5" t="n"/>
      <c r="E12" s="11" t="inlineStr">
        <is>
          <t>입금 반영률</t>
        </is>
      </c>
      <c r="F12" s="12" t="n">
        <v>0.8</v>
      </c>
    </row>
    <row r="13">
      <c r="A13" s="13" t="inlineStr">
        <is>
          <t>일자</t>
        </is>
      </c>
      <c r="B13" s="13" t="inlineStr">
        <is>
          <t>요일</t>
        </is>
      </c>
      <c r="C13" s="13" t="inlineStr">
        <is>
          <t>입금</t>
        </is>
      </c>
      <c r="D13" s="13" t="inlineStr">
        <is>
          <t>지출</t>
        </is>
      </c>
      <c r="E13" s="13" t="inlineStr">
        <is>
          <t>예상잔액</t>
        </is>
      </c>
      <c r="F13" s="13" t="inlineStr">
        <is>
          <t>상태</t>
        </is>
      </c>
      <c r="H13" s="14" t="n">
        <v>106349419</v>
      </c>
    </row>
    <row r="14">
      <c r="A14" s="15" t="n">
        <v>46279</v>
      </c>
      <c r="B14" s="16" t="inlineStr">
        <is>
          <t>월</t>
        </is>
      </c>
      <c r="C14" s="17" t="n">
        <v>7768015</v>
      </c>
      <c r="D14" s="17" t="n">
        <v>2312400</v>
      </c>
      <c r="E14" s="7">
        <f>$H$13+C14-D14</f>
        <v/>
      </c>
      <c r="F14" s="18" t="inlineStr">
        <is>
          <t>실적</t>
        </is>
      </c>
      <c r="G14" s="14" t="n">
        <v>11285864</v>
      </c>
      <c r="H14" s="14" t="n">
        <v>41610</v>
      </c>
    </row>
    <row r="15">
      <c r="A15" s="15" t="n">
        <v>46280</v>
      </c>
      <c r="B15" s="16" t="inlineStr">
        <is>
          <t>화</t>
        </is>
      </c>
      <c r="C15" s="17" t="n">
        <v>20817581</v>
      </c>
      <c r="D15" s="17" t="n">
        <v>20370602</v>
      </c>
      <c r="E15" s="7">
        <f>E14+C15-D15</f>
        <v/>
      </c>
      <c r="F15" s="18" t="inlineStr">
        <is>
          <t>실적</t>
        </is>
      </c>
      <c r="G15" s="14" t="n">
        <v>22714257</v>
      </c>
      <c r="H15" s="14" t="n">
        <v>278510</v>
      </c>
    </row>
    <row r="16">
      <c r="A16" s="15" t="n">
        <v>46281</v>
      </c>
      <c r="B16" s="16" t="inlineStr">
        <is>
          <t>수</t>
        </is>
      </c>
      <c r="C16" s="17" t="n">
        <v>9238010</v>
      </c>
      <c r="D16" s="17" t="n">
        <v>40000</v>
      </c>
      <c r="E16" s="7">
        <f>E15+C16-D16</f>
        <v/>
      </c>
      <c r="F16" s="18" t="inlineStr">
        <is>
          <t>실적</t>
        </is>
      </c>
      <c r="G16" s="14" t="n">
        <v>15630776</v>
      </c>
      <c r="H16" s="14" t="n">
        <v>1580236</v>
      </c>
    </row>
    <row r="17">
      <c r="A17" s="15" t="n">
        <v>46282</v>
      </c>
      <c r="B17" s="16" t="inlineStr">
        <is>
          <t>목</t>
        </is>
      </c>
      <c r="C17" s="17" t="n">
        <v>7530151</v>
      </c>
      <c r="D17" s="17" t="n">
        <v>1378509</v>
      </c>
      <c r="E17" s="7">
        <f>E16+C17-D17</f>
        <v/>
      </c>
      <c r="F17" s="18" t="inlineStr">
        <is>
          <t>실적</t>
        </is>
      </c>
      <c r="G17" s="14" t="n">
        <v>14586277</v>
      </c>
      <c r="H17" s="14" t="n">
        <v>80720</v>
      </c>
    </row>
    <row r="18">
      <c r="A18" s="19" t="n">
        <v>46283</v>
      </c>
      <c r="B18" s="20" t="inlineStr">
        <is>
          <t>금</t>
        </is>
      </c>
      <c r="C18" s="21" t="n">
        <v>8103203</v>
      </c>
      <c r="D18" s="21" t="n">
        <v>1090000</v>
      </c>
      <c r="E18" s="22">
        <f>E17+C18-D18</f>
        <v/>
      </c>
      <c r="F18" s="23" t="inlineStr">
        <is>
          <t>실적</t>
        </is>
      </c>
      <c r="G18" s="14" t="n">
        <v>10863060</v>
      </c>
      <c r="H18" s="14" t="n">
        <v>200833</v>
      </c>
    </row>
    <row r="19">
      <c r="A19" s="24" t="n">
        <v>46284</v>
      </c>
      <c r="B19" s="16" t="inlineStr">
        <is>
          <t>토</t>
        </is>
      </c>
      <c r="C19" s="7">
        <f>ROUND(G19*$F$12,0)+H19</f>
        <v/>
      </c>
      <c r="D19" s="7">
        <f>SUMIFS($E$47:$E$140,$A$47:$A$140,A19)</f>
        <v/>
      </c>
      <c r="E19" s="7">
        <f>E18+C19-D19</f>
        <v/>
      </c>
      <c r="F19" s="25">
        <f>IF(E19&lt;0,"부족","")</f>
        <v/>
      </c>
      <c r="G19" s="14" t="n">
        <v>0</v>
      </c>
      <c r="H19" s="14" t="n">
        <v>0</v>
      </c>
    </row>
    <row r="20">
      <c r="A20" s="24" t="n">
        <v>46285</v>
      </c>
      <c r="B20" s="16" t="inlineStr">
        <is>
          <t>일</t>
        </is>
      </c>
      <c r="C20" s="7">
        <f>ROUND(G20*$F$12,0)+H20</f>
        <v/>
      </c>
      <c r="D20" s="7">
        <f>SUMIFS($E$47:$E$140,$A$47:$A$140,A20)</f>
        <v/>
      </c>
      <c r="E20" s="7">
        <f>E19+C20-D20</f>
        <v/>
      </c>
      <c r="F20" s="25">
        <f>IF(E20&lt;0,"부족","")</f>
        <v/>
      </c>
      <c r="G20" s="14" t="n">
        <v>0</v>
      </c>
      <c r="H20" s="14" t="n">
        <v>0</v>
      </c>
    </row>
    <row r="21">
      <c r="A21" s="24" t="n">
        <v>46286</v>
      </c>
      <c r="B21" s="16" t="inlineStr">
        <is>
          <t>월</t>
        </is>
      </c>
      <c r="C21" s="7">
        <f>ROUND(G21*$F$12,0)+H21</f>
        <v/>
      </c>
      <c r="D21" s="7">
        <f>SUMIFS($E$47:$E$140,$A$47:$A$140,A21)</f>
        <v/>
      </c>
      <c r="E21" s="7">
        <f>E20+C21-D21</f>
        <v/>
      </c>
      <c r="F21" s="25">
        <f>IF(E21&lt;0,"부족","")</f>
        <v/>
      </c>
      <c r="G21" s="14" t="n">
        <v>11285864</v>
      </c>
      <c r="H21" s="14" t="n">
        <v>0</v>
      </c>
    </row>
    <row r="22">
      <c r="A22" s="24" t="n">
        <v>46287</v>
      </c>
      <c r="B22" s="16" t="inlineStr">
        <is>
          <t>화</t>
        </is>
      </c>
      <c r="C22" s="7">
        <f>ROUND(G22*$F$12,0)+H22</f>
        <v/>
      </c>
      <c r="D22" s="7">
        <f>SUMIFS($E$47:$E$140,$A$47:$A$140,A22)</f>
        <v/>
      </c>
      <c r="E22" s="7">
        <f>E21+C22-D22</f>
        <v/>
      </c>
      <c r="F22" s="25">
        <f>IF(E22&lt;0,"부족","")</f>
        <v/>
      </c>
      <c r="G22" s="14" t="n">
        <v>22714257</v>
      </c>
      <c r="H22" s="14" t="n">
        <v>0</v>
      </c>
    </row>
    <row r="23">
      <c r="A23" s="24" t="n">
        <v>46288</v>
      </c>
      <c r="B23" s="16" t="inlineStr">
        <is>
          <t>수</t>
        </is>
      </c>
      <c r="C23" s="7">
        <f>ROUND(G23*$F$12,0)+H23</f>
        <v/>
      </c>
      <c r="D23" s="7">
        <f>SUMIFS($E$47:$E$140,$A$47:$A$140,A23)</f>
        <v/>
      </c>
      <c r="E23" s="7">
        <f>E22+C23-D23</f>
        <v/>
      </c>
      <c r="F23" s="25">
        <f>IF(E23&lt;0,"부족","")</f>
        <v/>
      </c>
      <c r="G23" s="14" t="n">
        <v>15630776</v>
      </c>
      <c r="H23" s="14" t="n">
        <v>0</v>
      </c>
    </row>
    <row r="24">
      <c r="A24" s="24" t="n">
        <v>46289</v>
      </c>
      <c r="B24" s="16" t="inlineStr">
        <is>
          <t>목</t>
        </is>
      </c>
      <c r="C24" s="7">
        <f>ROUND(G24*$F$12,0)+H24</f>
        <v/>
      </c>
      <c r="D24" s="7">
        <f>SUMIFS($E$47:$E$140,$A$47:$A$140,A24)</f>
        <v/>
      </c>
      <c r="E24" s="7">
        <f>E23+C24-D24</f>
        <v/>
      </c>
      <c r="F24" s="25">
        <f>IF(E24&lt;0,"부족","")</f>
        <v/>
      </c>
      <c r="G24" s="14" t="n">
        <v>14586277</v>
      </c>
      <c r="H24" s="14" t="n">
        <v>0</v>
      </c>
    </row>
    <row r="25">
      <c r="A25" s="26" t="n">
        <v>46290</v>
      </c>
      <c r="B25" s="27" t="inlineStr">
        <is>
          <t>금</t>
        </is>
      </c>
      <c r="C25" s="28">
        <f>ROUND(G25*$F$12,0)+H25</f>
        <v/>
      </c>
      <c r="D25" s="28">
        <f>SUMIFS($E$47:$E$140,$A$47:$A$140,A25)</f>
        <v/>
      </c>
      <c r="E25" s="28">
        <f>E24+C25-D25</f>
        <v/>
      </c>
      <c r="F25" s="29">
        <f>IF(E25&lt;0,"부족","")</f>
        <v/>
      </c>
      <c r="G25" s="14" t="n">
        <v>10863060</v>
      </c>
      <c r="H25" s="14" t="n">
        <v>0</v>
      </c>
    </row>
    <row r="26">
      <c r="A26" s="15" t="n">
        <v>46291</v>
      </c>
      <c r="B26" s="16" t="inlineStr">
        <is>
          <t>토</t>
        </is>
      </c>
      <c r="C26" s="7">
        <f>ROUND(G26*$F$12,0)+H26</f>
        <v/>
      </c>
      <c r="D26" s="7">
        <f>SUMIFS($E$47:$E$140,$A$47:$A$140,A26)</f>
        <v/>
      </c>
      <c r="E26" s="7">
        <f>E25+C26-D26</f>
        <v/>
      </c>
      <c r="F26" s="30">
        <f>IF(E26&lt;0,"부족","")</f>
        <v/>
      </c>
      <c r="G26" s="14" t="n">
        <v>0</v>
      </c>
      <c r="H26" s="14" t="n">
        <v>0</v>
      </c>
    </row>
    <row r="27">
      <c r="A27" s="15" t="n">
        <v>46292</v>
      </c>
      <c r="B27" s="16" t="inlineStr">
        <is>
          <t>일</t>
        </is>
      </c>
      <c r="C27" s="7">
        <f>ROUND(G27*$F$12,0)+H27</f>
        <v/>
      </c>
      <c r="D27" s="7">
        <f>SUMIFS($E$47:$E$140,$A$47:$A$140,A27)</f>
        <v/>
      </c>
      <c r="E27" s="7">
        <f>E26+C27-D27</f>
        <v/>
      </c>
      <c r="F27" s="30">
        <f>IF(E27&lt;0,"부족","")</f>
        <v/>
      </c>
      <c r="G27" s="14" t="n">
        <v>0</v>
      </c>
      <c r="H27" s="14" t="n">
        <v>0</v>
      </c>
    </row>
    <row r="28">
      <c r="A28" s="15" t="n">
        <v>46293</v>
      </c>
      <c r="B28" s="16" t="inlineStr">
        <is>
          <t>월</t>
        </is>
      </c>
      <c r="C28" s="7">
        <f>ROUND(G28*$F$12,0)+H28</f>
        <v/>
      </c>
      <c r="D28" s="7">
        <f>SUMIFS($E$47:$E$140,$A$47:$A$140,A28)</f>
        <v/>
      </c>
      <c r="E28" s="7">
        <f>E27+C28-D28</f>
        <v/>
      </c>
      <c r="F28" s="30">
        <f>IF(E28&lt;0,"부족","")</f>
        <v/>
      </c>
      <c r="G28" s="14" t="n">
        <v>11285864</v>
      </c>
      <c r="H28" s="14" t="n">
        <v>0</v>
      </c>
    </row>
    <row r="29">
      <c r="A29" s="15" t="n">
        <v>46294</v>
      </c>
      <c r="B29" s="16" t="inlineStr">
        <is>
          <t>화</t>
        </is>
      </c>
      <c r="C29" s="7">
        <f>ROUND(G29*$F$12,0)+H29</f>
        <v/>
      </c>
      <c r="D29" s="7">
        <f>SUMIFS($E$47:$E$140,$A$47:$A$140,A29)</f>
        <v/>
      </c>
      <c r="E29" s="7">
        <f>E28+C29-D29</f>
        <v/>
      </c>
      <c r="F29" s="30">
        <f>IF(E29&lt;0,"부족","")</f>
        <v/>
      </c>
      <c r="G29" s="14" t="n">
        <v>22714257</v>
      </c>
      <c r="H29" s="14" t="n">
        <v>0</v>
      </c>
    </row>
    <row r="30">
      <c r="A30" s="15" t="n">
        <v>46295</v>
      </c>
      <c r="B30" s="16" t="inlineStr">
        <is>
          <t>수</t>
        </is>
      </c>
      <c r="C30" s="7">
        <f>ROUND(G30*$F$12,0)+H30</f>
        <v/>
      </c>
      <c r="D30" s="7">
        <f>SUMIFS($E$47:$E$140,$A$47:$A$140,A30)</f>
        <v/>
      </c>
      <c r="E30" s="7">
        <f>E29+C30-D30</f>
        <v/>
      </c>
      <c r="F30" s="30">
        <f>IF(E30&lt;0,"부족","")</f>
        <v/>
      </c>
      <c r="G30" s="14" t="n">
        <v>15630776</v>
      </c>
      <c r="H30" s="14" t="n">
        <v>10021867</v>
      </c>
    </row>
    <row r="31">
      <c r="A31" s="15" t="n">
        <v>46296</v>
      </c>
      <c r="B31" s="16" t="inlineStr">
        <is>
          <t>목</t>
        </is>
      </c>
      <c r="C31" s="7">
        <f>ROUND(G31*$F$12,0)+H31</f>
        <v/>
      </c>
      <c r="D31" s="7">
        <f>SUMIFS($E$47:$E$140,$A$47:$A$140,A31)</f>
        <v/>
      </c>
      <c r="E31" s="7">
        <f>E30+C31-D31</f>
        <v/>
      </c>
      <c r="F31" s="30">
        <f>IF(E31&lt;0,"부족","")</f>
        <v/>
      </c>
      <c r="G31" s="14" t="n">
        <v>14586277</v>
      </c>
      <c r="H31" s="14" t="n">
        <v>0</v>
      </c>
    </row>
    <row r="32">
      <c r="A32" s="15" t="n">
        <v>46297</v>
      </c>
      <c r="B32" s="16" t="inlineStr">
        <is>
          <t>금</t>
        </is>
      </c>
      <c r="C32" s="7">
        <f>ROUND(G32*$F$12,0)+H32</f>
        <v/>
      </c>
      <c r="D32" s="7">
        <f>SUMIFS($E$47:$E$140,$A$47:$A$140,A32)</f>
        <v/>
      </c>
      <c r="E32" s="7">
        <f>E31+C32-D32</f>
        <v/>
      </c>
      <c r="F32" s="30">
        <f>IF(E32&lt;0,"부족","")</f>
        <v/>
      </c>
      <c r="G32" s="14" t="n">
        <v>10863060</v>
      </c>
      <c r="H32" s="14" t="n">
        <v>0</v>
      </c>
    </row>
    <row r="33">
      <c r="A33" s="15" t="n">
        <v>46298</v>
      </c>
      <c r="B33" s="16" t="inlineStr">
        <is>
          <t>토</t>
        </is>
      </c>
      <c r="C33" s="7">
        <f>ROUND(G33*$F$12,0)+H33</f>
        <v/>
      </c>
      <c r="D33" s="7">
        <f>SUMIFS($E$47:$E$140,$A$47:$A$140,A33)</f>
        <v/>
      </c>
      <c r="E33" s="7">
        <f>E32+C33-D33</f>
        <v/>
      </c>
      <c r="F33" s="30">
        <f>IF(E33&lt;0,"부족","")</f>
        <v/>
      </c>
      <c r="G33" s="14" t="n">
        <v>0</v>
      </c>
      <c r="H33" s="14" t="n">
        <v>0</v>
      </c>
    </row>
    <row r="34">
      <c r="A34" s="15" t="n">
        <v>46299</v>
      </c>
      <c r="B34" s="16" t="inlineStr">
        <is>
          <t>일</t>
        </is>
      </c>
      <c r="C34" s="7">
        <f>ROUND(G34*$F$12,0)+H34</f>
        <v/>
      </c>
      <c r="D34" s="7">
        <f>SUMIFS($E$47:$E$140,$A$47:$A$140,A34)</f>
        <v/>
      </c>
      <c r="E34" s="7">
        <f>E33+C34-D34</f>
        <v/>
      </c>
      <c r="F34" s="30">
        <f>IF(E34&lt;0,"부족","")</f>
        <v/>
      </c>
      <c r="G34" s="14" t="n">
        <v>0</v>
      </c>
      <c r="H34" s="14" t="n">
        <v>0</v>
      </c>
    </row>
    <row r="35">
      <c r="A35" s="15" t="n">
        <v>46300</v>
      </c>
      <c r="B35" s="16" t="inlineStr">
        <is>
          <t>월</t>
        </is>
      </c>
      <c r="C35" s="7">
        <f>ROUND(G35*$F$12,0)+H35</f>
        <v/>
      </c>
      <c r="D35" s="7">
        <f>SUMIFS($E$47:$E$140,$A$47:$A$140,A35)</f>
        <v/>
      </c>
      <c r="E35" s="7">
        <f>E34+C35-D35</f>
        <v/>
      </c>
      <c r="F35" s="30">
        <f>IF(E35&lt;0,"부족","")</f>
        <v/>
      </c>
      <c r="G35" s="14" t="n">
        <v>11285864</v>
      </c>
      <c r="H35" s="14" t="n">
        <v>0</v>
      </c>
    </row>
    <row r="36">
      <c r="A36" s="15" t="n">
        <v>46301</v>
      </c>
      <c r="B36" s="16" t="inlineStr">
        <is>
          <t>화</t>
        </is>
      </c>
      <c r="C36" s="7">
        <f>ROUND(G36*$F$12,0)+H36</f>
        <v/>
      </c>
      <c r="D36" s="7">
        <f>SUMIFS($E$47:$E$140,$A$47:$A$140,A36)</f>
        <v/>
      </c>
      <c r="E36" s="7">
        <f>E35+C36-D36</f>
        <v/>
      </c>
      <c r="F36" s="30">
        <f>IF(E36&lt;0,"부족","")</f>
        <v/>
      </c>
      <c r="G36" s="14" t="n">
        <v>22714257</v>
      </c>
      <c r="H36" s="14" t="n">
        <v>0</v>
      </c>
    </row>
    <row r="37">
      <c r="A37" s="15" t="n">
        <v>46302</v>
      </c>
      <c r="B37" s="16" t="inlineStr">
        <is>
          <t>수</t>
        </is>
      </c>
      <c r="C37" s="7">
        <f>ROUND(G37*$F$12,0)+H37</f>
        <v/>
      </c>
      <c r="D37" s="7">
        <f>SUMIFS($E$47:$E$140,$A$47:$A$140,A37)</f>
        <v/>
      </c>
      <c r="E37" s="7">
        <f>E36+C37-D37</f>
        <v/>
      </c>
      <c r="F37" s="30">
        <f>IF(E37&lt;0,"부족","")</f>
        <v/>
      </c>
      <c r="G37" s="14" t="n">
        <v>15630776</v>
      </c>
      <c r="H37" s="14" t="n">
        <v>0</v>
      </c>
    </row>
    <row r="38">
      <c r="A38" s="15" t="n">
        <v>46303</v>
      </c>
      <c r="B38" s="16" t="inlineStr">
        <is>
          <t>목</t>
        </is>
      </c>
      <c r="C38" s="7">
        <f>ROUND(G38*$F$12,0)+H38</f>
        <v/>
      </c>
      <c r="D38" s="7">
        <f>SUMIFS($E$47:$E$140,$A$47:$A$140,A38)</f>
        <v/>
      </c>
      <c r="E38" s="7">
        <f>E37+C38-D38</f>
        <v/>
      </c>
      <c r="F38" s="30">
        <f>IF(E38&lt;0,"부족","")</f>
        <v/>
      </c>
      <c r="G38" s="14" t="n">
        <v>14586277</v>
      </c>
      <c r="H38" s="14" t="n">
        <v>0</v>
      </c>
    </row>
    <row r="39">
      <c r="A39" s="15" t="n">
        <v>46304</v>
      </c>
      <c r="B39" s="16" t="inlineStr">
        <is>
          <t>금</t>
        </is>
      </c>
      <c r="C39" s="7">
        <f>ROUND(G39*$F$12,0)+H39</f>
        <v/>
      </c>
      <c r="D39" s="7">
        <f>SUMIFS($E$47:$E$140,$A$47:$A$140,A39)</f>
        <v/>
      </c>
      <c r="E39" s="7">
        <f>E38+C39-D39</f>
        <v/>
      </c>
      <c r="F39" s="30">
        <f>IF(E39&lt;0,"부족","")</f>
        <v/>
      </c>
      <c r="G39" s="14" t="n">
        <v>10863060</v>
      </c>
      <c r="H39" s="14" t="n">
        <v>0</v>
      </c>
    </row>
    <row r="40">
      <c r="A40" s="15" t="n">
        <v>46305</v>
      </c>
      <c r="B40" s="16" t="inlineStr">
        <is>
          <t>토</t>
        </is>
      </c>
      <c r="C40" s="7">
        <f>ROUND(G40*$F$12,0)+H40</f>
        <v/>
      </c>
      <c r="D40" s="7">
        <f>SUMIFS($E$47:$E$140,$A$47:$A$140,A40)</f>
        <v/>
      </c>
      <c r="E40" s="7">
        <f>E39+C40-D40</f>
        <v/>
      </c>
      <c r="F40" s="30">
        <f>IF(E40&lt;0,"부족","")</f>
        <v/>
      </c>
      <c r="G40" s="14" t="n">
        <v>0</v>
      </c>
      <c r="H40" s="14" t="n">
        <v>0</v>
      </c>
    </row>
    <row r="41">
      <c r="A41" s="15" t="n">
        <v>46306</v>
      </c>
      <c r="B41" s="16" t="inlineStr">
        <is>
          <t>일</t>
        </is>
      </c>
      <c r="C41" s="7">
        <f>ROUND(G41*$F$12,0)+H41</f>
        <v/>
      </c>
      <c r="D41" s="7">
        <f>SUMIFS($E$47:$E$140,$A$47:$A$140,A41)</f>
        <v/>
      </c>
      <c r="E41" s="7">
        <f>E40+C41-D41</f>
        <v/>
      </c>
      <c r="F41" s="30">
        <f>IF(E41&lt;0,"부족","")</f>
        <v/>
      </c>
      <c r="G41" s="14" t="n">
        <v>0</v>
      </c>
      <c r="H41" s="14" t="n">
        <v>0</v>
      </c>
    </row>
    <row r="42">
      <c r="A42" s="31" t="inlineStr">
        <is>
          <t>4주 최저 잔액</t>
        </is>
      </c>
      <c r="C42" s="32">
        <f>MIN(E14:E41)</f>
        <v/>
      </c>
      <c r="D42" s="33" t="inlineStr">
        <is>
          <t>4주 예상 기말잔액</t>
        </is>
      </c>
      <c r="E42" s="32">
        <f>E41</f>
        <v/>
      </c>
    </row>
    <row r="43">
      <c r="A43" s="31">
        <f>IF(C42&gt;=0,"향후 4주 부족분 없음 — 계획대로 집행 가능합니다.","향후 4주 최대 부족 "&amp;TEXT(-C42,"#,##0")&amp;"원 — 지출 일정 조정 또는 자금 조치가 필요합니다.")</f>
        <v/>
      </c>
    </row>
    <row r="45">
      <c r="A45" s="4" t="inlineStr">
        <is>
          <t>③ 반영된 지출예정 (남은 4주) — 지급일·금액을 고치면 ②가 다시 계산됩니다</t>
        </is>
      </c>
      <c r="B45" s="5" t="n"/>
      <c r="C45" s="5" t="n"/>
      <c r="D45" s="5" t="n"/>
      <c r="E45" s="5" t="n"/>
      <c r="F45" s="5" t="n"/>
    </row>
    <row r="46">
      <c r="A46" s="13" t="inlineStr">
        <is>
          <t>지급일</t>
        </is>
      </c>
      <c r="B46" s="13" t="inlineStr">
        <is>
          <t>요일</t>
        </is>
      </c>
      <c r="C46" s="13" t="inlineStr">
        <is>
          <t>구분</t>
        </is>
      </c>
      <c r="D46" s="13" t="inlineStr">
        <is>
          <t>내용</t>
        </is>
      </c>
      <c r="E46" s="13" t="inlineStr">
        <is>
          <t>금액</t>
        </is>
      </c>
      <c r="F46" s="13" t="inlineStr">
        <is>
          <t>지급방법</t>
        </is>
      </c>
    </row>
    <row r="47">
      <c r="A47" s="34" t="n">
        <v>46286</v>
      </c>
      <c r="B47" s="16">
        <f>IF(A47="","",MID("월화수목금토일",WEEKDAY(A47,2),1))</f>
        <v/>
      </c>
      <c r="C47" s="6" t="inlineStr">
        <is>
          <t>경영지원팀</t>
        </is>
      </c>
      <c r="D47" s="35" t="inlineStr">
        <is>
          <t>대외비 세금·보험(대외비)</t>
        </is>
      </c>
      <c r="E47" s="36" t="n">
        <v>4900000</v>
      </c>
      <c r="F47" s="16" t="inlineStr">
        <is>
          <t>자동이체</t>
        </is>
      </c>
    </row>
    <row r="48">
      <c r="A48" s="34" t="n">
        <v>46286</v>
      </c>
      <c r="B48" s="16">
        <f>IF(A48="","",MID("월화수목금토일",WEEKDAY(A48,2),1))</f>
        <v/>
      </c>
      <c r="C48" s="6" t="inlineStr">
        <is>
          <t>건강사업팀</t>
        </is>
      </c>
      <c r="D48" s="35" t="inlineStr">
        <is>
          <t>네이버SA&amp;GFA 네이버 SA&amp;GFA 광고비 충전</t>
        </is>
      </c>
      <c r="E48" s="36" t="n">
        <v>3498000</v>
      </c>
      <c r="F48" s="16" t="inlineStr">
        <is>
          <t>계좌송금</t>
        </is>
      </c>
    </row>
    <row r="49">
      <c r="A49" s="34" t="n">
        <v>46286</v>
      </c>
      <c r="B49" s="16">
        <f>IF(A49="","",MID("월화수목금토일",WEEKDAY(A49,2),1))</f>
        <v/>
      </c>
      <c r="C49" s="6" t="inlineStr">
        <is>
          <t>건강사업팀</t>
        </is>
      </c>
      <c r="D49" s="35" t="inlineStr">
        <is>
          <t>인포크비즈니스 베리시톨 인플루언서 비용</t>
        </is>
      </c>
      <c r="E49" s="36" t="n">
        <v>3300000</v>
      </c>
      <c r="F49" s="16" t="inlineStr">
        <is>
          <t>계좌송금</t>
        </is>
      </c>
    </row>
    <row r="50">
      <c r="A50" s="34" t="n">
        <v>46286</v>
      </c>
      <c r="B50" s="16">
        <f>IF(A50="","",MID("월화수목금토일",WEEKDAY(A50,2),1))</f>
        <v/>
      </c>
      <c r="C50" s="6" t="inlineStr">
        <is>
          <t>건강사업팀</t>
        </is>
      </c>
      <c r="D50" s="35" t="inlineStr">
        <is>
          <t>트라이앵글하모니 카카오톡선물하기 베리시톨 리뷰작업</t>
        </is>
      </c>
      <c r="E50" s="36" t="n">
        <v>1996000</v>
      </c>
      <c r="F50" s="16" t="inlineStr">
        <is>
          <t>계좌송금</t>
        </is>
      </c>
    </row>
    <row r="51">
      <c r="A51" s="34" t="n">
        <v>46286</v>
      </c>
      <c r="B51" s="16">
        <f>IF(A51="","",MID("월화수목금토일",WEEKDAY(A51,2),1))</f>
        <v/>
      </c>
      <c r="C51" s="6" t="inlineStr">
        <is>
          <t>경영지원팀</t>
        </is>
      </c>
      <c r="D51" s="35" t="inlineStr">
        <is>
          <t>대외비 기타 대외비 지출</t>
        </is>
      </c>
      <c r="E51" s="36" t="n">
        <v>220000</v>
      </c>
      <c r="F51" s="16" t="inlineStr">
        <is>
          <t>자동이체</t>
        </is>
      </c>
    </row>
    <row r="52">
      <c r="A52" s="34" t="n">
        <v>46287</v>
      </c>
      <c r="B52" s="16">
        <f>IF(A52="","",MID("월화수목금토일",WEEKDAY(A52,2),1))</f>
        <v/>
      </c>
      <c r="C52" s="6" t="inlineStr">
        <is>
          <t>경영지원팀</t>
        </is>
      </c>
      <c r="D52" s="35" t="inlineStr">
        <is>
          <t>대외비 기타 대외비 지출</t>
        </is>
      </c>
      <c r="E52" s="36" t="n">
        <v>21023110</v>
      </c>
      <c r="F52" s="16" t="inlineStr">
        <is>
          <t>계좌송금</t>
        </is>
      </c>
    </row>
    <row r="53">
      <c r="A53" s="34" t="n">
        <v>46287</v>
      </c>
      <c r="B53" s="16">
        <f>IF(A53="","",MID("월화수목금토일",WEEKDAY(A53,2),1))</f>
        <v/>
      </c>
      <c r="C53" s="6" t="inlineStr">
        <is>
          <t>건강사업팀</t>
        </is>
      </c>
      <c r="D53" s="35" t="inlineStr">
        <is>
          <t>네이버 네이버 톡톡 발송</t>
        </is>
      </c>
      <c r="E53" s="36" t="n">
        <v>500000</v>
      </c>
      <c r="F53" s="16" t="inlineStr">
        <is>
          <t>계좌송금</t>
        </is>
      </c>
    </row>
    <row r="54">
      <c r="A54" s="34" t="n">
        <v>46288</v>
      </c>
      <c r="B54" s="16">
        <f>IF(A54="","",MID("월화수목금토일",WEEKDAY(A54,2),1))</f>
        <v/>
      </c>
      <c r="C54" s="6" t="inlineStr">
        <is>
          <t>경영지원팀</t>
        </is>
      </c>
      <c r="D54" s="35" t="inlineStr">
        <is>
          <t>대외비 기타 대외비 지출</t>
        </is>
      </c>
      <c r="E54" s="36" t="n">
        <v>32174232</v>
      </c>
      <c r="F54" s="16" t="inlineStr">
        <is>
          <t>자동이체</t>
        </is>
      </c>
    </row>
    <row r="55">
      <c r="A55" s="34" t="n">
        <v>46288</v>
      </c>
      <c r="B55" s="16">
        <f>IF(A55="","",MID("월화수목금토일",WEEKDAY(A55,2),1))</f>
        <v/>
      </c>
      <c r="C55" s="6" t="inlineStr">
        <is>
          <t>건강사업팀</t>
        </is>
      </c>
      <c r="D55" s="35" t="inlineStr">
        <is>
          <t>네이버SA&amp;GFA 네이버SA&amp;GFA 광고 비용 충전</t>
        </is>
      </c>
      <c r="E55" s="36" t="n">
        <v>8305000</v>
      </c>
      <c r="F55" s="16" t="inlineStr">
        <is>
          <t>계좌송금</t>
        </is>
      </c>
    </row>
    <row r="56">
      <c r="A56" s="34" t="n">
        <v>46288</v>
      </c>
      <c r="B56" s="16">
        <f>IF(A56="","",MID("월화수목금토일",WEEKDAY(A56,2),1))</f>
        <v/>
      </c>
      <c r="C56" s="6" t="inlineStr">
        <is>
          <t>자동추정</t>
        </is>
      </c>
      <c r="D56" s="35" t="inlineStr">
        <is>
          <t>정기지출 추정(자동 초안): METLIFE 신뢰도 중</t>
        </is>
      </c>
      <c r="E56" s="36" t="n">
        <v>7641812</v>
      </c>
      <c r="F56" s="16" t="inlineStr"/>
    </row>
    <row r="57">
      <c r="A57" s="34" t="n">
        <v>46288</v>
      </c>
      <c r="B57" s="16">
        <f>IF(A57="","",MID("월화수목금토일",WEEKDAY(A57,2),1))</f>
        <v/>
      </c>
      <c r="C57" s="6" t="inlineStr">
        <is>
          <t>자동추정</t>
        </is>
      </c>
      <c r="D57" s="35" t="inlineStr">
        <is>
          <t>정기지출 추정(자동 초안): NH기업카드 신뢰도 상</t>
        </is>
      </c>
      <c r="E57" s="36" t="n">
        <v>6066502</v>
      </c>
      <c r="F57" s="16" t="inlineStr"/>
    </row>
    <row r="58">
      <c r="A58" s="34" t="n">
        <v>46288</v>
      </c>
      <c r="B58" s="16">
        <f>IF(A58="","",MID("월화수목금토일",WEEKDAY(A58,2),1))</f>
        <v/>
      </c>
      <c r="C58" s="6" t="inlineStr">
        <is>
          <t>건강사업팀</t>
        </is>
      </c>
      <c r="D58" s="35" t="inlineStr">
        <is>
          <t>써치엠 메타 광고 대행 수수</t>
        </is>
      </c>
      <c r="E58" s="36" t="n">
        <v>1487786</v>
      </c>
      <c r="F58" s="16" t="inlineStr">
        <is>
          <t>계좌송금</t>
        </is>
      </c>
    </row>
    <row r="59">
      <c r="A59" s="34" t="n">
        <v>46288</v>
      </c>
      <c r="B59" s="16">
        <f>IF(A59="","",MID("월화수목금토일",WEEKDAY(A59,2),1))</f>
        <v/>
      </c>
      <c r="C59" s="6" t="inlineStr">
        <is>
          <t>건강사업팀</t>
        </is>
      </c>
      <c r="D59" s="35" t="inlineStr">
        <is>
          <t>ADN ADN 광고-추석 유입</t>
        </is>
      </c>
      <c r="E59" s="36" t="n">
        <v>550000</v>
      </c>
      <c r="F59" s="16" t="inlineStr">
        <is>
          <t>계좌송금</t>
        </is>
      </c>
    </row>
    <row r="60">
      <c r="A60" s="34" t="n">
        <v>46288</v>
      </c>
      <c r="B60" s="16">
        <f>IF(A60="","",MID("월화수목금토일",WEEKDAY(A60,2),1))</f>
        <v/>
      </c>
      <c r="C60" s="6" t="inlineStr">
        <is>
          <t>자동추정</t>
        </is>
      </c>
      <c r="D60" s="35" t="inlineStr">
        <is>
          <t>정기지출 추정(자동 초안): 아이현종찬 신뢰도 하</t>
        </is>
      </c>
      <c r="E60" s="36" t="n">
        <v>173250</v>
      </c>
      <c r="F60" s="16" t="inlineStr"/>
    </row>
    <row r="61">
      <c r="A61" s="34" t="n">
        <v>46289</v>
      </c>
      <c r="B61" s="16">
        <f>IF(A61="","",MID("월화수목금토일",WEEKDAY(A61,2),1))</f>
        <v/>
      </c>
      <c r="C61" s="6" t="inlineStr">
        <is>
          <t>자동추정</t>
        </is>
      </c>
      <c r="D61" s="35" t="inlineStr">
        <is>
          <t>정기지출 추정(자동 초안): 세이브더칠드런 신뢰도 중</t>
        </is>
      </c>
      <c r="E61" s="36" t="n">
        <v>2000000</v>
      </c>
      <c r="F61" s="16" t="inlineStr"/>
    </row>
    <row r="62">
      <c r="A62" s="34" t="n">
        <v>46290</v>
      </c>
      <c r="B62" s="16">
        <f>IF(A62="","",MID("월화수목금토일",WEEKDAY(A62,2),1))</f>
        <v/>
      </c>
      <c r="C62" s="6" t="inlineStr">
        <is>
          <t>경영지원팀</t>
        </is>
      </c>
      <c r="D62" s="35" t="inlineStr">
        <is>
          <t>대외비 세금·보험(대외비)</t>
        </is>
      </c>
      <c r="E62" s="36" t="n">
        <v>2497000</v>
      </c>
      <c r="F62" s="16" t="inlineStr">
        <is>
          <t>자동이체</t>
        </is>
      </c>
    </row>
    <row r="63">
      <c r="A63" s="34" t="n">
        <v>46290</v>
      </c>
      <c r="B63" s="16">
        <f>IF(A63="","",MID("월화수목금토일",WEEKDAY(A63,2),1))</f>
        <v/>
      </c>
      <c r="C63" s="6" t="inlineStr">
        <is>
          <t>경영지원팀</t>
        </is>
      </c>
      <c r="D63" s="35" t="inlineStr">
        <is>
          <t>대외비 기타 대외비 지출</t>
        </is>
      </c>
      <c r="E63" s="36" t="n">
        <v>109450</v>
      </c>
      <c r="F63" s="16" t="inlineStr">
        <is>
          <t>자동이체</t>
        </is>
      </c>
    </row>
    <row r="64">
      <c r="A64" s="34" t="n">
        <v>46292</v>
      </c>
      <c r="B64" s="16">
        <f>IF(A64="","",MID("월화수목금토일",WEEKDAY(A64,2),1))</f>
        <v/>
      </c>
      <c r="C64" s="6" t="inlineStr">
        <is>
          <t>자동추정</t>
        </is>
      </c>
      <c r="D64" s="35" t="inlineStr">
        <is>
          <t>정기지출 추정(자동 초안): 농협한혜선 신뢰도 중</t>
        </is>
      </c>
      <c r="E64" s="36" t="n">
        <v>1650000</v>
      </c>
      <c r="F64" s="16" t="inlineStr"/>
    </row>
    <row r="65">
      <c r="A65" s="34" t="n">
        <v>46292</v>
      </c>
      <c r="B65" s="16">
        <f>IF(A65="","",MID("월화수목금토일",WEEKDAY(A65,2),1))</f>
        <v/>
      </c>
      <c r="C65" s="6" t="inlineStr">
        <is>
          <t>자동추정</t>
        </is>
      </c>
      <c r="D65" s="35" t="inlineStr">
        <is>
          <t>정기지출 추정(자동 초안): 하나남경 노무법인 신뢰도 하</t>
        </is>
      </c>
      <c r="E65" s="36" t="n">
        <v>449429</v>
      </c>
      <c r="F65" s="16" t="inlineStr"/>
    </row>
    <row r="66">
      <c r="A66" s="34" t="n">
        <v>46293</v>
      </c>
      <c r="B66" s="16">
        <f>IF(A66="","",MID("월화수목금토일",WEEKDAY(A66,2),1))</f>
        <v/>
      </c>
      <c r="C66" s="6" t="inlineStr">
        <is>
          <t>자동추정</t>
        </is>
      </c>
      <c r="D66" s="35" t="inlineStr">
        <is>
          <t>정기지출 추정(자동 초안): 기업콜마비앤에이치 신뢰도 중</t>
        </is>
      </c>
      <c r="E66" s="36" t="n">
        <v>44600001</v>
      </c>
      <c r="F66" s="16" t="inlineStr"/>
    </row>
    <row r="67">
      <c r="A67" s="34" t="n">
        <v>46294</v>
      </c>
      <c r="B67" s="16">
        <f>IF(A67="","",MID("월화수목금토일",WEEKDAY(A67,2),1))</f>
        <v/>
      </c>
      <c r="C67" s="6" t="inlineStr">
        <is>
          <t>자동추정</t>
        </is>
      </c>
      <c r="D67" s="35" t="inlineStr">
        <is>
          <t>정기지출 추정(자동 초안): 아이서원회계법인 대 신뢰도 하</t>
        </is>
      </c>
      <c r="E67" s="36" t="n">
        <v>1348600</v>
      </c>
      <c r="F67" s="16" t="inlineStr"/>
    </row>
    <row r="68">
      <c r="A68" s="34" t="n">
        <v>46294</v>
      </c>
      <c r="B68" s="16">
        <f>IF(A68="","",MID("월화수목금토일",WEEKDAY(A68,2),1))</f>
        <v/>
      </c>
      <c r="C68" s="6" t="inlineStr">
        <is>
          <t>자동추정</t>
        </is>
      </c>
      <c r="D68" s="35" t="inlineStr">
        <is>
          <t>정기지출 추정(자동 초안): 국민주식회사 오애드 신뢰도 하</t>
        </is>
      </c>
      <c r="E68" s="36" t="n">
        <v>1045000</v>
      </c>
      <c r="F68" s="16" t="inlineStr"/>
    </row>
    <row r="69">
      <c r="A69" s="34" t="n">
        <v>46294</v>
      </c>
      <c r="B69" s="16">
        <f>IF(A69="","",MID("월화수목금토일",WEEKDAY(A69,2),1))</f>
        <v/>
      </c>
      <c r="C69" s="6" t="inlineStr">
        <is>
          <t>자동추정</t>
        </is>
      </c>
      <c r="D69" s="35" t="inlineStr">
        <is>
          <t>정기지출 추정(자동 초안): 하나흥덕IT밸리관리 신뢰도 하</t>
        </is>
      </c>
      <c r="E69" s="36" t="n">
        <v>586192</v>
      </c>
      <c r="F69" s="16" t="inlineStr"/>
    </row>
    <row r="70">
      <c r="A70" s="34" t="n">
        <v>46295</v>
      </c>
      <c r="B70" s="16">
        <f>IF(A70="","",MID("월화수목금토일",WEEKDAY(A70,2),1))</f>
        <v/>
      </c>
      <c r="C70" s="6" t="inlineStr">
        <is>
          <t>자동추정</t>
        </is>
      </c>
      <c r="D70" s="35" t="inlineStr">
        <is>
          <t>정기지출 추정(자동 초안): TOP출금 신뢰도 하</t>
        </is>
      </c>
      <c r="E70" s="36" t="n">
        <v>65040941</v>
      </c>
      <c r="F70" s="16" t="inlineStr"/>
    </row>
    <row r="71">
      <c r="A71" s="34" t="n">
        <v>46295</v>
      </c>
      <c r="B71" s="16">
        <f>IF(A71="","",MID("월화수목금토일",WEEKDAY(A71,2),1))</f>
        <v/>
      </c>
      <c r="C71" s="6" t="inlineStr">
        <is>
          <t>자동추정</t>
        </is>
      </c>
      <c r="D71" s="35" t="inlineStr">
        <is>
          <t>정기지출 추정(자동 초안): 한진주식회사 신뢰도 상</t>
        </is>
      </c>
      <c r="E71" s="36" t="n">
        <v>10790260</v>
      </c>
      <c r="F71" s="16" t="inlineStr"/>
    </row>
    <row r="72">
      <c r="A72" s="34" t="n">
        <v>46295</v>
      </c>
      <c r="B72" s="16">
        <f>IF(A72="","",MID("월화수목금토일",WEEKDAY(A72,2),1))</f>
        <v/>
      </c>
      <c r="C72" s="6" t="inlineStr">
        <is>
          <t>자동추정</t>
        </is>
      </c>
      <c r="D72" s="35" t="inlineStr">
        <is>
          <t>정기지출 추정(자동 초안): 퇴직예약출금 신뢰도 하</t>
        </is>
      </c>
      <c r="E72" s="36" t="n">
        <v>8156420</v>
      </c>
      <c r="F72" s="16" t="inlineStr"/>
    </row>
    <row r="73">
      <c r="A73" s="34" t="n">
        <v>46295</v>
      </c>
      <c r="B73" s="16">
        <f>IF(A73="","",MID("월화수목금토일",WEEKDAY(A73,2),1))</f>
        <v/>
      </c>
      <c r="C73" s="6" t="inlineStr">
        <is>
          <t>자동추정</t>
        </is>
      </c>
      <c r="D73" s="35" t="inlineStr">
        <is>
          <t>정기지출 추정(자동 초안): 국민엠제이테크노파크 신뢰도 하</t>
        </is>
      </c>
      <c r="E73" s="36" t="n">
        <v>214586</v>
      </c>
      <c r="F73" s="16" t="inlineStr"/>
    </row>
    <row r="74">
      <c r="A74" s="34" t="n">
        <v>46296</v>
      </c>
      <c r="B74" s="16">
        <f>IF(A74="","",MID("월화수목금토일",WEEKDAY(A74,2),1))</f>
        <v/>
      </c>
      <c r="C74" s="6" t="inlineStr">
        <is>
          <t>자동추정</t>
        </is>
      </c>
      <c r="D74" s="35" t="inlineStr">
        <is>
          <t>정기지출 추정(자동 초안): KB 신뢰도 상</t>
        </is>
      </c>
      <c r="E74" s="36" t="n">
        <v>2952747</v>
      </c>
      <c r="F74" s="16" t="inlineStr"/>
    </row>
    <row r="75">
      <c r="A75" s="34" t="n">
        <v>46298</v>
      </c>
      <c r="B75" s="16">
        <f>IF(A75="","",MID("월화수목금토일",WEEKDAY(A75,2),1))</f>
        <v/>
      </c>
      <c r="C75" s="6" t="inlineStr">
        <is>
          <t>자동추정</t>
        </is>
      </c>
      <c r="D75" s="35" t="inlineStr">
        <is>
          <t>정기지출 추정(자동 초안): 대한사회복지회 신뢰도 상</t>
        </is>
      </c>
      <c r="E75" s="36" t="n">
        <v>100000</v>
      </c>
      <c r="F75" s="16" t="inlineStr"/>
    </row>
    <row r="76">
      <c r="A76" s="34" t="n">
        <v>46299</v>
      </c>
      <c r="B76" s="16">
        <f>IF(A76="","",MID("월화수목금토일",WEEKDAY(A76,2),1))</f>
        <v/>
      </c>
      <c r="C76" s="6" t="inlineStr">
        <is>
          <t>자동추정</t>
        </is>
      </c>
      <c r="D76" s="35" t="inlineStr">
        <is>
          <t>정기지출 추정(자동 초안): 한화스마트 신뢰도 상</t>
        </is>
      </c>
      <c r="E76" s="36" t="n">
        <v>30000000</v>
      </c>
      <c r="F76" s="16" t="inlineStr"/>
    </row>
    <row r="77">
      <c r="A77" s="34" t="n">
        <v>46301</v>
      </c>
      <c r="B77" s="16">
        <f>IF(A77="","",MID("월화수목금토일",WEEKDAY(A77,2),1))</f>
        <v/>
      </c>
      <c r="C77" s="6" t="inlineStr">
        <is>
          <t>자동추정</t>
        </is>
      </c>
      <c r="D77" s="35" t="inlineStr">
        <is>
          <t>정기지출 추정(자동 초안): 미래 신뢰도 상</t>
        </is>
      </c>
      <c r="E77" s="36" t="n">
        <v>4494000</v>
      </c>
      <c r="F77" s="16" t="inlineStr"/>
    </row>
    <row r="78">
      <c r="A78" s="34" t="n">
        <v>46302</v>
      </c>
      <c r="B78" s="16">
        <f>IF(A78="","",MID("월화수목금토일",WEEKDAY(A78,2),1))</f>
        <v/>
      </c>
      <c r="C78" s="6" t="inlineStr">
        <is>
          <t>자동추정</t>
        </is>
      </c>
      <c r="D78" s="35" t="inlineStr">
        <is>
          <t>정기지출 추정(자동 초안): 삼성건 신뢰도 하</t>
        </is>
      </c>
      <c r="E78" s="36" t="n">
        <v>8898225</v>
      </c>
      <c r="F78" s="16" t="inlineStr"/>
    </row>
    <row r="79">
      <c r="A79" s="34" t="n">
        <v>46303</v>
      </c>
      <c r="B79" s="16">
        <f>IF(A79="","",MID("월화수목금토일",WEEKDAY(A79,2),1))</f>
        <v/>
      </c>
      <c r="C79" s="6" t="inlineStr">
        <is>
          <t>자동추정</t>
        </is>
      </c>
      <c r="D79" s="35" t="inlineStr">
        <is>
          <t>정기지출 추정(자동 초안): 한화생 신뢰도 중</t>
        </is>
      </c>
      <c r="E79" s="36" t="n">
        <v>42006200</v>
      </c>
      <c r="F79" s="16" t="inlineStr"/>
    </row>
    <row r="80">
      <c r="A80" s="34" t="n">
        <v>46304</v>
      </c>
      <c r="B80" s="16">
        <f>IF(A80="","",MID("월화수목금토일",WEEKDAY(A80,2),1))</f>
        <v/>
      </c>
      <c r="C80" s="6" t="inlineStr">
        <is>
          <t>자동추정</t>
        </is>
      </c>
      <c r="D80" s="35" t="inlineStr">
        <is>
          <t>정기지출 추정(자동 초안): 국민주식회사 아이디 신뢰도 하</t>
        </is>
      </c>
      <c r="E80" s="36" t="n">
        <v>9157500</v>
      </c>
      <c r="F80" s="16" t="inlineStr"/>
    </row>
    <row r="81">
      <c r="A81" s="34" t="n">
        <v>46304</v>
      </c>
      <c r="B81" s="16">
        <f>IF(A81="","",MID("월화수목금토일",WEEKDAY(A81,2),1))</f>
        <v/>
      </c>
      <c r="C81" s="6" t="inlineStr">
        <is>
          <t>자동추정</t>
        </is>
      </c>
      <c r="D81" s="35" t="inlineStr">
        <is>
          <t>정기지출 추정(자동 초안): 국민SA 신뢰도 하</t>
        </is>
      </c>
      <c r="E81" s="36" t="n">
        <v>4427500</v>
      </c>
      <c r="F81" s="16" t="inlineStr"/>
    </row>
    <row r="82">
      <c r="A82" s="34" t="n">
        <v>46304</v>
      </c>
      <c r="B82" s="16">
        <f>IF(A82="","",MID("월화수목금토일",WEEKDAY(A82,2),1))</f>
        <v/>
      </c>
      <c r="C82" s="6" t="inlineStr">
        <is>
          <t>자동추정</t>
        </is>
      </c>
      <c r="D82" s="35" t="inlineStr">
        <is>
          <t>정기지출 추정(자동 초안): 국민GFA 신뢰도 하</t>
        </is>
      </c>
      <c r="E82" s="36" t="n">
        <v>907500</v>
      </c>
      <c r="F82" s="16" t="inlineStr"/>
    </row>
    <row r="83">
      <c r="A83" s="34" t="n">
        <v>46304</v>
      </c>
      <c r="B83" s="16">
        <f>IF(A83="","",MID("월화수목금토일",WEEKDAY(A83,2),1))</f>
        <v/>
      </c>
      <c r="C83" s="6" t="inlineStr">
        <is>
          <t>자동추정</t>
        </is>
      </c>
      <c r="D83" s="35" t="inlineStr">
        <is>
          <t>정기지출 추정(자동 초안): 기업주식회사 채널코 신뢰도 중</t>
        </is>
      </c>
      <c r="E83" s="36" t="n">
        <v>198000</v>
      </c>
      <c r="F83" s="16" t="inlineStr"/>
    </row>
    <row r="84">
      <c r="A84" s="34" t="n">
        <v>46305</v>
      </c>
      <c r="B84" s="16">
        <f>IF(A84="","",MID("월화수목금토일",WEEKDAY(A84,2),1))</f>
        <v/>
      </c>
      <c r="C84" s="6" t="inlineStr">
        <is>
          <t>자동추정</t>
        </is>
      </c>
      <c r="D84" s="35" t="inlineStr">
        <is>
          <t>정기지출 추정(자동 초안): 국고_주식회사 신뢰도 하</t>
        </is>
      </c>
      <c r="E84" s="36" t="n">
        <v>16964733</v>
      </c>
      <c r="F84" s="16" t="inlineStr"/>
    </row>
    <row r="85">
      <c r="A85" s="34" t="n">
        <v>46305</v>
      </c>
      <c r="B85" s="16">
        <f>IF(A85="","",MID("월화수목금토일",WEEKDAY(A85,2),1))</f>
        <v/>
      </c>
      <c r="C85" s="6" t="inlineStr">
        <is>
          <t>자동추정</t>
        </is>
      </c>
      <c r="D85" s="35" t="inlineStr">
        <is>
          <t>정기지출 추정(자동 초안): 신한고은미이룸파트 신뢰도 중</t>
        </is>
      </c>
      <c r="E85" s="36" t="n">
        <v>16732980</v>
      </c>
      <c r="F85" s="16" t="inlineStr"/>
    </row>
    <row r="86">
      <c r="A86" s="34" t="n">
        <v>46305</v>
      </c>
      <c r="B86" s="16">
        <f>IF(A86="","",MID("월화수목금토일",WEEKDAY(A86,2),1))</f>
        <v/>
      </c>
      <c r="C86" s="6" t="inlineStr">
        <is>
          <t>자동추정</t>
        </is>
      </c>
      <c r="D86" s="35" t="inlineStr">
        <is>
          <t>정기지출 추정(자동 초안): 사회보험 신뢰도 상</t>
        </is>
      </c>
      <c r="E86" s="36" t="n">
        <v>16413167</v>
      </c>
      <c r="F86" s="16" t="inlineStr"/>
    </row>
    <row r="87">
      <c r="A87" s="34" t="n">
        <v>46305</v>
      </c>
      <c r="B87" s="16">
        <f>IF(A87="","",MID("월화수목금토일",WEEKDAY(A87,2),1))</f>
        <v/>
      </c>
      <c r="C87" s="6" t="inlineStr">
        <is>
          <t>자동추정</t>
        </is>
      </c>
      <c r="D87" s="35" t="inlineStr">
        <is>
          <t>정기지출 추정(자동 초안): 신한대구달서구주식 신뢰도 하</t>
        </is>
      </c>
      <c r="E87" s="36" t="n">
        <v>2659287</v>
      </c>
      <c r="F87" s="16" t="inlineStr"/>
    </row>
    <row r="88">
      <c r="A88" s="34" t="n">
        <v>46305</v>
      </c>
      <c r="B88" s="16">
        <f>IF(A88="","",MID("월화수목금토일",WEEKDAY(A88,2),1))</f>
        <v/>
      </c>
      <c r="C88" s="6" t="inlineStr">
        <is>
          <t>자동추정</t>
        </is>
      </c>
      <c r="D88" s="35" t="inlineStr">
        <is>
          <t>정기지출 추정(자동 초안): 국민서울보증보험 신뢰도 하</t>
        </is>
      </c>
      <c r="E88" s="36" t="n">
        <v>113382</v>
      </c>
      <c r="F88" s="16" t="inlineStr"/>
    </row>
    <row r="89">
      <c r="A89" s="34" t="n">
        <v>46306</v>
      </c>
      <c r="B89" s="16">
        <f>IF(A89="","",MID("월화수목금토일",WEEKDAY(A89,2),1))</f>
        <v/>
      </c>
      <c r="C89" s="6" t="inlineStr">
        <is>
          <t>자동추정</t>
        </is>
      </c>
      <c r="D89" s="35" t="inlineStr">
        <is>
          <t>정기지출 추정(자동 초안): 허용 신뢰도 하</t>
        </is>
      </c>
      <c r="E89" s="36" t="n">
        <v>39250000</v>
      </c>
      <c r="F89" s="16" t="inlineStr"/>
    </row>
    <row r="90">
      <c r="A90" s="34" t="n">
        <v>46306</v>
      </c>
      <c r="B90" s="16">
        <f>IF(A90="","",MID("월화수목금토일",WEEKDAY(A90,2),1))</f>
        <v/>
      </c>
      <c r="C90" s="6" t="inlineStr">
        <is>
          <t>자동추정</t>
        </is>
      </c>
      <c r="D90" s="35" t="inlineStr">
        <is>
          <t>정기지출 추정(자동 초안): 농협주레인보우 신뢰도 하</t>
        </is>
      </c>
      <c r="E90" s="36" t="n">
        <v>839960</v>
      </c>
      <c r="F90" s="16" t="inlineStr"/>
    </row>
    <row r="91">
      <c r="A91" s="34" t="n">
        <v>46306</v>
      </c>
      <c r="B91" s="16">
        <f>IF(A91="","",MID("월화수목금토일",WEEKDAY(A91,2),1))</f>
        <v/>
      </c>
      <c r="C91" s="6" t="inlineStr">
        <is>
          <t>자동추정</t>
        </is>
      </c>
      <c r="D91" s="35" t="inlineStr">
        <is>
          <t>정기지출 추정(자동 초안): 아이로펌더봄엄요한 신뢰도 하</t>
        </is>
      </c>
      <c r="E91" s="36" t="n">
        <v>220000</v>
      </c>
      <c r="F91" s="16" t="inlineStr"/>
    </row>
    <row r="141">
      <c r="D141" s="37" t="inlineStr">
        <is>
          <t>합계</t>
        </is>
      </c>
      <c r="E141" s="32">
        <f>SUM(E47:E140)</f>
        <v/>
      </c>
    </row>
    <row r="143">
      <c r="A143" s="4" t="inlineStr">
        <is>
          <t>④ 안정을 위한 필요 추가 입금 (향후 4주)</t>
        </is>
      </c>
      <c r="B143" s="5" t="n"/>
      <c r="C143" s="5" t="n"/>
      <c r="D143" s="5" t="n"/>
      <c r="E143" s="5" t="n"/>
      <c r="F143" s="5" t="n"/>
    </row>
    <row r="144">
      <c r="A144" s="31" t="inlineStr">
        <is>
          <t>목표 최저잔액</t>
        </is>
      </c>
      <c r="B144" s="36" t="n">
        <v>0</v>
      </c>
      <c r="D144" s="38" t="inlineStr">
        <is>
          <t>예: 0원(적자 없음) 또는 안전하게 유지하고 싶은 잔액을 입력하세요.</t>
        </is>
      </c>
    </row>
    <row r="145">
      <c r="A145" s="13" t="inlineStr">
        <is>
          <t>반영률</t>
        </is>
      </c>
      <c r="B145" s="13" t="inlineStr">
        <is>
          <t>4주 기말잔액</t>
        </is>
      </c>
      <c r="C145" s="13" t="inlineStr">
        <is>
          <t>4주 최저잔액</t>
        </is>
      </c>
      <c r="D145" s="13" t="inlineStr">
        <is>
          <t>자금부족 예상일</t>
        </is>
      </c>
      <c r="E145" s="13" t="inlineStr">
        <is>
          <t>필요 추가 입금</t>
        </is>
      </c>
    </row>
    <row r="146">
      <c r="A146" s="39" t="n">
        <v>0.8</v>
      </c>
      <c r="B146" s="7" t="n">
        <v>-101829456</v>
      </c>
      <c r="C146" s="7" t="n">
        <v>-101829456</v>
      </c>
      <c r="D146" s="16" t="inlineStr">
        <is>
          <t>2026-10-08</t>
        </is>
      </c>
      <c r="E146" s="10">
        <f>MAX(0,$B$144-C146)</f>
        <v/>
      </c>
    </row>
    <row r="147">
      <c r="A147" s="39" t="n">
        <v>0.9</v>
      </c>
      <c r="B147" s="7" t="n">
        <v>-79305386</v>
      </c>
      <c r="C147" s="7" t="n">
        <v>-79305386</v>
      </c>
      <c r="D147" s="16" t="inlineStr">
        <is>
          <t>2026-10-10</t>
        </is>
      </c>
      <c r="E147" s="10">
        <f>MAX(0,$B$144-C147)</f>
        <v/>
      </c>
    </row>
    <row r="148">
      <c r="A148" s="39" t="n">
        <v>1</v>
      </c>
      <c r="B148" s="7" t="n">
        <v>-56781316</v>
      </c>
      <c r="C148" s="7" t="n">
        <v>-56781316</v>
      </c>
      <c r="D148" s="16" t="inlineStr">
        <is>
          <t>2026-10-10</t>
        </is>
      </c>
      <c r="E148" s="10">
        <f>MAX(0,$B$144-C148)</f>
        <v/>
      </c>
    </row>
    <row r="149">
      <c r="A149" s="31" t="inlineStr">
        <is>
          <t>주당 추가 입금 목표</t>
        </is>
      </c>
      <c r="B149" s="32">
        <f>ROUND(E146/4,0)</f>
        <v/>
      </c>
      <c r="D149" s="33" t="inlineStr">
        <is>
          <t>영업일당(주 5일 기준)</t>
        </is>
      </c>
      <c r="E149" s="32">
        <f>ROUND(E146/20,0)</f>
        <v/>
      </c>
    </row>
    <row r="151">
      <c r="A151" s="4" t="inlineStr">
        <is>
          <t>⑤ 건강사업팀 전달 메모 (자동 작성)</t>
        </is>
      </c>
      <c r="B151" s="5" t="n"/>
      <c r="C151" s="5" t="n"/>
      <c r="D151" s="5" t="n"/>
      <c r="E151" s="5" t="n"/>
      <c r="F151" s="5" t="n"/>
    </row>
    <row r="152">
      <c r="A152" s="40">
        <f>IF(E146&lt;=0,"현재 반영률 기준 향후 4주 자금은 목표 최저잔액("&amp;TEXT($B$144,"#,##0")&amp;"원)을 유지합니다. 추가 입금 목표 없이 계획대로 진행 가능합니다.","향후 4주 최저 예상잔액이 목표("&amp;TEXT($B$144,"#,##0")&amp;"원) 대비 "&amp;TEXT(E146,"#,##0")&amp;"원 부족합니다. 4주간 총 "&amp;TEXT(E146,"#,##0")&amp;"원, 주당 약 "&amp;TEXT(ROUND(E146/4,0),"#,##0")&amp;"원의 추가 입금(매출 회수)이 필요합니다. 건강사업팀에 목표 공유를 권장합니다.")</f>
        <v/>
      </c>
    </row>
    <row r="153"/>
    <row r="154"/>
  </sheetData>
  <mergeCells count="1">
    <mergeCell ref="A152:F154"/>
  </mergeCells>
  <conditionalFormatting sqref="E14:E41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2026-09-18T13:38:15Z</dcterms:created>
  <dcterms:modified xsi:type="dcterms:W3CDTF">2026-09-18T13:38:15Z</dcterms:modified>
</cp:coreProperties>
</file>