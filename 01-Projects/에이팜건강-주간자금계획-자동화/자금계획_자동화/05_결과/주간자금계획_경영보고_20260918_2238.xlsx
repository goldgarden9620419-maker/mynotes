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19EF51B0-DD12-40F9-A1BD-DA7DA73B0531}" xr6:coauthVersionLast="47" xr6:coauthVersionMax="47" xr10:uidLastSave="{00000000-0000-0000-0000-000000000000}"/>
  <bookViews>
    <workbookView xWindow="1950" yWindow="1950" windowWidth="25365" windowHeight="13515" xr2:uid="{00000000-000D-0000-FFFF-FFFF00000000}"/>
  </bookViews>
  <sheets>
    <sheet name="주간보고" sheetId="1" r:id="rId1"/>
  </sheets>
  <calcPr calcId="191029"/>
</workbook>
</file>

<file path=xl/calcChain.xml><?xml version="1.0" encoding="utf-8"?>
<calcChain xmlns="http://schemas.openxmlformats.org/spreadsheetml/2006/main">
  <c r="E148" i="1" l="1"/>
  <c r="E147" i="1"/>
  <c r="E146" i="1"/>
  <c r="A152" i="1" s="1"/>
  <c r="E141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E14" i="1"/>
  <c r="E15" i="1" s="1"/>
  <c r="E16" i="1" s="1"/>
  <c r="E17" i="1" s="1"/>
  <c r="E18" i="1" s="1"/>
  <c r="E19" i="1" s="1"/>
  <c r="C10" i="1"/>
  <c r="E20" i="1" l="1"/>
  <c r="F19" i="1"/>
  <c r="B149" i="1"/>
  <c r="E149" i="1"/>
  <c r="E21" i="1" l="1"/>
  <c r="F20" i="1"/>
  <c r="E22" i="1" l="1"/>
  <c r="F21" i="1"/>
  <c r="F22" i="1" l="1"/>
  <c r="E23" i="1"/>
  <c r="E24" i="1" l="1"/>
  <c r="F23" i="1"/>
  <c r="E25" i="1" l="1"/>
  <c r="F24" i="1"/>
  <c r="F25" i="1" l="1"/>
  <c r="E26" i="1"/>
  <c r="F26" i="1" l="1"/>
  <c r="E27" i="1"/>
  <c r="E28" i="1" l="1"/>
  <c r="F27" i="1"/>
  <c r="E29" i="1" l="1"/>
  <c r="F28" i="1"/>
  <c r="E30" i="1" l="1"/>
  <c r="F29" i="1"/>
  <c r="F30" i="1" l="1"/>
  <c r="E31" i="1"/>
  <c r="E32" i="1" l="1"/>
  <c r="F31" i="1"/>
  <c r="E33" i="1" l="1"/>
  <c r="F32" i="1"/>
  <c r="F33" i="1" l="1"/>
  <c r="E34" i="1"/>
  <c r="F34" i="1" l="1"/>
  <c r="E35" i="1"/>
  <c r="E36" i="1" l="1"/>
  <c r="F35" i="1"/>
  <c r="E37" i="1" l="1"/>
  <c r="F36" i="1"/>
  <c r="E38" i="1" l="1"/>
  <c r="F37" i="1"/>
  <c r="F38" i="1" l="1"/>
  <c r="E39" i="1"/>
  <c r="E40" i="1" l="1"/>
  <c r="F39" i="1"/>
  <c r="E41" i="1" l="1"/>
  <c r="F40" i="1"/>
  <c r="F41" i="1" l="1"/>
  <c r="E42" i="1"/>
  <c r="C42" i="1"/>
  <c r="A43" i="1" s="1"/>
</calcChain>
</file>

<file path=xl/sharedStrings.xml><?xml version="1.0" encoding="utf-8"?>
<sst xmlns="http://schemas.openxmlformats.org/spreadsheetml/2006/main" count="181" uniqueCount="95">
  <si>
    <t>주간 자금 경영보고 — (주)에이팜건강</t>
  </si>
  <si>
    <t>기준주 2026-09-14 (월) ~ 2026-09-20 (일) · 작성 2026-09-18 22:38:15 · 붉은 상자 = 실행일~차주 금요일</t>
  </si>
  <si>
    <t>노란 칸(입금 반영률·목표 최저잔액·지출 지급일·금액)을 고치면 아래 모든 수치가 즉시 다시 계산됩니다.</t>
  </si>
  <si>
    <t>① 현재 자금 현황</t>
  </si>
  <si>
    <t>국민 154577</t>
  </si>
  <si>
    <t>최종 거래일 2026-09-18</t>
  </si>
  <si>
    <t>국민 169124</t>
  </si>
  <si>
    <t>최종 거래일 2026-09-15</t>
  </si>
  <si>
    <t>농협 569003</t>
  </si>
  <si>
    <t>우리 220351</t>
  </si>
  <si>
    <t>총잔액</t>
  </si>
  <si>
    <t>② 향후 4주 일별 자금 흐름 (붉은 상자 = 실행일~차주 금요일)</t>
  </si>
  <si>
    <t>입금 반영률</t>
  </si>
  <si>
    <t>일자</t>
  </si>
  <si>
    <t>요일</t>
  </si>
  <si>
    <t>입금</t>
  </si>
  <si>
    <t>지출</t>
  </si>
  <si>
    <t>예상잔액</t>
  </si>
  <si>
    <t>상태</t>
  </si>
  <si>
    <t>월</t>
  </si>
  <si>
    <t>실적</t>
  </si>
  <si>
    <t>화</t>
  </si>
  <si>
    <t>수</t>
  </si>
  <si>
    <t>목</t>
  </si>
  <si>
    <t>금</t>
  </si>
  <si>
    <t>토</t>
  </si>
  <si>
    <t>일</t>
  </si>
  <si>
    <t>4주 최저 잔액</t>
  </si>
  <si>
    <t>4주 예상 기말잔액</t>
  </si>
  <si>
    <t>지급일</t>
  </si>
  <si>
    <t>구분</t>
  </si>
  <si>
    <t>내용</t>
  </si>
  <si>
    <t>금액</t>
  </si>
  <si>
    <t>지급방법</t>
  </si>
  <si>
    <t>경영지원팀</t>
  </si>
  <si>
    <t>대외비 세금·보험(대외비)</t>
  </si>
  <si>
    <t>자동이체</t>
  </si>
  <si>
    <t>건강사업팀</t>
  </si>
  <si>
    <t>네이버SA&amp;GFA 네이버 SA&amp;GFA 광고비 충전</t>
  </si>
  <si>
    <t>계좌송금</t>
  </si>
  <si>
    <t>인포크비즈니스 베리시톨 인플루언서 비용</t>
  </si>
  <si>
    <t>트라이앵글하모니 카카오톡선물하기 베리시톨 리뷰작업</t>
  </si>
  <si>
    <t>대외비 기타 대외비 지출</t>
  </si>
  <si>
    <t>네이버 네이버 톡톡 발송</t>
  </si>
  <si>
    <t>네이버SA&amp;GFA 네이버SA&amp;GFA 광고 비용 충전</t>
  </si>
  <si>
    <t>자동추정</t>
  </si>
  <si>
    <t>정기지출 추정(자동 초안): METLIFE 신뢰도 중</t>
  </si>
  <si>
    <t>정기지출 추정(자동 초안): NH기업카드 신뢰도 상</t>
  </si>
  <si>
    <t>써치엠 메타 광고 대행 수수</t>
  </si>
  <si>
    <t>ADN ADN 광고-추석 유입</t>
  </si>
  <si>
    <t>정기지출 추정(자동 초안): 아이현종찬 신뢰도 하</t>
  </si>
  <si>
    <t>정기지출 추정(자동 초안): 세이브더칠드런 신뢰도 중</t>
  </si>
  <si>
    <t>정기지출 추정(자동 초안): 농협한혜선 신뢰도 중</t>
  </si>
  <si>
    <t>정기지출 추정(자동 초안): 하나남경 노무법인 신뢰도 하</t>
  </si>
  <si>
    <t>정기지출 추정(자동 초안): 기업콜마비앤에이치 신뢰도 중</t>
  </si>
  <si>
    <t>정기지출 추정(자동 초안): 아이서원회계법인 대 신뢰도 하</t>
  </si>
  <si>
    <t>정기지출 추정(자동 초안): 국민주식회사 오애드 신뢰도 하</t>
  </si>
  <si>
    <t>정기지출 추정(자동 초안): 하나흥덕IT밸리관리 신뢰도 하</t>
  </si>
  <si>
    <t>정기지출 추정(자동 초안): TOP출금 신뢰도 하</t>
  </si>
  <si>
    <t>정기지출 추정(자동 초안): 한진주식회사 신뢰도 상</t>
  </si>
  <si>
    <t>정기지출 추정(자동 초안): 퇴직예약출금 신뢰도 하</t>
  </si>
  <si>
    <t>정기지출 추정(자동 초안): 국민엠제이테크노파크 신뢰도 하</t>
  </si>
  <si>
    <t>정기지출 추정(자동 초안): KB 신뢰도 상</t>
  </si>
  <si>
    <t>정기지출 추정(자동 초안): 대한사회복지회 신뢰도 상</t>
  </si>
  <si>
    <t>정기지출 추정(자동 초안): 한화스마트 신뢰도 상</t>
  </si>
  <si>
    <t>정기지출 추정(자동 초안): 미래 신뢰도 상</t>
  </si>
  <si>
    <t>정기지출 추정(자동 초안): 삼성건 신뢰도 하</t>
  </si>
  <si>
    <t>정기지출 추정(자동 초안): 한화생 신뢰도 중</t>
  </si>
  <si>
    <t>정기지출 추정(자동 초안): 국민주식회사 아이디 신뢰도 하</t>
  </si>
  <si>
    <t>정기지출 추정(자동 초안): 국민SA 신뢰도 하</t>
  </si>
  <si>
    <t>정기지출 추정(자동 초안): 국민GFA 신뢰도 하</t>
  </si>
  <si>
    <t>정기지출 추정(자동 초안): 기업주식회사 채널코 신뢰도 중</t>
  </si>
  <si>
    <t>정기지출 추정(자동 초안): 국고_주식회사 신뢰도 하</t>
  </si>
  <si>
    <t>정기지출 추정(자동 초안): 신한고은미이룸파트 신뢰도 중</t>
  </si>
  <si>
    <t>정기지출 추정(자동 초안): 사회보험 신뢰도 상</t>
  </si>
  <si>
    <t>정기지출 추정(자동 초안): 신한대구달서구주식 신뢰도 하</t>
  </si>
  <si>
    <t>정기지출 추정(자동 초안): 국민서울보증보험 신뢰도 하</t>
  </si>
  <si>
    <t>정기지출 추정(자동 초안): 허용 신뢰도 하</t>
  </si>
  <si>
    <t>정기지출 추정(자동 초안): 농협주레인보우 신뢰도 하</t>
  </si>
  <si>
    <t>정기지출 추정(자동 초안): 아이로펌더봄엄요한 신뢰도 하</t>
  </si>
  <si>
    <t>합계</t>
  </si>
  <si>
    <t>④ 안정을 위한 필요 추가 입금 (향후 4주)</t>
  </si>
  <si>
    <t>목표 최저잔액</t>
  </si>
  <si>
    <t>예: 0원(적자 없음) 또는 안전하게 유지하고 싶은 잔액을 입력하세요.</t>
  </si>
  <si>
    <t>반영률</t>
  </si>
  <si>
    <t>4주 기말잔액</t>
  </si>
  <si>
    <t>4주 최저잔액</t>
  </si>
  <si>
    <t>자금부족 예상일</t>
  </si>
  <si>
    <t>필요 추가 입금</t>
  </si>
  <si>
    <t>2026-10-08</t>
  </si>
  <si>
    <t>2026-10-10</t>
  </si>
  <si>
    <t>주당 추가 입금 목표</t>
  </si>
  <si>
    <t>영업일당(주 5일 기준)</t>
  </si>
  <si>
    <t>⑤ 건강사업팀 전달 메모 (자동 작성)</t>
  </si>
  <si>
    <t>③ 반영된 지출예정 (남은 4주) — 지급일·금액을 고치면 ②가 다시 계산됩니다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</si>
</sst>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11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9"/>
      <color rgb="FFB36B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FEFEF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medium">
        <color rgb="FFC00000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medium">
        <color rgb="FFC00000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medium">
        <color rgb="FFC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3" fontId="5" fillId="0" borderId="1" xfId="0" applyNumberFormat="1" applyFont="1" applyBorder="1"/>
    <xf numFmtId="0" fontId="6" fillId="0" borderId="0" xfId="0" applyFont="1"/>
    <xf numFmtId="0" fontId="7" fillId="0" borderId="1" xfId="0" applyFont="1" applyBorder="1"/>
    <xf numFmtId="3" fontId="7" fillId="0" borderId="1" xfId="0" applyNumberFormat="1" applyFont="1" applyBorder="1"/>
    <xf numFmtId="0" fontId="8" fillId="2" borderId="1" xfId="0" applyFont="1" applyFill="1" applyBorder="1"/>
    <xf numFmtId="9" fontId="5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5" fillId="0" borderId="0" xfId="0" applyNumberFormat="1" applyFont="1"/>
    <xf numFmtId="177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3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77" fontId="5" fillId="0" borderId="4" xfId="0" applyNumberFormat="1" applyFont="1" applyBorder="1"/>
    <xf numFmtId="0" fontId="5" fillId="0" borderId="2" xfId="0" applyFont="1" applyBorder="1" applyAlignment="1">
      <alignment horizontal="center" vertical="center"/>
    </xf>
    <xf numFmtId="3" fontId="5" fillId="4" borderId="2" xfId="0" applyNumberFormat="1" applyFont="1" applyFill="1" applyBorder="1"/>
    <xf numFmtId="3" fontId="5" fillId="0" borderId="2" xfId="0" applyNumberFormat="1" applyFont="1" applyBorder="1"/>
    <xf numFmtId="0" fontId="6" fillId="0" borderId="5" xfId="0" applyFont="1" applyBorder="1" applyAlignment="1">
      <alignment horizontal="center" vertical="center"/>
    </xf>
    <xf numFmtId="177" fontId="5" fillId="0" borderId="6" xfId="0" applyNumberFormat="1" applyFont="1" applyBorder="1"/>
    <xf numFmtId="0" fontId="9" fillId="0" borderId="7" xfId="0" applyFont="1" applyBorder="1" applyAlignment="1">
      <alignment horizontal="center" vertical="center"/>
    </xf>
    <xf numFmtId="177" fontId="5" fillId="0" borderId="8" xfId="0" applyNumberFormat="1" applyFont="1" applyBorder="1"/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/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horizontal="left" vertical="center" wrapText="1"/>
    </xf>
    <xf numFmtId="177" fontId="5" fillId="3" borderId="1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3" fontId="5" fillId="3" borderId="1" xfId="0" applyNumberFormat="1" applyFont="1" applyFill="1" applyBorder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0" fillId="0" borderId="0" xfId="0"/>
  </cellXfs>
  <cellStyles count="1">
    <cellStyle name="표준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workbookViewId="0">
      <pane ySplit="3" topLeftCell="A31" activePane="bottomLeft" state="frozen"/>
      <selection pane="bottomLeft" activeCell="A45" sqref="A45"/>
    </sheetView>
  </sheetViews>
  <sheetFormatPr defaultRowHeight="16.5" x14ac:dyDescent="0.3"/>
  <cols>
    <col min="1" max="1" width="13" customWidth="1"/>
    <col min="2" max="2" width="6" customWidth="1"/>
    <col min="3" max="3" width="15" customWidth="1"/>
    <col min="4" max="4" width="40" customWidth="1"/>
    <col min="5" max="5" width="15" customWidth="1"/>
    <col min="6" max="6" width="12" customWidth="1"/>
    <col min="7" max="8" width="12" hidden="1" customWidth="1"/>
  </cols>
  <sheetData>
    <row r="1" spans="1:8" ht="20.25" x14ac:dyDescent="0.35">
      <c r="A1" s="1" t="s">
        <v>0</v>
      </c>
    </row>
    <row r="2" spans="1:8" x14ac:dyDescent="0.3">
      <c r="A2" s="2" t="s">
        <v>1</v>
      </c>
    </row>
    <row r="3" spans="1:8" x14ac:dyDescent="0.3">
      <c r="A3" s="3" t="s">
        <v>2</v>
      </c>
    </row>
    <row r="5" spans="1:8" x14ac:dyDescent="0.3">
      <c r="A5" s="4" t="s">
        <v>3</v>
      </c>
      <c r="B5" s="5"/>
      <c r="C5" s="5"/>
      <c r="D5" s="5"/>
      <c r="E5" s="5"/>
      <c r="F5" s="5"/>
    </row>
    <row r="6" spans="1:8" x14ac:dyDescent="0.3">
      <c r="A6" s="6" t="s">
        <v>4</v>
      </c>
      <c r="C6" s="7">
        <v>20147954</v>
      </c>
      <c r="D6" s="8" t="s">
        <v>5</v>
      </c>
    </row>
    <row r="7" spans="1:8" x14ac:dyDescent="0.3">
      <c r="A7" s="6" t="s">
        <v>6</v>
      </c>
      <c r="C7" s="7">
        <v>100687200</v>
      </c>
      <c r="D7" s="8" t="s">
        <v>7</v>
      </c>
    </row>
    <row r="8" spans="1:8" x14ac:dyDescent="0.3">
      <c r="A8" s="6" t="s">
        <v>8</v>
      </c>
      <c r="C8" s="7">
        <v>1834429</v>
      </c>
      <c r="D8" s="8" t="s">
        <v>5</v>
      </c>
    </row>
    <row r="9" spans="1:8" x14ac:dyDescent="0.3">
      <c r="A9" s="6" t="s">
        <v>9</v>
      </c>
      <c r="C9" s="7">
        <v>11945285</v>
      </c>
      <c r="D9" s="8" t="s">
        <v>5</v>
      </c>
    </row>
    <row r="10" spans="1:8" x14ac:dyDescent="0.3">
      <c r="A10" s="9" t="s">
        <v>10</v>
      </c>
      <c r="C10" s="10">
        <f>SUM(C6:C9)</f>
        <v>134614868</v>
      </c>
    </row>
    <row r="12" spans="1:8" x14ac:dyDescent="0.3">
      <c r="A12" s="4" t="s">
        <v>11</v>
      </c>
      <c r="B12" s="5"/>
      <c r="C12" s="5"/>
      <c r="D12" s="5"/>
      <c r="E12" s="11" t="s">
        <v>12</v>
      </c>
      <c r="F12" s="12">
        <v>0.8</v>
      </c>
    </row>
    <row r="13" spans="1:8" x14ac:dyDescent="0.3">
      <c r="A13" s="13" t="s">
        <v>13</v>
      </c>
      <c r="B13" s="13" t="s">
        <v>14</v>
      </c>
      <c r="C13" s="13" t="s">
        <v>15</v>
      </c>
      <c r="D13" s="13" t="s">
        <v>16</v>
      </c>
      <c r="E13" s="13" t="s">
        <v>17</v>
      </c>
      <c r="F13" s="13" t="s">
        <v>18</v>
      </c>
      <c r="H13" s="14">
        <v>106349419</v>
      </c>
    </row>
    <row r="14" spans="1:8" x14ac:dyDescent="0.3">
      <c r="A14" s="15">
        <v>46279</v>
      </c>
      <c r="B14" s="16" t="s">
        <v>19</v>
      </c>
      <c r="C14" s="17">
        <v>7768015</v>
      </c>
      <c r="D14" s="17">
        <v>2312400</v>
      </c>
      <c r="E14" s="7">
        <f>$H$13+C14-D14</f>
        <v>111805034</v>
      </c>
      <c r="F14" s="18" t="s">
        <v>20</v>
      </c>
      <c r="G14" s="14">
        <v>11285864</v>
      </c>
      <c r="H14" s="14">
        <v>41610</v>
      </c>
    </row>
    <row r="15" spans="1:8" x14ac:dyDescent="0.3">
      <c r="A15" s="15">
        <v>46280</v>
      </c>
      <c r="B15" s="16" t="s">
        <v>21</v>
      </c>
      <c r="C15" s="17">
        <v>20817581</v>
      </c>
      <c r="D15" s="17">
        <v>20370602</v>
      </c>
      <c r="E15" s="7">
        <f t="shared" ref="E15:E41" si="0">E14+C15-D15</f>
        <v>112252013</v>
      </c>
      <c r="F15" s="18" t="s">
        <v>20</v>
      </c>
      <c r="G15" s="14">
        <v>22714257</v>
      </c>
      <c r="H15" s="14">
        <v>278510</v>
      </c>
    </row>
    <row r="16" spans="1:8" x14ac:dyDescent="0.3">
      <c r="A16" s="15">
        <v>46281</v>
      </c>
      <c r="B16" s="16" t="s">
        <v>22</v>
      </c>
      <c r="C16" s="17">
        <v>9238010</v>
      </c>
      <c r="D16" s="17">
        <v>40000</v>
      </c>
      <c r="E16" s="7">
        <f t="shared" si="0"/>
        <v>121450023</v>
      </c>
      <c r="F16" s="18" t="s">
        <v>20</v>
      </c>
      <c r="G16" s="14">
        <v>15630776</v>
      </c>
      <c r="H16" s="14">
        <v>1580236</v>
      </c>
    </row>
    <row r="17" spans="1:8" x14ac:dyDescent="0.3">
      <c r="A17" s="15">
        <v>46282</v>
      </c>
      <c r="B17" s="16" t="s">
        <v>23</v>
      </c>
      <c r="C17" s="17">
        <v>7530151</v>
      </c>
      <c r="D17" s="17">
        <v>1378509</v>
      </c>
      <c r="E17" s="7">
        <f t="shared" si="0"/>
        <v>127601665</v>
      </c>
      <c r="F17" s="18" t="s">
        <v>20</v>
      </c>
      <c r="G17" s="14">
        <v>14586277</v>
      </c>
      <c r="H17" s="14">
        <v>80720</v>
      </c>
    </row>
    <row r="18" spans="1:8" x14ac:dyDescent="0.3">
      <c r="A18" s="19">
        <v>46283</v>
      </c>
      <c r="B18" s="20" t="s">
        <v>24</v>
      </c>
      <c r="C18" s="21">
        <v>8103203</v>
      </c>
      <c r="D18" s="21">
        <v>1090000</v>
      </c>
      <c r="E18" s="22">
        <f t="shared" si="0"/>
        <v>134614868</v>
      </c>
      <c r="F18" s="23" t="s">
        <v>20</v>
      </c>
      <c r="G18" s="14">
        <v>10863060</v>
      </c>
      <c r="H18" s="14">
        <v>200833</v>
      </c>
    </row>
    <row r="19" spans="1:8" x14ac:dyDescent="0.3">
      <c r="A19" s="24">
        <v>46284</v>
      </c>
      <c r="B19" s="16" t="s">
        <v>25</v>
      </c>
      <c r="C19" s="7">
        <f t="shared" ref="C19:C41" si="1">ROUND(G19*$F$12,0)+H19</f>
        <v>0</v>
      </c>
      <c r="D19" s="7">
        <f t="shared" ref="D19:D41" si="2">SUMIFS($E$47:$E$140,$A$47:$A$140,A19)</f>
        <v>0</v>
      </c>
      <c r="E19" s="7">
        <f t="shared" si="0"/>
        <v>134614868</v>
      </c>
      <c r="F19" s="25" t="str">
        <f t="shared" ref="F19:F41" si="3">IF(E19&lt;0,"부족","")</f>
        <v/>
      </c>
      <c r="G19" s="14">
        <v>0</v>
      </c>
      <c r="H19" s="14">
        <v>0</v>
      </c>
    </row>
    <row r="20" spans="1:8" x14ac:dyDescent="0.3">
      <c r="A20" s="24">
        <v>46285</v>
      </c>
      <c r="B20" s="16" t="s">
        <v>26</v>
      </c>
      <c r="C20" s="7">
        <f t="shared" si="1"/>
        <v>0</v>
      </c>
      <c r="D20" s="7">
        <f t="shared" si="2"/>
        <v>0</v>
      </c>
      <c r="E20" s="7">
        <f t="shared" si="0"/>
        <v>134614868</v>
      </c>
      <c r="F20" s="25" t="str">
        <f t="shared" si="3"/>
        <v/>
      </c>
      <c r="G20" s="14">
        <v>0</v>
      </c>
      <c r="H20" s="14">
        <v>0</v>
      </c>
    </row>
    <row r="21" spans="1:8" x14ac:dyDescent="0.3">
      <c r="A21" s="24">
        <v>46286</v>
      </c>
      <c r="B21" s="16" t="s">
        <v>19</v>
      </c>
      <c r="C21" s="7">
        <f t="shared" si="1"/>
        <v>9028691</v>
      </c>
      <c r="D21" s="7">
        <f t="shared" si="2"/>
        <v>13914000</v>
      </c>
      <c r="E21" s="7">
        <f t="shared" si="0"/>
        <v>129729559</v>
      </c>
      <c r="F21" s="25" t="str">
        <f t="shared" si="3"/>
        <v/>
      </c>
      <c r="G21" s="14">
        <v>11285864</v>
      </c>
      <c r="H21" s="14">
        <v>0</v>
      </c>
    </row>
    <row r="22" spans="1:8" x14ac:dyDescent="0.3">
      <c r="A22" s="24">
        <v>46287</v>
      </c>
      <c r="B22" s="16" t="s">
        <v>21</v>
      </c>
      <c r="C22" s="7">
        <f t="shared" si="1"/>
        <v>18171406</v>
      </c>
      <c r="D22" s="7">
        <f t="shared" si="2"/>
        <v>21523110</v>
      </c>
      <c r="E22" s="7">
        <f t="shared" si="0"/>
        <v>126377855</v>
      </c>
      <c r="F22" s="25" t="str">
        <f t="shared" si="3"/>
        <v/>
      </c>
      <c r="G22" s="14">
        <v>22714257</v>
      </c>
      <c r="H22" s="14">
        <v>0</v>
      </c>
    </row>
    <row r="23" spans="1:8" x14ac:dyDescent="0.3">
      <c r="A23" s="24">
        <v>46288</v>
      </c>
      <c r="B23" s="16" t="s">
        <v>22</v>
      </c>
      <c r="C23" s="7">
        <f t="shared" si="1"/>
        <v>12504621</v>
      </c>
      <c r="D23" s="7">
        <f t="shared" si="2"/>
        <v>56398582</v>
      </c>
      <c r="E23" s="7">
        <f t="shared" si="0"/>
        <v>82483894</v>
      </c>
      <c r="F23" s="25" t="str">
        <f t="shared" si="3"/>
        <v/>
      </c>
      <c r="G23" s="14">
        <v>15630776</v>
      </c>
      <c r="H23" s="14">
        <v>0</v>
      </c>
    </row>
    <row r="24" spans="1:8" x14ac:dyDescent="0.3">
      <c r="A24" s="24">
        <v>46289</v>
      </c>
      <c r="B24" s="16" t="s">
        <v>23</v>
      </c>
      <c r="C24" s="7">
        <f t="shared" si="1"/>
        <v>11669022</v>
      </c>
      <c r="D24" s="7">
        <f t="shared" si="2"/>
        <v>2000000</v>
      </c>
      <c r="E24" s="7">
        <f t="shared" si="0"/>
        <v>92152916</v>
      </c>
      <c r="F24" s="25" t="str">
        <f t="shared" si="3"/>
        <v/>
      </c>
      <c r="G24" s="14">
        <v>14586277</v>
      </c>
      <c r="H24" s="14">
        <v>0</v>
      </c>
    </row>
    <row r="25" spans="1:8" x14ac:dyDescent="0.3">
      <c r="A25" s="26">
        <v>46290</v>
      </c>
      <c r="B25" s="27" t="s">
        <v>24</v>
      </c>
      <c r="C25" s="28">
        <f t="shared" si="1"/>
        <v>8690448</v>
      </c>
      <c r="D25" s="28">
        <f t="shared" si="2"/>
        <v>2606450</v>
      </c>
      <c r="E25" s="28">
        <f t="shared" si="0"/>
        <v>98236914</v>
      </c>
      <c r="F25" s="29" t="str">
        <f t="shared" si="3"/>
        <v/>
      </c>
      <c r="G25" s="14">
        <v>10863060</v>
      </c>
      <c r="H25" s="14">
        <v>0</v>
      </c>
    </row>
    <row r="26" spans="1:8" x14ac:dyDescent="0.3">
      <c r="A26" s="15">
        <v>46291</v>
      </c>
      <c r="B26" s="16" t="s">
        <v>25</v>
      </c>
      <c r="C26" s="7">
        <f t="shared" si="1"/>
        <v>0</v>
      </c>
      <c r="D26" s="7">
        <f t="shared" si="2"/>
        <v>0</v>
      </c>
      <c r="E26" s="7">
        <f t="shared" si="0"/>
        <v>98236914</v>
      </c>
      <c r="F26" s="30" t="str">
        <f t="shared" si="3"/>
        <v/>
      </c>
      <c r="G26" s="14">
        <v>0</v>
      </c>
      <c r="H26" s="14">
        <v>0</v>
      </c>
    </row>
    <row r="27" spans="1:8" x14ac:dyDescent="0.3">
      <c r="A27" s="15">
        <v>46292</v>
      </c>
      <c r="B27" s="16" t="s">
        <v>26</v>
      </c>
      <c r="C27" s="7">
        <f t="shared" si="1"/>
        <v>0</v>
      </c>
      <c r="D27" s="7">
        <f t="shared" si="2"/>
        <v>2099429</v>
      </c>
      <c r="E27" s="7">
        <f t="shared" si="0"/>
        <v>96137485</v>
      </c>
      <c r="F27" s="30" t="str">
        <f t="shared" si="3"/>
        <v/>
      </c>
      <c r="G27" s="14">
        <v>0</v>
      </c>
      <c r="H27" s="14">
        <v>0</v>
      </c>
    </row>
    <row r="28" spans="1:8" x14ac:dyDescent="0.3">
      <c r="A28" s="15">
        <v>46293</v>
      </c>
      <c r="B28" s="16" t="s">
        <v>19</v>
      </c>
      <c r="C28" s="7">
        <f t="shared" si="1"/>
        <v>9028691</v>
      </c>
      <c r="D28" s="7">
        <f t="shared" si="2"/>
        <v>44600001</v>
      </c>
      <c r="E28" s="7">
        <f t="shared" si="0"/>
        <v>60566175</v>
      </c>
      <c r="F28" s="30" t="str">
        <f t="shared" si="3"/>
        <v/>
      </c>
      <c r="G28" s="14">
        <v>11285864</v>
      </c>
      <c r="H28" s="14">
        <v>0</v>
      </c>
    </row>
    <row r="29" spans="1:8" x14ac:dyDescent="0.3">
      <c r="A29" s="15">
        <v>46294</v>
      </c>
      <c r="B29" s="16" t="s">
        <v>21</v>
      </c>
      <c r="C29" s="7">
        <f t="shared" si="1"/>
        <v>18171406</v>
      </c>
      <c r="D29" s="7">
        <f t="shared" si="2"/>
        <v>2979792</v>
      </c>
      <c r="E29" s="7">
        <f t="shared" si="0"/>
        <v>75757789</v>
      </c>
      <c r="F29" s="30" t="str">
        <f t="shared" si="3"/>
        <v/>
      </c>
      <c r="G29" s="14">
        <v>22714257</v>
      </c>
      <c r="H29" s="14">
        <v>0</v>
      </c>
    </row>
    <row r="30" spans="1:8" x14ac:dyDescent="0.3">
      <c r="A30" s="15">
        <v>46295</v>
      </c>
      <c r="B30" s="16" t="s">
        <v>22</v>
      </c>
      <c r="C30" s="7">
        <f t="shared" si="1"/>
        <v>22526488</v>
      </c>
      <c r="D30" s="7">
        <f t="shared" si="2"/>
        <v>84202207</v>
      </c>
      <c r="E30" s="7">
        <f t="shared" si="0"/>
        <v>14082070</v>
      </c>
      <c r="F30" s="30" t="str">
        <f t="shared" si="3"/>
        <v/>
      </c>
      <c r="G30" s="14">
        <v>15630776</v>
      </c>
      <c r="H30" s="14">
        <v>10021867</v>
      </c>
    </row>
    <row r="31" spans="1:8" x14ac:dyDescent="0.3">
      <c r="A31" s="15">
        <v>46296</v>
      </c>
      <c r="B31" s="16" t="s">
        <v>23</v>
      </c>
      <c r="C31" s="7">
        <f t="shared" si="1"/>
        <v>11669022</v>
      </c>
      <c r="D31" s="7">
        <f t="shared" si="2"/>
        <v>2952747</v>
      </c>
      <c r="E31" s="7">
        <f t="shared" si="0"/>
        <v>22798345</v>
      </c>
      <c r="F31" s="30" t="str">
        <f t="shared" si="3"/>
        <v/>
      </c>
      <c r="G31" s="14">
        <v>14586277</v>
      </c>
      <c r="H31" s="14">
        <v>0</v>
      </c>
    </row>
    <row r="32" spans="1:8" x14ac:dyDescent="0.3">
      <c r="A32" s="15">
        <v>46297</v>
      </c>
      <c r="B32" s="16" t="s">
        <v>24</v>
      </c>
      <c r="C32" s="7">
        <f t="shared" si="1"/>
        <v>8690448</v>
      </c>
      <c r="D32" s="7">
        <f t="shared" si="2"/>
        <v>0</v>
      </c>
      <c r="E32" s="7">
        <f t="shared" si="0"/>
        <v>31488793</v>
      </c>
      <c r="F32" s="30" t="str">
        <f t="shared" si="3"/>
        <v/>
      </c>
      <c r="G32" s="14">
        <v>10863060</v>
      </c>
      <c r="H32" s="14">
        <v>0</v>
      </c>
    </row>
    <row r="33" spans="1:8" x14ac:dyDescent="0.3">
      <c r="A33" s="15">
        <v>46298</v>
      </c>
      <c r="B33" s="16" t="s">
        <v>25</v>
      </c>
      <c r="C33" s="7">
        <f t="shared" si="1"/>
        <v>0</v>
      </c>
      <c r="D33" s="7">
        <f t="shared" si="2"/>
        <v>100000</v>
      </c>
      <c r="E33" s="7">
        <f t="shared" si="0"/>
        <v>31388793</v>
      </c>
      <c r="F33" s="30" t="str">
        <f t="shared" si="3"/>
        <v/>
      </c>
      <c r="G33" s="14">
        <v>0</v>
      </c>
      <c r="H33" s="14">
        <v>0</v>
      </c>
    </row>
    <row r="34" spans="1:8" x14ac:dyDescent="0.3">
      <c r="A34" s="15">
        <v>46299</v>
      </c>
      <c r="B34" s="16" t="s">
        <v>26</v>
      </c>
      <c r="C34" s="7">
        <f t="shared" si="1"/>
        <v>0</v>
      </c>
      <c r="D34" s="7">
        <f t="shared" si="2"/>
        <v>30000000</v>
      </c>
      <c r="E34" s="7">
        <f t="shared" si="0"/>
        <v>1388793</v>
      </c>
      <c r="F34" s="30" t="str">
        <f t="shared" si="3"/>
        <v/>
      </c>
      <c r="G34" s="14">
        <v>0</v>
      </c>
      <c r="H34" s="14">
        <v>0</v>
      </c>
    </row>
    <row r="35" spans="1:8" x14ac:dyDescent="0.3">
      <c r="A35" s="15">
        <v>46300</v>
      </c>
      <c r="B35" s="16" t="s">
        <v>19</v>
      </c>
      <c r="C35" s="7">
        <f t="shared" si="1"/>
        <v>9028691</v>
      </c>
      <c r="D35" s="7">
        <f t="shared" si="2"/>
        <v>0</v>
      </c>
      <c r="E35" s="7">
        <f t="shared" si="0"/>
        <v>10417484</v>
      </c>
      <c r="F35" s="30" t="str">
        <f t="shared" si="3"/>
        <v/>
      </c>
      <c r="G35" s="14">
        <v>11285864</v>
      </c>
      <c r="H35" s="14">
        <v>0</v>
      </c>
    </row>
    <row r="36" spans="1:8" x14ac:dyDescent="0.3">
      <c r="A36" s="15">
        <v>46301</v>
      </c>
      <c r="B36" s="16" t="s">
        <v>21</v>
      </c>
      <c r="C36" s="7">
        <f t="shared" si="1"/>
        <v>18171406</v>
      </c>
      <c r="D36" s="7">
        <f t="shared" si="2"/>
        <v>4494000</v>
      </c>
      <c r="E36" s="7">
        <f t="shared" si="0"/>
        <v>24094890</v>
      </c>
      <c r="F36" s="30" t="str">
        <f t="shared" si="3"/>
        <v/>
      </c>
      <c r="G36" s="14">
        <v>22714257</v>
      </c>
      <c r="H36" s="14">
        <v>0</v>
      </c>
    </row>
    <row r="37" spans="1:8" x14ac:dyDescent="0.3">
      <c r="A37" s="15">
        <v>46302</v>
      </c>
      <c r="B37" s="16" t="s">
        <v>22</v>
      </c>
      <c r="C37" s="7">
        <f t="shared" si="1"/>
        <v>12504621</v>
      </c>
      <c r="D37" s="7">
        <f t="shared" si="2"/>
        <v>8898225</v>
      </c>
      <c r="E37" s="7">
        <f t="shared" si="0"/>
        <v>27701286</v>
      </c>
      <c r="F37" s="30" t="str">
        <f t="shared" si="3"/>
        <v/>
      </c>
      <c r="G37" s="14">
        <v>15630776</v>
      </c>
      <c r="H37" s="14">
        <v>0</v>
      </c>
    </row>
    <row r="38" spans="1:8" x14ac:dyDescent="0.3">
      <c r="A38" s="15">
        <v>46303</v>
      </c>
      <c r="B38" s="16" t="s">
        <v>23</v>
      </c>
      <c r="C38" s="7">
        <f t="shared" si="1"/>
        <v>11669022</v>
      </c>
      <c r="D38" s="7">
        <f t="shared" si="2"/>
        <v>42006200</v>
      </c>
      <c r="E38" s="7">
        <f t="shared" si="0"/>
        <v>-2635892</v>
      </c>
      <c r="F38" s="30" t="str">
        <f t="shared" si="3"/>
        <v>부족</v>
      </c>
      <c r="G38" s="14">
        <v>14586277</v>
      </c>
      <c r="H38" s="14">
        <v>0</v>
      </c>
    </row>
    <row r="39" spans="1:8" x14ac:dyDescent="0.3">
      <c r="A39" s="15">
        <v>46304</v>
      </c>
      <c r="B39" s="16" t="s">
        <v>24</v>
      </c>
      <c r="C39" s="7">
        <f t="shared" si="1"/>
        <v>8690448</v>
      </c>
      <c r="D39" s="7">
        <f t="shared" si="2"/>
        <v>14690500</v>
      </c>
      <c r="E39" s="7">
        <f t="shared" si="0"/>
        <v>-8635944</v>
      </c>
      <c r="F39" s="30" t="str">
        <f t="shared" si="3"/>
        <v>부족</v>
      </c>
      <c r="G39" s="14">
        <v>10863060</v>
      </c>
      <c r="H39" s="14">
        <v>0</v>
      </c>
    </row>
    <row r="40" spans="1:8" x14ac:dyDescent="0.3">
      <c r="A40" s="15">
        <v>46305</v>
      </c>
      <c r="B40" s="16" t="s">
        <v>25</v>
      </c>
      <c r="C40" s="7">
        <f t="shared" si="1"/>
        <v>0</v>
      </c>
      <c r="D40" s="7">
        <f t="shared" si="2"/>
        <v>52883549</v>
      </c>
      <c r="E40" s="7">
        <f t="shared" si="0"/>
        <v>-61519493</v>
      </c>
      <c r="F40" s="30" t="str">
        <f t="shared" si="3"/>
        <v>부족</v>
      </c>
      <c r="G40" s="14">
        <v>0</v>
      </c>
      <c r="H40" s="14">
        <v>0</v>
      </c>
    </row>
    <row r="41" spans="1:8" x14ac:dyDescent="0.3">
      <c r="A41" s="15">
        <v>46306</v>
      </c>
      <c r="B41" s="16" t="s">
        <v>26</v>
      </c>
      <c r="C41" s="7">
        <f t="shared" si="1"/>
        <v>0</v>
      </c>
      <c r="D41" s="7">
        <f t="shared" si="2"/>
        <v>40309960</v>
      </c>
      <c r="E41" s="7">
        <f t="shared" si="0"/>
        <v>-101829453</v>
      </c>
      <c r="F41" s="30" t="str">
        <f t="shared" si="3"/>
        <v>부족</v>
      </c>
      <c r="G41" s="14">
        <v>0</v>
      </c>
      <c r="H41" s="14">
        <v>0</v>
      </c>
    </row>
    <row r="42" spans="1:8" x14ac:dyDescent="0.3">
      <c r="A42" s="31" t="s">
        <v>27</v>
      </c>
      <c r="C42" s="32">
        <f>MIN(E14:E41)</f>
        <v>-101829453</v>
      </c>
      <c r="D42" s="33" t="s">
        <v>28</v>
      </c>
      <c r="E42" s="32">
        <f>E41</f>
        <v>-101829453</v>
      </c>
    </row>
    <row r="43" spans="1:8" x14ac:dyDescent="0.3">
      <c r="A43" s="31" t="str">
        <f>IF(C42&gt;=0,"향후 4주 부족분 없음 — 계획대로 집행 가능합니다.","향후 4주 최대 부족 "&amp;TEXT(-C42,"#,##0")&amp;"원 — 지출 일정 조정 또는 자금 조치가 필요합니다.")</f>
        <v>향후 4주 최대 부족 101,829,453원 — 지출 일정 조정 또는 자금 조치가 필요합니다.</v>
      </c>
    </row>
    <row r="45" spans="1:8" x14ac:dyDescent="0.3">
      <c r="A45" s="4" t="s">
        <v>94</v>
      </c>
      <c r="B45" s="5"/>
      <c r="C45" s="5"/>
      <c r="D45" s="5"/>
      <c r="E45" s="5"/>
      <c r="F45" s="5"/>
    </row>
    <row r="46" spans="1:8" x14ac:dyDescent="0.3">
      <c r="A46" s="13" t="s">
        <v>29</v>
      </c>
      <c r="B46" s="13" t="s">
        <v>14</v>
      </c>
      <c r="C46" s="13" t="s">
        <v>30</v>
      </c>
      <c r="D46" s="13" t="s">
        <v>31</v>
      </c>
      <c r="E46" s="13" t="s">
        <v>32</v>
      </c>
      <c r="F46" s="13" t="s">
        <v>33</v>
      </c>
    </row>
    <row r="47" spans="1:8" x14ac:dyDescent="0.3">
      <c r="A47" s="34">
        <v>46286</v>
      </c>
      <c r="B47" s="16" t="str">
        <f t="shared" ref="B47:B91" si="4">IF(A47="","",MID("월화수목금토일",WEEKDAY(A47,2),1))</f>
        <v>월</v>
      </c>
      <c r="C47" s="6" t="s">
        <v>34</v>
      </c>
      <c r="D47" s="35" t="s">
        <v>35</v>
      </c>
      <c r="E47" s="36">
        <v>4900000</v>
      </c>
      <c r="F47" s="16" t="s">
        <v>36</v>
      </c>
    </row>
    <row r="48" spans="1:8" x14ac:dyDescent="0.3">
      <c r="A48" s="34">
        <v>46286</v>
      </c>
      <c r="B48" s="16" t="str">
        <f t="shared" si="4"/>
        <v>월</v>
      </c>
      <c r="C48" s="6" t="s">
        <v>37</v>
      </c>
      <c r="D48" s="35" t="s">
        <v>38</v>
      </c>
      <c r="E48" s="36">
        <v>3498000</v>
      </c>
      <c r="F48" s="16" t="s">
        <v>39</v>
      </c>
    </row>
    <row r="49" spans="1:6" x14ac:dyDescent="0.3">
      <c r="A49" s="34">
        <v>46286</v>
      </c>
      <c r="B49" s="16" t="str">
        <f t="shared" si="4"/>
        <v>월</v>
      </c>
      <c r="C49" s="6" t="s">
        <v>37</v>
      </c>
      <c r="D49" s="35" t="s">
        <v>40</v>
      </c>
      <c r="E49" s="36">
        <v>3300000</v>
      </c>
      <c r="F49" s="16" t="s">
        <v>39</v>
      </c>
    </row>
    <row r="50" spans="1:6" ht="27" x14ac:dyDescent="0.3">
      <c r="A50" s="34">
        <v>46286</v>
      </c>
      <c r="B50" s="16" t="str">
        <f t="shared" si="4"/>
        <v>월</v>
      </c>
      <c r="C50" s="6" t="s">
        <v>37</v>
      </c>
      <c r="D50" s="35" t="s">
        <v>41</v>
      </c>
      <c r="E50" s="36">
        <v>1996000</v>
      </c>
      <c r="F50" s="16" t="s">
        <v>39</v>
      </c>
    </row>
    <row r="51" spans="1:6" x14ac:dyDescent="0.3">
      <c r="A51" s="34">
        <v>46286</v>
      </c>
      <c r="B51" s="16" t="str">
        <f t="shared" si="4"/>
        <v>월</v>
      </c>
      <c r="C51" s="6" t="s">
        <v>34</v>
      </c>
      <c r="D51" s="35" t="s">
        <v>42</v>
      </c>
      <c r="E51" s="36">
        <v>220000</v>
      </c>
      <c r="F51" s="16" t="s">
        <v>36</v>
      </c>
    </row>
    <row r="52" spans="1:6" x14ac:dyDescent="0.3">
      <c r="A52" s="34">
        <v>46287</v>
      </c>
      <c r="B52" s="16" t="str">
        <f t="shared" si="4"/>
        <v>화</v>
      </c>
      <c r="C52" s="6" t="s">
        <v>34</v>
      </c>
      <c r="D52" s="35" t="s">
        <v>42</v>
      </c>
      <c r="E52" s="36">
        <v>21023110</v>
      </c>
      <c r="F52" s="16" t="s">
        <v>39</v>
      </c>
    </row>
    <row r="53" spans="1:6" x14ac:dyDescent="0.3">
      <c r="A53" s="34">
        <v>46287</v>
      </c>
      <c r="B53" s="16" t="str">
        <f t="shared" si="4"/>
        <v>화</v>
      </c>
      <c r="C53" s="6" t="s">
        <v>37</v>
      </c>
      <c r="D53" s="35" t="s">
        <v>43</v>
      </c>
      <c r="E53" s="36">
        <v>500000</v>
      </c>
      <c r="F53" s="16" t="s">
        <v>39</v>
      </c>
    </row>
    <row r="54" spans="1:6" x14ac:dyDescent="0.3">
      <c r="A54" s="34">
        <v>46288</v>
      </c>
      <c r="B54" s="16" t="str">
        <f t="shared" si="4"/>
        <v>수</v>
      </c>
      <c r="C54" s="6" t="s">
        <v>34</v>
      </c>
      <c r="D54" s="35" t="s">
        <v>42</v>
      </c>
      <c r="E54" s="36">
        <v>32174232</v>
      </c>
      <c r="F54" s="16" t="s">
        <v>36</v>
      </c>
    </row>
    <row r="55" spans="1:6" x14ac:dyDescent="0.3">
      <c r="A55" s="34">
        <v>46288</v>
      </c>
      <c r="B55" s="16" t="str">
        <f t="shared" si="4"/>
        <v>수</v>
      </c>
      <c r="C55" s="6" t="s">
        <v>37</v>
      </c>
      <c r="D55" s="35" t="s">
        <v>44</v>
      </c>
      <c r="E55" s="36">
        <v>8305000</v>
      </c>
      <c r="F55" s="16" t="s">
        <v>39</v>
      </c>
    </row>
    <row r="56" spans="1:6" x14ac:dyDescent="0.3">
      <c r="A56" s="34">
        <v>46288</v>
      </c>
      <c r="B56" s="16" t="str">
        <f t="shared" si="4"/>
        <v>수</v>
      </c>
      <c r="C56" s="6" t="s">
        <v>45</v>
      </c>
      <c r="D56" s="35" t="s">
        <v>46</v>
      </c>
      <c r="E56" s="36">
        <v>7641812</v>
      </c>
      <c r="F56" s="16"/>
    </row>
    <row r="57" spans="1:6" x14ac:dyDescent="0.3">
      <c r="A57" s="34">
        <v>46288</v>
      </c>
      <c r="B57" s="16" t="str">
        <f t="shared" si="4"/>
        <v>수</v>
      </c>
      <c r="C57" s="6" t="s">
        <v>45</v>
      </c>
      <c r="D57" s="35" t="s">
        <v>47</v>
      </c>
      <c r="E57" s="36">
        <v>6066502</v>
      </c>
      <c r="F57" s="16"/>
    </row>
    <row r="58" spans="1:6" x14ac:dyDescent="0.3">
      <c r="A58" s="34">
        <v>46288</v>
      </c>
      <c r="B58" s="16" t="str">
        <f t="shared" si="4"/>
        <v>수</v>
      </c>
      <c r="C58" s="6" t="s">
        <v>37</v>
      </c>
      <c r="D58" s="35" t="s">
        <v>48</v>
      </c>
      <c r="E58" s="36">
        <v>1487786</v>
      </c>
      <c r="F58" s="16" t="s">
        <v>39</v>
      </c>
    </row>
    <row r="59" spans="1:6" x14ac:dyDescent="0.3">
      <c r="A59" s="34">
        <v>46288</v>
      </c>
      <c r="B59" s="16" t="str">
        <f t="shared" si="4"/>
        <v>수</v>
      </c>
      <c r="C59" s="6" t="s">
        <v>37</v>
      </c>
      <c r="D59" s="35" t="s">
        <v>49</v>
      </c>
      <c r="E59" s="36">
        <v>550000</v>
      </c>
      <c r="F59" s="16" t="s">
        <v>39</v>
      </c>
    </row>
    <row r="60" spans="1:6" x14ac:dyDescent="0.3">
      <c r="A60" s="34">
        <v>46288</v>
      </c>
      <c r="B60" s="16" t="str">
        <f t="shared" si="4"/>
        <v>수</v>
      </c>
      <c r="C60" s="6" t="s">
        <v>45</v>
      </c>
      <c r="D60" s="35" t="s">
        <v>50</v>
      </c>
      <c r="E60" s="36">
        <v>173250</v>
      </c>
      <c r="F60" s="16"/>
    </row>
    <row r="61" spans="1:6" x14ac:dyDescent="0.3">
      <c r="A61" s="34">
        <v>46289</v>
      </c>
      <c r="B61" s="16" t="str">
        <f t="shared" si="4"/>
        <v>목</v>
      </c>
      <c r="C61" s="6" t="s">
        <v>45</v>
      </c>
      <c r="D61" s="35" t="s">
        <v>51</v>
      </c>
      <c r="E61" s="36">
        <v>2000000</v>
      </c>
      <c r="F61" s="16"/>
    </row>
    <row r="62" spans="1:6" x14ac:dyDescent="0.3">
      <c r="A62" s="34">
        <v>46290</v>
      </c>
      <c r="B62" s="16" t="str">
        <f t="shared" si="4"/>
        <v>금</v>
      </c>
      <c r="C62" s="6" t="s">
        <v>34</v>
      </c>
      <c r="D62" s="35" t="s">
        <v>35</v>
      </c>
      <c r="E62" s="36">
        <v>2497000</v>
      </c>
      <c r="F62" s="16" t="s">
        <v>36</v>
      </c>
    </row>
    <row r="63" spans="1:6" x14ac:dyDescent="0.3">
      <c r="A63" s="34">
        <v>46290</v>
      </c>
      <c r="B63" s="16" t="str">
        <f t="shared" si="4"/>
        <v>금</v>
      </c>
      <c r="C63" s="6" t="s">
        <v>34</v>
      </c>
      <c r="D63" s="35" t="s">
        <v>42</v>
      </c>
      <c r="E63" s="36">
        <v>109450</v>
      </c>
      <c r="F63" s="16" t="s">
        <v>36</v>
      </c>
    </row>
    <row r="64" spans="1:6" x14ac:dyDescent="0.3">
      <c r="A64" s="34">
        <v>46292</v>
      </c>
      <c r="B64" s="16" t="str">
        <f t="shared" si="4"/>
        <v>일</v>
      </c>
      <c r="C64" s="6" t="s">
        <v>45</v>
      </c>
      <c r="D64" s="35" t="s">
        <v>52</v>
      </c>
      <c r="E64" s="36">
        <v>1650000</v>
      </c>
      <c r="F64" s="16"/>
    </row>
    <row r="65" spans="1:6" ht="27" x14ac:dyDescent="0.3">
      <c r="A65" s="34">
        <v>46292</v>
      </c>
      <c r="B65" s="16" t="str">
        <f t="shared" si="4"/>
        <v>일</v>
      </c>
      <c r="C65" s="6" t="s">
        <v>45</v>
      </c>
      <c r="D65" s="35" t="s">
        <v>53</v>
      </c>
      <c r="E65" s="36">
        <v>449429</v>
      </c>
      <c r="F65" s="16"/>
    </row>
    <row r="66" spans="1:6" ht="27" x14ac:dyDescent="0.3">
      <c r="A66" s="34">
        <v>46293</v>
      </c>
      <c r="B66" s="16" t="str">
        <f t="shared" si="4"/>
        <v>월</v>
      </c>
      <c r="C66" s="6" t="s">
        <v>45</v>
      </c>
      <c r="D66" s="35" t="s">
        <v>54</v>
      </c>
      <c r="E66" s="36">
        <v>44600001</v>
      </c>
      <c r="F66" s="16"/>
    </row>
    <row r="67" spans="1:6" ht="27" x14ac:dyDescent="0.3">
      <c r="A67" s="34">
        <v>46294</v>
      </c>
      <c r="B67" s="16" t="str">
        <f t="shared" si="4"/>
        <v>화</v>
      </c>
      <c r="C67" s="6" t="s">
        <v>45</v>
      </c>
      <c r="D67" s="35" t="s">
        <v>55</v>
      </c>
      <c r="E67" s="36">
        <v>1348600</v>
      </c>
      <c r="F67" s="16"/>
    </row>
    <row r="68" spans="1:6" ht="27" x14ac:dyDescent="0.3">
      <c r="A68" s="34">
        <v>46294</v>
      </c>
      <c r="B68" s="16" t="str">
        <f t="shared" si="4"/>
        <v>화</v>
      </c>
      <c r="C68" s="6" t="s">
        <v>45</v>
      </c>
      <c r="D68" s="35" t="s">
        <v>56</v>
      </c>
      <c r="E68" s="36">
        <v>1045000</v>
      </c>
      <c r="F68" s="16"/>
    </row>
    <row r="69" spans="1:6" ht="27" x14ac:dyDescent="0.3">
      <c r="A69" s="34">
        <v>46294</v>
      </c>
      <c r="B69" s="16" t="str">
        <f t="shared" si="4"/>
        <v>화</v>
      </c>
      <c r="C69" s="6" t="s">
        <v>45</v>
      </c>
      <c r="D69" s="35" t="s">
        <v>57</v>
      </c>
      <c r="E69" s="36">
        <v>586192</v>
      </c>
      <c r="F69" s="16"/>
    </row>
    <row r="70" spans="1:6" x14ac:dyDescent="0.3">
      <c r="A70" s="34">
        <v>46295</v>
      </c>
      <c r="B70" s="16" t="str">
        <f t="shared" si="4"/>
        <v>수</v>
      </c>
      <c r="C70" s="6" t="s">
        <v>45</v>
      </c>
      <c r="D70" s="35" t="s">
        <v>58</v>
      </c>
      <c r="E70" s="36">
        <v>65040941</v>
      </c>
      <c r="F70" s="16"/>
    </row>
    <row r="71" spans="1:6" x14ac:dyDescent="0.3">
      <c r="A71" s="34">
        <v>46295</v>
      </c>
      <c r="B71" s="16" t="str">
        <f t="shared" si="4"/>
        <v>수</v>
      </c>
      <c r="C71" s="6" t="s">
        <v>45</v>
      </c>
      <c r="D71" s="35" t="s">
        <v>59</v>
      </c>
      <c r="E71" s="36">
        <v>10790260</v>
      </c>
      <c r="F71" s="16"/>
    </row>
    <row r="72" spans="1:6" x14ac:dyDescent="0.3">
      <c r="A72" s="34">
        <v>46295</v>
      </c>
      <c r="B72" s="16" t="str">
        <f t="shared" si="4"/>
        <v>수</v>
      </c>
      <c r="C72" s="6" t="s">
        <v>45</v>
      </c>
      <c r="D72" s="35" t="s">
        <v>60</v>
      </c>
      <c r="E72" s="36">
        <v>8156420</v>
      </c>
      <c r="F72" s="16"/>
    </row>
    <row r="73" spans="1:6" ht="27" x14ac:dyDescent="0.3">
      <c r="A73" s="34">
        <v>46295</v>
      </c>
      <c r="B73" s="16" t="str">
        <f t="shared" si="4"/>
        <v>수</v>
      </c>
      <c r="C73" s="6" t="s">
        <v>45</v>
      </c>
      <c r="D73" s="35" t="s">
        <v>61</v>
      </c>
      <c r="E73" s="36">
        <v>214586</v>
      </c>
      <c r="F73" s="16"/>
    </row>
    <row r="74" spans="1:6" x14ac:dyDescent="0.3">
      <c r="A74" s="34">
        <v>46296</v>
      </c>
      <c r="B74" s="16" t="str">
        <f t="shared" si="4"/>
        <v>목</v>
      </c>
      <c r="C74" s="6" t="s">
        <v>45</v>
      </c>
      <c r="D74" s="35" t="s">
        <v>62</v>
      </c>
      <c r="E74" s="36">
        <v>2952747</v>
      </c>
      <c r="F74" s="16"/>
    </row>
    <row r="75" spans="1:6" x14ac:dyDescent="0.3">
      <c r="A75" s="34">
        <v>46298</v>
      </c>
      <c r="B75" s="16" t="str">
        <f t="shared" si="4"/>
        <v>토</v>
      </c>
      <c r="C75" s="6" t="s">
        <v>45</v>
      </c>
      <c r="D75" s="35" t="s">
        <v>63</v>
      </c>
      <c r="E75" s="36">
        <v>100000</v>
      </c>
      <c r="F75" s="16"/>
    </row>
    <row r="76" spans="1:6" x14ac:dyDescent="0.3">
      <c r="A76" s="34">
        <v>46299</v>
      </c>
      <c r="B76" s="16" t="str">
        <f t="shared" si="4"/>
        <v>일</v>
      </c>
      <c r="C76" s="6" t="s">
        <v>45</v>
      </c>
      <c r="D76" s="35" t="s">
        <v>64</v>
      </c>
      <c r="E76" s="36">
        <v>30000000</v>
      </c>
      <c r="F76" s="16"/>
    </row>
    <row r="77" spans="1:6" x14ac:dyDescent="0.3">
      <c r="A77" s="34">
        <v>46301</v>
      </c>
      <c r="B77" s="16" t="str">
        <f t="shared" si="4"/>
        <v>화</v>
      </c>
      <c r="C77" s="6" t="s">
        <v>45</v>
      </c>
      <c r="D77" s="35" t="s">
        <v>65</v>
      </c>
      <c r="E77" s="36">
        <v>4494000</v>
      </c>
      <c r="F77" s="16"/>
    </row>
    <row r="78" spans="1:6" x14ac:dyDescent="0.3">
      <c r="A78" s="34">
        <v>46302</v>
      </c>
      <c r="B78" s="16" t="str">
        <f t="shared" si="4"/>
        <v>수</v>
      </c>
      <c r="C78" s="6" t="s">
        <v>45</v>
      </c>
      <c r="D78" s="35" t="s">
        <v>66</v>
      </c>
      <c r="E78" s="36">
        <v>8898225</v>
      </c>
      <c r="F78" s="16"/>
    </row>
    <row r="79" spans="1:6" x14ac:dyDescent="0.3">
      <c r="A79" s="34">
        <v>46303</v>
      </c>
      <c r="B79" s="16" t="str">
        <f t="shared" si="4"/>
        <v>목</v>
      </c>
      <c r="C79" s="6" t="s">
        <v>45</v>
      </c>
      <c r="D79" s="35" t="s">
        <v>67</v>
      </c>
      <c r="E79" s="36">
        <v>42006200</v>
      </c>
      <c r="F79" s="16"/>
    </row>
    <row r="80" spans="1:6" ht="27" x14ac:dyDescent="0.3">
      <c r="A80" s="34">
        <v>46304</v>
      </c>
      <c r="B80" s="16" t="str">
        <f t="shared" si="4"/>
        <v>금</v>
      </c>
      <c r="C80" s="6" t="s">
        <v>45</v>
      </c>
      <c r="D80" s="35" t="s">
        <v>68</v>
      </c>
      <c r="E80" s="36">
        <v>9157500</v>
      </c>
      <c r="F80" s="16"/>
    </row>
    <row r="81" spans="1:6" x14ac:dyDescent="0.3">
      <c r="A81" s="34">
        <v>46304</v>
      </c>
      <c r="B81" s="16" t="str">
        <f t="shared" si="4"/>
        <v>금</v>
      </c>
      <c r="C81" s="6" t="s">
        <v>45</v>
      </c>
      <c r="D81" s="35" t="s">
        <v>69</v>
      </c>
      <c r="E81" s="36">
        <v>4427500</v>
      </c>
      <c r="F81" s="16"/>
    </row>
    <row r="82" spans="1:6" x14ac:dyDescent="0.3">
      <c r="A82" s="34">
        <v>46304</v>
      </c>
      <c r="B82" s="16" t="str">
        <f t="shared" si="4"/>
        <v>금</v>
      </c>
      <c r="C82" s="6" t="s">
        <v>45</v>
      </c>
      <c r="D82" s="35" t="s">
        <v>70</v>
      </c>
      <c r="E82" s="36">
        <v>907500</v>
      </c>
      <c r="F82" s="16"/>
    </row>
    <row r="83" spans="1:6" ht="27" x14ac:dyDescent="0.3">
      <c r="A83" s="34">
        <v>46304</v>
      </c>
      <c r="B83" s="16" t="str">
        <f t="shared" si="4"/>
        <v>금</v>
      </c>
      <c r="C83" s="6" t="s">
        <v>45</v>
      </c>
      <c r="D83" s="35" t="s">
        <v>71</v>
      </c>
      <c r="E83" s="36">
        <v>198000</v>
      </c>
      <c r="F83" s="16"/>
    </row>
    <row r="84" spans="1:6" x14ac:dyDescent="0.3">
      <c r="A84" s="34">
        <v>46305</v>
      </c>
      <c r="B84" s="16" t="str">
        <f t="shared" si="4"/>
        <v>토</v>
      </c>
      <c r="C84" s="6" t="s">
        <v>45</v>
      </c>
      <c r="D84" s="35" t="s">
        <v>72</v>
      </c>
      <c r="E84" s="36">
        <v>16964733</v>
      </c>
      <c r="F84" s="16"/>
    </row>
    <row r="85" spans="1:6" ht="27" x14ac:dyDescent="0.3">
      <c r="A85" s="34">
        <v>46305</v>
      </c>
      <c r="B85" s="16" t="str">
        <f t="shared" si="4"/>
        <v>토</v>
      </c>
      <c r="C85" s="6" t="s">
        <v>45</v>
      </c>
      <c r="D85" s="35" t="s">
        <v>73</v>
      </c>
      <c r="E85" s="36">
        <v>16732980</v>
      </c>
      <c r="F85" s="16"/>
    </row>
    <row r="86" spans="1:6" x14ac:dyDescent="0.3">
      <c r="A86" s="34">
        <v>46305</v>
      </c>
      <c r="B86" s="16" t="str">
        <f t="shared" si="4"/>
        <v>토</v>
      </c>
      <c r="C86" s="6" t="s">
        <v>45</v>
      </c>
      <c r="D86" s="35" t="s">
        <v>74</v>
      </c>
      <c r="E86" s="36">
        <v>16413167</v>
      </c>
      <c r="F86" s="16"/>
    </row>
    <row r="87" spans="1:6" ht="27" x14ac:dyDescent="0.3">
      <c r="A87" s="34">
        <v>46305</v>
      </c>
      <c r="B87" s="16" t="str">
        <f t="shared" si="4"/>
        <v>토</v>
      </c>
      <c r="C87" s="6" t="s">
        <v>45</v>
      </c>
      <c r="D87" s="35" t="s">
        <v>75</v>
      </c>
      <c r="E87" s="36">
        <v>2659287</v>
      </c>
      <c r="F87" s="16"/>
    </row>
    <row r="88" spans="1:6" ht="27" x14ac:dyDescent="0.3">
      <c r="A88" s="34">
        <v>46305</v>
      </c>
      <c r="B88" s="16" t="str">
        <f t="shared" si="4"/>
        <v>토</v>
      </c>
      <c r="C88" s="6" t="s">
        <v>45</v>
      </c>
      <c r="D88" s="35" t="s">
        <v>76</v>
      </c>
      <c r="E88" s="36">
        <v>113382</v>
      </c>
      <c r="F88" s="16"/>
    </row>
    <row r="89" spans="1:6" x14ac:dyDescent="0.3">
      <c r="A89" s="34">
        <v>46306</v>
      </c>
      <c r="B89" s="16" t="str">
        <f t="shared" si="4"/>
        <v>일</v>
      </c>
      <c r="C89" s="6" t="s">
        <v>45</v>
      </c>
      <c r="D89" s="35" t="s">
        <v>77</v>
      </c>
      <c r="E89" s="36">
        <v>39250000</v>
      </c>
      <c r="F89" s="16"/>
    </row>
    <row r="90" spans="1:6" x14ac:dyDescent="0.3">
      <c r="A90" s="34">
        <v>46306</v>
      </c>
      <c r="B90" s="16" t="str">
        <f t="shared" si="4"/>
        <v>일</v>
      </c>
      <c r="C90" s="6" t="s">
        <v>45</v>
      </c>
      <c r="D90" s="35" t="s">
        <v>78</v>
      </c>
      <c r="E90" s="36">
        <v>839960</v>
      </c>
      <c r="F90" s="16"/>
    </row>
    <row r="91" spans="1:6" ht="27" x14ac:dyDescent="0.3">
      <c r="A91" s="34">
        <v>46306</v>
      </c>
      <c r="B91" s="16" t="str">
        <f t="shared" si="4"/>
        <v>일</v>
      </c>
      <c r="C91" s="6" t="s">
        <v>45</v>
      </c>
      <c r="D91" s="35" t="s">
        <v>79</v>
      </c>
      <c r="E91" s="36">
        <v>220000</v>
      </c>
      <c r="F91" s="16"/>
    </row>
    <row r="141" spans="1:6" x14ac:dyDescent="0.3">
      <c r="D141" s="37" t="s">
        <v>80</v>
      </c>
      <c r="E141" s="32">
        <f>SUM(E47:E140)</f>
        <v>426658752</v>
      </c>
    </row>
    <row r="143" spans="1:6" x14ac:dyDescent="0.3">
      <c r="A143" s="4" t="s">
        <v>81</v>
      </c>
      <c r="B143" s="5"/>
      <c r="C143" s="5"/>
      <c r="D143" s="5"/>
      <c r="E143" s="5"/>
      <c r="F143" s="5"/>
    </row>
    <row r="144" spans="1:6" ht="24" x14ac:dyDescent="0.3">
      <c r="A144" s="31" t="s">
        <v>82</v>
      </c>
      <c r="B144" s="36">
        <v>0</v>
      </c>
      <c r="D144" s="38" t="s">
        <v>83</v>
      </c>
    </row>
    <row r="145" spans="1:6" x14ac:dyDescent="0.3">
      <c r="A145" s="13" t="s">
        <v>84</v>
      </c>
      <c r="B145" s="13" t="s">
        <v>85</v>
      </c>
      <c r="C145" s="13" t="s">
        <v>86</v>
      </c>
      <c r="D145" s="13" t="s">
        <v>87</v>
      </c>
      <c r="E145" s="13" t="s">
        <v>88</v>
      </c>
    </row>
    <row r="146" spans="1:6" x14ac:dyDescent="0.3">
      <c r="A146" s="39">
        <v>0.8</v>
      </c>
      <c r="B146" s="7">
        <v>-101829456</v>
      </c>
      <c r="C146" s="7">
        <v>-101829456</v>
      </c>
      <c r="D146" s="16" t="s">
        <v>89</v>
      </c>
      <c r="E146" s="10">
        <f>MAX(0,$B$144-C146)</f>
        <v>101829456</v>
      </c>
    </row>
    <row r="147" spans="1:6" x14ac:dyDescent="0.3">
      <c r="A147" s="39">
        <v>0.9</v>
      </c>
      <c r="B147" s="7">
        <v>-79305386</v>
      </c>
      <c r="C147" s="7">
        <v>-79305386</v>
      </c>
      <c r="D147" s="16" t="s">
        <v>90</v>
      </c>
      <c r="E147" s="10">
        <f>MAX(0,$B$144-C147)</f>
        <v>79305386</v>
      </c>
    </row>
    <row r="148" spans="1:6" x14ac:dyDescent="0.3">
      <c r="A148" s="39">
        <v>1</v>
      </c>
      <c r="B148" s="7">
        <v>-56781316</v>
      </c>
      <c r="C148" s="7">
        <v>-56781316</v>
      </c>
      <c r="D148" s="16" t="s">
        <v>90</v>
      </c>
      <c r="E148" s="10">
        <f>MAX(0,$B$144-C148)</f>
        <v>56781316</v>
      </c>
    </row>
    <row r="149" spans="1:6" x14ac:dyDescent="0.3">
      <c r="A149" s="31" t="s">
        <v>91</v>
      </c>
      <c r="B149" s="32">
        <f>ROUND(E146/4,0)</f>
        <v>25457364</v>
      </c>
      <c r="D149" s="33" t="s">
        <v>92</v>
      </c>
      <c r="E149" s="32">
        <f>ROUND(E146/20,0)</f>
        <v>5091473</v>
      </c>
    </row>
    <row r="151" spans="1:6" x14ac:dyDescent="0.3">
      <c r="A151" s="4" t="s">
        <v>93</v>
      </c>
      <c r="B151" s="5"/>
      <c r="C151" s="5"/>
      <c r="D151" s="5"/>
      <c r="E151" s="5"/>
      <c r="F151" s="5"/>
    </row>
    <row r="152" spans="1:6" x14ac:dyDescent="0.3">
      <c r="A152" s="40" t="str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>향후 4주 최저 예상잔액이 목표(0원) 대비 101,829,456원 부족합니다. 4주간 총 101,829,456원, 주당 약 25,457,364원의 추가 입금(매출 회수)이 필요합니다. 건강사업팀에 목표 공유를 권장합니다.</v>
      </c>
      <c r="B152" s="41"/>
      <c r="C152" s="41"/>
      <c r="D152" s="41"/>
      <c r="E152" s="41"/>
      <c r="F152" s="41"/>
    </row>
    <row r="153" spans="1:6" x14ac:dyDescent="0.3">
      <c r="A153" s="41"/>
      <c r="B153" s="41"/>
      <c r="C153" s="41"/>
      <c r="D153" s="41"/>
      <c r="E153" s="41"/>
      <c r="F153" s="41"/>
    </row>
    <row r="154" spans="1:6" x14ac:dyDescent="0.3">
      <c r="A154" s="41"/>
      <c r="B154" s="41"/>
      <c r="C154" s="41"/>
      <c r="D154" s="41"/>
      <c r="E154" s="41"/>
      <c r="F154" s="41"/>
    </row>
  </sheetData>
  <mergeCells count="1">
    <mergeCell ref="A152:F154"/>
  </mergeCells>
  <phoneticPr fontId="10" type="noConversion"/>
  <conditionalFormatting sqref="E14:E41"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주간보고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2026-09-18T13:38:15Z</dcterms:created>
  <dcterms:modified xsi:type="dcterms:W3CDTF">2026-09-18T13:50:43Z</dcterms:modified>
</cp:coreProperties>
</file>