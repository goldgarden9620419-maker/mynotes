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체크'!$A$5:$G$15</definedName>
    <definedName name="_xlnm.Print_Area" localSheetId="1">'정기지출 체크'!$A$1:$G$15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5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23:42:30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6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11285864</v>
      </c>
      <c r="H21" s="14" t="n">
        <v>0</v>
      </c>
    </row>
    <row r="22">
      <c r="A22" s="26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22714257</v>
      </c>
      <c r="H22" s="14" t="n">
        <v>0</v>
      </c>
    </row>
    <row r="23">
      <c r="A23" s="26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24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0</v>
      </c>
      <c r="H24" s="14" t="n">
        <v>0</v>
      </c>
    </row>
    <row r="25">
      <c r="A25" s="27" t="n">
        <v>46290</v>
      </c>
      <c r="B25" s="28" t="inlineStr">
        <is>
          <t>금</t>
        </is>
      </c>
      <c r="C25" s="29">
        <f>ROUND(G25*$F$12,0)+H25</f>
        <v/>
      </c>
      <c r="D25" s="29">
        <f>SUMIFS($E$47:$E$140,$A$47:$A$140,A25)</f>
        <v/>
      </c>
      <c r="E25" s="29">
        <f>E24+C25-D25</f>
        <v/>
      </c>
      <c r="F25" s="30">
        <f>IF(E25&lt;0,"부족","")</f>
        <v/>
      </c>
      <c r="G25" s="14" t="n">
        <v>0</v>
      </c>
      <c r="H25" s="14" t="n">
        <v>0</v>
      </c>
    </row>
    <row r="26">
      <c r="A26" s="31" t="n">
        <v>46291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>
      <c r="A27" s="31" t="n">
        <v>46292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10863060</v>
      </c>
      <c r="H32" s="14" t="n">
        <v>0</v>
      </c>
    </row>
    <row r="33">
      <c r="A33" s="31" t="n">
        <v>46298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>
      <c r="A34" s="31" t="n">
        <v>46299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>
      <c r="A35" s="31" t="n">
        <v>46300</v>
      </c>
      <c r="B35" s="24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14586277</v>
      </c>
      <c r="H38" s="14" t="n">
        <v>0</v>
      </c>
    </row>
    <row r="39">
      <c r="A39" s="31" t="n">
        <v>46304</v>
      </c>
      <c r="B39" s="24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0</v>
      </c>
      <c r="H39" s="14" t="n">
        <v>0</v>
      </c>
    </row>
    <row r="40">
      <c r="A40" s="31" t="n">
        <v>46305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>
      <c r="A41" s="31" t="n">
        <v>46306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2026-09-19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5건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44" t="n">
        <v>46284</v>
      </c>
      <c r="B6" s="45" t="inlineStr">
        <is>
          <t>토</t>
        </is>
      </c>
      <c r="C6" s="46" t="inlineStr">
        <is>
          <t>국민비즈월렛_쁘띠앤</t>
        </is>
      </c>
      <c r="D6" s="47" t="n">
        <v>2290345</v>
      </c>
      <c r="E6" s="45" t="inlineStr">
        <is>
          <t>변동</t>
        </is>
      </c>
      <c r="F6" s="46" t="inlineStr">
        <is>
          <t>없음</t>
        </is>
      </c>
      <c r="G6" s="48" t="inlineStr">
        <is>
          <t>누락 의심 — 팀 재제출 요청</t>
        </is>
      </c>
    </row>
    <row r="7">
      <c r="A7" s="15" t="n">
        <v>46285</v>
      </c>
      <c r="B7" s="16" t="inlineStr">
        <is>
          <t>일</t>
        </is>
      </c>
      <c r="C7" s="6" t="inlineStr">
        <is>
          <t>기업주써치엠</t>
        </is>
      </c>
      <c r="D7" s="7" t="n">
        <v>1533488</v>
      </c>
      <c r="E7" s="16" t="inlineStr">
        <is>
          <t>제외</t>
        </is>
      </c>
      <c r="F7" s="6" t="inlineStr">
        <is>
          <t>있음 · 1,487,786원 (9/23)</t>
        </is>
      </c>
      <c r="G7" s="6" t="inlineStr">
        <is>
          <t>팀 계획 반영</t>
        </is>
      </c>
    </row>
    <row r="8">
      <c r="A8" s="15" t="n">
        <v>46286</v>
      </c>
      <c r="B8" s="16" t="inlineStr">
        <is>
          <t>월</t>
        </is>
      </c>
      <c r="C8" s="6" t="inlineStr">
        <is>
          <t>SKB</t>
        </is>
      </c>
      <c r="D8" s="7" t="n">
        <v>223019</v>
      </c>
      <c r="E8" s="16" t="inlineStr">
        <is>
          <t>제외</t>
        </is>
      </c>
      <c r="F8" s="6" t="inlineStr">
        <is>
          <t>있음 · 220,000원 (9/21)</t>
        </is>
      </c>
      <c r="G8" s="6" t="inlineStr">
        <is>
          <t>팀 계획 반영</t>
        </is>
      </c>
    </row>
    <row r="9">
      <c r="A9" s="44" t="n">
        <v>46287</v>
      </c>
      <c r="B9" s="45" t="inlineStr">
        <is>
          <t>화</t>
        </is>
      </c>
      <c r="C9" s="46" t="inlineStr">
        <is>
          <t>SN</t>
        </is>
      </c>
      <c r="D9" s="47" t="n">
        <v>231733</v>
      </c>
      <c r="E9" s="45" t="inlineStr">
        <is>
          <t>제외</t>
        </is>
      </c>
      <c r="F9" s="46" t="inlineStr">
        <is>
          <t>없음</t>
        </is>
      </c>
      <c r="G9" s="48" t="inlineStr">
        <is>
          <t>누락 의심 — 팀 재제출 요청</t>
        </is>
      </c>
    </row>
    <row r="10">
      <c r="A10" s="15" t="n">
        <v>46288</v>
      </c>
      <c r="B10" s="16" t="inlineStr">
        <is>
          <t>수</t>
        </is>
      </c>
      <c r="C10" s="6" t="inlineStr">
        <is>
          <t>우리카드결제대금</t>
        </is>
      </c>
      <c r="D10" s="7" t="n">
        <v>26105540</v>
      </c>
      <c r="E10" s="16" t="inlineStr">
        <is>
          <t>제외</t>
        </is>
      </c>
      <c r="F10" s="6" t="inlineStr">
        <is>
          <t>있음 · 25,346,349원 (9/23)</t>
        </is>
      </c>
      <c r="G10" s="6" t="inlineStr">
        <is>
          <t>팀 계획 반영</t>
        </is>
      </c>
    </row>
    <row r="11">
      <c r="A11" s="44" t="n">
        <v>46288</v>
      </c>
      <c r="B11" s="45" t="inlineStr">
        <is>
          <t>수</t>
        </is>
      </c>
      <c r="C11" s="46" t="inlineStr">
        <is>
          <t>METLIFE</t>
        </is>
      </c>
      <c r="D11" s="47" t="n">
        <v>7641812</v>
      </c>
      <c r="E11" s="45" t="inlineStr">
        <is>
          <t>제외</t>
        </is>
      </c>
      <c r="F11" s="46" t="inlineStr">
        <is>
          <t>없음</t>
        </is>
      </c>
      <c r="G11" s="48" t="inlineStr">
        <is>
          <t>누락 의심 — 팀 재제출 요청</t>
        </is>
      </c>
    </row>
    <row r="12">
      <c r="A12" s="15" t="n">
        <v>46288</v>
      </c>
      <c r="B12" s="16" t="inlineStr">
        <is>
          <t>수</t>
        </is>
      </c>
      <c r="C12" s="6" t="inlineStr">
        <is>
          <t>NH기업카드</t>
        </is>
      </c>
      <c r="D12" s="7" t="n">
        <v>6066502</v>
      </c>
      <c r="E12" s="16" t="inlineStr">
        <is>
          <t>제외</t>
        </is>
      </c>
      <c r="F12" s="6" t="inlineStr">
        <is>
          <t>있음 · 6,827,883원 (9/23)</t>
        </is>
      </c>
      <c r="G12" s="6" t="inlineStr">
        <is>
          <t>팀 계획 반영</t>
        </is>
      </c>
    </row>
    <row r="13">
      <c r="A13" s="44" t="n">
        <v>46288</v>
      </c>
      <c r="B13" s="45" t="inlineStr">
        <is>
          <t>수</t>
        </is>
      </c>
      <c r="C13" s="46" t="inlineStr">
        <is>
          <t>아이현종찬</t>
        </is>
      </c>
      <c r="D13" s="47" t="n">
        <v>173250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46289</v>
      </c>
      <c r="B14" s="45" t="inlineStr">
        <is>
          <t>목</t>
        </is>
      </c>
      <c r="C14" s="46" t="inlineStr">
        <is>
          <t>세이브더칠드런</t>
        </is>
      </c>
      <c r="D14" s="47" t="n">
        <v>2000000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15" t="n">
        <v>46290</v>
      </c>
      <c r="B15" s="16" t="inlineStr">
        <is>
          <t>금</t>
        </is>
      </c>
      <c r="C15" s="6" t="inlineStr">
        <is>
          <t>KT</t>
        </is>
      </c>
      <c r="D15" s="7" t="n">
        <v>113633</v>
      </c>
      <c r="E15" s="16" t="inlineStr">
        <is>
          <t>제외</t>
        </is>
      </c>
      <c r="F15" s="6" t="inlineStr">
        <is>
          <t>있음 · 109,450원 (9/25)</t>
        </is>
      </c>
      <c r="G15" s="6" t="inlineStr">
        <is>
          <t>팀 계획 반영</t>
        </is>
      </c>
    </row>
  </sheetData>
  <autoFilter ref="A5:G15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2026-09-19T14:42:30Z</dcterms:created>
  <dcterms:modified xsi:type="dcterms:W3CDTF">2026-09-19T14:42:30Z</dcterms:modified>
</cp:coreProperties>
</file>