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14:12:58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5694170</v>
      </c>
      <c r="D14" s="17" t="n">
        <v>328043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46287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엠에스바이오텍 외상매입금</t>
        </is>
      </c>
      <c r="E47" s="36" t="n">
        <v>20000000</v>
      </c>
      <c r="F47" s="21" t="inlineStr">
        <is>
          <t>계좌송금</t>
        </is>
      </c>
    </row>
    <row r="48">
      <c r="A48" s="34" t="n">
        <v>46287</v>
      </c>
      <c r="B48" s="21">
        <f>IF(A48="","",MID("월화수목금토일",WEEKDAY(A48,2),1))</f>
        <v/>
      </c>
      <c r="C48" s="6" t="inlineStr">
        <is>
          <t>경영지원팀</t>
        </is>
      </c>
      <c r="D48" s="35" t="inlineStr">
        <is>
          <t>와이투홀딩스 직원 추석 선물세트 구입</t>
        </is>
      </c>
      <c r="E48" s="36" t="n">
        <v>1023110</v>
      </c>
      <c r="F48" s="21" t="inlineStr">
        <is>
          <t>계좌송금</t>
        </is>
      </c>
    </row>
    <row r="49">
      <c r="A49" s="34" t="n">
        <v>46287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네이버 네이버 톡톡 발송</t>
        </is>
      </c>
      <c r="E49" s="36" t="n">
        <v>500000</v>
      </c>
      <c r="F49" s="21" t="inlineStr">
        <is>
          <t>계좌송금</t>
        </is>
      </c>
    </row>
    <row r="50">
      <c r="A50" s="34" t="n">
        <v>46288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우리카드 8월 우리카드 카드대금</t>
        </is>
      </c>
      <c r="E50" s="36" t="n">
        <v>25346349</v>
      </c>
      <c r="F50" s="21" t="inlineStr">
        <is>
          <t>자동이체</t>
        </is>
      </c>
    </row>
    <row r="51">
      <c r="A51" s="34" t="n">
        <v>46288</v>
      </c>
      <c r="B51" s="21">
        <f>IF(A51="","",MID("월화수목금토일",WEEKDAY(A51,2),1))</f>
        <v/>
      </c>
      <c r="C51" s="6" t="inlineStr">
        <is>
          <t>건강사업팀</t>
        </is>
      </c>
      <c r="D51" s="35" t="inlineStr">
        <is>
          <t>네이버SA&amp;GFA 네이버SA&amp;GFA 광고 비용 충전</t>
        </is>
      </c>
      <c r="E51" s="36" t="n">
        <v>8305000</v>
      </c>
      <c r="F51" s="21" t="inlineStr">
        <is>
          <t>계좌송금</t>
        </is>
      </c>
    </row>
    <row r="52">
      <c r="A52" s="34" t="n">
        <v>46288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농협카드 8월 카드대금</t>
        </is>
      </c>
      <c r="E52" s="36" t="n">
        <v>6827883</v>
      </c>
      <c r="F52" s="21" t="inlineStr">
        <is>
          <t>자동이체</t>
        </is>
      </c>
    </row>
    <row r="53">
      <c r="A53" s="34" t="n">
        <v>46288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인포크비즈니스 베리시톨 인플루언서 비용</t>
        </is>
      </c>
      <c r="E53" s="36" t="n">
        <v>3300000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건강사업팀</t>
        </is>
      </c>
      <c r="D54" s="35" t="inlineStr">
        <is>
          <t>써치엠 메타 광고 대행 수수</t>
        </is>
      </c>
      <c r="E54" s="36" t="n">
        <v>1487786</v>
      </c>
      <c r="F54" s="21" t="inlineStr">
        <is>
          <t>계좌송금</t>
        </is>
      </c>
    </row>
    <row r="55">
      <c r="A55" s="34" t="n">
        <v>46288</v>
      </c>
      <c r="B55" s="21">
        <f>IF(A55="","",MID("월화수목금토일",WEEKDAY(A55,2),1))</f>
        <v/>
      </c>
      <c r="C55" s="6" t="inlineStr">
        <is>
          <t>건강사업팀</t>
        </is>
      </c>
      <c r="D55" s="35" t="inlineStr">
        <is>
          <t>ADN ADN 광고-추석 유입</t>
        </is>
      </c>
      <c r="E55" s="36" t="n">
        <v>550000</v>
      </c>
      <c r="F55" s="21" t="inlineStr">
        <is>
          <t>계좌송금</t>
        </is>
      </c>
    </row>
    <row r="56">
      <c r="A56" s="37" t="n">
        <v>46290</v>
      </c>
      <c r="B56" s="24">
        <f>IF(A56="","",MID("월화수목금토일",WEEKDAY(A56,2),1))</f>
        <v/>
      </c>
      <c r="C56" s="6" t="inlineStr">
        <is>
          <t>경영지원팀</t>
        </is>
      </c>
      <c r="D56" s="35" t="inlineStr">
        <is>
          <t>메트라이프 정기보험_42회차</t>
        </is>
      </c>
      <c r="E56" s="36" t="n">
        <v>2497000</v>
      </c>
      <c r="F56" s="21" t="inlineStr">
        <is>
          <t>자동이체</t>
        </is>
      </c>
    </row>
    <row r="57">
      <c r="A57" s="37" t="n">
        <v>46290</v>
      </c>
      <c r="B57" s="24">
        <f>IF(A57="","",MID("월화수목금토일",WEEKDAY(A57,2),1))</f>
        <v/>
      </c>
      <c r="C57" s="6" t="inlineStr">
        <is>
          <t>경영지원팀</t>
        </is>
      </c>
      <c r="D57" s="35" t="inlineStr">
        <is>
          <t>KT 통신비</t>
        </is>
      </c>
      <c r="E57" s="36" t="n">
        <v>109450</v>
      </c>
      <c r="F57" s="21" t="inlineStr">
        <is>
          <t>자동이체</t>
        </is>
      </c>
    </row>
    <row r="58">
      <c r="A58" s="34" t="n">
        <v>46293</v>
      </c>
      <c r="B58" s="21">
        <f>IF(A58="","",MID("월화수목금토일",WEEKDAY(A58,2),1))</f>
        <v/>
      </c>
      <c r="C58" s="6" t="inlineStr">
        <is>
          <t>데이터사이언스팀</t>
        </is>
      </c>
      <c r="D58" s="35" t="inlineStr">
        <is>
          <t>엘앤에이치컴퍼니 흥덕IT밸리_사무실 임대료</t>
        </is>
      </c>
      <c r="E58" s="36" t="n">
        <v>1650000</v>
      </c>
      <c r="F58" s="21" t="inlineStr">
        <is>
          <t>계좌송금</t>
        </is>
      </c>
    </row>
    <row r="59" hidden="1">
      <c r="A59" s="34" t="n">
        <v>46310</v>
      </c>
      <c r="B59" s="21">
        <f>IF(A59="","",MID("월화수목금토일",WEEKDAY(A59,2),1))</f>
        <v/>
      </c>
      <c r="C59" s="6" t="inlineStr">
        <is>
          <t>자동추정</t>
        </is>
      </c>
      <c r="D59" s="35" t="inlineStr">
        <is>
          <t>정기지출 추정(자동 초안): ABL생명 신뢰도 상</t>
        </is>
      </c>
      <c r="E59" s="36" t="n">
        <v>5001750</v>
      </c>
      <c r="F59" s="21" t="inlineStr"/>
    </row>
    <row r="60" hidden="1">
      <c r="A60" s="34" t="n">
        <v>46310</v>
      </c>
      <c r="B60" s="21">
        <f>IF(A60="","",MID("월화수목금토일",WEEKDAY(A60,2),1))</f>
        <v/>
      </c>
      <c r="C60" s="6" t="inlineStr">
        <is>
          <t>자동추정</t>
        </is>
      </c>
      <c r="D60" s="35" t="inlineStr">
        <is>
          <t>정기지출 추정(자동 초안): KB카드출금 신뢰도 중</t>
        </is>
      </c>
      <c r="E60" s="36" t="n">
        <v>155361</v>
      </c>
      <c r="F60" s="21" t="inlineStr"/>
    </row>
    <row r="61" hidden="1">
      <c r="A61" s="34" t="n">
        <v>46310</v>
      </c>
      <c r="B61" s="21">
        <f>IF(A61="","",MID("월화수목금토일",WEEKDAY(A61,2),1))</f>
        <v/>
      </c>
      <c r="C61" s="6" t="inlineStr">
        <is>
          <t>자동추정</t>
        </is>
      </c>
      <c r="D61" s="35" t="inlineStr">
        <is>
          <t>정기지출 추정(자동 초안): LGU 신뢰도 중</t>
        </is>
      </c>
      <c r="E61" s="36" t="n">
        <v>33990</v>
      </c>
      <c r="F61" s="21" t="inlineStr"/>
    </row>
    <row r="62" hidden="1">
      <c r="A62" s="34" t="n">
        <v>46310</v>
      </c>
      <c r="B62" s="21">
        <f>IF(A62="","",MID("월화수목금토일",WEEKDAY(A62,2),1))</f>
        <v/>
      </c>
      <c r="C62" s="6" t="inlineStr">
        <is>
          <t>자동추정</t>
        </is>
      </c>
      <c r="D62" s="35" t="inlineStr">
        <is>
          <t>정기지출 추정(자동 초안): LGUMM 신뢰도 중</t>
        </is>
      </c>
      <c r="E62" s="36" t="n">
        <v>11000</v>
      </c>
      <c r="F62" s="21" t="inlineStr"/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255643661</v>
      </c>
      <c r="D146" s="7" t="n">
        <v>99315824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278443614</v>
      </c>
      <c r="D147" s="7" t="n">
        <v>102971019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301243567</v>
      </c>
      <c r="D148" s="7" t="n">
        <v>106626213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30" t="n">
        <v>46294</v>
      </c>
      <c r="B19" s="21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1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2026-09-21T05:12:58Z</dcterms:created>
  <dcterms:modified xsi:type="dcterms:W3CDTF">2026-09-21T05:12:58Z</dcterms:modified>
</cp:coreProperties>
</file>