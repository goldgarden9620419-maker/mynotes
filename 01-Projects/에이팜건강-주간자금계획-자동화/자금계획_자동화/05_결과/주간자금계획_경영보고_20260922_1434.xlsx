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47669A63-9408-4CE6-9E67-3D71E1B4E7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체크'!$A$5:$G$22</definedName>
    <definedName name="_xlnm._FilterDatabase" localSheetId="0" hidden="1">주간보고!$A$72:$I$166</definedName>
    <definedName name="_xlnm.Print_Area" localSheetId="1">'정기지출 체크'!$A$1:$G$22</definedName>
    <definedName name="_xlnm.Print_Area" localSheetId="0">주간보고!$A$1:$I$181</definedName>
  </definedNames>
  <calcPr calcId="191029"/>
</workbook>
</file>

<file path=xl/calcChain.xml><?xml version="1.0" encoding="utf-8"?>
<calcChain xmlns="http://schemas.openxmlformats.org/spreadsheetml/2006/main">
  <c r="F174" i="1" l="1"/>
  <c r="F173" i="1"/>
  <c r="F172" i="1"/>
  <c r="A178" i="1" s="1"/>
  <c r="E167" i="1"/>
  <c r="B84" i="1"/>
  <c r="B83" i="1"/>
  <c r="B82" i="1"/>
  <c r="B81" i="1"/>
  <c r="B80" i="1"/>
  <c r="B79" i="1"/>
  <c r="B78" i="1"/>
  <c r="B77" i="1"/>
  <c r="B76" i="1"/>
  <c r="H75" i="1"/>
  <c r="B75" i="1"/>
  <c r="H74" i="1"/>
  <c r="B74" i="1"/>
  <c r="H73" i="1"/>
  <c r="B73" i="1"/>
  <c r="F69" i="1"/>
  <c r="G58" i="1"/>
  <c r="E58" i="1"/>
  <c r="G57" i="1"/>
  <c r="E57" i="1"/>
  <c r="G56" i="1"/>
  <c r="E55" i="1"/>
  <c r="G55" i="1" s="1"/>
  <c r="G54" i="1"/>
  <c r="E54" i="1"/>
  <c r="E53" i="1"/>
  <c r="G53" i="1" s="1"/>
  <c r="E52" i="1"/>
  <c r="G52" i="1" s="1"/>
  <c r="E51" i="1"/>
  <c r="G51" i="1" s="1"/>
  <c r="E50" i="1"/>
  <c r="E69" i="1" s="1"/>
  <c r="E49" i="1"/>
  <c r="G49" i="1" s="1"/>
  <c r="E48" i="1"/>
  <c r="G48" i="1" s="1"/>
  <c r="E47" i="1"/>
  <c r="G47" i="1" s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E14" i="1"/>
  <c r="E15" i="1" s="1"/>
  <c r="C10" i="1"/>
  <c r="E16" i="1" l="1"/>
  <c r="F15" i="1"/>
  <c r="C175" i="1"/>
  <c r="E175" i="1"/>
  <c r="G50" i="1"/>
  <c r="F16" i="1" l="1"/>
  <c r="E17" i="1"/>
  <c r="E18" i="1" l="1"/>
  <c r="F17" i="1"/>
  <c r="E19" i="1" l="1"/>
  <c r="F18" i="1"/>
  <c r="F19" i="1" l="1"/>
  <c r="E20" i="1"/>
  <c r="F20" i="1" l="1"/>
  <c r="E21" i="1"/>
  <c r="E22" i="1" l="1"/>
  <c r="F21" i="1"/>
  <c r="E23" i="1" l="1"/>
  <c r="F22" i="1"/>
  <c r="E24" i="1" l="1"/>
  <c r="F23" i="1"/>
  <c r="F24" i="1" l="1"/>
  <c r="E25" i="1"/>
  <c r="E26" i="1" l="1"/>
  <c r="F25" i="1"/>
  <c r="F26" i="1" l="1"/>
  <c r="E27" i="1"/>
  <c r="E28" i="1" l="1"/>
  <c r="F27" i="1"/>
  <c r="F28" i="1" l="1"/>
  <c r="E29" i="1"/>
  <c r="E30" i="1" l="1"/>
  <c r="F29" i="1"/>
  <c r="E31" i="1" l="1"/>
  <c r="F30" i="1"/>
  <c r="E32" i="1" l="1"/>
  <c r="F31" i="1"/>
  <c r="F32" i="1" l="1"/>
  <c r="E33" i="1"/>
  <c r="E34" i="1" l="1"/>
  <c r="F33" i="1"/>
  <c r="E35" i="1" l="1"/>
  <c r="F34" i="1"/>
  <c r="E36" i="1" l="1"/>
  <c r="F35" i="1"/>
  <c r="F36" i="1" l="1"/>
  <c r="E37" i="1"/>
  <c r="E38" i="1" l="1"/>
  <c r="F37" i="1"/>
  <c r="E39" i="1" l="1"/>
  <c r="F38" i="1"/>
  <c r="E40" i="1" l="1"/>
  <c r="F39" i="1"/>
  <c r="F40" i="1" l="1"/>
  <c r="E41" i="1"/>
  <c r="E42" i="1" l="1"/>
  <c r="F41" i="1"/>
  <c r="C42" i="1"/>
  <c r="A43" i="1" s="1"/>
</calcChain>
</file>

<file path=xl/sharedStrings.xml><?xml version="1.0" encoding="utf-8"?>
<sst xmlns="http://schemas.openxmlformats.org/spreadsheetml/2006/main" count="254" uniqueCount="113">
  <si>
    <t>주간 자금 경영보고 — (주)에이팜건강</t>
  </si>
  <si>
    <t>기준주 2026-09-21 (월) ~ 2026-09-27 (일) · 작성 2026-09-22 14:34:33 · 실행일~차주 금요일만 표시 (그 밖의 일자 행은 숨김 — 행 숨기기 해제로 열람 가능)</t>
  </si>
  <si>
    <t>노란 칸(입금 반영률·목표 최저잔액·지출 지급일·금액)을 고치면 아래 모든 수치가 즉시 다시 계산됩니다. ④ 지출예정에서 실지출과 차이 나는 행(주황)은 확인(I열) 드롭다운으로 확인 표시하세요.</t>
  </si>
  <si>
    <t>① 현재 자금 현황</t>
  </si>
  <si>
    <t>국민 154577</t>
  </si>
  <si>
    <t>최종 거래일 2026-09-22</t>
  </si>
  <si>
    <t>국민 169124</t>
  </si>
  <si>
    <t>최종 거래일 2026-09-15</t>
  </si>
  <si>
    <t>농협 569003</t>
  </si>
  <si>
    <t>최종 거래일 2026-09-21</t>
  </si>
  <si>
    <t>우리 220351</t>
  </si>
  <si>
    <t>총잔액</t>
  </si>
  <si>
    <t>② 향후 4주 일별 자금 흐름 (실행일~차주 금요일만 표시 · 계산은 4주 전체)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</si>
  <si>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</si>
  <si>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</si>
  <si>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</si>
  <si>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</si>
  <si>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</si>
  <si>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</si>
  <si>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</si>
  <si>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</si>
  <si>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</si>
  <si>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</si>
  <si>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</si>
  <si>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</si>
  <si>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</si>
  <si>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</si>
  <si>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</si>
  <si>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</si>
  <si>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</si>
  <si>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입금예정 (실행일~차주 금요일) — 예상은 반영률(F12) 연동 · 실입금은 은행 확인 값</t>
  </si>
  <si>
    <t>입금일</t>
  </si>
  <si>
    <t>구분</t>
  </si>
  <si>
    <t>내용</t>
  </si>
  <si>
    <t>예상금액</t>
  </si>
  <si>
    <t>실입금(은행 확인)</t>
  </si>
  <si>
    <t>차이</t>
  </si>
  <si>
    <t>온라인 예상</t>
  </si>
  <si>
    <t>12주 요일평균 × 반영률</t>
  </si>
  <si>
    <t>확정입금</t>
  </si>
  <si>
    <t>관계사 외상대 입금 추정(주식회사에이팜, 말일)</t>
  </si>
  <si>
    <t>합계(표시 구간)</t>
  </si>
  <si>
    <t>④ 반영된 지출예정 (실행일~차주 금요일 표시) — 지급일·금액을 고치면 ②가 다시 계산됩니다 · 실지출과 차이 나는 행(주황)은 확인(I열) 선택</t>
  </si>
  <si>
    <t>지급일</t>
  </si>
  <si>
    <t>금액</t>
  </si>
  <si>
    <t>지급방법</t>
  </si>
  <si>
    <t>실지출(은행 확인)</t>
  </si>
  <si>
    <t>차이(잔여)</t>
  </si>
  <si>
    <t>확인</t>
  </si>
  <si>
    <t>경영지원팀</t>
  </si>
  <si>
    <t>엠에스바이오텍 외상매입금</t>
  </si>
  <si>
    <t>계좌송금</t>
  </si>
  <si>
    <t>와이투홀딩스 직원 추석 선물세트 구입</t>
  </si>
  <si>
    <t>건강사업팀</t>
  </si>
  <si>
    <t>네이버 네이버 톡톡 발송</t>
  </si>
  <si>
    <t>우리카드 8월 우리카드 카드대금</t>
  </si>
  <si>
    <t>자동이체</t>
  </si>
  <si>
    <t>네이버SA&amp;GFA 네이버SA&amp;GFA 광고 비용 충전</t>
  </si>
  <si>
    <t>농협카드 8월 카드대금</t>
  </si>
  <si>
    <t>인포크비즈니스 베리시톨 인플루언서 비용</t>
  </si>
  <si>
    <t>써치엠 메타 광고 대행 수수</t>
  </si>
  <si>
    <t>ADN ADN 광고-추석 유입</t>
  </si>
  <si>
    <t>메트라이프 정기보험_42회차</t>
  </si>
  <si>
    <t>KT 통신비</t>
  </si>
  <si>
    <t>데이터사이언스팀</t>
  </si>
  <si>
    <t>엘앤에이치컴퍼니 흥덕IT밸리_사무실 임대료</t>
  </si>
  <si>
    <t>합계(숨긴 행 포함 4주 전체)</t>
  </si>
  <si>
    <t>⑤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</si>
  <si>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</si>
  <si>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</si>
  <si>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</si>
  <si>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</si>
  <si>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</si>
  <si>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</si>
  <si>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</si>
  <si>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</si>
  <si>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</si>
  <si>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</si>
  <si>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⑥ 건강사업팀 전달 메모 (자동 작성)</t>
  </si>
  <si>
    <t>금주 정기지출 체크 — 팀 지출예정 제출 확인</t>
  </si>
  <si>
    <t>확인 구간 2026-09-22 ~ 2026-10-02 (실행일~차주 금요일) · 매월 나가던 정기지출이 팀 지출예정 파일에 들어왔는지 자동 대조한 결과입니다.</t>
  </si>
  <si>
    <t>⚠ 누락 의심 12건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</si>
  <si>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</si>
  <si>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</si>
  <si>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</si>
  <si>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</si>
  <si>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</si>
  <si>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</si>
  <si>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SN</t>
  </si>
  <si>
    <t>제외</t>
  </si>
  <si>
    <t>있음 · 220,000원 (9/21)</t>
  </si>
  <si>
    <t>팀 계획 반영</t>
  </si>
  <si>
    <t>우리카드결제대금</t>
  </si>
  <si>
    <t>있음 · 25,346,349원 (9/23)</t>
  </si>
  <si>
    <t>METLIFE</t>
  </si>
  <si>
    <t>누락 의심 — 팀 재제출 요청</t>
  </si>
  <si>
    <t>NH기업카드</t>
  </si>
  <si>
    <t>있음 · 6,827,883원 (9/23)</t>
  </si>
  <si>
    <t>아이현종찬</t>
  </si>
  <si>
    <t>세이브더칠드런</t>
  </si>
  <si>
    <t>농협한혜선</t>
  </si>
  <si>
    <t>하나남경 노무법인</t>
  </si>
  <si>
    <t>KT</t>
  </si>
  <si>
    <t>있음 · 109,450원 (9/25)</t>
  </si>
  <si>
    <t>아이서원회계법인 대</t>
  </si>
  <si>
    <t>국민주식회사 오애드</t>
  </si>
  <si>
    <t>하나흥덕IT밸리관리</t>
  </si>
  <si>
    <t>있음 · 1,650,000원 (9/28)</t>
  </si>
  <si>
    <t>TOP출금</t>
  </si>
  <si>
    <t>한진주식회사</t>
  </si>
  <si>
    <t>퇴직예약출금</t>
  </si>
  <si>
    <t>국민엠제이테크노파크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</si>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</sst>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9" fillId="0" borderId="6" xfId="0" applyNumberFormat="1" applyFont="1" applyBorder="1"/>
    <xf numFmtId="0" fontId="9" fillId="0" borderId="1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177" fontId="9" fillId="0" borderId="1" xfId="0" applyNumberFormat="1" applyFont="1" applyBorder="1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7" fontId="5" fillId="3" borderId="1" xfId="0" applyNumberFormat="1" applyFont="1" applyFill="1" applyBorder="1"/>
    <xf numFmtId="3" fontId="5" fillId="3" borderId="1" xfId="0" applyNumberFormat="1" applyFont="1" applyFill="1" applyBorder="1"/>
    <xf numFmtId="3" fontId="5" fillId="5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177" fontId="9" fillId="3" borderId="1" xfId="0" applyNumberFormat="1" applyFont="1" applyFill="1" applyBorder="1"/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6" borderId="1" xfId="0" applyNumberFormat="1" applyFont="1" applyFill="1" applyBorder="1"/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3" fontId="5" fillId="6" borderId="1" xfId="0" applyNumberFormat="1" applyFont="1" applyFill="1" applyBorder="1"/>
    <xf numFmtId="0" fontId="11" fillId="6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0"/>
  <sheetViews>
    <sheetView tabSelected="1" workbookViewId="0">
      <pane ySplit="3" topLeftCell="A42" activePane="bottomLeft" state="frozen"/>
      <selection pane="bottomLeft" activeCell="N74" sqref="N74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6" customWidth="1"/>
    <col min="6" max="7" width="14" customWidth="1"/>
    <col min="8" max="8" width="12" customWidth="1"/>
    <col min="9" max="9" width="9" customWidth="1"/>
    <col min="10" max="11" width="12" hidden="1" customWidth="1"/>
  </cols>
  <sheetData>
    <row r="1" spans="1:11" ht="20.25" x14ac:dyDescent="0.35">
      <c r="A1" s="1" t="s">
        <v>0</v>
      </c>
    </row>
    <row r="2" spans="1:11" x14ac:dyDescent="0.3">
      <c r="A2" s="2" t="s">
        <v>1</v>
      </c>
    </row>
    <row r="3" spans="1:11" x14ac:dyDescent="0.3">
      <c r="A3" s="3" t="s">
        <v>2</v>
      </c>
    </row>
    <row r="5" spans="1:11" x14ac:dyDescent="0.3">
      <c r="A5" s="4" t="s">
        <v>3</v>
      </c>
      <c r="B5" s="5"/>
      <c r="C5" s="5"/>
      <c r="D5" s="5"/>
      <c r="E5" s="5"/>
      <c r="F5" s="5"/>
      <c r="G5" s="5"/>
      <c r="H5" s="5"/>
      <c r="I5" s="5"/>
    </row>
    <row r="6" spans="1:11" x14ac:dyDescent="0.3">
      <c r="A6" s="6" t="s">
        <v>4</v>
      </c>
      <c r="C6" s="7">
        <v>40237150</v>
      </c>
      <c r="D6" s="8" t="s">
        <v>5</v>
      </c>
    </row>
    <row r="7" spans="1:11" x14ac:dyDescent="0.3">
      <c r="A7" s="6" t="s">
        <v>6</v>
      </c>
      <c r="C7" s="7">
        <v>100687200</v>
      </c>
      <c r="D7" s="8" t="s">
        <v>7</v>
      </c>
    </row>
    <row r="8" spans="1:11" x14ac:dyDescent="0.3">
      <c r="A8" s="6" t="s">
        <v>8</v>
      </c>
      <c r="C8" s="7">
        <v>1944429</v>
      </c>
      <c r="D8" s="8" t="s">
        <v>9</v>
      </c>
    </row>
    <row r="9" spans="1:11" x14ac:dyDescent="0.3">
      <c r="A9" s="6" t="s">
        <v>10</v>
      </c>
      <c r="C9" s="7">
        <v>30021750</v>
      </c>
      <c r="D9" s="8" t="s">
        <v>5</v>
      </c>
    </row>
    <row r="10" spans="1:11" x14ac:dyDescent="0.3">
      <c r="A10" s="9" t="s">
        <v>11</v>
      </c>
      <c r="C10" s="10">
        <f>SUM(C6:C9)</f>
        <v>172890529</v>
      </c>
    </row>
    <row r="12" spans="1:11" x14ac:dyDescent="0.3">
      <c r="A12" s="4" t="s">
        <v>12</v>
      </c>
      <c r="B12" s="5"/>
      <c r="C12" s="5"/>
      <c r="D12" s="5"/>
      <c r="E12" s="11" t="s">
        <v>13</v>
      </c>
      <c r="F12" s="12">
        <v>0.8</v>
      </c>
      <c r="G12" s="5"/>
      <c r="H12" s="5"/>
      <c r="I12" s="5"/>
    </row>
    <row r="13" spans="1:11" x14ac:dyDescent="0.3">
      <c r="A13" s="13" t="s">
        <v>14</v>
      </c>
      <c r="B13" s="13" t="s">
        <v>15</v>
      </c>
      <c r="C13" s="13" t="s">
        <v>16</v>
      </c>
      <c r="D13" s="13" t="s">
        <v>17</v>
      </c>
      <c r="E13" s="13" t="s">
        <v>18</v>
      </c>
      <c r="F13" s="13" t="s">
        <v>19</v>
      </c>
      <c r="K13" s="14">
        <v>107639108</v>
      </c>
    </row>
    <row r="14" spans="1:11" hidden="1" x14ac:dyDescent="0.3">
      <c r="A14" s="15">
        <v>46286</v>
      </c>
      <c r="B14" s="16" t="s">
        <v>20</v>
      </c>
      <c r="C14" s="17">
        <v>60967810</v>
      </c>
      <c r="D14" s="17">
        <v>11732486</v>
      </c>
      <c r="E14" s="7">
        <f>$K$13+C14-D14</f>
        <v>156874432</v>
      </c>
      <c r="F14" s="18" t="s">
        <v>21</v>
      </c>
      <c r="J14" s="14">
        <v>10677756</v>
      </c>
      <c r="K14" s="14">
        <v>40220000</v>
      </c>
    </row>
    <row r="15" spans="1:11" x14ac:dyDescent="0.3">
      <c r="A15" s="19">
        <v>46287</v>
      </c>
      <c r="B15" s="20" t="s">
        <v>22</v>
      </c>
      <c r="C15" s="21">
        <f t="shared" ref="C15:C41" si="0">ROUND(J15*$F$12,0)+K15</f>
        <v>17804001</v>
      </c>
      <c r="D15" s="21">
        <f t="shared" ref="D15:D41" si="1">SUMIFS($E$73:$E$166,$A$73:$A$166,A15)</f>
        <v>21523110</v>
      </c>
      <c r="E15" s="21">
        <f t="shared" ref="E15:E41" si="2">E14+C15-D15</f>
        <v>153155323</v>
      </c>
      <c r="F15" s="22" t="str">
        <f t="shared" ref="F15:F41" si="3">IF(E15&lt;0,"부족","")</f>
        <v/>
      </c>
      <c r="J15" s="14">
        <v>22255001</v>
      </c>
      <c r="K15" s="14">
        <v>0</v>
      </c>
    </row>
    <row r="16" spans="1:11" x14ac:dyDescent="0.3">
      <c r="A16" s="23">
        <v>46288</v>
      </c>
      <c r="B16" s="16" t="s">
        <v>23</v>
      </c>
      <c r="C16" s="7">
        <f t="shared" si="0"/>
        <v>11437554</v>
      </c>
      <c r="D16" s="7">
        <f t="shared" si="1"/>
        <v>45817018</v>
      </c>
      <c r="E16" s="7">
        <f t="shared" si="2"/>
        <v>118775859</v>
      </c>
      <c r="F16" s="24" t="str">
        <f t="shared" si="3"/>
        <v/>
      </c>
      <c r="J16" s="14">
        <v>14296943</v>
      </c>
      <c r="K16" s="14">
        <v>0</v>
      </c>
    </row>
    <row r="17" spans="1:11" x14ac:dyDescent="0.3">
      <c r="A17" s="25">
        <v>46289</v>
      </c>
      <c r="B17" s="26" t="s">
        <v>24</v>
      </c>
      <c r="C17" s="7">
        <f t="shared" si="0"/>
        <v>0</v>
      </c>
      <c r="D17" s="7">
        <f t="shared" si="1"/>
        <v>0</v>
      </c>
      <c r="E17" s="7">
        <f t="shared" si="2"/>
        <v>118775859</v>
      </c>
      <c r="F17" s="24" t="str">
        <f t="shared" si="3"/>
        <v/>
      </c>
      <c r="J17" s="14">
        <v>0</v>
      </c>
      <c r="K17" s="14">
        <v>0</v>
      </c>
    </row>
    <row r="18" spans="1:11" x14ac:dyDescent="0.3">
      <c r="A18" s="25">
        <v>46290</v>
      </c>
      <c r="B18" s="26" t="s">
        <v>25</v>
      </c>
      <c r="C18" s="7">
        <f t="shared" si="0"/>
        <v>0</v>
      </c>
      <c r="D18" s="7">
        <f t="shared" si="1"/>
        <v>2606450</v>
      </c>
      <c r="E18" s="7">
        <f t="shared" si="2"/>
        <v>116169409</v>
      </c>
      <c r="F18" s="24" t="str">
        <f t="shared" si="3"/>
        <v/>
      </c>
      <c r="J18" s="14">
        <v>0</v>
      </c>
      <c r="K18" s="14">
        <v>0</v>
      </c>
    </row>
    <row r="19" spans="1:11" x14ac:dyDescent="0.3">
      <c r="A19" s="25">
        <v>46291</v>
      </c>
      <c r="B19" s="26" t="s">
        <v>26</v>
      </c>
      <c r="C19" s="7">
        <f t="shared" si="0"/>
        <v>0</v>
      </c>
      <c r="D19" s="7">
        <f t="shared" si="1"/>
        <v>0</v>
      </c>
      <c r="E19" s="7">
        <f t="shared" si="2"/>
        <v>116169409</v>
      </c>
      <c r="F19" s="24" t="str">
        <f t="shared" si="3"/>
        <v/>
      </c>
      <c r="J19" s="14">
        <v>0</v>
      </c>
      <c r="K19" s="14">
        <v>0</v>
      </c>
    </row>
    <row r="20" spans="1:11" x14ac:dyDescent="0.3">
      <c r="A20" s="25">
        <v>46292</v>
      </c>
      <c r="B20" s="26" t="s">
        <v>27</v>
      </c>
      <c r="C20" s="7">
        <f t="shared" si="0"/>
        <v>0</v>
      </c>
      <c r="D20" s="7">
        <f t="shared" si="1"/>
        <v>0</v>
      </c>
      <c r="E20" s="7">
        <f t="shared" si="2"/>
        <v>116169409</v>
      </c>
      <c r="F20" s="24" t="str">
        <f t="shared" si="3"/>
        <v/>
      </c>
      <c r="J20" s="14">
        <v>0</v>
      </c>
      <c r="K20" s="14">
        <v>0</v>
      </c>
    </row>
    <row r="21" spans="1:11" x14ac:dyDescent="0.3">
      <c r="A21" s="23">
        <v>46293</v>
      </c>
      <c r="B21" s="16" t="s">
        <v>20</v>
      </c>
      <c r="C21" s="7">
        <f t="shared" si="0"/>
        <v>8542205</v>
      </c>
      <c r="D21" s="7">
        <f t="shared" si="1"/>
        <v>1650000</v>
      </c>
      <c r="E21" s="7">
        <f t="shared" si="2"/>
        <v>123061614</v>
      </c>
      <c r="F21" s="24" t="str">
        <f t="shared" si="3"/>
        <v/>
      </c>
      <c r="J21" s="14">
        <v>10677756</v>
      </c>
      <c r="K21" s="14">
        <v>0</v>
      </c>
    </row>
    <row r="22" spans="1:11" x14ac:dyDescent="0.3">
      <c r="A22" s="23">
        <v>46294</v>
      </c>
      <c r="B22" s="16" t="s">
        <v>22</v>
      </c>
      <c r="C22" s="7">
        <f t="shared" si="0"/>
        <v>17804001</v>
      </c>
      <c r="D22" s="7">
        <f t="shared" si="1"/>
        <v>0</v>
      </c>
      <c r="E22" s="7">
        <f t="shared" si="2"/>
        <v>140865615</v>
      </c>
      <c r="F22" s="24" t="str">
        <f t="shared" si="3"/>
        <v/>
      </c>
      <c r="J22" s="14">
        <v>22255001</v>
      </c>
      <c r="K22" s="14">
        <v>0</v>
      </c>
    </row>
    <row r="23" spans="1:11" x14ac:dyDescent="0.3">
      <c r="A23" s="23">
        <v>46295</v>
      </c>
      <c r="B23" s="16" t="s">
        <v>23</v>
      </c>
      <c r="C23" s="7">
        <f t="shared" si="0"/>
        <v>21459421</v>
      </c>
      <c r="D23" s="7">
        <f t="shared" si="1"/>
        <v>0</v>
      </c>
      <c r="E23" s="7">
        <f t="shared" si="2"/>
        <v>162325036</v>
      </c>
      <c r="F23" s="24" t="str">
        <f t="shared" si="3"/>
        <v/>
      </c>
      <c r="J23" s="14">
        <v>14296943</v>
      </c>
      <c r="K23" s="14">
        <v>10021867</v>
      </c>
    </row>
    <row r="24" spans="1:11" x14ac:dyDescent="0.3">
      <c r="A24" s="23">
        <v>46296</v>
      </c>
      <c r="B24" s="16" t="s">
        <v>24</v>
      </c>
      <c r="C24" s="7">
        <f t="shared" si="0"/>
        <v>10611849</v>
      </c>
      <c r="D24" s="7">
        <f t="shared" si="1"/>
        <v>0</v>
      </c>
      <c r="E24" s="7">
        <f t="shared" si="2"/>
        <v>172936885</v>
      </c>
      <c r="F24" s="24" t="str">
        <f t="shared" si="3"/>
        <v/>
      </c>
      <c r="J24" s="14">
        <v>13264811</v>
      </c>
      <c r="K24" s="14">
        <v>0</v>
      </c>
    </row>
    <row r="25" spans="1:11" x14ac:dyDescent="0.3">
      <c r="A25" s="27">
        <v>46297</v>
      </c>
      <c r="B25" s="28" t="s">
        <v>25</v>
      </c>
      <c r="C25" s="29">
        <f t="shared" si="0"/>
        <v>8256724</v>
      </c>
      <c r="D25" s="29">
        <f t="shared" si="1"/>
        <v>0</v>
      </c>
      <c r="E25" s="29">
        <f t="shared" si="2"/>
        <v>181193609</v>
      </c>
      <c r="F25" s="30" t="str">
        <f t="shared" si="3"/>
        <v/>
      </c>
      <c r="J25" s="14">
        <v>10320905</v>
      </c>
      <c r="K25" s="14">
        <v>0</v>
      </c>
    </row>
    <row r="26" spans="1:11" hidden="1" x14ac:dyDescent="0.3">
      <c r="A26" s="31">
        <v>46298</v>
      </c>
      <c r="B26" s="26" t="s">
        <v>26</v>
      </c>
      <c r="C26" s="7">
        <f t="shared" si="0"/>
        <v>0</v>
      </c>
      <c r="D26" s="7">
        <f t="shared" si="1"/>
        <v>0</v>
      </c>
      <c r="E26" s="7">
        <f t="shared" si="2"/>
        <v>181193609</v>
      </c>
      <c r="F26" s="26" t="str">
        <f t="shared" si="3"/>
        <v/>
      </c>
      <c r="J26" s="14">
        <v>0</v>
      </c>
      <c r="K26" s="14">
        <v>0</v>
      </c>
    </row>
    <row r="27" spans="1:11" hidden="1" x14ac:dyDescent="0.3">
      <c r="A27" s="31">
        <v>46299</v>
      </c>
      <c r="B27" s="26" t="s">
        <v>27</v>
      </c>
      <c r="C27" s="7">
        <f t="shared" si="0"/>
        <v>0</v>
      </c>
      <c r="D27" s="7">
        <f t="shared" si="1"/>
        <v>0</v>
      </c>
      <c r="E27" s="7">
        <f t="shared" si="2"/>
        <v>181193609</v>
      </c>
      <c r="F27" s="26" t="str">
        <f t="shared" si="3"/>
        <v/>
      </c>
      <c r="J27" s="14">
        <v>0</v>
      </c>
      <c r="K27" s="14">
        <v>0</v>
      </c>
    </row>
    <row r="28" spans="1:11" hidden="1" x14ac:dyDescent="0.3">
      <c r="A28" s="31">
        <v>46300</v>
      </c>
      <c r="B28" s="26" t="s">
        <v>20</v>
      </c>
      <c r="C28" s="7">
        <f t="shared" si="0"/>
        <v>0</v>
      </c>
      <c r="D28" s="7">
        <f t="shared" si="1"/>
        <v>0</v>
      </c>
      <c r="E28" s="7">
        <f t="shared" si="2"/>
        <v>181193609</v>
      </c>
      <c r="F28" s="26" t="str">
        <f t="shared" si="3"/>
        <v/>
      </c>
      <c r="J28" s="14">
        <v>0</v>
      </c>
      <c r="K28" s="14">
        <v>0</v>
      </c>
    </row>
    <row r="29" spans="1:11" hidden="1" x14ac:dyDescent="0.3">
      <c r="A29" s="15">
        <v>46301</v>
      </c>
      <c r="B29" s="16" t="s">
        <v>22</v>
      </c>
      <c r="C29" s="7">
        <f t="shared" si="0"/>
        <v>17804001</v>
      </c>
      <c r="D29" s="7">
        <f t="shared" si="1"/>
        <v>0</v>
      </c>
      <c r="E29" s="7">
        <f t="shared" si="2"/>
        <v>198997610</v>
      </c>
      <c r="F29" s="26" t="str">
        <f t="shared" si="3"/>
        <v/>
      </c>
      <c r="J29" s="14">
        <v>22255001</v>
      </c>
      <c r="K29" s="14">
        <v>0</v>
      </c>
    </row>
    <row r="30" spans="1:11" hidden="1" x14ac:dyDescent="0.3">
      <c r="A30" s="15">
        <v>46302</v>
      </c>
      <c r="B30" s="16" t="s">
        <v>23</v>
      </c>
      <c r="C30" s="7">
        <f t="shared" si="0"/>
        <v>11437554</v>
      </c>
      <c r="D30" s="7">
        <f t="shared" si="1"/>
        <v>0</v>
      </c>
      <c r="E30" s="7">
        <f t="shared" si="2"/>
        <v>210435164</v>
      </c>
      <c r="F30" s="26" t="str">
        <f t="shared" si="3"/>
        <v/>
      </c>
      <c r="J30" s="14">
        <v>14296943</v>
      </c>
      <c r="K30" s="14">
        <v>0</v>
      </c>
    </row>
    <row r="31" spans="1:11" hidden="1" x14ac:dyDescent="0.3">
      <c r="A31" s="15">
        <v>46303</v>
      </c>
      <c r="B31" s="16" t="s">
        <v>24</v>
      </c>
      <c r="C31" s="7">
        <f t="shared" si="0"/>
        <v>10611849</v>
      </c>
      <c r="D31" s="7">
        <f t="shared" si="1"/>
        <v>0</v>
      </c>
      <c r="E31" s="7">
        <f t="shared" si="2"/>
        <v>221047013</v>
      </c>
      <c r="F31" s="26" t="str">
        <f t="shared" si="3"/>
        <v/>
      </c>
      <c r="J31" s="14">
        <v>13264811</v>
      </c>
      <c r="K31" s="14">
        <v>0</v>
      </c>
    </row>
    <row r="32" spans="1:11" hidden="1" x14ac:dyDescent="0.3">
      <c r="A32" s="31">
        <v>46304</v>
      </c>
      <c r="B32" s="26" t="s">
        <v>25</v>
      </c>
      <c r="C32" s="7">
        <f t="shared" si="0"/>
        <v>0</v>
      </c>
      <c r="D32" s="7">
        <f t="shared" si="1"/>
        <v>0</v>
      </c>
      <c r="E32" s="7">
        <f t="shared" si="2"/>
        <v>221047013</v>
      </c>
      <c r="F32" s="26" t="str">
        <f t="shared" si="3"/>
        <v/>
      </c>
      <c r="J32" s="14">
        <v>0</v>
      </c>
      <c r="K32" s="14">
        <v>0</v>
      </c>
    </row>
    <row r="33" spans="1:11" hidden="1" x14ac:dyDescent="0.3">
      <c r="A33" s="31">
        <v>46305</v>
      </c>
      <c r="B33" s="26" t="s">
        <v>26</v>
      </c>
      <c r="C33" s="7">
        <f t="shared" si="0"/>
        <v>0</v>
      </c>
      <c r="D33" s="7">
        <f t="shared" si="1"/>
        <v>0</v>
      </c>
      <c r="E33" s="7">
        <f t="shared" si="2"/>
        <v>221047013</v>
      </c>
      <c r="F33" s="26" t="str">
        <f t="shared" si="3"/>
        <v/>
      </c>
      <c r="J33" s="14">
        <v>0</v>
      </c>
      <c r="K33" s="14">
        <v>0</v>
      </c>
    </row>
    <row r="34" spans="1:11" hidden="1" x14ac:dyDescent="0.3">
      <c r="A34" s="31">
        <v>46306</v>
      </c>
      <c r="B34" s="26" t="s">
        <v>27</v>
      </c>
      <c r="C34" s="7">
        <f t="shared" si="0"/>
        <v>0</v>
      </c>
      <c r="D34" s="7">
        <f t="shared" si="1"/>
        <v>0</v>
      </c>
      <c r="E34" s="7">
        <f t="shared" si="2"/>
        <v>221047013</v>
      </c>
      <c r="F34" s="26" t="str">
        <f t="shared" si="3"/>
        <v/>
      </c>
      <c r="J34" s="14">
        <v>0</v>
      </c>
      <c r="K34" s="14">
        <v>0</v>
      </c>
    </row>
    <row r="35" spans="1:11" hidden="1" x14ac:dyDescent="0.3">
      <c r="A35" s="15">
        <v>46307</v>
      </c>
      <c r="B35" s="16" t="s">
        <v>20</v>
      </c>
      <c r="C35" s="7">
        <f t="shared" si="0"/>
        <v>8542205</v>
      </c>
      <c r="D35" s="7">
        <f t="shared" si="1"/>
        <v>0</v>
      </c>
      <c r="E35" s="7">
        <f t="shared" si="2"/>
        <v>229589218</v>
      </c>
      <c r="F35" s="26" t="str">
        <f t="shared" si="3"/>
        <v/>
      </c>
      <c r="J35" s="14">
        <v>10677756</v>
      </c>
      <c r="K35" s="14">
        <v>0</v>
      </c>
    </row>
    <row r="36" spans="1:11" hidden="1" x14ac:dyDescent="0.3">
      <c r="A36" s="15">
        <v>46308</v>
      </c>
      <c r="B36" s="16" t="s">
        <v>22</v>
      </c>
      <c r="C36" s="7">
        <f t="shared" si="0"/>
        <v>17804001</v>
      </c>
      <c r="D36" s="7">
        <f t="shared" si="1"/>
        <v>0</v>
      </c>
      <c r="E36" s="7">
        <f t="shared" si="2"/>
        <v>247393219</v>
      </c>
      <c r="F36" s="26" t="str">
        <f t="shared" si="3"/>
        <v/>
      </c>
      <c r="J36" s="14">
        <v>22255001</v>
      </c>
      <c r="K36" s="14">
        <v>0</v>
      </c>
    </row>
    <row r="37" spans="1:11" hidden="1" x14ac:dyDescent="0.3">
      <c r="A37" s="15">
        <v>46309</v>
      </c>
      <c r="B37" s="16" t="s">
        <v>23</v>
      </c>
      <c r="C37" s="7">
        <f t="shared" si="0"/>
        <v>11437554</v>
      </c>
      <c r="D37" s="7">
        <f t="shared" si="1"/>
        <v>0</v>
      </c>
      <c r="E37" s="7">
        <f t="shared" si="2"/>
        <v>258830773</v>
      </c>
      <c r="F37" s="26" t="str">
        <f t="shared" si="3"/>
        <v/>
      </c>
      <c r="J37" s="14">
        <v>14296943</v>
      </c>
      <c r="K37" s="14">
        <v>0</v>
      </c>
    </row>
    <row r="38" spans="1:11" hidden="1" x14ac:dyDescent="0.3">
      <c r="A38" s="15">
        <v>46310</v>
      </c>
      <c r="B38" s="16" t="s">
        <v>24</v>
      </c>
      <c r="C38" s="7">
        <f t="shared" si="0"/>
        <v>10611849</v>
      </c>
      <c r="D38" s="7">
        <f t="shared" si="1"/>
        <v>0</v>
      </c>
      <c r="E38" s="7">
        <f t="shared" si="2"/>
        <v>269442622</v>
      </c>
      <c r="F38" s="26" t="str">
        <f t="shared" si="3"/>
        <v/>
      </c>
      <c r="J38" s="14">
        <v>13264811</v>
      </c>
      <c r="K38" s="14">
        <v>0</v>
      </c>
    </row>
    <row r="39" spans="1:11" hidden="1" x14ac:dyDescent="0.3">
      <c r="A39" s="15">
        <v>46311</v>
      </c>
      <c r="B39" s="16" t="s">
        <v>25</v>
      </c>
      <c r="C39" s="7">
        <f t="shared" si="0"/>
        <v>8256724</v>
      </c>
      <c r="D39" s="7">
        <f t="shared" si="1"/>
        <v>0</v>
      </c>
      <c r="E39" s="7">
        <f t="shared" si="2"/>
        <v>277699346</v>
      </c>
      <c r="F39" s="26" t="str">
        <f t="shared" si="3"/>
        <v/>
      </c>
      <c r="J39" s="14">
        <v>10320905</v>
      </c>
      <c r="K39" s="14">
        <v>0</v>
      </c>
    </row>
    <row r="40" spans="1:11" hidden="1" x14ac:dyDescent="0.3">
      <c r="A40" s="31">
        <v>46312</v>
      </c>
      <c r="B40" s="26" t="s">
        <v>26</v>
      </c>
      <c r="C40" s="7">
        <f t="shared" si="0"/>
        <v>0</v>
      </c>
      <c r="D40" s="7">
        <f t="shared" si="1"/>
        <v>0</v>
      </c>
      <c r="E40" s="7">
        <f t="shared" si="2"/>
        <v>277699346</v>
      </c>
      <c r="F40" s="26" t="str">
        <f t="shared" si="3"/>
        <v/>
      </c>
      <c r="J40" s="14">
        <v>0</v>
      </c>
      <c r="K40" s="14">
        <v>0</v>
      </c>
    </row>
    <row r="41" spans="1:11" hidden="1" x14ac:dyDescent="0.3">
      <c r="A41" s="31">
        <v>46313</v>
      </c>
      <c r="B41" s="26" t="s">
        <v>27</v>
      </c>
      <c r="C41" s="7">
        <f t="shared" si="0"/>
        <v>0</v>
      </c>
      <c r="D41" s="7">
        <f t="shared" si="1"/>
        <v>0</v>
      </c>
      <c r="E41" s="7">
        <f t="shared" si="2"/>
        <v>277699346</v>
      </c>
      <c r="F41" s="26" t="str">
        <f t="shared" si="3"/>
        <v/>
      </c>
      <c r="J41" s="14">
        <v>0</v>
      </c>
      <c r="K41" s="14">
        <v>0</v>
      </c>
    </row>
    <row r="42" spans="1:11" x14ac:dyDescent="0.3">
      <c r="A42" s="32" t="s">
        <v>28</v>
      </c>
      <c r="C42" s="33">
        <f>MIN(E14:E41)</f>
        <v>116169409</v>
      </c>
      <c r="D42" s="34" t="s">
        <v>29</v>
      </c>
      <c r="E42" s="33">
        <f>E41</f>
        <v>277699346</v>
      </c>
    </row>
    <row r="43" spans="1:11" x14ac:dyDescent="0.3">
      <c r="A43" s="32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11" x14ac:dyDescent="0.3">
      <c r="A45" s="4" t="s">
        <v>30</v>
      </c>
      <c r="B45" s="5"/>
      <c r="C45" s="5"/>
      <c r="D45" s="5"/>
      <c r="E45" s="5"/>
      <c r="F45" s="5"/>
      <c r="G45" s="5"/>
      <c r="H45" s="5"/>
      <c r="I45" s="5"/>
    </row>
    <row r="46" spans="1:11" x14ac:dyDescent="0.3">
      <c r="A46" s="13" t="s">
        <v>31</v>
      </c>
      <c r="B46" s="13" t="s">
        <v>15</v>
      </c>
      <c r="C46" s="13" t="s">
        <v>32</v>
      </c>
      <c r="D46" s="13" t="s">
        <v>33</v>
      </c>
      <c r="E46" s="13" t="s">
        <v>34</v>
      </c>
      <c r="F46" s="13" t="s">
        <v>35</v>
      </c>
      <c r="G46" s="13" t="s">
        <v>36</v>
      </c>
    </row>
    <row r="47" spans="1:11" x14ac:dyDescent="0.3">
      <c r="A47" s="15">
        <v>46287</v>
      </c>
      <c r="B47" s="16" t="s">
        <v>22</v>
      </c>
      <c r="C47" s="6" t="s">
        <v>37</v>
      </c>
      <c r="D47" s="35" t="s">
        <v>38</v>
      </c>
      <c r="E47" s="7">
        <f t="shared" ref="E47:E55" si="4">ROUND(J15*$F$12,0)</f>
        <v>17804001</v>
      </c>
      <c r="F47" s="17">
        <v>16016097</v>
      </c>
      <c r="G47" s="7">
        <f t="shared" ref="G47:G58" si="5">IF(OR(F47="",E47=""),"",F47-E47)</f>
        <v>-1787904</v>
      </c>
    </row>
    <row r="48" spans="1:11" x14ac:dyDescent="0.3">
      <c r="A48" s="15">
        <v>46288</v>
      </c>
      <c r="B48" s="16" t="s">
        <v>23</v>
      </c>
      <c r="C48" s="6" t="s">
        <v>37</v>
      </c>
      <c r="D48" s="35" t="s">
        <v>38</v>
      </c>
      <c r="E48" s="7">
        <f t="shared" si="4"/>
        <v>11437554</v>
      </c>
      <c r="F48" s="6"/>
      <c r="G48" s="7" t="str">
        <f t="shared" si="5"/>
        <v/>
      </c>
    </row>
    <row r="49" spans="1:7" x14ac:dyDescent="0.3">
      <c r="A49" s="31">
        <v>46289</v>
      </c>
      <c r="B49" s="26" t="s">
        <v>24</v>
      </c>
      <c r="C49" s="6" t="s">
        <v>37</v>
      </c>
      <c r="D49" s="35" t="s">
        <v>38</v>
      </c>
      <c r="E49" s="7">
        <f t="shared" si="4"/>
        <v>0</v>
      </c>
      <c r="F49" s="6"/>
      <c r="G49" s="7" t="str">
        <f t="shared" si="5"/>
        <v/>
      </c>
    </row>
    <row r="50" spans="1:7" x14ac:dyDescent="0.3">
      <c r="A50" s="31">
        <v>46290</v>
      </c>
      <c r="B50" s="26" t="s">
        <v>25</v>
      </c>
      <c r="C50" s="6" t="s">
        <v>37</v>
      </c>
      <c r="D50" s="35" t="s">
        <v>38</v>
      </c>
      <c r="E50" s="7">
        <f t="shared" si="4"/>
        <v>0</v>
      </c>
      <c r="F50" s="6"/>
      <c r="G50" s="7" t="str">
        <f t="shared" si="5"/>
        <v/>
      </c>
    </row>
    <row r="51" spans="1:7" x14ac:dyDescent="0.3">
      <c r="A51" s="31">
        <v>46291</v>
      </c>
      <c r="B51" s="26" t="s">
        <v>26</v>
      </c>
      <c r="C51" s="6" t="s">
        <v>37</v>
      </c>
      <c r="D51" s="35" t="s">
        <v>38</v>
      </c>
      <c r="E51" s="7">
        <f t="shared" si="4"/>
        <v>0</v>
      </c>
      <c r="F51" s="6"/>
      <c r="G51" s="7" t="str">
        <f t="shared" si="5"/>
        <v/>
      </c>
    </row>
    <row r="52" spans="1:7" x14ac:dyDescent="0.3">
      <c r="A52" s="31">
        <v>46292</v>
      </c>
      <c r="B52" s="26" t="s">
        <v>27</v>
      </c>
      <c r="C52" s="6" t="s">
        <v>37</v>
      </c>
      <c r="D52" s="35" t="s">
        <v>38</v>
      </c>
      <c r="E52" s="7">
        <f t="shared" si="4"/>
        <v>0</v>
      </c>
      <c r="F52" s="6"/>
      <c r="G52" s="7" t="str">
        <f t="shared" si="5"/>
        <v/>
      </c>
    </row>
    <row r="53" spans="1:7" x14ac:dyDescent="0.3">
      <c r="A53" s="15">
        <v>46293</v>
      </c>
      <c r="B53" s="16" t="s">
        <v>20</v>
      </c>
      <c r="C53" s="6" t="s">
        <v>37</v>
      </c>
      <c r="D53" s="35" t="s">
        <v>38</v>
      </c>
      <c r="E53" s="7">
        <f t="shared" si="4"/>
        <v>8542205</v>
      </c>
      <c r="F53" s="6"/>
      <c r="G53" s="7" t="str">
        <f t="shared" si="5"/>
        <v/>
      </c>
    </row>
    <row r="54" spans="1:7" x14ac:dyDescent="0.3">
      <c r="A54" s="15">
        <v>46294</v>
      </c>
      <c r="B54" s="16" t="s">
        <v>22</v>
      </c>
      <c r="C54" s="6" t="s">
        <v>37</v>
      </c>
      <c r="D54" s="35" t="s">
        <v>38</v>
      </c>
      <c r="E54" s="7">
        <f t="shared" si="4"/>
        <v>17804001</v>
      </c>
      <c r="F54" s="6"/>
      <c r="G54" s="7" t="str">
        <f t="shared" si="5"/>
        <v/>
      </c>
    </row>
    <row r="55" spans="1:7" x14ac:dyDescent="0.3">
      <c r="A55" s="15">
        <v>46295</v>
      </c>
      <c r="B55" s="16" t="s">
        <v>23</v>
      </c>
      <c r="C55" s="6" t="s">
        <v>37</v>
      </c>
      <c r="D55" s="35" t="s">
        <v>38</v>
      </c>
      <c r="E55" s="7">
        <f t="shared" si="4"/>
        <v>11437554</v>
      </c>
      <c r="F55" s="6"/>
      <c r="G55" s="7" t="str">
        <f t="shared" si="5"/>
        <v/>
      </c>
    </row>
    <row r="56" spans="1:7" x14ac:dyDescent="0.3">
      <c r="A56" s="15">
        <v>46295</v>
      </c>
      <c r="B56" s="16" t="s">
        <v>23</v>
      </c>
      <c r="C56" s="6" t="s">
        <v>39</v>
      </c>
      <c r="D56" s="35" t="s">
        <v>40</v>
      </c>
      <c r="E56" s="7">
        <v>10021867</v>
      </c>
      <c r="F56" s="6"/>
      <c r="G56" s="7" t="str">
        <f t="shared" si="5"/>
        <v/>
      </c>
    </row>
    <row r="57" spans="1:7" x14ac:dyDescent="0.3">
      <c r="A57" s="15">
        <v>46296</v>
      </c>
      <c r="B57" s="16" t="s">
        <v>24</v>
      </c>
      <c r="C57" s="6" t="s">
        <v>37</v>
      </c>
      <c r="D57" s="35" t="s">
        <v>38</v>
      </c>
      <c r="E57" s="7">
        <f>ROUND(J24*$F$12,0)</f>
        <v>10611849</v>
      </c>
      <c r="F57" s="6"/>
      <c r="G57" s="7" t="str">
        <f t="shared" si="5"/>
        <v/>
      </c>
    </row>
    <row r="58" spans="1:7" x14ac:dyDescent="0.3">
      <c r="A58" s="15">
        <v>46297</v>
      </c>
      <c r="B58" s="16" t="s">
        <v>25</v>
      </c>
      <c r="C58" s="6" t="s">
        <v>37</v>
      </c>
      <c r="D58" s="35" t="s">
        <v>38</v>
      </c>
      <c r="E58" s="7">
        <f>ROUND(J25*$F$12,0)</f>
        <v>8256724</v>
      </c>
      <c r="F58" s="6"/>
      <c r="G58" s="7" t="str">
        <f t="shared" si="5"/>
        <v/>
      </c>
    </row>
    <row r="59" spans="1:7" hidden="1" x14ac:dyDescent="0.3"/>
    <row r="60" spans="1:7" hidden="1" x14ac:dyDescent="0.3"/>
    <row r="61" spans="1:7" hidden="1" x14ac:dyDescent="0.3"/>
    <row r="62" spans="1:7" hidden="1" x14ac:dyDescent="0.3"/>
    <row r="63" spans="1:7" hidden="1" x14ac:dyDescent="0.3"/>
    <row r="64" spans="1:7" hidden="1" x14ac:dyDescent="0.3"/>
    <row r="65" spans="1:9" hidden="1" x14ac:dyDescent="0.3"/>
    <row r="66" spans="1:9" hidden="1" x14ac:dyDescent="0.3"/>
    <row r="67" spans="1:9" hidden="1" x14ac:dyDescent="0.3"/>
    <row r="68" spans="1:9" hidden="1" x14ac:dyDescent="0.3"/>
    <row r="69" spans="1:9" x14ac:dyDescent="0.3">
      <c r="D69" s="36" t="s">
        <v>41</v>
      </c>
      <c r="E69" s="33">
        <f>SUM(E47:E68)</f>
        <v>95915755</v>
      </c>
      <c r="F69" s="33">
        <f>SUM(F47:F68)</f>
        <v>16016097</v>
      </c>
    </row>
    <row r="71" spans="1:9" x14ac:dyDescent="0.3">
      <c r="A71" s="4" t="s">
        <v>42</v>
      </c>
      <c r="B71" s="5"/>
      <c r="C71" s="5"/>
      <c r="D71" s="5"/>
      <c r="E71" s="5"/>
      <c r="F71" s="5"/>
      <c r="G71" s="5"/>
      <c r="H71" s="5"/>
      <c r="I71" s="5"/>
    </row>
    <row r="72" spans="1:9" x14ac:dyDescent="0.3">
      <c r="A72" s="13" t="s">
        <v>43</v>
      </c>
      <c r="B72" s="13" t="s">
        <v>15</v>
      </c>
      <c r="C72" s="13" t="s">
        <v>32</v>
      </c>
      <c r="D72" s="13" t="s">
        <v>33</v>
      </c>
      <c r="E72" s="13" t="s">
        <v>44</v>
      </c>
      <c r="F72" s="13" t="s">
        <v>45</v>
      </c>
      <c r="G72" s="13" t="s">
        <v>46</v>
      </c>
      <c r="H72" s="13" t="s">
        <v>47</v>
      </c>
      <c r="I72" s="13" t="s">
        <v>48</v>
      </c>
    </row>
    <row r="73" spans="1:9" x14ac:dyDescent="0.3">
      <c r="A73" s="37">
        <v>46287</v>
      </c>
      <c r="B73" s="16" t="str">
        <f t="shared" ref="B73:B84" si="6">IF(A73="","",MID("월화수목금토일",WEEKDAY(A73,2),1))</f>
        <v>화</v>
      </c>
      <c r="C73" s="6" t="s">
        <v>49</v>
      </c>
      <c r="D73" s="35" t="s">
        <v>50</v>
      </c>
      <c r="E73" s="38">
        <v>20000000</v>
      </c>
      <c r="F73" s="16" t="s">
        <v>51</v>
      </c>
      <c r="G73" s="39">
        <v>0</v>
      </c>
      <c r="H73" s="39">
        <f>IF(G73="","",E73-G73)</f>
        <v>20000000</v>
      </c>
      <c r="I73" s="40" t="s">
        <v>48</v>
      </c>
    </row>
    <row r="74" spans="1:9" x14ac:dyDescent="0.3">
      <c r="A74" s="37">
        <v>46287</v>
      </c>
      <c r="B74" s="16" t="str">
        <f t="shared" si="6"/>
        <v>화</v>
      </c>
      <c r="C74" s="6" t="s">
        <v>49</v>
      </c>
      <c r="D74" s="35" t="s">
        <v>52</v>
      </c>
      <c r="E74" s="38">
        <v>1023110</v>
      </c>
      <c r="F74" s="16" t="s">
        <v>51</v>
      </c>
      <c r="G74" s="39">
        <v>0</v>
      </c>
      <c r="H74" s="39">
        <f>IF(G74="","",E74-G74)</f>
        <v>1023110</v>
      </c>
      <c r="I74" s="40"/>
    </row>
    <row r="75" spans="1:9" x14ac:dyDescent="0.3">
      <c r="A75" s="37">
        <v>46287</v>
      </c>
      <c r="B75" s="16" t="str">
        <f t="shared" si="6"/>
        <v>화</v>
      </c>
      <c r="C75" s="6" t="s">
        <v>53</v>
      </c>
      <c r="D75" s="35" t="s">
        <v>54</v>
      </c>
      <c r="E75" s="38">
        <v>500000</v>
      </c>
      <c r="F75" s="16" t="s">
        <v>51</v>
      </c>
      <c r="G75" s="39">
        <v>0</v>
      </c>
      <c r="H75" s="39">
        <f>IF(G75="","",E75-G75)</f>
        <v>500000</v>
      </c>
      <c r="I75" s="40"/>
    </row>
    <row r="76" spans="1:9" x14ac:dyDescent="0.3">
      <c r="A76" s="37">
        <v>46288</v>
      </c>
      <c r="B76" s="16" t="str">
        <f t="shared" si="6"/>
        <v>수</v>
      </c>
      <c r="C76" s="6" t="s">
        <v>49</v>
      </c>
      <c r="D76" s="35" t="s">
        <v>55</v>
      </c>
      <c r="E76" s="38">
        <v>25346349</v>
      </c>
      <c r="F76" s="16" t="s">
        <v>56</v>
      </c>
      <c r="G76" s="6"/>
      <c r="H76" s="6"/>
      <c r="I76" s="6"/>
    </row>
    <row r="77" spans="1:9" x14ac:dyDescent="0.3">
      <c r="A77" s="37">
        <v>46288</v>
      </c>
      <c r="B77" s="16" t="str">
        <f t="shared" si="6"/>
        <v>수</v>
      </c>
      <c r="C77" s="6" t="s">
        <v>53</v>
      </c>
      <c r="D77" s="35" t="s">
        <v>57</v>
      </c>
      <c r="E77" s="38">
        <v>8305000</v>
      </c>
      <c r="F77" s="16" t="s">
        <v>51</v>
      </c>
      <c r="G77" s="6"/>
      <c r="H77" s="6"/>
      <c r="I77" s="6"/>
    </row>
    <row r="78" spans="1:9" x14ac:dyDescent="0.3">
      <c r="A78" s="37">
        <v>46288</v>
      </c>
      <c r="B78" s="16" t="str">
        <f t="shared" si="6"/>
        <v>수</v>
      </c>
      <c r="C78" s="6" t="s">
        <v>49</v>
      </c>
      <c r="D78" s="35" t="s">
        <v>58</v>
      </c>
      <c r="E78" s="38">
        <v>6827883</v>
      </c>
      <c r="F78" s="16" t="s">
        <v>56</v>
      </c>
      <c r="G78" s="6"/>
      <c r="H78" s="6"/>
      <c r="I78" s="6"/>
    </row>
    <row r="79" spans="1:9" x14ac:dyDescent="0.3">
      <c r="A79" s="37">
        <v>46288</v>
      </c>
      <c r="B79" s="16" t="str">
        <f t="shared" si="6"/>
        <v>수</v>
      </c>
      <c r="C79" s="6" t="s">
        <v>53</v>
      </c>
      <c r="D79" s="35" t="s">
        <v>59</v>
      </c>
      <c r="E79" s="38">
        <v>3300000</v>
      </c>
      <c r="F79" s="16" t="s">
        <v>51</v>
      </c>
      <c r="G79" s="6"/>
      <c r="H79" s="6"/>
      <c r="I79" s="6"/>
    </row>
    <row r="80" spans="1:9" x14ac:dyDescent="0.3">
      <c r="A80" s="37">
        <v>46288</v>
      </c>
      <c r="B80" s="16" t="str">
        <f t="shared" si="6"/>
        <v>수</v>
      </c>
      <c r="C80" s="6" t="s">
        <v>53</v>
      </c>
      <c r="D80" s="35" t="s">
        <v>60</v>
      </c>
      <c r="E80" s="38">
        <v>1487786</v>
      </c>
      <c r="F80" s="16" t="s">
        <v>51</v>
      </c>
      <c r="G80" s="6"/>
      <c r="H80" s="6"/>
      <c r="I80" s="6"/>
    </row>
    <row r="81" spans="1:9" x14ac:dyDescent="0.3">
      <c r="A81" s="37">
        <v>46288</v>
      </c>
      <c r="B81" s="16" t="str">
        <f t="shared" si="6"/>
        <v>수</v>
      </c>
      <c r="C81" s="6" t="s">
        <v>53</v>
      </c>
      <c r="D81" s="35" t="s">
        <v>61</v>
      </c>
      <c r="E81" s="38">
        <v>550000</v>
      </c>
      <c r="F81" s="16" t="s">
        <v>51</v>
      </c>
      <c r="G81" s="6"/>
      <c r="H81" s="6"/>
      <c r="I81" s="6"/>
    </row>
    <row r="82" spans="1:9" x14ac:dyDescent="0.3">
      <c r="A82" s="41">
        <v>46290</v>
      </c>
      <c r="B82" s="26" t="str">
        <f t="shared" si="6"/>
        <v>금</v>
      </c>
      <c r="C82" s="6" t="s">
        <v>49</v>
      </c>
      <c r="D82" s="35" t="s">
        <v>62</v>
      </c>
      <c r="E82" s="38">
        <v>2497000</v>
      </c>
      <c r="F82" s="16" t="s">
        <v>56</v>
      </c>
      <c r="G82" s="6"/>
      <c r="H82" s="6"/>
      <c r="I82" s="6"/>
    </row>
    <row r="83" spans="1:9" x14ac:dyDescent="0.3">
      <c r="A83" s="41">
        <v>46290</v>
      </c>
      <c r="B83" s="26" t="str">
        <f t="shared" si="6"/>
        <v>금</v>
      </c>
      <c r="C83" s="6" t="s">
        <v>49</v>
      </c>
      <c r="D83" s="35" t="s">
        <v>63</v>
      </c>
      <c r="E83" s="38">
        <v>109450</v>
      </c>
      <c r="F83" s="16" t="s">
        <v>56</v>
      </c>
      <c r="G83" s="6"/>
      <c r="H83" s="6"/>
      <c r="I83" s="6"/>
    </row>
    <row r="84" spans="1:9" x14ac:dyDescent="0.3">
      <c r="A84" s="37">
        <v>46293</v>
      </c>
      <c r="B84" s="16" t="str">
        <f t="shared" si="6"/>
        <v>월</v>
      </c>
      <c r="C84" s="6" t="s">
        <v>64</v>
      </c>
      <c r="D84" s="35" t="s">
        <v>65</v>
      </c>
      <c r="E84" s="38">
        <v>1650000</v>
      </c>
      <c r="F84" s="16" t="s">
        <v>51</v>
      </c>
      <c r="G84" s="6"/>
      <c r="H84" s="6"/>
      <c r="I84" s="6"/>
    </row>
    <row r="88" spans="1:9" hidden="1" x14ac:dyDescent="0.3"/>
    <row r="89" spans="1:9" hidden="1" x14ac:dyDescent="0.3"/>
    <row r="90" spans="1:9" hidden="1" x14ac:dyDescent="0.3"/>
    <row r="91" spans="1:9" hidden="1" x14ac:dyDescent="0.3"/>
    <row r="92" spans="1:9" hidden="1" x14ac:dyDescent="0.3"/>
    <row r="93" spans="1:9" hidden="1" x14ac:dyDescent="0.3"/>
    <row r="94" spans="1:9" hidden="1" x14ac:dyDescent="0.3"/>
    <row r="95" spans="1:9" hidden="1" x14ac:dyDescent="0.3"/>
    <row r="96" spans="1:9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spans="1:9" hidden="1" x14ac:dyDescent="0.3"/>
    <row r="162" spans="1:9" hidden="1" x14ac:dyDescent="0.3"/>
    <row r="163" spans="1:9" hidden="1" x14ac:dyDescent="0.3"/>
    <row r="164" spans="1:9" hidden="1" x14ac:dyDescent="0.3"/>
    <row r="165" spans="1:9" hidden="1" x14ac:dyDescent="0.3"/>
    <row r="166" spans="1:9" hidden="1" x14ac:dyDescent="0.3"/>
    <row r="167" spans="1:9" x14ac:dyDescent="0.3">
      <c r="D167" s="36" t="s">
        <v>66</v>
      </c>
      <c r="E167" s="33">
        <f>SUM(E73:E166)</f>
        <v>71596578</v>
      </c>
    </row>
    <row r="169" spans="1:9" x14ac:dyDescent="0.3">
      <c r="A169" s="4" t="s">
        <v>67</v>
      </c>
      <c r="B169" s="5"/>
      <c r="C169" s="5"/>
      <c r="D169" s="5"/>
      <c r="E169" s="5"/>
      <c r="F169" s="5"/>
      <c r="G169" s="5"/>
      <c r="H169" s="5"/>
      <c r="I169" s="5"/>
    </row>
    <row r="170" spans="1:9" ht="24" x14ac:dyDescent="0.3">
      <c r="A170" s="32" t="s">
        <v>68</v>
      </c>
      <c r="C170" s="38">
        <v>0</v>
      </c>
      <c r="D170" s="42" t="s">
        <v>69</v>
      </c>
    </row>
    <row r="171" spans="1:9" x14ac:dyDescent="0.3">
      <c r="A171" s="13" t="s">
        <v>70</v>
      </c>
      <c r="B171" s="13"/>
      <c r="C171" s="13" t="s">
        <v>71</v>
      </c>
      <c r="D171" s="13" t="s">
        <v>72</v>
      </c>
      <c r="E171" s="13" t="s">
        <v>73</v>
      </c>
      <c r="F171" s="13" t="s">
        <v>74</v>
      </c>
    </row>
    <row r="172" spans="1:9" x14ac:dyDescent="0.3">
      <c r="A172" s="43">
        <v>0.8</v>
      </c>
      <c r="C172" s="7">
        <v>277699347</v>
      </c>
      <c r="D172" s="7">
        <v>116169409</v>
      </c>
      <c r="E172" s="16" t="s">
        <v>75</v>
      </c>
      <c r="F172" s="10">
        <f>MAX(0,$C$170-D172)</f>
        <v>0</v>
      </c>
    </row>
    <row r="173" spans="1:9" x14ac:dyDescent="0.3">
      <c r="A173" s="43">
        <v>0.9</v>
      </c>
      <c r="C173" s="7">
        <v>300499300</v>
      </c>
      <c r="D173" s="7">
        <v>119824604</v>
      </c>
      <c r="E173" s="16" t="s">
        <v>75</v>
      </c>
      <c r="F173" s="10">
        <f>MAX(0,$C$170-D173)</f>
        <v>0</v>
      </c>
    </row>
    <row r="174" spans="1:9" x14ac:dyDescent="0.3">
      <c r="A174" s="43">
        <v>1</v>
      </c>
      <c r="C174" s="7">
        <v>323299253</v>
      </c>
      <c r="D174" s="7">
        <v>123479798</v>
      </c>
      <c r="E174" s="16" t="s">
        <v>75</v>
      </c>
      <c r="F174" s="10">
        <f>MAX(0,$C$170-D174)</f>
        <v>0</v>
      </c>
    </row>
    <row r="175" spans="1:9" x14ac:dyDescent="0.3">
      <c r="A175" s="32" t="s">
        <v>76</v>
      </c>
      <c r="C175" s="33">
        <f>ROUND(F172/4,0)</f>
        <v>0</v>
      </c>
      <c r="D175" s="34" t="s">
        <v>77</v>
      </c>
      <c r="E175" s="33">
        <f>ROUND(F172/20,0)</f>
        <v>0</v>
      </c>
    </row>
    <row r="177" spans="1:9" x14ac:dyDescent="0.3">
      <c r="A177" s="4" t="s">
        <v>78</v>
      </c>
      <c r="B177" s="5"/>
      <c r="C177" s="5"/>
      <c r="D177" s="5"/>
      <c r="E177" s="5"/>
      <c r="F177" s="5"/>
      <c r="G177" s="5"/>
      <c r="H177" s="5"/>
      <c r="I177" s="5"/>
    </row>
    <row r="178" spans="1:9" x14ac:dyDescent="0.3">
      <c r="A178" s="51" t="str">
        <f>IF(F172&lt;=0,"현재 반영률 기준 향후 4주 자금은 목표 최저잔액("&amp;TEXT($C$170,"#,##0")&amp;"원)을 유지합니다. 추가 입금 목표 없이 계획대로 진행 가능합니다.","향후 4주 최저 예상잔액이 목표("&amp;TEXT($C$170,"#,##0")&amp;"원) 대비 "&amp;TEXT(F172,"#,##0")&amp;"원 부족합니다. 4주간 총 "&amp;TEXT(F172,"#,##0")&amp;"원, 주당 약 "&amp;TEXT(ROUND(F172/4,0),"#,##0")&amp;"원의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78" s="52"/>
      <c r="C178" s="52"/>
      <c r="D178" s="52"/>
      <c r="E178" s="52"/>
      <c r="F178" s="52"/>
    </row>
    <row r="179" spans="1:9" x14ac:dyDescent="0.3">
      <c r="A179" s="52"/>
      <c r="B179" s="52"/>
      <c r="C179" s="52"/>
      <c r="D179" s="52"/>
      <c r="E179" s="52"/>
      <c r="F179" s="52"/>
    </row>
    <row r="180" spans="1:9" x14ac:dyDescent="0.3">
      <c r="A180" s="52"/>
      <c r="B180" s="52"/>
      <c r="C180" s="52"/>
      <c r="D180" s="52"/>
      <c r="E180" s="52"/>
      <c r="F180" s="52"/>
    </row>
  </sheetData>
  <autoFilter ref="A72:I166" xr:uid="{00000000-0009-0000-0000-000000000000}"/>
  <mergeCells count="1">
    <mergeCell ref="A178:F180"/>
  </mergeCells>
  <phoneticPr fontId="12" type="noConversion"/>
  <conditionalFormatting sqref="E14:E41">
    <cfRule type="cellIs" dxfId="0" priority="1" operator="lessThan">
      <formula>0</formula>
    </cfRule>
  </conditionalFormatting>
  <dataValidations count="2">
    <dataValidation type="list" allowBlank="1" showErrorMessage="1" error="목록에 있는 반영률만 선택할 수 있습니다." sqref="F12" xr:uid="{00000000-0002-0000-0000-000000000000}">
      <formula1>"60%,70%,80%,90%,100%"</formula1>
    </dataValidation>
    <dataValidation type="list" allowBlank="1" sqref="I73 I74 I75" xr:uid="{00000000-0002-0000-0000-000001000000}">
      <formula1>"확인"</formula1>
    </dataValidation>
  </dataValidations>
  <pageMargins left="0.35" right="0.35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7" customWidth="1"/>
    <col min="7" max="7" width="30" customWidth="1"/>
  </cols>
  <sheetData>
    <row r="1" spans="1:7" ht="19.5" x14ac:dyDescent="0.35">
      <c r="A1" s="44" t="s">
        <v>79</v>
      </c>
    </row>
    <row r="2" spans="1:7" x14ac:dyDescent="0.3">
      <c r="A2" s="2" t="s">
        <v>80</v>
      </c>
    </row>
    <row r="3" spans="1:7" x14ac:dyDescent="0.3">
      <c r="A3" s="45" t="s">
        <v>81</v>
      </c>
    </row>
    <row r="5" spans="1:7" x14ac:dyDescent="0.3">
      <c r="A5" s="13" t="s">
        <v>82</v>
      </c>
      <c r="B5" s="13" t="s">
        <v>15</v>
      </c>
      <c r="C5" s="13" t="s">
        <v>83</v>
      </c>
      <c r="D5" s="13" t="s">
        <v>84</v>
      </c>
      <c r="E5" s="13" t="s">
        <v>85</v>
      </c>
      <c r="F5" s="13" t="s">
        <v>86</v>
      </c>
      <c r="G5" s="13" t="s">
        <v>87</v>
      </c>
    </row>
    <row r="6" spans="1:7" x14ac:dyDescent="0.3">
      <c r="A6" s="15">
        <v>46287</v>
      </c>
      <c r="B6" s="16" t="s">
        <v>22</v>
      </c>
      <c r="C6" s="6" t="s">
        <v>88</v>
      </c>
      <c r="D6" s="7">
        <v>231733</v>
      </c>
      <c r="E6" s="16" t="s">
        <v>89</v>
      </c>
      <c r="F6" s="6" t="s">
        <v>90</v>
      </c>
      <c r="G6" s="6" t="s">
        <v>91</v>
      </c>
    </row>
    <row r="7" spans="1:7" x14ac:dyDescent="0.3">
      <c r="A7" s="15">
        <v>46288</v>
      </c>
      <c r="B7" s="16" t="s">
        <v>23</v>
      </c>
      <c r="C7" s="6" t="s">
        <v>92</v>
      </c>
      <c r="D7" s="7">
        <v>26105540</v>
      </c>
      <c r="E7" s="16" t="s">
        <v>89</v>
      </c>
      <c r="F7" s="6" t="s">
        <v>93</v>
      </c>
      <c r="G7" s="6" t="s">
        <v>91</v>
      </c>
    </row>
    <row r="8" spans="1:7" x14ac:dyDescent="0.3">
      <c r="A8" s="46">
        <v>46288</v>
      </c>
      <c r="B8" s="47" t="s">
        <v>23</v>
      </c>
      <c r="C8" s="48" t="s">
        <v>94</v>
      </c>
      <c r="D8" s="49">
        <v>7641812</v>
      </c>
      <c r="E8" s="47" t="s">
        <v>89</v>
      </c>
      <c r="F8" s="48" t="s">
        <v>75</v>
      </c>
      <c r="G8" s="50" t="s">
        <v>95</v>
      </c>
    </row>
    <row r="9" spans="1:7" x14ac:dyDescent="0.3">
      <c r="A9" s="15">
        <v>46288</v>
      </c>
      <c r="B9" s="16" t="s">
        <v>23</v>
      </c>
      <c r="C9" s="6" t="s">
        <v>96</v>
      </c>
      <c r="D9" s="7">
        <v>6066502</v>
      </c>
      <c r="E9" s="16" t="s">
        <v>89</v>
      </c>
      <c r="F9" s="6" t="s">
        <v>97</v>
      </c>
      <c r="G9" s="6" t="s">
        <v>91</v>
      </c>
    </row>
    <row r="10" spans="1:7" x14ac:dyDescent="0.3">
      <c r="A10" s="46">
        <v>46288</v>
      </c>
      <c r="B10" s="47" t="s">
        <v>23</v>
      </c>
      <c r="C10" s="48" t="s">
        <v>98</v>
      </c>
      <c r="D10" s="49">
        <v>173250</v>
      </c>
      <c r="E10" s="47" t="s">
        <v>89</v>
      </c>
      <c r="F10" s="48" t="s">
        <v>75</v>
      </c>
      <c r="G10" s="50" t="s">
        <v>95</v>
      </c>
    </row>
    <row r="11" spans="1:7" x14ac:dyDescent="0.3">
      <c r="A11" s="46">
        <v>46293</v>
      </c>
      <c r="B11" s="47" t="s">
        <v>20</v>
      </c>
      <c r="C11" s="48" t="s">
        <v>99</v>
      </c>
      <c r="D11" s="49">
        <v>2000000</v>
      </c>
      <c r="E11" s="47" t="s">
        <v>89</v>
      </c>
      <c r="F11" s="48" t="s">
        <v>75</v>
      </c>
      <c r="G11" s="50" t="s">
        <v>95</v>
      </c>
    </row>
    <row r="12" spans="1:7" x14ac:dyDescent="0.3">
      <c r="A12" s="46">
        <v>46293</v>
      </c>
      <c r="B12" s="47" t="s">
        <v>20</v>
      </c>
      <c r="C12" s="48" t="s">
        <v>100</v>
      </c>
      <c r="D12" s="49">
        <v>1650000</v>
      </c>
      <c r="E12" s="47" t="s">
        <v>89</v>
      </c>
      <c r="F12" s="48" t="s">
        <v>75</v>
      </c>
      <c r="G12" s="50" t="s">
        <v>95</v>
      </c>
    </row>
    <row r="13" spans="1:7" x14ac:dyDescent="0.3">
      <c r="A13" s="46">
        <v>46293</v>
      </c>
      <c r="B13" s="47" t="s">
        <v>20</v>
      </c>
      <c r="C13" s="48" t="s">
        <v>101</v>
      </c>
      <c r="D13" s="49">
        <v>449429</v>
      </c>
      <c r="E13" s="47" t="s">
        <v>89</v>
      </c>
      <c r="F13" s="48" t="s">
        <v>75</v>
      </c>
      <c r="G13" s="50" t="s">
        <v>95</v>
      </c>
    </row>
    <row r="14" spans="1:7" x14ac:dyDescent="0.3">
      <c r="A14" s="15">
        <v>46293</v>
      </c>
      <c r="B14" s="16" t="s">
        <v>20</v>
      </c>
      <c r="C14" s="6" t="s">
        <v>102</v>
      </c>
      <c r="D14" s="7">
        <v>113633</v>
      </c>
      <c r="E14" s="16" t="s">
        <v>89</v>
      </c>
      <c r="F14" s="6" t="s">
        <v>103</v>
      </c>
      <c r="G14" s="6" t="s">
        <v>91</v>
      </c>
    </row>
    <row r="15" spans="1:7" x14ac:dyDescent="0.3">
      <c r="A15" s="46">
        <v>46294</v>
      </c>
      <c r="B15" s="47" t="s">
        <v>22</v>
      </c>
      <c r="C15" s="48" t="s">
        <v>104</v>
      </c>
      <c r="D15" s="49">
        <v>1348600</v>
      </c>
      <c r="E15" s="47" t="s">
        <v>89</v>
      </c>
      <c r="F15" s="48" t="s">
        <v>75</v>
      </c>
      <c r="G15" s="50" t="s">
        <v>95</v>
      </c>
    </row>
    <row r="16" spans="1:7" x14ac:dyDescent="0.3">
      <c r="A16" s="46">
        <v>46294</v>
      </c>
      <c r="B16" s="47" t="s">
        <v>22</v>
      </c>
      <c r="C16" s="48" t="s">
        <v>105</v>
      </c>
      <c r="D16" s="49">
        <v>1045000</v>
      </c>
      <c r="E16" s="47" t="s">
        <v>89</v>
      </c>
      <c r="F16" s="48" t="s">
        <v>75</v>
      </c>
      <c r="G16" s="50" t="s">
        <v>95</v>
      </c>
    </row>
    <row r="17" spans="1:7" x14ac:dyDescent="0.3">
      <c r="A17" s="15">
        <v>46294</v>
      </c>
      <c r="B17" s="16" t="s">
        <v>22</v>
      </c>
      <c r="C17" s="6" t="s">
        <v>106</v>
      </c>
      <c r="D17" s="7">
        <v>586192</v>
      </c>
      <c r="E17" s="16" t="s">
        <v>89</v>
      </c>
      <c r="F17" s="6" t="s">
        <v>107</v>
      </c>
      <c r="G17" s="6" t="s">
        <v>91</v>
      </c>
    </row>
    <row r="18" spans="1:7" x14ac:dyDescent="0.3">
      <c r="A18" s="46">
        <v>46295</v>
      </c>
      <c r="B18" s="47" t="s">
        <v>23</v>
      </c>
      <c r="C18" s="48" t="s">
        <v>108</v>
      </c>
      <c r="D18" s="49">
        <v>65040941</v>
      </c>
      <c r="E18" s="47" t="s">
        <v>89</v>
      </c>
      <c r="F18" s="48" t="s">
        <v>75</v>
      </c>
      <c r="G18" s="50" t="s">
        <v>95</v>
      </c>
    </row>
    <row r="19" spans="1:7" x14ac:dyDescent="0.3">
      <c r="A19" s="46">
        <v>46295</v>
      </c>
      <c r="B19" s="47" t="s">
        <v>23</v>
      </c>
      <c r="C19" s="48" t="s">
        <v>109</v>
      </c>
      <c r="D19" s="49">
        <v>10790260</v>
      </c>
      <c r="E19" s="47" t="s">
        <v>89</v>
      </c>
      <c r="F19" s="48" t="s">
        <v>75</v>
      </c>
      <c r="G19" s="50" t="s">
        <v>95</v>
      </c>
    </row>
    <row r="20" spans="1:7" x14ac:dyDescent="0.3">
      <c r="A20" s="46">
        <v>46295</v>
      </c>
      <c r="B20" s="47" t="s">
        <v>23</v>
      </c>
      <c r="C20" s="48" t="s">
        <v>110</v>
      </c>
      <c r="D20" s="49">
        <v>8156420</v>
      </c>
      <c r="E20" s="47" t="s">
        <v>89</v>
      </c>
      <c r="F20" s="48" t="s">
        <v>75</v>
      </c>
      <c r="G20" s="50" t="s">
        <v>95</v>
      </c>
    </row>
    <row r="21" spans="1:7" x14ac:dyDescent="0.3">
      <c r="A21" s="46">
        <v>46295</v>
      </c>
      <c r="B21" s="47" t="s">
        <v>23</v>
      </c>
      <c r="C21" s="48" t="s">
        <v>111</v>
      </c>
      <c r="D21" s="49">
        <v>214586</v>
      </c>
      <c r="E21" s="47" t="s">
        <v>89</v>
      </c>
      <c r="F21" s="48" t="s">
        <v>75</v>
      </c>
      <c r="G21" s="50" t="s">
        <v>95</v>
      </c>
    </row>
    <row r="22" spans="1:7" x14ac:dyDescent="0.3">
      <c r="A22" s="46">
        <v>46296</v>
      </c>
      <c r="B22" s="47" t="s">
        <v>24</v>
      </c>
      <c r="C22" s="48" t="s">
        <v>112</v>
      </c>
      <c r="D22" s="49">
        <v>2952747</v>
      </c>
      <c r="E22" s="47" t="s">
        <v>89</v>
      </c>
      <c r="F22" s="48" t="s">
        <v>75</v>
      </c>
      <c r="G22" s="50" t="s">
        <v>95</v>
      </c>
    </row>
  </sheetData>
  <autoFilter ref="A5:G22" xr:uid="{00000000-0009-0000-0000-000001000000}"/>
  <phoneticPr fontId="12" type="noConversion"/>
  <pageMargins left="0.35" right="0.3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주간보고</vt:lpstr>
      <vt:lpstr>정기지출 체크</vt:lpstr>
      <vt:lpstr>'정기지출 체크'!Print_Area</vt:lpstr>
      <vt:lpstr>주간보고!Print_Area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2026-09-22T05:34:33Z</dcterms:created>
  <dcterms:modified xsi:type="dcterms:W3CDTF">2026-09-22T08:33:52Z</dcterms:modified>
</cp:coreProperties>
</file>