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2026-09-18 22:05:45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이번 주 일별 자금 흐름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>
      <c r="A19" s="15" t="n">
        <v>46284</v>
      </c>
      <c r="B19" s="16" t="inlineStr">
        <is>
          <t>토</t>
        </is>
      </c>
      <c r="C19" s="7">
        <f>ROUND(G19*$F$12,0)+H19</f>
        <v/>
      </c>
      <c r="D19" s="7">
        <f>SUMIFS($E$26:$E$88,$A$26:$A$88,A19)</f>
        <v/>
      </c>
      <c r="E19" s="7">
        <f>E18+C19-D19</f>
        <v/>
      </c>
      <c r="F19" s="19">
        <f>IF(E19&lt;0,"부족","")</f>
        <v/>
      </c>
      <c r="G19" s="14" t="n">
        <v>0</v>
      </c>
      <c r="H19" s="14" t="n">
        <v>0</v>
      </c>
    </row>
    <row r="20">
      <c r="A20" s="15" t="n">
        <v>46285</v>
      </c>
      <c r="B20" s="16" t="inlineStr">
        <is>
          <t>일</t>
        </is>
      </c>
      <c r="C20" s="7">
        <f>ROUND(G20*$F$12,0)+H20</f>
        <v/>
      </c>
      <c r="D20" s="7">
        <f>SUMIFS($E$26:$E$88,$A$26:$A$88,A20)</f>
        <v/>
      </c>
      <c r="E20" s="7">
        <f>E19+C20-D20</f>
        <v/>
      </c>
      <c r="F20" s="19">
        <f>IF(E20&lt;0,"부족","")</f>
        <v/>
      </c>
      <c r="G20" s="14" t="n">
        <v>0</v>
      </c>
      <c r="H20" s="14" t="n">
        <v>0</v>
      </c>
    </row>
    <row r="21">
      <c r="A21" s="20" t="inlineStr">
        <is>
          <t>주중 최저 잔액</t>
        </is>
      </c>
      <c r="C21" s="21">
        <f>MIN(E14:E20)</f>
        <v/>
      </c>
      <c r="D21" s="22" t="inlineStr">
        <is>
          <t>주말(일) 예상 기말잔액</t>
        </is>
      </c>
      <c r="E21" s="21">
        <f>E20</f>
        <v/>
      </c>
    </row>
    <row r="22">
      <c r="A22" s="20">
        <f>IF(C21&gt;=0,"이번 주 부족분 없음 — 계획대로 집행 가능합니다.","이번 주 최대 부족 "&amp;TEXT(-C21,"#,##0")&amp;"원 — 지출 일정 조정 또는 자금 조치가 필요합니다.")</f>
        <v/>
      </c>
    </row>
    <row r="24">
      <c r="A24" s="4" t="inlineStr">
        <is>
          <t>③ 이번 주 지출 예정 — 지급일·금액을 고치면 ②가 다시 계산됩니다</t>
        </is>
      </c>
      <c r="B24" s="5" t="n"/>
      <c r="C24" s="5" t="n"/>
      <c r="D24" s="5" t="n"/>
      <c r="E24" s="5" t="n"/>
      <c r="F24" s="5" t="n"/>
    </row>
    <row r="25">
      <c r="A25" s="13" t="inlineStr">
        <is>
          <t>지급일</t>
        </is>
      </c>
      <c r="B25" s="13" t="inlineStr">
        <is>
          <t>요일</t>
        </is>
      </c>
      <c r="C25" s="13" t="inlineStr">
        <is>
          <t>구분</t>
        </is>
      </c>
      <c r="D25" s="13" t="inlineStr">
        <is>
          <t>내용</t>
        </is>
      </c>
      <c r="E25" s="13" t="inlineStr">
        <is>
          <t>금액</t>
        </is>
      </c>
      <c r="F25" s="13" t="inlineStr">
        <is>
          <t>지급방법</t>
        </is>
      </c>
    </row>
    <row r="26">
      <c r="A26" s="23" t="n">
        <v>46284</v>
      </c>
      <c r="B26" s="16">
        <f>IF(A26="","",MID("월화수목금토일",WEEKDAY(A26,2),1))</f>
        <v/>
      </c>
      <c r="C26" s="6" t="inlineStr">
        <is>
          <t>자동추정</t>
        </is>
      </c>
      <c r="D26" s="24" t="inlineStr">
        <is>
          <t>정기지출 추정(자동 초안): 국민비즈월렛_쁘띠앤 신뢰도 하</t>
        </is>
      </c>
      <c r="E26" s="25" t="n">
        <v>2290345</v>
      </c>
      <c r="F26" s="16" t="inlineStr"/>
    </row>
    <row r="89">
      <c r="D89" s="26" t="inlineStr">
        <is>
          <t>합계</t>
        </is>
      </c>
      <c r="E89" s="21">
        <f>SUM(E26:E88)</f>
        <v/>
      </c>
    </row>
    <row r="91">
      <c r="A91" s="4" t="inlineStr">
        <is>
          <t>④ 안정을 위한 필요 추가 입금 (향후 4주)</t>
        </is>
      </c>
      <c r="B91" s="5" t="n"/>
      <c r="C91" s="5" t="n"/>
      <c r="D91" s="5" t="n"/>
      <c r="E91" s="5" t="n"/>
      <c r="F91" s="5" t="n"/>
    </row>
    <row r="92">
      <c r="A92" s="20" t="inlineStr">
        <is>
          <t>목표 최저잔액</t>
        </is>
      </c>
      <c r="B92" s="25" t="n">
        <v>0</v>
      </c>
      <c r="D92" s="27" t="inlineStr">
        <is>
          <t>예: 0원(적자 없음) 또는 안전하게 유지하고 싶은 잔액을 입력하세요.</t>
        </is>
      </c>
    </row>
    <row r="93">
      <c r="A93" s="13" t="inlineStr">
        <is>
          <t>반영률</t>
        </is>
      </c>
      <c r="B93" s="13" t="inlineStr">
        <is>
          <t>4주 기말잔액</t>
        </is>
      </c>
      <c r="C93" s="13" t="inlineStr">
        <is>
          <t>4주 최저잔액</t>
        </is>
      </c>
      <c r="D93" s="13" t="inlineStr">
        <is>
          <t>자금부족 예상일</t>
        </is>
      </c>
      <c r="E93" s="13" t="inlineStr">
        <is>
          <t>필요 추가 입금</t>
        </is>
      </c>
    </row>
    <row r="94">
      <c r="A94" s="28" t="n">
        <v>0.8</v>
      </c>
      <c r="B94" s="7" t="n">
        <v>-104119801</v>
      </c>
      <c r="C94" s="7" t="n">
        <v>-104119801</v>
      </c>
      <c r="D94" s="16" t="inlineStr">
        <is>
          <t>2026-10-04</t>
        </is>
      </c>
      <c r="E94" s="10">
        <f>MAX(0,$B$92-C94)</f>
        <v/>
      </c>
    </row>
    <row r="95">
      <c r="A95" s="28" t="n">
        <v>0.9</v>
      </c>
      <c r="B95" s="7" t="n">
        <v>-81595731</v>
      </c>
      <c r="C95" s="7" t="n">
        <v>-81595731</v>
      </c>
      <c r="D95" s="16" t="inlineStr">
        <is>
          <t>2026-10-10</t>
        </is>
      </c>
      <c r="E95" s="10">
        <f>MAX(0,$B$92-C95)</f>
        <v/>
      </c>
    </row>
    <row r="96">
      <c r="A96" s="28" t="n">
        <v>1</v>
      </c>
      <c r="B96" s="7" t="n">
        <v>-59071661</v>
      </c>
      <c r="C96" s="7" t="n">
        <v>-59071661</v>
      </c>
      <c r="D96" s="16" t="inlineStr">
        <is>
          <t>2026-10-10</t>
        </is>
      </c>
      <c r="E96" s="10">
        <f>MAX(0,$B$92-C96)</f>
        <v/>
      </c>
    </row>
    <row r="97">
      <c r="A97" s="20" t="inlineStr">
        <is>
          <t>주당 추가 입금 목표</t>
        </is>
      </c>
      <c r="B97" s="21">
        <f>ROUND(E94/4,0)</f>
        <v/>
      </c>
      <c r="D97" s="22" t="inlineStr">
        <is>
          <t>영업일당(주 5일 기준)</t>
        </is>
      </c>
      <c r="E97" s="21">
        <f>ROUND(E94/20,0)</f>
        <v/>
      </c>
    </row>
    <row r="99">
      <c r="A99" s="4" t="inlineStr">
        <is>
          <t>⑤ 건강사업팀 전달 메모 (자동 작성)</t>
        </is>
      </c>
      <c r="B99" s="5" t="n"/>
      <c r="C99" s="5" t="n"/>
      <c r="D99" s="5" t="n"/>
      <c r="E99" s="5" t="n"/>
      <c r="F99" s="5" t="n"/>
    </row>
    <row r="100">
      <c r="A100" s="29">
        <f>IF(E94&lt;=0,"현재 반영률 기준 향후 4주 자금은 목표 최저잔액("&amp;TEXT($B$92,"#,##0")&amp;"원)을 유지합니다. 추가 입금 목표 없이 계획대로 진행 가능합니다.","향후 4주 최저 예상잔액이 목표("&amp;TEXT($B$92,"#,##0")&amp;"원) 대비 "&amp;TEXT(E94,"#,##0")&amp;"원 부족합니다. 4주간 총 "&amp;TEXT(E94,"#,##0")&amp;"원, 주당 약 "&amp;TEXT(ROUND(E94/4,0),"#,##0")&amp;"원의 추가 입금(매출 회수)이 필요합니다. 건강사업팀에 목표 공유를 권장합니다.")</f>
        <v/>
      </c>
    </row>
    <row r="101"/>
    <row r="102"/>
  </sheetData>
  <mergeCells count="1">
    <mergeCell ref="A100:F102"/>
  </mergeCells>
  <conditionalFormatting sqref="E14:E20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2026-09-18T13:05:46Z</dcterms:created>
  <dcterms:modified xsi:type="dcterms:W3CDTF">2026-09-18T13:05:46Z</dcterms:modified>
</cp:coreProperties>
</file>