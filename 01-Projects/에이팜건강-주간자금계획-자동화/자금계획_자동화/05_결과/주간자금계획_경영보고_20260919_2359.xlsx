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체크'!$A$5:$G$15</definedName>
    <definedName name="_xlnm.Print_Area" localSheetId="1">'정기지출 체크'!$A$1:$G$15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4" borderId="1" pivotButton="0" quotePrefix="0" xfId="0"/>
    <xf numFmtId="0" fontId="6" fillId="0" borderId="1" applyAlignment="1" pivotButton="0" quotePrefix="0" xfId="0">
      <alignment horizontal="center" vertical="center"/>
    </xf>
    <xf numFmtId="165" fontId="9" fillId="0" borderId="4" pivotButton="0" quotePrefix="0" xfId="0"/>
    <xf numFmtId="0" fontId="9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5" fillId="0" borderId="6" pivotButton="0" quotePrefix="0" xfId="0"/>
    <xf numFmtId="165" fontId="9" fillId="0" borderId="8" pivotButton="0" quotePrefix="0" xfId="0"/>
    <xf numFmtId="0" fontId="9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5" customWidth="1" min="5" max="5"/>
    <col width="12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2026-09-14 (월) ~ 2026-09-20 (일) · 작성 2026-09-19 23:59:18 · 붉은 상자 = 실행일~차주 금요일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20147954</v>
      </c>
      <c r="D6" s="8" t="inlineStr">
        <is>
          <t>최종 거래일 2026-09-18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11945285</v>
      </c>
      <c r="D9" s="8" t="inlineStr">
        <is>
          <t>최종 거래일 2026-09-18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(붉은 상자 = 실행일~차주 금요일)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106349419</v>
      </c>
    </row>
    <row r="14">
      <c r="A14" s="15" t="n">
        <v>46279</v>
      </c>
      <c r="B14" s="16" t="inlineStr">
        <is>
          <t>월</t>
        </is>
      </c>
      <c r="C14" s="17" t="n">
        <v>7768015</v>
      </c>
      <c r="D14" s="17" t="n">
        <v>2312400</v>
      </c>
      <c r="E14" s="7">
        <f>$H$13+C14-D14</f>
        <v/>
      </c>
      <c r="F14" s="18" t="inlineStr">
        <is>
          <t>실적</t>
        </is>
      </c>
      <c r="G14" s="14" t="n">
        <v>11285864</v>
      </c>
      <c r="H14" s="14" t="n">
        <v>41610</v>
      </c>
    </row>
    <row r="15">
      <c r="A15" s="15" t="n">
        <v>46280</v>
      </c>
      <c r="B15" s="16" t="inlineStr">
        <is>
          <t>화</t>
        </is>
      </c>
      <c r="C15" s="17" t="n">
        <v>20817581</v>
      </c>
      <c r="D15" s="17" t="n">
        <v>20370602</v>
      </c>
      <c r="E15" s="7">
        <f>E14+C15-D15</f>
        <v/>
      </c>
      <c r="F15" s="18" t="inlineStr">
        <is>
          <t>실적</t>
        </is>
      </c>
      <c r="G15" s="14" t="n">
        <v>22714257</v>
      </c>
      <c r="H15" s="14" t="n">
        <v>278510</v>
      </c>
    </row>
    <row r="16">
      <c r="A16" s="15" t="n">
        <v>46281</v>
      </c>
      <c r="B16" s="16" t="inlineStr">
        <is>
          <t>수</t>
        </is>
      </c>
      <c r="C16" s="17" t="n">
        <v>9238010</v>
      </c>
      <c r="D16" s="17" t="n">
        <v>40000</v>
      </c>
      <c r="E16" s="7">
        <f>E15+C16-D16</f>
        <v/>
      </c>
      <c r="F16" s="18" t="inlineStr">
        <is>
          <t>실적</t>
        </is>
      </c>
      <c r="G16" s="14" t="n">
        <v>15630776</v>
      </c>
      <c r="H16" s="14" t="n">
        <v>1580236</v>
      </c>
    </row>
    <row r="17">
      <c r="A17" s="15" t="n">
        <v>46282</v>
      </c>
      <c r="B17" s="16" t="inlineStr">
        <is>
          <t>목</t>
        </is>
      </c>
      <c r="C17" s="17" t="n">
        <v>7530151</v>
      </c>
      <c r="D17" s="17" t="n">
        <v>1378509</v>
      </c>
      <c r="E17" s="7">
        <f>E16+C17-D17</f>
        <v/>
      </c>
      <c r="F17" s="18" t="inlineStr">
        <is>
          <t>실적</t>
        </is>
      </c>
      <c r="G17" s="14" t="n">
        <v>14586277</v>
      </c>
      <c r="H17" s="14" t="n">
        <v>80720</v>
      </c>
    </row>
    <row r="18">
      <c r="A18" s="15" t="n">
        <v>46283</v>
      </c>
      <c r="B18" s="16" t="inlineStr">
        <is>
          <t>금</t>
        </is>
      </c>
      <c r="C18" s="17" t="n">
        <v>8103203</v>
      </c>
      <c r="D18" s="17" t="n">
        <v>1090000</v>
      </c>
      <c r="E18" s="7">
        <f>E17+C18-D18</f>
        <v/>
      </c>
      <c r="F18" s="18" t="inlineStr">
        <is>
          <t>실적</t>
        </is>
      </c>
      <c r="G18" s="14" t="n">
        <v>10863060</v>
      </c>
      <c r="H18" s="14" t="n">
        <v>200833</v>
      </c>
    </row>
    <row r="19">
      <c r="A19" s="19" t="n">
        <v>46284</v>
      </c>
      <c r="B19" s="20" t="inlineStr">
        <is>
          <t>토</t>
        </is>
      </c>
      <c r="C19" s="21">
        <f>ROUND(G19*$F$12,0)+H19</f>
        <v/>
      </c>
      <c r="D19" s="21">
        <f>SUMIFS($E$47:$E$140,$A$47:$A$140,A19)</f>
        <v/>
      </c>
      <c r="E19" s="21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46285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5">
        <f>IF(E20&lt;0,"부족","")</f>
        <v/>
      </c>
      <c r="G20" s="14" t="n">
        <v>0</v>
      </c>
      <c r="H20" s="14" t="n">
        <v>0</v>
      </c>
    </row>
    <row r="21">
      <c r="A21" s="26" t="n">
        <v>46286</v>
      </c>
      <c r="B21" s="16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5">
        <f>IF(E21&lt;0,"부족","")</f>
        <v/>
      </c>
      <c r="G21" s="14" t="n">
        <v>11285864</v>
      </c>
      <c r="H21" s="14" t="n">
        <v>0</v>
      </c>
    </row>
    <row r="22">
      <c r="A22" s="26" t="n">
        <v>46287</v>
      </c>
      <c r="B22" s="16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5">
        <f>IF(E22&lt;0,"부족","")</f>
        <v/>
      </c>
      <c r="G22" s="14" t="n">
        <v>22714257</v>
      </c>
      <c r="H22" s="14" t="n">
        <v>0</v>
      </c>
    </row>
    <row r="23">
      <c r="A23" s="26" t="n">
        <v>46288</v>
      </c>
      <c r="B23" s="16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5">
        <f>IF(E23&lt;0,"부족","")</f>
        <v/>
      </c>
      <c r="G23" s="14" t="n">
        <v>15630776</v>
      </c>
      <c r="H23" s="14" t="n">
        <v>0</v>
      </c>
    </row>
    <row r="24">
      <c r="A24" s="23" t="n">
        <v>46289</v>
      </c>
      <c r="B24" s="24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5">
        <f>IF(E24&lt;0,"부족","")</f>
        <v/>
      </c>
      <c r="G24" s="14" t="n">
        <v>0</v>
      </c>
      <c r="H24" s="14" t="n">
        <v>0</v>
      </c>
    </row>
    <row r="25">
      <c r="A25" s="27" t="n">
        <v>46290</v>
      </c>
      <c r="B25" s="28" t="inlineStr">
        <is>
          <t>금</t>
        </is>
      </c>
      <c r="C25" s="29">
        <f>ROUND(G25*$F$12,0)+H25</f>
        <v/>
      </c>
      <c r="D25" s="29">
        <f>SUMIFS($E$47:$E$140,$A$47:$A$140,A25)</f>
        <v/>
      </c>
      <c r="E25" s="29">
        <f>E24+C25-D25</f>
        <v/>
      </c>
      <c r="F25" s="30">
        <f>IF(E25&lt;0,"부족","")</f>
        <v/>
      </c>
      <c r="G25" s="14" t="n">
        <v>0</v>
      </c>
      <c r="H25" s="14" t="n">
        <v>0</v>
      </c>
    </row>
    <row r="26">
      <c r="A26" s="31" t="n">
        <v>46291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>
      <c r="A27" s="31" t="n">
        <v>46292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>
      <c r="A28" s="15" t="n">
        <v>46293</v>
      </c>
      <c r="B28" s="16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11285864</v>
      </c>
      <c r="H28" s="14" t="n">
        <v>0</v>
      </c>
    </row>
    <row r="29">
      <c r="A29" s="15" t="n">
        <v>46294</v>
      </c>
      <c r="B29" s="16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22714257</v>
      </c>
      <c r="H29" s="14" t="n">
        <v>0</v>
      </c>
    </row>
    <row r="30">
      <c r="A30" s="15" t="n">
        <v>46295</v>
      </c>
      <c r="B30" s="16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15630776</v>
      </c>
      <c r="H30" s="14" t="n">
        <v>10021867</v>
      </c>
    </row>
    <row r="31">
      <c r="A31" s="15" t="n">
        <v>46296</v>
      </c>
      <c r="B31" s="16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14586277</v>
      </c>
      <c r="H31" s="14" t="n">
        <v>0</v>
      </c>
    </row>
    <row r="32">
      <c r="A32" s="15" t="n">
        <v>46297</v>
      </c>
      <c r="B32" s="16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10863060</v>
      </c>
      <c r="H32" s="14" t="n">
        <v>0</v>
      </c>
    </row>
    <row r="33">
      <c r="A33" s="31" t="n">
        <v>46298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>
      <c r="A34" s="31" t="n">
        <v>46299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>
      <c r="A35" s="31" t="n">
        <v>46300</v>
      </c>
      <c r="B35" s="24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0</v>
      </c>
      <c r="H35" s="14" t="n">
        <v>0</v>
      </c>
    </row>
    <row r="36">
      <c r="A36" s="15" t="n">
        <v>46301</v>
      </c>
      <c r="B36" s="16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22714257</v>
      </c>
      <c r="H36" s="14" t="n">
        <v>0</v>
      </c>
    </row>
    <row r="37">
      <c r="A37" s="15" t="n">
        <v>46302</v>
      </c>
      <c r="B37" s="16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15630776</v>
      </c>
      <c r="H37" s="14" t="n">
        <v>0</v>
      </c>
    </row>
    <row r="38">
      <c r="A38" s="15" t="n">
        <v>46303</v>
      </c>
      <c r="B38" s="16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14586277</v>
      </c>
      <c r="H38" s="14" t="n">
        <v>0</v>
      </c>
    </row>
    <row r="39">
      <c r="A39" s="31" t="n">
        <v>46304</v>
      </c>
      <c r="B39" s="24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0</v>
      </c>
      <c r="H39" s="14" t="n">
        <v>0</v>
      </c>
    </row>
    <row r="40">
      <c r="A40" s="31" t="n">
        <v>46305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>
      <c r="A41" s="31" t="n">
        <v>46306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2" t="inlineStr">
        <is>
          <t>4주 최저 잔액</t>
        </is>
      </c>
      <c r="C42" s="33">
        <f>MIN(E14:E41)</f>
        <v/>
      </c>
      <c r="D42" s="34" t="inlineStr">
        <is>
          <t>4주 예상 기말잔액</t>
        </is>
      </c>
      <c r="E42" s="33">
        <f>E41</f>
        <v/>
      </c>
    </row>
    <row r="43">
      <c r="A43" s="32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(남은 4주)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5" t="n">
        <v>46286</v>
      </c>
      <c r="B47" s="16">
        <f>IF(A47="","",MID("월화수목금토일",WEEKDAY(A47,2),1))</f>
        <v/>
      </c>
      <c r="C47" s="6" t="inlineStr">
        <is>
          <t>경영지원팀</t>
        </is>
      </c>
      <c r="D47" s="36" t="inlineStr">
        <is>
          <t>메트라이프 달러경영인정기보험_63회차/55회차</t>
        </is>
      </c>
      <c r="E47" s="37" t="n">
        <v>4900000</v>
      </c>
      <c r="F47" s="16" t="inlineStr">
        <is>
          <t>자동이체</t>
        </is>
      </c>
    </row>
    <row r="48">
      <c r="A48" s="35" t="n">
        <v>46286</v>
      </c>
      <c r="B48" s="16">
        <f>IF(A48="","",MID("월화수목금토일",WEEKDAY(A48,2),1))</f>
        <v/>
      </c>
      <c r="C48" s="6" t="inlineStr">
        <is>
          <t>건강사업팀</t>
        </is>
      </c>
      <c r="D48" s="36" t="inlineStr">
        <is>
          <t>네이버SA&amp;GFA 네이버 SA&amp;GFA 광고비 충전</t>
        </is>
      </c>
      <c r="E48" s="37" t="n">
        <v>3498000</v>
      </c>
      <c r="F48" s="16" t="inlineStr">
        <is>
          <t>계좌송금</t>
        </is>
      </c>
    </row>
    <row r="49">
      <c r="A49" s="35" t="n">
        <v>46286</v>
      </c>
      <c r="B49" s="16">
        <f>IF(A49="","",MID("월화수목금토일",WEEKDAY(A49,2),1))</f>
        <v/>
      </c>
      <c r="C49" s="6" t="inlineStr">
        <is>
          <t>건강사업팀</t>
        </is>
      </c>
      <c r="D49" s="36" t="inlineStr">
        <is>
          <t>인포크비즈니스 베리시톨 인플루언서 비용</t>
        </is>
      </c>
      <c r="E49" s="37" t="n">
        <v>3300000</v>
      </c>
      <c r="F49" s="16" t="inlineStr">
        <is>
          <t>계좌송금</t>
        </is>
      </c>
    </row>
    <row r="50">
      <c r="A50" s="35" t="n">
        <v>46286</v>
      </c>
      <c r="B50" s="16">
        <f>IF(A50="","",MID("월화수목금토일",WEEKDAY(A50,2),1))</f>
        <v/>
      </c>
      <c r="C50" s="6" t="inlineStr">
        <is>
          <t>건강사업팀</t>
        </is>
      </c>
      <c r="D50" s="36" t="inlineStr">
        <is>
          <t>트라이앵글하모니 카카오톡선물하기 베리시톨 리뷰작업</t>
        </is>
      </c>
      <c r="E50" s="37" t="n">
        <v>1996000</v>
      </c>
      <c r="F50" s="16" t="inlineStr">
        <is>
          <t>계좌송금</t>
        </is>
      </c>
    </row>
    <row r="51">
      <c r="A51" s="35" t="n">
        <v>46286</v>
      </c>
      <c r="B51" s="16">
        <f>IF(A51="","",MID("월화수목금토일",WEEKDAY(A51,2),1))</f>
        <v/>
      </c>
      <c r="C51" s="6" t="inlineStr">
        <is>
          <t>경영지원팀</t>
        </is>
      </c>
      <c r="D51" s="36" t="inlineStr">
        <is>
          <t>SK브로드밴드 사내전화</t>
        </is>
      </c>
      <c r="E51" s="37" t="n">
        <v>220000</v>
      </c>
      <c r="F51" s="16" t="inlineStr">
        <is>
          <t>자동이체</t>
        </is>
      </c>
    </row>
    <row r="52">
      <c r="A52" s="35" t="n">
        <v>46287</v>
      </c>
      <c r="B52" s="16">
        <f>IF(A52="","",MID("월화수목금토일",WEEKDAY(A52,2),1))</f>
        <v/>
      </c>
      <c r="C52" s="6" t="inlineStr">
        <is>
          <t>경영지원팀</t>
        </is>
      </c>
      <c r="D52" s="36" t="inlineStr">
        <is>
          <t>엠에스바이오텍 외상매입금</t>
        </is>
      </c>
      <c r="E52" s="37" t="n">
        <v>20000000</v>
      </c>
      <c r="F52" s="16" t="inlineStr">
        <is>
          <t>계좌송금</t>
        </is>
      </c>
    </row>
    <row r="53">
      <c r="A53" s="35" t="n">
        <v>46287</v>
      </c>
      <c r="B53" s="16">
        <f>IF(A53="","",MID("월화수목금토일",WEEKDAY(A53,2),1))</f>
        <v/>
      </c>
      <c r="C53" s="6" t="inlineStr">
        <is>
          <t>경영지원팀</t>
        </is>
      </c>
      <c r="D53" s="36" t="inlineStr">
        <is>
          <t>와이투홀딩스 직원 추석 선물세트 구입</t>
        </is>
      </c>
      <c r="E53" s="37" t="n">
        <v>1023110</v>
      </c>
      <c r="F53" s="16" t="inlineStr">
        <is>
          <t>계좌송금</t>
        </is>
      </c>
    </row>
    <row r="54">
      <c r="A54" s="35" t="n">
        <v>46287</v>
      </c>
      <c r="B54" s="16">
        <f>IF(A54="","",MID("월화수목금토일",WEEKDAY(A54,2),1))</f>
        <v/>
      </c>
      <c r="C54" s="6" t="inlineStr">
        <is>
          <t>건강사업팀</t>
        </is>
      </c>
      <c r="D54" s="36" t="inlineStr">
        <is>
          <t>네이버 네이버 톡톡 발송</t>
        </is>
      </c>
      <c r="E54" s="37" t="n">
        <v>500000</v>
      </c>
      <c r="F54" s="16" t="inlineStr">
        <is>
          <t>계좌송금</t>
        </is>
      </c>
    </row>
    <row r="55">
      <c r="A55" s="35" t="n">
        <v>46288</v>
      </c>
      <c r="B55" s="16">
        <f>IF(A55="","",MID("월화수목금토일",WEEKDAY(A55,2),1))</f>
        <v/>
      </c>
      <c r="C55" s="6" t="inlineStr">
        <is>
          <t>경영지원팀</t>
        </is>
      </c>
      <c r="D55" s="36" t="inlineStr">
        <is>
          <t>우리카드 8월 우리카드 카드대금</t>
        </is>
      </c>
      <c r="E55" s="37" t="n">
        <v>25346349</v>
      </c>
      <c r="F55" s="16" t="inlineStr">
        <is>
          <t>자동이체</t>
        </is>
      </c>
    </row>
    <row r="56">
      <c r="A56" s="35" t="n">
        <v>46288</v>
      </c>
      <c r="B56" s="16">
        <f>IF(A56="","",MID("월화수목금토일",WEEKDAY(A56,2),1))</f>
        <v/>
      </c>
      <c r="C56" s="6" t="inlineStr">
        <is>
          <t>건강사업팀</t>
        </is>
      </c>
      <c r="D56" s="36" t="inlineStr">
        <is>
          <t>네이버SA&amp;GFA 네이버SA&amp;GFA 광고 비용 충전</t>
        </is>
      </c>
      <c r="E56" s="37" t="n">
        <v>8305000</v>
      </c>
      <c r="F56" s="16" t="inlineStr">
        <is>
          <t>계좌송금</t>
        </is>
      </c>
    </row>
    <row r="57">
      <c r="A57" s="35" t="n">
        <v>46288</v>
      </c>
      <c r="B57" s="16">
        <f>IF(A57="","",MID("월화수목금토일",WEEKDAY(A57,2),1))</f>
        <v/>
      </c>
      <c r="C57" s="6" t="inlineStr">
        <is>
          <t>경영지원팀</t>
        </is>
      </c>
      <c r="D57" s="36" t="inlineStr">
        <is>
          <t>농협카드 8월 카드대금</t>
        </is>
      </c>
      <c r="E57" s="37" t="n">
        <v>6827883</v>
      </c>
      <c r="F57" s="16" t="inlineStr">
        <is>
          <t>자동이체</t>
        </is>
      </c>
    </row>
    <row r="58">
      <c r="A58" s="35" t="n">
        <v>46288</v>
      </c>
      <c r="B58" s="16">
        <f>IF(A58="","",MID("월화수목금토일",WEEKDAY(A58,2),1))</f>
        <v/>
      </c>
      <c r="C58" s="6" t="inlineStr">
        <is>
          <t>건강사업팀</t>
        </is>
      </c>
      <c r="D58" s="36" t="inlineStr">
        <is>
          <t>써치엠 메타 광고 대행 수수</t>
        </is>
      </c>
      <c r="E58" s="37" t="n">
        <v>1487786</v>
      </c>
      <c r="F58" s="16" t="inlineStr">
        <is>
          <t>계좌송금</t>
        </is>
      </c>
    </row>
    <row r="59">
      <c r="A59" s="35" t="n">
        <v>46288</v>
      </c>
      <c r="B59" s="16">
        <f>IF(A59="","",MID("월화수목금토일",WEEKDAY(A59,2),1))</f>
        <v/>
      </c>
      <c r="C59" s="6" t="inlineStr">
        <is>
          <t>건강사업팀</t>
        </is>
      </c>
      <c r="D59" s="36" t="inlineStr">
        <is>
          <t>ADN ADN 광고-추석 유입</t>
        </is>
      </c>
      <c r="E59" s="37" t="n">
        <v>550000</v>
      </c>
      <c r="F59" s="16" t="inlineStr">
        <is>
          <t>계좌송금</t>
        </is>
      </c>
    </row>
    <row r="60">
      <c r="A60" s="35" t="n">
        <v>46290</v>
      </c>
      <c r="B60" s="16">
        <f>IF(A60="","",MID("월화수목금토일",WEEKDAY(A60,2),1))</f>
        <v/>
      </c>
      <c r="C60" s="6" t="inlineStr">
        <is>
          <t>경영지원팀</t>
        </is>
      </c>
      <c r="D60" s="36" t="inlineStr">
        <is>
          <t>메트라이프 정기보험_42회차</t>
        </is>
      </c>
      <c r="E60" s="37" t="n">
        <v>2497000</v>
      </c>
      <c r="F60" s="16" t="inlineStr">
        <is>
          <t>자동이체</t>
        </is>
      </c>
    </row>
    <row r="61">
      <c r="A61" s="35" t="n">
        <v>46290</v>
      </c>
      <c r="B61" s="16">
        <f>IF(A61="","",MID("월화수목금토일",WEEKDAY(A61,2),1))</f>
        <v/>
      </c>
      <c r="C61" s="6" t="inlineStr">
        <is>
          <t>경영지원팀</t>
        </is>
      </c>
      <c r="D61" s="36" t="inlineStr">
        <is>
          <t>KT 통신비</t>
        </is>
      </c>
      <c r="E61" s="37" t="n">
        <v>109450</v>
      </c>
      <c r="F61" s="16" t="inlineStr">
        <is>
          <t>자동이체</t>
        </is>
      </c>
    </row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</t>
        </is>
      </c>
      <c r="E141" s="33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2" t="inlineStr">
        <is>
          <t>목표 최저잔액</t>
        </is>
      </c>
      <c r="B144" s="37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inlineStr">
        <is>
          <t>4주 기말잔액</t>
        </is>
      </c>
      <c r="C145" s="13" t="inlineStr">
        <is>
          <t>4주 최저잔액</t>
        </is>
      </c>
      <c r="D145" s="13" t="inlineStr">
        <is>
          <t>자금부족 예상일</t>
        </is>
      </c>
      <c r="E145" s="13" t="inlineStr">
        <is>
          <t>필요 추가 입금</t>
        </is>
      </c>
    </row>
    <row r="146">
      <c r="A146" s="40" t="n">
        <v>0.8</v>
      </c>
      <c r="B146" s="7" t="n">
        <v>206190109</v>
      </c>
      <c r="C146" s="7" t="n">
        <v>93759007</v>
      </c>
      <c r="D146" s="16" t="inlineStr">
        <is>
          <t>없음</t>
        </is>
      </c>
      <c r="E146" s="10">
        <f>MAX(0,$B$144-C146)</f>
        <v/>
      </c>
    </row>
    <row r="147">
      <c r="A147" s="40" t="n">
        <v>0.9</v>
      </c>
      <c r="B147" s="7" t="n">
        <v>223954353</v>
      </c>
      <c r="C147" s="7" t="n">
        <v>98722097</v>
      </c>
      <c r="D147" s="16" t="inlineStr">
        <is>
          <t>없음</t>
        </is>
      </c>
      <c r="E147" s="10">
        <f>MAX(0,$B$144-C147)</f>
        <v/>
      </c>
    </row>
    <row r="148">
      <c r="A148" s="40" t="n">
        <v>1</v>
      </c>
      <c r="B148" s="7" t="n">
        <v>241718597</v>
      </c>
      <c r="C148" s="7" t="n">
        <v>103685187</v>
      </c>
      <c r="D148" s="16" t="inlineStr">
        <is>
          <t>없음</t>
        </is>
      </c>
      <c r="E148" s="10">
        <f>MAX(0,$B$144-C148)</f>
        <v/>
      </c>
    </row>
    <row r="149">
      <c r="A149" s="32" t="inlineStr">
        <is>
          <t>주당 추가 입금 목표</t>
        </is>
      </c>
      <c r="B149" s="33">
        <f>ROUND(E146/4,0)</f>
        <v/>
      </c>
      <c r="D149" s="34" t="inlineStr">
        <is>
          <t>영업일당(주 5일 기준)</t>
        </is>
      </c>
      <c r="E149" s="33">
        <f>ROUND(E146/20,0)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2026-09-19 ~ 2026-09-25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5건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44" t="n">
        <v>46284</v>
      </c>
      <c r="B6" s="45" t="inlineStr">
        <is>
          <t>토</t>
        </is>
      </c>
      <c r="C6" s="46" t="inlineStr">
        <is>
          <t>국민비즈월렛_쁘띠앤</t>
        </is>
      </c>
      <c r="D6" s="47" t="n">
        <v>2290345</v>
      </c>
      <c r="E6" s="45" t="inlineStr">
        <is>
          <t>변동</t>
        </is>
      </c>
      <c r="F6" s="46" t="inlineStr">
        <is>
          <t>없음</t>
        </is>
      </c>
      <c r="G6" s="48" t="inlineStr">
        <is>
          <t>누락 의심 — 팀 재제출 요청</t>
        </is>
      </c>
    </row>
    <row r="7">
      <c r="A7" s="15" t="n">
        <v>46285</v>
      </c>
      <c r="B7" s="16" t="inlineStr">
        <is>
          <t>일</t>
        </is>
      </c>
      <c r="C7" s="6" t="inlineStr">
        <is>
          <t>기업주써치엠</t>
        </is>
      </c>
      <c r="D7" s="7" t="n">
        <v>1533488</v>
      </c>
      <c r="E7" s="16" t="inlineStr">
        <is>
          <t>제외</t>
        </is>
      </c>
      <c r="F7" s="6" t="inlineStr">
        <is>
          <t>있음 · 1,487,786원 (9/23)</t>
        </is>
      </c>
      <c r="G7" s="6" t="inlineStr">
        <is>
          <t>팀 계획 반영</t>
        </is>
      </c>
    </row>
    <row r="8">
      <c r="A8" s="15" t="n">
        <v>46286</v>
      </c>
      <c r="B8" s="16" t="inlineStr">
        <is>
          <t>월</t>
        </is>
      </c>
      <c r="C8" s="6" t="inlineStr">
        <is>
          <t>SKB</t>
        </is>
      </c>
      <c r="D8" s="7" t="n">
        <v>223019</v>
      </c>
      <c r="E8" s="16" t="inlineStr">
        <is>
          <t>제외</t>
        </is>
      </c>
      <c r="F8" s="6" t="inlineStr">
        <is>
          <t>있음 · 220,000원 (9/21)</t>
        </is>
      </c>
      <c r="G8" s="6" t="inlineStr">
        <is>
          <t>팀 계획 반영</t>
        </is>
      </c>
    </row>
    <row r="9">
      <c r="A9" s="44" t="n">
        <v>46287</v>
      </c>
      <c r="B9" s="45" t="inlineStr">
        <is>
          <t>화</t>
        </is>
      </c>
      <c r="C9" s="46" t="inlineStr">
        <is>
          <t>SN</t>
        </is>
      </c>
      <c r="D9" s="47" t="n">
        <v>231733</v>
      </c>
      <c r="E9" s="45" t="inlineStr">
        <is>
          <t>제외</t>
        </is>
      </c>
      <c r="F9" s="46" t="inlineStr">
        <is>
          <t>없음</t>
        </is>
      </c>
      <c r="G9" s="48" t="inlineStr">
        <is>
          <t>누락 의심 — 팀 재제출 요청</t>
        </is>
      </c>
    </row>
    <row r="10">
      <c r="A10" s="15" t="n">
        <v>46288</v>
      </c>
      <c r="B10" s="16" t="inlineStr">
        <is>
          <t>수</t>
        </is>
      </c>
      <c r="C10" s="6" t="inlineStr">
        <is>
          <t>우리카드결제대금</t>
        </is>
      </c>
      <c r="D10" s="7" t="n">
        <v>26105540</v>
      </c>
      <c r="E10" s="16" t="inlineStr">
        <is>
          <t>제외</t>
        </is>
      </c>
      <c r="F10" s="6" t="inlineStr">
        <is>
          <t>있음 · 25,346,349원 (9/23)</t>
        </is>
      </c>
      <c r="G10" s="6" t="inlineStr">
        <is>
          <t>팀 계획 반영</t>
        </is>
      </c>
    </row>
    <row r="11">
      <c r="A11" s="44" t="n">
        <v>46288</v>
      </c>
      <c r="B11" s="45" t="inlineStr">
        <is>
          <t>수</t>
        </is>
      </c>
      <c r="C11" s="46" t="inlineStr">
        <is>
          <t>METLIFE</t>
        </is>
      </c>
      <c r="D11" s="47" t="n">
        <v>7641812</v>
      </c>
      <c r="E11" s="45" t="inlineStr">
        <is>
          <t>제외</t>
        </is>
      </c>
      <c r="F11" s="46" t="inlineStr">
        <is>
          <t>없음</t>
        </is>
      </c>
      <c r="G11" s="48" t="inlineStr">
        <is>
          <t>누락 의심 — 팀 재제출 요청</t>
        </is>
      </c>
    </row>
    <row r="12">
      <c r="A12" s="15" t="n">
        <v>46288</v>
      </c>
      <c r="B12" s="16" t="inlineStr">
        <is>
          <t>수</t>
        </is>
      </c>
      <c r="C12" s="6" t="inlineStr">
        <is>
          <t>NH기업카드</t>
        </is>
      </c>
      <c r="D12" s="7" t="n">
        <v>6066502</v>
      </c>
      <c r="E12" s="16" t="inlineStr">
        <is>
          <t>제외</t>
        </is>
      </c>
      <c r="F12" s="6" t="inlineStr">
        <is>
          <t>있음 · 6,827,883원 (9/23)</t>
        </is>
      </c>
      <c r="G12" s="6" t="inlineStr">
        <is>
          <t>팀 계획 반영</t>
        </is>
      </c>
    </row>
    <row r="13">
      <c r="A13" s="44" t="n">
        <v>46288</v>
      </c>
      <c r="B13" s="45" t="inlineStr">
        <is>
          <t>수</t>
        </is>
      </c>
      <c r="C13" s="46" t="inlineStr">
        <is>
          <t>아이현종찬</t>
        </is>
      </c>
      <c r="D13" s="47" t="n">
        <v>173250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46289</v>
      </c>
      <c r="B14" s="45" t="inlineStr">
        <is>
          <t>목</t>
        </is>
      </c>
      <c r="C14" s="46" t="inlineStr">
        <is>
          <t>세이브더칠드런</t>
        </is>
      </c>
      <c r="D14" s="47" t="n">
        <v>2000000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15" t="n">
        <v>46290</v>
      </c>
      <c r="B15" s="16" t="inlineStr">
        <is>
          <t>금</t>
        </is>
      </c>
      <c r="C15" s="6" t="inlineStr">
        <is>
          <t>KT</t>
        </is>
      </c>
      <c r="D15" s="7" t="n">
        <v>113633</v>
      </c>
      <c r="E15" s="16" t="inlineStr">
        <is>
          <t>제외</t>
        </is>
      </c>
      <c r="F15" s="6" t="inlineStr">
        <is>
          <t>있음 · 109,450원 (9/25)</t>
        </is>
      </c>
      <c r="G15" s="6" t="inlineStr">
        <is>
          <t>팀 계획 반영</t>
        </is>
      </c>
    </row>
  </sheetData>
  <autoFilter ref="A5:G15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2026-09-19T14:59:19Z</dcterms:created>
  <dcterms:modified xsi:type="dcterms:W3CDTF">2026-09-19T14:59:19Z</dcterms:modified>
</cp:coreProperties>
</file>