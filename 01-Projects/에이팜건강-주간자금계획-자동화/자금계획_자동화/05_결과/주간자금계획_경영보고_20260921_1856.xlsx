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3" fontId="5" fillId="4" borderId="1" pivotButton="0" quotePrefix="0" xfId="0"/>
    <xf numFmtId="0" fontId="11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18:56:52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20184954</v>
      </c>
      <c r="D6" s="8" t="inlineStr">
        <is>
          <t>최종 거래일 2026-09-20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17314264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>
        <f>ROUND(G14*$F$12,0)+H14</f>
        <v/>
      </c>
      <c r="D14" s="17">
        <f>SUMIFS($E$47:$E$140,$A$47:$A$140,A14)</f>
        <v/>
      </c>
      <c r="E14" s="17">
        <f>$H$13+C14-D14</f>
        <v/>
      </c>
      <c r="F14" s="18">
        <f>IF(E14&lt;0,"부족","")</f>
        <v/>
      </c>
      <c r="G14" s="14" t="n">
        <v>10677756</v>
      </c>
      <c r="H14" s="14" t="n">
        <v>0</v>
      </c>
    </row>
    <row r="15">
      <c r="A15" s="19" t="n">
        <v>46287</v>
      </c>
      <c r="B15" s="20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1">
        <f>IF(E15&lt;0,"부족","")</f>
        <v/>
      </c>
      <c r="G15" s="14" t="n">
        <v>22255001</v>
      </c>
      <c r="H15" s="14" t="n">
        <v>0</v>
      </c>
    </row>
    <row r="16">
      <c r="A16" s="19" t="n">
        <v>46288</v>
      </c>
      <c r="B16" s="20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1">
        <f>IF(E16&lt;0,"부족","")</f>
        <v/>
      </c>
      <c r="G16" s="14" t="n">
        <v>14296943</v>
      </c>
      <c r="H16" s="14" t="n">
        <v>0</v>
      </c>
    </row>
    <row r="17">
      <c r="A17" s="22" t="n">
        <v>46289</v>
      </c>
      <c r="B17" s="23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1">
        <f>IF(E17&lt;0,"부족","")</f>
        <v/>
      </c>
      <c r="G17" s="14" t="n">
        <v>0</v>
      </c>
      <c r="H17" s="14" t="n">
        <v>0</v>
      </c>
    </row>
    <row r="18">
      <c r="A18" s="22" t="n">
        <v>46290</v>
      </c>
      <c r="B18" s="23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1">
        <f>IF(E18&lt;0,"부족","")</f>
        <v/>
      </c>
      <c r="G18" s="14" t="n">
        <v>0</v>
      </c>
      <c r="H18" s="14" t="n">
        <v>0</v>
      </c>
    </row>
    <row r="19">
      <c r="A19" s="22" t="n">
        <v>46291</v>
      </c>
      <c r="B19" s="23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1">
        <f>IF(E19&lt;0,"부족","")</f>
        <v/>
      </c>
      <c r="G19" s="14" t="n">
        <v>0</v>
      </c>
      <c r="H19" s="14" t="n">
        <v>0</v>
      </c>
    </row>
    <row r="20">
      <c r="A20" s="22" t="n">
        <v>46292</v>
      </c>
      <c r="B20" s="23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1">
        <f>IF(E20&lt;0,"부족","")</f>
        <v/>
      </c>
      <c r="G20" s="14" t="n">
        <v>0</v>
      </c>
      <c r="H20" s="14" t="n">
        <v>0</v>
      </c>
    </row>
    <row r="21">
      <c r="A21" s="19" t="n">
        <v>46293</v>
      </c>
      <c r="B21" s="20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1">
        <f>IF(E21&lt;0,"부족","")</f>
        <v/>
      </c>
      <c r="G21" s="14" t="n">
        <v>10677756</v>
      </c>
      <c r="H21" s="14" t="n">
        <v>0</v>
      </c>
    </row>
    <row r="22">
      <c r="A22" s="19" t="n">
        <v>46294</v>
      </c>
      <c r="B22" s="20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1">
        <f>IF(E22&lt;0,"부족","")</f>
        <v/>
      </c>
      <c r="G22" s="14" t="n">
        <v>22255001</v>
      </c>
      <c r="H22" s="14" t="n">
        <v>0</v>
      </c>
    </row>
    <row r="23">
      <c r="A23" s="19" t="n">
        <v>46295</v>
      </c>
      <c r="B23" s="20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1">
        <f>IF(E23&lt;0,"부족","")</f>
        <v/>
      </c>
      <c r="G23" s="14" t="n">
        <v>14296943</v>
      </c>
      <c r="H23" s="14" t="n">
        <v>10021867</v>
      </c>
    </row>
    <row r="24">
      <c r="A24" s="19" t="n">
        <v>46296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1">
        <f>IF(E24&lt;0,"부족","")</f>
        <v/>
      </c>
      <c r="G24" s="14" t="n">
        <v>13264811</v>
      </c>
      <c r="H24" s="14" t="n">
        <v>0</v>
      </c>
    </row>
    <row r="25">
      <c r="A25" s="24" t="n">
        <v>46297</v>
      </c>
      <c r="B25" s="25" t="inlineStr">
        <is>
          <t>금</t>
        </is>
      </c>
      <c r="C25" s="26">
        <f>ROUND(G25*$F$12,0)+H25</f>
        <v/>
      </c>
      <c r="D25" s="26">
        <f>SUMIFS($E$47:$E$140,$A$47:$A$140,A25)</f>
        <v/>
      </c>
      <c r="E25" s="26">
        <f>E24+C25-D25</f>
        <v/>
      </c>
      <c r="F25" s="27">
        <f>IF(E25&lt;0,"부족","")</f>
        <v/>
      </c>
      <c r="G25" s="14" t="n">
        <v>10320905</v>
      </c>
      <c r="H25" s="14" t="n">
        <v>0</v>
      </c>
    </row>
    <row r="26" hidden="1">
      <c r="A26" s="28" t="n">
        <v>46298</v>
      </c>
      <c r="B26" s="23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3">
        <f>IF(E26&lt;0,"부족","")</f>
        <v/>
      </c>
      <c r="G26" s="14" t="n">
        <v>0</v>
      </c>
      <c r="H26" s="14" t="n">
        <v>0</v>
      </c>
    </row>
    <row r="27" hidden="1">
      <c r="A27" s="28" t="n">
        <v>46299</v>
      </c>
      <c r="B27" s="23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3">
        <f>IF(E27&lt;0,"부족","")</f>
        <v/>
      </c>
      <c r="G27" s="14" t="n">
        <v>0</v>
      </c>
      <c r="H27" s="14" t="n">
        <v>0</v>
      </c>
    </row>
    <row r="28" hidden="1">
      <c r="A28" s="28" t="n">
        <v>46300</v>
      </c>
      <c r="B28" s="23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3">
        <f>IF(E28&lt;0,"부족","")</f>
        <v/>
      </c>
      <c r="G28" s="14" t="n">
        <v>0</v>
      </c>
      <c r="H28" s="14" t="n">
        <v>0</v>
      </c>
    </row>
    <row r="29" hidden="1">
      <c r="A29" s="29" t="n">
        <v>46301</v>
      </c>
      <c r="B29" s="20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3">
        <f>IF(E29&lt;0,"부족","")</f>
        <v/>
      </c>
      <c r="G29" s="14" t="n">
        <v>22255001</v>
      </c>
      <c r="H29" s="14" t="n">
        <v>0</v>
      </c>
    </row>
    <row r="30" hidden="1">
      <c r="A30" s="29" t="n">
        <v>46302</v>
      </c>
      <c r="B30" s="20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3">
        <f>IF(E30&lt;0,"부족","")</f>
        <v/>
      </c>
      <c r="G30" s="14" t="n">
        <v>14296943</v>
      </c>
      <c r="H30" s="14" t="n">
        <v>0</v>
      </c>
    </row>
    <row r="31" hidden="1">
      <c r="A31" s="29" t="n">
        <v>46303</v>
      </c>
      <c r="B31" s="20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3">
        <f>IF(E31&lt;0,"부족","")</f>
        <v/>
      </c>
      <c r="G31" s="14" t="n">
        <v>13264811</v>
      </c>
      <c r="H31" s="14" t="n">
        <v>0</v>
      </c>
    </row>
    <row r="32" hidden="1">
      <c r="A32" s="28" t="n">
        <v>46304</v>
      </c>
      <c r="B32" s="23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3">
        <f>IF(E32&lt;0,"부족","")</f>
        <v/>
      </c>
      <c r="G32" s="14" t="n">
        <v>0</v>
      </c>
      <c r="H32" s="14" t="n">
        <v>0</v>
      </c>
    </row>
    <row r="33" hidden="1">
      <c r="A33" s="28" t="n">
        <v>46305</v>
      </c>
      <c r="B33" s="23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3">
        <f>IF(E33&lt;0,"부족","")</f>
        <v/>
      </c>
      <c r="G33" s="14" t="n">
        <v>0</v>
      </c>
      <c r="H33" s="14" t="n">
        <v>0</v>
      </c>
    </row>
    <row r="34" hidden="1">
      <c r="A34" s="28" t="n">
        <v>46306</v>
      </c>
      <c r="B34" s="23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3">
        <f>IF(E34&lt;0,"부족","")</f>
        <v/>
      </c>
      <c r="G34" s="14" t="n">
        <v>0</v>
      </c>
      <c r="H34" s="14" t="n">
        <v>0</v>
      </c>
    </row>
    <row r="35" hidden="1">
      <c r="A35" s="29" t="n">
        <v>46307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3">
        <f>IF(E35&lt;0,"부족","")</f>
        <v/>
      </c>
      <c r="G35" s="14" t="n">
        <v>10677756</v>
      </c>
      <c r="H35" s="14" t="n">
        <v>0</v>
      </c>
    </row>
    <row r="36" hidden="1">
      <c r="A36" s="29" t="n">
        <v>46308</v>
      </c>
      <c r="B36" s="20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3">
        <f>IF(E36&lt;0,"부족","")</f>
        <v/>
      </c>
      <c r="G36" s="14" t="n">
        <v>22255001</v>
      </c>
      <c r="H36" s="14" t="n">
        <v>0</v>
      </c>
    </row>
    <row r="37" hidden="1">
      <c r="A37" s="29" t="n">
        <v>46309</v>
      </c>
      <c r="B37" s="20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3">
        <f>IF(E37&lt;0,"부족","")</f>
        <v/>
      </c>
      <c r="G37" s="14" t="n">
        <v>14296943</v>
      </c>
      <c r="H37" s="14" t="n">
        <v>0</v>
      </c>
    </row>
    <row r="38" hidden="1">
      <c r="A38" s="29" t="n">
        <v>46310</v>
      </c>
      <c r="B38" s="20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3">
        <f>IF(E38&lt;0,"부족","")</f>
        <v/>
      </c>
      <c r="G38" s="14" t="n">
        <v>13264811</v>
      </c>
      <c r="H38" s="14" t="n">
        <v>0</v>
      </c>
    </row>
    <row r="39" hidden="1">
      <c r="A39" s="29" t="n">
        <v>46311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3">
        <f>IF(E39&lt;0,"부족","")</f>
        <v/>
      </c>
      <c r="G39" s="14" t="n">
        <v>10320905</v>
      </c>
      <c r="H39" s="14" t="n">
        <v>0</v>
      </c>
    </row>
    <row r="40" hidden="1">
      <c r="A40" s="28" t="n">
        <v>46312</v>
      </c>
      <c r="B40" s="23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3">
        <f>IF(E40&lt;0,"부족","")</f>
        <v/>
      </c>
      <c r="G40" s="14" t="n">
        <v>0</v>
      </c>
      <c r="H40" s="14" t="n">
        <v>0</v>
      </c>
    </row>
    <row r="41" hidden="1">
      <c r="A41" s="28" t="n">
        <v>46313</v>
      </c>
      <c r="B41" s="23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3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20">
        <f>IF(A47="","",MID("월화수목금토일",WEEKDAY(A47,2),1))</f>
        <v/>
      </c>
      <c r="C47" s="6" t="inlineStr">
        <is>
          <t>경영지원팀</t>
        </is>
      </c>
      <c r="D47" s="34" t="inlineStr">
        <is>
          <t>메트라이프 달러경영인정기보험_63회차/55회차</t>
        </is>
      </c>
      <c r="E47" s="35" t="n">
        <v>4900000</v>
      </c>
      <c r="F47" s="20" t="inlineStr">
        <is>
          <t>자동이체</t>
        </is>
      </c>
    </row>
    <row r="48">
      <c r="A48" s="33" t="n">
        <v>46286</v>
      </c>
      <c r="B48" s="20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20" t="inlineStr">
        <is>
          <t>계좌송금</t>
        </is>
      </c>
    </row>
    <row r="49">
      <c r="A49" s="33" t="n">
        <v>46286</v>
      </c>
      <c r="B49" s="20">
        <f>IF(A49="","",MID("월화수목금토일",WEEKDAY(A49,2),1))</f>
        <v/>
      </c>
      <c r="C49" s="6" t="inlineStr">
        <is>
          <t>건강사업팀</t>
        </is>
      </c>
      <c r="D49" s="34" t="inlineStr">
        <is>
          <t>트라이앵글하모니 카카오톡선물하기 베리시톨 리뷰작업</t>
        </is>
      </c>
      <c r="E49" s="35" t="n">
        <v>1996000</v>
      </c>
      <c r="F49" s="20" t="inlineStr">
        <is>
          <t>계좌송금</t>
        </is>
      </c>
    </row>
    <row r="50">
      <c r="A50" s="33" t="n">
        <v>46286</v>
      </c>
      <c r="B50" s="20">
        <f>IF(A50="","",MID("월화수목금토일",WEEKDAY(A50,2),1))</f>
        <v/>
      </c>
      <c r="C50" s="6" t="inlineStr">
        <is>
          <t>경영지원팀</t>
        </is>
      </c>
      <c r="D50" s="34" t="inlineStr">
        <is>
          <t>SK브로드밴드 사내전화</t>
        </is>
      </c>
      <c r="E50" s="35" t="n">
        <v>220000</v>
      </c>
      <c r="F50" s="20" t="inlineStr">
        <is>
          <t>자동이체</t>
        </is>
      </c>
    </row>
    <row r="51">
      <c r="A51" s="33" t="n">
        <v>46287</v>
      </c>
      <c r="B51" s="20">
        <f>IF(A51="","",MID("월화수목금토일",WEEKDAY(A51,2),1))</f>
        <v/>
      </c>
      <c r="C51" s="6" t="inlineStr">
        <is>
          <t>경영지원팀</t>
        </is>
      </c>
      <c r="D51" s="34" t="inlineStr">
        <is>
          <t>엠에스바이오텍 외상매입금</t>
        </is>
      </c>
      <c r="E51" s="35" t="n">
        <v>20000000</v>
      </c>
      <c r="F51" s="20" t="inlineStr">
        <is>
          <t>계좌송금</t>
        </is>
      </c>
    </row>
    <row r="52">
      <c r="A52" s="33" t="n">
        <v>46287</v>
      </c>
      <c r="B52" s="20">
        <f>IF(A52="","",MID("월화수목금토일",WEEKDAY(A52,2),1))</f>
        <v/>
      </c>
      <c r="C52" s="6" t="inlineStr">
        <is>
          <t>경영지원팀</t>
        </is>
      </c>
      <c r="D52" s="34" t="inlineStr">
        <is>
          <t>와이투홀딩스 직원 추석 선물세트 구입</t>
        </is>
      </c>
      <c r="E52" s="35" t="n">
        <v>1023110</v>
      </c>
      <c r="F52" s="20" t="inlineStr">
        <is>
          <t>계좌송금</t>
        </is>
      </c>
    </row>
    <row r="53">
      <c r="A53" s="33" t="n">
        <v>46287</v>
      </c>
      <c r="B53" s="20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20" t="inlineStr">
        <is>
          <t>계좌송금</t>
        </is>
      </c>
    </row>
    <row r="54">
      <c r="A54" s="33" t="n">
        <v>46288</v>
      </c>
      <c r="B54" s="20">
        <f>IF(A54="","",MID("월화수목금토일",WEEKDAY(A54,2),1))</f>
        <v/>
      </c>
      <c r="C54" s="6" t="inlineStr">
        <is>
          <t>경영지원팀</t>
        </is>
      </c>
      <c r="D54" s="34" t="inlineStr">
        <is>
          <t>우리카드 8월 우리카드 카드대금</t>
        </is>
      </c>
      <c r="E54" s="35" t="n">
        <v>25346349</v>
      </c>
      <c r="F54" s="20" t="inlineStr">
        <is>
          <t>자동이체</t>
        </is>
      </c>
    </row>
    <row r="55">
      <c r="A55" s="33" t="n">
        <v>46288</v>
      </c>
      <c r="B55" s="20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20" t="inlineStr">
        <is>
          <t>계좌송금</t>
        </is>
      </c>
    </row>
    <row r="56">
      <c r="A56" s="33" t="n">
        <v>46288</v>
      </c>
      <c r="B56" s="20">
        <f>IF(A56="","",MID("월화수목금토일",WEEKDAY(A56,2),1))</f>
        <v/>
      </c>
      <c r="C56" s="6" t="inlineStr">
        <is>
          <t>경영지원팀</t>
        </is>
      </c>
      <c r="D56" s="34" t="inlineStr">
        <is>
          <t>농협카드 8월 카드대금</t>
        </is>
      </c>
      <c r="E56" s="35" t="n">
        <v>6827883</v>
      </c>
      <c r="F56" s="20" t="inlineStr">
        <is>
          <t>자동이체</t>
        </is>
      </c>
    </row>
    <row r="57">
      <c r="A57" s="33" t="n">
        <v>46288</v>
      </c>
      <c r="B57" s="20">
        <f>IF(A57="","",MID("월화수목금토일",WEEKDAY(A57,2),1))</f>
        <v/>
      </c>
      <c r="C57" s="6" t="inlineStr">
        <is>
          <t>건강사업팀</t>
        </is>
      </c>
      <c r="D57" s="34" t="inlineStr">
        <is>
          <t>인포크비즈니스 베리시톨 인플루언서 비용</t>
        </is>
      </c>
      <c r="E57" s="35" t="n">
        <v>3300000</v>
      </c>
      <c r="F57" s="20" t="inlineStr">
        <is>
          <t>계좌송금</t>
        </is>
      </c>
    </row>
    <row r="58">
      <c r="A58" s="33" t="n">
        <v>46288</v>
      </c>
      <c r="B58" s="20">
        <f>IF(A58="","",MID("월화수목금토일",WEEKDAY(A58,2),1))</f>
        <v/>
      </c>
      <c r="C58" s="6" t="inlineStr">
        <is>
          <t>건강사업팀</t>
        </is>
      </c>
      <c r="D58" s="34" t="inlineStr">
        <is>
          <t>써치엠 메타 광고 대행 수수</t>
        </is>
      </c>
      <c r="E58" s="35" t="n">
        <v>1487786</v>
      </c>
      <c r="F58" s="20" t="inlineStr">
        <is>
          <t>계좌송금</t>
        </is>
      </c>
    </row>
    <row r="59">
      <c r="A59" s="33" t="n">
        <v>46288</v>
      </c>
      <c r="B59" s="20">
        <f>IF(A59="","",MID("월화수목금토일",WEEKDAY(A59,2),1))</f>
        <v/>
      </c>
      <c r="C59" s="6" t="inlineStr">
        <is>
          <t>건강사업팀</t>
        </is>
      </c>
      <c r="D59" s="34" t="inlineStr">
        <is>
          <t>ADN ADN 광고-추석 유입</t>
        </is>
      </c>
      <c r="E59" s="35" t="n">
        <v>550000</v>
      </c>
      <c r="F59" s="20" t="inlineStr">
        <is>
          <t>계좌송금</t>
        </is>
      </c>
    </row>
    <row r="60">
      <c r="A60" s="36" t="n">
        <v>46290</v>
      </c>
      <c r="B60" s="23">
        <f>IF(A60="","",MID("월화수목금토일",WEEKDAY(A60,2),1))</f>
        <v/>
      </c>
      <c r="C60" s="6" t="inlineStr">
        <is>
          <t>경영지원팀</t>
        </is>
      </c>
      <c r="D60" s="34" t="inlineStr">
        <is>
          <t>메트라이프 정기보험_42회차</t>
        </is>
      </c>
      <c r="E60" s="35" t="n">
        <v>2497000</v>
      </c>
      <c r="F60" s="20" t="inlineStr">
        <is>
          <t>자동이체</t>
        </is>
      </c>
    </row>
    <row r="61">
      <c r="A61" s="36" t="n">
        <v>46290</v>
      </c>
      <c r="B61" s="23">
        <f>IF(A61="","",MID("월화수목금토일",WEEKDAY(A61,2),1))</f>
        <v/>
      </c>
      <c r="C61" s="6" t="inlineStr">
        <is>
          <t>경영지원팀</t>
        </is>
      </c>
      <c r="D61" s="34" t="inlineStr">
        <is>
          <t>KT 통신비</t>
        </is>
      </c>
      <c r="E61" s="35" t="n">
        <v>109450</v>
      </c>
      <c r="F61" s="20" t="inlineStr">
        <is>
          <t>자동이체</t>
        </is>
      </c>
    </row>
    <row r="62">
      <c r="A62" s="33" t="n">
        <v>46293</v>
      </c>
      <c r="B62" s="20">
        <f>IF(A62="","",MID("월화수목금토일",WEEKDAY(A62,2),1))</f>
        <v/>
      </c>
      <c r="C62" s="6" t="inlineStr">
        <is>
          <t>데이터사이언스팀</t>
        </is>
      </c>
      <c r="D62" s="34" t="inlineStr">
        <is>
          <t>엘앤에이치컴퍼니 흥덕IT밸리_사무실 임대료</t>
        </is>
      </c>
      <c r="E62" s="35" t="n">
        <v>1650000</v>
      </c>
      <c r="F62" s="20" t="inlineStr">
        <is>
          <t>계좌송금</t>
        </is>
      </c>
    </row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7" t="inlineStr">
        <is>
          <t>합계(숨긴 행 포함 4주 전체)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C144" s="35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39" t="n">
        <v>0.8</v>
      </c>
      <c r="C146" s="7" t="n">
        <v>253407840</v>
      </c>
      <c r="D146" s="7" t="n">
        <v>91877903</v>
      </c>
      <c r="E146" s="20" t="inlineStr">
        <is>
          <t>없음</t>
        </is>
      </c>
      <c r="F146" s="10">
        <f>MAX(0,$C$144-D146)</f>
        <v/>
      </c>
    </row>
    <row r="147">
      <c r="A147" s="39" t="n">
        <v>0.9</v>
      </c>
      <c r="C147" s="7" t="n">
        <v>277275569</v>
      </c>
      <c r="D147" s="7" t="n">
        <v>96600873</v>
      </c>
      <c r="E147" s="20" t="inlineStr">
        <is>
          <t>없음</t>
        </is>
      </c>
      <c r="F147" s="10">
        <f>MAX(0,$C$144-D147)</f>
        <v/>
      </c>
    </row>
    <row r="148">
      <c r="A148" s="39" t="n">
        <v>1</v>
      </c>
      <c r="C148" s="7" t="n">
        <v>301143298</v>
      </c>
      <c r="D148" s="7" t="n">
        <v>101323843</v>
      </c>
      <c r="E148" s="20" t="inlineStr">
        <is>
          <t>없음</t>
        </is>
      </c>
      <c r="F148" s="10">
        <f>MAX(0,$C$144-D148)</f>
        <v/>
      </c>
    </row>
    <row r="149">
      <c r="A149" s="30" t="inlineStr">
        <is>
          <t>주당 추가 입금 목표</t>
        </is>
      </c>
      <c r="C149" s="31">
        <f>ROUND(F146/4,0)</f>
        <v/>
      </c>
      <c r="D149" s="32" t="inlineStr">
        <is>
          <t>영업일당(주 5일 기준)</t>
        </is>
      </c>
      <c r="E149" s="31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1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2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29" t="n">
        <v>46286</v>
      </c>
      <c r="B6" s="20" t="inlineStr">
        <is>
          <t>월</t>
        </is>
      </c>
      <c r="C6" s="6" t="inlineStr">
        <is>
          <t>기업주써치엠</t>
        </is>
      </c>
      <c r="D6" s="7" t="n">
        <v>1533488</v>
      </c>
      <c r="E6" s="20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29" t="n">
        <v>46286</v>
      </c>
      <c r="B7" s="20" t="inlineStr">
        <is>
          <t>월</t>
        </is>
      </c>
      <c r="C7" s="6" t="inlineStr">
        <is>
          <t>SKB</t>
        </is>
      </c>
      <c r="D7" s="7" t="n">
        <v>223019</v>
      </c>
      <c r="E7" s="20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3" t="n">
        <v>46287</v>
      </c>
      <c r="B8" s="44" t="inlineStr">
        <is>
          <t>화</t>
        </is>
      </c>
      <c r="C8" s="45" t="inlineStr">
        <is>
          <t>SN</t>
        </is>
      </c>
      <c r="D8" s="46" t="n">
        <v>231733</v>
      </c>
      <c r="E8" s="44" t="inlineStr">
        <is>
          <t>제외</t>
        </is>
      </c>
      <c r="F8" s="45" t="inlineStr">
        <is>
          <t>없음</t>
        </is>
      </c>
      <c r="G8" s="47" t="inlineStr">
        <is>
          <t>누락 의심 — 팀 재제출 요청</t>
        </is>
      </c>
    </row>
    <row r="9">
      <c r="A9" s="29" t="n">
        <v>46288</v>
      </c>
      <c r="B9" s="20" t="inlineStr">
        <is>
          <t>수</t>
        </is>
      </c>
      <c r="C9" s="6" t="inlineStr">
        <is>
          <t>우리카드결제대금</t>
        </is>
      </c>
      <c r="D9" s="7" t="n">
        <v>26105540</v>
      </c>
      <c r="E9" s="20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3" t="n">
        <v>46288</v>
      </c>
      <c r="B10" s="44" t="inlineStr">
        <is>
          <t>수</t>
        </is>
      </c>
      <c r="C10" s="45" t="inlineStr">
        <is>
          <t>METLIFE</t>
        </is>
      </c>
      <c r="D10" s="46" t="n">
        <v>7641812</v>
      </c>
      <c r="E10" s="44" t="inlineStr">
        <is>
          <t>제외</t>
        </is>
      </c>
      <c r="F10" s="45" t="inlineStr">
        <is>
          <t>없음</t>
        </is>
      </c>
      <c r="G10" s="47" t="inlineStr">
        <is>
          <t>누락 의심 — 팀 재제출 요청</t>
        </is>
      </c>
    </row>
    <row r="11">
      <c r="A11" s="29" t="n">
        <v>46288</v>
      </c>
      <c r="B11" s="20" t="inlineStr">
        <is>
          <t>수</t>
        </is>
      </c>
      <c r="C11" s="6" t="inlineStr">
        <is>
          <t>NH기업카드</t>
        </is>
      </c>
      <c r="D11" s="7" t="n">
        <v>6066502</v>
      </c>
      <c r="E11" s="20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3" t="n">
        <v>46288</v>
      </c>
      <c r="B12" s="44" t="inlineStr">
        <is>
          <t>수</t>
        </is>
      </c>
      <c r="C12" s="45" t="inlineStr">
        <is>
          <t>아이현종찬</t>
        </is>
      </c>
      <c r="D12" s="46" t="n">
        <v>173250</v>
      </c>
      <c r="E12" s="44" t="inlineStr">
        <is>
          <t>제외</t>
        </is>
      </c>
      <c r="F12" s="45" t="inlineStr">
        <is>
          <t>없음</t>
        </is>
      </c>
      <c r="G12" s="47" t="inlineStr">
        <is>
          <t>누락 의심 — 팀 재제출 요청</t>
        </is>
      </c>
    </row>
    <row r="13">
      <c r="A13" s="43" t="n">
        <v>46293</v>
      </c>
      <c r="B13" s="44" t="inlineStr">
        <is>
          <t>월</t>
        </is>
      </c>
      <c r="C13" s="45" t="inlineStr">
        <is>
          <t>세이브더칠드런</t>
        </is>
      </c>
      <c r="D13" s="46" t="n">
        <v>2000000</v>
      </c>
      <c r="E13" s="44" t="inlineStr">
        <is>
          <t>제외</t>
        </is>
      </c>
      <c r="F13" s="45" t="inlineStr">
        <is>
          <t>없음</t>
        </is>
      </c>
      <c r="G13" s="47" t="inlineStr">
        <is>
          <t>누락 의심 — 팀 재제출 요청</t>
        </is>
      </c>
    </row>
    <row r="14">
      <c r="A14" s="43" t="n">
        <v>46293</v>
      </c>
      <c r="B14" s="44" t="inlineStr">
        <is>
          <t>월</t>
        </is>
      </c>
      <c r="C14" s="45" t="inlineStr">
        <is>
          <t>농협한혜선</t>
        </is>
      </c>
      <c r="D14" s="46" t="n">
        <v>1650000</v>
      </c>
      <c r="E14" s="44" t="inlineStr">
        <is>
          <t>제외</t>
        </is>
      </c>
      <c r="F14" s="45" t="inlineStr">
        <is>
          <t>없음</t>
        </is>
      </c>
      <c r="G14" s="47" t="inlineStr">
        <is>
          <t>누락 의심 — 팀 재제출 요청</t>
        </is>
      </c>
    </row>
    <row r="15">
      <c r="A15" s="43" t="n">
        <v>46293</v>
      </c>
      <c r="B15" s="44" t="inlineStr">
        <is>
          <t>월</t>
        </is>
      </c>
      <c r="C15" s="45" t="inlineStr">
        <is>
          <t>하나남경 노무법인</t>
        </is>
      </c>
      <c r="D15" s="46" t="n">
        <v>449429</v>
      </c>
      <c r="E15" s="44" t="inlineStr">
        <is>
          <t>제외</t>
        </is>
      </c>
      <c r="F15" s="45" t="inlineStr">
        <is>
          <t>없음</t>
        </is>
      </c>
      <c r="G15" s="47" t="inlineStr">
        <is>
          <t>누락 의심 — 팀 재제출 요청</t>
        </is>
      </c>
    </row>
    <row r="16">
      <c r="A16" s="29" t="n">
        <v>46293</v>
      </c>
      <c r="B16" s="20" t="inlineStr">
        <is>
          <t>월</t>
        </is>
      </c>
      <c r="C16" s="6" t="inlineStr">
        <is>
          <t>KT</t>
        </is>
      </c>
      <c r="D16" s="7" t="n">
        <v>113633</v>
      </c>
      <c r="E16" s="20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3" t="n">
        <v>46294</v>
      </c>
      <c r="B17" s="44" t="inlineStr">
        <is>
          <t>화</t>
        </is>
      </c>
      <c r="C17" s="45" t="inlineStr">
        <is>
          <t>아이서원회계법인 대</t>
        </is>
      </c>
      <c r="D17" s="46" t="n">
        <v>1348600</v>
      </c>
      <c r="E17" s="44" t="inlineStr">
        <is>
          <t>제외</t>
        </is>
      </c>
      <c r="F17" s="45" t="inlineStr">
        <is>
          <t>없음</t>
        </is>
      </c>
      <c r="G17" s="47" t="inlineStr">
        <is>
          <t>누락 의심 — 팀 재제출 요청</t>
        </is>
      </c>
    </row>
    <row r="18">
      <c r="A18" s="43" t="n">
        <v>46294</v>
      </c>
      <c r="B18" s="44" t="inlineStr">
        <is>
          <t>화</t>
        </is>
      </c>
      <c r="C18" s="45" t="inlineStr">
        <is>
          <t>국민주식회사 오애드</t>
        </is>
      </c>
      <c r="D18" s="46" t="n">
        <v>1045000</v>
      </c>
      <c r="E18" s="44" t="inlineStr">
        <is>
          <t>제외</t>
        </is>
      </c>
      <c r="F18" s="45" t="inlineStr">
        <is>
          <t>없음</t>
        </is>
      </c>
      <c r="G18" s="47" t="inlineStr">
        <is>
          <t>누락 의심 — 팀 재제출 요청</t>
        </is>
      </c>
    </row>
    <row r="19">
      <c r="A19" s="29" t="n">
        <v>46294</v>
      </c>
      <c r="B19" s="20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0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3" t="n">
        <v>46295</v>
      </c>
      <c r="B20" s="44" t="inlineStr">
        <is>
          <t>수</t>
        </is>
      </c>
      <c r="C20" s="45" t="inlineStr">
        <is>
          <t>TOP출금</t>
        </is>
      </c>
      <c r="D20" s="46" t="n">
        <v>65040941</v>
      </c>
      <c r="E20" s="44" t="inlineStr">
        <is>
          <t>제외</t>
        </is>
      </c>
      <c r="F20" s="45" t="inlineStr">
        <is>
          <t>없음</t>
        </is>
      </c>
      <c r="G20" s="47" t="inlineStr">
        <is>
          <t>누락 의심 — 팀 재제출 요청</t>
        </is>
      </c>
    </row>
    <row r="21">
      <c r="A21" s="43" t="n">
        <v>46295</v>
      </c>
      <c r="B21" s="44" t="inlineStr">
        <is>
          <t>수</t>
        </is>
      </c>
      <c r="C21" s="45" t="inlineStr">
        <is>
          <t>한진주식회사</t>
        </is>
      </c>
      <c r="D21" s="46" t="n">
        <v>10790260</v>
      </c>
      <c r="E21" s="44" t="inlineStr">
        <is>
          <t>제외</t>
        </is>
      </c>
      <c r="F21" s="45" t="inlineStr">
        <is>
          <t>없음</t>
        </is>
      </c>
      <c r="G21" s="47" t="inlineStr">
        <is>
          <t>누락 의심 — 팀 재제출 요청</t>
        </is>
      </c>
    </row>
    <row r="22">
      <c r="A22" s="43" t="n">
        <v>46295</v>
      </c>
      <c r="B22" s="44" t="inlineStr">
        <is>
          <t>수</t>
        </is>
      </c>
      <c r="C22" s="45" t="inlineStr">
        <is>
          <t>퇴직예약출금</t>
        </is>
      </c>
      <c r="D22" s="46" t="n">
        <v>8156420</v>
      </c>
      <c r="E22" s="44" t="inlineStr">
        <is>
          <t>제외</t>
        </is>
      </c>
      <c r="F22" s="45" t="inlineStr">
        <is>
          <t>없음</t>
        </is>
      </c>
      <c r="G22" s="47" t="inlineStr">
        <is>
          <t>누락 의심 — 팀 재제출 요청</t>
        </is>
      </c>
    </row>
    <row r="23">
      <c r="A23" s="43" t="n">
        <v>46295</v>
      </c>
      <c r="B23" s="44" t="inlineStr">
        <is>
          <t>수</t>
        </is>
      </c>
      <c r="C23" s="45" t="inlineStr">
        <is>
          <t>국민엠제이테크노파크</t>
        </is>
      </c>
      <c r="D23" s="46" t="n">
        <v>214586</v>
      </c>
      <c r="E23" s="44" t="inlineStr">
        <is>
          <t>제외</t>
        </is>
      </c>
      <c r="F23" s="45" t="inlineStr">
        <is>
          <t>없음</t>
        </is>
      </c>
      <c r="G23" s="47" t="inlineStr">
        <is>
          <t>누락 의심 — 팀 재제출 요청</t>
        </is>
      </c>
    </row>
    <row r="24">
      <c r="A24" s="43" t="n">
        <v>46296</v>
      </c>
      <c r="B24" s="44" t="inlineStr">
        <is>
          <t>목</t>
        </is>
      </c>
      <c r="C24" s="45" t="inlineStr">
        <is>
          <t>KB</t>
        </is>
      </c>
      <c r="D24" s="46" t="n">
        <v>2952747</v>
      </c>
      <c r="E24" s="44" t="inlineStr">
        <is>
          <t>제외</t>
        </is>
      </c>
      <c r="F24" s="45" t="inlineStr">
        <is>
          <t>없음</t>
        </is>
      </c>
      <c r="G24" s="47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2026-09-21T09:56:52Z</dcterms:created>
  <dcterms:modified xsi:type="dcterms:W3CDTF">2026-09-21T09:56:52Z</dcterms:modified>
</cp:coreProperties>
</file>