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61" t="n">
        <v>46283</v>
      </c>
      <c r="B10" s="162" t="inlineStr">
        <is>
          <t>금</t>
        </is>
      </c>
      <c r="C10" s="163" t="n">
        <v>7902370</v>
      </c>
      <c r="D10" s="164" t="n">
        <v>200833</v>
      </c>
      <c r="E10" s="164" t="n"/>
      <c r="F10" s="164" t="n"/>
      <c r="G10" s="164" t="n">
        <v>1090000</v>
      </c>
      <c r="H10" s="165">
        <f>C10+D10-E10-F10-G10</f>
        <v/>
      </c>
      <c r="I10" s="165">
        <f>J9</f>
        <v/>
      </c>
      <c r="J10" s="165">
        <f>I10+H10</f>
        <v/>
      </c>
      <c r="K10" s="166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7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8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6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60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44600001</v>
      </c>
      <c r="H20" s="132">
        <f>C20+D20-E20-F20-G20</f>
        <v/>
      </c>
      <c r="I20" s="132">
        <f>J19</f>
        <v/>
      </c>
      <c r="J20" s="132">
        <f>I20+H20</f>
        <v/>
      </c>
      <c r="K20" s="160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60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60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60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60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60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60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60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60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60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75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51177526</v>
      </c>
      <c r="F15" s="144" t="n">
        <v>31306367</v>
      </c>
      <c r="G15" s="144" t="n">
        <v>82483893</v>
      </c>
      <c r="H15" s="144" t="n">
        <v>315568</v>
      </c>
      <c r="I15" s="144" t="n">
        <v>49803970</v>
      </c>
      <c r="J15" s="140" t="n"/>
    </row>
    <row r="16">
      <c r="A16" s="176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53413206</v>
      </c>
      <c r="F16" s="144" t="n">
        <v>34585770</v>
      </c>
      <c r="G16" s="144" t="n">
        <v>92152915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55078218</v>
      </c>
      <c r="F17" s="144" t="n">
        <v>37028090</v>
      </c>
      <c r="G17" s="144" t="n">
        <v>98236913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55078218</v>
      </c>
      <c r="F18" s="144" t="n">
        <v>37028090</v>
      </c>
      <c r="G18" s="144" t="n">
        <v>98236913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55078218</v>
      </c>
      <c r="F19" s="144" t="n">
        <v>37028090</v>
      </c>
      <c r="G19" s="144" t="n">
        <v>96137484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21000706</v>
      </c>
      <c r="F20" s="144" t="n">
        <v>39565467</v>
      </c>
      <c r="G20" s="144" t="n">
        <v>60566174</v>
      </c>
      <c r="H20" s="144" t="n">
        <v>741644</v>
      </c>
      <c r="I20" s="144" t="n">
        <v>35807327</v>
      </c>
      <c r="J20" s="140" t="n"/>
    </row>
    <row r="21">
      <c r="A21" s="176" t="n">
        <v>46294</v>
      </c>
      <c r="B21" t="inlineStr">
        <is>
          <t>화</t>
        </is>
      </c>
      <c r="C21" s="144" t="n">
        <v>6144759</v>
      </c>
      <c r="D21" s="144" t="n">
        <v>458576</v>
      </c>
      <c r="E21" s="144" t="n">
        <v>24482185</v>
      </c>
      <c r="F21" s="144" t="n">
        <v>44672268</v>
      </c>
      <c r="G21" s="144" t="n">
        <v>75757787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14082068</v>
      </c>
      <c r="G22" s="144" t="n">
        <v>14082068</v>
      </c>
      <c r="H22" s="144" t="n">
        <v>1027058</v>
      </c>
      <c r="I22" s="144" t="n">
        <v>65718987</v>
      </c>
      <c r="J22" s="140" t="n"/>
    </row>
    <row r="23">
      <c r="A23" s="176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2235680</v>
      </c>
      <c r="F23" s="144" t="n">
        <v>17361471</v>
      </c>
      <c r="G23" s="144" t="n">
        <v>22798343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3900692</v>
      </c>
      <c r="F24" s="144" t="n">
        <v>19803791</v>
      </c>
      <c r="G24" s="144" t="n">
        <v>31488791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3900692</v>
      </c>
      <c r="F25" s="144" t="n">
        <v>19803791</v>
      </c>
      <c r="G25" s="144" t="n">
        <v>31388791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1388791</v>
      </c>
      <c r="G26" s="144" t="n">
        <v>1388791</v>
      </c>
      <c r="H26" s="144" t="n">
        <v>513795</v>
      </c>
      <c r="I26" s="144" t="n">
        <v>22315692</v>
      </c>
      <c r="J26" s="140" t="n"/>
    </row>
    <row r="27">
      <c r="A27" s="176" t="n">
        <v>46300</v>
      </c>
      <c r="B27" t="inlineStr">
        <is>
          <t>월</t>
        </is>
      </c>
      <c r="C27" s="144" t="n">
        <v>4533648</v>
      </c>
      <c r="D27" s="144" t="n">
        <v>227849</v>
      </c>
      <c r="E27" s="144" t="n">
        <v>1729816</v>
      </c>
      <c r="F27" s="144" t="n">
        <v>3926168</v>
      </c>
      <c r="G27" s="144" t="n">
        <v>10417482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9164199</v>
      </c>
      <c r="D28" s="144" t="n">
        <v>686426</v>
      </c>
      <c r="E28" s="144" t="n">
        <v>5211294</v>
      </c>
      <c r="F28" s="144" t="n">
        <v>9032968</v>
      </c>
      <c r="G28" s="144" t="n">
        <v>24094887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6545018</v>
      </c>
      <c r="D29" s="144" t="n">
        <v>1001994</v>
      </c>
      <c r="E29" s="144" t="n">
        <v>7607067</v>
      </c>
      <c r="F29" s="144" t="n">
        <v>12547204</v>
      </c>
      <c r="G29" s="144" t="n">
        <v>27701283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-2635895</v>
      </c>
      <c r="D30" s="144" t="n">
        <v>0</v>
      </c>
      <c r="E30" s="144" t="n">
        <v>0</v>
      </c>
      <c r="F30" s="144" t="n">
        <v>0</v>
      </c>
      <c r="G30" s="144" t="n">
        <v>-2635895</v>
      </c>
      <c r="H30" s="144" t="n">
        <v>1296475</v>
      </c>
      <c r="I30" s="144" t="n">
        <v>25669354</v>
      </c>
      <c r="J30" s="177" t="inlineStr">
        <is>
          <t>전 계좌 소진 — 부족 2,635,895원</t>
        </is>
      </c>
    </row>
    <row r="31">
      <c r="A31" s="176" t="n">
        <v>46304</v>
      </c>
      <c r="B31" t="inlineStr">
        <is>
          <t>금</t>
        </is>
      </c>
      <c r="C31" s="144" t="n">
        <v>-8635947</v>
      </c>
      <c r="D31" s="144" t="n">
        <v>0</v>
      </c>
      <c r="E31" s="144" t="n">
        <v>0</v>
      </c>
      <c r="F31" s="144" t="n">
        <v>0</v>
      </c>
      <c r="G31" s="144" t="n">
        <v>-8635947</v>
      </c>
      <c r="H31" s="144" t="n">
        <v>219313</v>
      </c>
      <c r="I31" s="144" t="n">
        <v>4107331</v>
      </c>
      <c r="J31" s="177" t="inlineStr">
        <is>
          <t>전 계좌 소진 — 부족 8,635,947원</t>
        </is>
      </c>
    </row>
    <row r="32">
      <c r="A32" s="176" t="n">
        <v>46305</v>
      </c>
      <c r="B32" t="inlineStr">
        <is>
          <t>토</t>
        </is>
      </c>
      <c r="C32" s="144" t="n">
        <v>-61519496</v>
      </c>
      <c r="D32" s="144" t="n">
        <v>0</v>
      </c>
      <c r="E32" s="144" t="n">
        <v>0</v>
      </c>
      <c r="F32" s="144" t="n">
        <v>0</v>
      </c>
      <c r="G32" s="144" t="n">
        <v>-61519496</v>
      </c>
      <c r="H32" s="144" t="n"/>
      <c r="I32" s="144" t="n"/>
      <c r="J32" s="177" t="inlineStr">
        <is>
          <t>전 계좌 소진 — 부족 61,519,496원</t>
        </is>
      </c>
    </row>
    <row r="33">
      <c r="A33" s="176" t="n">
        <v>46306</v>
      </c>
      <c r="B33" t="inlineStr">
        <is>
          <t>일</t>
        </is>
      </c>
      <c r="C33" s="144" t="n">
        <v>-101829456</v>
      </c>
      <c r="D33" s="144" t="n">
        <v>0</v>
      </c>
      <c r="E33" s="144" t="n">
        <v>0</v>
      </c>
      <c r="F33" s="144" t="n">
        <v>0</v>
      </c>
      <c r="G33" s="144" t="n">
        <v>-101829456</v>
      </c>
      <c r="H33" s="144" t="n"/>
      <c r="I33" s="144" t="n"/>
      <c r="J33" s="177" t="inlineStr">
        <is>
          <t>전 계좌 소진 — 부족 101,829,456원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136834176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59607917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2026-09-18T13:38:18Z</dcterms:modified>
</cp:coreProperties>
</file>