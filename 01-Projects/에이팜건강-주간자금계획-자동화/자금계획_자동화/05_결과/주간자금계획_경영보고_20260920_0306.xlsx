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체크'!$A$5:$G$12</definedName>
    <definedName name="_xlnm.Print_Area" localSheetId="1">'정기지출 체크'!$A$1:$G$12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2026-09-20 03:06:11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 hidden="1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 hidden="1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 hidden="1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 hidden="1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 hidden="1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 hidden="1">
      <c r="A19" s="19" t="n">
        <v>46284</v>
      </c>
      <c r="B19" s="20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0">
        <f>IF(E19&lt;0,"부족","")</f>
        <v/>
      </c>
      <c r="G19" s="14" t="n">
        <v>0</v>
      </c>
      <c r="H19" s="14" t="n">
        <v>0</v>
      </c>
    </row>
    <row r="20">
      <c r="A20" s="21" t="n">
        <v>46285</v>
      </c>
      <c r="B20" s="22" t="inlineStr">
        <is>
          <t>일</t>
        </is>
      </c>
      <c r="C20" s="23">
        <f>ROUND(G20*$F$12,0)+H20</f>
        <v/>
      </c>
      <c r="D20" s="23">
        <f>SUMIFS($E$47:$E$140,$A$47:$A$140,A20)</f>
        <v/>
      </c>
      <c r="E20" s="23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5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6">
        <f>IF(E21&lt;0,"부족","")</f>
        <v/>
      </c>
      <c r="G21" s="14" t="n">
        <v>11285864</v>
      </c>
      <c r="H21" s="14" t="n">
        <v>0</v>
      </c>
    </row>
    <row r="22">
      <c r="A22" s="25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6">
        <f>IF(E22&lt;0,"부족","")</f>
        <v/>
      </c>
      <c r="G22" s="14" t="n">
        <v>22714257</v>
      </c>
      <c r="H22" s="14" t="n">
        <v>0</v>
      </c>
    </row>
    <row r="23">
      <c r="A23" s="25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6">
        <f>IF(E23&lt;0,"부족","")</f>
        <v/>
      </c>
      <c r="G23" s="14" t="n">
        <v>15630776</v>
      </c>
      <c r="H23" s="14" t="n">
        <v>0</v>
      </c>
    </row>
    <row r="24">
      <c r="A24" s="27" t="n">
        <v>46289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6">
        <f>IF(E24&lt;0,"부족","")</f>
        <v/>
      </c>
      <c r="G24" s="14" t="n">
        <v>0</v>
      </c>
      <c r="H24" s="14" t="n">
        <v>0</v>
      </c>
    </row>
    <row r="25">
      <c r="A25" s="28" t="n">
        <v>46290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0</v>
      </c>
      <c r="H25" s="14" t="n">
        <v>0</v>
      </c>
    </row>
    <row r="26" hidden="1">
      <c r="A26" s="19" t="n">
        <v>46291</v>
      </c>
      <c r="B26" s="20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0">
        <f>IF(E26&lt;0,"부족","")</f>
        <v/>
      </c>
      <c r="G26" s="14" t="n">
        <v>0</v>
      </c>
      <c r="H26" s="14" t="n">
        <v>0</v>
      </c>
    </row>
    <row r="27" hidden="1">
      <c r="A27" s="19" t="n">
        <v>46292</v>
      </c>
      <c r="B27" s="20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0">
        <f>IF(E27&lt;0,"부족","")</f>
        <v/>
      </c>
      <c r="G27" s="14" t="n">
        <v>0</v>
      </c>
      <c r="H27" s="14" t="n">
        <v>0</v>
      </c>
    </row>
    <row r="28" hidden="1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0">
        <f>IF(E28&lt;0,"부족","")</f>
        <v/>
      </c>
      <c r="G28" s="14" t="n">
        <v>11285864</v>
      </c>
      <c r="H28" s="14" t="n">
        <v>0</v>
      </c>
    </row>
    <row r="29" hidden="1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0">
        <f>IF(E29&lt;0,"부족","")</f>
        <v/>
      </c>
      <c r="G29" s="14" t="n">
        <v>22714257</v>
      </c>
      <c r="H29" s="14" t="n">
        <v>0</v>
      </c>
    </row>
    <row r="30" hidden="1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0">
        <f>IF(E30&lt;0,"부족","")</f>
        <v/>
      </c>
      <c r="G30" s="14" t="n">
        <v>15630776</v>
      </c>
      <c r="H30" s="14" t="n">
        <v>10021867</v>
      </c>
    </row>
    <row r="31" hidden="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0">
        <f>IF(E31&lt;0,"부족","")</f>
        <v/>
      </c>
      <c r="G31" s="14" t="n">
        <v>14586277</v>
      </c>
      <c r="H31" s="14" t="n">
        <v>0</v>
      </c>
    </row>
    <row r="32" hidden="1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0">
        <f>IF(E32&lt;0,"부족","")</f>
        <v/>
      </c>
      <c r="G32" s="14" t="n">
        <v>10863060</v>
      </c>
      <c r="H32" s="14" t="n">
        <v>0</v>
      </c>
    </row>
    <row r="33" hidden="1">
      <c r="A33" s="19" t="n">
        <v>46298</v>
      </c>
      <c r="B33" s="20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0">
        <f>IF(E33&lt;0,"부족","")</f>
        <v/>
      </c>
      <c r="G33" s="14" t="n">
        <v>0</v>
      </c>
      <c r="H33" s="14" t="n">
        <v>0</v>
      </c>
    </row>
    <row r="34" hidden="1">
      <c r="A34" s="19" t="n">
        <v>46299</v>
      </c>
      <c r="B34" s="20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0">
        <f>IF(E34&lt;0,"부족","")</f>
        <v/>
      </c>
      <c r="G34" s="14" t="n">
        <v>0</v>
      </c>
      <c r="H34" s="14" t="n">
        <v>0</v>
      </c>
    </row>
    <row r="35" hidden="1">
      <c r="A35" s="19" t="n">
        <v>46300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0">
        <f>IF(E35&lt;0,"부족","")</f>
        <v/>
      </c>
      <c r="G35" s="14" t="n">
        <v>0</v>
      </c>
      <c r="H35" s="14" t="n">
        <v>0</v>
      </c>
    </row>
    <row r="36" hidden="1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0">
        <f>IF(E36&lt;0,"부족","")</f>
        <v/>
      </c>
      <c r="G36" s="14" t="n">
        <v>22714257</v>
      </c>
      <c r="H36" s="14" t="n">
        <v>0</v>
      </c>
    </row>
    <row r="37" hidden="1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0">
        <f>IF(E37&lt;0,"부족","")</f>
        <v/>
      </c>
      <c r="G37" s="14" t="n">
        <v>15630776</v>
      </c>
      <c r="H37" s="14" t="n">
        <v>0</v>
      </c>
    </row>
    <row r="38" hidden="1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0">
        <f>IF(E38&lt;0,"부족","")</f>
        <v/>
      </c>
      <c r="G38" s="14" t="n">
        <v>14586277</v>
      </c>
      <c r="H38" s="14" t="n">
        <v>0</v>
      </c>
    </row>
    <row r="39" hidden="1">
      <c r="A39" s="19" t="n">
        <v>46304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0">
        <f>IF(E39&lt;0,"부족","")</f>
        <v/>
      </c>
      <c r="G39" s="14" t="n">
        <v>0</v>
      </c>
      <c r="H39" s="14" t="n">
        <v>0</v>
      </c>
    </row>
    <row r="40" hidden="1">
      <c r="A40" s="19" t="n">
        <v>46305</v>
      </c>
      <c r="B40" s="20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0">
        <f>IF(E40&lt;0,"부족","")</f>
        <v/>
      </c>
      <c r="G40" s="14" t="n">
        <v>0</v>
      </c>
      <c r="H40" s="14" t="n">
        <v>0</v>
      </c>
    </row>
    <row r="41" hidden="1">
      <c r="A41" s="19" t="n">
        <v>46306</v>
      </c>
      <c r="B41" s="20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0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8" t="n">
        <v>46290</v>
      </c>
      <c r="B60" s="20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8" t="n">
        <v>46290</v>
      </c>
      <c r="B61" s="20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9" t="inlineStr">
        <is>
          <t>합계(숨긴 행 포함 4주 전체)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C144" s="37" t="n">
        <v>0</v>
      </c>
      <c r="D144" s="40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41" t="n">
        <v>0.8</v>
      </c>
      <c r="C146" s="7" t="n">
        <v>206190109</v>
      </c>
      <c r="D146" s="7" t="n">
        <v>93759007</v>
      </c>
      <c r="E146" s="16" t="inlineStr">
        <is>
          <t>없음</t>
        </is>
      </c>
      <c r="F146" s="10">
        <f>MAX(0,$C$144-D146)</f>
        <v/>
      </c>
    </row>
    <row r="147">
      <c r="A147" s="41" t="n">
        <v>0.9</v>
      </c>
      <c r="C147" s="7" t="n">
        <v>223954353</v>
      </c>
      <c r="D147" s="7" t="n">
        <v>98722097</v>
      </c>
      <c r="E147" s="16" t="inlineStr">
        <is>
          <t>없음</t>
        </is>
      </c>
      <c r="F147" s="10">
        <f>MAX(0,$C$144-D147)</f>
        <v/>
      </c>
    </row>
    <row r="148">
      <c r="A148" s="41" t="n">
        <v>1</v>
      </c>
      <c r="C148" s="7" t="n">
        <v>241718597</v>
      </c>
      <c r="D148" s="7" t="n">
        <v>103685187</v>
      </c>
      <c r="E148" s="16" t="inlineStr">
        <is>
          <t>없음</t>
        </is>
      </c>
      <c r="F148" s="10">
        <f>MAX(0,$C$144-D148)</f>
        <v/>
      </c>
    </row>
    <row r="149">
      <c r="A149" s="32" t="inlineStr">
        <is>
          <t>주당 추가 입금 목표</t>
        </is>
      </c>
      <c r="C149" s="33">
        <f>ROUND(F146/4,0)</f>
        <v/>
      </c>
      <c r="D149" s="34" t="inlineStr">
        <is>
          <t>영업일당(주 5일 기준)</t>
        </is>
      </c>
      <c r="E149" s="33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2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3" t="inlineStr">
        <is>
          <t>금주 정기지출 체크 — 팀 지출예정 제출 확인</t>
        </is>
      </c>
    </row>
    <row r="2">
      <c r="A2" s="2" t="inlineStr">
        <is>
          <t>확인 구간 2026-09-20 ~ 2026-09-25 (실행일~차주 금요일) · 매월 나가던 정기지출이 팀 지출예정 파일에 들어왔는지 자동 대조한 결과입니다.</t>
        </is>
      </c>
    </row>
    <row r="3">
      <c r="A3" s="44" t="inlineStr">
        <is>
          <t>⚠ 누락 의심 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46286</v>
      </c>
      <c r="B6" s="16" t="inlineStr">
        <is>
          <t>월</t>
        </is>
      </c>
      <c r="C6" s="6" t="inlineStr">
        <is>
          <t>기업주써치엠</t>
        </is>
      </c>
      <c r="D6" s="7" t="n">
        <v>1533488</v>
      </c>
      <c r="E6" s="16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15" t="n">
        <v>46286</v>
      </c>
      <c r="B7" s="16" t="inlineStr">
        <is>
          <t>월</t>
        </is>
      </c>
      <c r="C7" s="6" t="inlineStr">
        <is>
          <t>SKB</t>
        </is>
      </c>
      <c r="D7" s="7" t="n">
        <v>223019</v>
      </c>
      <c r="E7" s="16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5" t="n">
        <v>46287</v>
      </c>
      <c r="B8" s="46" t="inlineStr">
        <is>
          <t>화</t>
        </is>
      </c>
      <c r="C8" s="47" t="inlineStr">
        <is>
          <t>SN</t>
        </is>
      </c>
      <c r="D8" s="48" t="n">
        <v>231733</v>
      </c>
      <c r="E8" s="46" t="inlineStr">
        <is>
          <t>제외</t>
        </is>
      </c>
      <c r="F8" s="47" t="inlineStr">
        <is>
          <t>없음</t>
        </is>
      </c>
      <c r="G8" s="49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우리카드결제대금</t>
        </is>
      </c>
      <c r="D9" s="7" t="n">
        <v>26105540</v>
      </c>
      <c r="E9" s="16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5" t="n">
        <v>46288</v>
      </c>
      <c r="B10" s="46" t="inlineStr">
        <is>
          <t>수</t>
        </is>
      </c>
      <c r="C10" s="47" t="inlineStr">
        <is>
          <t>METLIFE</t>
        </is>
      </c>
      <c r="D10" s="48" t="n">
        <v>7641812</v>
      </c>
      <c r="E10" s="46" t="inlineStr">
        <is>
          <t>제외</t>
        </is>
      </c>
      <c r="F10" s="47" t="inlineStr">
        <is>
          <t>없음</t>
        </is>
      </c>
      <c r="G10" s="49" t="inlineStr">
        <is>
          <t>누락 의심 — 팀 재제출 요청</t>
        </is>
      </c>
    </row>
    <row r="11">
      <c r="A11" s="15" t="n">
        <v>46288</v>
      </c>
      <c r="B11" s="16" t="inlineStr">
        <is>
          <t>수</t>
        </is>
      </c>
      <c r="C11" s="6" t="inlineStr">
        <is>
          <t>NH기업카드</t>
        </is>
      </c>
      <c r="D11" s="7" t="n">
        <v>6066502</v>
      </c>
      <c r="E11" s="16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5" t="n">
        <v>46288</v>
      </c>
      <c r="B12" s="46" t="inlineStr">
        <is>
          <t>수</t>
        </is>
      </c>
      <c r="C12" s="47" t="inlineStr">
        <is>
          <t>아이현종찬</t>
        </is>
      </c>
      <c r="D12" s="48" t="n">
        <v>173250</v>
      </c>
      <c r="E12" s="46" t="inlineStr">
        <is>
          <t>제외</t>
        </is>
      </c>
      <c r="F12" s="47" t="inlineStr">
        <is>
          <t>없음</t>
        </is>
      </c>
      <c r="G12" s="49" t="inlineStr">
        <is>
          <t>누락 의심 — 팀 재제출 요청</t>
        </is>
      </c>
    </row>
  </sheetData>
  <autoFilter ref="A5:G12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2026-09-19T18:06:12Z</dcterms:created>
  <dcterms:modified xsi:type="dcterms:W3CDTF">2026-09-19T18:06:12Z</dcterms:modified>
</cp:coreProperties>
</file>