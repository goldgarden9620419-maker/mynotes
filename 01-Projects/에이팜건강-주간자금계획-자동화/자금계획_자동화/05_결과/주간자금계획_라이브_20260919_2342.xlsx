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'지출계획_취합'!$A$5:$Q$25</definedName>
    <definedName name="_xlnm._FilterDatabase" localSheetId="9" hidden="1">'정기지출분석'!$A$5:$K$57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8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b val="1"/>
      <sz val="10"/>
    </font>
    <font>
      <name val="맑은 고딕"/>
      <b val="1"/>
      <color rgb="00B36B00"/>
      <sz val="9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9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6" fillId="0" borderId="0" pivotButton="0" quotePrefix="0" xfId="0"/>
    <xf numFmtId="3" fontId="16" fillId="0" borderId="0" pivotButton="0" quotePrefix="0" xfId="0"/>
    <xf numFmtId="0" fontId="17" fillId="0" borderId="0" applyAlignment="1" pivotButton="0" quotePrefix="0" xfId="0">
      <alignment horizontal="right"/>
    </xf>
    <xf numFmtId="0" fontId="16" fillId="8" borderId="0" applyAlignment="1" pivotButton="0" quotePrefix="0" xfId="0">
      <alignment horizont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68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9" t="n"/>
      <c r="L12" s="2" t="n"/>
      <c r="M12" s="2" t="n"/>
      <c r="N12" s="2" t="n"/>
      <c r="O12" s="2" t="n"/>
      <c r="P12" s="2" t="n"/>
    </row>
    <row r="13">
      <c r="A13" s="170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9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70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9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70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9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68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9" t="n"/>
      <c r="L16" s="2" t="n"/>
      <c r="M16" s="2" t="n"/>
      <c r="N16" s="2" t="n"/>
      <c r="O16" s="2" t="n"/>
      <c r="P16" s="2" t="n"/>
    </row>
    <row r="17">
      <c r="A17" s="171" t="n">
        <v>46290</v>
      </c>
      <c r="B17" s="172" t="inlineStr">
        <is>
          <t>금</t>
        </is>
      </c>
      <c r="C17" s="173" t="n">
        <v>0</v>
      </c>
      <c r="D17" s="174" t="n"/>
      <c r="E17" s="174" t="n"/>
      <c r="F17" s="174" t="n"/>
      <c r="G17" s="174" t="n">
        <v>2606450</v>
      </c>
      <c r="H17" s="175">
        <f>C17+D17-E17-F17-G17</f>
        <v/>
      </c>
      <c r="I17" s="175">
        <f>J16</f>
        <v/>
      </c>
      <c r="J17" s="175">
        <f>I17+H17</f>
        <v/>
      </c>
      <c r="K17" s="176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77" t="n">
        <v>46291</v>
      </c>
      <c r="B18" s="168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77" t="n">
        <v>46292</v>
      </c>
      <c r="B19" s="168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77" t="n">
        <v>46298</v>
      </c>
      <c r="B25" s="168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77" t="n">
        <v>46299</v>
      </c>
      <c r="B26" s="168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77" t="n">
        <v>46300</v>
      </c>
      <c r="B27" s="168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77" t="n">
        <v>46304</v>
      </c>
      <c r="B31" s="168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77" t="n">
        <v>46305</v>
      </c>
      <c r="B32" s="168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1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1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1" t="n">
        <v>46289</v>
      </c>
      <c r="B16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1" t="n">
        <v>46290</v>
      </c>
      <c r="B17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1" t="n">
        <v>46291</v>
      </c>
      <c r="B18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1" t="n">
        <v>46292</v>
      </c>
      <c r="B19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1" t="n">
        <v>46298</v>
      </c>
      <c r="B25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1" t="n">
        <v>46299</v>
      </c>
      <c r="B26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1" t="n">
        <v>46300</v>
      </c>
      <c r="B27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1" t="n">
        <v>46304</v>
      </c>
      <c r="B31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1" t="n">
        <v>46305</v>
      </c>
      <c r="B32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1" t="n">
        <v>46306</v>
      </c>
      <c r="B33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3" t="n">
        <v>46283</v>
      </c>
      <c r="B6" s="184" t="inlineStr">
        <is>
          <t>금</t>
        </is>
      </c>
      <c r="C6" s="184" t="inlineStr">
        <is>
          <t>팀 지출계획</t>
        </is>
      </c>
      <c r="D6" s="184" t="inlineStr">
        <is>
          <t>미반영(별도 관리)</t>
        </is>
      </c>
      <c r="E6" s="184" t="inlineStr">
        <is>
          <t>경영지원팀</t>
        </is>
      </c>
      <c r="F6" s="184" t="inlineStr">
        <is>
          <t>이앤씨이노비즈타워</t>
        </is>
      </c>
      <c r="G6" s="184" t="inlineStr">
        <is>
          <t>본사관리비</t>
        </is>
      </c>
      <c r="H6" s="185" t="n">
        <v>1553720</v>
      </c>
      <c r="I6" s="184" t="inlineStr">
        <is>
          <t>계좌송금</t>
        </is>
      </c>
      <c r="J6" s="184" t="inlineStr">
        <is>
          <t>에이팜</t>
        </is>
      </c>
    </row>
    <row r="7">
      <c r="A7" s="183" t="n">
        <v>46288</v>
      </c>
      <c r="B7" s="184" t="inlineStr">
        <is>
          <t>수</t>
        </is>
      </c>
      <c r="C7" s="184" t="inlineStr">
        <is>
          <t>팀 지출계획</t>
        </is>
      </c>
      <c r="D7" s="184" t="inlineStr">
        <is>
          <t>미반영(별도 관리)</t>
        </is>
      </c>
      <c r="E7" s="184" t="inlineStr">
        <is>
          <t>경영지원팀</t>
        </is>
      </c>
      <c r="F7" s="184" t="inlineStr">
        <is>
          <t>비씨카드</t>
        </is>
      </c>
      <c r="G7" s="184" t="inlineStr">
        <is>
          <t>8월카드대금</t>
        </is>
      </c>
      <c r="H7" s="185" t="n">
        <v>269810</v>
      </c>
      <c r="I7" s="184" t="inlineStr">
        <is>
          <t>계좌송금</t>
        </is>
      </c>
      <c r="J7" s="184" t="inlineStr">
        <is>
          <t>에이팜</t>
        </is>
      </c>
    </row>
    <row r="8">
      <c r="A8" s="183" t="n">
        <v>46295</v>
      </c>
      <c r="B8" s="184" t="inlineStr">
        <is>
          <t>수</t>
        </is>
      </c>
      <c r="C8" s="184" t="inlineStr">
        <is>
          <t>팀 지출계획</t>
        </is>
      </c>
      <c r="D8" s="184" t="inlineStr">
        <is>
          <t>미반영(별도 관리)</t>
        </is>
      </c>
      <c r="E8" s="184" t="inlineStr">
        <is>
          <t>경영지원팀</t>
        </is>
      </c>
      <c r="F8" s="184" t="inlineStr">
        <is>
          <t>서원회계법인</t>
        </is>
      </c>
      <c r="G8" s="184" t="inlineStr">
        <is>
          <t>기장료</t>
        </is>
      </c>
      <c r="H8" s="185" t="n">
        <v>330000</v>
      </c>
      <c r="I8" s="184" t="inlineStr">
        <is>
          <t>계좌송금</t>
        </is>
      </c>
      <c r="J8" s="184" t="inlineStr">
        <is>
          <t>에이팜</t>
        </is>
      </c>
    </row>
    <row r="9">
      <c r="A9" s="183" t="n">
        <v>46295</v>
      </c>
      <c r="B9" s="184" t="inlineStr">
        <is>
          <t>수</t>
        </is>
      </c>
      <c r="C9" s="184" t="inlineStr">
        <is>
          <t>팀 지출계획</t>
        </is>
      </c>
      <c r="D9" s="184" t="inlineStr">
        <is>
          <t>미반영(별도 관리)</t>
        </is>
      </c>
      <c r="E9" s="184" t="inlineStr">
        <is>
          <t>경영지원팀</t>
        </is>
      </c>
      <c r="F9" s="184" t="inlineStr">
        <is>
          <t>가가사무기</t>
        </is>
      </c>
      <c r="G9" s="184" t="inlineStr">
        <is>
          <t>복합기 9월 임대비용</t>
        </is>
      </c>
      <c r="H9" s="185" t="n">
        <v>280000</v>
      </c>
      <c r="I9" s="184" t="inlineStr">
        <is>
          <t>계좌송금</t>
        </is>
      </c>
      <c r="J9" s="184" t="inlineStr">
        <is>
          <t>에이팜</t>
        </is>
      </c>
    </row>
    <row r="10">
      <c r="A10" s="183" t="n">
        <v>46295</v>
      </c>
      <c r="B10" s="184" t="inlineStr">
        <is>
          <t>수</t>
        </is>
      </c>
      <c r="C10" s="184" t="inlineStr">
        <is>
          <t>팀 지출계획</t>
        </is>
      </c>
      <c r="D10" s="184" t="inlineStr">
        <is>
          <t>미반영(별도 관리)</t>
        </is>
      </c>
      <c r="E10" s="184" t="inlineStr">
        <is>
          <t>경영지원팀</t>
        </is>
      </c>
      <c r="F10" s="184" t="inlineStr">
        <is>
          <t>대구상공회의소</t>
        </is>
      </c>
      <c r="G10" s="184" t="inlineStr">
        <is>
          <t>하반기연회비</t>
        </is>
      </c>
      <c r="H10" s="185" t="n">
        <v>250000</v>
      </c>
      <c r="I10" s="184" t="inlineStr">
        <is>
          <t>계좌송금</t>
        </is>
      </c>
      <c r="J10" s="184" t="inlineStr">
        <is>
          <t>에이팜</t>
        </is>
      </c>
    </row>
    <row r="11">
      <c r="G11" s="186" t="inlineStr">
        <is>
          <t>합계(자금계획 미반영)</t>
        </is>
      </c>
      <c r="H11" s="187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188" t="inlineStr">
        <is>
          <t>성격 일괄 변경 →</t>
        </is>
      </c>
      <c r="K4" s="189" t="inlineStr">
        <is>
          <t>변경 안 함</t>
        </is>
      </c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autoFilter ref="A5:K57"/>
  <mergeCells count="2">
    <mergeCell ref="A3:J3"/>
    <mergeCell ref="A2:J2"/>
  </mergeCells>
  <conditionalFormatting sqref="A6:J29">
    <cfRule type="containsText" priority="1" operator="containsText" dxfId="2" text="확인필요"/>
  </conditionalFormatting>
  <dataValidations count="2">
    <dataValidation sqref="K6:K57" showDropDown="0" showInputMessage="0" showErrorMessage="1" allowBlank="1" error="'정기', '변동', '제외'만 입력할 수 있습니다." type="list">
      <formula1>"정기,변동,제외"</formula1>
    </dataValidation>
    <dataValidation sqref="K4" showDropDown="0" showInputMessage="0" showErrorMessage="1" allowBlank="1" error="변경 안 함,전체 정기,전체 변동 중에서만 고를 수 있습니다." type="list">
      <formula1>"변경 안 함,전체 정기,전체 변동"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2026-09-19T14:42:33Z</dcterms:modified>
</cp:coreProperties>
</file>