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'지출계획_취합'!$A$5:$Q$26</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2">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FFF2CC"/>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25">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3" fontId="20" fillId="10" borderId="24" applyAlignment="1" pivotButton="0" quotePrefix="0" xfId="0">
      <alignment vertical="center"/>
    </xf>
    <xf numFmtId="165" fontId="13" fillId="0" borderId="24" applyAlignment="1" pivotButton="0" quotePrefix="0" xfId="0">
      <alignment vertical="center"/>
    </xf>
    <xf numFmtId="0" fontId="13" fillId="0" borderId="24" applyAlignment="1" pivotButton="0" quotePrefix="0" xfId="0">
      <alignment vertical="center"/>
    </xf>
    <xf numFmtId="167" fontId="13" fillId="11" borderId="24" applyAlignment="1" pivotButton="0" quotePrefix="0" xfId="0">
      <alignment vertical="center"/>
    </xf>
    <xf numFmtId="3" fontId="13" fillId="13" borderId="24" applyAlignment="1" pivotButton="0" quotePrefix="0" xfId="0">
      <alignment vertical="center"/>
    </xf>
    <xf numFmtId="168" fontId="13" fillId="12" borderId="24" applyAlignment="1" pivotButton="0" quotePrefix="0" xfId="0">
      <alignment vertical="center"/>
    </xf>
    <xf numFmtId="164" fontId="13" fillId="14" borderId="24" applyAlignment="1" pivotButton="0" quotePrefix="0" xfId="0">
      <alignment vertical="center"/>
    </xf>
    <xf numFmtId="164" fontId="13" fillId="14" borderId="24" pivotButton="0" quotePrefix="0" xfId="0"/>
    <xf numFmtId="164" fontId="13" fillId="15" borderId="24" applyAlignment="1" pivotButton="0" quotePrefix="0" xfId="0">
      <alignment vertical="center"/>
    </xf>
    <xf numFmtId="3" fontId="13" fillId="15" borderId="24" applyAlignment="1" pivotButton="0" quotePrefix="0" xfId="0">
      <alignment vertical="center"/>
    </xf>
    <xf numFmtId="0" fontId="13" fillId="0" borderId="24" applyAlignment="1" pivotButton="0" quotePrefix="0" xfId="0">
      <alignment horizontal="left" vertical="center" wrapText="1"/>
    </xf>
    <xf numFmtId="165" fontId="21" fillId="0" borderId="31" applyAlignment="1" pivotButton="0" quotePrefix="0" xfId="0">
      <alignment vertical="center"/>
    </xf>
    <xf numFmtId="0" fontId="21" fillId="0" borderId="29" applyAlignment="1" pivotButton="0" quotePrefix="0" xfId="0">
      <alignment vertical="center"/>
    </xf>
    <xf numFmtId="167" fontId="13" fillId="11" borderId="29" applyAlignment="1" pivotButton="0" quotePrefix="0" xfId="0">
      <alignment vertical="center"/>
    </xf>
    <xf numFmtId="164" fontId="13" fillId="13" borderId="29" applyAlignment="1" pivotButton="0" quotePrefix="0" xfId="0">
      <alignment vertical="center"/>
    </xf>
    <xf numFmtId="168" fontId="13" fillId="12" borderId="29" applyAlignment="1" pivotButton="0" quotePrefix="0" xfId="0">
      <alignment vertical="center"/>
    </xf>
    <xf numFmtId="169" fontId="13" fillId="15" borderId="29" applyAlignment="1" pivotButton="0" quotePrefix="0" xfId="0">
      <alignment vertical="center"/>
    </xf>
    <xf numFmtId="164" fontId="13" fillId="15" borderId="29" applyAlignment="1" pivotButton="0" quotePrefix="0" xfId="0">
      <alignment vertical="center"/>
    </xf>
    <xf numFmtId="3" fontId="13" fillId="15" borderId="29" applyAlignment="1" pivotButton="0" quotePrefix="0" xfId="0">
      <alignment vertical="center"/>
    </xf>
    <xf numFmtId="0" fontId="13" fillId="0" borderId="32" applyAlignment="1" pivotButton="0" quotePrefix="0" xfId="0">
      <alignment horizontal="left" vertical="top" wrapText="1"/>
    </xf>
    <xf numFmtId="165" fontId="21" fillId="0" borderId="33" applyAlignment="1" pivotButton="0" quotePrefix="0" xfId="0">
      <alignment vertical="center"/>
    </xf>
    <xf numFmtId="0" fontId="21" fillId="0" borderId="24" applyAlignment="1" pivotButton="0" quotePrefix="0" xfId="0">
      <alignment vertical="center"/>
    </xf>
    <xf numFmtId="164" fontId="13" fillId="13" borderId="24" applyAlignment="1" pivotButton="0" quotePrefix="0" xfId="0">
      <alignment vertical="center"/>
    </xf>
    <xf numFmtId="169" fontId="13" fillId="15" borderId="24" applyAlignment="1" pivotButton="0" quotePrefix="0" xfId="0">
      <alignment vertical="center"/>
    </xf>
    <xf numFmtId="0" fontId="13" fillId="0" borderId="34" applyAlignment="1" pivotButton="0" quotePrefix="0" xfId="0">
      <alignment horizontal="left" vertical="top" wrapText="1"/>
    </xf>
    <xf numFmtId="165" fontId="13" fillId="0" borderId="33" applyAlignment="1" pivotButton="0" quotePrefix="0" xfId="0">
      <alignment vertical="center"/>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4" fontId="13" fillId="15" borderId="30" applyAlignment="1" pivotButton="0" quotePrefix="0" xfId="0">
      <alignment vertical="center"/>
    </xf>
    <xf numFmtId="3" fontId="13" fillId="15" borderId="30" applyAlignment="1" pivotButton="0" quotePrefix="0" xfId="0">
      <alignment vertical="center"/>
    </xf>
    <xf numFmtId="0" fontId="13" fillId="0" borderId="36" applyAlignment="1" pivotButton="0" quotePrefix="0" xfId="0">
      <alignment horizontal="left" vertical="top" wrapText="1"/>
    </xf>
    <xf numFmtId="165" fontId="21" fillId="0" borderId="24" applyAlignment="1" pivotButton="0" quotePrefix="0" xfId="0">
      <alignment vertical="center"/>
    </xf>
    <xf numFmtId="0" fontId="13" fillId="0" borderId="24" applyAlignment="1" pivotButton="0" quotePrefix="0" xfId="0">
      <alignment horizontal="left" vertical="top" wrapText="1"/>
    </xf>
    <xf numFmtId="0" fontId="0" fillId="0" borderId="24" pivotButton="0" quotePrefix="0" xfId="0"/>
    <xf numFmtId="0" fontId="18" fillId="16" borderId="24" applyAlignment="1" pivotButton="0" quotePrefix="0" xfId="0">
      <alignment horizontal="left" vertical="center"/>
    </xf>
    <xf numFmtId="0" fontId="18" fillId="17" borderId="24" applyAlignment="1" pivotButton="0" quotePrefix="0" xfId="0">
      <alignment horizontal="left" vertical="center"/>
    </xf>
    <xf numFmtId="0" fontId="18" fillId="18" borderId="24" applyAlignment="1" pivotButton="0" quotePrefix="0" xfId="0">
      <alignment horizontal="center" vertical="center"/>
    </xf>
    <xf numFmtId="0" fontId="0" fillId="0" borderId="39" pivotButton="0" quotePrefix="0" xfId="0"/>
    <xf numFmtId="0" fontId="18" fillId="16" borderId="24" applyAlignment="1" pivotButton="0" quotePrefix="0" xfId="0">
      <alignment horizontal="center" vertical="center"/>
    </xf>
    <xf numFmtId="0" fontId="18" fillId="17"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165" fontId="0" fillId="0" borderId="24" applyAlignment="1" pivotButton="0" quotePrefix="0" xfId="0">
      <alignment vertical="center"/>
    </xf>
    <xf numFmtId="0" fontId="0" fillId="0" borderId="24" applyAlignment="1" pivotButton="0" quotePrefix="0" xfId="0">
      <alignment vertical="center"/>
    </xf>
    <xf numFmtId="0" fontId="0" fillId="11" borderId="24" pivotButton="0" quotePrefix="0" xfId="0"/>
    <xf numFmtId="0" fontId="0" fillId="12" borderId="24" pivotButton="0" quotePrefix="0" xfId="0"/>
    <xf numFmtId="0" fontId="0" fillId="19" borderId="24" pivotButton="0" quotePrefix="0" xfId="0"/>
    <xf numFmtId="0" fontId="0" fillId="20" borderId="24" pivotButton="0" quotePrefix="0" xfId="0"/>
    <xf numFmtId="167" fontId="13"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3" fontId="13" fillId="0" borderId="0" applyAlignment="1" pivotButton="0" quotePrefix="0" xfId="0">
      <alignment vertical="center"/>
    </xf>
    <xf numFmtId="0" fontId="13" fillId="0" borderId="0" applyAlignment="1" pivotButton="0" quotePrefix="0" xfId="0">
      <alignment vertical="center" wrapText="1"/>
    </xf>
    <xf numFmtId="165" fontId="13" fillId="14" borderId="0" applyAlignment="1" pivotButton="0" quotePrefix="0" xfId="0">
      <alignment vertical="center"/>
    </xf>
    <xf numFmtId="0" fontId="13" fillId="14" borderId="0" applyAlignment="1" pivotButton="0" quotePrefix="0" xfId="0">
      <alignment vertical="center"/>
    </xf>
    <xf numFmtId="0" fontId="13" fillId="14" borderId="0" applyAlignment="1" pivotButton="0" quotePrefix="0" xfId="0">
      <alignment vertical="center" wrapText="1"/>
    </xf>
    <xf numFmtId="3" fontId="13" fillId="14" borderId="0" applyAlignment="1" pivotButton="0" quotePrefix="0" xfId="0">
      <alignment vertical="center"/>
    </xf>
    <xf numFmtId="0" fontId="19" fillId="0" borderId="0" applyAlignment="1" pivotButton="0" quotePrefix="0" xfId="0">
      <alignment vertical="center"/>
    </xf>
    <xf numFmtId="3" fontId="19" fillId="0" borderId="0" applyAlignment="1" pivotButton="0" quotePrefix="0" xfId="0">
      <alignment vertical="center"/>
    </xf>
    <xf numFmtId="166" fontId="21" fillId="0" borderId="13" applyAlignment="1" pivotButton="0" quotePrefix="0" xfId="0">
      <alignment vertical="center"/>
    </xf>
    <xf numFmtId="165" fontId="21" fillId="0" borderId="14"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14"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14" borderId="19" applyAlignment="1" pivotButton="0" quotePrefix="0" xfId="0">
      <alignment vertical="center"/>
    </xf>
    <xf numFmtId="0" fontId="16" fillId="0" borderId="19" applyAlignment="1" pivotButton="0" quotePrefix="0" xfId="0">
      <alignment horizontal="center" vertical="center"/>
    </xf>
    <xf numFmtId="3" fontId="16" fillId="14" borderId="19" applyAlignment="1" pivotButton="0" quotePrefix="0" xfId="0">
      <alignment vertical="center"/>
    </xf>
    <xf numFmtId="0" fontId="16" fillId="14" borderId="19" applyAlignment="1" pivotButton="0" quotePrefix="0" xfId="0">
      <alignment horizontal="center"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16" fillId="0" borderId="19" applyAlignment="1" pivotButton="0" quotePrefix="0" xfId="0">
      <alignment vertical="center"/>
    </xf>
    <xf numFmtId="165" fontId="21" fillId="14" borderId="19" applyAlignment="1" pivotButton="0" quotePrefix="0" xfId="0">
      <alignment vertical="center"/>
    </xf>
    <xf numFmtId="3" fontId="16" fillId="0" borderId="0" applyAlignment="1" pivotButton="0" quotePrefix="0" xfId="0">
      <alignment vertical="center"/>
    </xf>
    <xf numFmtId="3" fontId="16" fillId="21" borderId="19" applyAlignment="1" pivotButton="0" quotePrefix="0" xfId="0">
      <alignment vertical="center"/>
    </xf>
    <xf numFmtId="0" fontId="11" fillId="0" borderId="19" applyAlignment="1" pivotButton="0" quotePrefix="0" xfId="0">
      <alignment horizontal="left" vertical="center" wrapText="1"/>
    </xf>
    <xf numFmtId="165" fontId="21" fillId="0" borderId="42" applyAlignment="1" pivotButton="0" quotePrefix="0" xfId="0">
      <alignment vertical="center"/>
    </xf>
    <xf numFmtId="0" fontId="21" fillId="0" borderId="40" applyAlignment="1" pivotButton="0" quotePrefix="0" xfId="0">
      <alignment horizontal="center" vertical="center"/>
    </xf>
    <xf numFmtId="3" fontId="16" fillId="0" borderId="40" applyAlignment="1" pivotButton="0" quotePrefix="0" xfId="0">
      <alignment vertical="center"/>
    </xf>
    <xf numFmtId="0" fontId="26" fillId="0" borderId="43" applyAlignment="1" pivotButton="0" quotePrefix="0" xfId="0">
      <alignment horizontal="left" vertical="center" wrapText="1"/>
    </xf>
    <xf numFmtId="165" fontId="21" fillId="0" borderId="44" applyAlignment="1" pivotButton="0" quotePrefix="0" xfId="0">
      <alignment vertical="center"/>
    </xf>
    <xf numFmtId="0" fontId="26" fillId="0" borderId="45" applyAlignment="1" pivotButton="0" quotePrefix="0" xfId="0">
      <alignment horizontal="left" vertical="center" wrapText="1"/>
    </xf>
    <xf numFmtId="165" fontId="16" fillId="0" borderId="44" applyAlignment="1" pivotButton="0" quotePrefix="0" xfId="0">
      <alignment vertical="center"/>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7" fontId="13" fillId="11" borderId="29" applyAlignment="1" pivotButton="0" quotePrefix="0" xfId="0">
      <alignment vertical="center"/>
    </xf>
    <xf numFmtId="168" fontId="13" fillId="12" borderId="29" applyAlignment="1" pivotButton="0" quotePrefix="0" xfId="0">
      <alignment vertical="center"/>
    </xf>
    <xf numFmtId="169" fontId="13" fillId="15" borderId="29" applyAlignment="1" pivotButton="0" quotePrefix="0" xfId="0">
      <alignment vertical="center"/>
    </xf>
    <xf numFmtId="169" fontId="13" fillId="15" borderId="24"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7" fontId="13"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2026-10-12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120868218</v>
      </c>
      <c r="C6" s="2" t="n"/>
      <c r="D6" s="2" t="inlineStr">
        <is>
          <t>국민 154577</t>
        </is>
      </c>
      <c r="E6" s="120" t="n">
        <v>46311</v>
      </c>
      <c r="F6" s="119" t="n">
        <v>62178003</v>
      </c>
      <c r="G6" s="2" t="n"/>
      <c r="H6" s="2" t="n"/>
      <c r="I6" s="2" t="n"/>
      <c r="J6" s="2" t="n"/>
      <c r="K6" s="2" t="n"/>
      <c r="L6" s="2" t="n"/>
      <c r="M6" s="2" t="n"/>
      <c r="N6" s="2" t="n"/>
      <c r="O6" s="2" t="n"/>
      <c r="P6" s="2" t="n"/>
    </row>
    <row r="7">
      <c r="A7" s="9" t="inlineStr">
        <is>
          <t>6개월 외부입금</t>
        </is>
      </c>
      <c r="B7" s="119" t="n">
        <v>3591245039</v>
      </c>
      <c r="C7" s="2" t="n"/>
      <c r="D7" s="2" t="inlineStr">
        <is>
          <t>국민 169124</t>
        </is>
      </c>
      <c r="E7" s="120" t="n">
        <v>46310</v>
      </c>
      <c r="F7" s="119" t="n">
        <v>20687200</v>
      </c>
      <c r="G7" s="2" t="n"/>
      <c r="H7" s="2" t="n"/>
      <c r="I7" s="2" t="n"/>
      <c r="J7" s="2" t="n"/>
      <c r="K7" s="2" t="n"/>
      <c r="L7" s="2" t="n"/>
      <c r="M7" s="2" t="n"/>
      <c r="N7" s="2" t="n"/>
      <c r="O7" s="2" t="n"/>
      <c r="P7" s="2" t="n"/>
    </row>
    <row r="8">
      <c r="A8" s="9" t="inlineStr">
        <is>
          <t>6개월 외부출금</t>
        </is>
      </c>
      <c r="B8" s="119" t="n">
        <v>3829559411</v>
      </c>
      <c r="C8" s="2" t="n"/>
      <c r="D8" s="2" t="inlineStr">
        <is>
          <t>국민 170616</t>
        </is>
      </c>
      <c r="E8" s="120" t="n">
        <v>46311</v>
      </c>
      <c r="F8" s="119" t="n">
        <v>31550000</v>
      </c>
      <c r="G8" s="2" t="n"/>
      <c r="H8" s="2" t="n"/>
      <c r="I8" s="2" t="n"/>
      <c r="J8" s="2" t="n"/>
      <c r="K8" s="2" t="n"/>
      <c r="L8" s="2" t="n"/>
      <c r="M8" s="2" t="n"/>
      <c r="N8" s="2" t="n"/>
      <c r="O8" s="2" t="n"/>
      <c r="P8" s="2" t="n"/>
    </row>
    <row r="9">
      <c r="A9" s="9" t="inlineStr">
        <is>
          <t>온라인매출 입금</t>
        </is>
      </c>
      <c r="B9" s="119" t="n">
        <v>2227530456</v>
      </c>
      <c r="C9" s="2" t="n"/>
      <c r="D9" s="2" t="inlineStr">
        <is>
          <t>농협 569003</t>
        </is>
      </c>
      <c r="E9" s="120" t="n">
        <v>46309</v>
      </c>
      <c r="F9" s="119" t="n">
        <v>441400</v>
      </c>
      <c r="G9" s="2" t="n"/>
      <c r="H9" s="2" t="n"/>
      <c r="I9" s="2" t="n"/>
      <c r="J9" s="2" t="n"/>
      <c r="K9" s="2" t="n"/>
      <c r="L9" s="2" t="n"/>
      <c r="M9" s="2" t="n"/>
      <c r="N9" s="2" t="n"/>
      <c r="O9" s="2" t="n"/>
      <c r="P9" s="2" t="n"/>
    </row>
    <row r="10">
      <c r="A10" s="9" t="inlineStr">
        <is>
          <t>최근 12주 주평균 온라인입금</t>
        </is>
      </c>
      <c r="B10" s="119" t="n">
        <v>65399150</v>
      </c>
      <c r="C10" s="2" t="n"/>
      <c r="D10" s="2" t="inlineStr">
        <is>
          <t>우리 220351</t>
        </is>
      </c>
      <c r="E10" s="120" t="n">
        <v>46311</v>
      </c>
      <c r="F10" s="119" t="n">
        <v>6011615</v>
      </c>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'4주일별계획'!T35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MIN('4주일별계획'!T8:T35)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90</v>
      </c>
      <c r="C28" s="173" t="n">
        <v>46296</v>
      </c>
      <c r="D28" s="173" t="n">
        <v>46311</v>
      </c>
      <c r="E28" s="2" t="n"/>
      <c r="F28" s="2" t="n"/>
      <c r="G28" s="2" t="n"/>
      <c r="H28" s="2" t="n"/>
      <c r="I28" s="2" t="n"/>
      <c r="J28" s="2" t="n"/>
      <c r="K28" s="2" t="n"/>
      <c r="L28" s="2" t="n"/>
      <c r="M28" s="2" t="n"/>
      <c r="N28" s="2" t="n"/>
      <c r="O28" s="2" t="n"/>
      <c r="P28" s="2" t="n"/>
    </row>
    <row r="29">
      <c r="A29" s="171" t="inlineStr">
        <is>
          <t>농협</t>
        </is>
      </c>
      <c r="B29" s="172" t="n">
        <v>16</v>
      </c>
      <c r="C29" s="173" t="n">
        <v>46301</v>
      </c>
      <c r="D29" s="173" t="n">
        <v>46309</v>
      </c>
      <c r="E29" s="2" t="n"/>
      <c r="F29" s="2" t="n"/>
      <c r="G29" s="2" t="n"/>
      <c r="H29" s="2" t="n"/>
      <c r="I29" s="2" t="n"/>
      <c r="J29" s="2" t="n"/>
      <c r="K29" s="2" t="n"/>
      <c r="L29" s="2" t="n"/>
      <c r="M29" s="2" t="n"/>
      <c r="N29" s="2" t="n"/>
      <c r="O29" s="2" t="n"/>
      <c r="P29" s="2" t="n"/>
    </row>
    <row r="30">
      <c r="A30" s="171" t="inlineStr">
        <is>
          <t>우리은행</t>
        </is>
      </c>
      <c r="B30" s="172" t="n">
        <v>52</v>
      </c>
      <c r="C30" s="173" t="n">
        <v>46307</v>
      </c>
      <c r="D30" s="173" t="n">
        <v>46311</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65" t="inlineStr">
        <is>
          <t>주간 자금 경영보고 — (주)에이팜건강</t>
        </is>
      </c>
    </row>
    <row r="2">
      <c r="A2" s="266" t="inlineStr">
        <is>
          <t>기준주 2026-10-12 (월) ~ 2026-10-18 (일) · 작성 2026-10-17 21:21:14 · 실행일~차주 금요일만 표시 (그 밖의 일자 행은 숨김 — 행 숨기기 해제로 열람 가능)</t>
        </is>
      </c>
    </row>
    <row r="3">
      <c r="A3" s="267"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68" t="inlineStr">
        <is>
          <t>① 현재 자금 현황</t>
        </is>
      </c>
      <c r="B5" s="269" t="n"/>
      <c r="C5" s="269" t="n"/>
      <c r="D5" s="269" t="n"/>
      <c r="E5" s="269" t="n"/>
      <c r="F5" s="269" t="n"/>
      <c r="G5" s="269" t="n"/>
      <c r="H5" s="269" t="n"/>
      <c r="I5" s="269" t="n"/>
    </row>
    <row r="6">
      <c r="A6" s="270" t="inlineStr">
        <is>
          <t>국민 154577</t>
        </is>
      </c>
      <c r="C6" s="271" t="n">
        <v>62178003</v>
      </c>
      <c r="D6" s="175" t="inlineStr">
        <is>
          <t>최종 거래일 2026-10-16</t>
        </is>
      </c>
    </row>
    <row r="7">
      <c r="A7" s="270" t="inlineStr">
        <is>
          <t>국민 169124</t>
        </is>
      </c>
      <c r="C7" s="271" t="n">
        <v>20687200</v>
      </c>
      <c r="D7" s="175" t="inlineStr">
        <is>
          <t>최종 거래일 2026-10-15</t>
        </is>
      </c>
    </row>
    <row r="8">
      <c r="A8" s="270" t="inlineStr">
        <is>
          <t>국민 170616</t>
        </is>
      </c>
      <c r="C8" s="271" t="n">
        <v>31550000</v>
      </c>
      <c r="D8" s="175" t="inlineStr">
        <is>
          <t>최종 거래일 2026-10-16</t>
        </is>
      </c>
    </row>
    <row r="9">
      <c r="A9" s="270" t="inlineStr">
        <is>
          <t>농협 569003</t>
        </is>
      </c>
      <c r="C9" s="271" t="n">
        <v>441400</v>
      </c>
      <c r="D9" s="175" t="inlineStr">
        <is>
          <t>최종 거래일 2026-10-14</t>
        </is>
      </c>
    </row>
    <row r="10">
      <c r="A10" s="270" t="inlineStr">
        <is>
          <t>우리 220351</t>
        </is>
      </c>
      <c r="C10" s="271" t="n">
        <v>6011615</v>
      </c>
      <c r="D10" s="175" t="inlineStr">
        <is>
          <t>최종 거래일 2026-10-16</t>
        </is>
      </c>
    </row>
    <row r="11"/>
    <row r="12">
      <c r="A12" s="272" t="inlineStr">
        <is>
          <t>총잔액</t>
        </is>
      </c>
      <c r="C12" s="273">
        <f>SUM(C6:C11)</f>
        <v/>
      </c>
      <c r="E12" s="274" t="inlineStr">
        <is>
          <t>입금 반영률</t>
        </is>
      </c>
      <c r="F12" s="275" t="n">
        <v>0.8</v>
      </c>
    </row>
    <row r="13"/>
    <row r="14">
      <c r="A14" s="268"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69" t="n"/>
      <c r="C14" s="269" t="n"/>
      <c r="D14" s="269" t="n"/>
      <c r="E14" s="269" t="n"/>
      <c r="F14" s="269" t="n"/>
      <c r="G14" s="269" t="n"/>
      <c r="H14" s="269" t="n"/>
      <c r="I14" s="269" t="n"/>
    </row>
    <row r="15" ht="32.4" customHeight="1">
      <c r="A15" s="276" t="inlineStr">
        <is>
          <t>지급일</t>
        </is>
      </c>
      <c r="B15" s="276" t="inlineStr">
        <is>
          <t>요일</t>
        </is>
      </c>
      <c r="C15" s="276" t="inlineStr">
        <is>
          <t>구분</t>
        </is>
      </c>
      <c r="D15" s="276" t="inlineStr">
        <is>
          <t>내용</t>
        </is>
      </c>
      <c r="E15" s="276" t="inlineStr">
        <is>
          <t>금액</t>
        </is>
      </c>
      <c r="F15" s="276" t="inlineStr">
        <is>
          <t>지급방법</t>
        </is>
      </c>
      <c r="G15" s="277" t="inlineStr">
        <is>
          <t>실지출(은행 확인)</t>
        </is>
      </c>
      <c r="H15" s="276" t="inlineStr">
        <is>
          <t>차이(잔여)</t>
        </is>
      </c>
      <c r="I15" s="276" t="inlineStr">
        <is>
          <t>확인</t>
        </is>
      </c>
    </row>
    <row r="16">
      <c r="A16" s="278" t="inlineStr"/>
      <c r="B16" s="279">
        <f>IF(A16="","",MID("월화수목금토일",WEEKDAY(A16,2),1))</f>
        <v/>
      </c>
      <c r="C16" s="270" t="inlineStr"/>
      <c r="D16" s="270" t="inlineStr"/>
      <c r="E16" s="280" t="inlineStr"/>
      <c r="F16" s="270" t="inlineStr"/>
      <c r="G16" s="280" t="inlineStr"/>
      <c r="H16" s="271">
        <f>IF(OR(G16="",E16=""),"",E16-G16)</f>
        <v/>
      </c>
      <c r="I16" s="281" t="inlineStr"/>
    </row>
    <row r="17">
      <c r="A17" s="278" t="inlineStr"/>
      <c r="B17" s="279">
        <f>IF(A17="","",MID("월화수목금토일",WEEKDAY(A17,2),1))</f>
        <v/>
      </c>
      <c r="C17" s="270" t="inlineStr"/>
      <c r="D17" s="270" t="inlineStr"/>
      <c r="E17" s="280" t="inlineStr"/>
      <c r="F17" s="270" t="inlineStr"/>
      <c r="G17" s="280" t="inlineStr"/>
      <c r="H17" s="271">
        <f>IF(OR(G17="",E17=""),"",E17-G17)</f>
        <v/>
      </c>
      <c r="I17" s="281" t="inlineStr"/>
    </row>
    <row r="18">
      <c r="A18" s="278" t="inlineStr"/>
      <c r="B18" s="279">
        <f>IF(A18="","",MID("월화수목금토일",WEEKDAY(A18,2),1))</f>
        <v/>
      </c>
      <c r="C18" s="270" t="inlineStr"/>
      <c r="D18" s="270" t="inlineStr"/>
      <c r="E18" s="280" t="inlineStr"/>
      <c r="F18" s="270" t="inlineStr"/>
      <c r="G18" s="280" t="inlineStr"/>
      <c r="H18" s="271">
        <f>IF(OR(G18="",E18=""),"",E18-G18)</f>
        <v/>
      </c>
      <c r="I18" s="281" t="inlineStr"/>
    </row>
    <row r="19" hidden="1">
      <c r="A19" s="278" t="inlineStr"/>
      <c r="B19" s="279">
        <f>IF(A19="","",MID("월화수목금토일",WEEKDAY(A19,2),1))</f>
        <v/>
      </c>
      <c r="C19" s="270" t="inlineStr"/>
      <c r="D19" s="270" t="inlineStr"/>
      <c r="E19" s="280" t="inlineStr"/>
      <c r="F19" s="270" t="inlineStr"/>
      <c r="G19" s="280" t="inlineStr"/>
      <c r="H19" s="271">
        <f>IF(OR(G19="",E19=""),"",E19-G19)</f>
        <v/>
      </c>
      <c r="I19" s="281" t="inlineStr"/>
    </row>
    <row r="20" hidden="1">
      <c r="A20" s="278" t="inlineStr"/>
      <c r="B20" s="279">
        <f>IF(A20="","",MID("월화수목금토일",WEEKDAY(A20,2),1))</f>
        <v/>
      </c>
      <c r="C20" s="270" t="inlineStr"/>
      <c r="D20" s="270" t="inlineStr"/>
      <c r="E20" s="280" t="inlineStr"/>
      <c r="F20" s="270" t="inlineStr"/>
      <c r="G20" s="280" t="inlineStr"/>
      <c r="H20" s="271">
        <f>IF(OR(G20="",E20=""),"",E20-G20)</f>
        <v/>
      </c>
      <c r="I20" s="281" t="inlineStr"/>
    </row>
    <row r="21" hidden="1">
      <c r="A21" s="278" t="inlineStr"/>
      <c r="B21" s="279">
        <f>IF(A21="","",MID("월화수목금토일",WEEKDAY(A21,2),1))</f>
        <v/>
      </c>
      <c r="C21" s="270" t="inlineStr"/>
      <c r="D21" s="270" t="inlineStr"/>
      <c r="E21" s="280" t="inlineStr"/>
      <c r="F21" s="270" t="inlineStr"/>
      <c r="G21" s="280" t="inlineStr"/>
      <c r="H21" s="271">
        <f>IF(OR(G21="",E21=""),"",E21-G21)</f>
        <v/>
      </c>
      <c r="I21" s="281" t="inlineStr"/>
    </row>
    <row r="22" hidden="1">
      <c r="A22" s="278" t="inlineStr"/>
      <c r="B22" s="279">
        <f>IF(A22="","",MID("월화수목금토일",WEEKDAY(A22,2),1))</f>
        <v/>
      </c>
      <c r="C22" s="270" t="inlineStr"/>
      <c r="D22" s="270" t="inlineStr"/>
      <c r="E22" s="280" t="inlineStr"/>
      <c r="F22" s="270" t="inlineStr"/>
      <c r="G22" s="280" t="inlineStr"/>
      <c r="H22" s="271">
        <f>IF(OR(G22="",E22=""),"",E22-G22)</f>
        <v/>
      </c>
      <c r="I22" s="281" t="inlineStr"/>
    </row>
    <row r="23" hidden="1">
      <c r="A23" s="278" t="inlineStr"/>
      <c r="B23" s="279">
        <f>IF(A23="","",MID("월화수목금토일",WEEKDAY(A23,2),1))</f>
        <v/>
      </c>
      <c r="C23" s="270" t="inlineStr"/>
      <c r="D23" s="270" t="inlineStr"/>
      <c r="E23" s="280" t="inlineStr"/>
      <c r="F23" s="270" t="inlineStr"/>
      <c r="G23" s="280" t="inlineStr"/>
      <c r="H23" s="271">
        <f>IF(OR(G23="",E23=""),"",E23-G23)</f>
        <v/>
      </c>
      <c r="I23" s="281" t="inlineStr"/>
    </row>
    <row r="24" hidden="1">
      <c r="A24" s="278" t="inlineStr"/>
      <c r="B24" s="279">
        <f>IF(A24="","",MID("월화수목금토일",WEEKDAY(A24,2),1))</f>
        <v/>
      </c>
      <c r="C24" s="270" t="inlineStr"/>
      <c r="D24" s="270" t="inlineStr"/>
      <c r="E24" s="280" t="inlineStr"/>
      <c r="F24" s="270" t="inlineStr"/>
      <c r="G24" s="280" t="inlineStr"/>
      <c r="H24" s="271">
        <f>IF(OR(G24="",E24=""),"",E24-G24)</f>
        <v/>
      </c>
      <c r="I24" s="281" t="inlineStr"/>
    </row>
    <row r="25" hidden="1">
      <c r="A25" s="278" t="inlineStr"/>
      <c r="B25" s="279">
        <f>IF(A25="","",MID("월화수목금토일",WEEKDAY(A25,2),1))</f>
        <v/>
      </c>
      <c r="C25" s="270" t="inlineStr"/>
      <c r="D25" s="270" t="inlineStr"/>
      <c r="E25" s="280" t="inlineStr"/>
      <c r="F25" s="270" t="inlineStr"/>
      <c r="G25" s="280" t="inlineStr"/>
      <c r="H25" s="271">
        <f>IF(OR(G25="",E25=""),"",E25-G25)</f>
        <v/>
      </c>
      <c r="I25" s="281" t="inlineStr"/>
    </row>
    <row r="26" hidden="1">
      <c r="A26" s="278" t="inlineStr"/>
      <c r="B26" s="279">
        <f>IF(A26="","",MID("월화수목금토일",WEEKDAY(A26,2),1))</f>
        <v/>
      </c>
      <c r="C26" s="270" t="inlineStr"/>
      <c r="D26" s="270" t="inlineStr"/>
      <c r="E26" s="280" t="inlineStr"/>
      <c r="F26" s="270" t="inlineStr"/>
      <c r="G26" s="280" t="inlineStr"/>
      <c r="H26" s="271">
        <f>IF(OR(G26="",E26=""),"",E26-G26)</f>
        <v/>
      </c>
      <c r="I26" s="281" t="inlineStr"/>
    </row>
    <row r="27" hidden="1">
      <c r="A27" s="278" t="inlineStr"/>
      <c r="B27" s="279">
        <f>IF(A27="","",MID("월화수목금토일",WEEKDAY(A27,2),1))</f>
        <v/>
      </c>
      <c r="C27" s="270" t="inlineStr"/>
      <c r="D27" s="270" t="inlineStr"/>
      <c r="E27" s="280" t="inlineStr"/>
      <c r="F27" s="270" t="inlineStr"/>
      <c r="G27" s="280" t="inlineStr"/>
      <c r="H27" s="271">
        <f>IF(OR(G27="",E27=""),"",E27-G27)</f>
        <v/>
      </c>
      <c r="I27" s="281" t="inlineStr"/>
    </row>
    <row r="28" hidden="1">
      <c r="A28" s="278" t="inlineStr"/>
      <c r="B28" s="279">
        <f>IF(A28="","",MID("월화수목금토일",WEEKDAY(A28,2),1))</f>
        <v/>
      </c>
      <c r="C28" s="270" t="inlineStr"/>
      <c r="D28" s="270" t="inlineStr"/>
      <c r="E28" s="280" t="inlineStr"/>
      <c r="F28" s="270" t="inlineStr"/>
      <c r="G28" s="280" t="inlineStr"/>
      <c r="H28" s="271">
        <f>IF(OR(G28="",E28=""),"",E28-G28)</f>
        <v/>
      </c>
      <c r="I28" s="281" t="inlineStr"/>
    </row>
    <row r="29" hidden="1">
      <c r="A29" s="278" t="inlineStr"/>
      <c r="B29" s="279">
        <f>IF(A29="","",MID("월화수목금토일",WEEKDAY(A29,2),1))</f>
        <v/>
      </c>
      <c r="C29" s="270" t="inlineStr"/>
      <c r="D29" s="270" t="inlineStr"/>
      <c r="E29" s="280" t="inlineStr"/>
      <c r="F29" s="270" t="inlineStr"/>
      <c r="G29" s="280" t="inlineStr"/>
      <c r="H29" s="271">
        <f>IF(OR(G29="",E29=""),"",E29-G29)</f>
        <v/>
      </c>
      <c r="I29" s="281" t="inlineStr"/>
    </row>
    <row r="30" hidden="1">
      <c r="A30" s="278" t="inlineStr"/>
      <c r="B30" s="279">
        <f>IF(A30="","",MID("월화수목금토일",WEEKDAY(A30,2),1))</f>
        <v/>
      </c>
      <c r="C30" s="270" t="inlineStr"/>
      <c r="D30" s="270" t="inlineStr"/>
      <c r="E30" s="280" t="inlineStr"/>
      <c r="F30" s="270" t="inlineStr"/>
      <c r="G30" s="280" t="inlineStr"/>
      <c r="H30" s="271">
        <f>IF(OR(G30="",E30=""),"",E30-G30)</f>
        <v/>
      </c>
      <c r="I30" s="281" t="inlineStr"/>
    </row>
    <row r="31" hidden="1">
      <c r="A31" s="278" t="inlineStr"/>
      <c r="B31" s="279">
        <f>IF(A31="","",MID("월화수목금토일",WEEKDAY(A31,2),1))</f>
        <v/>
      </c>
      <c r="C31" s="270" t="inlineStr"/>
      <c r="D31" s="270" t="inlineStr"/>
      <c r="E31" s="280" t="inlineStr"/>
      <c r="F31" s="270" t="inlineStr"/>
      <c r="G31" s="280" t="inlineStr"/>
      <c r="H31" s="271">
        <f>IF(OR(G31="",E31=""),"",E31-G31)</f>
        <v/>
      </c>
      <c r="I31" s="281" t="inlineStr"/>
    </row>
    <row r="32" hidden="1">
      <c r="A32" s="278" t="inlineStr"/>
      <c r="B32" s="279">
        <f>IF(A32="","",MID("월화수목금토일",WEEKDAY(A32,2),1))</f>
        <v/>
      </c>
      <c r="C32" s="270" t="inlineStr"/>
      <c r="D32" s="270" t="inlineStr"/>
      <c r="E32" s="280" t="inlineStr"/>
      <c r="F32" s="270" t="inlineStr"/>
      <c r="G32" s="280" t="inlineStr"/>
      <c r="H32" s="271">
        <f>IF(OR(G32="",E32=""),"",E32-G32)</f>
        <v/>
      </c>
      <c r="I32" s="281" t="inlineStr"/>
    </row>
    <row r="33" hidden="1">
      <c r="A33" s="278" t="inlineStr"/>
      <c r="B33" s="279">
        <f>IF(A33="","",MID("월화수목금토일",WEEKDAY(A33,2),1))</f>
        <v/>
      </c>
      <c r="C33" s="270" t="inlineStr"/>
      <c r="D33" s="270" t="inlineStr"/>
      <c r="E33" s="280" t="inlineStr"/>
      <c r="F33" s="270" t="inlineStr"/>
      <c r="G33" s="280" t="inlineStr"/>
      <c r="H33" s="271">
        <f>IF(OR(G33="",E33=""),"",E33-G33)</f>
        <v/>
      </c>
      <c r="I33" s="281" t="inlineStr"/>
    </row>
    <row r="34" hidden="1">
      <c r="A34" s="278" t="inlineStr"/>
      <c r="B34" s="279">
        <f>IF(A34="","",MID("월화수목금토일",WEEKDAY(A34,2),1))</f>
        <v/>
      </c>
      <c r="C34" s="270" t="inlineStr"/>
      <c r="D34" s="270" t="inlineStr"/>
      <c r="E34" s="280" t="inlineStr"/>
      <c r="F34" s="270" t="inlineStr"/>
      <c r="G34" s="280" t="inlineStr"/>
      <c r="H34" s="271">
        <f>IF(OR(G34="",E34=""),"",E34-G34)</f>
        <v/>
      </c>
      <c r="I34" s="281" t="inlineStr"/>
    </row>
    <row r="35" hidden="1">
      <c r="A35" s="278" t="inlineStr"/>
      <c r="B35" s="279">
        <f>IF(A35="","",MID("월화수목금토일",WEEKDAY(A35,2),1))</f>
        <v/>
      </c>
      <c r="C35" s="270" t="inlineStr"/>
      <c r="D35" s="270" t="inlineStr"/>
      <c r="E35" s="280" t="inlineStr"/>
      <c r="F35" s="270" t="inlineStr"/>
      <c r="G35" s="280" t="inlineStr"/>
      <c r="H35" s="271">
        <f>IF(OR(G35="",E35=""),"",E35-G35)</f>
        <v/>
      </c>
      <c r="I35" s="281" t="inlineStr"/>
    </row>
    <row r="36" hidden="1">
      <c r="A36" s="278" t="inlineStr"/>
      <c r="B36" s="279">
        <f>IF(A36="","",MID("월화수목금토일",WEEKDAY(A36,2),1))</f>
        <v/>
      </c>
      <c r="C36" s="270" t="inlineStr"/>
      <c r="D36" s="270" t="inlineStr"/>
      <c r="E36" s="280" t="inlineStr"/>
      <c r="F36" s="270" t="inlineStr"/>
      <c r="G36" s="280" t="inlineStr"/>
      <c r="H36" s="271">
        <f>IF(OR(G36="",E36=""),"",E36-G36)</f>
        <v/>
      </c>
      <c r="I36" s="281" t="inlineStr"/>
    </row>
    <row r="37" hidden="1">
      <c r="A37" s="278" t="inlineStr"/>
      <c r="B37" s="279">
        <f>IF(A37="","",MID("월화수목금토일",WEEKDAY(A37,2),1))</f>
        <v/>
      </c>
      <c r="C37" s="270" t="inlineStr"/>
      <c r="D37" s="270" t="inlineStr"/>
      <c r="E37" s="280" t="inlineStr"/>
      <c r="F37" s="270" t="inlineStr"/>
      <c r="G37" s="280" t="inlineStr"/>
      <c r="H37" s="271">
        <f>IF(OR(G37="",E37=""),"",E37-G37)</f>
        <v/>
      </c>
      <c r="I37" s="281" t="inlineStr"/>
    </row>
    <row r="38" hidden="1">
      <c r="A38" s="278" t="inlineStr"/>
      <c r="B38" s="279">
        <f>IF(A38="","",MID("월화수목금토일",WEEKDAY(A38,2),1))</f>
        <v/>
      </c>
      <c r="C38" s="270" t="inlineStr"/>
      <c r="D38" s="270" t="inlineStr"/>
      <c r="E38" s="280" t="inlineStr"/>
      <c r="F38" s="270" t="inlineStr"/>
      <c r="G38" s="280" t="inlineStr"/>
      <c r="H38" s="271">
        <f>IF(OR(G38="",E38=""),"",E38-G38)</f>
        <v/>
      </c>
      <c r="I38" s="281" t="inlineStr"/>
    </row>
    <row r="39" hidden="1">
      <c r="A39" s="278" t="inlineStr"/>
      <c r="B39" s="279">
        <f>IF(A39="","",MID("월화수목금토일",WEEKDAY(A39,2),1))</f>
        <v/>
      </c>
      <c r="C39" s="270" t="inlineStr"/>
      <c r="D39" s="270" t="inlineStr"/>
      <c r="E39" s="280" t="inlineStr"/>
      <c r="F39" s="270" t="inlineStr"/>
      <c r="G39" s="280" t="inlineStr"/>
      <c r="H39" s="271">
        <f>IF(OR(G39="",E39=""),"",E39-G39)</f>
        <v/>
      </c>
      <c r="I39" s="281" t="inlineStr"/>
    </row>
    <row r="40" hidden="1">
      <c r="A40" s="278" t="inlineStr"/>
      <c r="B40" s="279">
        <f>IF(A40="","",MID("월화수목금토일",WEEKDAY(A40,2),1))</f>
        <v/>
      </c>
      <c r="C40" s="270" t="inlineStr"/>
      <c r="D40" s="270" t="inlineStr"/>
      <c r="E40" s="280" t="inlineStr"/>
      <c r="F40" s="270" t="inlineStr"/>
      <c r="G40" s="280" t="inlineStr"/>
      <c r="H40" s="271">
        <f>IF(OR(G40="",E40=""),"",E40-G40)</f>
        <v/>
      </c>
      <c r="I40" s="281" t="inlineStr"/>
    </row>
    <row r="41" hidden="1">
      <c r="A41" s="278" t="inlineStr"/>
      <c r="B41" s="279">
        <f>IF(A41="","",MID("월화수목금토일",WEEKDAY(A41,2),1))</f>
        <v/>
      </c>
      <c r="C41" s="270" t="inlineStr"/>
      <c r="D41" s="270" t="inlineStr"/>
      <c r="E41" s="280" t="inlineStr"/>
      <c r="F41" s="270" t="inlineStr"/>
      <c r="G41" s="280" t="inlineStr"/>
      <c r="H41" s="271">
        <f>IF(OR(G41="",E41=""),"",E41-G41)</f>
        <v/>
      </c>
      <c r="I41" s="281" t="inlineStr"/>
    </row>
    <row r="42" hidden="1">
      <c r="A42" s="278" t="inlineStr"/>
      <c r="B42" s="279">
        <f>IF(A42="","",MID("월화수목금토일",WEEKDAY(A42,2),1))</f>
        <v/>
      </c>
      <c r="C42" s="270" t="inlineStr"/>
      <c r="D42" s="270" t="inlineStr"/>
      <c r="E42" s="280" t="inlineStr"/>
      <c r="F42" s="270" t="inlineStr"/>
      <c r="G42" s="280" t="inlineStr"/>
      <c r="H42" s="271">
        <f>IF(OR(G42="",E42=""),"",E42-G42)</f>
        <v/>
      </c>
      <c r="I42" s="281" t="inlineStr"/>
    </row>
    <row r="43" hidden="1">
      <c r="A43" s="278" t="inlineStr"/>
      <c r="B43" s="279">
        <f>IF(A43="","",MID("월화수목금토일",WEEKDAY(A43,2),1))</f>
        <v/>
      </c>
      <c r="C43" s="270" t="inlineStr"/>
      <c r="D43" s="270" t="inlineStr"/>
      <c r="E43" s="280" t="inlineStr"/>
      <c r="F43" s="270" t="inlineStr"/>
      <c r="G43" s="280" t="inlineStr"/>
      <c r="H43" s="271">
        <f>IF(OR(G43="",E43=""),"",E43-G43)</f>
        <v/>
      </c>
      <c r="I43" s="281" t="inlineStr"/>
    </row>
    <row r="44" hidden="1">
      <c r="A44" s="278" t="inlineStr"/>
      <c r="B44" s="279">
        <f>IF(A44="","",MID("월화수목금토일",WEEKDAY(A44,2),1))</f>
        <v/>
      </c>
      <c r="C44" s="270" t="inlineStr"/>
      <c r="D44" s="270" t="inlineStr"/>
      <c r="E44" s="280" t="inlineStr"/>
      <c r="F44" s="270" t="inlineStr"/>
      <c r="G44" s="280" t="inlineStr"/>
      <c r="H44" s="271">
        <f>IF(OR(G44="",E44=""),"",E44-G44)</f>
        <v/>
      </c>
      <c r="I44" s="281" t="inlineStr"/>
    </row>
    <row r="45" hidden="1">
      <c r="A45" s="278" t="inlineStr"/>
      <c r="B45" s="279">
        <f>IF(A45="","",MID("월화수목금토일",WEEKDAY(A45,2),1))</f>
        <v/>
      </c>
      <c r="C45" s="270" t="inlineStr"/>
      <c r="D45" s="270" t="inlineStr"/>
      <c r="E45" s="280" t="inlineStr"/>
      <c r="F45" s="270" t="inlineStr"/>
      <c r="G45" s="280" t="inlineStr"/>
      <c r="H45" s="271">
        <f>IF(OR(G45="",E45=""),"",E45-G45)</f>
        <v/>
      </c>
      <c r="I45" s="281" t="inlineStr"/>
    </row>
    <row r="46" hidden="1">
      <c r="A46" s="278" t="inlineStr"/>
      <c r="B46" s="279">
        <f>IF(A46="","",MID("월화수목금토일",WEEKDAY(A46,2),1))</f>
        <v/>
      </c>
      <c r="C46" s="270" t="inlineStr"/>
      <c r="D46" s="270" t="inlineStr"/>
      <c r="E46" s="280" t="inlineStr"/>
      <c r="F46" s="270" t="inlineStr"/>
      <c r="G46" s="280" t="inlineStr"/>
      <c r="H46" s="271">
        <f>IF(OR(G46="",E46=""),"",E46-G46)</f>
        <v/>
      </c>
      <c r="I46" s="281" t="inlineStr"/>
    </row>
    <row r="47" hidden="1">
      <c r="A47" s="278" t="inlineStr"/>
      <c r="B47" s="279">
        <f>IF(A47="","",MID("월화수목금토일",WEEKDAY(A47,2),1))</f>
        <v/>
      </c>
      <c r="C47" s="270" t="inlineStr"/>
      <c r="D47" s="270" t="inlineStr"/>
      <c r="E47" s="280" t="inlineStr"/>
      <c r="F47" s="270" t="inlineStr"/>
      <c r="G47" s="280" t="inlineStr"/>
      <c r="H47" s="271">
        <f>IF(OR(G47="",E47=""),"",E47-G47)</f>
        <v/>
      </c>
      <c r="I47" s="281" t="inlineStr"/>
    </row>
    <row r="48" hidden="1">
      <c r="A48" s="278" t="inlineStr"/>
      <c r="B48" s="279">
        <f>IF(A48="","",MID("월화수목금토일",WEEKDAY(A48,2),1))</f>
        <v/>
      </c>
      <c r="C48" s="270" t="inlineStr"/>
      <c r="D48" s="270" t="inlineStr"/>
      <c r="E48" s="280" t="inlineStr"/>
      <c r="F48" s="270" t="inlineStr"/>
      <c r="G48" s="280" t="inlineStr"/>
      <c r="H48" s="271">
        <f>IF(OR(G48="",E48=""),"",E48-G48)</f>
        <v/>
      </c>
      <c r="I48" s="281" t="inlineStr"/>
    </row>
    <row r="49" hidden="1">
      <c r="A49" s="278" t="inlineStr"/>
      <c r="B49" s="279">
        <f>IF(A49="","",MID("월화수목금토일",WEEKDAY(A49,2),1))</f>
        <v/>
      </c>
      <c r="C49" s="270" t="inlineStr"/>
      <c r="D49" s="270" t="inlineStr"/>
      <c r="E49" s="280" t="inlineStr"/>
      <c r="F49" s="270" t="inlineStr"/>
      <c r="G49" s="280" t="inlineStr"/>
      <c r="H49" s="271">
        <f>IF(OR(G49="",E49=""),"",E49-G49)</f>
        <v/>
      </c>
      <c r="I49" s="281" t="inlineStr"/>
    </row>
    <row r="50" hidden="1">
      <c r="A50" s="278" t="inlineStr"/>
      <c r="B50" s="279">
        <f>IF(A50="","",MID("월화수목금토일",WEEKDAY(A50,2),1))</f>
        <v/>
      </c>
      <c r="C50" s="270" t="inlineStr"/>
      <c r="D50" s="270" t="inlineStr"/>
      <c r="E50" s="280" t="inlineStr"/>
      <c r="F50" s="270" t="inlineStr"/>
      <c r="G50" s="280" t="inlineStr"/>
      <c r="H50" s="271">
        <f>IF(OR(G50="",E50=""),"",E50-G50)</f>
        <v/>
      </c>
      <c r="I50" s="281" t="inlineStr"/>
    </row>
    <row r="51" hidden="1">
      <c r="A51" s="278" t="inlineStr"/>
      <c r="B51" s="279">
        <f>IF(A51="","",MID("월화수목금토일",WEEKDAY(A51,2),1))</f>
        <v/>
      </c>
      <c r="C51" s="270" t="inlineStr"/>
      <c r="D51" s="270" t="inlineStr"/>
      <c r="E51" s="280" t="inlineStr"/>
      <c r="F51" s="270" t="inlineStr"/>
      <c r="G51" s="280" t="inlineStr"/>
      <c r="H51" s="271">
        <f>IF(OR(G51="",E51=""),"",E51-G51)</f>
        <v/>
      </c>
      <c r="I51" s="281" t="inlineStr"/>
    </row>
    <row r="52" hidden="1">
      <c r="A52" s="278" t="inlineStr"/>
      <c r="B52" s="279">
        <f>IF(A52="","",MID("월화수목금토일",WEEKDAY(A52,2),1))</f>
        <v/>
      </c>
      <c r="C52" s="270" t="inlineStr"/>
      <c r="D52" s="270" t="inlineStr"/>
      <c r="E52" s="280" t="inlineStr"/>
      <c r="F52" s="270" t="inlineStr"/>
      <c r="G52" s="280" t="inlineStr"/>
      <c r="H52" s="271">
        <f>IF(OR(G52="",E52=""),"",E52-G52)</f>
        <v/>
      </c>
      <c r="I52" s="281" t="inlineStr"/>
    </row>
    <row r="53" hidden="1">
      <c r="A53" s="278" t="inlineStr"/>
      <c r="B53" s="279">
        <f>IF(A53="","",MID("월화수목금토일",WEEKDAY(A53,2),1))</f>
        <v/>
      </c>
      <c r="C53" s="270" t="inlineStr"/>
      <c r="D53" s="270" t="inlineStr"/>
      <c r="E53" s="280" t="inlineStr"/>
      <c r="F53" s="270" t="inlineStr"/>
      <c r="G53" s="280" t="inlineStr"/>
      <c r="H53" s="271">
        <f>IF(OR(G53="",E53=""),"",E53-G53)</f>
        <v/>
      </c>
      <c r="I53" s="281" t="inlineStr"/>
    </row>
    <row r="54" hidden="1">
      <c r="A54" s="278" t="inlineStr"/>
      <c r="B54" s="279">
        <f>IF(A54="","",MID("월화수목금토일",WEEKDAY(A54,2),1))</f>
        <v/>
      </c>
      <c r="C54" s="270" t="inlineStr"/>
      <c r="D54" s="270" t="inlineStr"/>
      <c r="E54" s="280" t="inlineStr"/>
      <c r="F54" s="270" t="inlineStr"/>
      <c r="G54" s="280" t="inlineStr"/>
      <c r="H54" s="271">
        <f>IF(OR(G54="",E54=""),"",E54-G54)</f>
        <v/>
      </c>
      <c r="I54" s="281" t="inlineStr"/>
    </row>
    <row r="55" hidden="1">
      <c r="A55" s="278" t="inlineStr"/>
      <c r="B55" s="279">
        <f>IF(A55="","",MID("월화수목금토일",WEEKDAY(A55,2),1))</f>
        <v/>
      </c>
      <c r="C55" s="270" t="inlineStr"/>
      <c r="D55" s="270" t="inlineStr"/>
      <c r="E55" s="280" t="inlineStr"/>
      <c r="F55" s="270" t="inlineStr"/>
      <c r="G55" s="280" t="inlineStr"/>
      <c r="H55" s="271">
        <f>IF(OR(G55="",E55=""),"",E55-G55)</f>
        <v/>
      </c>
      <c r="I55" s="281" t="inlineStr"/>
    </row>
    <row r="56" hidden="1">
      <c r="A56" s="278" t="inlineStr"/>
      <c r="B56" s="279">
        <f>IF(A56="","",MID("월화수목금토일",WEEKDAY(A56,2),1))</f>
        <v/>
      </c>
      <c r="C56" s="270" t="inlineStr"/>
      <c r="D56" s="270" t="inlineStr"/>
      <c r="E56" s="280" t="inlineStr"/>
      <c r="F56" s="270" t="inlineStr"/>
      <c r="G56" s="280" t="inlineStr"/>
      <c r="H56" s="271">
        <f>IF(OR(G56="",E56=""),"",E56-G56)</f>
        <v/>
      </c>
      <c r="I56" s="281" t="inlineStr"/>
    </row>
    <row r="57" hidden="1">
      <c r="A57" s="278" t="inlineStr"/>
      <c r="B57" s="279">
        <f>IF(A57="","",MID("월화수목금토일",WEEKDAY(A57,2),1))</f>
        <v/>
      </c>
      <c r="C57" s="270" t="inlineStr"/>
      <c r="D57" s="270" t="inlineStr"/>
      <c r="E57" s="280" t="inlineStr"/>
      <c r="F57" s="270" t="inlineStr"/>
      <c r="G57" s="280" t="inlineStr"/>
      <c r="H57" s="271">
        <f>IF(OR(G57="",E57=""),"",E57-G57)</f>
        <v/>
      </c>
      <c r="I57" s="281" t="inlineStr"/>
    </row>
    <row r="58" hidden="1">
      <c r="A58" s="278" t="inlineStr"/>
      <c r="B58" s="279">
        <f>IF(A58="","",MID("월화수목금토일",WEEKDAY(A58,2),1))</f>
        <v/>
      </c>
      <c r="C58" s="270" t="inlineStr"/>
      <c r="D58" s="270" t="inlineStr"/>
      <c r="E58" s="280" t="inlineStr"/>
      <c r="F58" s="270" t="inlineStr"/>
      <c r="G58" s="280" t="inlineStr"/>
      <c r="H58" s="271">
        <f>IF(OR(G58="",E58=""),"",E58-G58)</f>
        <v/>
      </c>
      <c r="I58" s="281" t="inlineStr"/>
    </row>
    <row r="59" hidden="1">
      <c r="A59" s="278" t="inlineStr"/>
      <c r="B59" s="279">
        <f>IF(A59="","",MID("월화수목금토일",WEEKDAY(A59,2),1))</f>
        <v/>
      </c>
      <c r="C59" s="270" t="inlineStr"/>
      <c r="D59" s="270" t="inlineStr"/>
      <c r="E59" s="280" t="inlineStr"/>
      <c r="F59" s="270" t="inlineStr"/>
      <c r="G59" s="280" t="inlineStr"/>
      <c r="H59" s="271">
        <f>IF(OR(G59="",E59=""),"",E59-G59)</f>
        <v/>
      </c>
      <c r="I59" s="281" t="inlineStr"/>
    </row>
    <row r="60" hidden="1">
      <c r="A60" s="278" t="inlineStr"/>
      <c r="B60" s="279">
        <f>IF(A60="","",MID("월화수목금토일",WEEKDAY(A60,2),1))</f>
        <v/>
      </c>
      <c r="C60" s="270" t="inlineStr"/>
      <c r="D60" s="270" t="inlineStr"/>
      <c r="E60" s="280" t="inlineStr"/>
      <c r="F60" s="270" t="inlineStr"/>
      <c r="G60" s="280" t="inlineStr"/>
      <c r="H60" s="271">
        <f>IF(OR(G60="",E60=""),"",E60-G60)</f>
        <v/>
      </c>
      <c r="I60" s="281" t="inlineStr"/>
    </row>
    <row r="61" hidden="1">
      <c r="A61" s="278" t="inlineStr"/>
      <c r="B61" s="279">
        <f>IF(A61="","",MID("월화수목금토일",WEEKDAY(A61,2),1))</f>
        <v/>
      </c>
      <c r="C61" s="270" t="inlineStr"/>
      <c r="D61" s="270" t="inlineStr"/>
      <c r="E61" s="280" t="inlineStr"/>
      <c r="F61" s="270" t="inlineStr"/>
      <c r="G61" s="280" t="inlineStr"/>
      <c r="H61" s="271">
        <f>IF(OR(G61="",E61=""),"",E61-G61)</f>
        <v/>
      </c>
      <c r="I61" s="281" t="inlineStr"/>
    </row>
    <row r="62" hidden="1">
      <c r="A62" s="278" t="inlineStr"/>
      <c r="B62" s="279">
        <f>IF(A62="","",MID("월화수목금토일",WEEKDAY(A62,2),1))</f>
        <v/>
      </c>
      <c r="C62" s="270" t="inlineStr"/>
      <c r="D62" s="270" t="inlineStr"/>
      <c r="E62" s="280" t="inlineStr"/>
      <c r="F62" s="270" t="inlineStr"/>
      <c r="G62" s="280" t="inlineStr"/>
      <c r="H62" s="271">
        <f>IF(OR(G62="",E62=""),"",E62-G62)</f>
        <v/>
      </c>
      <c r="I62" s="281" t="inlineStr"/>
    </row>
    <row r="63" hidden="1">
      <c r="A63" s="278" t="inlineStr"/>
      <c r="B63" s="279">
        <f>IF(A63="","",MID("월화수목금토일",WEEKDAY(A63,2),1))</f>
        <v/>
      </c>
      <c r="C63" s="270" t="inlineStr"/>
      <c r="D63" s="270" t="inlineStr"/>
      <c r="E63" s="280" t="inlineStr"/>
      <c r="F63" s="270" t="inlineStr"/>
      <c r="G63" s="280" t="inlineStr"/>
      <c r="H63" s="271">
        <f>IF(OR(G63="",E63=""),"",E63-G63)</f>
        <v/>
      </c>
      <c r="I63" s="281" t="inlineStr"/>
    </row>
    <row r="64" hidden="1">
      <c r="A64" s="278" t="inlineStr"/>
      <c r="B64" s="279">
        <f>IF(A64="","",MID("월화수목금토일",WEEKDAY(A64,2),1))</f>
        <v/>
      </c>
      <c r="C64" s="270" t="inlineStr"/>
      <c r="D64" s="270" t="inlineStr"/>
      <c r="E64" s="280" t="inlineStr"/>
      <c r="F64" s="270" t="inlineStr"/>
      <c r="G64" s="280" t="inlineStr"/>
      <c r="H64" s="271">
        <f>IF(OR(G64="",E64=""),"",E64-G64)</f>
        <v/>
      </c>
      <c r="I64" s="281" t="inlineStr"/>
    </row>
    <row r="65" hidden="1">
      <c r="A65" s="278" t="inlineStr"/>
      <c r="B65" s="279">
        <f>IF(A65="","",MID("월화수목금토일",WEEKDAY(A65,2),1))</f>
        <v/>
      </c>
      <c r="C65" s="270" t="inlineStr"/>
      <c r="D65" s="270" t="inlineStr"/>
      <c r="E65" s="280" t="inlineStr"/>
      <c r="F65" s="270" t="inlineStr"/>
      <c r="G65" s="280" t="inlineStr"/>
      <c r="H65" s="271">
        <f>IF(OR(G65="",E65=""),"",E65-G65)</f>
        <v/>
      </c>
      <c r="I65" s="281" t="inlineStr"/>
    </row>
    <row r="66" hidden="1">
      <c r="A66" s="278" t="inlineStr"/>
      <c r="B66" s="279">
        <f>IF(A66="","",MID("월화수목금토일",WEEKDAY(A66,2),1))</f>
        <v/>
      </c>
      <c r="C66" s="270" t="inlineStr"/>
      <c r="D66" s="270" t="inlineStr"/>
      <c r="E66" s="280" t="inlineStr"/>
      <c r="F66" s="270" t="inlineStr"/>
      <c r="G66" s="280" t="inlineStr"/>
      <c r="H66" s="271">
        <f>IF(OR(G66="",E66=""),"",E66-G66)</f>
        <v/>
      </c>
      <c r="I66" s="281" t="inlineStr"/>
    </row>
    <row r="67" hidden="1">
      <c r="A67" s="278" t="inlineStr"/>
      <c r="B67" s="279">
        <f>IF(A67="","",MID("월화수목금토일",WEEKDAY(A67,2),1))</f>
        <v/>
      </c>
      <c r="C67" s="270" t="inlineStr"/>
      <c r="D67" s="270" t="inlineStr"/>
      <c r="E67" s="280" t="inlineStr"/>
      <c r="F67" s="270" t="inlineStr"/>
      <c r="G67" s="280" t="inlineStr"/>
      <c r="H67" s="271">
        <f>IF(OR(G67="",E67=""),"",E67-G67)</f>
        <v/>
      </c>
      <c r="I67" s="281" t="inlineStr"/>
    </row>
    <row r="68" hidden="1">
      <c r="A68" s="278" t="inlineStr"/>
      <c r="B68" s="279">
        <f>IF(A68="","",MID("월화수목금토일",WEEKDAY(A68,2),1))</f>
        <v/>
      </c>
      <c r="C68" s="270" t="inlineStr"/>
      <c r="D68" s="270" t="inlineStr"/>
      <c r="E68" s="280" t="inlineStr"/>
      <c r="F68" s="270" t="inlineStr"/>
      <c r="G68" s="280" t="inlineStr"/>
      <c r="H68" s="271">
        <f>IF(OR(G68="",E68=""),"",E68-G68)</f>
        <v/>
      </c>
      <c r="I68" s="281" t="inlineStr"/>
    </row>
    <row r="69" hidden="1">
      <c r="A69" s="278" t="inlineStr"/>
      <c r="B69" s="279">
        <f>IF(A69="","",MID("월화수목금토일",WEEKDAY(A69,2),1))</f>
        <v/>
      </c>
      <c r="C69" s="270" t="inlineStr"/>
      <c r="D69" s="270" t="inlineStr"/>
      <c r="E69" s="280" t="inlineStr"/>
      <c r="F69" s="270" t="inlineStr"/>
      <c r="G69" s="280" t="inlineStr"/>
      <c r="H69" s="271">
        <f>IF(OR(G69="",E69=""),"",E69-G69)</f>
        <v/>
      </c>
      <c r="I69" s="281" t="inlineStr"/>
    </row>
    <row r="70" hidden="1">
      <c r="A70" s="278" t="inlineStr"/>
      <c r="B70" s="279">
        <f>IF(A70="","",MID("월화수목금토일",WEEKDAY(A70,2),1))</f>
        <v/>
      </c>
      <c r="C70" s="270" t="inlineStr"/>
      <c r="D70" s="270" t="inlineStr"/>
      <c r="E70" s="280" t="inlineStr"/>
      <c r="F70" s="270" t="inlineStr"/>
      <c r="G70" s="280" t="inlineStr"/>
      <c r="H70" s="271">
        <f>IF(OR(G70="",E70=""),"",E70-G70)</f>
        <v/>
      </c>
      <c r="I70" s="281" t="inlineStr"/>
    </row>
    <row r="71" hidden="1">
      <c r="A71" s="278" t="inlineStr"/>
      <c r="B71" s="279">
        <f>IF(A71="","",MID("월화수목금토일",WEEKDAY(A71,2),1))</f>
        <v/>
      </c>
      <c r="C71" s="270" t="inlineStr"/>
      <c r="D71" s="270" t="inlineStr"/>
      <c r="E71" s="280" t="inlineStr"/>
      <c r="F71" s="270" t="inlineStr"/>
      <c r="G71" s="280" t="inlineStr"/>
      <c r="H71" s="271">
        <f>IF(OR(G71="",E71=""),"",E71-G71)</f>
        <v/>
      </c>
      <c r="I71" s="281" t="inlineStr"/>
    </row>
    <row r="72" hidden="1">
      <c r="A72" s="278" t="inlineStr"/>
      <c r="B72" s="279">
        <f>IF(A72="","",MID("월화수목금토일",WEEKDAY(A72,2),1))</f>
        <v/>
      </c>
      <c r="C72" s="270" t="inlineStr"/>
      <c r="D72" s="270" t="inlineStr"/>
      <c r="E72" s="280" t="inlineStr"/>
      <c r="F72" s="270" t="inlineStr"/>
      <c r="G72" s="280" t="inlineStr"/>
      <c r="H72" s="271">
        <f>IF(OR(G72="",E72=""),"",E72-G72)</f>
        <v/>
      </c>
      <c r="I72" s="281" t="inlineStr"/>
    </row>
    <row r="73" hidden="1">
      <c r="A73" s="278" t="inlineStr"/>
      <c r="B73" s="279">
        <f>IF(A73="","",MID("월화수목금토일",WEEKDAY(A73,2),1))</f>
        <v/>
      </c>
      <c r="C73" s="270" t="inlineStr"/>
      <c r="D73" s="270" t="inlineStr"/>
      <c r="E73" s="280" t="inlineStr"/>
      <c r="F73" s="270" t="inlineStr"/>
      <c r="G73" s="280" t="inlineStr"/>
      <c r="H73" s="271">
        <f>IF(OR(G73="",E73=""),"",E73-G73)</f>
        <v/>
      </c>
      <c r="I73" s="281" t="inlineStr"/>
    </row>
    <row r="74" hidden="1">
      <c r="A74" s="278" t="inlineStr"/>
      <c r="B74" s="279">
        <f>IF(A74="","",MID("월화수목금토일",WEEKDAY(A74,2),1))</f>
        <v/>
      </c>
      <c r="C74" s="270" t="inlineStr"/>
      <c r="D74" s="270" t="inlineStr"/>
      <c r="E74" s="280" t="inlineStr"/>
      <c r="F74" s="270" t="inlineStr"/>
      <c r="G74" s="280" t="inlineStr"/>
      <c r="H74" s="271">
        <f>IF(OR(G74="",E74=""),"",E74-G74)</f>
        <v/>
      </c>
      <c r="I74" s="281" t="inlineStr"/>
    </row>
    <row r="75" hidden="1">
      <c r="A75" s="278" t="inlineStr"/>
      <c r="B75" s="279">
        <f>IF(A75="","",MID("월화수목금토일",WEEKDAY(A75,2),1))</f>
        <v/>
      </c>
      <c r="C75" s="270" t="inlineStr"/>
      <c r="D75" s="270" t="inlineStr"/>
      <c r="E75" s="280" t="inlineStr"/>
      <c r="F75" s="270" t="inlineStr"/>
      <c r="G75" s="280" t="inlineStr"/>
      <c r="H75" s="271">
        <f>IF(OR(G75="",E75=""),"",E75-G75)</f>
        <v/>
      </c>
      <c r="I75" s="281" t="inlineStr"/>
    </row>
    <row r="76" hidden="1">
      <c r="A76" s="278" t="inlineStr"/>
      <c r="B76" s="279">
        <f>IF(A76="","",MID("월화수목금토일",WEEKDAY(A76,2),1))</f>
        <v/>
      </c>
      <c r="C76" s="270" t="inlineStr"/>
      <c r="D76" s="270" t="inlineStr"/>
      <c r="E76" s="280" t="inlineStr"/>
      <c r="F76" s="270" t="inlineStr"/>
      <c r="G76" s="280" t="inlineStr"/>
      <c r="H76" s="271">
        <f>IF(OR(G76="",E76=""),"",E76-G76)</f>
        <v/>
      </c>
      <c r="I76" s="281" t="inlineStr"/>
    </row>
    <row r="77" hidden="1">
      <c r="A77" s="278" t="inlineStr"/>
      <c r="B77" s="279">
        <f>IF(A77="","",MID("월화수목금토일",WEEKDAY(A77,2),1))</f>
        <v/>
      </c>
      <c r="C77" s="270" t="inlineStr"/>
      <c r="D77" s="270" t="inlineStr"/>
      <c r="E77" s="280" t="inlineStr"/>
      <c r="F77" s="270" t="inlineStr"/>
      <c r="G77" s="280" t="inlineStr"/>
      <c r="H77" s="271">
        <f>IF(OR(G77="",E77=""),"",E77-G77)</f>
        <v/>
      </c>
      <c r="I77" s="281" t="inlineStr"/>
    </row>
    <row r="78" hidden="1">
      <c r="A78" s="278" t="inlineStr"/>
      <c r="B78" s="279">
        <f>IF(A78="","",MID("월화수목금토일",WEEKDAY(A78,2),1))</f>
        <v/>
      </c>
      <c r="C78" s="270" t="inlineStr"/>
      <c r="D78" s="270" t="inlineStr"/>
      <c r="E78" s="280" t="inlineStr"/>
      <c r="F78" s="270" t="inlineStr"/>
      <c r="G78" s="280" t="inlineStr"/>
      <c r="H78" s="271">
        <f>IF(OR(G78="",E78=""),"",E78-G78)</f>
        <v/>
      </c>
      <c r="I78" s="281" t="inlineStr"/>
    </row>
    <row r="79" hidden="1">
      <c r="A79" s="278" t="inlineStr"/>
      <c r="B79" s="279">
        <f>IF(A79="","",MID("월화수목금토일",WEEKDAY(A79,2),1))</f>
        <v/>
      </c>
      <c r="C79" s="270" t="inlineStr"/>
      <c r="D79" s="270" t="inlineStr"/>
      <c r="E79" s="280" t="inlineStr"/>
      <c r="F79" s="270" t="inlineStr"/>
      <c r="G79" s="280" t="inlineStr"/>
      <c r="H79" s="271">
        <f>IF(OR(G79="",E79=""),"",E79-G79)</f>
        <v/>
      </c>
      <c r="I79" s="281" t="inlineStr"/>
    </row>
    <row r="80" hidden="1">
      <c r="A80" s="278" t="inlineStr"/>
      <c r="B80" s="279">
        <f>IF(A80="","",MID("월화수목금토일",WEEKDAY(A80,2),1))</f>
        <v/>
      </c>
      <c r="C80" s="270" t="inlineStr"/>
      <c r="D80" s="270" t="inlineStr"/>
      <c r="E80" s="280" t="inlineStr"/>
      <c r="F80" s="270" t="inlineStr"/>
      <c r="G80" s="280" t="inlineStr"/>
      <c r="H80" s="271">
        <f>IF(OR(G80="",E80=""),"",E80-G80)</f>
        <v/>
      </c>
      <c r="I80" s="281" t="inlineStr"/>
    </row>
    <row r="81" hidden="1">
      <c r="A81" s="278" t="inlineStr"/>
      <c r="B81" s="279">
        <f>IF(A81="","",MID("월화수목금토일",WEEKDAY(A81,2),1))</f>
        <v/>
      </c>
      <c r="C81" s="270" t="inlineStr"/>
      <c r="D81" s="270" t="inlineStr"/>
      <c r="E81" s="280" t="inlineStr"/>
      <c r="F81" s="270" t="inlineStr"/>
      <c r="G81" s="280" t="inlineStr"/>
      <c r="H81" s="271">
        <f>IF(OR(G81="",E81=""),"",E81-G81)</f>
        <v/>
      </c>
      <c r="I81" s="281" t="inlineStr"/>
    </row>
    <row r="82" hidden="1">
      <c r="A82" s="278" t="inlineStr"/>
      <c r="B82" s="279">
        <f>IF(A82="","",MID("월화수목금토일",WEEKDAY(A82,2),1))</f>
        <v/>
      </c>
      <c r="C82" s="270" t="inlineStr"/>
      <c r="D82" s="270" t="inlineStr"/>
      <c r="E82" s="280" t="inlineStr"/>
      <c r="F82" s="270" t="inlineStr"/>
      <c r="G82" s="280" t="inlineStr"/>
      <c r="H82" s="271">
        <f>IF(OR(G82="",E82=""),"",E82-G82)</f>
        <v/>
      </c>
      <c r="I82" s="281" t="inlineStr"/>
    </row>
    <row r="83" hidden="1">
      <c r="A83" s="278" t="inlineStr"/>
      <c r="B83" s="279">
        <f>IF(A83="","",MID("월화수목금토일",WEEKDAY(A83,2),1))</f>
        <v/>
      </c>
      <c r="C83" s="270" t="inlineStr"/>
      <c r="D83" s="270" t="inlineStr"/>
      <c r="E83" s="280" t="inlineStr"/>
      <c r="F83" s="270" t="inlineStr"/>
      <c r="G83" s="280" t="inlineStr"/>
      <c r="H83" s="271">
        <f>IF(OR(G83="",E83=""),"",E83-G83)</f>
        <v/>
      </c>
      <c r="I83" s="281" t="inlineStr"/>
    </row>
    <row r="84" hidden="1">
      <c r="A84" s="278" t="inlineStr"/>
      <c r="B84" s="279">
        <f>IF(A84="","",MID("월화수목금토일",WEEKDAY(A84,2),1))</f>
        <v/>
      </c>
      <c r="C84" s="270" t="inlineStr"/>
      <c r="D84" s="270" t="inlineStr"/>
      <c r="E84" s="280" t="inlineStr"/>
      <c r="F84" s="270" t="inlineStr"/>
      <c r="G84" s="280" t="inlineStr"/>
      <c r="H84" s="271">
        <f>IF(OR(G84="",E84=""),"",E84-G84)</f>
        <v/>
      </c>
      <c r="I84" s="281" t="inlineStr"/>
    </row>
    <row r="85" hidden="1">
      <c r="A85" s="278" t="inlineStr"/>
      <c r="B85" s="279">
        <f>IF(A85="","",MID("월화수목금토일",WEEKDAY(A85,2),1))</f>
        <v/>
      </c>
      <c r="C85" s="270" t="inlineStr"/>
      <c r="D85" s="270" t="inlineStr"/>
      <c r="E85" s="280" t="inlineStr"/>
      <c r="F85" s="270" t="inlineStr"/>
      <c r="G85" s="280" t="inlineStr"/>
      <c r="H85" s="271">
        <f>IF(OR(G85="",E85=""),"",E85-G85)</f>
        <v/>
      </c>
      <c r="I85" s="281" t="inlineStr"/>
    </row>
    <row r="86" hidden="1">
      <c r="A86" s="278" t="inlineStr"/>
      <c r="B86" s="279">
        <f>IF(A86="","",MID("월화수목금토일",WEEKDAY(A86,2),1))</f>
        <v/>
      </c>
      <c r="C86" s="270" t="inlineStr"/>
      <c r="D86" s="270" t="inlineStr"/>
      <c r="E86" s="280" t="inlineStr"/>
      <c r="F86" s="270" t="inlineStr"/>
      <c r="G86" s="280" t="inlineStr"/>
      <c r="H86" s="271">
        <f>IF(OR(G86="",E86=""),"",E86-G86)</f>
        <v/>
      </c>
      <c r="I86" s="281" t="inlineStr"/>
    </row>
    <row r="87" hidden="1">
      <c r="A87" s="278" t="inlineStr"/>
      <c r="B87" s="279">
        <f>IF(A87="","",MID("월화수목금토일",WEEKDAY(A87,2),1))</f>
        <v/>
      </c>
      <c r="C87" s="270" t="inlineStr"/>
      <c r="D87" s="270" t="inlineStr"/>
      <c r="E87" s="280" t="inlineStr"/>
      <c r="F87" s="270" t="inlineStr"/>
      <c r="G87" s="280" t="inlineStr"/>
      <c r="H87" s="271">
        <f>IF(OR(G87="",E87=""),"",E87-G87)</f>
        <v/>
      </c>
      <c r="I87" s="281" t="inlineStr"/>
    </row>
    <row r="88" hidden="1">
      <c r="A88" s="278" t="inlineStr"/>
      <c r="B88" s="279">
        <f>IF(A88="","",MID("월화수목금토일",WEEKDAY(A88,2),1))</f>
        <v/>
      </c>
      <c r="C88" s="270" t="inlineStr"/>
      <c r="D88" s="270" t="inlineStr"/>
      <c r="E88" s="280" t="inlineStr"/>
      <c r="F88" s="270" t="inlineStr"/>
      <c r="G88" s="280" t="inlineStr"/>
      <c r="H88" s="271">
        <f>IF(OR(G88="",E88=""),"",E88-G88)</f>
        <v/>
      </c>
      <c r="I88" s="281" t="inlineStr"/>
    </row>
    <row r="89" hidden="1">
      <c r="A89" s="278" t="inlineStr"/>
      <c r="B89" s="279">
        <f>IF(A89="","",MID("월화수목금토일",WEEKDAY(A89,2),1))</f>
        <v/>
      </c>
      <c r="C89" s="270" t="inlineStr"/>
      <c r="D89" s="270" t="inlineStr"/>
      <c r="E89" s="280" t="inlineStr"/>
      <c r="F89" s="270" t="inlineStr"/>
      <c r="G89" s="280" t="inlineStr"/>
      <c r="H89" s="271">
        <f>IF(OR(G89="",E89=""),"",E89-G89)</f>
        <v/>
      </c>
      <c r="I89" s="281" t="inlineStr"/>
    </row>
    <row r="90" hidden="1">
      <c r="A90" s="278" t="inlineStr"/>
      <c r="B90" s="279">
        <f>IF(A90="","",MID("월화수목금토일",WEEKDAY(A90,2),1))</f>
        <v/>
      </c>
      <c r="C90" s="270" t="inlineStr"/>
      <c r="D90" s="270" t="inlineStr"/>
      <c r="E90" s="280" t="inlineStr"/>
      <c r="F90" s="270" t="inlineStr"/>
      <c r="G90" s="280" t="inlineStr"/>
      <c r="H90" s="271">
        <f>IF(OR(G90="",E90=""),"",E90-G90)</f>
        <v/>
      </c>
      <c r="I90" s="281" t="inlineStr"/>
    </row>
    <row r="91" hidden="1">
      <c r="A91" s="278" t="inlineStr"/>
      <c r="B91" s="279">
        <f>IF(A91="","",MID("월화수목금토일",WEEKDAY(A91,2),1))</f>
        <v/>
      </c>
      <c r="C91" s="270" t="inlineStr"/>
      <c r="D91" s="270" t="inlineStr"/>
      <c r="E91" s="280" t="inlineStr"/>
      <c r="F91" s="270" t="inlineStr"/>
      <c r="G91" s="280" t="inlineStr"/>
      <c r="H91" s="271">
        <f>IF(OR(G91="",E91=""),"",E91-G91)</f>
        <v/>
      </c>
      <c r="I91" s="281" t="inlineStr"/>
    </row>
    <row r="92" hidden="1">
      <c r="A92" s="278" t="inlineStr"/>
      <c r="B92" s="279">
        <f>IF(A92="","",MID("월화수목금토일",WEEKDAY(A92,2),1))</f>
        <v/>
      </c>
      <c r="C92" s="270" t="inlineStr"/>
      <c r="D92" s="270" t="inlineStr"/>
      <c r="E92" s="280" t="inlineStr"/>
      <c r="F92" s="270" t="inlineStr"/>
      <c r="G92" s="280" t="inlineStr"/>
      <c r="H92" s="271">
        <f>IF(OR(G92="",E92=""),"",E92-G92)</f>
        <v/>
      </c>
      <c r="I92" s="281" t="inlineStr"/>
    </row>
    <row r="93" hidden="1">
      <c r="A93" s="278" t="inlineStr"/>
      <c r="B93" s="279">
        <f>IF(A93="","",MID("월화수목금토일",WEEKDAY(A93,2),1))</f>
        <v/>
      </c>
      <c r="C93" s="270" t="inlineStr"/>
      <c r="D93" s="270" t="inlineStr"/>
      <c r="E93" s="280" t="inlineStr"/>
      <c r="F93" s="270" t="inlineStr"/>
      <c r="G93" s="280" t="inlineStr"/>
      <c r="H93" s="271">
        <f>IF(OR(G93="",E93=""),"",E93-G93)</f>
        <v/>
      </c>
      <c r="I93" s="281" t="inlineStr"/>
    </row>
    <row r="94" hidden="1">
      <c r="A94" s="278" t="inlineStr"/>
      <c r="B94" s="279">
        <f>IF(A94="","",MID("월화수목금토일",WEEKDAY(A94,2),1))</f>
        <v/>
      </c>
      <c r="C94" s="270" t="inlineStr"/>
      <c r="D94" s="270" t="inlineStr"/>
      <c r="E94" s="280" t="inlineStr"/>
      <c r="F94" s="270" t="inlineStr"/>
      <c r="G94" s="280" t="inlineStr"/>
      <c r="H94" s="271">
        <f>IF(OR(G94="",E94=""),"",E94-G94)</f>
        <v/>
      </c>
      <c r="I94" s="281" t="inlineStr"/>
    </row>
    <row r="95" hidden="1">
      <c r="A95" s="278" t="inlineStr"/>
      <c r="B95" s="279">
        <f>IF(A95="","",MID("월화수목금토일",WEEKDAY(A95,2),1))</f>
        <v/>
      </c>
      <c r="C95" s="270" t="inlineStr"/>
      <c r="D95" s="270" t="inlineStr"/>
      <c r="E95" s="280" t="inlineStr"/>
      <c r="F95" s="270" t="inlineStr"/>
      <c r="G95" s="280" t="inlineStr"/>
      <c r="H95" s="271">
        <f>IF(OR(G95="",E95=""),"",E95-G95)</f>
        <v/>
      </c>
      <c r="I95" s="281" t="inlineStr"/>
    </row>
    <row r="96" hidden="1">
      <c r="A96" s="278" t="inlineStr"/>
      <c r="B96" s="279">
        <f>IF(A96="","",MID("월화수목금토일",WEEKDAY(A96,2),1))</f>
        <v/>
      </c>
      <c r="C96" s="270" t="inlineStr"/>
      <c r="D96" s="270" t="inlineStr"/>
      <c r="E96" s="280" t="inlineStr"/>
      <c r="F96" s="270" t="inlineStr"/>
      <c r="G96" s="280" t="inlineStr"/>
      <c r="H96" s="271">
        <f>IF(OR(G96="",E96=""),"",E96-G96)</f>
        <v/>
      </c>
      <c r="I96" s="281" t="inlineStr"/>
    </row>
    <row r="97" hidden="1">
      <c r="A97" s="278" t="inlineStr"/>
      <c r="B97" s="279">
        <f>IF(A97="","",MID("월화수목금토일",WEEKDAY(A97,2),1))</f>
        <v/>
      </c>
      <c r="C97" s="270" t="inlineStr"/>
      <c r="D97" s="270" t="inlineStr"/>
      <c r="E97" s="280" t="inlineStr"/>
      <c r="F97" s="270" t="inlineStr"/>
      <c r="G97" s="280" t="inlineStr"/>
      <c r="H97" s="271">
        <f>IF(OR(G97="",E97=""),"",E97-G97)</f>
        <v/>
      </c>
      <c r="I97" s="281" t="inlineStr"/>
    </row>
    <row r="98" hidden="1">
      <c r="A98" s="278" t="inlineStr"/>
      <c r="B98" s="279">
        <f>IF(A98="","",MID("월화수목금토일",WEEKDAY(A98,2),1))</f>
        <v/>
      </c>
      <c r="C98" s="270" t="inlineStr"/>
      <c r="D98" s="270" t="inlineStr"/>
      <c r="E98" s="280" t="inlineStr"/>
      <c r="F98" s="270" t="inlineStr"/>
      <c r="G98" s="280" t="inlineStr"/>
      <c r="H98" s="271">
        <f>IF(OR(G98="",E98=""),"",E98-G98)</f>
        <v/>
      </c>
      <c r="I98" s="281" t="inlineStr"/>
    </row>
    <row r="99" hidden="1">
      <c r="A99" s="278" t="inlineStr"/>
      <c r="B99" s="279">
        <f>IF(A99="","",MID("월화수목금토일",WEEKDAY(A99,2),1))</f>
        <v/>
      </c>
      <c r="C99" s="270" t="inlineStr"/>
      <c r="D99" s="270" t="inlineStr"/>
      <c r="E99" s="280" t="inlineStr"/>
      <c r="F99" s="270" t="inlineStr"/>
      <c r="G99" s="280" t="inlineStr"/>
      <c r="H99" s="271">
        <f>IF(OR(G99="",E99=""),"",E99-G99)</f>
        <v/>
      </c>
      <c r="I99" s="281" t="inlineStr"/>
    </row>
    <row r="100" hidden="1">
      <c r="A100" s="278" t="inlineStr"/>
      <c r="B100" s="279">
        <f>IF(A100="","",MID("월화수목금토일",WEEKDAY(A100,2),1))</f>
        <v/>
      </c>
      <c r="C100" s="270" t="inlineStr"/>
      <c r="D100" s="270" t="inlineStr"/>
      <c r="E100" s="280" t="inlineStr"/>
      <c r="F100" s="270" t="inlineStr"/>
      <c r="G100" s="280" t="inlineStr"/>
      <c r="H100" s="271">
        <f>IF(OR(G100="",E100=""),"",E100-G100)</f>
        <v/>
      </c>
      <c r="I100" s="281" t="inlineStr"/>
    </row>
    <row r="101" hidden="1">
      <c r="A101" s="278" t="inlineStr"/>
      <c r="B101" s="279">
        <f>IF(A101="","",MID("월화수목금토일",WEEKDAY(A101,2),1))</f>
        <v/>
      </c>
      <c r="C101" s="270" t="inlineStr"/>
      <c r="D101" s="270" t="inlineStr"/>
      <c r="E101" s="280" t="inlineStr"/>
      <c r="F101" s="270" t="inlineStr"/>
      <c r="G101" s="280" t="inlineStr"/>
      <c r="H101" s="271">
        <f>IF(OR(G101="",E101=""),"",E101-G101)</f>
        <v/>
      </c>
      <c r="I101" s="281" t="inlineStr"/>
    </row>
    <row r="102" hidden="1">
      <c r="A102" s="278" t="inlineStr"/>
      <c r="B102" s="279">
        <f>IF(A102="","",MID("월화수목금토일",WEEKDAY(A102,2),1))</f>
        <v/>
      </c>
      <c r="C102" s="270" t="inlineStr"/>
      <c r="D102" s="270" t="inlineStr"/>
      <c r="E102" s="280" t="inlineStr"/>
      <c r="F102" s="270" t="inlineStr"/>
      <c r="G102" s="280" t="inlineStr"/>
      <c r="H102" s="271">
        <f>IF(OR(G102="",E102=""),"",E102-G102)</f>
        <v/>
      </c>
      <c r="I102" s="281" t="inlineStr"/>
    </row>
    <row r="103" hidden="1">
      <c r="A103" s="278" t="inlineStr"/>
      <c r="B103" s="279">
        <f>IF(A103="","",MID("월화수목금토일",WEEKDAY(A103,2),1))</f>
        <v/>
      </c>
      <c r="C103" s="270" t="inlineStr"/>
      <c r="D103" s="270" t="inlineStr"/>
      <c r="E103" s="280" t="inlineStr"/>
      <c r="F103" s="270" t="inlineStr"/>
      <c r="G103" s="280" t="inlineStr"/>
      <c r="H103" s="271">
        <f>IF(OR(G103="",E103=""),"",E103-G103)</f>
        <v/>
      </c>
      <c r="I103" s="281" t="inlineStr"/>
    </row>
    <row r="104" hidden="1">
      <c r="A104" s="278" t="inlineStr"/>
      <c r="B104" s="279">
        <f>IF(A104="","",MID("월화수목금토일",WEEKDAY(A104,2),1))</f>
        <v/>
      </c>
      <c r="C104" s="270" t="inlineStr"/>
      <c r="D104" s="270" t="inlineStr"/>
      <c r="E104" s="280" t="inlineStr"/>
      <c r="F104" s="270" t="inlineStr"/>
      <c r="G104" s="280" t="inlineStr"/>
      <c r="H104" s="271">
        <f>IF(OR(G104="",E104=""),"",E104-G104)</f>
        <v/>
      </c>
      <c r="I104" s="281" t="inlineStr"/>
    </row>
    <row r="105" hidden="1">
      <c r="A105" s="278" t="inlineStr"/>
      <c r="B105" s="279">
        <f>IF(A105="","",MID("월화수목금토일",WEEKDAY(A105,2),1))</f>
        <v/>
      </c>
      <c r="C105" s="270" t="inlineStr"/>
      <c r="D105" s="270" t="inlineStr"/>
      <c r="E105" s="280" t="inlineStr"/>
      <c r="F105" s="270" t="inlineStr"/>
      <c r="G105" s="280" t="inlineStr"/>
      <c r="H105" s="271">
        <f>IF(OR(G105="",E105=""),"",E105-G105)</f>
        <v/>
      </c>
      <c r="I105" s="281" t="inlineStr"/>
    </row>
    <row r="106" hidden="1">
      <c r="A106" s="278" t="inlineStr"/>
      <c r="B106" s="279">
        <f>IF(A106="","",MID("월화수목금토일",WEEKDAY(A106,2),1))</f>
        <v/>
      </c>
      <c r="C106" s="270" t="inlineStr"/>
      <c r="D106" s="270" t="inlineStr"/>
      <c r="E106" s="280" t="inlineStr"/>
      <c r="F106" s="270" t="inlineStr"/>
      <c r="G106" s="280" t="inlineStr"/>
      <c r="H106" s="271">
        <f>IF(OR(G106="",E106=""),"",E106-G106)</f>
        <v/>
      </c>
      <c r="I106" s="281" t="inlineStr"/>
    </row>
    <row r="107" hidden="1">
      <c r="A107" s="278" t="inlineStr"/>
      <c r="B107" s="279">
        <f>IF(A107="","",MID("월화수목금토일",WEEKDAY(A107,2),1))</f>
        <v/>
      </c>
      <c r="C107" s="270" t="inlineStr"/>
      <c r="D107" s="270" t="inlineStr"/>
      <c r="E107" s="280" t="inlineStr"/>
      <c r="F107" s="270" t="inlineStr"/>
      <c r="G107" s="280" t="inlineStr"/>
      <c r="H107" s="271">
        <f>IF(OR(G107="",E107=""),"",E107-G107)</f>
        <v/>
      </c>
      <c r="I107" s="281" t="inlineStr"/>
    </row>
    <row r="108" hidden="1">
      <c r="A108" s="278" t="inlineStr"/>
      <c r="B108" s="279">
        <f>IF(A108="","",MID("월화수목금토일",WEEKDAY(A108,2),1))</f>
        <v/>
      </c>
      <c r="C108" s="270" t="inlineStr"/>
      <c r="D108" s="270" t="inlineStr"/>
      <c r="E108" s="280" t="inlineStr"/>
      <c r="F108" s="270" t="inlineStr"/>
      <c r="G108" s="280" t="inlineStr"/>
      <c r="H108" s="271">
        <f>IF(OR(G108="",E108=""),"",E108-G108)</f>
        <v/>
      </c>
      <c r="I108" s="281" t="inlineStr"/>
    </row>
    <row r="109" hidden="1">
      <c r="A109" s="278" t="inlineStr"/>
      <c r="B109" s="279">
        <f>IF(A109="","",MID("월화수목금토일",WEEKDAY(A109,2),1))</f>
        <v/>
      </c>
      <c r="C109" s="270" t="inlineStr"/>
      <c r="D109" s="270" t="inlineStr"/>
      <c r="E109" s="280" t="inlineStr"/>
      <c r="F109" s="270" t="inlineStr"/>
      <c r="G109" s="280" t="inlineStr"/>
      <c r="H109" s="271">
        <f>IF(OR(G109="",E109=""),"",E109-G109)</f>
        <v/>
      </c>
      <c r="I109" s="281" t="inlineStr"/>
    </row>
    <row r="110">
      <c r="D110" s="282" t="inlineStr">
        <is>
          <t>합계(숨긴 행 포함 4주 전체 · 보류 제외)</t>
        </is>
      </c>
      <c r="E110" s="283">
        <f>SUMIFS(E16:E109,I16:I109,"&lt;&gt;보류")</f>
        <v/>
      </c>
    </row>
    <row r="111"/>
    <row r="112">
      <c r="A112" s="268" t="inlineStr">
        <is>
          <t>③ 반영된 입금예정 (실행일~차주 금요일) — 예상은 반영률(F12) 연동 · 실입금은 은행 확인 값</t>
        </is>
      </c>
      <c r="B112" s="269" t="n"/>
      <c r="C112" s="269" t="n"/>
      <c r="D112" s="269" t="n"/>
      <c r="E112" s="269" t="n"/>
      <c r="F112" s="269" t="n"/>
      <c r="G112" s="269" t="n"/>
      <c r="H112" s="269" t="n"/>
      <c r="I112" s="269" t="n"/>
    </row>
    <row r="113" ht="32.4" customHeight="1">
      <c r="A113" s="276" t="inlineStr">
        <is>
          <t>입금일</t>
        </is>
      </c>
      <c r="B113" s="276" t="inlineStr">
        <is>
          <t>요일</t>
        </is>
      </c>
      <c r="C113" s="276" t="inlineStr">
        <is>
          <t>구분</t>
        </is>
      </c>
      <c r="D113" s="276" t="inlineStr">
        <is>
          <t>내용</t>
        </is>
      </c>
      <c r="E113" s="276" t="inlineStr">
        <is>
          <t>예상금액</t>
        </is>
      </c>
      <c r="F113" s="277" t="inlineStr">
        <is>
          <t>실입금(은행 확인)</t>
        </is>
      </c>
      <c r="G113" s="276" t="inlineStr">
        <is>
          <t>차이</t>
        </is>
      </c>
    </row>
    <row r="114">
      <c r="A114" s="284" t="n">
        <v>46312</v>
      </c>
      <c r="B114" s="285" t="inlineStr">
        <is>
          <t>토</t>
        </is>
      </c>
      <c r="C114" s="270" t="inlineStr">
        <is>
          <t>온라인 예상</t>
        </is>
      </c>
      <c r="D114" s="161" t="inlineStr">
        <is>
          <t>12주 요일평균 × 반영률</t>
        </is>
      </c>
      <c r="E114" s="271">
        <f>ROUND(J145*$F$12,0)</f>
        <v/>
      </c>
      <c r="F114" s="270" t="inlineStr"/>
      <c r="G114" s="271">
        <f>IF(OR(F114="",E114=""),"",F114-E114)</f>
        <v/>
      </c>
    </row>
    <row r="115">
      <c r="A115" s="284" t="n">
        <v>46313</v>
      </c>
      <c r="B115" s="285" t="inlineStr">
        <is>
          <t>일</t>
        </is>
      </c>
      <c r="C115" s="270" t="inlineStr">
        <is>
          <t>온라인 예상</t>
        </is>
      </c>
      <c r="D115" s="161" t="inlineStr">
        <is>
          <t>12주 요일평균 × 반영률</t>
        </is>
      </c>
      <c r="E115" s="271">
        <f>ROUND(J146*$F$12,0)</f>
        <v/>
      </c>
      <c r="F115" s="270" t="inlineStr"/>
      <c r="G115" s="271">
        <f>IF(OR(F115="",E115=""),"",F115-E115)</f>
        <v/>
      </c>
    </row>
    <row r="116">
      <c r="A116" s="286" t="n">
        <v>46314</v>
      </c>
      <c r="B116" s="279" t="inlineStr">
        <is>
          <t>월</t>
        </is>
      </c>
      <c r="C116" s="270" t="inlineStr">
        <is>
          <t>온라인 예상</t>
        </is>
      </c>
      <c r="D116" s="161" t="inlineStr">
        <is>
          <t>12주 요일평균 × 반영률</t>
        </is>
      </c>
      <c r="E116" s="271">
        <f>ROUND(J147*$F$12,0)</f>
        <v/>
      </c>
      <c r="F116" s="270" t="inlineStr"/>
      <c r="G116" s="271">
        <f>IF(OR(F116="",E116=""),"",F116-E116)</f>
        <v/>
      </c>
    </row>
    <row r="117">
      <c r="A117" s="286" t="n">
        <v>46315</v>
      </c>
      <c r="B117" s="279" t="inlineStr">
        <is>
          <t>화</t>
        </is>
      </c>
      <c r="C117" s="270" t="inlineStr">
        <is>
          <t>온라인 예상</t>
        </is>
      </c>
      <c r="D117" s="161" t="inlineStr">
        <is>
          <t>12주 요일평균 × 반영률</t>
        </is>
      </c>
      <c r="E117" s="271">
        <f>ROUND(J148*$F$12,0)</f>
        <v/>
      </c>
      <c r="F117" s="270" t="inlineStr"/>
      <c r="G117" s="271">
        <f>IF(OR(F117="",E117=""),"",F117-E117)</f>
        <v/>
      </c>
    </row>
    <row r="118">
      <c r="A118" s="286" t="n">
        <v>46316</v>
      </c>
      <c r="B118" s="279" t="inlineStr">
        <is>
          <t>수</t>
        </is>
      </c>
      <c r="C118" s="270" t="inlineStr">
        <is>
          <t>온라인 예상</t>
        </is>
      </c>
      <c r="D118" s="161" t="inlineStr">
        <is>
          <t>12주 요일평균 × 반영률</t>
        </is>
      </c>
      <c r="E118" s="271">
        <f>ROUND(J149*$F$12,0)</f>
        <v/>
      </c>
      <c r="F118" s="270" t="inlineStr"/>
      <c r="G118" s="271">
        <f>IF(OR(F118="",E118=""),"",F118-E118)</f>
        <v/>
      </c>
    </row>
    <row r="119">
      <c r="A119" s="286" t="n">
        <v>46317</v>
      </c>
      <c r="B119" s="279" t="inlineStr">
        <is>
          <t>목</t>
        </is>
      </c>
      <c r="C119" s="270" t="inlineStr">
        <is>
          <t>온라인 예상</t>
        </is>
      </c>
      <c r="D119" s="161" t="inlineStr">
        <is>
          <t>12주 요일평균 × 반영률</t>
        </is>
      </c>
      <c r="E119" s="271">
        <f>ROUND(J150*$F$12,0)</f>
        <v/>
      </c>
      <c r="F119" s="270" t="inlineStr"/>
      <c r="G119" s="271">
        <f>IF(OR(F119="",E119=""),"",F119-E119)</f>
        <v/>
      </c>
    </row>
    <row r="120">
      <c r="A120" s="286" t="n">
        <v>46318</v>
      </c>
      <c r="B120" s="279" t="inlineStr">
        <is>
          <t>금</t>
        </is>
      </c>
      <c r="C120" s="270" t="inlineStr">
        <is>
          <t>온라인 예상</t>
        </is>
      </c>
      <c r="D120" s="161" t="inlineStr">
        <is>
          <t>12주 요일평균 × 반영률</t>
        </is>
      </c>
      <c r="E120" s="271">
        <f>ROUND(J151*$F$12,0)</f>
        <v/>
      </c>
      <c r="F120" s="270" t="inlineStr"/>
      <c r="G120" s="271">
        <f>IF(OR(F120="",E120=""),"",F120-E120)</f>
        <v/>
      </c>
    </row>
    <row r="121" hidden="1" ht="32.4" customHeight="1">
      <c r="A121" s="287" t="n">
        <v>46326</v>
      </c>
      <c r="B121" s="285" t="inlineStr">
        <is>
          <t>토</t>
        </is>
      </c>
      <c r="C121" s="270" t="inlineStr">
        <is>
          <t>확정입금</t>
        </is>
      </c>
      <c r="D121" s="161" t="inlineStr">
        <is>
          <t>관계사 외상대 입금 추정(주식회사에이팜, 말일)</t>
        </is>
      </c>
      <c r="E121" s="280" t="n">
        <v>10021867</v>
      </c>
      <c r="F121" s="270" t="inlineStr"/>
      <c r="G121" s="271">
        <f>IF(OR(F121="",E121=""),"",F121-E121)</f>
        <v/>
      </c>
    </row>
    <row r="122" hidden="1"/>
    <row r="123" hidden="1"/>
    <row r="124" hidden="1"/>
    <row r="125" hidden="1"/>
    <row r="126" hidden="1"/>
    <row r="127" hidden="1"/>
    <row r="128" hidden="1"/>
    <row r="129" hidden="1"/>
    <row r="130" hidden="1"/>
    <row r="131" hidden="1"/>
    <row r="132" hidden="1"/>
    <row r="133" hidden="1"/>
    <row r="134" hidden="1"/>
    <row r="135" hidden="1"/>
    <row r="136">
      <c r="D136" s="282" t="inlineStr">
        <is>
          <t>합계(표시 구간)</t>
        </is>
      </c>
      <c r="E136" s="283">
        <f>SUM(E114:E135)</f>
        <v/>
      </c>
      <c r="F136" s="283">
        <f>SUM(F114:F135)</f>
        <v/>
      </c>
    </row>
    <row r="137"/>
    <row r="138">
      <c r="A138" s="268" t="inlineStr">
        <is>
          <t>④ 향후 4주 일별 자금 흐름 — ② 지출·③ 입금 수정과 반영률(F12)에 즉시 연동 (실행일~차주 금요일만 표시 · 계산은 4주 전체)</t>
        </is>
      </c>
      <c r="B138" s="269" t="n"/>
      <c r="C138" s="269" t="n"/>
      <c r="D138" s="269" t="n"/>
      <c r="E138" s="269" t="n"/>
      <c r="F138" s="269" t="n"/>
      <c r="G138" s="269" t="n"/>
      <c r="H138" s="269" t="n"/>
      <c r="I138" s="269" t="n"/>
    </row>
    <row r="139">
      <c r="A139" s="276" t="inlineStr">
        <is>
          <t>일자</t>
        </is>
      </c>
      <c r="B139" s="276" t="inlineStr">
        <is>
          <t>요일</t>
        </is>
      </c>
      <c r="C139" s="276" t="inlineStr">
        <is>
          <t>입금</t>
        </is>
      </c>
      <c r="D139" s="276" t="inlineStr">
        <is>
          <t>지출</t>
        </is>
      </c>
      <c r="E139" s="276" t="inlineStr">
        <is>
          <t>예상잔액</t>
        </is>
      </c>
      <c r="F139" s="276" t="inlineStr">
        <is>
          <t>지출 내역</t>
        </is>
      </c>
      <c r="G139" s="160" t="n"/>
      <c r="H139" s="160" t="n"/>
      <c r="I139" s="159" t="n"/>
      <c r="K139" s="288" t="n">
        <v>121673505</v>
      </c>
    </row>
    <row r="140" hidden="1">
      <c r="A140" s="286" t="n">
        <v>46307</v>
      </c>
      <c r="B140" s="279" t="inlineStr">
        <is>
          <t>월</t>
        </is>
      </c>
      <c r="C140" s="289" t="n">
        <v>31313038</v>
      </c>
      <c r="D140" s="289" t="n">
        <v>32379416</v>
      </c>
      <c r="E140" s="271">
        <f>$K$139+C140-D140</f>
        <v/>
      </c>
      <c r="F140" s="290" t="inlineStr">
        <is>
          <t>실적(은행 확인)</t>
        </is>
      </c>
      <c r="G140" s="160" t="n"/>
      <c r="H140" s="160" t="n"/>
      <c r="I140" s="159" t="n"/>
      <c r="J140" s="288" t="n">
        <v>9149149</v>
      </c>
      <c r="K140" s="288" t="n">
        <v>11217233</v>
      </c>
    </row>
    <row r="141" hidden="1">
      <c r="A141" s="286" t="n">
        <v>46308</v>
      </c>
      <c r="B141" s="279" t="inlineStr">
        <is>
          <t>화</t>
        </is>
      </c>
      <c r="C141" s="289" t="n">
        <v>21645959</v>
      </c>
      <c r="D141" s="289" t="n">
        <v>9561292</v>
      </c>
      <c r="E141" s="271">
        <f>E140+C141-D141</f>
        <v/>
      </c>
      <c r="F141" s="290" t="inlineStr">
        <is>
          <t>실적(은행 확인)</t>
        </is>
      </c>
      <c r="G141" s="160" t="n"/>
      <c r="H141" s="160" t="n"/>
      <c r="I141" s="159" t="n"/>
      <c r="J141" s="288" t="n">
        <v>22299776</v>
      </c>
      <c r="K141" s="288" t="n">
        <v>290620</v>
      </c>
    </row>
    <row r="142" hidden="1">
      <c r="A142" s="286" t="n">
        <v>46309</v>
      </c>
      <c r="B142" s="279" t="inlineStr">
        <is>
          <t>수</t>
        </is>
      </c>
      <c r="C142" s="289" t="n">
        <v>10848408</v>
      </c>
      <c r="D142" s="289" t="n">
        <v>1804000</v>
      </c>
      <c r="E142" s="271">
        <f>E141+C142-D142</f>
        <v/>
      </c>
      <c r="F142" s="290" t="inlineStr">
        <is>
          <t>실적(은행 확인)</t>
        </is>
      </c>
      <c r="G142" s="160" t="n"/>
      <c r="H142" s="160" t="n"/>
      <c r="I142" s="159" t="n"/>
      <c r="J142" s="288" t="n">
        <v>15522234</v>
      </c>
      <c r="K142" s="288" t="n">
        <v>687080</v>
      </c>
    </row>
    <row r="143" hidden="1">
      <c r="A143" s="286" t="n">
        <v>46310</v>
      </c>
      <c r="B143" s="279" t="inlineStr">
        <is>
          <t>목</t>
        </is>
      </c>
      <c r="C143" s="289" t="n">
        <v>14269650</v>
      </c>
      <c r="D143" s="289" t="n">
        <v>17314072</v>
      </c>
      <c r="E143" s="271">
        <f>E142+C143-D143</f>
        <v/>
      </c>
      <c r="F143" s="290" t="inlineStr">
        <is>
          <t>실적(은행 확인)</t>
        </is>
      </c>
      <c r="G143" s="160" t="n"/>
      <c r="H143" s="160" t="n"/>
      <c r="I143" s="159" t="n"/>
      <c r="J143" s="288" t="n">
        <v>11514900</v>
      </c>
      <c r="K143" s="288" t="n">
        <v>212710</v>
      </c>
    </row>
    <row r="144" hidden="1">
      <c r="A144" s="286" t="n">
        <v>46311</v>
      </c>
      <c r="B144" s="279" t="inlineStr">
        <is>
          <t>금</t>
        </is>
      </c>
      <c r="C144" s="289" t="n">
        <v>8577438</v>
      </c>
      <c r="D144" s="289" t="n">
        <v>26401000</v>
      </c>
      <c r="E144" s="271">
        <f>E143+C144-D144</f>
        <v/>
      </c>
      <c r="F144" s="290" t="inlineStr">
        <is>
          <t>실적(은행 확인)</t>
        </is>
      </c>
      <c r="G144" s="160" t="n"/>
      <c r="H144" s="160" t="n"/>
      <c r="I144" s="159" t="n"/>
      <c r="J144" s="288" t="n">
        <v>6913091</v>
      </c>
      <c r="K144" s="288" t="n">
        <v>0</v>
      </c>
    </row>
    <row r="145">
      <c r="A145" s="291" t="n">
        <v>46312</v>
      </c>
      <c r="B145" s="292" t="inlineStr">
        <is>
          <t>토</t>
        </is>
      </c>
      <c r="C145" s="293">
        <f>ROUND(J145*$F$12,0)+K145</f>
        <v/>
      </c>
      <c r="D145" s="293">
        <f>SUMIFS($E$16:$E$109,$A$16:$A$109,A145,$I$16:$I$109,"&lt;&gt;보류")</f>
        <v/>
      </c>
      <c r="E145" s="293">
        <f>E144+C145-D145</f>
        <v/>
      </c>
      <c r="F145" s="294">
        <f t="array" ref="F145">IFERROR(""&amp;IF(E145&lt;0,"⚠ 잔액 부족 · ","")&amp;_xlfn.TEXTJOIN(" · ",TRUE,IF(($A$16:$A$109=$A145)*($E$16:$E$109&lt;&gt;0)*($I$16:$I$109&lt;&gt;"보류"),$D$16:$D$109&amp;" "&amp;TEXT($E$16:$E$109,"#,##0"),"")),""&amp;IF(E145&lt;0,"⚠ 잔액 부족",""))</f>
        <v/>
      </c>
      <c r="G145" s="160" t="n"/>
      <c r="H145" s="160" t="n"/>
      <c r="I145" s="159" t="n"/>
      <c r="J145" s="288" t="n">
        <v>0</v>
      </c>
      <c r="K145" s="288">
        <f>SUMIFS($E$114:$E$135,$A$114:$A$135,A145,$C$114:$C$135,"확정입금")</f>
        <v/>
      </c>
    </row>
    <row r="146">
      <c r="A146" s="295" t="n">
        <v>46313</v>
      </c>
      <c r="B146" s="285" t="inlineStr">
        <is>
          <t>일</t>
        </is>
      </c>
      <c r="C146" s="271">
        <f>ROUND(J146*$F$12,0)+K146</f>
        <v/>
      </c>
      <c r="D146" s="271">
        <f>SUMIFS($E$16:$E$109,$A$16:$A$109,A146,$I$16:$I$109,"&lt;&gt;보류")</f>
        <v/>
      </c>
      <c r="E146" s="271">
        <f>E145+C146-D146</f>
        <v/>
      </c>
      <c r="F146" s="296">
        <f t="array" ref="F146">IFERROR(""&amp;IF(E146&lt;0,"⚠ 잔액 부족 · ","")&amp;_xlfn.TEXTJOIN(" · ",TRUE,IF(($A$16:$A$109=$A146)*($E$16:$E$109&lt;&gt;0)*($I$16:$I$109&lt;&gt;"보류"),$D$16:$D$109&amp;" "&amp;TEXT($E$16:$E$109,"#,##0"),"")),""&amp;IF(E146&lt;0,"⚠ 잔액 부족",""))</f>
        <v/>
      </c>
      <c r="G146" s="160" t="n"/>
      <c r="H146" s="160" t="n"/>
      <c r="I146" s="159" t="n"/>
      <c r="J146" s="288" t="n">
        <v>0</v>
      </c>
      <c r="K146" s="288">
        <f>SUMIFS($E$114:$E$135,$A$114:$A$135,A146,$C$114:$C$135,"확정입금")</f>
        <v/>
      </c>
    </row>
    <row r="147">
      <c r="A147" s="297" t="n">
        <v>46314</v>
      </c>
      <c r="B147" s="279" t="inlineStr">
        <is>
          <t>월</t>
        </is>
      </c>
      <c r="C147" s="271">
        <f>ROUND(J147*$F$12,0)+K147</f>
        <v/>
      </c>
      <c r="D147" s="271">
        <f>SUMIFS($E$16:$E$109,$A$16:$A$109,A147,$I$16:$I$109,"&lt;&gt;보류")</f>
        <v/>
      </c>
      <c r="E147" s="271">
        <f>E146+C147-D147</f>
        <v/>
      </c>
      <c r="F147" s="296">
        <f t="array" ref="F147">IFERROR(""&amp;IF(E147&lt;0,"⚠ 잔액 부족 · ","")&amp;_xlfn.TEXTJOIN(" · ",TRUE,IF(($A$16:$A$109=$A147)*($E$16:$E$109&lt;&gt;0)*($I$16:$I$109&lt;&gt;"보류"),$D$16:$D$109&amp;" "&amp;TEXT($E$16:$E$109,"#,##0"),"")),""&amp;IF(E147&lt;0,"⚠ 잔액 부족",""))</f>
        <v/>
      </c>
      <c r="G147" s="160" t="n"/>
      <c r="H147" s="160" t="n"/>
      <c r="I147" s="159" t="n"/>
      <c r="J147" s="288" t="n">
        <v>9149149</v>
      </c>
      <c r="K147" s="288">
        <f>SUMIFS($E$114:$E$135,$A$114:$A$135,A147,$C$114:$C$135,"확정입금")</f>
        <v/>
      </c>
    </row>
    <row r="148">
      <c r="A148" s="297" t="n">
        <v>46315</v>
      </c>
      <c r="B148" s="279" t="inlineStr">
        <is>
          <t>화</t>
        </is>
      </c>
      <c r="C148" s="271">
        <f>ROUND(J148*$F$12,0)+K148</f>
        <v/>
      </c>
      <c r="D148" s="271">
        <f>SUMIFS($E$16:$E$109,$A$16:$A$109,A148,$I$16:$I$109,"&lt;&gt;보류")</f>
        <v/>
      </c>
      <c r="E148" s="271">
        <f>E147+C148-D148</f>
        <v/>
      </c>
      <c r="F148" s="296">
        <f t="array" ref="F148">IFERROR(""&amp;IF(E148&lt;0,"⚠ 잔액 부족 · ","")&amp;_xlfn.TEXTJOIN(" · ",TRUE,IF(($A$16:$A$109=$A148)*($E$16:$E$109&lt;&gt;0)*($I$16:$I$109&lt;&gt;"보류"),$D$16:$D$109&amp;" "&amp;TEXT($E$16:$E$109,"#,##0"),"")),""&amp;IF(E148&lt;0,"⚠ 잔액 부족",""))</f>
        <v/>
      </c>
      <c r="G148" s="160" t="n"/>
      <c r="H148" s="160" t="n"/>
      <c r="I148" s="159" t="n"/>
      <c r="J148" s="288" t="n">
        <v>22299776</v>
      </c>
      <c r="K148" s="288">
        <f>SUMIFS($E$114:$E$135,$A$114:$A$135,A148,$C$114:$C$135,"확정입금")</f>
        <v/>
      </c>
    </row>
    <row r="149">
      <c r="A149" s="297" t="n">
        <v>46316</v>
      </c>
      <c r="B149" s="279" t="inlineStr">
        <is>
          <t>수</t>
        </is>
      </c>
      <c r="C149" s="271">
        <f>ROUND(J149*$F$12,0)+K149</f>
        <v/>
      </c>
      <c r="D149" s="271">
        <f>SUMIFS($E$16:$E$109,$A$16:$A$109,A149,$I$16:$I$109,"&lt;&gt;보류")</f>
        <v/>
      </c>
      <c r="E149" s="271">
        <f>E148+C149-D149</f>
        <v/>
      </c>
      <c r="F149" s="296">
        <f t="array" ref="F149">IFERROR(""&amp;IF(E149&lt;0,"⚠ 잔액 부족 · ","")&amp;_xlfn.TEXTJOIN(" · ",TRUE,IF(($A$16:$A$109=$A149)*($E$16:$E$109&lt;&gt;0)*($I$16:$I$109&lt;&gt;"보류"),$D$16:$D$109&amp;" "&amp;TEXT($E$16:$E$109,"#,##0"),"")),""&amp;IF(E149&lt;0,"⚠ 잔액 부족",""))</f>
        <v/>
      </c>
      <c r="G149" s="160" t="n"/>
      <c r="H149" s="160" t="n"/>
      <c r="I149" s="159" t="n"/>
      <c r="J149" s="288" t="n">
        <v>15522234</v>
      </c>
      <c r="K149" s="288">
        <f>SUMIFS($E$114:$E$135,$A$114:$A$135,A149,$C$114:$C$135,"확정입금")</f>
        <v/>
      </c>
    </row>
    <row r="150">
      <c r="A150" s="297" t="n">
        <v>46317</v>
      </c>
      <c r="B150" s="279" t="inlineStr">
        <is>
          <t>목</t>
        </is>
      </c>
      <c r="C150" s="271">
        <f>ROUND(J150*$F$12,0)+K150</f>
        <v/>
      </c>
      <c r="D150" s="271">
        <f>SUMIFS($E$16:$E$109,$A$16:$A$109,A150,$I$16:$I$109,"&lt;&gt;보류")</f>
        <v/>
      </c>
      <c r="E150" s="271">
        <f>E149+C150-D150</f>
        <v/>
      </c>
      <c r="F150" s="296">
        <f t="array" ref="F150">IFERROR(""&amp;IF(E150&lt;0,"⚠ 잔액 부족 · ","")&amp;_xlfn.TEXTJOIN(" · ",TRUE,IF(($A$16:$A$109=$A150)*($E$16:$E$109&lt;&gt;0)*($I$16:$I$109&lt;&gt;"보류"),$D$16:$D$109&amp;" "&amp;TEXT($E$16:$E$109,"#,##0"),"")),""&amp;IF(E150&lt;0,"⚠ 잔액 부족",""))</f>
        <v/>
      </c>
      <c r="G150" s="160" t="n"/>
      <c r="H150" s="160" t="n"/>
      <c r="I150" s="159" t="n"/>
      <c r="J150" s="288" t="n">
        <v>11514900</v>
      </c>
      <c r="K150" s="288">
        <f>SUMIFS($E$114:$E$135,$A$114:$A$135,A150,$C$114:$C$135,"확정입금")</f>
        <v/>
      </c>
    </row>
    <row r="151">
      <c r="A151" s="298" t="n">
        <v>46318</v>
      </c>
      <c r="B151" s="299" t="inlineStr">
        <is>
          <t>금</t>
        </is>
      </c>
      <c r="C151" s="300">
        <f>ROUND(J151*$F$12,0)+K151</f>
        <v/>
      </c>
      <c r="D151" s="300">
        <f>SUMIFS($E$16:$E$109,$A$16:$A$109,A151,$I$16:$I$109,"&lt;&gt;보류")</f>
        <v/>
      </c>
      <c r="E151" s="300">
        <f>E150+C151-D151</f>
        <v/>
      </c>
      <c r="F151" s="301">
        <f t="array" ref="F151">IFERROR(""&amp;IF(E151&lt;0,"⚠ 잔액 부족 · ","")&amp;_xlfn.TEXTJOIN(" · ",TRUE,IF(($A$16:$A$109=$A151)*($E$16:$E$109&lt;&gt;0)*($I$16:$I$109&lt;&gt;"보류"),$D$16:$D$109&amp;" "&amp;TEXT($E$16:$E$109,"#,##0"),"")),""&amp;IF(E151&lt;0,"⚠ 잔액 부족",""))</f>
        <v/>
      </c>
      <c r="G151" s="160" t="n"/>
      <c r="H151" s="160" t="n"/>
      <c r="I151" s="159" t="n"/>
      <c r="J151" s="288" t="n">
        <v>6913091</v>
      </c>
      <c r="K151" s="288">
        <f>SUMIFS($E$114:$E$135,$A$114:$A$135,A151,$C$114:$C$135,"확정입금")</f>
        <v/>
      </c>
    </row>
    <row r="152" hidden="1">
      <c r="A152" s="284" t="n">
        <v>46319</v>
      </c>
      <c r="B152" s="285" t="inlineStr">
        <is>
          <t>토</t>
        </is>
      </c>
      <c r="C152" s="271">
        <f>ROUND(J152*$F$12,0)+K152</f>
        <v/>
      </c>
      <c r="D152" s="271">
        <f>SUMIFS($E$16:$E$109,$A$16:$A$109,A152,$I$16:$I$109,"&lt;&gt;보류")</f>
        <v/>
      </c>
      <c r="E152" s="271">
        <f>E151+C152-D152</f>
        <v/>
      </c>
      <c r="F152" s="302">
        <f t="array" ref="F152">IFERROR(""&amp;IF(E152&lt;0,"⚠ 잔액 부족 · ","")&amp;_xlfn.TEXTJOIN(" · ",TRUE,IF(($A$16:$A$109=$A152)*($E$16:$E$109&lt;&gt;0)*($I$16:$I$109&lt;&gt;"보류"),$D$16:$D$109&amp;" "&amp;TEXT($E$16:$E$109,"#,##0"),"")),""&amp;IF(E152&lt;0,"⚠ 잔액 부족",""))</f>
        <v/>
      </c>
      <c r="G152" s="160" t="n"/>
      <c r="H152" s="160" t="n"/>
      <c r="I152" s="159" t="n"/>
      <c r="J152" s="288" t="n">
        <v>0</v>
      </c>
      <c r="K152" s="288">
        <f>SUMIFS($E$114:$E$135,$A$114:$A$135,A152,$C$114:$C$135,"확정입금")</f>
        <v/>
      </c>
    </row>
    <row r="153" hidden="1">
      <c r="A153" s="284" t="n">
        <v>46320</v>
      </c>
      <c r="B153" s="285" t="inlineStr">
        <is>
          <t>일</t>
        </is>
      </c>
      <c r="C153" s="271">
        <f>ROUND(J153*$F$12,0)+K153</f>
        <v/>
      </c>
      <c r="D153" s="271">
        <f>SUMIFS($E$16:$E$109,$A$16:$A$109,A153,$I$16:$I$109,"&lt;&gt;보류")</f>
        <v/>
      </c>
      <c r="E153" s="271">
        <f>E152+C153-D153</f>
        <v/>
      </c>
      <c r="F153" s="302">
        <f t="array" ref="F153">IFERROR(""&amp;IF(E153&lt;0,"⚠ 잔액 부족 · ","")&amp;_xlfn.TEXTJOIN(" · ",TRUE,IF(($A$16:$A$109=$A153)*($E$16:$E$109&lt;&gt;0)*($I$16:$I$109&lt;&gt;"보류"),$D$16:$D$109&amp;" "&amp;TEXT($E$16:$E$109,"#,##0"),"")),""&amp;IF(E153&lt;0,"⚠ 잔액 부족",""))</f>
        <v/>
      </c>
      <c r="G153" s="160" t="n"/>
      <c r="H153" s="160" t="n"/>
      <c r="I153" s="159" t="n"/>
      <c r="J153" s="288" t="n">
        <v>0</v>
      </c>
      <c r="K153" s="288">
        <f>SUMIFS($E$114:$E$135,$A$114:$A$135,A153,$C$114:$C$135,"확정입금")</f>
        <v/>
      </c>
    </row>
    <row r="154" hidden="1">
      <c r="A154" s="286" t="n">
        <v>46321</v>
      </c>
      <c r="B154" s="279" t="inlineStr">
        <is>
          <t>월</t>
        </is>
      </c>
      <c r="C154" s="271">
        <f>ROUND(J154*$F$12,0)+K154</f>
        <v/>
      </c>
      <c r="D154" s="271">
        <f>SUMIFS($E$16:$E$109,$A$16:$A$109,A154,$I$16:$I$109,"&lt;&gt;보류")</f>
        <v/>
      </c>
      <c r="E154" s="271">
        <f>E153+C154-D154</f>
        <v/>
      </c>
      <c r="F154" s="302">
        <f t="array" ref="F154">IFERROR(""&amp;IF(E154&lt;0,"⚠ 잔액 부족 · ","")&amp;_xlfn.TEXTJOIN(" · ",TRUE,IF(($A$16:$A$109=$A154)*($E$16:$E$109&lt;&gt;0)*($I$16:$I$109&lt;&gt;"보류"),$D$16:$D$109&amp;" "&amp;TEXT($E$16:$E$109,"#,##0"),"")),""&amp;IF(E154&lt;0,"⚠ 잔액 부족",""))</f>
        <v/>
      </c>
      <c r="G154" s="160" t="n"/>
      <c r="H154" s="160" t="n"/>
      <c r="I154" s="159" t="n"/>
      <c r="J154" s="288" t="n">
        <v>9149149</v>
      </c>
      <c r="K154" s="288">
        <f>SUMIFS($E$114:$E$135,$A$114:$A$135,A154,$C$114:$C$135,"확정입금")</f>
        <v/>
      </c>
    </row>
    <row r="155" hidden="1">
      <c r="A155" s="286" t="n">
        <v>46322</v>
      </c>
      <c r="B155" s="279" t="inlineStr">
        <is>
          <t>화</t>
        </is>
      </c>
      <c r="C155" s="271">
        <f>ROUND(J155*$F$12,0)+K155</f>
        <v/>
      </c>
      <c r="D155" s="271">
        <f>SUMIFS($E$16:$E$109,$A$16:$A$109,A155,$I$16:$I$109,"&lt;&gt;보류")</f>
        <v/>
      </c>
      <c r="E155" s="271">
        <f>E154+C155-D155</f>
        <v/>
      </c>
      <c r="F155" s="302">
        <f t="array" ref="F155">IFERROR(""&amp;IF(E155&lt;0,"⚠ 잔액 부족 · ","")&amp;_xlfn.TEXTJOIN(" · ",TRUE,IF(($A$16:$A$109=$A155)*($E$16:$E$109&lt;&gt;0)*($I$16:$I$109&lt;&gt;"보류"),$D$16:$D$109&amp;" "&amp;TEXT($E$16:$E$109,"#,##0"),"")),""&amp;IF(E155&lt;0,"⚠ 잔액 부족",""))</f>
        <v/>
      </c>
      <c r="G155" s="160" t="n"/>
      <c r="H155" s="160" t="n"/>
      <c r="I155" s="159" t="n"/>
      <c r="J155" s="288" t="n">
        <v>22299776</v>
      </c>
      <c r="K155" s="288">
        <f>SUMIFS($E$114:$E$135,$A$114:$A$135,A155,$C$114:$C$135,"확정입금")</f>
        <v/>
      </c>
    </row>
    <row r="156" hidden="1">
      <c r="A156" s="286" t="n">
        <v>46323</v>
      </c>
      <c r="B156" s="279" t="inlineStr">
        <is>
          <t>수</t>
        </is>
      </c>
      <c r="C156" s="271">
        <f>ROUND(J156*$F$12,0)+K156</f>
        <v/>
      </c>
      <c r="D156" s="271">
        <f>SUMIFS($E$16:$E$109,$A$16:$A$109,A156,$I$16:$I$109,"&lt;&gt;보류")</f>
        <v/>
      </c>
      <c r="E156" s="271">
        <f>E155+C156-D156</f>
        <v/>
      </c>
      <c r="F156" s="302">
        <f t="array" ref="F156">IFERROR(""&amp;IF(E156&lt;0,"⚠ 잔액 부족 · ","")&amp;_xlfn.TEXTJOIN(" · ",TRUE,IF(($A$16:$A$109=$A156)*($E$16:$E$109&lt;&gt;0)*($I$16:$I$109&lt;&gt;"보류"),$D$16:$D$109&amp;" "&amp;TEXT($E$16:$E$109,"#,##0"),"")),""&amp;IF(E156&lt;0,"⚠ 잔액 부족",""))</f>
        <v/>
      </c>
      <c r="G156" s="160" t="n"/>
      <c r="H156" s="160" t="n"/>
      <c r="I156" s="159" t="n"/>
      <c r="J156" s="288" t="n">
        <v>15522234</v>
      </c>
      <c r="K156" s="288">
        <f>SUMIFS($E$114:$E$135,$A$114:$A$135,A156,$C$114:$C$135,"확정입금")</f>
        <v/>
      </c>
    </row>
    <row r="157" hidden="1">
      <c r="A157" s="286" t="n">
        <v>46324</v>
      </c>
      <c r="B157" s="279" t="inlineStr">
        <is>
          <t>목</t>
        </is>
      </c>
      <c r="C157" s="271">
        <f>ROUND(J157*$F$12,0)+K157</f>
        <v/>
      </c>
      <c r="D157" s="271">
        <f>SUMIFS($E$16:$E$109,$A$16:$A$109,A157,$I$16:$I$109,"&lt;&gt;보류")</f>
        <v/>
      </c>
      <c r="E157" s="271">
        <f>E156+C157-D157</f>
        <v/>
      </c>
      <c r="F157" s="302">
        <f t="array" ref="F157">IFERROR(""&amp;IF(E157&lt;0,"⚠ 잔액 부족 · ","")&amp;_xlfn.TEXTJOIN(" · ",TRUE,IF(($A$16:$A$109=$A157)*($E$16:$E$109&lt;&gt;0)*($I$16:$I$109&lt;&gt;"보류"),$D$16:$D$109&amp;" "&amp;TEXT($E$16:$E$109,"#,##0"),"")),""&amp;IF(E157&lt;0,"⚠ 잔액 부족",""))</f>
        <v/>
      </c>
      <c r="G157" s="160" t="n"/>
      <c r="H157" s="160" t="n"/>
      <c r="I157" s="159" t="n"/>
      <c r="J157" s="288" t="n">
        <v>11514900</v>
      </c>
      <c r="K157" s="288">
        <f>SUMIFS($E$114:$E$135,$A$114:$A$135,A157,$C$114:$C$135,"확정입금")</f>
        <v/>
      </c>
    </row>
    <row r="158" hidden="1">
      <c r="A158" s="286" t="n">
        <v>46325</v>
      </c>
      <c r="B158" s="279" t="inlineStr">
        <is>
          <t>금</t>
        </is>
      </c>
      <c r="C158" s="271">
        <f>ROUND(J158*$F$12,0)+K158</f>
        <v/>
      </c>
      <c r="D158" s="271">
        <f>SUMIFS($E$16:$E$109,$A$16:$A$109,A158,$I$16:$I$109,"&lt;&gt;보류")</f>
        <v/>
      </c>
      <c r="E158" s="271">
        <f>E157+C158-D158</f>
        <v/>
      </c>
      <c r="F158" s="302">
        <f t="array" ref="F158">IFERROR(""&amp;IF(E158&lt;0,"⚠ 잔액 부족 · ","")&amp;_xlfn.TEXTJOIN(" · ",TRUE,IF(($A$16:$A$109=$A158)*($E$16:$E$109&lt;&gt;0)*($I$16:$I$109&lt;&gt;"보류"),$D$16:$D$109&amp;" "&amp;TEXT($E$16:$E$109,"#,##0"),"")),""&amp;IF(E158&lt;0,"⚠ 잔액 부족",""))</f>
        <v/>
      </c>
      <c r="G158" s="160" t="n"/>
      <c r="H158" s="160" t="n"/>
      <c r="I158" s="159" t="n"/>
      <c r="J158" s="288" t="n">
        <v>6913091</v>
      </c>
      <c r="K158" s="288">
        <f>SUMIFS($E$114:$E$135,$A$114:$A$135,A158,$C$114:$C$135,"확정입금")</f>
        <v/>
      </c>
    </row>
    <row r="159" hidden="1">
      <c r="A159" s="284" t="n">
        <v>46326</v>
      </c>
      <c r="B159" s="285" t="inlineStr">
        <is>
          <t>토</t>
        </is>
      </c>
      <c r="C159" s="271">
        <f>ROUND(J159*$F$12,0)+K159</f>
        <v/>
      </c>
      <c r="D159" s="271">
        <f>SUMIFS($E$16:$E$109,$A$16:$A$109,A159,$I$16:$I$109,"&lt;&gt;보류")</f>
        <v/>
      </c>
      <c r="E159" s="271">
        <f>E158+C159-D159</f>
        <v/>
      </c>
      <c r="F159" s="302">
        <f t="array" ref="F159">IFERROR(""&amp;IF(E159&lt;0,"⚠ 잔액 부족 · ","")&amp;_xlfn.TEXTJOIN(" · ",TRUE,IF(($A$16:$A$109=$A159)*($E$16:$E$109&lt;&gt;0)*($I$16:$I$109&lt;&gt;"보류"),$D$16:$D$109&amp;" "&amp;TEXT($E$16:$E$109,"#,##0"),"")),""&amp;IF(E159&lt;0,"⚠ 잔액 부족",""))</f>
        <v/>
      </c>
      <c r="G159" s="160" t="n"/>
      <c r="H159" s="160" t="n"/>
      <c r="I159" s="159" t="n"/>
      <c r="J159" s="288" t="n">
        <v>0</v>
      </c>
      <c r="K159" s="288">
        <f>SUMIFS($E$114:$E$135,$A$114:$A$135,A159,$C$114:$C$135,"확정입금")</f>
        <v/>
      </c>
    </row>
    <row r="160" hidden="1">
      <c r="A160" s="284" t="n">
        <v>46327</v>
      </c>
      <c r="B160" s="285" t="inlineStr">
        <is>
          <t>일</t>
        </is>
      </c>
      <c r="C160" s="271">
        <f>ROUND(J160*$F$12,0)+K160</f>
        <v/>
      </c>
      <c r="D160" s="271">
        <f>SUMIFS($E$16:$E$109,$A$16:$A$109,A160,$I$16:$I$109,"&lt;&gt;보류")</f>
        <v/>
      </c>
      <c r="E160" s="271">
        <f>E159+C160-D160</f>
        <v/>
      </c>
      <c r="F160" s="302">
        <f t="array" ref="F160">IFERROR(""&amp;IF(E160&lt;0,"⚠ 잔액 부족 · ","")&amp;_xlfn.TEXTJOIN(" · ",TRUE,IF(($A$16:$A$109=$A160)*($E$16:$E$109&lt;&gt;0)*($I$16:$I$109&lt;&gt;"보류"),$D$16:$D$109&amp;" "&amp;TEXT($E$16:$E$109,"#,##0"),"")),""&amp;IF(E160&lt;0,"⚠ 잔액 부족",""))</f>
        <v/>
      </c>
      <c r="G160" s="160" t="n"/>
      <c r="H160" s="160" t="n"/>
      <c r="I160" s="159" t="n"/>
      <c r="J160" s="288" t="n">
        <v>0</v>
      </c>
      <c r="K160" s="288">
        <f>SUMIFS($E$114:$E$135,$A$114:$A$135,A160,$C$114:$C$135,"확정입금")</f>
        <v/>
      </c>
    </row>
    <row r="161" hidden="1">
      <c r="A161" s="286" t="n">
        <v>46328</v>
      </c>
      <c r="B161" s="279" t="inlineStr">
        <is>
          <t>월</t>
        </is>
      </c>
      <c r="C161" s="271">
        <f>ROUND(J161*$F$12,0)+K161</f>
        <v/>
      </c>
      <c r="D161" s="271">
        <f>SUMIFS($E$16:$E$109,$A$16:$A$109,A161,$I$16:$I$109,"&lt;&gt;보류")</f>
        <v/>
      </c>
      <c r="E161" s="271">
        <f>E160+C161-D161</f>
        <v/>
      </c>
      <c r="F161" s="302">
        <f t="array" ref="F161">IFERROR(""&amp;IF(E161&lt;0,"⚠ 잔액 부족 · ","")&amp;_xlfn.TEXTJOIN(" · ",TRUE,IF(($A$16:$A$109=$A161)*($E$16:$E$109&lt;&gt;0)*($I$16:$I$109&lt;&gt;"보류"),$D$16:$D$109&amp;" "&amp;TEXT($E$16:$E$109,"#,##0"),"")),""&amp;IF(E161&lt;0,"⚠ 잔액 부족",""))</f>
        <v/>
      </c>
      <c r="G161" s="160" t="n"/>
      <c r="H161" s="160" t="n"/>
      <c r="I161" s="159" t="n"/>
      <c r="J161" s="288" t="n">
        <v>9149149</v>
      </c>
      <c r="K161" s="288">
        <f>SUMIFS($E$114:$E$135,$A$114:$A$135,A161,$C$114:$C$135,"확정입금")</f>
        <v/>
      </c>
    </row>
    <row r="162" hidden="1">
      <c r="A162" s="286" t="n">
        <v>46329</v>
      </c>
      <c r="B162" s="279" t="inlineStr">
        <is>
          <t>화</t>
        </is>
      </c>
      <c r="C162" s="271">
        <f>ROUND(J162*$F$12,0)+K162</f>
        <v/>
      </c>
      <c r="D162" s="271">
        <f>SUMIFS($E$16:$E$109,$A$16:$A$109,A162,$I$16:$I$109,"&lt;&gt;보류")</f>
        <v/>
      </c>
      <c r="E162" s="271">
        <f>E161+C162-D162</f>
        <v/>
      </c>
      <c r="F162" s="302">
        <f t="array" ref="F162">IFERROR(""&amp;IF(E162&lt;0,"⚠ 잔액 부족 · ","")&amp;_xlfn.TEXTJOIN(" · ",TRUE,IF(($A$16:$A$109=$A162)*($E$16:$E$109&lt;&gt;0)*($I$16:$I$109&lt;&gt;"보류"),$D$16:$D$109&amp;" "&amp;TEXT($E$16:$E$109,"#,##0"),"")),""&amp;IF(E162&lt;0,"⚠ 잔액 부족",""))</f>
        <v/>
      </c>
      <c r="G162" s="160" t="n"/>
      <c r="H162" s="160" t="n"/>
      <c r="I162" s="159" t="n"/>
      <c r="J162" s="288" t="n">
        <v>22299776</v>
      </c>
      <c r="K162" s="288">
        <f>SUMIFS($E$114:$E$135,$A$114:$A$135,A162,$C$114:$C$135,"확정입금")</f>
        <v/>
      </c>
    </row>
    <row r="163" hidden="1">
      <c r="A163" s="286" t="n">
        <v>46330</v>
      </c>
      <c r="B163" s="279" t="inlineStr">
        <is>
          <t>수</t>
        </is>
      </c>
      <c r="C163" s="271">
        <f>ROUND(J163*$F$12,0)+K163</f>
        <v/>
      </c>
      <c r="D163" s="271">
        <f>SUMIFS($E$16:$E$109,$A$16:$A$109,A163,$I$16:$I$109,"&lt;&gt;보류")</f>
        <v/>
      </c>
      <c r="E163" s="271">
        <f>E162+C163-D163</f>
        <v/>
      </c>
      <c r="F163" s="302">
        <f t="array" ref="F163">IFERROR(""&amp;IF(E163&lt;0,"⚠ 잔액 부족 · ","")&amp;_xlfn.TEXTJOIN(" · ",TRUE,IF(($A$16:$A$109=$A163)*($E$16:$E$109&lt;&gt;0)*($I$16:$I$109&lt;&gt;"보류"),$D$16:$D$109&amp;" "&amp;TEXT($E$16:$E$109,"#,##0"),"")),""&amp;IF(E163&lt;0,"⚠ 잔액 부족",""))</f>
        <v/>
      </c>
      <c r="G163" s="160" t="n"/>
      <c r="H163" s="160" t="n"/>
      <c r="I163" s="159" t="n"/>
      <c r="J163" s="288" t="n">
        <v>15522234</v>
      </c>
      <c r="K163" s="288">
        <f>SUMIFS($E$114:$E$135,$A$114:$A$135,A163,$C$114:$C$135,"확정입금")</f>
        <v/>
      </c>
    </row>
    <row r="164" hidden="1">
      <c r="A164" s="286" t="n">
        <v>46331</v>
      </c>
      <c r="B164" s="279" t="inlineStr">
        <is>
          <t>목</t>
        </is>
      </c>
      <c r="C164" s="271">
        <f>ROUND(J164*$F$12,0)+K164</f>
        <v/>
      </c>
      <c r="D164" s="271">
        <f>SUMIFS($E$16:$E$109,$A$16:$A$109,A164,$I$16:$I$109,"&lt;&gt;보류")</f>
        <v/>
      </c>
      <c r="E164" s="271">
        <f>E163+C164-D164</f>
        <v/>
      </c>
      <c r="F164" s="302">
        <f t="array" ref="F164">IFERROR(""&amp;IF(E164&lt;0,"⚠ 잔액 부족 · ","")&amp;_xlfn.TEXTJOIN(" · ",TRUE,IF(($A$16:$A$109=$A164)*($E$16:$E$109&lt;&gt;0)*($I$16:$I$109&lt;&gt;"보류"),$D$16:$D$109&amp;" "&amp;TEXT($E$16:$E$109,"#,##0"),"")),""&amp;IF(E164&lt;0,"⚠ 잔액 부족",""))</f>
        <v/>
      </c>
      <c r="G164" s="160" t="n"/>
      <c r="H164" s="160" t="n"/>
      <c r="I164" s="159" t="n"/>
      <c r="J164" s="288" t="n">
        <v>11514900</v>
      </c>
      <c r="K164" s="288">
        <f>SUMIFS($E$114:$E$135,$A$114:$A$135,A164,$C$114:$C$135,"확정입금")</f>
        <v/>
      </c>
    </row>
    <row r="165" hidden="1">
      <c r="A165" s="286" t="n">
        <v>46332</v>
      </c>
      <c r="B165" s="279" t="inlineStr">
        <is>
          <t>금</t>
        </is>
      </c>
      <c r="C165" s="271">
        <f>ROUND(J165*$F$12,0)+K165</f>
        <v/>
      </c>
      <c r="D165" s="271">
        <f>SUMIFS($E$16:$E$109,$A$16:$A$109,A165,$I$16:$I$109,"&lt;&gt;보류")</f>
        <v/>
      </c>
      <c r="E165" s="271">
        <f>E164+C165-D165</f>
        <v/>
      </c>
      <c r="F165" s="302">
        <f t="array" ref="F165">IFERROR(""&amp;IF(E165&lt;0,"⚠ 잔액 부족 · ","")&amp;_xlfn.TEXTJOIN(" · ",TRUE,IF(($A$16:$A$109=$A165)*($E$16:$E$109&lt;&gt;0)*($I$16:$I$109&lt;&gt;"보류"),$D$16:$D$109&amp;" "&amp;TEXT($E$16:$E$109,"#,##0"),"")),""&amp;IF(E165&lt;0,"⚠ 잔액 부족",""))</f>
        <v/>
      </c>
      <c r="G165" s="160" t="n"/>
      <c r="H165" s="160" t="n"/>
      <c r="I165" s="159" t="n"/>
      <c r="J165" s="288" t="n">
        <v>6913091</v>
      </c>
      <c r="K165" s="288">
        <f>SUMIFS($E$114:$E$135,$A$114:$A$135,A165,$C$114:$C$135,"확정입금")</f>
        <v/>
      </c>
    </row>
    <row r="166" hidden="1">
      <c r="A166" s="284" t="n">
        <v>46333</v>
      </c>
      <c r="B166" s="285" t="inlineStr">
        <is>
          <t>토</t>
        </is>
      </c>
      <c r="C166" s="271">
        <f>ROUND(J166*$F$12,0)+K166</f>
        <v/>
      </c>
      <c r="D166" s="271">
        <f>SUMIFS($E$16:$E$109,$A$16:$A$109,A166,$I$16:$I$109,"&lt;&gt;보류")</f>
        <v/>
      </c>
      <c r="E166" s="271">
        <f>E165+C166-D166</f>
        <v/>
      </c>
      <c r="F166" s="302">
        <f t="array" ref="F166">IFERROR(""&amp;IF(E166&lt;0,"⚠ 잔액 부족 · ","")&amp;_xlfn.TEXTJOIN(" · ",TRUE,IF(($A$16:$A$109=$A166)*($E$16:$E$109&lt;&gt;0)*($I$16:$I$109&lt;&gt;"보류"),$D$16:$D$109&amp;" "&amp;TEXT($E$16:$E$109,"#,##0"),"")),""&amp;IF(E166&lt;0,"⚠ 잔액 부족",""))</f>
        <v/>
      </c>
      <c r="G166" s="160" t="n"/>
      <c r="H166" s="160" t="n"/>
      <c r="I166" s="159" t="n"/>
      <c r="J166" s="288" t="n">
        <v>0</v>
      </c>
      <c r="K166" s="288">
        <f>SUMIFS($E$114:$E$135,$A$114:$A$135,A166,$C$114:$C$135,"확정입금")</f>
        <v/>
      </c>
    </row>
    <row r="167" hidden="1">
      <c r="A167" s="284" t="n">
        <v>46334</v>
      </c>
      <c r="B167" s="285" t="inlineStr">
        <is>
          <t>일</t>
        </is>
      </c>
      <c r="C167" s="271">
        <f>ROUND(J167*$F$12,0)+K167</f>
        <v/>
      </c>
      <c r="D167" s="271">
        <f>SUMIFS($E$16:$E$109,$A$16:$A$109,A167,$I$16:$I$109,"&lt;&gt;보류")</f>
        <v/>
      </c>
      <c r="E167" s="271">
        <f>E166+C167-D167</f>
        <v/>
      </c>
      <c r="F167" s="302">
        <f t="array" ref="F167">IFERROR(""&amp;IF(E167&lt;0,"⚠ 잔액 부족 · ","")&amp;_xlfn.TEXTJOIN(" · ",TRUE,IF(($A$16:$A$109=$A167)*($E$16:$E$109&lt;&gt;0)*($I$16:$I$109&lt;&gt;"보류"),$D$16:$D$109&amp;" "&amp;TEXT($E$16:$E$109,"#,##0"),"")),""&amp;IF(E167&lt;0,"⚠ 잔액 부족",""))</f>
        <v/>
      </c>
      <c r="G167" s="160" t="n"/>
      <c r="H167" s="160" t="n"/>
      <c r="I167" s="159" t="n"/>
      <c r="J167" s="288" t="n">
        <v>0</v>
      </c>
      <c r="K167" s="288">
        <f>SUMIFS($E$114:$E$135,$A$114:$A$135,A167,$C$114:$C$135,"확정입금")</f>
        <v/>
      </c>
    </row>
    <row r="168">
      <c r="A168" s="274" t="inlineStr">
        <is>
          <t>4주 최저 잔액</t>
        </is>
      </c>
      <c r="C168" s="283">
        <f>MIN(E140:E167)</f>
        <v/>
      </c>
      <c r="D168" s="303" t="inlineStr">
        <is>
          <t>4주 예상 기말잔액</t>
        </is>
      </c>
      <c r="E168" s="283">
        <f>E167</f>
        <v/>
      </c>
    </row>
    <row r="169">
      <c r="A169" s="274">
        <f>IF(C168&gt;=0,"향후 4주 부족분 없음 — 계획대로 집행 가능합니다.","향후 4주 최대 부족 "&amp;TEXT(-C168,"#,##0")&amp;"원 — 지출 일정 조정 또는 자금 조치가 필요합니다.")</f>
        <v/>
      </c>
    </row>
    <row r="170"/>
    <row r="171">
      <c r="A171" s="268" t="inlineStr">
        <is>
          <t>⑤ 안정을 위한 필요 추가 입금 (향후 4주)</t>
        </is>
      </c>
      <c r="B171" s="269" t="n"/>
      <c r="C171" s="269" t="n"/>
      <c r="D171" s="269" t="n"/>
      <c r="E171" s="269" t="n"/>
      <c r="F171" s="269" t="n"/>
      <c r="G171" s="269" t="n"/>
      <c r="H171" s="269" t="n"/>
      <c r="I171" s="269" t="n"/>
    </row>
    <row r="172" ht="32.4" customHeight="1">
      <c r="A172" s="274" t="inlineStr">
        <is>
          <t>목표 최저잔액</t>
        </is>
      </c>
      <c r="C172" s="280" t="n">
        <v>0</v>
      </c>
      <c r="D172" s="304" t="inlineStr">
        <is>
          <t>예: 0원(적자 없음) 또는 안전하게 유지하고 싶은 잔액을 입력하세요.</t>
        </is>
      </c>
    </row>
    <row r="173">
      <c r="A173" s="276" t="inlineStr">
        <is>
          <t>반영률</t>
        </is>
      </c>
      <c r="B173" s="276" t="n"/>
      <c r="C173" s="276" t="inlineStr">
        <is>
          <t>4주 기말잔액</t>
        </is>
      </c>
      <c r="D173" s="276" t="inlineStr">
        <is>
          <t>4주 최저잔액</t>
        </is>
      </c>
      <c r="E173" s="276" t="inlineStr">
        <is>
          <t>자금부족 예상일</t>
        </is>
      </c>
      <c r="F173" s="276" t="inlineStr">
        <is>
          <t>필요 추가 입금</t>
        </is>
      </c>
    </row>
    <row r="174">
      <c r="A174" s="305" t="n">
        <v>0.8</v>
      </c>
      <c r="C174" s="271" t="n">
        <v>287848045</v>
      </c>
      <c r="D174" s="271" t="n">
        <v>120607127</v>
      </c>
      <c r="E174" s="279" t="inlineStr">
        <is>
          <t>없음</t>
        </is>
      </c>
      <c r="F174" s="273">
        <f>MAX(0,$C$172-D174)</f>
        <v/>
      </c>
    </row>
    <row r="175">
      <c r="A175" s="305" t="n">
        <v>0.9</v>
      </c>
      <c r="C175" s="271" t="n">
        <v>307467790</v>
      </c>
      <c r="D175" s="271" t="n">
        <v>120607127</v>
      </c>
      <c r="E175" s="279" t="inlineStr">
        <is>
          <t>없음</t>
        </is>
      </c>
      <c r="F175" s="273">
        <f>MAX(0,$C$172-D175)</f>
        <v/>
      </c>
    </row>
    <row r="176">
      <c r="A176" s="305" t="n">
        <v>1</v>
      </c>
      <c r="C176" s="271" t="n">
        <v>327087535</v>
      </c>
      <c r="D176" s="271" t="n">
        <v>120607127</v>
      </c>
      <c r="E176" s="279" t="inlineStr">
        <is>
          <t>없음</t>
        </is>
      </c>
      <c r="F176" s="273">
        <f>MAX(0,$C$172-D176)</f>
        <v/>
      </c>
    </row>
    <row r="177">
      <c r="A177" s="274" t="inlineStr">
        <is>
          <t>주당 추가 입금 목표</t>
        </is>
      </c>
      <c r="C177" s="283">
        <f>ROUND(F174/4,0)</f>
        <v/>
      </c>
      <c r="D177" s="303" t="inlineStr">
        <is>
          <t>영업일당(주 5일 기준)</t>
        </is>
      </c>
      <c r="E177" s="283">
        <f>ROUND(F174/20,0)</f>
        <v/>
      </c>
    </row>
    <row r="178"/>
    <row r="179">
      <c r="A179" s="268" t="inlineStr">
        <is>
          <t>⑥ 건강사업팀 전달 메모 (자동 작성)</t>
        </is>
      </c>
      <c r="B179" s="269" t="n"/>
      <c r="C179" s="269" t="n"/>
      <c r="D179" s="269" t="n"/>
      <c r="E179" s="269" t="n"/>
      <c r="F179" s="269" t="n"/>
      <c r="G179" s="269" t="n"/>
      <c r="H179" s="269" t="n"/>
      <c r="I179" s="269" t="n"/>
    </row>
    <row r="180" ht="60.8" customHeight="1">
      <c r="A180" s="306">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307" t="inlineStr">
        <is>
          <t>(주)에이팜건강 주간 자금계획 보고</t>
        </is>
      </c>
    </row>
    <row r="2">
      <c r="A2" s="266">
        <f>"기준일 2026-10-12 · 작성 2026-10-17 21:21:14 · 입금 반영률 "&amp;TEXT('경영보고'!$F$12,"0%")&amp;" (경영보고 시트와 실시간 연동)"</f>
        <v/>
      </c>
    </row>
    <row r="3"/>
    <row r="4">
      <c r="A4" s="268" t="inlineStr">
        <is>
          <t>핵심 요약</t>
        </is>
      </c>
      <c r="B4" s="269" t="n"/>
      <c r="C4" s="269" t="n"/>
      <c r="D4" s="269" t="n"/>
      <c r="E4" s="269" t="n"/>
    </row>
    <row r="5">
      <c r="A5" s="272" t="inlineStr">
        <is>
          <t>현재 전체 계좌잔액</t>
        </is>
      </c>
      <c r="C5" s="271">
        <f>'경영보고'!C12</f>
        <v/>
      </c>
    </row>
    <row r="6">
      <c r="A6" s="272" t="inlineStr">
        <is>
          <t>4주 예상 기말잔액</t>
        </is>
      </c>
      <c r="C6" s="271">
        <f>'경영보고'!E167</f>
        <v/>
      </c>
    </row>
    <row r="7">
      <c r="A7" s="272" t="inlineStr">
        <is>
          <t>4주 최저 예상잔액</t>
        </is>
      </c>
      <c r="C7" s="271">
        <f>'경영보고'!C168</f>
        <v/>
      </c>
      <c r="D7" s="308">
        <f>TEXT(INDEX('경영보고'!$A$140:$A$167,MATCH('경영보고'!C168,'경영보고'!$E$140:$E$167,0)),"m/d 예상")</f>
        <v/>
      </c>
    </row>
    <row r="8">
      <c r="A8" s="272" t="inlineStr">
        <is>
          <t>향후 4주 확정지출</t>
        </is>
      </c>
      <c r="C8" s="271">
        <f>'경영보고'!E110</f>
        <v/>
      </c>
    </row>
    <row r="9">
      <c r="A9" s="272" t="inlineStr">
        <is>
          <t>카드 결제 예정액(4주)</t>
        </is>
      </c>
      <c r="C9" s="271">
        <f>SUMIFS('경영보고'!$E$16:$E$109,'경영보고'!$F$16:$F$109,"법인카드",'경영보고'!$I$16:$I$109,"&lt;&gt;보류")</f>
        <v/>
      </c>
    </row>
    <row r="10">
      <c r="A10" s="272" t="inlineStr">
        <is>
          <t>자금부족 예상일</t>
        </is>
      </c>
      <c r="C10" s="270">
        <f>IFERROR(TEXT(INDEX('경영보고'!$A$140:$A$167,MATCH(TRUE,INDEX('경영보고'!$E$140:$E$167&lt;0,0),0)),"yyyy-mm-dd"),"없음")</f>
        <v/>
      </c>
    </row>
    <row r="11">
      <c r="A11" s="272" t="inlineStr">
        <is>
          <t>확인필요 건수</t>
        </is>
      </c>
      <c r="C11" s="270" t="inlineStr">
        <is>
          <t>45건</t>
        </is>
      </c>
    </row>
    <row r="12">
      <c r="A12" s="272" t="inlineStr">
        <is>
          <t>자료 미제출 팀</t>
        </is>
      </c>
      <c r="C12" s="270" t="inlineStr">
        <is>
          <t>없음</t>
        </is>
      </c>
    </row>
    <row r="13"/>
    <row r="14">
      <c r="A14" s="309">
        <f>'경영보고'!A169</f>
        <v/>
      </c>
    </row>
    <row r="15"/>
    <row r="16">
      <c r="A16" s="268" t="inlineStr">
        <is>
          <t>차주 일별 잔액 전망 (월~금) — 반영률·지출 수정과 실시간 연동</t>
        </is>
      </c>
      <c r="B16" s="269" t="n"/>
      <c r="C16" s="269" t="n"/>
      <c r="D16" s="269" t="n"/>
      <c r="E16" s="269" t="n"/>
    </row>
    <row r="17">
      <c r="A17" s="276" t="inlineStr">
        <is>
          <t>일자</t>
        </is>
      </c>
      <c r="B17" s="276" t="inlineStr">
        <is>
          <t>요일</t>
        </is>
      </c>
      <c r="C17" s="276" t="inlineStr">
        <is>
          <t>예상 기말잔액</t>
        </is>
      </c>
      <c r="D17" s="276" t="inlineStr">
        <is>
          <t>상태</t>
        </is>
      </c>
    </row>
    <row r="18">
      <c r="A18" s="286">
        <f>'경영보고'!A147</f>
        <v/>
      </c>
      <c r="B18" s="279" t="inlineStr">
        <is>
          <t>월</t>
        </is>
      </c>
      <c r="C18" s="271">
        <f>'경영보고'!E147</f>
        <v/>
      </c>
      <c r="D18" s="285">
        <f>IF(C18&lt;0,"부족","")</f>
        <v/>
      </c>
    </row>
    <row r="19">
      <c r="A19" s="286">
        <f>'경영보고'!A148</f>
        <v/>
      </c>
      <c r="B19" s="279" t="inlineStr">
        <is>
          <t>화</t>
        </is>
      </c>
      <c r="C19" s="271">
        <f>'경영보고'!E148</f>
        <v/>
      </c>
      <c r="D19" s="285">
        <f>IF(C19&lt;0,"부족","")</f>
        <v/>
      </c>
    </row>
    <row r="20">
      <c r="A20" s="286">
        <f>'경영보고'!A149</f>
        <v/>
      </c>
      <c r="B20" s="279" t="inlineStr">
        <is>
          <t>수</t>
        </is>
      </c>
      <c r="C20" s="271">
        <f>'경영보고'!E149</f>
        <v/>
      </c>
      <c r="D20" s="285">
        <f>IF(C20&lt;0,"부족","")</f>
        <v/>
      </c>
    </row>
    <row r="21">
      <c r="A21" s="286">
        <f>'경영보고'!A150</f>
        <v/>
      </c>
      <c r="B21" s="279" t="inlineStr">
        <is>
          <t>목</t>
        </is>
      </c>
      <c r="C21" s="271">
        <f>'경영보고'!E150</f>
        <v/>
      </c>
      <c r="D21" s="285">
        <f>IF(C21&lt;0,"부족","")</f>
        <v/>
      </c>
    </row>
    <row r="22">
      <c r="A22" s="286">
        <f>'경영보고'!A151</f>
        <v/>
      </c>
      <c r="B22" s="279" t="inlineStr">
        <is>
          <t>금</t>
        </is>
      </c>
      <c r="C22" s="271">
        <f>'경영보고'!E151</f>
        <v/>
      </c>
      <c r="D22" s="285">
        <f>IF(C22&lt;0,"부족","")</f>
        <v/>
      </c>
    </row>
    <row r="23"/>
    <row r="24">
      <c r="A24" s="268" t="inlineStr">
        <is>
          <t>입금 반영률 시나리오 (80·90·100%) — 필요 추가 입금</t>
        </is>
      </c>
      <c r="B24" s="269" t="n"/>
      <c r="C24" s="269" t="n"/>
      <c r="D24" s="269" t="n"/>
      <c r="E24" s="269" t="n"/>
    </row>
    <row r="25">
      <c r="A25" s="276" t="inlineStr">
        <is>
          <t>반영률</t>
        </is>
      </c>
      <c r="C25" s="276" t="inlineStr">
        <is>
          <t>4주 기말잔액</t>
        </is>
      </c>
      <c r="D25" s="276" t="inlineStr">
        <is>
          <t>4주 최저잔액</t>
        </is>
      </c>
      <c r="E25" s="276" t="inlineStr">
        <is>
          <t>필요 추가 입금</t>
        </is>
      </c>
    </row>
    <row r="26">
      <c r="A26" s="305">
        <f>'경영보고'!A174</f>
        <v/>
      </c>
      <c r="C26" s="271">
        <f>'경영보고'!C174</f>
        <v/>
      </c>
      <c r="D26" s="271">
        <f>'경영보고'!D174</f>
        <v/>
      </c>
      <c r="E26" s="273">
        <f>'경영보고'!F174</f>
        <v/>
      </c>
    </row>
    <row r="27">
      <c r="A27" s="305">
        <f>'경영보고'!A175</f>
        <v/>
      </c>
      <c r="C27" s="271">
        <f>'경영보고'!C175</f>
        <v/>
      </c>
      <c r="D27" s="271">
        <f>'경영보고'!D175</f>
        <v/>
      </c>
      <c r="E27" s="273">
        <f>'경영보고'!F175</f>
        <v/>
      </c>
    </row>
    <row r="28">
      <c r="A28" s="305">
        <f>'경영보고'!A176</f>
        <v/>
      </c>
      <c r="C28" s="271">
        <f>'경영보고'!C176</f>
        <v/>
      </c>
      <c r="D28" s="271">
        <f>'경영보고'!D176</f>
        <v/>
      </c>
      <c r="E28" s="273">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U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outlineLevel="1" width="13" customWidth="1" min="7" max="7"/>
    <col width="14"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width="13" customWidth="1" min="14" max="14"/>
    <col width="13" customWidth="1" min="15" max="15"/>
    <col width="12" customWidth="1" min="16" max="16"/>
    <col width="13" customWidth="1" min="17" max="17"/>
    <col width="13" customWidth="1" min="18" max="18"/>
    <col width="14" customWidth="1" min="19" max="19"/>
    <col width="14" customWidth="1" min="20" max="20"/>
    <col width="34" customWidth="1" min="21" max="21"/>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6,011,615(10-16) · 농협 569003 441,400(10-14) · 국민 154577 62,178,003(10-16) · 국민 170616 31,550,000(10-16) · 국민 169124 20,687,200(10-15)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7" t="n"/>
      <c r="G4" s="178" t="n"/>
      <c r="I4" s="179" t="inlineStr">
        <is>
          <t>계좌별 입금 배분(예상)</t>
        </is>
      </c>
      <c r="J4" s="177" t="n"/>
      <c r="K4" s="177" t="n"/>
      <c r="L4" s="177" t="n"/>
      <c r="M4" s="178" t="n"/>
    </row>
    <row r="5">
      <c r="A5" s="180" t="inlineStr">
        <is>
          <t>일자</t>
        </is>
      </c>
      <c r="B5" s="180" t="inlineStr">
        <is>
          <t>요일</t>
        </is>
      </c>
      <c r="C5" s="180" t="inlineStr">
        <is>
          <t>우리 220351</t>
        </is>
      </c>
      <c r="D5" s="180" t="inlineStr">
        <is>
          <t>농협 569003</t>
        </is>
      </c>
      <c r="E5" s="180" t="inlineStr">
        <is>
          <t>국민 154577</t>
        </is>
      </c>
      <c r="F5" s="180" t="inlineStr">
        <is>
          <t>국민 170616</t>
        </is>
      </c>
      <c r="G5" s="180" t="inlineStr">
        <is>
          <t>국민 169124</t>
        </is>
      </c>
      <c r="H5" s="180" t="inlineStr">
        <is>
          <t>온라인 예상입금</t>
        </is>
      </c>
      <c r="I5" s="181" t="inlineStr">
        <is>
          <t>우리 220351</t>
        </is>
      </c>
      <c r="J5" s="181" t="inlineStr">
        <is>
          <t>농협 569003</t>
        </is>
      </c>
      <c r="K5" s="181" t="inlineStr">
        <is>
          <t>국민 154577</t>
        </is>
      </c>
      <c r="L5" s="181" t="inlineStr">
        <is>
          <t>국민 170616</t>
        </is>
      </c>
      <c r="M5" s="181" t="inlineStr">
        <is>
          <t>국민 169124</t>
        </is>
      </c>
      <c r="N5" s="180" t="inlineStr">
        <is>
          <t>확정·기타입금</t>
        </is>
      </c>
      <c r="O5" s="180" t="inlineStr">
        <is>
          <t>송금예정</t>
        </is>
      </c>
      <c r="P5" s="180" t="inlineStr">
        <is>
          <t>카드결제</t>
        </is>
      </c>
      <c r="Q5" s="180" t="inlineStr">
        <is>
          <t>조정·추정 지출</t>
        </is>
      </c>
      <c r="R5" s="180" t="inlineStr">
        <is>
          <t>순현금흐름</t>
        </is>
      </c>
      <c r="S5" s="180" t="inlineStr">
        <is>
          <t>기초잔액</t>
        </is>
      </c>
      <c r="T5" s="180" t="inlineStr">
        <is>
          <t>기말잔액</t>
        </is>
      </c>
      <c r="U5" s="180" t="inlineStr">
        <is>
          <t>비고</t>
        </is>
      </c>
    </row>
    <row r="6">
      <c r="A6" s="182" t="n">
        <v>46311</v>
      </c>
      <c r="B6" s="183" t="inlineStr">
        <is>
          <t>금</t>
        </is>
      </c>
      <c r="C6" s="310">
        <f>'계좌별시나리오'!D6</f>
        <v/>
      </c>
      <c r="D6" s="310">
        <f>'계좌별시나리오'!E6</f>
        <v/>
      </c>
      <c r="E6" s="310">
        <f>'계좌별시나리오'!F6</f>
        <v/>
      </c>
      <c r="F6" s="310">
        <f>'계좌별시나리오'!G6</f>
        <v/>
      </c>
      <c r="G6" s="310">
        <f>'계좌별시나리오'!H6</f>
        <v/>
      </c>
      <c r="H6" s="185" t="n"/>
      <c r="I6" s="185" t="n"/>
      <c r="J6" s="185" t="n"/>
      <c r="K6" s="185" t="n"/>
      <c r="L6" s="185" t="n"/>
      <c r="M6" s="185" t="n"/>
      <c r="N6" s="185" t="n"/>
      <c r="O6" s="185" t="n"/>
      <c r="P6" s="185" t="n"/>
      <c r="Q6" s="185" t="n"/>
      <c r="R6" s="185" t="n"/>
      <c r="S6" s="185" t="n"/>
      <c r="T6" s="186">
        <f>'계좌별시나리오'!C6</f>
        <v/>
      </c>
      <c r="U6" s="183" t="inlineStr">
        <is>
          <t>전일 마감 실잔고 — 여기서 계획 시작</t>
        </is>
      </c>
    </row>
    <row r="7">
      <c r="A7" s="187" t="n">
        <v>46312</v>
      </c>
      <c r="B7" s="188" t="inlineStr">
        <is>
          <t>토</t>
        </is>
      </c>
      <c r="C7" s="311">
        <f>'계좌별시나리오'!D7</f>
        <v/>
      </c>
      <c r="D7" s="311">
        <f>'계좌별시나리오'!E7</f>
        <v/>
      </c>
      <c r="E7" s="311">
        <f>'계좌별시나리오'!F7</f>
        <v/>
      </c>
      <c r="F7" s="311">
        <f>'계좌별시나리오'!G7</f>
        <v/>
      </c>
      <c r="G7" s="311">
        <f>'계좌별시나리오'!H7</f>
        <v/>
      </c>
      <c r="H7" s="185" t="n"/>
      <c r="I7" s="185" t="n"/>
      <c r="J7" s="185" t="n"/>
      <c r="K7" s="185" t="n"/>
      <c r="L7" s="185" t="n"/>
      <c r="M7" s="185" t="n"/>
      <c r="N7" s="185" t="n"/>
      <c r="O7" s="185" t="n"/>
      <c r="P7" s="185" t="n"/>
      <c r="Q7" s="185" t="n"/>
      <c r="R7" s="185" t="n"/>
      <c r="S7" s="185" t="n"/>
      <c r="T7" s="190">
        <f>'요약'!$B$6</f>
        <v/>
      </c>
      <c r="U7" s="188" t="inlineStr">
        <is>
          <t>오늘 실잔고(은행 확인)·실제 입금·출금 — 참고 (이중계산 안 됨)</t>
        </is>
      </c>
    </row>
    <row r="8" hidden="1" ht="75" customHeight="1">
      <c r="A8" s="191" t="n">
        <v>46307</v>
      </c>
      <c r="B8" s="192" t="inlineStr">
        <is>
          <t>월</t>
        </is>
      </c>
      <c r="C8" s="312">
        <f>'계좌별시나리오'!D8</f>
        <v/>
      </c>
      <c r="D8" s="312">
        <f>'계좌별시나리오'!E8</f>
        <v/>
      </c>
      <c r="E8" s="312">
        <f>'계좌별시나리오'!F8</f>
        <v/>
      </c>
      <c r="F8" s="312">
        <f>'계좌별시나리오'!G8</f>
        <v/>
      </c>
      <c r="G8" s="312">
        <f>'계좌별시나리오'!H8</f>
        <v/>
      </c>
      <c r="H8" s="194" t="n">
        <v>20095805</v>
      </c>
      <c r="I8" s="313">
        <f>'계좌별시나리오'!J8</f>
        <v/>
      </c>
      <c r="J8" s="313">
        <f>'계좌별시나리오'!K8</f>
        <v/>
      </c>
      <c r="K8" s="313">
        <f>'계좌별시나리오'!L8</f>
        <v/>
      </c>
      <c r="L8" s="313">
        <f>'계좌별시나리오'!M8</f>
        <v/>
      </c>
      <c r="M8" s="313">
        <f>'계좌별시나리오'!N8</f>
        <v/>
      </c>
      <c r="N8" s="196" t="n">
        <v>11217233</v>
      </c>
      <c r="O8" s="197" t="n"/>
      <c r="P8" s="197" t="n"/>
      <c r="Q8" s="196" t="n">
        <v>32379416</v>
      </c>
      <c r="R8" s="198">
        <f>H8+N8-O8-P8-Q8</f>
        <v/>
      </c>
      <c r="S8" s="199" t="n">
        <v>121673505</v>
      </c>
      <c r="T8" s="198">
        <f>S8+R8</f>
        <v/>
      </c>
      <c r="U8" s="200" t="inlineStr">
        <is>
          <t>실적 | 지출: 2609사회보험 13,821,900, 주식회사에이팜건강 9,260,903, 국고_주식회사 4,533,630 외 8건 | 기타입금: 주식회사에이팜건강 9,260,403, 송경민 1,512,000 외 4건</t>
        </is>
      </c>
    </row>
    <row r="9" hidden="1" ht="75" customHeight="1">
      <c r="A9" s="191" t="n">
        <v>46308</v>
      </c>
      <c r="B9" s="192" t="inlineStr">
        <is>
          <t>화</t>
        </is>
      </c>
      <c r="C9" s="312">
        <f>'계좌별시나리오'!D9</f>
        <v/>
      </c>
      <c r="D9" s="312">
        <f>'계좌별시나리오'!E9</f>
        <v/>
      </c>
      <c r="E9" s="312">
        <f>'계좌별시나리오'!F9</f>
        <v/>
      </c>
      <c r="F9" s="312">
        <f>'계좌별시나리오'!G9</f>
        <v/>
      </c>
      <c r="G9" s="312">
        <f>'계좌별시나리오'!H9</f>
        <v/>
      </c>
      <c r="H9" s="194" t="n">
        <v>21355339</v>
      </c>
      <c r="I9" s="313">
        <f>'계좌별시나리오'!J9</f>
        <v/>
      </c>
      <c r="J9" s="313">
        <f>'계좌별시나리오'!K9</f>
        <v/>
      </c>
      <c r="K9" s="313">
        <f>'계좌별시나리오'!L9</f>
        <v/>
      </c>
      <c r="L9" s="313">
        <f>'계좌별시나리오'!M9</f>
        <v/>
      </c>
      <c r="M9" s="313">
        <f>'계좌별시나리오'!N9</f>
        <v/>
      </c>
      <c r="N9" s="196" t="n">
        <v>290620</v>
      </c>
      <c r="O9" s="197" t="n"/>
      <c r="P9" s="197" t="n"/>
      <c r="Q9" s="196" t="n">
        <v>9561292</v>
      </c>
      <c r="R9" s="198">
        <f>H9+N9-O9-P9-Q9</f>
        <v/>
      </c>
      <c r="S9" s="199">
        <f>T8</f>
        <v/>
      </c>
      <c r="T9" s="198">
        <f>S9+R9</f>
        <v/>
      </c>
      <c r="U9" s="200" t="inlineStr">
        <is>
          <t>실적 | 지출: 기업에이비제트 주식 3,300,000, 기업(주)써치엠 1,932,506, 기업(주)써치엠 1,487,786 외 4건 | 기타입금: (사)약령시보존위원 126,000, 허수원 87,000 외 3건</t>
        </is>
      </c>
    </row>
    <row r="10" hidden="1" ht="60.8" customHeight="1">
      <c r="A10" s="191" t="n">
        <v>46309</v>
      </c>
      <c r="B10" s="192" t="inlineStr">
        <is>
          <t>수</t>
        </is>
      </c>
      <c r="C10" s="312">
        <f>'계좌별시나리오'!D10</f>
        <v/>
      </c>
      <c r="D10" s="312">
        <f>'계좌별시나리오'!E10</f>
        <v/>
      </c>
      <c r="E10" s="312">
        <f>'계좌별시나리오'!F10</f>
        <v/>
      </c>
      <c r="F10" s="312">
        <f>'계좌별시나리오'!G10</f>
        <v/>
      </c>
      <c r="G10" s="312">
        <f>'계좌별시나리오'!H10</f>
        <v/>
      </c>
      <c r="H10" s="194" t="n">
        <v>10161328</v>
      </c>
      <c r="I10" s="313">
        <f>'계좌별시나리오'!J10</f>
        <v/>
      </c>
      <c r="J10" s="313">
        <f>'계좌별시나리오'!K10</f>
        <v/>
      </c>
      <c r="K10" s="313">
        <f>'계좌별시나리오'!L10</f>
        <v/>
      </c>
      <c r="L10" s="313">
        <f>'계좌별시나리오'!M10</f>
        <v/>
      </c>
      <c r="M10" s="313">
        <f>'계좌별시나리오'!N10</f>
        <v/>
      </c>
      <c r="N10" s="196" t="n">
        <v>687080</v>
      </c>
      <c r="O10" s="197" t="n"/>
      <c r="P10" s="197" t="n"/>
      <c r="Q10" s="196" t="n">
        <v>1804000</v>
      </c>
      <c r="R10" s="198">
        <f>H10+N10-O10-P10-Q10</f>
        <v/>
      </c>
      <c r="S10" s="199">
        <f>T9</f>
        <v/>
      </c>
      <c r="T10" s="198">
        <f>S10+R10</f>
        <v/>
      </c>
      <c r="U10" s="200" t="inlineStr">
        <is>
          <t>실적 | 지출: 국민SA 1,254,000, 국민GFA 330,000, 국민GFA 220,000 | 기타입금: 김지희 224,850, 김솔이 156,000 외 4건</t>
        </is>
      </c>
    </row>
    <row r="11" hidden="1" ht="75" customHeight="1">
      <c r="A11" s="191" t="n">
        <v>46310</v>
      </c>
      <c r="B11" s="192" t="inlineStr">
        <is>
          <t>목</t>
        </is>
      </c>
      <c r="C11" s="312">
        <f>'계좌별시나리오'!D11</f>
        <v/>
      </c>
      <c r="D11" s="312">
        <f>'계좌별시나리오'!E11</f>
        <v/>
      </c>
      <c r="E11" s="312">
        <f>'계좌별시나리오'!F11</f>
        <v/>
      </c>
      <c r="F11" s="312">
        <f>'계좌별시나리오'!G11</f>
        <v/>
      </c>
      <c r="G11" s="312">
        <f>'계좌별시나리오'!H11</f>
        <v/>
      </c>
      <c r="H11" s="194" t="n">
        <v>14056940</v>
      </c>
      <c r="I11" s="313">
        <f>'계좌별시나리오'!J11</f>
        <v/>
      </c>
      <c r="J11" s="313">
        <f>'계좌별시나리오'!K11</f>
        <v/>
      </c>
      <c r="K11" s="313">
        <f>'계좌별시나리오'!L11</f>
        <v/>
      </c>
      <c r="L11" s="313">
        <f>'계좌별시나리오'!M11</f>
        <v/>
      </c>
      <c r="M11" s="313">
        <f>'계좌별시나리오'!N11</f>
        <v/>
      </c>
      <c r="N11" s="196" t="n">
        <v>212710</v>
      </c>
      <c r="O11" s="197" t="n"/>
      <c r="P11" s="197" t="n"/>
      <c r="Q11" s="196" t="n">
        <v>17314072</v>
      </c>
      <c r="R11" s="198">
        <f>H11+N11-O11-P11-Q11</f>
        <v/>
      </c>
      <c r="S11" s="199">
        <f>T10</f>
        <v/>
      </c>
      <c r="T11" s="198">
        <f>S11+R11</f>
        <v/>
      </c>
      <c r="U11" s="200" t="inlineStr">
        <is>
          <t>실적 | 지출: 국민주식회사 원정대 5,500,000, ABL생명10011 5,001,750, 국민주식회사 캐시워 1,100,000 외 19건 | 기타입금: 에스케이엠앤서비스 179,710, 나가윤 33,000</t>
        </is>
      </c>
    </row>
    <row r="12" hidden="1" ht="60.8" customHeight="1">
      <c r="A12" s="191" t="n">
        <v>46311</v>
      </c>
      <c r="B12" s="192" t="inlineStr">
        <is>
          <t>금</t>
        </is>
      </c>
      <c r="C12" s="312">
        <f>'계좌별시나리오'!D12</f>
        <v/>
      </c>
      <c r="D12" s="312">
        <f>'계좌별시나리오'!E12</f>
        <v/>
      </c>
      <c r="E12" s="312">
        <f>'계좌별시나리오'!F12</f>
        <v/>
      </c>
      <c r="F12" s="312">
        <f>'계좌별시나리오'!G12</f>
        <v/>
      </c>
      <c r="G12" s="312">
        <f>'계좌별시나리오'!H12</f>
        <v/>
      </c>
      <c r="H12" s="194" t="n">
        <v>8577438</v>
      </c>
      <c r="I12" s="313">
        <f>'계좌별시나리오'!J12</f>
        <v/>
      </c>
      <c r="J12" s="313">
        <f>'계좌별시나리오'!K12</f>
        <v/>
      </c>
      <c r="K12" s="313">
        <f>'계좌별시나리오'!L12</f>
        <v/>
      </c>
      <c r="L12" s="313">
        <f>'계좌별시나리오'!M12</f>
        <v/>
      </c>
      <c r="M12" s="313">
        <f>'계좌별시나리오'!N12</f>
        <v/>
      </c>
      <c r="N12" s="197" t="n"/>
      <c r="O12" s="197" t="n"/>
      <c r="P12" s="197" t="n"/>
      <c r="Q12" s="196" t="n">
        <v>26401000</v>
      </c>
      <c r="R12" s="198">
        <f>H12+N12-O12-P12-Q12</f>
        <v/>
      </c>
      <c r="S12" s="199">
        <f>T11</f>
        <v/>
      </c>
      <c r="T12" s="198">
        <f>S12+R12</f>
        <v/>
      </c>
      <c r="U12" s="200" t="inlineStr">
        <is>
          <t>실적 | 지출: 기업엠에스바이오텍( 10,000,000, (재)한국기계전기전 5,000,000, 국민주식회사 아이디 3,300,000 외 6건</t>
        </is>
      </c>
    </row>
    <row r="13">
      <c r="A13" s="201" t="n">
        <v>46312</v>
      </c>
      <c r="B13" s="202" t="inlineStr">
        <is>
          <t>토</t>
        </is>
      </c>
      <c r="C13" s="314">
        <f>'계좌별시나리오'!D13</f>
        <v/>
      </c>
      <c r="D13" s="314">
        <f>'계좌별시나리오'!E13</f>
        <v/>
      </c>
      <c r="E13" s="314">
        <f>'계좌별시나리오'!F13</f>
        <v/>
      </c>
      <c r="F13" s="314">
        <f>'계좌별시나리오'!G13</f>
        <v/>
      </c>
      <c r="G13" s="314">
        <f>'계좌별시나리오'!H13</f>
        <v/>
      </c>
      <c r="H13" s="204">
        <f>INDEX('설정및분류'!$C$6:$C$12,WEEKDAY(A13,2))*'요약'!$B$13</f>
        <v/>
      </c>
      <c r="I13" s="315">
        <f>'계좌별시나리오'!J13</f>
        <v/>
      </c>
      <c r="J13" s="315">
        <f>'계좌별시나리오'!K13</f>
        <v/>
      </c>
      <c r="K13" s="315">
        <f>'계좌별시나리오'!L13</f>
        <v/>
      </c>
      <c r="L13" s="315">
        <f>'계좌별시나리오'!M13</f>
        <v/>
      </c>
      <c r="M13" s="315">
        <f>'계좌별시나리오'!N13</f>
        <v/>
      </c>
      <c r="N13" s="316">
        <f>SUMIFS('경영보고'!$E$114:$E$135,'경영보고'!$A$114:$A$135,$A13,'경영보고'!$C$114:$C$135,"확정입금")</f>
        <v/>
      </c>
      <c r="O13" s="316">
        <f>SUMIFS('경영보고'!$E$16:$E$109,'경영보고'!$A$16:$A$109,$A13,'경영보고'!$I$16:$I$109,"&lt;&gt;보류",'경영보고'!$F$16:$F$109,"계좌송금")</f>
        <v/>
      </c>
      <c r="P13" s="316">
        <f>SUMIFS('경영보고'!$E$16:$E$109,'경영보고'!$A$16:$A$109,$A13,'경영보고'!$I$16:$I$109,"&lt;&gt;보류",'경영보고'!$F$16:$F$109,"법인카드")</f>
        <v/>
      </c>
      <c r="Q13" s="316">
        <f>SUMIFS('경영보고'!$E$16:$E$109,'경영보고'!$A$16:$A$109,$A13,'경영보고'!$I$16:$I$109,"&lt;&gt;보류")-O13-P13</f>
        <v/>
      </c>
      <c r="R13" s="207">
        <f>H13+N13-O13-P13-Q13</f>
        <v/>
      </c>
      <c r="S13" s="208">
        <f>T12</f>
        <v/>
      </c>
      <c r="T13" s="207">
        <f>S13+R13</f>
        <v/>
      </c>
      <c r="U13" s="209" t="n"/>
    </row>
    <row r="14">
      <c r="A14" s="210" t="n">
        <v>46313</v>
      </c>
      <c r="B14" s="211" t="inlineStr">
        <is>
          <t>일</t>
        </is>
      </c>
      <c r="C14" s="312">
        <f>'계좌별시나리오'!D14</f>
        <v/>
      </c>
      <c r="D14" s="312">
        <f>'계좌별시나리오'!E14</f>
        <v/>
      </c>
      <c r="E14" s="312">
        <f>'계좌별시나리오'!F14</f>
        <v/>
      </c>
      <c r="F14" s="312">
        <f>'계좌별시나리오'!G14</f>
        <v/>
      </c>
      <c r="G14" s="312">
        <f>'계좌별시나리오'!H14</f>
        <v/>
      </c>
      <c r="H14" s="212">
        <f>INDEX('설정및분류'!$C$6:$C$12,WEEKDAY(A14,2))*'요약'!$B$13</f>
        <v/>
      </c>
      <c r="I14" s="313">
        <f>'계좌별시나리오'!J14</f>
        <v/>
      </c>
      <c r="J14" s="313">
        <f>'계좌별시나리오'!K14</f>
        <v/>
      </c>
      <c r="K14" s="313">
        <f>'계좌별시나리오'!L14</f>
        <v/>
      </c>
      <c r="L14" s="313">
        <f>'계좌별시나리오'!M14</f>
        <v/>
      </c>
      <c r="M14" s="313">
        <f>'계좌별시나리오'!N14</f>
        <v/>
      </c>
      <c r="N14" s="317">
        <f>SUMIFS('경영보고'!$E$114:$E$135,'경영보고'!$A$114:$A$135,$A14,'경영보고'!$C$114:$C$135,"확정입금")</f>
        <v/>
      </c>
      <c r="O14" s="317">
        <f>SUMIFS('경영보고'!$E$16:$E$109,'경영보고'!$A$16:$A$109,$A14,'경영보고'!$I$16:$I$109,"&lt;&gt;보류",'경영보고'!$F$16:$F$109,"계좌송금")</f>
        <v/>
      </c>
      <c r="P14" s="317">
        <f>SUMIFS('경영보고'!$E$16:$E$109,'경영보고'!$A$16:$A$109,$A14,'경영보고'!$I$16:$I$109,"&lt;&gt;보류",'경영보고'!$F$16:$F$109,"법인카드")</f>
        <v/>
      </c>
      <c r="Q14" s="317">
        <f>SUMIFS('경영보고'!$E$16:$E$109,'경영보고'!$A$16:$A$109,$A14,'경영보고'!$I$16:$I$109,"&lt;&gt;보류")-O14-P14</f>
        <v/>
      </c>
      <c r="R14" s="198">
        <f>H14+N14-O14-P14-Q14</f>
        <v/>
      </c>
      <c r="S14" s="199">
        <f>T13</f>
        <v/>
      </c>
      <c r="T14" s="198">
        <f>S14+R14</f>
        <v/>
      </c>
      <c r="U14" s="214" t="n"/>
    </row>
    <row r="15">
      <c r="A15" s="215" t="n">
        <v>46314</v>
      </c>
      <c r="B15" s="192" t="inlineStr">
        <is>
          <t>월</t>
        </is>
      </c>
      <c r="C15" s="312">
        <f>'계좌별시나리오'!D15</f>
        <v/>
      </c>
      <c r="D15" s="312">
        <f>'계좌별시나리오'!E15</f>
        <v/>
      </c>
      <c r="E15" s="312">
        <f>'계좌별시나리오'!F15</f>
        <v/>
      </c>
      <c r="F15" s="312">
        <f>'계좌별시나리오'!G15</f>
        <v/>
      </c>
      <c r="G15" s="312">
        <f>'계좌별시나리오'!H15</f>
        <v/>
      </c>
      <c r="H15" s="212">
        <f>INDEX('설정및분류'!$C$6:$C$12,WEEKDAY(A15,2))*'요약'!$B$13</f>
        <v/>
      </c>
      <c r="I15" s="313">
        <f>'계좌별시나리오'!J15</f>
        <v/>
      </c>
      <c r="J15" s="313">
        <f>'계좌별시나리오'!K15</f>
        <v/>
      </c>
      <c r="K15" s="313">
        <f>'계좌별시나리오'!L15</f>
        <v/>
      </c>
      <c r="L15" s="313">
        <f>'계좌별시나리오'!M15</f>
        <v/>
      </c>
      <c r="M15" s="313">
        <f>'계좌별시나리오'!N15</f>
        <v/>
      </c>
      <c r="N15" s="317">
        <f>SUMIFS('경영보고'!$E$114:$E$135,'경영보고'!$A$114:$A$135,$A15,'경영보고'!$C$114:$C$135,"확정입금")</f>
        <v/>
      </c>
      <c r="O15" s="317">
        <f>SUMIFS('경영보고'!$E$16:$E$109,'경영보고'!$A$16:$A$109,$A15,'경영보고'!$I$16:$I$109,"&lt;&gt;보류",'경영보고'!$F$16:$F$109,"계좌송금")</f>
        <v/>
      </c>
      <c r="P15" s="317">
        <f>SUMIFS('경영보고'!$E$16:$E$109,'경영보고'!$A$16:$A$109,$A15,'경영보고'!$I$16:$I$109,"&lt;&gt;보류",'경영보고'!$F$16:$F$109,"법인카드")</f>
        <v/>
      </c>
      <c r="Q15" s="317">
        <f>SUMIFS('경영보고'!$E$16:$E$109,'경영보고'!$A$16:$A$109,$A15,'경영보고'!$I$16:$I$109,"&lt;&gt;보류")-O15-P15</f>
        <v/>
      </c>
      <c r="R15" s="198">
        <f>H15+N15-O15-P15-Q15</f>
        <v/>
      </c>
      <c r="S15" s="199">
        <f>T14</f>
        <v/>
      </c>
      <c r="T15" s="198">
        <f>S15+R15</f>
        <v/>
      </c>
      <c r="U15" s="214" t="n"/>
    </row>
    <row r="16">
      <c r="A16" s="215" t="n">
        <v>46315</v>
      </c>
      <c r="B16" s="192" t="inlineStr">
        <is>
          <t>화</t>
        </is>
      </c>
      <c r="C16" s="312">
        <f>'계좌별시나리오'!D16</f>
        <v/>
      </c>
      <c r="D16" s="312">
        <f>'계좌별시나리오'!E16</f>
        <v/>
      </c>
      <c r="E16" s="312">
        <f>'계좌별시나리오'!F16</f>
        <v/>
      </c>
      <c r="F16" s="312">
        <f>'계좌별시나리오'!G16</f>
        <v/>
      </c>
      <c r="G16" s="312">
        <f>'계좌별시나리오'!H16</f>
        <v/>
      </c>
      <c r="H16" s="212">
        <f>INDEX('설정및분류'!$C$6:$C$12,WEEKDAY(A16,2))*'요약'!$B$13</f>
        <v/>
      </c>
      <c r="I16" s="313">
        <f>'계좌별시나리오'!J16</f>
        <v/>
      </c>
      <c r="J16" s="313">
        <f>'계좌별시나리오'!K16</f>
        <v/>
      </c>
      <c r="K16" s="313">
        <f>'계좌별시나리오'!L16</f>
        <v/>
      </c>
      <c r="L16" s="313">
        <f>'계좌별시나리오'!M16</f>
        <v/>
      </c>
      <c r="M16" s="313">
        <f>'계좌별시나리오'!N16</f>
        <v/>
      </c>
      <c r="N16" s="317">
        <f>SUMIFS('경영보고'!$E$114:$E$135,'경영보고'!$A$114:$A$135,$A16,'경영보고'!$C$114:$C$135,"확정입금")</f>
        <v/>
      </c>
      <c r="O16" s="317">
        <f>SUMIFS('경영보고'!$E$16:$E$109,'경영보고'!$A$16:$A$109,$A16,'경영보고'!$I$16:$I$109,"&lt;&gt;보류",'경영보고'!$F$16:$F$109,"계좌송금")</f>
        <v/>
      </c>
      <c r="P16" s="317">
        <f>SUMIFS('경영보고'!$E$16:$E$109,'경영보고'!$A$16:$A$109,$A16,'경영보고'!$I$16:$I$109,"&lt;&gt;보류",'경영보고'!$F$16:$F$109,"법인카드")</f>
        <v/>
      </c>
      <c r="Q16" s="317">
        <f>SUMIFS('경영보고'!$E$16:$E$109,'경영보고'!$A$16:$A$109,$A16,'경영보고'!$I$16:$I$109,"&lt;&gt;보류")-O16-P16</f>
        <v/>
      </c>
      <c r="R16" s="198">
        <f>H16+N16-O16-P16-Q16</f>
        <v/>
      </c>
      <c r="S16" s="199">
        <f>T15</f>
        <v/>
      </c>
      <c r="T16" s="198">
        <f>S16+R16</f>
        <v/>
      </c>
      <c r="U16" s="214" t="n"/>
    </row>
    <row r="17">
      <c r="A17" s="215" t="n">
        <v>46316</v>
      </c>
      <c r="B17" s="192" t="inlineStr">
        <is>
          <t>수</t>
        </is>
      </c>
      <c r="C17" s="312">
        <f>'계좌별시나리오'!D17</f>
        <v/>
      </c>
      <c r="D17" s="312">
        <f>'계좌별시나리오'!E17</f>
        <v/>
      </c>
      <c r="E17" s="312">
        <f>'계좌별시나리오'!F17</f>
        <v/>
      </c>
      <c r="F17" s="312">
        <f>'계좌별시나리오'!G17</f>
        <v/>
      </c>
      <c r="G17" s="312">
        <f>'계좌별시나리오'!H17</f>
        <v/>
      </c>
      <c r="H17" s="212">
        <f>INDEX('설정및분류'!$C$6:$C$12,WEEKDAY(A17,2))*'요약'!$B$13</f>
        <v/>
      </c>
      <c r="I17" s="313">
        <f>'계좌별시나리오'!J17</f>
        <v/>
      </c>
      <c r="J17" s="313">
        <f>'계좌별시나리오'!K17</f>
        <v/>
      </c>
      <c r="K17" s="313">
        <f>'계좌별시나리오'!L17</f>
        <v/>
      </c>
      <c r="L17" s="313">
        <f>'계좌별시나리오'!M17</f>
        <v/>
      </c>
      <c r="M17" s="313">
        <f>'계좌별시나리오'!N17</f>
        <v/>
      </c>
      <c r="N17" s="317">
        <f>SUMIFS('경영보고'!$E$114:$E$135,'경영보고'!$A$114:$A$135,$A17,'경영보고'!$C$114:$C$135,"확정입금")</f>
        <v/>
      </c>
      <c r="O17" s="317">
        <f>SUMIFS('경영보고'!$E$16:$E$109,'경영보고'!$A$16:$A$109,$A17,'경영보고'!$I$16:$I$109,"&lt;&gt;보류",'경영보고'!$F$16:$F$109,"계좌송금")</f>
        <v/>
      </c>
      <c r="P17" s="317">
        <f>SUMIFS('경영보고'!$E$16:$E$109,'경영보고'!$A$16:$A$109,$A17,'경영보고'!$I$16:$I$109,"&lt;&gt;보류",'경영보고'!$F$16:$F$109,"법인카드")</f>
        <v/>
      </c>
      <c r="Q17" s="317">
        <f>SUMIFS('경영보고'!$E$16:$E$109,'경영보고'!$A$16:$A$109,$A17,'경영보고'!$I$16:$I$109,"&lt;&gt;보류")-O17-P17</f>
        <v/>
      </c>
      <c r="R17" s="198">
        <f>H17+N17-O17-P17-Q17</f>
        <v/>
      </c>
      <c r="S17" s="199">
        <f>T16</f>
        <v/>
      </c>
      <c r="T17" s="198">
        <f>S17+R17</f>
        <v/>
      </c>
      <c r="U17" s="214" t="n"/>
    </row>
    <row r="18">
      <c r="A18" s="215" t="n">
        <v>46317</v>
      </c>
      <c r="B18" s="192" t="inlineStr">
        <is>
          <t>목</t>
        </is>
      </c>
      <c r="C18" s="312">
        <f>'계좌별시나리오'!D18</f>
        <v/>
      </c>
      <c r="D18" s="312">
        <f>'계좌별시나리오'!E18</f>
        <v/>
      </c>
      <c r="E18" s="312">
        <f>'계좌별시나리오'!F18</f>
        <v/>
      </c>
      <c r="F18" s="312">
        <f>'계좌별시나리오'!G18</f>
        <v/>
      </c>
      <c r="G18" s="312">
        <f>'계좌별시나리오'!H18</f>
        <v/>
      </c>
      <c r="H18" s="212">
        <f>INDEX('설정및분류'!$C$6:$C$12,WEEKDAY(A18,2))*'요약'!$B$13</f>
        <v/>
      </c>
      <c r="I18" s="313">
        <f>'계좌별시나리오'!J18</f>
        <v/>
      </c>
      <c r="J18" s="313">
        <f>'계좌별시나리오'!K18</f>
        <v/>
      </c>
      <c r="K18" s="313">
        <f>'계좌별시나리오'!L18</f>
        <v/>
      </c>
      <c r="L18" s="313">
        <f>'계좌별시나리오'!M18</f>
        <v/>
      </c>
      <c r="M18" s="313">
        <f>'계좌별시나리오'!N18</f>
        <v/>
      </c>
      <c r="N18" s="317">
        <f>SUMIFS('경영보고'!$E$114:$E$135,'경영보고'!$A$114:$A$135,$A18,'경영보고'!$C$114:$C$135,"확정입금")</f>
        <v/>
      </c>
      <c r="O18" s="317">
        <f>SUMIFS('경영보고'!$E$16:$E$109,'경영보고'!$A$16:$A$109,$A18,'경영보고'!$I$16:$I$109,"&lt;&gt;보류",'경영보고'!$F$16:$F$109,"계좌송금")</f>
        <v/>
      </c>
      <c r="P18" s="317">
        <f>SUMIFS('경영보고'!$E$16:$E$109,'경영보고'!$A$16:$A$109,$A18,'경영보고'!$I$16:$I$109,"&lt;&gt;보류",'경영보고'!$F$16:$F$109,"법인카드")</f>
        <v/>
      </c>
      <c r="Q18" s="317">
        <f>SUMIFS('경영보고'!$E$16:$E$109,'경영보고'!$A$16:$A$109,$A18,'경영보고'!$I$16:$I$109,"&lt;&gt;보류")-O18-P18</f>
        <v/>
      </c>
      <c r="R18" s="198">
        <f>H18+N18-O18-P18-Q18</f>
        <v/>
      </c>
      <c r="S18" s="199">
        <f>T17</f>
        <v/>
      </c>
      <c r="T18" s="198">
        <f>S18+R18</f>
        <v/>
      </c>
      <c r="U18" s="214" t="n"/>
    </row>
    <row r="19">
      <c r="A19" s="216" t="n">
        <v>46318</v>
      </c>
      <c r="B19" s="217" t="inlineStr">
        <is>
          <t>금</t>
        </is>
      </c>
      <c r="C19" s="318">
        <f>'계좌별시나리오'!D19</f>
        <v/>
      </c>
      <c r="D19" s="318">
        <f>'계좌별시나리오'!E19</f>
        <v/>
      </c>
      <c r="E19" s="318">
        <f>'계좌별시나리오'!F19</f>
        <v/>
      </c>
      <c r="F19" s="318">
        <f>'계좌별시나리오'!G19</f>
        <v/>
      </c>
      <c r="G19" s="318">
        <f>'계좌별시나리오'!H19</f>
        <v/>
      </c>
      <c r="H19" s="219">
        <f>INDEX('설정및분류'!$C$6:$C$12,WEEKDAY(A19,2))*'요약'!$B$13</f>
        <v/>
      </c>
      <c r="I19" s="319">
        <f>'계좌별시나리오'!J19</f>
        <v/>
      </c>
      <c r="J19" s="319">
        <f>'계좌별시나리오'!K19</f>
        <v/>
      </c>
      <c r="K19" s="319">
        <f>'계좌별시나리오'!L19</f>
        <v/>
      </c>
      <c r="L19" s="319">
        <f>'계좌별시나리오'!M19</f>
        <v/>
      </c>
      <c r="M19" s="319">
        <f>'계좌별시나리오'!N19</f>
        <v/>
      </c>
      <c r="N19" s="320">
        <f>SUMIFS('경영보고'!$E$114:$E$135,'경영보고'!$A$114:$A$135,$A19,'경영보고'!$C$114:$C$135,"확정입금")</f>
        <v/>
      </c>
      <c r="O19" s="320">
        <f>SUMIFS('경영보고'!$E$16:$E$109,'경영보고'!$A$16:$A$109,$A19,'경영보고'!$I$16:$I$109,"&lt;&gt;보류",'경영보고'!$F$16:$F$109,"계좌송금")</f>
        <v/>
      </c>
      <c r="P19" s="320">
        <f>SUMIFS('경영보고'!$E$16:$E$109,'경영보고'!$A$16:$A$109,$A19,'경영보고'!$I$16:$I$109,"&lt;&gt;보류",'경영보고'!$F$16:$F$109,"법인카드")</f>
        <v/>
      </c>
      <c r="Q19" s="320">
        <f>SUMIFS('경영보고'!$E$16:$E$109,'경영보고'!$A$16:$A$109,$A19,'경영보고'!$I$16:$I$109,"&lt;&gt;보류")-O19-P19</f>
        <v/>
      </c>
      <c r="R19" s="222">
        <f>H19+N19-O19-P19-Q19</f>
        <v/>
      </c>
      <c r="S19" s="223">
        <f>T18</f>
        <v/>
      </c>
      <c r="T19" s="222">
        <f>S19+R19</f>
        <v/>
      </c>
      <c r="U19" s="224" t="n"/>
    </row>
    <row r="20">
      <c r="A20" s="225" t="n">
        <v>46319</v>
      </c>
      <c r="B20" s="211" t="inlineStr">
        <is>
          <t>토</t>
        </is>
      </c>
      <c r="C20" s="312">
        <f>'계좌별시나리오'!D20</f>
        <v/>
      </c>
      <c r="D20" s="312">
        <f>'계좌별시나리오'!E20</f>
        <v/>
      </c>
      <c r="E20" s="312">
        <f>'계좌별시나리오'!F20</f>
        <v/>
      </c>
      <c r="F20" s="312">
        <f>'계좌별시나리오'!G20</f>
        <v/>
      </c>
      <c r="G20" s="312">
        <f>'계좌별시나리오'!H20</f>
        <v/>
      </c>
      <c r="H20" s="212">
        <f>INDEX('설정및분류'!$C$6:$C$12,WEEKDAY(A20,2))*'요약'!$B$13</f>
        <v/>
      </c>
      <c r="I20" s="313">
        <f>'계좌별시나리오'!J20</f>
        <v/>
      </c>
      <c r="J20" s="313">
        <f>'계좌별시나리오'!K20</f>
        <v/>
      </c>
      <c r="K20" s="313">
        <f>'계좌별시나리오'!L20</f>
        <v/>
      </c>
      <c r="L20" s="313">
        <f>'계좌별시나리오'!M20</f>
        <v/>
      </c>
      <c r="M20" s="313">
        <f>'계좌별시나리오'!N20</f>
        <v/>
      </c>
      <c r="N20" s="317">
        <f>SUMIFS('경영보고'!$E$114:$E$135,'경영보고'!$A$114:$A$135,$A20,'경영보고'!$C$114:$C$135,"확정입금")</f>
        <v/>
      </c>
      <c r="O20" s="317">
        <f>SUMIFS('경영보고'!$E$16:$E$109,'경영보고'!$A$16:$A$109,$A20,'경영보고'!$I$16:$I$109,"&lt;&gt;보류",'경영보고'!$F$16:$F$109,"계좌송금")</f>
        <v/>
      </c>
      <c r="P20" s="317">
        <f>SUMIFS('경영보고'!$E$16:$E$109,'경영보고'!$A$16:$A$109,$A20,'경영보고'!$I$16:$I$109,"&lt;&gt;보류",'경영보고'!$F$16:$F$109,"법인카드")</f>
        <v/>
      </c>
      <c r="Q20" s="317">
        <f>SUMIFS('경영보고'!$E$16:$E$109,'경영보고'!$A$16:$A$109,$A20,'경영보고'!$I$16:$I$109,"&lt;&gt;보류")-O20-P20</f>
        <v/>
      </c>
      <c r="R20" s="198">
        <f>H20+N20-O20-P20-Q20</f>
        <v/>
      </c>
      <c r="S20" s="199">
        <f>T19</f>
        <v/>
      </c>
      <c r="T20" s="198">
        <f>S20+R20</f>
        <v/>
      </c>
      <c r="U20" s="226" t="n"/>
    </row>
    <row r="21">
      <c r="A21" s="225" t="n">
        <v>46320</v>
      </c>
      <c r="B21" s="211" t="inlineStr">
        <is>
          <t>일</t>
        </is>
      </c>
      <c r="C21" s="312">
        <f>'계좌별시나리오'!D21</f>
        <v/>
      </c>
      <c r="D21" s="312">
        <f>'계좌별시나리오'!E21</f>
        <v/>
      </c>
      <c r="E21" s="312">
        <f>'계좌별시나리오'!F21</f>
        <v/>
      </c>
      <c r="F21" s="312">
        <f>'계좌별시나리오'!G21</f>
        <v/>
      </c>
      <c r="G21" s="312">
        <f>'계좌별시나리오'!H21</f>
        <v/>
      </c>
      <c r="H21" s="212">
        <f>INDEX('설정및분류'!$C$6:$C$12,WEEKDAY(A21,2))*'요약'!$B$13</f>
        <v/>
      </c>
      <c r="I21" s="313">
        <f>'계좌별시나리오'!J21</f>
        <v/>
      </c>
      <c r="J21" s="313">
        <f>'계좌별시나리오'!K21</f>
        <v/>
      </c>
      <c r="K21" s="313">
        <f>'계좌별시나리오'!L21</f>
        <v/>
      </c>
      <c r="L21" s="313">
        <f>'계좌별시나리오'!M21</f>
        <v/>
      </c>
      <c r="M21" s="313">
        <f>'계좌별시나리오'!N21</f>
        <v/>
      </c>
      <c r="N21" s="317">
        <f>SUMIFS('경영보고'!$E$114:$E$135,'경영보고'!$A$114:$A$135,$A21,'경영보고'!$C$114:$C$135,"확정입금")</f>
        <v/>
      </c>
      <c r="O21" s="317">
        <f>SUMIFS('경영보고'!$E$16:$E$109,'경영보고'!$A$16:$A$109,$A21,'경영보고'!$I$16:$I$109,"&lt;&gt;보류",'경영보고'!$F$16:$F$109,"계좌송금")</f>
        <v/>
      </c>
      <c r="P21" s="317">
        <f>SUMIFS('경영보고'!$E$16:$E$109,'경영보고'!$A$16:$A$109,$A21,'경영보고'!$I$16:$I$109,"&lt;&gt;보류",'경영보고'!$F$16:$F$109,"법인카드")</f>
        <v/>
      </c>
      <c r="Q21" s="317">
        <f>SUMIFS('경영보고'!$E$16:$E$109,'경영보고'!$A$16:$A$109,$A21,'경영보고'!$I$16:$I$109,"&lt;&gt;보류")-O21-P21</f>
        <v/>
      </c>
      <c r="R21" s="198">
        <f>H21+N21-O21-P21-Q21</f>
        <v/>
      </c>
      <c r="S21" s="199">
        <f>T20</f>
        <v/>
      </c>
      <c r="T21" s="198">
        <f>S21+R21</f>
        <v/>
      </c>
      <c r="U21" s="226" t="n"/>
    </row>
    <row r="22">
      <c r="A22" s="191" t="n">
        <v>46321</v>
      </c>
      <c r="B22" s="192" t="inlineStr">
        <is>
          <t>월</t>
        </is>
      </c>
      <c r="C22" s="312">
        <f>'계좌별시나리오'!D22</f>
        <v/>
      </c>
      <c r="D22" s="312">
        <f>'계좌별시나리오'!E22</f>
        <v/>
      </c>
      <c r="E22" s="312">
        <f>'계좌별시나리오'!F22</f>
        <v/>
      </c>
      <c r="F22" s="312">
        <f>'계좌별시나리오'!G22</f>
        <v/>
      </c>
      <c r="G22" s="312">
        <f>'계좌별시나리오'!H22</f>
        <v/>
      </c>
      <c r="H22" s="212">
        <f>INDEX('설정및분류'!$C$6:$C$12,WEEKDAY(A22,2))*'요약'!$B$13</f>
        <v/>
      </c>
      <c r="I22" s="313">
        <f>'계좌별시나리오'!J22</f>
        <v/>
      </c>
      <c r="J22" s="313">
        <f>'계좌별시나리오'!K22</f>
        <v/>
      </c>
      <c r="K22" s="313">
        <f>'계좌별시나리오'!L22</f>
        <v/>
      </c>
      <c r="L22" s="313">
        <f>'계좌별시나리오'!M22</f>
        <v/>
      </c>
      <c r="M22" s="313">
        <f>'계좌별시나리오'!N22</f>
        <v/>
      </c>
      <c r="N22" s="317">
        <f>SUMIFS('경영보고'!$E$114:$E$135,'경영보고'!$A$114:$A$135,$A22,'경영보고'!$C$114:$C$135,"확정입금")</f>
        <v/>
      </c>
      <c r="O22" s="317">
        <f>SUMIFS('경영보고'!$E$16:$E$109,'경영보고'!$A$16:$A$109,$A22,'경영보고'!$I$16:$I$109,"&lt;&gt;보류",'경영보고'!$F$16:$F$109,"계좌송금")</f>
        <v/>
      </c>
      <c r="P22" s="317">
        <f>SUMIFS('경영보고'!$E$16:$E$109,'경영보고'!$A$16:$A$109,$A22,'경영보고'!$I$16:$I$109,"&lt;&gt;보류",'경영보고'!$F$16:$F$109,"법인카드")</f>
        <v/>
      </c>
      <c r="Q22" s="317">
        <f>SUMIFS('경영보고'!$E$16:$E$109,'경영보고'!$A$16:$A$109,$A22,'경영보고'!$I$16:$I$109,"&lt;&gt;보류")-O22-P22</f>
        <v/>
      </c>
      <c r="R22" s="198">
        <f>H22+N22-O22-P22-Q22</f>
        <v/>
      </c>
      <c r="S22" s="199">
        <f>T21</f>
        <v/>
      </c>
      <c r="T22" s="198">
        <f>S22+R22</f>
        <v/>
      </c>
      <c r="U22" s="226" t="n"/>
    </row>
    <row r="23">
      <c r="A23" s="191" t="n">
        <v>46322</v>
      </c>
      <c r="B23" s="192" t="inlineStr">
        <is>
          <t>화</t>
        </is>
      </c>
      <c r="C23" s="312">
        <f>'계좌별시나리오'!D23</f>
        <v/>
      </c>
      <c r="D23" s="312">
        <f>'계좌별시나리오'!E23</f>
        <v/>
      </c>
      <c r="E23" s="312">
        <f>'계좌별시나리오'!F23</f>
        <v/>
      </c>
      <c r="F23" s="312">
        <f>'계좌별시나리오'!G23</f>
        <v/>
      </c>
      <c r="G23" s="312">
        <f>'계좌별시나리오'!H23</f>
        <v/>
      </c>
      <c r="H23" s="212">
        <f>INDEX('설정및분류'!$C$6:$C$12,WEEKDAY(A23,2))*'요약'!$B$13</f>
        <v/>
      </c>
      <c r="I23" s="313">
        <f>'계좌별시나리오'!J23</f>
        <v/>
      </c>
      <c r="J23" s="313">
        <f>'계좌별시나리오'!K23</f>
        <v/>
      </c>
      <c r="K23" s="313">
        <f>'계좌별시나리오'!L23</f>
        <v/>
      </c>
      <c r="L23" s="313">
        <f>'계좌별시나리오'!M23</f>
        <v/>
      </c>
      <c r="M23" s="313">
        <f>'계좌별시나리오'!N23</f>
        <v/>
      </c>
      <c r="N23" s="317">
        <f>SUMIFS('경영보고'!$E$114:$E$135,'경영보고'!$A$114:$A$135,$A23,'경영보고'!$C$114:$C$135,"확정입금")</f>
        <v/>
      </c>
      <c r="O23" s="317">
        <f>SUMIFS('경영보고'!$E$16:$E$109,'경영보고'!$A$16:$A$109,$A23,'경영보고'!$I$16:$I$109,"&lt;&gt;보류",'경영보고'!$F$16:$F$109,"계좌송금")</f>
        <v/>
      </c>
      <c r="P23" s="317">
        <f>SUMIFS('경영보고'!$E$16:$E$109,'경영보고'!$A$16:$A$109,$A23,'경영보고'!$I$16:$I$109,"&lt;&gt;보류",'경영보고'!$F$16:$F$109,"법인카드")</f>
        <v/>
      </c>
      <c r="Q23" s="317">
        <f>SUMIFS('경영보고'!$E$16:$E$109,'경영보고'!$A$16:$A$109,$A23,'경영보고'!$I$16:$I$109,"&lt;&gt;보류")-O23-P23</f>
        <v/>
      </c>
      <c r="R23" s="198">
        <f>H23+N23-O23-P23-Q23</f>
        <v/>
      </c>
      <c r="S23" s="199">
        <f>T22</f>
        <v/>
      </c>
      <c r="T23" s="198">
        <f>S23+R23</f>
        <v/>
      </c>
      <c r="U23" s="226" t="n"/>
    </row>
    <row r="24">
      <c r="A24" s="191" t="n">
        <v>46323</v>
      </c>
      <c r="B24" s="192" t="inlineStr">
        <is>
          <t>수</t>
        </is>
      </c>
      <c r="C24" s="312">
        <f>'계좌별시나리오'!D24</f>
        <v/>
      </c>
      <c r="D24" s="312">
        <f>'계좌별시나리오'!E24</f>
        <v/>
      </c>
      <c r="E24" s="312">
        <f>'계좌별시나리오'!F24</f>
        <v/>
      </c>
      <c r="F24" s="312">
        <f>'계좌별시나리오'!G24</f>
        <v/>
      </c>
      <c r="G24" s="312">
        <f>'계좌별시나리오'!H24</f>
        <v/>
      </c>
      <c r="H24" s="212">
        <f>INDEX('설정및분류'!$C$6:$C$12,WEEKDAY(A24,2))*'요약'!$B$13</f>
        <v/>
      </c>
      <c r="I24" s="313">
        <f>'계좌별시나리오'!J24</f>
        <v/>
      </c>
      <c r="J24" s="313">
        <f>'계좌별시나리오'!K24</f>
        <v/>
      </c>
      <c r="K24" s="313">
        <f>'계좌별시나리오'!L24</f>
        <v/>
      </c>
      <c r="L24" s="313">
        <f>'계좌별시나리오'!M24</f>
        <v/>
      </c>
      <c r="M24" s="313">
        <f>'계좌별시나리오'!N24</f>
        <v/>
      </c>
      <c r="N24" s="317">
        <f>SUMIFS('경영보고'!$E$114:$E$135,'경영보고'!$A$114:$A$135,$A24,'경영보고'!$C$114:$C$135,"확정입금")</f>
        <v/>
      </c>
      <c r="O24" s="317">
        <f>SUMIFS('경영보고'!$E$16:$E$109,'경영보고'!$A$16:$A$109,$A24,'경영보고'!$I$16:$I$109,"&lt;&gt;보류",'경영보고'!$F$16:$F$109,"계좌송금")</f>
        <v/>
      </c>
      <c r="P24" s="317">
        <f>SUMIFS('경영보고'!$E$16:$E$109,'경영보고'!$A$16:$A$109,$A24,'경영보고'!$I$16:$I$109,"&lt;&gt;보류",'경영보고'!$F$16:$F$109,"법인카드")</f>
        <v/>
      </c>
      <c r="Q24" s="317">
        <f>SUMIFS('경영보고'!$E$16:$E$109,'경영보고'!$A$16:$A$109,$A24,'경영보고'!$I$16:$I$109,"&lt;&gt;보류")-O24-P24</f>
        <v/>
      </c>
      <c r="R24" s="198">
        <f>H24+N24-O24-P24-Q24</f>
        <v/>
      </c>
      <c r="S24" s="199">
        <f>T23</f>
        <v/>
      </c>
      <c r="T24" s="198">
        <f>S24+R24</f>
        <v/>
      </c>
      <c r="U24" s="226" t="n"/>
    </row>
    <row r="25">
      <c r="A25" s="191" t="n">
        <v>46324</v>
      </c>
      <c r="B25" s="192" t="inlineStr">
        <is>
          <t>목</t>
        </is>
      </c>
      <c r="C25" s="312">
        <f>'계좌별시나리오'!D25</f>
        <v/>
      </c>
      <c r="D25" s="312">
        <f>'계좌별시나리오'!E25</f>
        <v/>
      </c>
      <c r="E25" s="312">
        <f>'계좌별시나리오'!F25</f>
        <v/>
      </c>
      <c r="F25" s="312">
        <f>'계좌별시나리오'!G25</f>
        <v/>
      </c>
      <c r="G25" s="312">
        <f>'계좌별시나리오'!H25</f>
        <v/>
      </c>
      <c r="H25" s="212">
        <f>INDEX('설정및분류'!$C$6:$C$12,WEEKDAY(A25,2))*'요약'!$B$13</f>
        <v/>
      </c>
      <c r="I25" s="313">
        <f>'계좌별시나리오'!J25</f>
        <v/>
      </c>
      <c r="J25" s="313">
        <f>'계좌별시나리오'!K25</f>
        <v/>
      </c>
      <c r="K25" s="313">
        <f>'계좌별시나리오'!L25</f>
        <v/>
      </c>
      <c r="L25" s="313">
        <f>'계좌별시나리오'!M25</f>
        <v/>
      </c>
      <c r="M25" s="313">
        <f>'계좌별시나리오'!N25</f>
        <v/>
      </c>
      <c r="N25" s="317">
        <f>SUMIFS('경영보고'!$E$114:$E$135,'경영보고'!$A$114:$A$135,$A25,'경영보고'!$C$114:$C$135,"확정입금")</f>
        <v/>
      </c>
      <c r="O25" s="317">
        <f>SUMIFS('경영보고'!$E$16:$E$109,'경영보고'!$A$16:$A$109,$A25,'경영보고'!$I$16:$I$109,"&lt;&gt;보류",'경영보고'!$F$16:$F$109,"계좌송금")</f>
        <v/>
      </c>
      <c r="P25" s="317">
        <f>SUMIFS('경영보고'!$E$16:$E$109,'경영보고'!$A$16:$A$109,$A25,'경영보고'!$I$16:$I$109,"&lt;&gt;보류",'경영보고'!$F$16:$F$109,"법인카드")</f>
        <v/>
      </c>
      <c r="Q25" s="317">
        <f>SUMIFS('경영보고'!$E$16:$E$109,'경영보고'!$A$16:$A$109,$A25,'경영보고'!$I$16:$I$109,"&lt;&gt;보류")-O25-P25</f>
        <v/>
      </c>
      <c r="R25" s="198">
        <f>H25+N25-O25-P25-Q25</f>
        <v/>
      </c>
      <c r="S25" s="199">
        <f>T24</f>
        <v/>
      </c>
      <c r="T25" s="198">
        <f>S25+R25</f>
        <v/>
      </c>
      <c r="U25" s="226" t="n"/>
    </row>
    <row r="26">
      <c r="A26" s="191" t="n">
        <v>46325</v>
      </c>
      <c r="B26" s="192" t="inlineStr">
        <is>
          <t>금</t>
        </is>
      </c>
      <c r="C26" s="312">
        <f>'계좌별시나리오'!D26</f>
        <v/>
      </c>
      <c r="D26" s="312">
        <f>'계좌별시나리오'!E26</f>
        <v/>
      </c>
      <c r="E26" s="312">
        <f>'계좌별시나리오'!F26</f>
        <v/>
      </c>
      <c r="F26" s="312">
        <f>'계좌별시나리오'!G26</f>
        <v/>
      </c>
      <c r="G26" s="312">
        <f>'계좌별시나리오'!H26</f>
        <v/>
      </c>
      <c r="H26" s="212">
        <f>INDEX('설정및분류'!$C$6:$C$12,WEEKDAY(A26,2))*'요약'!$B$13</f>
        <v/>
      </c>
      <c r="I26" s="313">
        <f>'계좌별시나리오'!J26</f>
        <v/>
      </c>
      <c r="J26" s="313">
        <f>'계좌별시나리오'!K26</f>
        <v/>
      </c>
      <c r="K26" s="313">
        <f>'계좌별시나리오'!L26</f>
        <v/>
      </c>
      <c r="L26" s="313">
        <f>'계좌별시나리오'!M26</f>
        <v/>
      </c>
      <c r="M26" s="313">
        <f>'계좌별시나리오'!N26</f>
        <v/>
      </c>
      <c r="N26" s="317">
        <f>SUMIFS('경영보고'!$E$114:$E$135,'경영보고'!$A$114:$A$135,$A26,'경영보고'!$C$114:$C$135,"확정입금")</f>
        <v/>
      </c>
      <c r="O26" s="317">
        <f>SUMIFS('경영보고'!$E$16:$E$109,'경영보고'!$A$16:$A$109,$A26,'경영보고'!$I$16:$I$109,"&lt;&gt;보류",'경영보고'!$F$16:$F$109,"계좌송금")</f>
        <v/>
      </c>
      <c r="P26" s="317">
        <f>SUMIFS('경영보고'!$E$16:$E$109,'경영보고'!$A$16:$A$109,$A26,'경영보고'!$I$16:$I$109,"&lt;&gt;보류",'경영보고'!$F$16:$F$109,"법인카드")</f>
        <v/>
      </c>
      <c r="Q26" s="317">
        <f>SUMIFS('경영보고'!$E$16:$E$109,'경영보고'!$A$16:$A$109,$A26,'경영보고'!$I$16:$I$109,"&lt;&gt;보류")-O26-P26</f>
        <v/>
      </c>
      <c r="R26" s="198">
        <f>H26+N26-O26-P26-Q26</f>
        <v/>
      </c>
      <c r="S26" s="199">
        <f>T25</f>
        <v/>
      </c>
      <c r="T26" s="198">
        <f>S26+R26</f>
        <v/>
      </c>
      <c r="U26" s="226" t="n"/>
    </row>
    <row r="27" ht="32.4" customHeight="1">
      <c r="A27" s="225" t="n">
        <v>46326</v>
      </c>
      <c r="B27" s="211" t="inlineStr">
        <is>
          <t>토</t>
        </is>
      </c>
      <c r="C27" s="312">
        <f>'계좌별시나리오'!D27</f>
        <v/>
      </c>
      <c r="D27" s="312">
        <f>'계좌별시나리오'!E27</f>
        <v/>
      </c>
      <c r="E27" s="312">
        <f>'계좌별시나리오'!F27</f>
        <v/>
      </c>
      <c r="F27" s="312">
        <f>'계좌별시나리오'!G27</f>
        <v/>
      </c>
      <c r="G27" s="312">
        <f>'계좌별시나리오'!H27</f>
        <v/>
      </c>
      <c r="H27" s="212">
        <f>INDEX('설정및분류'!$C$6:$C$12,WEEKDAY(A27,2))*'요약'!$B$13</f>
        <v/>
      </c>
      <c r="I27" s="313">
        <f>'계좌별시나리오'!J27</f>
        <v/>
      </c>
      <c r="J27" s="313">
        <f>'계좌별시나리오'!K27</f>
        <v/>
      </c>
      <c r="K27" s="313">
        <f>'계좌별시나리오'!L27</f>
        <v/>
      </c>
      <c r="L27" s="313">
        <f>'계좌별시나리오'!M27</f>
        <v/>
      </c>
      <c r="M27" s="313">
        <f>'계좌별시나리오'!N27</f>
        <v/>
      </c>
      <c r="N27" s="317">
        <f>SUMIFS('경영보고'!$E$114:$E$135,'경영보고'!$A$114:$A$135,$A27,'경영보고'!$C$114:$C$135,"확정입금")</f>
        <v/>
      </c>
      <c r="O27" s="317">
        <f>SUMIFS('경영보고'!$E$16:$E$109,'경영보고'!$A$16:$A$109,$A27,'경영보고'!$I$16:$I$109,"&lt;&gt;보류",'경영보고'!$F$16:$F$109,"계좌송금")</f>
        <v/>
      </c>
      <c r="P27" s="317">
        <f>SUMIFS('경영보고'!$E$16:$E$109,'경영보고'!$A$16:$A$109,$A27,'경영보고'!$I$16:$I$109,"&lt;&gt;보류",'경영보고'!$F$16:$F$109,"법인카드")</f>
        <v/>
      </c>
      <c r="Q27" s="317">
        <f>SUMIFS('경영보고'!$E$16:$E$109,'경영보고'!$A$16:$A$109,$A27,'경영보고'!$I$16:$I$109,"&lt;&gt;보류")-O27-P27</f>
        <v/>
      </c>
      <c r="R27" s="198">
        <f>H27+N27-O27-P27-Q27</f>
        <v/>
      </c>
      <c r="S27" s="199">
        <f>T26</f>
        <v/>
      </c>
      <c r="T27" s="198">
        <f>S27+R27</f>
        <v/>
      </c>
      <c r="U27" s="200" t="inlineStr">
        <is>
          <t>관계사 외상대 입금 추정(주식회사에이팜, 말일)</t>
        </is>
      </c>
    </row>
    <row r="28">
      <c r="A28" s="225" t="n">
        <v>46327</v>
      </c>
      <c r="B28" s="211" t="inlineStr">
        <is>
          <t>일</t>
        </is>
      </c>
      <c r="C28" s="312">
        <f>'계좌별시나리오'!D28</f>
        <v/>
      </c>
      <c r="D28" s="312">
        <f>'계좌별시나리오'!E28</f>
        <v/>
      </c>
      <c r="E28" s="312">
        <f>'계좌별시나리오'!F28</f>
        <v/>
      </c>
      <c r="F28" s="312">
        <f>'계좌별시나리오'!G28</f>
        <v/>
      </c>
      <c r="G28" s="312">
        <f>'계좌별시나리오'!H28</f>
        <v/>
      </c>
      <c r="H28" s="212">
        <f>INDEX('설정및분류'!$C$6:$C$12,WEEKDAY(A28,2))*'요약'!$B$13</f>
        <v/>
      </c>
      <c r="I28" s="313">
        <f>'계좌별시나리오'!J28</f>
        <v/>
      </c>
      <c r="J28" s="313">
        <f>'계좌별시나리오'!K28</f>
        <v/>
      </c>
      <c r="K28" s="313">
        <f>'계좌별시나리오'!L28</f>
        <v/>
      </c>
      <c r="L28" s="313">
        <f>'계좌별시나리오'!M28</f>
        <v/>
      </c>
      <c r="M28" s="313">
        <f>'계좌별시나리오'!N28</f>
        <v/>
      </c>
      <c r="N28" s="317">
        <f>SUMIFS('경영보고'!$E$114:$E$135,'경영보고'!$A$114:$A$135,$A28,'경영보고'!$C$114:$C$135,"확정입금")</f>
        <v/>
      </c>
      <c r="O28" s="317">
        <f>SUMIFS('경영보고'!$E$16:$E$109,'경영보고'!$A$16:$A$109,$A28,'경영보고'!$I$16:$I$109,"&lt;&gt;보류",'경영보고'!$F$16:$F$109,"계좌송금")</f>
        <v/>
      </c>
      <c r="P28" s="317">
        <f>SUMIFS('경영보고'!$E$16:$E$109,'경영보고'!$A$16:$A$109,$A28,'경영보고'!$I$16:$I$109,"&lt;&gt;보류",'경영보고'!$F$16:$F$109,"법인카드")</f>
        <v/>
      </c>
      <c r="Q28" s="317">
        <f>SUMIFS('경영보고'!$E$16:$E$109,'경영보고'!$A$16:$A$109,$A28,'경영보고'!$I$16:$I$109,"&lt;&gt;보류")-O28-P28</f>
        <v/>
      </c>
      <c r="R28" s="198">
        <f>H28+N28-O28-P28-Q28</f>
        <v/>
      </c>
      <c r="S28" s="199">
        <f>T27</f>
        <v/>
      </c>
      <c r="T28" s="198">
        <f>S28+R28</f>
        <v/>
      </c>
      <c r="U28" s="226" t="n"/>
    </row>
    <row r="29">
      <c r="A29" s="191" t="n">
        <v>46328</v>
      </c>
      <c r="B29" s="192" t="inlineStr">
        <is>
          <t>월</t>
        </is>
      </c>
      <c r="C29" s="312">
        <f>'계좌별시나리오'!D29</f>
        <v/>
      </c>
      <c r="D29" s="312">
        <f>'계좌별시나리오'!E29</f>
        <v/>
      </c>
      <c r="E29" s="312">
        <f>'계좌별시나리오'!F29</f>
        <v/>
      </c>
      <c r="F29" s="312">
        <f>'계좌별시나리오'!G29</f>
        <v/>
      </c>
      <c r="G29" s="312">
        <f>'계좌별시나리오'!H29</f>
        <v/>
      </c>
      <c r="H29" s="212">
        <f>INDEX('설정및분류'!$C$6:$C$12,WEEKDAY(A29,2))*'요약'!$B$13</f>
        <v/>
      </c>
      <c r="I29" s="313">
        <f>'계좌별시나리오'!J29</f>
        <v/>
      </c>
      <c r="J29" s="313">
        <f>'계좌별시나리오'!K29</f>
        <v/>
      </c>
      <c r="K29" s="313">
        <f>'계좌별시나리오'!L29</f>
        <v/>
      </c>
      <c r="L29" s="313">
        <f>'계좌별시나리오'!M29</f>
        <v/>
      </c>
      <c r="M29" s="313">
        <f>'계좌별시나리오'!N29</f>
        <v/>
      </c>
      <c r="N29" s="317">
        <f>SUMIFS('경영보고'!$E$114:$E$135,'경영보고'!$A$114:$A$135,$A29,'경영보고'!$C$114:$C$135,"확정입금")</f>
        <v/>
      </c>
      <c r="O29" s="317">
        <f>SUMIFS('경영보고'!$E$16:$E$109,'경영보고'!$A$16:$A$109,$A29,'경영보고'!$I$16:$I$109,"&lt;&gt;보류",'경영보고'!$F$16:$F$109,"계좌송금")</f>
        <v/>
      </c>
      <c r="P29" s="317">
        <f>SUMIFS('경영보고'!$E$16:$E$109,'경영보고'!$A$16:$A$109,$A29,'경영보고'!$I$16:$I$109,"&lt;&gt;보류",'경영보고'!$F$16:$F$109,"법인카드")</f>
        <v/>
      </c>
      <c r="Q29" s="317">
        <f>SUMIFS('경영보고'!$E$16:$E$109,'경영보고'!$A$16:$A$109,$A29,'경영보고'!$I$16:$I$109,"&lt;&gt;보류")-O29-P29</f>
        <v/>
      </c>
      <c r="R29" s="198">
        <f>H29+N29-O29-P29-Q29</f>
        <v/>
      </c>
      <c r="S29" s="199">
        <f>T28</f>
        <v/>
      </c>
      <c r="T29" s="198">
        <f>S29+R29</f>
        <v/>
      </c>
      <c r="U29" s="226" t="n"/>
    </row>
    <row r="30">
      <c r="A30" s="191" t="n">
        <v>46329</v>
      </c>
      <c r="B30" s="192" t="inlineStr">
        <is>
          <t>화</t>
        </is>
      </c>
      <c r="C30" s="312">
        <f>'계좌별시나리오'!D30</f>
        <v/>
      </c>
      <c r="D30" s="312">
        <f>'계좌별시나리오'!E30</f>
        <v/>
      </c>
      <c r="E30" s="312">
        <f>'계좌별시나리오'!F30</f>
        <v/>
      </c>
      <c r="F30" s="312">
        <f>'계좌별시나리오'!G30</f>
        <v/>
      </c>
      <c r="G30" s="312">
        <f>'계좌별시나리오'!H30</f>
        <v/>
      </c>
      <c r="H30" s="212">
        <f>INDEX('설정및분류'!$C$6:$C$12,WEEKDAY(A30,2))*'요약'!$B$13</f>
        <v/>
      </c>
      <c r="I30" s="313">
        <f>'계좌별시나리오'!J30</f>
        <v/>
      </c>
      <c r="J30" s="313">
        <f>'계좌별시나리오'!K30</f>
        <v/>
      </c>
      <c r="K30" s="313">
        <f>'계좌별시나리오'!L30</f>
        <v/>
      </c>
      <c r="L30" s="313">
        <f>'계좌별시나리오'!M30</f>
        <v/>
      </c>
      <c r="M30" s="313">
        <f>'계좌별시나리오'!N30</f>
        <v/>
      </c>
      <c r="N30" s="317">
        <f>SUMIFS('경영보고'!$E$114:$E$135,'경영보고'!$A$114:$A$135,$A30,'경영보고'!$C$114:$C$135,"확정입금")</f>
        <v/>
      </c>
      <c r="O30" s="317">
        <f>SUMIFS('경영보고'!$E$16:$E$109,'경영보고'!$A$16:$A$109,$A30,'경영보고'!$I$16:$I$109,"&lt;&gt;보류",'경영보고'!$F$16:$F$109,"계좌송금")</f>
        <v/>
      </c>
      <c r="P30" s="317">
        <f>SUMIFS('경영보고'!$E$16:$E$109,'경영보고'!$A$16:$A$109,$A30,'경영보고'!$I$16:$I$109,"&lt;&gt;보류",'경영보고'!$F$16:$F$109,"법인카드")</f>
        <v/>
      </c>
      <c r="Q30" s="317">
        <f>SUMIFS('경영보고'!$E$16:$E$109,'경영보고'!$A$16:$A$109,$A30,'경영보고'!$I$16:$I$109,"&lt;&gt;보류")-O30-P30</f>
        <v/>
      </c>
      <c r="R30" s="198">
        <f>H30+N30-O30-P30-Q30</f>
        <v/>
      </c>
      <c r="S30" s="199">
        <f>T29</f>
        <v/>
      </c>
      <c r="T30" s="198">
        <f>S30+R30</f>
        <v/>
      </c>
      <c r="U30" s="226" t="n"/>
    </row>
    <row r="31">
      <c r="A31" s="191" t="n">
        <v>46330</v>
      </c>
      <c r="B31" s="192" t="inlineStr">
        <is>
          <t>수</t>
        </is>
      </c>
      <c r="C31" s="312">
        <f>'계좌별시나리오'!D31</f>
        <v/>
      </c>
      <c r="D31" s="312">
        <f>'계좌별시나리오'!E31</f>
        <v/>
      </c>
      <c r="E31" s="312">
        <f>'계좌별시나리오'!F31</f>
        <v/>
      </c>
      <c r="F31" s="312">
        <f>'계좌별시나리오'!G31</f>
        <v/>
      </c>
      <c r="G31" s="312">
        <f>'계좌별시나리오'!H31</f>
        <v/>
      </c>
      <c r="H31" s="212">
        <f>INDEX('설정및분류'!$C$6:$C$12,WEEKDAY(A31,2))*'요약'!$B$13</f>
        <v/>
      </c>
      <c r="I31" s="313">
        <f>'계좌별시나리오'!J31</f>
        <v/>
      </c>
      <c r="J31" s="313">
        <f>'계좌별시나리오'!K31</f>
        <v/>
      </c>
      <c r="K31" s="313">
        <f>'계좌별시나리오'!L31</f>
        <v/>
      </c>
      <c r="L31" s="313">
        <f>'계좌별시나리오'!M31</f>
        <v/>
      </c>
      <c r="M31" s="313">
        <f>'계좌별시나리오'!N31</f>
        <v/>
      </c>
      <c r="N31" s="317">
        <f>SUMIFS('경영보고'!$E$114:$E$135,'경영보고'!$A$114:$A$135,$A31,'경영보고'!$C$114:$C$135,"확정입금")</f>
        <v/>
      </c>
      <c r="O31" s="317">
        <f>SUMIFS('경영보고'!$E$16:$E$109,'경영보고'!$A$16:$A$109,$A31,'경영보고'!$I$16:$I$109,"&lt;&gt;보류",'경영보고'!$F$16:$F$109,"계좌송금")</f>
        <v/>
      </c>
      <c r="P31" s="317">
        <f>SUMIFS('경영보고'!$E$16:$E$109,'경영보고'!$A$16:$A$109,$A31,'경영보고'!$I$16:$I$109,"&lt;&gt;보류",'경영보고'!$F$16:$F$109,"법인카드")</f>
        <v/>
      </c>
      <c r="Q31" s="317">
        <f>SUMIFS('경영보고'!$E$16:$E$109,'경영보고'!$A$16:$A$109,$A31,'경영보고'!$I$16:$I$109,"&lt;&gt;보류")-O31-P31</f>
        <v/>
      </c>
      <c r="R31" s="198">
        <f>H31+N31-O31-P31-Q31</f>
        <v/>
      </c>
      <c r="S31" s="199">
        <f>T30</f>
        <v/>
      </c>
      <c r="T31" s="198">
        <f>S31+R31</f>
        <v/>
      </c>
      <c r="U31" s="226" t="n"/>
    </row>
    <row r="32">
      <c r="A32" s="191" t="n">
        <v>46331</v>
      </c>
      <c r="B32" s="192" t="inlineStr">
        <is>
          <t>목</t>
        </is>
      </c>
      <c r="C32" s="312">
        <f>'계좌별시나리오'!D32</f>
        <v/>
      </c>
      <c r="D32" s="312">
        <f>'계좌별시나리오'!E32</f>
        <v/>
      </c>
      <c r="E32" s="312">
        <f>'계좌별시나리오'!F32</f>
        <v/>
      </c>
      <c r="F32" s="312">
        <f>'계좌별시나리오'!G32</f>
        <v/>
      </c>
      <c r="G32" s="312">
        <f>'계좌별시나리오'!H32</f>
        <v/>
      </c>
      <c r="H32" s="212">
        <f>INDEX('설정및분류'!$C$6:$C$12,WEEKDAY(A32,2))*'요약'!$B$13</f>
        <v/>
      </c>
      <c r="I32" s="313">
        <f>'계좌별시나리오'!J32</f>
        <v/>
      </c>
      <c r="J32" s="313">
        <f>'계좌별시나리오'!K32</f>
        <v/>
      </c>
      <c r="K32" s="313">
        <f>'계좌별시나리오'!L32</f>
        <v/>
      </c>
      <c r="L32" s="313">
        <f>'계좌별시나리오'!M32</f>
        <v/>
      </c>
      <c r="M32" s="313">
        <f>'계좌별시나리오'!N32</f>
        <v/>
      </c>
      <c r="N32" s="317">
        <f>SUMIFS('경영보고'!$E$114:$E$135,'경영보고'!$A$114:$A$135,$A32,'경영보고'!$C$114:$C$135,"확정입금")</f>
        <v/>
      </c>
      <c r="O32" s="317">
        <f>SUMIFS('경영보고'!$E$16:$E$109,'경영보고'!$A$16:$A$109,$A32,'경영보고'!$I$16:$I$109,"&lt;&gt;보류",'경영보고'!$F$16:$F$109,"계좌송금")</f>
        <v/>
      </c>
      <c r="P32" s="317">
        <f>SUMIFS('경영보고'!$E$16:$E$109,'경영보고'!$A$16:$A$109,$A32,'경영보고'!$I$16:$I$109,"&lt;&gt;보류",'경영보고'!$F$16:$F$109,"법인카드")</f>
        <v/>
      </c>
      <c r="Q32" s="317">
        <f>SUMIFS('경영보고'!$E$16:$E$109,'경영보고'!$A$16:$A$109,$A32,'경영보고'!$I$16:$I$109,"&lt;&gt;보류")-O32-P32</f>
        <v/>
      </c>
      <c r="R32" s="198">
        <f>H32+N32-O32-P32-Q32</f>
        <v/>
      </c>
      <c r="S32" s="199">
        <f>T31</f>
        <v/>
      </c>
      <c r="T32" s="198">
        <f>S32+R32</f>
        <v/>
      </c>
      <c r="U32" s="226" t="n"/>
    </row>
    <row r="33">
      <c r="A33" s="191" t="n">
        <v>46332</v>
      </c>
      <c r="B33" s="192" t="inlineStr">
        <is>
          <t>금</t>
        </is>
      </c>
      <c r="C33" s="312">
        <f>'계좌별시나리오'!D33</f>
        <v/>
      </c>
      <c r="D33" s="312">
        <f>'계좌별시나리오'!E33</f>
        <v/>
      </c>
      <c r="E33" s="312">
        <f>'계좌별시나리오'!F33</f>
        <v/>
      </c>
      <c r="F33" s="312">
        <f>'계좌별시나리오'!G33</f>
        <v/>
      </c>
      <c r="G33" s="312">
        <f>'계좌별시나리오'!H33</f>
        <v/>
      </c>
      <c r="H33" s="212">
        <f>INDEX('설정및분류'!$C$6:$C$12,WEEKDAY(A33,2))*'요약'!$B$13</f>
        <v/>
      </c>
      <c r="I33" s="313">
        <f>'계좌별시나리오'!J33</f>
        <v/>
      </c>
      <c r="J33" s="313">
        <f>'계좌별시나리오'!K33</f>
        <v/>
      </c>
      <c r="K33" s="313">
        <f>'계좌별시나리오'!L33</f>
        <v/>
      </c>
      <c r="L33" s="313">
        <f>'계좌별시나리오'!M33</f>
        <v/>
      </c>
      <c r="M33" s="313">
        <f>'계좌별시나리오'!N33</f>
        <v/>
      </c>
      <c r="N33" s="317">
        <f>SUMIFS('경영보고'!$E$114:$E$135,'경영보고'!$A$114:$A$135,$A33,'경영보고'!$C$114:$C$135,"확정입금")</f>
        <v/>
      </c>
      <c r="O33" s="317">
        <f>SUMIFS('경영보고'!$E$16:$E$109,'경영보고'!$A$16:$A$109,$A33,'경영보고'!$I$16:$I$109,"&lt;&gt;보류",'경영보고'!$F$16:$F$109,"계좌송금")</f>
        <v/>
      </c>
      <c r="P33" s="317">
        <f>SUMIFS('경영보고'!$E$16:$E$109,'경영보고'!$A$16:$A$109,$A33,'경영보고'!$I$16:$I$109,"&lt;&gt;보류",'경영보고'!$F$16:$F$109,"법인카드")</f>
        <v/>
      </c>
      <c r="Q33" s="317">
        <f>SUMIFS('경영보고'!$E$16:$E$109,'경영보고'!$A$16:$A$109,$A33,'경영보고'!$I$16:$I$109,"&lt;&gt;보류")-O33-P33</f>
        <v/>
      </c>
      <c r="R33" s="198">
        <f>H33+N33-O33-P33-Q33</f>
        <v/>
      </c>
      <c r="S33" s="199">
        <f>T32</f>
        <v/>
      </c>
      <c r="T33" s="198">
        <f>S33+R33</f>
        <v/>
      </c>
      <c r="U33" s="226" t="n"/>
    </row>
    <row r="34">
      <c r="A34" s="225" t="n">
        <v>46333</v>
      </c>
      <c r="B34" s="211" t="inlineStr">
        <is>
          <t>토</t>
        </is>
      </c>
      <c r="C34" s="312">
        <f>'계좌별시나리오'!D34</f>
        <v/>
      </c>
      <c r="D34" s="312">
        <f>'계좌별시나리오'!E34</f>
        <v/>
      </c>
      <c r="E34" s="312">
        <f>'계좌별시나리오'!F34</f>
        <v/>
      </c>
      <c r="F34" s="312">
        <f>'계좌별시나리오'!G34</f>
        <v/>
      </c>
      <c r="G34" s="312">
        <f>'계좌별시나리오'!H34</f>
        <v/>
      </c>
      <c r="H34" s="212">
        <f>INDEX('설정및분류'!$C$6:$C$12,WEEKDAY(A34,2))*'요약'!$B$13</f>
        <v/>
      </c>
      <c r="I34" s="313">
        <f>'계좌별시나리오'!J34</f>
        <v/>
      </c>
      <c r="J34" s="313">
        <f>'계좌별시나리오'!K34</f>
        <v/>
      </c>
      <c r="K34" s="313">
        <f>'계좌별시나리오'!L34</f>
        <v/>
      </c>
      <c r="L34" s="313">
        <f>'계좌별시나리오'!M34</f>
        <v/>
      </c>
      <c r="M34" s="313">
        <f>'계좌별시나리오'!N34</f>
        <v/>
      </c>
      <c r="N34" s="317">
        <f>SUMIFS('경영보고'!$E$114:$E$135,'경영보고'!$A$114:$A$135,$A34,'경영보고'!$C$114:$C$135,"확정입금")</f>
        <v/>
      </c>
      <c r="O34" s="317">
        <f>SUMIFS('경영보고'!$E$16:$E$109,'경영보고'!$A$16:$A$109,$A34,'경영보고'!$I$16:$I$109,"&lt;&gt;보류",'경영보고'!$F$16:$F$109,"계좌송금")</f>
        <v/>
      </c>
      <c r="P34" s="317">
        <f>SUMIFS('경영보고'!$E$16:$E$109,'경영보고'!$A$16:$A$109,$A34,'경영보고'!$I$16:$I$109,"&lt;&gt;보류",'경영보고'!$F$16:$F$109,"법인카드")</f>
        <v/>
      </c>
      <c r="Q34" s="317">
        <f>SUMIFS('경영보고'!$E$16:$E$109,'경영보고'!$A$16:$A$109,$A34,'경영보고'!$I$16:$I$109,"&lt;&gt;보류")-O34-P34</f>
        <v/>
      </c>
      <c r="R34" s="198">
        <f>H34+N34-O34-P34-Q34</f>
        <v/>
      </c>
      <c r="S34" s="199">
        <f>T33</f>
        <v/>
      </c>
      <c r="T34" s="198">
        <f>S34+R34</f>
        <v/>
      </c>
      <c r="U34" s="226" t="n"/>
    </row>
    <row r="35">
      <c r="A35" s="225" t="n">
        <v>46334</v>
      </c>
      <c r="B35" s="211" t="inlineStr">
        <is>
          <t>일</t>
        </is>
      </c>
      <c r="C35" s="312">
        <f>'계좌별시나리오'!D35</f>
        <v/>
      </c>
      <c r="D35" s="312">
        <f>'계좌별시나리오'!E35</f>
        <v/>
      </c>
      <c r="E35" s="312">
        <f>'계좌별시나리오'!F35</f>
        <v/>
      </c>
      <c r="F35" s="312">
        <f>'계좌별시나리오'!G35</f>
        <v/>
      </c>
      <c r="G35" s="312">
        <f>'계좌별시나리오'!H35</f>
        <v/>
      </c>
      <c r="H35" s="212">
        <f>INDEX('설정및분류'!$C$6:$C$12,WEEKDAY(A35,2))*'요약'!$B$13</f>
        <v/>
      </c>
      <c r="I35" s="313">
        <f>'계좌별시나리오'!J35</f>
        <v/>
      </c>
      <c r="J35" s="313">
        <f>'계좌별시나리오'!K35</f>
        <v/>
      </c>
      <c r="K35" s="313">
        <f>'계좌별시나리오'!L35</f>
        <v/>
      </c>
      <c r="L35" s="313">
        <f>'계좌별시나리오'!M35</f>
        <v/>
      </c>
      <c r="M35" s="313">
        <f>'계좌별시나리오'!N35</f>
        <v/>
      </c>
      <c r="N35" s="317">
        <f>SUMIFS('경영보고'!$E$114:$E$135,'경영보고'!$A$114:$A$135,$A35,'경영보고'!$C$114:$C$135,"확정입금")</f>
        <v/>
      </c>
      <c r="O35" s="317">
        <f>SUMIFS('경영보고'!$E$16:$E$109,'경영보고'!$A$16:$A$109,$A35,'경영보고'!$I$16:$I$109,"&lt;&gt;보류",'경영보고'!$F$16:$F$109,"계좌송금")</f>
        <v/>
      </c>
      <c r="P35" s="317">
        <f>SUMIFS('경영보고'!$E$16:$E$109,'경영보고'!$A$16:$A$109,$A35,'경영보고'!$I$16:$I$109,"&lt;&gt;보류",'경영보고'!$F$16:$F$109,"법인카드")</f>
        <v/>
      </c>
      <c r="Q35" s="317">
        <f>SUMIFS('경영보고'!$E$16:$E$109,'경영보고'!$A$16:$A$109,$A35,'경영보고'!$I$16:$I$109,"&lt;&gt;보류")-O35-P35</f>
        <v/>
      </c>
      <c r="R35" s="198">
        <f>H35+N35-O35-P35-Q35</f>
        <v/>
      </c>
      <c r="S35" s="199">
        <f>T34</f>
        <v/>
      </c>
      <c r="T35" s="198">
        <f>S35+R35</f>
        <v/>
      </c>
      <c r="U35" s="226" t="n"/>
    </row>
  </sheetData>
  <mergeCells count="2">
    <mergeCell ref="I4:M4"/>
    <mergeCell ref="C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4" customWidth="1" min="8" max="8"/>
    <col width="13" customWidth="1" min="9" max="9"/>
    <col width="14" customWidth="1" min="10" max="10"/>
    <col width="14" customWidth="1" min="11" max="11"/>
    <col width="14" customWidth="1" min="12" max="12"/>
    <col width="14" customWidth="1" min="13" max="13"/>
    <col width="14" customWidth="1" min="14" max="14"/>
    <col width="13" customWidth="1" min="15" max="15"/>
    <col width="12" customWidth="1" min="16" max="16"/>
    <col width="12" customWidth="1" min="17" max="17"/>
    <col width="22" customWidth="1" min="18" max="18"/>
    <col hidden="1" width="13" customWidth="1" min="19" max="19"/>
    <col hidden="1" width="13" customWidth="1" min="20" max="20"/>
    <col hidden="1" width="13" customWidth="1" min="21" max="21"/>
    <col hidden="1" width="13" customWidth="1" min="22" max="22"/>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154577 34% · 국민 170616 0% · 국민 169124 19%</t>
        </is>
      </c>
    </row>
    <row r="4">
      <c r="A4" s="180" t="inlineStr">
        <is>
          <t>일자</t>
        </is>
      </c>
      <c r="B4" s="180" t="inlineStr">
        <is>
          <t>요일</t>
        </is>
      </c>
      <c r="C4" s="176" t="inlineStr">
        <is>
          <t>① 잔액 (총잔액 · 계좌별)</t>
        </is>
      </c>
      <c r="D4" s="177" t="n"/>
      <c r="E4" s="177" t="n"/>
      <c r="F4" s="177" t="n"/>
      <c r="G4" s="177" t="n"/>
      <c r="H4" s="178" t="n"/>
      <c r="I4" s="179" t="inlineStr">
        <is>
          <t>② 오늘 들어오는 돈 — 예상입금 배분</t>
        </is>
      </c>
      <c r="J4" s="177" t="n"/>
      <c r="K4" s="177" t="n"/>
      <c r="L4" s="177" t="n"/>
      <c r="M4" s="177" t="n"/>
      <c r="N4" s="178" t="n"/>
      <c r="O4" s="228" t="inlineStr">
        <is>
          <t>③ 지출</t>
        </is>
      </c>
      <c r="P4" s="229" t="inlineStr">
        <is>
          <t>④ 부족분 이체</t>
        </is>
      </c>
      <c r="Q4" s="178" t="n"/>
      <c r="R4" s="230" t="inlineStr">
        <is>
          <t>비고</t>
        </is>
      </c>
    </row>
    <row r="5">
      <c r="A5" s="231" t="n"/>
      <c r="B5" s="231" t="n"/>
      <c r="C5" s="180" t="inlineStr">
        <is>
          <t>총잔액</t>
        </is>
      </c>
      <c r="D5" s="180" t="inlineStr">
        <is>
          <t>우리 220351</t>
        </is>
      </c>
      <c r="E5" s="180" t="inlineStr">
        <is>
          <t>농협 569003</t>
        </is>
      </c>
      <c r="F5" s="180" t="inlineStr">
        <is>
          <t>국민 154577</t>
        </is>
      </c>
      <c r="G5" s="180" t="inlineStr">
        <is>
          <t>국민 170616</t>
        </is>
      </c>
      <c r="H5" s="180" t="inlineStr">
        <is>
          <t>국민 169124</t>
        </is>
      </c>
      <c r="I5" s="181" t="inlineStr">
        <is>
          <t>합계</t>
        </is>
      </c>
      <c r="J5" s="181" t="inlineStr">
        <is>
          <t>우리 220351</t>
        </is>
      </c>
      <c r="K5" s="181" t="inlineStr">
        <is>
          <t>농협 569003</t>
        </is>
      </c>
      <c r="L5" s="181" t="inlineStr">
        <is>
          <t>국민 154577</t>
        </is>
      </c>
      <c r="M5" s="181" t="inlineStr">
        <is>
          <t>국민 170616</t>
        </is>
      </c>
      <c r="N5" s="181" t="inlineStr">
        <is>
          <t>국민 169124</t>
        </is>
      </c>
      <c r="O5" s="232" t="inlineStr">
        <is>
          <t>우리은행 집행</t>
        </is>
      </c>
      <c r="P5" s="233" t="inlineStr">
        <is>
          <t>농협→우리</t>
        </is>
      </c>
      <c r="Q5" s="233" t="inlineStr">
        <is>
          <t>국민→우리</t>
        </is>
      </c>
      <c r="R5" s="231" t="n"/>
    </row>
    <row r="6">
      <c r="A6" s="234" t="n">
        <v>46311</v>
      </c>
      <c r="B6" s="235" t="inlineStr">
        <is>
          <t>금</t>
        </is>
      </c>
      <c r="C6" s="310">
        <f>SUM(D6:H6)</f>
        <v/>
      </c>
      <c r="D6" s="310" t="n">
        <v>6011615</v>
      </c>
      <c r="E6" s="310" t="n">
        <v>441400</v>
      </c>
      <c r="F6" s="310" t="n">
        <v>62178003</v>
      </c>
      <c r="G6" s="310" t="n">
        <v>31550000</v>
      </c>
      <c r="H6" s="310" t="n">
        <v>20687200</v>
      </c>
      <c r="I6" s="227" t="n"/>
      <c r="J6" s="227" t="n"/>
      <c r="K6" s="227" t="n"/>
      <c r="L6" s="227" t="n"/>
      <c r="M6" s="227" t="n"/>
      <c r="N6" s="227" t="n"/>
      <c r="O6" s="227" t="n"/>
      <c r="P6" s="227" t="n"/>
      <c r="Q6" s="227" t="n"/>
      <c r="R6" s="236" t="inlineStr">
        <is>
          <t>전일 마감 실잔고 — 여기서 출발</t>
        </is>
      </c>
    </row>
    <row r="7">
      <c r="A7" s="237" t="n">
        <v>46312</v>
      </c>
      <c r="B7" s="238" t="inlineStr">
        <is>
          <t>토</t>
        </is>
      </c>
      <c r="C7" s="310">
        <f>SUM(D7:H7)</f>
        <v/>
      </c>
      <c r="D7" s="312" t="n">
        <v>6011615</v>
      </c>
      <c r="E7" s="312" t="n">
        <v>441400</v>
      </c>
      <c r="F7" s="312" t="n">
        <v>62178003</v>
      </c>
      <c r="G7" s="312" t="n">
        <v>31550000</v>
      </c>
      <c r="H7" s="312" t="n">
        <v>20687200</v>
      </c>
      <c r="I7" s="227" t="n"/>
      <c r="J7" s="227" t="n"/>
      <c r="K7" s="227" t="n"/>
      <c r="L7" s="227" t="n"/>
      <c r="M7" s="227" t="n"/>
      <c r="N7" s="227" t="n"/>
      <c r="O7" s="227" t="n"/>
      <c r="P7" s="227" t="n"/>
      <c r="Q7" s="227" t="n"/>
      <c r="R7" s="239" t="inlineStr">
        <is>
          <t>오늘 실잔고(은행 확인) — 참고</t>
        </is>
      </c>
    </row>
    <row r="8" hidden="1">
      <c r="A8" s="240" t="n">
        <v>46307</v>
      </c>
      <c r="B8" s="241" t="inlineStr">
        <is>
          <t>월</t>
        </is>
      </c>
      <c r="C8" s="242" t="n"/>
      <c r="D8" s="227" t="n"/>
      <c r="E8" s="227" t="n"/>
      <c r="F8" s="227" t="n"/>
      <c r="G8" s="227" t="n"/>
      <c r="H8" s="227" t="n"/>
      <c r="I8" s="243" t="n"/>
      <c r="J8" s="243" t="n"/>
      <c r="K8" s="243" t="n"/>
      <c r="L8" s="243" t="n"/>
      <c r="M8" s="243" t="n"/>
      <c r="N8" s="243" t="n"/>
      <c r="O8" s="244" t="n"/>
      <c r="P8" s="245" t="n"/>
      <c r="Q8" s="245" t="n"/>
      <c r="R8" s="239" t="inlineStr">
        <is>
          <t>실적 구간</t>
        </is>
      </c>
    </row>
    <row r="9" hidden="1">
      <c r="A9" s="240" t="n">
        <v>46308</v>
      </c>
      <c r="B9" s="241" t="inlineStr">
        <is>
          <t>화</t>
        </is>
      </c>
      <c r="C9" s="242" t="n"/>
      <c r="D9" s="227" t="n"/>
      <c r="E9" s="227" t="n"/>
      <c r="F9" s="227" t="n"/>
      <c r="G9" s="227" t="n"/>
      <c r="H9" s="227" t="n"/>
      <c r="I9" s="243" t="n"/>
      <c r="J9" s="243" t="n"/>
      <c r="K9" s="243" t="n"/>
      <c r="L9" s="243" t="n"/>
      <c r="M9" s="243" t="n"/>
      <c r="N9" s="243" t="n"/>
      <c r="O9" s="244" t="n"/>
      <c r="P9" s="245" t="n"/>
      <c r="Q9" s="245" t="n"/>
      <c r="R9" s="239" t="inlineStr">
        <is>
          <t>실적 구간</t>
        </is>
      </c>
    </row>
    <row r="10" hidden="1">
      <c r="A10" s="240" t="n">
        <v>46309</v>
      </c>
      <c r="B10" s="241" t="inlineStr">
        <is>
          <t>수</t>
        </is>
      </c>
      <c r="C10" s="242" t="n"/>
      <c r="D10" s="227" t="n"/>
      <c r="E10" s="227" t="n"/>
      <c r="F10" s="227" t="n"/>
      <c r="G10" s="227" t="n"/>
      <c r="H10" s="227" t="n"/>
      <c r="I10" s="243" t="n"/>
      <c r="J10" s="243" t="n"/>
      <c r="K10" s="243" t="n"/>
      <c r="L10" s="243" t="n"/>
      <c r="M10" s="243" t="n"/>
      <c r="N10" s="243" t="n"/>
      <c r="O10" s="244" t="n"/>
      <c r="P10" s="245" t="n"/>
      <c r="Q10" s="245" t="n"/>
      <c r="R10" s="239" t="inlineStr">
        <is>
          <t>실적 구간</t>
        </is>
      </c>
    </row>
    <row r="11" hidden="1">
      <c r="A11" s="240" t="n">
        <v>46310</v>
      </c>
      <c r="B11" s="241" t="inlineStr">
        <is>
          <t>목</t>
        </is>
      </c>
      <c r="C11" s="242" t="n"/>
      <c r="D11" s="227" t="n"/>
      <c r="E11" s="227" t="n"/>
      <c r="F11" s="227" t="n"/>
      <c r="G11" s="227" t="n"/>
      <c r="H11" s="227" t="n"/>
      <c r="I11" s="243" t="n"/>
      <c r="J11" s="243" t="n"/>
      <c r="K11" s="243" t="n"/>
      <c r="L11" s="243" t="n"/>
      <c r="M11" s="243" t="n"/>
      <c r="N11" s="243" t="n"/>
      <c r="O11" s="244" t="n"/>
      <c r="P11" s="245" t="n"/>
      <c r="Q11" s="245" t="n"/>
      <c r="R11" s="239" t="inlineStr">
        <is>
          <t>실적 구간</t>
        </is>
      </c>
    </row>
    <row r="12" hidden="1">
      <c r="A12" s="240" t="n">
        <v>46311</v>
      </c>
      <c r="B12" s="241" t="inlineStr">
        <is>
          <t>금</t>
        </is>
      </c>
      <c r="C12" s="310" t="n">
        <v>120868218</v>
      </c>
      <c r="D12" s="321" t="n">
        <v>6011615</v>
      </c>
      <c r="E12" s="321" t="n">
        <v>441400</v>
      </c>
      <c r="F12" s="321" t="n">
        <v>62178003</v>
      </c>
      <c r="G12" s="321" t="n">
        <v>31550000</v>
      </c>
      <c r="H12" s="321" t="n">
        <v>20687200</v>
      </c>
      <c r="I12" s="243" t="n"/>
      <c r="J12" s="243" t="n"/>
      <c r="K12" s="243" t="n"/>
      <c r="L12" s="243" t="n"/>
      <c r="M12" s="243" t="n"/>
      <c r="N12" s="243" t="n"/>
      <c r="O12" s="244" t="n"/>
      <c r="P12" s="245" t="n"/>
      <c r="Q12" s="245" t="n"/>
      <c r="R12" s="239" t="inlineStr">
        <is>
          <t>실적 구간</t>
        </is>
      </c>
    </row>
    <row r="13">
      <c r="A13" s="225" t="n">
        <v>46312</v>
      </c>
      <c r="B13" s="211" t="inlineStr">
        <is>
          <t>토</t>
        </is>
      </c>
      <c r="C13" s="310">
        <f>SUM(D13:H13)</f>
        <v/>
      </c>
      <c r="D13" s="321">
        <f>D12+J13-O13+S13+T13+U13+V13</f>
        <v/>
      </c>
      <c r="E13" s="321">
        <f>E12+K13-S13</f>
        <v/>
      </c>
      <c r="F13" s="321">
        <f>F12+L13-T13</f>
        <v/>
      </c>
      <c r="G13" s="321">
        <f>G12+M13-U13</f>
        <v/>
      </c>
      <c r="H13" s="321">
        <f>H12+N13-V13</f>
        <v/>
      </c>
      <c r="I13" s="313">
        <f>'4주일별계획'!H13+'4주일별계획'!N13</f>
        <v/>
      </c>
      <c r="J13" s="313">
        <f>I13*0.442625</f>
        <v/>
      </c>
      <c r="K13" s="313">
        <f>I13*0.022831</f>
        <v/>
      </c>
      <c r="L13" s="313">
        <f>I13*0.342410</f>
        <v/>
      </c>
      <c r="M13" s="313">
        <f>I13*0.000000</f>
        <v/>
      </c>
      <c r="N13" s="313">
        <f>I13*0.192134</f>
        <v/>
      </c>
      <c r="O13" s="322">
        <f>'4주일별계획'!O13+'4주일별계획'!P13+'4주일별계획'!Q13</f>
        <v/>
      </c>
      <c r="P13" s="323">
        <f>S13</f>
        <v/>
      </c>
      <c r="Q13" s="323">
        <f>T13+U13+V13</f>
        <v/>
      </c>
      <c r="R13" s="249">
        <f>IF(D13&lt;-0.5,"전 계좌 소진 — 부족 "&amp;TEXT(-D13,"#,##0")&amp;"원","")</f>
        <v/>
      </c>
      <c r="S13" s="324">
        <f>MIN(MAX(0,E12+K13),MAX(0,O13-D12-J13))</f>
        <v/>
      </c>
      <c r="T13" s="324">
        <f>MIN(MAX(0,F12+L13),MAX(0,O13-D12-J13)-S13)</f>
        <v/>
      </c>
      <c r="U13" s="324">
        <f>MIN(MAX(0,G12+M13),MAX(0,O13-D12-J13)-S13-T13)</f>
        <v/>
      </c>
      <c r="V13" s="324">
        <f>MIN(MAX(0,H12+N13),MAX(0,O13-D12-J13)-S13-T13-U13)</f>
        <v/>
      </c>
    </row>
    <row r="14">
      <c r="A14" s="225" t="n">
        <v>46313</v>
      </c>
      <c r="B14" s="211" t="inlineStr">
        <is>
          <t>일</t>
        </is>
      </c>
      <c r="C14" s="310">
        <f>SUM(D14:H14)</f>
        <v/>
      </c>
      <c r="D14" s="321">
        <f>D13+J14-O14+S14+T14+U14+V14</f>
        <v/>
      </c>
      <c r="E14" s="321">
        <f>E13+K14-S14</f>
        <v/>
      </c>
      <c r="F14" s="321">
        <f>F13+L14-T14</f>
        <v/>
      </c>
      <c r="G14" s="321">
        <f>G13+M14-U14</f>
        <v/>
      </c>
      <c r="H14" s="321">
        <f>H13+N14-V14</f>
        <v/>
      </c>
      <c r="I14" s="313">
        <f>'4주일별계획'!H14+'4주일별계획'!N14</f>
        <v/>
      </c>
      <c r="J14" s="313">
        <f>I14*0.442625</f>
        <v/>
      </c>
      <c r="K14" s="313">
        <f>I14*0.022831</f>
        <v/>
      </c>
      <c r="L14" s="313">
        <f>I14*0.342410</f>
        <v/>
      </c>
      <c r="M14" s="313">
        <f>I14*0.000000</f>
        <v/>
      </c>
      <c r="N14" s="313">
        <f>I14*0.192134</f>
        <v/>
      </c>
      <c r="O14" s="322">
        <f>'4주일별계획'!O14+'4주일별계획'!P14+'4주일별계획'!Q14</f>
        <v/>
      </c>
      <c r="P14" s="323">
        <f>S14</f>
        <v/>
      </c>
      <c r="Q14" s="323">
        <f>T14+U14+V14</f>
        <v/>
      </c>
      <c r="R14" s="249">
        <f>IF(D14&lt;-0.5,"전 계좌 소진 — 부족 "&amp;TEXT(-D14,"#,##0")&amp;"원","")</f>
        <v/>
      </c>
      <c r="S14" s="324">
        <f>MIN(MAX(0,E13+K14),MAX(0,O14-D13-J14))</f>
        <v/>
      </c>
      <c r="T14" s="324">
        <f>MIN(MAX(0,F13+L14),MAX(0,O14-D13-J14)-S14)</f>
        <v/>
      </c>
      <c r="U14" s="324">
        <f>MIN(MAX(0,G13+M14),MAX(0,O14-D13-J14)-S14-T14)</f>
        <v/>
      </c>
      <c r="V14" s="324">
        <f>MIN(MAX(0,H13+N14),MAX(0,O14-D13-J14)-S14-T14-U14)</f>
        <v/>
      </c>
    </row>
    <row r="15">
      <c r="A15" s="240" t="n">
        <v>46314</v>
      </c>
      <c r="B15" s="241" t="inlineStr">
        <is>
          <t>월</t>
        </is>
      </c>
      <c r="C15" s="310">
        <f>SUM(D15:H15)</f>
        <v/>
      </c>
      <c r="D15" s="321">
        <f>D14+J15-O15+S15+T15+U15+V15</f>
        <v/>
      </c>
      <c r="E15" s="321">
        <f>E14+K15-S15</f>
        <v/>
      </c>
      <c r="F15" s="321">
        <f>F14+L15-T15</f>
        <v/>
      </c>
      <c r="G15" s="321">
        <f>G14+M15-U15</f>
        <v/>
      </c>
      <c r="H15" s="321">
        <f>H14+N15-V15</f>
        <v/>
      </c>
      <c r="I15" s="313">
        <f>'4주일별계획'!H15+'4주일별계획'!N15</f>
        <v/>
      </c>
      <c r="J15" s="313">
        <f>I15*0.442625</f>
        <v/>
      </c>
      <c r="K15" s="313">
        <f>I15*0.022831</f>
        <v/>
      </c>
      <c r="L15" s="313">
        <f>I15*0.342410</f>
        <v/>
      </c>
      <c r="M15" s="313">
        <f>I15*0.000000</f>
        <v/>
      </c>
      <c r="N15" s="313">
        <f>I15*0.192134</f>
        <v/>
      </c>
      <c r="O15" s="322">
        <f>'4주일별계획'!O15+'4주일별계획'!P15+'4주일별계획'!Q15</f>
        <v/>
      </c>
      <c r="P15" s="323">
        <f>S15</f>
        <v/>
      </c>
      <c r="Q15" s="323">
        <f>T15+U15+V15</f>
        <v/>
      </c>
      <c r="R15" s="249">
        <f>IF(D15&lt;-0.5,"전 계좌 소진 — 부족 "&amp;TEXT(-D15,"#,##0")&amp;"원","")</f>
        <v/>
      </c>
      <c r="S15" s="324">
        <f>MIN(MAX(0,E14+K15),MAX(0,O15-D14-J15))</f>
        <v/>
      </c>
      <c r="T15" s="324">
        <f>MIN(MAX(0,F14+L15),MAX(0,O15-D14-J15)-S15)</f>
        <v/>
      </c>
      <c r="U15" s="324">
        <f>MIN(MAX(0,G14+M15),MAX(0,O15-D14-J15)-S15-T15)</f>
        <v/>
      </c>
      <c r="V15" s="324">
        <f>MIN(MAX(0,H14+N15),MAX(0,O15-D14-J15)-S15-T15-U15)</f>
        <v/>
      </c>
    </row>
    <row r="16">
      <c r="A16" s="240" t="n">
        <v>46315</v>
      </c>
      <c r="B16" s="241" t="inlineStr">
        <is>
          <t>화</t>
        </is>
      </c>
      <c r="C16" s="310">
        <f>SUM(D16:H16)</f>
        <v/>
      </c>
      <c r="D16" s="321">
        <f>D15+J16-O16+S16+T16+U16+V16</f>
        <v/>
      </c>
      <c r="E16" s="321">
        <f>E15+K16-S16</f>
        <v/>
      </c>
      <c r="F16" s="321">
        <f>F15+L16-T16</f>
        <v/>
      </c>
      <c r="G16" s="321">
        <f>G15+M16-U16</f>
        <v/>
      </c>
      <c r="H16" s="321">
        <f>H15+N16-V16</f>
        <v/>
      </c>
      <c r="I16" s="313">
        <f>'4주일별계획'!H16+'4주일별계획'!N16</f>
        <v/>
      </c>
      <c r="J16" s="313">
        <f>I16*0.442625</f>
        <v/>
      </c>
      <c r="K16" s="313">
        <f>I16*0.022831</f>
        <v/>
      </c>
      <c r="L16" s="313">
        <f>I16*0.342410</f>
        <v/>
      </c>
      <c r="M16" s="313">
        <f>I16*0.000000</f>
        <v/>
      </c>
      <c r="N16" s="313">
        <f>I16*0.192134</f>
        <v/>
      </c>
      <c r="O16" s="322">
        <f>'4주일별계획'!O16+'4주일별계획'!P16+'4주일별계획'!Q16</f>
        <v/>
      </c>
      <c r="P16" s="323">
        <f>S16</f>
        <v/>
      </c>
      <c r="Q16" s="323">
        <f>T16+U16+V16</f>
        <v/>
      </c>
      <c r="R16" s="249">
        <f>IF(D16&lt;-0.5,"전 계좌 소진 — 부족 "&amp;TEXT(-D16,"#,##0")&amp;"원","")</f>
        <v/>
      </c>
      <c r="S16" s="324">
        <f>MIN(MAX(0,E15+K16),MAX(0,O16-D15-J16))</f>
        <v/>
      </c>
      <c r="T16" s="324">
        <f>MIN(MAX(0,F15+L16),MAX(0,O16-D15-J16)-S16)</f>
        <v/>
      </c>
      <c r="U16" s="324">
        <f>MIN(MAX(0,G15+M16),MAX(0,O16-D15-J16)-S16-T16)</f>
        <v/>
      </c>
      <c r="V16" s="324">
        <f>MIN(MAX(0,H15+N16),MAX(0,O16-D15-J16)-S16-T16-U16)</f>
        <v/>
      </c>
    </row>
    <row r="17">
      <c r="A17" s="240" t="n">
        <v>46316</v>
      </c>
      <c r="B17" s="241" t="inlineStr">
        <is>
          <t>수</t>
        </is>
      </c>
      <c r="C17" s="310">
        <f>SUM(D17:H17)</f>
        <v/>
      </c>
      <c r="D17" s="321">
        <f>D16+J17-O17+S17+T17+U17+V17</f>
        <v/>
      </c>
      <c r="E17" s="321">
        <f>E16+K17-S17</f>
        <v/>
      </c>
      <c r="F17" s="321">
        <f>F16+L17-T17</f>
        <v/>
      </c>
      <c r="G17" s="321">
        <f>G16+M17-U17</f>
        <v/>
      </c>
      <c r="H17" s="321">
        <f>H16+N17-V17</f>
        <v/>
      </c>
      <c r="I17" s="313">
        <f>'4주일별계획'!H17+'4주일별계획'!N17</f>
        <v/>
      </c>
      <c r="J17" s="313">
        <f>I17*0.442625</f>
        <v/>
      </c>
      <c r="K17" s="313">
        <f>I17*0.022831</f>
        <v/>
      </c>
      <c r="L17" s="313">
        <f>I17*0.342410</f>
        <v/>
      </c>
      <c r="M17" s="313">
        <f>I17*0.000000</f>
        <v/>
      </c>
      <c r="N17" s="313">
        <f>I17*0.192134</f>
        <v/>
      </c>
      <c r="O17" s="322">
        <f>'4주일별계획'!O17+'4주일별계획'!P17+'4주일별계획'!Q17</f>
        <v/>
      </c>
      <c r="P17" s="323">
        <f>S17</f>
        <v/>
      </c>
      <c r="Q17" s="323">
        <f>T17+U17+V17</f>
        <v/>
      </c>
      <c r="R17" s="249">
        <f>IF(D17&lt;-0.5,"전 계좌 소진 — 부족 "&amp;TEXT(-D17,"#,##0")&amp;"원","")</f>
        <v/>
      </c>
      <c r="S17" s="324">
        <f>MIN(MAX(0,E16+K17),MAX(0,O17-D16-J17))</f>
        <v/>
      </c>
      <c r="T17" s="324">
        <f>MIN(MAX(0,F16+L17),MAX(0,O17-D16-J17)-S17)</f>
        <v/>
      </c>
      <c r="U17" s="324">
        <f>MIN(MAX(0,G16+M17),MAX(0,O17-D16-J17)-S17-T17)</f>
        <v/>
      </c>
      <c r="V17" s="324">
        <f>MIN(MAX(0,H16+N17),MAX(0,O17-D16-J17)-S17-T17-U17)</f>
        <v/>
      </c>
    </row>
    <row r="18">
      <c r="A18" s="240" t="n">
        <v>46317</v>
      </c>
      <c r="B18" s="241" t="inlineStr">
        <is>
          <t>목</t>
        </is>
      </c>
      <c r="C18" s="310">
        <f>SUM(D18:H18)</f>
        <v/>
      </c>
      <c r="D18" s="321">
        <f>D17+J18-O18+S18+T18+U18+V18</f>
        <v/>
      </c>
      <c r="E18" s="321">
        <f>E17+K18-S18</f>
        <v/>
      </c>
      <c r="F18" s="321">
        <f>F17+L18-T18</f>
        <v/>
      </c>
      <c r="G18" s="321">
        <f>G17+M18-U18</f>
        <v/>
      </c>
      <c r="H18" s="321">
        <f>H17+N18-V18</f>
        <v/>
      </c>
      <c r="I18" s="313">
        <f>'4주일별계획'!H18+'4주일별계획'!N18</f>
        <v/>
      </c>
      <c r="J18" s="313">
        <f>I18*0.442625</f>
        <v/>
      </c>
      <c r="K18" s="313">
        <f>I18*0.022831</f>
        <v/>
      </c>
      <c r="L18" s="313">
        <f>I18*0.342410</f>
        <v/>
      </c>
      <c r="M18" s="313">
        <f>I18*0.000000</f>
        <v/>
      </c>
      <c r="N18" s="313">
        <f>I18*0.192134</f>
        <v/>
      </c>
      <c r="O18" s="322">
        <f>'4주일별계획'!O18+'4주일별계획'!P18+'4주일별계획'!Q18</f>
        <v/>
      </c>
      <c r="P18" s="323">
        <f>S18</f>
        <v/>
      </c>
      <c r="Q18" s="323">
        <f>T18+U18+V18</f>
        <v/>
      </c>
      <c r="R18" s="249">
        <f>IF(D18&lt;-0.5,"전 계좌 소진 — 부족 "&amp;TEXT(-D18,"#,##0")&amp;"원","")</f>
        <v/>
      </c>
      <c r="S18" s="324">
        <f>MIN(MAX(0,E17+K18),MAX(0,O18-D17-J18))</f>
        <v/>
      </c>
      <c r="T18" s="324">
        <f>MIN(MAX(0,F17+L18),MAX(0,O18-D17-J18)-S18)</f>
        <v/>
      </c>
      <c r="U18" s="324">
        <f>MIN(MAX(0,G17+M18),MAX(0,O18-D17-J18)-S18-T18)</f>
        <v/>
      </c>
      <c r="V18" s="324">
        <f>MIN(MAX(0,H17+N18),MAX(0,O18-D17-J18)-S18-T18-U18)</f>
        <v/>
      </c>
    </row>
    <row r="19">
      <c r="A19" s="240" t="n">
        <v>46318</v>
      </c>
      <c r="B19" s="241" t="inlineStr">
        <is>
          <t>금</t>
        </is>
      </c>
      <c r="C19" s="310">
        <f>SUM(D19:H19)</f>
        <v/>
      </c>
      <c r="D19" s="321">
        <f>D18+J19-O19+S19+T19+U19+V19</f>
        <v/>
      </c>
      <c r="E19" s="321">
        <f>E18+K19-S19</f>
        <v/>
      </c>
      <c r="F19" s="321">
        <f>F18+L19-T19</f>
        <v/>
      </c>
      <c r="G19" s="321">
        <f>G18+M19-U19</f>
        <v/>
      </c>
      <c r="H19" s="321">
        <f>H18+N19-V19</f>
        <v/>
      </c>
      <c r="I19" s="313">
        <f>'4주일별계획'!H19+'4주일별계획'!N19</f>
        <v/>
      </c>
      <c r="J19" s="313">
        <f>I19*0.442625</f>
        <v/>
      </c>
      <c r="K19" s="313">
        <f>I19*0.022831</f>
        <v/>
      </c>
      <c r="L19" s="313">
        <f>I19*0.342410</f>
        <v/>
      </c>
      <c r="M19" s="313">
        <f>I19*0.000000</f>
        <v/>
      </c>
      <c r="N19" s="313">
        <f>I19*0.192134</f>
        <v/>
      </c>
      <c r="O19" s="322">
        <f>'4주일별계획'!O19+'4주일별계획'!P19+'4주일별계획'!Q19</f>
        <v/>
      </c>
      <c r="P19" s="323">
        <f>S19</f>
        <v/>
      </c>
      <c r="Q19" s="323">
        <f>T19+U19+V19</f>
        <v/>
      </c>
      <c r="R19" s="249">
        <f>IF(D19&lt;-0.5,"전 계좌 소진 — 부족 "&amp;TEXT(-D19,"#,##0")&amp;"원","")</f>
        <v/>
      </c>
      <c r="S19" s="324">
        <f>MIN(MAX(0,E18+K19),MAX(0,O19-D18-J19))</f>
        <v/>
      </c>
      <c r="T19" s="324">
        <f>MIN(MAX(0,F18+L19),MAX(0,O19-D18-J19)-S19)</f>
        <v/>
      </c>
      <c r="U19" s="324">
        <f>MIN(MAX(0,G18+M19),MAX(0,O19-D18-J19)-S19-T19)</f>
        <v/>
      </c>
      <c r="V19" s="324">
        <f>MIN(MAX(0,H18+N19),MAX(0,O19-D18-J19)-S19-T19-U19)</f>
        <v/>
      </c>
    </row>
    <row r="20">
      <c r="A20" s="225" t="n">
        <v>46319</v>
      </c>
      <c r="B20" s="211" t="inlineStr">
        <is>
          <t>토</t>
        </is>
      </c>
      <c r="C20" s="310">
        <f>SUM(D20:H20)</f>
        <v/>
      </c>
      <c r="D20" s="321">
        <f>D19+J20-O20+S20+T20+U20+V20</f>
        <v/>
      </c>
      <c r="E20" s="321">
        <f>E19+K20-S20</f>
        <v/>
      </c>
      <c r="F20" s="321">
        <f>F19+L20-T20</f>
        <v/>
      </c>
      <c r="G20" s="321">
        <f>G19+M20-U20</f>
        <v/>
      </c>
      <c r="H20" s="321">
        <f>H19+N20-V20</f>
        <v/>
      </c>
      <c r="I20" s="313">
        <f>'4주일별계획'!H20+'4주일별계획'!N20</f>
        <v/>
      </c>
      <c r="J20" s="313">
        <f>I20*0.442625</f>
        <v/>
      </c>
      <c r="K20" s="313">
        <f>I20*0.022831</f>
        <v/>
      </c>
      <c r="L20" s="313">
        <f>I20*0.342410</f>
        <v/>
      </c>
      <c r="M20" s="313">
        <f>I20*0.000000</f>
        <v/>
      </c>
      <c r="N20" s="313">
        <f>I20*0.192134</f>
        <v/>
      </c>
      <c r="O20" s="322">
        <f>'4주일별계획'!O20+'4주일별계획'!P20+'4주일별계획'!Q20</f>
        <v/>
      </c>
      <c r="P20" s="323">
        <f>S20</f>
        <v/>
      </c>
      <c r="Q20" s="323">
        <f>T20+U20+V20</f>
        <v/>
      </c>
      <c r="R20" s="249">
        <f>IF(D20&lt;-0.5,"전 계좌 소진 — 부족 "&amp;TEXT(-D20,"#,##0")&amp;"원","")</f>
        <v/>
      </c>
      <c r="S20" s="324">
        <f>MIN(MAX(0,E19+K20),MAX(0,O20-D19-J20))</f>
        <v/>
      </c>
      <c r="T20" s="324">
        <f>MIN(MAX(0,F19+L20),MAX(0,O20-D19-J20)-S20)</f>
        <v/>
      </c>
      <c r="U20" s="324">
        <f>MIN(MAX(0,G19+M20),MAX(0,O20-D19-J20)-S20-T20)</f>
        <v/>
      </c>
      <c r="V20" s="324">
        <f>MIN(MAX(0,H19+N20),MAX(0,O20-D19-J20)-S20-T20-U20)</f>
        <v/>
      </c>
    </row>
    <row r="21">
      <c r="A21" s="225" t="n">
        <v>46320</v>
      </c>
      <c r="B21" s="211" t="inlineStr">
        <is>
          <t>일</t>
        </is>
      </c>
      <c r="C21" s="310">
        <f>SUM(D21:H21)</f>
        <v/>
      </c>
      <c r="D21" s="321">
        <f>D20+J21-O21+S21+T21+U21+V21</f>
        <v/>
      </c>
      <c r="E21" s="321">
        <f>E20+K21-S21</f>
        <v/>
      </c>
      <c r="F21" s="321">
        <f>F20+L21-T21</f>
        <v/>
      </c>
      <c r="G21" s="321">
        <f>G20+M21-U21</f>
        <v/>
      </c>
      <c r="H21" s="321">
        <f>H20+N21-V21</f>
        <v/>
      </c>
      <c r="I21" s="313">
        <f>'4주일별계획'!H21+'4주일별계획'!N21</f>
        <v/>
      </c>
      <c r="J21" s="313">
        <f>I21*0.442625</f>
        <v/>
      </c>
      <c r="K21" s="313">
        <f>I21*0.022831</f>
        <v/>
      </c>
      <c r="L21" s="313">
        <f>I21*0.342410</f>
        <v/>
      </c>
      <c r="M21" s="313">
        <f>I21*0.000000</f>
        <v/>
      </c>
      <c r="N21" s="313">
        <f>I21*0.192134</f>
        <v/>
      </c>
      <c r="O21" s="322">
        <f>'4주일별계획'!O21+'4주일별계획'!P21+'4주일별계획'!Q21</f>
        <v/>
      </c>
      <c r="P21" s="323">
        <f>S21</f>
        <v/>
      </c>
      <c r="Q21" s="323">
        <f>T21+U21+V21</f>
        <v/>
      </c>
      <c r="R21" s="249">
        <f>IF(D21&lt;-0.5,"전 계좌 소진 — 부족 "&amp;TEXT(-D21,"#,##0")&amp;"원","")</f>
        <v/>
      </c>
      <c r="S21" s="324">
        <f>MIN(MAX(0,E20+K21),MAX(0,O21-D20-J21))</f>
        <v/>
      </c>
      <c r="T21" s="324">
        <f>MIN(MAX(0,F20+L21),MAX(0,O21-D20-J21)-S21)</f>
        <v/>
      </c>
      <c r="U21" s="324">
        <f>MIN(MAX(0,G20+M21),MAX(0,O21-D20-J21)-S21-T21)</f>
        <v/>
      </c>
      <c r="V21" s="324">
        <f>MIN(MAX(0,H20+N21),MAX(0,O21-D20-J21)-S21-T21-U21)</f>
        <v/>
      </c>
    </row>
    <row r="22">
      <c r="A22" s="240" t="n">
        <v>46321</v>
      </c>
      <c r="B22" s="241" t="inlineStr">
        <is>
          <t>월</t>
        </is>
      </c>
      <c r="C22" s="310">
        <f>SUM(D22:H22)</f>
        <v/>
      </c>
      <c r="D22" s="321">
        <f>D21+J22-O22+S22+T22+U22+V22</f>
        <v/>
      </c>
      <c r="E22" s="321">
        <f>E21+K22-S22</f>
        <v/>
      </c>
      <c r="F22" s="321">
        <f>F21+L22-T22</f>
        <v/>
      </c>
      <c r="G22" s="321">
        <f>G21+M22-U22</f>
        <v/>
      </c>
      <c r="H22" s="321">
        <f>H21+N22-V22</f>
        <v/>
      </c>
      <c r="I22" s="313">
        <f>'4주일별계획'!H22+'4주일별계획'!N22</f>
        <v/>
      </c>
      <c r="J22" s="313">
        <f>I22*0.442625</f>
        <v/>
      </c>
      <c r="K22" s="313">
        <f>I22*0.022831</f>
        <v/>
      </c>
      <c r="L22" s="313">
        <f>I22*0.342410</f>
        <v/>
      </c>
      <c r="M22" s="313">
        <f>I22*0.000000</f>
        <v/>
      </c>
      <c r="N22" s="313">
        <f>I22*0.192134</f>
        <v/>
      </c>
      <c r="O22" s="322">
        <f>'4주일별계획'!O22+'4주일별계획'!P22+'4주일별계획'!Q22</f>
        <v/>
      </c>
      <c r="P22" s="323">
        <f>S22</f>
        <v/>
      </c>
      <c r="Q22" s="323">
        <f>T22+U22+V22</f>
        <v/>
      </c>
      <c r="R22" s="249">
        <f>IF(D22&lt;-0.5,"전 계좌 소진 — 부족 "&amp;TEXT(-D22,"#,##0")&amp;"원","")</f>
        <v/>
      </c>
      <c r="S22" s="324">
        <f>MIN(MAX(0,E21+K22),MAX(0,O22-D21-J22))</f>
        <v/>
      </c>
      <c r="T22" s="324">
        <f>MIN(MAX(0,F21+L22),MAX(0,O22-D21-J22)-S22)</f>
        <v/>
      </c>
      <c r="U22" s="324">
        <f>MIN(MAX(0,G21+M22),MAX(0,O22-D21-J22)-S22-T22)</f>
        <v/>
      </c>
      <c r="V22" s="324">
        <f>MIN(MAX(0,H21+N22),MAX(0,O22-D21-J22)-S22-T22-U22)</f>
        <v/>
      </c>
    </row>
    <row r="23">
      <c r="A23" s="240" t="n">
        <v>46322</v>
      </c>
      <c r="B23" s="241" t="inlineStr">
        <is>
          <t>화</t>
        </is>
      </c>
      <c r="C23" s="310">
        <f>SUM(D23:H23)</f>
        <v/>
      </c>
      <c r="D23" s="321">
        <f>D22+J23-O23+S23+T23+U23+V23</f>
        <v/>
      </c>
      <c r="E23" s="321">
        <f>E22+K23-S23</f>
        <v/>
      </c>
      <c r="F23" s="321">
        <f>F22+L23-T23</f>
        <v/>
      </c>
      <c r="G23" s="321">
        <f>G22+M23-U23</f>
        <v/>
      </c>
      <c r="H23" s="321">
        <f>H22+N23-V23</f>
        <v/>
      </c>
      <c r="I23" s="313">
        <f>'4주일별계획'!H23+'4주일별계획'!N23</f>
        <v/>
      </c>
      <c r="J23" s="313">
        <f>I23*0.442625</f>
        <v/>
      </c>
      <c r="K23" s="313">
        <f>I23*0.022831</f>
        <v/>
      </c>
      <c r="L23" s="313">
        <f>I23*0.342410</f>
        <v/>
      </c>
      <c r="M23" s="313">
        <f>I23*0.000000</f>
        <v/>
      </c>
      <c r="N23" s="313">
        <f>I23*0.192134</f>
        <v/>
      </c>
      <c r="O23" s="322">
        <f>'4주일별계획'!O23+'4주일별계획'!P23+'4주일별계획'!Q23</f>
        <v/>
      </c>
      <c r="P23" s="323">
        <f>S23</f>
        <v/>
      </c>
      <c r="Q23" s="323">
        <f>T23+U23+V23</f>
        <v/>
      </c>
      <c r="R23" s="249">
        <f>IF(D23&lt;-0.5,"전 계좌 소진 — 부족 "&amp;TEXT(-D23,"#,##0")&amp;"원","")</f>
        <v/>
      </c>
      <c r="S23" s="324">
        <f>MIN(MAX(0,E22+K23),MAX(0,O23-D22-J23))</f>
        <v/>
      </c>
      <c r="T23" s="324">
        <f>MIN(MAX(0,F22+L23),MAX(0,O23-D22-J23)-S23)</f>
        <v/>
      </c>
      <c r="U23" s="324">
        <f>MIN(MAX(0,G22+M23),MAX(0,O23-D22-J23)-S23-T23)</f>
        <v/>
      </c>
      <c r="V23" s="324">
        <f>MIN(MAX(0,H22+N23),MAX(0,O23-D22-J23)-S23-T23-U23)</f>
        <v/>
      </c>
    </row>
    <row r="24">
      <c r="A24" s="240" t="n">
        <v>46323</v>
      </c>
      <c r="B24" s="241" t="inlineStr">
        <is>
          <t>수</t>
        </is>
      </c>
      <c r="C24" s="310">
        <f>SUM(D24:H24)</f>
        <v/>
      </c>
      <c r="D24" s="321">
        <f>D23+J24-O24+S24+T24+U24+V24</f>
        <v/>
      </c>
      <c r="E24" s="321">
        <f>E23+K24-S24</f>
        <v/>
      </c>
      <c r="F24" s="321">
        <f>F23+L24-T24</f>
        <v/>
      </c>
      <c r="G24" s="321">
        <f>G23+M24-U24</f>
        <v/>
      </c>
      <c r="H24" s="321">
        <f>H23+N24-V24</f>
        <v/>
      </c>
      <c r="I24" s="313">
        <f>'4주일별계획'!H24+'4주일별계획'!N24</f>
        <v/>
      </c>
      <c r="J24" s="313">
        <f>I24*0.442625</f>
        <v/>
      </c>
      <c r="K24" s="313">
        <f>I24*0.022831</f>
        <v/>
      </c>
      <c r="L24" s="313">
        <f>I24*0.342410</f>
        <v/>
      </c>
      <c r="M24" s="313">
        <f>I24*0.000000</f>
        <v/>
      </c>
      <c r="N24" s="313">
        <f>I24*0.192134</f>
        <v/>
      </c>
      <c r="O24" s="322">
        <f>'4주일별계획'!O24+'4주일별계획'!P24+'4주일별계획'!Q24</f>
        <v/>
      </c>
      <c r="P24" s="323">
        <f>S24</f>
        <v/>
      </c>
      <c r="Q24" s="323">
        <f>T24+U24+V24</f>
        <v/>
      </c>
      <c r="R24" s="249">
        <f>IF(D24&lt;-0.5,"전 계좌 소진 — 부족 "&amp;TEXT(-D24,"#,##0")&amp;"원","")</f>
        <v/>
      </c>
      <c r="S24" s="324">
        <f>MIN(MAX(0,E23+K24),MAX(0,O24-D23-J24))</f>
        <v/>
      </c>
      <c r="T24" s="324">
        <f>MIN(MAX(0,F23+L24),MAX(0,O24-D23-J24)-S24)</f>
        <v/>
      </c>
      <c r="U24" s="324">
        <f>MIN(MAX(0,G23+M24),MAX(0,O24-D23-J24)-S24-T24)</f>
        <v/>
      </c>
      <c r="V24" s="324">
        <f>MIN(MAX(0,H23+N24),MAX(0,O24-D23-J24)-S24-T24-U24)</f>
        <v/>
      </c>
    </row>
    <row r="25">
      <c r="A25" s="240" t="n">
        <v>46324</v>
      </c>
      <c r="B25" s="241" t="inlineStr">
        <is>
          <t>목</t>
        </is>
      </c>
      <c r="C25" s="310">
        <f>SUM(D25:H25)</f>
        <v/>
      </c>
      <c r="D25" s="321">
        <f>D24+J25-O25+S25+T25+U25+V25</f>
        <v/>
      </c>
      <c r="E25" s="321">
        <f>E24+K25-S25</f>
        <v/>
      </c>
      <c r="F25" s="321">
        <f>F24+L25-T25</f>
        <v/>
      </c>
      <c r="G25" s="321">
        <f>G24+M25-U25</f>
        <v/>
      </c>
      <c r="H25" s="321">
        <f>H24+N25-V25</f>
        <v/>
      </c>
      <c r="I25" s="313">
        <f>'4주일별계획'!H25+'4주일별계획'!N25</f>
        <v/>
      </c>
      <c r="J25" s="313">
        <f>I25*0.442625</f>
        <v/>
      </c>
      <c r="K25" s="313">
        <f>I25*0.022831</f>
        <v/>
      </c>
      <c r="L25" s="313">
        <f>I25*0.342410</f>
        <v/>
      </c>
      <c r="M25" s="313">
        <f>I25*0.000000</f>
        <v/>
      </c>
      <c r="N25" s="313">
        <f>I25*0.192134</f>
        <v/>
      </c>
      <c r="O25" s="322">
        <f>'4주일별계획'!O25+'4주일별계획'!P25+'4주일별계획'!Q25</f>
        <v/>
      </c>
      <c r="P25" s="323">
        <f>S25</f>
        <v/>
      </c>
      <c r="Q25" s="323">
        <f>T25+U25+V25</f>
        <v/>
      </c>
      <c r="R25" s="249">
        <f>IF(D25&lt;-0.5,"전 계좌 소진 — 부족 "&amp;TEXT(-D25,"#,##0")&amp;"원","")</f>
        <v/>
      </c>
      <c r="S25" s="324">
        <f>MIN(MAX(0,E24+K25),MAX(0,O25-D24-J25))</f>
        <v/>
      </c>
      <c r="T25" s="324">
        <f>MIN(MAX(0,F24+L25),MAX(0,O25-D24-J25)-S25)</f>
        <v/>
      </c>
      <c r="U25" s="324">
        <f>MIN(MAX(0,G24+M25),MAX(0,O25-D24-J25)-S25-T25)</f>
        <v/>
      </c>
      <c r="V25" s="324">
        <f>MIN(MAX(0,H24+N25),MAX(0,O25-D24-J25)-S25-T25-U25)</f>
        <v/>
      </c>
    </row>
    <row r="26">
      <c r="A26" s="240" t="n">
        <v>46325</v>
      </c>
      <c r="B26" s="241" t="inlineStr">
        <is>
          <t>금</t>
        </is>
      </c>
      <c r="C26" s="310">
        <f>SUM(D26:H26)</f>
        <v/>
      </c>
      <c r="D26" s="321">
        <f>D25+J26-O26+S26+T26+U26+V26</f>
        <v/>
      </c>
      <c r="E26" s="321">
        <f>E25+K26-S26</f>
        <v/>
      </c>
      <c r="F26" s="321">
        <f>F25+L26-T26</f>
        <v/>
      </c>
      <c r="G26" s="321">
        <f>G25+M26-U26</f>
        <v/>
      </c>
      <c r="H26" s="321">
        <f>H25+N26-V26</f>
        <v/>
      </c>
      <c r="I26" s="313">
        <f>'4주일별계획'!H26+'4주일별계획'!N26</f>
        <v/>
      </c>
      <c r="J26" s="313">
        <f>I26*0.442625</f>
        <v/>
      </c>
      <c r="K26" s="313">
        <f>I26*0.022831</f>
        <v/>
      </c>
      <c r="L26" s="313">
        <f>I26*0.342410</f>
        <v/>
      </c>
      <c r="M26" s="313">
        <f>I26*0.000000</f>
        <v/>
      </c>
      <c r="N26" s="313">
        <f>I26*0.192134</f>
        <v/>
      </c>
      <c r="O26" s="322">
        <f>'4주일별계획'!O26+'4주일별계획'!P26+'4주일별계획'!Q26</f>
        <v/>
      </c>
      <c r="P26" s="323">
        <f>S26</f>
        <v/>
      </c>
      <c r="Q26" s="323">
        <f>T26+U26+V26</f>
        <v/>
      </c>
      <c r="R26" s="249">
        <f>IF(D26&lt;-0.5,"전 계좌 소진 — 부족 "&amp;TEXT(-D26,"#,##0")&amp;"원","")</f>
        <v/>
      </c>
      <c r="S26" s="324">
        <f>MIN(MAX(0,E25+K26),MAX(0,O26-D25-J26))</f>
        <v/>
      </c>
      <c r="T26" s="324">
        <f>MIN(MAX(0,F25+L26),MAX(0,O26-D25-J26)-S26)</f>
        <v/>
      </c>
      <c r="U26" s="324">
        <f>MIN(MAX(0,G25+M26),MAX(0,O26-D25-J26)-S26-T26)</f>
        <v/>
      </c>
      <c r="V26" s="324">
        <f>MIN(MAX(0,H25+N26),MAX(0,O26-D25-J26)-S26-T26-U26)</f>
        <v/>
      </c>
    </row>
    <row r="27">
      <c r="A27" s="225" t="n">
        <v>46326</v>
      </c>
      <c r="B27" s="211" t="inlineStr">
        <is>
          <t>토</t>
        </is>
      </c>
      <c r="C27" s="310">
        <f>SUM(D27:H27)</f>
        <v/>
      </c>
      <c r="D27" s="321">
        <f>D26+J27-O27+S27+T27+U27+V27</f>
        <v/>
      </c>
      <c r="E27" s="321">
        <f>E26+K27-S27</f>
        <v/>
      </c>
      <c r="F27" s="321">
        <f>F26+L27-T27</f>
        <v/>
      </c>
      <c r="G27" s="321">
        <f>G26+M27-U27</f>
        <v/>
      </c>
      <c r="H27" s="321">
        <f>H26+N27-V27</f>
        <v/>
      </c>
      <c r="I27" s="313">
        <f>'4주일별계획'!H27+'4주일별계획'!N27</f>
        <v/>
      </c>
      <c r="J27" s="313">
        <f>I27*0.442625</f>
        <v/>
      </c>
      <c r="K27" s="313">
        <f>I27*0.022831</f>
        <v/>
      </c>
      <c r="L27" s="313">
        <f>I27*0.342410</f>
        <v/>
      </c>
      <c r="M27" s="313">
        <f>I27*0.000000</f>
        <v/>
      </c>
      <c r="N27" s="313">
        <f>I27*0.192134</f>
        <v/>
      </c>
      <c r="O27" s="322">
        <f>'4주일별계획'!O27+'4주일별계획'!P27+'4주일별계획'!Q27</f>
        <v/>
      </c>
      <c r="P27" s="323">
        <f>S27</f>
        <v/>
      </c>
      <c r="Q27" s="323">
        <f>T27+U27+V27</f>
        <v/>
      </c>
      <c r="R27" s="249">
        <f>IF(D27&lt;-0.5,"전 계좌 소진 — 부족 "&amp;TEXT(-D27,"#,##0")&amp;"원","")</f>
        <v/>
      </c>
      <c r="S27" s="324">
        <f>MIN(MAX(0,E26+K27),MAX(0,O27-D26-J27))</f>
        <v/>
      </c>
      <c r="T27" s="324">
        <f>MIN(MAX(0,F26+L27),MAX(0,O27-D26-J27)-S27)</f>
        <v/>
      </c>
      <c r="U27" s="324">
        <f>MIN(MAX(0,G26+M27),MAX(0,O27-D26-J27)-S27-T27)</f>
        <v/>
      </c>
      <c r="V27" s="324">
        <f>MIN(MAX(0,H26+N27),MAX(0,O27-D26-J27)-S27-T27-U27)</f>
        <v/>
      </c>
    </row>
    <row r="28">
      <c r="A28" s="225" t="n">
        <v>46327</v>
      </c>
      <c r="B28" s="211" t="inlineStr">
        <is>
          <t>일</t>
        </is>
      </c>
      <c r="C28" s="310">
        <f>SUM(D28:H28)</f>
        <v/>
      </c>
      <c r="D28" s="321">
        <f>D27+J28-O28+S28+T28+U28+V28</f>
        <v/>
      </c>
      <c r="E28" s="321">
        <f>E27+K28-S28</f>
        <v/>
      </c>
      <c r="F28" s="321">
        <f>F27+L28-T28</f>
        <v/>
      </c>
      <c r="G28" s="321">
        <f>G27+M28-U28</f>
        <v/>
      </c>
      <c r="H28" s="321">
        <f>H27+N28-V28</f>
        <v/>
      </c>
      <c r="I28" s="313">
        <f>'4주일별계획'!H28+'4주일별계획'!N28</f>
        <v/>
      </c>
      <c r="J28" s="313">
        <f>I28*0.442625</f>
        <v/>
      </c>
      <c r="K28" s="313">
        <f>I28*0.022831</f>
        <v/>
      </c>
      <c r="L28" s="313">
        <f>I28*0.342410</f>
        <v/>
      </c>
      <c r="M28" s="313">
        <f>I28*0.000000</f>
        <v/>
      </c>
      <c r="N28" s="313">
        <f>I28*0.192134</f>
        <v/>
      </c>
      <c r="O28" s="322">
        <f>'4주일별계획'!O28+'4주일별계획'!P28+'4주일별계획'!Q28</f>
        <v/>
      </c>
      <c r="P28" s="323">
        <f>S28</f>
        <v/>
      </c>
      <c r="Q28" s="323">
        <f>T28+U28+V28</f>
        <v/>
      </c>
      <c r="R28" s="249">
        <f>IF(D28&lt;-0.5,"전 계좌 소진 — 부족 "&amp;TEXT(-D28,"#,##0")&amp;"원","")</f>
        <v/>
      </c>
      <c r="S28" s="324">
        <f>MIN(MAX(0,E27+K28),MAX(0,O28-D27-J28))</f>
        <v/>
      </c>
      <c r="T28" s="324">
        <f>MIN(MAX(0,F27+L28),MAX(0,O28-D27-J28)-S28)</f>
        <v/>
      </c>
      <c r="U28" s="324">
        <f>MIN(MAX(0,G27+M28),MAX(0,O28-D27-J28)-S28-T28)</f>
        <v/>
      </c>
      <c r="V28" s="324">
        <f>MIN(MAX(0,H27+N28),MAX(0,O28-D27-J28)-S28-T28-U28)</f>
        <v/>
      </c>
    </row>
    <row r="29">
      <c r="A29" s="240" t="n">
        <v>46328</v>
      </c>
      <c r="B29" s="241" t="inlineStr">
        <is>
          <t>월</t>
        </is>
      </c>
      <c r="C29" s="310">
        <f>SUM(D29:H29)</f>
        <v/>
      </c>
      <c r="D29" s="321">
        <f>D28+J29-O29+S29+T29+U29+V29</f>
        <v/>
      </c>
      <c r="E29" s="321">
        <f>E28+K29-S29</f>
        <v/>
      </c>
      <c r="F29" s="321">
        <f>F28+L29-T29</f>
        <v/>
      </c>
      <c r="G29" s="321">
        <f>G28+M29-U29</f>
        <v/>
      </c>
      <c r="H29" s="321">
        <f>H28+N29-V29</f>
        <v/>
      </c>
      <c r="I29" s="313">
        <f>'4주일별계획'!H29+'4주일별계획'!N29</f>
        <v/>
      </c>
      <c r="J29" s="313">
        <f>I29*0.442625</f>
        <v/>
      </c>
      <c r="K29" s="313">
        <f>I29*0.022831</f>
        <v/>
      </c>
      <c r="L29" s="313">
        <f>I29*0.342410</f>
        <v/>
      </c>
      <c r="M29" s="313">
        <f>I29*0.000000</f>
        <v/>
      </c>
      <c r="N29" s="313">
        <f>I29*0.192134</f>
        <v/>
      </c>
      <c r="O29" s="322">
        <f>'4주일별계획'!O29+'4주일별계획'!P29+'4주일별계획'!Q29</f>
        <v/>
      </c>
      <c r="P29" s="323">
        <f>S29</f>
        <v/>
      </c>
      <c r="Q29" s="323">
        <f>T29+U29+V29</f>
        <v/>
      </c>
      <c r="R29" s="249">
        <f>IF(D29&lt;-0.5,"전 계좌 소진 — 부족 "&amp;TEXT(-D29,"#,##0")&amp;"원","")</f>
        <v/>
      </c>
      <c r="S29" s="324">
        <f>MIN(MAX(0,E28+K29),MAX(0,O29-D28-J29))</f>
        <v/>
      </c>
      <c r="T29" s="324">
        <f>MIN(MAX(0,F28+L29),MAX(0,O29-D28-J29)-S29)</f>
        <v/>
      </c>
      <c r="U29" s="324">
        <f>MIN(MAX(0,G28+M29),MAX(0,O29-D28-J29)-S29-T29)</f>
        <v/>
      </c>
      <c r="V29" s="324">
        <f>MIN(MAX(0,H28+N29),MAX(0,O29-D28-J29)-S29-T29-U29)</f>
        <v/>
      </c>
    </row>
    <row r="30">
      <c r="A30" s="240" t="n">
        <v>46329</v>
      </c>
      <c r="B30" s="241" t="inlineStr">
        <is>
          <t>화</t>
        </is>
      </c>
      <c r="C30" s="310">
        <f>SUM(D30:H30)</f>
        <v/>
      </c>
      <c r="D30" s="321">
        <f>D29+J30-O30+S30+T30+U30+V30</f>
        <v/>
      </c>
      <c r="E30" s="321">
        <f>E29+K30-S30</f>
        <v/>
      </c>
      <c r="F30" s="321">
        <f>F29+L30-T30</f>
        <v/>
      </c>
      <c r="G30" s="321">
        <f>G29+M30-U30</f>
        <v/>
      </c>
      <c r="H30" s="321">
        <f>H29+N30-V30</f>
        <v/>
      </c>
      <c r="I30" s="313">
        <f>'4주일별계획'!H30+'4주일별계획'!N30</f>
        <v/>
      </c>
      <c r="J30" s="313">
        <f>I30*0.442625</f>
        <v/>
      </c>
      <c r="K30" s="313">
        <f>I30*0.022831</f>
        <v/>
      </c>
      <c r="L30" s="313">
        <f>I30*0.342410</f>
        <v/>
      </c>
      <c r="M30" s="313">
        <f>I30*0.000000</f>
        <v/>
      </c>
      <c r="N30" s="313">
        <f>I30*0.192134</f>
        <v/>
      </c>
      <c r="O30" s="322">
        <f>'4주일별계획'!O30+'4주일별계획'!P30+'4주일별계획'!Q30</f>
        <v/>
      </c>
      <c r="P30" s="323">
        <f>S30</f>
        <v/>
      </c>
      <c r="Q30" s="323">
        <f>T30+U30+V30</f>
        <v/>
      </c>
      <c r="R30" s="249">
        <f>IF(D30&lt;-0.5,"전 계좌 소진 — 부족 "&amp;TEXT(-D30,"#,##0")&amp;"원","")</f>
        <v/>
      </c>
      <c r="S30" s="324">
        <f>MIN(MAX(0,E29+K30),MAX(0,O30-D29-J30))</f>
        <v/>
      </c>
      <c r="T30" s="324">
        <f>MIN(MAX(0,F29+L30),MAX(0,O30-D29-J30)-S30)</f>
        <v/>
      </c>
      <c r="U30" s="324">
        <f>MIN(MAX(0,G29+M30),MAX(0,O30-D29-J30)-S30-T30)</f>
        <v/>
      </c>
      <c r="V30" s="324">
        <f>MIN(MAX(0,H29+N30),MAX(0,O30-D29-J30)-S30-T30-U30)</f>
        <v/>
      </c>
    </row>
    <row r="31">
      <c r="A31" s="240" t="n">
        <v>46330</v>
      </c>
      <c r="B31" s="241" t="inlineStr">
        <is>
          <t>수</t>
        </is>
      </c>
      <c r="C31" s="310">
        <f>SUM(D31:H31)</f>
        <v/>
      </c>
      <c r="D31" s="321">
        <f>D30+J31-O31+S31+T31+U31+V31</f>
        <v/>
      </c>
      <c r="E31" s="321">
        <f>E30+K31-S31</f>
        <v/>
      </c>
      <c r="F31" s="321">
        <f>F30+L31-T31</f>
        <v/>
      </c>
      <c r="G31" s="321">
        <f>G30+M31-U31</f>
        <v/>
      </c>
      <c r="H31" s="321">
        <f>H30+N31-V31</f>
        <v/>
      </c>
      <c r="I31" s="313">
        <f>'4주일별계획'!H31+'4주일별계획'!N31</f>
        <v/>
      </c>
      <c r="J31" s="313">
        <f>I31*0.442625</f>
        <v/>
      </c>
      <c r="K31" s="313">
        <f>I31*0.022831</f>
        <v/>
      </c>
      <c r="L31" s="313">
        <f>I31*0.342410</f>
        <v/>
      </c>
      <c r="M31" s="313">
        <f>I31*0.000000</f>
        <v/>
      </c>
      <c r="N31" s="313">
        <f>I31*0.192134</f>
        <v/>
      </c>
      <c r="O31" s="322">
        <f>'4주일별계획'!O31+'4주일별계획'!P31+'4주일별계획'!Q31</f>
        <v/>
      </c>
      <c r="P31" s="323">
        <f>S31</f>
        <v/>
      </c>
      <c r="Q31" s="323">
        <f>T31+U31+V31</f>
        <v/>
      </c>
      <c r="R31" s="249">
        <f>IF(D31&lt;-0.5,"전 계좌 소진 — 부족 "&amp;TEXT(-D31,"#,##0")&amp;"원","")</f>
        <v/>
      </c>
      <c r="S31" s="324">
        <f>MIN(MAX(0,E30+K31),MAX(0,O31-D30-J31))</f>
        <v/>
      </c>
      <c r="T31" s="324">
        <f>MIN(MAX(0,F30+L31),MAX(0,O31-D30-J31)-S31)</f>
        <v/>
      </c>
      <c r="U31" s="324">
        <f>MIN(MAX(0,G30+M31),MAX(0,O31-D30-J31)-S31-T31)</f>
        <v/>
      </c>
      <c r="V31" s="324">
        <f>MIN(MAX(0,H30+N31),MAX(0,O31-D30-J31)-S31-T31-U31)</f>
        <v/>
      </c>
    </row>
    <row r="32">
      <c r="A32" s="240" t="n">
        <v>46331</v>
      </c>
      <c r="B32" s="241" t="inlineStr">
        <is>
          <t>목</t>
        </is>
      </c>
      <c r="C32" s="310">
        <f>SUM(D32:H32)</f>
        <v/>
      </c>
      <c r="D32" s="321">
        <f>D31+J32-O32+S32+T32+U32+V32</f>
        <v/>
      </c>
      <c r="E32" s="321">
        <f>E31+K32-S32</f>
        <v/>
      </c>
      <c r="F32" s="321">
        <f>F31+L32-T32</f>
        <v/>
      </c>
      <c r="G32" s="321">
        <f>G31+M32-U32</f>
        <v/>
      </c>
      <c r="H32" s="321">
        <f>H31+N32-V32</f>
        <v/>
      </c>
      <c r="I32" s="313">
        <f>'4주일별계획'!H32+'4주일별계획'!N32</f>
        <v/>
      </c>
      <c r="J32" s="313">
        <f>I32*0.442625</f>
        <v/>
      </c>
      <c r="K32" s="313">
        <f>I32*0.022831</f>
        <v/>
      </c>
      <c r="L32" s="313">
        <f>I32*0.342410</f>
        <v/>
      </c>
      <c r="M32" s="313">
        <f>I32*0.000000</f>
        <v/>
      </c>
      <c r="N32" s="313">
        <f>I32*0.192134</f>
        <v/>
      </c>
      <c r="O32" s="322">
        <f>'4주일별계획'!O32+'4주일별계획'!P32+'4주일별계획'!Q32</f>
        <v/>
      </c>
      <c r="P32" s="323">
        <f>S32</f>
        <v/>
      </c>
      <c r="Q32" s="323">
        <f>T32+U32+V32</f>
        <v/>
      </c>
      <c r="R32" s="249">
        <f>IF(D32&lt;-0.5,"전 계좌 소진 — 부족 "&amp;TEXT(-D32,"#,##0")&amp;"원","")</f>
        <v/>
      </c>
      <c r="S32" s="324">
        <f>MIN(MAX(0,E31+K32),MAX(0,O32-D31-J32))</f>
        <v/>
      </c>
      <c r="T32" s="324">
        <f>MIN(MAX(0,F31+L32),MAX(0,O32-D31-J32)-S32)</f>
        <v/>
      </c>
      <c r="U32" s="324">
        <f>MIN(MAX(0,G31+M32),MAX(0,O32-D31-J32)-S32-T32)</f>
        <v/>
      </c>
      <c r="V32" s="324">
        <f>MIN(MAX(0,H31+N32),MAX(0,O32-D31-J32)-S32-T32-U32)</f>
        <v/>
      </c>
    </row>
    <row r="33">
      <c r="A33" s="240" t="n">
        <v>46332</v>
      </c>
      <c r="B33" s="241" t="inlineStr">
        <is>
          <t>금</t>
        </is>
      </c>
      <c r="C33" s="310">
        <f>SUM(D33:H33)</f>
        <v/>
      </c>
      <c r="D33" s="321">
        <f>D32+J33-O33+S33+T33+U33+V33</f>
        <v/>
      </c>
      <c r="E33" s="321">
        <f>E32+K33-S33</f>
        <v/>
      </c>
      <c r="F33" s="321">
        <f>F32+L33-T33</f>
        <v/>
      </c>
      <c r="G33" s="321">
        <f>G32+M33-U33</f>
        <v/>
      </c>
      <c r="H33" s="321">
        <f>H32+N33-V33</f>
        <v/>
      </c>
      <c r="I33" s="313">
        <f>'4주일별계획'!H33+'4주일별계획'!N33</f>
        <v/>
      </c>
      <c r="J33" s="313">
        <f>I33*0.442625</f>
        <v/>
      </c>
      <c r="K33" s="313">
        <f>I33*0.022831</f>
        <v/>
      </c>
      <c r="L33" s="313">
        <f>I33*0.342410</f>
        <v/>
      </c>
      <c r="M33" s="313">
        <f>I33*0.000000</f>
        <v/>
      </c>
      <c r="N33" s="313">
        <f>I33*0.192134</f>
        <v/>
      </c>
      <c r="O33" s="322">
        <f>'4주일별계획'!O33+'4주일별계획'!P33+'4주일별계획'!Q33</f>
        <v/>
      </c>
      <c r="P33" s="323">
        <f>S33</f>
        <v/>
      </c>
      <c r="Q33" s="323">
        <f>T33+U33+V33</f>
        <v/>
      </c>
      <c r="R33" s="249">
        <f>IF(D33&lt;-0.5,"전 계좌 소진 — 부족 "&amp;TEXT(-D33,"#,##0")&amp;"원","")</f>
        <v/>
      </c>
      <c r="S33" s="324">
        <f>MIN(MAX(0,E32+K33),MAX(0,O33-D32-J33))</f>
        <v/>
      </c>
      <c r="T33" s="324">
        <f>MIN(MAX(0,F32+L33),MAX(0,O33-D32-J33)-S33)</f>
        <v/>
      </c>
      <c r="U33" s="324">
        <f>MIN(MAX(0,G32+M33),MAX(0,O33-D32-J33)-S33-T33)</f>
        <v/>
      </c>
      <c r="V33" s="324">
        <f>MIN(MAX(0,H32+N33),MAX(0,O33-D32-J33)-S33-T33-U33)</f>
        <v/>
      </c>
    </row>
    <row r="34">
      <c r="A34" s="225" t="n">
        <v>46333</v>
      </c>
      <c r="B34" s="211" t="inlineStr">
        <is>
          <t>토</t>
        </is>
      </c>
      <c r="C34" s="310">
        <f>SUM(D34:H34)</f>
        <v/>
      </c>
      <c r="D34" s="321">
        <f>D33+J34-O34+S34+T34+U34+V34</f>
        <v/>
      </c>
      <c r="E34" s="321">
        <f>E33+K34-S34</f>
        <v/>
      </c>
      <c r="F34" s="321">
        <f>F33+L34-T34</f>
        <v/>
      </c>
      <c r="G34" s="321">
        <f>G33+M34-U34</f>
        <v/>
      </c>
      <c r="H34" s="321">
        <f>H33+N34-V34</f>
        <v/>
      </c>
      <c r="I34" s="313">
        <f>'4주일별계획'!H34+'4주일별계획'!N34</f>
        <v/>
      </c>
      <c r="J34" s="313">
        <f>I34*0.442625</f>
        <v/>
      </c>
      <c r="K34" s="313">
        <f>I34*0.022831</f>
        <v/>
      </c>
      <c r="L34" s="313">
        <f>I34*0.342410</f>
        <v/>
      </c>
      <c r="M34" s="313">
        <f>I34*0.000000</f>
        <v/>
      </c>
      <c r="N34" s="313">
        <f>I34*0.192134</f>
        <v/>
      </c>
      <c r="O34" s="322">
        <f>'4주일별계획'!O34+'4주일별계획'!P34+'4주일별계획'!Q34</f>
        <v/>
      </c>
      <c r="P34" s="323">
        <f>S34</f>
        <v/>
      </c>
      <c r="Q34" s="323">
        <f>T34+U34+V34</f>
        <v/>
      </c>
      <c r="R34" s="249">
        <f>IF(D34&lt;-0.5,"전 계좌 소진 — 부족 "&amp;TEXT(-D34,"#,##0")&amp;"원","")</f>
        <v/>
      </c>
      <c r="S34" s="324">
        <f>MIN(MAX(0,E33+K34),MAX(0,O34-D33-J34))</f>
        <v/>
      </c>
      <c r="T34" s="324">
        <f>MIN(MAX(0,F33+L34),MAX(0,O34-D33-J34)-S34)</f>
        <v/>
      </c>
      <c r="U34" s="324">
        <f>MIN(MAX(0,G33+M34),MAX(0,O34-D33-J34)-S34-T34)</f>
        <v/>
      </c>
      <c r="V34" s="324">
        <f>MIN(MAX(0,H33+N34),MAX(0,O34-D33-J34)-S34-T34-U34)</f>
        <v/>
      </c>
    </row>
    <row r="35">
      <c r="A35" s="225" t="n">
        <v>46334</v>
      </c>
      <c r="B35" s="211" t="inlineStr">
        <is>
          <t>일</t>
        </is>
      </c>
      <c r="C35" s="310">
        <f>SUM(D35:H35)</f>
        <v/>
      </c>
      <c r="D35" s="321">
        <f>D34+J35-O35+S35+T35+U35+V35</f>
        <v/>
      </c>
      <c r="E35" s="321">
        <f>E34+K35-S35</f>
        <v/>
      </c>
      <c r="F35" s="321">
        <f>F34+L35-T35</f>
        <v/>
      </c>
      <c r="G35" s="321">
        <f>G34+M35-U35</f>
        <v/>
      </c>
      <c r="H35" s="321">
        <f>H34+N35-V35</f>
        <v/>
      </c>
      <c r="I35" s="313">
        <f>'4주일별계획'!H35+'4주일별계획'!N35</f>
        <v/>
      </c>
      <c r="J35" s="313">
        <f>I35*0.442625</f>
        <v/>
      </c>
      <c r="K35" s="313">
        <f>I35*0.022831</f>
        <v/>
      </c>
      <c r="L35" s="313">
        <f>I35*0.342410</f>
        <v/>
      </c>
      <c r="M35" s="313">
        <f>I35*0.000000</f>
        <v/>
      </c>
      <c r="N35" s="313">
        <f>I35*0.192134</f>
        <v/>
      </c>
      <c r="O35" s="322">
        <f>'4주일별계획'!O35+'4주일별계획'!P35+'4주일별계획'!Q35</f>
        <v/>
      </c>
      <c r="P35" s="323">
        <f>S35</f>
        <v/>
      </c>
      <c r="Q35" s="323">
        <f>T35+U35+V35</f>
        <v/>
      </c>
      <c r="R35" s="249">
        <f>IF(D35&lt;-0.5,"전 계좌 소진 — 부족 "&amp;TEXT(-D35,"#,##0")&amp;"원","")</f>
        <v/>
      </c>
      <c r="S35" s="324">
        <f>MIN(MAX(0,E34+K35),MAX(0,O35-D34-J35))</f>
        <v/>
      </c>
      <c r="T35" s="324">
        <f>MIN(MAX(0,F34+L35),MAX(0,O35-D34-J35)-S35)</f>
        <v/>
      </c>
      <c r="U35" s="324">
        <f>MIN(MAX(0,G34+M35),MAX(0,O35-D34-J35)-S35-T35)</f>
        <v/>
      </c>
      <c r="V35" s="324">
        <f>MIN(MAX(0,H34+N35),MAX(0,O35-D34-J35)-S35-T35-U35)</f>
        <v/>
      </c>
    </row>
  </sheetData>
  <sheetProtection selectLockedCells="0" selectUnlockedCells="0" sheet="1" objects="0" insertRows="1" insertHyperlinks="1" autoFilter="1" scenarios="0" formatColumns="0" deleteColumns="1" insertColumns="1" pivotTables="1" deleteRows="1" formatCells="1" formatRows="0" sort="1"/>
  <mergeCells count="6">
    <mergeCell ref="P4:Q4"/>
    <mergeCell ref="B4:B5"/>
    <mergeCell ref="R4:R5"/>
    <mergeCell ref="A4:A5"/>
    <mergeCell ref="C4:H4"/>
    <mergeCell ref="I4:N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2026-10-12 ~ 2026-10-18</t>
        </is>
      </c>
      <c r="C6" s="126">
        <f>SUMIFS('4주일별계획'!$H$8:$H$35,'4주일별계획'!$A$8:$A$35,"&gt;="&amp;DATE(2026,10,12),'4주일별계획'!$A$8:$A$35,"&lt;="&amp;DATE(2026,10,18))</f>
        <v/>
      </c>
      <c r="D6" s="126">
        <f>SUMIFS('4주일별계획'!$N$8:$N$35,'4주일별계획'!$A$8:$A$35,"&gt;="&amp;DATE(2026,10,12),'4주일별계획'!$A$8:$A$35,"&lt;="&amp;DATE(2026,10,18))</f>
        <v/>
      </c>
      <c r="E6" s="126">
        <f>SUMIFS('4주일별계획'!$O$8:$O$35,'4주일별계획'!$A$8:$A$35,"&gt;="&amp;DATE(2026,10,12),'4주일별계획'!$A$8:$A$35,"&lt;="&amp;DATE(2026,10,18))</f>
        <v/>
      </c>
      <c r="F6" s="126">
        <f>SUMIFS('4주일별계획'!$P$8:$P$35,'4주일별계획'!$A$8:$A$35,"&gt;="&amp;DATE(2026,10,12),'4주일별계획'!$A$8:$A$35,"&lt;="&amp;DATE(2026,10,18))</f>
        <v/>
      </c>
      <c r="G6" s="126">
        <f>SUMIFS('4주일별계획'!$Q$8:$Q$35,'4주일별계획'!$A$8:$A$35,"&gt;="&amp;DATE(2026,10,12),'4주일별계획'!$A$8:$A$35,"&lt;="&amp;DATE(2026,10,18))</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2026-10-19 ~ 2026-10-25</t>
        </is>
      </c>
      <c r="C7" s="130">
        <f>SUMIFS('4주일별계획'!$H$8:$H$35,'4주일별계획'!$A$8:$A$35,"&gt;="&amp;DATE(2026,10,19),'4주일별계획'!$A$8:$A$35,"&lt;="&amp;DATE(2026,10,25))</f>
        <v/>
      </c>
      <c r="D7" s="130">
        <f>SUMIFS('4주일별계획'!$N$8:$N$35,'4주일별계획'!$A$8:$A$35,"&gt;="&amp;DATE(2026,10,19),'4주일별계획'!$A$8:$A$35,"&lt;="&amp;DATE(2026,10,25))</f>
        <v/>
      </c>
      <c r="E7" s="130">
        <f>SUMIFS('4주일별계획'!$O$8:$O$35,'4주일별계획'!$A$8:$A$35,"&gt;="&amp;DATE(2026,10,19),'4주일별계획'!$A$8:$A$35,"&lt;="&amp;DATE(2026,10,25))</f>
        <v/>
      </c>
      <c r="F7" s="130">
        <f>SUMIFS('4주일별계획'!$P$8:$P$35,'4주일별계획'!$A$8:$A$35,"&gt;="&amp;DATE(2026,10,19),'4주일별계획'!$A$8:$A$35,"&lt;="&amp;DATE(2026,10,25))</f>
        <v/>
      </c>
      <c r="G7" s="130">
        <f>SUMIFS('4주일별계획'!$Q$8:$Q$35,'4주일별계획'!$A$8:$A$35,"&gt;="&amp;DATE(2026,10,19),'4주일별계획'!$A$8:$A$35,"&lt;="&amp;DATE(2026,10,25))</f>
        <v/>
      </c>
      <c r="H7" s="138" t="n"/>
      <c r="I7" s="132">
        <f>C7+D7-E7-F7-G7+H7</f>
        <v/>
      </c>
      <c r="J7" s="132">
        <f>J6+I7</f>
        <v/>
      </c>
      <c r="K7" s="43">
        <f>IF(J7&lt;0,"자금부족",IF(J7&lt;'요약'!$B$6*0.2,"주의","정상"))</f>
        <v/>
      </c>
      <c r="L7" s="2" t="n"/>
      <c r="M7" s="2" t="n"/>
      <c r="N7" s="2" t="n"/>
      <c r="O7" s="2" t="n"/>
      <c r="P7" s="2" t="n"/>
    </row>
    <row r="8">
      <c r="A8" s="117" t="inlineStr">
        <is>
          <t>3주차</t>
        </is>
      </c>
      <c r="B8" s="104" t="inlineStr">
        <is>
          <t>2026-10-26 ~ 2026-11-01</t>
        </is>
      </c>
      <c r="C8" s="130">
        <f>SUMIFS('4주일별계획'!$H$8:$H$35,'4주일별계획'!$A$8:$A$35,"&gt;="&amp;DATE(2026,10,26),'4주일별계획'!$A$8:$A$35,"&lt;="&amp;DATE(2026,11,1))</f>
        <v/>
      </c>
      <c r="D8" s="130">
        <f>SUMIFS('4주일별계획'!$N$8:$N$35,'4주일별계획'!$A$8:$A$35,"&gt;="&amp;DATE(2026,10,26),'4주일별계획'!$A$8:$A$35,"&lt;="&amp;DATE(2026,11,1))</f>
        <v/>
      </c>
      <c r="E8" s="130">
        <f>SUMIFS('4주일별계획'!$O$8:$O$35,'4주일별계획'!$A$8:$A$35,"&gt;="&amp;DATE(2026,10,26),'4주일별계획'!$A$8:$A$35,"&lt;="&amp;DATE(2026,11,1))</f>
        <v/>
      </c>
      <c r="F8" s="130">
        <f>SUMIFS('4주일별계획'!$P$8:$P$35,'4주일별계획'!$A$8:$A$35,"&gt;="&amp;DATE(2026,10,26),'4주일별계획'!$A$8:$A$35,"&lt;="&amp;DATE(2026,11,1))</f>
        <v/>
      </c>
      <c r="G8" s="130">
        <f>SUMIFS('4주일별계획'!$Q$8:$Q$35,'4주일별계획'!$A$8:$A$35,"&gt;="&amp;DATE(2026,10,26),'4주일별계획'!$A$8:$A$35,"&lt;="&amp;DATE(2026,11,1))</f>
        <v/>
      </c>
      <c r="H8" s="138" t="n"/>
      <c r="I8" s="132">
        <f>C8+D8-E8-F8-G8+H8</f>
        <v/>
      </c>
      <c r="J8" s="132">
        <f>J7+I8</f>
        <v/>
      </c>
      <c r="K8" s="43">
        <f>IF(J8&lt;0,"자금부족",IF(J8&lt;'요약'!$B$6*0.2,"주의","정상"))</f>
        <v/>
      </c>
      <c r="L8" s="2" t="n"/>
      <c r="M8" s="2" t="n"/>
      <c r="N8" s="2" t="n"/>
      <c r="O8" s="2" t="n"/>
      <c r="P8" s="2" t="n"/>
    </row>
    <row r="9">
      <c r="A9" s="117" t="inlineStr">
        <is>
          <t>4주차</t>
        </is>
      </c>
      <c r="B9" s="104" t="inlineStr">
        <is>
          <t>2026-11-02 ~ 2026-11-08</t>
        </is>
      </c>
      <c r="C9" s="130">
        <f>SUMIFS('4주일별계획'!$H$8:$H$35,'4주일별계획'!$A$8:$A$35,"&gt;="&amp;DATE(2026,11,2),'4주일별계획'!$A$8:$A$35,"&lt;="&amp;DATE(2026,11,8))</f>
        <v/>
      </c>
      <c r="D9" s="130">
        <f>SUMIFS('4주일별계획'!$N$8:$N$35,'4주일별계획'!$A$8:$A$35,"&gt;="&amp;DATE(2026,11,2),'4주일별계획'!$A$8:$A$35,"&lt;="&amp;DATE(2026,11,8))</f>
        <v/>
      </c>
      <c r="E9" s="130">
        <f>SUMIFS('4주일별계획'!$O$8:$O$35,'4주일별계획'!$A$8:$A$35,"&gt;="&amp;DATE(2026,11,2),'4주일별계획'!$A$8:$A$35,"&lt;="&amp;DATE(2026,11,8))</f>
        <v/>
      </c>
      <c r="F9" s="130">
        <f>SUMIFS('4주일별계획'!$P$8:$P$35,'4주일별계획'!$A$8:$A$35,"&gt;="&amp;DATE(2026,11,2),'4주일별계획'!$A$8:$A$35,"&lt;="&amp;DATE(2026,11,8))</f>
        <v/>
      </c>
      <c r="G9" s="130">
        <f>SUMIFS('4주일별계획'!$Q$8:$Q$35,'4주일별계획'!$A$8:$A$35,"&gt;="&amp;DATE(2026,11,2),'4주일별계획'!$A$8:$A$35,"&lt;="&amp;DATE(2026,11,8))</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2026-11-09 ~ 2026-11-15</t>
        </is>
      </c>
      <c r="C10" s="130">
        <f>SUM('설정및분류'!$C$6:$C$12)*'요약'!$B$13</f>
        <v/>
      </c>
      <c r="D10" s="131" t="n"/>
      <c r="E10" s="131" t="n"/>
      <c r="F10" s="131" t="n"/>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2026-11-16 ~ 2026-11-22</t>
        </is>
      </c>
      <c r="C11" s="130">
        <f>SUM('설정및분류'!$C$6:$C$12)*'요약'!$B$13</f>
        <v/>
      </c>
      <c r="D11" s="131" t="n"/>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2026-11-23 ~ 2026-11-29</t>
        </is>
      </c>
      <c r="C12" s="130">
        <f>SUM('설정및분류'!$C$6:$C$12)*'요약'!$B$13</f>
        <v/>
      </c>
      <c r="D12" s="131" t="n"/>
      <c r="E12" s="131" t="n"/>
      <c r="F12" s="131" t="n">
        <v>1975000</v>
      </c>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2026-11-30 ~ 2026-12-06</t>
        </is>
      </c>
      <c r="C13" s="130">
        <f>SUM('설정및분류'!$C$6:$C$12)*'요약'!$B$13</f>
        <v/>
      </c>
      <c r="D13" s="131" t="n">
        <v>10021867</v>
      </c>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2026-12-07 ~ 2026-12-13</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2026-12-14 ~ 2026-12-20</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2026-12-21 ~ 2026-12-27</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2026-12-28 ~ 2027-01-03</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2027-01-04 ~ 2027-01-10</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26"/>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51" t="inlineStr">
        <is>
          <t>요청ID</t>
        </is>
      </c>
      <c r="B5" s="251" t="inlineStr">
        <is>
          <t>팀명</t>
        </is>
      </c>
      <c r="C5" s="251" t="inlineStr">
        <is>
          <t>신청자</t>
        </is>
      </c>
      <c r="D5" s="251" t="inlineStr">
        <is>
          <t>품의승인</t>
        </is>
      </c>
      <c r="E5" s="251" t="inlineStr">
        <is>
          <t>지급예정일</t>
        </is>
      </c>
      <c r="F5" s="252" t="inlineStr">
        <is>
          <t>자금계획 반영일</t>
        </is>
      </c>
      <c r="G5" s="251" t="inlineStr">
        <is>
          <t>거래처</t>
        </is>
      </c>
      <c r="H5" s="251" t="inlineStr">
        <is>
          <t>지출내용</t>
        </is>
      </c>
      <c r="I5" s="251" t="inlineStr">
        <is>
          <t>예상금액</t>
        </is>
      </c>
      <c r="J5" s="251" t="inlineStr">
        <is>
          <t>지급방법</t>
        </is>
      </c>
      <c r="K5" s="251" t="inlineStr">
        <is>
          <t>카드구분</t>
        </is>
      </c>
      <c r="L5" s="251" t="inlineStr">
        <is>
          <t>확정여부</t>
        </is>
      </c>
      <c r="M5" s="251" t="inlineStr">
        <is>
          <t>진행상태</t>
        </is>
      </c>
      <c r="N5" s="251" t="inlineStr">
        <is>
          <t>최종수정일</t>
        </is>
      </c>
      <c r="O5" s="251" t="inlineStr">
        <is>
          <t>원본파일</t>
        </is>
      </c>
      <c r="P5" s="251" t="inlineStr">
        <is>
          <t>반영상태</t>
        </is>
      </c>
      <c r="Q5" s="251" t="inlineStr">
        <is>
          <t>확인사항</t>
        </is>
      </c>
    </row>
    <row r="6" hidden="1">
      <c r="A6" s="253" t="inlineStr">
        <is>
          <t>건강-20261012-001</t>
        </is>
      </c>
      <c r="B6" s="253" t="inlineStr">
        <is>
          <t>건강사업팀</t>
        </is>
      </c>
      <c r="C6" s="253" t="inlineStr">
        <is>
          <t>전은신</t>
        </is>
      </c>
      <c r="D6" s="253" t="inlineStr"/>
      <c r="E6" s="254" t="n">
        <v>46307</v>
      </c>
      <c r="F6" s="254" t="n">
        <v>46307</v>
      </c>
      <c r="G6" s="253" t="inlineStr">
        <is>
          <t>네이버</t>
        </is>
      </c>
      <c r="H6" s="253" t="inlineStr">
        <is>
          <t>네이버 SA&amp;GFA 광고 비용</t>
        </is>
      </c>
      <c r="I6" s="255" t="n">
        <v>1683000</v>
      </c>
      <c r="J6" s="253" t="inlineStr">
        <is>
          <t>계좌송금</t>
        </is>
      </c>
      <c r="K6" s="253" t="inlineStr"/>
      <c r="L6" s="253" t="inlineStr">
        <is>
          <t>확정</t>
        </is>
      </c>
      <c r="M6" s="253" t="inlineStr">
        <is>
          <t>신규</t>
        </is>
      </c>
      <c r="N6" s="254" t="n">
        <v>46307</v>
      </c>
      <c r="O6" s="253" t="inlineStr">
        <is>
          <t>지출계획_2026-10-17.xlsx</t>
        </is>
      </c>
      <c r="P6" s="253" t="inlineStr">
        <is>
          <t>정상반영</t>
        </is>
      </c>
      <c r="Q6" s="253" t="inlineStr"/>
    </row>
    <row r="7" hidden="1" ht="32.4" customHeight="1">
      <c r="A7" s="253" t="inlineStr">
        <is>
          <t>경영-20261012-003</t>
        </is>
      </c>
      <c r="B7" s="253" t="inlineStr">
        <is>
          <t>경영지원팀</t>
        </is>
      </c>
      <c r="C7" s="253" t="inlineStr">
        <is>
          <t>송채은</t>
        </is>
      </c>
      <c r="D7" s="253" t="inlineStr"/>
      <c r="E7" s="254" t="n">
        <v>46307</v>
      </c>
      <c r="F7" s="254" t="n">
        <v>46307</v>
      </c>
      <c r="G7" s="253" t="inlineStr">
        <is>
          <t>원천세</t>
        </is>
      </c>
      <c r="H7" s="253" t="inlineStr">
        <is>
          <t>9월 원천세</t>
        </is>
      </c>
      <c r="I7" s="255" t="n">
        <v>3511130</v>
      </c>
      <c r="J7" s="253" t="inlineStr">
        <is>
          <t>계좌송금</t>
        </is>
      </c>
      <c r="K7" s="253" t="inlineStr"/>
      <c r="L7" s="253" t="inlineStr">
        <is>
          <t>확정</t>
        </is>
      </c>
      <c r="M7" s="253" t="inlineStr">
        <is>
          <t>신규</t>
        </is>
      </c>
      <c r="N7" s="254" t="n">
        <v>46307</v>
      </c>
      <c r="O7" s="253" t="inlineStr">
        <is>
          <t>지출계획_2026-10-17.xlsx</t>
        </is>
      </c>
      <c r="P7" s="256" t="inlineStr">
        <is>
          <t>에이팜 별도관리</t>
        </is>
      </c>
      <c r="Q7" s="253" t="inlineStr"/>
    </row>
    <row r="8" hidden="1" ht="32.4" customHeight="1">
      <c r="A8" s="253" t="inlineStr">
        <is>
          <t>경영-20261012-004</t>
        </is>
      </c>
      <c r="B8" s="253" t="inlineStr">
        <is>
          <t>경영지원팀</t>
        </is>
      </c>
      <c r="C8" s="253" t="inlineStr">
        <is>
          <t>송채은</t>
        </is>
      </c>
      <c r="D8" s="253" t="inlineStr"/>
      <c r="E8" s="254" t="n">
        <v>46307</v>
      </c>
      <c r="F8" s="254" t="n">
        <v>46307</v>
      </c>
      <c r="G8" s="253" t="inlineStr">
        <is>
          <t>4대보험</t>
        </is>
      </c>
      <c r="H8" s="253" t="inlineStr">
        <is>
          <t>9월 4대보험료</t>
        </is>
      </c>
      <c r="I8" s="255" t="n">
        <v>4576870</v>
      </c>
      <c r="J8" s="253" t="inlineStr">
        <is>
          <t>자동이체</t>
        </is>
      </c>
      <c r="K8" s="253" t="inlineStr"/>
      <c r="L8" s="253" t="inlineStr">
        <is>
          <t>확정</t>
        </is>
      </c>
      <c r="M8" s="253" t="inlineStr">
        <is>
          <t>신규</t>
        </is>
      </c>
      <c r="N8" s="254" t="n">
        <v>46307</v>
      </c>
      <c r="O8" s="253" t="inlineStr">
        <is>
          <t>지출계획_2026-10-17.xlsx</t>
        </is>
      </c>
      <c r="P8" s="256" t="inlineStr">
        <is>
          <t>에이팜 별도관리</t>
        </is>
      </c>
      <c r="Q8" s="253" t="inlineStr"/>
    </row>
    <row r="9" hidden="1">
      <c r="A9" s="253" t="inlineStr">
        <is>
          <t>건강-20260918-004</t>
        </is>
      </c>
      <c r="B9" s="253" t="inlineStr">
        <is>
          <t>건강사업팀</t>
        </is>
      </c>
      <c r="C9" s="253" t="inlineStr">
        <is>
          <t>전은신</t>
        </is>
      </c>
      <c r="D9" s="253" t="inlineStr"/>
      <c r="E9" s="254" t="n">
        <v>46308</v>
      </c>
      <c r="F9" s="254" t="n">
        <v>46308</v>
      </c>
      <c r="G9" s="253" t="inlineStr">
        <is>
          <t>인포크비즈니스</t>
        </is>
      </c>
      <c r="H9" s="253" t="inlineStr">
        <is>
          <t>베리시톨 인플루언서 비용</t>
        </is>
      </c>
      <c r="I9" s="255" t="n">
        <v>3300000</v>
      </c>
      <c r="J9" s="253" t="inlineStr">
        <is>
          <t>계좌송금</t>
        </is>
      </c>
      <c r="K9" s="253" t="inlineStr"/>
      <c r="L9" s="253" t="inlineStr">
        <is>
          <t>확정</t>
        </is>
      </c>
      <c r="M9" s="253" t="inlineStr">
        <is>
          <t>변경</t>
        </is>
      </c>
      <c r="N9" s="254" t="n">
        <v>46307</v>
      </c>
      <c r="O9" s="253" t="inlineStr">
        <is>
          <t>지출계획_2026-10-17.xlsx</t>
        </is>
      </c>
      <c r="P9" s="253" t="inlineStr">
        <is>
          <t>정상반영</t>
        </is>
      </c>
      <c r="Q9" s="253" t="inlineStr"/>
    </row>
    <row r="10" hidden="1">
      <c r="A10" s="253" t="inlineStr">
        <is>
          <t>건강-20260918-005</t>
        </is>
      </c>
      <c r="B10" s="253" t="inlineStr">
        <is>
          <t>건강사업팀</t>
        </is>
      </c>
      <c r="C10" s="253" t="inlineStr">
        <is>
          <t>전은신</t>
        </is>
      </c>
      <c r="D10" s="253" t="inlineStr"/>
      <c r="E10" s="254" t="n">
        <v>46308</v>
      </c>
      <c r="F10" s="254" t="n">
        <v>46308</v>
      </c>
      <c r="G10" s="253" t="inlineStr">
        <is>
          <t>써치엠</t>
        </is>
      </c>
      <c r="H10" s="253" t="inlineStr">
        <is>
          <t>메타 광고 대행 수수</t>
        </is>
      </c>
      <c r="I10" s="255" t="n">
        <v>1487786</v>
      </c>
      <c r="J10" s="253" t="inlineStr">
        <is>
          <t>계좌송금</t>
        </is>
      </c>
      <c r="K10" s="253" t="inlineStr"/>
      <c r="L10" s="253" t="inlineStr">
        <is>
          <t>확정</t>
        </is>
      </c>
      <c r="M10" s="253" t="inlineStr">
        <is>
          <t>변경</t>
        </is>
      </c>
      <c r="N10" s="254" t="n">
        <v>46307</v>
      </c>
      <c r="O10" s="253" t="inlineStr">
        <is>
          <t>지출계획_2026-10-17.xlsx</t>
        </is>
      </c>
      <c r="P10" s="253" t="inlineStr">
        <is>
          <t>정상반영</t>
        </is>
      </c>
      <c r="Q10" s="253" t="inlineStr"/>
    </row>
    <row r="11" hidden="1">
      <c r="A11" s="253" t="inlineStr">
        <is>
          <t>건강-20261012-002</t>
        </is>
      </c>
      <c r="B11" s="253" t="inlineStr">
        <is>
          <t>건강사업팀</t>
        </is>
      </c>
      <c r="C11" s="253" t="inlineStr">
        <is>
          <t>전은신</t>
        </is>
      </c>
      <c r="D11" s="253" t="inlineStr"/>
      <c r="E11" s="254" t="n">
        <v>46308</v>
      </c>
      <c r="F11" s="254" t="n">
        <v>46308</v>
      </c>
      <c r="G11" s="253" t="inlineStr">
        <is>
          <t>네이버</t>
        </is>
      </c>
      <c r="H11" s="253" t="inlineStr">
        <is>
          <t>네이버 SA&amp;GFA 광고 비용</t>
        </is>
      </c>
      <c r="I11" s="255" t="n">
        <v>1683000</v>
      </c>
      <c r="J11" s="253" t="inlineStr">
        <is>
          <t>계좌송금</t>
        </is>
      </c>
      <c r="K11" s="253" t="inlineStr"/>
      <c r="L11" s="253" t="inlineStr">
        <is>
          <t>확정</t>
        </is>
      </c>
      <c r="M11" s="253" t="inlineStr">
        <is>
          <t>신규</t>
        </is>
      </c>
      <c r="N11" s="254" t="n">
        <v>46307</v>
      </c>
      <c r="O11" s="253" t="inlineStr">
        <is>
          <t>지출계획_2026-10-17.xlsx</t>
        </is>
      </c>
      <c r="P11" s="253" t="inlineStr">
        <is>
          <t>정상반영</t>
        </is>
      </c>
      <c r="Q11" s="253" t="inlineStr"/>
    </row>
    <row r="12" hidden="1" ht="32.4" customHeight="1">
      <c r="A12" s="253" t="inlineStr">
        <is>
          <t>경영-20261012-001</t>
        </is>
      </c>
      <c r="B12" s="253" t="inlineStr">
        <is>
          <t>경영지원팀</t>
        </is>
      </c>
      <c r="C12" s="253" t="inlineStr">
        <is>
          <t>송채은</t>
        </is>
      </c>
      <c r="D12" s="253" t="inlineStr"/>
      <c r="E12" s="254" t="n">
        <v>46308</v>
      </c>
      <c r="F12" s="254" t="n">
        <v>46308</v>
      </c>
      <c r="G12" s="253" t="inlineStr">
        <is>
          <t>일신푸드</t>
        </is>
      </c>
      <c r="H12" s="253" t="inlineStr">
        <is>
          <t>9월 식대</t>
        </is>
      </c>
      <c r="I12" s="255" t="n">
        <v>222000</v>
      </c>
      <c r="J12" s="253" t="inlineStr">
        <is>
          <t>계좌송금</t>
        </is>
      </c>
      <c r="K12" s="253" t="inlineStr"/>
      <c r="L12" s="253" t="inlineStr">
        <is>
          <t>확정</t>
        </is>
      </c>
      <c r="M12" s="253" t="inlineStr">
        <is>
          <t>신규</t>
        </is>
      </c>
      <c r="N12" s="254" t="n">
        <v>46307</v>
      </c>
      <c r="O12" s="253" t="inlineStr">
        <is>
          <t>지출계획_2026-10-17.xlsx</t>
        </is>
      </c>
      <c r="P12" s="256" t="inlineStr">
        <is>
          <t>에이팜 별도관리</t>
        </is>
      </c>
      <c r="Q12" s="253" t="inlineStr"/>
    </row>
    <row r="13" hidden="1">
      <c r="A13" s="253" t="inlineStr">
        <is>
          <t>경영-20261012-002</t>
        </is>
      </c>
      <c r="B13" s="253" t="inlineStr">
        <is>
          <t>경영지원팀</t>
        </is>
      </c>
      <c r="C13" s="253" t="inlineStr">
        <is>
          <t>송채은</t>
        </is>
      </c>
      <c r="D13" s="253" t="inlineStr"/>
      <c r="E13" s="254" t="n">
        <v>46308</v>
      </c>
      <c r="F13" s="254" t="n">
        <v>46308</v>
      </c>
      <c r="G13" s="253" t="inlineStr">
        <is>
          <t>일신푸드</t>
        </is>
      </c>
      <c r="H13" s="253" t="inlineStr">
        <is>
          <t>9월 식대</t>
        </is>
      </c>
      <c r="I13" s="255" t="n">
        <v>1158000</v>
      </c>
      <c r="J13" s="253" t="inlineStr">
        <is>
          <t>계좌송금</t>
        </is>
      </c>
      <c r="K13" s="253" t="inlineStr"/>
      <c r="L13" s="253" t="inlineStr">
        <is>
          <t>확정</t>
        </is>
      </c>
      <c r="M13" s="253" t="inlineStr">
        <is>
          <t>신규</t>
        </is>
      </c>
      <c r="N13" s="254" t="n">
        <v>46307</v>
      </c>
      <c r="O13" s="253" t="inlineStr">
        <is>
          <t>지출계획_2026-10-17.xlsx</t>
        </is>
      </c>
      <c r="P13" s="253" t="inlineStr">
        <is>
          <t>정상반영</t>
        </is>
      </c>
      <c r="Q13" s="253" t="inlineStr"/>
    </row>
    <row r="14" hidden="1">
      <c r="A14" s="253" t="inlineStr">
        <is>
          <t>건강-20261012-003</t>
        </is>
      </c>
      <c r="B14" s="253" t="inlineStr">
        <is>
          <t>건강사업팀</t>
        </is>
      </c>
      <c r="C14" s="253" t="inlineStr">
        <is>
          <t>전은신</t>
        </is>
      </c>
      <c r="D14" s="253" t="inlineStr"/>
      <c r="E14" s="254" t="n">
        <v>46309</v>
      </c>
      <c r="F14" s="254" t="n">
        <v>46309</v>
      </c>
      <c r="G14" s="253" t="inlineStr">
        <is>
          <t>네이버</t>
        </is>
      </c>
      <c r="H14" s="253" t="inlineStr">
        <is>
          <t>네이버 SA&amp;GFA 광고 비용</t>
        </is>
      </c>
      <c r="I14" s="255" t="n">
        <v>3157000</v>
      </c>
      <c r="J14" s="253" t="inlineStr">
        <is>
          <t>계좌송금</t>
        </is>
      </c>
      <c r="K14" s="253" t="inlineStr"/>
      <c r="L14" s="253" t="inlineStr">
        <is>
          <t>확정</t>
        </is>
      </c>
      <c r="M14" s="253" t="inlineStr">
        <is>
          <t>신규</t>
        </is>
      </c>
      <c r="N14" s="254" t="n">
        <v>46307</v>
      </c>
      <c r="O14" s="253" t="inlineStr">
        <is>
          <t>지출계획_2026-10-17.xlsx</t>
        </is>
      </c>
      <c r="P14" s="253" t="inlineStr">
        <is>
          <t>정상반영</t>
        </is>
      </c>
      <c r="Q14" s="253" t="inlineStr"/>
    </row>
    <row r="15" hidden="1">
      <c r="A15" s="253" t="inlineStr">
        <is>
          <t>건강-20261012-005</t>
        </is>
      </c>
      <c r="B15" s="253" t="inlineStr">
        <is>
          <t>건강사업팀</t>
        </is>
      </c>
      <c r="C15" s="253" t="inlineStr">
        <is>
          <t>전은신</t>
        </is>
      </c>
      <c r="D15" s="253" t="inlineStr"/>
      <c r="E15" s="254" t="n">
        <v>46309</v>
      </c>
      <c r="F15" s="254" t="n">
        <v>46309</v>
      </c>
      <c r="G15" s="253" t="inlineStr">
        <is>
          <t>ADN</t>
        </is>
      </c>
      <c r="H15" s="253" t="inlineStr">
        <is>
          <t>ADN 배너 광고 비용</t>
        </is>
      </c>
      <c r="I15" s="255" t="n">
        <v>330000</v>
      </c>
      <c r="J15" s="253" t="inlineStr">
        <is>
          <t>계좌송금</t>
        </is>
      </c>
      <c r="K15" s="253" t="inlineStr"/>
      <c r="L15" s="253" t="inlineStr">
        <is>
          <t>확정</t>
        </is>
      </c>
      <c r="M15" s="253" t="inlineStr">
        <is>
          <t>신규</t>
        </is>
      </c>
      <c r="N15" s="254" t="n">
        <v>46307</v>
      </c>
      <c r="O15" s="253" t="inlineStr">
        <is>
          <t>지출계획_2026-10-17.xlsx</t>
        </is>
      </c>
      <c r="P15" s="253" t="inlineStr">
        <is>
          <t>정상반영</t>
        </is>
      </c>
      <c r="Q15" s="253" t="inlineStr"/>
    </row>
    <row r="16" hidden="1">
      <c r="A16" s="253" t="inlineStr">
        <is>
          <t>건강-20261012-007</t>
        </is>
      </c>
      <c r="B16" s="253" t="inlineStr">
        <is>
          <t>건강사업팀</t>
        </is>
      </c>
      <c r="C16" s="253" t="inlineStr">
        <is>
          <t>전은신</t>
        </is>
      </c>
      <c r="D16" s="253" t="inlineStr"/>
      <c r="E16" s="254" t="n">
        <v>46309</v>
      </c>
      <c r="F16" s="254" t="n">
        <v>46309</v>
      </c>
      <c r="G16" s="253" t="inlineStr">
        <is>
          <t>원정대</t>
        </is>
      </c>
      <c r="H16" s="253" t="inlineStr">
        <is>
          <t>베리시톨 GFA&amp;META</t>
        </is>
      </c>
      <c r="I16" s="255" t="n">
        <v>5500000</v>
      </c>
      <c r="J16" s="253" t="inlineStr">
        <is>
          <t>계좌송금</t>
        </is>
      </c>
      <c r="K16" s="253" t="inlineStr"/>
      <c r="L16" s="253" t="inlineStr">
        <is>
          <t>확정</t>
        </is>
      </c>
      <c r="M16" s="253" t="inlineStr">
        <is>
          <t>신규</t>
        </is>
      </c>
      <c r="N16" s="254" t="n">
        <v>46307</v>
      </c>
      <c r="O16" s="253" t="inlineStr">
        <is>
          <t>지출계획_2026-10-17.xlsx</t>
        </is>
      </c>
      <c r="P16" s="253" t="inlineStr">
        <is>
          <t>정상반영</t>
        </is>
      </c>
      <c r="Q16" s="253" t="inlineStr"/>
    </row>
    <row r="17" hidden="1" ht="32.4" customHeight="1">
      <c r="A17" s="253" t="inlineStr">
        <is>
          <t>건강-20261012-010</t>
        </is>
      </c>
      <c r="B17" s="253" t="inlineStr">
        <is>
          <t>건강사업팀</t>
        </is>
      </c>
      <c r="C17" s="253" t="inlineStr">
        <is>
          <t>양혜원</t>
        </is>
      </c>
      <c r="D17" s="253" t="inlineStr"/>
      <c r="E17" s="254" t="n">
        <v>46309</v>
      </c>
      <c r="F17" s="254" t="n">
        <v>46309</v>
      </c>
      <c r="G17" s="253" t="inlineStr">
        <is>
          <t>캐시워크</t>
        </is>
      </c>
      <c r="H17" s="256" t="inlineStr">
        <is>
          <t>10월 라이브 시청자 유입 건 입금</t>
        </is>
      </c>
      <c r="I17" s="255" t="n">
        <v>1100000</v>
      </c>
      <c r="J17" s="253" t="inlineStr">
        <is>
          <t>계좌송금</t>
        </is>
      </c>
      <c r="K17" s="253" t="inlineStr"/>
      <c r="L17" s="253" t="inlineStr">
        <is>
          <t>확정</t>
        </is>
      </c>
      <c r="M17" s="253" t="inlineStr">
        <is>
          <t>신규</t>
        </is>
      </c>
      <c r="N17" s="254" t="n">
        <v>46307</v>
      </c>
      <c r="O17" s="253" t="inlineStr">
        <is>
          <t>지출계획_2026-10-17.xlsx</t>
        </is>
      </c>
      <c r="P17" s="253" t="inlineStr">
        <is>
          <t>정상반영</t>
        </is>
      </c>
      <c r="Q17" s="253" t="inlineStr"/>
    </row>
    <row r="18" hidden="1" ht="32.4" customHeight="1">
      <c r="A18" s="253" t="inlineStr">
        <is>
          <t>건강-20261012-006</t>
        </is>
      </c>
      <c r="B18" s="253" t="inlineStr">
        <is>
          <t>건강사업팀</t>
        </is>
      </c>
      <c r="C18" s="253" t="inlineStr">
        <is>
          <t>전은신</t>
        </is>
      </c>
      <c r="D18" s="253" t="inlineStr"/>
      <c r="E18" s="254" t="n">
        <v>46310</v>
      </c>
      <c r="F18" s="254" t="n">
        <v>46310</v>
      </c>
      <c r="G18" s="253" t="inlineStr">
        <is>
          <t>아이디어몬스터</t>
        </is>
      </c>
      <c r="H18" s="256" t="inlineStr">
        <is>
          <t>10월 베리시톨 인플루언서 10명</t>
        </is>
      </c>
      <c r="I18" s="255" t="n">
        <v>3300000</v>
      </c>
      <c r="J18" s="253" t="inlineStr">
        <is>
          <t>계좌송금</t>
        </is>
      </c>
      <c r="K18" s="253" t="inlineStr"/>
      <c r="L18" s="253" t="inlineStr">
        <is>
          <t>확정</t>
        </is>
      </c>
      <c r="M18" s="253" t="inlineStr">
        <is>
          <t>신규</t>
        </is>
      </c>
      <c r="N18" s="254" t="n">
        <v>46307</v>
      </c>
      <c r="O18" s="253" t="inlineStr">
        <is>
          <t>지출계획_2026-10-17.xlsx</t>
        </is>
      </c>
      <c r="P18" s="253" t="inlineStr">
        <is>
          <t>정상반영</t>
        </is>
      </c>
      <c r="Q18" s="253" t="inlineStr"/>
    </row>
    <row r="19" hidden="1" ht="32.4" customHeight="1">
      <c r="A19" s="253" t="inlineStr">
        <is>
          <t>건강-20261012-009</t>
        </is>
      </c>
      <c r="B19" s="253" t="inlineStr">
        <is>
          <t>건강사업팀</t>
        </is>
      </c>
      <c r="C19" s="253" t="inlineStr">
        <is>
          <t>양혜원</t>
        </is>
      </c>
      <c r="D19" s="253" t="inlineStr"/>
      <c r="E19" s="254" t="n">
        <v>46310</v>
      </c>
      <c r="F19" s="254" t="n">
        <v>46310</v>
      </c>
      <c r="G19" s="256" t="inlineStr">
        <is>
          <t>비에스라벨스튜디오</t>
        </is>
      </c>
      <c r="H19" s="256" t="inlineStr">
        <is>
          <t>10월 라이브 쇼호스트비용 입금</t>
        </is>
      </c>
      <c r="I19" s="255" t="n">
        <v>495000</v>
      </c>
      <c r="J19" s="253" t="inlineStr">
        <is>
          <t>계좌송금</t>
        </is>
      </c>
      <c r="K19" s="253" t="inlineStr"/>
      <c r="L19" s="253" t="inlineStr">
        <is>
          <t>확정</t>
        </is>
      </c>
      <c r="M19" s="253" t="inlineStr">
        <is>
          <t>신규</t>
        </is>
      </c>
      <c r="N19" s="254" t="n">
        <v>46307</v>
      </c>
      <c r="O19" s="253" t="inlineStr">
        <is>
          <t>지출계획_2026-10-17.xlsx</t>
        </is>
      </c>
      <c r="P19" s="253" t="inlineStr">
        <is>
          <t>정상반영</t>
        </is>
      </c>
      <c r="Q19" s="253" t="inlineStr"/>
    </row>
    <row r="20" hidden="1">
      <c r="A20" s="253" t="inlineStr">
        <is>
          <t>건강-20261012-011</t>
        </is>
      </c>
      <c r="B20" s="253" t="inlineStr">
        <is>
          <t>건강사업팀</t>
        </is>
      </c>
      <c r="C20" s="253" t="inlineStr">
        <is>
          <t>양혜원</t>
        </is>
      </c>
      <c r="D20" s="253" t="inlineStr"/>
      <c r="E20" s="254" t="n">
        <v>46310</v>
      </c>
      <c r="F20" s="254" t="n">
        <v>46310</v>
      </c>
      <c r="G20" s="253" t="inlineStr">
        <is>
          <t>카카오톡</t>
        </is>
      </c>
      <c r="H20" s="253" t="inlineStr">
        <is>
          <t>카카오톡 플러스친구 충전</t>
        </is>
      </c>
      <c r="I20" s="255" t="n">
        <v>100000</v>
      </c>
      <c r="J20" s="253" t="inlineStr">
        <is>
          <t>계좌송금</t>
        </is>
      </c>
      <c r="K20" s="253" t="inlineStr"/>
      <c r="L20" s="253" t="inlineStr">
        <is>
          <t>확정</t>
        </is>
      </c>
      <c r="M20" s="253" t="inlineStr">
        <is>
          <t>신규</t>
        </is>
      </c>
      <c r="N20" s="254" t="n">
        <v>46307</v>
      </c>
      <c r="O20" s="253" t="inlineStr">
        <is>
          <t>지출계획_2026-10-17.xlsx</t>
        </is>
      </c>
      <c r="P20" s="253" t="inlineStr">
        <is>
          <t>정상반영</t>
        </is>
      </c>
      <c r="Q20" s="253" t="inlineStr"/>
    </row>
    <row r="21" hidden="1">
      <c r="A21" s="253" t="inlineStr">
        <is>
          <t>건강-20261012-012</t>
        </is>
      </c>
      <c r="B21" s="253" t="inlineStr">
        <is>
          <t>건강사업팀</t>
        </is>
      </c>
      <c r="C21" s="253" t="inlineStr">
        <is>
          <t>양혜원</t>
        </is>
      </c>
      <c r="D21" s="253" t="inlineStr"/>
      <c r="E21" s="254" t="n">
        <v>46310</v>
      </c>
      <c r="F21" s="254" t="n">
        <v>46310</v>
      </c>
      <c r="G21" s="253" t="inlineStr">
        <is>
          <t>네이버</t>
        </is>
      </c>
      <c r="H21" s="253" t="inlineStr">
        <is>
          <t>톡톡</t>
        </is>
      </c>
      <c r="I21" s="255" t="n">
        <v>500000</v>
      </c>
      <c r="J21" s="253" t="inlineStr">
        <is>
          <t>계좌송금</t>
        </is>
      </c>
      <c r="K21" s="253" t="inlineStr"/>
      <c r="L21" s="253" t="inlineStr">
        <is>
          <t>확정</t>
        </is>
      </c>
      <c r="M21" s="253" t="inlineStr">
        <is>
          <t>신규</t>
        </is>
      </c>
      <c r="N21" s="254" t="n">
        <v>46307</v>
      </c>
      <c r="O21" s="253" t="inlineStr">
        <is>
          <t>지출계획_2026-10-17.xlsx</t>
        </is>
      </c>
      <c r="P21" s="253" t="inlineStr">
        <is>
          <t>정상반영</t>
        </is>
      </c>
      <c r="Q21" s="253" t="inlineStr"/>
    </row>
    <row r="22" hidden="1" ht="32.4" customHeight="1">
      <c r="A22" s="253" t="inlineStr">
        <is>
          <t>경영-20261012-005</t>
        </is>
      </c>
      <c r="B22" s="253" t="inlineStr">
        <is>
          <t>경영지원팀</t>
        </is>
      </c>
      <c r="C22" s="253" t="inlineStr">
        <is>
          <t>송채은</t>
        </is>
      </c>
      <c r="D22" s="253" t="inlineStr"/>
      <c r="E22" s="254" t="n">
        <v>46310</v>
      </c>
      <c r="F22" s="254" t="n">
        <v>46310</v>
      </c>
      <c r="G22" s="253" t="inlineStr">
        <is>
          <t>국민카드</t>
        </is>
      </c>
      <c r="H22" s="256" t="inlineStr">
        <is>
          <t>KB국민카드대금 지출건(9월분)</t>
        </is>
      </c>
      <c r="I22" s="255" t="n">
        <v>1246115</v>
      </c>
      <c r="J22" s="253" t="inlineStr">
        <is>
          <t>자동이체</t>
        </is>
      </c>
      <c r="K22" s="253" t="inlineStr"/>
      <c r="L22" s="253" t="inlineStr">
        <is>
          <t>확정</t>
        </is>
      </c>
      <c r="M22" s="253" t="inlineStr">
        <is>
          <t>신규</t>
        </is>
      </c>
      <c r="N22" s="254" t="n">
        <v>46307</v>
      </c>
      <c r="O22" s="253" t="inlineStr">
        <is>
          <t>지출계획_2026-10-17.xlsx</t>
        </is>
      </c>
      <c r="P22" s="256" t="inlineStr">
        <is>
          <t>에이팜 별도관리</t>
        </is>
      </c>
      <c r="Q22" s="253" t="inlineStr"/>
    </row>
    <row r="23" hidden="1">
      <c r="A23" s="253" t="inlineStr">
        <is>
          <t>건강-20261012-004</t>
        </is>
      </c>
      <c r="B23" s="253" t="inlineStr">
        <is>
          <t>건강사업팀</t>
        </is>
      </c>
      <c r="C23" s="253" t="inlineStr">
        <is>
          <t>전은신</t>
        </is>
      </c>
      <c r="D23" s="253" t="inlineStr"/>
      <c r="E23" s="254" t="n">
        <v>46311</v>
      </c>
      <c r="F23" s="254" t="n">
        <v>46311</v>
      </c>
      <c r="G23" s="253" t="inlineStr">
        <is>
          <t>네이버</t>
        </is>
      </c>
      <c r="H23" s="253" t="inlineStr">
        <is>
          <t>네이버 SA&amp;GFA 광고 비용</t>
        </is>
      </c>
      <c r="I23" s="255" t="n">
        <v>4840000</v>
      </c>
      <c r="J23" s="253" t="inlineStr">
        <is>
          <t>계좌송금</t>
        </is>
      </c>
      <c r="K23" s="253" t="inlineStr"/>
      <c r="L23" s="253" t="inlineStr">
        <is>
          <t>확정</t>
        </is>
      </c>
      <c r="M23" s="253" t="inlineStr">
        <is>
          <t>신규</t>
        </is>
      </c>
      <c r="N23" s="254" t="n">
        <v>46307</v>
      </c>
      <c r="O23" s="253" t="inlineStr">
        <is>
          <t>지출계획_2026-10-17.xlsx</t>
        </is>
      </c>
      <c r="P23" s="253" t="inlineStr">
        <is>
          <t>정상반영</t>
        </is>
      </c>
      <c r="Q23" s="253" t="inlineStr"/>
    </row>
    <row r="24" hidden="1" ht="32.4" customHeight="1">
      <c r="A24" s="253" t="inlineStr">
        <is>
          <t>경영-20261016-001</t>
        </is>
      </c>
      <c r="B24" s="253" t="inlineStr">
        <is>
          <t>경영지원팀</t>
        </is>
      </c>
      <c r="C24" s="253" t="inlineStr">
        <is>
          <t>김정원</t>
        </is>
      </c>
      <c r="D24" s="253" t="inlineStr"/>
      <c r="E24" s="254" t="n">
        <v>46311</v>
      </c>
      <c r="F24" s="254" t="n">
        <v>46311</v>
      </c>
      <c r="G24" s="253" t="inlineStr">
        <is>
          <t>엠에스바이오텍</t>
        </is>
      </c>
      <c r="H24" s="256" t="inlineStr">
        <is>
          <t>외상대 지급(락토프리미엄_2차)</t>
        </is>
      </c>
      <c r="I24" s="255" t="n">
        <v>10000000</v>
      </c>
      <c r="J24" s="253" t="inlineStr">
        <is>
          <t>계좌송금</t>
        </is>
      </c>
      <c r="K24" s="253" t="inlineStr"/>
      <c r="L24" s="253" t="inlineStr">
        <is>
          <t>확정</t>
        </is>
      </c>
      <c r="M24" s="253" t="inlineStr">
        <is>
          <t>신규</t>
        </is>
      </c>
      <c r="N24" s="254" t="n">
        <v>46311</v>
      </c>
      <c r="O24" s="253" t="inlineStr">
        <is>
          <t>지출계획_2026-10-17.xlsx</t>
        </is>
      </c>
      <c r="P24" s="253" t="inlineStr">
        <is>
          <t>정상반영</t>
        </is>
      </c>
      <c r="Q24" s="253" t="inlineStr"/>
    </row>
    <row r="25" hidden="1" ht="32.4" customHeight="1">
      <c r="A25" s="253" t="inlineStr">
        <is>
          <t>건강-20261012-008</t>
        </is>
      </c>
      <c r="B25" s="253" t="inlineStr">
        <is>
          <t>건강사업팀</t>
        </is>
      </c>
      <c r="C25" s="253" t="inlineStr">
        <is>
          <t>양혜원</t>
        </is>
      </c>
      <c r="D25" s="253" t="inlineStr"/>
      <c r="E25" s="254" t="n">
        <v>46308</v>
      </c>
      <c r="F25" s="254" t="n">
        <v>46349</v>
      </c>
      <c r="G25" s="253" t="inlineStr">
        <is>
          <t>비즈콘</t>
        </is>
      </c>
      <c r="H25" s="256" t="inlineStr">
        <is>
          <t>브랜드스토어 이벤트 경품 지급</t>
        </is>
      </c>
      <c r="I25" s="255" t="n">
        <v>300000</v>
      </c>
      <c r="J25" s="253" t="inlineStr">
        <is>
          <t>법인카드</t>
        </is>
      </c>
      <c r="K25" s="253" t="inlineStr">
        <is>
          <t>우리카드</t>
        </is>
      </c>
      <c r="L25" s="253" t="inlineStr">
        <is>
          <t>확정</t>
        </is>
      </c>
      <c r="M25" s="253" t="inlineStr">
        <is>
          <t>신규</t>
        </is>
      </c>
      <c r="N25" s="254" t="n">
        <v>46307</v>
      </c>
      <c r="O25" s="253" t="inlineStr">
        <is>
          <t>지출계획_2026-10-17.xlsx</t>
        </is>
      </c>
      <c r="P25" s="253" t="inlineStr">
        <is>
          <t>정상반영</t>
        </is>
      </c>
      <c r="Q25" s="253" t="inlineStr"/>
    </row>
    <row r="26" hidden="1">
      <c r="A26" s="253" t="inlineStr">
        <is>
          <t>경영-20260922-008</t>
        </is>
      </c>
      <c r="B26" s="253" t="inlineStr">
        <is>
          <t>경영지원팀</t>
        </is>
      </c>
      <c r="C26" s="253" t="inlineStr">
        <is>
          <t>장은총</t>
        </is>
      </c>
      <c r="D26" s="253" t="inlineStr"/>
      <c r="E26" s="254" t="n">
        <v>46309</v>
      </c>
      <c r="F26" s="254" t="n">
        <v>46349</v>
      </c>
      <c r="G26" s="253" t="inlineStr">
        <is>
          <t>위버</t>
        </is>
      </c>
      <c r="H26" s="253" t="inlineStr">
        <is>
          <t>워크샵 (1부/2부) 이용료</t>
        </is>
      </c>
      <c r="I26" s="255" t="n">
        <v>1675000</v>
      </c>
      <c r="J26" s="253" t="inlineStr">
        <is>
          <t>법인카드</t>
        </is>
      </c>
      <c r="K26" s="253" t="inlineStr">
        <is>
          <t>우리카드</t>
        </is>
      </c>
      <c r="L26" s="253" t="inlineStr">
        <is>
          <t>확정</t>
        </is>
      </c>
      <c r="M26" s="253" t="inlineStr">
        <is>
          <t>변경</t>
        </is>
      </c>
      <c r="N26" s="254" t="n">
        <v>46307</v>
      </c>
      <c r="O26" s="253" t="inlineStr">
        <is>
          <t>지출계획_2026-10-17.xlsx</t>
        </is>
      </c>
      <c r="P26" s="253" t="inlineStr">
        <is>
          <t>정상반영</t>
        </is>
      </c>
      <c r="Q26" s="253" t="inlineStr"/>
    </row>
  </sheetData>
  <autoFilter ref="A5:Q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51" t="inlineStr">
        <is>
          <t>일자</t>
        </is>
      </c>
      <c r="B5" s="251" t="inlineStr">
        <is>
          <t>요일</t>
        </is>
      </c>
      <c r="C5" s="251" t="inlineStr">
        <is>
          <t>출처</t>
        </is>
      </c>
      <c r="D5" s="251" t="inlineStr">
        <is>
          <t>자금계획 반영</t>
        </is>
      </c>
      <c r="E5" s="251" t="inlineStr">
        <is>
          <t>팀명</t>
        </is>
      </c>
      <c r="F5" s="251" t="inlineStr">
        <is>
          <t>거래처</t>
        </is>
      </c>
      <c r="G5" s="251" t="inlineStr">
        <is>
          <t>지출내용</t>
        </is>
      </c>
      <c r="H5" s="251" t="inlineStr">
        <is>
          <t>예상금액</t>
        </is>
      </c>
      <c r="I5" s="251" t="inlineStr">
        <is>
          <t>지급방법</t>
        </is>
      </c>
      <c r="J5" s="251" t="inlineStr">
        <is>
          <t>비고</t>
        </is>
      </c>
    </row>
    <row r="6" ht="32.4" customHeight="1">
      <c r="A6" s="257" t="n">
        <v>46307</v>
      </c>
      <c r="B6" s="258" t="inlineStr">
        <is>
          <t>월</t>
        </is>
      </c>
      <c r="C6" s="258" t="inlineStr">
        <is>
          <t>팀 지출계획</t>
        </is>
      </c>
      <c r="D6" s="259" t="inlineStr">
        <is>
          <t>미반영(별도 관리)</t>
        </is>
      </c>
      <c r="E6" s="258" t="inlineStr">
        <is>
          <t>경영지원팀</t>
        </is>
      </c>
      <c r="F6" s="258" t="inlineStr">
        <is>
          <t>(대외비)</t>
        </is>
      </c>
      <c r="G6" s="258" t="inlineStr">
        <is>
          <t>세금·보험(대외비)</t>
        </is>
      </c>
      <c r="H6" s="260" t="n">
        <v>4576870</v>
      </c>
      <c r="I6" s="258" t="inlineStr">
        <is>
          <t>자동이체</t>
        </is>
      </c>
      <c r="J6" s="258" t="inlineStr">
        <is>
          <t>에이팜</t>
        </is>
      </c>
    </row>
    <row r="7" ht="32.4" customHeight="1">
      <c r="A7" s="257" t="n">
        <v>46307</v>
      </c>
      <c r="B7" s="258" t="inlineStr">
        <is>
          <t>월</t>
        </is>
      </c>
      <c r="C7" s="258" t="inlineStr">
        <is>
          <t>팀 지출계획</t>
        </is>
      </c>
      <c r="D7" s="259" t="inlineStr">
        <is>
          <t>미반영(별도 관리)</t>
        </is>
      </c>
      <c r="E7" s="258" t="inlineStr">
        <is>
          <t>경영지원팀</t>
        </is>
      </c>
      <c r="F7" s="258" t="inlineStr">
        <is>
          <t>(대외비)</t>
        </is>
      </c>
      <c r="G7" s="258" t="inlineStr">
        <is>
          <t>세금·보험(대외비)</t>
        </is>
      </c>
      <c r="H7" s="260" t="n">
        <v>3511130</v>
      </c>
      <c r="I7" s="258" t="inlineStr">
        <is>
          <t>계좌송금</t>
        </is>
      </c>
      <c r="J7" s="258" t="inlineStr">
        <is>
          <t>에이팜</t>
        </is>
      </c>
    </row>
    <row r="8" ht="32.4" customHeight="1">
      <c r="A8" s="257" t="n">
        <v>46308</v>
      </c>
      <c r="B8" s="258" t="inlineStr">
        <is>
          <t>화</t>
        </is>
      </c>
      <c r="C8" s="258" t="inlineStr">
        <is>
          <t>팀 지출계획</t>
        </is>
      </c>
      <c r="D8" s="259" t="inlineStr">
        <is>
          <t>미반영(별도 관리)</t>
        </is>
      </c>
      <c r="E8" s="258" t="inlineStr">
        <is>
          <t>경영지원팀</t>
        </is>
      </c>
      <c r="F8" s="258" t="inlineStr">
        <is>
          <t>일신푸드</t>
        </is>
      </c>
      <c r="G8" s="258" t="inlineStr">
        <is>
          <t>9월 식대</t>
        </is>
      </c>
      <c r="H8" s="260" t="n">
        <v>222000</v>
      </c>
      <c r="I8" s="258" t="inlineStr">
        <is>
          <t>계좌송금</t>
        </is>
      </c>
      <c r="J8" s="258" t="inlineStr">
        <is>
          <t>에이팜</t>
        </is>
      </c>
    </row>
    <row r="9" ht="32.4" customHeight="1">
      <c r="A9" s="257" t="n">
        <v>46310</v>
      </c>
      <c r="B9" s="258" t="inlineStr">
        <is>
          <t>목</t>
        </is>
      </c>
      <c r="C9" s="258" t="inlineStr">
        <is>
          <t>팀 지출계획</t>
        </is>
      </c>
      <c r="D9" s="259" t="inlineStr">
        <is>
          <t>미반영(별도 관리)</t>
        </is>
      </c>
      <c r="E9" s="258" t="inlineStr">
        <is>
          <t>경영지원팀</t>
        </is>
      </c>
      <c r="F9" s="258" t="inlineStr">
        <is>
          <t>국민카드</t>
        </is>
      </c>
      <c r="G9" s="258" t="inlineStr">
        <is>
          <t>KB국민카드대금 지출건(9월분)</t>
        </is>
      </c>
      <c r="H9" s="260" t="n">
        <v>1246115</v>
      </c>
      <c r="I9" s="258" t="inlineStr">
        <is>
          <t>자동이체</t>
        </is>
      </c>
      <c r="J9" s="258" t="inlineStr">
        <is>
          <t>에이팜</t>
        </is>
      </c>
    </row>
    <row r="10">
      <c r="G10" s="261" t="inlineStr">
        <is>
          <t>합계(자금계획 미반영)</t>
        </is>
      </c>
      <c r="H10" s="262" t="n">
        <v>9556115</v>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46296.07520833334</v>
      </c>
      <c r="B2" s="147" t="n">
        <v>46296</v>
      </c>
      <c r="C2" s="67" t="inlineStr">
        <is>
          <t>국민은행</t>
        </is>
      </c>
      <c r="D2" s="67" t="inlineStr">
        <is>
          <t>국민 154577</t>
        </is>
      </c>
      <c r="E2" s="148" t="n">
        <v>9000000</v>
      </c>
      <c r="F2" s="148" t="n">
        <v>0</v>
      </c>
      <c r="G2" s="148" t="n">
        <v>36063478</v>
      </c>
      <c r="H2" s="75" t="inlineStr">
        <is>
          <t>스마트출금</t>
        </is>
      </c>
      <c r="I2" s="75" t="inlineStr">
        <is>
          <t>김정원</t>
        </is>
      </c>
      <c r="J2" s="75" t="inlineStr">
        <is>
          <t>진천역</t>
        </is>
      </c>
      <c r="K2" s="67" t="inlineStr">
        <is>
          <t>기타지출</t>
        </is>
      </c>
      <c r="L2" s="67" t="inlineStr">
        <is>
          <t>N</t>
        </is>
      </c>
      <c r="M2" s="67" t="inlineStr">
        <is>
          <t>N</t>
        </is>
      </c>
      <c r="N2" s="148" t="n">
        <v>-9000000</v>
      </c>
      <c r="O2" s="67" t="inlineStr">
        <is>
          <t>농협계좌_6개월(20260913).xls</t>
        </is>
      </c>
      <c r="P2" s="69" t="inlineStr">
        <is>
          <t>기존내역</t>
        </is>
      </c>
    </row>
    <row r="3">
      <c r="A3" s="146" t="n">
        <v>46296.37723379629</v>
      </c>
      <c r="B3" s="147" t="n">
        <v>46296</v>
      </c>
      <c r="C3" s="67" t="inlineStr">
        <is>
          <t>국민은행</t>
        </is>
      </c>
      <c r="D3" s="67" t="inlineStr">
        <is>
          <t>국민 154577</t>
        </is>
      </c>
      <c r="E3" s="148" t="n">
        <v>0</v>
      </c>
      <c r="F3" s="148" t="n">
        <v>251135</v>
      </c>
      <c r="G3" s="148" t="n">
        <v>36314613</v>
      </c>
      <c r="H3" s="75" t="inlineStr">
        <is>
          <t>FBS입금</t>
        </is>
      </c>
      <c r="I3" s="75" t="inlineStr">
        <is>
          <t>카카오페이정산</t>
        </is>
      </c>
      <c r="J3" s="75" t="inlineStr">
        <is>
          <t>ERP사</t>
        </is>
      </c>
      <c r="K3" s="67" t="inlineStr">
        <is>
          <t>온라인매출입금</t>
        </is>
      </c>
      <c r="L3" s="67" t="inlineStr">
        <is>
          <t>N</t>
        </is>
      </c>
      <c r="M3" s="67" t="inlineStr">
        <is>
          <t>N</t>
        </is>
      </c>
      <c r="N3" s="148" t="n">
        <v>251135</v>
      </c>
      <c r="O3" s="67" t="inlineStr">
        <is>
          <t>농협계좌_6개월(20260913).xls</t>
        </is>
      </c>
      <c r="P3" s="69" t="inlineStr">
        <is>
          <t>기존내역</t>
        </is>
      </c>
    </row>
    <row r="4">
      <c r="A4" s="146" t="n">
        <v>46296.46258101852</v>
      </c>
      <c r="B4" s="147" t="n">
        <v>46296</v>
      </c>
      <c r="C4" s="67" t="inlineStr">
        <is>
          <t>국민은행</t>
        </is>
      </c>
      <c r="D4" s="67" t="inlineStr">
        <is>
          <t>국민 154577</t>
        </is>
      </c>
      <c r="E4" s="148" t="n">
        <v>0</v>
      </c>
      <c r="F4" s="148" t="n">
        <v>2872584</v>
      </c>
      <c r="G4" s="148" t="n">
        <v>39187197</v>
      </c>
      <c r="H4" s="75" t="inlineStr">
        <is>
          <t>전자금융</t>
        </is>
      </c>
      <c r="I4" s="75" t="inlineStr">
        <is>
          <t>KG이니시스</t>
        </is>
      </c>
      <c r="J4" s="75" t="inlineStr">
        <is>
          <t>하나은행</t>
        </is>
      </c>
      <c r="K4" s="67" t="inlineStr">
        <is>
          <t>온라인매출입금</t>
        </is>
      </c>
      <c r="L4" s="67" t="inlineStr">
        <is>
          <t>N</t>
        </is>
      </c>
      <c r="M4" s="67" t="inlineStr">
        <is>
          <t>N</t>
        </is>
      </c>
      <c r="N4" s="148" t="n">
        <v>2872584</v>
      </c>
      <c r="O4" s="67" t="inlineStr">
        <is>
          <t>농협계좌_6개월(20260913).xls</t>
        </is>
      </c>
      <c r="P4" s="69" t="inlineStr">
        <is>
          <t>기존내역</t>
        </is>
      </c>
    </row>
    <row r="5">
      <c r="A5" s="146" t="n">
        <v>46296.46618055556</v>
      </c>
      <c r="B5" s="147" t="n">
        <v>46296</v>
      </c>
      <c r="C5" s="67" t="inlineStr">
        <is>
          <t>국민은행</t>
        </is>
      </c>
      <c r="D5" s="67" t="inlineStr">
        <is>
          <t>국민 154577</t>
        </is>
      </c>
      <c r="E5" s="148" t="n">
        <v>0</v>
      </c>
      <c r="F5" s="148" t="n">
        <v>487545</v>
      </c>
      <c r="G5" s="148" t="n">
        <v>39674742</v>
      </c>
      <c r="H5" s="75" t="inlineStr">
        <is>
          <t>전자금융</t>
        </is>
      </c>
      <c r="I5" s="75" t="inlineStr">
        <is>
          <t>KG이니시스</t>
        </is>
      </c>
      <c r="J5" s="75" t="inlineStr">
        <is>
          <t>하나은행</t>
        </is>
      </c>
      <c r="K5" s="67" t="inlineStr">
        <is>
          <t>온라인매출입금</t>
        </is>
      </c>
      <c r="L5" s="67" t="inlineStr">
        <is>
          <t>N</t>
        </is>
      </c>
      <c r="M5" s="67" t="inlineStr">
        <is>
          <t>N</t>
        </is>
      </c>
      <c r="N5" s="148" t="n">
        <v>487545</v>
      </c>
      <c r="O5" s="67" t="inlineStr">
        <is>
          <t>농협계좌_6개월(20260913).xls</t>
        </is>
      </c>
      <c r="P5" s="69" t="inlineStr">
        <is>
          <t>기존내역</t>
        </is>
      </c>
    </row>
    <row r="6">
      <c r="A6" s="146" t="n">
        <v>46296.4759375</v>
      </c>
      <c r="B6" s="147" t="n">
        <v>46296</v>
      </c>
      <c r="C6" s="67" t="inlineStr">
        <is>
          <t>국민은행</t>
        </is>
      </c>
      <c r="D6" s="67" t="inlineStr">
        <is>
          <t>국민 154577</t>
        </is>
      </c>
      <c r="E6" s="148" t="n">
        <v>0</v>
      </c>
      <c r="F6" s="148" t="n">
        <v>444600</v>
      </c>
      <c r="G6" s="148" t="n">
        <v>40821342</v>
      </c>
      <c r="H6" s="75" t="inlineStr">
        <is>
          <t>FBS입금</t>
        </is>
      </c>
      <c r="I6" s="75" t="inlineStr">
        <is>
          <t>쿠팡(주)</t>
        </is>
      </c>
      <c r="J6" s="75" t="inlineStr">
        <is>
          <t>ERP사</t>
        </is>
      </c>
      <c r="K6" s="67" t="inlineStr">
        <is>
          <t>온라인매출입금</t>
        </is>
      </c>
      <c r="L6" s="67" t="inlineStr">
        <is>
          <t>N</t>
        </is>
      </c>
      <c r="M6" s="67" t="inlineStr">
        <is>
          <t>N</t>
        </is>
      </c>
      <c r="N6" s="148" t="n">
        <v>444600</v>
      </c>
      <c r="O6" s="67" t="inlineStr">
        <is>
          <t>농협계좌_6개월(20260913).xls</t>
        </is>
      </c>
      <c r="P6" s="69" t="inlineStr">
        <is>
          <t>기존내역</t>
        </is>
      </c>
    </row>
    <row r="7">
      <c r="A7" s="146" t="n">
        <v>46296.4759375</v>
      </c>
      <c r="B7" s="147" t="n">
        <v>46296</v>
      </c>
      <c r="C7" s="67" t="inlineStr">
        <is>
          <t>국민은행</t>
        </is>
      </c>
      <c r="D7" s="67" t="inlineStr">
        <is>
          <t>국민 154577</t>
        </is>
      </c>
      <c r="E7" s="148" t="n">
        <v>0</v>
      </c>
      <c r="F7" s="148" t="n">
        <v>702000</v>
      </c>
      <c r="G7" s="148" t="n">
        <v>40376742</v>
      </c>
      <c r="H7" s="75" t="inlineStr">
        <is>
          <t>FBS입금</t>
        </is>
      </c>
      <c r="I7" s="75" t="inlineStr">
        <is>
          <t>쿠팡(주)</t>
        </is>
      </c>
      <c r="J7" s="75" t="inlineStr">
        <is>
          <t>ERP사</t>
        </is>
      </c>
      <c r="K7" s="67" t="inlineStr">
        <is>
          <t>온라인매출입금</t>
        </is>
      </c>
      <c r="L7" s="67" t="inlineStr">
        <is>
          <t>N</t>
        </is>
      </c>
      <c r="M7" s="67" t="inlineStr">
        <is>
          <t>N</t>
        </is>
      </c>
      <c r="N7" s="148" t="n">
        <v>702000</v>
      </c>
      <c r="O7" s="67" t="inlineStr">
        <is>
          <t>국민은행_계좌 조회 6개월(20260913).xls</t>
        </is>
      </c>
      <c r="P7" s="69" t="inlineStr">
        <is>
          <t>기존내역</t>
        </is>
      </c>
    </row>
    <row r="8">
      <c r="A8" s="146" t="n">
        <v>46296.6912037037</v>
      </c>
      <c r="B8" s="147" t="n">
        <v>46296</v>
      </c>
      <c r="C8" s="67" t="inlineStr">
        <is>
          <t>국민은행</t>
        </is>
      </c>
      <c r="D8" s="67" t="inlineStr">
        <is>
          <t>국민 154577</t>
        </is>
      </c>
      <c r="E8" s="148" t="n">
        <v>0</v>
      </c>
      <c r="F8" s="148" t="n">
        <v>6000</v>
      </c>
      <c r="G8" s="148" t="n">
        <v>40827342</v>
      </c>
      <c r="H8" s="75" t="inlineStr">
        <is>
          <t>스마트입금</t>
        </is>
      </c>
      <c r="I8" s="75" t="inlineStr">
        <is>
          <t>강철왕</t>
        </is>
      </c>
      <c r="J8" s="75" t="inlineStr">
        <is>
          <t>여서동</t>
        </is>
      </c>
      <c r="K8" s="67" t="inlineStr">
        <is>
          <t>기타입금</t>
        </is>
      </c>
      <c r="L8" s="67" t="inlineStr">
        <is>
          <t>N</t>
        </is>
      </c>
      <c r="M8" s="67" t="inlineStr">
        <is>
          <t>N</t>
        </is>
      </c>
      <c r="N8" s="148" t="n">
        <v>6000</v>
      </c>
      <c r="O8" s="67" t="inlineStr">
        <is>
          <t>국민은행_계좌 조회 6개월(20260913).xls</t>
        </is>
      </c>
      <c r="P8" s="69" t="inlineStr">
        <is>
          <t>기존내역</t>
        </is>
      </c>
    </row>
    <row r="9">
      <c r="A9" s="146" t="n">
        <v>46296.81741898148</v>
      </c>
      <c r="B9" s="147" t="n">
        <v>46296</v>
      </c>
      <c r="C9" s="67" t="inlineStr">
        <is>
          <t>국민은행</t>
        </is>
      </c>
      <c r="D9" s="67" t="inlineStr">
        <is>
          <t>국민 154577</t>
        </is>
      </c>
      <c r="E9" s="148" t="n">
        <v>2797570</v>
      </c>
      <c r="F9" s="148" t="n">
        <v>0</v>
      </c>
      <c r="G9" s="148" t="n">
        <v>38029772</v>
      </c>
      <c r="H9" s="75" t="inlineStr">
        <is>
          <t>FBS출금</t>
        </is>
      </c>
      <c r="I9" s="75" t="inlineStr">
        <is>
          <t>KB7008</t>
        </is>
      </c>
      <c r="J9" s="75" t="inlineStr">
        <is>
          <t>ERP사</t>
        </is>
      </c>
      <c r="K9" s="67" t="inlineStr">
        <is>
          <t>기타지출</t>
        </is>
      </c>
      <c r="L9" s="67" t="inlineStr">
        <is>
          <t>N</t>
        </is>
      </c>
      <c r="M9" s="67" t="inlineStr">
        <is>
          <t>Y</t>
        </is>
      </c>
      <c r="N9" s="148" t="n">
        <v>-2797570</v>
      </c>
      <c r="O9" s="67" t="inlineStr">
        <is>
          <t>국민은행_계좌 조회 6개월(20260913).xls</t>
        </is>
      </c>
      <c r="P9" s="69" t="inlineStr">
        <is>
          <t>기존내역</t>
        </is>
      </c>
    </row>
    <row r="10">
      <c r="A10" s="146" t="n">
        <v>46297.09947916667</v>
      </c>
      <c r="B10" s="147" t="n">
        <v>46297</v>
      </c>
      <c r="C10" s="67" t="inlineStr">
        <is>
          <t>국민은행</t>
        </is>
      </c>
      <c r="D10" s="67" t="inlineStr">
        <is>
          <t>국민 154577</t>
        </is>
      </c>
      <c r="E10" s="148" t="n">
        <v>0</v>
      </c>
      <c r="F10" s="148" t="n">
        <v>96068</v>
      </c>
      <c r="G10" s="148" t="n">
        <v>38125840</v>
      </c>
      <c r="H10" s="75" t="inlineStr">
        <is>
          <t>전자금융</t>
        </is>
      </c>
      <c r="I10" s="75" t="inlineStr">
        <is>
          <t>Npay정산</t>
        </is>
      </c>
      <c r="J10" s="75" t="inlineStr">
        <is>
          <t>SC은행</t>
        </is>
      </c>
      <c r="K10" s="67" t="inlineStr">
        <is>
          <t>온라인매출입금</t>
        </is>
      </c>
      <c r="L10" s="67" t="inlineStr">
        <is>
          <t>N</t>
        </is>
      </c>
      <c r="M10" s="67" t="inlineStr">
        <is>
          <t>N</t>
        </is>
      </c>
      <c r="N10" s="148" t="n">
        <v>96068</v>
      </c>
      <c r="O10" s="67" t="inlineStr">
        <is>
          <t>국민은행_계좌 조회 6개월(20260913).xls</t>
        </is>
      </c>
      <c r="P10" s="69" t="inlineStr">
        <is>
          <t>기존내역</t>
        </is>
      </c>
    </row>
    <row r="11">
      <c r="A11" s="146" t="n">
        <v>46297.37607638889</v>
      </c>
      <c r="B11" s="147" t="n">
        <v>46297</v>
      </c>
      <c r="C11" s="67" t="inlineStr">
        <is>
          <t>국민은행</t>
        </is>
      </c>
      <c r="D11" s="67" t="inlineStr">
        <is>
          <t>국민 154577</t>
        </is>
      </c>
      <c r="E11" s="148" t="n">
        <v>0</v>
      </c>
      <c r="F11" s="148" t="n">
        <v>330345</v>
      </c>
      <c r="G11" s="148" t="n">
        <v>38456185</v>
      </c>
      <c r="H11" s="75" t="inlineStr">
        <is>
          <t>FBS입금</t>
        </is>
      </c>
      <c r="I11" s="75" t="inlineStr">
        <is>
          <t>카카오페이정산</t>
        </is>
      </c>
      <c r="J11" s="75" t="inlineStr">
        <is>
          <t>ERP사</t>
        </is>
      </c>
      <c r="K11" s="67" t="inlineStr">
        <is>
          <t>온라인매출입금</t>
        </is>
      </c>
      <c r="L11" s="67" t="inlineStr">
        <is>
          <t>N</t>
        </is>
      </c>
      <c r="M11" s="67" t="inlineStr">
        <is>
          <t>N</t>
        </is>
      </c>
      <c r="N11" s="148" t="n">
        <v>330345</v>
      </c>
      <c r="O11" s="67" t="inlineStr">
        <is>
          <t>우리은행 거래내역조회 20260913.xlsx</t>
        </is>
      </c>
      <c r="P11" s="69" t="inlineStr">
        <is>
          <t>기존내역</t>
        </is>
      </c>
    </row>
    <row r="12">
      <c r="A12" s="146" t="n">
        <v>46297.45837962963</v>
      </c>
      <c r="B12" s="147" t="n">
        <v>46297</v>
      </c>
      <c r="C12" s="67" t="inlineStr">
        <is>
          <t>국민은행</t>
        </is>
      </c>
      <c r="D12" s="67" t="inlineStr">
        <is>
          <t>국민 154577</t>
        </is>
      </c>
      <c r="E12" s="148" t="n">
        <v>0</v>
      </c>
      <c r="F12" s="148" t="n">
        <v>644436</v>
      </c>
      <c r="G12" s="148" t="n">
        <v>39100621</v>
      </c>
      <c r="H12" s="75" t="inlineStr">
        <is>
          <t>전자금융</t>
        </is>
      </c>
      <c r="I12" s="75" t="inlineStr">
        <is>
          <t>KG이니시스</t>
        </is>
      </c>
      <c r="J12" s="75" t="inlineStr">
        <is>
          <t>하나은행</t>
        </is>
      </c>
      <c r="K12" s="67" t="inlineStr">
        <is>
          <t>온라인매출입금</t>
        </is>
      </c>
      <c r="L12" s="67" t="inlineStr">
        <is>
          <t>N</t>
        </is>
      </c>
      <c r="M12" s="67" t="inlineStr">
        <is>
          <t>N</t>
        </is>
      </c>
      <c r="N12" s="148" t="n">
        <v>644436</v>
      </c>
      <c r="O12" s="67" t="inlineStr">
        <is>
          <t>우리은행 거래내역조회 20260913.xlsx</t>
        </is>
      </c>
      <c r="P12" s="69" t="inlineStr">
        <is>
          <t>기존내역</t>
        </is>
      </c>
    </row>
    <row r="13">
      <c r="A13" s="146" t="n">
        <v>46297.46946759259</v>
      </c>
      <c r="B13" s="147" t="n">
        <v>46297</v>
      </c>
      <c r="C13" s="67" t="inlineStr">
        <is>
          <t>국민은행</t>
        </is>
      </c>
      <c r="D13" s="67" t="inlineStr">
        <is>
          <t>국민 154577</t>
        </is>
      </c>
      <c r="E13" s="148" t="n">
        <v>0</v>
      </c>
      <c r="F13" s="148" t="n">
        <v>127804</v>
      </c>
      <c r="G13" s="148" t="n">
        <v>39228425</v>
      </c>
      <c r="H13" s="75" t="inlineStr">
        <is>
          <t>전자금융</t>
        </is>
      </c>
      <c r="I13" s="75" t="inlineStr">
        <is>
          <t>KG이니시스</t>
        </is>
      </c>
      <c r="J13" s="75" t="inlineStr">
        <is>
          <t>하나은행</t>
        </is>
      </c>
      <c r="K13" s="67" t="inlineStr">
        <is>
          <t>온라인매출입금</t>
        </is>
      </c>
      <c r="L13" s="67" t="inlineStr">
        <is>
          <t>N</t>
        </is>
      </c>
      <c r="M13" s="67" t="inlineStr">
        <is>
          <t>N</t>
        </is>
      </c>
      <c r="N13" s="148" t="n">
        <v>127804</v>
      </c>
      <c r="O13" s="67" t="inlineStr">
        <is>
          <t>우리은행 거래내역조회 20260913.xlsx</t>
        </is>
      </c>
      <c r="P13" s="69" t="inlineStr">
        <is>
          <t>기존내역</t>
        </is>
      </c>
    </row>
    <row r="14">
      <c r="A14" s="146" t="n">
        <v>46297.4727662037</v>
      </c>
      <c r="B14" s="147" t="n">
        <v>46297</v>
      </c>
      <c r="C14" s="67" t="inlineStr">
        <is>
          <t>국민은행</t>
        </is>
      </c>
      <c r="D14" s="67" t="inlineStr">
        <is>
          <t>국민 154577</t>
        </is>
      </c>
      <c r="E14" s="148" t="n">
        <v>0</v>
      </c>
      <c r="F14" s="148" t="n">
        <v>1214850</v>
      </c>
      <c r="G14" s="148" t="n">
        <v>40443275</v>
      </c>
      <c r="H14" s="75" t="inlineStr">
        <is>
          <t>FBS입금</t>
        </is>
      </c>
      <c r="I14" s="75" t="inlineStr">
        <is>
          <t>쿠팡(주)</t>
        </is>
      </c>
      <c r="J14" s="75" t="inlineStr">
        <is>
          <t>ERP사</t>
        </is>
      </c>
      <c r="K14" s="67" t="inlineStr">
        <is>
          <t>온라인매출입금</t>
        </is>
      </c>
      <c r="L14" s="67" t="inlineStr">
        <is>
          <t>N</t>
        </is>
      </c>
      <c r="M14" s="67" t="inlineStr">
        <is>
          <t>N</t>
        </is>
      </c>
      <c r="N14" s="148" t="n">
        <v>1214850</v>
      </c>
      <c r="O14" s="67" t="inlineStr">
        <is>
          <t>국민은행_계좌 조회 6개월(20260913).xls</t>
        </is>
      </c>
      <c r="P14" s="69" t="inlineStr">
        <is>
          <t>기존내역</t>
        </is>
      </c>
    </row>
    <row r="15">
      <c r="A15" s="146" t="n">
        <v>46297.60028935185</v>
      </c>
      <c r="B15" s="147" t="n">
        <v>46297</v>
      </c>
      <c r="C15" s="67" t="inlineStr">
        <is>
          <t>국민은행</t>
        </is>
      </c>
      <c r="D15" s="67" t="inlineStr">
        <is>
          <t>국민 154577</t>
        </is>
      </c>
      <c r="E15" s="148" t="n">
        <v>0</v>
      </c>
      <c r="F15" s="148" t="n">
        <v>56300</v>
      </c>
      <c r="G15" s="148" t="n">
        <v>40499575</v>
      </c>
      <c r="H15" s="75" t="inlineStr">
        <is>
          <t>전자금융</t>
        </is>
      </c>
      <c r="I15" s="75" t="inlineStr">
        <is>
          <t>김소희</t>
        </is>
      </c>
      <c r="J15" s="75" t="inlineStr">
        <is>
          <t>토스뱅크</t>
        </is>
      </c>
      <c r="K15" s="67" t="inlineStr">
        <is>
          <t>기타입금</t>
        </is>
      </c>
      <c r="L15" s="67" t="inlineStr">
        <is>
          <t>N</t>
        </is>
      </c>
      <c r="M15" s="67" t="inlineStr">
        <is>
          <t>N</t>
        </is>
      </c>
      <c r="N15" s="148" t="n">
        <v>56300</v>
      </c>
      <c r="O15" s="67" t="inlineStr">
        <is>
          <t>국민은행_계좌 조회 6개월(20260913).xls</t>
        </is>
      </c>
      <c r="P15" s="69" t="inlineStr">
        <is>
          <t>기존내역</t>
        </is>
      </c>
    </row>
    <row r="16">
      <c r="A16" s="146" t="n">
        <v>46297.64930555555</v>
      </c>
      <c r="B16" s="147" t="n">
        <v>46297</v>
      </c>
      <c r="C16" s="67" t="inlineStr">
        <is>
          <t>국민은행</t>
        </is>
      </c>
      <c r="D16" s="67" t="inlineStr">
        <is>
          <t>국민 154577</t>
        </is>
      </c>
      <c r="E16" s="148" t="n">
        <v>0</v>
      </c>
      <c r="F16" s="148" t="n">
        <v>444356</v>
      </c>
      <c r="G16" s="148" t="n">
        <v>40943931</v>
      </c>
      <c r="H16" s="75" t="inlineStr">
        <is>
          <t>인터넷입금이체</t>
        </is>
      </c>
      <c r="I16" s="75" t="inlineStr">
        <is>
          <t>(주)씨제이이엔엠</t>
        </is>
      </c>
      <c r="J16" s="75" t="inlineStr">
        <is>
          <t>대1-5</t>
        </is>
      </c>
      <c r="K16" s="67" t="inlineStr">
        <is>
          <t>온라인매출입금</t>
        </is>
      </c>
      <c r="L16" s="67" t="inlineStr">
        <is>
          <t>N</t>
        </is>
      </c>
      <c r="M16" s="67" t="inlineStr">
        <is>
          <t>N</t>
        </is>
      </c>
      <c r="N16" s="148" t="n">
        <v>444356</v>
      </c>
      <c r="O16" s="67" t="inlineStr">
        <is>
          <t>국민은행_계좌 조회 6개월(20260913).xls</t>
        </is>
      </c>
      <c r="P16" s="69" t="inlineStr">
        <is>
          <t>기존내역</t>
        </is>
      </c>
    </row>
    <row r="17">
      <c r="A17" s="146" t="n">
        <v>46297.97887731482</v>
      </c>
      <c r="B17" s="147" t="n">
        <v>46297</v>
      </c>
      <c r="C17" s="67" t="inlineStr">
        <is>
          <t>국민은행</t>
        </is>
      </c>
      <c r="D17" s="67" t="inlineStr">
        <is>
          <t>국민 154577</t>
        </is>
      </c>
      <c r="E17" s="148" t="n">
        <v>0</v>
      </c>
      <c r="F17" s="148" t="n">
        <v>2470</v>
      </c>
      <c r="G17" s="148" t="n">
        <v>40946401</v>
      </c>
      <c r="H17" s="75" t="inlineStr">
        <is>
          <t>전자금융</t>
        </is>
      </c>
      <c r="I17" s="75" t="inlineStr">
        <is>
          <t>차다연</t>
        </is>
      </c>
      <c r="J17" s="75" t="inlineStr">
        <is>
          <t>카뱅</t>
        </is>
      </c>
      <c r="K17" s="67" t="inlineStr">
        <is>
          <t>기타입금</t>
        </is>
      </c>
      <c r="L17" s="67" t="inlineStr">
        <is>
          <t>N</t>
        </is>
      </c>
      <c r="M17" s="67" t="inlineStr">
        <is>
          <t>N</t>
        </is>
      </c>
      <c r="N17" s="148" t="n">
        <v>2470</v>
      </c>
      <c r="O17" s="67" t="inlineStr">
        <is>
          <t>국민은행_계좌 조회 6개월(20260913).xls</t>
        </is>
      </c>
      <c r="P17" s="69" t="inlineStr">
        <is>
          <t>기존내역</t>
        </is>
      </c>
    </row>
    <row r="18">
      <c r="A18" s="146" t="n">
        <v>46301.37581018519</v>
      </c>
      <c r="B18" s="147" t="n">
        <v>46301</v>
      </c>
      <c r="C18" s="67" t="inlineStr">
        <is>
          <t>국민은행</t>
        </is>
      </c>
      <c r="D18" s="67" t="inlineStr">
        <is>
          <t>국민 154577</t>
        </is>
      </c>
      <c r="E18" s="148" t="n">
        <v>0</v>
      </c>
      <c r="F18" s="148" t="n">
        <v>237872</v>
      </c>
      <c r="G18" s="148" t="n">
        <v>41184273</v>
      </c>
      <c r="H18" s="75" t="inlineStr">
        <is>
          <t>FBS입금</t>
        </is>
      </c>
      <c r="I18" s="75" t="inlineStr">
        <is>
          <t>카카오페이정산</t>
        </is>
      </c>
      <c r="J18" s="75" t="inlineStr">
        <is>
          <t>ERP사</t>
        </is>
      </c>
      <c r="K18" s="67" t="inlineStr">
        <is>
          <t>온라인매출입금</t>
        </is>
      </c>
      <c r="L18" s="67" t="inlineStr">
        <is>
          <t>N</t>
        </is>
      </c>
      <c r="M18" s="67" t="inlineStr">
        <is>
          <t>N</t>
        </is>
      </c>
      <c r="N18" s="148" t="n">
        <v>237872</v>
      </c>
      <c r="O18" s="67" t="inlineStr">
        <is>
          <t>우리은행 거래내역조회 20260913.xlsx</t>
        </is>
      </c>
      <c r="P18" s="69" t="inlineStr">
        <is>
          <t>기존내역</t>
        </is>
      </c>
    </row>
    <row r="19">
      <c r="A19" s="146" t="n">
        <v>46301.38430555556</v>
      </c>
      <c r="B19" s="147" t="n">
        <v>46301</v>
      </c>
      <c r="C19" s="67" t="inlineStr">
        <is>
          <t>농협</t>
        </is>
      </c>
      <c r="D19" s="67" t="inlineStr">
        <is>
          <t>농협 569003</t>
        </is>
      </c>
      <c r="E19" s="148" t="n">
        <v>0</v>
      </c>
      <c r="F19" s="148" t="n">
        <v>137842</v>
      </c>
      <c r="G19" s="148" t="n">
        <v>348566</v>
      </c>
      <c r="H19" s="75" t="inlineStr">
        <is>
          <t>신한가맹점</t>
        </is>
      </c>
      <c r="I19" s="75" t="inlineStr">
        <is>
          <t>SHC123782039</t>
        </is>
      </c>
      <c r="J19" s="75" t="inlineStr">
        <is>
          <t>농협 000053</t>
        </is>
      </c>
      <c r="K19" s="67" t="inlineStr">
        <is>
          <t>기타입금</t>
        </is>
      </c>
      <c r="L19" s="67" t="inlineStr">
        <is>
          <t>N</t>
        </is>
      </c>
      <c r="M19" s="67" t="inlineStr">
        <is>
          <t>N</t>
        </is>
      </c>
      <c r="N19" s="148" t="n">
        <v>137842</v>
      </c>
      <c r="O19" s="67" t="inlineStr">
        <is>
          <t>우리은행 거래내역조회 20260913.xlsx</t>
        </is>
      </c>
      <c r="P19" s="69" t="inlineStr">
        <is>
          <t>기존내역</t>
        </is>
      </c>
    </row>
    <row r="20">
      <c r="A20" s="146" t="n">
        <v>46301.41990740741</v>
      </c>
      <c r="B20" s="147" t="n">
        <v>46301</v>
      </c>
      <c r="C20" s="67" t="inlineStr">
        <is>
          <t>농협</t>
        </is>
      </c>
      <c r="D20" s="67" t="inlineStr">
        <is>
          <t>농협 569003</t>
        </is>
      </c>
      <c r="E20" s="148" t="n">
        <v>0</v>
      </c>
      <c r="F20" s="148" t="n">
        <v>2000</v>
      </c>
      <c r="G20" s="148" t="n">
        <v>350566</v>
      </c>
      <c r="H20" s="75" t="inlineStr">
        <is>
          <t>PC우리은행</t>
        </is>
      </c>
      <c r="I20" s="75" t="inlineStr">
        <is>
          <t>허수원</t>
        </is>
      </c>
      <c r="J20" s="75" t="inlineStr">
        <is>
          <t>우리 0846484</t>
        </is>
      </c>
      <c r="K20" s="67" t="inlineStr">
        <is>
          <t>기타입금</t>
        </is>
      </c>
      <c r="L20" s="67" t="inlineStr">
        <is>
          <t>N</t>
        </is>
      </c>
      <c r="M20" s="67" t="inlineStr">
        <is>
          <t>N</t>
        </is>
      </c>
      <c r="N20" s="148" t="n">
        <v>2000</v>
      </c>
      <c r="O20" s="67" t="inlineStr">
        <is>
          <t>우리은행 거래내역조회 20260913.xlsx</t>
        </is>
      </c>
      <c r="P20" s="69" t="inlineStr">
        <is>
          <t>기존내역</t>
        </is>
      </c>
    </row>
    <row r="21">
      <c r="A21" s="146" t="n">
        <v>46301.42909722222</v>
      </c>
      <c r="B21" s="147" t="n">
        <v>46301</v>
      </c>
      <c r="C21" s="67" t="inlineStr">
        <is>
          <t>국민은행</t>
        </is>
      </c>
      <c r="D21" s="67" t="inlineStr">
        <is>
          <t>국민 154577</t>
        </is>
      </c>
      <c r="E21" s="148" t="n">
        <v>500000</v>
      </c>
      <c r="F21" s="148" t="n">
        <v>0</v>
      </c>
      <c r="G21" s="148" t="n">
        <v>663073</v>
      </c>
      <c r="H21" s="75" t="inlineStr">
        <is>
          <t>기일출금</t>
        </is>
      </c>
      <c r="I21" s="75" t="inlineStr">
        <is>
          <t>(주)에이팜건강</t>
        </is>
      </c>
      <c r="J21" s="75" t="inlineStr">
        <is>
          <t>진천역</t>
        </is>
      </c>
      <c r="K21" s="67" t="inlineStr">
        <is>
          <t>계좌간이체</t>
        </is>
      </c>
      <c r="L21" s="67" t="inlineStr">
        <is>
          <t>Y</t>
        </is>
      </c>
      <c r="M21" s="67" t="inlineStr">
        <is>
          <t>N</t>
        </is>
      </c>
      <c r="N21" s="148" t="n">
        <v>0</v>
      </c>
      <c r="O21" s="67" t="inlineStr">
        <is>
          <t>우리은행 거래내역조회 20260913.xlsx</t>
        </is>
      </c>
      <c r="P21" s="69" t="inlineStr">
        <is>
          <t>기존내역</t>
        </is>
      </c>
    </row>
    <row r="22">
      <c r="A22" s="146" t="n">
        <v>46301.42909722222</v>
      </c>
      <c r="B22" s="147" t="n">
        <v>46301</v>
      </c>
      <c r="C22" s="67" t="inlineStr">
        <is>
          <t>국민은행</t>
        </is>
      </c>
      <c r="D22" s="67" t="inlineStr">
        <is>
          <t>국민 154577</t>
        </is>
      </c>
      <c r="E22" s="148" t="n">
        <v>10021200</v>
      </c>
      <c r="F22" s="148" t="n">
        <v>0</v>
      </c>
      <c r="G22" s="148" t="n">
        <v>1163073</v>
      </c>
      <c r="H22" s="75" t="inlineStr">
        <is>
          <t>기일출금</t>
        </is>
      </c>
      <c r="I22" s="75" t="inlineStr">
        <is>
          <t>(주)에이팜건강</t>
        </is>
      </c>
      <c r="J22" s="75" t="inlineStr">
        <is>
          <t>진천역</t>
        </is>
      </c>
      <c r="K22" s="67" t="inlineStr">
        <is>
          <t>계좌간이체</t>
        </is>
      </c>
      <c r="L22" s="67" t="inlineStr">
        <is>
          <t>Y</t>
        </is>
      </c>
      <c r="M22" s="67" t="inlineStr">
        <is>
          <t>N</t>
        </is>
      </c>
      <c r="N22" s="148" t="n">
        <v>0</v>
      </c>
      <c r="O22" s="67" t="inlineStr">
        <is>
          <t>우리은행 거래내역조회 20260913.xlsx</t>
        </is>
      </c>
      <c r="P22" s="69" t="inlineStr">
        <is>
          <t>기존내역</t>
        </is>
      </c>
    </row>
    <row r="23">
      <c r="A23" s="146" t="n">
        <v>46301.42909722222</v>
      </c>
      <c r="B23" s="147" t="n">
        <v>46301</v>
      </c>
      <c r="C23" s="67" t="inlineStr">
        <is>
          <t>국민은행</t>
        </is>
      </c>
      <c r="D23" s="67" t="inlineStr">
        <is>
          <t>국민 154577</t>
        </is>
      </c>
      <c r="E23" s="148" t="n">
        <v>30000000</v>
      </c>
      <c r="F23" s="148" t="n">
        <v>0</v>
      </c>
      <c r="G23" s="148" t="n">
        <v>11184273</v>
      </c>
      <c r="H23" s="75" t="inlineStr">
        <is>
          <t>기일출금</t>
        </is>
      </c>
      <c r="I23" s="75" t="inlineStr">
        <is>
          <t>한화스마트</t>
        </is>
      </c>
      <c r="J23" s="75" t="inlineStr">
        <is>
          <t>진천역</t>
        </is>
      </c>
      <c r="K23" s="67" t="inlineStr">
        <is>
          <t>계좌간이체</t>
        </is>
      </c>
      <c r="L23" s="67" t="inlineStr">
        <is>
          <t>Y</t>
        </is>
      </c>
      <c r="M23" s="67" t="inlineStr">
        <is>
          <t>N</t>
        </is>
      </c>
      <c r="N23" s="148" t="n">
        <v>0</v>
      </c>
      <c r="O23" s="67" t="inlineStr">
        <is>
          <t>국민은행_계좌 조회 6개월(20260913).xls</t>
        </is>
      </c>
      <c r="P23" s="69" t="inlineStr">
        <is>
          <t>기존내역</t>
        </is>
      </c>
    </row>
    <row r="24">
      <c r="A24" s="146" t="n">
        <v>46301.42909722222</v>
      </c>
      <c r="B24" s="147" t="n">
        <v>46301</v>
      </c>
      <c r="C24" s="67" t="inlineStr">
        <is>
          <t>국민은행</t>
        </is>
      </c>
      <c r="D24" s="67" t="inlineStr">
        <is>
          <t>국민 169124</t>
        </is>
      </c>
      <c r="E24" s="148" t="n">
        <v>0</v>
      </c>
      <c r="F24" s="148" t="n">
        <v>500000</v>
      </c>
      <c r="G24" s="148" t="n">
        <v>71208400</v>
      </c>
      <c r="H24" s="75" t="inlineStr">
        <is>
          <t>기일입금</t>
        </is>
      </c>
      <c r="I24" s="75" t="inlineStr">
        <is>
          <t>(주)에이팜건강</t>
        </is>
      </c>
      <c r="J24" s="75" t="inlineStr">
        <is>
          <t>진천역</t>
        </is>
      </c>
      <c r="K24" s="67" t="inlineStr">
        <is>
          <t>계좌간이체</t>
        </is>
      </c>
      <c r="L24" s="67" t="inlineStr">
        <is>
          <t>Y</t>
        </is>
      </c>
      <c r="M24" s="67" t="inlineStr">
        <is>
          <t>N</t>
        </is>
      </c>
      <c r="N24" s="148" t="n">
        <v>0</v>
      </c>
      <c r="O24" s="67" t="inlineStr">
        <is>
          <t>우리은행 거래내역조회 20260913.xlsx</t>
        </is>
      </c>
      <c r="P24" s="69" t="inlineStr">
        <is>
          <t>기존내역</t>
        </is>
      </c>
    </row>
    <row r="25">
      <c r="A25" s="146" t="n">
        <v>46301.42909722222</v>
      </c>
      <c r="B25" s="147" t="n">
        <v>46301</v>
      </c>
      <c r="C25" s="67" t="inlineStr">
        <is>
          <t>국민은행</t>
        </is>
      </c>
      <c r="D25" s="67" t="inlineStr">
        <is>
          <t>국민 169124</t>
        </is>
      </c>
      <c r="E25" s="148" t="n">
        <v>0</v>
      </c>
      <c r="F25" s="148" t="n">
        <v>10021200</v>
      </c>
      <c r="G25" s="148" t="n">
        <v>70708400</v>
      </c>
      <c r="H25" s="75" t="inlineStr">
        <is>
          <t>기일입금</t>
        </is>
      </c>
      <c r="I25" s="75" t="inlineStr">
        <is>
          <t>(주)에이팜건강</t>
        </is>
      </c>
      <c r="J25" s="75" t="inlineStr">
        <is>
          <t>진천역</t>
        </is>
      </c>
      <c r="K25" s="67" t="inlineStr">
        <is>
          <t>계좌간이체</t>
        </is>
      </c>
      <c r="L25" s="67" t="inlineStr">
        <is>
          <t>Y</t>
        </is>
      </c>
      <c r="M25" s="67" t="inlineStr">
        <is>
          <t>N</t>
        </is>
      </c>
      <c r="N25" s="148" t="n">
        <v>0</v>
      </c>
      <c r="O25" s="67" t="inlineStr">
        <is>
          <t>국민은행_계좌 조회 6개월(20260913).xls</t>
        </is>
      </c>
      <c r="P25" s="69" t="inlineStr">
        <is>
          <t>기존내역</t>
        </is>
      </c>
    </row>
    <row r="26">
      <c r="A26" s="146" t="n">
        <v>46301.42909722222</v>
      </c>
      <c r="B26" s="147" t="n">
        <v>46301</v>
      </c>
      <c r="C26" s="67" t="inlineStr">
        <is>
          <t>국민은행</t>
        </is>
      </c>
      <c r="D26" s="67" t="inlineStr">
        <is>
          <t>국민 169124</t>
        </is>
      </c>
      <c r="E26" s="148" t="n">
        <v>0</v>
      </c>
      <c r="F26" s="148" t="n">
        <v>30000000</v>
      </c>
      <c r="G26" s="148" t="n">
        <v>60687200</v>
      </c>
      <c r="H26" s="75" t="inlineStr">
        <is>
          <t>기일입금</t>
        </is>
      </c>
      <c r="I26" s="75" t="inlineStr">
        <is>
          <t>(주)에이팜건강</t>
        </is>
      </c>
      <c r="J26" s="75" t="inlineStr">
        <is>
          <t>진천역</t>
        </is>
      </c>
      <c r="K26" s="67" t="inlineStr">
        <is>
          <t>계좌간이체</t>
        </is>
      </c>
      <c r="L26" s="67" t="inlineStr">
        <is>
          <t>Y</t>
        </is>
      </c>
      <c r="M26" s="67" t="inlineStr">
        <is>
          <t>N</t>
        </is>
      </c>
      <c r="N26" s="148" t="n">
        <v>0</v>
      </c>
      <c r="O26" s="67" t="inlineStr">
        <is>
          <t>국민은행_계좌 조회 6개월(20260913).xls</t>
        </is>
      </c>
      <c r="P26" s="69" t="inlineStr">
        <is>
          <t>기존내역</t>
        </is>
      </c>
    </row>
    <row r="27">
      <c r="A27" s="146" t="n">
        <v>46301.43824074074</v>
      </c>
      <c r="B27" s="147" t="n">
        <v>46301</v>
      </c>
      <c r="C27" s="67" t="inlineStr">
        <is>
          <t>농협</t>
        </is>
      </c>
      <c r="D27" s="67" t="inlineStr">
        <is>
          <t>농협 569003</t>
        </is>
      </c>
      <c r="E27" s="148" t="n">
        <v>0</v>
      </c>
      <c r="F27" s="148" t="n">
        <v>19000</v>
      </c>
      <c r="G27" s="148" t="n">
        <v>369566</v>
      </c>
      <c r="H27" s="75" t="inlineStr">
        <is>
          <t>폰토스뱅크</t>
        </is>
      </c>
      <c r="I27" s="75" t="inlineStr">
        <is>
          <t>김수희</t>
        </is>
      </c>
      <c r="J27" s="75" t="inlineStr">
        <is>
          <t>토스뱅크 0921008</t>
        </is>
      </c>
      <c r="K27" s="67" t="inlineStr">
        <is>
          <t>기타입금</t>
        </is>
      </c>
      <c r="L27" s="67" t="inlineStr">
        <is>
          <t>N</t>
        </is>
      </c>
      <c r="M27" s="67" t="inlineStr">
        <is>
          <t>N</t>
        </is>
      </c>
      <c r="N27" s="148" t="n">
        <v>19000</v>
      </c>
      <c r="O27" s="67" t="inlineStr">
        <is>
          <t>우리은행 거래내역조회 20260913.xlsx</t>
        </is>
      </c>
      <c r="P27" s="69" t="inlineStr">
        <is>
          <t>기존내역</t>
        </is>
      </c>
    </row>
    <row r="28">
      <c r="A28" s="146" t="n">
        <v>46301.46129629629</v>
      </c>
      <c r="B28" s="147" t="n">
        <v>46301</v>
      </c>
      <c r="C28" s="67" t="inlineStr">
        <is>
          <t>국민은행</t>
        </is>
      </c>
      <c r="D28" s="67" t="inlineStr">
        <is>
          <t>국민 154577</t>
        </is>
      </c>
      <c r="E28" s="148" t="n">
        <v>0</v>
      </c>
      <c r="F28" s="148" t="n">
        <v>901583</v>
      </c>
      <c r="G28" s="148" t="n">
        <v>1564656</v>
      </c>
      <c r="H28" s="75" t="inlineStr">
        <is>
          <t>전자금융</t>
        </is>
      </c>
      <c r="I28" s="75" t="inlineStr">
        <is>
          <t>KG이니시스</t>
        </is>
      </c>
      <c r="J28" s="75" t="inlineStr">
        <is>
          <t>하나은행</t>
        </is>
      </c>
      <c r="K28" s="67" t="inlineStr">
        <is>
          <t>온라인매출입금</t>
        </is>
      </c>
      <c r="L28" s="67" t="inlineStr">
        <is>
          <t>N</t>
        </is>
      </c>
      <c r="M28" s="67" t="inlineStr">
        <is>
          <t>N</t>
        </is>
      </c>
      <c r="N28" s="148" t="n">
        <v>901583</v>
      </c>
      <c r="O28" s="67" t="inlineStr">
        <is>
          <t>우리은행 거래내역조회 20260913.xlsx</t>
        </is>
      </c>
      <c r="P28" s="69" t="inlineStr">
        <is>
          <t>기존내역</t>
        </is>
      </c>
    </row>
    <row r="29">
      <c r="A29" s="146" t="n">
        <v>46301.46690972222</v>
      </c>
      <c r="B29" s="147" t="n">
        <v>46301</v>
      </c>
      <c r="C29" s="67" t="inlineStr">
        <is>
          <t>국민은행</t>
        </is>
      </c>
      <c r="D29" s="67" t="inlineStr">
        <is>
          <t>국민 154577</t>
        </is>
      </c>
      <c r="E29" s="148" t="n">
        <v>0</v>
      </c>
      <c r="F29" s="148" t="n">
        <v>248055</v>
      </c>
      <c r="G29" s="148" t="n">
        <v>1812711</v>
      </c>
      <c r="H29" s="75" t="inlineStr">
        <is>
          <t>전자금융</t>
        </is>
      </c>
      <c r="I29" s="75" t="inlineStr">
        <is>
          <t>KG이니시스</t>
        </is>
      </c>
      <c r="J29" s="75" t="inlineStr">
        <is>
          <t>하나은행</t>
        </is>
      </c>
      <c r="K29" s="67" t="inlineStr">
        <is>
          <t>온라인매출입금</t>
        </is>
      </c>
      <c r="L29" s="67" t="inlineStr">
        <is>
          <t>N</t>
        </is>
      </c>
      <c r="M29" s="67" t="inlineStr">
        <is>
          <t>N</t>
        </is>
      </c>
      <c r="N29" s="148" t="n">
        <v>248055</v>
      </c>
      <c r="O29" s="67" t="inlineStr">
        <is>
          <t>국민은행_계좌 조회 6개월(20260913).xls</t>
        </is>
      </c>
      <c r="P29" s="69" t="inlineStr">
        <is>
          <t>기존내역</t>
        </is>
      </c>
    </row>
    <row r="30">
      <c r="A30" s="146" t="n">
        <v>46301.57641203704</v>
      </c>
      <c r="B30" s="147" t="n">
        <v>46301</v>
      </c>
      <c r="C30" s="67" t="inlineStr">
        <is>
          <t>국민은행</t>
        </is>
      </c>
      <c r="D30" s="67" t="inlineStr">
        <is>
          <t>국민 154577</t>
        </is>
      </c>
      <c r="E30" s="148" t="n">
        <v>0</v>
      </c>
      <c r="F30" s="148" t="n">
        <v>7248900</v>
      </c>
      <c r="G30" s="148" t="n">
        <v>9061611</v>
      </c>
      <c r="H30" s="75" t="inlineStr">
        <is>
          <t>FBS입금</t>
        </is>
      </c>
      <c r="I30" s="75" t="inlineStr">
        <is>
          <t>쿠팡(주)</t>
        </is>
      </c>
      <c r="J30" s="75" t="inlineStr">
        <is>
          <t>ERP사</t>
        </is>
      </c>
      <c r="K30" s="67" t="inlineStr">
        <is>
          <t>온라인매출입금</t>
        </is>
      </c>
      <c r="L30" s="67" t="inlineStr">
        <is>
          <t>N</t>
        </is>
      </c>
      <c r="M30" s="67" t="inlineStr">
        <is>
          <t>N</t>
        </is>
      </c>
      <c r="N30" s="148" t="n">
        <v>7248900</v>
      </c>
      <c r="O30" s="67" t="inlineStr">
        <is>
          <t>우리은행 거래내역조회 20260913.xlsx</t>
        </is>
      </c>
      <c r="P30" s="69" t="inlineStr">
        <is>
          <t>기존내역</t>
        </is>
      </c>
    </row>
    <row r="31">
      <c r="A31" s="146" t="n">
        <v>46301.57714120371</v>
      </c>
      <c r="B31" s="147" t="n">
        <v>46301</v>
      </c>
      <c r="C31" s="67" t="inlineStr">
        <is>
          <t>농협</t>
        </is>
      </c>
      <c r="D31" s="67" t="inlineStr">
        <is>
          <t>농협 569003</t>
        </is>
      </c>
      <c r="E31" s="148" t="n">
        <v>0</v>
      </c>
      <c r="F31" s="148" t="n">
        <v>86000</v>
      </c>
      <c r="G31" s="148" t="n">
        <v>455566</v>
      </c>
      <c r="H31" s="75" t="inlineStr">
        <is>
          <t>PC신한은행</t>
        </is>
      </c>
      <c r="I31" s="75" t="inlineStr">
        <is>
          <t>송채은</t>
        </is>
      </c>
      <c r="J31" s="75" t="inlineStr">
        <is>
          <t>신한 0267623</t>
        </is>
      </c>
      <c r="K31" s="67" t="inlineStr">
        <is>
          <t>기타입금</t>
        </is>
      </c>
      <c r="L31" s="67" t="inlineStr">
        <is>
          <t>N</t>
        </is>
      </c>
      <c r="M31" s="67" t="inlineStr">
        <is>
          <t>N</t>
        </is>
      </c>
      <c r="N31" s="148" t="n">
        <v>86000</v>
      </c>
      <c r="O31" s="67" t="inlineStr">
        <is>
          <t>국민은행_계좌 조회 6개월(20260913).xls</t>
        </is>
      </c>
      <c r="P31" s="69" t="inlineStr">
        <is>
          <t>기존내역</t>
        </is>
      </c>
    </row>
    <row r="32">
      <c r="A32" s="146" t="n">
        <v>46301.80311342593</v>
      </c>
      <c r="B32" s="147" t="n">
        <v>46301</v>
      </c>
      <c r="C32" s="67" t="inlineStr">
        <is>
          <t>국민은행</t>
        </is>
      </c>
      <c r="D32" s="67" t="inlineStr">
        <is>
          <t>국민 169124</t>
        </is>
      </c>
      <c r="E32" s="148" t="n">
        <v>40521200</v>
      </c>
      <c r="F32" s="148" t="n">
        <v>0</v>
      </c>
      <c r="G32" s="148" t="n">
        <v>30687200</v>
      </c>
      <c r="H32" s="75" t="inlineStr">
        <is>
          <t>FBS출금</t>
        </is>
      </c>
      <c r="I32" s="75" t="inlineStr">
        <is>
          <t>한화생10-03</t>
        </is>
      </c>
      <c r="J32" s="75" t="inlineStr">
        <is>
          <t>ERP사</t>
        </is>
      </c>
      <c r="K32" s="67" t="inlineStr">
        <is>
          <t>보험료</t>
        </is>
      </c>
      <c r="L32" s="67" t="inlineStr">
        <is>
          <t>N</t>
        </is>
      </c>
      <c r="M32" s="67" t="inlineStr">
        <is>
          <t>Y</t>
        </is>
      </c>
      <c r="N32" s="148" t="n">
        <v>-40521200</v>
      </c>
      <c r="O32" s="67" t="inlineStr">
        <is>
          <t>우리은행 거래내역조회 20260913.xlsx</t>
        </is>
      </c>
      <c r="P32" s="69" t="inlineStr">
        <is>
          <t>기존내역</t>
        </is>
      </c>
    </row>
    <row r="33">
      <c r="A33" s="146" t="n">
        <v>46301.80950231481</v>
      </c>
      <c r="B33" s="147" t="n">
        <v>46301</v>
      </c>
      <c r="C33" s="67" t="inlineStr">
        <is>
          <t>국민은행</t>
        </is>
      </c>
      <c r="D33" s="67" t="inlineStr">
        <is>
          <t>국민 169124</t>
        </is>
      </c>
      <c r="E33" s="148" t="n">
        <v>8243400</v>
      </c>
      <c r="F33" s="148" t="n">
        <v>0</v>
      </c>
      <c r="G33" s="148" t="n">
        <v>22443800</v>
      </c>
      <c r="H33" s="75" t="inlineStr">
        <is>
          <t>FBS출금</t>
        </is>
      </c>
      <c r="I33" s="75" t="inlineStr">
        <is>
          <t>삼성10002건</t>
        </is>
      </c>
      <c r="J33" s="75" t="inlineStr">
        <is>
          <t>ERP사</t>
        </is>
      </c>
      <c r="K33" s="67" t="inlineStr">
        <is>
          <t>기타지출</t>
        </is>
      </c>
      <c r="L33" s="67" t="inlineStr">
        <is>
          <t>N</t>
        </is>
      </c>
      <c r="M33" s="67" t="inlineStr">
        <is>
          <t>Y</t>
        </is>
      </c>
      <c r="N33" s="148" t="n">
        <v>-8243400</v>
      </c>
      <c r="O33" s="67" t="inlineStr">
        <is>
          <t>우리은행 거래내역조회 20260913.xlsx</t>
        </is>
      </c>
      <c r="P33" s="69" t="inlineStr">
        <is>
          <t>기존내역</t>
        </is>
      </c>
    </row>
    <row r="34">
      <c r="A34" s="146" t="n">
        <v>46301.82337962963</v>
      </c>
      <c r="B34" s="147" t="n">
        <v>46301</v>
      </c>
      <c r="C34" s="67" t="inlineStr">
        <is>
          <t>국민은행</t>
        </is>
      </c>
      <c r="D34" s="67" t="inlineStr">
        <is>
          <t>국민 154577</t>
        </is>
      </c>
      <c r="E34" s="148" t="n">
        <v>4494000</v>
      </c>
      <c r="F34" s="148" t="n">
        <v>0</v>
      </c>
      <c r="G34" s="148" t="n">
        <v>4567611</v>
      </c>
      <c r="H34" s="75" t="inlineStr">
        <is>
          <t>CMS 공동</t>
        </is>
      </c>
      <c r="I34" s="75" t="inlineStr">
        <is>
          <t>미래10071</t>
        </is>
      </c>
      <c r="J34" s="75" t="inlineStr">
        <is>
          <t>ERP사</t>
        </is>
      </c>
      <c r="K34" s="67" t="inlineStr">
        <is>
          <t>기타지출</t>
        </is>
      </c>
      <c r="L34" s="67" t="inlineStr">
        <is>
          <t>N</t>
        </is>
      </c>
      <c r="M34" s="67" t="inlineStr">
        <is>
          <t>Y</t>
        </is>
      </c>
      <c r="N34" s="148" t="n">
        <v>-4494000</v>
      </c>
      <c r="O34" s="67" t="inlineStr">
        <is>
          <t>우리은행 거래내역조회 20260913.xlsx</t>
        </is>
      </c>
      <c r="P34" s="69" t="inlineStr">
        <is>
          <t>기존내역</t>
        </is>
      </c>
    </row>
    <row r="35">
      <c r="A35" s="146" t="n">
        <v>46302.08739583333</v>
      </c>
      <c r="B35" s="147" t="n">
        <v>46302</v>
      </c>
      <c r="C35" s="67" t="inlineStr">
        <is>
          <t>국민은행</t>
        </is>
      </c>
      <c r="D35" s="67" t="inlineStr">
        <is>
          <t>국민 154577</t>
        </is>
      </c>
      <c r="E35" s="148" t="n">
        <v>0</v>
      </c>
      <c r="F35" s="148" t="n">
        <v>358036</v>
      </c>
      <c r="G35" s="148" t="n">
        <v>4925647</v>
      </c>
      <c r="H35" s="75" t="inlineStr">
        <is>
          <t>전자금융</t>
        </is>
      </c>
      <c r="I35" s="75" t="inlineStr">
        <is>
          <t>Npay정산</t>
        </is>
      </c>
      <c r="J35" s="75" t="inlineStr">
        <is>
          <t>SC은행</t>
        </is>
      </c>
      <c r="K35" s="67" t="inlineStr">
        <is>
          <t>온라인매출입금</t>
        </is>
      </c>
      <c r="L35" s="67" t="inlineStr">
        <is>
          <t>N</t>
        </is>
      </c>
      <c r="M35" s="67" t="inlineStr">
        <is>
          <t>N</t>
        </is>
      </c>
      <c r="N35" s="148" t="n">
        <v>358036</v>
      </c>
      <c r="O35" s="67" t="inlineStr">
        <is>
          <t>국민은행_계좌 조회 6개월(20260913).xls</t>
        </is>
      </c>
      <c r="P35" s="69" t="inlineStr">
        <is>
          <t>기존내역</t>
        </is>
      </c>
    </row>
    <row r="36">
      <c r="A36" s="146" t="n">
        <v>46302.37744212963</v>
      </c>
      <c r="B36" s="147" t="n">
        <v>46302</v>
      </c>
      <c r="C36" s="67" t="inlineStr">
        <is>
          <t>국민은행</t>
        </is>
      </c>
      <c r="D36" s="67" t="inlineStr">
        <is>
          <t>국민 154577</t>
        </is>
      </c>
      <c r="E36" s="148" t="n">
        <v>0</v>
      </c>
      <c r="F36" s="148" t="n">
        <v>604105</v>
      </c>
      <c r="G36" s="148" t="n">
        <v>5529752</v>
      </c>
      <c r="H36" s="75" t="inlineStr">
        <is>
          <t>FBS입금</t>
        </is>
      </c>
      <c r="I36" s="75" t="inlineStr">
        <is>
          <t>카카오페이정산</t>
        </is>
      </c>
      <c r="J36" s="75" t="inlineStr">
        <is>
          <t>ERP사</t>
        </is>
      </c>
      <c r="K36" s="67" t="inlineStr">
        <is>
          <t>온라인매출입금</t>
        </is>
      </c>
      <c r="L36" s="67" t="inlineStr">
        <is>
          <t>N</t>
        </is>
      </c>
      <c r="M36" s="67" t="inlineStr">
        <is>
          <t>N</t>
        </is>
      </c>
      <c r="N36" s="148" t="n">
        <v>604105</v>
      </c>
      <c r="O36" s="67" t="inlineStr">
        <is>
          <t>국민은행_계좌 조회 6개월(20260913).xls</t>
        </is>
      </c>
      <c r="P36" s="69" t="inlineStr">
        <is>
          <t>기존내역</t>
        </is>
      </c>
    </row>
    <row r="37">
      <c r="A37" s="146" t="n">
        <v>46302.42315972222</v>
      </c>
      <c r="B37" s="147" t="n">
        <v>46302</v>
      </c>
      <c r="C37" s="67" t="inlineStr">
        <is>
          <t>국민은행</t>
        </is>
      </c>
      <c r="D37" s="67" t="inlineStr">
        <is>
          <t>국민 154577</t>
        </is>
      </c>
      <c r="E37" s="148" t="n">
        <v>5240400</v>
      </c>
      <c r="F37" s="148" t="n">
        <v>0</v>
      </c>
      <c r="G37" s="148" t="n">
        <v>289352</v>
      </c>
      <c r="H37" s="75" t="inlineStr">
        <is>
          <t>기일출금</t>
        </is>
      </c>
      <c r="I37" s="75" t="inlineStr">
        <is>
          <t>(주)에이팜건강</t>
        </is>
      </c>
      <c r="J37" s="75" t="inlineStr">
        <is>
          <t>진천역</t>
        </is>
      </c>
      <c r="K37" s="67" t="inlineStr">
        <is>
          <t>계좌간이체</t>
        </is>
      </c>
      <c r="L37" s="67" t="inlineStr">
        <is>
          <t>Y</t>
        </is>
      </c>
      <c r="M37" s="67" t="inlineStr">
        <is>
          <t>N</t>
        </is>
      </c>
      <c r="N37" s="148" t="n">
        <v>0</v>
      </c>
      <c r="O37" s="67" t="inlineStr">
        <is>
          <t>우리은행 거래내역조회 20260913.xlsx</t>
        </is>
      </c>
      <c r="P37" s="69" t="inlineStr">
        <is>
          <t>기존내역</t>
        </is>
      </c>
    </row>
    <row r="38">
      <c r="A38" s="146" t="n">
        <v>46302.42315972222</v>
      </c>
      <c r="B38" s="147" t="n">
        <v>46302</v>
      </c>
      <c r="C38" s="67" t="inlineStr">
        <is>
          <t>국민은행</t>
        </is>
      </c>
      <c r="D38" s="67" t="inlineStr">
        <is>
          <t>국민 169124</t>
        </is>
      </c>
      <c r="E38" s="148" t="n">
        <v>0</v>
      </c>
      <c r="F38" s="148" t="n">
        <v>5240400</v>
      </c>
      <c r="G38" s="148" t="n">
        <v>27684200</v>
      </c>
      <c r="H38" s="75" t="inlineStr">
        <is>
          <t>기일입금</t>
        </is>
      </c>
      <c r="I38" s="75" t="inlineStr">
        <is>
          <t>(주)에이팜건강</t>
        </is>
      </c>
      <c r="J38" s="75" t="inlineStr">
        <is>
          <t>진천역</t>
        </is>
      </c>
      <c r="K38" s="67" t="inlineStr">
        <is>
          <t>계좌간이체</t>
        </is>
      </c>
      <c r="L38" s="67" t="inlineStr">
        <is>
          <t>Y</t>
        </is>
      </c>
      <c r="M38" s="67" t="inlineStr">
        <is>
          <t>N</t>
        </is>
      </c>
      <c r="N38" s="148" t="n">
        <v>0</v>
      </c>
      <c r="O38" s="67" t="inlineStr">
        <is>
          <t>국민은행_계좌 조회 6개월(20260913).xls</t>
        </is>
      </c>
      <c r="P38" s="69" t="inlineStr">
        <is>
          <t>기존내역</t>
        </is>
      </c>
    </row>
    <row r="39">
      <c r="A39" s="146" t="n">
        <v>46302.45978009259</v>
      </c>
      <c r="B39" s="147" t="n">
        <v>46302</v>
      </c>
      <c r="C39" s="67" t="inlineStr">
        <is>
          <t>국민은행</t>
        </is>
      </c>
      <c r="D39" s="67" t="inlineStr">
        <is>
          <t>국민 154577</t>
        </is>
      </c>
      <c r="E39" s="148" t="n">
        <v>0</v>
      </c>
      <c r="F39" s="148" t="n">
        <v>888871</v>
      </c>
      <c r="G39" s="148" t="n">
        <v>1178223</v>
      </c>
      <c r="H39" s="75" t="inlineStr">
        <is>
          <t>전자금융</t>
        </is>
      </c>
      <c r="I39" s="75" t="inlineStr">
        <is>
          <t>KG이니시스</t>
        </is>
      </c>
      <c r="J39" s="75" t="inlineStr">
        <is>
          <t>하나은행</t>
        </is>
      </c>
      <c r="K39" s="67" t="inlineStr">
        <is>
          <t>온라인매출입금</t>
        </is>
      </c>
      <c r="L39" s="67" t="inlineStr">
        <is>
          <t>N</t>
        </is>
      </c>
      <c r="M39" s="67" t="inlineStr">
        <is>
          <t>N</t>
        </is>
      </c>
      <c r="N39" s="148" t="n">
        <v>888871</v>
      </c>
      <c r="O39" s="67" t="inlineStr">
        <is>
          <t>국민은행_계좌 조회 6개월(20260913).xls</t>
        </is>
      </c>
      <c r="P39" s="69" t="inlineStr">
        <is>
          <t>기존내역</t>
        </is>
      </c>
    </row>
    <row r="40">
      <c r="A40" s="146" t="n">
        <v>46302.46423611111</v>
      </c>
      <c r="B40" s="147" t="n">
        <v>46302</v>
      </c>
      <c r="C40" s="67" t="inlineStr">
        <is>
          <t>국민은행</t>
        </is>
      </c>
      <c r="D40" s="67" t="inlineStr">
        <is>
          <t>국민 154577</t>
        </is>
      </c>
      <c r="E40" s="148" t="n">
        <v>0</v>
      </c>
      <c r="F40" s="148" t="n">
        <v>2158827</v>
      </c>
      <c r="G40" s="148" t="n">
        <v>3337050</v>
      </c>
      <c r="H40" s="75" t="inlineStr">
        <is>
          <t>전자금융</t>
        </is>
      </c>
      <c r="I40" s="75" t="inlineStr">
        <is>
          <t>KG이니시스</t>
        </is>
      </c>
      <c r="J40" s="75" t="inlineStr">
        <is>
          <t>하나은행</t>
        </is>
      </c>
      <c r="K40" s="67" t="inlineStr">
        <is>
          <t>온라인매출입금</t>
        </is>
      </c>
      <c r="L40" s="67" t="inlineStr">
        <is>
          <t>N</t>
        </is>
      </c>
      <c r="M40" s="67" t="inlineStr">
        <is>
          <t>N</t>
        </is>
      </c>
      <c r="N40" s="148" t="n">
        <v>2158827</v>
      </c>
      <c r="O40" s="67" t="inlineStr">
        <is>
          <t>국민은행_계좌 조회 6개월(20260913).xls</t>
        </is>
      </c>
      <c r="P40" s="69" t="inlineStr">
        <is>
          <t>기존내역</t>
        </is>
      </c>
    </row>
    <row r="41">
      <c r="A41" s="146" t="n">
        <v>46302.48583333333</v>
      </c>
      <c r="B41" s="147" t="n">
        <v>46302</v>
      </c>
      <c r="C41" s="67" t="inlineStr">
        <is>
          <t>국민은행</t>
        </is>
      </c>
      <c r="D41" s="67" t="inlineStr">
        <is>
          <t>국민 154577</t>
        </is>
      </c>
      <c r="E41" s="148" t="n">
        <v>0</v>
      </c>
      <c r="F41" s="148" t="n">
        <v>889200</v>
      </c>
      <c r="G41" s="148" t="n">
        <v>4226250</v>
      </c>
      <c r="H41" s="75" t="inlineStr">
        <is>
          <t>FBS입금</t>
        </is>
      </c>
      <c r="I41" s="75" t="inlineStr">
        <is>
          <t>쿠팡(주)</t>
        </is>
      </c>
      <c r="J41" s="75" t="inlineStr">
        <is>
          <t>ERP사</t>
        </is>
      </c>
      <c r="K41" s="67" t="inlineStr">
        <is>
          <t>온라인매출입금</t>
        </is>
      </c>
      <c r="L41" s="67" t="inlineStr">
        <is>
          <t>N</t>
        </is>
      </c>
      <c r="M41" s="67" t="inlineStr">
        <is>
          <t>N</t>
        </is>
      </c>
      <c r="N41" s="148" t="n">
        <v>889200</v>
      </c>
      <c r="O41" s="67" t="inlineStr">
        <is>
          <t>국민은행_계좌 조회 6개월(20260913).xls</t>
        </is>
      </c>
      <c r="P41" s="69" t="inlineStr">
        <is>
          <t>기존내역</t>
        </is>
      </c>
    </row>
    <row r="42">
      <c r="A42" s="146" t="n">
        <v>46302.57038194445</v>
      </c>
      <c r="B42" s="147" t="n">
        <v>46302</v>
      </c>
      <c r="C42" s="67" t="inlineStr">
        <is>
          <t>농협</t>
        </is>
      </c>
      <c r="D42" s="67" t="inlineStr">
        <is>
          <t>농협 569003</t>
        </is>
      </c>
      <c r="E42" s="148" t="n">
        <v>0</v>
      </c>
      <c r="F42" s="148" t="n">
        <v>400000</v>
      </c>
      <c r="G42" s="148" t="n">
        <v>855566</v>
      </c>
      <c r="H42" s="75" t="inlineStr">
        <is>
          <t>E-아이엠</t>
        </is>
      </c>
      <c r="I42" s="75" t="inlineStr">
        <is>
          <t>필약국(이양희)</t>
        </is>
      </c>
      <c r="J42" s="75" t="inlineStr">
        <is>
          <t>아이엠 (구)대구 0310017</t>
        </is>
      </c>
      <c r="K42" s="67" t="inlineStr">
        <is>
          <t>기타입금</t>
        </is>
      </c>
      <c r="L42" s="67" t="inlineStr">
        <is>
          <t>N</t>
        </is>
      </c>
      <c r="M42" s="67" t="inlineStr">
        <is>
          <t>N</t>
        </is>
      </c>
      <c r="N42" s="148" t="n">
        <v>400000</v>
      </c>
      <c r="O42" s="67" t="inlineStr">
        <is>
          <t>국민은행_계좌 조회 6개월(20260913).xls</t>
        </is>
      </c>
      <c r="P42" s="69" t="inlineStr">
        <is>
          <t>기존내역</t>
        </is>
      </c>
    </row>
    <row r="43">
      <c r="A43" s="146" t="n">
        <v>46302.64620370371</v>
      </c>
      <c r="B43" s="147" t="n">
        <v>46302</v>
      </c>
      <c r="C43" s="67" t="inlineStr">
        <is>
          <t>국민은행</t>
        </is>
      </c>
      <c r="D43" s="67" t="inlineStr">
        <is>
          <t>국민 154577</t>
        </is>
      </c>
      <c r="E43" s="148" t="n">
        <v>0</v>
      </c>
      <c r="F43" s="148" t="n">
        <v>43066</v>
      </c>
      <c r="G43" s="148" t="n">
        <v>4269316</v>
      </c>
      <c r="H43" s="75" t="inlineStr">
        <is>
          <t>전자금융</t>
        </is>
      </c>
      <c r="I43" s="75" t="inlineStr">
        <is>
          <t>엔에이치엔페이</t>
        </is>
      </c>
      <c r="J43" s="75" t="inlineStr">
        <is>
          <t>신한은행</t>
        </is>
      </c>
      <c r="K43" s="67" t="inlineStr">
        <is>
          <t>온라인매출입금</t>
        </is>
      </c>
      <c r="L43" s="67" t="inlineStr">
        <is>
          <t>N</t>
        </is>
      </c>
      <c r="M43" s="67" t="inlineStr">
        <is>
          <t>N</t>
        </is>
      </c>
      <c r="N43" s="148" t="n">
        <v>43066</v>
      </c>
      <c r="O43" s="67" t="inlineStr">
        <is>
          <t>우리은행 거래내역조회 20260913.xlsx</t>
        </is>
      </c>
      <c r="P43" s="69" t="inlineStr">
        <is>
          <t>기존내역</t>
        </is>
      </c>
    </row>
    <row r="44">
      <c r="A44" s="146" t="n">
        <v>46303.09903935185</v>
      </c>
      <c r="B44" s="147" t="n">
        <v>46303</v>
      </c>
      <c r="C44" s="67" t="inlineStr">
        <is>
          <t>국민은행</t>
        </is>
      </c>
      <c r="D44" s="67" t="inlineStr">
        <is>
          <t>국민 154577</t>
        </is>
      </c>
      <c r="E44" s="148" t="n">
        <v>0</v>
      </c>
      <c r="F44" s="148" t="n">
        <v>172018</v>
      </c>
      <c r="G44" s="148" t="n">
        <v>4441334</v>
      </c>
      <c r="H44" s="75" t="inlineStr">
        <is>
          <t>전자금융</t>
        </is>
      </c>
      <c r="I44" s="75" t="inlineStr">
        <is>
          <t>Npay정산</t>
        </is>
      </c>
      <c r="J44" s="75" t="inlineStr">
        <is>
          <t>SC은행</t>
        </is>
      </c>
      <c r="K44" s="67" t="inlineStr">
        <is>
          <t>온라인매출입금</t>
        </is>
      </c>
      <c r="L44" s="67" t="inlineStr">
        <is>
          <t>N</t>
        </is>
      </c>
      <c r="M44" s="67" t="inlineStr">
        <is>
          <t>N</t>
        </is>
      </c>
      <c r="N44" s="148" t="n">
        <v>172018</v>
      </c>
      <c r="O44" s="67" t="inlineStr">
        <is>
          <t>우리은행 거래내역조회 20260913.xlsx</t>
        </is>
      </c>
      <c r="P44" s="69" t="inlineStr">
        <is>
          <t>기존내역</t>
        </is>
      </c>
    </row>
    <row r="45">
      <c r="A45" s="146" t="n">
        <v>46303.37834490741</v>
      </c>
      <c r="B45" s="147" t="n">
        <v>46303</v>
      </c>
      <c r="C45" s="67" t="inlineStr">
        <is>
          <t>국민은행</t>
        </is>
      </c>
      <c r="D45" s="67" t="inlineStr">
        <is>
          <t>국민 154577</t>
        </is>
      </c>
      <c r="E45" s="148" t="n">
        <v>0</v>
      </c>
      <c r="F45" s="148" t="n">
        <v>3596543</v>
      </c>
      <c r="G45" s="148" t="n">
        <v>8037877</v>
      </c>
      <c r="H45" s="75" t="inlineStr">
        <is>
          <t>전자금융</t>
        </is>
      </c>
      <c r="I45" s="75" t="inlineStr">
        <is>
          <t>삼성18967412</t>
        </is>
      </c>
      <c r="J45" s="75" t="inlineStr">
        <is>
          <t>SC은행</t>
        </is>
      </c>
      <c r="K45" s="67" t="inlineStr">
        <is>
          <t>보험 중도인출·보험금 입금</t>
        </is>
      </c>
      <c r="L45" s="67" t="inlineStr">
        <is>
          <t>N</t>
        </is>
      </c>
      <c r="M45" s="67" t="inlineStr">
        <is>
          <t>N</t>
        </is>
      </c>
      <c r="N45" s="148" t="n">
        <v>3596543</v>
      </c>
      <c r="O45" s="67" t="inlineStr">
        <is>
          <t>우리은행 거래내역조회 20260913.xlsx</t>
        </is>
      </c>
      <c r="P45" s="69" t="inlineStr">
        <is>
          <t>기존내역</t>
        </is>
      </c>
    </row>
    <row r="46">
      <c r="A46" s="146" t="n">
        <v>46303.41525462963</v>
      </c>
      <c r="B46" s="147" t="n">
        <v>46303</v>
      </c>
      <c r="C46" s="67" t="inlineStr">
        <is>
          <t>농협</t>
        </is>
      </c>
      <c r="D46" s="67" t="inlineStr">
        <is>
          <t>농협 569003</t>
        </is>
      </c>
      <c r="E46" s="148" t="n">
        <v>0</v>
      </c>
      <c r="F46" s="148" t="n">
        <v>21497</v>
      </c>
      <c r="G46" s="148" t="n">
        <v>877063</v>
      </c>
      <c r="H46" s="75" t="inlineStr">
        <is>
          <t>PC우리은행</t>
        </is>
      </c>
      <c r="I46" s="75" t="inlineStr">
        <is>
          <t>현423337508</t>
        </is>
      </c>
      <c r="J46" s="75" t="inlineStr">
        <is>
          <t>우리 0202905</t>
        </is>
      </c>
      <c r="K46" s="67" t="inlineStr">
        <is>
          <t>기타입금</t>
        </is>
      </c>
      <c r="L46" s="67" t="inlineStr">
        <is>
          <t>N</t>
        </is>
      </c>
      <c r="M46" s="67" t="inlineStr">
        <is>
          <t>N</t>
        </is>
      </c>
      <c r="N46" s="148" t="n">
        <v>21497</v>
      </c>
      <c r="O46" s="67" t="inlineStr">
        <is>
          <t>우리은행 거래내역조회 20260913.xlsx</t>
        </is>
      </c>
      <c r="P46" s="69" t="inlineStr">
        <is>
          <t>기존내역</t>
        </is>
      </c>
    </row>
    <row r="47">
      <c r="A47" s="146" t="n">
        <v>46303.43041666667</v>
      </c>
      <c r="B47" s="147" t="n">
        <v>46303</v>
      </c>
      <c r="C47" s="67" t="inlineStr">
        <is>
          <t>국민은행</t>
        </is>
      </c>
      <c r="D47" s="67" t="inlineStr">
        <is>
          <t>국민 154577</t>
        </is>
      </c>
      <c r="E47" s="148" t="n">
        <v>0</v>
      </c>
      <c r="F47" s="148" t="n">
        <v>7684200</v>
      </c>
      <c r="G47" s="148" t="n">
        <v>15722077</v>
      </c>
      <c r="H47" s="75" t="inlineStr">
        <is>
          <t>스마트입금</t>
        </is>
      </c>
      <c r="I47" s="75" t="inlineStr">
        <is>
          <t>(주)에이팜건강</t>
        </is>
      </c>
      <c r="J47" s="75" t="inlineStr">
        <is>
          <t>진천역</t>
        </is>
      </c>
      <c r="K47" s="67" t="inlineStr">
        <is>
          <t>계좌간이체</t>
        </is>
      </c>
      <c r="L47" s="67" t="inlineStr">
        <is>
          <t>Y</t>
        </is>
      </c>
      <c r="M47" s="67" t="inlineStr">
        <is>
          <t>N</t>
        </is>
      </c>
      <c r="N47" s="148" t="n">
        <v>0</v>
      </c>
      <c r="O47" s="67" t="inlineStr">
        <is>
          <t>우리은행 거래내역조회 20260913.xlsx</t>
        </is>
      </c>
      <c r="P47" s="69" t="inlineStr">
        <is>
          <t>기존내역</t>
        </is>
      </c>
    </row>
    <row r="48">
      <c r="A48" s="146" t="n">
        <v>46303.43041666667</v>
      </c>
      <c r="B48" s="147" t="n">
        <v>46303</v>
      </c>
      <c r="C48" s="67" t="inlineStr">
        <is>
          <t>국민은행</t>
        </is>
      </c>
      <c r="D48" s="67" t="inlineStr">
        <is>
          <t>국민 169124</t>
        </is>
      </c>
      <c r="E48" s="148" t="n">
        <v>7684200</v>
      </c>
      <c r="F48" s="148" t="n">
        <v>0</v>
      </c>
      <c r="G48" s="148" t="n">
        <v>20000000</v>
      </c>
      <c r="H48" s="75" t="inlineStr">
        <is>
          <t>스마트출금</t>
        </is>
      </c>
      <c r="I48" s="75" t="inlineStr">
        <is>
          <t>(주)에이팜건강</t>
        </is>
      </c>
      <c r="J48" s="75" t="inlineStr">
        <is>
          <t>진천역</t>
        </is>
      </c>
      <c r="K48" s="67" t="inlineStr">
        <is>
          <t>계좌간이체</t>
        </is>
      </c>
      <c r="L48" s="67" t="inlineStr">
        <is>
          <t>Y</t>
        </is>
      </c>
      <c r="M48" s="67" t="inlineStr">
        <is>
          <t>N</t>
        </is>
      </c>
      <c r="N48" s="148" t="n">
        <v>0</v>
      </c>
      <c r="O48" s="67" t="inlineStr">
        <is>
          <t>우리은행 거래내역조회 20260913.xlsx</t>
        </is>
      </c>
      <c r="P48" s="69" t="inlineStr">
        <is>
          <t>기존내역</t>
        </is>
      </c>
    </row>
    <row r="49">
      <c r="A49" s="146" t="n">
        <v>46303.43212962963</v>
      </c>
      <c r="B49" s="147" t="n">
        <v>46303</v>
      </c>
      <c r="C49" s="67" t="inlineStr">
        <is>
          <t>국민은행</t>
        </is>
      </c>
      <c r="D49" s="67" t="inlineStr">
        <is>
          <t>국민 154577</t>
        </is>
      </c>
      <c r="E49" s="148" t="n">
        <v>6600000</v>
      </c>
      <c r="F49" s="148" t="n">
        <v>0</v>
      </c>
      <c r="G49" s="148" t="n">
        <v>9122077</v>
      </c>
      <c r="H49" s="75" t="inlineStr">
        <is>
          <t>스마트출금</t>
        </is>
      </c>
      <c r="I49" s="75" t="inlineStr">
        <is>
          <t>주식회사플레이어스</t>
        </is>
      </c>
      <c r="J49" s="75" t="inlineStr">
        <is>
          <t>진천역</t>
        </is>
      </c>
      <c r="K49" s="67" t="inlineStr">
        <is>
          <t>기타지출</t>
        </is>
      </c>
      <c r="L49" s="67" t="inlineStr">
        <is>
          <t>N</t>
        </is>
      </c>
      <c r="M49" s="67" t="inlineStr">
        <is>
          <t>N</t>
        </is>
      </c>
      <c r="N49" s="148" t="n">
        <v>-6600000</v>
      </c>
      <c r="O49" s="67" t="inlineStr">
        <is>
          <t>우리은행 거래내역조회 20260913.xlsx</t>
        </is>
      </c>
      <c r="P49" s="69" t="inlineStr">
        <is>
          <t>기존내역</t>
        </is>
      </c>
    </row>
    <row r="50">
      <c r="A50" s="146" t="n">
        <v>46303.43703703704</v>
      </c>
      <c r="B50" s="147" t="n">
        <v>46303</v>
      </c>
      <c r="C50" s="67" t="inlineStr">
        <is>
          <t>국민은행</t>
        </is>
      </c>
      <c r="D50" s="67" t="inlineStr">
        <is>
          <t>국민 154577</t>
        </is>
      </c>
      <c r="E50" s="148" t="n">
        <v>0</v>
      </c>
      <c r="F50" s="148" t="n">
        <v>40000000</v>
      </c>
      <c r="G50" s="148" t="n">
        <v>49122077</v>
      </c>
      <c r="H50" s="75" t="inlineStr">
        <is>
          <t>대체입금</t>
        </is>
      </c>
      <c r="I50" s="75" t="inlineStr">
        <is>
          <t>(주)에이팜건강</t>
        </is>
      </c>
      <c r="J50" s="75" t="inlineStr">
        <is>
          <t>진천역</t>
        </is>
      </c>
      <c r="K50" s="67" t="inlineStr">
        <is>
          <t>기타입금</t>
        </is>
      </c>
      <c r="L50" s="67" t="inlineStr">
        <is>
          <t>N</t>
        </is>
      </c>
      <c r="M50" s="67" t="inlineStr">
        <is>
          <t>N</t>
        </is>
      </c>
      <c r="N50" s="148" t="n">
        <v>40000000</v>
      </c>
      <c r="O50" s="67" t="inlineStr">
        <is>
          <t>우리은행 거래내역조회 20260913.xlsx</t>
        </is>
      </c>
      <c r="P50" s="69" t="inlineStr">
        <is>
          <t>기존내역</t>
        </is>
      </c>
    </row>
    <row r="51">
      <c r="A51" s="146" t="n">
        <v>46303.45196759259</v>
      </c>
      <c r="B51" s="147" t="n">
        <v>46303</v>
      </c>
      <c r="C51" s="67" t="inlineStr">
        <is>
          <t>농협</t>
        </is>
      </c>
      <c r="D51" s="67" t="inlineStr">
        <is>
          <t>농협 569003</t>
        </is>
      </c>
      <c r="E51" s="148" t="n">
        <v>0</v>
      </c>
      <c r="F51" s="148" t="n">
        <v>12000</v>
      </c>
      <c r="G51" s="148" t="n">
        <v>889063</v>
      </c>
      <c r="H51" s="75" t="inlineStr">
        <is>
          <t>폰토스뱅크</t>
        </is>
      </c>
      <c r="I51" s="75" t="inlineStr">
        <is>
          <t>김수희</t>
        </is>
      </c>
      <c r="J51" s="75" t="inlineStr">
        <is>
          <t>토스뱅크 0921008</t>
        </is>
      </c>
      <c r="K51" s="67" t="inlineStr">
        <is>
          <t>기타입금</t>
        </is>
      </c>
      <c r="L51" s="67" t="inlineStr">
        <is>
          <t>N</t>
        </is>
      </c>
      <c r="M51" s="67" t="inlineStr">
        <is>
          <t>N</t>
        </is>
      </c>
      <c r="N51" s="148" t="n">
        <v>12000</v>
      </c>
      <c r="O51" s="67" t="inlineStr">
        <is>
          <t>국민은행_계좌 조회 6개월(20260913).xls</t>
        </is>
      </c>
      <c r="P51" s="69" t="inlineStr">
        <is>
          <t>기존내역</t>
        </is>
      </c>
    </row>
    <row r="52">
      <c r="A52" s="146" t="n">
        <v>46303.4571412037</v>
      </c>
      <c r="B52" s="147" t="n">
        <v>46303</v>
      </c>
      <c r="C52" s="67" t="inlineStr">
        <is>
          <t>농협</t>
        </is>
      </c>
      <c r="D52" s="67" t="inlineStr">
        <is>
          <t>농협 569003</t>
        </is>
      </c>
      <c r="E52" s="148" t="n">
        <v>0</v>
      </c>
      <c r="F52" s="148" t="n">
        <v>8297360</v>
      </c>
      <c r="G52" s="148" t="n">
        <v>9186423</v>
      </c>
      <c r="H52" s="75" t="inlineStr">
        <is>
          <t>PC신한은행</t>
        </is>
      </c>
      <c r="I52" s="75" t="inlineStr">
        <is>
          <t>(주)카카오</t>
        </is>
      </c>
      <c r="J52" s="75" t="inlineStr">
        <is>
          <t>신한 0267623</t>
        </is>
      </c>
      <c r="K52" s="67" t="inlineStr">
        <is>
          <t>온라인매출입금</t>
        </is>
      </c>
      <c r="L52" s="67" t="inlineStr">
        <is>
          <t>N</t>
        </is>
      </c>
      <c r="M52" s="67" t="inlineStr">
        <is>
          <t>N</t>
        </is>
      </c>
      <c r="N52" s="148" t="n">
        <v>8297360</v>
      </c>
      <c r="O52" s="67" t="inlineStr">
        <is>
          <t>국민은행_계좌 조회 6개월(20260913).xls</t>
        </is>
      </c>
      <c r="P52" s="69" t="inlineStr">
        <is>
          <t>기존내역</t>
        </is>
      </c>
    </row>
    <row r="53">
      <c r="A53" s="146" t="n">
        <v>46303.4909837963</v>
      </c>
      <c r="B53" s="147" t="n">
        <v>46303</v>
      </c>
      <c r="C53" s="67" t="inlineStr">
        <is>
          <t>국민은행</t>
        </is>
      </c>
      <c r="D53" s="67" t="inlineStr">
        <is>
          <t>국민 154577</t>
        </is>
      </c>
      <c r="E53" s="148" t="n">
        <v>0</v>
      </c>
      <c r="F53" s="148" t="n">
        <v>136788</v>
      </c>
      <c r="G53" s="148" t="n">
        <v>49258865</v>
      </c>
      <c r="H53" s="75" t="inlineStr">
        <is>
          <t>전자금융</t>
        </is>
      </c>
      <c r="I53" s="75" t="inlineStr">
        <is>
          <t>KG이니시스</t>
        </is>
      </c>
      <c r="J53" s="75" t="inlineStr">
        <is>
          <t>하나은행</t>
        </is>
      </c>
      <c r="K53" s="67" t="inlineStr">
        <is>
          <t>온라인매출입금</t>
        </is>
      </c>
      <c r="L53" s="67" t="inlineStr">
        <is>
          <t>N</t>
        </is>
      </c>
      <c r="M53" s="67" t="inlineStr">
        <is>
          <t>N</t>
        </is>
      </c>
      <c r="N53" s="148" t="n">
        <v>136788</v>
      </c>
      <c r="O53" s="67" t="inlineStr">
        <is>
          <t>우리은행 거래내역조회 20260913.xlsx</t>
        </is>
      </c>
      <c r="P53" s="69" t="inlineStr">
        <is>
          <t>기존내역</t>
        </is>
      </c>
    </row>
    <row r="54">
      <c r="A54" s="146" t="n">
        <v>46303.49604166667</v>
      </c>
      <c r="B54" s="147" t="n">
        <v>46303</v>
      </c>
      <c r="C54" s="67" t="inlineStr">
        <is>
          <t>국민은행</t>
        </is>
      </c>
      <c r="D54" s="67" t="inlineStr">
        <is>
          <t>국민 154577</t>
        </is>
      </c>
      <c r="E54" s="148" t="n">
        <v>0</v>
      </c>
      <c r="F54" s="148" t="n">
        <v>478456</v>
      </c>
      <c r="G54" s="148" t="n">
        <v>49737321</v>
      </c>
      <c r="H54" s="75" t="inlineStr">
        <is>
          <t>전자금융</t>
        </is>
      </c>
      <c r="I54" s="75" t="inlineStr">
        <is>
          <t>(주)케이지모</t>
        </is>
      </c>
      <c r="J54" s="75" t="inlineStr">
        <is>
          <t>하나은행</t>
        </is>
      </c>
      <c r="K54" s="67" t="inlineStr">
        <is>
          <t>기타입금</t>
        </is>
      </c>
      <c r="L54" s="67" t="inlineStr">
        <is>
          <t>N</t>
        </is>
      </c>
      <c r="M54" s="67" t="inlineStr">
        <is>
          <t>N</t>
        </is>
      </c>
      <c r="N54" s="148" t="n">
        <v>478456</v>
      </c>
      <c r="O54" s="67" t="inlineStr">
        <is>
          <t>국민은행_계좌 조회 6개월(20260913).xls</t>
        </is>
      </c>
      <c r="P54" s="69" t="inlineStr">
        <is>
          <t>기존내역</t>
        </is>
      </c>
    </row>
    <row r="55">
      <c r="A55" s="146" t="n">
        <v>46303.49935185185</v>
      </c>
      <c r="B55" s="147" t="n">
        <v>46303</v>
      </c>
      <c r="C55" s="67" t="inlineStr">
        <is>
          <t>국민은행</t>
        </is>
      </c>
      <c r="D55" s="67" t="inlineStr">
        <is>
          <t>국민 154577</t>
        </is>
      </c>
      <c r="E55" s="148" t="n">
        <v>0</v>
      </c>
      <c r="F55" s="148" t="n">
        <v>514471</v>
      </c>
      <c r="G55" s="148" t="n">
        <v>50251792</v>
      </c>
      <c r="H55" s="75" t="inlineStr">
        <is>
          <t>전자금융</t>
        </is>
      </c>
      <c r="I55" s="75" t="inlineStr">
        <is>
          <t>KG이니시스</t>
        </is>
      </c>
      <c r="J55" s="75" t="inlineStr">
        <is>
          <t>하나은행</t>
        </is>
      </c>
      <c r="K55" s="67" t="inlineStr">
        <is>
          <t>온라인매출입금</t>
        </is>
      </c>
      <c r="L55" s="67" t="inlineStr">
        <is>
          <t>N</t>
        </is>
      </c>
      <c r="M55" s="67" t="inlineStr">
        <is>
          <t>N</t>
        </is>
      </c>
      <c r="N55" s="148" t="n">
        <v>514471</v>
      </c>
      <c r="O55" s="67" t="inlineStr">
        <is>
          <t>국민은행_계좌 조회 6개월(20260913).xls</t>
        </is>
      </c>
      <c r="P55" s="69" t="inlineStr">
        <is>
          <t>기존내역</t>
        </is>
      </c>
    </row>
    <row r="56">
      <c r="A56" s="146" t="n">
        <v>46303.51789351852</v>
      </c>
      <c r="B56" s="147" t="n">
        <v>46303</v>
      </c>
      <c r="C56" s="67" t="inlineStr">
        <is>
          <t>국민은행</t>
        </is>
      </c>
      <c r="D56" s="67" t="inlineStr">
        <is>
          <t>국민 154577</t>
        </is>
      </c>
      <c r="E56" s="148" t="n">
        <v>0</v>
      </c>
      <c r="F56" s="148" t="n">
        <v>25278</v>
      </c>
      <c r="G56" s="148" t="n">
        <v>50277070</v>
      </c>
      <c r="H56" s="75" t="inlineStr">
        <is>
          <t>전자금융</t>
        </is>
      </c>
      <c r="I56" s="75" t="inlineStr">
        <is>
          <t>이미현</t>
        </is>
      </c>
      <c r="J56" s="75" t="inlineStr">
        <is>
          <t>하나은행</t>
        </is>
      </c>
      <c r="K56" s="67" t="inlineStr">
        <is>
          <t>기타입금</t>
        </is>
      </c>
      <c r="L56" s="67" t="inlineStr">
        <is>
          <t>N</t>
        </is>
      </c>
      <c r="M56" s="67" t="inlineStr">
        <is>
          <t>N</t>
        </is>
      </c>
      <c r="N56" s="148" t="n">
        <v>25278</v>
      </c>
      <c r="O56" s="67" t="inlineStr">
        <is>
          <t>국민은행_계좌 조회 6개월(20260913).xls</t>
        </is>
      </c>
      <c r="P56" s="69" t="inlineStr">
        <is>
          <t>기존내역</t>
        </is>
      </c>
    </row>
    <row r="57">
      <c r="A57" s="146" t="n">
        <v>46303.6478125</v>
      </c>
      <c r="B57" s="147" t="n">
        <v>46303</v>
      </c>
      <c r="C57" s="67" t="inlineStr">
        <is>
          <t>국민은행</t>
        </is>
      </c>
      <c r="D57" s="67" t="inlineStr">
        <is>
          <t>국민 154577</t>
        </is>
      </c>
      <c r="E57" s="148" t="n">
        <v>0</v>
      </c>
      <c r="F57" s="148" t="n">
        <v>30796</v>
      </c>
      <c r="G57" s="148" t="n">
        <v>50307866</v>
      </c>
      <c r="H57" s="75" t="inlineStr">
        <is>
          <t>전자금융</t>
        </is>
      </c>
      <c r="I57" s="75" t="inlineStr">
        <is>
          <t>엔에이치엔페이</t>
        </is>
      </c>
      <c r="J57" s="75" t="inlineStr">
        <is>
          <t>신한은행</t>
        </is>
      </c>
      <c r="K57" s="67" t="inlineStr">
        <is>
          <t>온라인매출입금</t>
        </is>
      </c>
      <c r="L57" s="67" t="inlineStr">
        <is>
          <t>N</t>
        </is>
      </c>
      <c r="M57" s="67" t="inlineStr">
        <is>
          <t>N</t>
        </is>
      </c>
      <c r="N57" s="148" t="n">
        <v>30796</v>
      </c>
      <c r="O57" s="67" t="inlineStr">
        <is>
          <t>국민은행_계좌 조회 6개월(20260913).xls</t>
        </is>
      </c>
      <c r="P57" s="69" t="inlineStr">
        <is>
          <t>기존내역</t>
        </is>
      </c>
    </row>
    <row r="58">
      <c r="A58" s="146" t="n">
        <v>46303.64900462963</v>
      </c>
      <c r="B58" s="147" t="n">
        <v>46303</v>
      </c>
      <c r="C58" s="67" t="inlineStr">
        <is>
          <t>국민은행</t>
        </is>
      </c>
      <c r="D58" s="67" t="inlineStr">
        <is>
          <t>국민 154577</t>
        </is>
      </c>
      <c r="E58" s="148" t="n">
        <v>0</v>
      </c>
      <c r="F58" s="148" t="n">
        <v>75693</v>
      </c>
      <c r="G58" s="148" t="n">
        <v>50383559</v>
      </c>
      <c r="H58" s="75" t="inlineStr">
        <is>
          <t>전자금융</t>
        </is>
      </c>
      <c r="I58" s="75" t="inlineStr">
        <is>
          <t>YUHAN-KIMB</t>
        </is>
      </c>
      <c r="J58" s="75" t="inlineStr">
        <is>
          <t>한국씨티</t>
        </is>
      </c>
      <c r="K58" s="67" t="inlineStr">
        <is>
          <t>기타입금</t>
        </is>
      </c>
      <c r="L58" s="67" t="inlineStr">
        <is>
          <t>N</t>
        </is>
      </c>
      <c r="M58" s="67" t="inlineStr">
        <is>
          <t>N</t>
        </is>
      </c>
      <c r="N58" s="148" t="n">
        <v>75693</v>
      </c>
      <c r="O58" s="67" t="inlineStr">
        <is>
          <t>국민은행_계좌 조회 6개월(20260913).xls</t>
        </is>
      </c>
      <c r="P58" s="69" t="inlineStr">
        <is>
          <t>기존내역</t>
        </is>
      </c>
    </row>
    <row r="59">
      <c r="A59" s="263" t="n">
        <v>46305.86759259259</v>
      </c>
      <c r="B59" s="264" t="n">
        <v>46305</v>
      </c>
      <c r="C59" s="67" t="inlineStr">
        <is>
          <t>국민은행</t>
        </is>
      </c>
      <c r="D59" s="67" t="inlineStr">
        <is>
          <t>국민 154577</t>
        </is>
      </c>
      <c r="E59" s="148" t="n">
        <v>0</v>
      </c>
      <c r="F59" s="148" t="n">
        <v>188470</v>
      </c>
      <c r="G59" s="148" t="n">
        <v>50572029</v>
      </c>
      <c r="H59" s="75" t="inlineStr">
        <is>
          <t>전자금융</t>
        </is>
      </c>
      <c r="I59" s="75" t="inlineStr">
        <is>
          <t>지정임</t>
        </is>
      </c>
      <c r="J59" s="75" t="inlineStr">
        <is>
          <t>토스뱅크</t>
        </is>
      </c>
      <c r="K59" s="67" t="inlineStr">
        <is>
          <t>기타입금</t>
        </is>
      </c>
      <c r="L59" s="67" t="inlineStr">
        <is>
          <t>N</t>
        </is>
      </c>
      <c r="M59" s="67" t="inlineStr">
        <is>
          <t>N</t>
        </is>
      </c>
      <c r="N59" s="148" t="n">
        <v>188470</v>
      </c>
      <c r="O59" s="67" t="inlineStr">
        <is>
          <t>우리은행 거래내역조회 20260913.xlsx</t>
        </is>
      </c>
      <c r="P59" s="69" t="inlineStr">
        <is>
          <t>기존내역</t>
        </is>
      </c>
    </row>
    <row r="60">
      <c r="A60" s="146" t="n">
        <v>46307.0221875</v>
      </c>
      <c r="B60" s="147" t="n">
        <v>46307</v>
      </c>
      <c r="C60" s="67" t="inlineStr">
        <is>
          <t>국민은행</t>
        </is>
      </c>
      <c r="D60" s="67" t="inlineStr">
        <is>
          <t>국민 154577</t>
        </is>
      </c>
      <c r="E60" s="148" t="n">
        <v>0</v>
      </c>
      <c r="F60" s="148" t="n">
        <v>86300</v>
      </c>
      <c r="G60" s="148" t="n">
        <v>50658329</v>
      </c>
      <c r="H60" s="75" t="inlineStr">
        <is>
          <t>전자금융</t>
        </is>
      </c>
      <c r="I60" s="75" t="inlineStr">
        <is>
          <t>홍진솔</t>
        </is>
      </c>
      <c r="J60" s="75" t="inlineStr">
        <is>
          <t>농협</t>
        </is>
      </c>
      <c r="K60" s="67" t="inlineStr">
        <is>
          <t>기타입금</t>
        </is>
      </c>
      <c r="L60" s="67" t="inlineStr">
        <is>
          <t>N</t>
        </is>
      </c>
      <c r="M60" s="67" t="inlineStr">
        <is>
          <t>N</t>
        </is>
      </c>
      <c r="N60" s="148" t="n">
        <v>86300</v>
      </c>
      <c r="O60" s="67" t="inlineStr">
        <is>
          <t>우리은행 거래내역조회 20260913.xlsx</t>
        </is>
      </c>
      <c r="P60" s="69" t="inlineStr">
        <is>
          <t>기존내역</t>
        </is>
      </c>
    </row>
    <row r="61">
      <c r="A61" s="146" t="n">
        <v>46307.12900462963</v>
      </c>
      <c r="B61" s="147" t="n">
        <v>46307</v>
      </c>
      <c r="C61" s="67" t="inlineStr">
        <is>
          <t>국민은행</t>
        </is>
      </c>
      <c r="D61" s="67" t="inlineStr">
        <is>
          <t>국민 154577</t>
        </is>
      </c>
      <c r="E61" s="148" t="n">
        <v>0</v>
      </c>
      <c r="F61" s="148" t="n">
        <v>114936</v>
      </c>
      <c r="G61" s="148" t="n">
        <v>50773265</v>
      </c>
      <c r="H61" s="75" t="inlineStr">
        <is>
          <t>전자금융</t>
        </is>
      </c>
      <c r="I61" s="75" t="inlineStr">
        <is>
          <t>Npay정산</t>
        </is>
      </c>
      <c r="J61" s="75" t="inlineStr">
        <is>
          <t>SC은행</t>
        </is>
      </c>
      <c r="K61" s="67" t="inlineStr">
        <is>
          <t>온라인매출입금</t>
        </is>
      </c>
      <c r="L61" s="67" t="inlineStr">
        <is>
          <t>N</t>
        </is>
      </c>
      <c r="M61" s="67" t="inlineStr">
        <is>
          <t>N</t>
        </is>
      </c>
      <c r="N61" s="148" t="n">
        <v>114936</v>
      </c>
      <c r="O61" s="67" t="inlineStr">
        <is>
          <t>우리은행 거래내역조회 20260913.xlsx</t>
        </is>
      </c>
      <c r="P61" s="69" t="inlineStr">
        <is>
          <t>기존내역</t>
        </is>
      </c>
    </row>
    <row r="62">
      <c r="A62" s="146" t="n">
        <v>46307.13703703704</v>
      </c>
      <c r="B62" s="147" t="n">
        <v>46307</v>
      </c>
      <c r="C62" s="67" t="inlineStr">
        <is>
          <t>우리은행</t>
        </is>
      </c>
      <c r="D62" s="67" t="inlineStr">
        <is>
          <t>우리 220351</t>
        </is>
      </c>
      <c r="E62" s="148" t="n">
        <v>0</v>
      </c>
      <c r="F62" s="148" t="n">
        <v>13213735</v>
      </c>
      <c r="G62" s="148" t="n">
        <v>16078788</v>
      </c>
      <c r="H62" s="75" t="inlineStr">
        <is>
          <t>펌뱅킹</t>
        </is>
      </c>
      <c r="I62" s="75" t="inlineStr">
        <is>
          <t>스마트스토어정산</t>
        </is>
      </c>
      <c r="J62" s="75" t="inlineStr">
        <is>
          <t>두산타워기업영업지원팀</t>
        </is>
      </c>
      <c r="K62" s="67" t="inlineStr">
        <is>
          <t>온라인매출입금</t>
        </is>
      </c>
      <c r="L62" s="67" t="inlineStr">
        <is>
          <t>N</t>
        </is>
      </c>
      <c r="M62" s="67" t="inlineStr">
        <is>
          <t>N</t>
        </is>
      </c>
      <c r="N62" s="148" t="n">
        <v>13213735</v>
      </c>
      <c r="O62" s="67" t="inlineStr">
        <is>
          <t>우리은행 거래내역조회 20260913.xlsx</t>
        </is>
      </c>
      <c r="P62" s="69" t="inlineStr">
        <is>
          <t>기존내역</t>
        </is>
      </c>
    </row>
    <row r="63">
      <c r="A63" s="146" t="n">
        <v>46307.37578703704</v>
      </c>
      <c r="B63" s="147" t="n">
        <v>46307</v>
      </c>
      <c r="C63" s="67" t="inlineStr">
        <is>
          <t>국민은행</t>
        </is>
      </c>
      <c r="D63" s="67" t="inlineStr">
        <is>
          <t>국민 154577</t>
        </is>
      </c>
      <c r="E63" s="148" t="n">
        <v>0</v>
      </c>
      <c r="F63" s="148" t="n">
        <v>358487</v>
      </c>
      <c r="G63" s="148" t="n">
        <v>51131752</v>
      </c>
      <c r="H63" s="75" t="inlineStr">
        <is>
          <t>FBS입금</t>
        </is>
      </c>
      <c r="I63" s="75" t="inlineStr">
        <is>
          <t>카카오페이정산</t>
        </is>
      </c>
      <c r="J63" s="75" t="inlineStr">
        <is>
          <t>ERP사</t>
        </is>
      </c>
      <c r="K63" s="67" t="inlineStr">
        <is>
          <t>온라인매출입금</t>
        </is>
      </c>
      <c r="L63" s="67" t="inlineStr">
        <is>
          <t>N</t>
        </is>
      </c>
      <c r="M63" s="67" t="inlineStr">
        <is>
          <t>N</t>
        </is>
      </c>
      <c r="N63" s="148" t="n">
        <v>358487</v>
      </c>
      <c r="O63" s="67" t="inlineStr">
        <is>
          <t>우리은행 거래내역조회 20260913.xlsx</t>
        </is>
      </c>
      <c r="P63" s="69" t="inlineStr">
        <is>
          <t>기존내역</t>
        </is>
      </c>
    </row>
    <row r="64">
      <c r="A64" s="146" t="n">
        <v>46307.4254050926</v>
      </c>
      <c r="B64" s="147" t="n">
        <v>46307</v>
      </c>
      <c r="C64" s="67" t="inlineStr">
        <is>
          <t>농협</t>
        </is>
      </c>
      <c r="D64" s="67" t="inlineStr">
        <is>
          <t>농협 569003</t>
        </is>
      </c>
      <c r="E64" s="148" t="n">
        <v>0</v>
      </c>
      <c r="F64" s="148" t="n">
        <v>74480</v>
      </c>
      <c r="G64" s="148" t="n">
        <v>9260903</v>
      </c>
      <c r="H64" s="75" t="inlineStr">
        <is>
          <t>KB카드</t>
        </is>
      </c>
      <c r="I64" s="75" t="inlineStr">
        <is>
          <t>KB103013814</t>
        </is>
      </c>
      <c r="J64" s="75" t="inlineStr">
        <is>
          <t>농협 000998</t>
        </is>
      </c>
      <c r="K64" s="67" t="inlineStr">
        <is>
          <t>기타입금</t>
        </is>
      </c>
      <c r="L64" s="67" t="inlineStr">
        <is>
          <t>N</t>
        </is>
      </c>
      <c r="M64" s="67" t="inlineStr">
        <is>
          <t>N</t>
        </is>
      </c>
      <c r="N64" s="148" t="n">
        <v>74480</v>
      </c>
      <c r="O64" s="67" t="inlineStr">
        <is>
          <t>우리은행 거래내역조회 20260913.xlsx</t>
        </is>
      </c>
      <c r="P64" s="69" t="inlineStr">
        <is>
          <t>기존내역</t>
        </is>
      </c>
    </row>
    <row r="65">
      <c r="A65" s="146" t="n">
        <v>46307.43109953704</v>
      </c>
      <c r="B65" s="147" t="n">
        <v>46307</v>
      </c>
      <c r="C65" s="67" t="inlineStr">
        <is>
          <t>국민은행</t>
        </is>
      </c>
      <c r="D65" s="67" t="inlineStr">
        <is>
          <t>국민 154577</t>
        </is>
      </c>
      <c r="E65" s="148" t="n">
        <v>532602</v>
      </c>
      <c r="F65" s="148" t="n">
        <v>0</v>
      </c>
      <c r="G65" s="148" t="n">
        <v>50599150</v>
      </c>
      <c r="H65" s="75" t="inlineStr">
        <is>
          <t>기일출금</t>
        </is>
      </c>
      <c r="I65" s="75" t="inlineStr">
        <is>
          <t>59601604151338</t>
        </is>
      </c>
      <c r="J65" s="75" t="inlineStr">
        <is>
          <t>진천역</t>
        </is>
      </c>
      <c r="K65" s="67" t="inlineStr">
        <is>
          <t>기타지출</t>
        </is>
      </c>
      <c r="L65" s="67" t="inlineStr">
        <is>
          <t>N</t>
        </is>
      </c>
      <c r="M65" s="67" t="inlineStr">
        <is>
          <t>N</t>
        </is>
      </c>
      <c r="N65" s="148" t="n">
        <v>-532602</v>
      </c>
      <c r="O65" s="67" t="inlineStr">
        <is>
          <t>우리은행 거래내역조회 20260913.xlsx</t>
        </is>
      </c>
      <c r="P65" s="69" t="inlineStr">
        <is>
          <t>기존내역</t>
        </is>
      </c>
    </row>
    <row r="66">
      <c r="A66" s="146" t="n">
        <v>46307.44097222222</v>
      </c>
      <c r="B66" s="147" t="n">
        <v>46307</v>
      </c>
      <c r="C66" s="67" t="inlineStr">
        <is>
          <t>국민은행</t>
        </is>
      </c>
      <c r="D66" s="67" t="inlineStr">
        <is>
          <t>국민 154577</t>
        </is>
      </c>
      <c r="E66" s="148" t="n">
        <v>0</v>
      </c>
      <c r="F66" s="148" t="n">
        <v>240490</v>
      </c>
      <c r="G66" s="148" t="n">
        <v>50839640</v>
      </c>
      <c r="H66" s="75" t="inlineStr">
        <is>
          <t>전자금융</t>
        </is>
      </c>
      <c r="I66" s="75" t="inlineStr">
        <is>
          <t>KG이니시스</t>
        </is>
      </c>
      <c r="J66" s="75" t="inlineStr">
        <is>
          <t>하나은행</t>
        </is>
      </c>
      <c r="K66" s="67" t="inlineStr">
        <is>
          <t>온라인매출입금</t>
        </is>
      </c>
      <c r="L66" s="67" t="inlineStr">
        <is>
          <t>N</t>
        </is>
      </c>
      <c r="M66" s="67" t="inlineStr">
        <is>
          <t>N</t>
        </is>
      </c>
      <c r="N66" s="148" t="n">
        <v>240490</v>
      </c>
      <c r="O66" s="67" t="inlineStr">
        <is>
          <t>농협계좌_6개월(20260913).xls</t>
        </is>
      </c>
      <c r="P66" s="69" t="inlineStr">
        <is>
          <t>기존내역</t>
        </is>
      </c>
    </row>
    <row r="67">
      <c r="A67" s="146" t="n">
        <v>46307.44229166667</v>
      </c>
      <c r="B67" s="147" t="n">
        <v>46307</v>
      </c>
      <c r="C67" s="67" t="inlineStr">
        <is>
          <t>국민은행</t>
        </is>
      </c>
      <c r="D67" s="67" t="inlineStr">
        <is>
          <t>국민 154577</t>
        </is>
      </c>
      <c r="E67" s="148" t="n">
        <v>0</v>
      </c>
      <c r="F67" s="148" t="n">
        <v>752357</v>
      </c>
      <c r="G67" s="148" t="n">
        <v>51591997</v>
      </c>
      <c r="H67" s="75" t="inlineStr">
        <is>
          <t>전자금융</t>
        </is>
      </c>
      <c r="I67" s="75" t="inlineStr">
        <is>
          <t>KG이니시스</t>
        </is>
      </c>
      <c r="J67" s="75" t="inlineStr">
        <is>
          <t>하나은행</t>
        </is>
      </c>
      <c r="K67" s="67" t="inlineStr">
        <is>
          <t>온라인매출입금</t>
        </is>
      </c>
      <c r="L67" s="67" t="inlineStr">
        <is>
          <t>N</t>
        </is>
      </c>
      <c r="M67" s="67" t="inlineStr">
        <is>
          <t>N</t>
        </is>
      </c>
      <c r="N67" s="148" t="n">
        <v>752357</v>
      </c>
      <c r="O67" s="67" t="inlineStr">
        <is>
          <t>국민은행_계좌 조회 6개월(20260913).xls</t>
        </is>
      </c>
      <c r="P67" s="69" t="inlineStr">
        <is>
          <t>기존내역</t>
        </is>
      </c>
    </row>
    <row r="68">
      <c r="A68" s="146" t="n">
        <v>46307.54346064815</v>
      </c>
      <c r="B68" s="147" t="n">
        <v>46307</v>
      </c>
      <c r="C68" s="67" t="inlineStr">
        <is>
          <t>국민은행</t>
        </is>
      </c>
      <c r="D68" s="67" t="inlineStr">
        <is>
          <t>국민 154577</t>
        </is>
      </c>
      <c r="E68" s="148" t="n">
        <v>0</v>
      </c>
      <c r="F68" s="148" t="n">
        <v>107060</v>
      </c>
      <c r="G68" s="148" t="n">
        <v>51699057</v>
      </c>
      <c r="H68" s="75" t="inlineStr">
        <is>
          <t>전자금융</t>
        </is>
      </c>
      <c r="I68" s="75" t="inlineStr">
        <is>
          <t>빌리지베이비</t>
        </is>
      </c>
      <c r="J68" s="75" t="inlineStr">
        <is>
          <t>우리은행</t>
        </is>
      </c>
      <c r="K68" s="67" t="inlineStr">
        <is>
          <t>기타입금</t>
        </is>
      </c>
      <c r="L68" s="67" t="inlineStr">
        <is>
          <t>N</t>
        </is>
      </c>
      <c r="M68" s="67" t="inlineStr">
        <is>
          <t>N</t>
        </is>
      </c>
      <c r="N68" s="148" t="n">
        <v>107060</v>
      </c>
      <c r="O68" s="67" t="inlineStr">
        <is>
          <t>우리은행 거래내역조회 20260913.xlsx</t>
        </is>
      </c>
      <c r="P68" s="69" t="inlineStr">
        <is>
          <t>기존내역</t>
        </is>
      </c>
    </row>
    <row r="69">
      <c r="A69" s="146" t="n">
        <v>46307.6202662037</v>
      </c>
      <c r="B69" s="147" t="n">
        <v>46307</v>
      </c>
      <c r="C69" s="67" t="inlineStr">
        <is>
          <t>국민은행</t>
        </is>
      </c>
      <c r="D69" s="67" t="inlineStr">
        <is>
          <t>국민 154577</t>
        </is>
      </c>
      <c r="E69" s="148" t="n">
        <v>0</v>
      </c>
      <c r="F69" s="148" t="n">
        <v>5415800</v>
      </c>
      <c r="G69" s="148" t="n">
        <v>57114857</v>
      </c>
      <c r="H69" s="75" t="inlineStr">
        <is>
          <t>FBS입금</t>
        </is>
      </c>
      <c r="I69" s="75" t="inlineStr">
        <is>
          <t>SSG상품대</t>
        </is>
      </c>
      <c r="J69" s="75" t="inlineStr">
        <is>
          <t>ERP사</t>
        </is>
      </c>
      <c r="K69" s="67" t="inlineStr">
        <is>
          <t>온라인매출입금</t>
        </is>
      </c>
      <c r="L69" s="67" t="inlineStr">
        <is>
          <t>N</t>
        </is>
      </c>
      <c r="M69" s="67" t="inlineStr">
        <is>
          <t>N</t>
        </is>
      </c>
      <c r="N69" s="148" t="n">
        <v>5415800</v>
      </c>
      <c r="O69" s="67" t="inlineStr">
        <is>
          <t>국민은행_계좌 조회 6개월(20260913).xls</t>
        </is>
      </c>
      <c r="P69" s="69" t="inlineStr">
        <is>
          <t>기존내역</t>
        </is>
      </c>
    </row>
    <row r="70">
      <c r="A70" s="146" t="n">
        <v>46307.65606481482</v>
      </c>
      <c r="B70" s="147" t="n">
        <v>46307</v>
      </c>
      <c r="C70" s="67" t="inlineStr">
        <is>
          <t>농협</t>
        </is>
      </c>
      <c r="D70" s="67" t="inlineStr">
        <is>
          <t>농협 569003</t>
        </is>
      </c>
      <c r="E70" s="148" t="n">
        <v>9260903</v>
      </c>
      <c r="F70" s="148" t="n">
        <v>0</v>
      </c>
      <c r="G70" s="148" t="n">
        <v>0</v>
      </c>
      <c r="H70" s="75" t="inlineStr">
        <is>
          <t>G-우리은행</t>
        </is>
      </c>
      <c r="I70" s="75" t="inlineStr">
        <is>
          <t>주식회사에이팜건강</t>
        </is>
      </c>
      <c r="J70" s="75" t="inlineStr">
        <is>
          <t>농협 150073</t>
        </is>
      </c>
      <c r="K70" s="67" t="inlineStr">
        <is>
          <t>관계사 지급</t>
        </is>
      </c>
      <c r="L70" s="67" t="inlineStr">
        <is>
          <t>N</t>
        </is>
      </c>
      <c r="M70" s="67" t="inlineStr">
        <is>
          <t>N</t>
        </is>
      </c>
      <c r="N70" s="148" t="n">
        <v>-9260903</v>
      </c>
      <c r="O70" s="67" t="inlineStr">
        <is>
          <t>국민은행_계좌 조회 6개월(20260913).xls</t>
        </is>
      </c>
      <c r="P70" s="69" t="inlineStr">
        <is>
          <t>기존내역</t>
        </is>
      </c>
    </row>
    <row r="71">
      <c r="A71" s="146" t="n">
        <v>46307.65606481482</v>
      </c>
      <c r="B71" s="147" t="n">
        <v>46307</v>
      </c>
      <c r="C71" s="67" t="inlineStr">
        <is>
          <t>우리은행</t>
        </is>
      </c>
      <c r="D71" s="67" t="inlineStr">
        <is>
          <t>우리 220351</t>
        </is>
      </c>
      <c r="E71" s="148" t="n">
        <v>0</v>
      </c>
      <c r="F71" s="148" t="n">
        <v>9260403</v>
      </c>
      <c r="G71" s="148" t="n">
        <v>25339191</v>
      </c>
      <c r="H71" s="75" t="inlineStr">
        <is>
          <t>인터넷</t>
        </is>
      </c>
      <c r="I71" s="75" t="inlineStr">
        <is>
          <t>주식회사에이팜건강</t>
        </is>
      </c>
      <c r="J71" s="75" t="inlineStr">
        <is>
          <t>지역농축협(012194)</t>
        </is>
      </c>
      <c r="K71" s="67" t="inlineStr">
        <is>
          <t>관계사 입금</t>
        </is>
      </c>
      <c r="L71" s="67" t="inlineStr">
        <is>
          <t>N</t>
        </is>
      </c>
      <c r="M71" s="67" t="inlineStr">
        <is>
          <t>N</t>
        </is>
      </c>
      <c r="N71" s="148" t="n">
        <v>9260403</v>
      </c>
      <c r="O71" s="67" t="inlineStr">
        <is>
          <t>국민은행_계좌 조회 6개월(20260913).xls</t>
        </is>
      </c>
      <c r="P71" s="69" t="inlineStr">
        <is>
          <t>기존내역</t>
        </is>
      </c>
    </row>
    <row r="72">
      <c r="A72" s="146" t="n">
        <v>46307.65824074074</v>
      </c>
      <c r="B72" s="147" t="n">
        <v>46307</v>
      </c>
      <c r="C72" s="67" t="inlineStr">
        <is>
          <t>우리은행</t>
        </is>
      </c>
      <c r="D72" s="67" t="inlineStr">
        <is>
          <t>우리 220351</t>
        </is>
      </c>
      <c r="E72" s="148" t="n">
        <v>4533630</v>
      </c>
      <c r="F72" s="148" t="n">
        <v>0</v>
      </c>
      <c r="G72" s="148" t="n">
        <v>20805561</v>
      </c>
      <c r="H72" s="75" t="inlineStr">
        <is>
          <t>인터넷</t>
        </is>
      </c>
      <c r="I72" s="75" t="inlineStr">
        <is>
          <t>국고_주식회사</t>
        </is>
      </c>
      <c r="J72" s="75" t="inlineStr">
        <is>
          <t>성서공단금융센터</t>
        </is>
      </c>
      <c r="K72" s="67" t="inlineStr">
        <is>
          <t>원천세·국세</t>
        </is>
      </c>
      <c r="L72" s="67" t="inlineStr">
        <is>
          <t>N</t>
        </is>
      </c>
      <c r="M72" s="67" t="inlineStr">
        <is>
          <t>N</t>
        </is>
      </c>
      <c r="N72" s="148" t="n">
        <v>-4533630</v>
      </c>
      <c r="O72" s="67" t="inlineStr">
        <is>
          <t>농협계좌_6개월(20260913).xls</t>
        </is>
      </c>
      <c r="P72" s="69" t="inlineStr">
        <is>
          <t>기존내역</t>
        </is>
      </c>
    </row>
    <row r="73">
      <c r="A73" s="146" t="n">
        <v>46307.65825231482</v>
      </c>
      <c r="B73" s="147" t="n">
        <v>46307</v>
      </c>
      <c r="C73" s="67" t="inlineStr">
        <is>
          <t>우리은행</t>
        </is>
      </c>
      <c r="D73" s="67" t="inlineStr">
        <is>
          <t>우리 220351</t>
        </is>
      </c>
      <c r="E73" s="148" t="n">
        <v>463300</v>
      </c>
      <c r="F73" s="148" t="n">
        <v>0</v>
      </c>
      <c r="G73" s="148" t="n">
        <v>20242261</v>
      </c>
      <c r="H73" s="75" t="inlineStr">
        <is>
          <t>인터넷</t>
        </is>
      </c>
      <c r="I73" s="75" t="inlineStr">
        <is>
          <t>신한대구달서구(주식</t>
        </is>
      </c>
      <c r="J73" s="75" t="inlineStr">
        <is>
          <t>성서공단금융센터</t>
        </is>
      </c>
      <c r="K73" s="67" t="inlineStr">
        <is>
          <t>기타지출</t>
        </is>
      </c>
      <c r="L73" s="67" t="inlineStr">
        <is>
          <t>N</t>
        </is>
      </c>
      <c r="M73" s="67" t="inlineStr">
        <is>
          <t>N</t>
        </is>
      </c>
      <c r="N73" s="148" t="n">
        <v>-463300</v>
      </c>
      <c r="O73" s="67" t="inlineStr">
        <is>
          <t>우리은행 거래내역조회 20260913.xlsx</t>
        </is>
      </c>
      <c r="P73" s="69" t="inlineStr">
        <is>
          <t>기존내역</t>
        </is>
      </c>
    </row>
    <row r="74">
      <c r="A74" s="146" t="n">
        <v>46307.65825231482</v>
      </c>
      <c r="B74" s="147" t="n">
        <v>46307</v>
      </c>
      <c r="C74" s="67" t="inlineStr">
        <is>
          <t>우리은행</t>
        </is>
      </c>
      <c r="D74" s="67" t="inlineStr">
        <is>
          <t>우리 220351</t>
        </is>
      </c>
      <c r="E74" s="148" t="n">
        <v>100000</v>
      </c>
      <c r="F74" s="148" t="n">
        <v>0</v>
      </c>
      <c r="G74" s="148" t="n">
        <v>20705561</v>
      </c>
      <c r="H74" s="75" t="inlineStr">
        <is>
          <t>인터넷</t>
        </is>
      </c>
      <c r="I74" s="75" t="inlineStr">
        <is>
          <t>국고_주식회사</t>
        </is>
      </c>
      <c r="J74" s="75" t="inlineStr">
        <is>
          <t>성서공단금융센터</t>
        </is>
      </c>
      <c r="K74" s="67" t="inlineStr">
        <is>
          <t>원천세·국세</t>
        </is>
      </c>
      <c r="L74" s="67" t="inlineStr">
        <is>
          <t>N</t>
        </is>
      </c>
      <c r="M74" s="67" t="inlineStr">
        <is>
          <t>N</t>
        </is>
      </c>
      <c r="N74" s="148" t="n">
        <v>-100000</v>
      </c>
      <c r="O74" s="67" t="inlineStr">
        <is>
          <t>우리은행 거래내역조회 20260913.xlsx</t>
        </is>
      </c>
      <c r="P74" s="69" t="inlineStr">
        <is>
          <t>기존내역</t>
        </is>
      </c>
    </row>
    <row r="75">
      <c r="A75" s="146" t="n">
        <v>46307.69729166666</v>
      </c>
      <c r="B75" s="147" t="n">
        <v>46307</v>
      </c>
      <c r="C75" s="67" t="inlineStr">
        <is>
          <t>우리은행</t>
        </is>
      </c>
      <c r="D75" s="67" t="inlineStr">
        <is>
          <t>우리 220351</t>
        </is>
      </c>
      <c r="E75" s="148" t="n">
        <v>13821900</v>
      </c>
      <c r="F75" s="148" t="n">
        <v>0</v>
      </c>
      <c r="G75" s="148" t="n">
        <v>6420361</v>
      </c>
      <c r="H75" s="75" t="inlineStr">
        <is>
          <t>건강보험</t>
        </is>
      </c>
      <c r="I75" s="75" t="inlineStr">
        <is>
          <t>2609사회보험</t>
        </is>
      </c>
      <c r="J75" s="75" t="inlineStr">
        <is>
          <t>성서공단금융센터</t>
        </is>
      </c>
      <c r="K75" s="67" t="inlineStr">
        <is>
          <t>4대보험</t>
        </is>
      </c>
      <c r="L75" s="67" t="inlineStr">
        <is>
          <t>N</t>
        </is>
      </c>
      <c r="M75" s="67" t="inlineStr">
        <is>
          <t>N</t>
        </is>
      </c>
      <c r="N75" s="148" t="n">
        <v>-13821900</v>
      </c>
      <c r="O75" s="67" t="inlineStr">
        <is>
          <t>농협계좌_6개월(20260913).xls</t>
        </is>
      </c>
      <c r="P75" s="69" t="inlineStr">
        <is>
          <t>기존내역</t>
        </is>
      </c>
    </row>
    <row r="76">
      <c r="A76" s="146" t="n">
        <v>46307.71271990741</v>
      </c>
      <c r="B76" s="147" t="n">
        <v>46307</v>
      </c>
      <c r="C76" s="67" t="inlineStr">
        <is>
          <t>우리은행</t>
        </is>
      </c>
      <c r="D76" s="67" t="inlineStr">
        <is>
          <t>우리 220351</t>
        </is>
      </c>
      <c r="E76" s="148" t="n">
        <v>1133000</v>
      </c>
      <c r="F76" s="148" t="n">
        <v>0</v>
      </c>
      <c r="G76" s="148" t="n">
        <v>5287361</v>
      </c>
      <c r="H76" s="75" t="inlineStr">
        <is>
          <t>인터넷</t>
        </is>
      </c>
      <c r="I76" s="75" t="inlineStr">
        <is>
          <t>국민SA</t>
        </is>
      </c>
      <c r="J76" s="75" t="inlineStr">
        <is>
          <t>성서공단금융센터</t>
        </is>
      </c>
      <c r="K76" s="67" t="inlineStr">
        <is>
          <t>기타지출</t>
        </is>
      </c>
      <c r="L76" s="67" t="inlineStr">
        <is>
          <t>N</t>
        </is>
      </c>
      <c r="M76" s="67" t="inlineStr">
        <is>
          <t>N</t>
        </is>
      </c>
      <c r="N76" s="148" t="n">
        <v>-1133000</v>
      </c>
      <c r="O76" s="67" t="inlineStr">
        <is>
          <t>국민은행_계좌 조회 6개월(20260913).xls</t>
        </is>
      </c>
      <c r="P76" s="69" t="inlineStr">
        <is>
          <t>기존내역</t>
        </is>
      </c>
    </row>
    <row r="77">
      <c r="A77" s="146" t="n">
        <v>46307.71273148148</v>
      </c>
      <c r="B77" s="147" t="n">
        <v>46307</v>
      </c>
      <c r="C77" s="67" t="inlineStr">
        <is>
          <t>우리은행</t>
        </is>
      </c>
      <c r="D77" s="67" t="inlineStr">
        <is>
          <t>우리 220351</t>
        </is>
      </c>
      <c r="E77" s="148" t="n">
        <v>220000</v>
      </c>
      <c r="F77" s="148" t="n">
        <v>0</v>
      </c>
      <c r="G77" s="148" t="n">
        <v>5067361</v>
      </c>
      <c r="H77" s="75" t="inlineStr">
        <is>
          <t>인터넷</t>
        </is>
      </c>
      <c r="I77" s="75" t="inlineStr">
        <is>
          <t>국민GFA</t>
        </is>
      </c>
      <c r="J77" s="75" t="inlineStr">
        <is>
          <t>성서공단금융센터</t>
        </is>
      </c>
      <c r="K77" s="67" t="inlineStr">
        <is>
          <t>기타지출</t>
        </is>
      </c>
      <c r="L77" s="67" t="inlineStr">
        <is>
          <t>N</t>
        </is>
      </c>
      <c r="M77" s="67" t="inlineStr">
        <is>
          <t>N</t>
        </is>
      </c>
      <c r="N77" s="148" t="n">
        <v>-220000</v>
      </c>
      <c r="O77" s="67" t="inlineStr">
        <is>
          <t>국민은행_계좌 조회 6개월(20260913).xls</t>
        </is>
      </c>
      <c r="P77" s="69" t="inlineStr">
        <is>
          <t>기존내역</t>
        </is>
      </c>
    </row>
    <row r="78">
      <c r="A78" s="146" t="n">
        <v>46307.71275462963</v>
      </c>
      <c r="B78" s="147" t="n">
        <v>46307</v>
      </c>
      <c r="C78" s="67" t="inlineStr">
        <is>
          <t>우리은행</t>
        </is>
      </c>
      <c r="D78" s="67" t="inlineStr">
        <is>
          <t>우리 220351</t>
        </is>
      </c>
      <c r="E78" s="148" t="n">
        <v>330000</v>
      </c>
      <c r="F78" s="148" t="n">
        <v>0</v>
      </c>
      <c r="G78" s="148" t="n">
        <v>4737361</v>
      </c>
      <c r="H78" s="75" t="inlineStr">
        <is>
          <t>인터넷</t>
        </is>
      </c>
      <c r="I78" s="75" t="inlineStr">
        <is>
          <t>국민GFA</t>
        </is>
      </c>
      <c r="J78" s="75" t="inlineStr">
        <is>
          <t>성서공단금융센터</t>
        </is>
      </c>
      <c r="K78" s="67" t="inlineStr">
        <is>
          <t>기타지출</t>
        </is>
      </c>
      <c r="L78" s="67" t="inlineStr">
        <is>
          <t>N</t>
        </is>
      </c>
      <c r="M78" s="67" t="inlineStr">
        <is>
          <t>N</t>
        </is>
      </c>
      <c r="N78" s="148" t="n">
        <v>-330000</v>
      </c>
      <c r="O78" s="67" t="inlineStr">
        <is>
          <t>국민은행_계좌 조회 6개월(20260913).xls</t>
        </is>
      </c>
      <c r="P78" s="69" t="inlineStr">
        <is>
          <t>기존내역</t>
        </is>
      </c>
    </row>
    <row r="79">
      <c r="A79" s="146" t="n">
        <v>46307.71346064815</v>
      </c>
      <c r="B79" s="147" t="n">
        <v>46307</v>
      </c>
      <c r="C79" s="67" t="inlineStr">
        <is>
          <t>우리은행</t>
        </is>
      </c>
      <c r="D79" s="67" t="inlineStr">
        <is>
          <t>우리 220351</t>
        </is>
      </c>
      <c r="E79" s="148" t="n">
        <v>499081</v>
      </c>
      <c r="F79" s="148" t="n">
        <v>0</v>
      </c>
      <c r="G79" s="148" t="n">
        <v>4238280</v>
      </c>
      <c r="H79" s="75" t="inlineStr">
        <is>
          <t>인터넷</t>
        </is>
      </c>
      <c r="I79" s="75" t="inlineStr">
        <is>
          <t>국민비즈월렛</t>
        </is>
      </c>
      <c r="J79" s="75" t="inlineStr">
        <is>
          <t>성서공단금융센터</t>
        </is>
      </c>
      <c r="K79" s="67" t="inlineStr">
        <is>
          <t>기타지출</t>
        </is>
      </c>
      <c r="L79" s="67" t="inlineStr">
        <is>
          <t>N</t>
        </is>
      </c>
      <c r="M79" s="67" t="inlineStr">
        <is>
          <t>N</t>
        </is>
      </c>
      <c r="N79" s="148" t="n">
        <v>-499081</v>
      </c>
      <c r="O79" s="67" t="inlineStr">
        <is>
          <t>우리은행 거래내역조회 20260913.xlsx</t>
        </is>
      </c>
      <c r="P79" s="69" t="inlineStr">
        <is>
          <t>기존내역</t>
        </is>
      </c>
    </row>
    <row r="80">
      <c r="A80" s="146" t="n">
        <v>46307.74408564815</v>
      </c>
      <c r="B80" s="147" t="n">
        <v>46307</v>
      </c>
      <c r="C80" s="67" t="inlineStr">
        <is>
          <t>국민은행</t>
        </is>
      </c>
      <c r="D80" s="67" t="inlineStr">
        <is>
          <t>국민 154577</t>
        </is>
      </c>
      <c r="E80" s="148" t="n">
        <v>0</v>
      </c>
      <c r="F80" s="148" t="n">
        <v>1512000</v>
      </c>
      <c r="G80" s="148" t="n">
        <v>58626857</v>
      </c>
      <c r="H80" s="75" t="inlineStr">
        <is>
          <t>전자금융</t>
        </is>
      </c>
      <c r="I80" s="75" t="inlineStr">
        <is>
          <t>송경민</t>
        </is>
      </c>
      <c r="J80" s="75" t="inlineStr">
        <is>
          <t>토스뱅크</t>
        </is>
      </c>
      <c r="K80" s="67" t="inlineStr">
        <is>
          <t>기타입금</t>
        </is>
      </c>
      <c r="L80" s="67" t="inlineStr">
        <is>
          <t>N</t>
        </is>
      </c>
      <c r="M80" s="67" t="inlineStr">
        <is>
          <t>N</t>
        </is>
      </c>
      <c r="N80" s="148" t="n">
        <v>1512000</v>
      </c>
      <c r="O80" s="67" t="inlineStr">
        <is>
          <t>우리은행 거래내역조회 20260913.xlsx</t>
        </is>
      </c>
      <c r="P80" s="69" t="inlineStr">
        <is>
          <t>기존내역</t>
        </is>
      </c>
    </row>
    <row r="81">
      <c r="A81" s="146" t="n">
        <v>46307.79721064815</v>
      </c>
      <c r="B81" s="147" t="n">
        <v>46307</v>
      </c>
      <c r="C81" s="67" t="inlineStr">
        <is>
          <t>국민은행</t>
        </is>
      </c>
      <c r="D81" s="67" t="inlineStr">
        <is>
          <t>국민 154577</t>
        </is>
      </c>
      <c r="E81" s="148" t="n">
        <v>1485000</v>
      </c>
      <c r="F81" s="148" t="n">
        <v>0</v>
      </c>
      <c r="G81" s="148" t="n">
        <v>57141857</v>
      </c>
      <c r="H81" s="75" t="inlineStr">
        <is>
          <t>FBS출금</t>
        </is>
      </c>
      <c r="I81" s="75" t="inlineStr">
        <is>
          <t>한화생10000</t>
        </is>
      </c>
      <c r="J81" s="75" t="inlineStr">
        <is>
          <t>ERP사</t>
        </is>
      </c>
      <c r="K81" s="67" t="inlineStr">
        <is>
          <t>보험료</t>
        </is>
      </c>
      <c r="L81" s="67" t="inlineStr">
        <is>
          <t>N</t>
        </is>
      </c>
      <c r="M81" s="67" t="inlineStr">
        <is>
          <t>N</t>
        </is>
      </c>
      <c r="N81" s="148" t="n">
        <v>-1485000</v>
      </c>
      <c r="O81" s="67" t="inlineStr">
        <is>
          <t>농협계좌_6개월(20260913).xls</t>
        </is>
      </c>
      <c r="P81" s="69" t="inlineStr">
        <is>
          <t>기존내역</t>
        </is>
      </c>
    </row>
    <row r="82">
      <c r="A82" s="146" t="n">
        <v>46307.9315625</v>
      </c>
      <c r="B82" s="147" t="n">
        <v>46307</v>
      </c>
      <c r="C82" s="67" t="inlineStr">
        <is>
          <t>우리은행</t>
        </is>
      </c>
      <c r="D82" s="67" t="inlineStr">
        <is>
          <t>우리 220351</t>
        </is>
      </c>
      <c r="E82" s="148" t="n">
        <v>0</v>
      </c>
      <c r="F82" s="148" t="n">
        <v>176990</v>
      </c>
      <c r="G82" s="148" t="n">
        <v>4415270</v>
      </c>
      <c r="H82" s="75" t="inlineStr">
        <is>
          <t>모바일</t>
        </is>
      </c>
      <c r="I82" s="75" t="inlineStr">
        <is>
          <t>석유정</t>
        </is>
      </c>
      <c r="J82" s="75" t="inlineStr">
        <is>
          <t>카카오뱅크(090003)</t>
        </is>
      </c>
      <c r="K82" s="67" t="inlineStr">
        <is>
          <t>기타입금</t>
        </is>
      </c>
      <c r="L82" s="67" t="inlineStr">
        <is>
          <t>N</t>
        </is>
      </c>
      <c r="M82" s="67" t="inlineStr">
        <is>
          <t>N</t>
        </is>
      </c>
      <c r="N82" s="148" t="n">
        <v>176990</v>
      </c>
      <c r="O82" s="67" t="inlineStr">
        <is>
          <t>국민은행_계좌 조회 6개월(20260913).xls</t>
        </is>
      </c>
      <c r="P82" s="69" t="inlineStr">
        <is>
          <t>기존내역</t>
        </is>
      </c>
    </row>
    <row r="83">
      <c r="A83" s="146" t="n">
        <v>46308.09733796296</v>
      </c>
      <c r="B83" s="147" t="n">
        <v>46308</v>
      </c>
      <c r="C83" s="67" t="inlineStr">
        <is>
          <t>국민은행</t>
        </is>
      </c>
      <c r="D83" s="67" t="inlineStr">
        <is>
          <t>국민 154577</t>
        </is>
      </c>
      <c r="E83" s="148" t="n">
        <v>0</v>
      </c>
      <c r="F83" s="148" t="n">
        <v>601246</v>
      </c>
      <c r="G83" s="148" t="n">
        <v>57743103</v>
      </c>
      <c r="H83" s="75" t="inlineStr">
        <is>
          <t>전자금융</t>
        </is>
      </c>
      <c r="I83" s="75" t="inlineStr">
        <is>
          <t>Npay정산</t>
        </is>
      </c>
      <c r="J83" s="75" t="inlineStr">
        <is>
          <t>SC은행</t>
        </is>
      </c>
      <c r="K83" s="67" t="inlineStr">
        <is>
          <t>온라인매출입금</t>
        </is>
      </c>
      <c r="L83" s="67" t="inlineStr">
        <is>
          <t>N</t>
        </is>
      </c>
      <c r="M83" s="67" t="inlineStr">
        <is>
          <t>N</t>
        </is>
      </c>
      <c r="N83" s="148" t="n">
        <v>601246</v>
      </c>
      <c r="O83" s="67" t="inlineStr">
        <is>
          <t>국민은행_계좌 조회 6개월(20260913).xls</t>
        </is>
      </c>
      <c r="P83" s="69" t="inlineStr">
        <is>
          <t>기존내역</t>
        </is>
      </c>
    </row>
    <row r="84">
      <c r="A84" s="146" t="n">
        <v>46308.09804398148</v>
      </c>
      <c r="B84" s="147" t="n">
        <v>46308</v>
      </c>
      <c r="C84" s="67" t="inlineStr">
        <is>
          <t>우리은행</t>
        </is>
      </c>
      <c r="D84" s="67" t="inlineStr">
        <is>
          <t>우리 220351</t>
        </is>
      </c>
      <c r="E84" s="148" t="n">
        <v>0</v>
      </c>
      <c r="F84" s="148" t="n">
        <v>19495308</v>
      </c>
      <c r="G84" s="148" t="n">
        <v>23910578</v>
      </c>
      <c r="H84" s="75" t="inlineStr">
        <is>
          <t>펌뱅킹</t>
        </is>
      </c>
      <c r="I84" s="75" t="inlineStr">
        <is>
          <t>스마트스토어정산</t>
        </is>
      </c>
      <c r="J84" s="75" t="inlineStr">
        <is>
          <t>두산타워기업영업지원팀</t>
        </is>
      </c>
      <c r="K84" s="67" t="inlineStr">
        <is>
          <t>온라인매출입금</t>
        </is>
      </c>
      <c r="L84" s="67" t="inlineStr">
        <is>
          <t>N</t>
        </is>
      </c>
      <c r="M84" s="67" t="inlineStr">
        <is>
          <t>N</t>
        </is>
      </c>
      <c r="N84" s="148" t="n">
        <v>19495308</v>
      </c>
      <c r="O84" s="67" t="inlineStr">
        <is>
          <t>국민은행_계좌 조회 6개월(20260913).xls</t>
        </is>
      </c>
      <c r="P84" s="69" t="inlineStr">
        <is>
          <t>기존내역</t>
        </is>
      </c>
    </row>
    <row r="85">
      <c r="A85" s="146" t="n">
        <v>46308.45247685185</v>
      </c>
      <c r="B85" s="147" t="n">
        <v>46308</v>
      </c>
      <c r="C85" s="67" t="inlineStr">
        <is>
          <t>국민은행</t>
        </is>
      </c>
      <c r="D85" s="67" t="inlineStr">
        <is>
          <t>국민 154577</t>
        </is>
      </c>
      <c r="E85" s="148" t="n">
        <v>0</v>
      </c>
      <c r="F85" s="148" t="n">
        <v>941571</v>
      </c>
      <c r="G85" s="148" t="n">
        <v>58684674</v>
      </c>
      <c r="H85" s="75" t="inlineStr">
        <is>
          <t>전자금융</t>
        </is>
      </c>
      <c r="I85" s="75" t="inlineStr">
        <is>
          <t>KG이니시스</t>
        </is>
      </c>
      <c r="J85" s="75" t="inlineStr">
        <is>
          <t>하나은행</t>
        </is>
      </c>
      <c r="K85" s="67" t="inlineStr">
        <is>
          <t>온라인매출입금</t>
        </is>
      </c>
      <c r="L85" s="67" t="inlineStr">
        <is>
          <t>N</t>
        </is>
      </c>
      <c r="M85" s="67" t="inlineStr">
        <is>
          <t>N</t>
        </is>
      </c>
      <c r="N85" s="148" t="n">
        <v>941571</v>
      </c>
      <c r="O85" s="67" t="inlineStr">
        <is>
          <t>국민은행_계좌 조회 6개월(20260913).xls</t>
        </is>
      </c>
      <c r="P85" s="69" t="inlineStr">
        <is>
          <t>기존내역</t>
        </is>
      </c>
    </row>
    <row r="86">
      <c r="A86" s="146" t="n">
        <v>46308.47432870371</v>
      </c>
      <c r="B86" s="147" t="n">
        <v>46308</v>
      </c>
      <c r="C86" s="67" t="inlineStr">
        <is>
          <t>국민은행</t>
        </is>
      </c>
      <c r="D86" s="67" t="inlineStr">
        <is>
          <t>국민 154577</t>
        </is>
      </c>
      <c r="E86" s="148" t="n">
        <v>0</v>
      </c>
      <c r="F86" s="148" t="n">
        <v>317214</v>
      </c>
      <c r="G86" s="148" t="n">
        <v>59001888</v>
      </c>
      <c r="H86" s="75" t="inlineStr">
        <is>
          <t>전자금융</t>
        </is>
      </c>
      <c r="I86" s="75" t="inlineStr">
        <is>
          <t>KG이니시스</t>
        </is>
      </c>
      <c r="J86" s="75" t="inlineStr">
        <is>
          <t>하나은행</t>
        </is>
      </c>
      <c r="K86" s="67" t="inlineStr">
        <is>
          <t>온라인매출입금</t>
        </is>
      </c>
      <c r="L86" s="67" t="inlineStr">
        <is>
          <t>N</t>
        </is>
      </c>
      <c r="M86" s="67" t="inlineStr">
        <is>
          <t>N</t>
        </is>
      </c>
      <c r="N86" s="148" t="n">
        <v>317214</v>
      </c>
      <c r="O86" s="67" t="inlineStr">
        <is>
          <t>국민은행_계좌 조회 6개월(20260913).xls</t>
        </is>
      </c>
      <c r="P86" s="69" t="inlineStr">
        <is>
          <t>기존내역</t>
        </is>
      </c>
    </row>
    <row r="87">
      <c r="A87" s="146" t="n">
        <v>46308.49502314815</v>
      </c>
      <c r="B87" s="147" t="n">
        <v>46308</v>
      </c>
      <c r="C87" s="67" t="inlineStr">
        <is>
          <t>국민은행</t>
        </is>
      </c>
      <c r="D87" s="67" t="inlineStr">
        <is>
          <t>국민 154577</t>
        </is>
      </c>
      <c r="E87" s="148" t="n">
        <v>0</v>
      </c>
      <c r="F87" s="148" t="n">
        <v>126000</v>
      </c>
      <c r="G87" s="148" t="n">
        <v>59127888</v>
      </c>
      <c r="H87" s="75" t="inlineStr">
        <is>
          <t>타행환</t>
        </is>
      </c>
      <c r="I87" s="75" t="inlineStr">
        <is>
          <t>(사)약령시보존위원</t>
        </is>
      </c>
      <c r="J87" s="75" t="inlineStr">
        <is>
          <t>아이엠뱅</t>
        </is>
      </c>
      <c r="K87" s="67" t="inlineStr">
        <is>
          <t>기타입금</t>
        </is>
      </c>
      <c r="L87" s="67" t="inlineStr">
        <is>
          <t>N</t>
        </is>
      </c>
      <c r="M87" s="67" t="inlineStr">
        <is>
          <t>N</t>
        </is>
      </c>
      <c r="N87" s="148" t="n">
        <v>126000</v>
      </c>
      <c r="O87" s="67" t="inlineStr">
        <is>
          <t>우리은행 거래내역조회 20260913.xlsx</t>
        </is>
      </c>
      <c r="P87" s="69" t="inlineStr">
        <is>
          <t>기존내역</t>
        </is>
      </c>
    </row>
    <row r="88">
      <c r="A88" s="146" t="n">
        <v>46308.57103009259</v>
      </c>
      <c r="B88" s="147" t="n">
        <v>46308</v>
      </c>
      <c r="C88" s="67" t="inlineStr">
        <is>
          <t>농협</t>
        </is>
      </c>
      <c r="D88" s="67" t="inlineStr">
        <is>
          <t>농협 569003</t>
        </is>
      </c>
      <c r="E88" s="148" t="n">
        <v>0</v>
      </c>
      <c r="F88" s="148" t="n">
        <v>87000</v>
      </c>
      <c r="G88" s="148" t="n">
        <v>87000</v>
      </c>
      <c r="H88" s="75" t="inlineStr">
        <is>
          <t>PC우리은행</t>
        </is>
      </c>
      <c r="I88" s="75" t="inlineStr">
        <is>
          <t>허수원</t>
        </is>
      </c>
      <c r="J88" s="75" t="inlineStr">
        <is>
          <t>우리 0846484</t>
        </is>
      </c>
      <c r="K88" s="67" t="inlineStr">
        <is>
          <t>기타입금</t>
        </is>
      </c>
      <c r="L88" s="67" t="inlineStr">
        <is>
          <t>N</t>
        </is>
      </c>
      <c r="M88" s="67" t="inlineStr">
        <is>
          <t>N</t>
        </is>
      </c>
      <c r="N88" s="148" t="n">
        <v>87000</v>
      </c>
      <c r="O88" s="67" t="inlineStr">
        <is>
          <t>국민은행_계좌 조회 6개월(20260913).xls</t>
        </is>
      </c>
      <c r="P88" s="69" t="inlineStr">
        <is>
          <t>기존내역</t>
        </is>
      </c>
    </row>
    <row r="89">
      <c r="A89" s="146" t="n">
        <v>46308.62555555555</v>
      </c>
      <c r="B89" s="147" t="n">
        <v>46308</v>
      </c>
      <c r="C89" s="67" t="inlineStr">
        <is>
          <t>농협</t>
        </is>
      </c>
      <c r="D89" s="67" t="inlineStr">
        <is>
          <t>농협 569003</t>
        </is>
      </c>
      <c r="E89" s="148" t="n">
        <v>0</v>
      </c>
      <c r="F89" s="148" t="n">
        <v>12000</v>
      </c>
      <c r="G89" s="148" t="n">
        <v>99000</v>
      </c>
      <c r="H89" s="75" t="inlineStr">
        <is>
          <t>폰카카오</t>
        </is>
      </c>
      <c r="I89" s="75" t="inlineStr">
        <is>
          <t>김지연</t>
        </is>
      </c>
      <c r="J89" s="75" t="inlineStr">
        <is>
          <t>카카오뱅크 0900032</t>
        </is>
      </c>
      <c r="K89" s="67" t="inlineStr">
        <is>
          <t>기타입금</t>
        </is>
      </c>
      <c r="L89" s="67" t="inlineStr">
        <is>
          <t>N</t>
        </is>
      </c>
      <c r="M89" s="67" t="inlineStr">
        <is>
          <t>N</t>
        </is>
      </c>
      <c r="N89" s="148" t="n">
        <v>12000</v>
      </c>
      <c r="O89" s="67" t="inlineStr">
        <is>
          <t>우리은행 거래내역조회 20260913.xlsx</t>
        </is>
      </c>
      <c r="P89" s="69" t="inlineStr">
        <is>
          <t>기존내역</t>
        </is>
      </c>
    </row>
    <row r="90">
      <c r="A90" s="146" t="n">
        <v>46308.66778935185</v>
      </c>
      <c r="B90" s="147" t="n">
        <v>46308</v>
      </c>
      <c r="C90" s="67" t="inlineStr">
        <is>
          <t>우리은행</t>
        </is>
      </c>
      <c r="D90" s="67" t="inlineStr">
        <is>
          <t>우리 220351</t>
        </is>
      </c>
      <c r="E90" s="148" t="n">
        <v>3300000</v>
      </c>
      <c r="F90" s="148" t="n">
        <v>0</v>
      </c>
      <c r="G90" s="148" t="n">
        <v>20610578</v>
      </c>
      <c r="H90" s="75" t="inlineStr">
        <is>
          <t>인터넷</t>
        </is>
      </c>
      <c r="I90" s="75" t="inlineStr">
        <is>
          <t>기업에이비제트 주식</t>
        </is>
      </c>
      <c r="J90" s="75" t="inlineStr">
        <is>
          <t>성서공단금융센터</t>
        </is>
      </c>
      <c r="K90" s="67" t="inlineStr">
        <is>
          <t>기타지출</t>
        </is>
      </c>
      <c r="L90" s="67" t="inlineStr">
        <is>
          <t>N</t>
        </is>
      </c>
      <c r="M90" s="67" t="inlineStr">
        <is>
          <t>N</t>
        </is>
      </c>
      <c r="N90" s="148" t="n">
        <v>-3300000</v>
      </c>
      <c r="O90" s="67" t="inlineStr">
        <is>
          <t>우리은행 거래내역조회 20260913.xlsx</t>
        </is>
      </c>
      <c r="P90" s="69" t="inlineStr">
        <is>
          <t>기존내역</t>
        </is>
      </c>
    </row>
    <row r="91">
      <c r="A91" s="146" t="n">
        <v>46308.66780092593</v>
      </c>
      <c r="B91" s="147" t="n">
        <v>46308</v>
      </c>
      <c r="C91" s="67" t="inlineStr">
        <is>
          <t>우리은행</t>
        </is>
      </c>
      <c r="D91" s="67" t="inlineStr">
        <is>
          <t>우리 220351</t>
        </is>
      </c>
      <c r="E91" s="148" t="n">
        <v>1158000</v>
      </c>
      <c r="F91" s="148" t="n">
        <v>0</v>
      </c>
      <c r="G91" s="148" t="n">
        <v>19452578</v>
      </c>
      <c r="H91" s="75" t="inlineStr">
        <is>
          <t>인터넷</t>
        </is>
      </c>
      <c r="I91" s="75" t="inlineStr">
        <is>
          <t>SC임정아</t>
        </is>
      </c>
      <c r="J91" s="75" t="inlineStr">
        <is>
          <t>성서공단금융센터</t>
        </is>
      </c>
      <c r="K91" s="67" t="inlineStr">
        <is>
          <t>기타지출</t>
        </is>
      </c>
      <c r="L91" s="67" t="inlineStr">
        <is>
          <t>N</t>
        </is>
      </c>
      <c r="M91" s="67" t="inlineStr">
        <is>
          <t>N</t>
        </is>
      </c>
      <c r="N91" s="148" t="n">
        <v>-1158000</v>
      </c>
      <c r="O91" s="67" t="inlineStr">
        <is>
          <t>우리은행 거래내역조회 20260913.xlsx</t>
        </is>
      </c>
      <c r="P91" s="69" t="inlineStr">
        <is>
          <t>기존내역</t>
        </is>
      </c>
    </row>
    <row r="92">
      <c r="A92" s="146" t="n">
        <v>46308.73760416666</v>
      </c>
      <c r="B92" s="147" t="n">
        <v>46308</v>
      </c>
      <c r="C92" s="67" t="inlineStr">
        <is>
          <t>우리은행</t>
        </is>
      </c>
      <c r="D92" s="67" t="inlineStr">
        <is>
          <t>우리 220351</t>
        </is>
      </c>
      <c r="E92" s="148" t="n">
        <v>1932506</v>
      </c>
      <c r="F92" s="148" t="n">
        <v>0</v>
      </c>
      <c r="G92" s="148" t="n">
        <v>17520072</v>
      </c>
      <c r="H92" s="75" t="inlineStr">
        <is>
          <t>인터넷</t>
        </is>
      </c>
      <c r="I92" s="75" t="inlineStr">
        <is>
          <t>기업(주)써치엠</t>
        </is>
      </c>
      <c r="J92" s="75" t="inlineStr">
        <is>
          <t>성서공단금융센터</t>
        </is>
      </c>
      <c r="K92" s="67" t="inlineStr">
        <is>
          <t>기타지출</t>
        </is>
      </c>
      <c r="L92" s="67" t="inlineStr">
        <is>
          <t>N</t>
        </is>
      </c>
      <c r="M92" s="67" t="inlineStr">
        <is>
          <t>N</t>
        </is>
      </c>
      <c r="N92" s="148" t="n">
        <v>-1932506</v>
      </c>
      <c r="O92" s="67" t="inlineStr">
        <is>
          <t>우리은행 거래내역조회 20260913.xlsx</t>
        </is>
      </c>
      <c r="P92" s="69" t="inlineStr">
        <is>
          <t>기존내역</t>
        </is>
      </c>
    </row>
    <row r="93">
      <c r="A93" s="146" t="n">
        <v>46308.73761574074</v>
      </c>
      <c r="B93" s="147" t="n">
        <v>46308</v>
      </c>
      <c r="C93" s="67" t="inlineStr">
        <is>
          <t>우리은행</t>
        </is>
      </c>
      <c r="D93" s="67" t="inlineStr">
        <is>
          <t>우리 220351</t>
        </is>
      </c>
      <c r="E93" s="148" t="n">
        <v>1487786</v>
      </c>
      <c r="F93" s="148" t="n">
        <v>0</v>
      </c>
      <c r="G93" s="148" t="n">
        <v>16032286</v>
      </c>
      <c r="H93" s="75" t="inlineStr">
        <is>
          <t>인터넷</t>
        </is>
      </c>
      <c r="I93" s="75" t="inlineStr">
        <is>
          <t>기업(주)써치엠</t>
        </is>
      </c>
      <c r="J93" s="75" t="inlineStr">
        <is>
          <t>성서공단금융센터</t>
        </is>
      </c>
      <c r="K93" s="67" t="inlineStr">
        <is>
          <t>기타지출</t>
        </is>
      </c>
      <c r="L93" s="67" t="inlineStr">
        <is>
          <t>N</t>
        </is>
      </c>
      <c r="M93" s="67" t="inlineStr">
        <is>
          <t>N</t>
        </is>
      </c>
      <c r="N93" s="148" t="n">
        <v>-1487786</v>
      </c>
      <c r="O93" s="67" t="inlineStr">
        <is>
          <t>우리은행 거래내역조회 20260913.xlsx</t>
        </is>
      </c>
      <c r="P93" s="69" t="inlineStr">
        <is>
          <t>기존내역</t>
        </is>
      </c>
    </row>
    <row r="94">
      <c r="A94" s="146" t="n">
        <v>46308.73762731482</v>
      </c>
      <c r="B94" s="147" t="n">
        <v>46308</v>
      </c>
      <c r="C94" s="67" t="inlineStr">
        <is>
          <t>우리은행</t>
        </is>
      </c>
      <c r="D94" s="67" t="inlineStr">
        <is>
          <t>우리 220351</t>
        </is>
      </c>
      <c r="E94" s="148" t="n">
        <v>1133000</v>
      </c>
      <c r="F94" s="148" t="n">
        <v>0</v>
      </c>
      <c r="G94" s="148" t="n">
        <v>14899286</v>
      </c>
      <c r="H94" s="75" t="inlineStr">
        <is>
          <t>인터넷</t>
        </is>
      </c>
      <c r="I94" s="75" t="inlineStr">
        <is>
          <t>국민SA</t>
        </is>
      </c>
      <c r="J94" s="75" t="inlineStr">
        <is>
          <t>성서공단금융센터</t>
        </is>
      </c>
      <c r="K94" s="67" t="inlineStr">
        <is>
          <t>기타지출</t>
        </is>
      </c>
      <c r="L94" s="67" t="inlineStr">
        <is>
          <t>N</t>
        </is>
      </c>
      <c r="M94" s="67" t="inlineStr">
        <is>
          <t>N</t>
        </is>
      </c>
      <c r="N94" s="148" t="n">
        <v>-1133000</v>
      </c>
      <c r="O94" s="67" t="inlineStr">
        <is>
          <t>우리은행 거래내역조회 20260913.xlsx</t>
        </is>
      </c>
      <c r="P94" s="69" t="inlineStr">
        <is>
          <t>기존내역</t>
        </is>
      </c>
    </row>
    <row r="95">
      <c r="A95" s="146" t="n">
        <v>46308.73763888889</v>
      </c>
      <c r="B95" s="147" t="n">
        <v>46308</v>
      </c>
      <c r="C95" s="67" t="inlineStr">
        <is>
          <t>우리은행</t>
        </is>
      </c>
      <c r="D95" s="67" t="inlineStr">
        <is>
          <t>우리 220351</t>
        </is>
      </c>
      <c r="E95" s="148" t="n">
        <v>220000</v>
      </c>
      <c r="F95" s="148" t="n">
        <v>0</v>
      </c>
      <c r="G95" s="148" t="n">
        <v>14679286</v>
      </c>
      <c r="H95" s="75" t="inlineStr">
        <is>
          <t>인터넷</t>
        </is>
      </c>
      <c r="I95" s="75" t="inlineStr">
        <is>
          <t>국민GFA</t>
        </is>
      </c>
      <c r="J95" s="75" t="inlineStr">
        <is>
          <t>성서공단금융센터</t>
        </is>
      </c>
      <c r="K95" s="67" t="inlineStr">
        <is>
          <t>기타지출</t>
        </is>
      </c>
      <c r="L95" s="67" t="inlineStr">
        <is>
          <t>N</t>
        </is>
      </c>
      <c r="M95" s="67" t="inlineStr">
        <is>
          <t>N</t>
        </is>
      </c>
      <c r="N95" s="148" t="n">
        <v>-220000</v>
      </c>
      <c r="O95" s="67" t="inlineStr">
        <is>
          <t>국민은행_계좌 조회 6개월(20260913).xls</t>
        </is>
      </c>
      <c r="P95" s="69" t="inlineStr">
        <is>
          <t>기존내역</t>
        </is>
      </c>
    </row>
    <row r="96">
      <c r="A96" s="146" t="n">
        <v>46308.73765046296</v>
      </c>
      <c r="B96" s="147" t="n">
        <v>46308</v>
      </c>
      <c r="C96" s="67" t="inlineStr">
        <is>
          <t>우리은행</t>
        </is>
      </c>
      <c r="D96" s="67" t="inlineStr">
        <is>
          <t>우리 220351</t>
        </is>
      </c>
      <c r="E96" s="148" t="n">
        <v>330000</v>
      </c>
      <c r="F96" s="148" t="n">
        <v>0</v>
      </c>
      <c r="G96" s="148" t="n">
        <v>14349286</v>
      </c>
      <c r="H96" s="75" t="inlineStr">
        <is>
          <t>인터넷</t>
        </is>
      </c>
      <c r="I96" s="75" t="inlineStr">
        <is>
          <t>국민네이버 ddi5</t>
        </is>
      </c>
      <c r="J96" s="75" t="inlineStr">
        <is>
          <t>성서공단금융센터</t>
        </is>
      </c>
      <c r="K96" s="67" t="inlineStr">
        <is>
          <t>기타지출</t>
        </is>
      </c>
      <c r="L96" s="67" t="inlineStr">
        <is>
          <t>N</t>
        </is>
      </c>
      <c r="M96" s="67" t="inlineStr">
        <is>
          <t>N</t>
        </is>
      </c>
      <c r="N96" s="148" t="n">
        <v>-330000</v>
      </c>
      <c r="O96" s="67" t="inlineStr">
        <is>
          <t>우리은행 거래내역조회 20260913.xlsx</t>
        </is>
      </c>
      <c r="P96" s="69" t="inlineStr">
        <is>
          <t>기존내역</t>
        </is>
      </c>
    </row>
    <row r="97">
      <c r="A97" s="146" t="n">
        <v>46308.76493055555</v>
      </c>
      <c r="B97" s="147" t="n">
        <v>46308</v>
      </c>
      <c r="C97" s="67" t="inlineStr">
        <is>
          <t>국민은행</t>
        </is>
      </c>
      <c r="D97" s="67" t="inlineStr">
        <is>
          <t>국민 154577</t>
        </is>
      </c>
      <c r="E97" s="148" t="n">
        <v>0</v>
      </c>
      <c r="F97" s="148" t="n">
        <v>51500</v>
      </c>
      <c r="G97" s="148" t="n">
        <v>59179388</v>
      </c>
      <c r="H97" s="75" t="inlineStr">
        <is>
          <t>전자금융</t>
        </is>
      </c>
      <c r="I97" s="75" t="inlineStr">
        <is>
          <t>박진아</t>
        </is>
      </c>
      <c r="J97" s="75" t="inlineStr">
        <is>
          <t>경남은행</t>
        </is>
      </c>
      <c r="K97" s="67" t="inlineStr">
        <is>
          <t>기타입금</t>
        </is>
      </c>
      <c r="L97" s="67" t="inlineStr">
        <is>
          <t>N</t>
        </is>
      </c>
      <c r="M97" s="67" t="inlineStr">
        <is>
          <t>N</t>
        </is>
      </c>
      <c r="N97" s="148" t="n">
        <v>51500</v>
      </c>
      <c r="O97" s="67" t="inlineStr">
        <is>
          <t>국민은행_계좌 조회 6개월(20260913).xls</t>
        </is>
      </c>
      <c r="P97" s="69" t="inlineStr">
        <is>
          <t>기존내역</t>
        </is>
      </c>
    </row>
    <row r="98">
      <c r="A98" s="146" t="n">
        <v>46308.91565972222</v>
      </c>
      <c r="B98" s="147" t="n">
        <v>46308</v>
      </c>
      <c r="C98" s="67" t="inlineStr">
        <is>
          <t>국민은행</t>
        </is>
      </c>
      <c r="D98" s="67" t="inlineStr">
        <is>
          <t>국민 154577</t>
        </is>
      </c>
      <c r="E98" s="148" t="n">
        <v>0</v>
      </c>
      <c r="F98" s="148" t="n">
        <v>14120</v>
      </c>
      <c r="G98" s="148" t="n">
        <v>59193508</v>
      </c>
      <c r="H98" s="75" t="inlineStr">
        <is>
          <t>전자금융</t>
        </is>
      </c>
      <c r="I98" s="75" t="inlineStr">
        <is>
          <t>원서윤</t>
        </is>
      </c>
      <c r="J98" s="75" t="inlineStr">
        <is>
          <t>농협</t>
        </is>
      </c>
      <c r="K98" s="67" t="inlineStr">
        <is>
          <t>기타입금</t>
        </is>
      </c>
      <c r="L98" s="67" t="inlineStr">
        <is>
          <t>N</t>
        </is>
      </c>
      <c r="M98" s="67" t="inlineStr">
        <is>
          <t>N</t>
        </is>
      </c>
      <c r="N98" s="148" t="n">
        <v>14120</v>
      </c>
      <c r="O98" s="67" t="inlineStr">
        <is>
          <t>국민은행_계좌 조회 6개월(20260913).xls</t>
        </is>
      </c>
      <c r="P98" s="69" t="inlineStr">
        <is>
          <t>기존내역</t>
        </is>
      </c>
    </row>
    <row r="99">
      <c r="A99" s="146" t="n">
        <v>46309.08</v>
      </c>
      <c r="B99" s="147" t="n">
        <v>46309</v>
      </c>
      <c r="C99" s="67" t="inlineStr">
        <is>
          <t>우리은행</t>
        </is>
      </c>
      <c r="D99" s="67" t="inlineStr">
        <is>
          <t>우리 220351</t>
        </is>
      </c>
      <c r="E99" s="148" t="n">
        <v>0</v>
      </c>
      <c r="F99" s="148" t="n">
        <v>7489407</v>
      </c>
      <c r="G99" s="148" t="n">
        <v>21838693</v>
      </c>
      <c r="H99" s="75" t="inlineStr">
        <is>
          <t>펌뱅킹</t>
        </is>
      </c>
      <c r="I99" s="75" t="inlineStr">
        <is>
          <t>스마트스토어정산</t>
        </is>
      </c>
      <c r="J99" s="75" t="inlineStr">
        <is>
          <t>두산타워기업영업지원팀</t>
        </is>
      </c>
      <c r="K99" s="67" t="inlineStr">
        <is>
          <t>온라인매출입금</t>
        </is>
      </c>
      <c r="L99" s="67" t="inlineStr">
        <is>
          <t>N</t>
        </is>
      </c>
      <c r="M99" s="67" t="inlineStr">
        <is>
          <t>N</t>
        </is>
      </c>
      <c r="N99" s="148" t="n">
        <v>7489407</v>
      </c>
      <c r="O99" s="67" t="inlineStr">
        <is>
          <t>우리은행 거래내역조회 20260913.xlsx</t>
        </is>
      </c>
      <c r="P99" s="69" t="inlineStr">
        <is>
          <t>기존내역</t>
        </is>
      </c>
    </row>
    <row r="100">
      <c r="A100" s="146" t="n">
        <v>46309.09302083333</v>
      </c>
      <c r="B100" s="147" t="n">
        <v>46309</v>
      </c>
      <c r="C100" s="67" t="inlineStr">
        <is>
          <t>국민은행</t>
        </is>
      </c>
      <c r="D100" s="67" t="inlineStr">
        <is>
          <t>국민 154577</t>
        </is>
      </c>
      <c r="E100" s="148" t="n">
        <v>0</v>
      </c>
      <c r="F100" s="148" t="n">
        <v>363000</v>
      </c>
      <c r="G100" s="148" t="n">
        <v>59556508</v>
      </c>
      <c r="H100" s="75" t="inlineStr">
        <is>
          <t>전자금융</t>
        </is>
      </c>
      <c r="I100" s="75" t="inlineStr">
        <is>
          <t>Npay정산</t>
        </is>
      </c>
      <c r="J100" s="75" t="inlineStr">
        <is>
          <t>SC은행</t>
        </is>
      </c>
      <c r="K100" s="67" t="inlineStr">
        <is>
          <t>온라인매출입금</t>
        </is>
      </c>
      <c r="L100" s="67" t="inlineStr">
        <is>
          <t>N</t>
        </is>
      </c>
      <c r="M100" s="67" t="inlineStr">
        <is>
          <t>N</t>
        </is>
      </c>
      <c r="N100" s="148" t="n">
        <v>363000</v>
      </c>
      <c r="O100" s="67" t="inlineStr">
        <is>
          <t>우리은행 거래내역조회 20260913.xlsx</t>
        </is>
      </c>
      <c r="P100" s="69" t="inlineStr">
        <is>
          <t>기존내역</t>
        </is>
      </c>
    </row>
    <row r="101">
      <c r="A101" s="146" t="n">
        <v>46309.35548611111</v>
      </c>
      <c r="B101" s="147" t="n">
        <v>46309</v>
      </c>
      <c r="C101" s="67" t="inlineStr">
        <is>
          <t>국민은행</t>
        </is>
      </c>
      <c r="D101" s="67" t="inlineStr">
        <is>
          <t>국민 154577</t>
        </is>
      </c>
      <c r="E101" s="148" t="n">
        <v>0</v>
      </c>
      <c r="F101" s="148" t="n">
        <v>119830</v>
      </c>
      <c r="G101" s="148" t="n">
        <v>59676338</v>
      </c>
      <c r="H101" s="75" t="inlineStr">
        <is>
          <t>전자금융</t>
        </is>
      </c>
      <c r="I101" s="75" t="inlineStr">
        <is>
          <t>고경미</t>
        </is>
      </c>
      <c r="J101" s="75" t="inlineStr">
        <is>
          <t>농협</t>
        </is>
      </c>
      <c r="K101" s="67" t="inlineStr">
        <is>
          <t>기타입금</t>
        </is>
      </c>
      <c r="L101" s="67" t="inlineStr">
        <is>
          <t>N</t>
        </is>
      </c>
      <c r="M101" s="67" t="inlineStr">
        <is>
          <t>N</t>
        </is>
      </c>
      <c r="N101" s="148" t="n">
        <v>119830</v>
      </c>
      <c r="O101" s="67" t="inlineStr">
        <is>
          <t>우리은행 거래내역조회 20260913.xlsx</t>
        </is>
      </c>
      <c r="P101" s="69" t="inlineStr">
        <is>
          <t>기존내역</t>
        </is>
      </c>
    </row>
    <row r="102">
      <c r="A102" s="146" t="n">
        <v>46309.37607638889</v>
      </c>
      <c r="B102" s="147" t="n">
        <v>46309</v>
      </c>
      <c r="C102" s="67" t="inlineStr">
        <is>
          <t>국민은행</t>
        </is>
      </c>
      <c r="D102" s="67" t="inlineStr">
        <is>
          <t>국민 154577</t>
        </is>
      </c>
      <c r="E102" s="148" t="n">
        <v>0</v>
      </c>
      <c r="F102" s="148" t="n">
        <v>436547</v>
      </c>
      <c r="G102" s="148" t="n">
        <v>60112885</v>
      </c>
      <c r="H102" s="75" t="inlineStr">
        <is>
          <t>FBS입금</t>
        </is>
      </c>
      <c r="I102" s="75" t="inlineStr">
        <is>
          <t>카카오페이정산</t>
        </is>
      </c>
      <c r="J102" s="75" t="inlineStr">
        <is>
          <t>ERP사</t>
        </is>
      </c>
      <c r="K102" s="67" t="inlineStr">
        <is>
          <t>온라인매출입금</t>
        </is>
      </c>
      <c r="L102" s="67" t="inlineStr">
        <is>
          <t>N</t>
        </is>
      </c>
      <c r="M102" s="67" t="inlineStr">
        <is>
          <t>N</t>
        </is>
      </c>
      <c r="N102" s="148" t="n">
        <v>436547</v>
      </c>
      <c r="O102" s="67" t="inlineStr">
        <is>
          <t>우리은행 거래내역조회 20260913.xlsx</t>
        </is>
      </c>
      <c r="P102" s="69" t="inlineStr">
        <is>
          <t>기존내역</t>
        </is>
      </c>
    </row>
    <row r="103">
      <c r="A103" s="146" t="n">
        <v>46309.40570601852</v>
      </c>
      <c r="B103" s="147" t="n">
        <v>46309</v>
      </c>
      <c r="C103" s="67" t="inlineStr">
        <is>
          <t>농협</t>
        </is>
      </c>
      <c r="D103" s="67" t="inlineStr">
        <is>
          <t>농협 569003</t>
        </is>
      </c>
      <c r="E103" s="148" t="n">
        <v>0</v>
      </c>
      <c r="F103" s="148" t="n">
        <v>156000</v>
      </c>
      <c r="G103" s="148" t="n">
        <v>255000</v>
      </c>
      <c r="H103" s="75" t="inlineStr">
        <is>
          <t>폰국민은행</t>
        </is>
      </c>
      <c r="I103" s="75" t="inlineStr">
        <is>
          <t>김솔이</t>
        </is>
      </c>
      <c r="J103" s="75" t="inlineStr">
        <is>
          <t>국민 0046158</t>
        </is>
      </c>
      <c r="K103" s="67" t="inlineStr">
        <is>
          <t>기타입금</t>
        </is>
      </c>
      <c r="L103" s="67" t="inlineStr">
        <is>
          <t>N</t>
        </is>
      </c>
      <c r="M103" s="67" t="inlineStr">
        <is>
          <t>N</t>
        </is>
      </c>
      <c r="N103" s="148" t="n">
        <v>156000</v>
      </c>
      <c r="O103" s="67" t="inlineStr">
        <is>
          <t>우리은행 거래내역조회 20260913.xlsx</t>
        </is>
      </c>
      <c r="P103" s="69" t="inlineStr">
        <is>
          <t>기존내역</t>
        </is>
      </c>
    </row>
    <row r="104">
      <c r="A104" s="146" t="n">
        <v>46309.40605324074</v>
      </c>
      <c r="B104" s="147" t="n">
        <v>46309</v>
      </c>
      <c r="C104" s="67" t="inlineStr">
        <is>
          <t>농협</t>
        </is>
      </c>
      <c r="D104" s="67" t="inlineStr">
        <is>
          <t>농협 569003</t>
        </is>
      </c>
      <c r="E104" s="148" t="n">
        <v>0</v>
      </c>
      <c r="F104" s="148" t="n">
        <v>68000</v>
      </c>
      <c r="G104" s="148" t="n">
        <v>323000</v>
      </c>
      <c r="H104" s="75" t="inlineStr">
        <is>
          <t>폰국민은행</t>
        </is>
      </c>
      <c r="I104" s="75" t="inlineStr">
        <is>
          <t>김솔이</t>
        </is>
      </c>
      <c r="J104" s="75" t="inlineStr">
        <is>
          <t>국민 0046158</t>
        </is>
      </c>
      <c r="K104" s="67" t="inlineStr">
        <is>
          <t>기타입금</t>
        </is>
      </c>
      <c r="L104" s="67" t="inlineStr">
        <is>
          <t>N</t>
        </is>
      </c>
      <c r="M104" s="67" t="inlineStr">
        <is>
          <t>N</t>
        </is>
      </c>
      <c r="N104" s="148" t="n">
        <v>68000</v>
      </c>
      <c r="O104" s="67" t="inlineStr">
        <is>
          <t>우리은행 거래내역조회 20260913.xlsx</t>
        </is>
      </c>
      <c r="P104" s="69" t="inlineStr">
        <is>
          <t>기존내역</t>
        </is>
      </c>
    </row>
    <row r="105">
      <c r="A105" s="146" t="n">
        <v>46309.44525462963</v>
      </c>
      <c r="B105" s="147" t="n">
        <v>46309</v>
      </c>
      <c r="C105" s="67" t="inlineStr">
        <is>
          <t>국민은행</t>
        </is>
      </c>
      <c r="D105" s="67" t="inlineStr">
        <is>
          <t>국민 154577</t>
        </is>
      </c>
      <c r="E105" s="148" t="n">
        <v>0</v>
      </c>
      <c r="F105" s="148" t="n">
        <v>1530847</v>
      </c>
      <c r="G105" s="148" t="n">
        <v>61643732</v>
      </c>
      <c r="H105" s="75" t="inlineStr">
        <is>
          <t>전자금융</t>
        </is>
      </c>
      <c r="I105" s="75" t="inlineStr">
        <is>
          <t>KG이니시스</t>
        </is>
      </c>
      <c r="J105" s="75" t="inlineStr">
        <is>
          <t>하나은행</t>
        </is>
      </c>
      <c r="K105" s="67" t="inlineStr">
        <is>
          <t>온라인매출입금</t>
        </is>
      </c>
      <c r="L105" s="67" t="inlineStr">
        <is>
          <t>N</t>
        </is>
      </c>
      <c r="M105" s="67" t="inlineStr">
        <is>
          <t>N</t>
        </is>
      </c>
      <c r="N105" s="148" t="n">
        <v>1530847</v>
      </c>
      <c r="O105" s="67" t="inlineStr">
        <is>
          <t>농협계좌_6개월(20260913).xls</t>
        </is>
      </c>
      <c r="P105" s="69" t="inlineStr">
        <is>
          <t>기존내역</t>
        </is>
      </c>
    </row>
    <row r="106">
      <c r="A106" s="146" t="n">
        <v>46309.45181712963</v>
      </c>
      <c r="B106" s="147" t="n">
        <v>46309</v>
      </c>
      <c r="C106" s="67" t="inlineStr">
        <is>
          <t>국민은행</t>
        </is>
      </c>
      <c r="D106" s="67" t="inlineStr">
        <is>
          <t>국민 154577</t>
        </is>
      </c>
      <c r="E106" s="148" t="n">
        <v>0</v>
      </c>
      <c r="F106" s="148" t="n">
        <v>341527</v>
      </c>
      <c r="G106" s="148" t="n">
        <v>61985259</v>
      </c>
      <c r="H106" s="75" t="inlineStr">
        <is>
          <t>전자금융</t>
        </is>
      </c>
      <c r="I106" s="75" t="inlineStr">
        <is>
          <t>KG이니시스</t>
        </is>
      </c>
      <c r="J106" s="75" t="inlineStr">
        <is>
          <t>하나은행</t>
        </is>
      </c>
      <c r="K106" s="67" t="inlineStr">
        <is>
          <t>온라인매출입금</t>
        </is>
      </c>
      <c r="L106" s="67" t="inlineStr">
        <is>
          <t>N</t>
        </is>
      </c>
      <c r="M106" s="67" t="inlineStr">
        <is>
          <t>N</t>
        </is>
      </c>
      <c r="N106" s="148" t="n">
        <v>341527</v>
      </c>
      <c r="O106" s="67" t="inlineStr">
        <is>
          <t>국민은행_계좌 조회 6개월(20260913).xls</t>
        </is>
      </c>
      <c r="P106" s="69" t="inlineStr">
        <is>
          <t>기존내역</t>
        </is>
      </c>
    </row>
    <row r="107">
      <c r="A107" s="146" t="n">
        <v>46309.48346064815</v>
      </c>
      <c r="B107" s="147" t="n">
        <v>46309</v>
      </c>
      <c r="C107" s="67" t="inlineStr">
        <is>
          <t>농협</t>
        </is>
      </c>
      <c r="D107" s="67" t="inlineStr">
        <is>
          <t>농협 569003</t>
        </is>
      </c>
      <c r="E107" s="148" t="n">
        <v>0</v>
      </c>
      <c r="F107" s="148" t="n">
        <v>33000</v>
      </c>
      <c r="G107" s="148" t="n">
        <v>356000</v>
      </c>
      <c r="H107" s="75" t="inlineStr">
        <is>
          <t>폰국민은행</t>
        </is>
      </c>
      <c r="I107" s="75" t="inlineStr">
        <is>
          <t>허수원</t>
        </is>
      </c>
      <c r="J107" s="75" t="inlineStr">
        <is>
          <t>국민 0068398</t>
        </is>
      </c>
      <c r="K107" s="67" t="inlineStr">
        <is>
          <t>기타입금</t>
        </is>
      </c>
      <c r="L107" s="67" t="inlineStr">
        <is>
          <t>N</t>
        </is>
      </c>
      <c r="M107" s="67" t="inlineStr">
        <is>
          <t>N</t>
        </is>
      </c>
      <c r="N107" s="148" t="n">
        <v>33000</v>
      </c>
      <c r="O107" s="67" t="inlineStr">
        <is>
          <t>농협계좌_6개월(20260913).xls</t>
        </is>
      </c>
      <c r="P107" s="69" t="inlineStr">
        <is>
          <t>기존내역</t>
        </is>
      </c>
    </row>
    <row r="108">
      <c r="A108" s="146" t="n">
        <v>46309.5690625</v>
      </c>
      <c r="B108" s="147" t="n">
        <v>46309</v>
      </c>
      <c r="C108" s="67" t="inlineStr">
        <is>
          <t>농협</t>
        </is>
      </c>
      <c r="D108" s="67" t="inlineStr">
        <is>
          <t>농협 569003</t>
        </is>
      </c>
      <c r="E108" s="148" t="n">
        <v>0</v>
      </c>
      <c r="F108" s="148" t="n">
        <v>85400</v>
      </c>
      <c r="G108" s="148" t="n">
        <v>441400</v>
      </c>
      <c r="H108" s="75" t="inlineStr">
        <is>
          <t>NH콕송금</t>
        </is>
      </c>
      <c r="I108" s="75" t="inlineStr">
        <is>
          <t>조민경</t>
        </is>
      </c>
      <c r="J108" s="75" t="inlineStr">
        <is>
          <t>농협 150020</t>
        </is>
      </c>
      <c r="K108" s="67" t="inlineStr">
        <is>
          <t>기타입금</t>
        </is>
      </c>
      <c r="L108" s="67" t="inlineStr">
        <is>
          <t>N</t>
        </is>
      </c>
      <c r="M108" s="67" t="inlineStr">
        <is>
          <t>N</t>
        </is>
      </c>
      <c r="N108" s="148" t="n">
        <v>85400</v>
      </c>
      <c r="O108" s="67" t="inlineStr">
        <is>
          <t>국민은행_계좌 조회 6개월(20260913).xls</t>
        </is>
      </c>
      <c r="P108" s="69" t="inlineStr">
        <is>
          <t>기존내역</t>
        </is>
      </c>
    </row>
    <row r="109">
      <c r="A109" s="146" t="n">
        <v>46309.67519675926</v>
      </c>
      <c r="B109" s="147" t="n">
        <v>46309</v>
      </c>
      <c r="C109" s="67" t="inlineStr">
        <is>
          <t>우리은행</t>
        </is>
      </c>
      <c r="D109" s="67" t="inlineStr">
        <is>
          <t>우리 220351</t>
        </is>
      </c>
      <c r="E109" s="148" t="n">
        <v>1254000</v>
      </c>
      <c r="F109" s="148" t="n">
        <v>0</v>
      </c>
      <c r="G109" s="148" t="n">
        <v>20584693</v>
      </c>
      <c r="H109" s="75" t="inlineStr">
        <is>
          <t>인터넷</t>
        </is>
      </c>
      <c r="I109" s="75" t="inlineStr">
        <is>
          <t>국민SA</t>
        </is>
      </c>
      <c r="J109" s="75" t="inlineStr">
        <is>
          <t>성서공단금융센터</t>
        </is>
      </c>
      <c r="K109" s="67" t="inlineStr">
        <is>
          <t>기타지출</t>
        </is>
      </c>
      <c r="L109" s="67" t="inlineStr">
        <is>
          <t>N</t>
        </is>
      </c>
      <c r="M109" s="67" t="inlineStr">
        <is>
          <t>N</t>
        </is>
      </c>
      <c r="N109" s="148" t="n">
        <v>-1254000</v>
      </c>
      <c r="O109" s="67" t="inlineStr">
        <is>
          <t>국민은행_계좌 조회 6개월(20260913).xls</t>
        </is>
      </c>
      <c r="P109" s="69" t="inlineStr">
        <is>
          <t>기존내역</t>
        </is>
      </c>
    </row>
    <row r="110">
      <c r="A110" s="146" t="n">
        <v>46309.67521990741</v>
      </c>
      <c r="B110" s="147" t="n">
        <v>46309</v>
      </c>
      <c r="C110" s="67" t="inlineStr">
        <is>
          <t>우리은행</t>
        </is>
      </c>
      <c r="D110" s="67" t="inlineStr">
        <is>
          <t>우리 220351</t>
        </is>
      </c>
      <c r="E110" s="148" t="n">
        <v>220000</v>
      </c>
      <c r="F110" s="148" t="n">
        <v>0</v>
      </c>
      <c r="G110" s="148" t="n">
        <v>20364693</v>
      </c>
      <c r="H110" s="75" t="inlineStr">
        <is>
          <t>인터넷</t>
        </is>
      </c>
      <c r="I110" s="75" t="inlineStr">
        <is>
          <t>국민GFA</t>
        </is>
      </c>
      <c r="J110" s="75" t="inlineStr">
        <is>
          <t>성서공단금융센터</t>
        </is>
      </c>
      <c r="K110" s="67" t="inlineStr">
        <is>
          <t>기타지출</t>
        </is>
      </c>
      <c r="L110" s="67" t="inlineStr">
        <is>
          <t>N</t>
        </is>
      </c>
      <c r="M110" s="67" t="inlineStr">
        <is>
          <t>N</t>
        </is>
      </c>
      <c r="N110" s="148" t="n">
        <v>-220000</v>
      </c>
      <c r="O110" s="67" t="inlineStr">
        <is>
          <t>농협계좌_6개월(20260913).xls</t>
        </is>
      </c>
      <c r="P110" s="69" t="inlineStr">
        <is>
          <t>기존내역</t>
        </is>
      </c>
    </row>
    <row r="111">
      <c r="A111" s="146" t="n">
        <v>46309.67523148148</v>
      </c>
      <c r="B111" s="147" t="n">
        <v>46309</v>
      </c>
      <c r="C111" s="67" t="inlineStr">
        <is>
          <t>우리은행</t>
        </is>
      </c>
      <c r="D111" s="67" t="inlineStr">
        <is>
          <t>우리 220351</t>
        </is>
      </c>
      <c r="E111" s="148" t="n">
        <v>330000</v>
      </c>
      <c r="F111" s="148" t="n">
        <v>0</v>
      </c>
      <c r="G111" s="148" t="n">
        <v>20034693</v>
      </c>
      <c r="H111" s="75" t="inlineStr">
        <is>
          <t>인터넷</t>
        </is>
      </c>
      <c r="I111" s="75" t="inlineStr">
        <is>
          <t>국민GFA</t>
        </is>
      </c>
      <c r="J111" s="75" t="inlineStr">
        <is>
          <t>성서공단금융센터</t>
        </is>
      </c>
      <c r="K111" s="67" t="inlineStr">
        <is>
          <t>기타지출</t>
        </is>
      </c>
      <c r="L111" s="67" t="inlineStr">
        <is>
          <t>N</t>
        </is>
      </c>
      <c r="M111" s="67" t="inlineStr">
        <is>
          <t>N</t>
        </is>
      </c>
      <c r="N111" s="148" t="n">
        <v>-330000</v>
      </c>
      <c r="O111" s="67" t="inlineStr">
        <is>
          <t>국민은행_계좌 조회 6개월(20260913).xls</t>
        </is>
      </c>
      <c r="P111" s="69" t="inlineStr">
        <is>
          <t>기존내역</t>
        </is>
      </c>
    </row>
    <row r="112">
      <c r="A112" s="146" t="n">
        <v>46309.86680555555</v>
      </c>
      <c r="B112" s="147" t="n">
        <v>46309</v>
      </c>
      <c r="C112" s="67" t="inlineStr">
        <is>
          <t>국민은행</t>
        </is>
      </c>
      <c r="D112" s="67" t="inlineStr">
        <is>
          <t>국민 154577</t>
        </is>
      </c>
      <c r="E112" s="148" t="n">
        <v>0</v>
      </c>
      <c r="F112" s="148" t="n">
        <v>224850</v>
      </c>
      <c r="G112" s="148" t="n">
        <v>62210109</v>
      </c>
      <c r="H112" s="75" t="inlineStr">
        <is>
          <t>전자금융</t>
        </is>
      </c>
      <c r="I112" s="75" t="inlineStr">
        <is>
          <t>김지희</t>
        </is>
      </c>
      <c r="J112" s="75" t="inlineStr">
        <is>
          <t>신한은행</t>
        </is>
      </c>
      <c r="K112" s="67" t="inlineStr">
        <is>
          <t>기타입금</t>
        </is>
      </c>
      <c r="L112" s="67" t="inlineStr">
        <is>
          <t>N</t>
        </is>
      </c>
      <c r="M112" s="67" t="inlineStr">
        <is>
          <t>N</t>
        </is>
      </c>
      <c r="N112" s="148" t="n">
        <v>224850</v>
      </c>
      <c r="O112" s="67" t="inlineStr">
        <is>
          <t>농협계좌_6개월(20260913).xls</t>
        </is>
      </c>
      <c r="P112" s="69" t="inlineStr">
        <is>
          <t>기존내역</t>
        </is>
      </c>
    </row>
    <row r="113">
      <c r="A113" s="146" t="n">
        <v>46310.09520833333</v>
      </c>
      <c r="B113" s="147" t="n">
        <v>46310</v>
      </c>
      <c r="C113" s="67" t="inlineStr">
        <is>
          <t>국민은행</t>
        </is>
      </c>
      <c r="D113" s="67" t="inlineStr">
        <is>
          <t>국민 154577</t>
        </is>
      </c>
      <c r="E113" s="148" t="n">
        <v>0</v>
      </c>
      <c r="F113" s="148" t="n">
        <v>45243</v>
      </c>
      <c r="G113" s="148" t="n">
        <v>62255352</v>
      </c>
      <c r="H113" s="75" t="inlineStr">
        <is>
          <t>전자금융</t>
        </is>
      </c>
      <c r="I113" s="75" t="inlineStr">
        <is>
          <t>Npay정산</t>
        </is>
      </c>
      <c r="J113" s="75" t="inlineStr">
        <is>
          <t>SC은행</t>
        </is>
      </c>
      <c r="K113" s="67" t="inlineStr">
        <is>
          <t>온라인매출입금</t>
        </is>
      </c>
      <c r="L113" s="67" t="inlineStr">
        <is>
          <t>N</t>
        </is>
      </c>
      <c r="M113" s="67" t="inlineStr">
        <is>
          <t>N</t>
        </is>
      </c>
      <c r="N113" s="148" t="n">
        <v>45243</v>
      </c>
      <c r="O113" s="67" t="inlineStr">
        <is>
          <t>우리은행 거래내역조회 20260913.xlsx</t>
        </is>
      </c>
      <c r="P113" s="69" t="inlineStr">
        <is>
          <t>기존내역</t>
        </is>
      </c>
    </row>
    <row r="114">
      <c r="A114" s="146" t="n">
        <v>46310.10813657408</v>
      </c>
      <c r="B114" s="147" t="n">
        <v>46310</v>
      </c>
      <c r="C114" s="67" t="inlineStr">
        <is>
          <t>우리은행</t>
        </is>
      </c>
      <c r="D114" s="67" t="inlineStr">
        <is>
          <t>우리 220351</t>
        </is>
      </c>
      <c r="E114" s="148" t="n">
        <v>0</v>
      </c>
      <c r="F114" s="148" t="n">
        <v>8338083</v>
      </c>
      <c r="G114" s="148" t="n">
        <v>28372776</v>
      </c>
      <c r="H114" s="75" t="inlineStr">
        <is>
          <t>펌뱅킹</t>
        </is>
      </c>
      <c r="I114" s="75" t="inlineStr">
        <is>
          <t>스마트스토어정산</t>
        </is>
      </c>
      <c r="J114" s="75" t="inlineStr">
        <is>
          <t>두산타워기업영업지원팀</t>
        </is>
      </c>
      <c r="K114" s="67" t="inlineStr">
        <is>
          <t>온라인매출입금</t>
        </is>
      </c>
      <c r="L114" s="67" t="inlineStr">
        <is>
          <t>N</t>
        </is>
      </c>
      <c r="M114" s="67" t="inlineStr">
        <is>
          <t>N</t>
        </is>
      </c>
      <c r="N114" s="148" t="n">
        <v>8338083</v>
      </c>
      <c r="O114" s="67" t="inlineStr">
        <is>
          <t>우리은행 거래내역조회 20260913.xlsx</t>
        </is>
      </c>
      <c r="P114" s="69" t="inlineStr">
        <is>
          <t>기존내역</t>
        </is>
      </c>
    </row>
    <row r="115">
      <c r="A115" s="146" t="n">
        <v>46310.13506944444</v>
      </c>
      <c r="B115" s="147" t="n">
        <v>46310</v>
      </c>
      <c r="C115" s="67" t="inlineStr">
        <is>
          <t>우리은행</t>
        </is>
      </c>
      <c r="D115" s="67" t="inlineStr">
        <is>
          <t>우리 220351</t>
        </is>
      </c>
      <c r="E115" s="148" t="n">
        <v>100000</v>
      </c>
      <c r="F115" s="148" t="n">
        <v>0</v>
      </c>
      <c r="G115" s="148" t="n">
        <v>28272776</v>
      </c>
      <c r="H115" s="75" t="inlineStr">
        <is>
          <t>지로자동</t>
        </is>
      </c>
      <c r="I115" s="75" t="inlineStr">
        <is>
          <t>적십자후원2</t>
        </is>
      </c>
      <c r="J115" s="75" t="inlineStr">
        <is>
          <t>성서공단금융센터</t>
        </is>
      </c>
      <c r="K115" s="67" t="inlineStr">
        <is>
          <t>기타지출</t>
        </is>
      </c>
      <c r="L115" s="67" t="inlineStr">
        <is>
          <t>N</t>
        </is>
      </c>
      <c r="M115" s="67" t="inlineStr">
        <is>
          <t>N</t>
        </is>
      </c>
      <c r="N115" s="148" t="n">
        <v>-100000</v>
      </c>
      <c r="O115" s="67" t="inlineStr">
        <is>
          <t>우리은행 거래내역조회 20260913.xlsx</t>
        </is>
      </c>
      <c r="P115" s="69" t="inlineStr">
        <is>
          <t>기존내역</t>
        </is>
      </c>
    </row>
    <row r="116">
      <c r="A116" s="146" t="n">
        <v>46310.13987268518</v>
      </c>
      <c r="B116" s="147" t="n">
        <v>46310</v>
      </c>
      <c r="C116" s="67" t="inlineStr">
        <is>
          <t>우리은행</t>
        </is>
      </c>
      <c r="D116" s="67" t="inlineStr">
        <is>
          <t>우리 220351</t>
        </is>
      </c>
      <c r="E116" s="148" t="n">
        <v>33990</v>
      </c>
      <c r="F116" s="148" t="n">
        <v>0</v>
      </c>
      <c r="G116" s="148" t="n">
        <v>28227786</v>
      </c>
      <c r="H116" s="75" t="inlineStr">
        <is>
          <t>통신요금</t>
        </is>
      </c>
      <c r="I116" s="75" t="inlineStr">
        <is>
          <t>LGU48453341</t>
        </is>
      </c>
      <c r="J116" s="75" t="inlineStr">
        <is>
          <t>성서공단금융센터</t>
        </is>
      </c>
      <c r="K116" s="67" t="inlineStr">
        <is>
          <t>기타지출</t>
        </is>
      </c>
      <c r="L116" s="67" t="inlineStr">
        <is>
          <t>N</t>
        </is>
      </c>
      <c r="M116" s="67" t="inlineStr">
        <is>
          <t>N</t>
        </is>
      </c>
      <c r="N116" s="148" t="n">
        <v>-33990</v>
      </c>
      <c r="O116" s="67" t="inlineStr">
        <is>
          <t>우리은행 거래내역조회 20260913.xlsx</t>
        </is>
      </c>
      <c r="P116" s="69" t="inlineStr">
        <is>
          <t>기존내역</t>
        </is>
      </c>
    </row>
    <row r="117">
      <c r="A117" s="146" t="n">
        <v>46310.13987268518</v>
      </c>
      <c r="B117" s="147" t="n">
        <v>46310</v>
      </c>
      <c r="C117" s="67" t="inlineStr">
        <is>
          <t>우리은행</t>
        </is>
      </c>
      <c r="D117" s="67" t="inlineStr">
        <is>
          <t>우리 220351</t>
        </is>
      </c>
      <c r="E117" s="148" t="n">
        <v>11000</v>
      </c>
      <c r="F117" s="148" t="n">
        <v>0</v>
      </c>
      <c r="G117" s="148" t="n">
        <v>28261776</v>
      </c>
      <c r="H117" s="75" t="inlineStr">
        <is>
          <t>통신요금</t>
        </is>
      </c>
      <c r="I117" s="75" t="inlineStr">
        <is>
          <t>LGUM2M</t>
        </is>
      </c>
      <c r="J117" s="75" t="inlineStr">
        <is>
          <t>성서공단금융센터</t>
        </is>
      </c>
      <c r="K117" s="67" t="inlineStr">
        <is>
          <t>기타지출</t>
        </is>
      </c>
      <c r="L117" s="67" t="inlineStr">
        <is>
          <t>N</t>
        </is>
      </c>
      <c r="M117" s="67" t="inlineStr">
        <is>
          <t>N</t>
        </is>
      </c>
      <c r="N117" s="148" t="n">
        <v>-11000</v>
      </c>
      <c r="O117" s="67" t="inlineStr">
        <is>
          <t>우리은행 거래내역조회 20260913.xlsx</t>
        </is>
      </c>
      <c r="P117" s="69" t="inlineStr">
        <is>
          <t>기존내역</t>
        </is>
      </c>
    </row>
    <row r="118">
      <c r="A118" s="146" t="n">
        <v>46310.37719907407</v>
      </c>
      <c r="B118" s="147" t="n">
        <v>46310</v>
      </c>
      <c r="C118" s="67" t="inlineStr">
        <is>
          <t>국민은행</t>
        </is>
      </c>
      <c r="D118" s="67" t="inlineStr">
        <is>
          <t>국민 154577</t>
        </is>
      </c>
      <c r="E118" s="148" t="n">
        <v>0</v>
      </c>
      <c r="F118" s="148" t="n">
        <v>929391</v>
      </c>
      <c r="G118" s="148" t="n">
        <v>63184743</v>
      </c>
      <c r="H118" s="75" t="inlineStr">
        <is>
          <t>FBS입금</t>
        </is>
      </c>
      <c r="I118" s="75" t="inlineStr">
        <is>
          <t>카카오페이정산</t>
        </is>
      </c>
      <c r="J118" s="75" t="inlineStr">
        <is>
          <t>ERP사</t>
        </is>
      </c>
      <c r="K118" s="67" t="inlineStr">
        <is>
          <t>온라인매출입금</t>
        </is>
      </c>
      <c r="L118" s="67" t="inlineStr">
        <is>
          <t>N</t>
        </is>
      </c>
      <c r="M118" s="67" t="inlineStr">
        <is>
          <t>N</t>
        </is>
      </c>
      <c r="N118" s="148" t="n">
        <v>929391</v>
      </c>
      <c r="O118" s="67" t="inlineStr">
        <is>
          <t>국민은행_계좌 조회 6개월(20260913).xls</t>
        </is>
      </c>
      <c r="P118" s="69" t="inlineStr">
        <is>
          <t>기존내역</t>
        </is>
      </c>
    </row>
    <row r="119">
      <c r="A119" s="146" t="n">
        <v>46310.42731481481</v>
      </c>
      <c r="B119" s="147" t="n">
        <v>46310</v>
      </c>
      <c r="C119" s="67" t="inlineStr">
        <is>
          <t>국민은행</t>
        </is>
      </c>
      <c r="D119" s="67" t="inlineStr">
        <is>
          <t>국민 154577</t>
        </is>
      </c>
      <c r="E119" s="148" t="n">
        <v>1472990</v>
      </c>
      <c r="F119" s="148" t="n">
        <v>0</v>
      </c>
      <c r="G119" s="148" t="n">
        <v>61711753</v>
      </c>
      <c r="H119" s="75" t="inlineStr">
        <is>
          <t>기일출금</t>
        </is>
      </c>
      <c r="I119" s="75" t="inlineStr">
        <is>
          <t>(주)에이팜건강</t>
        </is>
      </c>
      <c r="J119" s="75" t="inlineStr">
        <is>
          <t>진천역</t>
        </is>
      </c>
      <c r="K119" s="67" t="inlineStr">
        <is>
          <t>계좌간이체</t>
        </is>
      </c>
      <c r="L119" s="67" t="inlineStr">
        <is>
          <t>Y</t>
        </is>
      </c>
      <c r="M119" s="67" t="inlineStr">
        <is>
          <t>N</t>
        </is>
      </c>
      <c r="N119" s="148" t="n">
        <v>0</v>
      </c>
      <c r="O119" s="67" t="inlineStr">
        <is>
          <t>농협계좌_6개월(20260913).xls</t>
        </is>
      </c>
      <c r="P119" s="69" t="inlineStr">
        <is>
          <t>기존내역</t>
        </is>
      </c>
    </row>
    <row r="120">
      <c r="A120" s="146" t="n">
        <v>46310.42731481481</v>
      </c>
      <c r="B120" s="147" t="n">
        <v>46310</v>
      </c>
      <c r="C120" s="67" t="inlineStr">
        <is>
          <t>국민은행</t>
        </is>
      </c>
      <c r="D120" s="67" t="inlineStr">
        <is>
          <t>국민 169124</t>
        </is>
      </c>
      <c r="E120" s="148" t="n">
        <v>0</v>
      </c>
      <c r="F120" s="148" t="n">
        <v>1472990</v>
      </c>
      <c r="G120" s="148" t="n">
        <v>21472990</v>
      </c>
      <c r="H120" s="75" t="inlineStr">
        <is>
          <t>기일입금</t>
        </is>
      </c>
      <c r="I120" s="75" t="inlineStr">
        <is>
          <t>(주)에이팜건강</t>
        </is>
      </c>
      <c r="J120" s="75" t="inlineStr">
        <is>
          <t>진천역</t>
        </is>
      </c>
      <c r="K120" s="67" t="inlineStr">
        <is>
          <t>계좌간이체</t>
        </is>
      </c>
      <c r="L120" s="67" t="inlineStr">
        <is>
          <t>Y</t>
        </is>
      </c>
      <c r="M120" s="67" t="inlineStr">
        <is>
          <t>N</t>
        </is>
      </c>
      <c r="N120" s="148" t="n">
        <v>0</v>
      </c>
      <c r="O120" s="67" t="inlineStr">
        <is>
          <t>국민은행_계좌 조회 6개월(20260913).xls</t>
        </is>
      </c>
      <c r="P120" s="69" t="inlineStr">
        <is>
          <t>기존내역</t>
        </is>
      </c>
    </row>
    <row r="121">
      <c r="A121" s="146" t="n">
        <v>46310.47965277778</v>
      </c>
      <c r="B121" s="147" t="n">
        <v>46310</v>
      </c>
      <c r="C121" s="67" t="inlineStr">
        <is>
          <t>국민은행</t>
        </is>
      </c>
      <c r="D121" s="67" t="inlineStr">
        <is>
          <t>국민 154577</t>
        </is>
      </c>
      <c r="E121" s="148" t="n">
        <v>0</v>
      </c>
      <c r="F121" s="148" t="n">
        <v>2570890</v>
      </c>
      <c r="G121" s="148" t="n">
        <v>64282643</v>
      </c>
      <c r="H121" s="75" t="inlineStr">
        <is>
          <t>전자금융</t>
        </is>
      </c>
      <c r="I121" s="75" t="inlineStr">
        <is>
          <t>KG이니시스</t>
        </is>
      </c>
      <c r="J121" s="75" t="inlineStr">
        <is>
          <t>하나은행</t>
        </is>
      </c>
      <c r="K121" s="67" t="inlineStr">
        <is>
          <t>온라인매출입금</t>
        </is>
      </c>
      <c r="L121" s="67" t="inlineStr">
        <is>
          <t>N</t>
        </is>
      </c>
      <c r="M121" s="67" t="inlineStr">
        <is>
          <t>N</t>
        </is>
      </c>
      <c r="N121" s="148" t="n">
        <v>2570890</v>
      </c>
      <c r="O121" s="67" t="inlineStr">
        <is>
          <t>국민은행_계좌 조회 6개월(20260913).xls</t>
        </is>
      </c>
      <c r="P121" s="69" t="inlineStr">
        <is>
          <t>기존내역</t>
        </is>
      </c>
    </row>
    <row r="122">
      <c r="A122" s="146" t="n">
        <v>46310.49009259259</v>
      </c>
      <c r="B122" s="147" t="n">
        <v>46310</v>
      </c>
      <c r="C122" s="67" t="inlineStr">
        <is>
          <t>국민은행</t>
        </is>
      </c>
      <c r="D122" s="67" t="inlineStr">
        <is>
          <t>국민 154577</t>
        </is>
      </c>
      <c r="E122" s="148" t="n">
        <v>0</v>
      </c>
      <c r="F122" s="148" t="n">
        <v>1043315</v>
      </c>
      <c r="G122" s="148" t="n">
        <v>65325958</v>
      </c>
      <c r="H122" s="75" t="inlineStr">
        <is>
          <t>전자금융</t>
        </is>
      </c>
      <c r="I122" s="75" t="inlineStr">
        <is>
          <t>KG이니시스</t>
        </is>
      </c>
      <c r="J122" s="75" t="inlineStr">
        <is>
          <t>하나은행</t>
        </is>
      </c>
      <c r="K122" s="67" t="inlineStr">
        <is>
          <t>온라인매출입금</t>
        </is>
      </c>
      <c r="L122" s="67" t="inlineStr">
        <is>
          <t>N</t>
        </is>
      </c>
      <c r="M122" s="67" t="inlineStr">
        <is>
          <t>N</t>
        </is>
      </c>
      <c r="N122" s="148" t="n">
        <v>1043315</v>
      </c>
      <c r="O122" s="67" t="inlineStr">
        <is>
          <t>국민은행_계좌 조회 6개월(20260913).xls</t>
        </is>
      </c>
      <c r="P122" s="69" t="inlineStr">
        <is>
          <t>기존내역</t>
        </is>
      </c>
    </row>
    <row r="123">
      <c r="A123" s="146" t="n">
        <v>46310.64642361111</v>
      </c>
      <c r="B123" s="147" t="n">
        <v>46310</v>
      </c>
      <c r="C123" s="67" t="inlineStr">
        <is>
          <t>국민은행</t>
        </is>
      </c>
      <c r="D123" s="67" t="inlineStr">
        <is>
          <t>국민 154577</t>
        </is>
      </c>
      <c r="E123" s="148" t="n">
        <v>0</v>
      </c>
      <c r="F123" s="148" t="n">
        <v>213077</v>
      </c>
      <c r="G123" s="148" t="n">
        <v>65539035</v>
      </c>
      <c r="H123" s="75" t="inlineStr">
        <is>
          <t>인터넷입금이체</t>
        </is>
      </c>
      <c r="I123" s="75" t="inlineStr">
        <is>
          <t>(주)씨제이이엔엠</t>
        </is>
      </c>
      <c r="J123" s="75" t="inlineStr">
        <is>
          <t>대1-5</t>
        </is>
      </c>
      <c r="K123" s="67" t="inlineStr">
        <is>
          <t>온라인매출입금</t>
        </is>
      </c>
      <c r="L123" s="67" t="inlineStr">
        <is>
          <t>N</t>
        </is>
      </c>
      <c r="M123" s="67" t="inlineStr">
        <is>
          <t>N</t>
        </is>
      </c>
      <c r="N123" s="148" t="n">
        <v>213077</v>
      </c>
      <c r="O123" s="67" t="inlineStr">
        <is>
          <t>농협계좌_6개월(20260913).xls</t>
        </is>
      </c>
      <c r="P123" s="69" t="inlineStr">
        <is>
          <t>기존내역</t>
        </is>
      </c>
    </row>
    <row r="124">
      <c r="A124" s="146" t="n">
        <v>46310.64714120371</v>
      </c>
      <c r="B124" s="147" t="n">
        <v>46310</v>
      </c>
      <c r="C124" s="67" t="inlineStr">
        <is>
          <t>국민은행</t>
        </is>
      </c>
      <c r="D124" s="67" t="inlineStr">
        <is>
          <t>국민 154577</t>
        </is>
      </c>
      <c r="E124" s="148" t="n">
        <v>0</v>
      </c>
      <c r="F124" s="148" t="n">
        <v>916941</v>
      </c>
      <c r="G124" s="148" t="n">
        <v>66455976</v>
      </c>
      <c r="H124" s="75" t="inlineStr">
        <is>
          <t>인터넷입금이체</t>
        </is>
      </c>
      <c r="I124" s="75" t="inlineStr">
        <is>
          <t>(주)씨제이이엔엠</t>
        </is>
      </c>
      <c r="J124" s="75" t="inlineStr">
        <is>
          <t>대1-5</t>
        </is>
      </c>
      <c r="K124" s="67" t="inlineStr">
        <is>
          <t>온라인매출입금</t>
        </is>
      </c>
      <c r="L124" s="67" t="inlineStr">
        <is>
          <t>N</t>
        </is>
      </c>
      <c r="M124" s="67" t="inlineStr">
        <is>
          <t>N</t>
        </is>
      </c>
      <c r="N124" s="148" t="n">
        <v>916941</v>
      </c>
      <c r="O124" s="67" t="inlineStr">
        <is>
          <t>국민은행_계좌 조회 6개월(20260913).xls</t>
        </is>
      </c>
      <c r="P124" s="69" t="inlineStr">
        <is>
          <t>기존내역</t>
        </is>
      </c>
    </row>
    <row r="125">
      <c r="A125" s="146" t="n">
        <v>46310.70364583333</v>
      </c>
      <c r="B125" s="147" t="n">
        <v>46310</v>
      </c>
      <c r="C125" s="67" t="inlineStr">
        <is>
          <t>우리은행</t>
        </is>
      </c>
      <c r="D125" s="67" t="inlineStr">
        <is>
          <t>우리 220351</t>
        </is>
      </c>
      <c r="E125" s="148" t="n">
        <v>20800</v>
      </c>
      <c r="F125" s="148" t="n">
        <v>0</v>
      </c>
      <c r="G125" s="148" t="n">
        <v>28206986</v>
      </c>
      <c r="H125" s="75" t="inlineStr">
        <is>
          <t>F/B 출금</t>
        </is>
      </c>
      <c r="I125" s="75" t="inlineStr">
        <is>
          <t>코웨이멤버쉽10</t>
        </is>
      </c>
      <c r="J125" s="75" t="inlineStr">
        <is>
          <t>성서공단금융센터</t>
        </is>
      </c>
      <c r="K125" s="67" t="inlineStr">
        <is>
          <t>기타지출</t>
        </is>
      </c>
      <c r="L125" s="67" t="inlineStr">
        <is>
          <t>N</t>
        </is>
      </c>
      <c r="M125" s="67" t="inlineStr">
        <is>
          <t>N</t>
        </is>
      </c>
      <c r="N125" s="148" t="n">
        <v>-20800</v>
      </c>
      <c r="O125" s="67" t="inlineStr">
        <is>
          <t>농협계좌_6개월(20260913).xls</t>
        </is>
      </c>
      <c r="P125" s="69" t="inlineStr">
        <is>
          <t>기존내역</t>
        </is>
      </c>
    </row>
    <row r="126">
      <c r="A126" s="146" t="n">
        <v>46310.70365740741</v>
      </c>
      <c r="B126" s="147" t="n">
        <v>46310</v>
      </c>
      <c r="C126" s="67" t="inlineStr">
        <is>
          <t>우리은행</t>
        </is>
      </c>
      <c r="D126" s="67" t="inlineStr">
        <is>
          <t>우리 220351</t>
        </is>
      </c>
      <c r="E126" s="148" t="n">
        <v>50910</v>
      </c>
      <c r="F126" s="148" t="n">
        <v>0</v>
      </c>
      <c r="G126" s="148" t="n">
        <v>28138676</v>
      </c>
      <c r="H126" s="75" t="inlineStr">
        <is>
          <t>F/B 출금</t>
        </is>
      </c>
      <c r="I126" s="75" t="inlineStr">
        <is>
          <t>코웨이렌탈10</t>
        </is>
      </c>
      <c r="J126" s="75" t="inlineStr">
        <is>
          <t>성서공단금융센터</t>
        </is>
      </c>
      <c r="K126" s="67" t="inlineStr">
        <is>
          <t>기타지출</t>
        </is>
      </c>
      <c r="L126" s="67" t="inlineStr">
        <is>
          <t>N</t>
        </is>
      </c>
      <c r="M126" s="67" t="inlineStr">
        <is>
          <t>N</t>
        </is>
      </c>
      <c r="N126" s="148" t="n">
        <v>-50910</v>
      </c>
      <c r="O126" s="67" t="inlineStr">
        <is>
          <t>국민은행_계좌 조회 6개월(20260913).xls</t>
        </is>
      </c>
      <c r="P126" s="69" t="inlineStr">
        <is>
          <t>기존내역</t>
        </is>
      </c>
    </row>
    <row r="127">
      <c r="A127" s="146" t="n">
        <v>46310.70365740741</v>
      </c>
      <c r="B127" s="147" t="n">
        <v>46310</v>
      </c>
      <c r="C127" s="67" t="inlineStr">
        <is>
          <t>우리은행</t>
        </is>
      </c>
      <c r="D127" s="67" t="inlineStr">
        <is>
          <t>우리 220351</t>
        </is>
      </c>
      <c r="E127" s="148" t="n">
        <v>17400</v>
      </c>
      <c r="F127" s="148" t="n">
        <v>0</v>
      </c>
      <c r="G127" s="148" t="n">
        <v>28189586</v>
      </c>
      <c r="H127" s="75" t="inlineStr">
        <is>
          <t>F/B 출금</t>
        </is>
      </c>
      <c r="I127" s="75" t="inlineStr">
        <is>
          <t>코웨이멤버쉽10</t>
        </is>
      </c>
      <c r="J127" s="75" t="inlineStr">
        <is>
          <t>성서공단금융센터</t>
        </is>
      </c>
      <c r="K127" s="67" t="inlineStr">
        <is>
          <t>기타지출</t>
        </is>
      </c>
      <c r="L127" s="67" t="inlineStr">
        <is>
          <t>N</t>
        </is>
      </c>
      <c r="M127" s="67" t="inlineStr">
        <is>
          <t>N</t>
        </is>
      </c>
      <c r="N127" s="148" t="n">
        <v>-17400</v>
      </c>
      <c r="O127" s="67" t="inlineStr">
        <is>
          <t>우리은행 거래내역조회 20260913.xlsx</t>
        </is>
      </c>
      <c r="P127" s="69" t="inlineStr">
        <is>
          <t>기존내역</t>
        </is>
      </c>
    </row>
    <row r="128">
      <c r="A128" s="146" t="n">
        <v>46310.70366898148</v>
      </c>
      <c r="B128" s="147" t="n">
        <v>46310</v>
      </c>
      <c r="C128" s="67" t="inlineStr">
        <is>
          <t>우리은행</t>
        </is>
      </c>
      <c r="D128" s="67" t="inlineStr">
        <is>
          <t>우리 220351</t>
        </is>
      </c>
      <c r="E128" s="148" t="n">
        <v>31790</v>
      </c>
      <c r="F128" s="148" t="n">
        <v>0</v>
      </c>
      <c r="G128" s="148" t="n">
        <v>28084876</v>
      </c>
      <c r="H128" s="75" t="inlineStr">
        <is>
          <t>F/B 출금</t>
        </is>
      </c>
      <c r="I128" s="75" t="inlineStr">
        <is>
          <t>코웨이렌탈10</t>
        </is>
      </c>
      <c r="J128" s="75" t="inlineStr">
        <is>
          <t>성서공단금융센터</t>
        </is>
      </c>
      <c r="K128" s="67" t="inlineStr">
        <is>
          <t>기타지출</t>
        </is>
      </c>
      <c r="L128" s="67" t="inlineStr">
        <is>
          <t>N</t>
        </is>
      </c>
      <c r="M128" s="67" t="inlineStr">
        <is>
          <t>N</t>
        </is>
      </c>
      <c r="N128" s="148" t="n">
        <v>-31790</v>
      </c>
      <c r="O128" s="67" t="inlineStr">
        <is>
          <t>우리은행 거래내역조회 20260913.xlsx</t>
        </is>
      </c>
      <c r="P128" s="69" t="inlineStr">
        <is>
          <t>기존내역</t>
        </is>
      </c>
    </row>
    <row r="129">
      <c r="A129" s="146" t="n">
        <v>46310.70366898148</v>
      </c>
      <c r="B129" s="147" t="n">
        <v>46310</v>
      </c>
      <c r="C129" s="67" t="inlineStr">
        <is>
          <t>우리은행</t>
        </is>
      </c>
      <c r="D129" s="67" t="inlineStr">
        <is>
          <t>우리 220351</t>
        </is>
      </c>
      <c r="E129" s="148" t="n">
        <v>22010</v>
      </c>
      <c r="F129" s="148" t="n">
        <v>0</v>
      </c>
      <c r="G129" s="148" t="n">
        <v>28116666</v>
      </c>
      <c r="H129" s="75" t="inlineStr">
        <is>
          <t>F/B 출금</t>
        </is>
      </c>
      <c r="I129" s="75" t="inlineStr">
        <is>
          <t>코웨이렌탈10</t>
        </is>
      </c>
      <c r="J129" s="75" t="inlineStr">
        <is>
          <t>성서공단금융센터</t>
        </is>
      </c>
      <c r="K129" s="67" t="inlineStr">
        <is>
          <t>기타지출</t>
        </is>
      </c>
      <c r="L129" s="67" t="inlineStr">
        <is>
          <t>N</t>
        </is>
      </c>
      <c r="M129" s="67" t="inlineStr">
        <is>
          <t>N</t>
        </is>
      </c>
      <c r="N129" s="148" t="n">
        <v>-22010</v>
      </c>
      <c r="O129" s="67" t="inlineStr">
        <is>
          <t>우리은행 거래내역조회 20260913.xlsx</t>
        </is>
      </c>
      <c r="P129" s="69" t="inlineStr">
        <is>
          <t>기존내역</t>
        </is>
      </c>
    </row>
    <row r="130">
      <c r="A130" s="146" t="n">
        <v>46310.70368055555</v>
      </c>
      <c r="B130" s="147" t="n">
        <v>46310</v>
      </c>
      <c r="C130" s="67" t="inlineStr">
        <is>
          <t>우리은행</t>
        </is>
      </c>
      <c r="D130" s="67" t="inlineStr">
        <is>
          <t>우리 220351</t>
        </is>
      </c>
      <c r="E130" s="148" t="n">
        <v>28900</v>
      </c>
      <c r="F130" s="148" t="n">
        <v>0</v>
      </c>
      <c r="G130" s="148" t="n">
        <v>28055976</v>
      </c>
      <c r="H130" s="75" t="inlineStr">
        <is>
          <t>F/B 출금</t>
        </is>
      </c>
      <c r="I130" s="75" t="inlineStr">
        <is>
          <t>코웨이멤버쉽10</t>
        </is>
      </c>
      <c r="J130" s="75" t="inlineStr">
        <is>
          <t>성서공단금융센터</t>
        </is>
      </c>
      <c r="K130" s="67" t="inlineStr">
        <is>
          <t>기타지출</t>
        </is>
      </c>
      <c r="L130" s="67" t="inlineStr">
        <is>
          <t>N</t>
        </is>
      </c>
      <c r="M130" s="67" t="inlineStr">
        <is>
          <t>N</t>
        </is>
      </c>
      <c r="N130" s="148" t="n">
        <v>-28900</v>
      </c>
      <c r="O130" s="67" t="inlineStr">
        <is>
          <t>국민은행_계좌 조회 6개월(20260913).xls</t>
        </is>
      </c>
      <c r="P130" s="69" t="inlineStr">
        <is>
          <t>기존내역</t>
        </is>
      </c>
    </row>
    <row r="131">
      <c r="A131" s="146" t="n">
        <v>46310.72111111111</v>
      </c>
      <c r="B131" s="147" t="n">
        <v>46310</v>
      </c>
      <c r="C131" s="67" t="inlineStr">
        <is>
          <t>국민은행</t>
        </is>
      </c>
      <c r="D131" s="67" t="inlineStr">
        <is>
          <t>국민 154577</t>
        </is>
      </c>
      <c r="E131" s="148" t="n">
        <v>0</v>
      </c>
      <c r="F131" s="148" t="n">
        <v>179710</v>
      </c>
      <c r="G131" s="148" t="n">
        <v>66635686</v>
      </c>
      <c r="H131" s="75" t="inlineStr">
        <is>
          <t>전자금융</t>
        </is>
      </c>
      <c r="I131" s="75" t="inlineStr">
        <is>
          <t>에스케이엠앤서비스</t>
        </is>
      </c>
      <c r="J131" s="75" t="inlineStr">
        <is>
          <t>하나은행</t>
        </is>
      </c>
      <c r="K131" s="67" t="inlineStr">
        <is>
          <t>기타입금</t>
        </is>
      </c>
      <c r="L131" s="67" t="inlineStr">
        <is>
          <t>N</t>
        </is>
      </c>
      <c r="M131" s="67" t="inlineStr">
        <is>
          <t>N</t>
        </is>
      </c>
      <c r="N131" s="148" t="n">
        <v>179710</v>
      </c>
      <c r="O131" s="67" t="inlineStr">
        <is>
          <t>국민은행_계좌 조회 6개월(20260913).xls</t>
        </is>
      </c>
      <c r="P131" s="69" t="inlineStr">
        <is>
          <t>기존내역</t>
        </is>
      </c>
    </row>
    <row r="132">
      <c r="A132" s="146" t="n">
        <v>46310.74148148148</v>
      </c>
      <c r="B132" s="147" t="n">
        <v>46310</v>
      </c>
      <c r="C132" s="67" t="inlineStr">
        <is>
          <t>우리은행</t>
        </is>
      </c>
      <c r="D132" s="67" t="inlineStr">
        <is>
          <t>우리 220351</t>
        </is>
      </c>
      <c r="E132" s="148" t="n">
        <v>1000000</v>
      </c>
      <c r="F132" s="148" t="n">
        <v>0</v>
      </c>
      <c r="G132" s="148" t="n">
        <v>27055976</v>
      </c>
      <c r="H132" s="75" t="inlineStr">
        <is>
          <t>인터넷</t>
        </is>
      </c>
      <c r="I132" s="75" t="inlineStr">
        <is>
          <t>(주)카카오</t>
        </is>
      </c>
      <c r="J132" s="75" t="inlineStr">
        <is>
          <t>성서공단금융센터</t>
        </is>
      </c>
      <c r="K132" s="67" t="inlineStr">
        <is>
          <t>기타지출</t>
        </is>
      </c>
      <c r="L132" s="67" t="inlineStr">
        <is>
          <t>N</t>
        </is>
      </c>
      <c r="M132" s="67" t="inlineStr">
        <is>
          <t>N</t>
        </is>
      </c>
      <c r="N132" s="148" t="n">
        <v>-1000000</v>
      </c>
      <c r="O132" s="67" t="inlineStr">
        <is>
          <t>우리은행 거래내역조회 20260913.xlsx</t>
        </is>
      </c>
      <c r="P132" s="69" t="inlineStr">
        <is>
          <t>기존내역</t>
        </is>
      </c>
    </row>
    <row r="133">
      <c r="A133" s="146" t="n">
        <v>46310.74149305555</v>
      </c>
      <c r="B133" s="147" t="n">
        <v>46310</v>
      </c>
      <c r="C133" s="67" t="inlineStr">
        <is>
          <t>우리은행</t>
        </is>
      </c>
      <c r="D133" s="67" t="inlineStr">
        <is>
          <t>우리 220351</t>
        </is>
      </c>
      <c r="E133" s="148" t="n">
        <v>5500000</v>
      </c>
      <c r="F133" s="148" t="n">
        <v>0</v>
      </c>
      <c r="G133" s="148" t="n">
        <v>21467976</v>
      </c>
      <c r="H133" s="75" t="inlineStr">
        <is>
          <t>인터넷</t>
        </is>
      </c>
      <c r="I133" s="75" t="inlineStr">
        <is>
          <t>국민주식회사 원정대</t>
        </is>
      </c>
      <c r="J133" s="75" t="inlineStr">
        <is>
          <t>성서공단금융센터</t>
        </is>
      </c>
      <c r="K133" s="67" t="inlineStr">
        <is>
          <t>기타지출</t>
        </is>
      </c>
      <c r="L133" s="67" t="inlineStr">
        <is>
          <t>N</t>
        </is>
      </c>
      <c r="M133" s="67" t="inlineStr">
        <is>
          <t>N</t>
        </is>
      </c>
      <c r="N133" s="148" t="n">
        <v>-5500000</v>
      </c>
      <c r="O133" s="67" t="inlineStr">
        <is>
          <t>우리은행 거래내역조회 20260913.xlsx</t>
        </is>
      </c>
      <c r="P133" s="69" t="inlineStr">
        <is>
          <t>기존내역</t>
        </is>
      </c>
    </row>
    <row r="134">
      <c r="A134" s="146" t="n">
        <v>46310.74149305555</v>
      </c>
      <c r="B134" s="147" t="n">
        <v>46310</v>
      </c>
      <c r="C134" s="67" t="inlineStr">
        <is>
          <t>우리은행</t>
        </is>
      </c>
      <c r="D134" s="67" t="inlineStr">
        <is>
          <t>우리 220351</t>
        </is>
      </c>
      <c r="E134" s="148" t="n">
        <v>88000</v>
      </c>
      <c r="F134" s="148" t="n">
        <v>0</v>
      </c>
      <c r="G134" s="148" t="n">
        <v>26967976</v>
      </c>
      <c r="H134" s="75" t="inlineStr">
        <is>
          <t>인터넷</t>
        </is>
      </c>
      <c r="I134" s="75" t="inlineStr">
        <is>
          <t>아이지게차사용료</t>
        </is>
      </c>
      <c r="J134" s="75" t="inlineStr">
        <is>
          <t>성서공단금융센터</t>
        </is>
      </c>
      <c r="K134" s="67" t="inlineStr">
        <is>
          <t>기타지출</t>
        </is>
      </c>
      <c r="L134" s="67" t="inlineStr">
        <is>
          <t>N</t>
        </is>
      </c>
      <c r="M134" s="67" t="inlineStr">
        <is>
          <t>N</t>
        </is>
      </c>
      <c r="N134" s="148" t="n">
        <v>-88000</v>
      </c>
      <c r="O134" s="67" t="inlineStr">
        <is>
          <t>우리은행 거래내역조회 20260913.xlsx</t>
        </is>
      </c>
      <c r="P134" s="69" t="inlineStr">
        <is>
          <t>기존내역</t>
        </is>
      </c>
    </row>
    <row r="135">
      <c r="A135" s="146" t="n">
        <v>46310.74150462963</v>
      </c>
      <c r="B135" s="147" t="n">
        <v>46310</v>
      </c>
      <c r="C135" s="67" t="inlineStr">
        <is>
          <t>우리은행</t>
        </is>
      </c>
      <c r="D135" s="67" t="inlineStr">
        <is>
          <t>우리 220351</t>
        </is>
      </c>
      <c r="E135" s="148" t="n">
        <v>330000</v>
      </c>
      <c r="F135" s="148" t="n">
        <v>0</v>
      </c>
      <c r="G135" s="148" t="n">
        <v>21137976</v>
      </c>
      <c r="H135" s="75" t="inlineStr">
        <is>
          <t>인터넷</t>
        </is>
      </c>
      <c r="I135" s="75" t="inlineStr">
        <is>
          <t>농협(주)레인보우8</t>
        </is>
      </c>
      <c r="J135" s="75" t="inlineStr">
        <is>
          <t>성서공단금융센터</t>
        </is>
      </c>
      <c r="K135" s="67" t="inlineStr">
        <is>
          <t>기타지출</t>
        </is>
      </c>
      <c r="L135" s="67" t="inlineStr">
        <is>
          <t>N</t>
        </is>
      </c>
      <c r="M135" s="67" t="inlineStr">
        <is>
          <t>N</t>
        </is>
      </c>
      <c r="N135" s="148" t="n">
        <v>-330000</v>
      </c>
      <c r="O135" s="67" t="inlineStr">
        <is>
          <t>우리은행 거래내역조회 20260913.xlsx</t>
        </is>
      </c>
      <c r="P135" s="69" t="inlineStr">
        <is>
          <t>기존내역</t>
        </is>
      </c>
    </row>
    <row r="136">
      <c r="A136" s="146" t="n">
        <v>46310.74151620371</v>
      </c>
      <c r="B136" s="147" t="n">
        <v>46310</v>
      </c>
      <c r="C136" s="67" t="inlineStr">
        <is>
          <t>우리은행</t>
        </is>
      </c>
      <c r="D136" s="67" t="inlineStr">
        <is>
          <t>우리 220351</t>
        </is>
      </c>
      <c r="E136" s="148" t="n">
        <v>220000</v>
      </c>
      <c r="F136" s="148" t="n">
        <v>0</v>
      </c>
      <c r="G136" s="148" t="n">
        <v>19883976</v>
      </c>
      <c r="H136" s="75" t="inlineStr">
        <is>
          <t>인터넷</t>
        </is>
      </c>
      <c r="I136" s="75" t="inlineStr">
        <is>
          <t>국민네이버 에이팜건</t>
        </is>
      </c>
      <c r="J136" s="75" t="inlineStr">
        <is>
          <t>성서공단금융센터</t>
        </is>
      </c>
      <c r="K136" s="67" t="inlineStr">
        <is>
          <t>기타지출</t>
        </is>
      </c>
      <c r="L136" s="67" t="inlineStr">
        <is>
          <t>N</t>
        </is>
      </c>
      <c r="M136" s="67" t="inlineStr">
        <is>
          <t>N</t>
        </is>
      </c>
      <c r="N136" s="148" t="n">
        <v>-220000</v>
      </c>
      <c r="O136" s="67" t="inlineStr">
        <is>
          <t>국민은행_계좌 조회 6개월(20260913).xls</t>
        </is>
      </c>
      <c r="P136" s="69" t="inlineStr">
        <is>
          <t>기존내역</t>
        </is>
      </c>
    </row>
    <row r="137">
      <c r="A137" s="146" t="n">
        <v>46310.74151620371</v>
      </c>
      <c r="B137" s="147" t="n">
        <v>46310</v>
      </c>
      <c r="C137" s="67" t="inlineStr">
        <is>
          <t>우리은행</t>
        </is>
      </c>
      <c r="D137" s="67" t="inlineStr">
        <is>
          <t>우리 220351</t>
        </is>
      </c>
      <c r="E137" s="148" t="n">
        <v>1034000</v>
      </c>
      <c r="F137" s="148" t="n">
        <v>0</v>
      </c>
      <c r="G137" s="148" t="n">
        <v>20103976</v>
      </c>
      <c r="H137" s="75" t="inlineStr">
        <is>
          <t>인터넷</t>
        </is>
      </c>
      <c r="I137" s="75" t="inlineStr">
        <is>
          <t>국민네이버 apha</t>
        </is>
      </c>
      <c r="J137" s="75" t="inlineStr">
        <is>
          <t>성서공단금융센터</t>
        </is>
      </c>
      <c r="K137" s="67" t="inlineStr">
        <is>
          <t>기타지출</t>
        </is>
      </c>
      <c r="L137" s="67" t="inlineStr">
        <is>
          <t>N</t>
        </is>
      </c>
      <c r="M137" s="67" t="inlineStr">
        <is>
          <t>N</t>
        </is>
      </c>
      <c r="N137" s="148" t="n">
        <v>-1034000</v>
      </c>
      <c r="O137" s="67" t="inlineStr">
        <is>
          <t>농협계좌_6개월(20260913).xls</t>
        </is>
      </c>
      <c r="P137" s="69" t="inlineStr">
        <is>
          <t>기존내역</t>
        </is>
      </c>
    </row>
    <row r="138">
      <c r="A138" s="146" t="n">
        <v>46310.74152777778</v>
      </c>
      <c r="B138" s="147" t="n">
        <v>46310</v>
      </c>
      <c r="C138" s="67" t="inlineStr">
        <is>
          <t>우리은행</t>
        </is>
      </c>
      <c r="D138" s="67" t="inlineStr">
        <is>
          <t>우리 220351</t>
        </is>
      </c>
      <c r="E138" s="148" t="n">
        <v>330000</v>
      </c>
      <c r="F138" s="148" t="n">
        <v>0</v>
      </c>
      <c r="G138" s="148" t="n">
        <v>19553976</v>
      </c>
      <c r="H138" s="75" t="inlineStr">
        <is>
          <t>인터넷</t>
        </is>
      </c>
      <c r="I138" s="75" t="inlineStr">
        <is>
          <t>국민네이버 ddi5</t>
        </is>
      </c>
      <c r="J138" s="75" t="inlineStr">
        <is>
          <t>성서공단금융센터</t>
        </is>
      </c>
      <c r="K138" s="67" t="inlineStr">
        <is>
          <t>기타지출</t>
        </is>
      </c>
      <c r="L138" s="67" t="inlineStr">
        <is>
          <t>N</t>
        </is>
      </c>
      <c r="M138" s="67" t="inlineStr">
        <is>
          <t>N</t>
        </is>
      </c>
      <c r="N138" s="148" t="n">
        <v>-330000</v>
      </c>
      <c r="O138" s="67" t="inlineStr">
        <is>
          <t>국민은행_계좌 조회 6개월(20260913).xls</t>
        </is>
      </c>
      <c r="P138" s="69" t="inlineStr">
        <is>
          <t>기존내역</t>
        </is>
      </c>
    </row>
    <row r="139">
      <c r="A139" s="146" t="n">
        <v>46310.74155092592</v>
      </c>
      <c r="B139" s="147" t="n">
        <v>46310</v>
      </c>
      <c r="C139" s="67" t="inlineStr">
        <is>
          <t>우리은행</t>
        </is>
      </c>
      <c r="D139" s="67" t="inlineStr">
        <is>
          <t>우리 220351</t>
        </is>
      </c>
      <c r="E139" s="148" t="n">
        <v>498344</v>
      </c>
      <c r="F139" s="148" t="n">
        <v>0</v>
      </c>
      <c r="G139" s="148" t="n">
        <v>19055632</v>
      </c>
      <c r="H139" s="75" t="inlineStr">
        <is>
          <t>인터넷</t>
        </is>
      </c>
      <c r="I139" s="75" t="inlineStr">
        <is>
          <t>국민비즈월렛_쁘띠앤</t>
        </is>
      </c>
      <c r="J139" s="75" t="inlineStr">
        <is>
          <t>성서공단금융센터</t>
        </is>
      </c>
      <c r="K139" s="67" t="inlineStr">
        <is>
          <t>기타지출</t>
        </is>
      </c>
      <c r="L139" s="67" t="inlineStr">
        <is>
          <t>N</t>
        </is>
      </c>
      <c r="M139" s="67" t="inlineStr">
        <is>
          <t>N</t>
        </is>
      </c>
      <c r="N139" s="148" t="n">
        <v>-498344</v>
      </c>
      <c r="O139" s="67" t="inlineStr">
        <is>
          <t>국민은행_계좌 조회 6개월(20260913).xls</t>
        </is>
      </c>
      <c r="P139" s="69" t="inlineStr">
        <is>
          <t>기존내역</t>
        </is>
      </c>
    </row>
    <row r="140">
      <c r="A140" s="146" t="n">
        <v>46310.7415625</v>
      </c>
      <c r="B140" s="147" t="n">
        <v>46310</v>
      </c>
      <c r="C140" s="67" t="inlineStr">
        <is>
          <t>우리은행</t>
        </is>
      </c>
      <c r="D140" s="67" t="inlineStr">
        <is>
          <t>우리 220351</t>
        </is>
      </c>
      <c r="E140" s="148" t="n">
        <v>495000</v>
      </c>
      <c r="F140" s="148" t="n">
        <v>0</v>
      </c>
      <c r="G140" s="148" t="n">
        <v>17460632</v>
      </c>
      <c r="H140" s="75" t="inlineStr">
        <is>
          <t>인터넷</t>
        </is>
      </c>
      <c r="I140" s="75" t="inlineStr">
        <is>
          <t>주식회사 비에스</t>
        </is>
      </c>
      <c r="J140" s="75" t="inlineStr">
        <is>
          <t>성서공단금융센터</t>
        </is>
      </c>
      <c r="K140" s="67" t="inlineStr">
        <is>
          <t>기타지출</t>
        </is>
      </c>
      <c r="L140" s="67" t="inlineStr">
        <is>
          <t>N</t>
        </is>
      </c>
      <c r="M140" s="67" t="inlineStr">
        <is>
          <t>N</t>
        </is>
      </c>
      <c r="N140" s="148" t="n">
        <v>-495000</v>
      </c>
      <c r="O140" s="67" t="inlineStr">
        <is>
          <t>농협계좌_6개월(20260913).xls</t>
        </is>
      </c>
      <c r="P140" s="69" t="inlineStr">
        <is>
          <t>기존내역</t>
        </is>
      </c>
    </row>
    <row r="141">
      <c r="A141" s="146" t="n">
        <v>46310.7415625</v>
      </c>
      <c r="B141" s="147" t="n">
        <v>46310</v>
      </c>
      <c r="C141" s="67" t="inlineStr">
        <is>
          <t>우리은행</t>
        </is>
      </c>
      <c r="D141" s="67" t="inlineStr">
        <is>
          <t>우리 220351</t>
        </is>
      </c>
      <c r="E141" s="148" t="n">
        <v>1100000</v>
      </c>
      <c r="F141" s="148" t="n">
        <v>0</v>
      </c>
      <c r="G141" s="148" t="n">
        <v>17955632</v>
      </c>
      <c r="H141" s="75" t="inlineStr">
        <is>
          <t>인터넷</t>
        </is>
      </c>
      <c r="I141" s="75" t="inlineStr">
        <is>
          <t>국민주식회사 캐시워</t>
        </is>
      </c>
      <c r="J141" s="75" t="inlineStr">
        <is>
          <t>성서공단금융센터</t>
        </is>
      </c>
      <c r="K141" s="67" t="inlineStr">
        <is>
          <t>기타지출</t>
        </is>
      </c>
      <c r="L141" s="67" t="inlineStr">
        <is>
          <t>N</t>
        </is>
      </c>
      <c r="M141" s="67" t="inlineStr">
        <is>
          <t>N</t>
        </is>
      </c>
      <c r="N141" s="148" t="n">
        <v>-1100000</v>
      </c>
      <c r="O141" s="67" t="inlineStr">
        <is>
          <t>농협계좌_6개월(20260913).xls</t>
        </is>
      </c>
      <c r="P141" s="69" t="inlineStr">
        <is>
          <t>기존내역</t>
        </is>
      </c>
    </row>
    <row r="142">
      <c r="A142" s="146" t="n">
        <v>46310.75989583333</v>
      </c>
      <c r="B142" s="147" t="n">
        <v>46310</v>
      </c>
      <c r="C142" s="67" t="inlineStr">
        <is>
          <t>국민은행</t>
        </is>
      </c>
      <c r="D142" s="67" t="inlineStr">
        <is>
          <t>국민 154577</t>
        </is>
      </c>
      <c r="E142" s="148" t="n">
        <v>614388</v>
      </c>
      <c r="F142" s="148" t="n">
        <v>0</v>
      </c>
      <c r="G142" s="148" t="n">
        <v>66021298</v>
      </c>
      <c r="H142" s="75" t="inlineStr">
        <is>
          <t>국민카드</t>
        </is>
      </c>
      <c r="I142" s="75" t="inlineStr">
        <is>
          <t>KB카드출금</t>
        </is>
      </c>
      <c r="J142" s="75" t="inlineStr">
        <is>
          <t>수신상</t>
        </is>
      </c>
      <c r="K142" s="67" t="inlineStr">
        <is>
          <t>국민카드 결제</t>
        </is>
      </c>
      <c r="L142" s="67" t="inlineStr">
        <is>
          <t>N</t>
        </is>
      </c>
      <c r="M142" s="67" t="inlineStr">
        <is>
          <t>N</t>
        </is>
      </c>
      <c r="N142" s="148" t="n">
        <v>-614388</v>
      </c>
      <c r="O142" s="67" t="inlineStr">
        <is>
          <t>국민은행_계좌 조회 6개월(20260913).xls</t>
        </is>
      </c>
      <c r="P142" s="69" t="inlineStr">
        <is>
          <t>기존내역</t>
        </is>
      </c>
    </row>
    <row r="143">
      <c r="A143" s="146" t="n">
        <v>46310.81026620371</v>
      </c>
      <c r="B143" s="147" t="n">
        <v>46310</v>
      </c>
      <c r="C143" s="67" t="inlineStr">
        <is>
          <t>우리은행</t>
        </is>
      </c>
      <c r="D143" s="67" t="inlineStr">
        <is>
          <t>우리 220351</t>
        </is>
      </c>
      <c r="E143" s="148" t="n">
        <v>0</v>
      </c>
      <c r="F143" s="148" t="n">
        <v>33000</v>
      </c>
      <c r="G143" s="148" t="n">
        <v>17493632</v>
      </c>
      <c r="H143" s="75" t="inlineStr">
        <is>
          <t>모바일</t>
        </is>
      </c>
      <c r="I143" s="75" t="inlineStr">
        <is>
          <t>나가윤</t>
        </is>
      </c>
      <c r="J143" s="75" t="inlineStr">
        <is>
          <t>신한은행(021904)</t>
        </is>
      </c>
      <c r="K143" s="67" t="inlineStr">
        <is>
          <t>기타입금</t>
        </is>
      </c>
      <c r="L143" s="67" t="inlineStr">
        <is>
          <t>N</t>
        </is>
      </c>
      <c r="M143" s="67" t="inlineStr">
        <is>
          <t>N</t>
        </is>
      </c>
      <c r="N143" s="148" t="n">
        <v>33000</v>
      </c>
      <c r="O143" s="67" t="inlineStr">
        <is>
          <t>국민은행_계좌 조회 6개월(20260913).xls</t>
        </is>
      </c>
      <c r="P143" s="69" t="inlineStr">
        <is>
          <t>기존내역</t>
        </is>
      </c>
    </row>
    <row r="144">
      <c r="A144" s="146" t="n">
        <v>46310.81591435185</v>
      </c>
      <c r="B144" s="147" t="n">
        <v>46310</v>
      </c>
      <c r="C144" s="67" t="inlineStr">
        <is>
          <t>국민은행</t>
        </is>
      </c>
      <c r="D144" s="67" t="inlineStr">
        <is>
          <t>국민 169124</t>
        </is>
      </c>
      <c r="E144" s="148" t="n">
        <v>785790</v>
      </c>
      <c r="F144" s="148" t="n">
        <v>0</v>
      </c>
      <c r="G144" s="148" t="n">
        <v>20687200</v>
      </c>
      <c r="H144" s="75" t="inlineStr">
        <is>
          <t>FBS출금</t>
        </is>
      </c>
      <c r="I144" s="75" t="inlineStr">
        <is>
          <t>삼성10016건</t>
        </is>
      </c>
      <c r="J144" s="75" t="inlineStr">
        <is>
          <t>ERP사</t>
        </is>
      </c>
      <c r="K144" s="67" t="inlineStr">
        <is>
          <t>기타지출</t>
        </is>
      </c>
      <c r="L144" s="67" t="inlineStr">
        <is>
          <t>N</t>
        </is>
      </c>
      <c r="M144" s="67" t="inlineStr">
        <is>
          <t>N</t>
        </is>
      </c>
      <c r="N144" s="148" t="n">
        <v>-785790</v>
      </c>
      <c r="O144" s="67" t="inlineStr">
        <is>
          <t>국민은행_계좌 조회 6개월(20260913).xls</t>
        </is>
      </c>
      <c r="P144" s="69" t="inlineStr">
        <is>
          <t>기존내역</t>
        </is>
      </c>
    </row>
    <row r="145">
      <c r="A145" s="146" t="n">
        <v>46310.84461805555</v>
      </c>
      <c r="B145" s="147" t="n">
        <v>46310</v>
      </c>
      <c r="C145" s="67" t="inlineStr">
        <is>
          <t>국민은행</t>
        </is>
      </c>
      <c r="D145" s="67" t="inlineStr">
        <is>
          <t>국민 154577</t>
        </is>
      </c>
      <c r="E145" s="148" t="n">
        <v>5001750</v>
      </c>
      <c r="F145" s="148" t="n">
        <v>0</v>
      </c>
      <c r="G145" s="148" t="n">
        <v>61019548</v>
      </c>
      <c r="H145" s="75" t="inlineStr">
        <is>
          <t>FBS출금</t>
        </is>
      </c>
      <c r="I145" s="75" t="inlineStr">
        <is>
          <t>ABL생명10011</t>
        </is>
      </c>
      <c r="J145" s="75" t="inlineStr">
        <is>
          <t>ERP사</t>
        </is>
      </c>
      <c r="K145" s="67" t="inlineStr">
        <is>
          <t>보험료</t>
        </is>
      </c>
      <c r="L145" s="67" t="inlineStr">
        <is>
          <t>N</t>
        </is>
      </c>
      <c r="M145" s="67" t="inlineStr">
        <is>
          <t>N</t>
        </is>
      </c>
      <c r="N145" s="148" t="n">
        <v>-5001750</v>
      </c>
      <c r="O145" s="67" t="inlineStr">
        <is>
          <t>국민은행_계좌 조회 6개월(20260913).xls</t>
        </is>
      </c>
      <c r="P145" s="69" t="inlineStr">
        <is>
          <t>기존내역</t>
        </is>
      </c>
    </row>
    <row r="146">
      <c r="A146" s="146" t="n">
        <v>46311.07100694445</v>
      </c>
      <c r="B146" s="147" t="n">
        <v>46311</v>
      </c>
      <c r="C146" s="67" t="inlineStr">
        <is>
          <t>우리은행</t>
        </is>
      </c>
      <c r="D146" s="67" t="inlineStr">
        <is>
          <t>우리 220351</t>
        </is>
      </c>
      <c r="E146" s="148" t="n">
        <v>0</v>
      </c>
      <c r="F146" s="148" t="n">
        <v>7418983</v>
      </c>
      <c r="G146" s="148" t="n">
        <v>24912615</v>
      </c>
      <c r="H146" s="75" t="inlineStr">
        <is>
          <t>펌뱅킹</t>
        </is>
      </c>
      <c r="I146" s="75" t="inlineStr">
        <is>
          <t>스마트스토어정산</t>
        </is>
      </c>
      <c r="J146" s="75" t="inlineStr">
        <is>
          <t>두산타워기업영업지원팀</t>
        </is>
      </c>
      <c r="K146" s="67" t="inlineStr">
        <is>
          <t>온라인매출입금</t>
        </is>
      </c>
      <c r="L146" s="67" t="inlineStr">
        <is>
          <t>N</t>
        </is>
      </c>
      <c r="M146" s="67" t="inlineStr">
        <is>
          <t>N</t>
        </is>
      </c>
      <c r="N146" s="148" t="n">
        <v>7418983</v>
      </c>
      <c r="O146" s="67" t="inlineStr">
        <is>
          <t>우리은행 거래내역조회 20260913.xlsx</t>
        </is>
      </c>
      <c r="P146" s="69" t="inlineStr">
        <is>
          <t>기존내역</t>
        </is>
      </c>
    </row>
    <row r="147">
      <c r="A147" s="146" t="n">
        <v>46311.10162037037</v>
      </c>
      <c r="B147" s="147" t="n">
        <v>46311</v>
      </c>
      <c r="C147" s="67" t="inlineStr">
        <is>
          <t>국민은행</t>
        </is>
      </c>
      <c r="D147" s="67" t="inlineStr">
        <is>
          <t>국민 154577</t>
        </is>
      </c>
      <c r="E147" s="148" t="n">
        <v>0</v>
      </c>
      <c r="F147" s="148" t="n">
        <v>51981</v>
      </c>
      <c r="G147" s="148" t="n">
        <v>61071529</v>
      </c>
      <c r="H147" s="75" t="inlineStr">
        <is>
          <t>전자금융</t>
        </is>
      </c>
      <c r="I147" s="75" t="inlineStr">
        <is>
          <t>Npay정산</t>
        </is>
      </c>
      <c r="J147" s="75" t="inlineStr">
        <is>
          <t>SC은행</t>
        </is>
      </c>
      <c r="K147" s="67" t="inlineStr">
        <is>
          <t>온라인매출입금</t>
        </is>
      </c>
      <c r="L147" s="67" t="inlineStr">
        <is>
          <t>N</t>
        </is>
      </c>
      <c r="M147" s="67" t="inlineStr">
        <is>
          <t>N</t>
        </is>
      </c>
      <c r="N147" s="148" t="n">
        <v>51981</v>
      </c>
      <c r="O147" s="67" t="inlineStr">
        <is>
          <t>우리은행 거래내역조회 20260913.xlsx</t>
        </is>
      </c>
      <c r="P147" s="69" t="inlineStr">
        <is>
          <t>기존내역</t>
        </is>
      </c>
    </row>
    <row r="148">
      <c r="A148" s="146" t="n">
        <v>46311.37600694445</v>
      </c>
      <c r="B148" s="147" t="n">
        <v>46311</v>
      </c>
      <c r="C148" s="67" t="inlineStr">
        <is>
          <t>국민은행</t>
        </is>
      </c>
      <c r="D148" s="67" t="inlineStr">
        <is>
          <t>국민 154577</t>
        </is>
      </c>
      <c r="E148" s="148" t="n">
        <v>0</v>
      </c>
      <c r="F148" s="148" t="n">
        <v>51351</v>
      </c>
      <c r="G148" s="148" t="n">
        <v>61122880</v>
      </c>
      <c r="H148" s="75" t="inlineStr">
        <is>
          <t>FBS입금</t>
        </is>
      </c>
      <c r="I148" s="75" t="inlineStr">
        <is>
          <t>카카오페이정산</t>
        </is>
      </c>
      <c r="J148" s="75" t="inlineStr">
        <is>
          <t>ERP사</t>
        </is>
      </c>
      <c r="K148" s="67" t="inlineStr">
        <is>
          <t>온라인매출입금</t>
        </is>
      </c>
      <c r="L148" s="67" t="inlineStr">
        <is>
          <t>N</t>
        </is>
      </c>
      <c r="M148" s="67" t="inlineStr">
        <is>
          <t>N</t>
        </is>
      </c>
      <c r="N148" s="148" t="n">
        <v>51351</v>
      </c>
      <c r="O148" s="67" t="inlineStr">
        <is>
          <t>우리은행 거래내역조회 20260913.xlsx</t>
        </is>
      </c>
      <c r="P148" s="69" t="inlineStr">
        <is>
          <t>기존내역</t>
        </is>
      </c>
    </row>
    <row r="149">
      <c r="A149" s="146" t="n">
        <v>46311.45011574074</v>
      </c>
      <c r="B149" s="147" t="n">
        <v>46311</v>
      </c>
      <c r="C149" s="67" t="inlineStr">
        <is>
          <t>국민은행</t>
        </is>
      </c>
      <c r="D149" s="67" t="inlineStr">
        <is>
          <t>국민 154577</t>
        </is>
      </c>
      <c r="E149" s="148" t="n">
        <v>0</v>
      </c>
      <c r="F149" s="148" t="n">
        <v>866235</v>
      </c>
      <c r="G149" s="148" t="n">
        <v>61989115</v>
      </c>
      <c r="H149" s="75" t="inlineStr">
        <is>
          <t>전자금융</t>
        </is>
      </c>
      <c r="I149" s="75" t="inlineStr">
        <is>
          <t>KG이니시스</t>
        </is>
      </c>
      <c r="J149" s="75" t="inlineStr">
        <is>
          <t>하나은행</t>
        </is>
      </c>
      <c r="K149" s="67" t="inlineStr">
        <is>
          <t>온라인매출입금</t>
        </is>
      </c>
      <c r="L149" s="67" t="inlineStr">
        <is>
          <t>N</t>
        </is>
      </c>
      <c r="M149" s="67" t="inlineStr">
        <is>
          <t>N</t>
        </is>
      </c>
      <c r="N149" s="148" t="n">
        <v>866235</v>
      </c>
      <c r="O149" s="67" t="inlineStr">
        <is>
          <t>우리은행 거래내역조회 20260913.xlsx</t>
        </is>
      </c>
      <c r="P149" s="69" t="inlineStr">
        <is>
          <t>기존내역</t>
        </is>
      </c>
    </row>
    <row r="150">
      <c r="A150" s="146" t="n">
        <v>46311.46609953704</v>
      </c>
      <c r="B150" s="147" t="n">
        <v>46311</v>
      </c>
      <c r="C150" s="67" t="inlineStr">
        <is>
          <t>국민은행</t>
        </is>
      </c>
      <c r="D150" s="67" t="inlineStr">
        <is>
          <t>국민 154577</t>
        </is>
      </c>
      <c r="E150" s="148" t="n">
        <v>0</v>
      </c>
      <c r="F150" s="148" t="n">
        <v>188888</v>
      </c>
      <c r="G150" s="148" t="n">
        <v>62178003</v>
      </c>
      <c r="H150" s="75" t="inlineStr">
        <is>
          <t>전자금융</t>
        </is>
      </c>
      <c r="I150" s="75" t="inlineStr">
        <is>
          <t>KG이니시스</t>
        </is>
      </c>
      <c r="J150" s="75" t="inlineStr">
        <is>
          <t>하나은행</t>
        </is>
      </c>
      <c r="K150" s="67" t="inlineStr">
        <is>
          <t>온라인매출입금</t>
        </is>
      </c>
      <c r="L150" s="67" t="inlineStr">
        <is>
          <t>N</t>
        </is>
      </c>
      <c r="M150" s="67" t="inlineStr">
        <is>
          <t>N</t>
        </is>
      </c>
      <c r="N150" s="148" t="n">
        <v>188888</v>
      </c>
      <c r="O150" s="67" t="inlineStr">
        <is>
          <t>우리은행 거래내역조회 20260913.xlsx</t>
        </is>
      </c>
      <c r="P150" s="69" t="inlineStr">
        <is>
          <t>기존내역</t>
        </is>
      </c>
    </row>
    <row r="151">
      <c r="A151" s="146" t="n">
        <v>46311.59488425926</v>
      </c>
      <c r="B151" s="147" t="n">
        <v>46311</v>
      </c>
      <c r="C151" s="67" t="inlineStr">
        <is>
          <t>우리은행</t>
        </is>
      </c>
      <c r="D151" s="67" t="inlineStr">
        <is>
          <t>우리 220351</t>
        </is>
      </c>
      <c r="E151" s="148" t="n">
        <v>10000000</v>
      </c>
      <c r="F151" s="148" t="n">
        <v>0</v>
      </c>
      <c r="G151" s="148" t="n">
        <v>14912615</v>
      </c>
      <c r="H151" s="75" t="inlineStr">
        <is>
          <t>인터넷</t>
        </is>
      </c>
      <c r="I151" s="75" t="inlineStr">
        <is>
          <t>기업엠에스바이오텍(</t>
        </is>
      </c>
      <c r="J151" s="75" t="inlineStr">
        <is>
          <t>성서공단금융센터</t>
        </is>
      </c>
      <c r="K151" s="67" t="inlineStr">
        <is>
          <t>기타지출</t>
        </is>
      </c>
      <c r="L151" s="67" t="inlineStr">
        <is>
          <t>N</t>
        </is>
      </c>
      <c r="M151" s="67" t="inlineStr">
        <is>
          <t>N</t>
        </is>
      </c>
      <c r="N151" s="148" t="n">
        <v>-10000000</v>
      </c>
      <c r="O151" s="67" t="inlineStr">
        <is>
          <t>우리은행 거래내역조회 20260913.xlsx</t>
        </is>
      </c>
      <c r="P151" s="69" t="inlineStr">
        <is>
          <t>기존내역</t>
        </is>
      </c>
    </row>
    <row r="152">
      <c r="A152" s="146" t="n">
        <v>46311.59489583333</v>
      </c>
      <c r="B152" s="147" t="n">
        <v>46311</v>
      </c>
      <c r="C152" s="67" t="inlineStr">
        <is>
          <t>우리은행</t>
        </is>
      </c>
      <c r="D152" s="67" t="inlineStr">
        <is>
          <t>우리 220351</t>
        </is>
      </c>
      <c r="E152" s="148" t="n">
        <v>3201000</v>
      </c>
      <c r="F152" s="148" t="n">
        <v>0</v>
      </c>
      <c r="G152" s="148" t="n">
        <v>8411615</v>
      </c>
      <c r="H152" s="75" t="inlineStr">
        <is>
          <t>인터넷</t>
        </is>
      </c>
      <c r="I152" s="75" t="inlineStr">
        <is>
          <t>국민네이버 apha</t>
        </is>
      </c>
      <c r="J152" s="75" t="inlineStr">
        <is>
          <t>성서공단금융센터</t>
        </is>
      </c>
      <c r="K152" s="67" t="inlineStr">
        <is>
          <t>기타지출</t>
        </is>
      </c>
      <c r="L152" s="67" t="inlineStr">
        <is>
          <t>N</t>
        </is>
      </c>
      <c r="M152" s="67" t="inlineStr">
        <is>
          <t>N</t>
        </is>
      </c>
      <c r="N152" s="148" t="n">
        <v>-3201000</v>
      </c>
      <c r="O152" s="67" t="inlineStr">
        <is>
          <t>국민은행_계좌 조회 6개월(20260913).xls</t>
        </is>
      </c>
      <c r="P152" s="69" t="inlineStr">
        <is>
          <t>기존내역</t>
        </is>
      </c>
    </row>
    <row r="153">
      <c r="A153" s="146" t="n">
        <v>46311.59489583333</v>
      </c>
      <c r="B153" s="147" t="n">
        <v>46311</v>
      </c>
      <c r="C153" s="67" t="inlineStr">
        <is>
          <t>우리은행</t>
        </is>
      </c>
      <c r="D153" s="67" t="inlineStr">
        <is>
          <t>우리 220351</t>
        </is>
      </c>
      <c r="E153" s="148" t="n">
        <v>3300000</v>
      </c>
      <c r="F153" s="148" t="n">
        <v>0</v>
      </c>
      <c r="G153" s="148" t="n">
        <v>11612615</v>
      </c>
      <c r="H153" s="75" t="inlineStr">
        <is>
          <t>인터넷</t>
        </is>
      </c>
      <c r="I153" s="75" t="inlineStr">
        <is>
          <t>국민주식회사 아이디</t>
        </is>
      </c>
      <c r="J153" s="75" t="inlineStr">
        <is>
          <t>성서공단금융센터</t>
        </is>
      </c>
      <c r="K153" s="67" t="inlineStr">
        <is>
          <t>기타지출</t>
        </is>
      </c>
      <c r="L153" s="67" t="inlineStr">
        <is>
          <t>N</t>
        </is>
      </c>
      <c r="M153" s="67" t="inlineStr">
        <is>
          <t>N</t>
        </is>
      </c>
      <c r="N153" s="148" t="n">
        <v>-3300000</v>
      </c>
      <c r="O153" s="67" t="inlineStr">
        <is>
          <t>국민은행_계좌 조회 6개월(20260913).xls</t>
        </is>
      </c>
      <c r="P153" s="69" t="inlineStr">
        <is>
          <t>기존내역</t>
        </is>
      </c>
    </row>
    <row r="154">
      <c r="A154" s="146" t="n">
        <v>46311.59490740741</v>
      </c>
      <c r="B154" s="147" t="n">
        <v>46311</v>
      </c>
      <c r="C154" s="67" t="inlineStr">
        <is>
          <t>우리은행</t>
        </is>
      </c>
      <c r="D154" s="67" t="inlineStr">
        <is>
          <t>우리 220351</t>
        </is>
      </c>
      <c r="E154" s="148" t="n">
        <v>660000</v>
      </c>
      <c r="F154" s="148" t="n">
        <v>0</v>
      </c>
      <c r="G154" s="148" t="n">
        <v>7751615</v>
      </c>
      <c r="H154" s="75" t="inlineStr">
        <is>
          <t>인터넷</t>
        </is>
      </c>
      <c r="I154" s="75" t="inlineStr">
        <is>
          <t>국민네이버 에이팜건</t>
        </is>
      </c>
      <c r="J154" s="75" t="inlineStr">
        <is>
          <t>성서공단금융센터</t>
        </is>
      </c>
      <c r="K154" s="67" t="inlineStr">
        <is>
          <t>기타지출</t>
        </is>
      </c>
      <c r="L154" s="67" t="inlineStr">
        <is>
          <t>N</t>
        </is>
      </c>
      <c r="M154" s="67" t="inlineStr">
        <is>
          <t>N</t>
        </is>
      </c>
      <c r="N154" s="148" t="n">
        <v>-660000</v>
      </c>
      <c r="O154" s="67" t="inlineStr">
        <is>
          <t>국민은행_계좌 조회 6개월(20260913).xls</t>
        </is>
      </c>
      <c r="P154" s="69" t="inlineStr">
        <is>
          <t>기존내역</t>
        </is>
      </c>
    </row>
    <row r="155">
      <c r="A155" s="146" t="n">
        <v>46311.59491898148</v>
      </c>
      <c r="B155" s="147" t="n">
        <v>46311</v>
      </c>
      <c r="C155" s="67" t="inlineStr">
        <is>
          <t>우리은행</t>
        </is>
      </c>
      <c r="D155" s="67" t="inlineStr">
        <is>
          <t>우리 220351</t>
        </is>
      </c>
      <c r="E155" s="148" t="n">
        <v>990000</v>
      </c>
      <c r="F155" s="148" t="n">
        <v>0</v>
      </c>
      <c r="G155" s="148" t="n">
        <v>6761615</v>
      </c>
      <c r="H155" s="75" t="inlineStr">
        <is>
          <t>인터넷</t>
        </is>
      </c>
      <c r="I155" s="75" t="inlineStr">
        <is>
          <t>국민네이버 ddi5</t>
        </is>
      </c>
      <c r="J155" s="75" t="inlineStr">
        <is>
          <t>성서공단금융센터</t>
        </is>
      </c>
      <c r="K155" s="67" t="inlineStr">
        <is>
          <t>기타지출</t>
        </is>
      </c>
      <c r="L155" s="67" t="inlineStr">
        <is>
          <t>N</t>
        </is>
      </c>
      <c r="M155" s="67" t="inlineStr">
        <is>
          <t>N</t>
        </is>
      </c>
      <c r="N155" s="148" t="n">
        <v>-990000</v>
      </c>
      <c r="O155" s="67" t="inlineStr">
        <is>
          <t>국민은행_계좌 조회 6개월(20260913).xls</t>
        </is>
      </c>
      <c r="P155" s="69" t="inlineStr">
        <is>
          <t>기존내역</t>
        </is>
      </c>
    </row>
    <row r="156">
      <c r="A156" s="146" t="n">
        <v>46311.59493055556</v>
      </c>
      <c r="B156" s="147" t="n">
        <v>46311</v>
      </c>
      <c r="C156" s="67" t="inlineStr">
        <is>
          <t>우리은행</t>
        </is>
      </c>
      <c r="D156" s="67" t="inlineStr">
        <is>
          <t>우리 220351</t>
        </is>
      </c>
      <c r="E156" s="148" t="n">
        <v>250000</v>
      </c>
      <c r="F156" s="148" t="n">
        <v>0</v>
      </c>
      <c r="G156" s="148" t="n">
        <v>6511615</v>
      </c>
      <c r="H156" s="75" t="inlineStr">
        <is>
          <t>인터넷</t>
        </is>
      </c>
      <c r="I156" s="75" t="inlineStr">
        <is>
          <t>기업특허법인 다옴</t>
        </is>
      </c>
      <c r="J156" s="75" t="inlineStr">
        <is>
          <t>성서공단금융센터</t>
        </is>
      </c>
      <c r="K156" s="67" t="inlineStr">
        <is>
          <t>기타지출</t>
        </is>
      </c>
      <c r="L156" s="67" t="inlineStr">
        <is>
          <t>N</t>
        </is>
      </c>
      <c r="M156" s="67" t="inlineStr">
        <is>
          <t>N</t>
        </is>
      </c>
      <c r="N156" s="148" t="n">
        <v>-250000</v>
      </c>
      <c r="O156" s="67" t="inlineStr">
        <is>
          <t>국민은행_계좌 조회 6개월(20260913).xls</t>
        </is>
      </c>
      <c r="P156" s="69" t="inlineStr">
        <is>
          <t>기존내역</t>
        </is>
      </c>
    </row>
    <row r="157">
      <c r="A157" s="146" t="n">
        <v>46311.59494212963</v>
      </c>
      <c r="B157" s="147" t="n">
        <v>46311</v>
      </c>
      <c r="C157" s="67" t="inlineStr">
        <is>
          <t>우리은행</t>
        </is>
      </c>
      <c r="D157" s="67" t="inlineStr">
        <is>
          <t>우리 220351</t>
        </is>
      </c>
      <c r="E157" s="148" t="n">
        <v>500000</v>
      </c>
      <c r="F157" s="148" t="n">
        <v>0</v>
      </c>
      <c r="G157" s="148" t="n">
        <v>6011615</v>
      </c>
      <c r="H157" s="75" t="inlineStr">
        <is>
          <t>인터넷</t>
        </is>
      </c>
      <c r="I157" s="75" t="inlineStr">
        <is>
          <t>국민(재)한국기계전</t>
        </is>
      </c>
      <c r="J157" s="75" t="inlineStr">
        <is>
          <t>성서공단금융센터</t>
        </is>
      </c>
      <c r="K157" s="67" t="inlineStr">
        <is>
          <t>기타지출</t>
        </is>
      </c>
      <c r="L157" s="67" t="inlineStr">
        <is>
          <t>N</t>
        </is>
      </c>
      <c r="M157" s="67" t="inlineStr">
        <is>
          <t>N</t>
        </is>
      </c>
      <c r="N157" s="148" t="n">
        <v>-500000</v>
      </c>
      <c r="O157" s="67" t="inlineStr">
        <is>
          <t>국민은행_계좌 조회 6개월(20260913).xls</t>
        </is>
      </c>
      <c r="P157" s="69" t="inlineStr">
        <is>
          <t>기존내역</t>
        </is>
      </c>
    </row>
    <row r="158">
      <c r="A158" s="146" t="n">
        <v>46311.68236111111</v>
      </c>
      <c r="B158" s="147" t="n">
        <v>46311</v>
      </c>
      <c r="C158" s="67" t="inlineStr">
        <is>
          <t>국민은행</t>
        </is>
      </c>
      <c r="D158" s="67" t="inlineStr">
        <is>
          <t>국민 170616</t>
        </is>
      </c>
      <c r="E158" s="148" t="n">
        <v>2500000</v>
      </c>
      <c r="F158" s="148" t="n">
        <v>0</v>
      </c>
      <c r="G158" s="148" t="n">
        <v>36550000</v>
      </c>
      <c r="H158" s="75" t="inlineStr">
        <is>
          <t>스마트출금</t>
        </is>
      </c>
      <c r="I158" s="75" t="inlineStr">
        <is>
          <t>특허법인 다옴</t>
        </is>
      </c>
      <c r="J158" s="75" t="inlineStr">
        <is>
          <t>진천역</t>
        </is>
      </c>
      <c r="K158" s="67" t="inlineStr">
        <is>
          <t>기타지출</t>
        </is>
      </c>
      <c r="L158" s="67" t="inlineStr">
        <is>
          <t>N</t>
        </is>
      </c>
      <c r="M158" s="67" t="inlineStr">
        <is>
          <t>N</t>
        </is>
      </c>
      <c r="N158" s="148" t="n">
        <v>-2500000</v>
      </c>
      <c r="O158" s="67" t="inlineStr">
        <is>
          <t>농협계좌_6개월(20260913).xls</t>
        </is>
      </c>
      <c r="P158" s="69" t="inlineStr">
        <is>
          <t>기존내역</t>
        </is>
      </c>
    </row>
    <row r="159">
      <c r="A159" s="146" t="n">
        <v>46311.68452546297</v>
      </c>
      <c r="B159" s="147" t="n">
        <v>46311</v>
      </c>
      <c r="C159" s="67" t="inlineStr">
        <is>
          <t>국민은행</t>
        </is>
      </c>
      <c r="D159" s="67" t="inlineStr">
        <is>
          <t>국민 170616</t>
        </is>
      </c>
      <c r="E159" s="148" t="n">
        <v>5000000</v>
      </c>
      <c r="F159" s="148" t="n">
        <v>0</v>
      </c>
      <c r="G159" s="148" t="n">
        <v>31550000</v>
      </c>
      <c r="H159" s="75" t="inlineStr">
        <is>
          <t>스마트출금</t>
        </is>
      </c>
      <c r="I159" s="75" t="inlineStr">
        <is>
          <t>(재)한국기계전기전</t>
        </is>
      </c>
      <c r="J159" s="75" t="inlineStr">
        <is>
          <t>진천역</t>
        </is>
      </c>
      <c r="K159" s="67" t="inlineStr">
        <is>
          <t>기타지출</t>
        </is>
      </c>
      <c r="L159" s="67" t="inlineStr">
        <is>
          <t>N</t>
        </is>
      </c>
      <c r="M159" s="67" t="inlineStr">
        <is>
          <t>N</t>
        </is>
      </c>
      <c r="N159" s="148" t="n">
        <v>-5000000</v>
      </c>
      <c r="O159" s="67" t="inlineStr">
        <is>
          <t>국민은행_계좌 조회 6개월(20260913).xls</t>
        </is>
      </c>
      <c r="P159" s="69" t="inlineStr">
        <is>
          <t>기존내역</t>
        </is>
      </c>
    </row>
    <row r="160">
      <c r="A160" s="146" t="n"/>
      <c r="B160" s="147" t="n"/>
      <c r="C160" s="67" t="n"/>
      <c r="D160" s="67" t="n"/>
      <c r="E160" s="148" t="n"/>
      <c r="F160" s="148" t="n"/>
      <c r="G160" s="148" t="n"/>
      <c r="H160" s="75" t="n"/>
      <c r="I160" s="75" t="n"/>
      <c r="J160" s="75" t="n"/>
      <c r="K160" s="67" t="n"/>
      <c r="L160" s="67" t="n"/>
      <c r="M160" s="67" t="n"/>
      <c r="N160" s="148" t="n"/>
      <c r="O160" s="67" t="inlineStr">
        <is>
          <t>국민은행_계좌 조회 6개월(20260913).xls</t>
        </is>
      </c>
      <c r="P160" s="69" t="inlineStr">
        <is>
          <t>기존내역</t>
        </is>
      </c>
    </row>
    <row r="161">
      <c r="A161" s="146" t="n"/>
      <c r="B161" s="147" t="n"/>
      <c r="C161" s="67" t="n"/>
      <c r="D161" s="67" t="n"/>
      <c r="E161" s="148" t="n"/>
      <c r="F161" s="148" t="n"/>
      <c r="G161" s="148" t="n"/>
      <c r="H161" s="75" t="n"/>
      <c r="I161" s="75" t="n"/>
      <c r="J161" s="75" t="n"/>
      <c r="K161" s="67" t="n"/>
      <c r="L161" s="67" t="n"/>
      <c r="M161" s="67" t="n"/>
      <c r="N161" s="148" t="n"/>
      <c r="O161" s="67" t="inlineStr">
        <is>
          <t>우리은행 거래내역조회 20260913.xlsx</t>
        </is>
      </c>
      <c r="P161" s="69" t="inlineStr">
        <is>
          <t>기존내역</t>
        </is>
      </c>
    </row>
    <row r="162">
      <c r="A162" s="146" t="n"/>
      <c r="B162" s="147" t="n"/>
      <c r="C162" s="67" t="n"/>
      <c r="D162" s="67" t="n"/>
      <c r="E162" s="148" t="n"/>
      <c r="F162" s="148" t="n"/>
      <c r="G162" s="148" t="n"/>
      <c r="H162" s="75" t="n"/>
      <c r="I162" s="75" t="n"/>
      <c r="J162" s="75" t="n"/>
      <c r="K162" s="67" t="n"/>
      <c r="L162" s="67" t="n"/>
      <c r="M162" s="67" t="n"/>
      <c r="N162" s="148" t="n"/>
      <c r="O162" s="67" t="inlineStr">
        <is>
          <t>국민은행_계좌 조회 6개월(20260913).xls</t>
        </is>
      </c>
      <c r="P162" s="69" t="inlineStr">
        <is>
          <t>기존내역</t>
        </is>
      </c>
    </row>
    <row r="163">
      <c r="A163" s="146" t="n"/>
      <c r="B163" s="147" t="n"/>
      <c r="C163" s="67" t="n"/>
      <c r="D163" s="67" t="n"/>
      <c r="E163" s="148" t="n"/>
      <c r="F163" s="148" t="n"/>
      <c r="G163" s="148" t="n"/>
      <c r="H163" s="75" t="n"/>
      <c r="I163" s="75" t="n"/>
      <c r="J163" s="75" t="n"/>
      <c r="K163" s="67" t="n"/>
      <c r="L163" s="67" t="n"/>
      <c r="M163" s="67" t="n"/>
      <c r="N163" s="148" t="n"/>
      <c r="O163" s="67" t="inlineStr">
        <is>
          <t>국민은행_계좌 조회 6개월(20260913).xls</t>
        </is>
      </c>
      <c r="P163" s="69" t="inlineStr">
        <is>
          <t>기존내역</t>
        </is>
      </c>
    </row>
    <row r="164">
      <c r="A164" s="146" t="n"/>
      <c r="B164" s="147" t="n"/>
      <c r="C164" s="67" t="n"/>
      <c r="D164" s="67" t="n"/>
      <c r="E164" s="148" t="n"/>
      <c r="F164" s="148" t="n"/>
      <c r="G164" s="148" t="n"/>
      <c r="H164" s="75" t="n"/>
      <c r="I164" s="75" t="n"/>
      <c r="J164" s="75" t="n"/>
      <c r="K164" s="67" t="n"/>
      <c r="L164" s="67" t="n"/>
      <c r="M164" s="67" t="n"/>
      <c r="N164" s="148" t="n"/>
      <c r="O164" s="67" t="inlineStr">
        <is>
          <t>국민은행_계좌 조회 6개월(20260913).xls</t>
        </is>
      </c>
      <c r="P164" s="69" t="inlineStr">
        <is>
          <t>기존내역</t>
        </is>
      </c>
    </row>
    <row r="165">
      <c r="A165" s="146" t="n"/>
      <c r="B165" s="147" t="n"/>
      <c r="C165" s="67" t="n"/>
      <c r="D165" s="67" t="n"/>
      <c r="E165" s="148" t="n"/>
      <c r="F165" s="148" t="n"/>
      <c r="G165" s="148" t="n"/>
      <c r="H165" s="75" t="n"/>
      <c r="I165" s="75" t="n"/>
      <c r="J165" s="75" t="n"/>
      <c r="K165" s="67" t="n"/>
      <c r="L165" s="67" t="n"/>
      <c r="M165" s="67" t="n"/>
      <c r="N165" s="148" t="n"/>
      <c r="O165" s="67" t="inlineStr">
        <is>
          <t>국민은행_계좌 조회 6개월(20260913).xls</t>
        </is>
      </c>
      <c r="P165" s="69" t="inlineStr">
        <is>
          <t>기존내역</t>
        </is>
      </c>
    </row>
    <row r="166">
      <c r="A166" s="146" t="n"/>
      <c r="B166" s="147" t="n"/>
      <c r="C166" s="67" t="n"/>
      <c r="D166" s="67" t="n"/>
      <c r="E166" s="148" t="n"/>
      <c r="F166" s="148" t="n"/>
      <c r="G166" s="148" t="n"/>
      <c r="H166" s="75" t="n"/>
      <c r="I166" s="75" t="n"/>
      <c r="J166" s="75" t="n"/>
      <c r="K166" s="67" t="n"/>
      <c r="L166" s="67" t="n"/>
      <c r="M166" s="67" t="n"/>
      <c r="N166" s="148" t="n"/>
      <c r="O166" s="67" t="inlineStr">
        <is>
          <t>우리은행 거래내역조회 20260913.xlsx</t>
        </is>
      </c>
      <c r="P166" s="69" t="inlineStr">
        <is>
          <t>기존내역</t>
        </is>
      </c>
    </row>
    <row r="167">
      <c r="A167" s="146" t="n"/>
      <c r="B167" s="147" t="n"/>
      <c r="C167" s="67" t="n"/>
      <c r="D167" s="67" t="n"/>
      <c r="E167" s="148" t="n"/>
      <c r="F167" s="148" t="n"/>
      <c r="G167" s="148" t="n"/>
      <c r="H167" s="75" t="n"/>
      <c r="I167" s="75" t="n"/>
      <c r="J167" s="75" t="n"/>
      <c r="K167" s="67" t="n"/>
      <c r="L167" s="67" t="n"/>
      <c r="M167" s="67" t="n"/>
      <c r="N167" s="148" t="n"/>
      <c r="O167" s="67" t="inlineStr">
        <is>
          <t>우리은행 거래내역조회 20260913.xlsx</t>
        </is>
      </c>
      <c r="P167" s="69" t="inlineStr">
        <is>
          <t>기존내역</t>
        </is>
      </c>
    </row>
    <row r="168">
      <c r="A168" s="146" t="n"/>
      <c r="B168" s="147" t="n"/>
      <c r="C168" s="67" t="n"/>
      <c r="D168" s="67" t="n"/>
      <c r="E168" s="148" t="n"/>
      <c r="F168" s="148" t="n"/>
      <c r="G168" s="148" t="n"/>
      <c r="H168" s="75" t="n"/>
      <c r="I168" s="75" t="n"/>
      <c r="J168" s="75" t="n"/>
      <c r="K168" s="67" t="n"/>
      <c r="L168" s="67" t="n"/>
      <c r="M168" s="67" t="n"/>
      <c r="N168" s="148" t="n"/>
      <c r="O168" s="67" t="inlineStr">
        <is>
          <t>우리은행 거래내역조회 20260913.xlsx</t>
        </is>
      </c>
      <c r="P168" s="69" t="inlineStr">
        <is>
          <t>기존내역</t>
        </is>
      </c>
    </row>
    <row r="169">
      <c r="A169" s="146" t="n"/>
      <c r="B169" s="147" t="n"/>
      <c r="C169" s="67" t="n"/>
      <c r="D169" s="67" t="n"/>
      <c r="E169" s="148" t="n"/>
      <c r="F169" s="148" t="n"/>
      <c r="G169" s="148" t="n"/>
      <c r="H169" s="75" t="n"/>
      <c r="I169" s="75" t="n"/>
      <c r="J169" s="75" t="n"/>
      <c r="K169" s="67" t="n"/>
      <c r="L169" s="67" t="n"/>
      <c r="M169" s="67" t="n"/>
      <c r="N169" s="148" t="n"/>
      <c r="O169" s="67" t="inlineStr">
        <is>
          <t>우리은행 거래내역조회 20260913.xlsx</t>
        </is>
      </c>
      <c r="P169" s="69" t="inlineStr">
        <is>
          <t>기존내역</t>
        </is>
      </c>
    </row>
    <row r="170">
      <c r="A170" s="146" t="n"/>
      <c r="B170" s="147" t="n"/>
      <c r="C170" s="67" t="n"/>
      <c r="D170" s="67" t="n"/>
      <c r="E170" s="148" t="n"/>
      <c r="F170" s="148" t="n"/>
      <c r="G170" s="148" t="n"/>
      <c r="H170" s="75" t="n"/>
      <c r="I170" s="75" t="n"/>
      <c r="J170" s="75" t="n"/>
      <c r="K170" s="67" t="n"/>
      <c r="L170" s="67" t="n"/>
      <c r="M170" s="67" t="n"/>
      <c r="N170" s="148" t="n"/>
      <c r="O170" s="67" t="inlineStr">
        <is>
          <t>우리은행 거래내역조회 20260913.xlsx</t>
        </is>
      </c>
      <c r="P170" s="69" t="inlineStr">
        <is>
          <t>기존내역</t>
        </is>
      </c>
    </row>
    <row r="171">
      <c r="A171" s="146" t="n"/>
      <c r="B171" s="147" t="n"/>
      <c r="C171" s="67" t="n"/>
      <c r="D171" s="67" t="n"/>
      <c r="E171" s="148" t="n"/>
      <c r="F171" s="148" t="n"/>
      <c r="G171" s="148" t="n"/>
      <c r="H171" s="75" t="n"/>
      <c r="I171" s="75" t="n"/>
      <c r="J171" s="75" t="n"/>
      <c r="K171" s="67" t="n"/>
      <c r="L171" s="67" t="n"/>
      <c r="M171" s="67" t="n"/>
      <c r="N171" s="148" t="n"/>
      <c r="O171" s="67" t="inlineStr">
        <is>
          <t>우리은행 거래내역조회 20260913.xlsx</t>
        </is>
      </c>
      <c r="P171" s="69" t="inlineStr">
        <is>
          <t>기존내역</t>
        </is>
      </c>
    </row>
    <row r="172">
      <c r="A172" s="146" t="n"/>
      <c r="B172" s="147" t="n"/>
      <c r="C172" s="67" t="n"/>
      <c r="D172" s="67" t="n"/>
      <c r="E172" s="148" t="n"/>
      <c r="F172" s="148" t="n"/>
      <c r="G172" s="148" t="n"/>
      <c r="H172" s="75" t="n"/>
      <c r="I172" s="75" t="n"/>
      <c r="J172" s="75" t="n"/>
      <c r="K172" s="67" t="n"/>
      <c r="L172" s="67" t="n"/>
      <c r="M172" s="67" t="n"/>
      <c r="N172" s="148" t="n"/>
      <c r="O172" s="67" t="inlineStr">
        <is>
          <t>국민은행_계좌 조회 6개월(20260913).xls</t>
        </is>
      </c>
      <c r="P172" s="69" t="inlineStr">
        <is>
          <t>기존내역</t>
        </is>
      </c>
    </row>
    <row r="173">
      <c r="A173" s="146" t="n"/>
      <c r="B173" s="147" t="n"/>
      <c r="C173" s="67" t="n"/>
      <c r="D173" s="67" t="n"/>
      <c r="E173" s="148" t="n"/>
      <c r="F173" s="148" t="n"/>
      <c r="G173" s="148" t="n"/>
      <c r="H173" s="75" t="n"/>
      <c r="I173" s="75" t="n"/>
      <c r="J173" s="75" t="n"/>
      <c r="K173" s="67" t="n"/>
      <c r="L173" s="67" t="n"/>
      <c r="M173" s="67" t="n"/>
      <c r="N173" s="148" t="n"/>
      <c r="O173" s="67" t="inlineStr">
        <is>
          <t>국민은행_계좌 조회 6개월(20260913).xls</t>
        </is>
      </c>
      <c r="P173" s="69" t="inlineStr">
        <is>
          <t>기존내역</t>
        </is>
      </c>
    </row>
    <row r="174">
      <c r="A174" s="146" t="n"/>
      <c r="B174" s="147" t="n"/>
      <c r="C174" s="67" t="n"/>
      <c r="D174" s="67" t="n"/>
      <c r="E174" s="148" t="n"/>
      <c r="F174" s="148" t="n"/>
      <c r="G174" s="148" t="n"/>
      <c r="H174" s="75" t="n"/>
      <c r="I174" s="75" t="n"/>
      <c r="J174" s="75" t="n"/>
      <c r="K174" s="67" t="n"/>
      <c r="L174" s="67" t="n"/>
      <c r="M174" s="67" t="n"/>
      <c r="N174" s="148" t="n"/>
      <c r="O174" s="67" t="inlineStr">
        <is>
          <t>국민은행_계좌 조회 6개월(20260913).xls</t>
        </is>
      </c>
      <c r="P174" s="69" t="inlineStr">
        <is>
          <t>기존내역</t>
        </is>
      </c>
    </row>
    <row r="175">
      <c r="A175" s="146" t="n"/>
      <c r="B175" s="147" t="n"/>
      <c r="C175" s="67" t="n"/>
      <c r="D175" s="67" t="n"/>
      <c r="E175" s="148" t="n"/>
      <c r="F175" s="148" t="n"/>
      <c r="G175" s="148" t="n"/>
      <c r="H175" s="75" t="n"/>
      <c r="I175" s="75" t="n"/>
      <c r="J175" s="75" t="n"/>
      <c r="K175" s="67" t="n"/>
      <c r="L175" s="67" t="n"/>
      <c r="M175" s="67" t="n"/>
      <c r="N175" s="148" t="n"/>
      <c r="O175" s="67" t="inlineStr">
        <is>
          <t>국민은행_계좌 조회 6개월(20260913).xls</t>
        </is>
      </c>
      <c r="P175" s="69" t="inlineStr">
        <is>
          <t>기존내역</t>
        </is>
      </c>
    </row>
    <row r="176">
      <c r="A176" s="146" t="n"/>
      <c r="B176" s="147" t="n"/>
      <c r="C176" s="67" t="n"/>
      <c r="D176" s="67" t="n"/>
      <c r="E176" s="148" t="n"/>
      <c r="F176" s="148" t="n"/>
      <c r="G176" s="148" t="n"/>
      <c r="H176" s="75" t="n"/>
      <c r="I176" s="75" t="n"/>
      <c r="J176" s="75" t="n"/>
      <c r="K176" s="67" t="n"/>
      <c r="L176" s="67" t="n"/>
      <c r="M176" s="67" t="n"/>
      <c r="N176" s="148" t="n"/>
      <c r="O176" s="67" t="inlineStr">
        <is>
          <t>국민은행_계좌 조회 6개월(20260913).xls</t>
        </is>
      </c>
      <c r="P176" s="69" t="inlineStr">
        <is>
          <t>기존내역</t>
        </is>
      </c>
    </row>
    <row r="177">
      <c r="A177" s="146" t="n"/>
      <c r="B177" s="147" t="n"/>
      <c r="C177" s="67" t="n"/>
      <c r="D177" s="67" t="n"/>
      <c r="E177" s="148" t="n"/>
      <c r="F177" s="148" t="n"/>
      <c r="G177" s="148" t="n"/>
      <c r="H177" s="75" t="n"/>
      <c r="I177" s="75" t="n"/>
      <c r="J177" s="75" t="n"/>
      <c r="K177" s="67" t="n"/>
      <c r="L177" s="67" t="n"/>
      <c r="M177" s="67" t="n"/>
      <c r="N177" s="148" t="n"/>
      <c r="O177" s="67" t="inlineStr">
        <is>
          <t>농협계좌_6개월(20260913).xls</t>
        </is>
      </c>
      <c r="P177" s="69" t="inlineStr">
        <is>
          <t>기존내역</t>
        </is>
      </c>
    </row>
    <row r="178">
      <c r="A178" s="146" t="n"/>
      <c r="B178" s="147" t="n"/>
      <c r="C178" s="67" t="n"/>
      <c r="D178" s="67" t="n"/>
      <c r="E178" s="148" t="n"/>
      <c r="F178" s="148" t="n"/>
      <c r="G178" s="148" t="n"/>
      <c r="H178" s="75" t="n"/>
      <c r="I178" s="75" t="n"/>
      <c r="J178" s="75" t="n"/>
      <c r="K178" s="67" t="n"/>
      <c r="L178" s="67" t="n"/>
      <c r="M178" s="67" t="n"/>
      <c r="N178" s="148" t="n"/>
      <c r="O178" s="67" t="inlineStr">
        <is>
          <t>우리은행 거래내역조회 20260913.xlsx</t>
        </is>
      </c>
      <c r="P178" s="69" t="inlineStr">
        <is>
          <t>기존내역</t>
        </is>
      </c>
    </row>
    <row r="179">
      <c r="A179" s="146" t="n"/>
      <c r="B179" s="147" t="n"/>
      <c r="C179" s="67" t="n"/>
      <c r="D179" s="67" t="n"/>
      <c r="E179" s="148" t="n"/>
      <c r="F179" s="148" t="n"/>
      <c r="G179" s="148" t="n"/>
      <c r="H179" s="75" t="n"/>
      <c r="I179" s="75" t="n"/>
      <c r="J179" s="75" t="n"/>
      <c r="K179" s="67" t="n"/>
      <c r="L179" s="67" t="n"/>
      <c r="M179" s="67" t="n"/>
      <c r="N179" s="148" t="n"/>
      <c r="O179" s="67" t="inlineStr">
        <is>
          <t>우리은행 거래내역조회 20260913.xlsx</t>
        </is>
      </c>
      <c r="P179" s="69" t="inlineStr">
        <is>
          <t>기존내역</t>
        </is>
      </c>
    </row>
    <row r="180">
      <c r="A180" s="146" t="n"/>
      <c r="B180" s="147" t="n"/>
      <c r="C180" s="67" t="n"/>
      <c r="D180" s="67" t="n"/>
      <c r="E180" s="148" t="n"/>
      <c r="F180" s="148" t="n"/>
      <c r="G180" s="148" t="n"/>
      <c r="H180" s="75" t="n"/>
      <c r="I180" s="75" t="n"/>
      <c r="J180" s="75" t="n"/>
      <c r="K180" s="67" t="n"/>
      <c r="L180" s="67" t="n"/>
      <c r="M180" s="67" t="n"/>
      <c r="N180" s="148" t="n"/>
      <c r="O180" s="67" t="inlineStr">
        <is>
          <t>우리은행 거래내역조회 20260913.xlsx</t>
        </is>
      </c>
      <c r="P180" s="69" t="inlineStr">
        <is>
          <t>기존내역</t>
        </is>
      </c>
    </row>
    <row r="181">
      <c r="A181" s="146" t="n"/>
      <c r="B181" s="147" t="n"/>
      <c r="C181" s="67" t="n"/>
      <c r="D181" s="67" t="n"/>
      <c r="E181" s="148" t="n"/>
      <c r="F181" s="148" t="n"/>
      <c r="G181" s="148" t="n"/>
      <c r="H181" s="75" t="n"/>
      <c r="I181" s="75" t="n"/>
      <c r="J181" s="75" t="n"/>
      <c r="K181" s="67" t="n"/>
      <c r="L181" s="67" t="n"/>
      <c r="M181" s="67" t="n"/>
      <c r="N181" s="148" t="n"/>
      <c r="O181" s="67" t="inlineStr">
        <is>
          <t>우리은행 거래내역조회 20260913.xlsx</t>
        </is>
      </c>
      <c r="P181" s="69" t="inlineStr">
        <is>
          <t>기존내역</t>
        </is>
      </c>
    </row>
    <row r="182">
      <c r="A182" s="146" t="n"/>
      <c r="B182" s="147" t="n"/>
      <c r="C182" s="67" t="n"/>
      <c r="D182" s="67" t="n"/>
      <c r="E182" s="148" t="n"/>
      <c r="F182" s="148" t="n"/>
      <c r="G182" s="148" t="n"/>
      <c r="H182" s="75" t="n"/>
      <c r="I182" s="75" t="n"/>
      <c r="J182" s="75" t="n"/>
      <c r="K182" s="67" t="n"/>
      <c r="L182" s="67" t="n"/>
      <c r="M182" s="67" t="n"/>
      <c r="N182" s="148" t="n"/>
      <c r="O182" s="67" t="inlineStr">
        <is>
          <t>우리은행 거래내역조회 20260913.xlsx</t>
        </is>
      </c>
      <c r="P182" s="69" t="inlineStr">
        <is>
          <t>기존내역</t>
        </is>
      </c>
    </row>
    <row r="183">
      <c r="A183" s="146" t="n"/>
      <c r="B183" s="147" t="n"/>
      <c r="C183" s="67" t="n"/>
      <c r="D183" s="67" t="n"/>
      <c r="E183" s="148" t="n"/>
      <c r="F183" s="148" t="n"/>
      <c r="G183" s="148" t="n"/>
      <c r="H183" s="75" t="n"/>
      <c r="I183" s="75" t="n"/>
      <c r="J183" s="75" t="n"/>
      <c r="K183" s="67" t="n"/>
      <c r="L183" s="67" t="n"/>
      <c r="M183" s="67" t="n"/>
      <c r="N183" s="148" t="n"/>
      <c r="O183" s="67" t="inlineStr">
        <is>
          <t>우리은행 거래내역조회 20260913.xlsx</t>
        </is>
      </c>
      <c r="P183" s="69" t="inlineStr">
        <is>
          <t>기존내역</t>
        </is>
      </c>
    </row>
    <row r="184">
      <c r="A184" s="146" t="n"/>
      <c r="B184" s="147" t="n"/>
      <c r="C184" s="67" t="n"/>
      <c r="D184" s="67" t="n"/>
      <c r="E184" s="148" t="n"/>
      <c r="F184" s="148" t="n"/>
      <c r="G184" s="148" t="n"/>
      <c r="H184" s="75" t="n"/>
      <c r="I184" s="75" t="n"/>
      <c r="J184" s="75" t="n"/>
      <c r="K184" s="67" t="n"/>
      <c r="L184" s="67" t="n"/>
      <c r="M184" s="67" t="n"/>
      <c r="N184" s="148" t="n"/>
      <c r="O184" s="67" t="inlineStr">
        <is>
          <t>우리은행 거래내역조회 20260913.xlsx</t>
        </is>
      </c>
      <c r="P184" s="69" t="inlineStr">
        <is>
          <t>기존내역</t>
        </is>
      </c>
    </row>
    <row r="185">
      <c r="A185" s="146" t="n"/>
      <c r="B185" s="147" t="n"/>
      <c r="C185" s="67" t="n"/>
      <c r="D185" s="67" t="n"/>
      <c r="E185" s="148" t="n"/>
      <c r="F185" s="148" t="n"/>
      <c r="G185" s="148" t="n"/>
      <c r="H185" s="75" t="n"/>
      <c r="I185" s="75" t="n"/>
      <c r="J185" s="75" t="n"/>
      <c r="K185" s="67" t="n"/>
      <c r="L185" s="67" t="n"/>
      <c r="M185" s="67" t="n"/>
      <c r="N185" s="148" t="n"/>
      <c r="O185" s="67" t="inlineStr">
        <is>
          <t>우리은행 거래내역조회 20260913.xlsx</t>
        </is>
      </c>
      <c r="P185" s="69" t="inlineStr">
        <is>
          <t>기존내역</t>
        </is>
      </c>
    </row>
    <row r="186">
      <c r="A186" s="146" t="n"/>
      <c r="B186" s="147" t="n"/>
      <c r="C186" s="67" t="n"/>
      <c r="D186" s="67" t="n"/>
      <c r="E186" s="148" t="n"/>
      <c r="F186" s="148" t="n"/>
      <c r="G186" s="148" t="n"/>
      <c r="H186" s="75" t="n"/>
      <c r="I186" s="75" t="n"/>
      <c r="J186" s="75" t="n"/>
      <c r="K186" s="67" t="n"/>
      <c r="L186" s="67" t="n"/>
      <c r="M186" s="67" t="n"/>
      <c r="N186" s="148" t="n"/>
      <c r="O186" s="67" t="inlineStr">
        <is>
          <t>국민은행_계좌 조회 6개월(20260913).xls</t>
        </is>
      </c>
      <c r="P186" s="69" t="inlineStr">
        <is>
          <t>기존내역</t>
        </is>
      </c>
    </row>
    <row r="187">
      <c r="A187" s="146" t="n"/>
      <c r="B187" s="147" t="n"/>
      <c r="C187" s="67" t="n"/>
      <c r="D187" s="67" t="n"/>
      <c r="E187" s="148" t="n"/>
      <c r="F187" s="148" t="n"/>
      <c r="G187" s="148" t="n"/>
      <c r="H187" s="75" t="n"/>
      <c r="I187" s="75" t="n"/>
      <c r="J187" s="75" t="n"/>
      <c r="K187" s="67" t="n"/>
      <c r="L187" s="67" t="n"/>
      <c r="M187" s="67" t="n"/>
      <c r="N187" s="148" t="n"/>
      <c r="O187" s="67" t="inlineStr">
        <is>
          <t>국민은행_계좌 조회 6개월(20260913).xls</t>
        </is>
      </c>
      <c r="P187" s="69" t="inlineStr">
        <is>
          <t>기존내역</t>
        </is>
      </c>
    </row>
    <row r="188">
      <c r="A188" s="146" t="n"/>
      <c r="B188" s="147" t="n"/>
      <c r="C188" s="67" t="n"/>
      <c r="D188" s="67" t="n"/>
      <c r="E188" s="148" t="n"/>
      <c r="F188" s="148" t="n"/>
      <c r="G188" s="148" t="n"/>
      <c r="H188" s="75" t="n"/>
      <c r="I188" s="75" t="n"/>
      <c r="J188" s="75" t="n"/>
      <c r="K188" s="67" t="n"/>
      <c r="L188" s="67" t="n"/>
      <c r="M188" s="67" t="n"/>
      <c r="N188" s="148" t="n"/>
      <c r="O188" s="67" t="inlineStr">
        <is>
          <t>농협계좌_6개월(20260913).xls</t>
        </is>
      </c>
      <c r="P188" s="69" t="inlineStr">
        <is>
          <t>기존내역</t>
        </is>
      </c>
    </row>
    <row r="189">
      <c r="A189" s="146" t="n"/>
      <c r="B189" s="147" t="n"/>
      <c r="C189" s="67" t="n"/>
      <c r="D189" s="67" t="n"/>
      <c r="E189" s="148" t="n"/>
      <c r="F189" s="148" t="n"/>
      <c r="G189" s="148" t="n"/>
      <c r="H189" s="75" t="n"/>
      <c r="I189" s="75" t="n"/>
      <c r="J189" s="75" t="n"/>
      <c r="K189" s="67" t="n"/>
      <c r="L189" s="67" t="n"/>
      <c r="M189" s="67" t="n"/>
      <c r="N189" s="148" t="n"/>
      <c r="O189" s="67" t="inlineStr">
        <is>
          <t>우리은행 거래내역조회 20260913.xlsx</t>
        </is>
      </c>
      <c r="P189" s="69" t="inlineStr">
        <is>
          <t>기존내역</t>
        </is>
      </c>
    </row>
    <row r="190">
      <c r="A190" s="146" t="n"/>
      <c r="B190" s="147" t="n"/>
      <c r="C190" s="67" t="n"/>
      <c r="D190" s="67" t="n"/>
      <c r="E190" s="148" t="n"/>
      <c r="F190" s="148" t="n"/>
      <c r="G190" s="148" t="n"/>
      <c r="H190" s="75" t="n"/>
      <c r="I190" s="75" t="inlineStr"/>
      <c r="J190" s="75" t="n"/>
      <c r="K190" s="67" t="n"/>
      <c r="L190" s="67" t="n"/>
      <c r="M190" s="67" t="n"/>
      <c r="N190" s="148" t="n"/>
      <c r="O190" s="67" t="inlineStr">
        <is>
          <t>국민은행_계좌 조회 6개월(20260913).xls</t>
        </is>
      </c>
      <c r="P190" s="69" t="inlineStr">
        <is>
          <t>기존내역</t>
        </is>
      </c>
    </row>
    <row r="191">
      <c r="A191" s="146" t="n"/>
      <c r="B191" s="147" t="n"/>
      <c r="C191" s="67" t="n"/>
      <c r="D191" s="67" t="n"/>
      <c r="E191" s="148" t="n"/>
      <c r="F191" s="148" t="n"/>
      <c r="G191" s="148" t="n"/>
      <c r="H191" s="75" t="n"/>
      <c r="I191" s="75" t="n"/>
      <c r="J191" s="75" t="n"/>
      <c r="K191" s="67" t="n"/>
      <c r="L191" s="67" t="n"/>
      <c r="M191" s="67" t="n"/>
      <c r="N191" s="148" t="n"/>
      <c r="O191" s="67" t="inlineStr">
        <is>
          <t>우리은행 거래내역조회 20260913.xlsx</t>
        </is>
      </c>
      <c r="P191" s="69" t="inlineStr">
        <is>
          <t>기존내역</t>
        </is>
      </c>
    </row>
    <row r="192">
      <c r="A192" s="146" t="n"/>
      <c r="B192" s="147" t="n"/>
      <c r="C192" s="67" t="n"/>
      <c r="D192" s="67" t="n"/>
      <c r="E192" s="148" t="n"/>
      <c r="F192" s="148" t="n"/>
      <c r="G192" s="148" t="n"/>
      <c r="H192" s="75" t="n"/>
      <c r="I192" s="75" t="n"/>
      <c r="J192" s="75" t="n"/>
      <c r="K192" s="67" t="n"/>
      <c r="L192" s="67" t="n"/>
      <c r="M192" s="67" t="n"/>
      <c r="N192" s="148" t="n"/>
      <c r="O192" s="67" t="inlineStr">
        <is>
          <t>국민은행_계좌 조회 6개월(20260913).xls</t>
        </is>
      </c>
      <c r="P192" s="69" t="inlineStr">
        <is>
          <t>기존내역</t>
        </is>
      </c>
    </row>
    <row r="193">
      <c r="A193" s="146" t="n"/>
      <c r="B193" s="147" t="n"/>
      <c r="C193" s="67" t="n"/>
      <c r="D193" s="67" t="n"/>
      <c r="E193" s="148" t="n"/>
      <c r="F193" s="148" t="n"/>
      <c r="G193" s="148" t="n"/>
      <c r="H193" s="75" t="n"/>
      <c r="I193" s="75" t="inlineStr"/>
      <c r="J193" s="75" t="n"/>
      <c r="K193" s="67" t="n"/>
      <c r="L193" s="67" t="n"/>
      <c r="M193" s="67" t="n"/>
      <c r="N193" s="148" t="n"/>
      <c r="O193" s="67" t="inlineStr">
        <is>
          <t>농협계좌_6개월(20260913).xls</t>
        </is>
      </c>
      <c r="P193" s="69" t="inlineStr">
        <is>
          <t>기존내역</t>
        </is>
      </c>
    </row>
    <row r="194">
      <c r="A194" s="146" t="n"/>
      <c r="B194" s="147" t="n"/>
      <c r="C194" s="67" t="n"/>
      <c r="D194" s="67" t="n"/>
      <c r="E194" s="148" t="n"/>
      <c r="F194" s="148" t="n"/>
      <c r="G194" s="148" t="n"/>
      <c r="H194" s="75" t="n"/>
      <c r="I194" s="75" t="n"/>
      <c r="J194" s="75" t="n"/>
      <c r="K194" s="67" t="n"/>
      <c r="L194" s="67" t="n"/>
      <c r="M194" s="67" t="n"/>
      <c r="N194" s="148" t="n"/>
      <c r="O194" s="67" t="inlineStr">
        <is>
          <t>국민은행_계좌 조회 6개월(20260913).xls</t>
        </is>
      </c>
      <c r="P194" s="69" t="inlineStr">
        <is>
          <t>기존내역</t>
        </is>
      </c>
    </row>
    <row r="195">
      <c r="A195" s="146" t="n"/>
      <c r="B195" s="147" t="n"/>
      <c r="C195" s="67" t="n"/>
      <c r="D195" s="67" t="n"/>
      <c r="E195" s="148" t="n"/>
      <c r="F195" s="148" t="n"/>
      <c r="G195" s="148" t="n"/>
      <c r="H195" s="75" t="n"/>
      <c r="I195" s="75" t="n"/>
      <c r="J195" s="75" t="n"/>
      <c r="K195" s="67" t="n"/>
      <c r="L195" s="67" t="n"/>
      <c r="M195" s="67" t="n"/>
      <c r="N195" s="148" t="n"/>
      <c r="O195" s="67" t="inlineStr">
        <is>
          <t>국민은행_계좌 조회 6개월(20260913).xls</t>
        </is>
      </c>
      <c r="P195" s="69" t="inlineStr">
        <is>
          <t>기존내역</t>
        </is>
      </c>
    </row>
    <row r="196">
      <c r="A196" s="146" t="n"/>
      <c r="B196" s="147" t="n"/>
      <c r="C196" s="67" t="n"/>
      <c r="D196" s="67" t="n"/>
      <c r="E196" s="148" t="n"/>
      <c r="F196" s="148" t="n"/>
      <c r="G196" s="148" t="n"/>
      <c r="H196" s="75" t="n"/>
      <c r="I196" s="75" t="n"/>
      <c r="J196" s="75" t="n"/>
      <c r="K196" s="67" t="n"/>
      <c r="L196" s="67" t="n"/>
      <c r="M196" s="67" t="n"/>
      <c r="N196" s="148" t="n"/>
      <c r="O196" s="67" t="inlineStr">
        <is>
          <t>국민은행_계좌 조회 6개월(20260913).xls</t>
        </is>
      </c>
      <c r="P196" s="69" t="inlineStr">
        <is>
          <t>기존내역</t>
        </is>
      </c>
    </row>
    <row r="197">
      <c r="A197" s="146" t="n"/>
      <c r="B197" s="147" t="n"/>
      <c r="C197" s="67" t="n"/>
      <c r="D197" s="67" t="n"/>
      <c r="E197" s="148" t="n"/>
      <c r="F197" s="148" t="n"/>
      <c r="G197" s="148" t="n"/>
      <c r="H197" s="75" t="n"/>
      <c r="I197" s="75" t="n"/>
      <c r="J197" s="75" t="n"/>
      <c r="K197" s="67" t="n"/>
      <c r="L197" s="67" t="n"/>
      <c r="M197" s="67" t="n"/>
      <c r="N197" s="148" t="n"/>
      <c r="O197" s="67" t="inlineStr">
        <is>
          <t>국민은행_계좌 조회 6개월(20260913).xls</t>
        </is>
      </c>
      <c r="P197" s="69" t="inlineStr">
        <is>
          <t>기존내역</t>
        </is>
      </c>
    </row>
    <row r="198">
      <c r="A198" s="146" t="n"/>
      <c r="B198" s="147" t="n"/>
      <c r="C198" s="67" t="n"/>
      <c r="D198" s="67" t="n"/>
      <c r="E198" s="148" t="n"/>
      <c r="F198" s="148" t="n"/>
      <c r="G198" s="148" t="n"/>
      <c r="H198" s="75" t="n"/>
      <c r="I198" s="75" t="n"/>
      <c r="J198" s="75" t="n"/>
      <c r="K198" s="67" t="n"/>
      <c r="L198" s="67" t="n"/>
      <c r="M198" s="67" t="n"/>
      <c r="N198" s="148" t="n"/>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9149149</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22299776</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15522234</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11514900</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6913091</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2026-10-17T12:21:24Z</dcterms:modified>
</cp:coreProperties>
</file>