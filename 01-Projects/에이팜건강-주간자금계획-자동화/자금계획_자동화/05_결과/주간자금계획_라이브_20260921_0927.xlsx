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 hidden="1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10342786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/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n"/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5202101</v>
      </c>
      <c r="H30" s="132">
        <f>C30+D30-E30-F30-G30</f>
        <v/>
      </c>
      <c r="I30" s="132">
        <f>J29</f>
        <v/>
      </c>
      <c r="J30" s="132">
        <f>I30+H30</f>
        <v/>
      </c>
      <c r="K30" s="175" t="inlineStr">
        <is>
          <t>자동추정: ABL생명, KB카드출금, LGU, LGUMM</t>
        </is>
      </c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204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Y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Y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Y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Y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Y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Y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Y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Y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Y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Y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Y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Y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210" t="n">
        <v>46284.39604166667</v>
      </c>
      <c r="B153" s="211" t="n">
        <v>46284</v>
      </c>
      <c r="C153" s="67" t="inlineStr">
        <is>
          <t>우리은행</t>
        </is>
      </c>
      <c r="D153" s="67" t="inlineStr">
        <is>
          <t>우리 220351</t>
        </is>
      </c>
      <c r="E153" s="148" t="n">
        <v>0</v>
      </c>
      <c r="F153" s="148" t="n">
        <v>2852</v>
      </c>
      <c r="G153" s="148" t="n">
        <v>11948137</v>
      </c>
      <c r="H153" s="75" t="inlineStr">
        <is>
          <t>예금결산</t>
        </is>
      </c>
      <c r="I153" s="75" t="inlineStr">
        <is>
          <t>예금결산이자</t>
        </is>
      </c>
      <c r="J153" s="75" t="inlineStr">
        <is>
          <t>성서공단금융센터</t>
        </is>
      </c>
      <c r="K153" s="67" t="inlineStr">
        <is>
          <t>기타입금</t>
        </is>
      </c>
      <c r="L153" s="67" t="inlineStr">
        <is>
          <t>N</t>
        </is>
      </c>
      <c r="M153" s="67" t="inlineStr">
        <is>
          <t>N</t>
        </is>
      </c>
      <c r="N153" s="148" t="n">
        <v>2852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210" t="n">
        <v>46285.82394675926</v>
      </c>
      <c r="B154" s="211" t="n">
        <v>46285</v>
      </c>
      <c r="C154" s="67" t="inlineStr">
        <is>
          <t>국민은행</t>
        </is>
      </c>
      <c r="D154" s="67" t="inlineStr">
        <is>
          <t>국민 154577</t>
        </is>
      </c>
      <c r="E154" s="148" t="n">
        <v>0</v>
      </c>
      <c r="F154" s="148" t="n">
        <v>37000</v>
      </c>
      <c r="G154" s="148" t="n">
        <v>20184954</v>
      </c>
      <c r="H154" s="75" t="inlineStr">
        <is>
          <t>전자금융</t>
        </is>
      </c>
      <c r="I154" s="75" t="inlineStr">
        <is>
          <t>김은미</t>
        </is>
      </c>
      <c r="J154" s="75" t="inlineStr">
        <is>
          <t>카뱅</t>
        </is>
      </c>
      <c r="K154" s="67" t="inlineStr">
        <is>
          <t>기타입금</t>
        </is>
      </c>
      <c r="L154" s="67" t="inlineStr">
        <is>
          <t>N</t>
        </is>
      </c>
      <c r="M154" s="67" t="inlineStr">
        <is>
          <t>N</t>
        </is>
      </c>
      <c r="N154" s="148" t="n">
        <v>37000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46286.14091435185</v>
      </c>
      <c r="B155" s="147" t="n">
        <v>46286</v>
      </c>
      <c r="C155" s="67" t="inlineStr">
        <is>
          <t>우리은행</t>
        </is>
      </c>
      <c r="D155" s="67" t="inlineStr">
        <is>
          <t>우리 220351</t>
        </is>
      </c>
      <c r="E155" s="148" t="n">
        <v>85621</v>
      </c>
      <c r="F155" s="148" t="n">
        <v>0</v>
      </c>
      <c r="G155" s="148" t="n">
        <v>11727894</v>
      </c>
      <c r="H155" s="75" t="inlineStr">
        <is>
          <t>통신요금</t>
        </is>
      </c>
      <c r="I155" s="75" t="inlineStr">
        <is>
          <t>SKB6486358411</t>
        </is>
      </c>
      <c r="J155" s="75" t="inlineStr">
        <is>
          <t>성서공단금융센터</t>
        </is>
      </c>
      <c r="K155" s="67" t="inlineStr">
        <is>
          <t>기타지출</t>
        </is>
      </c>
      <c r="L155" s="67" t="inlineStr">
        <is>
          <t>N</t>
        </is>
      </c>
      <c r="M155" s="67" t="inlineStr">
        <is>
          <t>N</t>
        </is>
      </c>
      <c r="N155" s="148" t="n">
        <v>-85621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46286.14091435185</v>
      </c>
      <c r="B156" s="147" t="n">
        <v>46286</v>
      </c>
      <c r="C156" s="67" t="inlineStr">
        <is>
          <t>우리은행</t>
        </is>
      </c>
      <c r="D156" s="67" t="inlineStr">
        <is>
          <t>우리 220351</t>
        </is>
      </c>
      <c r="E156" s="148" t="n">
        <v>134622</v>
      </c>
      <c r="F156" s="148" t="n">
        <v>0</v>
      </c>
      <c r="G156" s="148" t="n">
        <v>11813515</v>
      </c>
      <c r="H156" s="75" t="inlineStr">
        <is>
          <t>통신요금</t>
        </is>
      </c>
      <c r="I156" s="75" t="inlineStr">
        <is>
          <t>SKB6452342048</t>
        </is>
      </c>
      <c r="J156" s="75" t="inlineStr">
        <is>
          <t>성서공단금융센터</t>
        </is>
      </c>
      <c r="K156" s="67" t="inlineStr">
        <is>
          <t>기타지출</t>
        </is>
      </c>
      <c r="L156" s="67" t="inlineStr">
        <is>
          <t>N</t>
        </is>
      </c>
      <c r="M156" s="67" t="inlineStr">
        <is>
          <t>N</t>
        </is>
      </c>
      <c r="N156" s="148" t="n">
        <v>-134622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46286.14101851852</v>
      </c>
      <c r="B157" s="147" t="n">
        <v>46286</v>
      </c>
      <c r="C157" s="67" t="inlineStr">
        <is>
          <t>우리은행</t>
        </is>
      </c>
      <c r="D157" s="67" t="inlineStr">
        <is>
          <t>우리 220351</t>
        </is>
      </c>
      <c r="E157" s="148" t="n">
        <v>107800</v>
      </c>
      <c r="F157" s="148" t="n">
        <v>0</v>
      </c>
      <c r="G157" s="148" t="n">
        <v>11620094</v>
      </c>
      <c r="H157" s="75" t="inlineStr">
        <is>
          <t>지로자동</t>
        </is>
      </c>
      <c r="I157" s="75" t="inlineStr">
        <is>
          <t>S1(N6203178)</t>
        </is>
      </c>
      <c r="J157" s="75" t="inlineStr">
        <is>
          <t>성서공단금융센터</t>
        </is>
      </c>
      <c r="K157" s="67" t="inlineStr">
        <is>
          <t>기타지출</t>
        </is>
      </c>
      <c r="L157" s="67" t="inlineStr">
        <is>
          <t>N</t>
        </is>
      </c>
      <c r="M157" s="67" t="inlineStr">
        <is>
          <t>N</t>
        </is>
      </c>
      <c r="N157" s="148" t="n">
        <v>-107800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46286.21854166667</v>
      </c>
      <c r="B158" s="147" t="n">
        <v>46286</v>
      </c>
      <c r="C158" s="67" t="inlineStr">
        <is>
          <t>우리은행</t>
        </is>
      </c>
      <c r="D158" s="67" t="inlineStr">
        <is>
          <t>우리 220351</t>
        </is>
      </c>
      <c r="E158" s="148" t="n">
        <v>0</v>
      </c>
      <c r="F158" s="148" t="n">
        <v>5694170</v>
      </c>
      <c r="G158" s="148" t="n">
        <v>17314264</v>
      </c>
      <c r="H158" s="75" t="inlineStr">
        <is>
          <t>펌뱅킹</t>
        </is>
      </c>
      <c r="I158" s="75" t="inlineStr">
        <is>
          <t>스마트스토어정산</t>
        </is>
      </c>
      <c r="J158" s="75" t="inlineStr">
        <is>
          <t>두산타워기업영업지원팀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5694170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2026-09-21T00:27:46Z</dcterms:modified>
</cp:coreProperties>
</file>