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2">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F2CC"/>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8" fontId="20" fillId="10" borderId="24" pivotButton="0" quotePrefix="0" xfId="0"/>
    <xf numFmtId="3" fontId="20" fillId="10" borderId="24" applyAlignment="1" pivotButton="0" quotePrefix="0" xfId="0">
      <alignment vertical="center"/>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164" fontId="13" fillId="13"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4" fontId="13" fillId="14" borderId="29" applyAlignment="1" pivotButton="0" quotePrefix="0" xfId="0">
      <alignment vertical="center"/>
    </xf>
    <xf numFmtId="3" fontId="13" fillId="14" borderId="29" applyAlignment="1" pivotButton="0" quotePrefix="0" xfId="0">
      <alignment vertical="center"/>
    </xf>
    <xf numFmtId="0" fontId="13" fillId="0" borderId="32" applyAlignment="1" pivotButton="0" quotePrefix="0" xfId="0">
      <alignment horizontal="left" vertical="top" wrapText="1"/>
    </xf>
    <xf numFmtId="165" fontId="13" fillId="0" borderId="33"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164" fontId="13" fillId="13"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4" fontId="13" fillId="14" borderId="24" applyAlignment="1" pivotButton="0" quotePrefix="0" xfId="0">
      <alignment vertical="center"/>
    </xf>
    <xf numFmtId="3" fontId="13" fillId="14" borderId="24" applyAlignment="1" pivotButton="0" quotePrefix="0" xfId="0">
      <alignment vertical="center"/>
    </xf>
    <xf numFmtId="0" fontId="13" fillId="0" borderId="34" applyAlignment="1" pivotButton="0" quotePrefix="0" xfId="0">
      <alignment horizontal="left" vertical="top" wrapText="1"/>
    </xf>
    <xf numFmtId="165" fontId="21" fillId="0" borderId="33" applyAlignment="1" pivotButton="0" quotePrefix="0" xfId="0">
      <alignment vertical="center"/>
    </xf>
    <xf numFmtId="0" fontId="21" fillId="0" borderId="24" applyAlignment="1" pivotButton="0" quotePrefix="0" xfId="0">
      <alignment vertical="center"/>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4" fontId="13" fillId="14" borderId="30" applyAlignment="1" pivotButton="0" quotePrefix="0" xfId="0">
      <alignment vertical="center"/>
    </xf>
    <xf numFmtId="3" fontId="13" fillId="14" borderId="30" applyAlignment="1" pivotButton="0" quotePrefix="0" xfId="0">
      <alignment vertical="center"/>
    </xf>
    <xf numFmtId="0" fontId="13" fillId="0" borderId="36" applyAlignment="1" pivotButton="0" quotePrefix="0" xfId="0">
      <alignment horizontal="left" vertical="center"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165" fontId="13" fillId="0" borderId="24" applyAlignment="1" pivotButton="0" quotePrefix="0" xfId="0">
      <alignment vertical="center"/>
    </xf>
    <xf numFmtId="0" fontId="13" fillId="0" borderId="24" applyAlignment="1" pivotButton="0" quotePrefix="0" xfId="0">
      <alignment horizontal="left" vertical="center" wrapText="1"/>
    </xf>
    <xf numFmtId="0" fontId="0" fillId="0" borderId="24" pivotButton="0" quotePrefix="0" xfId="0"/>
    <xf numFmtId="0" fontId="18" fillId="15" borderId="24" applyAlignment="1" pivotButton="0" quotePrefix="0" xfId="0">
      <alignment horizontal="left" vertical="center"/>
    </xf>
    <xf numFmtId="0" fontId="18" fillId="16" borderId="24" applyAlignment="1" pivotButton="0" quotePrefix="0" xfId="0">
      <alignment horizontal="left" vertical="center"/>
    </xf>
    <xf numFmtId="0" fontId="18" fillId="17" borderId="24" applyAlignment="1" pivotButton="0" quotePrefix="0" xfId="0">
      <alignment horizontal="center" vertical="center"/>
    </xf>
    <xf numFmtId="0" fontId="0" fillId="0" borderId="39" pivotButton="0" quotePrefix="0" xfId="0"/>
    <xf numFmtId="0" fontId="18" fillId="15" borderId="24" applyAlignment="1" pivotButton="0" quotePrefix="0" xfId="0">
      <alignment horizontal="center" vertical="center"/>
    </xf>
    <xf numFmtId="0" fontId="18" fillId="16"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0" fontId="13" fillId="0" borderId="0" applyAlignment="1" pivotButton="0" quotePrefix="0" xfId="0">
      <alignment vertical="center" wrapText="1"/>
    </xf>
    <xf numFmtId="3" fontId="13" fillId="0" borderId="0" applyAlignment="1" pivotButton="0" quotePrefix="0" xfId="0">
      <alignment vertical="center"/>
    </xf>
    <xf numFmtId="0" fontId="20"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20"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20" borderId="19" applyAlignment="1" pivotButton="0" quotePrefix="0" xfId="0">
      <alignment vertical="center"/>
    </xf>
    <xf numFmtId="0" fontId="16" fillId="0" borderId="19" applyAlignment="1" pivotButton="0" quotePrefix="0" xfId="0">
      <alignment horizontal="center" vertical="center"/>
    </xf>
    <xf numFmtId="3" fontId="16" fillId="20" borderId="19" applyAlignment="1" pivotButton="0" quotePrefix="0" xfId="0">
      <alignment vertical="center"/>
    </xf>
    <xf numFmtId="0" fontId="16" fillId="20"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3" fontId="16" fillId="21"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20" borderId="19" applyAlignment="1" pivotButton="0" quotePrefix="0" xfId="0">
      <alignment vertical="center"/>
    </xf>
    <xf numFmtId="3" fontId="16" fillId="0" borderId="0" applyAlignment="1" pivotButton="0" quotePrefix="0" xfId="0">
      <alignment vertical="center"/>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21"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8" fontId="20" fillId="10" borderId="24" pivotButton="0" quotePrefix="0" xfId="0"/>
    <xf numFmtId="167" fontId="13" fillId="11"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2026-10-12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95837240</v>
      </c>
      <c r="C6" s="2" t="n"/>
      <c r="D6" s="2" t="inlineStr">
        <is>
          <t>국민 154577</t>
        </is>
      </c>
      <c r="E6" s="120" t="n">
        <v>46305</v>
      </c>
      <c r="F6" s="119" t="n">
        <v>50572029</v>
      </c>
      <c r="G6" s="2" t="n"/>
      <c r="H6" s="2" t="n"/>
      <c r="I6" s="2" t="n"/>
      <c r="J6" s="2" t="n"/>
      <c r="K6" s="2" t="n"/>
      <c r="L6" s="2" t="n"/>
      <c r="M6" s="2" t="n"/>
      <c r="N6" s="2" t="n"/>
      <c r="O6" s="2" t="n"/>
      <c r="P6" s="2" t="n"/>
    </row>
    <row r="7">
      <c r="A7" s="9" t="inlineStr">
        <is>
          <t>6개월 외부입금</t>
        </is>
      </c>
      <c r="B7" s="119" t="n">
        <v>3517804281</v>
      </c>
      <c r="C7" s="2" t="n"/>
      <c r="D7" s="2" t="inlineStr">
        <is>
          <t>국민 169124</t>
        </is>
      </c>
      <c r="E7" s="120" t="n">
        <v>46303</v>
      </c>
      <c r="F7" s="119" t="n">
        <v>20000000</v>
      </c>
      <c r="G7" s="2" t="n"/>
      <c r="H7" s="2" t="n"/>
      <c r="I7" s="2" t="n"/>
      <c r="J7" s="2" t="n"/>
      <c r="K7" s="2" t="n"/>
      <c r="L7" s="2" t="n"/>
      <c r="M7" s="2" t="n"/>
      <c r="N7" s="2" t="n"/>
      <c r="O7" s="2" t="n"/>
      <c r="P7" s="2" t="n"/>
    </row>
    <row r="8">
      <c r="A8" s="9" t="inlineStr">
        <is>
          <t>6개월 외부출금</t>
        </is>
      </c>
      <c r="B8" s="119" t="n">
        <v>3742099631</v>
      </c>
      <c r="C8" s="2" t="n"/>
      <c r="D8" s="2" t="inlineStr">
        <is>
          <t>농협 569003</t>
        </is>
      </c>
      <c r="E8" s="120" t="n">
        <v>46303</v>
      </c>
      <c r="F8" s="119" t="n">
        <v>9186423</v>
      </c>
      <c r="G8" s="2" t="n"/>
      <c r="H8" s="2" t="n"/>
      <c r="I8" s="2" t="n"/>
      <c r="J8" s="2" t="n"/>
      <c r="K8" s="2" t="n"/>
      <c r="L8" s="2" t="n"/>
      <c r="M8" s="2" t="n"/>
      <c r="N8" s="2" t="n"/>
      <c r="O8" s="2" t="n"/>
      <c r="P8" s="2" t="n"/>
    </row>
    <row r="9">
      <c r="A9" s="9" t="inlineStr">
        <is>
          <t>온라인매출 입금</t>
        </is>
      </c>
      <c r="B9" s="119" t="n">
        <v>2166497341</v>
      </c>
      <c r="C9" s="2" t="n"/>
      <c r="D9" s="2" t="inlineStr">
        <is>
          <t>우리 220351</t>
        </is>
      </c>
      <c r="E9" s="120" t="n">
        <v>46307</v>
      </c>
      <c r="F9" s="119" t="n">
        <v>16078788</v>
      </c>
      <c r="G9" s="2" t="n"/>
      <c r="H9" s="2" t="n"/>
      <c r="I9" s="2" t="n"/>
      <c r="J9" s="2" t="n"/>
      <c r="K9" s="2" t="n"/>
      <c r="L9" s="2" t="n"/>
      <c r="M9" s="2" t="n"/>
      <c r="N9" s="2" t="n"/>
      <c r="O9" s="2" t="n"/>
      <c r="P9" s="2" t="n"/>
    </row>
    <row r="10">
      <c r="A10" s="9" t="inlineStr">
        <is>
          <t>최근 12주 주평균 온라인입금</t>
        </is>
      </c>
      <c r="B10" s="119" t="n">
        <v>65399150</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50</v>
      </c>
      <c r="C28" s="173" t="n">
        <v>46296</v>
      </c>
      <c r="D28" s="173" t="n">
        <v>46305</v>
      </c>
      <c r="E28" s="2" t="n"/>
      <c r="F28" s="2" t="n"/>
      <c r="G28" s="2" t="n"/>
      <c r="H28" s="2" t="n"/>
      <c r="I28" s="2" t="n"/>
      <c r="J28" s="2" t="n"/>
      <c r="K28" s="2" t="n"/>
      <c r="L28" s="2" t="n"/>
      <c r="M28" s="2" t="n"/>
      <c r="N28" s="2" t="n"/>
      <c r="O28" s="2" t="n"/>
      <c r="P28" s="2" t="n"/>
    </row>
    <row r="29">
      <c r="A29" s="171" t="inlineStr">
        <is>
          <t>농협</t>
        </is>
      </c>
      <c r="B29" s="172" t="n">
        <v>8</v>
      </c>
      <c r="C29" s="173" t="n">
        <v>46301</v>
      </c>
      <c r="D29" s="173" t="n">
        <v>46303</v>
      </c>
      <c r="E29" s="2" t="n"/>
      <c r="F29" s="2" t="n"/>
      <c r="G29" s="2" t="n"/>
      <c r="H29" s="2" t="n"/>
      <c r="I29" s="2" t="n"/>
      <c r="J29" s="2" t="n"/>
      <c r="K29" s="2" t="n"/>
      <c r="L29" s="2" t="n"/>
      <c r="M29" s="2" t="n"/>
      <c r="N29" s="2" t="n"/>
      <c r="O29" s="2" t="n"/>
      <c r="P29" s="2" t="n"/>
    </row>
    <row r="30">
      <c r="A30" s="171" t="inlineStr">
        <is>
          <t>우리은행</t>
        </is>
      </c>
      <c r="B30" s="172" t="n">
        <v>59</v>
      </c>
      <c r="C30" s="173" t="n">
        <v>46293</v>
      </c>
      <c r="D30" s="173" t="n">
        <v>46307</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5" t="inlineStr">
        <is>
          <t>주간 자금 경영보고 — (주)에이팜건강</t>
        </is>
      </c>
    </row>
    <row r="2">
      <c r="A2" s="256" t="inlineStr">
        <is>
          <t>기준주 2026-10-12 (월) ~ 2026-10-18 (일) · 작성 2026-10-12 14:36:32 · 실행일~차주 금요일만 표시 (그 밖의 일자 행은 숨김 — 행 숨기기 해제로 열람 가능)</t>
        </is>
      </c>
    </row>
    <row r="3">
      <c r="A3" s="257"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58" t="inlineStr">
        <is>
          <t>① 현재 자금 현황</t>
        </is>
      </c>
      <c r="B5" s="259" t="n"/>
      <c r="C5" s="259" t="n"/>
      <c r="D5" s="259" t="n"/>
      <c r="E5" s="259" t="n"/>
      <c r="F5" s="259" t="n"/>
      <c r="G5" s="259" t="n"/>
      <c r="H5" s="259" t="n"/>
      <c r="I5" s="259" t="n"/>
    </row>
    <row r="6">
      <c r="A6" s="260" t="inlineStr">
        <is>
          <t>국민 154577</t>
        </is>
      </c>
      <c r="C6" s="261" t="n">
        <v>50572029</v>
      </c>
      <c r="D6" s="175" t="inlineStr">
        <is>
          <t>최종 거래일 2026-10-10</t>
        </is>
      </c>
    </row>
    <row r="7">
      <c r="A7" s="260" t="inlineStr">
        <is>
          <t>국민 169124</t>
        </is>
      </c>
      <c r="C7" s="261" t="n">
        <v>20000000</v>
      </c>
      <c r="D7" s="175" t="inlineStr">
        <is>
          <t>최종 거래일 2026-10-08</t>
        </is>
      </c>
    </row>
    <row r="8">
      <c r="A8" s="260" t="inlineStr">
        <is>
          <t>농협 569003</t>
        </is>
      </c>
      <c r="C8" s="261" t="n">
        <v>9186423</v>
      </c>
      <c r="D8" s="175" t="inlineStr">
        <is>
          <t>최종 거래일 2026-10-08</t>
        </is>
      </c>
    </row>
    <row r="9">
      <c r="A9" s="260" t="inlineStr">
        <is>
          <t>우리 220351</t>
        </is>
      </c>
      <c r="C9" s="261" t="n">
        <v>16078788</v>
      </c>
      <c r="D9" s="175" t="inlineStr">
        <is>
          <t>최종 거래일 2026-10-12</t>
        </is>
      </c>
    </row>
    <row r="10"/>
    <row r="11"/>
    <row r="12">
      <c r="A12" s="262" t="inlineStr">
        <is>
          <t>총잔액</t>
        </is>
      </c>
      <c r="C12" s="263">
        <f>SUM(C6:C11)</f>
        <v/>
      </c>
      <c r="E12" s="264" t="inlineStr">
        <is>
          <t>입금 반영률</t>
        </is>
      </c>
      <c r="F12" s="265" t="n">
        <v>0.8</v>
      </c>
    </row>
    <row r="13"/>
    <row r="14">
      <c r="A14" s="258"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9" t="n"/>
      <c r="C14" s="259" t="n"/>
      <c r="D14" s="259" t="n"/>
      <c r="E14" s="259" t="n"/>
      <c r="F14" s="259" t="n"/>
      <c r="G14" s="259" t="n"/>
      <c r="H14" s="259" t="n"/>
      <c r="I14" s="259" t="n"/>
    </row>
    <row r="15" ht="32.4" customHeight="1">
      <c r="A15" s="266" t="inlineStr">
        <is>
          <t>지급일</t>
        </is>
      </c>
      <c r="B15" s="266" t="inlineStr">
        <is>
          <t>요일</t>
        </is>
      </c>
      <c r="C15" s="266" t="inlineStr">
        <is>
          <t>구분</t>
        </is>
      </c>
      <c r="D15" s="266" t="inlineStr">
        <is>
          <t>내용</t>
        </is>
      </c>
      <c r="E15" s="266" t="inlineStr">
        <is>
          <t>금액</t>
        </is>
      </c>
      <c r="F15" s="266" t="inlineStr">
        <is>
          <t>지급방법</t>
        </is>
      </c>
      <c r="G15" s="267" t="inlineStr">
        <is>
          <t>실지출(은행 확인)</t>
        </is>
      </c>
      <c r="H15" s="266" t="inlineStr">
        <is>
          <t>차이(잔여)</t>
        </is>
      </c>
      <c r="I15" s="266" t="inlineStr">
        <is>
          <t>확인</t>
        </is>
      </c>
    </row>
    <row r="16">
      <c r="A16" s="268" t="n">
        <v>46318</v>
      </c>
      <c r="B16" s="269">
        <f>IF(A16="","",MID("월화수목금토일",WEEKDAY(A16,2),1))</f>
        <v/>
      </c>
      <c r="C16" s="260" t="inlineStr">
        <is>
          <t>경영지원팀</t>
        </is>
      </c>
      <c r="D16" s="161" t="inlineStr">
        <is>
          <t>위버 워크샵 (1부/2부) 이용료</t>
        </is>
      </c>
      <c r="E16" s="270" t="n">
        <v>1675000</v>
      </c>
      <c r="F16" s="269" t="inlineStr">
        <is>
          <t>법인카드</t>
        </is>
      </c>
      <c r="G16" s="270" t="inlineStr"/>
      <c r="H16" s="261">
        <f>IF(OR(G16="",E16=""),"",E16-G16)</f>
        <v/>
      </c>
      <c r="I16" s="271" t="inlineStr"/>
    </row>
    <row r="17">
      <c r="A17" s="268" t="inlineStr"/>
      <c r="B17" s="269">
        <f>IF(A17="","",MID("월화수목금토일",WEEKDAY(A17,2),1))</f>
        <v/>
      </c>
      <c r="C17" s="260" t="inlineStr"/>
      <c r="D17" s="260" t="inlineStr"/>
      <c r="E17" s="270" t="inlineStr"/>
      <c r="F17" s="260" t="inlineStr"/>
      <c r="G17" s="270" t="inlineStr"/>
      <c r="H17" s="261">
        <f>IF(OR(G17="",E17=""),"",E17-G17)</f>
        <v/>
      </c>
      <c r="I17" s="271" t="inlineStr"/>
    </row>
    <row r="18">
      <c r="A18" s="268" t="inlineStr"/>
      <c r="B18" s="269">
        <f>IF(A18="","",MID("월화수목금토일",WEEKDAY(A18,2),1))</f>
        <v/>
      </c>
      <c r="C18" s="260" t="inlineStr"/>
      <c r="D18" s="260" t="inlineStr"/>
      <c r="E18" s="270" t="inlineStr"/>
      <c r="F18" s="260" t="inlineStr"/>
      <c r="G18" s="270" t="inlineStr"/>
      <c r="H18" s="261">
        <f>IF(OR(G18="",E18=""),"",E18-G18)</f>
        <v/>
      </c>
      <c r="I18" s="271" t="inlineStr"/>
    </row>
    <row r="19">
      <c r="A19" s="268" t="inlineStr"/>
      <c r="B19" s="269">
        <f>IF(A19="","",MID("월화수목금토일",WEEKDAY(A19,2),1))</f>
        <v/>
      </c>
      <c r="C19" s="260" t="inlineStr"/>
      <c r="D19" s="260" t="inlineStr"/>
      <c r="E19" s="270" t="inlineStr"/>
      <c r="F19" s="260" t="inlineStr"/>
      <c r="G19" s="270" t="inlineStr"/>
      <c r="H19" s="261">
        <f>IF(OR(G19="",E19=""),"",E19-G19)</f>
        <v/>
      </c>
      <c r="I19" s="271" t="inlineStr"/>
    </row>
    <row r="20" hidden="1">
      <c r="A20" s="268" t="inlineStr"/>
      <c r="B20" s="269">
        <f>IF(A20="","",MID("월화수목금토일",WEEKDAY(A20,2),1))</f>
        <v/>
      </c>
      <c r="C20" s="260" t="inlineStr"/>
      <c r="D20" s="260" t="inlineStr"/>
      <c r="E20" s="270" t="inlineStr"/>
      <c r="F20" s="260" t="inlineStr"/>
      <c r="G20" s="270" t="inlineStr"/>
      <c r="H20" s="261">
        <f>IF(OR(G20="",E20=""),"",E20-G20)</f>
        <v/>
      </c>
      <c r="I20" s="271" t="inlineStr"/>
    </row>
    <row r="21" hidden="1">
      <c r="A21" s="268" t="inlineStr"/>
      <c r="B21" s="269">
        <f>IF(A21="","",MID("월화수목금토일",WEEKDAY(A21,2),1))</f>
        <v/>
      </c>
      <c r="C21" s="260" t="inlineStr"/>
      <c r="D21" s="260" t="inlineStr"/>
      <c r="E21" s="270" t="inlineStr"/>
      <c r="F21" s="260" t="inlineStr"/>
      <c r="G21" s="270" t="inlineStr"/>
      <c r="H21" s="261">
        <f>IF(OR(G21="",E21=""),"",E21-G21)</f>
        <v/>
      </c>
      <c r="I21" s="271" t="inlineStr"/>
    </row>
    <row r="22" hidden="1">
      <c r="A22" s="268" t="inlineStr"/>
      <c r="B22" s="269">
        <f>IF(A22="","",MID("월화수목금토일",WEEKDAY(A22,2),1))</f>
        <v/>
      </c>
      <c r="C22" s="260" t="inlineStr"/>
      <c r="D22" s="260" t="inlineStr"/>
      <c r="E22" s="270" t="inlineStr"/>
      <c r="F22" s="260" t="inlineStr"/>
      <c r="G22" s="270" t="inlineStr"/>
      <c r="H22" s="261">
        <f>IF(OR(G22="",E22=""),"",E22-G22)</f>
        <v/>
      </c>
      <c r="I22" s="271" t="inlineStr"/>
    </row>
    <row r="23" hidden="1">
      <c r="A23" s="268" t="inlineStr"/>
      <c r="B23" s="269">
        <f>IF(A23="","",MID("월화수목금토일",WEEKDAY(A23,2),1))</f>
        <v/>
      </c>
      <c r="C23" s="260" t="inlineStr"/>
      <c r="D23" s="260" t="inlineStr"/>
      <c r="E23" s="270" t="inlineStr"/>
      <c r="F23" s="260" t="inlineStr"/>
      <c r="G23" s="270" t="inlineStr"/>
      <c r="H23" s="261">
        <f>IF(OR(G23="",E23=""),"",E23-G23)</f>
        <v/>
      </c>
      <c r="I23" s="271" t="inlineStr"/>
    </row>
    <row r="24" hidden="1">
      <c r="A24" s="268" t="inlineStr"/>
      <c r="B24" s="269">
        <f>IF(A24="","",MID("월화수목금토일",WEEKDAY(A24,2),1))</f>
        <v/>
      </c>
      <c r="C24" s="260" t="inlineStr"/>
      <c r="D24" s="260" t="inlineStr"/>
      <c r="E24" s="270" t="inlineStr"/>
      <c r="F24" s="260" t="inlineStr"/>
      <c r="G24" s="270" t="inlineStr"/>
      <c r="H24" s="261">
        <f>IF(OR(G24="",E24=""),"",E24-G24)</f>
        <v/>
      </c>
      <c r="I24" s="271" t="inlineStr"/>
    </row>
    <row r="25" hidden="1">
      <c r="A25" s="268" t="inlineStr"/>
      <c r="B25" s="269">
        <f>IF(A25="","",MID("월화수목금토일",WEEKDAY(A25,2),1))</f>
        <v/>
      </c>
      <c r="C25" s="260" t="inlineStr"/>
      <c r="D25" s="260" t="inlineStr"/>
      <c r="E25" s="270" t="inlineStr"/>
      <c r="F25" s="260" t="inlineStr"/>
      <c r="G25" s="270" t="inlineStr"/>
      <c r="H25" s="261">
        <f>IF(OR(G25="",E25=""),"",E25-G25)</f>
        <v/>
      </c>
      <c r="I25" s="271" t="inlineStr"/>
    </row>
    <row r="26" hidden="1">
      <c r="A26" s="268" t="inlineStr"/>
      <c r="B26" s="269">
        <f>IF(A26="","",MID("월화수목금토일",WEEKDAY(A26,2),1))</f>
        <v/>
      </c>
      <c r="C26" s="260" t="inlineStr"/>
      <c r="D26" s="260" t="inlineStr"/>
      <c r="E26" s="270" t="inlineStr"/>
      <c r="F26" s="260" t="inlineStr"/>
      <c r="G26" s="270" t="inlineStr"/>
      <c r="H26" s="261">
        <f>IF(OR(G26="",E26=""),"",E26-G26)</f>
        <v/>
      </c>
      <c r="I26" s="271" t="inlineStr"/>
    </row>
    <row r="27" hidden="1">
      <c r="A27" s="268" t="inlineStr"/>
      <c r="B27" s="269">
        <f>IF(A27="","",MID("월화수목금토일",WEEKDAY(A27,2),1))</f>
        <v/>
      </c>
      <c r="C27" s="260" t="inlineStr"/>
      <c r="D27" s="260" t="inlineStr"/>
      <c r="E27" s="270" t="inlineStr"/>
      <c r="F27" s="260" t="inlineStr"/>
      <c r="G27" s="270" t="inlineStr"/>
      <c r="H27" s="261">
        <f>IF(OR(G27="",E27=""),"",E27-G27)</f>
        <v/>
      </c>
      <c r="I27" s="271" t="inlineStr"/>
    </row>
    <row r="28" hidden="1">
      <c r="A28" s="268" t="inlineStr"/>
      <c r="B28" s="269">
        <f>IF(A28="","",MID("월화수목금토일",WEEKDAY(A28,2),1))</f>
        <v/>
      </c>
      <c r="C28" s="260" t="inlineStr"/>
      <c r="D28" s="260" t="inlineStr"/>
      <c r="E28" s="270" t="inlineStr"/>
      <c r="F28" s="260" t="inlineStr"/>
      <c r="G28" s="270" t="inlineStr"/>
      <c r="H28" s="261">
        <f>IF(OR(G28="",E28=""),"",E28-G28)</f>
        <v/>
      </c>
      <c r="I28" s="271" t="inlineStr"/>
    </row>
    <row r="29" hidden="1">
      <c r="A29" s="268" t="inlineStr"/>
      <c r="B29" s="269">
        <f>IF(A29="","",MID("월화수목금토일",WEEKDAY(A29,2),1))</f>
        <v/>
      </c>
      <c r="C29" s="260" t="inlineStr"/>
      <c r="D29" s="260" t="inlineStr"/>
      <c r="E29" s="270" t="inlineStr"/>
      <c r="F29" s="260" t="inlineStr"/>
      <c r="G29" s="270" t="inlineStr"/>
      <c r="H29" s="261">
        <f>IF(OR(G29="",E29=""),"",E29-G29)</f>
        <v/>
      </c>
      <c r="I29" s="271" t="inlineStr"/>
    </row>
    <row r="30" hidden="1">
      <c r="A30" s="268" t="inlineStr"/>
      <c r="B30" s="269">
        <f>IF(A30="","",MID("월화수목금토일",WEEKDAY(A30,2),1))</f>
        <v/>
      </c>
      <c r="C30" s="260" t="inlineStr"/>
      <c r="D30" s="260" t="inlineStr"/>
      <c r="E30" s="270" t="inlineStr"/>
      <c r="F30" s="260" t="inlineStr"/>
      <c r="G30" s="270" t="inlineStr"/>
      <c r="H30" s="261">
        <f>IF(OR(G30="",E30=""),"",E30-G30)</f>
        <v/>
      </c>
      <c r="I30" s="271" t="inlineStr"/>
    </row>
    <row r="31" hidden="1">
      <c r="A31" s="268" t="inlineStr"/>
      <c r="B31" s="269">
        <f>IF(A31="","",MID("월화수목금토일",WEEKDAY(A31,2),1))</f>
        <v/>
      </c>
      <c r="C31" s="260" t="inlineStr"/>
      <c r="D31" s="260" t="inlineStr"/>
      <c r="E31" s="270" t="inlineStr"/>
      <c r="F31" s="260" t="inlineStr"/>
      <c r="G31" s="270" t="inlineStr"/>
      <c r="H31" s="261">
        <f>IF(OR(G31="",E31=""),"",E31-G31)</f>
        <v/>
      </c>
      <c r="I31" s="271" t="inlineStr"/>
    </row>
    <row r="32" hidden="1">
      <c r="A32" s="268" t="inlineStr"/>
      <c r="B32" s="269">
        <f>IF(A32="","",MID("월화수목금토일",WEEKDAY(A32,2),1))</f>
        <v/>
      </c>
      <c r="C32" s="260" t="inlineStr"/>
      <c r="D32" s="260" t="inlineStr"/>
      <c r="E32" s="270" t="inlineStr"/>
      <c r="F32" s="260" t="inlineStr"/>
      <c r="G32" s="270" t="inlineStr"/>
      <c r="H32" s="261">
        <f>IF(OR(G32="",E32=""),"",E32-G32)</f>
        <v/>
      </c>
      <c r="I32" s="271" t="inlineStr"/>
    </row>
    <row r="33" hidden="1">
      <c r="A33" s="268" t="inlineStr"/>
      <c r="B33" s="269">
        <f>IF(A33="","",MID("월화수목금토일",WEEKDAY(A33,2),1))</f>
        <v/>
      </c>
      <c r="C33" s="260" t="inlineStr"/>
      <c r="D33" s="260" t="inlineStr"/>
      <c r="E33" s="270" t="inlineStr"/>
      <c r="F33" s="260" t="inlineStr"/>
      <c r="G33" s="270" t="inlineStr"/>
      <c r="H33" s="261">
        <f>IF(OR(G33="",E33=""),"",E33-G33)</f>
        <v/>
      </c>
      <c r="I33" s="271" t="inlineStr"/>
    </row>
    <row r="34" hidden="1">
      <c r="A34" s="268" t="inlineStr"/>
      <c r="B34" s="269">
        <f>IF(A34="","",MID("월화수목금토일",WEEKDAY(A34,2),1))</f>
        <v/>
      </c>
      <c r="C34" s="260" t="inlineStr"/>
      <c r="D34" s="260" t="inlineStr"/>
      <c r="E34" s="270" t="inlineStr"/>
      <c r="F34" s="260" t="inlineStr"/>
      <c r="G34" s="270" t="inlineStr"/>
      <c r="H34" s="261">
        <f>IF(OR(G34="",E34=""),"",E34-G34)</f>
        <v/>
      </c>
      <c r="I34" s="271" t="inlineStr"/>
    </row>
    <row r="35" hidden="1">
      <c r="A35" s="268" t="inlineStr"/>
      <c r="B35" s="269">
        <f>IF(A35="","",MID("월화수목금토일",WEEKDAY(A35,2),1))</f>
        <v/>
      </c>
      <c r="C35" s="260" t="inlineStr"/>
      <c r="D35" s="260" t="inlineStr"/>
      <c r="E35" s="270" t="inlineStr"/>
      <c r="F35" s="260" t="inlineStr"/>
      <c r="G35" s="270" t="inlineStr"/>
      <c r="H35" s="261">
        <f>IF(OR(G35="",E35=""),"",E35-G35)</f>
        <v/>
      </c>
      <c r="I35" s="271" t="inlineStr"/>
    </row>
    <row r="36" hidden="1">
      <c r="A36" s="268" t="inlineStr"/>
      <c r="B36" s="269">
        <f>IF(A36="","",MID("월화수목금토일",WEEKDAY(A36,2),1))</f>
        <v/>
      </c>
      <c r="C36" s="260" t="inlineStr"/>
      <c r="D36" s="260" t="inlineStr"/>
      <c r="E36" s="270" t="inlineStr"/>
      <c r="F36" s="260" t="inlineStr"/>
      <c r="G36" s="270" t="inlineStr"/>
      <c r="H36" s="261">
        <f>IF(OR(G36="",E36=""),"",E36-G36)</f>
        <v/>
      </c>
      <c r="I36" s="271" t="inlineStr"/>
    </row>
    <row r="37" hidden="1">
      <c r="A37" s="268" t="inlineStr"/>
      <c r="B37" s="269">
        <f>IF(A37="","",MID("월화수목금토일",WEEKDAY(A37,2),1))</f>
        <v/>
      </c>
      <c r="C37" s="260" t="inlineStr"/>
      <c r="D37" s="260" t="inlineStr"/>
      <c r="E37" s="270" t="inlineStr"/>
      <c r="F37" s="260" t="inlineStr"/>
      <c r="G37" s="270" t="inlineStr"/>
      <c r="H37" s="261">
        <f>IF(OR(G37="",E37=""),"",E37-G37)</f>
        <v/>
      </c>
      <c r="I37" s="271" t="inlineStr"/>
    </row>
    <row r="38" hidden="1">
      <c r="A38" s="268" t="inlineStr"/>
      <c r="B38" s="269">
        <f>IF(A38="","",MID("월화수목금토일",WEEKDAY(A38,2),1))</f>
        <v/>
      </c>
      <c r="C38" s="260" t="inlineStr"/>
      <c r="D38" s="260" t="inlineStr"/>
      <c r="E38" s="270" t="inlineStr"/>
      <c r="F38" s="260" t="inlineStr"/>
      <c r="G38" s="270" t="inlineStr"/>
      <c r="H38" s="261">
        <f>IF(OR(G38="",E38=""),"",E38-G38)</f>
        <v/>
      </c>
      <c r="I38" s="271" t="inlineStr"/>
    </row>
    <row r="39" hidden="1">
      <c r="A39" s="268" t="inlineStr"/>
      <c r="B39" s="269">
        <f>IF(A39="","",MID("월화수목금토일",WEEKDAY(A39,2),1))</f>
        <v/>
      </c>
      <c r="C39" s="260" t="inlineStr"/>
      <c r="D39" s="260" t="inlineStr"/>
      <c r="E39" s="270" t="inlineStr"/>
      <c r="F39" s="260" t="inlineStr"/>
      <c r="G39" s="270" t="inlineStr"/>
      <c r="H39" s="261">
        <f>IF(OR(G39="",E39=""),"",E39-G39)</f>
        <v/>
      </c>
      <c r="I39" s="271" t="inlineStr"/>
    </row>
    <row r="40" hidden="1">
      <c r="A40" s="268" t="inlineStr"/>
      <c r="B40" s="269">
        <f>IF(A40="","",MID("월화수목금토일",WEEKDAY(A40,2),1))</f>
        <v/>
      </c>
      <c r="C40" s="260" t="inlineStr"/>
      <c r="D40" s="260" t="inlineStr"/>
      <c r="E40" s="270" t="inlineStr"/>
      <c r="F40" s="260" t="inlineStr"/>
      <c r="G40" s="270" t="inlineStr"/>
      <c r="H40" s="261">
        <f>IF(OR(G40="",E40=""),"",E40-G40)</f>
        <v/>
      </c>
      <c r="I40" s="271" t="inlineStr"/>
    </row>
    <row r="41" hidden="1">
      <c r="A41" s="268" t="inlineStr"/>
      <c r="B41" s="269">
        <f>IF(A41="","",MID("월화수목금토일",WEEKDAY(A41,2),1))</f>
        <v/>
      </c>
      <c r="C41" s="260" t="inlineStr"/>
      <c r="D41" s="260" t="inlineStr"/>
      <c r="E41" s="270" t="inlineStr"/>
      <c r="F41" s="260" t="inlineStr"/>
      <c r="G41" s="270" t="inlineStr"/>
      <c r="H41" s="261">
        <f>IF(OR(G41="",E41=""),"",E41-G41)</f>
        <v/>
      </c>
      <c r="I41" s="271" t="inlineStr"/>
    </row>
    <row r="42" hidden="1">
      <c r="A42" s="268" t="inlineStr"/>
      <c r="B42" s="269">
        <f>IF(A42="","",MID("월화수목금토일",WEEKDAY(A42,2),1))</f>
        <v/>
      </c>
      <c r="C42" s="260" t="inlineStr"/>
      <c r="D42" s="260" t="inlineStr"/>
      <c r="E42" s="270" t="inlineStr"/>
      <c r="F42" s="260" t="inlineStr"/>
      <c r="G42" s="270" t="inlineStr"/>
      <c r="H42" s="261">
        <f>IF(OR(G42="",E42=""),"",E42-G42)</f>
        <v/>
      </c>
      <c r="I42" s="271" t="inlineStr"/>
    </row>
    <row r="43" hidden="1">
      <c r="A43" s="268" t="inlineStr"/>
      <c r="B43" s="269">
        <f>IF(A43="","",MID("월화수목금토일",WEEKDAY(A43,2),1))</f>
        <v/>
      </c>
      <c r="C43" s="260" t="inlineStr"/>
      <c r="D43" s="260" t="inlineStr"/>
      <c r="E43" s="270" t="inlineStr"/>
      <c r="F43" s="260" t="inlineStr"/>
      <c r="G43" s="270" t="inlineStr"/>
      <c r="H43" s="261">
        <f>IF(OR(G43="",E43=""),"",E43-G43)</f>
        <v/>
      </c>
      <c r="I43" s="271" t="inlineStr"/>
    </row>
    <row r="44" hidden="1">
      <c r="A44" s="268" t="inlineStr"/>
      <c r="B44" s="269">
        <f>IF(A44="","",MID("월화수목금토일",WEEKDAY(A44,2),1))</f>
        <v/>
      </c>
      <c r="C44" s="260" t="inlineStr"/>
      <c r="D44" s="260" t="inlineStr"/>
      <c r="E44" s="270" t="inlineStr"/>
      <c r="F44" s="260" t="inlineStr"/>
      <c r="G44" s="270" t="inlineStr"/>
      <c r="H44" s="261">
        <f>IF(OR(G44="",E44=""),"",E44-G44)</f>
        <v/>
      </c>
      <c r="I44" s="271" t="inlineStr"/>
    </row>
    <row r="45" hidden="1">
      <c r="A45" s="268" t="inlineStr"/>
      <c r="B45" s="269">
        <f>IF(A45="","",MID("월화수목금토일",WEEKDAY(A45,2),1))</f>
        <v/>
      </c>
      <c r="C45" s="260" t="inlineStr"/>
      <c r="D45" s="260" t="inlineStr"/>
      <c r="E45" s="270" t="inlineStr"/>
      <c r="F45" s="260" t="inlineStr"/>
      <c r="G45" s="270" t="inlineStr"/>
      <c r="H45" s="261">
        <f>IF(OR(G45="",E45=""),"",E45-G45)</f>
        <v/>
      </c>
      <c r="I45" s="271" t="inlineStr"/>
    </row>
    <row r="46" hidden="1">
      <c r="A46" s="268" t="inlineStr"/>
      <c r="B46" s="269">
        <f>IF(A46="","",MID("월화수목금토일",WEEKDAY(A46,2),1))</f>
        <v/>
      </c>
      <c r="C46" s="260" t="inlineStr"/>
      <c r="D46" s="260" t="inlineStr"/>
      <c r="E46" s="270" t="inlineStr"/>
      <c r="F46" s="260" t="inlineStr"/>
      <c r="G46" s="270" t="inlineStr"/>
      <c r="H46" s="261">
        <f>IF(OR(G46="",E46=""),"",E46-G46)</f>
        <v/>
      </c>
      <c r="I46" s="271" t="inlineStr"/>
    </row>
    <row r="47" hidden="1">
      <c r="A47" s="268" t="inlineStr"/>
      <c r="B47" s="269">
        <f>IF(A47="","",MID("월화수목금토일",WEEKDAY(A47,2),1))</f>
        <v/>
      </c>
      <c r="C47" s="260" t="inlineStr"/>
      <c r="D47" s="260" t="inlineStr"/>
      <c r="E47" s="270" t="inlineStr"/>
      <c r="F47" s="260" t="inlineStr"/>
      <c r="G47" s="270" t="inlineStr"/>
      <c r="H47" s="261">
        <f>IF(OR(G47="",E47=""),"",E47-G47)</f>
        <v/>
      </c>
      <c r="I47" s="271" t="inlineStr"/>
    </row>
    <row r="48" hidden="1">
      <c r="A48" s="268" t="inlineStr"/>
      <c r="B48" s="269">
        <f>IF(A48="","",MID("월화수목금토일",WEEKDAY(A48,2),1))</f>
        <v/>
      </c>
      <c r="C48" s="260" t="inlineStr"/>
      <c r="D48" s="260" t="inlineStr"/>
      <c r="E48" s="270" t="inlineStr"/>
      <c r="F48" s="260" t="inlineStr"/>
      <c r="G48" s="270" t="inlineStr"/>
      <c r="H48" s="261">
        <f>IF(OR(G48="",E48=""),"",E48-G48)</f>
        <v/>
      </c>
      <c r="I48" s="271" t="inlineStr"/>
    </row>
    <row r="49" hidden="1">
      <c r="A49" s="268" t="inlineStr"/>
      <c r="B49" s="269">
        <f>IF(A49="","",MID("월화수목금토일",WEEKDAY(A49,2),1))</f>
        <v/>
      </c>
      <c r="C49" s="260" t="inlineStr"/>
      <c r="D49" s="260" t="inlineStr"/>
      <c r="E49" s="270" t="inlineStr"/>
      <c r="F49" s="260" t="inlineStr"/>
      <c r="G49" s="270" t="inlineStr"/>
      <c r="H49" s="261">
        <f>IF(OR(G49="",E49=""),"",E49-G49)</f>
        <v/>
      </c>
      <c r="I49" s="271" t="inlineStr"/>
    </row>
    <row r="50" hidden="1">
      <c r="A50" s="268" t="inlineStr"/>
      <c r="B50" s="269">
        <f>IF(A50="","",MID("월화수목금토일",WEEKDAY(A50,2),1))</f>
        <v/>
      </c>
      <c r="C50" s="260" t="inlineStr"/>
      <c r="D50" s="260" t="inlineStr"/>
      <c r="E50" s="270" t="inlineStr"/>
      <c r="F50" s="260" t="inlineStr"/>
      <c r="G50" s="270" t="inlineStr"/>
      <c r="H50" s="261">
        <f>IF(OR(G50="",E50=""),"",E50-G50)</f>
        <v/>
      </c>
      <c r="I50" s="271" t="inlineStr"/>
    </row>
    <row r="51" hidden="1">
      <c r="A51" s="268" t="inlineStr"/>
      <c r="B51" s="269">
        <f>IF(A51="","",MID("월화수목금토일",WEEKDAY(A51,2),1))</f>
        <v/>
      </c>
      <c r="C51" s="260" t="inlineStr"/>
      <c r="D51" s="260" t="inlineStr"/>
      <c r="E51" s="270" t="inlineStr"/>
      <c r="F51" s="260" t="inlineStr"/>
      <c r="G51" s="270" t="inlineStr"/>
      <c r="H51" s="261">
        <f>IF(OR(G51="",E51=""),"",E51-G51)</f>
        <v/>
      </c>
      <c r="I51" s="271" t="inlineStr"/>
    </row>
    <row r="52" hidden="1">
      <c r="A52" s="268" t="inlineStr"/>
      <c r="B52" s="269">
        <f>IF(A52="","",MID("월화수목금토일",WEEKDAY(A52,2),1))</f>
        <v/>
      </c>
      <c r="C52" s="260" t="inlineStr"/>
      <c r="D52" s="260" t="inlineStr"/>
      <c r="E52" s="270" t="inlineStr"/>
      <c r="F52" s="260" t="inlineStr"/>
      <c r="G52" s="270" t="inlineStr"/>
      <c r="H52" s="261">
        <f>IF(OR(G52="",E52=""),"",E52-G52)</f>
        <v/>
      </c>
      <c r="I52" s="271" t="inlineStr"/>
    </row>
    <row r="53" hidden="1">
      <c r="A53" s="268" t="inlineStr"/>
      <c r="B53" s="269">
        <f>IF(A53="","",MID("월화수목금토일",WEEKDAY(A53,2),1))</f>
        <v/>
      </c>
      <c r="C53" s="260" t="inlineStr"/>
      <c r="D53" s="260" t="inlineStr"/>
      <c r="E53" s="270" t="inlineStr"/>
      <c r="F53" s="260" t="inlineStr"/>
      <c r="G53" s="270" t="inlineStr"/>
      <c r="H53" s="261">
        <f>IF(OR(G53="",E53=""),"",E53-G53)</f>
        <v/>
      </c>
      <c r="I53" s="271" t="inlineStr"/>
    </row>
    <row r="54" hidden="1">
      <c r="A54" s="268" t="inlineStr"/>
      <c r="B54" s="269">
        <f>IF(A54="","",MID("월화수목금토일",WEEKDAY(A54,2),1))</f>
        <v/>
      </c>
      <c r="C54" s="260" t="inlineStr"/>
      <c r="D54" s="260" t="inlineStr"/>
      <c r="E54" s="270" t="inlineStr"/>
      <c r="F54" s="260" t="inlineStr"/>
      <c r="G54" s="270" t="inlineStr"/>
      <c r="H54" s="261">
        <f>IF(OR(G54="",E54=""),"",E54-G54)</f>
        <v/>
      </c>
      <c r="I54" s="271" t="inlineStr"/>
    </row>
    <row r="55" hidden="1">
      <c r="A55" s="268" t="inlineStr"/>
      <c r="B55" s="269">
        <f>IF(A55="","",MID("월화수목금토일",WEEKDAY(A55,2),1))</f>
        <v/>
      </c>
      <c r="C55" s="260" t="inlineStr"/>
      <c r="D55" s="260" t="inlineStr"/>
      <c r="E55" s="270" t="inlineStr"/>
      <c r="F55" s="260" t="inlineStr"/>
      <c r="G55" s="270" t="inlineStr"/>
      <c r="H55" s="261">
        <f>IF(OR(G55="",E55=""),"",E55-G55)</f>
        <v/>
      </c>
      <c r="I55" s="271" t="inlineStr"/>
    </row>
    <row r="56" hidden="1">
      <c r="A56" s="268" t="inlineStr"/>
      <c r="B56" s="269">
        <f>IF(A56="","",MID("월화수목금토일",WEEKDAY(A56,2),1))</f>
        <v/>
      </c>
      <c r="C56" s="260" t="inlineStr"/>
      <c r="D56" s="260" t="inlineStr"/>
      <c r="E56" s="270" t="inlineStr"/>
      <c r="F56" s="260" t="inlineStr"/>
      <c r="G56" s="270" t="inlineStr"/>
      <c r="H56" s="261">
        <f>IF(OR(G56="",E56=""),"",E56-G56)</f>
        <v/>
      </c>
      <c r="I56" s="271" t="inlineStr"/>
    </row>
    <row r="57" hidden="1">
      <c r="A57" s="268" t="inlineStr"/>
      <c r="B57" s="269">
        <f>IF(A57="","",MID("월화수목금토일",WEEKDAY(A57,2),1))</f>
        <v/>
      </c>
      <c r="C57" s="260" t="inlineStr"/>
      <c r="D57" s="260" t="inlineStr"/>
      <c r="E57" s="270" t="inlineStr"/>
      <c r="F57" s="260" t="inlineStr"/>
      <c r="G57" s="270" t="inlineStr"/>
      <c r="H57" s="261">
        <f>IF(OR(G57="",E57=""),"",E57-G57)</f>
        <v/>
      </c>
      <c r="I57" s="271" t="inlineStr"/>
    </row>
    <row r="58" hidden="1">
      <c r="A58" s="268" t="inlineStr"/>
      <c r="B58" s="269">
        <f>IF(A58="","",MID("월화수목금토일",WEEKDAY(A58,2),1))</f>
        <v/>
      </c>
      <c r="C58" s="260" t="inlineStr"/>
      <c r="D58" s="260" t="inlineStr"/>
      <c r="E58" s="270" t="inlineStr"/>
      <c r="F58" s="260" t="inlineStr"/>
      <c r="G58" s="270" t="inlineStr"/>
      <c r="H58" s="261">
        <f>IF(OR(G58="",E58=""),"",E58-G58)</f>
        <v/>
      </c>
      <c r="I58" s="271" t="inlineStr"/>
    </row>
    <row r="59" hidden="1">
      <c r="A59" s="268" t="inlineStr"/>
      <c r="B59" s="269">
        <f>IF(A59="","",MID("월화수목금토일",WEEKDAY(A59,2),1))</f>
        <v/>
      </c>
      <c r="C59" s="260" t="inlineStr"/>
      <c r="D59" s="260" t="inlineStr"/>
      <c r="E59" s="270" t="inlineStr"/>
      <c r="F59" s="260" t="inlineStr"/>
      <c r="G59" s="270" t="inlineStr"/>
      <c r="H59" s="261">
        <f>IF(OR(G59="",E59=""),"",E59-G59)</f>
        <v/>
      </c>
      <c r="I59" s="271" t="inlineStr"/>
    </row>
    <row r="60" hidden="1">
      <c r="A60" s="268" t="inlineStr"/>
      <c r="B60" s="269">
        <f>IF(A60="","",MID("월화수목금토일",WEEKDAY(A60,2),1))</f>
        <v/>
      </c>
      <c r="C60" s="260" t="inlineStr"/>
      <c r="D60" s="260" t="inlineStr"/>
      <c r="E60" s="270" t="inlineStr"/>
      <c r="F60" s="260" t="inlineStr"/>
      <c r="G60" s="270" t="inlineStr"/>
      <c r="H60" s="261">
        <f>IF(OR(G60="",E60=""),"",E60-G60)</f>
        <v/>
      </c>
      <c r="I60" s="271" t="inlineStr"/>
    </row>
    <row r="61" hidden="1">
      <c r="A61" s="268" t="inlineStr"/>
      <c r="B61" s="269">
        <f>IF(A61="","",MID("월화수목금토일",WEEKDAY(A61,2),1))</f>
        <v/>
      </c>
      <c r="C61" s="260" t="inlineStr"/>
      <c r="D61" s="260" t="inlineStr"/>
      <c r="E61" s="270" t="inlineStr"/>
      <c r="F61" s="260" t="inlineStr"/>
      <c r="G61" s="270" t="inlineStr"/>
      <c r="H61" s="261">
        <f>IF(OR(G61="",E61=""),"",E61-G61)</f>
        <v/>
      </c>
      <c r="I61" s="271" t="inlineStr"/>
    </row>
    <row r="62" hidden="1">
      <c r="A62" s="268" t="inlineStr"/>
      <c r="B62" s="269">
        <f>IF(A62="","",MID("월화수목금토일",WEEKDAY(A62,2),1))</f>
        <v/>
      </c>
      <c r="C62" s="260" t="inlineStr"/>
      <c r="D62" s="260" t="inlineStr"/>
      <c r="E62" s="270" t="inlineStr"/>
      <c r="F62" s="260" t="inlineStr"/>
      <c r="G62" s="270" t="inlineStr"/>
      <c r="H62" s="261">
        <f>IF(OR(G62="",E62=""),"",E62-G62)</f>
        <v/>
      </c>
      <c r="I62" s="271" t="inlineStr"/>
    </row>
    <row r="63" hidden="1">
      <c r="A63" s="268" t="inlineStr"/>
      <c r="B63" s="269">
        <f>IF(A63="","",MID("월화수목금토일",WEEKDAY(A63,2),1))</f>
        <v/>
      </c>
      <c r="C63" s="260" t="inlineStr"/>
      <c r="D63" s="260" t="inlineStr"/>
      <c r="E63" s="270" t="inlineStr"/>
      <c r="F63" s="260" t="inlineStr"/>
      <c r="G63" s="270" t="inlineStr"/>
      <c r="H63" s="261">
        <f>IF(OR(G63="",E63=""),"",E63-G63)</f>
        <v/>
      </c>
      <c r="I63" s="271" t="inlineStr"/>
    </row>
    <row r="64" hidden="1">
      <c r="A64" s="268" t="inlineStr"/>
      <c r="B64" s="269">
        <f>IF(A64="","",MID("월화수목금토일",WEEKDAY(A64,2),1))</f>
        <v/>
      </c>
      <c r="C64" s="260" t="inlineStr"/>
      <c r="D64" s="260" t="inlineStr"/>
      <c r="E64" s="270" t="inlineStr"/>
      <c r="F64" s="260" t="inlineStr"/>
      <c r="G64" s="270" t="inlineStr"/>
      <c r="H64" s="261">
        <f>IF(OR(G64="",E64=""),"",E64-G64)</f>
        <v/>
      </c>
      <c r="I64" s="271" t="inlineStr"/>
    </row>
    <row r="65" hidden="1">
      <c r="A65" s="268" t="inlineStr"/>
      <c r="B65" s="269">
        <f>IF(A65="","",MID("월화수목금토일",WEEKDAY(A65,2),1))</f>
        <v/>
      </c>
      <c r="C65" s="260" t="inlineStr"/>
      <c r="D65" s="260" t="inlineStr"/>
      <c r="E65" s="270" t="inlineStr"/>
      <c r="F65" s="260" t="inlineStr"/>
      <c r="G65" s="270" t="inlineStr"/>
      <c r="H65" s="261">
        <f>IF(OR(G65="",E65=""),"",E65-G65)</f>
        <v/>
      </c>
      <c r="I65" s="271" t="inlineStr"/>
    </row>
    <row r="66" hidden="1">
      <c r="A66" s="268" t="inlineStr"/>
      <c r="B66" s="269">
        <f>IF(A66="","",MID("월화수목금토일",WEEKDAY(A66,2),1))</f>
        <v/>
      </c>
      <c r="C66" s="260" t="inlineStr"/>
      <c r="D66" s="260" t="inlineStr"/>
      <c r="E66" s="270" t="inlineStr"/>
      <c r="F66" s="260" t="inlineStr"/>
      <c r="G66" s="270" t="inlineStr"/>
      <c r="H66" s="261">
        <f>IF(OR(G66="",E66=""),"",E66-G66)</f>
        <v/>
      </c>
      <c r="I66" s="271" t="inlineStr"/>
    </row>
    <row r="67" hidden="1">
      <c r="A67" s="268" t="inlineStr"/>
      <c r="B67" s="269">
        <f>IF(A67="","",MID("월화수목금토일",WEEKDAY(A67,2),1))</f>
        <v/>
      </c>
      <c r="C67" s="260" t="inlineStr"/>
      <c r="D67" s="260" t="inlineStr"/>
      <c r="E67" s="270" t="inlineStr"/>
      <c r="F67" s="260" t="inlineStr"/>
      <c r="G67" s="270" t="inlineStr"/>
      <c r="H67" s="261">
        <f>IF(OR(G67="",E67=""),"",E67-G67)</f>
        <v/>
      </c>
      <c r="I67" s="271" t="inlineStr"/>
    </row>
    <row r="68" hidden="1">
      <c r="A68" s="268" t="inlineStr"/>
      <c r="B68" s="269">
        <f>IF(A68="","",MID("월화수목금토일",WEEKDAY(A68,2),1))</f>
        <v/>
      </c>
      <c r="C68" s="260" t="inlineStr"/>
      <c r="D68" s="260" t="inlineStr"/>
      <c r="E68" s="270" t="inlineStr"/>
      <c r="F68" s="260" t="inlineStr"/>
      <c r="G68" s="270" t="inlineStr"/>
      <c r="H68" s="261">
        <f>IF(OR(G68="",E68=""),"",E68-G68)</f>
        <v/>
      </c>
      <c r="I68" s="271" t="inlineStr"/>
    </row>
    <row r="69" hidden="1">
      <c r="A69" s="268" t="inlineStr"/>
      <c r="B69" s="269">
        <f>IF(A69="","",MID("월화수목금토일",WEEKDAY(A69,2),1))</f>
        <v/>
      </c>
      <c r="C69" s="260" t="inlineStr"/>
      <c r="D69" s="260" t="inlineStr"/>
      <c r="E69" s="270" t="inlineStr"/>
      <c r="F69" s="260" t="inlineStr"/>
      <c r="G69" s="270" t="inlineStr"/>
      <c r="H69" s="261">
        <f>IF(OR(G69="",E69=""),"",E69-G69)</f>
        <v/>
      </c>
      <c r="I69" s="271" t="inlineStr"/>
    </row>
    <row r="70" hidden="1">
      <c r="A70" s="268" t="inlineStr"/>
      <c r="B70" s="269">
        <f>IF(A70="","",MID("월화수목금토일",WEEKDAY(A70,2),1))</f>
        <v/>
      </c>
      <c r="C70" s="260" t="inlineStr"/>
      <c r="D70" s="260" t="inlineStr"/>
      <c r="E70" s="270" t="inlineStr"/>
      <c r="F70" s="260" t="inlineStr"/>
      <c r="G70" s="270" t="inlineStr"/>
      <c r="H70" s="261">
        <f>IF(OR(G70="",E70=""),"",E70-G70)</f>
        <v/>
      </c>
      <c r="I70" s="271" t="inlineStr"/>
    </row>
    <row r="71" hidden="1">
      <c r="A71" s="268" t="inlineStr"/>
      <c r="B71" s="269">
        <f>IF(A71="","",MID("월화수목금토일",WEEKDAY(A71,2),1))</f>
        <v/>
      </c>
      <c r="C71" s="260" t="inlineStr"/>
      <c r="D71" s="260" t="inlineStr"/>
      <c r="E71" s="270" t="inlineStr"/>
      <c r="F71" s="260" t="inlineStr"/>
      <c r="G71" s="270" t="inlineStr"/>
      <c r="H71" s="261">
        <f>IF(OR(G71="",E71=""),"",E71-G71)</f>
        <v/>
      </c>
      <c r="I71" s="271" t="inlineStr"/>
    </row>
    <row r="72" hidden="1">
      <c r="A72" s="268" t="inlineStr"/>
      <c r="B72" s="269">
        <f>IF(A72="","",MID("월화수목금토일",WEEKDAY(A72,2),1))</f>
        <v/>
      </c>
      <c r="C72" s="260" t="inlineStr"/>
      <c r="D72" s="260" t="inlineStr"/>
      <c r="E72" s="270" t="inlineStr"/>
      <c r="F72" s="260" t="inlineStr"/>
      <c r="G72" s="270" t="inlineStr"/>
      <c r="H72" s="261">
        <f>IF(OR(G72="",E72=""),"",E72-G72)</f>
        <v/>
      </c>
      <c r="I72" s="271" t="inlineStr"/>
    </row>
    <row r="73" hidden="1">
      <c r="A73" s="268" t="inlineStr"/>
      <c r="B73" s="269">
        <f>IF(A73="","",MID("월화수목금토일",WEEKDAY(A73,2),1))</f>
        <v/>
      </c>
      <c r="C73" s="260" t="inlineStr"/>
      <c r="D73" s="260" t="inlineStr"/>
      <c r="E73" s="270" t="inlineStr"/>
      <c r="F73" s="260" t="inlineStr"/>
      <c r="G73" s="270" t="inlineStr"/>
      <c r="H73" s="261">
        <f>IF(OR(G73="",E73=""),"",E73-G73)</f>
        <v/>
      </c>
      <c r="I73" s="271" t="inlineStr"/>
    </row>
    <row r="74" hidden="1">
      <c r="A74" s="268" t="inlineStr"/>
      <c r="B74" s="269">
        <f>IF(A74="","",MID("월화수목금토일",WEEKDAY(A74,2),1))</f>
        <v/>
      </c>
      <c r="C74" s="260" t="inlineStr"/>
      <c r="D74" s="260" t="inlineStr"/>
      <c r="E74" s="270" t="inlineStr"/>
      <c r="F74" s="260" t="inlineStr"/>
      <c r="G74" s="270" t="inlineStr"/>
      <c r="H74" s="261">
        <f>IF(OR(G74="",E74=""),"",E74-G74)</f>
        <v/>
      </c>
      <c r="I74" s="271" t="inlineStr"/>
    </row>
    <row r="75" hidden="1">
      <c r="A75" s="268" t="inlineStr"/>
      <c r="B75" s="269">
        <f>IF(A75="","",MID("월화수목금토일",WEEKDAY(A75,2),1))</f>
        <v/>
      </c>
      <c r="C75" s="260" t="inlineStr"/>
      <c r="D75" s="260" t="inlineStr"/>
      <c r="E75" s="270" t="inlineStr"/>
      <c r="F75" s="260" t="inlineStr"/>
      <c r="G75" s="270" t="inlineStr"/>
      <c r="H75" s="261">
        <f>IF(OR(G75="",E75=""),"",E75-G75)</f>
        <v/>
      </c>
      <c r="I75" s="271" t="inlineStr"/>
    </row>
    <row r="76" hidden="1">
      <c r="A76" s="268" t="inlineStr"/>
      <c r="B76" s="269">
        <f>IF(A76="","",MID("월화수목금토일",WEEKDAY(A76,2),1))</f>
        <v/>
      </c>
      <c r="C76" s="260" t="inlineStr"/>
      <c r="D76" s="260" t="inlineStr"/>
      <c r="E76" s="270" t="inlineStr"/>
      <c r="F76" s="260" t="inlineStr"/>
      <c r="G76" s="270" t="inlineStr"/>
      <c r="H76" s="261">
        <f>IF(OR(G76="",E76=""),"",E76-G76)</f>
        <v/>
      </c>
      <c r="I76" s="271" t="inlineStr"/>
    </row>
    <row r="77" hidden="1">
      <c r="A77" s="268" t="inlineStr"/>
      <c r="B77" s="269">
        <f>IF(A77="","",MID("월화수목금토일",WEEKDAY(A77,2),1))</f>
        <v/>
      </c>
      <c r="C77" s="260" t="inlineStr"/>
      <c r="D77" s="260" t="inlineStr"/>
      <c r="E77" s="270" t="inlineStr"/>
      <c r="F77" s="260" t="inlineStr"/>
      <c r="G77" s="270" t="inlineStr"/>
      <c r="H77" s="261">
        <f>IF(OR(G77="",E77=""),"",E77-G77)</f>
        <v/>
      </c>
      <c r="I77" s="271" t="inlineStr"/>
    </row>
    <row r="78" hidden="1">
      <c r="A78" s="268" t="inlineStr"/>
      <c r="B78" s="269">
        <f>IF(A78="","",MID("월화수목금토일",WEEKDAY(A78,2),1))</f>
        <v/>
      </c>
      <c r="C78" s="260" t="inlineStr"/>
      <c r="D78" s="260" t="inlineStr"/>
      <c r="E78" s="270" t="inlineStr"/>
      <c r="F78" s="260" t="inlineStr"/>
      <c r="G78" s="270" t="inlineStr"/>
      <c r="H78" s="261">
        <f>IF(OR(G78="",E78=""),"",E78-G78)</f>
        <v/>
      </c>
      <c r="I78" s="271" t="inlineStr"/>
    </row>
    <row r="79" hidden="1">
      <c r="A79" s="268" t="inlineStr"/>
      <c r="B79" s="269">
        <f>IF(A79="","",MID("월화수목금토일",WEEKDAY(A79,2),1))</f>
        <v/>
      </c>
      <c r="C79" s="260" t="inlineStr"/>
      <c r="D79" s="260" t="inlineStr"/>
      <c r="E79" s="270" t="inlineStr"/>
      <c r="F79" s="260" t="inlineStr"/>
      <c r="G79" s="270" t="inlineStr"/>
      <c r="H79" s="261">
        <f>IF(OR(G79="",E79=""),"",E79-G79)</f>
        <v/>
      </c>
      <c r="I79" s="271" t="inlineStr"/>
    </row>
    <row r="80" hidden="1">
      <c r="A80" s="268" t="inlineStr"/>
      <c r="B80" s="269">
        <f>IF(A80="","",MID("월화수목금토일",WEEKDAY(A80,2),1))</f>
        <v/>
      </c>
      <c r="C80" s="260" t="inlineStr"/>
      <c r="D80" s="260" t="inlineStr"/>
      <c r="E80" s="270" t="inlineStr"/>
      <c r="F80" s="260" t="inlineStr"/>
      <c r="G80" s="270" t="inlineStr"/>
      <c r="H80" s="261">
        <f>IF(OR(G80="",E80=""),"",E80-G80)</f>
        <v/>
      </c>
      <c r="I80" s="271" t="inlineStr"/>
    </row>
    <row r="81" hidden="1">
      <c r="A81" s="268" t="inlineStr"/>
      <c r="B81" s="269">
        <f>IF(A81="","",MID("월화수목금토일",WEEKDAY(A81,2),1))</f>
        <v/>
      </c>
      <c r="C81" s="260" t="inlineStr"/>
      <c r="D81" s="260" t="inlineStr"/>
      <c r="E81" s="270" t="inlineStr"/>
      <c r="F81" s="260" t="inlineStr"/>
      <c r="G81" s="270" t="inlineStr"/>
      <c r="H81" s="261">
        <f>IF(OR(G81="",E81=""),"",E81-G81)</f>
        <v/>
      </c>
      <c r="I81" s="271" t="inlineStr"/>
    </row>
    <row r="82" hidden="1">
      <c r="A82" s="268" t="inlineStr"/>
      <c r="B82" s="269">
        <f>IF(A82="","",MID("월화수목금토일",WEEKDAY(A82,2),1))</f>
        <v/>
      </c>
      <c r="C82" s="260" t="inlineStr"/>
      <c r="D82" s="260" t="inlineStr"/>
      <c r="E82" s="270" t="inlineStr"/>
      <c r="F82" s="260" t="inlineStr"/>
      <c r="G82" s="270" t="inlineStr"/>
      <c r="H82" s="261">
        <f>IF(OR(G82="",E82=""),"",E82-G82)</f>
        <v/>
      </c>
      <c r="I82" s="271" t="inlineStr"/>
    </row>
    <row r="83" hidden="1">
      <c r="A83" s="268" t="inlineStr"/>
      <c r="B83" s="269">
        <f>IF(A83="","",MID("월화수목금토일",WEEKDAY(A83,2),1))</f>
        <v/>
      </c>
      <c r="C83" s="260" t="inlineStr"/>
      <c r="D83" s="260" t="inlineStr"/>
      <c r="E83" s="270" t="inlineStr"/>
      <c r="F83" s="260" t="inlineStr"/>
      <c r="G83" s="270" t="inlineStr"/>
      <c r="H83" s="261">
        <f>IF(OR(G83="",E83=""),"",E83-G83)</f>
        <v/>
      </c>
      <c r="I83" s="271" t="inlineStr"/>
    </row>
    <row r="84" hidden="1">
      <c r="A84" s="268" t="inlineStr"/>
      <c r="B84" s="269">
        <f>IF(A84="","",MID("월화수목금토일",WEEKDAY(A84,2),1))</f>
        <v/>
      </c>
      <c r="C84" s="260" t="inlineStr"/>
      <c r="D84" s="260" t="inlineStr"/>
      <c r="E84" s="270" t="inlineStr"/>
      <c r="F84" s="260" t="inlineStr"/>
      <c r="G84" s="270" t="inlineStr"/>
      <c r="H84" s="261">
        <f>IF(OR(G84="",E84=""),"",E84-G84)</f>
        <v/>
      </c>
      <c r="I84" s="271" t="inlineStr"/>
    </row>
    <row r="85" hidden="1">
      <c r="A85" s="268" t="inlineStr"/>
      <c r="B85" s="269">
        <f>IF(A85="","",MID("월화수목금토일",WEEKDAY(A85,2),1))</f>
        <v/>
      </c>
      <c r="C85" s="260" t="inlineStr"/>
      <c r="D85" s="260" t="inlineStr"/>
      <c r="E85" s="270" t="inlineStr"/>
      <c r="F85" s="260" t="inlineStr"/>
      <c r="G85" s="270" t="inlineStr"/>
      <c r="H85" s="261">
        <f>IF(OR(G85="",E85=""),"",E85-G85)</f>
        <v/>
      </c>
      <c r="I85" s="271" t="inlineStr"/>
    </row>
    <row r="86" hidden="1">
      <c r="A86" s="268" t="inlineStr"/>
      <c r="B86" s="269">
        <f>IF(A86="","",MID("월화수목금토일",WEEKDAY(A86,2),1))</f>
        <v/>
      </c>
      <c r="C86" s="260" t="inlineStr"/>
      <c r="D86" s="260" t="inlineStr"/>
      <c r="E86" s="270" t="inlineStr"/>
      <c r="F86" s="260" t="inlineStr"/>
      <c r="G86" s="270" t="inlineStr"/>
      <c r="H86" s="261">
        <f>IF(OR(G86="",E86=""),"",E86-G86)</f>
        <v/>
      </c>
      <c r="I86" s="271" t="inlineStr"/>
    </row>
    <row r="87" hidden="1">
      <c r="A87" s="268" t="inlineStr"/>
      <c r="B87" s="269">
        <f>IF(A87="","",MID("월화수목금토일",WEEKDAY(A87,2),1))</f>
        <v/>
      </c>
      <c r="C87" s="260" t="inlineStr"/>
      <c r="D87" s="260" t="inlineStr"/>
      <c r="E87" s="270" t="inlineStr"/>
      <c r="F87" s="260" t="inlineStr"/>
      <c r="G87" s="270" t="inlineStr"/>
      <c r="H87" s="261">
        <f>IF(OR(G87="",E87=""),"",E87-G87)</f>
        <v/>
      </c>
      <c r="I87" s="271" t="inlineStr"/>
    </row>
    <row r="88" hidden="1">
      <c r="A88" s="268" t="inlineStr"/>
      <c r="B88" s="269">
        <f>IF(A88="","",MID("월화수목금토일",WEEKDAY(A88,2),1))</f>
        <v/>
      </c>
      <c r="C88" s="260" t="inlineStr"/>
      <c r="D88" s="260" t="inlineStr"/>
      <c r="E88" s="270" t="inlineStr"/>
      <c r="F88" s="260" t="inlineStr"/>
      <c r="G88" s="270" t="inlineStr"/>
      <c r="H88" s="261">
        <f>IF(OR(G88="",E88=""),"",E88-G88)</f>
        <v/>
      </c>
      <c r="I88" s="271" t="inlineStr"/>
    </row>
    <row r="89" hidden="1">
      <c r="A89" s="268" t="inlineStr"/>
      <c r="B89" s="269">
        <f>IF(A89="","",MID("월화수목금토일",WEEKDAY(A89,2),1))</f>
        <v/>
      </c>
      <c r="C89" s="260" t="inlineStr"/>
      <c r="D89" s="260" t="inlineStr"/>
      <c r="E89" s="270" t="inlineStr"/>
      <c r="F89" s="260" t="inlineStr"/>
      <c r="G89" s="270" t="inlineStr"/>
      <c r="H89" s="261">
        <f>IF(OR(G89="",E89=""),"",E89-G89)</f>
        <v/>
      </c>
      <c r="I89" s="271" t="inlineStr"/>
    </row>
    <row r="90" hidden="1">
      <c r="A90" s="268" t="inlineStr"/>
      <c r="B90" s="269">
        <f>IF(A90="","",MID("월화수목금토일",WEEKDAY(A90,2),1))</f>
        <v/>
      </c>
      <c r="C90" s="260" t="inlineStr"/>
      <c r="D90" s="260" t="inlineStr"/>
      <c r="E90" s="270" t="inlineStr"/>
      <c r="F90" s="260" t="inlineStr"/>
      <c r="G90" s="270" t="inlineStr"/>
      <c r="H90" s="261">
        <f>IF(OR(G90="",E90=""),"",E90-G90)</f>
        <v/>
      </c>
      <c r="I90" s="271" t="inlineStr"/>
    </row>
    <row r="91" hidden="1">
      <c r="A91" s="268" t="inlineStr"/>
      <c r="B91" s="269">
        <f>IF(A91="","",MID("월화수목금토일",WEEKDAY(A91,2),1))</f>
        <v/>
      </c>
      <c r="C91" s="260" t="inlineStr"/>
      <c r="D91" s="260" t="inlineStr"/>
      <c r="E91" s="270" t="inlineStr"/>
      <c r="F91" s="260" t="inlineStr"/>
      <c r="G91" s="270" t="inlineStr"/>
      <c r="H91" s="261">
        <f>IF(OR(G91="",E91=""),"",E91-G91)</f>
        <v/>
      </c>
      <c r="I91" s="271" t="inlineStr"/>
    </row>
    <row r="92" hidden="1">
      <c r="A92" s="268" t="inlineStr"/>
      <c r="B92" s="269">
        <f>IF(A92="","",MID("월화수목금토일",WEEKDAY(A92,2),1))</f>
        <v/>
      </c>
      <c r="C92" s="260" t="inlineStr"/>
      <c r="D92" s="260" t="inlineStr"/>
      <c r="E92" s="270" t="inlineStr"/>
      <c r="F92" s="260" t="inlineStr"/>
      <c r="G92" s="270" t="inlineStr"/>
      <c r="H92" s="261">
        <f>IF(OR(G92="",E92=""),"",E92-G92)</f>
        <v/>
      </c>
      <c r="I92" s="271" t="inlineStr"/>
    </row>
    <row r="93" hidden="1">
      <c r="A93" s="268" t="inlineStr"/>
      <c r="B93" s="269">
        <f>IF(A93="","",MID("월화수목금토일",WEEKDAY(A93,2),1))</f>
        <v/>
      </c>
      <c r="C93" s="260" t="inlineStr"/>
      <c r="D93" s="260" t="inlineStr"/>
      <c r="E93" s="270" t="inlineStr"/>
      <c r="F93" s="260" t="inlineStr"/>
      <c r="G93" s="270" t="inlineStr"/>
      <c r="H93" s="261">
        <f>IF(OR(G93="",E93=""),"",E93-G93)</f>
        <v/>
      </c>
      <c r="I93" s="271" t="inlineStr"/>
    </row>
    <row r="94" hidden="1">
      <c r="A94" s="268" t="inlineStr"/>
      <c r="B94" s="269">
        <f>IF(A94="","",MID("월화수목금토일",WEEKDAY(A94,2),1))</f>
        <v/>
      </c>
      <c r="C94" s="260" t="inlineStr"/>
      <c r="D94" s="260" t="inlineStr"/>
      <c r="E94" s="270" t="inlineStr"/>
      <c r="F94" s="260" t="inlineStr"/>
      <c r="G94" s="270" t="inlineStr"/>
      <c r="H94" s="261">
        <f>IF(OR(G94="",E94=""),"",E94-G94)</f>
        <v/>
      </c>
      <c r="I94" s="271" t="inlineStr"/>
    </row>
    <row r="95" hidden="1">
      <c r="A95" s="268" t="inlineStr"/>
      <c r="B95" s="269">
        <f>IF(A95="","",MID("월화수목금토일",WEEKDAY(A95,2),1))</f>
        <v/>
      </c>
      <c r="C95" s="260" t="inlineStr"/>
      <c r="D95" s="260" t="inlineStr"/>
      <c r="E95" s="270" t="inlineStr"/>
      <c r="F95" s="260" t="inlineStr"/>
      <c r="G95" s="270" t="inlineStr"/>
      <c r="H95" s="261">
        <f>IF(OR(G95="",E95=""),"",E95-G95)</f>
        <v/>
      </c>
      <c r="I95" s="271" t="inlineStr"/>
    </row>
    <row r="96" hidden="1">
      <c r="A96" s="268" t="inlineStr"/>
      <c r="B96" s="269">
        <f>IF(A96="","",MID("월화수목금토일",WEEKDAY(A96,2),1))</f>
        <v/>
      </c>
      <c r="C96" s="260" t="inlineStr"/>
      <c r="D96" s="260" t="inlineStr"/>
      <c r="E96" s="270" t="inlineStr"/>
      <c r="F96" s="260" t="inlineStr"/>
      <c r="G96" s="270" t="inlineStr"/>
      <c r="H96" s="261">
        <f>IF(OR(G96="",E96=""),"",E96-G96)</f>
        <v/>
      </c>
      <c r="I96" s="271" t="inlineStr"/>
    </row>
    <row r="97" hidden="1">
      <c r="A97" s="268" t="inlineStr"/>
      <c r="B97" s="269">
        <f>IF(A97="","",MID("월화수목금토일",WEEKDAY(A97,2),1))</f>
        <v/>
      </c>
      <c r="C97" s="260" t="inlineStr"/>
      <c r="D97" s="260" t="inlineStr"/>
      <c r="E97" s="270" t="inlineStr"/>
      <c r="F97" s="260" t="inlineStr"/>
      <c r="G97" s="270" t="inlineStr"/>
      <c r="H97" s="261">
        <f>IF(OR(G97="",E97=""),"",E97-G97)</f>
        <v/>
      </c>
      <c r="I97" s="271" t="inlineStr"/>
    </row>
    <row r="98" hidden="1">
      <c r="A98" s="268" t="inlineStr"/>
      <c r="B98" s="269">
        <f>IF(A98="","",MID("월화수목금토일",WEEKDAY(A98,2),1))</f>
        <v/>
      </c>
      <c r="C98" s="260" t="inlineStr"/>
      <c r="D98" s="260" t="inlineStr"/>
      <c r="E98" s="270" t="inlineStr"/>
      <c r="F98" s="260" t="inlineStr"/>
      <c r="G98" s="270" t="inlineStr"/>
      <c r="H98" s="261">
        <f>IF(OR(G98="",E98=""),"",E98-G98)</f>
        <v/>
      </c>
      <c r="I98" s="271" t="inlineStr"/>
    </row>
    <row r="99" hidden="1">
      <c r="A99" s="268" t="inlineStr"/>
      <c r="B99" s="269">
        <f>IF(A99="","",MID("월화수목금토일",WEEKDAY(A99,2),1))</f>
        <v/>
      </c>
      <c r="C99" s="260" t="inlineStr"/>
      <c r="D99" s="260" t="inlineStr"/>
      <c r="E99" s="270" t="inlineStr"/>
      <c r="F99" s="260" t="inlineStr"/>
      <c r="G99" s="270" t="inlineStr"/>
      <c r="H99" s="261">
        <f>IF(OR(G99="",E99=""),"",E99-G99)</f>
        <v/>
      </c>
      <c r="I99" s="271" t="inlineStr"/>
    </row>
    <row r="100" hidden="1">
      <c r="A100" s="268" t="inlineStr"/>
      <c r="B100" s="269">
        <f>IF(A100="","",MID("월화수목금토일",WEEKDAY(A100,2),1))</f>
        <v/>
      </c>
      <c r="C100" s="260" t="inlineStr"/>
      <c r="D100" s="260" t="inlineStr"/>
      <c r="E100" s="270" t="inlineStr"/>
      <c r="F100" s="260" t="inlineStr"/>
      <c r="G100" s="270" t="inlineStr"/>
      <c r="H100" s="261">
        <f>IF(OR(G100="",E100=""),"",E100-G100)</f>
        <v/>
      </c>
      <c r="I100" s="271" t="inlineStr"/>
    </row>
    <row r="101" hidden="1">
      <c r="A101" s="268" t="inlineStr"/>
      <c r="B101" s="269">
        <f>IF(A101="","",MID("월화수목금토일",WEEKDAY(A101,2),1))</f>
        <v/>
      </c>
      <c r="C101" s="260" t="inlineStr"/>
      <c r="D101" s="260" t="inlineStr"/>
      <c r="E101" s="270" t="inlineStr"/>
      <c r="F101" s="260" t="inlineStr"/>
      <c r="G101" s="270" t="inlineStr"/>
      <c r="H101" s="261">
        <f>IF(OR(G101="",E101=""),"",E101-G101)</f>
        <v/>
      </c>
      <c r="I101" s="271" t="inlineStr"/>
    </row>
    <row r="102" hidden="1">
      <c r="A102" s="268" t="inlineStr"/>
      <c r="B102" s="269">
        <f>IF(A102="","",MID("월화수목금토일",WEEKDAY(A102,2),1))</f>
        <v/>
      </c>
      <c r="C102" s="260" t="inlineStr"/>
      <c r="D102" s="260" t="inlineStr"/>
      <c r="E102" s="270" t="inlineStr"/>
      <c r="F102" s="260" t="inlineStr"/>
      <c r="G102" s="270" t="inlineStr"/>
      <c r="H102" s="261">
        <f>IF(OR(G102="",E102=""),"",E102-G102)</f>
        <v/>
      </c>
      <c r="I102" s="271" t="inlineStr"/>
    </row>
    <row r="103" hidden="1">
      <c r="A103" s="268" t="inlineStr"/>
      <c r="B103" s="269">
        <f>IF(A103="","",MID("월화수목금토일",WEEKDAY(A103,2),1))</f>
        <v/>
      </c>
      <c r="C103" s="260" t="inlineStr"/>
      <c r="D103" s="260" t="inlineStr"/>
      <c r="E103" s="270" t="inlineStr"/>
      <c r="F103" s="260" t="inlineStr"/>
      <c r="G103" s="270" t="inlineStr"/>
      <c r="H103" s="261">
        <f>IF(OR(G103="",E103=""),"",E103-G103)</f>
        <v/>
      </c>
      <c r="I103" s="271" t="inlineStr"/>
    </row>
    <row r="104" hidden="1">
      <c r="A104" s="268" t="inlineStr"/>
      <c r="B104" s="269">
        <f>IF(A104="","",MID("월화수목금토일",WEEKDAY(A104,2),1))</f>
        <v/>
      </c>
      <c r="C104" s="260" t="inlineStr"/>
      <c r="D104" s="260" t="inlineStr"/>
      <c r="E104" s="270" t="inlineStr"/>
      <c r="F104" s="260" t="inlineStr"/>
      <c r="G104" s="270" t="inlineStr"/>
      <c r="H104" s="261">
        <f>IF(OR(G104="",E104=""),"",E104-G104)</f>
        <v/>
      </c>
      <c r="I104" s="271" t="inlineStr"/>
    </row>
    <row r="105" hidden="1">
      <c r="A105" s="268" t="inlineStr"/>
      <c r="B105" s="269">
        <f>IF(A105="","",MID("월화수목금토일",WEEKDAY(A105,2),1))</f>
        <v/>
      </c>
      <c r="C105" s="260" t="inlineStr"/>
      <c r="D105" s="260" t="inlineStr"/>
      <c r="E105" s="270" t="inlineStr"/>
      <c r="F105" s="260" t="inlineStr"/>
      <c r="G105" s="270" t="inlineStr"/>
      <c r="H105" s="261">
        <f>IF(OR(G105="",E105=""),"",E105-G105)</f>
        <v/>
      </c>
      <c r="I105" s="271" t="inlineStr"/>
    </row>
    <row r="106" hidden="1">
      <c r="A106" s="268" t="inlineStr"/>
      <c r="B106" s="269">
        <f>IF(A106="","",MID("월화수목금토일",WEEKDAY(A106,2),1))</f>
        <v/>
      </c>
      <c r="C106" s="260" t="inlineStr"/>
      <c r="D106" s="260" t="inlineStr"/>
      <c r="E106" s="270" t="inlineStr"/>
      <c r="F106" s="260" t="inlineStr"/>
      <c r="G106" s="270" t="inlineStr"/>
      <c r="H106" s="261">
        <f>IF(OR(G106="",E106=""),"",E106-G106)</f>
        <v/>
      </c>
      <c r="I106" s="271" t="inlineStr"/>
    </row>
    <row r="107" hidden="1">
      <c r="A107" s="268" t="inlineStr"/>
      <c r="B107" s="269">
        <f>IF(A107="","",MID("월화수목금토일",WEEKDAY(A107,2),1))</f>
        <v/>
      </c>
      <c r="C107" s="260" t="inlineStr"/>
      <c r="D107" s="260" t="inlineStr"/>
      <c r="E107" s="270" t="inlineStr"/>
      <c r="F107" s="260" t="inlineStr"/>
      <c r="G107" s="270" t="inlineStr"/>
      <c r="H107" s="261">
        <f>IF(OR(G107="",E107=""),"",E107-G107)</f>
        <v/>
      </c>
      <c r="I107" s="271" t="inlineStr"/>
    </row>
    <row r="108" hidden="1">
      <c r="A108" s="268" t="inlineStr"/>
      <c r="B108" s="269">
        <f>IF(A108="","",MID("월화수목금토일",WEEKDAY(A108,2),1))</f>
        <v/>
      </c>
      <c r="C108" s="260" t="inlineStr"/>
      <c r="D108" s="260" t="inlineStr"/>
      <c r="E108" s="270" t="inlineStr"/>
      <c r="F108" s="260" t="inlineStr"/>
      <c r="G108" s="270" t="inlineStr"/>
      <c r="H108" s="261">
        <f>IF(OR(G108="",E108=""),"",E108-G108)</f>
        <v/>
      </c>
      <c r="I108" s="271" t="inlineStr"/>
    </row>
    <row r="109" hidden="1">
      <c r="A109" s="268" t="inlineStr"/>
      <c r="B109" s="269">
        <f>IF(A109="","",MID("월화수목금토일",WEEKDAY(A109,2),1))</f>
        <v/>
      </c>
      <c r="C109" s="260" t="inlineStr"/>
      <c r="D109" s="260" t="inlineStr"/>
      <c r="E109" s="270" t="inlineStr"/>
      <c r="F109" s="260" t="inlineStr"/>
      <c r="G109" s="270" t="inlineStr"/>
      <c r="H109" s="261">
        <f>IF(OR(G109="",E109=""),"",E109-G109)</f>
        <v/>
      </c>
      <c r="I109" s="271" t="inlineStr"/>
    </row>
    <row r="110">
      <c r="D110" s="272" t="inlineStr">
        <is>
          <t>합계(숨긴 행 포함 4주 전체 · 보류 제외)</t>
        </is>
      </c>
      <c r="E110" s="273">
        <f>SUMIFS(E16:E109,I16:I109,"&lt;&gt;보류")</f>
        <v/>
      </c>
    </row>
    <row r="111"/>
    <row r="112">
      <c r="A112" s="258" t="inlineStr">
        <is>
          <t>③ 반영된 입금예정 (실행일~차주 금요일) — 예상은 반영률(F12) 연동 · 실입금은 은행 확인 값</t>
        </is>
      </c>
      <c r="B112" s="259" t="n"/>
      <c r="C112" s="259" t="n"/>
      <c r="D112" s="259" t="n"/>
      <c r="E112" s="259" t="n"/>
      <c r="F112" s="259" t="n"/>
      <c r="G112" s="259" t="n"/>
      <c r="H112" s="259" t="n"/>
      <c r="I112" s="259" t="n"/>
    </row>
    <row r="113" ht="32.4" customHeight="1">
      <c r="A113" s="266" t="inlineStr">
        <is>
          <t>입금일</t>
        </is>
      </c>
      <c r="B113" s="266" t="inlineStr">
        <is>
          <t>요일</t>
        </is>
      </c>
      <c r="C113" s="266" t="inlineStr">
        <is>
          <t>구분</t>
        </is>
      </c>
      <c r="D113" s="266" t="inlineStr">
        <is>
          <t>내용</t>
        </is>
      </c>
      <c r="E113" s="266" t="inlineStr">
        <is>
          <t>예상금액</t>
        </is>
      </c>
      <c r="F113" s="267" t="inlineStr">
        <is>
          <t>실입금(은행 확인)</t>
        </is>
      </c>
      <c r="G113" s="266" t="inlineStr">
        <is>
          <t>차이</t>
        </is>
      </c>
    </row>
    <row r="114">
      <c r="A114" s="274" t="n">
        <v>46307</v>
      </c>
      <c r="B114" s="269" t="inlineStr">
        <is>
          <t>월</t>
        </is>
      </c>
      <c r="C114" s="260" t="inlineStr">
        <is>
          <t>온라인 예상</t>
        </is>
      </c>
      <c r="D114" s="161" t="inlineStr">
        <is>
          <t>12주 요일평균 × 반영률</t>
        </is>
      </c>
      <c r="E114" s="261">
        <f>ROUND(J140*$F$12,0)</f>
        <v/>
      </c>
      <c r="F114" s="275" t="n">
        <v>13213735</v>
      </c>
      <c r="G114" s="261">
        <f>IF(OR(F114="",E114=""),"",F114-E114)</f>
        <v/>
      </c>
    </row>
    <row r="115">
      <c r="A115" s="274" t="n">
        <v>46308</v>
      </c>
      <c r="B115" s="269" t="inlineStr">
        <is>
          <t>화</t>
        </is>
      </c>
      <c r="C115" s="260" t="inlineStr">
        <is>
          <t>온라인 예상</t>
        </is>
      </c>
      <c r="D115" s="161" t="inlineStr">
        <is>
          <t>12주 요일평균 × 반영률</t>
        </is>
      </c>
      <c r="E115" s="261">
        <f>ROUND(J141*$F$12,0)</f>
        <v/>
      </c>
      <c r="F115" s="260" t="inlineStr"/>
      <c r="G115" s="261">
        <f>IF(OR(F115="",E115=""),"",F115-E115)</f>
        <v/>
      </c>
    </row>
    <row r="116">
      <c r="A116" s="274" t="n">
        <v>46309</v>
      </c>
      <c r="B116" s="269" t="inlineStr">
        <is>
          <t>수</t>
        </is>
      </c>
      <c r="C116" s="260" t="inlineStr">
        <is>
          <t>온라인 예상</t>
        </is>
      </c>
      <c r="D116" s="161" t="inlineStr">
        <is>
          <t>12주 요일평균 × 반영률</t>
        </is>
      </c>
      <c r="E116" s="261">
        <f>ROUND(J142*$F$12,0)</f>
        <v/>
      </c>
      <c r="F116" s="260" t="inlineStr"/>
      <c r="G116" s="261">
        <f>IF(OR(F116="",E116=""),"",F116-E116)</f>
        <v/>
      </c>
    </row>
    <row r="117">
      <c r="A117" s="274" t="n">
        <v>46310</v>
      </c>
      <c r="B117" s="269" t="inlineStr">
        <is>
          <t>목</t>
        </is>
      </c>
      <c r="C117" s="260" t="inlineStr">
        <is>
          <t>온라인 예상</t>
        </is>
      </c>
      <c r="D117" s="161" t="inlineStr">
        <is>
          <t>12주 요일평균 × 반영률</t>
        </is>
      </c>
      <c r="E117" s="261">
        <f>ROUND(J143*$F$12,0)</f>
        <v/>
      </c>
      <c r="F117" s="260" t="inlineStr"/>
      <c r="G117" s="261">
        <f>IF(OR(F117="",E117=""),"",F117-E117)</f>
        <v/>
      </c>
    </row>
    <row r="118">
      <c r="A118" s="274" t="n">
        <v>46311</v>
      </c>
      <c r="B118" s="269" t="inlineStr">
        <is>
          <t>금</t>
        </is>
      </c>
      <c r="C118" s="260" t="inlineStr">
        <is>
          <t>온라인 예상</t>
        </is>
      </c>
      <c r="D118" s="161" t="inlineStr">
        <is>
          <t>12주 요일평균 × 반영률</t>
        </is>
      </c>
      <c r="E118" s="261">
        <f>ROUND(J144*$F$12,0)</f>
        <v/>
      </c>
      <c r="F118" s="260" t="inlineStr"/>
      <c r="G118" s="261">
        <f>IF(OR(F118="",E118=""),"",F118-E118)</f>
        <v/>
      </c>
    </row>
    <row r="119">
      <c r="A119" s="276" t="n">
        <v>46312</v>
      </c>
      <c r="B119" s="277" t="inlineStr">
        <is>
          <t>토</t>
        </is>
      </c>
      <c r="C119" s="260" t="inlineStr">
        <is>
          <t>온라인 예상</t>
        </is>
      </c>
      <c r="D119" s="161" t="inlineStr">
        <is>
          <t>12주 요일평균 × 반영률</t>
        </is>
      </c>
      <c r="E119" s="261">
        <f>ROUND(J145*$F$12,0)</f>
        <v/>
      </c>
      <c r="F119" s="260" t="inlineStr"/>
      <c r="G119" s="261">
        <f>IF(OR(F119="",E119=""),"",F119-E119)</f>
        <v/>
      </c>
    </row>
    <row r="120">
      <c r="A120" s="276" t="n">
        <v>46313</v>
      </c>
      <c r="B120" s="277" t="inlineStr">
        <is>
          <t>일</t>
        </is>
      </c>
      <c r="C120" s="260" t="inlineStr">
        <is>
          <t>온라인 예상</t>
        </is>
      </c>
      <c r="D120" s="161" t="inlineStr">
        <is>
          <t>12주 요일평균 × 반영률</t>
        </is>
      </c>
      <c r="E120" s="261">
        <f>ROUND(J146*$F$12,0)</f>
        <v/>
      </c>
      <c r="F120" s="260" t="inlineStr"/>
      <c r="G120" s="261">
        <f>IF(OR(F120="",E120=""),"",F120-E120)</f>
        <v/>
      </c>
    </row>
    <row r="121">
      <c r="A121" s="274" t="n">
        <v>46314</v>
      </c>
      <c r="B121" s="269" t="inlineStr">
        <is>
          <t>월</t>
        </is>
      </c>
      <c r="C121" s="260" t="inlineStr">
        <is>
          <t>온라인 예상</t>
        </is>
      </c>
      <c r="D121" s="161" t="inlineStr">
        <is>
          <t>12주 요일평균 × 반영률</t>
        </is>
      </c>
      <c r="E121" s="261">
        <f>ROUND(J147*$F$12,0)</f>
        <v/>
      </c>
      <c r="F121" s="260" t="inlineStr"/>
      <c r="G121" s="261">
        <f>IF(OR(F121="",E121=""),"",F121-E121)</f>
        <v/>
      </c>
    </row>
    <row r="122">
      <c r="A122" s="274" t="n">
        <v>46315</v>
      </c>
      <c r="B122" s="269" t="inlineStr">
        <is>
          <t>화</t>
        </is>
      </c>
      <c r="C122" s="260" t="inlineStr">
        <is>
          <t>온라인 예상</t>
        </is>
      </c>
      <c r="D122" s="161" t="inlineStr">
        <is>
          <t>12주 요일평균 × 반영률</t>
        </is>
      </c>
      <c r="E122" s="261">
        <f>ROUND(J148*$F$12,0)</f>
        <v/>
      </c>
      <c r="F122" s="260" t="inlineStr"/>
      <c r="G122" s="261">
        <f>IF(OR(F122="",E122=""),"",F122-E122)</f>
        <v/>
      </c>
    </row>
    <row r="123">
      <c r="A123" s="274" t="n">
        <v>46316</v>
      </c>
      <c r="B123" s="269" t="inlineStr">
        <is>
          <t>수</t>
        </is>
      </c>
      <c r="C123" s="260" t="inlineStr">
        <is>
          <t>온라인 예상</t>
        </is>
      </c>
      <c r="D123" s="161" t="inlineStr">
        <is>
          <t>12주 요일평균 × 반영률</t>
        </is>
      </c>
      <c r="E123" s="261">
        <f>ROUND(J149*$F$12,0)</f>
        <v/>
      </c>
      <c r="F123" s="260" t="inlineStr"/>
      <c r="G123" s="261">
        <f>IF(OR(F123="",E123=""),"",F123-E123)</f>
        <v/>
      </c>
    </row>
    <row r="124">
      <c r="A124" s="274" t="n">
        <v>46317</v>
      </c>
      <c r="B124" s="269" t="inlineStr">
        <is>
          <t>목</t>
        </is>
      </c>
      <c r="C124" s="260" t="inlineStr">
        <is>
          <t>온라인 예상</t>
        </is>
      </c>
      <c r="D124" s="161" t="inlineStr">
        <is>
          <t>12주 요일평균 × 반영률</t>
        </is>
      </c>
      <c r="E124" s="261">
        <f>ROUND(J150*$F$12,0)</f>
        <v/>
      </c>
      <c r="F124" s="260" t="inlineStr"/>
      <c r="G124" s="261">
        <f>IF(OR(F124="",E124=""),"",F124-E124)</f>
        <v/>
      </c>
    </row>
    <row r="125">
      <c r="A125" s="274" t="n">
        <v>46318</v>
      </c>
      <c r="B125" s="269" t="inlineStr">
        <is>
          <t>금</t>
        </is>
      </c>
      <c r="C125" s="260" t="inlineStr">
        <is>
          <t>온라인 예상</t>
        </is>
      </c>
      <c r="D125" s="161" t="inlineStr">
        <is>
          <t>12주 요일평균 × 반영률</t>
        </is>
      </c>
      <c r="E125" s="261">
        <f>ROUND(J151*$F$12,0)</f>
        <v/>
      </c>
      <c r="F125" s="260" t="inlineStr"/>
      <c r="G125" s="261">
        <f>IF(OR(F125="",E125=""),"",F125-E125)</f>
        <v/>
      </c>
    </row>
    <row r="126" hidden="1" ht="32.4" customHeight="1">
      <c r="A126" s="278" t="n">
        <v>46326</v>
      </c>
      <c r="B126" s="277" t="inlineStr">
        <is>
          <t>토</t>
        </is>
      </c>
      <c r="C126" s="260" t="inlineStr">
        <is>
          <t>확정입금</t>
        </is>
      </c>
      <c r="D126" s="161" t="inlineStr">
        <is>
          <t>관계사 외상대 입금 추정(주식회사에이팜, 말일)</t>
        </is>
      </c>
      <c r="E126" s="270" t="n">
        <v>10021867</v>
      </c>
      <c r="F126" s="260" t="inlineStr"/>
      <c r="G126" s="261">
        <f>IF(OR(F126="",E126=""),"",F126-E126)</f>
        <v/>
      </c>
    </row>
    <row r="127" hidden="1"/>
    <row r="128" hidden="1"/>
    <row r="129" hidden="1"/>
    <row r="130" hidden="1"/>
    <row r="131" hidden="1"/>
    <row r="132" hidden="1"/>
    <row r="133" hidden="1"/>
    <row r="134" hidden="1"/>
    <row r="135" hidden="1"/>
    <row r="136">
      <c r="D136" s="272" t="inlineStr">
        <is>
          <t>합계(표시 구간)</t>
        </is>
      </c>
      <c r="E136" s="273">
        <f>SUM(E114:E135)</f>
        <v/>
      </c>
      <c r="F136" s="273">
        <f>SUM(F114:F135)</f>
        <v/>
      </c>
    </row>
    <row r="137"/>
    <row r="138">
      <c r="A138" s="258" t="inlineStr">
        <is>
          <t>④ 향후 4주 일별 자금 흐름 — ② 지출·③ 입금 수정과 반영률(F12)에 즉시 연동 (실행일~차주 금요일만 표시 · 계산은 4주 전체)</t>
        </is>
      </c>
      <c r="B138" s="259" t="n"/>
      <c r="C138" s="259" t="n"/>
      <c r="D138" s="259" t="n"/>
      <c r="E138" s="259" t="n"/>
      <c r="F138" s="259" t="n"/>
      <c r="G138" s="259" t="n"/>
      <c r="H138" s="259" t="n"/>
      <c r="I138" s="259" t="n"/>
    </row>
    <row r="139">
      <c r="A139" s="266" t="inlineStr">
        <is>
          <t>일자</t>
        </is>
      </c>
      <c r="B139" s="266" t="inlineStr">
        <is>
          <t>요일</t>
        </is>
      </c>
      <c r="C139" s="266" t="inlineStr">
        <is>
          <t>입금</t>
        </is>
      </c>
      <c r="D139" s="266" t="inlineStr">
        <is>
          <t>지출</t>
        </is>
      </c>
      <c r="E139" s="266" t="inlineStr">
        <is>
          <t>예상잔액</t>
        </is>
      </c>
      <c r="F139" s="266" t="inlineStr">
        <is>
          <t>지출 내역</t>
        </is>
      </c>
      <c r="G139" s="160" t="n"/>
      <c r="H139" s="160" t="n"/>
      <c r="I139" s="159" t="n"/>
      <c r="K139" s="279" t="n">
        <v>82623505</v>
      </c>
    </row>
    <row r="140">
      <c r="A140" s="280" t="n">
        <v>46307</v>
      </c>
      <c r="B140" s="281" t="inlineStr">
        <is>
          <t>월</t>
        </is>
      </c>
      <c r="C140" s="282">
        <f>ROUND(J140*$F$12,0)+K140</f>
        <v/>
      </c>
      <c r="D140" s="282">
        <f>SUMIFS($E$16:$E$109,$A$16:$A$109,A140,$I$16:$I$109,"&lt;&gt;보류")</f>
        <v/>
      </c>
      <c r="E140" s="282">
        <f>$K$139+C140-D140</f>
        <v/>
      </c>
      <c r="F140" s="283">
        <f t="array" ref="F140">IFERROR(""&amp;IF(E140&lt;0,"⚠ 잔액 부족 · ","")&amp;_xlfn.TEXTJOIN(" · ",TRUE,IF(($A$16:$A$109=$A140)*($E$16:$E$109&lt;&gt;0)*($I$16:$I$109&lt;&gt;"보류"),$D$16:$D$109&amp;" "&amp;TEXT($E$16:$E$109,"#,##0"),"")),""&amp;IF(E140&lt;0,"⚠ 잔액 부족",""))</f>
        <v/>
      </c>
      <c r="G140" s="160" t="n"/>
      <c r="H140" s="160" t="n"/>
      <c r="I140" s="159" t="n"/>
      <c r="J140" s="279" t="n">
        <v>9149149</v>
      </c>
      <c r="K140" s="279">
        <f>SUMIFS($E$114:$E$135,$A$114:$A$135,A140,$C$114:$C$135,"확정입금")</f>
        <v/>
      </c>
    </row>
    <row r="141">
      <c r="A141" s="284" t="n">
        <v>46308</v>
      </c>
      <c r="B141" s="269" t="inlineStr">
        <is>
          <t>화</t>
        </is>
      </c>
      <c r="C141" s="261">
        <f>ROUND(J141*$F$12,0)+K141</f>
        <v/>
      </c>
      <c r="D141" s="261">
        <f>SUMIFS($E$16:$E$109,$A$16:$A$109,A141,$I$16:$I$109,"&lt;&gt;보류")</f>
        <v/>
      </c>
      <c r="E141" s="261">
        <f>E140+C141-D141</f>
        <v/>
      </c>
      <c r="F141" s="285">
        <f t="array" ref="F141">IFERROR(""&amp;IF(E141&lt;0,"⚠ 잔액 부족 · ","")&amp;_xlfn.TEXTJOIN(" · ",TRUE,IF(($A$16:$A$109=$A141)*($E$16:$E$109&lt;&gt;0)*($I$16:$I$109&lt;&gt;"보류"),$D$16:$D$109&amp;" "&amp;TEXT($E$16:$E$109,"#,##0"),"")),""&amp;IF(E141&lt;0,"⚠ 잔액 부족",""))</f>
        <v/>
      </c>
      <c r="G141" s="160" t="n"/>
      <c r="H141" s="160" t="n"/>
      <c r="I141" s="159" t="n"/>
      <c r="J141" s="279" t="n">
        <v>22299776</v>
      </c>
      <c r="K141" s="279">
        <f>SUMIFS($E$114:$E$135,$A$114:$A$135,A141,$C$114:$C$135,"확정입금")</f>
        <v/>
      </c>
    </row>
    <row r="142">
      <c r="A142" s="284" t="n">
        <v>46309</v>
      </c>
      <c r="B142" s="269" t="inlineStr">
        <is>
          <t>수</t>
        </is>
      </c>
      <c r="C142" s="261">
        <f>ROUND(J142*$F$12,0)+K142</f>
        <v/>
      </c>
      <c r="D142" s="261">
        <f>SUMIFS($E$16:$E$109,$A$16:$A$109,A142,$I$16:$I$109,"&lt;&gt;보류")</f>
        <v/>
      </c>
      <c r="E142" s="261">
        <f>E141+C142-D142</f>
        <v/>
      </c>
      <c r="F142" s="285">
        <f t="array" ref="F142">IFERROR(""&amp;IF(E142&lt;0,"⚠ 잔액 부족 · ","")&amp;_xlfn.TEXTJOIN(" · ",TRUE,IF(($A$16:$A$109=$A142)*($E$16:$E$109&lt;&gt;0)*($I$16:$I$109&lt;&gt;"보류"),$D$16:$D$109&amp;" "&amp;TEXT($E$16:$E$109,"#,##0"),"")),""&amp;IF(E142&lt;0,"⚠ 잔액 부족",""))</f>
        <v/>
      </c>
      <c r="G142" s="160" t="n"/>
      <c r="H142" s="160" t="n"/>
      <c r="I142" s="159" t="n"/>
      <c r="J142" s="279" t="n">
        <v>15522234</v>
      </c>
      <c r="K142" s="279">
        <f>SUMIFS($E$114:$E$135,$A$114:$A$135,A142,$C$114:$C$135,"확정입금")</f>
        <v/>
      </c>
    </row>
    <row r="143">
      <c r="A143" s="284" t="n">
        <v>46310</v>
      </c>
      <c r="B143" s="269" t="inlineStr">
        <is>
          <t>목</t>
        </is>
      </c>
      <c r="C143" s="261">
        <f>ROUND(J143*$F$12,0)+K143</f>
        <v/>
      </c>
      <c r="D143" s="261">
        <f>SUMIFS($E$16:$E$109,$A$16:$A$109,A143,$I$16:$I$109,"&lt;&gt;보류")</f>
        <v/>
      </c>
      <c r="E143" s="261">
        <f>E142+C143-D143</f>
        <v/>
      </c>
      <c r="F143" s="285">
        <f t="array" ref="F143">IFERROR(""&amp;IF(E143&lt;0,"⚠ 잔액 부족 · ","")&amp;_xlfn.TEXTJOIN(" · ",TRUE,IF(($A$16:$A$109=$A143)*($E$16:$E$109&lt;&gt;0)*($I$16:$I$109&lt;&gt;"보류"),$D$16:$D$109&amp;" "&amp;TEXT($E$16:$E$109,"#,##0"),"")),""&amp;IF(E143&lt;0,"⚠ 잔액 부족",""))</f>
        <v/>
      </c>
      <c r="G143" s="160" t="n"/>
      <c r="H143" s="160" t="n"/>
      <c r="I143" s="159" t="n"/>
      <c r="J143" s="279" t="n">
        <v>11514900</v>
      </c>
      <c r="K143" s="279">
        <f>SUMIFS($E$114:$E$135,$A$114:$A$135,A143,$C$114:$C$135,"확정입금")</f>
        <v/>
      </c>
    </row>
    <row r="144">
      <c r="A144" s="284" t="n">
        <v>46311</v>
      </c>
      <c r="B144" s="269" t="inlineStr">
        <is>
          <t>금</t>
        </is>
      </c>
      <c r="C144" s="261">
        <f>ROUND(J144*$F$12,0)+K144</f>
        <v/>
      </c>
      <c r="D144" s="261">
        <f>SUMIFS($E$16:$E$109,$A$16:$A$109,A144,$I$16:$I$109,"&lt;&gt;보류")</f>
        <v/>
      </c>
      <c r="E144" s="261">
        <f>E143+C144-D144</f>
        <v/>
      </c>
      <c r="F144" s="285">
        <f t="array" ref="F144">IFERROR(""&amp;IF(E144&lt;0,"⚠ 잔액 부족 · ","")&amp;_xlfn.TEXTJOIN(" · ",TRUE,IF(($A$16:$A$109=$A144)*($E$16:$E$109&lt;&gt;0)*($I$16:$I$109&lt;&gt;"보류"),$D$16:$D$109&amp;" "&amp;TEXT($E$16:$E$109,"#,##0"),"")),""&amp;IF(E144&lt;0,"⚠ 잔액 부족",""))</f>
        <v/>
      </c>
      <c r="G144" s="160" t="n"/>
      <c r="H144" s="160" t="n"/>
      <c r="I144" s="159" t="n"/>
      <c r="J144" s="279" t="n">
        <v>6913091</v>
      </c>
      <c r="K144" s="279">
        <f>SUMIFS($E$114:$E$135,$A$114:$A$135,A144,$C$114:$C$135,"확정입금")</f>
        <v/>
      </c>
    </row>
    <row r="145">
      <c r="A145" s="286" t="n">
        <v>46312</v>
      </c>
      <c r="B145" s="277" t="inlineStr">
        <is>
          <t>토</t>
        </is>
      </c>
      <c r="C145" s="261">
        <f>ROUND(J145*$F$12,0)+K145</f>
        <v/>
      </c>
      <c r="D145" s="261">
        <f>SUMIFS($E$16:$E$109,$A$16:$A$109,A145,$I$16:$I$109,"&lt;&gt;보류")</f>
        <v/>
      </c>
      <c r="E145" s="261">
        <f>E144+C145-D145</f>
        <v/>
      </c>
      <c r="F145" s="285">
        <f t="array" ref="F145">IFERROR(""&amp;IF(E145&lt;0,"⚠ 잔액 부족 · ","")&amp;_xlfn.TEXTJOIN(" · ",TRUE,IF(($A$16:$A$109=$A145)*($E$16:$E$109&lt;&gt;0)*($I$16:$I$109&lt;&gt;"보류"),$D$16:$D$109&amp;" "&amp;TEXT($E$16:$E$109,"#,##0"),"")),""&amp;IF(E145&lt;0,"⚠ 잔액 부족",""))</f>
        <v/>
      </c>
      <c r="G145" s="160" t="n"/>
      <c r="H145" s="160" t="n"/>
      <c r="I145" s="159" t="n"/>
      <c r="J145" s="279" t="n">
        <v>0</v>
      </c>
      <c r="K145" s="279">
        <f>SUMIFS($E$114:$E$135,$A$114:$A$135,A145,$C$114:$C$135,"확정입금")</f>
        <v/>
      </c>
    </row>
    <row r="146">
      <c r="A146" s="286" t="n">
        <v>46313</v>
      </c>
      <c r="B146" s="277" t="inlineStr">
        <is>
          <t>일</t>
        </is>
      </c>
      <c r="C146" s="261">
        <f>ROUND(J146*$F$12,0)+K146</f>
        <v/>
      </c>
      <c r="D146" s="261">
        <f>SUMIFS($E$16:$E$109,$A$16:$A$109,A146,$I$16:$I$109,"&lt;&gt;보류")</f>
        <v/>
      </c>
      <c r="E146" s="261">
        <f>E145+C146-D146</f>
        <v/>
      </c>
      <c r="F146" s="285">
        <f t="array" ref="F146">IFERROR(""&amp;IF(E146&lt;0,"⚠ 잔액 부족 · ","")&amp;_xlfn.TEXTJOIN(" · ",TRUE,IF(($A$16:$A$109=$A146)*($E$16:$E$109&lt;&gt;0)*($I$16:$I$109&lt;&gt;"보류"),$D$16:$D$109&amp;" "&amp;TEXT($E$16:$E$109,"#,##0"),"")),""&amp;IF(E146&lt;0,"⚠ 잔액 부족",""))</f>
        <v/>
      </c>
      <c r="G146" s="160" t="n"/>
      <c r="H146" s="160" t="n"/>
      <c r="I146" s="159" t="n"/>
      <c r="J146" s="279" t="n">
        <v>0</v>
      </c>
      <c r="K146" s="279">
        <f>SUMIFS($E$114:$E$135,$A$114:$A$135,A146,$C$114:$C$135,"확정입금")</f>
        <v/>
      </c>
    </row>
    <row r="147">
      <c r="A147" s="284" t="n">
        <v>46314</v>
      </c>
      <c r="B147" s="269" t="inlineStr">
        <is>
          <t>월</t>
        </is>
      </c>
      <c r="C147" s="261">
        <f>ROUND(J147*$F$12,0)+K147</f>
        <v/>
      </c>
      <c r="D147" s="261">
        <f>SUMIFS($E$16:$E$109,$A$16:$A$109,A147,$I$16:$I$109,"&lt;&gt;보류")</f>
        <v/>
      </c>
      <c r="E147" s="261">
        <f>E146+C147-D147</f>
        <v/>
      </c>
      <c r="F147" s="285">
        <f t="array" ref="F147">IFERROR(""&amp;IF(E147&lt;0,"⚠ 잔액 부족 · ","")&amp;_xlfn.TEXTJOIN(" · ",TRUE,IF(($A$16:$A$109=$A147)*($E$16:$E$109&lt;&gt;0)*($I$16:$I$109&lt;&gt;"보류"),$D$16:$D$109&amp;" "&amp;TEXT($E$16:$E$109,"#,##0"),"")),""&amp;IF(E147&lt;0,"⚠ 잔액 부족",""))</f>
        <v/>
      </c>
      <c r="G147" s="160" t="n"/>
      <c r="H147" s="160" t="n"/>
      <c r="I147" s="159" t="n"/>
      <c r="J147" s="279" t="n">
        <v>9149149</v>
      </c>
      <c r="K147" s="279">
        <f>SUMIFS($E$114:$E$135,$A$114:$A$135,A147,$C$114:$C$135,"확정입금")</f>
        <v/>
      </c>
    </row>
    <row r="148">
      <c r="A148" s="284" t="n">
        <v>46315</v>
      </c>
      <c r="B148" s="269" t="inlineStr">
        <is>
          <t>화</t>
        </is>
      </c>
      <c r="C148" s="261">
        <f>ROUND(J148*$F$12,0)+K148</f>
        <v/>
      </c>
      <c r="D148" s="261">
        <f>SUMIFS($E$16:$E$109,$A$16:$A$109,A148,$I$16:$I$109,"&lt;&gt;보류")</f>
        <v/>
      </c>
      <c r="E148" s="261">
        <f>E147+C148-D148</f>
        <v/>
      </c>
      <c r="F148" s="285">
        <f t="array" ref="F148">IFERROR(""&amp;IF(E148&lt;0,"⚠ 잔액 부족 · ","")&amp;_xlfn.TEXTJOIN(" · ",TRUE,IF(($A$16:$A$109=$A148)*($E$16:$E$109&lt;&gt;0)*($I$16:$I$109&lt;&gt;"보류"),$D$16:$D$109&amp;" "&amp;TEXT($E$16:$E$109,"#,##0"),"")),""&amp;IF(E148&lt;0,"⚠ 잔액 부족",""))</f>
        <v/>
      </c>
      <c r="G148" s="160" t="n"/>
      <c r="H148" s="160" t="n"/>
      <c r="I148" s="159" t="n"/>
      <c r="J148" s="279" t="n">
        <v>22299776</v>
      </c>
      <c r="K148" s="279">
        <f>SUMIFS($E$114:$E$135,$A$114:$A$135,A148,$C$114:$C$135,"확정입금")</f>
        <v/>
      </c>
    </row>
    <row r="149">
      <c r="A149" s="284" t="n">
        <v>46316</v>
      </c>
      <c r="B149" s="269" t="inlineStr">
        <is>
          <t>수</t>
        </is>
      </c>
      <c r="C149" s="261">
        <f>ROUND(J149*$F$12,0)+K149</f>
        <v/>
      </c>
      <c r="D149" s="261">
        <f>SUMIFS($E$16:$E$109,$A$16:$A$109,A149,$I$16:$I$109,"&lt;&gt;보류")</f>
        <v/>
      </c>
      <c r="E149" s="261">
        <f>E148+C149-D149</f>
        <v/>
      </c>
      <c r="F149" s="285">
        <f t="array" ref="F149">IFERROR(""&amp;IF(E149&lt;0,"⚠ 잔액 부족 · ","")&amp;_xlfn.TEXTJOIN(" · ",TRUE,IF(($A$16:$A$109=$A149)*($E$16:$E$109&lt;&gt;0)*($I$16:$I$109&lt;&gt;"보류"),$D$16:$D$109&amp;" "&amp;TEXT($E$16:$E$109,"#,##0"),"")),""&amp;IF(E149&lt;0,"⚠ 잔액 부족",""))</f>
        <v/>
      </c>
      <c r="G149" s="160" t="n"/>
      <c r="H149" s="160" t="n"/>
      <c r="I149" s="159" t="n"/>
      <c r="J149" s="279" t="n">
        <v>15522234</v>
      </c>
      <c r="K149" s="279">
        <f>SUMIFS($E$114:$E$135,$A$114:$A$135,A149,$C$114:$C$135,"확정입금")</f>
        <v/>
      </c>
    </row>
    <row r="150">
      <c r="A150" s="284" t="n">
        <v>46317</v>
      </c>
      <c r="B150" s="269" t="inlineStr">
        <is>
          <t>목</t>
        </is>
      </c>
      <c r="C150" s="261">
        <f>ROUND(J150*$F$12,0)+K150</f>
        <v/>
      </c>
      <c r="D150" s="261">
        <f>SUMIFS($E$16:$E$109,$A$16:$A$109,A150,$I$16:$I$109,"&lt;&gt;보류")</f>
        <v/>
      </c>
      <c r="E150" s="261">
        <f>E149+C150-D150</f>
        <v/>
      </c>
      <c r="F150" s="285">
        <f t="array" ref="F150">IFERROR(""&amp;IF(E150&lt;0,"⚠ 잔액 부족 · ","")&amp;_xlfn.TEXTJOIN(" · ",TRUE,IF(($A$16:$A$109=$A150)*($E$16:$E$109&lt;&gt;0)*($I$16:$I$109&lt;&gt;"보류"),$D$16:$D$109&amp;" "&amp;TEXT($E$16:$E$109,"#,##0"),"")),""&amp;IF(E150&lt;0,"⚠ 잔액 부족",""))</f>
        <v/>
      </c>
      <c r="G150" s="160" t="n"/>
      <c r="H150" s="160" t="n"/>
      <c r="I150" s="159" t="n"/>
      <c r="J150" s="279" t="n">
        <v>11514900</v>
      </c>
      <c r="K150" s="279">
        <f>SUMIFS($E$114:$E$135,$A$114:$A$135,A150,$C$114:$C$135,"확정입금")</f>
        <v/>
      </c>
    </row>
    <row r="151">
      <c r="A151" s="287" t="n">
        <v>46318</v>
      </c>
      <c r="B151" s="288" t="inlineStr">
        <is>
          <t>금</t>
        </is>
      </c>
      <c r="C151" s="289">
        <f>ROUND(J151*$F$12,0)+K151</f>
        <v/>
      </c>
      <c r="D151" s="289">
        <f>SUMIFS($E$16:$E$109,$A$16:$A$109,A151,$I$16:$I$109,"&lt;&gt;보류")</f>
        <v/>
      </c>
      <c r="E151" s="289">
        <f>E150+C151-D151</f>
        <v/>
      </c>
      <c r="F151" s="290">
        <f t="array" ref="F151">IFERROR(""&amp;IF(E151&lt;0,"⚠ 잔액 부족 · ","")&amp;_xlfn.TEXTJOIN(" · ",TRUE,IF(($A$16:$A$109=$A151)*($E$16:$E$109&lt;&gt;0)*($I$16:$I$109&lt;&gt;"보류"),$D$16:$D$109&amp;" "&amp;TEXT($E$16:$E$109,"#,##0"),"")),""&amp;IF(E151&lt;0,"⚠ 잔액 부족",""))</f>
        <v/>
      </c>
      <c r="G151" s="160" t="n"/>
      <c r="H151" s="160" t="n"/>
      <c r="I151" s="159" t="n"/>
      <c r="J151" s="279" t="n">
        <v>6913091</v>
      </c>
      <c r="K151" s="279">
        <f>SUMIFS($E$114:$E$135,$A$114:$A$135,A151,$C$114:$C$135,"확정입금")</f>
        <v/>
      </c>
    </row>
    <row r="152" hidden="1">
      <c r="A152" s="276" t="n">
        <v>46319</v>
      </c>
      <c r="B152" s="277" t="inlineStr">
        <is>
          <t>토</t>
        </is>
      </c>
      <c r="C152" s="261">
        <f>ROUND(J152*$F$12,0)+K152</f>
        <v/>
      </c>
      <c r="D152" s="261">
        <f>SUMIFS($E$16:$E$109,$A$16:$A$109,A152,$I$16:$I$109,"&lt;&gt;보류")</f>
        <v/>
      </c>
      <c r="E152" s="261">
        <f>E151+C152-D152</f>
        <v/>
      </c>
      <c r="F152" s="291">
        <f t="array" ref="F152">IFERROR(""&amp;IF(E152&lt;0,"⚠ 잔액 부족 · ","")&amp;_xlfn.TEXTJOIN(" · ",TRUE,IF(($A$16:$A$109=$A152)*($E$16:$E$109&lt;&gt;0)*($I$16:$I$109&lt;&gt;"보류"),$D$16:$D$109&amp;" "&amp;TEXT($E$16:$E$109,"#,##0"),"")),""&amp;IF(E152&lt;0,"⚠ 잔액 부족",""))</f>
        <v/>
      </c>
      <c r="G152" s="160" t="n"/>
      <c r="H152" s="160" t="n"/>
      <c r="I152" s="159" t="n"/>
      <c r="J152" s="279" t="n">
        <v>0</v>
      </c>
      <c r="K152" s="279">
        <f>SUMIFS($E$114:$E$135,$A$114:$A$135,A152,$C$114:$C$135,"확정입금")</f>
        <v/>
      </c>
    </row>
    <row r="153" hidden="1">
      <c r="A153" s="276" t="n">
        <v>46320</v>
      </c>
      <c r="B153" s="277" t="inlineStr">
        <is>
          <t>일</t>
        </is>
      </c>
      <c r="C153" s="261">
        <f>ROUND(J153*$F$12,0)+K153</f>
        <v/>
      </c>
      <c r="D153" s="261">
        <f>SUMIFS($E$16:$E$109,$A$16:$A$109,A153,$I$16:$I$109,"&lt;&gt;보류")</f>
        <v/>
      </c>
      <c r="E153" s="261">
        <f>E152+C153-D153</f>
        <v/>
      </c>
      <c r="F153" s="291">
        <f t="array" ref="F153">IFERROR(""&amp;IF(E153&lt;0,"⚠ 잔액 부족 · ","")&amp;_xlfn.TEXTJOIN(" · ",TRUE,IF(($A$16:$A$109=$A153)*($E$16:$E$109&lt;&gt;0)*($I$16:$I$109&lt;&gt;"보류"),$D$16:$D$109&amp;" "&amp;TEXT($E$16:$E$109,"#,##0"),"")),""&amp;IF(E153&lt;0,"⚠ 잔액 부족",""))</f>
        <v/>
      </c>
      <c r="G153" s="160" t="n"/>
      <c r="H153" s="160" t="n"/>
      <c r="I153" s="159" t="n"/>
      <c r="J153" s="279" t="n">
        <v>0</v>
      </c>
      <c r="K153" s="279">
        <f>SUMIFS($E$114:$E$135,$A$114:$A$135,A153,$C$114:$C$135,"확정입금")</f>
        <v/>
      </c>
    </row>
    <row r="154" hidden="1">
      <c r="A154" s="274" t="n">
        <v>46321</v>
      </c>
      <c r="B154" s="269" t="inlineStr">
        <is>
          <t>월</t>
        </is>
      </c>
      <c r="C154" s="261">
        <f>ROUND(J154*$F$12,0)+K154</f>
        <v/>
      </c>
      <c r="D154" s="261">
        <f>SUMIFS($E$16:$E$109,$A$16:$A$109,A154,$I$16:$I$109,"&lt;&gt;보류")</f>
        <v/>
      </c>
      <c r="E154" s="261">
        <f>E153+C154-D154</f>
        <v/>
      </c>
      <c r="F154" s="291">
        <f t="array" ref="F154">IFERROR(""&amp;IF(E154&lt;0,"⚠ 잔액 부족 · ","")&amp;_xlfn.TEXTJOIN(" · ",TRUE,IF(($A$16:$A$109=$A154)*($E$16:$E$109&lt;&gt;0)*($I$16:$I$109&lt;&gt;"보류"),$D$16:$D$109&amp;" "&amp;TEXT($E$16:$E$109,"#,##0"),"")),""&amp;IF(E154&lt;0,"⚠ 잔액 부족",""))</f>
        <v/>
      </c>
      <c r="G154" s="160" t="n"/>
      <c r="H154" s="160" t="n"/>
      <c r="I154" s="159" t="n"/>
      <c r="J154" s="279" t="n">
        <v>9149149</v>
      </c>
      <c r="K154" s="279">
        <f>SUMIFS($E$114:$E$135,$A$114:$A$135,A154,$C$114:$C$135,"확정입금")</f>
        <v/>
      </c>
    </row>
    <row r="155" hidden="1">
      <c r="A155" s="274" t="n">
        <v>46322</v>
      </c>
      <c r="B155" s="269" t="inlineStr">
        <is>
          <t>화</t>
        </is>
      </c>
      <c r="C155" s="261">
        <f>ROUND(J155*$F$12,0)+K155</f>
        <v/>
      </c>
      <c r="D155" s="261">
        <f>SUMIFS($E$16:$E$109,$A$16:$A$109,A155,$I$16:$I$109,"&lt;&gt;보류")</f>
        <v/>
      </c>
      <c r="E155" s="261">
        <f>E154+C155-D155</f>
        <v/>
      </c>
      <c r="F155" s="291">
        <f t="array" ref="F155">IFERROR(""&amp;IF(E155&lt;0,"⚠ 잔액 부족 · ","")&amp;_xlfn.TEXTJOIN(" · ",TRUE,IF(($A$16:$A$109=$A155)*($E$16:$E$109&lt;&gt;0)*($I$16:$I$109&lt;&gt;"보류"),$D$16:$D$109&amp;" "&amp;TEXT($E$16:$E$109,"#,##0"),"")),""&amp;IF(E155&lt;0,"⚠ 잔액 부족",""))</f>
        <v/>
      </c>
      <c r="G155" s="160" t="n"/>
      <c r="H155" s="160" t="n"/>
      <c r="I155" s="159" t="n"/>
      <c r="J155" s="279" t="n">
        <v>22299776</v>
      </c>
      <c r="K155" s="279">
        <f>SUMIFS($E$114:$E$135,$A$114:$A$135,A155,$C$114:$C$135,"확정입금")</f>
        <v/>
      </c>
    </row>
    <row r="156" hidden="1">
      <c r="A156" s="274" t="n">
        <v>46323</v>
      </c>
      <c r="B156" s="269" t="inlineStr">
        <is>
          <t>수</t>
        </is>
      </c>
      <c r="C156" s="261">
        <f>ROUND(J156*$F$12,0)+K156</f>
        <v/>
      </c>
      <c r="D156" s="261">
        <f>SUMIFS($E$16:$E$109,$A$16:$A$109,A156,$I$16:$I$109,"&lt;&gt;보류")</f>
        <v/>
      </c>
      <c r="E156" s="261">
        <f>E155+C156-D156</f>
        <v/>
      </c>
      <c r="F156" s="291">
        <f t="array" ref="F156">IFERROR(""&amp;IF(E156&lt;0,"⚠ 잔액 부족 · ","")&amp;_xlfn.TEXTJOIN(" · ",TRUE,IF(($A$16:$A$109=$A156)*($E$16:$E$109&lt;&gt;0)*($I$16:$I$109&lt;&gt;"보류"),$D$16:$D$109&amp;" "&amp;TEXT($E$16:$E$109,"#,##0"),"")),""&amp;IF(E156&lt;0,"⚠ 잔액 부족",""))</f>
        <v/>
      </c>
      <c r="G156" s="160" t="n"/>
      <c r="H156" s="160" t="n"/>
      <c r="I156" s="159" t="n"/>
      <c r="J156" s="279" t="n">
        <v>15522234</v>
      </c>
      <c r="K156" s="279">
        <f>SUMIFS($E$114:$E$135,$A$114:$A$135,A156,$C$114:$C$135,"확정입금")</f>
        <v/>
      </c>
    </row>
    <row r="157" hidden="1">
      <c r="A157" s="274" t="n">
        <v>46324</v>
      </c>
      <c r="B157" s="269" t="inlineStr">
        <is>
          <t>목</t>
        </is>
      </c>
      <c r="C157" s="261">
        <f>ROUND(J157*$F$12,0)+K157</f>
        <v/>
      </c>
      <c r="D157" s="261">
        <f>SUMIFS($E$16:$E$109,$A$16:$A$109,A157,$I$16:$I$109,"&lt;&gt;보류")</f>
        <v/>
      </c>
      <c r="E157" s="261">
        <f>E156+C157-D157</f>
        <v/>
      </c>
      <c r="F157" s="291">
        <f t="array" ref="F157">IFERROR(""&amp;IF(E157&lt;0,"⚠ 잔액 부족 · ","")&amp;_xlfn.TEXTJOIN(" · ",TRUE,IF(($A$16:$A$109=$A157)*($E$16:$E$109&lt;&gt;0)*($I$16:$I$109&lt;&gt;"보류"),$D$16:$D$109&amp;" "&amp;TEXT($E$16:$E$109,"#,##0"),"")),""&amp;IF(E157&lt;0,"⚠ 잔액 부족",""))</f>
        <v/>
      </c>
      <c r="G157" s="160" t="n"/>
      <c r="H157" s="160" t="n"/>
      <c r="I157" s="159" t="n"/>
      <c r="J157" s="279" t="n">
        <v>11514900</v>
      </c>
      <c r="K157" s="279">
        <f>SUMIFS($E$114:$E$135,$A$114:$A$135,A157,$C$114:$C$135,"확정입금")</f>
        <v/>
      </c>
    </row>
    <row r="158" hidden="1">
      <c r="A158" s="274" t="n">
        <v>46325</v>
      </c>
      <c r="B158" s="269" t="inlineStr">
        <is>
          <t>금</t>
        </is>
      </c>
      <c r="C158" s="261">
        <f>ROUND(J158*$F$12,0)+K158</f>
        <v/>
      </c>
      <c r="D158" s="261">
        <f>SUMIFS($E$16:$E$109,$A$16:$A$109,A158,$I$16:$I$109,"&lt;&gt;보류")</f>
        <v/>
      </c>
      <c r="E158" s="261">
        <f>E157+C158-D158</f>
        <v/>
      </c>
      <c r="F158" s="291">
        <f t="array" ref="F158">IFERROR(""&amp;IF(E158&lt;0,"⚠ 잔액 부족 · ","")&amp;_xlfn.TEXTJOIN(" · ",TRUE,IF(($A$16:$A$109=$A158)*($E$16:$E$109&lt;&gt;0)*($I$16:$I$109&lt;&gt;"보류"),$D$16:$D$109&amp;" "&amp;TEXT($E$16:$E$109,"#,##0"),"")),""&amp;IF(E158&lt;0,"⚠ 잔액 부족",""))</f>
        <v/>
      </c>
      <c r="G158" s="160" t="n"/>
      <c r="H158" s="160" t="n"/>
      <c r="I158" s="159" t="n"/>
      <c r="J158" s="279" t="n">
        <v>6913091</v>
      </c>
      <c r="K158" s="279">
        <f>SUMIFS($E$114:$E$135,$A$114:$A$135,A158,$C$114:$C$135,"확정입금")</f>
        <v/>
      </c>
    </row>
    <row r="159" hidden="1">
      <c r="A159" s="276" t="n">
        <v>46326</v>
      </c>
      <c r="B159" s="277" t="inlineStr">
        <is>
          <t>토</t>
        </is>
      </c>
      <c r="C159" s="261">
        <f>ROUND(J159*$F$12,0)+K159</f>
        <v/>
      </c>
      <c r="D159" s="261">
        <f>SUMIFS($E$16:$E$109,$A$16:$A$109,A159,$I$16:$I$109,"&lt;&gt;보류")</f>
        <v/>
      </c>
      <c r="E159" s="261">
        <f>E158+C159-D159</f>
        <v/>
      </c>
      <c r="F159" s="291">
        <f t="array" ref="F159">IFERROR(""&amp;IF(E159&lt;0,"⚠ 잔액 부족 · ","")&amp;_xlfn.TEXTJOIN(" · ",TRUE,IF(($A$16:$A$109=$A159)*($E$16:$E$109&lt;&gt;0)*($I$16:$I$109&lt;&gt;"보류"),$D$16:$D$109&amp;" "&amp;TEXT($E$16:$E$109,"#,##0"),"")),""&amp;IF(E159&lt;0,"⚠ 잔액 부족",""))</f>
        <v/>
      </c>
      <c r="G159" s="160" t="n"/>
      <c r="H159" s="160" t="n"/>
      <c r="I159" s="159" t="n"/>
      <c r="J159" s="279" t="n">
        <v>0</v>
      </c>
      <c r="K159" s="279">
        <f>SUMIFS($E$114:$E$135,$A$114:$A$135,A159,$C$114:$C$135,"확정입금")</f>
        <v/>
      </c>
    </row>
    <row r="160" hidden="1">
      <c r="A160" s="276" t="n">
        <v>46327</v>
      </c>
      <c r="B160" s="277" t="inlineStr">
        <is>
          <t>일</t>
        </is>
      </c>
      <c r="C160" s="261">
        <f>ROUND(J160*$F$12,0)+K160</f>
        <v/>
      </c>
      <c r="D160" s="261">
        <f>SUMIFS($E$16:$E$109,$A$16:$A$109,A160,$I$16:$I$109,"&lt;&gt;보류")</f>
        <v/>
      </c>
      <c r="E160" s="261">
        <f>E159+C160-D160</f>
        <v/>
      </c>
      <c r="F160" s="291">
        <f t="array" ref="F160">IFERROR(""&amp;IF(E160&lt;0,"⚠ 잔액 부족 · ","")&amp;_xlfn.TEXTJOIN(" · ",TRUE,IF(($A$16:$A$109=$A160)*($E$16:$E$109&lt;&gt;0)*($I$16:$I$109&lt;&gt;"보류"),$D$16:$D$109&amp;" "&amp;TEXT($E$16:$E$109,"#,##0"),"")),""&amp;IF(E160&lt;0,"⚠ 잔액 부족",""))</f>
        <v/>
      </c>
      <c r="G160" s="160" t="n"/>
      <c r="H160" s="160" t="n"/>
      <c r="I160" s="159" t="n"/>
      <c r="J160" s="279" t="n">
        <v>0</v>
      </c>
      <c r="K160" s="279">
        <f>SUMIFS($E$114:$E$135,$A$114:$A$135,A160,$C$114:$C$135,"확정입금")</f>
        <v/>
      </c>
    </row>
    <row r="161" hidden="1">
      <c r="A161" s="274" t="n">
        <v>46328</v>
      </c>
      <c r="B161" s="269" t="inlineStr">
        <is>
          <t>월</t>
        </is>
      </c>
      <c r="C161" s="261">
        <f>ROUND(J161*$F$12,0)+K161</f>
        <v/>
      </c>
      <c r="D161" s="261">
        <f>SUMIFS($E$16:$E$109,$A$16:$A$109,A161,$I$16:$I$109,"&lt;&gt;보류")</f>
        <v/>
      </c>
      <c r="E161" s="261">
        <f>E160+C161-D161</f>
        <v/>
      </c>
      <c r="F161" s="291">
        <f t="array" ref="F161">IFERROR(""&amp;IF(E161&lt;0,"⚠ 잔액 부족 · ","")&amp;_xlfn.TEXTJOIN(" · ",TRUE,IF(($A$16:$A$109=$A161)*($E$16:$E$109&lt;&gt;0)*($I$16:$I$109&lt;&gt;"보류"),$D$16:$D$109&amp;" "&amp;TEXT($E$16:$E$109,"#,##0"),"")),""&amp;IF(E161&lt;0,"⚠ 잔액 부족",""))</f>
        <v/>
      </c>
      <c r="G161" s="160" t="n"/>
      <c r="H161" s="160" t="n"/>
      <c r="I161" s="159" t="n"/>
      <c r="J161" s="279" t="n">
        <v>9149149</v>
      </c>
      <c r="K161" s="279">
        <f>SUMIFS($E$114:$E$135,$A$114:$A$135,A161,$C$114:$C$135,"확정입금")</f>
        <v/>
      </c>
    </row>
    <row r="162" hidden="1">
      <c r="A162" s="274" t="n">
        <v>46329</v>
      </c>
      <c r="B162" s="269" t="inlineStr">
        <is>
          <t>화</t>
        </is>
      </c>
      <c r="C162" s="261">
        <f>ROUND(J162*$F$12,0)+K162</f>
        <v/>
      </c>
      <c r="D162" s="261">
        <f>SUMIFS($E$16:$E$109,$A$16:$A$109,A162,$I$16:$I$109,"&lt;&gt;보류")</f>
        <v/>
      </c>
      <c r="E162" s="261">
        <f>E161+C162-D162</f>
        <v/>
      </c>
      <c r="F162" s="291">
        <f t="array" ref="F162">IFERROR(""&amp;IF(E162&lt;0,"⚠ 잔액 부족 · ","")&amp;_xlfn.TEXTJOIN(" · ",TRUE,IF(($A$16:$A$109=$A162)*($E$16:$E$109&lt;&gt;0)*($I$16:$I$109&lt;&gt;"보류"),$D$16:$D$109&amp;" "&amp;TEXT($E$16:$E$109,"#,##0"),"")),""&amp;IF(E162&lt;0,"⚠ 잔액 부족",""))</f>
        <v/>
      </c>
      <c r="G162" s="160" t="n"/>
      <c r="H162" s="160" t="n"/>
      <c r="I162" s="159" t="n"/>
      <c r="J162" s="279" t="n">
        <v>22299776</v>
      </c>
      <c r="K162" s="279">
        <f>SUMIFS($E$114:$E$135,$A$114:$A$135,A162,$C$114:$C$135,"확정입금")</f>
        <v/>
      </c>
    </row>
    <row r="163" hidden="1">
      <c r="A163" s="274" t="n">
        <v>46330</v>
      </c>
      <c r="B163" s="269" t="inlineStr">
        <is>
          <t>수</t>
        </is>
      </c>
      <c r="C163" s="261">
        <f>ROUND(J163*$F$12,0)+K163</f>
        <v/>
      </c>
      <c r="D163" s="261">
        <f>SUMIFS($E$16:$E$109,$A$16:$A$109,A163,$I$16:$I$109,"&lt;&gt;보류")</f>
        <v/>
      </c>
      <c r="E163" s="261">
        <f>E162+C163-D163</f>
        <v/>
      </c>
      <c r="F163" s="291">
        <f t="array" ref="F163">IFERROR(""&amp;IF(E163&lt;0,"⚠ 잔액 부족 · ","")&amp;_xlfn.TEXTJOIN(" · ",TRUE,IF(($A$16:$A$109=$A163)*($E$16:$E$109&lt;&gt;0)*($I$16:$I$109&lt;&gt;"보류"),$D$16:$D$109&amp;" "&amp;TEXT($E$16:$E$109,"#,##0"),"")),""&amp;IF(E163&lt;0,"⚠ 잔액 부족",""))</f>
        <v/>
      </c>
      <c r="G163" s="160" t="n"/>
      <c r="H163" s="160" t="n"/>
      <c r="I163" s="159" t="n"/>
      <c r="J163" s="279" t="n">
        <v>15522234</v>
      </c>
      <c r="K163" s="279">
        <f>SUMIFS($E$114:$E$135,$A$114:$A$135,A163,$C$114:$C$135,"확정입금")</f>
        <v/>
      </c>
    </row>
    <row r="164" hidden="1">
      <c r="A164" s="274" t="n">
        <v>46331</v>
      </c>
      <c r="B164" s="269" t="inlineStr">
        <is>
          <t>목</t>
        </is>
      </c>
      <c r="C164" s="261">
        <f>ROUND(J164*$F$12,0)+K164</f>
        <v/>
      </c>
      <c r="D164" s="261">
        <f>SUMIFS($E$16:$E$109,$A$16:$A$109,A164,$I$16:$I$109,"&lt;&gt;보류")</f>
        <v/>
      </c>
      <c r="E164" s="261">
        <f>E163+C164-D164</f>
        <v/>
      </c>
      <c r="F164" s="291">
        <f t="array" ref="F164">IFERROR(""&amp;IF(E164&lt;0,"⚠ 잔액 부족 · ","")&amp;_xlfn.TEXTJOIN(" · ",TRUE,IF(($A$16:$A$109=$A164)*($E$16:$E$109&lt;&gt;0)*($I$16:$I$109&lt;&gt;"보류"),$D$16:$D$109&amp;" "&amp;TEXT($E$16:$E$109,"#,##0"),"")),""&amp;IF(E164&lt;0,"⚠ 잔액 부족",""))</f>
        <v/>
      </c>
      <c r="G164" s="160" t="n"/>
      <c r="H164" s="160" t="n"/>
      <c r="I164" s="159" t="n"/>
      <c r="J164" s="279" t="n">
        <v>11514900</v>
      </c>
      <c r="K164" s="279">
        <f>SUMIFS($E$114:$E$135,$A$114:$A$135,A164,$C$114:$C$135,"확정입금")</f>
        <v/>
      </c>
    </row>
    <row r="165" hidden="1">
      <c r="A165" s="274" t="n">
        <v>46332</v>
      </c>
      <c r="B165" s="269" t="inlineStr">
        <is>
          <t>금</t>
        </is>
      </c>
      <c r="C165" s="261">
        <f>ROUND(J165*$F$12,0)+K165</f>
        <v/>
      </c>
      <c r="D165" s="261">
        <f>SUMIFS($E$16:$E$109,$A$16:$A$109,A165,$I$16:$I$109,"&lt;&gt;보류")</f>
        <v/>
      </c>
      <c r="E165" s="261">
        <f>E164+C165-D165</f>
        <v/>
      </c>
      <c r="F165" s="291">
        <f t="array" ref="F165">IFERROR(""&amp;IF(E165&lt;0,"⚠ 잔액 부족 · ","")&amp;_xlfn.TEXTJOIN(" · ",TRUE,IF(($A$16:$A$109=$A165)*($E$16:$E$109&lt;&gt;0)*($I$16:$I$109&lt;&gt;"보류"),$D$16:$D$109&amp;" "&amp;TEXT($E$16:$E$109,"#,##0"),"")),""&amp;IF(E165&lt;0,"⚠ 잔액 부족",""))</f>
        <v/>
      </c>
      <c r="G165" s="160" t="n"/>
      <c r="H165" s="160" t="n"/>
      <c r="I165" s="159" t="n"/>
      <c r="J165" s="279" t="n">
        <v>6913091</v>
      </c>
      <c r="K165" s="279">
        <f>SUMIFS($E$114:$E$135,$A$114:$A$135,A165,$C$114:$C$135,"확정입금")</f>
        <v/>
      </c>
    </row>
    <row r="166" hidden="1">
      <c r="A166" s="276" t="n">
        <v>46333</v>
      </c>
      <c r="B166" s="277" t="inlineStr">
        <is>
          <t>토</t>
        </is>
      </c>
      <c r="C166" s="261">
        <f>ROUND(J166*$F$12,0)+K166</f>
        <v/>
      </c>
      <c r="D166" s="261">
        <f>SUMIFS($E$16:$E$109,$A$16:$A$109,A166,$I$16:$I$109,"&lt;&gt;보류")</f>
        <v/>
      </c>
      <c r="E166" s="261">
        <f>E165+C166-D166</f>
        <v/>
      </c>
      <c r="F166" s="291">
        <f t="array" ref="F166">IFERROR(""&amp;IF(E166&lt;0,"⚠ 잔액 부족 · ","")&amp;_xlfn.TEXTJOIN(" · ",TRUE,IF(($A$16:$A$109=$A166)*($E$16:$E$109&lt;&gt;0)*($I$16:$I$109&lt;&gt;"보류"),$D$16:$D$109&amp;" "&amp;TEXT($E$16:$E$109,"#,##0"),"")),""&amp;IF(E166&lt;0,"⚠ 잔액 부족",""))</f>
        <v/>
      </c>
      <c r="G166" s="160" t="n"/>
      <c r="H166" s="160" t="n"/>
      <c r="I166" s="159" t="n"/>
      <c r="J166" s="279" t="n">
        <v>0</v>
      </c>
      <c r="K166" s="279">
        <f>SUMIFS($E$114:$E$135,$A$114:$A$135,A166,$C$114:$C$135,"확정입금")</f>
        <v/>
      </c>
    </row>
    <row r="167" hidden="1">
      <c r="A167" s="276" t="n">
        <v>46334</v>
      </c>
      <c r="B167" s="277" t="inlineStr">
        <is>
          <t>일</t>
        </is>
      </c>
      <c r="C167" s="261">
        <f>ROUND(J167*$F$12,0)+K167</f>
        <v/>
      </c>
      <c r="D167" s="261">
        <f>SUMIFS($E$16:$E$109,$A$16:$A$109,A167,$I$16:$I$109,"&lt;&gt;보류")</f>
        <v/>
      </c>
      <c r="E167" s="261">
        <f>E166+C167-D167</f>
        <v/>
      </c>
      <c r="F167" s="291">
        <f t="array" ref="F167">IFERROR(""&amp;IF(E167&lt;0,"⚠ 잔액 부족 · ","")&amp;_xlfn.TEXTJOIN(" · ",TRUE,IF(($A$16:$A$109=$A167)*($E$16:$E$109&lt;&gt;0)*($I$16:$I$109&lt;&gt;"보류"),$D$16:$D$109&amp;" "&amp;TEXT($E$16:$E$109,"#,##0"),"")),""&amp;IF(E167&lt;0,"⚠ 잔액 부족",""))</f>
        <v/>
      </c>
      <c r="G167" s="160" t="n"/>
      <c r="H167" s="160" t="n"/>
      <c r="I167" s="159" t="n"/>
      <c r="J167" s="279" t="n">
        <v>0</v>
      </c>
      <c r="K167" s="279">
        <f>SUMIFS($E$114:$E$135,$A$114:$A$135,A167,$C$114:$C$135,"확정입금")</f>
        <v/>
      </c>
    </row>
    <row r="168">
      <c r="A168" s="264" t="inlineStr">
        <is>
          <t>4주 최저 잔액</t>
        </is>
      </c>
      <c r="C168" s="273">
        <f>MIN(E140:E167)</f>
        <v/>
      </c>
      <c r="D168" s="292" t="inlineStr">
        <is>
          <t>4주 예상 기말잔액</t>
        </is>
      </c>
      <c r="E168" s="273">
        <f>E167</f>
        <v/>
      </c>
    </row>
    <row r="169">
      <c r="A169" s="264">
        <f>IF(C168&gt;=0,"향후 4주 부족분 없음 — 계획대로 집행 가능합니다.","향후 4주 최대 부족 "&amp;TEXT(-C168,"#,##0")&amp;"원 — 지출 일정 조정 또는 자금 조치가 필요합니다.")</f>
        <v/>
      </c>
    </row>
    <row r="170"/>
    <row r="171">
      <c r="A171" s="258" t="inlineStr">
        <is>
          <t>⑤ 안정을 위한 필요 추가 입금 (향후 4주)</t>
        </is>
      </c>
      <c r="B171" s="259" t="n"/>
      <c r="C171" s="259" t="n"/>
      <c r="D171" s="259" t="n"/>
      <c r="E171" s="259" t="n"/>
      <c r="F171" s="259" t="n"/>
      <c r="G171" s="259" t="n"/>
      <c r="H171" s="259" t="n"/>
      <c r="I171" s="259" t="n"/>
    </row>
    <row r="172" ht="32.4" customHeight="1">
      <c r="A172" s="264" t="inlineStr">
        <is>
          <t>목표 최저잔액</t>
        </is>
      </c>
      <c r="C172" s="270" t="n">
        <v>0</v>
      </c>
      <c r="D172" s="293" t="inlineStr">
        <is>
          <t>예: 0원(적자 없음) 또는 안전하게 유지하고 싶은 잔액을 입력하세요.</t>
        </is>
      </c>
    </row>
    <row r="173">
      <c r="A173" s="266" t="inlineStr">
        <is>
          <t>반영률</t>
        </is>
      </c>
      <c r="B173" s="266" t="n"/>
      <c r="C173" s="266" t="inlineStr">
        <is>
          <t>4주 기말잔액</t>
        </is>
      </c>
      <c r="D173" s="266" t="inlineStr">
        <is>
          <t>4주 최저잔액</t>
        </is>
      </c>
      <c r="E173" s="266" t="inlineStr">
        <is>
          <t>자금부족 예상일</t>
        </is>
      </c>
      <c r="F173" s="266" t="inlineStr">
        <is>
          <t>필요 추가 입금</t>
        </is>
      </c>
    </row>
    <row r="174">
      <c r="A174" s="294" t="n">
        <v>0.8</v>
      </c>
      <c r="C174" s="261" t="n">
        <v>300247652</v>
      </c>
      <c r="D174" s="261" t="n">
        <v>89942824</v>
      </c>
      <c r="E174" s="269" t="inlineStr">
        <is>
          <t>없음</t>
        </is>
      </c>
      <c r="F174" s="263">
        <f>MAX(0,$C$172-D174)</f>
        <v/>
      </c>
    </row>
    <row r="175">
      <c r="A175" s="294" t="n">
        <v>0.9</v>
      </c>
      <c r="C175" s="261" t="n">
        <v>326407312</v>
      </c>
      <c r="D175" s="261" t="n">
        <v>90857739</v>
      </c>
      <c r="E175" s="269" t="inlineStr">
        <is>
          <t>없음</t>
        </is>
      </c>
      <c r="F175" s="263">
        <f>MAX(0,$C$172-D175)</f>
        <v/>
      </c>
    </row>
    <row r="176">
      <c r="A176" s="294" t="n">
        <v>1</v>
      </c>
      <c r="C176" s="261" t="n">
        <v>352566972</v>
      </c>
      <c r="D176" s="261" t="n">
        <v>91772654</v>
      </c>
      <c r="E176" s="269" t="inlineStr">
        <is>
          <t>없음</t>
        </is>
      </c>
      <c r="F176" s="263">
        <f>MAX(0,$C$172-D176)</f>
        <v/>
      </c>
    </row>
    <row r="177">
      <c r="A177" s="264" t="inlineStr">
        <is>
          <t>주당 추가 입금 목표</t>
        </is>
      </c>
      <c r="C177" s="273">
        <f>ROUND(F174/4,0)</f>
        <v/>
      </c>
      <c r="D177" s="292" t="inlineStr">
        <is>
          <t>영업일당(주 5일 기준)</t>
        </is>
      </c>
      <c r="E177" s="273">
        <f>ROUND(F174/20,0)</f>
        <v/>
      </c>
    </row>
    <row r="178"/>
    <row r="179">
      <c r="A179" s="258" t="inlineStr">
        <is>
          <t>⑥ 건강사업팀 전달 메모 (자동 작성)</t>
        </is>
      </c>
      <c r="B179" s="259" t="n"/>
      <c r="C179" s="259" t="n"/>
      <c r="D179" s="259" t="n"/>
      <c r="E179" s="259" t="n"/>
      <c r="F179" s="259" t="n"/>
      <c r="G179" s="259" t="n"/>
      <c r="H179" s="259" t="n"/>
      <c r="I179" s="259" t="n"/>
    </row>
    <row r="180" ht="60.8" customHeight="1">
      <c r="A180" s="295">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6" t="inlineStr">
        <is>
          <t>(주)에이팜건강 주간 자금계획 보고</t>
        </is>
      </c>
    </row>
    <row r="2">
      <c r="A2" s="256">
        <f>"기준일 2026-10-12 · 작성 2026-10-12 14:36:32 · 입금 반영률 "&amp;TEXT('경영보고'!$F$12,"0%")&amp;" (경영보고 시트와 실시간 연동)"</f>
        <v/>
      </c>
    </row>
    <row r="3"/>
    <row r="4">
      <c r="A4" s="258" t="inlineStr">
        <is>
          <t>핵심 요약</t>
        </is>
      </c>
      <c r="B4" s="259" t="n"/>
      <c r="C4" s="259" t="n"/>
      <c r="D4" s="259" t="n"/>
      <c r="E4" s="259" t="n"/>
    </row>
    <row r="5">
      <c r="A5" s="262" t="inlineStr">
        <is>
          <t>현재 전체 계좌잔액</t>
        </is>
      </c>
      <c r="C5" s="261">
        <f>'경영보고'!C12</f>
        <v/>
      </c>
    </row>
    <row r="6">
      <c r="A6" s="262" t="inlineStr">
        <is>
          <t>4주 예상 기말잔액</t>
        </is>
      </c>
      <c r="C6" s="261">
        <f>'경영보고'!E167</f>
        <v/>
      </c>
    </row>
    <row r="7">
      <c r="A7" s="262" t="inlineStr">
        <is>
          <t>4주 최저 예상잔액</t>
        </is>
      </c>
      <c r="C7" s="261">
        <f>'경영보고'!C168</f>
        <v/>
      </c>
      <c r="D7" s="297">
        <f>TEXT(INDEX('경영보고'!$A$140:$A$167,MATCH('경영보고'!C168,'경영보고'!$E$140:$E$167,0)),"m/d 예상")</f>
        <v/>
      </c>
    </row>
    <row r="8">
      <c r="A8" s="262" t="inlineStr">
        <is>
          <t>향후 4주 확정지출</t>
        </is>
      </c>
      <c r="C8" s="261">
        <f>'경영보고'!E110</f>
        <v/>
      </c>
    </row>
    <row r="9">
      <c r="A9" s="262" t="inlineStr">
        <is>
          <t>카드 결제 예정액(4주)</t>
        </is>
      </c>
      <c r="C9" s="261">
        <f>SUMIFS('경영보고'!$E$16:$E$109,'경영보고'!$F$16:$F$109,"법인카드",'경영보고'!$I$16:$I$109,"&lt;&gt;보류")</f>
        <v/>
      </c>
    </row>
    <row r="10">
      <c r="A10" s="262" t="inlineStr">
        <is>
          <t>자금부족 예상일</t>
        </is>
      </c>
      <c r="C10" s="260">
        <f>IFERROR(TEXT(INDEX('경영보고'!$A$140:$A$167,MATCH(TRUE,INDEX('경영보고'!$E$140:$E$167&lt;0,0),0)),"yyyy-mm-dd"),"없음")</f>
        <v/>
      </c>
    </row>
    <row r="11">
      <c r="A11" s="262" t="inlineStr">
        <is>
          <t>확인필요 건수</t>
        </is>
      </c>
      <c r="C11" s="260" t="inlineStr">
        <is>
          <t>73건</t>
        </is>
      </c>
    </row>
    <row r="12">
      <c r="A12" s="262" t="inlineStr">
        <is>
          <t>자료 미제출 팀</t>
        </is>
      </c>
      <c r="C12" s="260" t="inlineStr">
        <is>
          <t>없음</t>
        </is>
      </c>
    </row>
    <row r="13"/>
    <row r="14">
      <c r="A14" s="298">
        <f>'경영보고'!A169</f>
        <v/>
      </c>
    </row>
    <row r="15"/>
    <row r="16">
      <c r="A16" s="258" t="inlineStr">
        <is>
          <t>금주 일별 잔액 전망 (월~금) — 반영률·지출 수정과 실시간 연동</t>
        </is>
      </c>
      <c r="B16" s="259" t="n"/>
      <c r="C16" s="259" t="n"/>
      <c r="D16" s="259" t="n"/>
      <c r="E16" s="259" t="n"/>
    </row>
    <row r="17">
      <c r="A17" s="266" t="inlineStr">
        <is>
          <t>일자</t>
        </is>
      </c>
      <c r="B17" s="266" t="inlineStr">
        <is>
          <t>요일</t>
        </is>
      </c>
      <c r="C17" s="266" t="inlineStr">
        <is>
          <t>예상 기말잔액</t>
        </is>
      </c>
      <c r="D17" s="266" t="inlineStr">
        <is>
          <t>상태</t>
        </is>
      </c>
    </row>
    <row r="18">
      <c r="A18" s="274">
        <f>'경영보고'!A140</f>
        <v/>
      </c>
      <c r="B18" s="269" t="inlineStr">
        <is>
          <t>월</t>
        </is>
      </c>
      <c r="C18" s="261">
        <f>'경영보고'!E140</f>
        <v/>
      </c>
      <c r="D18" s="277">
        <f>IF(C18&lt;0,"부족","")</f>
        <v/>
      </c>
    </row>
    <row r="19">
      <c r="A19" s="274">
        <f>'경영보고'!A141</f>
        <v/>
      </c>
      <c r="B19" s="269" t="inlineStr">
        <is>
          <t>화</t>
        </is>
      </c>
      <c r="C19" s="261">
        <f>'경영보고'!E141</f>
        <v/>
      </c>
      <c r="D19" s="277">
        <f>IF(C19&lt;0,"부족","")</f>
        <v/>
      </c>
    </row>
    <row r="20">
      <c r="A20" s="274">
        <f>'경영보고'!A142</f>
        <v/>
      </c>
      <c r="B20" s="269" t="inlineStr">
        <is>
          <t>수</t>
        </is>
      </c>
      <c r="C20" s="261">
        <f>'경영보고'!E142</f>
        <v/>
      </c>
      <c r="D20" s="277">
        <f>IF(C20&lt;0,"부족","")</f>
        <v/>
      </c>
    </row>
    <row r="21">
      <c r="A21" s="274">
        <f>'경영보고'!A143</f>
        <v/>
      </c>
      <c r="B21" s="269" t="inlineStr">
        <is>
          <t>목</t>
        </is>
      </c>
      <c r="C21" s="261">
        <f>'경영보고'!E143</f>
        <v/>
      </c>
      <c r="D21" s="277">
        <f>IF(C21&lt;0,"부족","")</f>
        <v/>
      </c>
    </row>
    <row r="22">
      <c r="A22" s="274">
        <f>'경영보고'!A144</f>
        <v/>
      </c>
      <c r="B22" s="269" t="inlineStr">
        <is>
          <t>금</t>
        </is>
      </c>
      <c r="C22" s="261">
        <f>'경영보고'!E144</f>
        <v/>
      </c>
      <c r="D22" s="277">
        <f>IF(C22&lt;0,"부족","")</f>
        <v/>
      </c>
    </row>
    <row r="23"/>
    <row r="24">
      <c r="A24" s="258" t="inlineStr">
        <is>
          <t>입금 반영률 시나리오 (80·90·100%) — 필요 추가 입금</t>
        </is>
      </c>
      <c r="B24" s="259" t="n"/>
      <c r="C24" s="259" t="n"/>
      <c r="D24" s="259" t="n"/>
      <c r="E24" s="259" t="n"/>
    </row>
    <row r="25">
      <c r="A25" s="266" t="inlineStr">
        <is>
          <t>반영률</t>
        </is>
      </c>
      <c r="C25" s="266" t="inlineStr">
        <is>
          <t>4주 기말잔액</t>
        </is>
      </c>
      <c r="D25" s="266" t="inlineStr">
        <is>
          <t>4주 최저잔액</t>
        </is>
      </c>
      <c r="E25" s="266" t="inlineStr">
        <is>
          <t>필요 추가 입금</t>
        </is>
      </c>
    </row>
    <row r="26">
      <c r="A26" s="294">
        <f>'경영보고'!A174</f>
        <v/>
      </c>
      <c r="C26" s="261">
        <f>'경영보고'!C174</f>
        <v/>
      </c>
      <c r="D26" s="261">
        <f>'경영보고'!D174</f>
        <v/>
      </c>
      <c r="E26" s="263">
        <f>'경영보고'!F174</f>
        <v/>
      </c>
    </row>
    <row r="27">
      <c r="A27" s="294">
        <f>'경영보고'!A175</f>
        <v/>
      </c>
      <c r="C27" s="261">
        <f>'경영보고'!C175</f>
        <v/>
      </c>
      <c r="D27" s="261">
        <f>'경영보고'!D175</f>
        <v/>
      </c>
      <c r="E27" s="263">
        <f>'경영보고'!F175</f>
        <v/>
      </c>
    </row>
    <row r="28">
      <c r="A28" s="294">
        <f>'경영보고'!A176</f>
        <v/>
      </c>
      <c r="C28" s="261">
        <f>'경영보고'!C176</f>
        <v/>
      </c>
      <c r="D28" s="261">
        <f>'경영보고'!D176</f>
        <v/>
      </c>
      <c r="E28" s="263">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16,078,788(10-12) · 농협 569003 9,186,423(10-08) · 국민 154577 50,572,029(10-10) · 국민 169124 20,000,000(10-08)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8" t="n"/>
      <c r="H4" s="179" t="inlineStr">
        <is>
          <t>계좌별 입금 배분(예상)</t>
        </is>
      </c>
      <c r="I4" s="177" t="n"/>
      <c r="J4" s="177" t="n"/>
      <c r="K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온라인 예상입금</t>
        </is>
      </c>
      <c r="H5" s="181" t="inlineStr">
        <is>
          <t>우리 220351</t>
        </is>
      </c>
      <c r="I5" s="181" t="inlineStr">
        <is>
          <t>농협 569003</t>
        </is>
      </c>
      <c r="J5" s="181" t="inlineStr">
        <is>
          <t>국민 154577</t>
        </is>
      </c>
      <c r="K5" s="181" t="inlineStr">
        <is>
          <t>국민 169124</t>
        </is>
      </c>
      <c r="L5" s="180" t="inlineStr">
        <is>
          <t>확정·기타입금</t>
        </is>
      </c>
      <c r="M5" s="180" t="inlineStr">
        <is>
          <t>송금예정</t>
        </is>
      </c>
      <c r="N5" s="180" t="inlineStr">
        <is>
          <t>카드결제</t>
        </is>
      </c>
      <c r="O5" s="180" t="inlineStr">
        <is>
          <t>조정·추정 지출</t>
        </is>
      </c>
      <c r="P5" s="180" t="inlineStr">
        <is>
          <t>순현금흐름</t>
        </is>
      </c>
      <c r="Q5" s="180" t="inlineStr">
        <is>
          <t>기초잔액</t>
        </is>
      </c>
      <c r="R5" s="180" t="inlineStr">
        <is>
          <t>기말잔액</t>
        </is>
      </c>
      <c r="S5" s="180" t="inlineStr">
        <is>
          <t>비고</t>
        </is>
      </c>
    </row>
    <row r="6">
      <c r="A6" s="182" t="n">
        <v>46306</v>
      </c>
      <c r="B6" s="183" t="inlineStr">
        <is>
          <t>일</t>
        </is>
      </c>
      <c r="C6" s="299">
        <f>'계좌별시나리오'!D6</f>
        <v/>
      </c>
      <c r="D6" s="299">
        <f>'계좌별시나리오'!E6</f>
        <v/>
      </c>
      <c r="E6" s="299">
        <f>'계좌별시나리오'!F6</f>
        <v/>
      </c>
      <c r="F6" s="299">
        <f>'계좌별시나리오'!G6</f>
        <v/>
      </c>
      <c r="G6" s="185" t="n"/>
      <c r="H6" s="185" t="n"/>
      <c r="I6" s="185" t="n"/>
      <c r="J6" s="185" t="n"/>
      <c r="K6" s="185" t="n"/>
      <c r="L6" s="185" t="n"/>
      <c r="M6" s="185" t="n"/>
      <c r="N6" s="185" t="n"/>
      <c r="O6" s="185" t="n"/>
      <c r="P6" s="185" t="n"/>
      <c r="Q6" s="185" t="n"/>
      <c r="R6" s="186">
        <f>'계좌별시나리오'!C6</f>
        <v/>
      </c>
      <c r="S6" s="183" t="inlineStr">
        <is>
          <t>전일 마감 실잔고 — 여기서 계획 시작</t>
        </is>
      </c>
    </row>
    <row r="7">
      <c r="A7" s="187" t="n">
        <v>46307</v>
      </c>
      <c r="B7" s="188" t="inlineStr">
        <is>
          <t>월</t>
        </is>
      </c>
      <c r="C7" s="300">
        <f>'계좌별시나리오'!D7</f>
        <v/>
      </c>
      <c r="D7" s="300">
        <f>'계좌별시나리오'!E7</f>
        <v/>
      </c>
      <c r="E7" s="300">
        <f>'계좌별시나리오'!F7</f>
        <v/>
      </c>
      <c r="F7" s="300">
        <f>'계좌별시나리오'!G7</f>
        <v/>
      </c>
      <c r="G7" s="301" t="n">
        <v>13213735</v>
      </c>
      <c r="H7" s="185" t="n"/>
      <c r="I7" s="185" t="n"/>
      <c r="J7" s="185" t="n"/>
      <c r="K7" s="185" t="n"/>
      <c r="L7" s="302" t="n"/>
      <c r="M7" s="185" t="n"/>
      <c r="N7" s="185" t="n"/>
      <c r="O7" s="302" t="n"/>
      <c r="P7" s="301" t="n">
        <v>13213735</v>
      </c>
      <c r="Q7" s="185" t="n"/>
      <c r="R7" s="192">
        <f>'요약'!$B$6</f>
        <v/>
      </c>
      <c r="S7" s="188" t="inlineStr">
        <is>
          <t>오늘 실잔고(은행 확인)·실제 입금·출금 — 참고 (이중계산 안 됨)</t>
        </is>
      </c>
    </row>
    <row r="8">
      <c r="A8" s="193" t="n">
        <v>46307</v>
      </c>
      <c r="B8" s="194" t="inlineStr">
        <is>
          <t>월</t>
        </is>
      </c>
      <c r="C8" s="303">
        <f>'계좌별시나리오'!D8</f>
        <v/>
      </c>
      <c r="D8" s="303">
        <f>'계좌별시나리오'!E8</f>
        <v/>
      </c>
      <c r="E8" s="303">
        <f>'계좌별시나리오'!F8</f>
        <v/>
      </c>
      <c r="F8" s="303">
        <f>'계좌별시나리오'!G8</f>
        <v/>
      </c>
      <c r="G8" s="196">
        <f>INDEX('설정및분류'!$C$6:$C$12,WEEKDAY(A8,2))*'요약'!$B$13</f>
        <v/>
      </c>
      <c r="H8" s="304">
        <f>'계좌별시나리오'!I8</f>
        <v/>
      </c>
      <c r="I8" s="304">
        <f>'계좌별시나리오'!J8</f>
        <v/>
      </c>
      <c r="J8" s="304">
        <f>'계좌별시나리오'!K8</f>
        <v/>
      </c>
      <c r="K8" s="304">
        <f>'계좌별시나리오'!L8</f>
        <v/>
      </c>
      <c r="L8" s="305">
        <f>SUMIFS('경영보고'!$E$114:$E$135,'경영보고'!$A$114:$A$135,$A8,'경영보고'!$C$114:$C$135,"확정입금")</f>
        <v/>
      </c>
      <c r="M8" s="305">
        <f>SUMIFS('경영보고'!$E$16:$E$109,'경영보고'!$A$16:$A$109,$A8,'경영보고'!$I$16:$I$109,"&lt;&gt;보류",'경영보고'!$F$16:$F$109,"계좌송금")</f>
        <v/>
      </c>
      <c r="N8" s="305">
        <f>SUMIFS('경영보고'!$E$16:$E$109,'경영보고'!$A$16:$A$109,$A8,'경영보고'!$I$16:$I$109,"&lt;&gt;보류",'경영보고'!$F$16:$F$109,"법인카드")</f>
        <v/>
      </c>
      <c r="O8" s="305">
        <f>SUMIFS('경영보고'!$E$16:$E$109,'경영보고'!$A$16:$A$109,$A8,'경영보고'!$I$16:$I$109,"&lt;&gt;보류")-M8-N8</f>
        <v/>
      </c>
      <c r="P8" s="199">
        <f>G8+L8-M8-N8-O8</f>
        <v/>
      </c>
      <c r="Q8" s="200">
        <f>R6</f>
        <v/>
      </c>
      <c r="R8" s="199">
        <f>Q8+P8</f>
        <v/>
      </c>
      <c r="S8" s="201" t="n"/>
    </row>
    <row r="9">
      <c r="A9" s="202" t="n">
        <v>46308</v>
      </c>
      <c r="B9" s="203" t="inlineStr">
        <is>
          <t>화</t>
        </is>
      </c>
      <c r="C9" s="306">
        <f>'계좌별시나리오'!D9</f>
        <v/>
      </c>
      <c r="D9" s="306">
        <f>'계좌별시나리오'!E9</f>
        <v/>
      </c>
      <c r="E9" s="306">
        <f>'계좌별시나리오'!F9</f>
        <v/>
      </c>
      <c r="F9" s="306">
        <f>'계좌별시나리오'!G9</f>
        <v/>
      </c>
      <c r="G9" s="205">
        <f>INDEX('설정및분류'!$C$6:$C$12,WEEKDAY(A9,2))*'요약'!$B$13</f>
        <v/>
      </c>
      <c r="H9" s="307">
        <f>'계좌별시나리오'!I9</f>
        <v/>
      </c>
      <c r="I9" s="307">
        <f>'계좌별시나리오'!J9</f>
        <v/>
      </c>
      <c r="J9" s="307">
        <f>'계좌별시나리오'!K9</f>
        <v/>
      </c>
      <c r="K9" s="307">
        <f>'계좌별시나리오'!L9</f>
        <v/>
      </c>
      <c r="L9" s="308">
        <f>SUMIFS('경영보고'!$E$114:$E$135,'경영보고'!$A$114:$A$135,$A9,'경영보고'!$C$114:$C$135,"확정입금")</f>
        <v/>
      </c>
      <c r="M9" s="308">
        <f>SUMIFS('경영보고'!$E$16:$E$109,'경영보고'!$A$16:$A$109,$A9,'경영보고'!$I$16:$I$109,"&lt;&gt;보류",'경영보고'!$F$16:$F$109,"계좌송금")</f>
        <v/>
      </c>
      <c r="N9" s="308">
        <f>SUMIFS('경영보고'!$E$16:$E$109,'경영보고'!$A$16:$A$109,$A9,'경영보고'!$I$16:$I$109,"&lt;&gt;보류",'경영보고'!$F$16:$F$109,"법인카드")</f>
        <v/>
      </c>
      <c r="O9" s="308">
        <f>SUMIFS('경영보고'!$E$16:$E$109,'경영보고'!$A$16:$A$109,$A9,'경영보고'!$I$16:$I$109,"&lt;&gt;보류")-M9-N9</f>
        <v/>
      </c>
      <c r="P9" s="208">
        <f>G9+L9-M9-N9-O9</f>
        <v/>
      </c>
      <c r="Q9" s="209">
        <f>R8</f>
        <v/>
      </c>
      <c r="R9" s="208">
        <f>Q9+P9</f>
        <v/>
      </c>
      <c r="S9" s="210" t="n"/>
    </row>
    <row r="10">
      <c r="A10" s="202" t="n">
        <v>46309</v>
      </c>
      <c r="B10" s="203" t="inlineStr">
        <is>
          <t>수</t>
        </is>
      </c>
      <c r="C10" s="306">
        <f>'계좌별시나리오'!D10</f>
        <v/>
      </c>
      <c r="D10" s="306">
        <f>'계좌별시나리오'!E10</f>
        <v/>
      </c>
      <c r="E10" s="306">
        <f>'계좌별시나리오'!F10</f>
        <v/>
      </c>
      <c r="F10" s="306">
        <f>'계좌별시나리오'!G10</f>
        <v/>
      </c>
      <c r="G10" s="205">
        <f>INDEX('설정및분류'!$C$6:$C$12,WEEKDAY(A10,2))*'요약'!$B$13</f>
        <v/>
      </c>
      <c r="H10" s="307">
        <f>'계좌별시나리오'!I10</f>
        <v/>
      </c>
      <c r="I10" s="307">
        <f>'계좌별시나리오'!J10</f>
        <v/>
      </c>
      <c r="J10" s="307">
        <f>'계좌별시나리오'!K10</f>
        <v/>
      </c>
      <c r="K10" s="307">
        <f>'계좌별시나리오'!L10</f>
        <v/>
      </c>
      <c r="L10" s="308">
        <f>SUMIFS('경영보고'!$E$114:$E$135,'경영보고'!$A$114:$A$135,$A10,'경영보고'!$C$114:$C$135,"확정입금")</f>
        <v/>
      </c>
      <c r="M10" s="308">
        <f>SUMIFS('경영보고'!$E$16:$E$109,'경영보고'!$A$16:$A$109,$A10,'경영보고'!$I$16:$I$109,"&lt;&gt;보류",'경영보고'!$F$16:$F$109,"계좌송금")</f>
        <v/>
      </c>
      <c r="N10" s="308">
        <f>SUMIFS('경영보고'!$E$16:$E$109,'경영보고'!$A$16:$A$109,$A10,'경영보고'!$I$16:$I$109,"&lt;&gt;보류",'경영보고'!$F$16:$F$109,"법인카드")</f>
        <v/>
      </c>
      <c r="O10" s="308">
        <f>SUMIFS('경영보고'!$E$16:$E$109,'경영보고'!$A$16:$A$109,$A10,'경영보고'!$I$16:$I$109,"&lt;&gt;보류")-M10-N10</f>
        <v/>
      </c>
      <c r="P10" s="208">
        <f>G10+L10-M10-N10-O10</f>
        <v/>
      </c>
      <c r="Q10" s="209">
        <f>R9</f>
        <v/>
      </c>
      <c r="R10" s="208">
        <f>Q10+P10</f>
        <v/>
      </c>
      <c r="S10" s="210" t="n"/>
    </row>
    <row r="11">
      <c r="A11" s="202" t="n">
        <v>46310</v>
      </c>
      <c r="B11" s="203" t="inlineStr">
        <is>
          <t>목</t>
        </is>
      </c>
      <c r="C11" s="306">
        <f>'계좌별시나리오'!D11</f>
        <v/>
      </c>
      <c r="D11" s="306">
        <f>'계좌별시나리오'!E11</f>
        <v/>
      </c>
      <c r="E11" s="306">
        <f>'계좌별시나리오'!F11</f>
        <v/>
      </c>
      <c r="F11" s="306">
        <f>'계좌별시나리오'!G11</f>
        <v/>
      </c>
      <c r="G11" s="205">
        <f>INDEX('설정및분류'!$C$6:$C$12,WEEKDAY(A11,2))*'요약'!$B$13</f>
        <v/>
      </c>
      <c r="H11" s="307">
        <f>'계좌별시나리오'!I11</f>
        <v/>
      </c>
      <c r="I11" s="307">
        <f>'계좌별시나리오'!J11</f>
        <v/>
      </c>
      <c r="J11" s="307">
        <f>'계좌별시나리오'!K11</f>
        <v/>
      </c>
      <c r="K11" s="307">
        <f>'계좌별시나리오'!L11</f>
        <v/>
      </c>
      <c r="L11" s="308">
        <f>SUMIFS('경영보고'!$E$114:$E$135,'경영보고'!$A$114:$A$135,$A11,'경영보고'!$C$114:$C$135,"확정입금")</f>
        <v/>
      </c>
      <c r="M11" s="308">
        <f>SUMIFS('경영보고'!$E$16:$E$109,'경영보고'!$A$16:$A$109,$A11,'경영보고'!$I$16:$I$109,"&lt;&gt;보류",'경영보고'!$F$16:$F$109,"계좌송금")</f>
        <v/>
      </c>
      <c r="N11" s="308">
        <f>SUMIFS('경영보고'!$E$16:$E$109,'경영보고'!$A$16:$A$109,$A11,'경영보고'!$I$16:$I$109,"&lt;&gt;보류",'경영보고'!$F$16:$F$109,"법인카드")</f>
        <v/>
      </c>
      <c r="O11" s="308">
        <f>SUMIFS('경영보고'!$E$16:$E$109,'경영보고'!$A$16:$A$109,$A11,'경영보고'!$I$16:$I$109,"&lt;&gt;보류")-M11-N11</f>
        <v/>
      </c>
      <c r="P11" s="208">
        <f>G11+L11-M11-N11-O11</f>
        <v/>
      </c>
      <c r="Q11" s="209">
        <f>R10</f>
        <v/>
      </c>
      <c r="R11" s="208">
        <f>Q11+P11</f>
        <v/>
      </c>
      <c r="S11" s="210" t="n"/>
    </row>
    <row r="12">
      <c r="A12" s="202" t="n">
        <v>46311</v>
      </c>
      <c r="B12" s="203" t="inlineStr">
        <is>
          <t>금</t>
        </is>
      </c>
      <c r="C12" s="306">
        <f>'계좌별시나리오'!D12</f>
        <v/>
      </c>
      <c r="D12" s="306">
        <f>'계좌별시나리오'!E12</f>
        <v/>
      </c>
      <c r="E12" s="306">
        <f>'계좌별시나리오'!F12</f>
        <v/>
      </c>
      <c r="F12" s="306">
        <f>'계좌별시나리오'!G12</f>
        <v/>
      </c>
      <c r="G12" s="205">
        <f>INDEX('설정및분류'!$C$6:$C$12,WEEKDAY(A12,2))*'요약'!$B$13</f>
        <v/>
      </c>
      <c r="H12" s="307">
        <f>'계좌별시나리오'!I12</f>
        <v/>
      </c>
      <c r="I12" s="307">
        <f>'계좌별시나리오'!J12</f>
        <v/>
      </c>
      <c r="J12" s="307">
        <f>'계좌별시나리오'!K12</f>
        <v/>
      </c>
      <c r="K12" s="307">
        <f>'계좌별시나리오'!L12</f>
        <v/>
      </c>
      <c r="L12" s="308">
        <f>SUMIFS('경영보고'!$E$114:$E$135,'경영보고'!$A$114:$A$135,$A12,'경영보고'!$C$114:$C$135,"확정입금")</f>
        <v/>
      </c>
      <c r="M12" s="308">
        <f>SUMIFS('경영보고'!$E$16:$E$109,'경영보고'!$A$16:$A$109,$A12,'경영보고'!$I$16:$I$109,"&lt;&gt;보류",'경영보고'!$F$16:$F$109,"계좌송금")</f>
        <v/>
      </c>
      <c r="N12" s="308">
        <f>SUMIFS('경영보고'!$E$16:$E$109,'경영보고'!$A$16:$A$109,$A12,'경영보고'!$I$16:$I$109,"&lt;&gt;보류",'경영보고'!$F$16:$F$109,"법인카드")</f>
        <v/>
      </c>
      <c r="O12" s="308">
        <f>SUMIFS('경영보고'!$E$16:$E$109,'경영보고'!$A$16:$A$109,$A12,'경영보고'!$I$16:$I$109,"&lt;&gt;보류")-M12-N12</f>
        <v/>
      </c>
      <c r="P12" s="208">
        <f>G12+L12-M12-N12-O12</f>
        <v/>
      </c>
      <c r="Q12" s="209">
        <f>R11</f>
        <v/>
      </c>
      <c r="R12" s="208">
        <f>Q12+P12</f>
        <v/>
      </c>
      <c r="S12" s="210" t="n"/>
    </row>
    <row r="13">
      <c r="A13" s="211" t="n">
        <v>46312</v>
      </c>
      <c r="B13" s="212" t="inlineStr">
        <is>
          <t>토</t>
        </is>
      </c>
      <c r="C13" s="306">
        <f>'계좌별시나리오'!D13</f>
        <v/>
      </c>
      <c r="D13" s="306">
        <f>'계좌별시나리오'!E13</f>
        <v/>
      </c>
      <c r="E13" s="306">
        <f>'계좌별시나리오'!F13</f>
        <v/>
      </c>
      <c r="F13" s="306">
        <f>'계좌별시나리오'!G13</f>
        <v/>
      </c>
      <c r="G13" s="205">
        <f>INDEX('설정및분류'!$C$6:$C$12,WEEKDAY(A13,2))*'요약'!$B$13</f>
        <v/>
      </c>
      <c r="H13" s="307">
        <f>'계좌별시나리오'!I13</f>
        <v/>
      </c>
      <c r="I13" s="307">
        <f>'계좌별시나리오'!J13</f>
        <v/>
      </c>
      <c r="J13" s="307">
        <f>'계좌별시나리오'!K13</f>
        <v/>
      </c>
      <c r="K13" s="307">
        <f>'계좌별시나리오'!L13</f>
        <v/>
      </c>
      <c r="L13" s="308">
        <f>SUMIFS('경영보고'!$E$114:$E$135,'경영보고'!$A$114:$A$135,$A13,'경영보고'!$C$114:$C$135,"확정입금")</f>
        <v/>
      </c>
      <c r="M13" s="308">
        <f>SUMIFS('경영보고'!$E$16:$E$109,'경영보고'!$A$16:$A$109,$A13,'경영보고'!$I$16:$I$109,"&lt;&gt;보류",'경영보고'!$F$16:$F$109,"계좌송금")</f>
        <v/>
      </c>
      <c r="N13" s="308">
        <f>SUMIFS('경영보고'!$E$16:$E$109,'경영보고'!$A$16:$A$109,$A13,'경영보고'!$I$16:$I$109,"&lt;&gt;보류",'경영보고'!$F$16:$F$109,"법인카드")</f>
        <v/>
      </c>
      <c r="O13" s="308">
        <f>SUMIFS('경영보고'!$E$16:$E$109,'경영보고'!$A$16:$A$109,$A13,'경영보고'!$I$16:$I$109,"&lt;&gt;보류")-M13-N13</f>
        <v/>
      </c>
      <c r="P13" s="208">
        <f>G13+L13-M13-N13-O13</f>
        <v/>
      </c>
      <c r="Q13" s="209">
        <f>R12</f>
        <v/>
      </c>
      <c r="R13" s="208">
        <f>Q13+P13</f>
        <v/>
      </c>
      <c r="S13" s="210" t="n"/>
    </row>
    <row r="14">
      <c r="A14" s="211" t="n">
        <v>46313</v>
      </c>
      <c r="B14" s="212" t="inlineStr">
        <is>
          <t>일</t>
        </is>
      </c>
      <c r="C14" s="306">
        <f>'계좌별시나리오'!D14</f>
        <v/>
      </c>
      <c r="D14" s="306">
        <f>'계좌별시나리오'!E14</f>
        <v/>
      </c>
      <c r="E14" s="306">
        <f>'계좌별시나리오'!F14</f>
        <v/>
      </c>
      <c r="F14" s="306">
        <f>'계좌별시나리오'!G14</f>
        <v/>
      </c>
      <c r="G14" s="205">
        <f>INDEX('설정및분류'!$C$6:$C$12,WEEKDAY(A14,2))*'요약'!$B$13</f>
        <v/>
      </c>
      <c r="H14" s="307">
        <f>'계좌별시나리오'!I14</f>
        <v/>
      </c>
      <c r="I14" s="307">
        <f>'계좌별시나리오'!J14</f>
        <v/>
      </c>
      <c r="J14" s="307">
        <f>'계좌별시나리오'!K14</f>
        <v/>
      </c>
      <c r="K14" s="307">
        <f>'계좌별시나리오'!L14</f>
        <v/>
      </c>
      <c r="L14" s="308">
        <f>SUMIFS('경영보고'!$E$114:$E$135,'경영보고'!$A$114:$A$135,$A14,'경영보고'!$C$114:$C$135,"확정입금")</f>
        <v/>
      </c>
      <c r="M14" s="308">
        <f>SUMIFS('경영보고'!$E$16:$E$109,'경영보고'!$A$16:$A$109,$A14,'경영보고'!$I$16:$I$109,"&lt;&gt;보류",'경영보고'!$F$16:$F$109,"계좌송금")</f>
        <v/>
      </c>
      <c r="N14" s="308">
        <f>SUMIFS('경영보고'!$E$16:$E$109,'경영보고'!$A$16:$A$109,$A14,'경영보고'!$I$16:$I$109,"&lt;&gt;보류",'경영보고'!$F$16:$F$109,"법인카드")</f>
        <v/>
      </c>
      <c r="O14" s="308">
        <f>SUMIFS('경영보고'!$E$16:$E$109,'경영보고'!$A$16:$A$109,$A14,'경영보고'!$I$16:$I$109,"&lt;&gt;보류")-M14-N14</f>
        <v/>
      </c>
      <c r="P14" s="208">
        <f>G14+L14-M14-N14-O14</f>
        <v/>
      </c>
      <c r="Q14" s="209">
        <f>R13</f>
        <v/>
      </c>
      <c r="R14" s="208">
        <f>Q14+P14</f>
        <v/>
      </c>
      <c r="S14" s="210" t="n"/>
    </row>
    <row r="15">
      <c r="A15" s="202" t="n">
        <v>46314</v>
      </c>
      <c r="B15" s="203" t="inlineStr">
        <is>
          <t>월</t>
        </is>
      </c>
      <c r="C15" s="306">
        <f>'계좌별시나리오'!D15</f>
        <v/>
      </c>
      <c r="D15" s="306">
        <f>'계좌별시나리오'!E15</f>
        <v/>
      </c>
      <c r="E15" s="306">
        <f>'계좌별시나리오'!F15</f>
        <v/>
      </c>
      <c r="F15" s="306">
        <f>'계좌별시나리오'!G15</f>
        <v/>
      </c>
      <c r="G15" s="205">
        <f>INDEX('설정및분류'!$C$6:$C$12,WEEKDAY(A15,2))*'요약'!$B$13</f>
        <v/>
      </c>
      <c r="H15" s="307">
        <f>'계좌별시나리오'!I15</f>
        <v/>
      </c>
      <c r="I15" s="307">
        <f>'계좌별시나리오'!J15</f>
        <v/>
      </c>
      <c r="J15" s="307">
        <f>'계좌별시나리오'!K15</f>
        <v/>
      </c>
      <c r="K15" s="307">
        <f>'계좌별시나리오'!L15</f>
        <v/>
      </c>
      <c r="L15" s="308">
        <f>SUMIFS('경영보고'!$E$114:$E$135,'경영보고'!$A$114:$A$135,$A15,'경영보고'!$C$114:$C$135,"확정입금")</f>
        <v/>
      </c>
      <c r="M15" s="308">
        <f>SUMIFS('경영보고'!$E$16:$E$109,'경영보고'!$A$16:$A$109,$A15,'경영보고'!$I$16:$I$109,"&lt;&gt;보류",'경영보고'!$F$16:$F$109,"계좌송금")</f>
        <v/>
      </c>
      <c r="N15" s="308">
        <f>SUMIFS('경영보고'!$E$16:$E$109,'경영보고'!$A$16:$A$109,$A15,'경영보고'!$I$16:$I$109,"&lt;&gt;보류",'경영보고'!$F$16:$F$109,"법인카드")</f>
        <v/>
      </c>
      <c r="O15" s="308">
        <f>SUMIFS('경영보고'!$E$16:$E$109,'경영보고'!$A$16:$A$109,$A15,'경영보고'!$I$16:$I$109,"&lt;&gt;보류")-M15-N15</f>
        <v/>
      </c>
      <c r="P15" s="208">
        <f>G15+L15-M15-N15-O15</f>
        <v/>
      </c>
      <c r="Q15" s="209">
        <f>R14</f>
        <v/>
      </c>
      <c r="R15" s="208">
        <f>Q15+P15</f>
        <v/>
      </c>
      <c r="S15" s="210" t="n"/>
    </row>
    <row r="16">
      <c r="A16" s="202" t="n">
        <v>46315</v>
      </c>
      <c r="B16" s="203" t="inlineStr">
        <is>
          <t>화</t>
        </is>
      </c>
      <c r="C16" s="306">
        <f>'계좌별시나리오'!D16</f>
        <v/>
      </c>
      <c r="D16" s="306">
        <f>'계좌별시나리오'!E16</f>
        <v/>
      </c>
      <c r="E16" s="306">
        <f>'계좌별시나리오'!F16</f>
        <v/>
      </c>
      <c r="F16" s="306">
        <f>'계좌별시나리오'!G16</f>
        <v/>
      </c>
      <c r="G16" s="205">
        <f>INDEX('설정및분류'!$C$6:$C$12,WEEKDAY(A16,2))*'요약'!$B$13</f>
        <v/>
      </c>
      <c r="H16" s="307">
        <f>'계좌별시나리오'!I16</f>
        <v/>
      </c>
      <c r="I16" s="307">
        <f>'계좌별시나리오'!J16</f>
        <v/>
      </c>
      <c r="J16" s="307">
        <f>'계좌별시나리오'!K16</f>
        <v/>
      </c>
      <c r="K16" s="307">
        <f>'계좌별시나리오'!L16</f>
        <v/>
      </c>
      <c r="L16" s="308">
        <f>SUMIFS('경영보고'!$E$114:$E$135,'경영보고'!$A$114:$A$135,$A16,'경영보고'!$C$114:$C$135,"확정입금")</f>
        <v/>
      </c>
      <c r="M16" s="308">
        <f>SUMIFS('경영보고'!$E$16:$E$109,'경영보고'!$A$16:$A$109,$A16,'경영보고'!$I$16:$I$109,"&lt;&gt;보류",'경영보고'!$F$16:$F$109,"계좌송금")</f>
        <v/>
      </c>
      <c r="N16" s="308">
        <f>SUMIFS('경영보고'!$E$16:$E$109,'경영보고'!$A$16:$A$109,$A16,'경영보고'!$I$16:$I$109,"&lt;&gt;보류",'경영보고'!$F$16:$F$109,"법인카드")</f>
        <v/>
      </c>
      <c r="O16" s="308">
        <f>SUMIFS('경영보고'!$E$16:$E$109,'경영보고'!$A$16:$A$109,$A16,'경영보고'!$I$16:$I$109,"&lt;&gt;보류")-M16-N16</f>
        <v/>
      </c>
      <c r="P16" s="208">
        <f>G16+L16-M16-N16-O16</f>
        <v/>
      </c>
      <c r="Q16" s="209">
        <f>R15</f>
        <v/>
      </c>
      <c r="R16" s="208">
        <f>Q16+P16</f>
        <v/>
      </c>
      <c r="S16" s="210" t="n"/>
    </row>
    <row r="17">
      <c r="A17" s="202" t="n">
        <v>46316</v>
      </c>
      <c r="B17" s="203" t="inlineStr">
        <is>
          <t>수</t>
        </is>
      </c>
      <c r="C17" s="306">
        <f>'계좌별시나리오'!D17</f>
        <v/>
      </c>
      <c r="D17" s="306">
        <f>'계좌별시나리오'!E17</f>
        <v/>
      </c>
      <c r="E17" s="306">
        <f>'계좌별시나리오'!F17</f>
        <v/>
      </c>
      <c r="F17" s="306">
        <f>'계좌별시나리오'!G17</f>
        <v/>
      </c>
      <c r="G17" s="205">
        <f>INDEX('설정및분류'!$C$6:$C$12,WEEKDAY(A17,2))*'요약'!$B$13</f>
        <v/>
      </c>
      <c r="H17" s="307">
        <f>'계좌별시나리오'!I17</f>
        <v/>
      </c>
      <c r="I17" s="307">
        <f>'계좌별시나리오'!J17</f>
        <v/>
      </c>
      <c r="J17" s="307">
        <f>'계좌별시나리오'!K17</f>
        <v/>
      </c>
      <c r="K17" s="307">
        <f>'계좌별시나리오'!L17</f>
        <v/>
      </c>
      <c r="L17" s="308">
        <f>SUMIFS('경영보고'!$E$114:$E$135,'경영보고'!$A$114:$A$135,$A17,'경영보고'!$C$114:$C$135,"확정입금")</f>
        <v/>
      </c>
      <c r="M17" s="308">
        <f>SUMIFS('경영보고'!$E$16:$E$109,'경영보고'!$A$16:$A$109,$A17,'경영보고'!$I$16:$I$109,"&lt;&gt;보류",'경영보고'!$F$16:$F$109,"계좌송금")</f>
        <v/>
      </c>
      <c r="N17" s="308">
        <f>SUMIFS('경영보고'!$E$16:$E$109,'경영보고'!$A$16:$A$109,$A17,'경영보고'!$I$16:$I$109,"&lt;&gt;보류",'경영보고'!$F$16:$F$109,"법인카드")</f>
        <v/>
      </c>
      <c r="O17" s="308">
        <f>SUMIFS('경영보고'!$E$16:$E$109,'경영보고'!$A$16:$A$109,$A17,'경영보고'!$I$16:$I$109,"&lt;&gt;보류")-M17-N17</f>
        <v/>
      </c>
      <c r="P17" s="208">
        <f>G17+L17-M17-N17-O17</f>
        <v/>
      </c>
      <c r="Q17" s="209">
        <f>R16</f>
        <v/>
      </c>
      <c r="R17" s="208">
        <f>Q17+P17</f>
        <v/>
      </c>
      <c r="S17" s="210" t="n"/>
    </row>
    <row r="18">
      <c r="A18" s="202" t="n">
        <v>46317</v>
      </c>
      <c r="B18" s="203" t="inlineStr">
        <is>
          <t>목</t>
        </is>
      </c>
      <c r="C18" s="306">
        <f>'계좌별시나리오'!D18</f>
        <v/>
      </c>
      <c r="D18" s="306">
        <f>'계좌별시나리오'!E18</f>
        <v/>
      </c>
      <c r="E18" s="306">
        <f>'계좌별시나리오'!F18</f>
        <v/>
      </c>
      <c r="F18" s="306">
        <f>'계좌별시나리오'!G18</f>
        <v/>
      </c>
      <c r="G18" s="205">
        <f>INDEX('설정및분류'!$C$6:$C$12,WEEKDAY(A18,2))*'요약'!$B$13</f>
        <v/>
      </c>
      <c r="H18" s="307">
        <f>'계좌별시나리오'!I18</f>
        <v/>
      </c>
      <c r="I18" s="307">
        <f>'계좌별시나리오'!J18</f>
        <v/>
      </c>
      <c r="J18" s="307">
        <f>'계좌별시나리오'!K18</f>
        <v/>
      </c>
      <c r="K18" s="307">
        <f>'계좌별시나리오'!L18</f>
        <v/>
      </c>
      <c r="L18" s="308">
        <f>SUMIFS('경영보고'!$E$114:$E$135,'경영보고'!$A$114:$A$135,$A18,'경영보고'!$C$114:$C$135,"확정입금")</f>
        <v/>
      </c>
      <c r="M18" s="308">
        <f>SUMIFS('경영보고'!$E$16:$E$109,'경영보고'!$A$16:$A$109,$A18,'경영보고'!$I$16:$I$109,"&lt;&gt;보류",'경영보고'!$F$16:$F$109,"계좌송금")</f>
        <v/>
      </c>
      <c r="N18" s="308">
        <f>SUMIFS('경영보고'!$E$16:$E$109,'경영보고'!$A$16:$A$109,$A18,'경영보고'!$I$16:$I$109,"&lt;&gt;보류",'경영보고'!$F$16:$F$109,"법인카드")</f>
        <v/>
      </c>
      <c r="O18" s="308">
        <f>SUMIFS('경영보고'!$E$16:$E$109,'경영보고'!$A$16:$A$109,$A18,'경영보고'!$I$16:$I$109,"&lt;&gt;보류")-M18-N18</f>
        <v/>
      </c>
      <c r="P18" s="208">
        <f>G18+L18-M18-N18-O18</f>
        <v/>
      </c>
      <c r="Q18" s="209">
        <f>R17</f>
        <v/>
      </c>
      <c r="R18" s="208">
        <f>Q18+P18</f>
        <v/>
      </c>
      <c r="S18" s="210" t="n"/>
    </row>
    <row r="19">
      <c r="A19" s="213" t="n">
        <v>46318</v>
      </c>
      <c r="B19" s="214" t="inlineStr">
        <is>
          <t>금</t>
        </is>
      </c>
      <c r="C19" s="309">
        <f>'계좌별시나리오'!D19</f>
        <v/>
      </c>
      <c r="D19" s="309">
        <f>'계좌별시나리오'!E19</f>
        <v/>
      </c>
      <c r="E19" s="309">
        <f>'계좌별시나리오'!F19</f>
        <v/>
      </c>
      <c r="F19" s="309">
        <f>'계좌별시나리오'!G19</f>
        <v/>
      </c>
      <c r="G19" s="216">
        <f>INDEX('설정및분류'!$C$6:$C$12,WEEKDAY(A19,2))*'요약'!$B$13</f>
        <v/>
      </c>
      <c r="H19" s="310">
        <f>'계좌별시나리오'!I19</f>
        <v/>
      </c>
      <c r="I19" s="310">
        <f>'계좌별시나리오'!J19</f>
        <v/>
      </c>
      <c r="J19" s="310">
        <f>'계좌별시나리오'!K19</f>
        <v/>
      </c>
      <c r="K19" s="310">
        <f>'계좌별시나리오'!L19</f>
        <v/>
      </c>
      <c r="L19" s="311">
        <f>SUMIFS('경영보고'!$E$114:$E$135,'경영보고'!$A$114:$A$135,$A19,'경영보고'!$C$114:$C$135,"확정입금")</f>
        <v/>
      </c>
      <c r="M19" s="311">
        <f>SUMIFS('경영보고'!$E$16:$E$109,'경영보고'!$A$16:$A$109,$A19,'경영보고'!$I$16:$I$109,"&lt;&gt;보류",'경영보고'!$F$16:$F$109,"계좌송금")</f>
        <v/>
      </c>
      <c r="N19" s="311">
        <f>SUMIFS('경영보고'!$E$16:$E$109,'경영보고'!$A$16:$A$109,$A19,'경영보고'!$I$16:$I$109,"&lt;&gt;보류",'경영보고'!$F$16:$F$109,"법인카드")</f>
        <v/>
      </c>
      <c r="O19" s="311">
        <f>SUMIFS('경영보고'!$E$16:$E$109,'경영보고'!$A$16:$A$109,$A19,'경영보고'!$I$16:$I$109,"&lt;&gt;보류")-M19-N19</f>
        <v/>
      </c>
      <c r="P19" s="219">
        <f>G19+L19-M19-N19-O19</f>
        <v/>
      </c>
      <c r="Q19" s="220">
        <f>R18</f>
        <v/>
      </c>
      <c r="R19" s="219">
        <f>Q19+P19</f>
        <v/>
      </c>
      <c r="S19" s="221" t="inlineStr">
        <is>
          <t>위버 1,675,000</t>
        </is>
      </c>
    </row>
    <row r="20">
      <c r="A20" s="222" t="n">
        <v>46319</v>
      </c>
      <c r="B20" s="212" t="inlineStr">
        <is>
          <t>토</t>
        </is>
      </c>
      <c r="C20" s="306">
        <f>'계좌별시나리오'!D20</f>
        <v/>
      </c>
      <c r="D20" s="306">
        <f>'계좌별시나리오'!E20</f>
        <v/>
      </c>
      <c r="E20" s="306">
        <f>'계좌별시나리오'!F20</f>
        <v/>
      </c>
      <c r="F20" s="306">
        <f>'계좌별시나리오'!G20</f>
        <v/>
      </c>
      <c r="G20" s="205">
        <f>INDEX('설정및분류'!$C$6:$C$12,WEEKDAY(A20,2))*'요약'!$B$13</f>
        <v/>
      </c>
      <c r="H20" s="307">
        <f>'계좌별시나리오'!I20</f>
        <v/>
      </c>
      <c r="I20" s="307">
        <f>'계좌별시나리오'!J20</f>
        <v/>
      </c>
      <c r="J20" s="307">
        <f>'계좌별시나리오'!K20</f>
        <v/>
      </c>
      <c r="K20" s="307">
        <f>'계좌별시나리오'!L20</f>
        <v/>
      </c>
      <c r="L20" s="308">
        <f>SUMIFS('경영보고'!$E$114:$E$135,'경영보고'!$A$114:$A$135,$A20,'경영보고'!$C$114:$C$135,"확정입금")</f>
        <v/>
      </c>
      <c r="M20" s="308">
        <f>SUMIFS('경영보고'!$E$16:$E$109,'경영보고'!$A$16:$A$109,$A20,'경영보고'!$I$16:$I$109,"&lt;&gt;보류",'경영보고'!$F$16:$F$109,"계좌송금")</f>
        <v/>
      </c>
      <c r="N20" s="308">
        <f>SUMIFS('경영보고'!$E$16:$E$109,'경영보고'!$A$16:$A$109,$A20,'경영보고'!$I$16:$I$109,"&lt;&gt;보류",'경영보고'!$F$16:$F$109,"법인카드")</f>
        <v/>
      </c>
      <c r="O20" s="308">
        <f>SUMIFS('경영보고'!$E$16:$E$109,'경영보고'!$A$16:$A$109,$A20,'경영보고'!$I$16:$I$109,"&lt;&gt;보류")-M20-N20</f>
        <v/>
      </c>
      <c r="P20" s="208">
        <f>G20+L20-M20-N20-O20</f>
        <v/>
      </c>
      <c r="Q20" s="209">
        <f>R19</f>
        <v/>
      </c>
      <c r="R20" s="208">
        <f>Q20+P20</f>
        <v/>
      </c>
      <c r="S20" s="223" t="n"/>
    </row>
    <row r="21">
      <c r="A21" s="222" t="n">
        <v>46320</v>
      </c>
      <c r="B21" s="212" t="inlineStr">
        <is>
          <t>일</t>
        </is>
      </c>
      <c r="C21" s="306">
        <f>'계좌별시나리오'!D21</f>
        <v/>
      </c>
      <c r="D21" s="306">
        <f>'계좌별시나리오'!E21</f>
        <v/>
      </c>
      <c r="E21" s="306">
        <f>'계좌별시나리오'!F21</f>
        <v/>
      </c>
      <c r="F21" s="306">
        <f>'계좌별시나리오'!G21</f>
        <v/>
      </c>
      <c r="G21" s="205">
        <f>INDEX('설정및분류'!$C$6:$C$12,WEEKDAY(A21,2))*'요약'!$B$13</f>
        <v/>
      </c>
      <c r="H21" s="307">
        <f>'계좌별시나리오'!I21</f>
        <v/>
      </c>
      <c r="I21" s="307">
        <f>'계좌별시나리오'!J21</f>
        <v/>
      </c>
      <c r="J21" s="307">
        <f>'계좌별시나리오'!K21</f>
        <v/>
      </c>
      <c r="K21" s="307">
        <f>'계좌별시나리오'!L21</f>
        <v/>
      </c>
      <c r="L21" s="308">
        <f>SUMIFS('경영보고'!$E$114:$E$135,'경영보고'!$A$114:$A$135,$A21,'경영보고'!$C$114:$C$135,"확정입금")</f>
        <v/>
      </c>
      <c r="M21" s="308">
        <f>SUMIFS('경영보고'!$E$16:$E$109,'경영보고'!$A$16:$A$109,$A21,'경영보고'!$I$16:$I$109,"&lt;&gt;보류",'경영보고'!$F$16:$F$109,"계좌송금")</f>
        <v/>
      </c>
      <c r="N21" s="308">
        <f>SUMIFS('경영보고'!$E$16:$E$109,'경영보고'!$A$16:$A$109,$A21,'경영보고'!$I$16:$I$109,"&lt;&gt;보류",'경영보고'!$F$16:$F$109,"법인카드")</f>
        <v/>
      </c>
      <c r="O21" s="308">
        <f>SUMIFS('경영보고'!$E$16:$E$109,'경영보고'!$A$16:$A$109,$A21,'경영보고'!$I$16:$I$109,"&lt;&gt;보류")-M21-N21</f>
        <v/>
      </c>
      <c r="P21" s="208">
        <f>G21+L21-M21-N21-O21</f>
        <v/>
      </c>
      <c r="Q21" s="209">
        <f>R20</f>
        <v/>
      </c>
      <c r="R21" s="208">
        <f>Q21+P21</f>
        <v/>
      </c>
      <c r="S21" s="223" t="n"/>
    </row>
    <row r="22">
      <c r="A22" s="224" t="n">
        <v>46321</v>
      </c>
      <c r="B22" s="203" t="inlineStr">
        <is>
          <t>월</t>
        </is>
      </c>
      <c r="C22" s="306">
        <f>'계좌별시나리오'!D22</f>
        <v/>
      </c>
      <c r="D22" s="306">
        <f>'계좌별시나리오'!E22</f>
        <v/>
      </c>
      <c r="E22" s="306">
        <f>'계좌별시나리오'!F22</f>
        <v/>
      </c>
      <c r="F22" s="306">
        <f>'계좌별시나리오'!G22</f>
        <v/>
      </c>
      <c r="G22" s="205">
        <f>INDEX('설정및분류'!$C$6:$C$12,WEEKDAY(A22,2))*'요약'!$B$13</f>
        <v/>
      </c>
      <c r="H22" s="307">
        <f>'계좌별시나리오'!I22</f>
        <v/>
      </c>
      <c r="I22" s="307">
        <f>'계좌별시나리오'!J22</f>
        <v/>
      </c>
      <c r="J22" s="307">
        <f>'계좌별시나리오'!K22</f>
        <v/>
      </c>
      <c r="K22" s="307">
        <f>'계좌별시나리오'!L22</f>
        <v/>
      </c>
      <c r="L22" s="308">
        <f>SUMIFS('경영보고'!$E$114:$E$135,'경영보고'!$A$114:$A$135,$A22,'경영보고'!$C$114:$C$135,"확정입금")</f>
        <v/>
      </c>
      <c r="M22" s="308">
        <f>SUMIFS('경영보고'!$E$16:$E$109,'경영보고'!$A$16:$A$109,$A22,'경영보고'!$I$16:$I$109,"&lt;&gt;보류",'경영보고'!$F$16:$F$109,"계좌송금")</f>
        <v/>
      </c>
      <c r="N22" s="308">
        <f>SUMIFS('경영보고'!$E$16:$E$109,'경영보고'!$A$16:$A$109,$A22,'경영보고'!$I$16:$I$109,"&lt;&gt;보류",'경영보고'!$F$16:$F$109,"법인카드")</f>
        <v/>
      </c>
      <c r="O22" s="308">
        <f>SUMIFS('경영보고'!$E$16:$E$109,'경영보고'!$A$16:$A$109,$A22,'경영보고'!$I$16:$I$109,"&lt;&gt;보류")-M22-N22</f>
        <v/>
      </c>
      <c r="P22" s="208">
        <f>G22+L22-M22-N22-O22</f>
        <v/>
      </c>
      <c r="Q22" s="209">
        <f>R21</f>
        <v/>
      </c>
      <c r="R22" s="208">
        <f>Q22+P22</f>
        <v/>
      </c>
      <c r="S22" s="223" t="n"/>
    </row>
    <row r="23">
      <c r="A23" s="224" t="n">
        <v>46322</v>
      </c>
      <c r="B23" s="203" t="inlineStr">
        <is>
          <t>화</t>
        </is>
      </c>
      <c r="C23" s="306">
        <f>'계좌별시나리오'!D23</f>
        <v/>
      </c>
      <c r="D23" s="306">
        <f>'계좌별시나리오'!E23</f>
        <v/>
      </c>
      <c r="E23" s="306">
        <f>'계좌별시나리오'!F23</f>
        <v/>
      </c>
      <c r="F23" s="306">
        <f>'계좌별시나리오'!G23</f>
        <v/>
      </c>
      <c r="G23" s="205">
        <f>INDEX('설정및분류'!$C$6:$C$12,WEEKDAY(A23,2))*'요약'!$B$13</f>
        <v/>
      </c>
      <c r="H23" s="307">
        <f>'계좌별시나리오'!I23</f>
        <v/>
      </c>
      <c r="I23" s="307">
        <f>'계좌별시나리오'!J23</f>
        <v/>
      </c>
      <c r="J23" s="307">
        <f>'계좌별시나리오'!K23</f>
        <v/>
      </c>
      <c r="K23" s="307">
        <f>'계좌별시나리오'!L23</f>
        <v/>
      </c>
      <c r="L23" s="308">
        <f>SUMIFS('경영보고'!$E$114:$E$135,'경영보고'!$A$114:$A$135,$A23,'경영보고'!$C$114:$C$135,"확정입금")</f>
        <v/>
      </c>
      <c r="M23" s="308">
        <f>SUMIFS('경영보고'!$E$16:$E$109,'경영보고'!$A$16:$A$109,$A23,'경영보고'!$I$16:$I$109,"&lt;&gt;보류",'경영보고'!$F$16:$F$109,"계좌송금")</f>
        <v/>
      </c>
      <c r="N23" s="308">
        <f>SUMIFS('경영보고'!$E$16:$E$109,'경영보고'!$A$16:$A$109,$A23,'경영보고'!$I$16:$I$109,"&lt;&gt;보류",'경영보고'!$F$16:$F$109,"법인카드")</f>
        <v/>
      </c>
      <c r="O23" s="308">
        <f>SUMIFS('경영보고'!$E$16:$E$109,'경영보고'!$A$16:$A$109,$A23,'경영보고'!$I$16:$I$109,"&lt;&gt;보류")-M23-N23</f>
        <v/>
      </c>
      <c r="P23" s="208">
        <f>G23+L23-M23-N23-O23</f>
        <v/>
      </c>
      <c r="Q23" s="209">
        <f>R22</f>
        <v/>
      </c>
      <c r="R23" s="208">
        <f>Q23+P23</f>
        <v/>
      </c>
      <c r="S23" s="223" t="n"/>
    </row>
    <row r="24">
      <c r="A24" s="224" t="n">
        <v>46323</v>
      </c>
      <c r="B24" s="203" t="inlineStr">
        <is>
          <t>수</t>
        </is>
      </c>
      <c r="C24" s="306">
        <f>'계좌별시나리오'!D24</f>
        <v/>
      </c>
      <c r="D24" s="306">
        <f>'계좌별시나리오'!E24</f>
        <v/>
      </c>
      <c r="E24" s="306">
        <f>'계좌별시나리오'!F24</f>
        <v/>
      </c>
      <c r="F24" s="306">
        <f>'계좌별시나리오'!G24</f>
        <v/>
      </c>
      <c r="G24" s="205">
        <f>INDEX('설정및분류'!$C$6:$C$12,WEEKDAY(A24,2))*'요약'!$B$13</f>
        <v/>
      </c>
      <c r="H24" s="307">
        <f>'계좌별시나리오'!I24</f>
        <v/>
      </c>
      <c r="I24" s="307">
        <f>'계좌별시나리오'!J24</f>
        <v/>
      </c>
      <c r="J24" s="307">
        <f>'계좌별시나리오'!K24</f>
        <v/>
      </c>
      <c r="K24" s="307">
        <f>'계좌별시나리오'!L24</f>
        <v/>
      </c>
      <c r="L24" s="308">
        <f>SUMIFS('경영보고'!$E$114:$E$135,'경영보고'!$A$114:$A$135,$A24,'경영보고'!$C$114:$C$135,"확정입금")</f>
        <v/>
      </c>
      <c r="M24" s="308">
        <f>SUMIFS('경영보고'!$E$16:$E$109,'경영보고'!$A$16:$A$109,$A24,'경영보고'!$I$16:$I$109,"&lt;&gt;보류",'경영보고'!$F$16:$F$109,"계좌송금")</f>
        <v/>
      </c>
      <c r="N24" s="308">
        <f>SUMIFS('경영보고'!$E$16:$E$109,'경영보고'!$A$16:$A$109,$A24,'경영보고'!$I$16:$I$109,"&lt;&gt;보류",'경영보고'!$F$16:$F$109,"법인카드")</f>
        <v/>
      </c>
      <c r="O24" s="308">
        <f>SUMIFS('경영보고'!$E$16:$E$109,'경영보고'!$A$16:$A$109,$A24,'경영보고'!$I$16:$I$109,"&lt;&gt;보류")-M24-N24</f>
        <v/>
      </c>
      <c r="P24" s="208">
        <f>G24+L24-M24-N24-O24</f>
        <v/>
      </c>
      <c r="Q24" s="209">
        <f>R23</f>
        <v/>
      </c>
      <c r="R24" s="208">
        <f>Q24+P24</f>
        <v/>
      </c>
      <c r="S24" s="223" t="n"/>
    </row>
    <row r="25">
      <c r="A25" s="224" t="n">
        <v>46324</v>
      </c>
      <c r="B25" s="203" t="inlineStr">
        <is>
          <t>목</t>
        </is>
      </c>
      <c r="C25" s="306">
        <f>'계좌별시나리오'!D25</f>
        <v/>
      </c>
      <c r="D25" s="306">
        <f>'계좌별시나리오'!E25</f>
        <v/>
      </c>
      <c r="E25" s="306">
        <f>'계좌별시나리오'!F25</f>
        <v/>
      </c>
      <c r="F25" s="306">
        <f>'계좌별시나리오'!G25</f>
        <v/>
      </c>
      <c r="G25" s="205">
        <f>INDEX('설정및분류'!$C$6:$C$12,WEEKDAY(A25,2))*'요약'!$B$13</f>
        <v/>
      </c>
      <c r="H25" s="307">
        <f>'계좌별시나리오'!I25</f>
        <v/>
      </c>
      <c r="I25" s="307">
        <f>'계좌별시나리오'!J25</f>
        <v/>
      </c>
      <c r="J25" s="307">
        <f>'계좌별시나리오'!K25</f>
        <v/>
      </c>
      <c r="K25" s="307">
        <f>'계좌별시나리오'!L25</f>
        <v/>
      </c>
      <c r="L25" s="308">
        <f>SUMIFS('경영보고'!$E$114:$E$135,'경영보고'!$A$114:$A$135,$A25,'경영보고'!$C$114:$C$135,"확정입금")</f>
        <v/>
      </c>
      <c r="M25" s="308">
        <f>SUMIFS('경영보고'!$E$16:$E$109,'경영보고'!$A$16:$A$109,$A25,'경영보고'!$I$16:$I$109,"&lt;&gt;보류",'경영보고'!$F$16:$F$109,"계좌송금")</f>
        <v/>
      </c>
      <c r="N25" s="308">
        <f>SUMIFS('경영보고'!$E$16:$E$109,'경영보고'!$A$16:$A$109,$A25,'경영보고'!$I$16:$I$109,"&lt;&gt;보류",'경영보고'!$F$16:$F$109,"법인카드")</f>
        <v/>
      </c>
      <c r="O25" s="308">
        <f>SUMIFS('경영보고'!$E$16:$E$109,'경영보고'!$A$16:$A$109,$A25,'경영보고'!$I$16:$I$109,"&lt;&gt;보류")-M25-N25</f>
        <v/>
      </c>
      <c r="P25" s="208">
        <f>G25+L25-M25-N25-O25</f>
        <v/>
      </c>
      <c r="Q25" s="209">
        <f>R24</f>
        <v/>
      </c>
      <c r="R25" s="208">
        <f>Q25+P25</f>
        <v/>
      </c>
      <c r="S25" s="223" t="n"/>
    </row>
    <row r="26">
      <c r="A26" s="224" t="n">
        <v>46325</v>
      </c>
      <c r="B26" s="203" t="inlineStr">
        <is>
          <t>금</t>
        </is>
      </c>
      <c r="C26" s="306">
        <f>'계좌별시나리오'!D26</f>
        <v/>
      </c>
      <c r="D26" s="306">
        <f>'계좌별시나리오'!E26</f>
        <v/>
      </c>
      <c r="E26" s="306">
        <f>'계좌별시나리오'!F26</f>
        <v/>
      </c>
      <c r="F26" s="306">
        <f>'계좌별시나리오'!G26</f>
        <v/>
      </c>
      <c r="G26" s="205">
        <f>INDEX('설정및분류'!$C$6:$C$12,WEEKDAY(A26,2))*'요약'!$B$13</f>
        <v/>
      </c>
      <c r="H26" s="307">
        <f>'계좌별시나리오'!I26</f>
        <v/>
      </c>
      <c r="I26" s="307">
        <f>'계좌별시나리오'!J26</f>
        <v/>
      </c>
      <c r="J26" s="307">
        <f>'계좌별시나리오'!K26</f>
        <v/>
      </c>
      <c r="K26" s="307">
        <f>'계좌별시나리오'!L26</f>
        <v/>
      </c>
      <c r="L26" s="308">
        <f>SUMIFS('경영보고'!$E$114:$E$135,'경영보고'!$A$114:$A$135,$A26,'경영보고'!$C$114:$C$135,"확정입금")</f>
        <v/>
      </c>
      <c r="M26" s="308">
        <f>SUMIFS('경영보고'!$E$16:$E$109,'경영보고'!$A$16:$A$109,$A26,'경영보고'!$I$16:$I$109,"&lt;&gt;보류",'경영보고'!$F$16:$F$109,"계좌송금")</f>
        <v/>
      </c>
      <c r="N26" s="308">
        <f>SUMIFS('경영보고'!$E$16:$E$109,'경영보고'!$A$16:$A$109,$A26,'경영보고'!$I$16:$I$109,"&lt;&gt;보류",'경영보고'!$F$16:$F$109,"법인카드")</f>
        <v/>
      </c>
      <c r="O26" s="308">
        <f>SUMIFS('경영보고'!$E$16:$E$109,'경영보고'!$A$16:$A$109,$A26,'경영보고'!$I$16:$I$109,"&lt;&gt;보류")-M26-N26</f>
        <v/>
      </c>
      <c r="P26" s="208">
        <f>G26+L26-M26-N26-O26</f>
        <v/>
      </c>
      <c r="Q26" s="209">
        <f>R25</f>
        <v/>
      </c>
      <c r="R26" s="208">
        <f>Q26+P26</f>
        <v/>
      </c>
      <c r="S26" s="223" t="n"/>
    </row>
    <row r="27" ht="32.4" customHeight="1">
      <c r="A27" s="222" t="n">
        <v>46326</v>
      </c>
      <c r="B27" s="212" t="inlineStr">
        <is>
          <t>토</t>
        </is>
      </c>
      <c r="C27" s="306">
        <f>'계좌별시나리오'!D27</f>
        <v/>
      </c>
      <c r="D27" s="306">
        <f>'계좌별시나리오'!E27</f>
        <v/>
      </c>
      <c r="E27" s="306">
        <f>'계좌별시나리오'!F27</f>
        <v/>
      </c>
      <c r="F27" s="306">
        <f>'계좌별시나리오'!G27</f>
        <v/>
      </c>
      <c r="G27" s="205">
        <f>INDEX('설정및분류'!$C$6:$C$12,WEEKDAY(A27,2))*'요약'!$B$13</f>
        <v/>
      </c>
      <c r="H27" s="307">
        <f>'계좌별시나리오'!I27</f>
        <v/>
      </c>
      <c r="I27" s="307">
        <f>'계좌별시나리오'!J27</f>
        <v/>
      </c>
      <c r="J27" s="307">
        <f>'계좌별시나리오'!K27</f>
        <v/>
      </c>
      <c r="K27" s="307">
        <f>'계좌별시나리오'!L27</f>
        <v/>
      </c>
      <c r="L27" s="308">
        <f>SUMIFS('경영보고'!$E$114:$E$135,'경영보고'!$A$114:$A$135,$A27,'경영보고'!$C$114:$C$135,"확정입금")</f>
        <v/>
      </c>
      <c r="M27" s="308">
        <f>SUMIFS('경영보고'!$E$16:$E$109,'경영보고'!$A$16:$A$109,$A27,'경영보고'!$I$16:$I$109,"&lt;&gt;보류",'경영보고'!$F$16:$F$109,"계좌송금")</f>
        <v/>
      </c>
      <c r="N27" s="308">
        <f>SUMIFS('경영보고'!$E$16:$E$109,'경영보고'!$A$16:$A$109,$A27,'경영보고'!$I$16:$I$109,"&lt;&gt;보류",'경영보고'!$F$16:$F$109,"법인카드")</f>
        <v/>
      </c>
      <c r="O27" s="308">
        <f>SUMIFS('경영보고'!$E$16:$E$109,'경영보고'!$A$16:$A$109,$A27,'경영보고'!$I$16:$I$109,"&lt;&gt;보류")-M27-N27</f>
        <v/>
      </c>
      <c r="P27" s="208">
        <f>G27+L27-M27-N27-O27</f>
        <v/>
      </c>
      <c r="Q27" s="209">
        <f>R26</f>
        <v/>
      </c>
      <c r="R27" s="208">
        <f>Q27+P27</f>
        <v/>
      </c>
      <c r="S27" s="225" t="inlineStr">
        <is>
          <t>관계사 외상대 입금 추정(주식회사에이팜, 말일)</t>
        </is>
      </c>
    </row>
    <row r="28">
      <c r="A28" s="222" t="n">
        <v>46327</v>
      </c>
      <c r="B28" s="212" t="inlineStr">
        <is>
          <t>일</t>
        </is>
      </c>
      <c r="C28" s="306">
        <f>'계좌별시나리오'!D28</f>
        <v/>
      </c>
      <c r="D28" s="306">
        <f>'계좌별시나리오'!E28</f>
        <v/>
      </c>
      <c r="E28" s="306">
        <f>'계좌별시나리오'!F28</f>
        <v/>
      </c>
      <c r="F28" s="306">
        <f>'계좌별시나리오'!G28</f>
        <v/>
      </c>
      <c r="G28" s="205">
        <f>INDEX('설정및분류'!$C$6:$C$12,WEEKDAY(A28,2))*'요약'!$B$13</f>
        <v/>
      </c>
      <c r="H28" s="307">
        <f>'계좌별시나리오'!I28</f>
        <v/>
      </c>
      <c r="I28" s="307">
        <f>'계좌별시나리오'!J28</f>
        <v/>
      </c>
      <c r="J28" s="307">
        <f>'계좌별시나리오'!K28</f>
        <v/>
      </c>
      <c r="K28" s="307">
        <f>'계좌별시나리오'!L28</f>
        <v/>
      </c>
      <c r="L28" s="308">
        <f>SUMIFS('경영보고'!$E$114:$E$135,'경영보고'!$A$114:$A$135,$A28,'경영보고'!$C$114:$C$135,"확정입금")</f>
        <v/>
      </c>
      <c r="M28" s="308">
        <f>SUMIFS('경영보고'!$E$16:$E$109,'경영보고'!$A$16:$A$109,$A28,'경영보고'!$I$16:$I$109,"&lt;&gt;보류",'경영보고'!$F$16:$F$109,"계좌송금")</f>
        <v/>
      </c>
      <c r="N28" s="308">
        <f>SUMIFS('경영보고'!$E$16:$E$109,'경영보고'!$A$16:$A$109,$A28,'경영보고'!$I$16:$I$109,"&lt;&gt;보류",'경영보고'!$F$16:$F$109,"법인카드")</f>
        <v/>
      </c>
      <c r="O28" s="308">
        <f>SUMIFS('경영보고'!$E$16:$E$109,'경영보고'!$A$16:$A$109,$A28,'경영보고'!$I$16:$I$109,"&lt;&gt;보류")-M28-N28</f>
        <v/>
      </c>
      <c r="P28" s="208">
        <f>G28+L28-M28-N28-O28</f>
        <v/>
      </c>
      <c r="Q28" s="209">
        <f>R27</f>
        <v/>
      </c>
      <c r="R28" s="208">
        <f>Q28+P28</f>
        <v/>
      </c>
      <c r="S28" s="223" t="n"/>
    </row>
    <row r="29">
      <c r="A29" s="224" t="n">
        <v>46328</v>
      </c>
      <c r="B29" s="203" t="inlineStr">
        <is>
          <t>월</t>
        </is>
      </c>
      <c r="C29" s="306">
        <f>'계좌별시나리오'!D29</f>
        <v/>
      </c>
      <c r="D29" s="306">
        <f>'계좌별시나리오'!E29</f>
        <v/>
      </c>
      <c r="E29" s="306">
        <f>'계좌별시나리오'!F29</f>
        <v/>
      </c>
      <c r="F29" s="306">
        <f>'계좌별시나리오'!G29</f>
        <v/>
      </c>
      <c r="G29" s="205">
        <f>INDEX('설정및분류'!$C$6:$C$12,WEEKDAY(A29,2))*'요약'!$B$13</f>
        <v/>
      </c>
      <c r="H29" s="307">
        <f>'계좌별시나리오'!I29</f>
        <v/>
      </c>
      <c r="I29" s="307">
        <f>'계좌별시나리오'!J29</f>
        <v/>
      </c>
      <c r="J29" s="307">
        <f>'계좌별시나리오'!K29</f>
        <v/>
      </c>
      <c r="K29" s="307">
        <f>'계좌별시나리오'!L29</f>
        <v/>
      </c>
      <c r="L29" s="308">
        <f>SUMIFS('경영보고'!$E$114:$E$135,'경영보고'!$A$114:$A$135,$A29,'경영보고'!$C$114:$C$135,"확정입금")</f>
        <v/>
      </c>
      <c r="M29" s="308">
        <f>SUMIFS('경영보고'!$E$16:$E$109,'경영보고'!$A$16:$A$109,$A29,'경영보고'!$I$16:$I$109,"&lt;&gt;보류",'경영보고'!$F$16:$F$109,"계좌송금")</f>
        <v/>
      </c>
      <c r="N29" s="308">
        <f>SUMIFS('경영보고'!$E$16:$E$109,'경영보고'!$A$16:$A$109,$A29,'경영보고'!$I$16:$I$109,"&lt;&gt;보류",'경영보고'!$F$16:$F$109,"법인카드")</f>
        <v/>
      </c>
      <c r="O29" s="308">
        <f>SUMIFS('경영보고'!$E$16:$E$109,'경영보고'!$A$16:$A$109,$A29,'경영보고'!$I$16:$I$109,"&lt;&gt;보류")-M29-N29</f>
        <v/>
      </c>
      <c r="P29" s="208">
        <f>G29+L29-M29-N29-O29</f>
        <v/>
      </c>
      <c r="Q29" s="209">
        <f>R28</f>
        <v/>
      </c>
      <c r="R29" s="208">
        <f>Q29+P29</f>
        <v/>
      </c>
      <c r="S29" s="223" t="n"/>
    </row>
    <row r="30">
      <c r="A30" s="224" t="n">
        <v>46329</v>
      </c>
      <c r="B30" s="203" t="inlineStr">
        <is>
          <t>화</t>
        </is>
      </c>
      <c r="C30" s="306">
        <f>'계좌별시나리오'!D30</f>
        <v/>
      </c>
      <c r="D30" s="306">
        <f>'계좌별시나리오'!E30</f>
        <v/>
      </c>
      <c r="E30" s="306">
        <f>'계좌별시나리오'!F30</f>
        <v/>
      </c>
      <c r="F30" s="306">
        <f>'계좌별시나리오'!G30</f>
        <v/>
      </c>
      <c r="G30" s="205">
        <f>INDEX('설정및분류'!$C$6:$C$12,WEEKDAY(A30,2))*'요약'!$B$13</f>
        <v/>
      </c>
      <c r="H30" s="307">
        <f>'계좌별시나리오'!I30</f>
        <v/>
      </c>
      <c r="I30" s="307">
        <f>'계좌별시나리오'!J30</f>
        <v/>
      </c>
      <c r="J30" s="307">
        <f>'계좌별시나리오'!K30</f>
        <v/>
      </c>
      <c r="K30" s="307">
        <f>'계좌별시나리오'!L30</f>
        <v/>
      </c>
      <c r="L30" s="308">
        <f>SUMIFS('경영보고'!$E$114:$E$135,'경영보고'!$A$114:$A$135,$A30,'경영보고'!$C$114:$C$135,"확정입금")</f>
        <v/>
      </c>
      <c r="M30" s="308">
        <f>SUMIFS('경영보고'!$E$16:$E$109,'경영보고'!$A$16:$A$109,$A30,'경영보고'!$I$16:$I$109,"&lt;&gt;보류",'경영보고'!$F$16:$F$109,"계좌송금")</f>
        <v/>
      </c>
      <c r="N30" s="308">
        <f>SUMIFS('경영보고'!$E$16:$E$109,'경영보고'!$A$16:$A$109,$A30,'경영보고'!$I$16:$I$109,"&lt;&gt;보류",'경영보고'!$F$16:$F$109,"법인카드")</f>
        <v/>
      </c>
      <c r="O30" s="308">
        <f>SUMIFS('경영보고'!$E$16:$E$109,'경영보고'!$A$16:$A$109,$A30,'경영보고'!$I$16:$I$109,"&lt;&gt;보류")-M30-N30</f>
        <v/>
      </c>
      <c r="P30" s="208">
        <f>G30+L30-M30-N30-O30</f>
        <v/>
      </c>
      <c r="Q30" s="209">
        <f>R29</f>
        <v/>
      </c>
      <c r="R30" s="208">
        <f>Q30+P30</f>
        <v/>
      </c>
      <c r="S30" s="223" t="n"/>
    </row>
    <row r="31">
      <c r="A31" s="224" t="n">
        <v>46330</v>
      </c>
      <c r="B31" s="203" t="inlineStr">
        <is>
          <t>수</t>
        </is>
      </c>
      <c r="C31" s="306">
        <f>'계좌별시나리오'!D31</f>
        <v/>
      </c>
      <c r="D31" s="306">
        <f>'계좌별시나리오'!E31</f>
        <v/>
      </c>
      <c r="E31" s="306">
        <f>'계좌별시나리오'!F31</f>
        <v/>
      </c>
      <c r="F31" s="306">
        <f>'계좌별시나리오'!G31</f>
        <v/>
      </c>
      <c r="G31" s="205">
        <f>INDEX('설정및분류'!$C$6:$C$12,WEEKDAY(A31,2))*'요약'!$B$13</f>
        <v/>
      </c>
      <c r="H31" s="307">
        <f>'계좌별시나리오'!I31</f>
        <v/>
      </c>
      <c r="I31" s="307">
        <f>'계좌별시나리오'!J31</f>
        <v/>
      </c>
      <c r="J31" s="307">
        <f>'계좌별시나리오'!K31</f>
        <v/>
      </c>
      <c r="K31" s="307">
        <f>'계좌별시나리오'!L31</f>
        <v/>
      </c>
      <c r="L31" s="308">
        <f>SUMIFS('경영보고'!$E$114:$E$135,'경영보고'!$A$114:$A$135,$A31,'경영보고'!$C$114:$C$135,"확정입금")</f>
        <v/>
      </c>
      <c r="M31" s="308">
        <f>SUMIFS('경영보고'!$E$16:$E$109,'경영보고'!$A$16:$A$109,$A31,'경영보고'!$I$16:$I$109,"&lt;&gt;보류",'경영보고'!$F$16:$F$109,"계좌송금")</f>
        <v/>
      </c>
      <c r="N31" s="308">
        <f>SUMIFS('경영보고'!$E$16:$E$109,'경영보고'!$A$16:$A$109,$A31,'경영보고'!$I$16:$I$109,"&lt;&gt;보류",'경영보고'!$F$16:$F$109,"법인카드")</f>
        <v/>
      </c>
      <c r="O31" s="308">
        <f>SUMIFS('경영보고'!$E$16:$E$109,'경영보고'!$A$16:$A$109,$A31,'경영보고'!$I$16:$I$109,"&lt;&gt;보류")-M31-N31</f>
        <v/>
      </c>
      <c r="P31" s="208">
        <f>G31+L31-M31-N31-O31</f>
        <v/>
      </c>
      <c r="Q31" s="209">
        <f>R30</f>
        <v/>
      </c>
      <c r="R31" s="208">
        <f>Q31+P31</f>
        <v/>
      </c>
      <c r="S31" s="223" t="n"/>
    </row>
    <row r="32">
      <c r="A32" s="224" t="n">
        <v>46331</v>
      </c>
      <c r="B32" s="203" t="inlineStr">
        <is>
          <t>목</t>
        </is>
      </c>
      <c r="C32" s="306">
        <f>'계좌별시나리오'!D32</f>
        <v/>
      </c>
      <c r="D32" s="306">
        <f>'계좌별시나리오'!E32</f>
        <v/>
      </c>
      <c r="E32" s="306">
        <f>'계좌별시나리오'!F32</f>
        <v/>
      </c>
      <c r="F32" s="306">
        <f>'계좌별시나리오'!G32</f>
        <v/>
      </c>
      <c r="G32" s="205">
        <f>INDEX('설정및분류'!$C$6:$C$12,WEEKDAY(A32,2))*'요약'!$B$13</f>
        <v/>
      </c>
      <c r="H32" s="307">
        <f>'계좌별시나리오'!I32</f>
        <v/>
      </c>
      <c r="I32" s="307">
        <f>'계좌별시나리오'!J32</f>
        <v/>
      </c>
      <c r="J32" s="307">
        <f>'계좌별시나리오'!K32</f>
        <v/>
      </c>
      <c r="K32" s="307">
        <f>'계좌별시나리오'!L32</f>
        <v/>
      </c>
      <c r="L32" s="308">
        <f>SUMIFS('경영보고'!$E$114:$E$135,'경영보고'!$A$114:$A$135,$A32,'경영보고'!$C$114:$C$135,"확정입금")</f>
        <v/>
      </c>
      <c r="M32" s="308">
        <f>SUMIFS('경영보고'!$E$16:$E$109,'경영보고'!$A$16:$A$109,$A32,'경영보고'!$I$16:$I$109,"&lt;&gt;보류",'경영보고'!$F$16:$F$109,"계좌송금")</f>
        <v/>
      </c>
      <c r="N32" s="308">
        <f>SUMIFS('경영보고'!$E$16:$E$109,'경영보고'!$A$16:$A$109,$A32,'경영보고'!$I$16:$I$109,"&lt;&gt;보류",'경영보고'!$F$16:$F$109,"법인카드")</f>
        <v/>
      </c>
      <c r="O32" s="308">
        <f>SUMIFS('경영보고'!$E$16:$E$109,'경영보고'!$A$16:$A$109,$A32,'경영보고'!$I$16:$I$109,"&lt;&gt;보류")-M32-N32</f>
        <v/>
      </c>
      <c r="P32" s="208">
        <f>G32+L32-M32-N32-O32</f>
        <v/>
      </c>
      <c r="Q32" s="209">
        <f>R31</f>
        <v/>
      </c>
      <c r="R32" s="208">
        <f>Q32+P32</f>
        <v/>
      </c>
      <c r="S32" s="223" t="n"/>
    </row>
    <row r="33">
      <c r="A33" s="224" t="n">
        <v>46332</v>
      </c>
      <c r="B33" s="203" t="inlineStr">
        <is>
          <t>금</t>
        </is>
      </c>
      <c r="C33" s="306">
        <f>'계좌별시나리오'!D33</f>
        <v/>
      </c>
      <c r="D33" s="306">
        <f>'계좌별시나리오'!E33</f>
        <v/>
      </c>
      <c r="E33" s="306">
        <f>'계좌별시나리오'!F33</f>
        <v/>
      </c>
      <c r="F33" s="306">
        <f>'계좌별시나리오'!G33</f>
        <v/>
      </c>
      <c r="G33" s="205">
        <f>INDEX('설정및분류'!$C$6:$C$12,WEEKDAY(A33,2))*'요약'!$B$13</f>
        <v/>
      </c>
      <c r="H33" s="307">
        <f>'계좌별시나리오'!I33</f>
        <v/>
      </c>
      <c r="I33" s="307">
        <f>'계좌별시나리오'!J33</f>
        <v/>
      </c>
      <c r="J33" s="307">
        <f>'계좌별시나리오'!K33</f>
        <v/>
      </c>
      <c r="K33" s="307">
        <f>'계좌별시나리오'!L33</f>
        <v/>
      </c>
      <c r="L33" s="308">
        <f>SUMIFS('경영보고'!$E$114:$E$135,'경영보고'!$A$114:$A$135,$A33,'경영보고'!$C$114:$C$135,"확정입금")</f>
        <v/>
      </c>
      <c r="M33" s="308">
        <f>SUMIFS('경영보고'!$E$16:$E$109,'경영보고'!$A$16:$A$109,$A33,'경영보고'!$I$16:$I$109,"&lt;&gt;보류",'경영보고'!$F$16:$F$109,"계좌송금")</f>
        <v/>
      </c>
      <c r="N33" s="308">
        <f>SUMIFS('경영보고'!$E$16:$E$109,'경영보고'!$A$16:$A$109,$A33,'경영보고'!$I$16:$I$109,"&lt;&gt;보류",'경영보고'!$F$16:$F$109,"법인카드")</f>
        <v/>
      </c>
      <c r="O33" s="308">
        <f>SUMIFS('경영보고'!$E$16:$E$109,'경영보고'!$A$16:$A$109,$A33,'경영보고'!$I$16:$I$109,"&lt;&gt;보류")-M33-N33</f>
        <v/>
      </c>
      <c r="P33" s="208">
        <f>G33+L33-M33-N33-O33</f>
        <v/>
      </c>
      <c r="Q33" s="209">
        <f>R32</f>
        <v/>
      </c>
      <c r="R33" s="208">
        <f>Q33+P33</f>
        <v/>
      </c>
      <c r="S33" s="223" t="n"/>
    </row>
    <row r="34">
      <c r="A34" s="222" t="n">
        <v>46333</v>
      </c>
      <c r="B34" s="212" t="inlineStr">
        <is>
          <t>토</t>
        </is>
      </c>
      <c r="C34" s="306">
        <f>'계좌별시나리오'!D34</f>
        <v/>
      </c>
      <c r="D34" s="306">
        <f>'계좌별시나리오'!E34</f>
        <v/>
      </c>
      <c r="E34" s="306">
        <f>'계좌별시나리오'!F34</f>
        <v/>
      </c>
      <c r="F34" s="306">
        <f>'계좌별시나리오'!G34</f>
        <v/>
      </c>
      <c r="G34" s="205">
        <f>INDEX('설정및분류'!$C$6:$C$12,WEEKDAY(A34,2))*'요약'!$B$13</f>
        <v/>
      </c>
      <c r="H34" s="307">
        <f>'계좌별시나리오'!I34</f>
        <v/>
      </c>
      <c r="I34" s="307">
        <f>'계좌별시나리오'!J34</f>
        <v/>
      </c>
      <c r="J34" s="307">
        <f>'계좌별시나리오'!K34</f>
        <v/>
      </c>
      <c r="K34" s="307">
        <f>'계좌별시나리오'!L34</f>
        <v/>
      </c>
      <c r="L34" s="308">
        <f>SUMIFS('경영보고'!$E$114:$E$135,'경영보고'!$A$114:$A$135,$A34,'경영보고'!$C$114:$C$135,"확정입금")</f>
        <v/>
      </c>
      <c r="M34" s="308">
        <f>SUMIFS('경영보고'!$E$16:$E$109,'경영보고'!$A$16:$A$109,$A34,'경영보고'!$I$16:$I$109,"&lt;&gt;보류",'경영보고'!$F$16:$F$109,"계좌송금")</f>
        <v/>
      </c>
      <c r="N34" s="308">
        <f>SUMIFS('경영보고'!$E$16:$E$109,'경영보고'!$A$16:$A$109,$A34,'경영보고'!$I$16:$I$109,"&lt;&gt;보류",'경영보고'!$F$16:$F$109,"법인카드")</f>
        <v/>
      </c>
      <c r="O34" s="308">
        <f>SUMIFS('경영보고'!$E$16:$E$109,'경영보고'!$A$16:$A$109,$A34,'경영보고'!$I$16:$I$109,"&lt;&gt;보류")-M34-N34</f>
        <v/>
      </c>
      <c r="P34" s="208">
        <f>G34+L34-M34-N34-O34</f>
        <v/>
      </c>
      <c r="Q34" s="209">
        <f>R33</f>
        <v/>
      </c>
      <c r="R34" s="208">
        <f>Q34+P34</f>
        <v/>
      </c>
      <c r="S34" s="223" t="n"/>
    </row>
    <row r="35">
      <c r="A35" s="222" t="n">
        <v>46334</v>
      </c>
      <c r="B35" s="212" t="inlineStr">
        <is>
          <t>일</t>
        </is>
      </c>
      <c r="C35" s="306">
        <f>'계좌별시나리오'!D35</f>
        <v/>
      </c>
      <c r="D35" s="306">
        <f>'계좌별시나리오'!E35</f>
        <v/>
      </c>
      <c r="E35" s="306">
        <f>'계좌별시나리오'!F35</f>
        <v/>
      </c>
      <c r="F35" s="306">
        <f>'계좌별시나리오'!G35</f>
        <v/>
      </c>
      <c r="G35" s="205">
        <f>INDEX('설정및분류'!$C$6:$C$12,WEEKDAY(A35,2))*'요약'!$B$13</f>
        <v/>
      </c>
      <c r="H35" s="307">
        <f>'계좌별시나리오'!I35</f>
        <v/>
      </c>
      <c r="I35" s="307">
        <f>'계좌별시나리오'!J35</f>
        <v/>
      </c>
      <c r="J35" s="307">
        <f>'계좌별시나리오'!K35</f>
        <v/>
      </c>
      <c r="K35" s="307">
        <f>'계좌별시나리오'!L35</f>
        <v/>
      </c>
      <c r="L35" s="308">
        <f>SUMIFS('경영보고'!$E$114:$E$135,'경영보고'!$A$114:$A$135,$A35,'경영보고'!$C$114:$C$135,"확정입금")</f>
        <v/>
      </c>
      <c r="M35" s="308">
        <f>SUMIFS('경영보고'!$E$16:$E$109,'경영보고'!$A$16:$A$109,$A35,'경영보고'!$I$16:$I$109,"&lt;&gt;보류",'경영보고'!$F$16:$F$109,"계좌송금")</f>
        <v/>
      </c>
      <c r="N35" s="308">
        <f>SUMIFS('경영보고'!$E$16:$E$109,'경영보고'!$A$16:$A$109,$A35,'경영보고'!$I$16:$I$109,"&lt;&gt;보류",'경영보고'!$F$16:$F$109,"법인카드")</f>
        <v/>
      </c>
      <c r="O35" s="308">
        <f>SUMIFS('경영보고'!$E$16:$E$109,'경영보고'!$A$16:$A$109,$A35,'경영보고'!$I$16:$I$109,"&lt;&gt;보류")-M35-N35</f>
        <v/>
      </c>
      <c r="P35" s="208">
        <f>G35+L35-M35-N35-O35</f>
        <v/>
      </c>
      <c r="Q35" s="209">
        <f>R34</f>
        <v/>
      </c>
      <c r="R35" s="208">
        <f>Q35+P35</f>
        <v/>
      </c>
      <c r="S35" s="223"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169124 20%</t>
        </is>
      </c>
    </row>
    <row r="4">
      <c r="A4" s="180" t="inlineStr">
        <is>
          <t>일자</t>
        </is>
      </c>
      <c r="B4" s="180" t="inlineStr">
        <is>
          <t>요일</t>
        </is>
      </c>
      <c r="C4" s="176" t="inlineStr">
        <is>
          <t>① 잔액 (총잔액 · 계좌별)</t>
        </is>
      </c>
      <c r="D4" s="177" t="n"/>
      <c r="E4" s="177" t="n"/>
      <c r="F4" s="177" t="n"/>
      <c r="G4" s="178" t="n"/>
      <c r="H4" s="179" t="inlineStr">
        <is>
          <t>② 오늘 들어오는 돈 — 예상입금 배분</t>
        </is>
      </c>
      <c r="I4" s="177" t="n"/>
      <c r="J4" s="177" t="n"/>
      <c r="K4" s="177" t="n"/>
      <c r="L4" s="178" t="n"/>
      <c r="M4" s="227" t="inlineStr">
        <is>
          <t>③ 지출</t>
        </is>
      </c>
      <c r="N4" s="228" t="inlineStr">
        <is>
          <t>④ 부족분 이체</t>
        </is>
      </c>
      <c r="O4" s="178" t="n"/>
      <c r="P4" s="229" t="inlineStr">
        <is>
          <t>비고</t>
        </is>
      </c>
    </row>
    <row r="5">
      <c r="A5" s="230" t="n"/>
      <c r="B5" s="230" t="n"/>
      <c r="C5" s="180" t="inlineStr">
        <is>
          <t>총잔액</t>
        </is>
      </c>
      <c r="D5" s="180" t="inlineStr">
        <is>
          <t>우리 220351</t>
        </is>
      </c>
      <c r="E5" s="180" t="inlineStr">
        <is>
          <t>농협 569003</t>
        </is>
      </c>
      <c r="F5" s="180" t="inlineStr">
        <is>
          <t>국민 154577</t>
        </is>
      </c>
      <c r="G5" s="180" t="inlineStr">
        <is>
          <t>국민 169124</t>
        </is>
      </c>
      <c r="H5" s="181" t="inlineStr">
        <is>
          <t>합계</t>
        </is>
      </c>
      <c r="I5" s="181" t="inlineStr">
        <is>
          <t>우리 220351</t>
        </is>
      </c>
      <c r="J5" s="181" t="inlineStr">
        <is>
          <t>농협 569003</t>
        </is>
      </c>
      <c r="K5" s="181" t="inlineStr">
        <is>
          <t>국민 154577</t>
        </is>
      </c>
      <c r="L5" s="181" t="inlineStr">
        <is>
          <t>국민 169124</t>
        </is>
      </c>
      <c r="M5" s="231" t="inlineStr">
        <is>
          <t>우리은행 집행</t>
        </is>
      </c>
      <c r="N5" s="232" t="inlineStr">
        <is>
          <t>농협→우리</t>
        </is>
      </c>
      <c r="O5" s="232" t="inlineStr">
        <is>
          <t>국민→우리</t>
        </is>
      </c>
      <c r="P5" s="230" t="n"/>
    </row>
    <row r="6">
      <c r="A6" s="233" t="n">
        <v>46306</v>
      </c>
      <c r="B6" s="234" t="inlineStr">
        <is>
          <t>일</t>
        </is>
      </c>
      <c r="C6" s="299">
        <f>SUM(D6:G6)</f>
        <v/>
      </c>
      <c r="D6" s="299" t="n">
        <v>2865053</v>
      </c>
      <c r="E6" s="299" t="n">
        <v>9186423</v>
      </c>
      <c r="F6" s="299" t="n">
        <v>50572029</v>
      </c>
      <c r="G6" s="299" t="n">
        <v>20000000</v>
      </c>
      <c r="H6" s="226" t="n"/>
      <c r="I6" s="226" t="n"/>
      <c r="J6" s="226" t="n"/>
      <c r="K6" s="226" t="n"/>
      <c r="L6" s="226" t="n"/>
      <c r="M6" s="226" t="n"/>
      <c r="N6" s="226" t="n"/>
      <c r="O6" s="226" t="n"/>
      <c r="P6" s="235" t="inlineStr">
        <is>
          <t>전일 마감 실잔고 — 여기서 출발</t>
        </is>
      </c>
    </row>
    <row r="7">
      <c r="A7" s="236" t="n">
        <v>46307</v>
      </c>
      <c r="B7" s="237" t="inlineStr">
        <is>
          <t>월</t>
        </is>
      </c>
      <c r="C7" s="299">
        <f>SUM(D7:G7)</f>
        <v/>
      </c>
      <c r="D7" s="306" t="n">
        <v>16078788</v>
      </c>
      <c r="E7" s="306" t="n">
        <v>9186423</v>
      </c>
      <c r="F7" s="306" t="n">
        <v>50572029</v>
      </c>
      <c r="G7" s="306" t="n">
        <v>20000000</v>
      </c>
      <c r="H7" s="226" t="n"/>
      <c r="I7" s="226" t="n"/>
      <c r="J7" s="226" t="n"/>
      <c r="K7" s="226" t="n"/>
      <c r="L7" s="226" t="n"/>
      <c r="M7" s="226" t="n"/>
      <c r="N7" s="226" t="n"/>
      <c r="O7" s="226" t="n"/>
      <c r="P7" s="238" t="inlineStr">
        <is>
          <t>오늘 실잔고(은행 확인) — 참고</t>
        </is>
      </c>
    </row>
    <row r="8">
      <c r="A8" s="239" t="n">
        <v>46307</v>
      </c>
      <c r="B8" s="240" t="inlineStr">
        <is>
          <t>월</t>
        </is>
      </c>
      <c r="C8" s="299">
        <f>SUM(D8:G8)</f>
        <v/>
      </c>
      <c r="D8" s="312">
        <f>D6+I8-M8+Q8+R8+S8</f>
        <v/>
      </c>
      <c r="E8" s="312">
        <f>E6+J8-Q8</f>
        <v/>
      </c>
      <c r="F8" s="312">
        <f>F6+K8-R8</f>
        <v/>
      </c>
      <c r="G8" s="312">
        <f>G6+L8-S8</f>
        <v/>
      </c>
      <c r="H8" s="307">
        <f>'4주일별계획'!G8+'4주일별계획'!L8</f>
        <v/>
      </c>
      <c r="I8" s="307">
        <f>H8*0.437023</f>
        <v/>
      </c>
      <c r="J8" s="307">
        <f>H8*0.023161</f>
        <v/>
      </c>
      <c r="K8" s="307">
        <f>H8*0.343671</f>
        <v/>
      </c>
      <c r="L8" s="307">
        <f>H8*0.196145</f>
        <v/>
      </c>
      <c r="M8" s="313">
        <f>'4주일별계획'!M8+'4주일별계획'!N8+'4주일별계획'!O8</f>
        <v/>
      </c>
      <c r="N8" s="314">
        <f>Q8</f>
        <v/>
      </c>
      <c r="O8" s="314">
        <f>R8+S8</f>
        <v/>
      </c>
      <c r="P8" s="244">
        <f>IF(D8&lt;-0.5,"전 계좌 소진 — 부족 "&amp;TEXT(-D8,"#,##0")&amp;"원","")</f>
        <v/>
      </c>
      <c r="Q8" s="315">
        <f>MIN(MAX(0,E6+J8),MAX(0,M8-D6-I8))</f>
        <v/>
      </c>
      <c r="R8" s="315">
        <f>MIN(MAX(0,F6+K8),MAX(0,M8-D6-I8)-Q8)</f>
        <v/>
      </c>
      <c r="S8" s="315">
        <f>MIN(MAX(0,G6+L8),MAX(0,M8-D6-I8)-Q8-R8)</f>
        <v/>
      </c>
    </row>
    <row r="9">
      <c r="A9" s="239" t="n">
        <v>46308</v>
      </c>
      <c r="B9" s="240" t="inlineStr">
        <is>
          <t>화</t>
        </is>
      </c>
      <c r="C9" s="299">
        <f>SUM(D9:G9)</f>
        <v/>
      </c>
      <c r="D9" s="312">
        <f>D8+I9-M9+Q9+R9+S9</f>
        <v/>
      </c>
      <c r="E9" s="312">
        <f>E8+J9-Q9</f>
        <v/>
      </c>
      <c r="F9" s="312">
        <f>F8+K9-R9</f>
        <v/>
      </c>
      <c r="G9" s="312">
        <f>G8+L9-S9</f>
        <v/>
      </c>
      <c r="H9" s="307">
        <f>'4주일별계획'!G9+'4주일별계획'!L9</f>
        <v/>
      </c>
      <c r="I9" s="307">
        <f>H9*0.437023</f>
        <v/>
      </c>
      <c r="J9" s="307">
        <f>H9*0.023161</f>
        <v/>
      </c>
      <c r="K9" s="307">
        <f>H9*0.343671</f>
        <v/>
      </c>
      <c r="L9" s="307">
        <f>H9*0.196145</f>
        <v/>
      </c>
      <c r="M9" s="313">
        <f>'4주일별계획'!M9+'4주일별계획'!N9+'4주일별계획'!O9</f>
        <v/>
      </c>
      <c r="N9" s="314">
        <f>Q9</f>
        <v/>
      </c>
      <c r="O9" s="314">
        <f>R9+S9</f>
        <v/>
      </c>
      <c r="P9" s="244">
        <f>IF(D9&lt;-0.5,"전 계좌 소진 — 부족 "&amp;TEXT(-D9,"#,##0")&amp;"원","")</f>
        <v/>
      </c>
      <c r="Q9" s="315">
        <f>MIN(MAX(0,E8+J9),MAX(0,M9-D8-I9))</f>
        <v/>
      </c>
      <c r="R9" s="315">
        <f>MIN(MAX(0,F8+K9),MAX(0,M9-D8-I9)-Q9)</f>
        <v/>
      </c>
      <c r="S9" s="315">
        <f>MIN(MAX(0,G8+L9),MAX(0,M9-D8-I9)-Q9-R9)</f>
        <v/>
      </c>
    </row>
    <row r="10">
      <c r="A10" s="239" t="n">
        <v>46309</v>
      </c>
      <c r="B10" s="240" t="inlineStr">
        <is>
          <t>수</t>
        </is>
      </c>
      <c r="C10" s="299">
        <f>SUM(D10:G10)</f>
        <v/>
      </c>
      <c r="D10" s="312">
        <f>D9+I10-M10+Q10+R10+S10</f>
        <v/>
      </c>
      <c r="E10" s="312">
        <f>E9+J10-Q10</f>
        <v/>
      </c>
      <c r="F10" s="312">
        <f>F9+K10-R10</f>
        <v/>
      </c>
      <c r="G10" s="312">
        <f>G9+L10-S10</f>
        <v/>
      </c>
      <c r="H10" s="307">
        <f>'4주일별계획'!G10+'4주일별계획'!L10</f>
        <v/>
      </c>
      <c r="I10" s="307">
        <f>H10*0.437023</f>
        <v/>
      </c>
      <c r="J10" s="307">
        <f>H10*0.023161</f>
        <v/>
      </c>
      <c r="K10" s="307">
        <f>H10*0.343671</f>
        <v/>
      </c>
      <c r="L10" s="307">
        <f>H10*0.196145</f>
        <v/>
      </c>
      <c r="M10" s="313">
        <f>'4주일별계획'!M10+'4주일별계획'!N10+'4주일별계획'!O10</f>
        <v/>
      </c>
      <c r="N10" s="314">
        <f>Q10</f>
        <v/>
      </c>
      <c r="O10" s="314">
        <f>R10+S10</f>
        <v/>
      </c>
      <c r="P10" s="244">
        <f>IF(D10&lt;-0.5,"전 계좌 소진 — 부족 "&amp;TEXT(-D10,"#,##0")&amp;"원","")</f>
        <v/>
      </c>
      <c r="Q10" s="315">
        <f>MIN(MAX(0,E9+J10),MAX(0,M10-D9-I10))</f>
        <v/>
      </c>
      <c r="R10" s="315">
        <f>MIN(MAX(0,F9+K10),MAX(0,M10-D9-I10)-Q10)</f>
        <v/>
      </c>
      <c r="S10" s="315">
        <f>MIN(MAX(0,G9+L10),MAX(0,M10-D9-I10)-Q10-R10)</f>
        <v/>
      </c>
    </row>
    <row r="11">
      <c r="A11" s="239" t="n">
        <v>46310</v>
      </c>
      <c r="B11" s="240" t="inlineStr">
        <is>
          <t>목</t>
        </is>
      </c>
      <c r="C11" s="299">
        <f>SUM(D11:G11)</f>
        <v/>
      </c>
      <c r="D11" s="312">
        <f>D10+I11-M11+Q11+R11+S11</f>
        <v/>
      </c>
      <c r="E11" s="312">
        <f>E10+J11-Q11</f>
        <v/>
      </c>
      <c r="F11" s="312">
        <f>F10+K11-R11</f>
        <v/>
      </c>
      <c r="G11" s="312">
        <f>G10+L11-S11</f>
        <v/>
      </c>
      <c r="H11" s="307">
        <f>'4주일별계획'!G11+'4주일별계획'!L11</f>
        <v/>
      </c>
      <c r="I11" s="307">
        <f>H11*0.437023</f>
        <v/>
      </c>
      <c r="J11" s="307">
        <f>H11*0.023161</f>
        <v/>
      </c>
      <c r="K11" s="307">
        <f>H11*0.343671</f>
        <v/>
      </c>
      <c r="L11" s="307">
        <f>H11*0.196145</f>
        <v/>
      </c>
      <c r="M11" s="313">
        <f>'4주일별계획'!M11+'4주일별계획'!N11+'4주일별계획'!O11</f>
        <v/>
      </c>
      <c r="N11" s="314">
        <f>Q11</f>
        <v/>
      </c>
      <c r="O11" s="314">
        <f>R11+S11</f>
        <v/>
      </c>
      <c r="P11" s="244">
        <f>IF(D11&lt;-0.5,"전 계좌 소진 — 부족 "&amp;TEXT(-D11,"#,##0")&amp;"원","")</f>
        <v/>
      </c>
      <c r="Q11" s="315">
        <f>MIN(MAX(0,E10+J11),MAX(0,M11-D10-I11))</f>
        <v/>
      </c>
      <c r="R11" s="315">
        <f>MIN(MAX(0,F10+K11),MAX(0,M11-D10-I11)-Q11)</f>
        <v/>
      </c>
      <c r="S11" s="315">
        <f>MIN(MAX(0,G10+L11),MAX(0,M11-D10-I11)-Q11-R11)</f>
        <v/>
      </c>
    </row>
    <row r="12">
      <c r="A12" s="239" t="n">
        <v>46311</v>
      </c>
      <c r="B12" s="240" t="inlineStr">
        <is>
          <t>금</t>
        </is>
      </c>
      <c r="C12" s="299">
        <f>SUM(D12:G12)</f>
        <v/>
      </c>
      <c r="D12" s="312">
        <f>D11+I12-M12+Q12+R12+S12</f>
        <v/>
      </c>
      <c r="E12" s="312">
        <f>E11+J12-Q12</f>
        <v/>
      </c>
      <c r="F12" s="312">
        <f>F11+K12-R12</f>
        <v/>
      </c>
      <c r="G12" s="312">
        <f>G11+L12-S12</f>
        <v/>
      </c>
      <c r="H12" s="307">
        <f>'4주일별계획'!G12+'4주일별계획'!L12</f>
        <v/>
      </c>
      <c r="I12" s="307">
        <f>H12*0.437023</f>
        <v/>
      </c>
      <c r="J12" s="307">
        <f>H12*0.023161</f>
        <v/>
      </c>
      <c r="K12" s="307">
        <f>H12*0.343671</f>
        <v/>
      </c>
      <c r="L12" s="307">
        <f>H12*0.196145</f>
        <v/>
      </c>
      <c r="M12" s="313">
        <f>'4주일별계획'!M12+'4주일별계획'!N12+'4주일별계획'!O12</f>
        <v/>
      </c>
      <c r="N12" s="314">
        <f>Q12</f>
        <v/>
      </c>
      <c r="O12" s="314">
        <f>R12+S12</f>
        <v/>
      </c>
      <c r="P12" s="244">
        <f>IF(D12&lt;-0.5,"전 계좌 소진 — 부족 "&amp;TEXT(-D12,"#,##0")&amp;"원","")</f>
        <v/>
      </c>
      <c r="Q12" s="315">
        <f>MIN(MAX(0,E11+J12),MAX(0,M12-D11-I12))</f>
        <v/>
      </c>
      <c r="R12" s="315">
        <f>MIN(MAX(0,F11+K12),MAX(0,M12-D11-I12)-Q12)</f>
        <v/>
      </c>
      <c r="S12" s="315">
        <f>MIN(MAX(0,G11+L12),MAX(0,M12-D11-I12)-Q12-R12)</f>
        <v/>
      </c>
    </row>
    <row r="13">
      <c r="A13" s="222" t="n">
        <v>46312</v>
      </c>
      <c r="B13" s="212" t="inlineStr">
        <is>
          <t>토</t>
        </is>
      </c>
      <c r="C13" s="299">
        <f>SUM(D13:G13)</f>
        <v/>
      </c>
      <c r="D13" s="312">
        <f>D12+I13-M13+Q13+R13+S13</f>
        <v/>
      </c>
      <c r="E13" s="312">
        <f>E12+J13-Q13</f>
        <v/>
      </c>
      <c r="F13" s="312">
        <f>F12+K13-R13</f>
        <v/>
      </c>
      <c r="G13" s="312">
        <f>G12+L13-S13</f>
        <v/>
      </c>
      <c r="H13" s="307">
        <f>'4주일별계획'!G13+'4주일별계획'!L13</f>
        <v/>
      </c>
      <c r="I13" s="307">
        <f>H13*0.437023</f>
        <v/>
      </c>
      <c r="J13" s="307">
        <f>H13*0.023161</f>
        <v/>
      </c>
      <c r="K13" s="307">
        <f>H13*0.343671</f>
        <v/>
      </c>
      <c r="L13" s="307">
        <f>H13*0.196145</f>
        <v/>
      </c>
      <c r="M13" s="313">
        <f>'4주일별계획'!M13+'4주일별계획'!N13+'4주일별계획'!O13</f>
        <v/>
      </c>
      <c r="N13" s="314">
        <f>Q13</f>
        <v/>
      </c>
      <c r="O13" s="314">
        <f>R13+S13</f>
        <v/>
      </c>
      <c r="P13" s="244">
        <f>IF(D13&lt;-0.5,"전 계좌 소진 — 부족 "&amp;TEXT(-D13,"#,##0")&amp;"원","")</f>
        <v/>
      </c>
      <c r="Q13" s="315">
        <f>MIN(MAX(0,E12+J13),MAX(0,M13-D12-I13))</f>
        <v/>
      </c>
      <c r="R13" s="315">
        <f>MIN(MAX(0,F12+K13),MAX(0,M13-D12-I13)-Q13)</f>
        <v/>
      </c>
      <c r="S13" s="315">
        <f>MIN(MAX(0,G12+L13),MAX(0,M13-D12-I13)-Q13-R13)</f>
        <v/>
      </c>
    </row>
    <row r="14">
      <c r="A14" s="222" t="n">
        <v>46313</v>
      </c>
      <c r="B14" s="212" t="inlineStr">
        <is>
          <t>일</t>
        </is>
      </c>
      <c r="C14" s="299">
        <f>SUM(D14:G14)</f>
        <v/>
      </c>
      <c r="D14" s="312">
        <f>D13+I14-M14+Q14+R14+S14</f>
        <v/>
      </c>
      <c r="E14" s="312">
        <f>E13+J14-Q14</f>
        <v/>
      </c>
      <c r="F14" s="312">
        <f>F13+K14-R14</f>
        <v/>
      </c>
      <c r="G14" s="312">
        <f>G13+L14-S14</f>
        <v/>
      </c>
      <c r="H14" s="307">
        <f>'4주일별계획'!G14+'4주일별계획'!L14</f>
        <v/>
      </c>
      <c r="I14" s="307">
        <f>H14*0.437023</f>
        <v/>
      </c>
      <c r="J14" s="307">
        <f>H14*0.023161</f>
        <v/>
      </c>
      <c r="K14" s="307">
        <f>H14*0.343671</f>
        <v/>
      </c>
      <c r="L14" s="307">
        <f>H14*0.196145</f>
        <v/>
      </c>
      <c r="M14" s="313">
        <f>'4주일별계획'!M14+'4주일별계획'!N14+'4주일별계획'!O14</f>
        <v/>
      </c>
      <c r="N14" s="314">
        <f>Q14</f>
        <v/>
      </c>
      <c r="O14" s="314">
        <f>R14+S14</f>
        <v/>
      </c>
      <c r="P14" s="244">
        <f>IF(D14&lt;-0.5,"전 계좌 소진 — 부족 "&amp;TEXT(-D14,"#,##0")&amp;"원","")</f>
        <v/>
      </c>
      <c r="Q14" s="315">
        <f>MIN(MAX(0,E13+J14),MAX(0,M14-D13-I14))</f>
        <v/>
      </c>
      <c r="R14" s="315">
        <f>MIN(MAX(0,F13+K14),MAX(0,M14-D13-I14)-Q14)</f>
        <v/>
      </c>
      <c r="S14" s="315">
        <f>MIN(MAX(0,G13+L14),MAX(0,M14-D13-I14)-Q14-R14)</f>
        <v/>
      </c>
    </row>
    <row r="15">
      <c r="A15" s="239" t="n">
        <v>46314</v>
      </c>
      <c r="B15" s="240" t="inlineStr">
        <is>
          <t>월</t>
        </is>
      </c>
      <c r="C15" s="299">
        <f>SUM(D15:G15)</f>
        <v/>
      </c>
      <c r="D15" s="312">
        <f>D14+I15-M15+Q15+R15+S15</f>
        <v/>
      </c>
      <c r="E15" s="312">
        <f>E14+J15-Q15</f>
        <v/>
      </c>
      <c r="F15" s="312">
        <f>F14+K15-R15</f>
        <v/>
      </c>
      <c r="G15" s="312">
        <f>G14+L15-S15</f>
        <v/>
      </c>
      <c r="H15" s="307">
        <f>'4주일별계획'!G15+'4주일별계획'!L15</f>
        <v/>
      </c>
      <c r="I15" s="307">
        <f>H15*0.437023</f>
        <v/>
      </c>
      <c r="J15" s="307">
        <f>H15*0.023161</f>
        <v/>
      </c>
      <c r="K15" s="307">
        <f>H15*0.343671</f>
        <v/>
      </c>
      <c r="L15" s="307">
        <f>H15*0.196145</f>
        <v/>
      </c>
      <c r="M15" s="313">
        <f>'4주일별계획'!M15+'4주일별계획'!N15+'4주일별계획'!O15</f>
        <v/>
      </c>
      <c r="N15" s="314">
        <f>Q15</f>
        <v/>
      </c>
      <c r="O15" s="314">
        <f>R15+S15</f>
        <v/>
      </c>
      <c r="P15" s="244">
        <f>IF(D15&lt;-0.5,"전 계좌 소진 — 부족 "&amp;TEXT(-D15,"#,##0")&amp;"원","")</f>
        <v/>
      </c>
      <c r="Q15" s="315">
        <f>MIN(MAX(0,E14+J15),MAX(0,M15-D14-I15))</f>
        <v/>
      </c>
      <c r="R15" s="315">
        <f>MIN(MAX(0,F14+K15),MAX(0,M15-D14-I15)-Q15)</f>
        <v/>
      </c>
      <c r="S15" s="315">
        <f>MIN(MAX(0,G14+L15),MAX(0,M15-D14-I15)-Q15-R15)</f>
        <v/>
      </c>
    </row>
    <row r="16">
      <c r="A16" s="239" t="n">
        <v>46315</v>
      </c>
      <c r="B16" s="240" t="inlineStr">
        <is>
          <t>화</t>
        </is>
      </c>
      <c r="C16" s="299">
        <f>SUM(D16:G16)</f>
        <v/>
      </c>
      <c r="D16" s="312">
        <f>D15+I16-M16+Q16+R16+S16</f>
        <v/>
      </c>
      <c r="E16" s="312">
        <f>E15+J16-Q16</f>
        <v/>
      </c>
      <c r="F16" s="312">
        <f>F15+K16-R16</f>
        <v/>
      </c>
      <c r="G16" s="312">
        <f>G15+L16-S16</f>
        <v/>
      </c>
      <c r="H16" s="307">
        <f>'4주일별계획'!G16+'4주일별계획'!L16</f>
        <v/>
      </c>
      <c r="I16" s="307">
        <f>H16*0.437023</f>
        <v/>
      </c>
      <c r="J16" s="307">
        <f>H16*0.023161</f>
        <v/>
      </c>
      <c r="K16" s="307">
        <f>H16*0.343671</f>
        <v/>
      </c>
      <c r="L16" s="307">
        <f>H16*0.196145</f>
        <v/>
      </c>
      <c r="M16" s="313">
        <f>'4주일별계획'!M16+'4주일별계획'!N16+'4주일별계획'!O16</f>
        <v/>
      </c>
      <c r="N16" s="314">
        <f>Q16</f>
        <v/>
      </c>
      <c r="O16" s="314">
        <f>R16+S16</f>
        <v/>
      </c>
      <c r="P16" s="244">
        <f>IF(D16&lt;-0.5,"전 계좌 소진 — 부족 "&amp;TEXT(-D16,"#,##0")&amp;"원","")</f>
        <v/>
      </c>
      <c r="Q16" s="315">
        <f>MIN(MAX(0,E15+J16),MAX(0,M16-D15-I16))</f>
        <v/>
      </c>
      <c r="R16" s="315">
        <f>MIN(MAX(0,F15+K16),MAX(0,M16-D15-I16)-Q16)</f>
        <v/>
      </c>
      <c r="S16" s="315">
        <f>MIN(MAX(0,G15+L16),MAX(0,M16-D15-I16)-Q16-R16)</f>
        <v/>
      </c>
    </row>
    <row r="17">
      <c r="A17" s="239" t="n">
        <v>46316</v>
      </c>
      <c r="B17" s="240" t="inlineStr">
        <is>
          <t>수</t>
        </is>
      </c>
      <c r="C17" s="299">
        <f>SUM(D17:G17)</f>
        <v/>
      </c>
      <c r="D17" s="312">
        <f>D16+I17-M17+Q17+R17+S17</f>
        <v/>
      </c>
      <c r="E17" s="312">
        <f>E16+J17-Q17</f>
        <v/>
      </c>
      <c r="F17" s="312">
        <f>F16+K17-R17</f>
        <v/>
      </c>
      <c r="G17" s="312">
        <f>G16+L17-S17</f>
        <v/>
      </c>
      <c r="H17" s="307">
        <f>'4주일별계획'!G17+'4주일별계획'!L17</f>
        <v/>
      </c>
      <c r="I17" s="307">
        <f>H17*0.437023</f>
        <v/>
      </c>
      <c r="J17" s="307">
        <f>H17*0.023161</f>
        <v/>
      </c>
      <c r="K17" s="307">
        <f>H17*0.343671</f>
        <v/>
      </c>
      <c r="L17" s="307">
        <f>H17*0.196145</f>
        <v/>
      </c>
      <c r="M17" s="313">
        <f>'4주일별계획'!M17+'4주일별계획'!N17+'4주일별계획'!O17</f>
        <v/>
      </c>
      <c r="N17" s="314">
        <f>Q17</f>
        <v/>
      </c>
      <c r="O17" s="314">
        <f>R17+S17</f>
        <v/>
      </c>
      <c r="P17" s="244">
        <f>IF(D17&lt;-0.5,"전 계좌 소진 — 부족 "&amp;TEXT(-D17,"#,##0")&amp;"원","")</f>
        <v/>
      </c>
      <c r="Q17" s="315">
        <f>MIN(MAX(0,E16+J17),MAX(0,M17-D16-I17))</f>
        <v/>
      </c>
      <c r="R17" s="315">
        <f>MIN(MAX(0,F16+K17),MAX(0,M17-D16-I17)-Q17)</f>
        <v/>
      </c>
      <c r="S17" s="315">
        <f>MIN(MAX(0,G16+L17),MAX(0,M17-D16-I17)-Q17-R17)</f>
        <v/>
      </c>
    </row>
    <row r="18">
      <c r="A18" s="239" t="n">
        <v>46317</v>
      </c>
      <c r="B18" s="240" t="inlineStr">
        <is>
          <t>목</t>
        </is>
      </c>
      <c r="C18" s="299">
        <f>SUM(D18:G18)</f>
        <v/>
      </c>
      <c r="D18" s="312">
        <f>D17+I18-M18+Q18+R18+S18</f>
        <v/>
      </c>
      <c r="E18" s="312">
        <f>E17+J18-Q18</f>
        <v/>
      </c>
      <c r="F18" s="312">
        <f>F17+K18-R18</f>
        <v/>
      </c>
      <c r="G18" s="312">
        <f>G17+L18-S18</f>
        <v/>
      </c>
      <c r="H18" s="307">
        <f>'4주일별계획'!G18+'4주일별계획'!L18</f>
        <v/>
      </c>
      <c r="I18" s="307">
        <f>H18*0.437023</f>
        <v/>
      </c>
      <c r="J18" s="307">
        <f>H18*0.023161</f>
        <v/>
      </c>
      <c r="K18" s="307">
        <f>H18*0.343671</f>
        <v/>
      </c>
      <c r="L18" s="307">
        <f>H18*0.196145</f>
        <v/>
      </c>
      <c r="M18" s="313">
        <f>'4주일별계획'!M18+'4주일별계획'!N18+'4주일별계획'!O18</f>
        <v/>
      </c>
      <c r="N18" s="314">
        <f>Q18</f>
        <v/>
      </c>
      <c r="O18" s="314">
        <f>R18+S18</f>
        <v/>
      </c>
      <c r="P18" s="244">
        <f>IF(D18&lt;-0.5,"전 계좌 소진 — 부족 "&amp;TEXT(-D18,"#,##0")&amp;"원","")</f>
        <v/>
      </c>
      <c r="Q18" s="315">
        <f>MIN(MAX(0,E17+J18),MAX(0,M18-D17-I18))</f>
        <v/>
      </c>
      <c r="R18" s="315">
        <f>MIN(MAX(0,F17+K18),MAX(0,M18-D17-I18)-Q18)</f>
        <v/>
      </c>
      <c r="S18" s="315">
        <f>MIN(MAX(0,G17+L18),MAX(0,M18-D17-I18)-Q18-R18)</f>
        <v/>
      </c>
    </row>
    <row r="19">
      <c r="A19" s="239" t="n">
        <v>46318</v>
      </c>
      <c r="B19" s="240" t="inlineStr">
        <is>
          <t>금</t>
        </is>
      </c>
      <c r="C19" s="299">
        <f>SUM(D19:G19)</f>
        <v/>
      </c>
      <c r="D19" s="312">
        <f>D18+I19-M19+Q19+R19+S19</f>
        <v/>
      </c>
      <c r="E19" s="312">
        <f>E18+J19-Q19</f>
        <v/>
      </c>
      <c r="F19" s="312">
        <f>F18+K19-R19</f>
        <v/>
      </c>
      <c r="G19" s="312">
        <f>G18+L19-S19</f>
        <v/>
      </c>
      <c r="H19" s="307">
        <f>'4주일별계획'!G19+'4주일별계획'!L19</f>
        <v/>
      </c>
      <c r="I19" s="307">
        <f>H19*0.437023</f>
        <v/>
      </c>
      <c r="J19" s="307">
        <f>H19*0.023161</f>
        <v/>
      </c>
      <c r="K19" s="307">
        <f>H19*0.343671</f>
        <v/>
      </c>
      <c r="L19" s="307">
        <f>H19*0.196145</f>
        <v/>
      </c>
      <c r="M19" s="313">
        <f>'4주일별계획'!M19+'4주일별계획'!N19+'4주일별계획'!O19</f>
        <v/>
      </c>
      <c r="N19" s="314">
        <f>Q19</f>
        <v/>
      </c>
      <c r="O19" s="314">
        <f>R19+S19</f>
        <v/>
      </c>
      <c r="P19" s="244">
        <f>IF(D19&lt;-0.5,"전 계좌 소진 — 부족 "&amp;TEXT(-D19,"#,##0")&amp;"원","")</f>
        <v/>
      </c>
      <c r="Q19" s="315">
        <f>MIN(MAX(0,E18+J19),MAX(0,M19-D18-I19))</f>
        <v/>
      </c>
      <c r="R19" s="315">
        <f>MIN(MAX(0,F18+K19),MAX(0,M19-D18-I19)-Q19)</f>
        <v/>
      </c>
      <c r="S19" s="315">
        <f>MIN(MAX(0,G18+L19),MAX(0,M19-D18-I19)-Q19-R19)</f>
        <v/>
      </c>
    </row>
    <row r="20">
      <c r="A20" s="222" t="n">
        <v>46319</v>
      </c>
      <c r="B20" s="212" t="inlineStr">
        <is>
          <t>토</t>
        </is>
      </c>
      <c r="C20" s="299">
        <f>SUM(D20:G20)</f>
        <v/>
      </c>
      <c r="D20" s="312">
        <f>D19+I20-M20+Q20+R20+S20</f>
        <v/>
      </c>
      <c r="E20" s="312">
        <f>E19+J20-Q20</f>
        <v/>
      </c>
      <c r="F20" s="312">
        <f>F19+K20-R20</f>
        <v/>
      </c>
      <c r="G20" s="312">
        <f>G19+L20-S20</f>
        <v/>
      </c>
      <c r="H20" s="307">
        <f>'4주일별계획'!G20+'4주일별계획'!L20</f>
        <v/>
      </c>
      <c r="I20" s="307">
        <f>H20*0.437023</f>
        <v/>
      </c>
      <c r="J20" s="307">
        <f>H20*0.023161</f>
        <v/>
      </c>
      <c r="K20" s="307">
        <f>H20*0.343671</f>
        <v/>
      </c>
      <c r="L20" s="307">
        <f>H20*0.196145</f>
        <v/>
      </c>
      <c r="M20" s="313">
        <f>'4주일별계획'!M20+'4주일별계획'!N20+'4주일별계획'!O20</f>
        <v/>
      </c>
      <c r="N20" s="314">
        <f>Q20</f>
        <v/>
      </c>
      <c r="O20" s="314">
        <f>R20+S20</f>
        <v/>
      </c>
      <c r="P20" s="244">
        <f>IF(D20&lt;-0.5,"전 계좌 소진 — 부족 "&amp;TEXT(-D20,"#,##0")&amp;"원","")</f>
        <v/>
      </c>
      <c r="Q20" s="315">
        <f>MIN(MAX(0,E19+J20),MAX(0,M20-D19-I20))</f>
        <v/>
      </c>
      <c r="R20" s="315">
        <f>MIN(MAX(0,F19+K20),MAX(0,M20-D19-I20)-Q20)</f>
        <v/>
      </c>
      <c r="S20" s="315">
        <f>MIN(MAX(0,G19+L20),MAX(0,M20-D19-I20)-Q20-R20)</f>
        <v/>
      </c>
    </row>
    <row r="21">
      <c r="A21" s="222" t="n">
        <v>46320</v>
      </c>
      <c r="B21" s="212" t="inlineStr">
        <is>
          <t>일</t>
        </is>
      </c>
      <c r="C21" s="299">
        <f>SUM(D21:G21)</f>
        <v/>
      </c>
      <c r="D21" s="312">
        <f>D20+I21-M21+Q21+R21+S21</f>
        <v/>
      </c>
      <c r="E21" s="312">
        <f>E20+J21-Q21</f>
        <v/>
      </c>
      <c r="F21" s="312">
        <f>F20+K21-R21</f>
        <v/>
      </c>
      <c r="G21" s="312">
        <f>G20+L21-S21</f>
        <v/>
      </c>
      <c r="H21" s="307">
        <f>'4주일별계획'!G21+'4주일별계획'!L21</f>
        <v/>
      </c>
      <c r="I21" s="307">
        <f>H21*0.437023</f>
        <v/>
      </c>
      <c r="J21" s="307">
        <f>H21*0.023161</f>
        <v/>
      </c>
      <c r="K21" s="307">
        <f>H21*0.343671</f>
        <v/>
      </c>
      <c r="L21" s="307">
        <f>H21*0.196145</f>
        <v/>
      </c>
      <c r="M21" s="313">
        <f>'4주일별계획'!M21+'4주일별계획'!N21+'4주일별계획'!O21</f>
        <v/>
      </c>
      <c r="N21" s="314">
        <f>Q21</f>
        <v/>
      </c>
      <c r="O21" s="314">
        <f>R21+S21</f>
        <v/>
      </c>
      <c r="P21" s="244">
        <f>IF(D21&lt;-0.5,"전 계좌 소진 — 부족 "&amp;TEXT(-D21,"#,##0")&amp;"원","")</f>
        <v/>
      </c>
      <c r="Q21" s="315">
        <f>MIN(MAX(0,E20+J21),MAX(0,M21-D20-I21))</f>
        <v/>
      </c>
      <c r="R21" s="315">
        <f>MIN(MAX(0,F20+K21),MAX(0,M21-D20-I21)-Q21)</f>
        <v/>
      </c>
      <c r="S21" s="315">
        <f>MIN(MAX(0,G20+L21),MAX(0,M21-D20-I21)-Q21-R21)</f>
        <v/>
      </c>
    </row>
    <row r="22">
      <c r="A22" s="239" t="n">
        <v>46321</v>
      </c>
      <c r="B22" s="240" t="inlineStr">
        <is>
          <t>월</t>
        </is>
      </c>
      <c r="C22" s="299">
        <f>SUM(D22:G22)</f>
        <v/>
      </c>
      <c r="D22" s="312">
        <f>D21+I22-M22+Q22+R22+S22</f>
        <v/>
      </c>
      <c r="E22" s="312">
        <f>E21+J22-Q22</f>
        <v/>
      </c>
      <c r="F22" s="312">
        <f>F21+K22-R22</f>
        <v/>
      </c>
      <c r="G22" s="312">
        <f>G21+L22-S22</f>
        <v/>
      </c>
      <c r="H22" s="307">
        <f>'4주일별계획'!G22+'4주일별계획'!L22</f>
        <v/>
      </c>
      <c r="I22" s="307">
        <f>H22*0.437023</f>
        <v/>
      </c>
      <c r="J22" s="307">
        <f>H22*0.023161</f>
        <v/>
      </c>
      <c r="K22" s="307">
        <f>H22*0.343671</f>
        <v/>
      </c>
      <c r="L22" s="307">
        <f>H22*0.196145</f>
        <v/>
      </c>
      <c r="M22" s="313">
        <f>'4주일별계획'!M22+'4주일별계획'!N22+'4주일별계획'!O22</f>
        <v/>
      </c>
      <c r="N22" s="314">
        <f>Q22</f>
        <v/>
      </c>
      <c r="O22" s="314">
        <f>R22+S22</f>
        <v/>
      </c>
      <c r="P22" s="244">
        <f>IF(D22&lt;-0.5,"전 계좌 소진 — 부족 "&amp;TEXT(-D22,"#,##0")&amp;"원","")</f>
        <v/>
      </c>
      <c r="Q22" s="315">
        <f>MIN(MAX(0,E21+J22),MAX(0,M22-D21-I22))</f>
        <v/>
      </c>
      <c r="R22" s="315">
        <f>MIN(MAX(0,F21+K22),MAX(0,M22-D21-I22)-Q22)</f>
        <v/>
      </c>
      <c r="S22" s="315">
        <f>MIN(MAX(0,G21+L22),MAX(0,M22-D21-I22)-Q22-R22)</f>
        <v/>
      </c>
    </row>
    <row r="23">
      <c r="A23" s="239" t="n">
        <v>46322</v>
      </c>
      <c r="B23" s="240" t="inlineStr">
        <is>
          <t>화</t>
        </is>
      </c>
      <c r="C23" s="299">
        <f>SUM(D23:G23)</f>
        <v/>
      </c>
      <c r="D23" s="312">
        <f>D22+I23-M23+Q23+R23+S23</f>
        <v/>
      </c>
      <c r="E23" s="312">
        <f>E22+J23-Q23</f>
        <v/>
      </c>
      <c r="F23" s="312">
        <f>F22+K23-R23</f>
        <v/>
      </c>
      <c r="G23" s="312">
        <f>G22+L23-S23</f>
        <v/>
      </c>
      <c r="H23" s="307">
        <f>'4주일별계획'!G23+'4주일별계획'!L23</f>
        <v/>
      </c>
      <c r="I23" s="307">
        <f>H23*0.437023</f>
        <v/>
      </c>
      <c r="J23" s="307">
        <f>H23*0.023161</f>
        <v/>
      </c>
      <c r="K23" s="307">
        <f>H23*0.343671</f>
        <v/>
      </c>
      <c r="L23" s="307">
        <f>H23*0.196145</f>
        <v/>
      </c>
      <c r="M23" s="313">
        <f>'4주일별계획'!M23+'4주일별계획'!N23+'4주일별계획'!O23</f>
        <v/>
      </c>
      <c r="N23" s="314">
        <f>Q23</f>
        <v/>
      </c>
      <c r="O23" s="314">
        <f>R23+S23</f>
        <v/>
      </c>
      <c r="P23" s="244">
        <f>IF(D23&lt;-0.5,"전 계좌 소진 — 부족 "&amp;TEXT(-D23,"#,##0")&amp;"원","")</f>
        <v/>
      </c>
      <c r="Q23" s="315">
        <f>MIN(MAX(0,E22+J23),MAX(0,M23-D22-I23))</f>
        <v/>
      </c>
      <c r="R23" s="315">
        <f>MIN(MAX(0,F22+K23),MAX(0,M23-D22-I23)-Q23)</f>
        <v/>
      </c>
      <c r="S23" s="315">
        <f>MIN(MAX(0,G22+L23),MAX(0,M23-D22-I23)-Q23-R23)</f>
        <v/>
      </c>
    </row>
    <row r="24">
      <c r="A24" s="239" t="n">
        <v>46323</v>
      </c>
      <c r="B24" s="240" t="inlineStr">
        <is>
          <t>수</t>
        </is>
      </c>
      <c r="C24" s="299">
        <f>SUM(D24:G24)</f>
        <v/>
      </c>
      <c r="D24" s="312">
        <f>D23+I24-M24+Q24+R24+S24</f>
        <v/>
      </c>
      <c r="E24" s="312">
        <f>E23+J24-Q24</f>
        <v/>
      </c>
      <c r="F24" s="312">
        <f>F23+K24-R24</f>
        <v/>
      </c>
      <c r="G24" s="312">
        <f>G23+L24-S24</f>
        <v/>
      </c>
      <c r="H24" s="307">
        <f>'4주일별계획'!G24+'4주일별계획'!L24</f>
        <v/>
      </c>
      <c r="I24" s="307">
        <f>H24*0.437023</f>
        <v/>
      </c>
      <c r="J24" s="307">
        <f>H24*0.023161</f>
        <v/>
      </c>
      <c r="K24" s="307">
        <f>H24*0.343671</f>
        <v/>
      </c>
      <c r="L24" s="307">
        <f>H24*0.196145</f>
        <v/>
      </c>
      <c r="M24" s="313">
        <f>'4주일별계획'!M24+'4주일별계획'!N24+'4주일별계획'!O24</f>
        <v/>
      </c>
      <c r="N24" s="314">
        <f>Q24</f>
        <v/>
      </c>
      <c r="O24" s="314">
        <f>R24+S24</f>
        <v/>
      </c>
      <c r="P24" s="244">
        <f>IF(D24&lt;-0.5,"전 계좌 소진 — 부족 "&amp;TEXT(-D24,"#,##0")&amp;"원","")</f>
        <v/>
      </c>
      <c r="Q24" s="315">
        <f>MIN(MAX(0,E23+J24),MAX(0,M24-D23-I24))</f>
        <v/>
      </c>
      <c r="R24" s="315">
        <f>MIN(MAX(0,F23+K24),MAX(0,M24-D23-I24)-Q24)</f>
        <v/>
      </c>
      <c r="S24" s="315">
        <f>MIN(MAX(0,G23+L24),MAX(0,M24-D23-I24)-Q24-R24)</f>
        <v/>
      </c>
    </row>
    <row r="25">
      <c r="A25" s="239" t="n">
        <v>46324</v>
      </c>
      <c r="B25" s="240" t="inlineStr">
        <is>
          <t>목</t>
        </is>
      </c>
      <c r="C25" s="299">
        <f>SUM(D25:G25)</f>
        <v/>
      </c>
      <c r="D25" s="312">
        <f>D24+I25-M25+Q25+R25+S25</f>
        <v/>
      </c>
      <c r="E25" s="312">
        <f>E24+J25-Q25</f>
        <v/>
      </c>
      <c r="F25" s="312">
        <f>F24+K25-R25</f>
        <v/>
      </c>
      <c r="G25" s="312">
        <f>G24+L25-S25</f>
        <v/>
      </c>
      <c r="H25" s="307">
        <f>'4주일별계획'!G25+'4주일별계획'!L25</f>
        <v/>
      </c>
      <c r="I25" s="307">
        <f>H25*0.437023</f>
        <v/>
      </c>
      <c r="J25" s="307">
        <f>H25*0.023161</f>
        <v/>
      </c>
      <c r="K25" s="307">
        <f>H25*0.343671</f>
        <v/>
      </c>
      <c r="L25" s="307">
        <f>H25*0.196145</f>
        <v/>
      </c>
      <c r="M25" s="313">
        <f>'4주일별계획'!M25+'4주일별계획'!N25+'4주일별계획'!O25</f>
        <v/>
      </c>
      <c r="N25" s="314">
        <f>Q25</f>
        <v/>
      </c>
      <c r="O25" s="314">
        <f>R25+S25</f>
        <v/>
      </c>
      <c r="P25" s="244">
        <f>IF(D25&lt;-0.5,"전 계좌 소진 — 부족 "&amp;TEXT(-D25,"#,##0")&amp;"원","")</f>
        <v/>
      </c>
      <c r="Q25" s="315">
        <f>MIN(MAX(0,E24+J25),MAX(0,M25-D24-I25))</f>
        <v/>
      </c>
      <c r="R25" s="315">
        <f>MIN(MAX(0,F24+K25),MAX(0,M25-D24-I25)-Q25)</f>
        <v/>
      </c>
      <c r="S25" s="315">
        <f>MIN(MAX(0,G24+L25),MAX(0,M25-D24-I25)-Q25-R25)</f>
        <v/>
      </c>
    </row>
    <row r="26">
      <c r="A26" s="239" t="n">
        <v>46325</v>
      </c>
      <c r="B26" s="240" t="inlineStr">
        <is>
          <t>금</t>
        </is>
      </c>
      <c r="C26" s="299">
        <f>SUM(D26:G26)</f>
        <v/>
      </c>
      <c r="D26" s="312">
        <f>D25+I26-M26+Q26+R26+S26</f>
        <v/>
      </c>
      <c r="E26" s="312">
        <f>E25+J26-Q26</f>
        <v/>
      </c>
      <c r="F26" s="312">
        <f>F25+K26-R26</f>
        <v/>
      </c>
      <c r="G26" s="312">
        <f>G25+L26-S26</f>
        <v/>
      </c>
      <c r="H26" s="307">
        <f>'4주일별계획'!G26+'4주일별계획'!L26</f>
        <v/>
      </c>
      <c r="I26" s="307">
        <f>H26*0.437023</f>
        <v/>
      </c>
      <c r="J26" s="307">
        <f>H26*0.023161</f>
        <v/>
      </c>
      <c r="K26" s="307">
        <f>H26*0.343671</f>
        <v/>
      </c>
      <c r="L26" s="307">
        <f>H26*0.196145</f>
        <v/>
      </c>
      <c r="M26" s="313">
        <f>'4주일별계획'!M26+'4주일별계획'!N26+'4주일별계획'!O26</f>
        <v/>
      </c>
      <c r="N26" s="314">
        <f>Q26</f>
        <v/>
      </c>
      <c r="O26" s="314">
        <f>R26+S26</f>
        <v/>
      </c>
      <c r="P26" s="244">
        <f>IF(D26&lt;-0.5,"전 계좌 소진 — 부족 "&amp;TEXT(-D26,"#,##0")&amp;"원","")</f>
        <v/>
      </c>
      <c r="Q26" s="315">
        <f>MIN(MAX(0,E25+J26),MAX(0,M26-D25-I26))</f>
        <v/>
      </c>
      <c r="R26" s="315">
        <f>MIN(MAX(0,F25+K26),MAX(0,M26-D25-I26)-Q26)</f>
        <v/>
      </c>
      <c r="S26" s="315">
        <f>MIN(MAX(0,G25+L26),MAX(0,M26-D25-I26)-Q26-R26)</f>
        <v/>
      </c>
    </row>
    <row r="27">
      <c r="A27" s="222" t="n">
        <v>46326</v>
      </c>
      <c r="B27" s="212" t="inlineStr">
        <is>
          <t>토</t>
        </is>
      </c>
      <c r="C27" s="299">
        <f>SUM(D27:G27)</f>
        <v/>
      </c>
      <c r="D27" s="312">
        <f>D26+I27-M27+Q27+R27+S27</f>
        <v/>
      </c>
      <c r="E27" s="312">
        <f>E26+J27-Q27</f>
        <v/>
      </c>
      <c r="F27" s="312">
        <f>F26+K27-R27</f>
        <v/>
      </c>
      <c r="G27" s="312">
        <f>G26+L27-S27</f>
        <v/>
      </c>
      <c r="H27" s="307">
        <f>'4주일별계획'!G27+'4주일별계획'!L27</f>
        <v/>
      </c>
      <c r="I27" s="307">
        <f>H27*0.437023</f>
        <v/>
      </c>
      <c r="J27" s="307">
        <f>H27*0.023161</f>
        <v/>
      </c>
      <c r="K27" s="307">
        <f>H27*0.343671</f>
        <v/>
      </c>
      <c r="L27" s="307">
        <f>H27*0.196145</f>
        <v/>
      </c>
      <c r="M27" s="313">
        <f>'4주일별계획'!M27+'4주일별계획'!N27+'4주일별계획'!O27</f>
        <v/>
      </c>
      <c r="N27" s="314">
        <f>Q27</f>
        <v/>
      </c>
      <c r="O27" s="314">
        <f>R27+S27</f>
        <v/>
      </c>
      <c r="P27" s="244">
        <f>IF(D27&lt;-0.5,"전 계좌 소진 — 부족 "&amp;TEXT(-D27,"#,##0")&amp;"원","")</f>
        <v/>
      </c>
      <c r="Q27" s="315">
        <f>MIN(MAX(0,E26+J27),MAX(0,M27-D26-I27))</f>
        <v/>
      </c>
      <c r="R27" s="315">
        <f>MIN(MAX(0,F26+K27),MAX(0,M27-D26-I27)-Q27)</f>
        <v/>
      </c>
      <c r="S27" s="315">
        <f>MIN(MAX(0,G26+L27),MAX(0,M27-D26-I27)-Q27-R27)</f>
        <v/>
      </c>
    </row>
    <row r="28">
      <c r="A28" s="222" t="n">
        <v>46327</v>
      </c>
      <c r="B28" s="212" t="inlineStr">
        <is>
          <t>일</t>
        </is>
      </c>
      <c r="C28" s="299">
        <f>SUM(D28:G28)</f>
        <v/>
      </c>
      <c r="D28" s="312">
        <f>D27+I28-M28+Q28+R28+S28</f>
        <v/>
      </c>
      <c r="E28" s="312">
        <f>E27+J28-Q28</f>
        <v/>
      </c>
      <c r="F28" s="312">
        <f>F27+K28-R28</f>
        <v/>
      </c>
      <c r="G28" s="312">
        <f>G27+L28-S28</f>
        <v/>
      </c>
      <c r="H28" s="307">
        <f>'4주일별계획'!G28+'4주일별계획'!L28</f>
        <v/>
      </c>
      <c r="I28" s="307">
        <f>H28*0.437023</f>
        <v/>
      </c>
      <c r="J28" s="307">
        <f>H28*0.023161</f>
        <v/>
      </c>
      <c r="K28" s="307">
        <f>H28*0.343671</f>
        <v/>
      </c>
      <c r="L28" s="307">
        <f>H28*0.196145</f>
        <v/>
      </c>
      <c r="M28" s="313">
        <f>'4주일별계획'!M28+'4주일별계획'!N28+'4주일별계획'!O28</f>
        <v/>
      </c>
      <c r="N28" s="314">
        <f>Q28</f>
        <v/>
      </c>
      <c r="O28" s="314">
        <f>R28+S28</f>
        <v/>
      </c>
      <c r="P28" s="244">
        <f>IF(D28&lt;-0.5,"전 계좌 소진 — 부족 "&amp;TEXT(-D28,"#,##0")&amp;"원","")</f>
        <v/>
      </c>
      <c r="Q28" s="315">
        <f>MIN(MAX(0,E27+J28),MAX(0,M28-D27-I28))</f>
        <v/>
      </c>
      <c r="R28" s="315">
        <f>MIN(MAX(0,F27+K28),MAX(0,M28-D27-I28)-Q28)</f>
        <v/>
      </c>
      <c r="S28" s="315">
        <f>MIN(MAX(0,G27+L28),MAX(0,M28-D27-I28)-Q28-R28)</f>
        <v/>
      </c>
    </row>
    <row r="29">
      <c r="A29" s="239" t="n">
        <v>46328</v>
      </c>
      <c r="B29" s="240" t="inlineStr">
        <is>
          <t>월</t>
        </is>
      </c>
      <c r="C29" s="299">
        <f>SUM(D29:G29)</f>
        <v/>
      </c>
      <c r="D29" s="312">
        <f>D28+I29-M29+Q29+R29+S29</f>
        <v/>
      </c>
      <c r="E29" s="312">
        <f>E28+J29-Q29</f>
        <v/>
      </c>
      <c r="F29" s="312">
        <f>F28+K29-R29</f>
        <v/>
      </c>
      <c r="G29" s="312">
        <f>G28+L29-S29</f>
        <v/>
      </c>
      <c r="H29" s="307">
        <f>'4주일별계획'!G29+'4주일별계획'!L29</f>
        <v/>
      </c>
      <c r="I29" s="307">
        <f>H29*0.437023</f>
        <v/>
      </c>
      <c r="J29" s="307">
        <f>H29*0.023161</f>
        <v/>
      </c>
      <c r="K29" s="307">
        <f>H29*0.343671</f>
        <v/>
      </c>
      <c r="L29" s="307">
        <f>H29*0.196145</f>
        <v/>
      </c>
      <c r="M29" s="313">
        <f>'4주일별계획'!M29+'4주일별계획'!N29+'4주일별계획'!O29</f>
        <v/>
      </c>
      <c r="N29" s="314">
        <f>Q29</f>
        <v/>
      </c>
      <c r="O29" s="314">
        <f>R29+S29</f>
        <v/>
      </c>
      <c r="P29" s="244">
        <f>IF(D29&lt;-0.5,"전 계좌 소진 — 부족 "&amp;TEXT(-D29,"#,##0")&amp;"원","")</f>
        <v/>
      </c>
      <c r="Q29" s="315">
        <f>MIN(MAX(0,E28+J29),MAX(0,M29-D28-I29))</f>
        <v/>
      </c>
      <c r="R29" s="315">
        <f>MIN(MAX(0,F28+K29),MAX(0,M29-D28-I29)-Q29)</f>
        <v/>
      </c>
      <c r="S29" s="315">
        <f>MIN(MAX(0,G28+L29),MAX(0,M29-D28-I29)-Q29-R29)</f>
        <v/>
      </c>
    </row>
    <row r="30">
      <c r="A30" s="239" t="n">
        <v>46329</v>
      </c>
      <c r="B30" s="240" t="inlineStr">
        <is>
          <t>화</t>
        </is>
      </c>
      <c r="C30" s="299">
        <f>SUM(D30:G30)</f>
        <v/>
      </c>
      <c r="D30" s="312">
        <f>D29+I30-M30+Q30+R30+S30</f>
        <v/>
      </c>
      <c r="E30" s="312">
        <f>E29+J30-Q30</f>
        <v/>
      </c>
      <c r="F30" s="312">
        <f>F29+K30-R30</f>
        <v/>
      </c>
      <c r="G30" s="312">
        <f>G29+L30-S30</f>
        <v/>
      </c>
      <c r="H30" s="307">
        <f>'4주일별계획'!G30+'4주일별계획'!L30</f>
        <v/>
      </c>
      <c r="I30" s="307">
        <f>H30*0.437023</f>
        <v/>
      </c>
      <c r="J30" s="307">
        <f>H30*0.023161</f>
        <v/>
      </c>
      <c r="K30" s="307">
        <f>H30*0.343671</f>
        <v/>
      </c>
      <c r="L30" s="307">
        <f>H30*0.196145</f>
        <v/>
      </c>
      <c r="M30" s="313">
        <f>'4주일별계획'!M30+'4주일별계획'!N30+'4주일별계획'!O30</f>
        <v/>
      </c>
      <c r="N30" s="314">
        <f>Q30</f>
        <v/>
      </c>
      <c r="O30" s="314">
        <f>R30+S30</f>
        <v/>
      </c>
      <c r="P30" s="244">
        <f>IF(D30&lt;-0.5,"전 계좌 소진 — 부족 "&amp;TEXT(-D30,"#,##0")&amp;"원","")</f>
        <v/>
      </c>
      <c r="Q30" s="315">
        <f>MIN(MAX(0,E29+J30),MAX(0,M30-D29-I30))</f>
        <v/>
      </c>
      <c r="R30" s="315">
        <f>MIN(MAX(0,F29+K30),MAX(0,M30-D29-I30)-Q30)</f>
        <v/>
      </c>
      <c r="S30" s="315">
        <f>MIN(MAX(0,G29+L30),MAX(0,M30-D29-I30)-Q30-R30)</f>
        <v/>
      </c>
    </row>
    <row r="31">
      <c r="A31" s="239" t="n">
        <v>46330</v>
      </c>
      <c r="B31" s="240" t="inlineStr">
        <is>
          <t>수</t>
        </is>
      </c>
      <c r="C31" s="299">
        <f>SUM(D31:G31)</f>
        <v/>
      </c>
      <c r="D31" s="312">
        <f>D30+I31-M31+Q31+R31+S31</f>
        <v/>
      </c>
      <c r="E31" s="312">
        <f>E30+J31-Q31</f>
        <v/>
      </c>
      <c r="F31" s="312">
        <f>F30+K31-R31</f>
        <v/>
      </c>
      <c r="G31" s="312">
        <f>G30+L31-S31</f>
        <v/>
      </c>
      <c r="H31" s="307">
        <f>'4주일별계획'!G31+'4주일별계획'!L31</f>
        <v/>
      </c>
      <c r="I31" s="307">
        <f>H31*0.437023</f>
        <v/>
      </c>
      <c r="J31" s="307">
        <f>H31*0.023161</f>
        <v/>
      </c>
      <c r="K31" s="307">
        <f>H31*0.343671</f>
        <v/>
      </c>
      <c r="L31" s="307">
        <f>H31*0.196145</f>
        <v/>
      </c>
      <c r="M31" s="313">
        <f>'4주일별계획'!M31+'4주일별계획'!N31+'4주일별계획'!O31</f>
        <v/>
      </c>
      <c r="N31" s="314">
        <f>Q31</f>
        <v/>
      </c>
      <c r="O31" s="314">
        <f>R31+S31</f>
        <v/>
      </c>
      <c r="P31" s="244">
        <f>IF(D31&lt;-0.5,"전 계좌 소진 — 부족 "&amp;TEXT(-D31,"#,##0")&amp;"원","")</f>
        <v/>
      </c>
      <c r="Q31" s="315">
        <f>MIN(MAX(0,E30+J31),MAX(0,M31-D30-I31))</f>
        <v/>
      </c>
      <c r="R31" s="315">
        <f>MIN(MAX(0,F30+K31),MAX(0,M31-D30-I31)-Q31)</f>
        <v/>
      </c>
      <c r="S31" s="315">
        <f>MIN(MAX(0,G30+L31),MAX(0,M31-D30-I31)-Q31-R31)</f>
        <v/>
      </c>
    </row>
    <row r="32">
      <c r="A32" s="239" t="n">
        <v>46331</v>
      </c>
      <c r="B32" s="240" t="inlineStr">
        <is>
          <t>목</t>
        </is>
      </c>
      <c r="C32" s="299">
        <f>SUM(D32:G32)</f>
        <v/>
      </c>
      <c r="D32" s="312">
        <f>D31+I32-M32+Q32+R32+S32</f>
        <v/>
      </c>
      <c r="E32" s="312">
        <f>E31+J32-Q32</f>
        <v/>
      </c>
      <c r="F32" s="312">
        <f>F31+K32-R32</f>
        <v/>
      </c>
      <c r="G32" s="312">
        <f>G31+L32-S32</f>
        <v/>
      </c>
      <c r="H32" s="307">
        <f>'4주일별계획'!G32+'4주일별계획'!L32</f>
        <v/>
      </c>
      <c r="I32" s="307">
        <f>H32*0.437023</f>
        <v/>
      </c>
      <c r="J32" s="307">
        <f>H32*0.023161</f>
        <v/>
      </c>
      <c r="K32" s="307">
        <f>H32*0.343671</f>
        <v/>
      </c>
      <c r="L32" s="307">
        <f>H32*0.196145</f>
        <v/>
      </c>
      <c r="M32" s="313">
        <f>'4주일별계획'!M32+'4주일별계획'!N32+'4주일별계획'!O32</f>
        <v/>
      </c>
      <c r="N32" s="314">
        <f>Q32</f>
        <v/>
      </c>
      <c r="O32" s="314">
        <f>R32+S32</f>
        <v/>
      </c>
      <c r="P32" s="244">
        <f>IF(D32&lt;-0.5,"전 계좌 소진 — 부족 "&amp;TEXT(-D32,"#,##0")&amp;"원","")</f>
        <v/>
      </c>
      <c r="Q32" s="315">
        <f>MIN(MAX(0,E31+J32),MAX(0,M32-D31-I32))</f>
        <v/>
      </c>
      <c r="R32" s="315">
        <f>MIN(MAX(0,F31+K32),MAX(0,M32-D31-I32)-Q32)</f>
        <v/>
      </c>
      <c r="S32" s="315">
        <f>MIN(MAX(0,G31+L32),MAX(0,M32-D31-I32)-Q32-R32)</f>
        <v/>
      </c>
    </row>
    <row r="33">
      <c r="A33" s="239" t="n">
        <v>46332</v>
      </c>
      <c r="B33" s="240" t="inlineStr">
        <is>
          <t>금</t>
        </is>
      </c>
      <c r="C33" s="299">
        <f>SUM(D33:G33)</f>
        <v/>
      </c>
      <c r="D33" s="312">
        <f>D32+I33-M33+Q33+R33+S33</f>
        <v/>
      </c>
      <c r="E33" s="312">
        <f>E32+J33-Q33</f>
        <v/>
      </c>
      <c r="F33" s="312">
        <f>F32+K33-R33</f>
        <v/>
      </c>
      <c r="G33" s="312">
        <f>G32+L33-S33</f>
        <v/>
      </c>
      <c r="H33" s="307">
        <f>'4주일별계획'!G33+'4주일별계획'!L33</f>
        <v/>
      </c>
      <c r="I33" s="307">
        <f>H33*0.437023</f>
        <v/>
      </c>
      <c r="J33" s="307">
        <f>H33*0.023161</f>
        <v/>
      </c>
      <c r="K33" s="307">
        <f>H33*0.343671</f>
        <v/>
      </c>
      <c r="L33" s="307">
        <f>H33*0.196145</f>
        <v/>
      </c>
      <c r="M33" s="313">
        <f>'4주일별계획'!M33+'4주일별계획'!N33+'4주일별계획'!O33</f>
        <v/>
      </c>
      <c r="N33" s="314">
        <f>Q33</f>
        <v/>
      </c>
      <c r="O33" s="314">
        <f>R33+S33</f>
        <v/>
      </c>
      <c r="P33" s="244">
        <f>IF(D33&lt;-0.5,"전 계좌 소진 — 부족 "&amp;TEXT(-D33,"#,##0")&amp;"원","")</f>
        <v/>
      </c>
      <c r="Q33" s="315">
        <f>MIN(MAX(0,E32+J33),MAX(0,M33-D32-I33))</f>
        <v/>
      </c>
      <c r="R33" s="315">
        <f>MIN(MAX(0,F32+K33),MAX(0,M33-D32-I33)-Q33)</f>
        <v/>
      </c>
      <c r="S33" s="315">
        <f>MIN(MAX(0,G32+L33),MAX(0,M33-D32-I33)-Q33-R33)</f>
        <v/>
      </c>
    </row>
    <row r="34">
      <c r="A34" s="222" t="n">
        <v>46333</v>
      </c>
      <c r="B34" s="212" t="inlineStr">
        <is>
          <t>토</t>
        </is>
      </c>
      <c r="C34" s="299">
        <f>SUM(D34:G34)</f>
        <v/>
      </c>
      <c r="D34" s="312">
        <f>D33+I34-M34+Q34+R34+S34</f>
        <v/>
      </c>
      <c r="E34" s="312">
        <f>E33+J34-Q34</f>
        <v/>
      </c>
      <c r="F34" s="312">
        <f>F33+K34-R34</f>
        <v/>
      </c>
      <c r="G34" s="312">
        <f>G33+L34-S34</f>
        <v/>
      </c>
      <c r="H34" s="307">
        <f>'4주일별계획'!G34+'4주일별계획'!L34</f>
        <v/>
      </c>
      <c r="I34" s="307">
        <f>H34*0.437023</f>
        <v/>
      </c>
      <c r="J34" s="307">
        <f>H34*0.023161</f>
        <v/>
      </c>
      <c r="K34" s="307">
        <f>H34*0.343671</f>
        <v/>
      </c>
      <c r="L34" s="307">
        <f>H34*0.196145</f>
        <v/>
      </c>
      <c r="M34" s="313">
        <f>'4주일별계획'!M34+'4주일별계획'!N34+'4주일별계획'!O34</f>
        <v/>
      </c>
      <c r="N34" s="314">
        <f>Q34</f>
        <v/>
      </c>
      <c r="O34" s="314">
        <f>R34+S34</f>
        <v/>
      </c>
      <c r="P34" s="244">
        <f>IF(D34&lt;-0.5,"전 계좌 소진 — 부족 "&amp;TEXT(-D34,"#,##0")&amp;"원","")</f>
        <v/>
      </c>
      <c r="Q34" s="315">
        <f>MIN(MAX(0,E33+J34),MAX(0,M34-D33-I34))</f>
        <v/>
      </c>
      <c r="R34" s="315">
        <f>MIN(MAX(0,F33+K34),MAX(0,M34-D33-I34)-Q34)</f>
        <v/>
      </c>
      <c r="S34" s="315">
        <f>MIN(MAX(0,G33+L34),MAX(0,M34-D33-I34)-Q34-R34)</f>
        <v/>
      </c>
    </row>
    <row r="35">
      <c r="A35" s="222" t="n">
        <v>46334</v>
      </c>
      <c r="B35" s="212" t="inlineStr">
        <is>
          <t>일</t>
        </is>
      </c>
      <c r="C35" s="299">
        <f>SUM(D35:G35)</f>
        <v/>
      </c>
      <c r="D35" s="312">
        <f>D34+I35-M35+Q35+R35+S35</f>
        <v/>
      </c>
      <c r="E35" s="312">
        <f>E34+J35-Q35</f>
        <v/>
      </c>
      <c r="F35" s="312">
        <f>F34+K35-R35</f>
        <v/>
      </c>
      <c r="G35" s="312">
        <f>G34+L35-S35</f>
        <v/>
      </c>
      <c r="H35" s="307">
        <f>'4주일별계획'!G35+'4주일별계획'!L35</f>
        <v/>
      </c>
      <c r="I35" s="307">
        <f>H35*0.437023</f>
        <v/>
      </c>
      <c r="J35" s="307">
        <f>H35*0.023161</f>
        <v/>
      </c>
      <c r="K35" s="307">
        <f>H35*0.343671</f>
        <v/>
      </c>
      <c r="L35" s="307">
        <f>H35*0.196145</f>
        <v/>
      </c>
      <c r="M35" s="313">
        <f>'4주일별계획'!M35+'4주일별계획'!N35+'4주일별계획'!O35</f>
        <v/>
      </c>
      <c r="N35" s="314">
        <f>Q35</f>
        <v/>
      </c>
      <c r="O35" s="314">
        <f>R35+S35</f>
        <v/>
      </c>
      <c r="P35" s="244">
        <f>IF(D35&lt;-0.5,"전 계좌 소진 — 부족 "&amp;TEXT(-D35,"#,##0")&amp;"원","")</f>
        <v/>
      </c>
      <c r="Q35" s="315">
        <f>MIN(MAX(0,E34+J35),MAX(0,M35-D34-I35))</f>
        <v/>
      </c>
      <c r="R35" s="315">
        <f>MIN(MAX(0,F34+K35),MAX(0,M35-D34-I35)-Q35)</f>
        <v/>
      </c>
      <c r="S35" s="315">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2026-10-12 ~ 2026-10-18</t>
        </is>
      </c>
      <c r="C6" s="126">
        <f>SUMIFS('4주일별계획'!$G$8:$G$35,'4주일별계획'!$A$8:$A$35,"&gt;="&amp;DATE(2026,10,12),'4주일별계획'!$A$8:$A$35,"&lt;="&amp;DATE(2026,10,18))</f>
        <v/>
      </c>
      <c r="D6" s="126">
        <f>SUMIFS('4주일별계획'!$L$8:$L$35,'4주일별계획'!$A$8:$A$35,"&gt;="&amp;DATE(2026,10,12),'4주일별계획'!$A$8:$A$35,"&lt;="&amp;DATE(2026,10,18))</f>
        <v/>
      </c>
      <c r="E6" s="126">
        <f>SUMIFS('4주일별계획'!$M$8:$M$35,'4주일별계획'!$A$8:$A$35,"&gt;="&amp;DATE(2026,10,12),'4주일별계획'!$A$8:$A$35,"&lt;="&amp;DATE(2026,10,18))</f>
        <v/>
      </c>
      <c r="F6" s="126">
        <f>SUMIFS('4주일별계획'!$N$8:$N$35,'4주일별계획'!$A$8:$A$35,"&gt;="&amp;DATE(2026,10,12),'4주일별계획'!$A$8:$A$35,"&lt;="&amp;DATE(2026,10,18))</f>
        <v/>
      </c>
      <c r="G6" s="126">
        <f>SUMIFS('4주일별계획'!$O$8:$O$35,'4주일별계획'!$A$8:$A$35,"&gt;="&amp;DATE(2026,10,12),'4주일별계획'!$A$8:$A$35,"&lt;="&amp;DATE(2026,10,18))</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2026-10-19 ~ 2026-10-25</t>
        </is>
      </c>
      <c r="C7" s="130">
        <f>SUMIFS('4주일별계획'!$G$8:$G$35,'4주일별계획'!$A$8:$A$35,"&gt;="&amp;DATE(2026,10,19),'4주일별계획'!$A$8:$A$35,"&lt;="&amp;DATE(2026,10,25))</f>
        <v/>
      </c>
      <c r="D7" s="130">
        <f>SUMIFS('4주일별계획'!$L$8:$L$35,'4주일별계획'!$A$8:$A$35,"&gt;="&amp;DATE(2026,10,19),'4주일별계획'!$A$8:$A$35,"&lt;="&amp;DATE(2026,10,25))</f>
        <v/>
      </c>
      <c r="E7" s="130">
        <f>SUMIFS('4주일별계획'!$M$8:$M$35,'4주일별계획'!$A$8:$A$35,"&gt;="&amp;DATE(2026,10,19),'4주일별계획'!$A$8:$A$35,"&lt;="&amp;DATE(2026,10,25))</f>
        <v/>
      </c>
      <c r="F7" s="130">
        <f>SUMIFS('4주일별계획'!$N$8:$N$35,'4주일별계획'!$A$8:$A$35,"&gt;="&amp;DATE(2026,10,19),'4주일별계획'!$A$8:$A$35,"&lt;="&amp;DATE(2026,10,25))</f>
        <v/>
      </c>
      <c r="G7" s="130">
        <f>SUMIFS('4주일별계획'!$O$8:$O$35,'4주일별계획'!$A$8:$A$35,"&gt;="&amp;DATE(2026,10,19),'4주일별계획'!$A$8:$A$35,"&lt;="&amp;DATE(2026,10,25))</f>
        <v/>
      </c>
      <c r="H7" s="138" t="n"/>
      <c r="I7" s="132">
        <f>C7+D7-E7-F7-G7+H7</f>
        <v/>
      </c>
      <c r="J7" s="132">
        <f>J6+I7</f>
        <v/>
      </c>
      <c r="K7" s="43">
        <f>IF(J7&lt;0,"자금부족",IF(J7&lt;'요약'!$B$6*0.2,"주의","정상"))</f>
        <v/>
      </c>
      <c r="L7" s="2" t="n"/>
      <c r="M7" s="2" t="n"/>
      <c r="N7" s="2" t="n"/>
      <c r="O7" s="2" t="n"/>
      <c r="P7" s="2" t="n"/>
    </row>
    <row r="8">
      <c r="A8" s="117" t="inlineStr">
        <is>
          <t>3주차</t>
        </is>
      </c>
      <c r="B8" s="104" t="inlineStr">
        <is>
          <t>2026-10-26 ~ 2026-11-01</t>
        </is>
      </c>
      <c r="C8" s="130">
        <f>SUMIFS('4주일별계획'!$G$8:$G$35,'4주일별계획'!$A$8:$A$35,"&gt;="&amp;DATE(2026,10,26),'4주일별계획'!$A$8:$A$35,"&lt;="&amp;DATE(2026,11,1))</f>
        <v/>
      </c>
      <c r="D8" s="130">
        <f>SUMIFS('4주일별계획'!$L$8:$L$35,'4주일별계획'!$A$8:$A$35,"&gt;="&amp;DATE(2026,10,26),'4주일별계획'!$A$8:$A$35,"&lt;="&amp;DATE(2026,11,1))</f>
        <v/>
      </c>
      <c r="E8" s="130">
        <f>SUMIFS('4주일별계획'!$M$8:$M$35,'4주일별계획'!$A$8:$A$35,"&gt;="&amp;DATE(2026,10,26),'4주일별계획'!$A$8:$A$35,"&lt;="&amp;DATE(2026,11,1))</f>
        <v/>
      </c>
      <c r="F8" s="130">
        <f>SUMIFS('4주일별계획'!$N$8:$N$35,'4주일별계획'!$A$8:$A$35,"&gt;="&amp;DATE(2026,10,26),'4주일별계획'!$A$8:$A$35,"&lt;="&amp;DATE(2026,11,1))</f>
        <v/>
      </c>
      <c r="G8" s="130">
        <f>SUMIFS('4주일별계획'!$O$8:$O$35,'4주일별계획'!$A$8:$A$35,"&gt;="&amp;DATE(2026,10,26),'4주일별계획'!$A$8:$A$35,"&lt;="&amp;DATE(2026,11,1))</f>
        <v/>
      </c>
      <c r="H8" s="138" t="n"/>
      <c r="I8" s="132">
        <f>C8+D8-E8-F8-G8+H8</f>
        <v/>
      </c>
      <c r="J8" s="132">
        <f>J7+I8</f>
        <v/>
      </c>
      <c r="K8" s="43">
        <f>IF(J8&lt;0,"자금부족",IF(J8&lt;'요약'!$B$6*0.2,"주의","정상"))</f>
        <v/>
      </c>
      <c r="L8" s="2" t="n"/>
      <c r="M8" s="2" t="n"/>
      <c r="N8" s="2" t="n"/>
      <c r="O8" s="2" t="n"/>
      <c r="P8" s="2" t="n"/>
    </row>
    <row r="9">
      <c r="A9" s="117" t="inlineStr">
        <is>
          <t>4주차</t>
        </is>
      </c>
      <c r="B9" s="104" t="inlineStr">
        <is>
          <t>2026-11-02 ~ 2026-11-08</t>
        </is>
      </c>
      <c r="C9" s="130">
        <f>SUMIFS('4주일별계획'!$G$8:$G$35,'4주일별계획'!$A$8:$A$35,"&gt;="&amp;DATE(2026,11,2),'4주일별계획'!$A$8:$A$35,"&lt;="&amp;DATE(2026,11,8))</f>
        <v/>
      </c>
      <c r="D9" s="130">
        <f>SUMIFS('4주일별계획'!$L$8:$L$35,'4주일별계획'!$A$8:$A$35,"&gt;="&amp;DATE(2026,11,2),'4주일별계획'!$A$8:$A$35,"&lt;="&amp;DATE(2026,11,8))</f>
        <v/>
      </c>
      <c r="E9" s="130">
        <f>SUMIFS('4주일별계획'!$M$8:$M$35,'4주일별계획'!$A$8:$A$35,"&gt;="&amp;DATE(2026,11,2),'4주일별계획'!$A$8:$A$35,"&lt;="&amp;DATE(2026,11,8))</f>
        <v/>
      </c>
      <c r="F9" s="130">
        <f>SUMIFS('4주일별계획'!$N$8:$N$35,'4주일별계획'!$A$8:$A$35,"&gt;="&amp;DATE(2026,11,2),'4주일별계획'!$A$8:$A$35,"&lt;="&amp;DATE(2026,11,8))</f>
        <v/>
      </c>
      <c r="G9" s="130">
        <f>SUMIFS('4주일별계획'!$O$8:$O$35,'4주일별계획'!$A$8:$A$35,"&gt;="&amp;DATE(2026,11,2),'4주일별계획'!$A$8:$A$35,"&lt;="&amp;DATE(2026,11,8))</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2026-11-09 ~ 2026-11-15</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2026-11-16 ~ 2026-11-22</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2026-11-23 ~ 2026-11-29</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2026-11-30 ~ 2026-12-06</t>
        </is>
      </c>
      <c r="C13" s="130">
        <f>SUM('설정및분류'!$C$6:$C$12)*'요약'!$B$13</f>
        <v/>
      </c>
      <c r="D13" s="131" t="n">
        <v>10021867</v>
      </c>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2026-12-07 ~ 2026-12-13</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2026-12-14 ~ 2026-12-20</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2026-12-21 ~ 2026-12-27</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2026-12-28 ~ 2027-01-03</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2027-01-04 ~ 2027-01-10</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46" t="inlineStr">
        <is>
          <t>요청ID</t>
        </is>
      </c>
      <c r="B5" s="246" t="inlineStr">
        <is>
          <t>팀명</t>
        </is>
      </c>
      <c r="C5" s="246" t="inlineStr">
        <is>
          <t>신청자</t>
        </is>
      </c>
      <c r="D5" s="246" t="inlineStr">
        <is>
          <t>품의승인</t>
        </is>
      </c>
      <c r="E5" s="246" t="inlineStr">
        <is>
          <t>지급예정일</t>
        </is>
      </c>
      <c r="F5" s="247" t="inlineStr">
        <is>
          <t>자금계획 반영일</t>
        </is>
      </c>
      <c r="G5" s="246" t="inlineStr">
        <is>
          <t>거래처</t>
        </is>
      </c>
      <c r="H5" s="246" t="inlineStr">
        <is>
          <t>지출내용</t>
        </is>
      </c>
      <c r="I5" s="246" t="inlineStr">
        <is>
          <t>예상금액</t>
        </is>
      </c>
      <c r="J5" s="246" t="inlineStr">
        <is>
          <t>지급방법</t>
        </is>
      </c>
      <c r="K5" s="246" t="inlineStr">
        <is>
          <t>카드구분</t>
        </is>
      </c>
      <c r="L5" s="246" t="inlineStr">
        <is>
          <t>확정여부</t>
        </is>
      </c>
      <c r="M5" s="246" t="inlineStr">
        <is>
          <t>진행상태</t>
        </is>
      </c>
      <c r="N5" s="246" t="inlineStr">
        <is>
          <t>최종수정일</t>
        </is>
      </c>
      <c r="O5" s="246" t="inlineStr">
        <is>
          <t>원본파일</t>
        </is>
      </c>
      <c r="P5" s="246" t="inlineStr">
        <is>
          <t>반영상태</t>
        </is>
      </c>
      <c r="Q5" s="246" t="inlineStr">
        <is>
          <t>확인사항</t>
        </is>
      </c>
    </row>
    <row r="6" hidden="1" ht="46.59999999999999" customHeight="1">
      <c r="A6" s="248" t="inlineStr">
        <is>
          <t>건강-20261002-001</t>
        </is>
      </c>
      <c r="B6" s="248" t="inlineStr">
        <is>
          <t>건강사업팀</t>
        </is>
      </c>
      <c r="C6" s="248" t="inlineStr">
        <is>
          <t>김솔이</t>
        </is>
      </c>
      <c r="D6" s="248" t="inlineStr"/>
      <c r="E6" s="249" t="n">
        <v>46301</v>
      </c>
      <c r="F6" s="249" t="n">
        <v>46301</v>
      </c>
      <c r="G6" s="248" t="inlineStr">
        <is>
          <t>비즈콘</t>
        </is>
      </c>
      <c r="H6" s="250" t="inlineStr">
        <is>
          <t>정기배송 50회차, 60회차 달성8명, 신세계상품권 5만원권 발송</t>
        </is>
      </c>
      <c r="I6" s="251" t="n">
        <v>400000</v>
      </c>
      <c r="J6" s="248" t="inlineStr">
        <is>
          <t>계좌송금</t>
        </is>
      </c>
      <c r="K6" s="248" t="inlineStr"/>
      <c r="L6" s="248" t="inlineStr">
        <is>
          <t>확정</t>
        </is>
      </c>
      <c r="M6" s="248" t="inlineStr">
        <is>
          <t>신규</t>
        </is>
      </c>
      <c r="N6" s="249" t="n">
        <v>46297</v>
      </c>
      <c r="O6" s="248" t="inlineStr">
        <is>
          <t>지출계획_2026-10-11.xlsx</t>
        </is>
      </c>
      <c r="P6" s="248" t="inlineStr">
        <is>
          <t>정상반영</t>
        </is>
      </c>
      <c r="Q6" s="248" t="inlineStr"/>
    </row>
    <row r="7" hidden="1">
      <c r="A7" s="248" t="inlineStr">
        <is>
          <t>건강-20261002-005</t>
        </is>
      </c>
      <c r="B7" s="248" t="inlineStr">
        <is>
          <t>건강사업팀</t>
        </is>
      </c>
      <c r="C7" s="248" t="inlineStr">
        <is>
          <t>전은신</t>
        </is>
      </c>
      <c r="D7" s="248" t="inlineStr"/>
      <c r="E7" s="249" t="n">
        <v>46301</v>
      </c>
      <c r="F7" s="249" t="n">
        <v>46301</v>
      </c>
      <c r="G7" s="248" t="inlineStr">
        <is>
          <t>네이버</t>
        </is>
      </c>
      <c r="H7" s="248" t="inlineStr">
        <is>
          <t>네이버 SA&amp;GFA 광고 비용</t>
        </is>
      </c>
      <c r="I7" s="251" t="n">
        <v>3366000</v>
      </c>
      <c r="J7" s="248" t="inlineStr">
        <is>
          <t>계좌송금</t>
        </is>
      </c>
      <c r="K7" s="248" t="inlineStr"/>
      <c r="L7" s="248" t="inlineStr">
        <is>
          <t>확정</t>
        </is>
      </c>
      <c r="M7" s="248" t="inlineStr">
        <is>
          <t>신규</t>
        </is>
      </c>
      <c r="N7" s="249" t="n">
        <v>46297</v>
      </c>
      <c r="O7" s="248" t="inlineStr">
        <is>
          <t>지출계획_2026-10-11.xlsx</t>
        </is>
      </c>
      <c r="P7" s="248" t="inlineStr">
        <is>
          <t>정상반영</t>
        </is>
      </c>
      <c r="Q7" s="248" t="inlineStr"/>
    </row>
    <row r="8" hidden="1" ht="32.4" customHeight="1">
      <c r="A8" s="248" t="inlineStr">
        <is>
          <t>건강-20261002-008</t>
        </is>
      </c>
      <c r="B8" s="248" t="inlineStr">
        <is>
          <t>건강사업팀</t>
        </is>
      </c>
      <c r="C8" s="248" t="inlineStr">
        <is>
          <t>양혜원</t>
        </is>
      </c>
      <c r="D8" s="248" t="inlineStr"/>
      <c r="E8" s="249" t="n">
        <v>46301</v>
      </c>
      <c r="F8" s="249" t="n">
        <v>46301</v>
      </c>
      <c r="G8" s="250" t="inlineStr">
        <is>
          <t>카카오톡 플러스친구</t>
        </is>
      </c>
      <c r="H8" s="248" t="inlineStr">
        <is>
          <t>카카오톡 플러스친구 충전</t>
        </is>
      </c>
      <c r="I8" s="251" t="n">
        <v>1500000</v>
      </c>
      <c r="J8" s="248" t="inlineStr">
        <is>
          <t>계좌송금</t>
        </is>
      </c>
      <c r="K8" s="248" t="inlineStr"/>
      <c r="L8" s="248" t="inlineStr">
        <is>
          <t>확정</t>
        </is>
      </c>
      <c r="M8" s="248" t="inlineStr">
        <is>
          <t>신규</t>
        </is>
      </c>
      <c r="N8" s="249" t="n">
        <v>46297</v>
      </c>
      <c r="O8" s="248" t="inlineStr">
        <is>
          <t>지출계획_2026-10-11.xlsx</t>
        </is>
      </c>
      <c r="P8" s="248" t="inlineStr">
        <is>
          <t>정상반영</t>
        </is>
      </c>
      <c r="Q8" s="248" t="inlineStr"/>
    </row>
    <row r="9" hidden="1">
      <c r="A9" s="248" t="inlineStr">
        <is>
          <t>건강-20261002-009</t>
        </is>
      </c>
      <c r="B9" s="248" t="inlineStr">
        <is>
          <t>건강사업팀</t>
        </is>
      </c>
      <c r="C9" s="248" t="inlineStr">
        <is>
          <t>양혜원</t>
        </is>
      </c>
      <c r="D9" s="248" t="inlineStr"/>
      <c r="E9" s="249" t="n">
        <v>46301</v>
      </c>
      <c r="F9" s="249" t="n">
        <v>46301</v>
      </c>
      <c r="G9" s="248" t="inlineStr">
        <is>
          <t>네이버</t>
        </is>
      </c>
      <c r="H9" s="248" t="inlineStr">
        <is>
          <t>네이버 톡톡</t>
        </is>
      </c>
      <c r="I9" s="251" t="n">
        <v>500000</v>
      </c>
      <c r="J9" s="248" t="inlineStr">
        <is>
          <t>계좌송금</t>
        </is>
      </c>
      <c r="K9" s="248" t="inlineStr"/>
      <c r="L9" s="248" t="inlineStr">
        <is>
          <t>확정</t>
        </is>
      </c>
      <c r="M9" s="248" t="inlineStr">
        <is>
          <t>신규</t>
        </is>
      </c>
      <c r="N9" s="249" t="n">
        <v>46297</v>
      </c>
      <c r="O9" s="248" t="inlineStr">
        <is>
          <t>지출계획_2026-10-11.xlsx</t>
        </is>
      </c>
      <c r="P9" s="248" t="inlineStr">
        <is>
          <t>정상반영</t>
        </is>
      </c>
      <c r="Q9" s="248" t="inlineStr"/>
    </row>
    <row r="10" hidden="1">
      <c r="A10" s="248" t="inlineStr">
        <is>
          <t>건강-20260918-004</t>
        </is>
      </c>
      <c r="B10" s="248" t="inlineStr">
        <is>
          <t>건강사업팀</t>
        </is>
      </c>
      <c r="C10" s="248" t="inlineStr">
        <is>
          <t>전은신</t>
        </is>
      </c>
      <c r="D10" s="248" t="inlineStr"/>
      <c r="E10" s="249" t="n">
        <v>46302</v>
      </c>
      <c r="F10" s="249" t="n">
        <v>46302</v>
      </c>
      <c r="G10" s="248" t="inlineStr">
        <is>
          <t>인포크비즈니스</t>
        </is>
      </c>
      <c r="H10" s="248" t="inlineStr">
        <is>
          <t>베리시톨 인플루언서 비용</t>
        </is>
      </c>
      <c r="I10" s="251" t="n">
        <v>3300000</v>
      </c>
      <c r="J10" s="248" t="inlineStr">
        <is>
          <t>계좌송금</t>
        </is>
      </c>
      <c r="K10" s="248" t="inlineStr"/>
      <c r="L10" s="248" t="inlineStr">
        <is>
          <t>확정</t>
        </is>
      </c>
      <c r="M10" s="248" t="inlineStr">
        <is>
          <t>변경</t>
        </is>
      </c>
      <c r="N10" s="249" t="n">
        <v>46297</v>
      </c>
      <c r="O10" s="248" t="inlineStr">
        <is>
          <t>지출계획_2026-10-11.xlsx</t>
        </is>
      </c>
      <c r="P10" s="248" t="inlineStr">
        <is>
          <t>정상반영</t>
        </is>
      </c>
      <c r="Q10" s="248" t="inlineStr"/>
    </row>
    <row r="11" hidden="1">
      <c r="A11" s="248" t="inlineStr">
        <is>
          <t>건강-20260918-005</t>
        </is>
      </c>
      <c r="B11" s="248" t="inlineStr">
        <is>
          <t>건강사업팀</t>
        </is>
      </c>
      <c r="C11" s="248" t="inlineStr">
        <is>
          <t>전은신</t>
        </is>
      </c>
      <c r="D11" s="248" t="inlineStr"/>
      <c r="E11" s="249" t="n">
        <v>46302</v>
      </c>
      <c r="F11" s="249" t="n">
        <v>46302</v>
      </c>
      <c r="G11" s="248" t="inlineStr">
        <is>
          <t>써치엠</t>
        </is>
      </c>
      <c r="H11" s="248" t="inlineStr">
        <is>
          <t>메타 광고 대행 수수</t>
        </is>
      </c>
      <c r="I11" s="251" t="n">
        <v>1487786</v>
      </c>
      <c r="J11" s="248" t="inlineStr">
        <is>
          <t>계좌송금</t>
        </is>
      </c>
      <c r="K11" s="248" t="inlineStr"/>
      <c r="L11" s="248" t="inlineStr">
        <is>
          <t>확정</t>
        </is>
      </c>
      <c r="M11" s="248" t="inlineStr">
        <is>
          <t>변경</t>
        </is>
      </c>
      <c r="N11" s="249" t="n">
        <v>46297</v>
      </c>
      <c r="O11" s="248" t="inlineStr">
        <is>
          <t>지출계획_2026-10-11.xlsx</t>
        </is>
      </c>
      <c r="P11" s="248" t="inlineStr">
        <is>
          <t>정상반영</t>
        </is>
      </c>
      <c r="Q11" s="248" t="inlineStr"/>
    </row>
    <row r="12" hidden="1">
      <c r="A12" s="248" t="inlineStr">
        <is>
          <t>건강-20261002-002</t>
        </is>
      </c>
      <c r="B12" s="248" t="inlineStr">
        <is>
          <t>건강사업팀</t>
        </is>
      </c>
      <c r="C12" s="248" t="inlineStr">
        <is>
          <t>전은신</t>
        </is>
      </c>
      <c r="D12" s="248" t="inlineStr"/>
      <c r="E12" s="249" t="n">
        <v>46302</v>
      </c>
      <c r="F12" s="249" t="n">
        <v>46302</v>
      </c>
      <c r="G12" s="248" t="inlineStr">
        <is>
          <t>ADN</t>
        </is>
      </c>
      <c r="H12" s="248" t="inlineStr">
        <is>
          <t>ADN 광고 송출 비용</t>
        </is>
      </c>
      <c r="I12" s="251" t="n">
        <v>500000</v>
      </c>
      <c r="J12" s="248" t="inlineStr">
        <is>
          <t>계좌송금</t>
        </is>
      </c>
      <c r="K12" s="248" t="inlineStr"/>
      <c r="L12" s="248" t="inlineStr">
        <is>
          <t>확정</t>
        </is>
      </c>
      <c r="M12" s="248" t="inlineStr">
        <is>
          <t>신규</t>
        </is>
      </c>
      <c r="N12" s="249" t="n">
        <v>46297</v>
      </c>
      <c r="O12" s="248" t="inlineStr">
        <is>
          <t>지출계획_2026-10-11.xlsx</t>
        </is>
      </c>
      <c r="P12" s="248" t="inlineStr">
        <is>
          <t>정상반영</t>
        </is>
      </c>
      <c r="Q12" s="248" t="inlineStr"/>
    </row>
    <row r="13" hidden="1">
      <c r="A13" s="248" t="inlineStr">
        <is>
          <t>건강-20261002-010</t>
        </is>
      </c>
      <c r="B13" s="248" t="inlineStr">
        <is>
          <t>건강사업팀</t>
        </is>
      </c>
      <c r="C13" s="248" t="inlineStr">
        <is>
          <t>양혜원</t>
        </is>
      </c>
      <c r="D13" s="248" t="inlineStr"/>
      <c r="E13" s="249" t="n">
        <v>46302</v>
      </c>
      <c r="F13" s="249" t="n">
        <v>46302</v>
      </c>
      <c r="G13" s="248" t="inlineStr">
        <is>
          <t>비즈콘</t>
        </is>
      </c>
      <c r="H13" s="248" t="inlineStr">
        <is>
          <t>9월 프로모션 사은품 지급</t>
        </is>
      </c>
      <c r="I13" s="251" t="n">
        <v>300000</v>
      </c>
      <c r="J13" s="248" t="inlineStr">
        <is>
          <t>계좌송금</t>
        </is>
      </c>
      <c r="K13" s="248" t="inlineStr"/>
      <c r="L13" s="248" t="inlineStr">
        <is>
          <t>확정</t>
        </is>
      </c>
      <c r="M13" s="248" t="inlineStr">
        <is>
          <t>신규</t>
        </is>
      </c>
      <c r="N13" s="249" t="n">
        <v>46297</v>
      </c>
      <c r="O13" s="248" t="inlineStr">
        <is>
          <t>지출계획_2026-10-11.xlsx</t>
        </is>
      </c>
      <c r="P13" s="248" t="inlineStr">
        <is>
          <t>정상반영</t>
        </is>
      </c>
      <c r="Q13" s="248" t="inlineStr"/>
    </row>
    <row r="14" hidden="1">
      <c r="A14" s="248" t="inlineStr">
        <is>
          <t>경영-20260923-004</t>
        </is>
      </c>
      <c r="B14" s="248" t="inlineStr">
        <is>
          <t>경영지원팀</t>
        </is>
      </c>
      <c r="C14" s="248" t="inlineStr">
        <is>
          <t>김수희</t>
        </is>
      </c>
      <c r="D14" s="248" t="inlineStr"/>
      <c r="E14" s="249" t="n">
        <v>46302</v>
      </c>
      <c r="F14" s="249" t="n">
        <v>46302</v>
      </c>
      <c r="G14" s="248" t="inlineStr">
        <is>
          <t>서원회계법인</t>
        </is>
      </c>
      <c r="H14" s="248" t="inlineStr">
        <is>
          <t>기장료</t>
        </is>
      </c>
      <c r="I14" s="251" t="n">
        <v>385000</v>
      </c>
      <c r="J14" s="248" t="inlineStr">
        <is>
          <t>계좌송금</t>
        </is>
      </c>
      <c r="K14" s="248" t="inlineStr"/>
      <c r="L14" s="248" t="inlineStr">
        <is>
          <t>확정</t>
        </is>
      </c>
      <c r="M14" s="248" t="inlineStr">
        <is>
          <t>변경</t>
        </is>
      </c>
      <c r="N14" s="249" t="n">
        <v>46297</v>
      </c>
      <c r="O14" s="248" t="inlineStr">
        <is>
          <t>지출계획_2026-10-11.xlsx</t>
        </is>
      </c>
      <c r="P14" s="248" t="inlineStr">
        <is>
          <t>정상반영</t>
        </is>
      </c>
      <c r="Q14" s="248" t="inlineStr"/>
    </row>
    <row r="15" hidden="1" ht="32.4" customHeight="1">
      <c r="A15" s="248" t="inlineStr">
        <is>
          <t>CS-20261001-001</t>
        </is>
      </c>
      <c r="B15" s="248" t="inlineStr">
        <is>
          <t>CS팀</t>
        </is>
      </c>
      <c r="C15" s="248" t="inlineStr">
        <is>
          <t>조민경</t>
        </is>
      </c>
      <c r="D15" s="248" t="inlineStr"/>
      <c r="E15" s="249" t="n">
        <v>46303</v>
      </c>
      <c r="F15" s="249" t="n">
        <v>46303</v>
      </c>
      <c r="G15" s="250" t="inlineStr">
        <is>
          <t>(주)채널코퍼레이션</t>
        </is>
      </c>
      <c r="H15" s="248" t="inlineStr">
        <is>
          <t>쁘띠앤 채널톡 예치금 충전</t>
        </is>
      </c>
      <c r="I15" s="251" t="n">
        <v>198000</v>
      </c>
      <c r="J15" s="248" t="inlineStr">
        <is>
          <t>계좌송금</t>
        </is>
      </c>
      <c r="K15" s="248" t="inlineStr"/>
      <c r="L15" s="248" t="inlineStr">
        <is>
          <t>확정</t>
        </is>
      </c>
      <c r="M15" s="248" t="inlineStr">
        <is>
          <t>신규</t>
        </is>
      </c>
      <c r="N15" s="249" t="n">
        <v>46296</v>
      </c>
      <c r="O15" s="248" t="inlineStr">
        <is>
          <t>지출계획_2026-10-11.xlsx</t>
        </is>
      </c>
      <c r="P15" s="248" t="inlineStr">
        <is>
          <t>정상반영</t>
        </is>
      </c>
      <c r="Q15" s="248" t="inlineStr"/>
    </row>
    <row r="16" hidden="1">
      <c r="A16" s="248" t="inlineStr">
        <is>
          <t>건강-20261002-006</t>
        </is>
      </c>
      <c r="B16" s="248" t="inlineStr">
        <is>
          <t>건강사업팀</t>
        </is>
      </c>
      <c r="C16" s="248" t="inlineStr">
        <is>
          <t>전은신</t>
        </is>
      </c>
      <c r="D16" s="248" t="inlineStr"/>
      <c r="E16" s="249" t="n">
        <v>46303</v>
      </c>
      <c r="F16" s="249" t="n">
        <v>46303</v>
      </c>
      <c r="G16" s="248" t="inlineStr">
        <is>
          <t>네이버</t>
        </is>
      </c>
      <c r="H16" s="248" t="inlineStr">
        <is>
          <t>네이버 SA&amp;GFA 광고 비용</t>
        </is>
      </c>
      <c r="I16" s="251" t="n">
        <v>6424000</v>
      </c>
      <c r="J16" s="248" t="inlineStr">
        <is>
          <t>계좌송금</t>
        </is>
      </c>
      <c r="K16" s="248" t="inlineStr"/>
      <c r="L16" s="248" t="inlineStr">
        <is>
          <t>확정</t>
        </is>
      </c>
      <c r="M16" s="248" t="inlineStr">
        <is>
          <t>신규</t>
        </is>
      </c>
      <c r="N16" s="249" t="n">
        <v>46297</v>
      </c>
      <c r="O16" s="248" t="inlineStr">
        <is>
          <t>지출계획_2026-10-11.xlsx</t>
        </is>
      </c>
      <c r="P16" s="248" t="inlineStr">
        <is>
          <t>정상반영</t>
        </is>
      </c>
      <c r="Q16" s="248" t="inlineStr"/>
    </row>
    <row r="17" hidden="1">
      <c r="A17" s="248" t="inlineStr">
        <is>
          <t>건강-20261002-007</t>
        </is>
      </c>
      <c r="B17" s="248" t="inlineStr">
        <is>
          <t>건강사업팀</t>
        </is>
      </c>
      <c r="C17" s="248" t="inlineStr">
        <is>
          <t>전은신</t>
        </is>
      </c>
      <c r="D17" s="248" t="inlineStr"/>
      <c r="E17" s="249" t="n">
        <v>46303</v>
      </c>
      <c r="F17" s="249" t="n">
        <v>46303</v>
      </c>
      <c r="G17" s="248" t="inlineStr">
        <is>
          <t>네이버</t>
        </is>
      </c>
      <c r="H17" s="248" t="inlineStr">
        <is>
          <t>브랜드 검색 광고</t>
        </is>
      </c>
      <c r="I17" s="251" t="n">
        <v>1980000</v>
      </c>
      <c r="J17" s="248" t="inlineStr">
        <is>
          <t>계좌송금</t>
        </is>
      </c>
      <c r="K17" s="248" t="inlineStr"/>
      <c r="L17" s="248" t="inlineStr">
        <is>
          <t>확정</t>
        </is>
      </c>
      <c r="M17" s="248" t="inlineStr">
        <is>
          <t>신규</t>
        </is>
      </c>
      <c r="N17" s="249" t="n">
        <v>46297</v>
      </c>
      <c r="O17" s="248" t="inlineStr">
        <is>
          <t>지출계획_2026-10-11.xlsx</t>
        </is>
      </c>
      <c r="P17" s="248" t="inlineStr">
        <is>
          <t>정상반영</t>
        </is>
      </c>
      <c r="Q17" s="248" t="inlineStr"/>
    </row>
    <row r="18" hidden="1" ht="32.4" customHeight="1">
      <c r="A18" s="250" t="inlineStr">
        <is>
          <t>데이터-20261002-001</t>
        </is>
      </c>
      <c r="B18" s="250" t="inlineStr">
        <is>
          <t>데이터사이언스팀</t>
        </is>
      </c>
      <c r="C18" s="248" t="inlineStr">
        <is>
          <t>조성윤</t>
        </is>
      </c>
      <c r="D18" s="248" t="inlineStr"/>
      <c r="E18" s="249" t="n">
        <v>46303</v>
      </c>
      <c r="F18" s="249" t="n">
        <v>46303</v>
      </c>
      <c r="G18" s="248" t="inlineStr">
        <is>
          <t>KICTA</t>
        </is>
      </c>
      <c r="H18" s="248" t="inlineStr">
        <is>
          <t>CES 참가 부스 최종 대금</t>
        </is>
      </c>
      <c r="I18" s="251" t="n">
        <v>9189417</v>
      </c>
      <c r="J18" s="248" t="inlineStr">
        <is>
          <t>계좌송금</t>
        </is>
      </c>
      <c r="K18" s="248" t="inlineStr"/>
      <c r="L18" s="248" t="inlineStr">
        <is>
          <t>확정</t>
        </is>
      </c>
      <c r="M18" s="248" t="inlineStr">
        <is>
          <t>신규</t>
        </is>
      </c>
      <c r="N18" s="249" t="n">
        <v>46297</v>
      </c>
      <c r="O18" s="248" t="inlineStr">
        <is>
          <t>지출계획_2026-10-11.xlsx</t>
        </is>
      </c>
      <c r="P18" s="248" t="inlineStr">
        <is>
          <t>정상반영</t>
        </is>
      </c>
      <c r="Q18" s="248" t="inlineStr"/>
    </row>
    <row r="19">
      <c r="A19" s="248" t="inlineStr">
        <is>
          <t>경영-20260922-008</t>
        </is>
      </c>
      <c r="B19" s="248" t="inlineStr">
        <is>
          <t>경영지원팀</t>
        </is>
      </c>
      <c r="C19" s="248" t="inlineStr">
        <is>
          <t>장은총</t>
        </is>
      </c>
      <c r="D19" s="248" t="inlineStr"/>
      <c r="E19" s="249" t="n">
        <v>46302</v>
      </c>
      <c r="F19" s="249" t="n">
        <v>46318</v>
      </c>
      <c r="G19" s="248" t="inlineStr">
        <is>
          <t>위버</t>
        </is>
      </c>
      <c r="H19" s="248" t="inlineStr">
        <is>
          <t>워크샵 (1부/2부) 이용료</t>
        </is>
      </c>
      <c r="I19" s="251" t="n">
        <v>1675000</v>
      </c>
      <c r="J19" s="248" t="inlineStr">
        <is>
          <t>법인카드</t>
        </is>
      </c>
      <c r="K19" s="248" t="inlineStr">
        <is>
          <t>우리카드</t>
        </is>
      </c>
      <c r="L19" s="248" t="inlineStr">
        <is>
          <t>확정</t>
        </is>
      </c>
      <c r="M19" s="248" t="inlineStr">
        <is>
          <t>변경</t>
        </is>
      </c>
      <c r="N19" s="249" t="n">
        <v>46296</v>
      </c>
      <c r="O19" s="248" t="inlineStr">
        <is>
          <t>지출계획_2026-10-11.xlsx</t>
        </is>
      </c>
      <c r="P19" s="248" t="inlineStr">
        <is>
          <t>정상반영</t>
        </is>
      </c>
      <c r="Q19" s="248"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46" t="inlineStr">
        <is>
          <t>일자</t>
        </is>
      </c>
      <c r="B5" s="246" t="inlineStr">
        <is>
          <t>요일</t>
        </is>
      </c>
      <c r="C5" s="246" t="inlineStr">
        <is>
          <t>출처</t>
        </is>
      </c>
      <c r="D5" s="246" t="inlineStr">
        <is>
          <t>자금계획 반영</t>
        </is>
      </c>
      <c r="E5" s="246" t="inlineStr">
        <is>
          <t>팀명</t>
        </is>
      </c>
      <c r="F5" s="246" t="inlineStr">
        <is>
          <t>거래처</t>
        </is>
      </c>
      <c r="G5" s="246" t="inlineStr">
        <is>
          <t>지출내용</t>
        </is>
      </c>
      <c r="H5" s="246" t="inlineStr">
        <is>
          <t>예상금액</t>
        </is>
      </c>
      <c r="I5" s="246" t="inlineStr">
        <is>
          <t>지급방법</t>
        </is>
      </c>
      <c r="J5" s="246" t="inlineStr">
        <is>
          <t>비고</t>
        </is>
      </c>
    </row>
    <row r="6">
      <c r="A6" s="252" t="inlineStr">
        <is>
          <t>이번 실행에 정리할 에이팜 지출계획이 없습니다.</t>
        </is>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46293.12998842593</v>
      </c>
      <c r="B2" s="147" t="n">
        <v>46293</v>
      </c>
      <c r="C2" s="67" t="inlineStr">
        <is>
          <t>우리은행</t>
        </is>
      </c>
      <c r="D2" s="67" t="inlineStr">
        <is>
          <t>우리 220351</t>
        </is>
      </c>
      <c r="E2" s="148" t="n">
        <v>0</v>
      </c>
      <c r="F2" s="148" t="n">
        <v>2493338</v>
      </c>
      <c r="G2" s="148" t="n">
        <v>2493338</v>
      </c>
      <c r="H2" s="75" t="inlineStr">
        <is>
          <t>펌뱅킹</t>
        </is>
      </c>
      <c r="I2" s="75" t="inlineStr">
        <is>
          <t>스마트스토어정산</t>
        </is>
      </c>
      <c r="J2" s="75" t="inlineStr">
        <is>
          <t>두산타워기업영업지원팀</t>
        </is>
      </c>
      <c r="K2" s="67" t="inlineStr">
        <is>
          <t>온라인매출입금</t>
        </is>
      </c>
      <c r="L2" s="67" t="inlineStr">
        <is>
          <t>N</t>
        </is>
      </c>
      <c r="M2" s="67" t="inlineStr">
        <is>
          <t>N</t>
        </is>
      </c>
      <c r="N2" s="148" t="n">
        <v>2493338</v>
      </c>
      <c r="O2" s="67" t="inlineStr">
        <is>
          <t>농협계좌_6개월(20260913).xls</t>
        </is>
      </c>
      <c r="P2" s="69" t="inlineStr">
        <is>
          <t>기존내역</t>
        </is>
      </c>
    </row>
    <row r="3">
      <c r="A3" s="146" t="n">
        <v>46293.69542824074</v>
      </c>
      <c r="B3" s="147" t="n">
        <v>46293</v>
      </c>
      <c r="C3" s="67" t="inlineStr">
        <is>
          <t>우리은행</t>
        </is>
      </c>
      <c r="D3" s="67" t="inlineStr">
        <is>
          <t>우리 220351</t>
        </is>
      </c>
      <c r="E3" s="148" t="n">
        <v>2493338</v>
      </c>
      <c r="F3" s="148" t="n">
        <v>0</v>
      </c>
      <c r="G3" s="148" t="n">
        <v>0</v>
      </c>
      <c r="H3" s="75" t="inlineStr">
        <is>
          <t>우리카드</t>
        </is>
      </c>
      <c r="I3" s="75" t="inlineStr">
        <is>
          <t>우리카드결제대금</t>
        </is>
      </c>
      <c r="J3" s="75" t="inlineStr">
        <is>
          <t>리테일영업총괄부(카드)</t>
        </is>
      </c>
      <c r="K3" s="67" t="inlineStr">
        <is>
          <t>우리카드 결제</t>
        </is>
      </c>
      <c r="L3" s="67" t="inlineStr">
        <is>
          <t>N</t>
        </is>
      </c>
      <c r="M3" s="67" t="inlineStr">
        <is>
          <t>Y</t>
        </is>
      </c>
      <c r="N3" s="148" t="n">
        <v>-2493338</v>
      </c>
      <c r="O3" s="67" t="inlineStr">
        <is>
          <t>농협계좌_6개월(20260913).xls</t>
        </is>
      </c>
      <c r="P3" s="69" t="inlineStr">
        <is>
          <t>기존내역</t>
        </is>
      </c>
    </row>
    <row r="4">
      <c r="A4" s="146" t="n">
        <v>46294.08918981482</v>
      </c>
      <c r="B4" s="147" t="n">
        <v>46294</v>
      </c>
      <c r="C4" s="67" t="inlineStr">
        <is>
          <t>우리은행</t>
        </is>
      </c>
      <c r="D4" s="67" t="inlineStr">
        <is>
          <t>우리 220351</t>
        </is>
      </c>
      <c r="E4" s="148" t="n">
        <v>0</v>
      </c>
      <c r="F4" s="148" t="n">
        <v>22735428</v>
      </c>
      <c r="G4" s="148" t="n">
        <v>22735428</v>
      </c>
      <c r="H4" s="75" t="inlineStr">
        <is>
          <t>펌뱅킹</t>
        </is>
      </c>
      <c r="I4" s="75" t="inlineStr">
        <is>
          <t>스마트스토어정산</t>
        </is>
      </c>
      <c r="J4" s="75" t="inlineStr">
        <is>
          <t>두산타워기업영업지원팀</t>
        </is>
      </c>
      <c r="K4" s="67" t="inlineStr">
        <is>
          <t>온라인매출입금</t>
        </is>
      </c>
      <c r="L4" s="67" t="inlineStr">
        <is>
          <t>N</t>
        </is>
      </c>
      <c r="M4" s="67" t="inlineStr">
        <is>
          <t>N</t>
        </is>
      </c>
      <c r="N4" s="148" t="n">
        <v>22735428</v>
      </c>
      <c r="O4" s="67" t="inlineStr">
        <is>
          <t>농협계좌_6개월(20260913).xls</t>
        </is>
      </c>
      <c r="P4" s="69" t="inlineStr">
        <is>
          <t>기존내역</t>
        </is>
      </c>
    </row>
    <row r="5">
      <c r="A5" s="146" t="n">
        <v>46294.12986111111</v>
      </c>
      <c r="B5" s="147" t="n">
        <v>46294</v>
      </c>
      <c r="C5" s="67" t="inlineStr">
        <is>
          <t>우리은행</t>
        </is>
      </c>
      <c r="D5" s="67" t="inlineStr">
        <is>
          <t>우리 220351</t>
        </is>
      </c>
      <c r="E5" s="148" t="n">
        <v>3438607</v>
      </c>
      <c r="F5" s="148" t="n">
        <v>0</v>
      </c>
      <c r="G5" s="148" t="n">
        <v>19296821</v>
      </c>
      <c r="H5" s="75" t="inlineStr">
        <is>
          <t>우리카드</t>
        </is>
      </c>
      <c r="I5" s="75" t="inlineStr">
        <is>
          <t>우리카드결제대금</t>
        </is>
      </c>
      <c r="J5" s="75" t="inlineStr">
        <is>
          <t>리테일영업총괄부(카드)</t>
        </is>
      </c>
      <c r="K5" s="67" t="inlineStr">
        <is>
          <t>우리카드 결제</t>
        </is>
      </c>
      <c r="L5" s="67" t="inlineStr">
        <is>
          <t>N</t>
        </is>
      </c>
      <c r="M5" s="67" t="inlineStr">
        <is>
          <t>Y</t>
        </is>
      </c>
      <c r="N5" s="148" t="n">
        <v>-3438607</v>
      </c>
      <c r="O5" s="67" t="inlineStr">
        <is>
          <t>농협계좌_6개월(20260913).xls</t>
        </is>
      </c>
      <c r="P5" s="69" t="inlineStr">
        <is>
          <t>기존내역</t>
        </is>
      </c>
    </row>
    <row r="6">
      <c r="A6" s="146" t="n">
        <v>46294.3809375</v>
      </c>
      <c r="B6" s="147" t="n">
        <v>46294</v>
      </c>
      <c r="C6" s="67" t="inlineStr">
        <is>
          <t>우리은행</t>
        </is>
      </c>
      <c r="D6" s="67" t="inlineStr">
        <is>
          <t>우리 220351</t>
        </is>
      </c>
      <c r="E6" s="148" t="n">
        <v>4500000</v>
      </c>
      <c r="F6" s="148" t="n">
        <v>0</v>
      </c>
      <c r="G6" s="148" t="n">
        <v>14796821</v>
      </c>
      <c r="H6" s="75" t="inlineStr">
        <is>
          <t>인터넷</t>
        </is>
      </c>
      <c r="I6" s="75" t="inlineStr">
        <is>
          <t>농협주식회사에이팜건</t>
        </is>
      </c>
      <c r="J6" s="75" t="inlineStr">
        <is>
          <t>성서공단금융센터</t>
        </is>
      </c>
      <c r="K6" s="67" t="inlineStr">
        <is>
          <t>관계사 지급</t>
        </is>
      </c>
      <c r="L6" s="67" t="inlineStr">
        <is>
          <t>N</t>
        </is>
      </c>
      <c r="M6" s="67" t="inlineStr">
        <is>
          <t>N</t>
        </is>
      </c>
      <c r="N6" s="148" t="n">
        <v>-4500000</v>
      </c>
      <c r="O6" s="67" t="inlineStr">
        <is>
          <t>농협계좌_6개월(20260913).xls</t>
        </is>
      </c>
      <c r="P6" s="69" t="inlineStr">
        <is>
          <t>기존내역</t>
        </is>
      </c>
    </row>
    <row r="7">
      <c r="A7" s="146" t="n">
        <v>46294.67569444444</v>
      </c>
      <c r="B7" s="147" t="n">
        <v>46294</v>
      </c>
      <c r="C7" s="67" t="inlineStr">
        <is>
          <t>우리은행</t>
        </is>
      </c>
      <c r="D7" s="67" t="inlineStr">
        <is>
          <t>우리 220351</t>
        </is>
      </c>
      <c r="E7" s="148" t="n">
        <v>550000</v>
      </c>
      <c r="F7" s="148" t="n">
        <v>0</v>
      </c>
      <c r="G7" s="148" t="n">
        <v>14103192</v>
      </c>
      <c r="H7" s="75" t="inlineStr">
        <is>
          <t>인터넷</t>
        </is>
      </c>
      <c r="I7" s="75" t="inlineStr">
        <is>
          <t>농협(주)레인보우8</t>
        </is>
      </c>
      <c r="J7" s="75" t="inlineStr">
        <is>
          <t>성서공단금융센터</t>
        </is>
      </c>
      <c r="K7" s="67" t="inlineStr">
        <is>
          <t>기타지출</t>
        </is>
      </c>
      <c r="L7" s="67" t="inlineStr">
        <is>
          <t>N</t>
        </is>
      </c>
      <c r="M7" s="67" t="inlineStr">
        <is>
          <t>Y</t>
        </is>
      </c>
      <c r="N7" s="148" t="n">
        <v>-550000</v>
      </c>
      <c r="O7" s="67" t="inlineStr">
        <is>
          <t>국민은행_계좌 조회 6개월(20260913).xls</t>
        </is>
      </c>
      <c r="P7" s="69" t="inlineStr">
        <is>
          <t>기존내역</t>
        </is>
      </c>
    </row>
    <row r="8">
      <c r="A8" s="146" t="n">
        <v>46294.67569444444</v>
      </c>
      <c r="B8" s="147" t="n">
        <v>46294</v>
      </c>
      <c r="C8" s="67" t="inlineStr">
        <is>
          <t>우리은행</t>
        </is>
      </c>
      <c r="D8" s="67" t="inlineStr">
        <is>
          <t>우리 220351</t>
        </is>
      </c>
      <c r="E8" s="148" t="n">
        <v>143629</v>
      </c>
      <c r="F8" s="148" t="n">
        <v>0</v>
      </c>
      <c r="G8" s="148" t="n">
        <v>14653192</v>
      </c>
      <c r="H8" s="75" t="inlineStr">
        <is>
          <t>인터넷</t>
        </is>
      </c>
      <c r="I8" s="75" t="inlineStr">
        <is>
          <t>국민주식회사 에이팜</t>
        </is>
      </c>
      <c r="J8" s="75" t="inlineStr">
        <is>
          <t>성서공단금융센터</t>
        </is>
      </c>
      <c r="K8" s="67" t="inlineStr">
        <is>
          <t>기타지출</t>
        </is>
      </c>
      <c r="L8" s="67" t="inlineStr">
        <is>
          <t>N</t>
        </is>
      </c>
      <c r="M8" s="67" t="inlineStr">
        <is>
          <t>Y</t>
        </is>
      </c>
      <c r="N8" s="148" t="n">
        <v>-143629</v>
      </c>
      <c r="O8" s="67" t="inlineStr">
        <is>
          <t>국민은행_계좌 조회 6개월(20260913).xls</t>
        </is>
      </c>
      <c r="P8" s="69" t="inlineStr">
        <is>
          <t>기존내역</t>
        </is>
      </c>
    </row>
    <row r="9">
      <c r="A9" s="146" t="n">
        <v>46294.67570601852</v>
      </c>
      <c r="B9" s="147" t="n">
        <v>46294</v>
      </c>
      <c r="C9" s="67" t="inlineStr">
        <is>
          <t>우리은행</t>
        </is>
      </c>
      <c r="D9" s="67" t="inlineStr">
        <is>
          <t>우리 220351</t>
        </is>
      </c>
      <c r="E9" s="148" t="n">
        <v>2310000</v>
      </c>
      <c r="F9" s="148" t="n">
        <v>0</v>
      </c>
      <c r="G9" s="148" t="n">
        <v>11793192</v>
      </c>
      <c r="H9" s="75" t="inlineStr">
        <is>
          <t>인터넷</t>
        </is>
      </c>
      <c r="I9" s="75" t="inlineStr">
        <is>
          <t>국민네이버 apha</t>
        </is>
      </c>
      <c r="J9" s="75" t="inlineStr">
        <is>
          <t>성서공단금융센터</t>
        </is>
      </c>
      <c r="K9" s="67" t="inlineStr">
        <is>
          <t>기타지출</t>
        </is>
      </c>
      <c r="L9" s="67" t="inlineStr">
        <is>
          <t>N</t>
        </is>
      </c>
      <c r="M9" s="67" t="inlineStr">
        <is>
          <t>Y</t>
        </is>
      </c>
      <c r="N9" s="148" t="n">
        <v>-2310000</v>
      </c>
      <c r="O9" s="67" t="inlineStr">
        <is>
          <t>국민은행_계좌 조회 6개월(20260913).xls</t>
        </is>
      </c>
      <c r="P9" s="69" t="inlineStr">
        <is>
          <t>기존내역</t>
        </is>
      </c>
    </row>
    <row r="10">
      <c r="A10" s="146" t="n">
        <v>46294.6757175926</v>
      </c>
      <c r="B10" s="147" t="n">
        <v>46294</v>
      </c>
      <c r="C10" s="67" t="inlineStr">
        <is>
          <t>우리은행</t>
        </is>
      </c>
      <c r="D10" s="67" t="inlineStr">
        <is>
          <t>우리 220351</t>
        </is>
      </c>
      <c r="E10" s="148" t="n">
        <v>550000</v>
      </c>
      <c r="F10" s="148" t="n">
        <v>0</v>
      </c>
      <c r="G10" s="148" t="n">
        <v>11243192</v>
      </c>
      <c r="H10" s="75" t="inlineStr">
        <is>
          <t>인터넷</t>
        </is>
      </c>
      <c r="I10" s="75" t="inlineStr">
        <is>
          <t>국민네이버 에이팜건</t>
        </is>
      </c>
      <c r="J10" s="75" t="inlineStr">
        <is>
          <t>성서공단금융센터</t>
        </is>
      </c>
      <c r="K10" s="67" t="inlineStr">
        <is>
          <t>기타지출</t>
        </is>
      </c>
      <c r="L10" s="67" t="inlineStr">
        <is>
          <t>N</t>
        </is>
      </c>
      <c r="M10" s="67" t="inlineStr">
        <is>
          <t>Y</t>
        </is>
      </c>
      <c r="N10" s="148" t="n">
        <v>-550000</v>
      </c>
      <c r="O10" s="67" t="inlineStr">
        <is>
          <t>국민은행_계좌 조회 6개월(20260913).xls</t>
        </is>
      </c>
      <c r="P10" s="69" t="inlineStr">
        <is>
          <t>기존내역</t>
        </is>
      </c>
    </row>
    <row r="11">
      <c r="A11" s="146" t="n">
        <v>46294.67572916667</v>
      </c>
      <c r="B11" s="147" t="n">
        <v>46294</v>
      </c>
      <c r="C11" s="67" t="inlineStr">
        <is>
          <t>우리은행</t>
        </is>
      </c>
      <c r="D11" s="67" t="inlineStr">
        <is>
          <t>우리 220351</t>
        </is>
      </c>
      <c r="E11" s="148" t="n">
        <v>660000</v>
      </c>
      <c r="F11" s="148" t="n">
        <v>0</v>
      </c>
      <c r="G11" s="148" t="n">
        <v>10583192</v>
      </c>
      <c r="H11" s="75" t="inlineStr">
        <is>
          <t>인터넷</t>
        </is>
      </c>
      <c r="I11" s="75" t="inlineStr">
        <is>
          <t>국민네이버 ddi5</t>
        </is>
      </c>
      <c r="J11" s="75" t="inlineStr">
        <is>
          <t>성서공단금융센터</t>
        </is>
      </c>
      <c r="K11" s="67" t="inlineStr">
        <is>
          <t>기타지출</t>
        </is>
      </c>
      <c r="L11" s="67" t="inlineStr">
        <is>
          <t>N</t>
        </is>
      </c>
      <c r="M11" s="67" t="inlineStr">
        <is>
          <t>N</t>
        </is>
      </c>
      <c r="N11" s="148" t="n">
        <v>-660000</v>
      </c>
      <c r="O11" s="67" t="inlineStr">
        <is>
          <t>우리은행 거래내역조회 20260913.xlsx</t>
        </is>
      </c>
      <c r="P11" s="69" t="inlineStr">
        <is>
          <t>기존내역</t>
        </is>
      </c>
    </row>
    <row r="12">
      <c r="A12" s="146" t="n">
        <v>46294.67574074074</v>
      </c>
      <c r="B12" s="147" t="n">
        <v>46294</v>
      </c>
      <c r="C12" s="67" t="inlineStr">
        <is>
          <t>우리은행</t>
        </is>
      </c>
      <c r="D12" s="67" t="inlineStr">
        <is>
          <t>우리 220351</t>
        </is>
      </c>
      <c r="E12" s="148" t="n">
        <v>200000</v>
      </c>
      <c r="F12" s="148" t="n">
        <v>0</v>
      </c>
      <c r="G12" s="148" t="n">
        <v>10383192</v>
      </c>
      <c r="H12" s="75" t="inlineStr">
        <is>
          <t>인터넷</t>
        </is>
      </c>
      <c r="I12" s="75" t="inlineStr">
        <is>
          <t>(주)카카오</t>
        </is>
      </c>
      <c r="J12" s="75" t="inlineStr">
        <is>
          <t>성서공단금융센터</t>
        </is>
      </c>
      <c r="K12" s="67" t="inlineStr">
        <is>
          <t>기타지출</t>
        </is>
      </c>
      <c r="L12" s="67" t="inlineStr">
        <is>
          <t>N</t>
        </is>
      </c>
      <c r="M12" s="67" t="inlineStr">
        <is>
          <t>Y</t>
        </is>
      </c>
      <c r="N12" s="148" t="n">
        <v>-200000</v>
      </c>
      <c r="O12" s="67" t="inlineStr">
        <is>
          <t>우리은행 거래내역조회 20260913.xlsx</t>
        </is>
      </c>
      <c r="P12" s="69" t="inlineStr">
        <is>
          <t>기존내역</t>
        </is>
      </c>
    </row>
    <row r="13">
      <c r="A13" s="146" t="n">
        <v>46294.67575231481</v>
      </c>
      <c r="B13" s="147" t="n">
        <v>46294</v>
      </c>
      <c r="C13" s="67" t="inlineStr">
        <is>
          <t>우리은행</t>
        </is>
      </c>
      <c r="D13" s="67" t="inlineStr">
        <is>
          <t>우리 220351</t>
        </is>
      </c>
      <c r="E13" s="148" t="n">
        <v>498630</v>
      </c>
      <c r="F13" s="148" t="n">
        <v>0</v>
      </c>
      <c r="G13" s="148" t="n">
        <v>9884562</v>
      </c>
      <c r="H13" s="75" t="inlineStr">
        <is>
          <t>인터넷</t>
        </is>
      </c>
      <c r="I13" s="75" t="inlineStr">
        <is>
          <t>국민비즈월렛_쁘띠앤</t>
        </is>
      </c>
      <c r="J13" s="75" t="inlineStr">
        <is>
          <t>성서공단금융센터</t>
        </is>
      </c>
      <c r="K13" s="67" t="inlineStr">
        <is>
          <t>기타지출</t>
        </is>
      </c>
      <c r="L13" s="67" t="inlineStr">
        <is>
          <t>N</t>
        </is>
      </c>
      <c r="M13" s="67" t="inlineStr">
        <is>
          <t>Y</t>
        </is>
      </c>
      <c r="N13" s="148" t="n">
        <v>-498630</v>
      </c>
      <c r="O13" s="67" t="inlineStr">
        <is>
          <t>우리은행 거래내역조회 20260913.xlsx</t>
        </is>
      </c>
      <c r="P13" s="69" t="inlineStr">
        <is>
          <t>기존내역</t>
        </is>
      </c>
    </row>
    <row r="14">
      <c r="A14" s="146" t="n">
        <v>46294.67576388889</v>
      </c>
      <c r="B14" s="147" t="n">
        <v>46294</v>
      </c>
      <c r="C14" s="67" t="inlineStr">
        <is>
          <t>우리은행</t>
        </is>
      </c>
      <c r="D14" s="67" t="inlineStr">
        <is>
          <t>우리 220351</t>
        </is>
      </c>
      <c r="E14" s="148" t="n">
        <v>1650000</v>
      </c>
      <c r="F14" s="148" t="n">
        <v>0</v>
      </c>
      <c r="G14" s="148" t="n">
        <v>8234562</v>
      </c>
      <c r="H14" s="75" t="inlineStr">
        <is>
          <t>인터넷</t>
        </is>
      </c>
      <c r="I14" s="75" t="inlineStr">
        <is>
          <t>농협한혜선</t>
        </is>
      </c>
      <c r="J14" s="75" t="inlineStr">
        <is>
          <t>성서공단금융센터</t>
        </is>
      </c>
      <c r="K14" s="67" t="inlineStr">
        <is>
          <t>기타지출</t>
        </is>
      </c>
      <c r="L14" s="67" t="inlineStr">
        <is>
          <t>N</t>
        </is>
      </c>
      <c r="M14" s="67" t="inlineStr">
        <is>
          <t>Y</t>
        </is>
      </c>
      <c r="N14" s="148" t="n">
        <v>-1650000</v>
      </c>
      <c r="O14" s="67" t="inlineStr">
        <is>
          <t>국민은행_계좌 조회 6개월(20260913).xls</t>
        </is>
      </c>
      <c r="P14" s="69" t="inlineStr">
        <is>
          <t>기존내역</t>
        </is>
      </c>
    </row>
    <row r="15">
      <c r="A15" s="146" t="n">
        <v>46294.67577546297</v>
      </c>
      <c r="B15" s="147" t="n">
        <v>46294</v>
      </c>
      <c r="C15" s="67" t="inlineStr">
        <is>
          <t>우리은행</t>
        </is>
      </c>
      <c r="D15" s="67" t="inlineStr">
        <is>
          <t>우리 220351</t>
        </is>
      </c>
      <c r="E15" s="148" t="n">
        <v>1023110</v>
      </c>
      <c r="F15" s="148" t="n">
        <v>0</v>
      </c>
      <c r="G15" s="148" t="n">
        <v>7211452</v>
      </c>
      <c r="H15" s="75" t="inlineStr">
        <is>
          <t>인터넷</t>
        </is>
      </c>
      <c r="I15" s="75" t="inlineStr">
        <is>
          <t>신한조미란(와이투홀</t>
        </is>
      </c>
      <c r="J15" s="75" t="inlineStr">
        <is>
          <t>성서공단금융센터</t>
        </is>
      </c>
      <c r="K15" s="67" t="inlineStr">
        <is>
          <t>기타지출</t>
        </is>
      </c>
      <c r="L15" s="67" t="inlineStr">
        <is>
          <t>N</t>
        </is>
      </c>
      <c r="M15" s="67" t="inlineStr">
        <is>
          <t>N</t>
        </is>
      </c>
      <c r="N15" s="148" t="n">
        <v>-1023110</v>
      </c>
      <c r="O15" s="67" t="inlineStr">
        <is>
          <t>국민은행_계좌 조회 6개월(20260913).xls</t>
        </is>
      </c>
      <c r="P15" s="69" t="inlineStr">
        <is>
          <t>기존내역</t>
        </is>
      </c>
    </row>
    <row r="16">
      <c r="A16" s="146" t="n">
        <v>46294.69428240741</v>
      </c>
      <c r="B16" s="147" t="n">
        <v>46294</v>
      </c>
      <c r="C16" s="67" t="inlineStr">
        <is>
          <t>우리은행</t>
        </is>
      </c>
      <c r="D16" s="67" t="inlineStr">
        <is>
          <t>우리 220351</t>
        </is>
      </c>
      <c r="E16" s="148" t="n">
        <v>109450</v>
      </c>
      <c r="F16" s="148" t="n">
        <v>0</v>
      </c>
      <c r="G16" s="148" t="n">
        <v>7102002</v>
      </c>
      <c r="H16" s="75" t="inlineStr">
        <is>
          <t>F/B 출금</t>
        </is>
      </c>
      <c r="I16" s="75" t="inlineStr">
        <is>
          <t>KT0600852509</t>
        </is>
      </c>
      <c r="J16" s="75" t="inlineStr">
        <is>
          <t>성서공단금융센터</t>
        </is>
      </c>
      <c r="K16" s="67" t="inlineStr">
        <is>
          <t>기타지출</t>
        </is>
      </c>
      <c r="L16" s="67" t="inlineStr">
        <is>
          <t>N</t>
        </is>
      </c>
      <c r="M16" s="67" t="inlineStr">
        <is>
          <t>Y</t>
        </is>
      </c>
      <c r="N16" s="148" t="n">
        <v>-109450</v>
      </c>
      <c r="O16" s="67" t="inlineStr">
        <is>
          <t>국민은행_계좌 조회 6개월(20260913).xls</t>
        </is>
      </c>
      <c r="P16" s="69" t="inlineStr">
        <is>
          <t>기존내역</t>
        </is>
      </c>
    </row>
    <row r="17">
      <c r="A17" s="146" t="n">
        <v>46295.1108912037</v>
      </c>
      <c r="B17" s="147" t="n">
        <v>46295</v>
      </c>
      <c r="C17" s="67" t="inlineStr">
        <is>
          <t>우리은행</t>
        </is>
      </c>
      <c r="D17" s="67" t="inlineStr">
        <is>
          <t>우리 220351</t>
        </is>
      </c>
      <c r="E17" s="148" t="n">
        <v>0</v>
      </c>
      <c r="F17" s="148" t="n">
        <v>5332118</v>
      </c>
      <c r="G17" s="148" t="n">
        <v>12434120</v>
      </c>
      <c r="H17" s="75" t="inlineStr">
        <is>
          <t>펌뱅킹</t>
        </is>
      </c>
      <c r="I17" s="75" t="inlineStr">
        <is>
          <t>스마트스토어정산</t>
        </is>
      </c>
      <c r="J17" s="75" t="inlineStr">
        <is>
          <t>두산타워기업영업지원팀</t>
        </is>
      </c>
      <c r="K17" s="67" t="inlineStr">
        <is>
          <t>온라인매출입금</t>
        </is>
      </c>
      <c r="L17" s="67" t="inlineStr">
        <is>
          <t>N</t>
        </is>
      </c>
      <c r="M17" s="67" t="inlineStr">
        <is>
          <t>N</t>
        </is>
      </c>
      <c r="N17" s="148" t="n">
        <v>5332118</v>
      </c>
      <c r="O17" s="67" t="inlineStr">
        <is>
          <t>국민은행_계좌 조회 6개월(20260913).xls</t>
        </is>
      </c>
      <c r="P17" s="69" t="inlineStr">
        <is>
          <t>기존내역</t>
        </is>
      </c>
    </row>
    <row r="18">
      <c r="A18" s="146" t="n">
        <v>46295.13541666666</v>
      </c>
      <c r="B18" s="147" t="n">
        <v>46295</v>
      </c>
      <c r="C18" s="67" t="inlineStr">
        <is>
          <t>우리은행</t>
        </is>
      </c>
      <c r="D18" s="67" t="inlineStr">
        <is>
          <t>우리 220351</t>
        </is>
      </c>
      <c r="E18" s="148" t="n">
        <v>3180</v>
      </c>
      <c r="F18" s="148" t="n">
        <v>0</v>
      </c>
      <c r="G18" s="148" t="n">
        <v>12430940</v>
      </c>
      <c r="H18" s="75" t="inlineStr">
        <is>
          <t>가스요금</t>
        </is>
      </c>
      <c r="I18" s="75" t="inlineStr">
        <is>
          <t>가스2609</t>
        </is>
      </c>
      <c r="J18" s="75" t="inlineStr">
        <is>
          <t>성서공단금융센터</t>
        </is>
      </c>
      <c r="K18" s="67" t="inlineStr">
        <is>
          <t>기타지출</t>
        </is>
      </c>
      <c r="L18" s="67" t="inlineStr">
        <is>
          <t>N</t>
        </is>
      </c>
      <c r="M18" s="67" t="inlineStr">
        <is>
          <t>Y</t>
        </is>
      </c>
      <c r="N18" s="148" t="n">
        <v>-3180</v>
      </c>
      <c r="O18" s="67" t="inlineStr">
        <is>
          <t>우리은행 거래내역조회 20260913.xlsx</t>
        </is>
      </c>
      <c r="P18" s="69" t="inlineStr">
        <is>
          <t>기존내역</t>
        </is>
      </c>
    </row>
    <row r="19">
      <c r="A19" s="146" t="n">
        <v>46295.55912037037</v>
      </c>
      <c r="B19" s="147" t="n">
        <v>46295</v>
      </c>
      <c r="C19" s="67" t="inlineStr">
        <is>
          <t>우리은행</t>
        </is>
      </c>
      <c r="D19" s="67" t="inlineStr">
        <is>
          <t>우리 220351</t>
        </is>
      </c>
      <c r="E19" s="148" t="n">
        <v>9350870</v>
      </c>
      <c r="F19" s="148" t="n">
        <v>0</v>
      </c>
      <c r="G19" s="148" t="n">
        <v>3080070</v>
      </c>
      <c r="H19" s="75" t="inlineStr">
        <is>
          <t>인터넷</t>
        </is>
      </c>
      <c r="I19" s="75" t="inlineStr">
        <is>
          <t>한진-주식회사</t>
        </is>
      </c>
      <c r="J19" s="75" t="inlineStr">
        <is>
          <t>성서공단금융센터</t>
        </is>
      </c>
      <c r="K19" s="67" t="inlineStr">
        <is>
          <t>기타지출</t>
        </is>
      </c>
      <c r="L19" s="67" t="inlineStr">
        <is>
          <t>N</t>
        </is>
      </c>
      <c r="M19" s="67" t="inlineStr">
        <is>
          <t>Y</t>
        </is>
      </c>
      <c r="N19" s="148" t="n">
        <v>-9350870</v>
      </c>
      <c r="O19" s="67" t="inlineStr">
        <is>
          <t>우리은행 거래내역조회 20260913.xlsx</t>
        </is>
      </c>
      <c r="P19" s="69" t="inlineStr">
        <is>
          <t>기존내역</t>
        </is>
      </c>
    </row>
    <row r="20">
      <c r="A20" s="146" t="n">
        <v>46295.73155092593</v>
      </c>
      <c r="B20" s="147" t="n">
        <v>46295</v>
      </c>
      <c r="C20" s="67" t="inlineStr">
        <is>
          <t>우리은행</t>
        </is>
      </c>
      <c r="D20" s="67" t="inlineStr">
        <is>
          <t>우리 220351</t>
        </is>
      </c>
      <c r="E20" s="148" t="n">
        <v>1210000</v>
      </c>
      <c r="F20" s="148" t="n">
        <v>0</v>
      </c>
      <c r="G20" s="148" t="n">
        <v>1370070</v>
      </c>
      <c r="H20" s="75" t="inlineStr">
        <is>
          <t>인터넷</t>
        </is>
      </c>
      <c r="I20" s="75" t="inlineStr">
        <is>
          <t>국민SA</t>
        </is>
      </c>
      <c r="J20" s="75" t="inlineStr">
        <is>
          <t>성서공단금융센터</t>
        </is>
      </c>
      <c r="K20" s="67" t="inlineStr">
        <is>
          <t>기타지출</t>
        </is>
      </c>
      <c r="L20" s="67" t="inlineStr">
        <is>
          <t>N</t>
        </is>
      </c>
      <c r="M20" s="67" t="inlineStr">
        <is>
          <t>Y</t>
        </is>
      </c>
      <c r="N20" s="148" t="n">
        <v>-1210000</v>
      </c>
      <c r="O20" s="67" t="inlineStr">
        <is>
          <t>우리은행 거래내역조회 20260913.xlsx</t>
        </is>
      </c>
      <c r="P20" s="69" t="inlineStr">
        <is>
          <t>기존내역</t>
        </is>
      </c>
    </row>
    <row r="21">
      <c r="A21" s="146" t="n">
        <v>46295.73155092593</v>
      </c>
      <c r="B21" s="147" t="n">
        <v>46295</v>
      </c>
      <c r="C21" s="67" t="inlineStr">
        <is>
          <t>우리은행</t>
        </is>
      </c>
      <c r="D21" s="67" t="inlineStr">
        <is>
          <t>우리 220351</t>
        </is>
      </c>
      <c r="E21" s="148" t="n">
        <v>500000</v>
      </c>
      <c r="F21" s="148" t="n">
        <v>0</v>
      </c>
      <c r="G21" s="148" t="n">
        <v>2580070</v>
      </c>
      <c r="H21" s="75" t="inlineStr">
        <is>
          <t>인터넷</t>
        </is>
      </c>
      <c r="I21" s="75" t="inlineStr">
        <is>
          <t>농협이준이서맘</t>
        </is>
      </c>
      <c r="J21" s="75" t="inlineStr">
        <is>
          <t>성서공단금융센터</t>
        </is>
      </c>
      <c r="K21" s="67" t="inlineStr">
        <is>
          <t>기타지출</t>
        </is>
      </c>
      <c r="L21" s="67" t="inlineStr">
        <is>
          <t>N</t>
        </is>
      </c>
      <c r="M21" s="67" t="inlineStr">
        <is>
          <t>N</t>
        </is>
      </c>
      <c r="N21" s="148" t="n">
        <v>-500000</v>
      </c>
      <c r="O21" s="67" t="inlineStr">
        <is>
          <t>우리은행 거래내역조회 20260913.xlsx</t>
        </is>
      </c>
      <c r="P21" s="69" t="inlineStr">
        <is>
          <t>기존내역</t>
        </is>
      </c>
    </row>
    <row r="22">
      <c r="A22" s="146" t="n">
        <v>46295.7315625</v>
      </c>
      <c r="B22" s="147" t="n">
        <v>46295</v>
      </c>
      <c r="C22" s="67" t="inlineStr">
        <is>
          <t>우리은행</t>
        </is>
      </c>
      <c r="D22" s="67" t="inlineStr">
        <is>
          <t>우리 220351</t>
        </is>
      </c>
      <c r="E22" s="148" t="n">
        <v>211640</v>
      </c>
      <c r="F22" s="148" t="n">
        <v>0</v>
      </c>
      <c r="G22" s="148" t="n">
        <v>1158430</v>
      </c>
      <c r="H22" s="75" t="inlineStr">
        <is>
          <t>인터넷</t>
        </is>
      </c>
      <c r="I22" s="75" t="inlineStr">
        <is>
          <t>국민물류관리비</t>
        </is>
      </c>
      <c r="J22" s="75" t="inlineStr">
        <is>
          <t>성서공단금융센터</t>
        </is>
      </c>
      <c r="K22" s="67" t="inlineStr">
        <is>
          <t>기타지출</t>
        </is>
      </c>
      <c r="L22" s="67" t="inlineStr">
        <is>
          <t>N</t>
        </is>
      </c>
      <c r="M22" s="67" t="inlineStr">
        <is>
          <t>N</t>
        </is>
      </c>
      <c r="N22" s="148" t="n">
        <v>-211640</v>
      </c>
      <c r="O22" s="67" t="inlineStr">
        <is>
          <t>우리은행 거래내역조회 20260913.xlsx</t>
        </is>
      </c>
      <c r="P22" s="69" t="inlineStr">
        <is>
          <t>기존내역</t>
        </is>
      </c>
    </row>
    <row r="23">
      <c r="A23" s="146" t="n">
        <v>46295.73157407407</v>
      </c>
      <c r="B23" s="147" t="n">
        <v>46295</v>
      </c>
      <c r="C23" s="67" t="inlineStr">
        <is>
          <t>우리은행</t>
        </is>
      </c>
      <c r="D23" s="67" t="inlineStr">
        <is>
          <t>우리 220351</t>
        </is>
      </c>
      <c r="E23" s="148" t="n">
        <v>903320</v>
      </c>
      <c r="F23" s="148" t="n">
        <v>0</v>
      </c>
      <c r="G23" s="148" t="n">
        <v>255110</v>
      </c>
      <c r="H23" s="75" t="inlineStr">
        <is>
          <t>인터넷</t>
        </is>
      </c>
      <c r="I23" s="75" t="inlineStr">
        <is>
          <t>기업흥덕관리비</t>
        </is>
      </c>
      <c r="J23" s="75" t="inlineStr">
        <is>
          <t>성서공단금융센터</t>
        </is>
      </c>
      <c r="K23" s="67" t="inlineStr">
        <is>
          <t>기타지출</t>
        </is>
      </c>
      <c r="L23" s="67" t="inlineStr">
        <is>
          <t>N</t>
        </is>
      </c>
      <c r="M23" s="67" t="inlineStr">
        <is>
          <t>N</t>
        </is>
      </c>
      <c r="N23" s="148" t="n">
        <v>-903320</v>
      </c>
      <c r="O23" s="67" t="inlineStr">
        <is>
          <t>국민은행_계좌 조회 6개월(20260913).xls</t>
        </is>
      </c>
      <c r="P23" s="69" t="inlineStr">
        <is>
          <t>기존내역</t>
        </is>
      </c>
    </row>
    <row r="24">
      <c r="A24" s="146" t="n">
        <v>46295.73158564815</v>
      </c>
      <c r="B24" s="147" t="n">
        <v>46295</v>
      </c>
      <c r="C24" s="67" t="inlineStr">
        <is>
          <t>우리은행</t>
        </is>
      </c>
      <c r="D24" s="67" t="inlineStr">
        <is>
          <t>우리 220351</t>
        </is>
      </c>
      <c r="E24" s="148" t="n">
        <v>91730</v>
      </c>
      <c r="F24" s="148" t="n">
        <v>0</v>
      </c>
      <c r="G24" s="148" t="n">
        <v>163380</v>
      </c>
      <c r="H24" s="75" t="inlineStr">
        <is>
          <t>인터넷</t>
        </is>
      </c>
      <c r="I24" s="75" t="inlineStr">
        <is>
          <t>기업특허법인 다옴</t>
        </is>
      </c>
      <c r="J24" s="75" t="inlineStr">
        <is>
          <t>성서공단금융센터</t>
        </is>
      </c>
      <c r="K24" s="67" t="inlineStr">
        <is>
          <t>기타지출</t>
        </is>
      </c>
      <c r="L24" s="67" t="inlineStr">
        <is>
          <t>N</t>
        </is>
      </c>
      <c r="M24" s="67" t="inlineStr">
        <is>
          <t>Y</t>
        </is>
      </c>
      <c r="N24" s="148" t="n">
        <v>-91730</v>
      </c>
      <c r="O24" s="67" t="inlineStr">
        <is>
          <t>우리은행 거래내역조회 20260913.xlsx</t>
        </is>
      </c>
      <c r="P24" s="69" t="inlineStr">
        <is>
          <t>기존내역</t>
        </is>
      </c>
    </row>
    <row r="25">
      <c r="A25" s="146" t="n">
        <v>46296.06688657407</v>
      </c>
      <c r="B25" s="147" t="n">
        <v>46296</v>
      </c>
      <c r="C25" s="67" t="inlineStr">
        <is>
          <t>우리은행</t>
        </is>
      </c>
      <c r="D25" s="67" t="inlineStr">
        <is>
          <t>우리 220351</t>
        </is>
      </c>
      <c r="E25" s="148" t="n">
        <v>0</v>
      </c>
      <c r="F25" s="148" t="n">
        <v>4533017</v>
      </c>
      <c r="G25" s="148" t="n">
        <v>4696397</v>
      </c>
      <c r="H25" s="75" t="inlineStr">
        <is>
          <t>펌뱅킹</t>
        </is>
      </c>
      <c r="I25" s="75" t="inlineStr">
        <is>
          <t>스마트스토어정산</t>
        </is>
      </c>
      <c r="J25" s="75" t="inlineStr">
        <is>
          <t>두산타워기업영업지원팀</t>
        </is>
      </c>
      <c r="K25" s="67" t="inlineStr">
        <is>
          <t>온라인매출입금</t>
        </is>
      </c>
      <c r="L25" s="67" t="inlineStr">
        <is>
          <t>N</t>
        </is>
      </c>
      <c r="M25" s="67" t="inlineStr">
        <is>
          <t>N</t>
        </is>
      </c>
      <c r="N25" s="148" t="n">
        <v>4533017</v>
      </c>
      <c r="O25" s="67" t="inlineStr">
        <is>
          <t>국민은행_계좌 조회 6개월(20260913).xls</t>
        </is>
      </c>
      <c r="P25" s="69" t="inlineStr">
        <is>
          <t>기존내역</t>
        </is>
      </c>
    </row>
    <row r="26">
      <c r="A26" s="146" t="n">
        <v>46296.07520833334</v>
      </c>
      <c r="B26" s="147" t="n">
        <v>46296</v>
      </c>
      <c r="C26" s="67" t="inlineStr">
        <is>
          <t>국민은행</t>
        </is>
      </c>
      <c r="D26" s="67" t="inlineStr">
        <is>
          <t>국민 154577</t>
        </is>
      </c>
      <c r="E26" s="148" t="n">
        <v>9000000</v>
      </c>
      <c r="F26" s="148" t="n">
        <v>0</v>
      </c>
      <c r="G26" s="148" t="n">
        <v>36063478</v>
      </c>
      <c r="H26" s="75" t="inlineStr">
        <is>
          <t>스마트출금</t>
        </is>
      </c>
      <c r="I26" s="75" t="inlineStr">
        <is>
          <t>김정원</t>
        </is>
      </c>
      <c r="J26" s="75" t="inlineStr">
        <is>
          <t>진천역</t>
        </is>
      </c>
      <c r="K26" s="67" t="inlineStr">
        <is>
          <t>기타지출</t>
        </is>
      </c>
      <c r="L26" s="67" t="inlineStr">
        <is>
          <t>N</t>
        </is>
      </c>
      <c r="M26" s="67" t="inlineStr">
        <is>
          <t>N</t>
        </is>
      </c>
      <c r="N26" s="148" t="n">
        <v>-9000000</v>
      </c>
      <c r="O26" s="67" t="inlineStr">
        <is>
          <t>국민은행_계좌 조회 6개월(20260913).xls</t>
        </is>
      </c>
      <c r="P26" s="69" t="inlineStr">
        <is>
          <t>기존내역</t>
        </is>
      </c>
    </row>
    <row r="27">
      <c r="A27" s="146" t="n">
        <v>46296.37723379629</v>
      </c>
      <c r="B27" s="147" t="n">
        <v>46296</v>
      </c>
      <c r="C27" s="67" t="inlineStr">
        <is>
          <t>국민은행</t>
        </is>
      </c>
      <c r="D27" s="67" t="inlineStr">
        <is>
          <t>국민 154577</t>
        </is>
      </c>
      <c r="E27" s="148" t="n">
        <v>0</v>
      </c>
      <c r="F27" s="148" t="n">
        <v>251135</v>
      </c>
      <c r="G27" s="148" t="n">
        <v>36314613</v>
      </c>
      <c r="H27" s="75" t="inlineStr">
        <is>
          <t>FBS입금</t>
        </is>
      </c>
      <c r="I27" s="75" t="inlineStr">
        <is>
          <t>카카오페이정산</t>
        </is>
      </c>
      <c r="J27" s="75" t="inlineStr">
        <is>
          <t>ERP사</t>
        </is>
      </c>
      <c r="K27" s="67" t="inlineStr">
        <is>
          <t>온라인매출입금</t>
        </is>
      </c>
      <c r="L27" s="67" t="inlineStr">
        <is>
          <t>N</t>
        </is>
      </c>
      <c r="M27" s="67" t="inlineStr">
        <is>
          <t>N</t>
        </is>
      </c>
      <c r="N27" s="148" t="n">
        <v>251135</v>
      </c>
      <c r="O27" s="67" t="inlineStr">
        <is>
          <t>우리은행 거래내역조회 20260913.xlsx</t>
        </is>
      </c>
      <c r="P27" s="69" t="inlineStr">
        <is>
          <t>기존내역</t>
        </is>
      </c>
    </row>
    <row r="28">
      <c r="A28" s="146" t="n">
        <v>46296.46258101852</v>
      </c>
      <c r="B28" s="147" t="n">
        <v>46296</v>
      </c>
      <c r="C28" s="67" t="inlineStr">
        <is>
          <t>국민은행</t>
        </is>
      </c>
      <c r="D28" s="67" t="inlineStr">
        <is>
          <t>국민 154577</t>
        </is>
      </c>
      <c r="E28" s="148" t="n">
        <v>0</v>
      </c>
      <c r="F28" s="148" t="n">
        <v>2872584</v>
      </c>
      <c r="G28" s="148" t="n">
        <v>39187197</v>
      </c>
      <c r="H28" s="75" t="inlineStr">
        <is>
          <t>전자금융</t>
        </is>
      </c>
      <c r="I28" s="75" t="inlineStr">
        <is>
          <t>KG이니시스</t>
        </is>
      </c>
      <c r="J28" s="75" t="inlineStr">
        <is>
          <t>하나은행</t>
        </is>
      </c>
      <c r="K28" s="67" t="inlineStr">
        <is>
          <t>온라인매출입금</t>
        </is>
      </c>
      <c r="L28" s="67" t="inlineStr">
        <is>
          <t>N</t>
        </is>
      </c>
      <c r="M28" s="67" t="inlineStr">
        <is>
          <t>N</t>
        </is>
      </c>
      <c r="N28" s="148" t="n">
        <v>2872584</v>
      </c>
      <c r="O28" s="67" t="inlineStr">
        <is>
          <t>우리은행 거래내역조회 20260913.xlsx</t>
        </is>
      </c>
      <c r="P28" s="69" t="inlineStr">
        <is>
          <t>기존내역</t>
        </is>
      </c>
    </row>
    <row r="29">
      <c r="A29" s="146" t="n">
        <v>46296.46618055556</v>
      </c>
      <c r="B29" s="147" t="n">
        <v>46296</v>
      </c>
      <c r="C29" s="67" t="inlineStr">
        <is>
          <t>국민은행</t>
        </is>
      </c>
      <c r="D29" s="67" t="inlineStr">
        <is>
          <t>국민 154577</t>
        </is>
      </c>
      <c r="E29" s="148" t="n">
        <v>0</v>
      </c>
      <c r="F29" s="148" t="n">
        <v>487545</v>
      </c>
      <c r="G29" s="148" t="n">
        <v>39674742</v>
      </c>
      <c r="H29" s="75" t="inlineStr">
        <is>
          <t>전자금융</t>
        </is>
      </c>
      <c r="I29" s="75" t="inlineStr">
        <is>
          <t>KG이니시스</t>
        </is>
      </c>
      <c r="J29" s="75" t="inlineStr">
        <is>
          <t>하나은행</t>
        </is>
      </c>
      <c r="K29" s="67" t="inlineStr">
        <is>
          <t>온라인매출입금</t>
        </is>
      </c>
      <c r="L29" s="67" t="inlineStr">
        <is>
          <t>N</t>
        </is>
      </c>
      <c r="M29" s="67" t="inlineStr">
        <is>
          <t>N</t>
        </is>
      </c>
      <c r="N29" s="148" t="n">
        <v>487545</v>
      </c>
      <c r="O29" s="67" t="inlineStr">
        <is>
          <t>국민은행_계좌 조회 6개월(20260913).xls</t>
        </is>
      </c>
      <c r="P29" s="69" t="inlineStr">
        <is>
          <t>기존내역</t>
        </is>
      </c>
    </row>
    <row r="30">
      <c r="A30" s="146" t="n">
        <v>46296.4759375</v>
      </c>
      <c r="B30" s="147" t="n">
        <v>46296</v>
      </c>
      <c r="C30" s="67" t="inlineStr">
        <is>
          <t>국민은행</t>
        </is>
      </c>
      <c r="D30" s="67" t="inlineStr">
        <is>
          <t>국민 154577</t>
        </is>
      </c>
      <c r="E30" s="148" t="n">
        <v>0</v>
      </c>
      <c r="F30" s="148" t="n">
        <v>444600</v>
      </c>
      <c r="G30" s="148" t="n">
        <v>40821342</v>
      </c>
      <c r="H30" s="75" t="inlineStr">
        <is>
          <t>FBS입금</t>
        </is>
      </c>
      <c r="I30" s="75" t="inlineStr">
        <is>
          <t>쿠팡(주)</t>
        </is>
      </c>
      <c r="J30" s="75" t="inlineStr">
        <is>
          <t>ERP사</t>
        </is>
      </c>
      <c r="K30" s="67" t="inlineStr">
        <is>
          <t>온라인매출입금</t>
        </is>
      </c>
      <c r="L30" s="67" t="inlineStr">
        <is>
          <t>N</t>
        </is>
      </c>
      <c r="M30" s="67" t="inlineStr">
        <is>
          <t>N</t>
        </is>
      </c>
      <c r="N30" s="148" t="n">
        <v>444600</v>
      </c>
      <c r="O30" s="67" t="inlineStr">
        <is>
          <t>우리은행 거래내역조회 20260913.xlsx</t>
        </is>
      </c>
      <c r="P30" s="69" t="inlineStr">
        <is>
          <t>기존내역</t>
        </is>
      </c>
    </row>
    <row r="31">
      <c r="A31" s="146" t="n">
        <v>46296.4759375</v>
      </c>
      <c r="B31" s="147" t="n">
        <v>46296</v>
      </c>
      <c r="C31" s="67" t="inlineStr">
        <is>
          <t>국민은행</t>
        </is>
      </c>
      <c r="D31" s="67" t="inlineStr">
        <is>
          <t>국민 154577</t>
        </is>
      </c>
      <c r="E31" s="148" t="n">
        <v>0</v>
      </c>
      <c r="F31" s="148" t="n">
        <v>702000</v>
      </c>
      <c r="G31" s="148" t="n">
        <v>40376742</v>
      </c>
      <c r="H31" s="75" t="inlineStr">
        <is>
          <t>FBS입금</t>
        </is>
      </c>
      <c r="I31" s="75" t="inlineStr">
        <is>
          <t>쿠팡(주)</t>
        </is>
      </c>
      <c r="J31" s="75" t="inlineStr">
        <is>
          <t>ERP사</t>
        </is>
      </c>
      <c r="K31" s="67" t="inlineStr">
        <is>
          <t>온라인매출입금</t>
        </is>
      </c>
      <c r="L31" s="67" t="inlineStr">
        <is>
          <t>N</t>
        </is>
      </c>
      <c r="M31" s="67" t="inlineStr">
        <is>
          <t>N</t>
        </is>
      </c>
      <c r="N31" s="148" t="n">
        <v>702000</v>
      </c>
      <c r="O31" s="67" t="inlineStr">
        <is>
          <t>국민은행_계좌 조회 6개월(20260913).xls</t>
        </is>
      </c>
      <c r="P31" s="69" t="inlineStr">
        <is>
          <t>기존내역</t>
        </is>
      </c>
    </row>
    <row r="32">
      <c r="A32" s="146" t="n">
        <v>46296.6912037037</v>
      </c>
      <c r="B32" s="147" t="n">
        <v>46296</v>
      </c>
      <c r="C32" s="67" t="inlineStr">
        <is>
          <t>국민은행</t>
        </is>
      </c>
      <c r="D32" s="67" t="inlineStr">
        <is>
          <t>국민 154577</t>
        </is>
      </c>
      <c r="E32" s="148" t="n">
        <v>0</v>
      </c>
      <c r="F32" s="148" t="n">
        <v>6000</v>
      </c>
      <c r="G32" s="148" t="n">
        <v>40827342</v>
      </c>
      <c r="H32" s="75" t="inlineStr">
        <is>
          <t>스마트입금</t>
        </is>
      </c>
      <c r="I32" s="75" t="inlineStr">
        <is>
          <t>강철왕</t>
        </is>
      </c>
      <c r="J32" s="75" t="inlineStr">
        <is>
          <t>여서동</t>
        </is>
      </c>
      <c r="K32" s="67" t="inlineStr">
        <is>
          <t>기타입금</t>
        </is>
      </c>
      <c r="L32" s="67" t="inlineStr">
        <is>
          <t>N</t>
        </is>
      </c>
      <c r="M32" s="67" t="inlineStr">
        <is>
          <t>N</t>
        </is>
      </c>
      <c r="N32" s="148" t="n">
        <v>6000</v>
      </c>
      <c r="O32" s="67" t="inlineStr">
        <is>
          <t>우리은행 거래내역조회 20260913.xlsx</t>
        </is>
      </c>
      <c r="P32" s="69" t="inlineStr">
        <is>
          <t>기존내역</t>
        </is>
      </c>
    </row>
    <row r="33">
      <c r="A33" s="146" t="n">
        <v>46296.7452662037</v>
      </c>
      <c r="B33" s="147" t="n">
        <v>46296</v>
      </c>
      <c r="C33" s="67" t="inlineStr">
        <is>
          <t>우리은행</t>
        </is>
      </c>
      <c r="D33" s="67" t="inlineStr">
        <is>
          <t>우리 220351</t>
        </is>
      </c>
      <c r="E33" s="148" t="n">
        <v>500000</v>
      </c>
      <c r="F33" s="148" t="n">
        <v>0</v>
      </c>
      <c r="G33" s="148" t="n">
        <v>4196397</v>
      </c>
      <c r="H33" s="75" t="inlineStr">
        <is>
          <t>인터넷</t>
        </is>
      </c>
      <c r="I33" s="75" t="inlineStr">
        <is>
          <t>(주)카카오</t>
        </is>
      </c>
      <c r="J33" s="75" t="inlineStr">
        <is>
          <t>성서공단금융센터</t>
        </is>
      </c>
      <c r="K33" s="67" t="inlineStr">
        <is>
          <t>기타지출</t>
        </is>
      </c>
      <c r="L33" s="67" t="inlineStr">
        <is>
          <t>N</t>
        </is>
      </c>
      <c r="M33" s="67" t="inlineStr">
        <is>
          <t>Y</t>
        </is>
      </c>
      <c r="N33" s="148" t="n">
        <v>-500000</v>
      </c>
      <c r="O33" s="67" t="inlineStr">
        <is>
          <t>우리은행 거래내역조회 20260913.xlsx</t>
        </is>
      </c>
      <c r="P33" s="69" t="inlineStr">
        <is>
          <t>기존내역</t>
        </is>
      </c>
    </row>
    <row r="34">
      <c r="A34" s="146" t="n">
        <v>46296.74527777778</v>
      </c>
      <c r="B34" s="147" t="n">
        <v>46296</v>
      </c>
      <c r="C34" s="67" t="inlineStr">
        <is>
          <t>우리은행</t>
        </is>
      </c>
      <c r="D34" s="67" t="inlineStr">
        <is>
          <t>우리 220351</t>
        </is>
      </c>
      <c r="E34" s="148" t="n">
        <v>1057320</v>
      </c>
      <c r="F34" s="148" t="n">
        <v>0</v>
      </c>
      <c r="G34" s="148" t="n">
        <v>1995077</v>
      </c>
      <c r="H34" s="75" t="inlineStr">
        <is>
          <t>인터넷</t>
        </is>
      </c>
      <c r="I34" s="75" t="inlineStr">
        <is>
          <t>기업주식회사 샐러드</t>
        </is>
      </c>
      <c r="J34" s="75" t="inlineStr">
        <is>
          <t>성서공단금융센터</t>
        </is>
      </c>
      <c r="K34" s="67" t="inlineStr">
        <is>
          <t>기타지출</t>
        </is>
      </c>
      <c r="L34" s="67" t="inlineStr">
        <is>
          <t>N</t>
        </is>
      </c>
      <c r="M34" s="67" t="inlineStr">
        <is>
          <t>N</t>
        </is>
      </c>
      <c r="N34" s="148" t="n">
        <v>-1057320</v>
      </c>
      <c r="O34" s="67" t="inlineStr">
        <is>
          <t>우리은행 거래내역조회 20260913.xlsx</t>
        </is>
      </c>
      <c r="P34" s="69" t="inlineStr">
        <is>
          <t>기존내역</t>
        </is>
      </c>
    </row>
    <row r="35">
      <c r="A35" s="146" t="n">
        <v>46296.74527777778</v>
      </c>
      <c r="B35" s="147" t="n">
        <v>46296</v>
      </c>
      <c r="C35" s="67" t="inlineStr">
        <is>
          <t>우리은행</t>
        </is>
      </c>
      <c r="D35" s="67" t="inlineStr">
        <is>
          <t>우리 220351</t>
        </is>
      </c>
      <c r="E35" s="148" t="n">
        <v>1144000</v>
      </c>
      <c r="F35" s="148" t="n">
        <v>0</v>
      </c>
      <c r="G35" s="148" t="n">
        <v>3052397</v>
      </c>
      <c r="H35" s="75" t="inlineStr">
        <is>
          <t>인터넷</t>
        </is>
      </c>
      <c r="I35" s="75" t="inlineStr">
        <is>
          <t>국민네이버 apha</t>
        </is>
      </c>
      <c r="J35" s="75" t="inlineStr">
        <is>
          <t>성서공단금융센터</t>
        </is>
      </c>
      <c r="K35" s="67" t="inlineStr">
        <is>
          <t>기타지출</t>
        </is>
      </c>
      <c r="L35" s="67" t="inlineStr">
        <is>
          <t>N</t>
        </is>
      </c>
      <c r="M35" s="67" t="inlineStr">
        <is>
          <t>Y</t>
        </is>
      </c>
      <c r="N35" s="148" t="n">
        <v>-1144000</v>
      </c>
      <c r="O35" s="67" t="inlineStr">
        <is>
          <t>국민은행_계좌 조회 6개월(20260913).xls</t>
        </is>
      </c>
      <c r="P35" s="69" t="inlineStr">
        <is>
          <t>기존내역</t>
        </is>
      </c>
    </row>
    <row r="36">
      <c r="A36" s="146" t="n">
        <v>46296.74528935185</v>
      </c>
      <c r="B36" s="147" t="n">
        <v>46296</v>
      </c>
      <c r="C36" s="67" t="inlineStr">
        <is>
          <t>우리은행</t>
        </is>
      </c>
      <c r="D36" s="67" t="inlineStr">
        <is>
          <t>우리 220351</t>
        </is>
      </c>
      <c r="E36" s="148" t="n">
        <v>880000</v>
      </c>
      <c r="F36" s="148" t="n">
        <v>0</v>
      </c>
      <c r="G36" s="148" t="n">
        <v>1115077</v>
      </c>
      <c r="H36" s="75" t="inlineStr">
        <is>
          <t>인터넷</t>
        </is>
      </c>
      <c r="I36" s="75" t="inlineStr">
        <is>
          <t>국민주식회사 오애드</t>
        </is>
      </c>
      <c r="J36" s="75" t="inlineStr">
        <is>
          <t>성서공단금융센터</t>
        </is>
      </c>
      <c r="K36" s="67" t="inlineStr">
        <is>
          <t>기타지출</t>
        </is>
      </c>
      <c r="L36" s="67" t="inlineStr">
        <is>
          <t>N</t>
        </is>
      </c>
      <c r="M36" s="67" t="inlineStr">
        <is>
          <t>Y</t>
        </is>
      </c>
      <c r="N36" s="148" t="n">
        <v>-880000</v>
      </c>
      <c r="O36" s="67" t="inlineStr">
        <is>
          <t>국민은행_계좌 조회 6개월(20260913).xls</t>
        </is>
      </c>
      <c r="P36" s="69" t="inlineStr">
        <is>
          <t>기존내역</t>
        </is>
      </c>
    </row>
    <row r="37">
      <c r="A37" s="146" t="n">
        <v>46296.81741898148</v>
      </c>
      <c r="B37" s="147" t="n">
        <v>46296</v>
      </c>
      <c r="C37" s="67" t="inlineStr">
        <is>
          <t>국민은행</t>
        </is>
      </c>
      <c r="D37" s="67" t="inlineStr">
        <is>
          <t>국민 154577</t>
        </is>
      </c>
      <c r="E37" s="148" t="n">
        <v>2797570</v>
      </c>
      <c r="F37" s="148" t="n">
        <v>0</v>
      </c>
      <c r="G37" s="148" t="n">
        <v>38029772</v>
      </c>
      <c r="H37" s="75" t="inlineStr">
        <is>
          <t>FBS출금</t>
        </is>
      </c>
      <c r="I37" s="75" t="inlineStr">
        <is>
          <t>KB7008</t>
        </is>
      </c>
      <c r="J37" s="75" t="inlineStr">
        <is>
          <t>ERP사</t>
        </is>
      </c>
      <c r="K37" s="67" t="inlineStr">
        <is>
          <t>기타지출</t>
        </is>
      </c>
      <c r="L37" s="67" t="inlineStr">
        <is>
          <t>N</t>
        </is>
      </c>
      <c r="M37" s="67" t="inlineStr">
        <is>
          <t>Y</t>
        </is>
      </c>
      <c r="N37" s="148" t="n">
        <v>-2797570</v>
      </c>
      <c r="O37" s="67" t="inlineStr">
        <is>
          <t>우리은행 거래내역조회 20260913.xlsx</t>
        </is>
      </c>
      <c r="P37" s="69" t="inlineStr">
        <is>
          <t>기존내역</t>
        </is>
      </c>
    </row>
    <row r="38">
      <c r="A38" s="146" t="n">
        <v>46297.09947916667</v>
      </c>
      <c r="B38" s="147" t="n">
        <v>46297</v>
      </c>
      <c r="C38" s="67" t="inlineStr">
        <is>
          <t>국민은행</t>
        </is>
      </c>
      <c r="D38" s="67" t="inlineStr">
        <is>
          <t>국민 154577</t>
        </is>
      </c>
      <c r="E38" s="148" t="n">
        <v>0</v>
      </c>
      <c r="F38" s="148" t="n">
        <v>96068</v>
      </c>
      <c r="G38" s="148" t="n">
        <v>38125840</v>
      </c>
      <c r="H38" s="75" t="inlineStr">
        <is>
          <t>전자금융</t>
        </is>
      </c>
      <c r="I38" s="75" t="inlineStr">
        <is>
          <t>Npay정산</t>
        </is>
      </c>
      <c r="J38" s="75" t="inlineStr">
        <is>
          <t>SC은행</t>
        </is>
      </c>
      <c r="K38" s="67" t="inlineStr">
        <is>
          <t>온라인매출입금</t>
        </is>
      </c>
      <c r="L38" s="67" t="inlineStr">
        <is>
          <t>N</t>
        </is>
      </c>
      <c r="M38" s="67" t="inlineStr">
        <is>
          <t>N</t>
        </is>
      </c>
      <c r="N38" s="148" t="n">
        <v>96068</v>
      </c>
      <c r="O38" s="67" t="inlineStr">
        <is>
          <t>국민은행_계좌 조회 6개월(20260913).xls</t>
        </is>
      </c>
      <c r="P38" s="69" t="inlineStr">
        <is>
          <t>기존내역</t>
        </is>
      </c>
    </row>
    <row r="39">
      <c r="A39" s="146" t="n">
        <v>46297.10918981482</v>
      </c>
      <c r="B39" s="147" t="n">
        <v>46297</v>
      </c>
      <c r="C39" s="67" t="inlineStr">
        <is>
          <t>우리은행</t>
        </is>
      </c>
      <c r="D39" s="67" t="inlineStr">
        <is>
          <t>우리 220351</t>
        </is>
      </c>
      <c r="E39" s="148" t="n">
        <v>0</v>
      </c>
      <c r="F39" s="148" t="n">
        <v>5804238</v>
      </c>
      <c r="G39" s="148" t="n">
        <v>6919315</v>
      </c>
      <c r="H39" s="75" t="inlineStr">
        <is>
          <t>펌뱅킹</t>
        </is>
      </c>
      <c r="I39" s="75" t="inlineStr">
        <is>
          <t>스마트스토어정산</t>
        </is>
      </c>
      <c r="J39" s="75" t="inlineStr">
        <is>
          <t>두산타워기업영업지원팀</t>
        </is>
      </c>
      <c r="K39" s="67" t="inlineStr">
        <is>
          <t>온라인매출입금</t>
        </is>
      </c>
      <c r="L39" s="67" t="inlineStr">
        <is>
          <t>N</t>
        </is>
      </c>
      <c r="M39" s="67" t="inlineStr">
        <is>
          <t>N</t>
        </is>
      </c>
      <c r="N39" s="148" t="n">
        <v>5804238</v>
      </c>
      <c r="O39" s="67" t="inlineStr">
        <is>
          <t>국민은행_계좌 조회 6개월(20260913).xls</t>
        </is>
      </c>
      <c r="P39" s="69" t="inlineStr">
        <is>
          <t>기존내역</t>
        </is>
      </c>
    </row>
    <row r="40">
      <c r="A40" s="146" t="n">
        <v>46297.37607638889</v>
      </c>
      <c r="B40" s="147" t="n">
        <v>46297</v>
      </c>
      <c r="C40" s="67" t="inlineStr">
        <is>
          <t>국민은행</t>
        </is>
      </c>
      <c r="D40" s="67" t="inlineStr">
        <is>
          <t>국민 154577</t>
        </is>
      </c>
      <c r="E40" s="148" t="n">
        <v>0</v>
      </c>
      <c r="F40" s="148" t="n">
        <v>330345</v>
      </c>
      <c r="G40" s="148" t="n">
        <v>38456185</v>
      </c>
      <c r="H40" s="75" t="inlineStr">
        <is>
          <t>FBS입금</t>
        </is>
      </c>
      <c r="I40" s="75" t="inlineStr">
        <is>
          <t>카카오페이정산</t>
        </is>
      </c>
      <c r="J40" s="75" t="inlineStr">
        <is>
          <t>ERP사</t>
        </is>
      </c>
      <c r="K40" s="67" t="inlineStr">
        <is>
          <t>온라인매출입금</t>
        </is>
      </c>
      <c r="L40" s="67" t="inlineStr">
        <is>
          <t>N</t>
        </is>
      </c>
      <c r="M40" s="67" t="inlineStr">
        <is>
          <t>N</t>
        </is>
      </c>
      <c r="N40" s="148" t="n">
        <v>330345</v>
      </c>
      <c r="O40" s="67" t="inlineStr">
        <is>
          <t>국민은행_계좌 조회 6개월(20260913).xls</t>
        </is>
      </c>
      <c r="P40" s="69" t="inlineStr">
        <is>
          <t>기존내역</t>
        </is>
      </c>
    </row>
    <row r="41">
      <c r="A41" s="146" t="n">
        <v>46297.45837962963</v>
      </c>
      <c r="B41" s="147" t="n">
        <v>46297</v>
      </c>
      <c r="C41" s="67" t="inlineStr">
        <is>
          <t>국민은행</t>
        </is>
      </c>
      <c r="D41" s="67" t="inlineStr">
        <is>
          <t>국민 154577</t>
        </is>
      </c>
      <c r="E41" s="148" t="n">
        <v>0</v>
      </c>
      <c r="F41" s="148" t="n">
        <v>644436</v>
      </c>
      <c r="G41" s="148" t="n">
        <v>39100621</v>
      </c>
      <c r="H41" s="75" t="inlineStr">
        <is>
          <t>전자금융</t>
        </is>
      </c>
      <c r="I41" s="75" t="inlineStr">
        <is>
          <t>KG이니시스</t>
        </is>
      </c>
      <c r="J41" s="75" t="inlineStr">
        <is>
          <t>하나은행</t>
        </is>
      </c>
      <c r="K41" s="67" t="inlineStr">
        <is>
          <t>온라인매출입금</t>
        </is>
      </c>
      <c r="L41" s="67" t="inlineStr">
        <is>
          <t>N</t>
        </is>
      </c>
      <c r="M41" s="67" t="inlineStr">
        <is>
          <t>N</t>
        </is>
      </c>
      <c r="N41" s="148" t="n">
        <v>644436</v>
      </c>
      <c r="O41" s="67" t="inlineStr">
        <is>
          <t>국민은행_계좌 조회 6개월(20260913).xls</t>
        </is>
      </c>
      <c r="P41" s="69" t="inlineStr">
        <is>
          <t>기존내역</t>
        </is>
      </c>
    </row>
    <row r="42">
      <c r="A42" s="146" t="n">
        <v>46297.46946759259</v>
      </c>
      <c r="B42" s="147" t="n">
        <v>46297</v>
      </c>
      <c r="C42" s="67" t="inlineStr">
        <is>
          <t>국민은행</t>
        </is>
      </c>
      <c r="D42" s="67" t="inlineStr">
        <is>
          <t>국민 154577</t>
        </is>
      </c>
      <c r="E42" s="148" t="n">
        <v>0</v>
      </c>
      <c r="F42" s="148" t="n">
        <v>127804</v>
      </c>
      <c r="G42" s="148" t="n">
        <v>39228425</v>
      </c>
      <c r="H42" s="75" t="inlineStr">
        <is>
          <t>전자금융</t>
        </is>
      </c>
      <c r="I42" s="75" t="inlineStr">
        <is>
          <t>KG이니시스</t>
        </is>
      </c>
      <c r="J42" s="75" t="inlineStr">
        <is>
          <t>하나은행</t>
        </is>
      </c>
      <c r="K42" s="67" t="inlineStr">
        <is>
          <t>온라인매출입금</t>
        </is>
      </c>
      <c r="L42" s="67" t="inlineStr">
        <is>
          <t>N</t>
        </is>
      </c>
      <c r="M42" s="67" t="inlineStr">
        <is>
          <t>N</t>
        </is>
      </c>
      <c r="N42" s="148" t="n">
        <v>127804</v>
      </c>
      <c r="O42" s="67" t="inlineStr">
        <is>
          <t>국민은행_계좌 조회 6개월(20260913).xls</t>
        </is>
      </c>
      <c r="P42" s="69" t="inlineStr">
        <is>
          <t>기존내역</t>
        </is>
      </c>
    </row>
    <row r="43">
      <c r="A43" s="146" t="n">
        <v>46297.4727662037</v>
      </c>
      <c r="B43" s="147" t="n">
        <v>46297</v>
      </c>
      <c r="C43" s="67" t="inlineStr">
        <is>
          <t>국민은행</t>
        </is>
      </c>
      <c r="D43" s="67" t="inlineStr">
        <is>
          <t>국민 154577</t>
        </is>
      </c>
      <c r="E43" s="148" t="n">
        <v>0</v>
      </c>
      <c r="F43" s="148" t="n">
        <v>1214850</v>
      </c>
      <c r="G43" s="148" t="n">
        <v>40443275</v>
      </c>
      <c r="H43" s="75" t="inlineStr">
        <is>
          <t>FBS입금</t>
        </is>
      </c>
      <c r="I43" s="75" t="inlineStr">
        <is>
          <t>쿠팡(주)</t>
        </is>
      </c>
      <c r="J43" s="75" t="inlineStr">
        <is>
          <t>ERP사</t>
        </is>
      </c>
      <c r="K43" s="67" t="inlineStr">
        <is>
          <t>온라인매출입금</t>
        </is>
      </c>
      <c r="L43" s="67" t="inlineStr">
        <is>
          <t>N</t>
        </is>
      </c>
      <c r="M43" s="67" t="inlineStr">
        <is>
          <t>N</t>
        </is>
      </c>
      <c r="N43" s="148" t="n">
        <v>1214850</v>
      </c>
      <c r="O43" s="67" t="inlineStr">
        <is>
          <t>우리은행 거래내역조회 20260913.xlsx</t>
        </is>
      </c>
      <c r="P43" s="69" t="inlineStr">
        <is>
          <t>기존내역</t>
        </is>
      </c>
    </row>
    <row r="44">
      <c r="A44" s="146" t="n">
        <v>46297.60028935185</v>
      </c>
      <c r="B44" s="147" t="n">
        <v>46297</v>
      </c>
      <c r="C44" s="67" t="inlineStr">
        <is>
          <t>국민은행</t>
        </is>
      </c>
      <c r="D44" s="67" t="inlineStr">
        <is>
          <t>국민 154577</t>
        </is>
      </c>
      <c r="E44" s="148" t="n">
        <v>0</v>
      </c>
      <c r="F44" s="148" t="n">
        <v>56300</v>
      </c>
      <c r="G44" s="148" t="n">
        <v>40499575</v>
      </c>
      <c r="H44" s="75" t="inlineStr">
        <is>
          <t>전자금융</t>
        </is>
      </c>
      <c r="I44" s="75" t="inlineStr">
        <is>
          <t>김소희</t>
        </is>
      </c>
      <c r="J44" s="75" t="inlineStr">
        <is>
          <t>토스뱅크</t>
        </is>
      </c>
      <c r="K44" s="67" t="inlineStr">
        <is>
          <t>기타입금</t>
        </is>
      </c>
      <c r="L44" s="67" t="inlineStr">
        <is>
          <t>N</t>
        </is>
      </c>
      <c r="M44" s="67" t="inlineStr">
        <is>
          <t>N</t>
        </is>
      </c>
      <c r="N44" s="148" t="n">
        <v>56300</v>
      </c>
      <c r="O44" s="67" t="inlineStr">
        <is>
          <t>우리은행 거래내역조회 20260913.xlsx</t>
        </is>
      </c>
      <c r="P44" s="69" t="inlineStr">
        <is>
          <t>기존내역</t>
        </is>
      </c>
    </row>
    <row r="45">
      <c r="A45" s="146" t="n">
        <v>46297.64930555555</v>
      </c>
      <c r="B45" s="147" t="n">
        <v>46297</v>
      </c>
      <c r="C45" s="67" t="inlineStr">
        <is>
          <t>국민은행</t>
        </is>
      </c>
      <c r="D45" s="67" t="inlineStr">
        <is>
          <t>국민 154577</t>
        </is>
      </c>
      <c r="E45" s="148" t="n">
        <v>0</v>
      </c>
      <c r="F45" s="148" t="n">
        <v>444356</v>
      </c>
      <c r="G45" s="148" t="n">
        <v>40943931</v>
      </c>
      <c r="H45" s="75" t="inlineStr">
        <is>
          <t>인터넷입금이체</t>
        </is>
      </c>
      <c r="I45" s="75" t="inlineStr">
        <is>
          <t>(주)씨제이이엔엠</t>
        </is>
      </c>
      <c r="J45" s="75" t="inlineStr">
        <is>
          <t>대1-5</t>
        </is>
      </c>
      <c r="K45" s="67" t="inlineStr">
        <is>
          <t>온라인매출입금</t>
        </is>
      </c>
      <c r="L45" s="67" t="inlineStr">
        <is>
          <t>N</t>
        </is>
      </c>
      <c r="M45" s="67" t="inlineStr">
        <is>
          <t>N</t>
        </is>
      </c>
      <c r="N45" s="148" t="n">
        <v>444356</v>
      </c>
      <c r="O45" s="67" t="inlineStr">
        <is>
          <t>우리은행 거래내역조회 20260913.xlsx</t>
        </is>
      </c>
      <c r="P45" s="69" t="inlineStr">
        <is>
          <t>기존내역</t>
        </is>
      </c>
    </row>
    <row r="46">
      <c r="A46" s="146" t="n">
        <v>46297.72553240741</v>
      </c>
      <c r="B46" s="147" t="n">
        <v>46297</v>
      </c>
      <c r="C46" s="67" t="inlineStr">
        <is>
          <t>우리은행</t>
        </is>
      </c>
      <c r="D46" s="67" t="inlineStr">
        <is>
          <t>우리 220351</t>
        </is>
      </c>
      <c r="E46" s="148" t="n">
        <v>275000</v>
      </c>
      <c r="F46" s="148" t="n">
        <v>0</v>
      </c>
      <c r="G46" s="148" t="n">
        <v>6644315</v>
      </c>
      <c r="H46" s="75" t="inlineStr">
        <is>
          <t>인터넷</t>
        </is>
      </c>
      <c r="I46" s="75" t="inlineStr">
        <is>
          <t>하나남경 노무법인</t>
        </is>
      </c>
      <c r="J46" s="75" t="inlineStr">
        <is>
          <t>성서공단금융센터</t>
        </is>
      </c>
      <c r="K46" s="67" t="inlineStr">
        <is>
          <t>기타지출</t>
        </is>
      </c>
      <c r="L46" s="67" t="inlineStr">
        <is>
          <t>N</t>
        </is>
      </c>
      <c r="M46" s="67" t="inlineStr">
        <is>
          <t>Y</t>
        </is>
      </c>
      <c r="N46" s="148" t="n">
        <v>-275000</v>
      </c>
      <c r="O46" s="67" t="inlineStr">
        <is>
          <t>우리은행 거래내역조회 20260913.xlsx</t>
        </is>
      </c>
      <c r="P46" s="69" t="inlineStr">
        <is>
          <t>기존내역</t>
        </is>
      </c>
    </row>
    <row r="47">
      <c r="A47" s="146" t="n">
        <v>46297.72554398148</v>
      </c>
      <c r="B47" s="147" t="n">
        <v>46297</v>
      </c>
      <c r="C47" s="67" t="inlineStr">
        <is>
          <t>우리은행</t>
        </is>
      </c>
      <c r="D47" s="67" t="inlineStr">
        <is>
          <t>우리 220351</t>
        </is>
      </c>
      <c r="E47" s="148" t="n">
        <v>40000</v>
      </c>
      <c r="F47" s="148" t="n">
        <v>0</v>
      </c>
      <c r="G47" s="148" t="n">
        <v>6604315</v>
      </c>
      <c r="H47" s="75" t="inlineStr">
        <is>
          <t>인터넷</t>
        </is>
      </c>
      <c r="I47" s="75" t="inlineStr">
        <is>
          <t>농협이승연</t>
        </is>
      </c>
      <c r="J47" s="75" t="inlineStr">
        <is>
          <t>성서공단금융센터</t>
        </is>
      </c>
      <c r="K47" s="67" t="inlineStr">
        <is>
          <t>기타지출</t>
        </is>
      </c>
      <c r="L47" s="67" t="inlineStr">
        <is>
          <t>N</t>
        </is>
      </c>
      <c r="M47" s="67" t="inlineStr">
        <is>
          <t>N</t>
        </is>
      </c>
      <c r="N47" s="148" t="n">
        <v>-40000</v>
      </c>
      <c r="O47" s="67" t="inlineStr">
        <is>
          <t>우리은행 거래내역조회 20260913.xlsx</t>
        </is>
      </c>
      <c r="P47" s="69" t="inlineStr">
        <is>
          <t>기존내역</t>
        </is>
      </c>
    </row>
    <row r="48">
      <c r="A48" s="146" t="n">
        <v>46297.72555555555</v>
      </c>
      <c r="B48" s="147" t="n">
        <v>46297</v>
      </c>
      <c r="C48" s="67" t="inlineStr">
        <is>
          <t>우리은행</t>
        </is>
      </c>
      <c r="D48" s="67" t="inlineStr">
        <is>
          <t>우리 220351</t>
        </is>
      </c>
      <c r="E48" s="148" t="n">
        <v>3718000</v>
      </c>
      <c r="F48" s="148" t="n">
        <v>0</v>
      </c>
      <c r="G48" s="148" t="n">
        <v>2886315</v>
      </c>
      <c r="H48" s="75" t="inlineStr">
        <is>
          <t>인터넷</t>
        </is>
      </c>
      <c r="I48" s="75" t="inlineStr">
        <is>
          <t>국민네이버 apha</t>
        </is>
      </c>
      <c r="J48" s="75" t="inlineStr">
        <is>
          <t>성서공단금융센터</t>
        </is>
      </c>
      <c r="K48" s="67" t="inlineStr">
        <is>
          <t>기타지출</t>
        </is>
      </c>
      <c r="L48" s="67" t="inlineStr">
        <is>
          <t>N</t>
        </is>
      </c>
      <c r="M48" s="67" t="inlineStr">
        <is>
          <t>Y</t>
        </is>
      </c>
      <c r="N48" s="148" t="n">
        <v>-3718000</v>
      </c>
      <c r="O48" s="67" t="inlineStr">
        <is>
          <t>우리은행 거래내역조회 20260913.xlsx</t>
        </is>
      </c>
      <c r="P48" s="69" t="inlineStr">
        <is>
          <t>기존내역</t>
        </is>
      </c>
    </row>
    <row r="49">
      <c r="A49" s="146" t="n">
        <v>46297.72556712963</v>
      </c>
      <c r="B49" s="147" t="n">
        <v>46297</v>
      </c>
      <c r="C49" s="67" t="inlineStr">
        <is>
          <t>우리은행</t>
        </is>
      </c>
      <c r="D49" s="67" t="inlineStr">
        <is>
          <t>우리 220351</t>
        </is>
      </c>
      <c r="E49" s="148" t="n">
        <v>880000</v>
      </c>
      <c r="F49" s="148" t="n">
        <v>0</v>
      </c>
      <c r="G49" s="148" t="n">
        <v>2006315</v>
      </c>
      <c r="H49" s="75" t="inlineStr">
        <is>
          <t>인터넷</t>
        </is>
      </c>
      <c r="I49" s="75" t="inlineStr">
        <is>
          <t>국민네이버 에이팜건</t>
        </is>
      </c>
      <c r="J49" s="75" t="inlineStr">
        <is>
          <t>성서공단금융센터</t>
        </is>
      </c>
      <c r="K49" s="67" t="inlineStr">
        <is>
          <t>기타지출</t>
        </is>
      </c>
      <c r="L49" s="67" t="inlineStr">
        <is>
          <t>N</t>
        </is>
      </c>
      <c r="M49" s="67" t="inlineStr">
        <is>
          <t>Y</t>
        </is>
      </c>
      <c r="N49" s="148" t="n">
        <v>-880000</v>
      </c>
      <c r="O49" s="67" t="inlineStr">
        <is>
          <t>우리은행 거래내역조회 20260913.xlsx</t>
        </is>
      </c>
      <c r="P49" s="69" t="inlineStr">
        <is>
          <t>기존내역</t>
        </is>
      </c>
    </row>
    <row r="50">
      <c r="A50" s="146" t="n">
        <v>46297.72557870371</v>
      </c>
      <c r="B50" s="147" t="n">
        <v>46297</v>
      </c>
      <c r="C50" s="67" t="inlineStr">
        <is>
          <t>우리은행</t>
        </is>
      </c>
      <c r="D50" s="67" t="inlineStr">
        <is>
          <t>우리 220351</t>
        </is>
      </c>
      <c r="E50" s="148" t="n">
        <v>1320000</v>
      </c>
      <c r="F50" s="148" t="n">
        <v>0</v>
      </c>
      <c r="G50" s="148" t="n">
        <v>686315</v>
      </c>
      <c r="H50" s="75" t="inlineStr">
        <is>
          <t>인터넷</t>
        </is>
      </c>
      <c r="I50" s="75" t="inlineStr">
        <is>
          <t>국민네이버 ddi5</t>
        </is>
      </c>
      <c r="J50" s="75" t="inlineStr">
        <is>
          <t>성서공단금융센터</t>
        </is>
      </c>
      <c r="K50" s="67" t="inlineStr">
        <is>
          <t>기타지출</t>
        </is>
      </c>
      <c r="L50" s="67" t="inlineStr">
        <is>
          <t>N</t>
        </is>
      </c>
      <c r="M50" s="67" t="inlineStr">
        <is>
          <t>N</t>
        </is>
      </c>
      <c r="N50" s="148" t="n">
        <v>-1320000</v>
      </c>
      <c r="O50" s="67" t="inlineStr">
        <is>
          <t>우리은행 거래내역조회 20260913.xlsx</t>
        </is>
      </c>
      <c r="P50" s="69" t="inlineStr">
        <is>
          <t>기존내역</t>
        </is>
      </c>
    </row>
    <row r="51">
      <c r="A51" s="146" t="n">
        <v>46297.97887731482</v>
      </c>
      <c r="B51" s="147" t="n">
        <v>46297</v>
      </c>
      <c r="C51" s="67" t="inlineStr">
        <is>
          <t>국민은행</t>
        </is>
      </c>
      <c r="D51" s="67" t="inlineStr">
        <is>
          <t>국민 154577</t>
        </is>
      </c>
      <c r="E51" s="148" t="n">
        <v>0</v>
      </c>
      <c r="F51" s="148" t="n">
        <v>2470</v>
      </c>
      <c r="G51" s="148" t="n">
        <v>40946401</v>
      </c>
      <c r="H51" s="75" t="inlineStr">
        <is>
          <t>전자금융</t>
        </is>
      </c>
      <c r="I51" s="75" t="inlineStr">
        <is>
          <t>차다연</t>
        </is>
      </c>
      <c r="J51" s="75" t="inlineStr">
        <is>
          <t>카뱅</t>
        </is>
      </c>
      <c r="K51" s="67" t="inlineStr">
        <is>
          <t>기타입금</t>
        </is>
      </c>
      <c r="L51" s="67" t="inlineStr">
        <is>
          <t>N</t>
        </is>
      </c>
      <c r="M51" s="67" t="inlineStr">
        <is>
          <t>N</t>
        </is>
      </c>
      <c r="N51" s="148" t="n">
        <v>2470</v>
      </c>
      <c r="O51" s="67" t="inlineStr">
        <is>
          <t>국민은행_계좌 조회 6개월(20260913).xls</t>
        </is>
      </c>
      <c r="P51" s="69" t="inlineStr">
        <is>
          <t>기존내역</t>
        </is>
      </c>
    </row>
    <row r="52">
      <c r="A52" s="146" t="n">
        <v>46301.12375</v>
      </c>
      <c r="B52" s="147" t="n">
        <v>46301</v>
      </c>
      <c r="C52" s="67" t="inlineStr">
        <is>
          <t>우리은행</t>
        </is>
      </c>
      <c r="D52" s="67" t="inlineStr">
        <is>
          <t>우리 220351</t>
        </is>
      </c>
      <c r="E52" s="148" t="n">
        <v>0</v>
      </c>
      <c r="F52" s="148" t="n">
        <v>4140807</v>
      </c>
      <c r="G52" s="148" t="n">
        <v>4827122</v>
      </c>
      <c r="H52" s="75" t="inlineStr">
        <is>
          <t>펌뱅킹</t>
        </is>
      </c>
      <c r="I52" s="75" t="inlineStr">
        <is>
          <t>스마트스토어정산</t>
        </is>
      </c>
      <c r="J52" s="75" t="inlineStr">
        <is>
          <t>두산타워기업영업지원팀</t>
        </is>
      </c>
      <c r="K52" s="67" t="inlineStr">
        <is>
          <t>온라인매출입금</t>
        </is>
      </c>
      <c r="L52" s="67" t="inlineStr">
        <is>
          <t>N</t>
        </is>
      </c>
      <c r="M52" s="67" t="inlineStr">
        <is>
          <t>N</t>
        </is>
      </c>
      <c r="N52" s="148" t="n">
        <v>4140807</v>
      </c>
      <c r="O52" s="67" t="inlineStr">
        <is>
          <t>국민은행_계좌 조회 6개월(20260913).xls</t>
        </is>
      </c>
      <c r="P52" s="69" t="inlineStr">
        <is>
          <t>기존내역</t>
        </is>
      </c>
    </row>
    <row r="53">
      <c r="A53" s="146" t="n">
        <v>46301.13821759259</v>
      </c>
      <c r="B53" s="147" t="n">
        <v>46301</v>
      </c>
      <c r="C53" s="67" t="inlineStr">
        <is>
          <t>우리은행</t>
        </is>
      </c>
      <c r="D53" s="67" t="inlineStr">
        <is>
          <t>우리 220351</t>
        </is>
      </c>
      <c r="E53" s="148" t="n">
        <v>100000</v>
      </c>
      <c r="F53" s="148" t="n">
        <v>0</v>
      </c>
      <c r="G53" s="148" t="n">
        <v>4727122</v>
      </c>
      <c r="H53" s="75" t="inlineStr">
        <is>
          <t>ＣＭＳ</t>
        </is>
      </c>
      <c r="I53" s="75" t="inlineStr">
        <is>
          <t>대한사회복지회</t>
        </is>
      </c>
      <c r="J53" s="75" t="inlineStr">
        <is>
          <t>성서공단금융센터</t>
        </is>
      </c>
      <c r="K53" s="67" t="inlineStr">
        <is>
          <t>기타지출</t>
        </is>
      </c>
      <c r="L53" s="67" t="inlineStr">
        <is>
          <t>N</t>
        </is>
      </c>
      <c r="M53" s="67" t="inlineStr">
        <is>
          <t>Y</t>
        </is>
      </c>
      <c r="N53" s="148" t="n">
        <v>-100000</v>
      </c>
      <c r="O53" s="67" t="inlineStr">
        <is>
          <t>우리은행 거래내역조회 20260913.xlsx</t>
        </is>
      </c>
      <c r="P53" s="69" t="inlineStr">
        <is>
          <t>기존내역</t>
        </is>
      </c>
    </row>
    <row r="54">
      <c r="A54" s="146" t="n">
        <v>46301.37581018519</v>
      </c>
      <c r="B54" s="147" t="n">
        <v>46301</v>
      </c>
      <c r="C54" s="67" t="inlineStr">
        <is>
          <t>국민은행</t>
        </is>
      </c>
      <c r="D54" s="67" t="inlineStr">
        <is>
          <t>국민 154577</t>
        </is>
      </c>
      <c r="E54" s="148" t="n">
        <v>0</v>
      </c>
      <c r="F54" s="148" t="n">
        <v>237872</v>
      </c>
      <c r="G54" s="148" t="n">
        <v>41184273</v>
      </c>
      <c r="H54" s="75" t="inlineStr">
        <is>
          <t>FBS입금</t>
        </is>
      </c>
      <c r="I54" s="75" t="inlineStr">
        <is>
          <t>카카오페이정산</t>
        </is>
      </c>
      <c r="J54" s="75" t="inlineStr">
        <is>
          <t>ERP사</t>
        </is>
      </c>
      <c r="K54" s="67" t="inlineStr">
        <is>
          <t>온라인매출입금</t>
        </is>
      </c>
      <c r="L54" s="67" t="inlineStr">
        <is>
          <t>N</t>
        </is>
      </c>
      <c r="M54" s="67" t="inlineStr">
        <is>
          <t>N</t>
        </is>
      </c>
      <c r="N54" s="148" t="n">
        <v>237872</v>
      </c>
      <c r="O54" s="67" t="inlineStr">
        <is>
          <t>국민은행_계좌 조회 6개월(20260913).xls</t>
        </is>
      </c>
      <c r="P54" s="69" t="inlineStr">
        <is>
          <t>기존내역</t>
        </is>
      </c>
    </row>
    <row r="55">
      <c r="A55" s="146" t="n">
        <v>46301.38430555556</v>
      </c>
      <c r="B55" s="147" t="n">
        <v>46301</v>
      </c>
      <c r="C55" s="67" t="inlineStr">
        <is>
          <t>농협</t>
        </is>
      </c>
      <c r="D55" s="67" t="inlineStr">
        <is>
          <t>농협 569003</t>
        </is>
      </c>
      <c r="E55" s="148" t="n">
        <v>0</v>
      </c>
      <c r="F55" s="148" t="n">
        <v>137842</v>
      </c>
      <c r="G55" s="148" t="n">
        <v>348566</v>
      </c>
      <c r="H55" s="75" t="inlineStr">
        <is>
          <t>신한가맹점</t>
        </is>
      </c>
      <c r="I55" s="75" t="inlineStr">
        <is>
          <t>SHC123782039</t>
        </is>
      </c>
      <c r="J55" s="75" t="inlineStr">
        <is>
          <t>농협 000053</t>
        </is>
      </c>
      <c r="K55" s="67" t="inlineStr">
        <is>
          <t>기타입금</t>
        </is>
      </c>
      <c r="L55" s="67" t="inlineStr">
        <is>
          <t>N</t>
        </is>
      </c>
      <c r="M55" s="67" t="inlineStr">
        <is>
          <t>N</t>
        </is>
      </c>
      <c r="N55" s="148" t="n">
        <v>137842</v>
      </c>
      <c r="O55" s="67" t="inlineStr">
        <is>
          <t>국민은행_계좌 조회 6개월(20260913).xls</t>
        </is>
      </c>
      <c r="P55" s="69" t="inlineStr">
        <is>
          <t>기존내역</t>
        </is>
      </c>
    </row>
    <row r="56">
      <c r="A56" s="146" t="n">
        <v>46301.41990740741</v>
      </c>
      <c r="B56" s="147" t="n">
        <v>46301</v>
      </c>
      <c r="C56" s="67" t="inlineStr">
        <is>
          <t>농협</t>
        </is>
      </c>
      <c r="D56" s="67" t="inlineStr">
        <is>
          <t>농협 569003</t>
        </is>
      </c>
      <c r="E56" s="148" t="n">
        <v>0</v>
      </c>
      <c r="F56" s="148" t="n">
        <v>2000</v>
      </c>
      <c r="G56" s="148" t="n">
        <v>350566</v>
      </c>
      <c r="H56" s="75" t="inlineStr">
        <is>
          <t>PC우리은행</t>
        </is>
      </c>
      <c r="I56" s="75" t="inlineStr">
        <is>
          <t>허수원</t>
        </is>
      </c>
      <c r="J56" s="75" t="inlineStr">
        <is>
          <t>우리 0846484</t>
        </is>
      </c>
      <c r="K56" s="67" t="inlineStr">
        <is>
          <t>기타입금</t>
        </is>
      </c>
      <c r="L56" s="67" t="inlineStr">
        <is>
          <t>N</t>
        </is>
      </c>
      <c r="M56" s="67" t="inlineStr">
        <is>
          <t>N</t>
        </is>
      </c>
      <c r="N56" s="148" t="n">
        <v>2000</v>
      </c>
      <c r="O56" s="67" t="inlineStr">
        <is>
          <t>국민은행_계좌 조회 6개월(20260913).xls</t>
        </is>
      </c>
      <c r="P56" s="69" t="inlineStr">
        <is>
          <t>기존내역</t>
        </is>
      </c>
    </row>
    <row r="57">
      <c r="A57" s="146" t="n">
        <v>46301.42909722222</v>
      </c>
      <c r="B57" s="147" t="n">
        <v>46301</v>
      </c>
      <c r="C57" s="67" t="inlineStr">
        <is>
          <t>국민은행</t>
        </is>
      </c>
      <c r="D57" s="67" t="inlineStr">
        <is>
          <t>국민 154577</t>
        </is>
      </c>
      <c r="E57" s="148" t="n">
        <v>500000</v>
      </c>
      <c r="F57" s="148" t="n">
        <v>0</v>
      </c>
      <c r="G57" s="148" t="n">
        <v>663073</v>
      </c>
      <c r="H57" s="75" t="inlineStr">
        <is>
          <t>기일출금</t>
        </is>
      </c>
      <c r="I57" s="75" t="inlineStr">
        <is>
          <t>(주)에이팜건강</t>
        </is>
      </c>
      <c r="J57" s="75" t="inlineStr">
        <is>
          <t>진천역</t>
        </is>
      </c>
      <c r="K57" s="67" t="inlineStr">
        <is>
          <t>계좌간이체</t>
        </is>
      </c>
      <c r="L57" s="67" t="inlineStr">
        <is>
          <t>Y</t>
        </is>
      </c>
      <c r="M57" s="67" t="inlineStr">
        <is>
          <t>N</t>
        </is>
      </c>
      <c r="N57" s="148" t="n">
        <v>0</v>
      </c>
      <c r="O57" s="67" t="inlineStr">
        <is>
          <t>국민은행_계좌 조회 6개월(20260913).xls</t>
        </is>
      </c>
      <c r="P57" s="69" t="inlineStr">
        <is>
          <t>기존내역</t>
        </is>
      </c>
    </row>
    <row r="58">
      <c r="A58" s="146" t="n">
        <v>46301.42909722222</v>
      </c>
      <c r="B58" s="147" t="n">
        <v>46301</v>
      </c>
      <c r="C58" s="67" t="inlineStr">
        <is>
          <t>국민은행</t>
        </is>
      </c>
      <c r="D58" s="67" t="inlineStr">
        <is>
          <t>국민 154577</t>
        </is>
      </c>
      <c r="E58" s="148" t="n">
        <v>10021200</v>
      </c>
      <c r="F58" s="148" t="n">
        <v>0</v>
      </c>
      <c r="G58" s="148" t="n">
        <v>1163073</v>
      </c>
      <c r="H58" s="75" t="inlineStr">
        <is>
          <t>기일출금</t>
        </is>
      </c>
      <c r="I58" s="75" t="inlineStr">
        <is>
          <t>(주)에이팜건강</t>
        </is>
      </c>
      <c r="J58" s="75" t="inlineStr">
        <is>
          <t>진천역</t>
        </is>
      </c>
      <c r="K58" s="67" t="inlineStr">
        <is>
          <t>계좌간이체</t>
        </is>
      </c>
      <c r="L58" s="67" t="inlineStr">
        <is>
          <t>Y</t>
        </is>
      </c>
      <c r="M58" s="67" t="inlineStr">
        <is>
          <t>N</t>
        </is>
      </c>
      <c r="N58" s="148" t="n">
        <v>0</v>
      </c>
      <c r="O58" s="67" t="inlineStr">
        <is>
          <t>국민은행_계좌 조회 6개월(20260913).xls</t>
        </is>
      </c>
      <c r="P58" s="69" t="inlineStr">
        <is>
          <t>기존내역</t>
        </is>
      </c>
    </row>
    <row r="59">
      <c r="A59" s="146" t="n">
        <v>46301.42909722222</v>
      </c>
      <c r="B59" s="147" t="n">
        <v>46301</v>
      </c>
      <c r="C59" s="67" t="inlineStr">
        <is>
          <t>국민은행</t>
        </is>
      </c>
      <c r="D59" s="67" t="inlineStr">
        <is>
          <t>국민 154577</t>
        </is>
      </c>
      <c r="E59" s="148" t="n">
        <v>30000000</v>
      </c>
      <c r="F59" s="148" t="n">
        <v>0</v>
      </c>
      <c r="G59" s="148" t="n">
        <v>11184273</v>
      </c>
      <c r="H59" s="75" t="inlineStr">
        <is>
          <t>기일출금</t>
        </is>
      </c>
      <c r="I59" s="75" t="inlineStr">
        <is>
          <t>한화스마트</t>
        </is>
      </c>
      <c r="J59" s="75" t="inlineStr">
        <is>
          <t>진천역</t>
        </is>
      </c>
      <c r="K59" s="67" t="inlineStr">
        <is>
          <t>계좌간이체</t>
        </is>
      </c>
      <c r="L59" s="67" t="inlineStr">
        <is>
          <t>Y</t>
        </is>
      </c>
      <c r="M59" s="67" t="inlineStr">
        <is>
          <t>N</t>
        </is>
      </c>
      <c r="N59" s="148" t="n">
        <v>0</v>
      </c>
      <c r="O59" s="67" t="inlineStr">
        <is>
          <t>우리은행 거래내역조회 20260913.xlsx</t>
        </is>
      </c>
      <c r="P59" s="69" t="inlineStr">
        <is>
          <t>기존내역</t>
        </is>
      </c>
    </row>
    <row r="60">
      <c r="A60" s="146" t="n">
        <v>46301.42909722222</v>
      </c>
      <c r="B60" s="147" t="n">
        <v>46301</v>
      </c>
      <c r="C60" s="67" t="inlineStr">
        <is>
          <t>국민은행</t>
        </is>
      </c>
      <c r="D60" s="67" t="inlineStr">
        <is>
          <t>국민 169124</t>
        </is>
      </c>
      <c r="E60" s="148" t="n">
        <v>0</v>
      </c>
      <c r="F60" s="148" t="n">
        <v>500000</v>
      </c>
      <c r="G60" s="148" t="n">
        <v>71208400</v>
      </c>
      <c r="H60" s="75" t="inlineStr">
        <is>
          <t>기일입금</t>
        </is>
      </c>
      <c r="I60" s="75" t="inlineStr">
        <is>
          <t>(주)에이팜건강</t>
        </is>
      </c>
      <c r="J60" s="75" t="inlineStr">
        <is>
          <t>진천역</t>
        </is>
      </c>
      <c r="K60" s="67" t="inlineStr">
        <is>
          <t>계좌간이체</t>
        </is>
      </c>
      <c r="L60" s="67" t="inlineStr">
        <is>
          <t>Y</t>
        </is>
      </c>
      <c r="M60" s="67" t="inlineStr">
        <is>
          <t>N</t>
        </is>
      </c>
      <c r="N60" s="148" t="n">
        <v>0</v>
      </c>
      <c r="O60" s="67" t="inlineStr">
        <is>
          <t>우리은행 거래내역조회 20260913.xlsx</t>
        </is>
      </c>
      <c r="P60" s="69" t="inlineStr">
        <is>
          <t>기존내역</t>
        </is>
      </c>
    </row>
    <row r="61">
      <c r="A61" s="146" t="n">
        <v>46301.42909722222</v>
      </c>
      <c r="B61" s="147" t="n">
        <v>46301</v>
      </c>
      <c r="C61" s="67" t="inlineStr">
        <is>
          <t>국민은행</t>
        </is>
      </c>
      <c r="D61" s="67" t="inlineStr">
        <is>
          <t>국민 169124</t>
        </is>
      </c>
      <c r="E61" s="148" t="n">
        <v>0</v>
      </c>
      <c r="F61" s="148" t="n">
        <v>10021200</v>
      </c>
      <c r="G61" s="148" t="n">
        <v>70708400</v>
      </c>
      <c r="H61" s="75" t="inlineStr">
        <is>
          <t>기일입금</t>
        </is>
      </c>
      <c r="I61" s="75" t="inlineStr">
        <is>
          <t>(주)에이팜건강</t>
        </is>
      </c>
      <c r="J61" s="75" t="inlineStr">
        <is>
          <t>진천역</t>
        </is>
      </c>
      <c r="K61" s="67" t="inlineStr">
        <is>
          <t>계좌간이체</t>
        </is>
      </c>
      <c r="L61" s="67" t="inlineStr">
        <is>
          <t>Y</t>
        </is>
      </c>
      <c r="M61" s="67" t="inlineStr">
        <is>
          <t>N</t>
        </is>
      </c>
      <c r="N61" s="148" t="n">
        <v>0</v>
      </c>
      <c r="O61" s="67" t="inlineStr">
        <is>
          <t>우리은행 거래내역조회 20260913.xlsx</t>
        </is>
      </c>
      <c r="P61" s="69" t="inlineStr">
        <is>
          <t>기존내역</t>
        </is>
      </c>
    </row>
    <row r="62">
      <c r="A62" s="146" t="n">
        <v>46301.42909722222</v>
      </c>
      <c r="B62" s="147" t="n">
        <v>46301</v>
      </c>
      <c r="C62" s="67" t="inlineStr">
        <is>
          <t>국민은행</t>
        </is>
      </c>
      <c r="D62" s="67" t="inlineStr">
        <is>
          <t>국민 169124</t>
        </is>
      </c>
      <c r="E62" s="148" t="n">
        <v>0</v>
      </c>
      <c r="F62" s="148" t="n">
        <v>30000000</v>
      </c>
      <c r="G62" s="148" t="n">
        <v>60687200</v>
      </c>
      <c r="H62" s="75" t="inlineStr">
        <is>
          <t>기일입금</t>
        </is>
      </c>
      <c r="I62" s="75" t="inlineStr">
        <is>
          <t>(주)에이팜건강</t>
        </is>
      </c>
      <c r="J62" s="75" t="inlineStr">
        <is>
          <t>진천역</t>
        </is>
      </c>
      <c r="K62" s="67" t="inlineStr">
        <is>
          <t>계좌간이체</t>
        </is>
      </c>
      <c r="L62" s="67" t="inlineStr">
        <is>
          <t>Y</t>
        </is>
      </c>
      <c r="M62" s="67" t="inlineStr">
        <is>
          <t>N</t>
        </is>
      </c>
      <c r="N62" s="148" t="n">
        <v>0</v>
      </c>
      <c r="O62" s="67" t="inlineStr">
        <is>
          <t>우리은행 거래내역조회 20260913.xlsx</t>
        </is>
      </c>
      <c r="P62" s="69" t="inlineStr">
        <is>
          <t>기존내역</t>
        </is>
      </c>
    </row>
    <row r="63">
      <c r="A63" s="146" t="n">
        <v>46301.43824074074</v>
      </c>
      <c r="B63" s="147" t="n">
        <v>46301</v>
      </c>
      <c r="C63" s="67" t="inlineStr">
        <is>
          <t>농협</t>
        </is>
      </c>
      <c r="D63" s="67" t="inlineStr">
        <is>
          <t>농협 569003</t>
        </is>
      </c>
      <c r="E63" s="148" t="n">
        <v>0</v>
      </c>
      <c r="F63" s="148" t="n">
        <v>19000</v>
      </c>
      <c r="G63" s="148" t="n">
        <v>369566</v>
      </c>
      <c r="H63" s="75" t="inlineStr">
        <is>
          <t>폰토스뱅크</t>
        </is>
      </c>
      <c r="I63" s="75" t="inlineStr">
        <is>
          <t>김수희</t>
        </is>
      </c>
      <c r="J63" s="75" t="inlineStr">
        <is>
          <t>토스뱅크 0921008</t>
        </is>
      </c>
      <c r="K63" s="67" t="inlineStr">
        <is>
          <t>기타입금</t>
        </is>
      </c>
      <c r="L63" s="67" t="inlineStr">
        <is>
          <t>N</t>
        </is>
      </c>
      <c r="M63" s="67" t="inlineStr">
        <is>
          <t>N</t>
        </is>
      </c>
      <c r="N63" s="148" t="n">
        <v>19000</v>
      </c>
      <c r="O63" s="67" t="inlineStr">
        <is>
          <t>우리은행 거래내역조회 20260913.xlsx</t>
        </is>
      </c>
      <c r="P63" s="69" t="inlineStr">
        <is>
          <t>기존내역</t>
        </is>
      </c>
    </row>
    <row r="64">
      <c r="A64" s="146" t="n">
        <v>46301.46129629629</v>
      </c>
      <c r="B64" s="147" t="n">
        <v>46301</v>
      </c>
      <c r="C64" s="67" t="inlineStr">
        <is>
          <t>국민은행</t>
        </is>
      </c>
      <c r="D64" s="67" t="inlineStr">
        <is>
          <t>국민 154577</t>
        </is>
      </c>
      <c r="E64" s="148" t="n">
        <v>0</v>
      </c>
      <c r="F64" s="148" t="n">
        <v>901583</v>
      </c>
      <c r="G64" s="148" t="n">
        <v>1564656</v>
      </c>
      <c r="H64" s="75" t="inlineStr">
        <is>
          <t>전자금융</t>
        </is>
      </c>
      <c r="I64" s="75" t="inlineStr">
        <is>
          <t>KG이니시스</t>
        </is>
      </c>
      <c r="J64" s="75" t="inlineStr">
        <is>
          <t>하나은행</t>
        </is>
      </c>
      <c r="K64" s="67" t="inlineStr">
        <is>
          <t>온라인매출입금</t>
        </is>
      </c>
      <c r="L64" s="67" t="inlineStr">
        <is>
          <t>N</t>
        </is>
      </c>
      <c r="M64" s="67" t="inlineStr">
        <is>
          <t>N</t>
        </is>
      </c>
      <c r="N64" s="148" t="n">
        <v>901583</v>
      </c>
      <c r="O64" s="67" t="inlineStr">
        <is>
          <t>우리은행 거래내역조회 20260913.xlsx</t>
        </is>
      </c>
      <c r="P64" s="69" t="inlineStr">
        <is>
          <t>기존내역</t>
        </is>
      </c>
    </row>
    <row r="65">
      <c r="A65" s="146" t="n">
        <v>46301.46690972222</v>
      </c>
      <c r="B65" s="147" t="n">
        <v>46301</v>
      </c>
      <c r="C65" s="67" t="inlineStr">
        <is>
          <t>국민은행</t>
        </is>
      </c>
      <c r="D65" s="67" t="inlineStr">
        <is>
          <t>국민 154577</t>
        </is>
      </c>
      <c r="E65" s="148" t="n">
        <v>0</v>
      </c>
      <c r="F65" s="148" t="n">
        <v>248055</v>
      </c>
      <c r="G65" s="148" t="n">
        <v>1812711</v>
      </c>
      <c r="H65" s="75" t="inlineStr">
        <is>
          <t>전자금융</t>
        </is>
      </c>
      <c r="I65" s="75" t="inlineStr">
        <is>
          <t>KG이니시스</t>
        </is>
      </c>
      <c r="J65" s="75" t="inlineStr">
        <is>
          <t>하나은행</t>
        </is>
      </c>
      <c r="K65" s="67" t="inlineStr">
        <is>
          <t>온라인매출입금</t>
        </is>
      </c>
      <c r="L65" s="67" t="inlineStr">
        <is>
          <t>N</t>
        </is>
      </c>
      <c r="M65" s="67" t="inlineStr">
        <is>
          <t>N</t>
        </is>
      </c>
      <c r="N65" s="148" t="n">
        <v>248055</v>
      </c>
      <c r="O65" s="67" t="inlineStr">
        <is>
          <t>우리은행 거래내역조회 20260913.xlsx</t>
        </is>
      </c>
      <c r="P65" s="69" t="inlineStr">
        <is>
          <t>기존내역</t>
        </is>
      </c>
    </row>
    <row r="66">
      <c r="A66" s="146" t="n">
        <v>46301.57641203704</v>
      </c>
      <c r="B66" s="147" t="n">
        <v>46301</v>
      </c>
      <c r="C66" s="67" t="inlineStr">
        <is>
          <t>국민은행</t>
        </is>
      </c>
      <c r="D66" s="67" t="inlineStr">
        <is>
          <t>국민 154577</t>
        </is>
      </c>
      <c r="E66" s="148" t="n">
        <v>0</v>
      </c>
      <c r="F66" s="148" t="n">
        <v>7248900</v>
      </c>
      <c r="G66" s="148" t="n">
        <v>9061611</v>
      </c>
      <c r="H66" s="75" t="inlineStr">
        <is>
          <t>FBS입금</t>
        </is>
      </c>
      <c r="I66" s="75" t="inlineStr">
        <is>
          <t>쿠팡(주)</t>
        </is>
      </c>
      <c r="J66" s="75" t="inlineStr">
        <is>
          <t>ERP사</t>
        </is>
      </c>
      <c r="K66" s="67" t="inlineStr">
        <is>
          <t>온라인매출입금</t>
        </is>
      </c>
      <c r="L66" s="67" t="inlineStr">
        <is>
          <t>N</t>
        </is>
      </c>
      <c r="M66" s="67" t="inlineStr">
        <is>
          <t>N</t>
        </is>
      </c>
      <c r="N66" s="148" t="n">
        <v>7248900</v>
      </c>
      <c r="O66" s="67" t="inlineStr">
        <is>
          <t>농협계좌_6개월(20260913).xls</t>
        </is>
      </c>
      <c r="P66" s="69" t="inlineStr">
        <is>
          <t>기존내역</t>
        </is>
      </c>
    </row>
    <row r="67">
      <c r="A67" s="146" t="n">
        <v>46301.57714120371</v>
      </c>
      <c r="B67" s="147" t="n">
        <v>46301</v>
      </c>
      <c r="C67" s="67" t="inlineStr">
        <is>
          <t>농협</t>
        </is>
      </c>
      <c r="D67" s="67" t="inlineStr">
        <is>
          <t>농협 569003</t>
        </is>
      </c>
      <c r="E67" s="148" t="n">
        <v>0</v>
      </c>
      <c r="F67" s="148" t="n">
        <v>86000</v>
      </c>
      <c r="G67" s="148" t="n">
        <v>455566</v>
      </c>
      <c r="H67" s="75" t="inlineStr">
        <is>
          <t>PC신한은행</t>
        </is>
      </c>
      <c r="I67" s="75" t="inlineStr">
        <is>
          <t>송채은</t>
        </is>
      </c>
      <c r="J67" s="75" t="inlineStr">
        <is>
          <t>신한 0267623</t>
        </is>
      </c>
      <c r="K67" s="67" t="inlineStr">
        <is>
          <t>기타입금</t>
        </is>
      </c>
      <c r="L67" s="67" t="inlineStr">
        <is>
          <t>N</t>
        </is>
      </c>
      <c r="M67" s="67" t="inlineStr">
        <is>
          <t>N</t>
        </is>
      </c>
      <c r="N67" s="148" t="n">
        <v>86000</v>
      </c>
      <c r="O67" s="67" t="inlineStr">
        <is>
          <t>국민은행_계좌 조회 6개월(20260913).xls</t>
        </is>
      </c>
      <c r="P67" s="69" t="inlineStr">
        <is>
          <t>기존내역</t>
        </is>
      </c>
    </row>
    <row r="68">
      <c r="A68" s="146" t="n">
        <v>46301.64849537037</v>
      </c>
      <c r="B68" s="147" t="n">
        <v>46301</v>
      </c>
      <c r="C68" s="67" t="inlineStr">
        <is>
          <t>우리은행</t>
        </is>
      </c>
      <c r="D68" s="67" t="inlineStr">
        <is>
          <t>우리 220351</t>
        </is>
      </c>
      <c r="E68" s="148" t="n">
        <v>0</v>
      </c>
      <c r="F68" s="148" t="n">
        <v>2000</v>
      </c>
      <c r="G68" s="148" t="n">
        <v>4729122</v>
      </c>
      <c r="H68" s="75" t="inlineStr">
        <is>
          <t>인터넷</t>
        </is>
      </c>
      <c r="I68" s="75" t="inlineStr">
        <is>
          <t>남말주(국일약품)</t>
        </is>
      </c>
      <c r="J68" s="75" t="inlineStr">
        <is>
          <t>0133951</t>
        </is>
      </c>
      <c r="K68" s="67" t="inlineStr">
        <is>
          <t>기타입금</t>
        </is>
      </c>
      <c r="L68" s="67" t="inlineStr">
        <is>
          <t>N</t>
        </is>
      </c>
      <c r="M68" s="67" t="inlineStr">
        <is>
          <t>N</t>
        </is>
      </c>
      <c r="N68" s="148" t="n">
        <v>2000</v>
      </c>
      <c r="O68" s="67" t="inlineStr">
        <is>
          <t>우리은행 거래내역조회 20260913.xlsx</t>
        </is>
      </c>
      <c r="P68" s="69" t="inlineStr">
        <is>
          <t>기존내역</t>
        </is>
      </c>
    </row>
    <row r="69">
      <c r="A69" s="146" t="n">
        <v>46301.7396875</v>
      </c>
      <c r="B69" s="147" t="n">
        <v>46301</v>
      </c>
      <c r="C69" s="67" t="inlineStr">
        <is>
          <t>우리은행</t>
        </is>
      </c>
      <c r="D69" s="67" t="inlineStr">
        <is>
          <t>우리 220351</t>
        </is>
      </c>
      <c r="E69" s="148" t="n">
        <v>1133000</v>
      </c>
      <c r="F69" s="148" t="n">
        <v>0</v>
      </c>
      <c r="G69" s="148" t="n">
        <v>3596122</v>
      </c>
      <c r="H69" s="75" t="inlineStr">
        <is>
          <t>인터넷</t>
        </is>
      </c>
      <c r="I69" s="75" t="inlineStr">
        <is>
          <t>국민네이버 apha</t>
        </is>
      </c>
      <c r="J69" s="75" t="inlineStr">
        <is>
          <t>성서공단금융센터</t>
        </is>
      </c>
      <c r="K69" s="67" t="inlineStr">
        <is>
          <t>기타지출</t>
        </is>
      </c>
      <c r="L69" s="67" t="inlineStr">
        <is>
          <t>N</t>
        </is>
      </c>
      <c r="M69" s="67" t="inlineStr">
        <is>
          <t>Y</t>
        </is>
      </c>
      <c r="N69" s="148" t="n">
        <v>-1133000</v>
      </c>
      <c r="O69" s="67" t="inlineStr">
        <is>
          <t>국민은행_계좌 조회 6개월(20260913).xls</t>
        </is>
      </c>
      <c r="P69" s="69" t="inlineStr">
        <is>
          <t>기존내역</t>
        </is>
      </c>
    </row>
    <row r="70">
      <c r="A70" s="146" t="n">
        <v>46301.73969907407</v>
      </c>
      <c r="B70" s="147" t="n">
        <v>46301</v>
      </c>
      <c r="C70" s="67" t="inlineStr">
        <is>
          <t>우리은행</t>
        </is>
      </c>
      <c r="D70" s="67" t="inlineStr">
        <is>
          <t>우리 220351</t>
        </is>
      </c>
      <c r="E70" s="148" t="n">
        <v>110000</v>
      </c>
      <c r="F70" s="148" t="n">
        <v>0</v>
      </c>
      <c r="G70" s="148" t="n">
        <v>3486122</v>
      </c>
      <c r="H70" s="75" t="inlineStr">
        <is>
          <t>인터넷</t>
        </is>
      </c>
      <c r="I70" s="75" t="inlineStr">
        <is>
          <t>국민네이버 에이팜건</t>
        </is>
      </c>
      <c r="J70" s="75" t="inlineStr">
        <is>
          <t>성서공단금융센터</t>
        </is>
      </c>
      <c r="K70" s="67" t="inlineStr">
        <is>
          <t>기타지출</t>
        </is>
      </c>
      <c r="L70" s="67" t="inlineStr">
        <is>
          <t>N</t>
        </is>
      </c>
      <c r="M70" s="67" t="inlineStr">
        <is>
          <t>Y</t>
        </is>
      </c>
      <c r="N70" s="148" t="n">
        <v>-110000</v>
      </c>
      <c r="O70" s="67" t="inlineStr">
        <is>
          <t>국민은행_계좌 조회 6개월(20260913).xls</t>
        </is>
      </c>
      <c r="P70" s="69" t="inlineStr">
        <is>
          <t>기존내역</t>
        </is>
      </c>
    </row>
    <row r="71">
      <c r="A71" s="146" t="n">
        <v>46301.73971064815</v>
      </c>
      <c r="B71" s="147" t="n">
        <v>46301</v>
      </c>
      <c r="C71" s="67" t="inlineStr">
        <is>
          <t>우리은행</t>
        </is>
      </c>
      <c r="D71" s="67" t="inlineStr">
        <is>
          <t>우리 220351</t>
        </is>
      </c>
      <c r="E71" s="148" t="n">
        <v>88000</v>
      </c>
      <c r="F71" s="148" t="n">
        <v>0</v>
      </c>
      <c r="G71" s="148" t="n">
        <v>3398122</v>
      </c>
      <c r="H71" s="75" t="inlineStr">
        <is>
          <t>인터넷</t>
        </is>
      </c>
      <c r="I71" s="75" t="inlineStr">
        <is>
          <t>아이현종찬</t>
        </is>
      </c>
      <c r="J71" s="75" t="inlineStr">
        <is>
          <t>성서공단금융센터</t>
        </is>
      </c>
      <c r="K71" s="67" t="inlineStr">
        <is>
          <t>기타지출</t>
        </is>
      </c>
      <c r="L71" s="67" t="inlineStr">
        <is>
          <t>N</t>
        </is>
      </c>
      <c r="M71" s="67" t="inlineStr">
        <is>
          <t>Y</t>
        </is>
      </c>
      <c r="N71" s="148" t="n">
        <v>-88000</v>
      </c>
      <c r="O71" s="67" t="inlineStr">
        <is>
          <t>국민은행_계좌 조회 6개월(20260913).xls</t>
        </is>
      </c>
      <c r="P71" s="69" t="inlineStr">
        <is>
          <t>기존내역</t>
        </is>
      </c>
    </row>
    <row r="72">
      <c r="A72" s="146" t="n">
        <v>46301.75085648148</v>
      </c>
      <c r="B72" s="147" t="n">
        <v>46301</v>
      </c>
      <c r="C72" s="67" t="inlineStr">
        <is>
          <t>우리은행</t>
        </is>
      </c>
      <c r="D72" s="67" t="inlineStr">
        <is>
          <t>우리 220351</t>
        </is>
      </c>
      <c r="E72" s="148" t="n">
        <v>220000</v>
      </c>
      <c r="F72" s="148" t="n">
        <v>0</v>
      </c>
      <c r="G72" s="148" t="n">
        <v>3178122</v>
      </c>
      <c r="H72" s="75" t="inlineStr">
        <is>
          <t>인터넷</t>
        </is>
      </c>
      <c r="I72" s="75" t="inlineStr">
        <is>
          <t>농협(주)레인보우8</t>
        </is>
      </c>
      <c r="J72" s="75" t="inlineStr">
        <is>
          <t>성서공단금융센터</t>
        </is>
      </c>
      <c r="K72" s="67" t="inlineStr">
        <is>
          <t>기타지출</t>
        </is>
      </c>
      <c r="L72" s="67" t="inlineStr">
        <is>
          <t>N</t>
        </is>
      </c>
      <c r="M72" s="67" t="inlineStr">
        <is>
          <t>Y</t>
        </is>
      </c>
      <c r="N72" s="148" t="n">
        <v>-220000</v>
      </c>
      <c r="O72" s="67" t="inlineStr">
        <is>
          <t>농협계좌_6개월(20260913).xls</t>
        </is>
      </c>
      <c r="P72" s="69" t="inlineStr">
        <is>
          <t>기존내역</t>
        </is>
      </c>
    </row>
    <row r="73">
      <c r="A73" s="146" t="n">
        <v>46301.80311342593</v>
      </c>
      <c r="B73" s="147" t="n">
        <v>46301</v>
      </c>
      <c r="C73" s="67" t="inlineStr">
        <is>
          <t>국민은행</t>
        </is>
      </c>
      <c r="D73" s="67" t="inlineStr">
        <is>
          <t>국민 169124</t>
        </is>
      </c>
      <c r="E73" s="148" t="n">
        <v>40521200</v>
      </c>
      <c r="F73" s="148" t="n">
        <v>0</v>
      </c>
      <c r="G73" s="148" t="n">
        <v>30687200</v>
      </c>
      <c r="H73" s="75" t="inlineStr">
        <is>
          <t>FBS출금</t>
        </is>
      </c>
      <c r="I73" s="75" t="inlineStr">
        <is>
          <t>한화생10-03</t>
        </is>
      </c>
      <c r="J73" s="75" t="inlineStr">
        <is>
          <t>ERP사</t>
        </is>
      </c>
      <c r="K73" s="67" t="inlineStr">
        <is>
          <t>보험료</t>
        </is>
      </c>
      <c r="L73" s="67" t="inlineStr">
        <is>
          <t>N</t>
        </is>
      </c>
      <c r="M73" s="67" t="inlineStr">
        <is>
          <t>Y</t>
        </is>
      </c>
      <c r="N73" s="148" t="n">
        <v>-40521200</v>
      </c>
      <c r="O73" s="67" t="inlineStr">
        <is>
          <t>우리은행 거래내역조회 20260913.xlsx</t>
        </is>
      </c>
      <c r="P73" s="69" t="inlineStr">
        <is>
          <t>기존내역</t>
        </is>
      </c>
    </row>
    <row r="74">
      <c r="A74" s="146" t="n">
        <v>46301.80950231481</v>
      </c>
      <c r="B74" s="147" t="n">
        <v>46301</v>
      </c>
      <c r="C74" s="67" t="inlineStr">
        <is>
          <t>국민은행</t>
        </is>
      </c>
      <c r="D74" s="67" t="inlineStr">
        <is>
          <t>국민 169124</t>
        </is>
      </c>
      <c r="E74" s="148" t="n">
        <v>8243400</v>
      </c>
      <c r="F74" s="148" t="n">
        <v>0</v>
      </c>
      <c r="G74" s="148" t="n">
        <v>22443800</v>
      </c>
      <c r="H74" s="75" t="inlineStr">
        <is>
          <t>FBS출금</t>
        </is>
      </c>
      <c r="I74" s="75" t="inlineStr">
        <is>
          <t>삼성10002건</t>
        </is>
      </c>
      <c r="J74" s="75" t="inlineStr">
        <is>
          <t>ERP사</t>
        </is>
      </c>
      <c r="K74" s="67" t="inlineStr">
        <is>
          <t>기타지출</t>
        </is>
      </c>
      <c r="L74" s="67" t="inlineStr">
        <is>
          <t>N</t>
        </is>
      </c>
      <c r="M74" s="67" t="inlineStr">
        <is>
          <t>Y</t>
        </is>
      </c>
      <c r="N74" s="148" t="n">
        <v>-8243400</v>
      </c>
      <c r="O74" s="67" t="inlineStr">
        <is>
          <t>우리은행 거래내역조회 20260913.xlsx</t>
        </is>
      </c>
      <c r="P74" s="69" t="inlineStr">
        <is>
          <t>기존내역</t>
        </is>
      </c>
    </row>
    <row r="75">
      <c r="A75" s="146" t="n">
        <v>46301.82337962963</v>
      </c>
      <c r="B75" s="147" t="n">
        <v>46301</v>
      </c>
      <c r="C75" s="67" t="inlineStr">
        <is>
          <t>국민은행</t>
        </is>
      </c>
      <c r="D75" s="67" t="inlineStr">
        <is>
          <t>국민 154577</t>
        </is>
      </c>
      <c r="E75" s="148" t="n">
        <v>4494000</v>
      </c>
      <c r="F75" s="148" t="n">
        <v>0</v>
      </c>
      <c r="G75" s="148" t="n">
        <v>4567611</v>
      </c>
      <c r="H75" s="75" t="inlineStr">
        <is>
          <t>CMS 공동</t>
        </is>
      </c>
      <c r="I75" s="75" t="inlineStr">
        <is>
          <t>미래10071</t>
        </is>
      </c>
      <c r="J75" s="75" t="inlineStr">
        <is>
          <t>ERP사</t>
        </is>
      </c>
      <c r="K75" s="67" t="inlineStr">
        <is>
          <t>기타지출</t>
        </is>
      </c>
      <c r="L75" s="67" t="inlineStr">
        <is>
          <t>N</t>
        </is>
      </c>
      <c r="M75" s="67" t="inlineStr">
        <is>
          <t>Y</t>
        </is>
      </c>
      <c r="N75" s="148" t="n">
        <v>-4494000</v>
      </c>
      <c r="O75" s="67" t="inlineStr">
        <is>
          <t>농협계좌_6개월(20260913).xls</t>
        </is>
      </c>
      <c r="P75" s="69" t="inlineStr">
        <is>
          <t>기존내역</t>
        </is>
      </c>
    </row>
    <row r="76">
      <c r="A76" s="146" t="n">
        <v>46302.08739583333</v>
      </c>
      <c r="B76" s="147" t="n">
        <v>46302</v>
      </c>
      <c r="C76" s="67" t="inlineStr">
        <is>
          <t>국민은행</t>
        </is>
      </c>
      <c r="D76" s="67" t="inlineStr">
        <is>
          <t>국민 154577</t>
        </is>
      </c>
      <c r="E76" s="148" t="n">
        <v>0</v>
      </c>
      <c r="F76" s="148" t="n">
        <v>358036</v>
      </c>
      <c r="G76" s="148" t="n">
        <v>4925647</v>
      </c>
      <c r="H76" s="75" t="inlineStr">
        <is>
          <t>전자금융</t>
        </is>
      </c>
      <c r="I76" s="75" t="inlineStr">
        <is>
          <t>Npay정산</t>
        </is>
      </c>
      <c r="J76" s="75" t="inlineStr">
        <is>
          <t>SC은행</t>
        </is>
      </c>
      <c r="K76" s="67" t="inlineStr">
        <is>
          <t>온라인매출입금</t>
        </is>
      </c>
      <c r="L76" s="67" t="inlineStr">
        <is>
          <t>N</t>
        </is>
      </c>
      <c r="M76" s="67" t="inlineStr">
        <is>
          <t>N</t>
        </is>
      </c>
      <c r="N76" s="148" t="n">
        <v>358036</v>
      </c>
      <c r="O76" s="67" t="inlineStr">
        <is>
          <t>국민은행_계좌 조회 6개월(20260913).xls</t>
        </is>
      </c>
      <c r="P76" s="69" t="inlineStr">
        <is>
          <t>기존내역</t>
        </is>
      </c>
    </row>
    <row r="77">
      <c r="A77" s="146" t="n">
        <v>46302.10412037037</v>
      </c>
      <c r="B77" s="147" t="n">
        <v>46302</v>
      </c>
      <c r="C77" s="67" t="inlineStr">
        <is>
          <t>우리은행</t>
        </is>
      </c>
      <c r="D77" s="67" t="inlineStr">
        <is>
          <t>우리 220351</t>
        </is>
      </c>
      <c r="E77" s="148" t="n">
        <v>0</v>
      </c>
      <c r="F77" s="148" t="n">
        <v>12784789</v>
      </c>
      <c r="G77" s="148" t="n">
        <v>15962911</v>
      </c>
      <c r="H77" s="75" t="inlineStr">
        <is>
          <t>펌뱅킹</t>
        </is>
      </c>
      <c r="I77" s="75" t="inlineStr">
        <is>
          <t>스마트스토어정산</t>
        </is>
      </c>
      <c r="J77" s="75" t="inlineStr">
        <is>
          <t>두산타워기업영업지원팀</t>
        </is>
      </c>
      <c r="K77" s="67" t="inlineStr">
        <is>
          <t>온라인매출입금</t>
        </is>
      </c>
      <c r="L77" s="67" t="inlineStr">
        <is>
          <t>N</t>
        </is>
      </c>
      <c r="M77" s="67" t="inlineStr">
        <is>
          <t>N</t>
        </is>
      </c>
      <c r="N77" s="148" t="n">
        <v>12784789</v>
      </c>
      <c r="O77" s="67" t="inlineStr">
        <is>
          <t>국민은행_계좌 조회 6개월(20260913).xls</t>
        </is>
      </c>
      <c r="P77" s="69" t="inlineStr">
        <is>
          <t>기존내역</t>
        </is>
      </c>
    </row>
    <row r="78">
      <c r="A78" s="146" t="n">
        <v>46302.37744212963</v>
      </c>
      <c r="B78" s="147" t="n">
        <v>46302</v>
      </c>
      <c r="C78" s="67" t="inlineStr">
        <is>
          <t>국민은행</t>
        </is>
      </c>
      <c r="D78" s="67" t="inlineStr">
        <is>
          <t>국민 154577</t>
        </is>
      </c>
      <c r="E78" s="148" t="n">
        <v>0</v>
      </c>
      <c r="F78" s="148" t="n">
        <v>604105</v>
      </c>
      <c r="G78" s="148" t="n">
        <v>5529752</v>
      </c>
      <c r="H78" s="75" t="inlineStr">
        <is>
          <t>FBS입금</t>
        </is>
      </c>
      <c r="I78" s="75" t="inlineStr">
        <is>
          <t>카카오페이정산</t>
        </is>
      </c>
      <c r="J78" s="75" t="inlineStr">
        <is>
          <t>ERP사</t>
        </is>
      </c>
      <c r="K78" s="67" t="inlineStr">
        <is>
          <t>온라인매출입금</t>
        </is>
      </c>
      <c r="L78" s="67" t="inlineStr">
        <is>
          <t>N</t>
        </is>
      </c>
      <c r="M78" s="67" t="inlineStr">
        <is>
          <t>N</t>
        </is>
      </c>
      <c r="N78" s="148" t="n">
        <v>604105</v>
      </c>
      <c r="O78" s="67" t="inlineStr">
        <is>
          <t>국민은행_계좌 조회 6개월(20260913).xls</t>
        </is>
      </c>
      <c r="P78" s="69" t="inlineStr">
        <is>
          <t>기존내역</t>
        </is>
      </c>
    </row>
    <row r="79">
      <c r="A79" s="146" t="n">
        <v>46302.42315972222</v>
      </c>
      <c r="B79" s="147" t="n">
        <v>46302</v>
      </c>
      <c r="C79" s="67" t="inlineStr">
        <is>
          <t>국민은행</t>
        </is>
      </c>
      <c r="D79" s="67" t="inlineStr">
        <is>
          <t>국민 154577</t>
        </is>
      </c>
      <c r="E79" s="148" t="n">
        <v>5240400</v>
      </c>
      <c r="F79" s="148" t="n">
        <v>0</v>
      </c>
      <c r="G79" s="148" t="n">
        <v>289352</v>
      </c>
      <c r="H79" s="75" t="inlineStr">
        <is>
          <t>기일출금</t>
        </is>
      </c>
      <c r="I79" s="75" t="inlineStr">
        <is>
          <t>(주)에이팜건강</t>
        </is>
      </c>
      <c r="J79" s="75" t="inlineStr">
        <is>
          <t>진천역</t>
        </is>
      </c>
      <c r="K79" s="67" t="inlineStr">
        <is>
          <t>계좌간이체</t>
        </is>
      </c>
      <c r="L79" s="67" t="inlineStr">
        <is>
          <t>Y</t>
        </is>
      </c>
      <c r="M79" s="67" t="inlineStr">
        <is>
          <t>N</t>
        </is>
      </c>
      <c r="N79" s="148" t="n">
        <v>0</v>
      </c>
      <c r="O79" s="67" t="inlineStr">
        <is>
          <t>우리은행 거래내역조회 20260913.xlsx</t>
        </is>
      </c>
      <c r="P79" s="69" t="inlineStr">
        <is>
          <t>기존내역</t>
        </is>
      </c>
    </row>
    <row r="80">
      <c r="A80" s="146" t="n">
        <v>46302.42315972222</v>
      </c>
      <c r="B80" s="147" t="n">
        <v>46302</v>
      </c>
      <c r="C80" s="67" t="inlineStr">
        <is>
          <t>국민은행</t>
        </is>
      </c>
      <c r="D80" s="67" t="inlineStr">
        <is>
          <t>국민 169124</t>
        </is>
      </c>
      <c r="E80" s="148" t="n">
        <v>0</v>
      </c>
      <c r="F80" s="148" t="n">
        <v>5240400</v>
      </c>
      <c r="G80" s="148" t="n">
        <v>27684200</v>
      </c>
      <c r="H80" s="75" t="inlineStr">
        <is>
          <t>기일입금</t>
        </is>
      </c>
      <c r="I80" s="75" t="inlineStr">
        <is>
          <t>(주)에이팜건강</t>
        </is>
      </c>
      <c r="J80" s="75" t="inlineStr">
        <is>
          <t>진천역</t>
        </is>
      </c>
      <c r="K80" s="67" t="inlineStr">
        <is>
          <t>계좌간이체</t>
        </is>
      </c>
      <c r="L80" s="67" t="inlineStr">
        <is>
          <t>Y</t>
        </is>
      </c>
      <c r="M80" s="67" t="inlineStr">
        <is>
          <t>N</t>
        </is>
      </c>
      <c r="N80" s="148" t="n">
        <v>0</v>
      </c>
      <c r="O80" s="67" t="inlineStr">
        <is>
          <t>우리은행 거래내역조회 20260913.xlsx</t>
        </is>
      </c>
      <c r="P80" s="69" t="inlineStr">
        <is>
          <t>기존내역</t>
        </is>
      </c>
    </row>
    <row r="81">
      <c r="A81" s="146" t="n">
        <v>46302.45978009259</v>
      </c>
      <c r="B81" s="147" t="n">
        <v>46302</v>
      </c>
      <c r="C81" s="67" t="inlineStr">
        <is>
          <t>국민은행</t>
        </is>
      </c>
      <c r="D81" s="67" t="inlineStr">
        <is>
          <t>국민 154577</t>
        </is>
      </c>
      <c r="E81" s="148" t="n">
        <v>0</v>
      </c>
      <c r="F81" s="148" t="n">
        <v>888871</v>
      </c>
      <c r="G81" s="148" t="n">
        <v>1178223</v>
      </c>
      <c r="H81" s="75" t="inlineStr">
        <is>
          <t>전자금융</t>
        </is>
      </c>
      <c r="I81" s="75" t="inlineStr">
        <is>
          <t>KG이니시스</t>
        </is>
      </c>
      <c r="J81" s="75" t="inlineStr">
        <is>
          <t>하나은행</t>
        </is>
      </c>
      <c r="K81" s="67" t="inlineStr">
        <is>
          <t>온라인매출입금</t>
        </is>
      </c>
      <c r="L81" s="67" t="inlineStr">
        <is>
          <t>N</t>
        </is>
      </c>
      <c r="M81" s="67" t="inlineStr">
        <is>
          <t>N</t>
        </is>
      </c>
      <c r="N81" s="148" t="n">
        <v>888871</v>
      </c>
      <c r="O81" s="67" t="inlineStr">
        <is>
          <t>농협계좌_6개월(20260913).xls</t>
        </is>
      </c>
      <c r="P81" s="69" t="inlineStr">
        <is>
          <t>기존내역</t>
        </is>
      </c>
    </row>
    <row r="82">
      <c r="A82" s="146" t="n">
        <v>46302.46423611111</v>
      </c>
      <c r="B82" s="147" t="n">
        <v>46302</v>
      </c>
      <c r="C82" s="67" t="inlineStr">
        <is>
          <t>국민은행</t>
        </is>
      </c>
      <c r="D82" s="67" t="inlineStr">
        <is>
          <t>국민 154577</t>
        </is>
      </c>
      <c r="E82" s="148" t="n">
        <v>0</v>
      </c>
      <c r="F82" s="148" t="n">
        <v>2158827</v>
      </c>
      <c r="G82" s="148" t="n">
        <v>3337050</v>
      </c>
      <c r="H82" s="75" t="inlineStr">
        <is>
          <t>전자금융</t>
        </is>
      </c>
      <c r="I82" s="75" t="inlineStr">
        <is>
          <t>KG이니시스</t>
        </is>
      </c>
      <c r="J82" s="75" t="inlineStr">
        <is>
          <t>하나은행</t>
        </is>
      </c>
      <c r="K82" s="67" t="inlineStr">
        <is>
          <t>온라인매출입금</t>
        </is>
      </c>
      <c r="L82" s="67" t="inlineStr">
        <is>
          <t>N</t>
        </is>
      </c>
      <c r="M82" s="67" t="inlineStr">
        <is>
          <t>N</t>
        </is>
      </c>
      <c r="N82" s="148" t="n">
        <v>2158827</v>
      </c>
      <c r="O82" s="67" t="inlineStr">
        <is>
          <t>국민은행_계좌 조회 6개월(20260913).xls</t>
        </is>
      </c>
      <c r="P82" s="69" t="inlineStr">
        <is>
          <t>기존내역</t>
        </is>
      </c>
    </row>
    <row r="83">
      <c r="A83" s="146" t="n">
        <v>46302.48583333333</v>
      </c>
      <c r="B83" s="147" t="n">
        <v>46302</v>
      </c>
      <c r="C83" s="67" t="inlineStr">
        <is>
          <t>국민은행</t>
        </is>
      </c>
      <c r="D83" s="67" t="inlineStr">
        <is>
          <t>국민 154577</t>
        </is>
      </c>
      <c r="E83" s="148" t="n">
        <v>0</v>
      </c>
      <c r="F83" s="148" t="n">
        <v>889200</v>
      </c>
      <c r="G83" s="148" t="n">
        <v>4226250</v>
      </c>
      <c r="H83" s="75" t="inlineStr">
        <is>
          <t>FBS입금</t>
        </is>
      </c>
      <c r="I83" s="75" t="inlineStr">
        <is>
          <t>쿠팡(주)</t>
        </is>
      </c>
      <c r="J83" s="75" t="inlineStr">
        <is>
          <t>ERP사</t>
        </is>
      </c>
      <c r="K83" s="67" t="inlineStr">
        <is>
          <t>온라인매출입금</t>
        </is>
      </c>
      <c r="L83" s="67" t="inlineStr">
        <is>
          <t>N</t>
        </is>
      </c>
      <c r="M83" s="67" t="inlineStr">
        <is>
          <t>N</t>
        </is>
      </c>
      <c r="N83" s="148" t="n">
        <v>889200</v>
      </c>
      <c r="O83" s="67" t="inlineStr">
        <is>
          <t>국민은행_계좌 조회 6개월(20260913).xls</t>
        </is>
      </c>
      <c r="P83" s="69" t="inlineStr">
        <is>
          <t>기존내역</t>
        </is>
      </c>
    </row>
    <row r="84">
      <c r="A84" s="146" t="n">
        <v>46302.57038194445</v>
      </c>
      <c r="B84" s="147" t="n">
        <v>46302</v>
      </c>
      <c r="C84" s="67" t="inlineStr">
        <is>
          <t>농협</t>
        </is>
      </c>
      <c r="D84" s="67" t="inlineStr">
        <is>
          <t>농협 569003</t>
        </is>
      </c>
      <c r="E84" s="148" t="n">
        <v>0</v>
      </c>
      <c r="F84" s="148" t="n">
        <v>400000</v>
      </c>
      <c r="G84" s="148" t="n">
        <v>855566</v>
      </c>
      <c r="H84" s="75" t="inlineStr">
        <is>
          <t>E-아이엠</t>
        </is>
      </c>
      <c r="I84" s="75" t="inlineStr">
        <is>
          <t>필약국(이양희)</t>
        </is>
      </c>
      <c r="J84" s="75" t="inlineStr">
        <is>
          <t>아이엠 (구)대구 0310017</t>
        </is>
      </c>
      <c r="K84" s="67" t="inlineStr">
        <is>
          <t>기타입금</t>
        </is>
      </c>
      <c r="L84" s="67" t="inlineStr">
        <is>
          <t>N</t>
        </is>
      </c>
      <c r="M84" s="67" t="inlineStr">
        <is>
          <t>N</t>
        </is>
      </c>
      <c r="N84" s="148" t="n">
        <v>400000</v>
      </c>
      <c r="O84" s="67" t="inlineStr">
        <is>
          <t>국민은행_계좌 조회 6개월(20260913).xls</t>
        </is>
      </c>
      <c r="P84" s="69" t="inlineStr">
        <is>
          <t>기존내역</t>
        </is>
      </c>
    </row>
    <row r="85">
      <c r="A85" s="146" t="n">
        <v>46302.64620370371</v>
      </c>
      <c r="B85" s="147" t="n">
        <v>46302</v>
      </c>
      <c r="C85" s="67" t="inlineStr">
        <is>
          <t>국민은행</t>
        </is>
      </c>
      <c r="D85" s="67" t="inlineStr">
        <is>
          <t>국민 154577</t>
        </is>
      </c>
      <c r="E85" s="148" t="n">
        <v>0</v>
      </c>
      <c r="F85" s="148" t="n">
        <v>43066</v>
      </c>
      <c r="G85" s="148" t="n">
        <v>4269316</v>
      </c>
      <c r="H85" s="75" t="inlineStr">
        <is>
          <t>전자금융</t>
        </is>
      </c>
      <c r="I85" s="75" t="inlineStr">
        <is>
          <t>엔에이치엔페이</t>
        </is>
      </c>
      <c r="J85" s="75" t="inlineStr">
        <is>
          <t>신한은행</t>
        </is>
      </c>
      <c r="K85" s="67" t="inlineStr">
        <is>
          <t>온라인매출입금</t>
        </is>
      </c>
      <c r="L85" s="67" t="inlineStr">
        <is>
          <t>N</t>
        </is>
      </c>
      <c r="M85" s="67" t="inlineStr">
        <is>
          <t>N</t>
        </is>
      </c>
      <c r="N85" s="148" t="n">
        <v>43066</v>
      </c>
      <c r="O85" s="67" t="inlineStr">
        <is>
          <t>국민은행_계좌 조회 6개월(20260913).xls</t>
        </is>
      </c>
      <c r="P85" s="69" t="inlineStr">
        <is>
          <t>기존내역</t>
        </is>
      </c>
    </row>
    <row r="86">
      <c r="A86" s="146" t="n">
        <v>46302.73753472222</v>
      </c>
      <c r="B86" s="147" t="n">
        <v>46302</v>
      </c>
      <c r="C86" s="67" t="inlineStr">
        <is>
          <t>우리은행</t>
        </is>
      </c>
      <c r="D86" s="67" t="inlineStr">
        <is>
          <t>우리 220351</t>
        </is>
      </c>
      <c r="E86" s="148" t="n">
        <v>56600</v>
      </c>
      <c r="F86" s="148" t="n">
        <v>0</v>
      </c>
      <c r="G86" s="148" t="n">
        <v>15521311</v>
      </c>
      <c r="H86" s="75" t="inlineStr">
        <is>
          <t>인터넷</t>
        </is>
      </c>
      <c r="I86" s="75" t="inlineStr">
        <is>
          <t>국민이수민</t>
        </is>
      </c>
      <c r="J86" s="75" t="inlineStr">
        <is>
          <t>성서공단금융센터</t>
        </is>
      </c>
      <c r="K86" s="67" t="inlineStr">
        <is>
          <t>기타지출</t>
        </is>
      </c>
      <c r="L86" s="67" t="inlineStr">
        <is>
          <t>N</t>
        </is>
      </c>
      <c r="M86" s="67" t="inlineStr">
        <is>
          <t>N</t>
        </is>
      </c>
      <c r="N86" s="148" t="n">
        <v>-56600</v>
      </c>
      <c r="O86" s="67" t="inlineStr">
        <is>
          <t>국민은행_계좌 조회 6개월(20260913).xls</t>
        </is>
      </c>
      <c r="P86" s="69" t="inlineStr">
        <is>
          <t>기존내역</t>
        </is>
      </c>
    </row>
    <row r="87">
      <c r="A87" s="146" t="n">
        <v>46302.73753472222</v>
      </c>
      <c r="B87" s="147" t="n">
        <v>46302</v>
      </c>
      <c r="C87" s="67" t="inlineStr">
        <is>
          <t>우리은행</t>
        </is>
      </c>
      <c r="D87" s="67" t="inlineStr">
        <is>
          <t>우리 220351</t>
        </is>
      </c>
      <c r="E87" s="148" t="n">
        <v>385000</v>
      </c>
      <c r="F87" s="148" t="n">
        <v>0</v>
      </c>
      <c r="G87" s="148" t="n">
        <v>15577911</v>
      </c>
      <c r="H87" s="75" t="inlineStr">
        <is>
          <t>인터넷</t>
        </is>
      </c>
      <c r="I87" s="75" t="inlineStr">
        <is>
          <t>아이서원회계법인 대</t>
        </is>
      </c>
      <c r="J87" s="75" t="inlineStr">
        <is>
          <t>성서공단금융센터</t>
        </is>
      </c>
      <c r="K87" s="67" t="inlineStr">
        <is>
          <t>기타지출</t>
        </is>
      </c>
      <c r="L87" s="67" t="inlineStr">
        <is>
          <t>N</t>
        </is>
      </c>
      <c r="M87" s="67" t="inlineStr">
        <is>
          <t>Y</t>
        </is>
      </c>
      <c r="N87" s="148" t="n">
        <v>-385000</v>
      </c>
      <c r="O87" s="67" t="inlineStr">
        <is>
          <t>우리은행 거래내역조회 20260913.xlsx</t>
        </is>
      </c>
      <c r="P87" s="69" t="inlineStr">
        <is>
          <t>기존내역</t>
        </is>
      </c>
    </row>
    <row r="88">
      <c r="A88" s="146" t="n">
        <v>46302.7375462963</v>
      </c>
      <c r="B88" s="147" t="n">
        <v>46302</v>
      </c>
      <c r="C88" s="67" t="inlineStr">
        <is>
          <t>우리은행</t>
        </is>
      </c>
      <c r="D88" s="67" t="inlineStr">
        <is>
          <t>우리 220351</t>
        </is>
      </c>
      <c r="E88" s="148" t="n">
        <v>1034000</v>
      </c>
      <c r="F88" s="148" t="n">
        <v>0</v>
      </c>
      <c r="G88" s="148" t="n">
        <v>14487311</v>
      </c>
      <c r="H88" s="75" t="inlineStr">
        <is>
          <t>인터넷</t>
        </is>
      </c>
      <c r="I88" s="75" t="inlineStr">
        <is>
          <t>국민네이버 apha</t>
        </is>
      </c>
      <c r="J88" s="75" t="inlineStr">
        <is>
          <t>성서공단금융센터</t>
        </is>
      </c>
      <c r="K88" s="67" t="inlineStr">
        <is>
          <t>기타지출</t>
        </is>
      </c>
      <c r="L88" s="67" t="inlineStr">
        <is>
          <t>N</t>
        </is>
      </c>
      <c r="M88" s="67" t="inlineStr">
        <is>
          <t>Y</t>
        </is>
      </c>
      <c r="N88" s="148" t="n">
        <v>-1034000</v>
      </c>
      <c r="O88" s="67" t="inlineStr">
        <is>
          <t>국민은행_계좌 조회 6개월(20260913).xls</t>
        </is>
      </c>
      <c r="P88" s="69" t="inlineStr">
        <is>
          <t>기존내역</t>
        </is>
      </c>
    </row>
    <row r="89">
      <c r="A89" s="146" t="n">
        <v>46302.73755787037</v>
      </c>
      <c r="B89" s="147" t="n">
        <v>46302</v>
      </c>
      <c r="C89" s="67" t="inlineStr">
        <is>
          <t>우리은행</t>
        </is>
      </c>
      <c r="D89" s="67" t="inlineStr">
        <is>
          <t>우리 220351</t>
        </is>
      </c>
      <c r="E89" s="148" t="n">
        <v>220000</v>
      </c>
      <c r="F89" s="148" t="n">
        <v>0</v>
      </c>
      <c r="G89" s="148" t="n">
        <v>14267311</v>
      </c>
      <c r="H89" s="75" t="inlineStr">
        <is>
          <t>인터넷</t>
        </is>
      </c>
      <c r="I89" s="75" t="inlineStr">
        <is>
          <t>국민네이버 에이팜건</t>
        </is>
      </c>
      <c r="J89" s="75" t="inlineStr">
        <is>
          <t>성서공단금융센터</t>
        </is>
      </c>
      <c r="K89" s="67" t="inlineStr">
        <is>
          <t>기타지출</t>
        </is>
      </c>
      <c r="L89" s="67" t="inlineStr">
        <is>
          <t>N</t>
        </is>
      </c>
      <c r="M89" s="67" t="inlineStr">
        <is>
          <t>Y</t>
        </is>
      </c>
      <c r="N89" s="148" t="n">
        <v>-220000</v>
      </c>
      <c r="O89" s="67" t="inlineStr">
        <is>
          <t>우리은행 거래내역조회 20260913.xlsx</t>
        </is>
      </c>
      <c r="P89" s="69" t="inlineStr">
        <is>
          <t>기존내역</t>
        </is>
      </c>
    </row>
    <row r="90">
      <c r="A90" s="146" t="n">
        <v>46302.73756944444</v>
      </c>
      <c r="B90" s="147" t="n">
        <v>46302</v>
      </c>
      <c r="C90" s="67" t="inlineStr">
        <is>
          <t>우리은행</t>
        </is>
      </c>
      <c r="D90" s="67" t="inlineStr">
        <is>
          <t>우리 220351</t>
        </is>
      </c>
      <c r="E90" s="148" t="n">
        <v>330000</v>
      </c>
      <c r="F90" s="148" t="n">
        <v>0</v>
      </c>
      <c r="G90" s="148" t="n">
        <v>13937311</v>
      </c>
      <c r="H90" s="75" t="inlineStr">
        <is>
          <t>인터넷</t>
        </is>
      </c>
      <c r="I90" s="75" t="inlineStr">
        <is>
          <t>국민네이버 ddi5</t>
        </is>
      </c>
      <c r="J90" s="75" t="inlineStr">
        <is>
          <t>성서공단금융센터</t>
        </is>
      </c>
      <c r="K90" s="67" t="inlineStr">
        <is>
          <t>기타지출</t>
        </is>
      </c>
      <c r="L90" s="67" t="inlineStr">
        <is>
          <t>N</t>
        </is>
      </c>
      <c r="M90" s="67" t="inlineStr">
        <is>
          <t>N</t>
        </is>
      </c>
      <c r="N90" s="148" t="n">
        <v>-330000</v>
      </c>
      <c r="O90" s="67" t="inlineStr">
        <is>
          <t>우리은행 거래내역조회 20260913.xlsx</t>
        </is>
      </c>
      <c r="P90" s="69" t="inlineStr">
        <is>
          <t>기존내역</t>
        </is>
      </c>
    </row>
    <row r="91">
      <c r="A91" s="146" t="n">
        <v>46302.7375925926</v>
      </c>
      <c r="B91" s="147" t="n">
        <v>46302</v>
      </c>
      <c r="C91" s="67" t="inlineStr">
        <is>
          <t>우리은행</t>
        </is>
      </c>
      <c r="D91" s="67" t="inlineStr">
        <is>
          <t>우리 220351</t>
        </is>
      </c>
      <c r="E91" s="148" t="n">
        <v>198000</v>
      </c>
      <c r="F91" s="148" t="n">
        <v>0</v>
      </c>
      <c r="G91" s="148" t="n">
        <v>13739311</v>
      </c>
      <c r="H91" s="75" t="inlineStr">
        <is>
          <t>인터넷</t>
        </is>
      </c>
      <c r="I91" s="75" t="inlineStr">
        <is>
          <t>기업주식회사 채널코</t>
        </is>
      </c>
      <c r="J91" s="75" t="inlineStr">
        <is>
          <t>성서공단금융센터</t>
        </is>
      </c>
      <c r="K91" s="67" t="inlineStr">
        <is>
          <t>기타지출</t>
        </is>
      </c>
      <c r="L91" s="67" t="inlineStr">
        <is>
          <t>N</t>
        </is>
      </c>
      <c r="M91" s="67" t="inlineStr">
        <is>
          <t>Y</t>
        </is>
      </c>
      <c r="N91" s="148" t="n">
        <v>-198000</v>
      </c>
      <c r="O91" s="67" t="inlineStr">
        <is>
          <t>우리은행 거래내역조회 20260913.xlsx</t>
        </is>
      </c>
      <c r="P91" s="69" t="inlineStr">
        <is>
          <t>기존내역</t>
        </is>
      </c>
    </row>
    <row r="92">
      <c r="A92" s="146" t="n">
        <v>46302.73760416666</v>
      </c>
      <c r="B92" s="147" t="n">
        <v>46302</v>
      </c>
      <c r="C92" s="67" t="inlineStr">
        <is>
          <t>우리은행</t>
        </is>
      </c>
      <c r="D92" s="67" t="inlineStr">
        <is>
          <t>우리 220351</t>
        </is>
      </c>
      <c r="E92" s="148" t="n">
        <v>498630</v>
      </c>
      <c r="F92" s="148" t="n">
        <v>0</v>
      </c>
      <c r="G92" s="148" t="n">
        <v>13240681</v>
      </c>
      <c r="H92" s="75" t="inlineStr">
        <is>
          <t>인터넷</t>
        </is>
      </c>
      <c r="I92" s="75" t="inlineStr">
        <is>
          <t>국민비즈월렛_쁘띠앤</t>
        </is>
      </c>
      <c r="J92" s="75" t="inlineStr">
        <is>
          <t>성서공단금융센터</t>
        </is>
      </c>
      <c r="K92" s="67" t="inlineStr">
        <is>
          <t>기타지출</t>
        </is>
      </c>
      <c r="L92" s="67" t="inlineStr">
        <is>
          <t>N</t>
        </is>
      </c>
      <c r="M92" s="67" t="inlineStr">
        <is>
          <t>Y</t>
        </is>
      </c>
      <c r="N92" s="148" t="n">
        <v>-498630</v>
      </c>
      <c r="O92" s="67" t="inlineStr">
        <is>
          <t>우리은행 거래내역조회 20260913.xlsx</t>
        </is>
      </c>
      <c r="P92" s="69" t="inlineStr">
        <is>
          <t>기존내역</t>
        </is>
      </c>
    </row>
    <row r="93">
      <c r="A93" s="146" t="n">
        <v>46302.73762731482</v>
      </c>
      <c r="B93" s="147" t="n">
        <v>46302</v>
      </c>
      <c r="C93" s="67" t="inlineStr">
        <is>
          <t>우리은행</t>
        </is>
      </c>
      <c r="D93" s="67" t="inlineStr">
        <is>
          <t>우리 220351</t>
        </is>
      </c>
      <c r="E93" s="148" t="n">
        <v>1500000</v>
      </c>
      <c r="F93" s="148" t="n">
        <v>0</v>
      </c>
      <c r="G93" s="148" t="n">
        <v>11740681</v>
      </c>
      <c r="H93" s="75" t="inlineStr">
        <is>
          <t>인터넷</t>
        </is>
      </c>
      <c r="I93" s="75" t="inlineStr">
        <is>
          <t>(주)카카오</t>
        </is>
      </c>
      <c r="J93" s="75" t="inlineStr">
        <is>
          <t>성서공단금융센터</t>
        </is>
      </c>
      <c r="K93" s="67" t="inlineStr">
        <is>
          <t>기타지출</t>
        </is>
      </c>
      <c r="L93" s="67" t="inlineStr">
        <is>
          <t>N</t>
        </is>
      </c>
      <c r="M93" s="67" t="inlineStr">
        <is>
          <t>Y</t>
        </is>
      </c>
      <c r="N93" s="148" t="n">
        <v>-1500000</v>
      </c>
      <c r="O93" s="67" t="inlineStr">
        <is>
          <t>우리은행 거래내역조회 20260913.xlsx</t>
        </is>
      </c>
      <c r="P93" s="69" t="inlineStr">
        <is>
          <t>기존내역</t>
        </is>
      </c>
    </row>
    <row r="94">
      <c r="A94" s="146" t="n">
        <v>46303.09903935185</v>
      </c>
      <c r="B94" s="147" t="n">
        <v>46303</v>
      </c>
      <c r="C94" s="67" t="inlineStr">
        <is>
          <t>국민은행</t>
        </is>
      </c>
      <c r="D94" s="67" t="inlineStr">
        <is>
          <t>국민 154577</t>
        </is>
      </c>
      <c r="E94" s="148" t="n">
        <v>0</v>
      </c>
      <c r="F94" s="148" t="n">
        <v>172018</v>
      </c>
      <c r="G94" s="148" t="n">
        <v>4441334</v>
      </c>
      <c r="H94" s="75" t="inlineStr">
        <is>
          <t>전자금융</t>
        </is>
      </c>
      <c r="I94" s="75" t="inlineStr">
        <is>
          <t>Npay정산</t>
        </is>
      </c>
      <c r="J94" s="75" t="inlineStr">
        <is>
          <t>SC은행</t>
        </is>
      </c>
      <c r="K94" s="67" t="inlineStr">
        <is>
          <t>온라인매출입금</t>
        </is>
      </c>
      <c r="L94" s="67" t="inlineStr">
        <is>
          <t>N</t>
        </is>
      </c>
      <c r="M94" s="67" t="inlineStr">
        <is>
          <t>N</t>
        </is>
      </c>
      <c r="N94" s="148" t="n">
        <v>172018</v>
      </c>
      <c r="O94" s="67" t="inlineStr">
        <is>
          <t>우리은행 거래내역조회 20260913.xlsx</t>
        </is>
      </c>
      <c r="P94" s="69" t="inlineStr">
        <is>
          <t>기존내역</t>
        </is>
      </c>
    </row>
    <row r="95">
      <c r="A95" s="146" t="n">
        <v>46303.11277777778</v>
      </c>
      <c r="B95" s="147" t="n">
        <v>46303</v>
      </c>
      <c r="C95" s="67" t="inlineStr">
        <is>
          <t>우리은행</t>
        </is>
      </c>
      <c r="D95" s="67" t="inlineStr">
        <is>
          <t>우리 220351</t>
        </is>
      </c>
      <c r="E95" s="148" t="n">
        <v>0</v>
      </c>
      <c r="F95" s="148" t="n">
        <v>6570403</v>
      </c>
      <c r="G95" s="148" t="n">
        <v>18311084</v>
      </c>
      <c r="H95" s="75" t="inlineStr">
        <is>
          <t>펌뱅킹</t>
        </is>
      </c>
      <c r="I95" s="75" t="inlineStr">
        <is>
          <t>스마트스토어정산</t>
        </is>
      </c>
      <c r="J95" s="75" t="inlineStr">
        <is>
          <t>두산타워기업영업지원팀</t>
        </is>
      </c>
      <c r="K95" s="67" t="inlineStr">
        <is>
          <t>온라인매출입금</t>
        </is>
      </c>
      <c r="L95" s="67" t="inlineStr">
        <is>
          <t>N</t>
        </is>
      </c>
      <c r="M95" s="67" t="inlineStr">
        <is>
          <t>N</t>
        </is>
      </c>
      <c r="N95" s="148" t="n">
        <v>6570403</v>
      </c>
      <c r="O95" s="67" t="inlineStr">
        <is>
          <t>국민은행_계좌 조회 6개월(20260913).xls</t>
        </is>
      </c>
      <c r="P95" s="69" t="inlineStr">
        <is>
          <t>기존내역</t>
        </is>
      </c>
    </row>
    <row r="96">
      <c r="A96" s="146" t="n">
        <v>46303.37834490741</v>
      </c>
      <c r="B96" s="147" t="n">
        <v>46303</v>
      </c>
      <c r="C96" s="67" t="inlineStr">
        <is>
          <t>국민은행</t>
        </is>
      </c>
      <c r="D96" s="67" t="inlineStr">
        <is>
          <t>국민 154577</t>
        </is>
      </c>
      <c r="E96" s="148" t="n">
        <v>0</v>
      </c>
      <c r="F96" s="148" t="n">
        <v>3596543</v>
      </c>
      <c r="G96" s="148" t="n">
        <v>8037877</v>
      </c>
      <c r="H96" s="75" t="inlineStr">
        <is>
          <t>전자금융</t>
        </is>
      </c>
      <c r="I96" s="75" t="inlineStr">
        <is>
          <t>삼성18967412</t>
        </is>
      </c>
      <c r="J96" s="75" t="inlineStr">
        <is>
          <t>SC은행</t>
        </is>
      </c>
      <c r="K96" s="67" t="inlineStr">
        <is>
          <t>보험 중도인출·보험금 입금</t>
        </is>
      </c>
      <c r="L96" s="67" t="inlineStr">
        <is>
          <t>N</t>
        </is>
      </c>
      <c r="M96" s="67" t="inlineStr">
        <is>
          <t>N</t>
        </is>
      </c>
      <c r="N96" s="148" t="n">
        <v>3596543</v>
      </c>
      <c r="O96" s="67" t="inlineStr">
        <is>
          <t>우리은행 거래내역조회 20260913.xlsx</t>
        </is>
      </c>
      <c r="P96" s="69" t="inlineStr">
        <is>
          <t>기존내역</t>
        </is>
      </c>
    </row>
    <row r="97">
      <c r="A97" s="146" t="n">
        <v>46303.41525462963</v>
      </c>
      <c r="B97" s="147" t="n">
        <v>46303</v>
      </c>
      <c r="C97" s="67" t="inlineStr">
        <is>
          <t>농협</t>
        </is>
      </c>
      <c r="D97" s="67" t="inlineStr">
        <is>
          <t>농협 569003</t>
        </is>
      </c>
      <c r="E97" s="148" t="n">
        <v>0</v>
      </c>
      <c r="F97" s="148" t="n">
        <v>21497</v>
      </c>
      <c r="G97" s="148" t="n">
        <v>877063</v>
      </c>
      <c r="H97" s="75" t="inlineStr">
        <is>
          <t>PC우리은행</t>
        </is>
      </c>
      <c r="I97" s="75" t="inlineStr">
        <is>
          <t>현423337508</t>
        </is>
      </c>
      <c r="J97" s="75" t="inlineStr">
        <is>
          <t>우리 0202905</t>
        </is>
      </c>
      <c r="K97" s="67" t="inlineStr">
        <is>
          <t>기타입금</t>
        </is>
      </c>
      <c r="L97" s="67" t="inlineStr">
        <is>
          <t>N</t>
        </is>
      </c>
      <c r="M97" s="67" t="inlineStr">
        <is>
          <t>N</t>
        </is>
      </c>
      <c r="N97" s="148" t="n">
        <v>21497</v>
      </c>
      <c r="O97" s="67" t="inlineStr">
        <is>
          <t>국민은행_계좌 조회 6개월(20260913).xls</t>
        </is>
      </c>
      <c r="P97" s="69" t="inlineStr">
        <is>
          <t>기존내역</t>
        </is>
      </c>
    </row>
    <row r="98">
      <c r="A98" s="146" t="n">
        <v>46303.43041666667</v>
      </c>
      <c r="B98" s="147" t="n">
        <v>46303</v>
      </c>
      <c r="C98" s="67" t="inlineStr">
        <is>
          <t>국민은행</t>
        </is>
      </c>
      <c r="D98" s="67" t="inlineStr">
        <is>
          <t>국민 154577</t>
        </is>
      </c>
      <c r="E98" s="148" t="n">
        <v>0</v>
      </c>
      <c r="F98" s="148" t="n">
        <v>7684200</v>
      </c>
      <c r="G98" s="148" t="n">
        <v>15722077</v>
      </c>
      <c r="H98" s="75" t="inlineStr">
        <is>
          <t>스마트입금</t>
        </is>
      </c>
      <c r="I98" s="75" t="inlineStr">
        <is>
          <t>(주)에이팜건강</t>
        </is>
      </c>
      <c r="J98" s="75" t="inlineStr">
        <is>
          <t>진천역</t>
        </is>
      </c>
      <c r="K98" s="67" t="inlineStr">
        <is>
          <t>계좌간이체</t>
        </is>
      </c>
      <c r="L98" s="67" t="inlineStr">
        <is>
          <t>Y</t>
        </is>
      </c>
      <c r="M98" s="67" t="inlineStr">
        <is>
          <t>N</t>
        </is>
      </c>
      <c r="N98" s="148" t="n">
        <v>0</v>
      </c>
      <c r="O98" s="67" t="inlineStr">
        <is>
          <t>국민은행_계좌 조회 6개월(20260913).xls</t>
        </is>
      </c>
      <c r="P98" s="69" t="inlineStr">
        <is>
          <t>기존내역</t>
        </is>
      </c>
    </row>
    <row r="99">
      <c r="A99" s="146" t="n">
        <v>46303.43041666667</v>
      </c>
      <c r="B99" s="147" t="n">
        <v>46303</v>
      </c>
      <c r="C99" s="67" t="inlineStr">
        <is>
          <t>국민은행</t>
        </is>
      </c>
      <c r="D99" s="67" t="inlineStr">
        <is>
          <t>국민 169124</t>
        </is>
      </c>
      <c r="E99" s="148" t="n">
        <v>7684200</v>
      </c>
      <c r="F99" s="148" t="n">
        <v>0</v>
      </c>
      <c r="G99" s="148" t="n">
        <v>20000000</v>
      </c>
      <c r="H99" s="75" t="inlineStr">
        <is>
          <t>스마트출금</t>
        </is>
      </c>
      <c r="I99" s="75" t="inlineStr">
        <is>
          <t>(주)에이팜건강</t>
        </is>
      </c>
      <c r="J99" s="75" t="inlineStr">
        <is>
          <t>진천역</t>
        </is>
      </c>
      <c r="K99" s="67" t="inlineStr">
        <is>
          <t>계좌간이체</t>
        </is>
      </c>
      <c r="L99" s="67" t="inlineStr">
        <is>
          <t>Y</t>
        </is>
      </c>
      <c r="M99" s="67" t="inlineStr">
        <is>
          <t>N</t>
        </is>
      </c>
      <c r="N99" s="148" t="n">
        <v>0</v>
      </c>
      <c r="O99" s="67" t="inlineStr">
        <is>
          <t>우리은행 거래내역조회 20260913.xlsx</t>
        </is>
      </c>
      <c r="P99" s="69" t="inlineStr">
        <is>
          <t>기존내역</t>
        </is>
      </c>
    </row>
    <row r="100">
      <c r="A100" s="146" t="n">
        <v>46303.43212962963</v>
      </c>
      <c r="B100" s="147" t="n">
        <v>46303</v>
      </c>
      <c r="C100" s="67" t="inlineStr">
        <is>
          <t>국민은행</t>
        </is>
      </c>
      <c r="D100" s="67" t="inlineStr">
        <is>
          <t>국민 154577</t>
        </is>
      </c>
      <c r="E100" s="148" t="n">
        <v>6600000</v>
      </c>
      <c r="F100" s="148" t="n">
        <v>0</v>
      </c>
      <c r="G100" s="148" t="n">
        <v>9122077</v>
      </c>
      <c r="H100" s="75" t="inlineStr">
        <is>
          <t>스마트출금</t>
        </is>
      </c>
      <c r="I100" s="75" t="inlineStr">
        <is>
          <t>주식회사플레이어스</t>
        </is>
      </c>
      <c r="J100" s="75" t="inlineStr">
        <is>
          <t>진천역</t>
        </is>
      </c>
      <c r="K100" s="67" t="inlineStr">
        <is>
          <t>기타지출</t>
        </is>
      </c>
      <c r="L100" s="67" t="inlineStr">
        <is>
          <t>N</t>
        </is>
      </c>
      <c r="M100" s="67" t="inlineStr">
        <is>
          <t>N</t>
        </is>
      </c>
      <c r="N100" s="148" t="n">
        <v>-6600000</v>
      </c>
      <c r="O100" s="67" t="inlineStr">
        <is>
          <t>우리은행 거래내역조회 20260913.xlsx</t>
        </is>
      </c>
      <c r="P100" s="69" t="inlineStr">
        <is>
          <t>기존내역</t>
        </is>
      </c>
    </row>
    <row r="101">
      <c r="A101" s="146" t="n">
        <v>46303.43703703704</v>
      </c>
      <c r="B101" s="147" t="n">
        <v>46303</v>
      </c>
      <c r="C101" s="67" t="inlineStr">
        <is>
          <t>국민은행</t>
        </is>
      </c>
      <c r="D101" s="67" t="inlineStr">
        <is>
          <t>국민 154577</t>
        </is>
      </c>
      <c r="E101" s="148" t="n">
        <v>0</v>
      </c>
      <c r="F101" s="148" t="n">
        <v>40000000</v>
      </c>
      <c r="G101" s="148" t="n">
        <v>49122077</v>
      </c>
      <c r="H101" s="75" t="inlineStr">
        <is>
          <t>대체입금</t>
        </is>
      </c>
      <c r="I101" s="75" t="inlineStr">
        <is>
          <t>(주)에이팜건강</t>
        </is>
      </c>
      <c r="J101" s="75" t="inlineStr">
        <is>
          <t>진천역</t>
        </is>
      </c>
      <c r="K101" s="67" t="inlineStr">
        <is>
          <t>기타입금</t>
        </is>
      </c>
      <c r="L101" s="67" t="inlineStr">
        <is>
          <t>N</t>
        </is>
      </c>
      <c r="M101" s="67" t="inlineStr">
        <is>
          <t>N</t>
        </is>
      </c>
      <c r="N101" s="148" t="n">
        <v>40000000</v>
      </c>
      <c r="O101" s="67" t="inlineStr">
        <is>
          <t>우리은행 거래내역조회 20260913.xlsx</t>
        </is>
      </c>
      <c r="P101" s="69" t="inlineStr">
        <is>
          <t>기존내역</t>
        </is>
      </c>
    </row>
    <row r="102">
      <c r="A102" s="146" t="n">
        <v>46303.45196759259</v>
      </c>
      <c r="B102" s="147" t="n">
        <v>46303</v>
      </c>
      <c r="C102" s="67" t="inlineStr">
        <is>
          <t>농협</t>
        </is>
      </c>
      <c r="D102" s="67" t="inlineStr">
        <is>
          <t>농협 569003</t>
        </is>
      </c>
      <c r="E102" s="148" t="n">
        <v>0</v>
      </c>
      <c r="F102" s="148" t="n">
        <v>12000</v>
      </c>
      <c r="G102" s="148" t="n">
        <v>889063</v>
      </c>
      <c r="H102" s="75" t="inlineStr">
        <is>
          <t>폰토스뱅크</t>
        </is>
      </c>
      <c r="I102" s="75" t="inlineStr">
        <is>
          <t>김수희</t>
        </is>
      </c>
      <c r="J102" s="75" t="inlineStr">
        <is>
          <t>토스뱅크 0921008</t>
        </is>
      </c>
      <c r="K102" s="67" t="inlineStr">
        <is>
          <t>기타입금</t>
        </is>
      </c>
      <c r="L102" s="67" t="inlineStr">
        <is>
          <t>N</t>
        </is>
      </c>
      <c r="M102" s="67" t="inlineStr">
        <is>
          <t>N</t>
        </is>
      </c>
      <c r="N102" s="148" t="n">
        <v>12000</v>
      </c>
      <c r="O102" s="67" t="inlineStr">
        <is>
          <t>우리은행 거래내역조회 20260913.xlsx</t>
        </is>
      </c>
      <c r="P102" s="69" t="inlineStr">
        <is>
          <t>기존내역</t>
        </is>
      </c>
    </row>
    <row r="103">
      <c r="A103" s="146" t="n">
        <v>46303.4571412037</v>
      </c>
      <c r="B103" s="147" t="n">
        <v>46303</v>
      </c>
      <c r="C103" s="67" t="inlineStr">
        <is>
          <t>농협</t>
        </is>
      </c>
      <c r="D103" s="67" t="inlineStr">
        <is>
          <t>농협 569003</t>
        </is>
      </c>
      <c r="E103" s="148" t="n">
        <v>0</v>
      </c>
      <c r="F103" s="148" t="n">
        <v>8297360</v>
      </c>
      <c r="G103" s="148" t="n">
        <v>9186423</v>
      </c>
      <c r="H103" s="75" t="inlineStr">
        <is>
          <t>PC신한은행</t>
        </is>
      </c>
      <c r="I103" s="75" t="inlineStr">
        <is>
          <t>(주)카카오</t>
        </is>
      </c>
      <c r="J103" s="75" t="inlineStr">
        <is>
          <t>신한 0267623</t>
        </is>
      </c>
      <c r="K103" s="67" t="inlineStr">
        <is>
          <t>온라인매출입금</t>
        </is>
      </c>
      <c r="L103" s="67" t="inlineStr">
        <is>
          <t>N</t>
        </is>
      </c>
      <c r="M103" s="67" t="inlineStr">
        <is>
          <t>N</t>
        </is>
      </c>
      <c r="N103" s="148" t="n">
        <v>8297360</v>
      </c>
      <c r="O103" s="67" t="inlineStr">
        <is>
          <t>우리은행 거래내역조회 20260913.xlsx</t>
        </is>
      </c>
      <c r="P103" s="69" t="inlineStr">
        <is>
          <t>기존내역</t>
        </is>
      </c>
    </row>
    <row r="104">
      <c r="A104" s="146" t="n">
        <v>46303.4909837963</v>
      </c>
      <c r="B104" s="147" t="n">
        <v>46303</v>
      </c>
      <c r="C104" s="67" t="inlineStr">
        <is>
          <t>국민은행</t>
        </is>
      </c>
      <c r="D104" s="67" t="inlineStr">
        <is>
          <t>국민 154577</t>
        </is>
      </c>
      <c r="E104" s="148" t="n">
        <v>0</v>
      </c>
      <c r="F104" s="148" t="n">
        <v>136788</v>
      </c>
      <c r="G104" s="148" t="n">
        <v>49258865</v>
      </c>
      <c r="H104" s="75" t="inlineStr">
        <is>
          <t>전자금융</t>
        </is>
      </c>
      <c r="I104" s="75" t="inlineStr">
        <is>
          <t>KG이니시스</t>
        </is>
      </c>
      <c r="J104" s="75" t="inlineStr">
        <is>
          <t>하나은행</t>
        </is>
      </c>
      <c r="K104" s="67" t="inlineStr">
        <is>
          <t>온라인매출입금</t>
        </is>
      </c>
      <c r="L104" s="67" t="inlineStr">
        <is>
          <t>N</t>
        </is>
      </c>
      <c r="M104" s="67" t="inlineStr">
        <is>
          <t>N</t>
        </is>
      </c>
      <c r="N104" s="148" t="n">
        <v>136788</v>
      </c>
      <c r="O104" s="67" t="inlineStr">
        <is>
          <t>우리은행 거래내역조회 20260913.xlsx</t>
        </is>
      </c>
      <c r="P104" s="69" t="inlineStr">
        <is>
          <t>기존내역</t>
        </is>
      </c>
    </row>
    <row r="105">
      <c r="A105" s="146" t="n">
        <v>46303.49604166667</v>
      </c>
      <c r="B105" s="147" t="n">
        <v>46303</v>
      </c>
      <c r="C105" s="67" t="inlineStr">
        <is>
          <t>국민은행</t>
        </is>
      </c>
      <c r="D105" s="67" t="inlineStr">
        <is>
          <t>국민 154577</t>
        </is>
      </c>
      <c r="E105" s="148" t="n">
        <v>0</v>
      </c>
      <c r="F105" s="148" t="n">
        <v>478456</v>
      </c>
      <c r="G105" s="148" t="n">
        <v>49737321</v>
      </c>
      <c r="H105" s="75" t="inlineStr">
        <is>
          <t>전자금융</t>
        </is>
      </c>
      <c r="I105" s="75" t="inlineStr">
        <is>
          <t>(주)케이지모</t>
        </is>
      </c>
      <c r="J105" s="75" t="inlineStr">
        <is>
          <t>하나은행</t>
        </is>
      </c>
      <c r="K105" s="67" t="inlineStr">
        <is>
          <t>기타입금</t>
        </is>
      </c>
      <c r="L105" s="67" t="inlineStr">
        <is>
          <t>N</t>
        </is>
      </c>
      <c r="M105" s="67" t="inlineStr">
        <is>
          <t>N</t>
        </is>
      </c>
      <c r="N105" s="148" t="n">
        <v>478456</v>
      </c>
      <c r="O105" s="67" t="inlineStr">
        <is>
          <t>농협계좌_6개월(20260913).xls</t>
        </is>
      </c>
      <c r="P105" s="69" t="inlineStr">
        <is>
          <t>기존내역</t>
        </is>
      </c>
    </row>
    <row r="106">
      <c r="A106" s="146" t="n">
        <v>46303.49935185185</v>
      </c>
      <c r="B106" s="147" t="n">
        <v>46303</v>
      </c>
      <c r="C106" s="67" t="inlineStr">
        <is>
          <t>국민은행</t>
        </is>
      </c>
      <c r="D106" s="67" t="inlineStr">
        <is>
          <t>국민 154577</t>
        </is>
      </c>
      <c r="E106" s="148" t="n">
        <v>0</v>
      </c>
      <c r="F106" s="148" t="n">
        <v>514471</v>
      </c>
      <c r="G106" s="148" t="n">
        <v>50251792</v>
      </c>
      <c r="H106" s="75" t="inlineStr">
        <is>
          <t>전자금융</t>
        </is>
      </c>
      <c r="I106" s="75" t="inlineStr">
        <is>
          <t>KG이니시스</t>
        </is>
      </c>
      <c r="J106" s="75" t="inlineStr">
        <is>
          <t>하나은행</t>
        </is>
      </c>
      <c r="K106" s="67" t="inlineStr">
        <is>
          <t>온라인매출입금</t>
        </is>
      </c>
      <c r="L106" s="67" t="inlineStr">
        <is>
          <t>N</t>
        </is>
      </c>
      <c r="M106" s="67" t="inlineStr">
        <is>
          <t>N</t>
        </is>
      </c>
      <c r="N106" s="148" t="n">
        <v>514471</v>
      </c>
      <c r="O106" s="67" t="inlineStr">
        <is>
          <t>국민은행_계좌 조회 6개월(20260913).xls</t>
        </is>
      </c>
      <c r="P106" s="69" t="inlineStr">
        <is>
          <t>기존내역</t>
        </is>
      </c>
    </row>
    <row r="107">
      <c r="A107" s="146" t="n">
        <v>46303.51789351852</v>
      </c>
      <c r="B107" s="147" t="n">
        <v>46303</v>
      </c>
      <c r="C107" s="67" t="inlineStr">
        <is>
          <t>국민은행</t>
        </is>
      </c>
      <c r="D107" s="67" t="inlineStr">
        <is>
          <t>국민 154577</t>
        </is>
      </c>
      <c r="E107" s="148" t="n">
        <v>0</v>
      </c>
      <c r="F107" s="148" t="n">
        <v>25278</v>
      </c>
      <c r="G107" s="148" t="n">
        <v>50277070</v>
      </c>
      <c r="H107" s="75" t="inlineStr">
        <is>
          <t>전자금융</t>
        </is>
      </c>
      <c r="I107" s="75" t="inlineStr">
        <is>
          <t>이미현</t>
        </is>
      </c>
      <c r="J107" s="75" t="inlineStr">
        <is>
          <t>하나은행</t>
        </is>
      </c>
      <c r="K107" s="67" t="inlineStr">
        <is>
          <t>기타입금</t>
        </is>
      </c>
      <c r="L107" s="67" t="inlineStr">
        <is>
          <t>N</t>
        </is>
      </c>
      <c r="M107" s="67" t="inlineStr">
        <is>
          <t>N</t>
        </is>
      </c>
      <c r="N107" s="148" t="n">
        <v>25278</v>
      </c>
      <c r="O107" s="67" t="inlineStr">
        <is>
          <t>농협계좌_6개월(20260913).xls</t>
        </is>
      </c>
      <c r="P107" s="69" t="inlineStr">
        <is>
          <t>기존내역</t>
        </is>
      </c>
    </row>
    <row r="108">
      <c r="A108" s="146" t="n">
        <v>46303.58391203704</v>
      </c>
      <c r="B108" s="147" t="n">
        <v>46303</v>
      </c>
      <c r="C108" s="67" t="inlineStr">
        <is>
          <t>우리은행</t>
        </is>
      </c>
      <c r="D108" s="67" t="inlineStr">
        <is>
          <t>우리 220351</t>
        </is>
      </c>
      <c r="E108" s="148" t="n">
        <v>6697500</v>
      </c>
      <c r="F108" s="148" t="n">
        <v>0</v>
      </c>
      <c r="G108" s="148" t="n">
        <v>11613584</v>
      </c>
      <c r="H108" s="75" t="inlineStr">
        <is>
          <t>대체지급</t>
        </is>
      </c>
      <c r="I108" s="75" t="inlineStr">
        <is>
          <t>EFX:26A08000660</t>
        </is>
      </c>
      <c r="J108" s="75" t="inlineStr">
        <is>
          <t>성서공단금융센터</t>
        </is>
      </c>
      <c r="K108" s="67" t="inlineStr">
        <is>
          <t>기타지출</t>
        </is>
      </c>
      <c r="L108" s="67" t="inlineStr">
        <is>
          <t>N</t>
        </is>
      </c>
      <c r="M108" s="67" t="inlineStr">
        <is>
          <t>N</t>
        </is>
      </c>
      <c r="N108" s="148" t="n">
        <v>-6697500</v>
      </c>
      <c r="O108" s="67" t="inlineStr">
        <is>
          <t>국민은행_계좌 조회 6개월(20260913).xls</t>
        </is>
      </c>
      <c r="P108" s="69" t="inlineStr">
        <is>
          <t>기존내역</t>
        </is>
      </c>
    </row>
    <row r="109">
      <c r="A109" s="146" t="n">
        <v>46303.64111111111</v>
      </c>
      <c r="B109" s="147" t="n">
        <v>46303</v>
      </c>
      <c r="C109" s="67" t="inlineStr">
        <is>
          <t>우리은행</t>
        </is>
      </c>
      <c r="D109" s="67" t="inlineStr">
        <is>
          <t>우리 220351</t>
        </is>
      </c>
      <c r="E109" s="148" t="n">
        <v>498531</v>
      </c>
      <c r="F109" s="148" t="n">
        <v>0</v>
      </c>
      <c r="G109" s="148" t="n">
        <v>11115053</v>
      </c>
      <c r="H109" s="75" t="inlineStr">
        <is>
          <t>인터넷</t>
        </is>
      </c>
      <c r="I109" s="75" t="inlineStr">
        <is>
          <t>국민비즈월렛_쁘띠앤</t>
        </is>
      </c>
      <c r="J109" s="75" t="inlineStr">
        <is>
          <t>성서공단금융센터</t>
        </is>
      </c>
      <c r="K109" s="67" t="inlineStr">
        <is>
          <t>기타지출</t>
        </is>
      </c>
      <c r="L109" s="67" t="inlineStr">
        <is>
          <t>N</t>
        </is>
      </c>
      <c r="M109" s="67" t="inlineStr">
        <is>
          <t>Y</t>
        </is>
      </c>
      <c r="N109" s="148" t="n">
        <v>-498531</v>
      </c>
      <c r="O109" s="67" t="inlineStr">
        <is>
          <t>국민은행_계좌 조회 6개월(20260913).xls</t>
        </is>
      </c>
      <c r="P109" s="69" t="inlineStr">
        <is>
          <t>기존내역</t>
        </is>
      </c>
    </row>
    <row r="110">
      <c r="A110" s="146" t="n">
        <v>46303.6478125</v>
      </c>
      <c r="B110" s="147" t="n">
        <v>46303</v>
      </c>
      <c r="C110" s="67" t="inlineStr">
        <is>
          <t>국민은행</t>
        </is>
      </c>
      <c r="D110" s="67" t="inlineStr">
        <is>
          <t>국민 154577</t>
        </is>
      </c>
      <c r="E110" s="148" t="n">
        <v>0</v>
      </c>
      <c r="F110" s="148" t="n">
        <v>30796</v>
      </c>
      <c r="G110" s="148" t="n">
        <v>50307866</v>
      </c>
      <c r="H110" s="75" t="inlineStr">
        <is>
          <t>전자금융</t>
        </is>
      </c>
      <c r="I110" s="75" t="inlineStr">
        <is>
          <t>엔에이치엔페이</t>
        </is>
      </c>
      <c r="J110" s="75" t="inlineStr">
        <is>
          <t>신한은행</t>
        </is>
      </c>
      <c r="K110" s="67" t="inlineStr">
        <is>
          <t>온라인매출입금</t>
        </is>
      </c>
      <c r="L110" s="67" t="inlineStr">
        <is>
          <t>N</t>
        </is>
      </c>
      <c r="M110" s="67" t="inlineStr">
        <is>
          <t>N</t>
        </is>
      </c>
      <c r="N110" s="148" t="n">
        <v>30796</v>
      </c>
      <c r="O110" s="67" t="inlineStr">
        <is>
          <t>농협계좌_6개월(20260913).xls</t>
        </is>
      </c>
      <c r="P110" s="69" t="inlineStr">
        <is>
          <t>기존내역</t>
        </is>
      </c>
    </row>
    <row r="111">
      <c r="A111" s="146" t="n">
        <v>46303.64900462963</v>
      </c>
      <c r="B111" s="147" t="n">
        <v>46303</v>
      </c>
      <c r="C111" s="67" t="inlineStr">
        <is>
          <t>국민은행</t>
        </is>
      </c>
      <c r="D111" s="67" t="inlineStr">
        <is>
          <t>국민 154577</t>
        </is>
      </c>
      <c r="E111" s="148" t="n">
        <v>0</v>
      </c>
      <c r="F111" s="148" t="n">
        <v>75693</v>
      </c>
      <c r="G111" s="148" t="n">
        <v>50383559</v>
      </c>
      <c r="H111" s="75" t="inlineStr">
        <is>
          <t>전자금융</t>
        </is>
      </c>
      <c r="I111" s="75" t="inlineStr">
        <is>
          <t>YUHAN-KIMB</t>
        </is>
      </c>
      <c r="J111" s="75" t="inlineStr">
        <is>
          <t>한국씨티</t>
        </is>
      </c>
      <c r="K111" s="67" t="inlineStr">
        <is>
          <t>기타입금</t>
        </is>
      </c>
      <c r="L111" s="67" t="inlineStr">
        <is>
          <t>N</t>
        </is>
      </c>
      <c r="M111" s="67" t="inlineStr">
        <is>
          <t>N</t>
        </is>
      </c>
      <c r="N111" s="148" t="n">
        <v>75693</v>
      </c>
      <c r="O111" s="67" t="inlineStr">
        <is>
          <t>국민은행_계좌 조회 6개월(20260913).xls</t>
        </is>
      </c>
      <c r="P111" s="69" t="inlineStr">
        <is>
          <t>기존내역</t>
        </is>
      </c>
    </row>
    <row r="112">
      <c r="A112" s="146" t="n">
        <v>46303.71053240741</v>
      </c>
      <c r="B112" s="147" t="n">
        <v>46303</v>
      </c>
      <c r="C112" s="67" t="inlineStr">
        <is>
          <t>우리은행</t>
        </is>
      </c>
      <c r="D112" s="67" t="inlineStr">
        <is>
          <t>우리 220351</t>
        </is>
      </c>
      <c r="E112" s="148" t="n">
        <v>1980000</v>
      </c>
      <c r="F112" s="148" t="n">
        <v>0</v>
      </c>
      <c r="G112" s="148" t="n">
        <v>9135053</v>
      </c>
      <c r="H112" s="75" t="inlineStr">
        <is>
          <t>인터넷</t>
        </is>
      </c>
      <c r="I112" s="75" t="inlineStr">
        <is>
          <t>국민네이버 apha</t>
        </is>
      </c>
      <c r="J112" s="75" t="inlineStr">
        <is>
          <t>성서공단금융센터</t>
        </is>
      </c>
      <c r="K112" s="67" t="inlineStr">
        <is>
          <t>기타지출</t>
        </is>
      </c>
      <c r="L112" s="67" t="inlineStr">
        <is>
          <t>N</t>
        </is>
      </c>
      <c r="M112" s="67" t="inlineStr">
        <is>
          <t>Y</t>
        </is>
      </c>
      <c r="N112" s="148" t="n">
        <v>-1980000</v>
      </c>
      <c r="O112" s="67" t="inlineStr">
        <is>
          <t>농협계좌_6개월(20260913).xls</t>
        </is>
      </c>
      <c r="P112" s="69" t="inlineStr">
        <is>
          <t>기존내역</t>
        </is>
      </c>
    </row>
    <row r="113">
      <c r="A113" s="146" t="n">
        <v>46303.71054398148</v>
      </c>
      <c r="B113" s="147" t="n">
        <v>46303</v>
      </c>
      <c r="C113" s="67" t="inlineStr">
        <is>
          <t>우리은행</t>
        </is>
      </c>
      <c r="D113" s="67" t="inlineStr">
        <is>
          <t>우리 220351</t>
        </is>
      </c>
      <c r="E113" s="148" t="n">
        <v>3740000</v>
      </c>
      <c r="F113" s="148" t="n">
        <v>0</v>
      </c>
      <c r="G113" s="148" t="n">
        <v>5395053</v>
      </c>
      <c r="H113" s="75" t="inlineStr">
        <is>
          <t>인터넷</t>
        </is>
      </c>
      <c r="I113" s="75" t="inlineStr">
        <is>
          <t>국민네이버 apha</t>
        </is>
      </c>
      <c r="J113" s="75" t="inlineStr">
        <is>
          <t>성서공단금융센터</t>
        </is>
      </c>
      <c r="K113" s="67" t="inlineStr">
        <is>
          <t>기타지출</t>
        </is>
      </c>
      <c r="L113" s="67" t="inlineStr">
        <is>
          <t>N</t>
        </is>
      </c>
      <c r="M113" s="67" t="inlineStr">
        <is>
          <t>Y</t>
        </is>
      </c>
      <c r="N113" s="148" t="n">
        <v>-3740000</v>
      </c>
      <c r="O113" s="67" t="inlineStr">
        <is>
          <t>우리은행 거래내역조회 20260913.xlsx</t>
        </is>
      </c>
      <c r="P113" s="69" t="inlineStr">
        <is>
          <t>기존내역</t>
        </is>
      </c>
    </row>
    <row r="114">
      <c r="A114" s="146" t="n">
        <v>46303.71056712963</v>
      </c>
      <c r="B114" s="147" t="n">
        <v>46303</v>
      </c>
      <c r="C114" s="67" t="inlineStr">
        <is>
          <t>우리은행</t>
        </is>
      </c>
      <c r="D114" s="67" t="inlineStr">
        <is>
          <t>우리 220351</t>
        </is>
      </c>
      <c r="E114" s="148" t="n">
        <v>880000</v>
      </c>
      <c r="F114" s="148" t="n">
        <v>0</v>
      </c>
      <c r="G114" s="148" t="n">
        <v>4515053</v>
      </c>
      <c r="H114" s="75" t="inlineStr">
        <is>
          <t>인터넷</t>
        </is>
      </c>
      <c r="I114" s="75" t="inlineStr">
        <is>
          <t>국민네이버 에이팜건</t>
        </is>
      </c>
      <c r="J114" s="75" t="inlineStr">
        <is>
          <t>성서공단금융센터</t>
        </is>
      </c>
      <c r="K114" s="67" t="inlineStr">
        <is>
          <t>기타지출</t>
        </is>
      </c>
      <c r="L114" s="67" t="inlineStr">
        <is>
          <t>N</t>
        </is>
      </c>
      <c r="M114" s="67" t="inlineStr">
        <is>
          <t>Y</t>
        </is>
      </c>
      <c r="N114" s="148" t="n">
        <v>-880000</v>
      </c>
      <c r="O114" s="67" t="inlineStr">
        <is>
          <t>우리은행 거래내역조회 20260913.xlsx</t>
        </is>
      </c>
      <c r="P114" s="69" t="inlineStr">
        <is>
          <t>기존내역</t>
        </is>
      </c>
    </row>
    <row r="115">
      <c r="A115" s="146" t="n">
        <v>46303.71059027778</v>
      </c>
      <c r="B115" s="147" t="n">
        <v>46303</v>
      </c>
      <c r="C115" s="67" t="inlineStr">
        <is>
          <t>우리은행</t>
        </is>
      </c>
      <c r="D115" s="67" t="inlineStr">
        <is>
          <t>우리 220351</t>
        </is>
      </c>
      <c r="E115" s="148" t="n">
        <v>1320000</v>
      </c>
      <c r="F115" s="148" t="n">
        <v>0</v>
      </c>
      <c r="G115" s="148" t="n">
        <v>3195053</v>
      </c>
      <c r="H115" s="75" t="inlineStr">
        <is>
          <t>인터넷</t>
        </is>
      </c>
      <c r="I115" s="75" t="inlineStr">
        <is>
          <t>국민네이버 ddi5</t>
        </is>
      </c>
      <c r="J115" s="75" t="inlineStr">
        <is>
          <t>성서공단금융센터</t>
        </is>
      </c>
      <c r="K115" s="67" t="inlineStr">
        <is>
          <t>기타지출</t>
        </is>
      </c>
      <c r="L115" s="67" t="inlineStr">
        <is>
          <t>N</t>
        </is>
      </c>
      <c r="M115" s="67" t="inlineStr">
        <is>
          <t>N</t>
        </is>
      </c>
      <c r="N115" s="148" t="n">
        <v>-1320000</v>
      </c>
      <c r="O115" s="67" t="inlineStr">
        <is>
          <t>우리은행 거래내역조회 20260913.xlsx</t>
        </is>
      </c>
      <c r="P115" s="69" t="inlineStr">
        <is>
          <t>기존내역</t>
        </is>
      </c>
    </row>
    <row r="116">
      <c r="A116" s="146" t="n">
        <v>46303.71060185185</v>
      </c>
      <c r="B116" s="147" t="n">
        <v>46303</v>
      </c>
      <c r="C116" s="67" t="inlineStr">
        <is>
          <t>우리은행</t>
        </is>
      </c>
      <c r="D116" s="67" t="inlineStr">
        <is>
          <t>우리 220351</t>
        </is>
      </c>
      <c r="E116" s="148" t="n">
        <v>330000</v>
      </c>
      <c r="F116" s="148" t="n">
        <v>0</v>
      </c>
      <c r="G116" s="148" t="n">
        <v>2865053</v>
      </c>
      <c r="H116" s="75" t="inlineStr">
        <is>
          <t>인터넷</t>
        </is>
      </c>
      <c r="I116" s="75" t="inlineStr">
        <is>
          <t>농협(주)레인보우8</t>
        </is>
      </c>
      <c r="J116" s="75" t="inlineStr">
        <is>
          <t>성서공단금융센터</t>
        </is>
      </c>
      <c r="K116" s="67" t="inlineStr">
        <is>
          <t>기타지출</t>
        </is>
      </c>
      <c r="L116" s="67" t="inlineStr">
        <is>
          <t>N</t>
        </is>
      </c>
      <c r="M116" s="67" t="inlineStr">
        <is>
          <t>Y</t>
        </is>
      </c>
      <c r="N116" s="148" t="n">
        <v>-330000</v>
      </c>
      <c r="O116" s="67" t="inlineStr">
        <is>
          <t>우리은행 거래내역조회 20260913.xlsx</t>
        </is>
      </c>
      <c r="P116" s="69" t="inlineStr">
        <is>
          <t>기존내역</t>
        </is>
      </c>
    </row>
    <row r="117">
      <c r="A117" s="253" t="n">
        <v>46305.86759259259</v>
      </c>
      <c r="B117" s="254" t="n">
        <v>46305</v>
      </c>
      <c r="C117" s="67" t="inlineStr">
        <is>
          <t>국민은행</t>
        </is>
      </c>
      <c r="D117" s="67" t="inlineStr">
        <is>
          <t>국민 154577</t>
        </is>
      </c>
      <c r="E117" s="148" t="n">
        <v>0</v>
      </c>
      <c r="F117" s="148" t="n">
        <v>188470</v>
      </c>
      <c r="G117" s="148" t="n">
        <v>50572029</v>
      </c>
      <c r="H117" s="75" t="inlineStr">
        <is>
          <t>전자금융</t>
        </is>
      </c>
      <c r="I117" s="75" t="inlineStr">
        <is>
          <t>지정임</t>
        </is>
      </c>
      <c r="J117" s="75" t="inlineStr">
        <is>
          <t>토스뱅크</t>
        </is>
      </c>
      <c r="K117" s="67" t="inlineStr">
        <is>
          <t>기타입금</t>
        </is>
      </c>
      <c r="L117" s="67" t="inlineStr">
        <is>
          <t>N</t>
        </is>
      </c>
      <c r="M117" s="67" t="inlineStr">
        <is>
          <t>N</t>
        </is>
      </c>
      <c r="N117" s="148" t="n">
        <v>188470</v>
      </c>
      <c r="O117" s="67" t="inlineStr">
        <is>
          <t>우리은행 거래내역조회 20260913.xlsx</t>
        </is>
      </c>
      <c r="P117" s="69" t="inlineStr">
        <is>
          <t>기존내역</t>
        </is>
      </c>
    </row>
    <row r="118">
      <c r="A118" s="146" t="n">
        <v>46307.13703703704</v>
      </c>
      <c r="B118" s="147" t="n">
        <v>46307</v>
      </c>
      <c r="C118" s="67" t="inlineStr">
        <is>
          <t>우리은행</t>
        </is>
      </c>
      <c r="D118" s="67" t="inlineStr">
        <is>
          <t>우리 220351</t>
        </is>
      </c>
      <c r="E118" s="148" t="n">
        <v>0</v>
      </c>
      <c r="F118" s="148" t="n">
        <v>13213735</v>
      </c>
      <c r="G118" s="148" t="n">
        <v>16078788</v>
      </c>
      <c r="H118" s="75" t="inlineStr">
        <is>
          <t>펌뱅킹</t>
        </is>
      </c>
      <c r="I118" s="75" t="inlineStr">
        <is>
          <t>스마트스토어정산</t>
        </is>
      </c>
      <c r="J118" s="75" t="inlineStr">
        <is>
          <t>두산타워기업영업지원팀</t>
        </is>
      </c>
      <c r="K118" s="67" t="inlineStr">
        <is>
          <t>온라인매출입금</t>
        </is>
      </c>
      <c r="L118" s="67" t="inlineStr">
        <is>
          <t>N</t>
        </is>
      </c>
      <c r="M118" s="67" t="inlineStr">
        <is>
          <t>N</t>
        </is>
      </c>
      <c r="N118" s="148" t="n">
        <v>13213735</v>
      </c>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9149149</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22299776</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15522234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11514900</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6913091</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2026-10-12T05:36:42Z</dcterms:modified>
</cp:coreProperties>
</file>