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;"/>
    <numFmt numFmtId="169" formatCode="#,##0;[Red]-#,##0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0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9" fontId="16" fillId="12" borderId="31" pivotButton="0" quotePrefix="0" xfId="0"/>
    <xf numFmtId="169" fontId="13" fillId="0" borderId="31" pivotButton="0" quotePrefix="0" xfId="0"/>
    <xf numFmtId="168" fontId="13" fillId="13" borderId="31" pivotButton="0" quotePrefix="0" xfId="0"/>
    <xf numFmtId="168" fontId="13" fillId="14" borderId="31" pivotButton="0" quotePrefix="0" xfId="0"/>
    <xf numFmtId="168" fontId="13" fillId="15" borderId="31" pivotButton="0" quotePrefix="0" xfId="0"/>
    <xf numFmtId="0" fontId="17" fillId="0" borderId="31" pivotButton="0" quotePrefix="0" xfId="0"/>
    <xf numFmtId="168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56" t="n">
        <v>46286</v>
      </c>
      <c r="B6" s="157" t="inlineStr">
        <is>
          <t>월</t>
        </is>
      </c>
      <c r="C6" s="158">
        <f>INDEX('설정및분류'!$C$6:$C$12,WEEKDAY(A6,2))*'요약'!$B$13</f>
        <v/>
      </c>
      <c r="D6" s="159" t="n"/>
      <c r="E6" s="159" t="n">
        <v>5494000</v>
      </c>
      <c r="F6" s="159" t="n"/>
      <c r="G6" s="159" t="n">
        <v>5120000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메트라이프 4,900,000, 네이버SA&amp;GFA 3,498,000, 트라이앵글하모니 1,996,000, SK브로드밴드 220,000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13642786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인포크비즈니스 3,300,000,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1650000</v>
      </c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inlineStr">
        <is>
          <t>엘앤에이치컴퍼니 1,650,000</t>
        </is>
      </c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75" t="n"/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>
        <f>SUM(D6:G6)</f>
        <v/>
      </c>
      <c r="D6" s="192">
        <f>11948137.00+I6-M6+Q6+R6+S6</f>
        <v/>
      </c>
      <c r="E6" s="192">
        <f>1834429.00+J6-Q6</f>
        <v/>
      </c>
      <c r="F6" s="192">
        <f>100687200.00+K6-R6</f>
        <v/>
      </c>
      <c r="G6" s="192">
        <f>20184954.00+L6-S6</f>
        <v/>
      </c>
      <c r="H6" s="193">
        <f>'4주일별계획'!C6+'4주일별계획'!D6</f>
        <v/>
      </c>
      <c r="I6" s="193">
        <f>H6*0.503194</f>
        <v/>
      </c>
      <c r="J6" s="193">
        <f>H6*0.025182</f>
        <v/>
      </c>
      <c r="K6" s="193">
        <f>H6*0.191179</f>
        <v/>
      </c>
      <c r="L6" s="193">
        <f>H6*0.280445</f>
        <v/>
      </c>
      <c r="M6" s="194">
        <f>'4주일별계획'!E6+'4주일별계획'!F6+'4주일별계획'!G6</f>
        <v/>
      </c>
      <c r="N6" s="195">
        <f>Q6</f>
        <v/>
      </c>
      <c r="O6" s="195">
        <f>R6+S6</f>
        <v/>
      </c>
      <c r="P6" s="196">
        <f>IF(D6&lt;-0.5,"전 계좌 소진 — 부족 "&amp;TEXT(-D6,"#,##0")&amp;"원","")</f>
        <v/>
      </c>
      <c r="Q6" s="197">
        <f>MIN(MAX(0,1834429.00+J6),MAX(0,M6-11948137.00-I6))</f>
        <v/>
      </c>
      <c r="R6" s="197">
        <f>MIN(MAX(0,100687200.00+K6),MAX(0,M6-11948137.00-I6)-Q6)</f>
        <v/>
      </c>
      <c r="S6" s="197">
        <f>MIN(MAX(0,20184954.00+L6),MAX(0,M6-11948137.00-I6)-Q6-R6)</f>
        <v/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D6+I7-M7+Q7+R7+S7</f>
        <v/>
      </c>
      <c r="E7" s="192">
        <f>E6+J7-Q7</f>
        <v/>
      </c>
      <c r="F7" s="192">
        <f>F6+K7-R7</f>
        <v/>
      </c>
      <c r="G7" s="192">
        <f>G6+L7-S7</f>
        <v/>
      </c>
      <c r="H7" s="193">
        <f>'4주일별계획'!C7+'4주일별계획'!D7</f>
        <v/>
      </c>
      <c r="I7" s="193">
        <f>H7*0.503194</f>
        <v/>
      </c>
      <c r="J7" s="193">
        <f>H7*0.025182</f>
        <v/>
      </c>
      <c r="K7" s="193">
        <f>H7*0.191179</f>
        <v/>
      </c>
      <c r="L7" s="193">
        <f>H7*0.280445</f>
        <v/>
      </c>
      <c r="M7" s="194">
        <f>'4주일별계획'!E7+'4주일별계획'!F7+'4주일별계획'!G7</f>
        <v/>
      </c>
      <c r="N7" s="195">
        <f>Q7</f>
        <v/>
      </c>
      <c r="O7" s="195">
        <f>R7+S7</f>
        <v/>
      </c>
      <c r="P7" s="196">
        <f>IF(D7&lt;-0.5,"전 계좌 소진 — 부족 "&amp;TEXT(-D7,"#,##0")&amp;"원","")</f>
        <v/>
      </c>
      <c r="Q7" s="197">
        <f>MIN(MAX(0,E6+J7),MAX(0,M7-D6-I7))</f>
        <v/>
      </c>
      <c r="R7" s="197">
        <f>MIN(MAX(0,F6+K7),MAX(0,M7-D6-I7)-Q7)</f>
        <v/>
      </c>
      <c r="S7" s="197">
        <f>MIN(MAX(0,G6+L7),MAX(0,M7-D6-I7)-Q7-R7)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3">
        <f>'4주일별계획'!C8+'4주일별계획'!D8</f>
        <v/>
      </c>
      <c r="I8" s="193">
        <f>H8*0.503194</f>
        <v/>
      </c>
      <c r="J8" s="193">
        <f>H8*0.025182</f>
        <v/>
      </c>
      <c r="K8" s="193">
        <f>H8*0.191179</f>
        <v/>
      </c>
      <c r="L8" s="193">
        <f>H8*0.280445</f>
        <v/>
      </c>
      <c r="M8" s="194">
        <f>'4주일별계획'!E8+'4주일별계획'!F8+'4주일별계획'!G8</f>
        <v/>
      </c>
      <c r="N8" s="195">
        <f>Q8</f>
        <v/>
      </c>
      <c r="O8" s="195">
        <f>R8+S8</f>
        <v/>
      </c>
      <c r="P8" s="196">
        <f>IF(D8&lt;-0.5,"전 계좌 소진 — 부족 "&amp;TEXT(-D8,"#,##0")&amp;"원","")</f>
        <v/>
      </c>
      <c r="Q8" s="197">
        <f>MIN(MAX(0,E7+J8),MAX(0,M8-D7-I8))</f>
        <v/>
      </c>
      <c r="R8" s="197">
        <f>MIN(MAX(0,F7+K8),MAX(0,M8-D7-I8)-Q8)</f>
        <v/>
      </c>
      <c r="S8" s="197">
        <f>MIN(MAX(0,G7+L8),MAX(0,M8-D7-I8)-Q8-R8)</f>
        <v/>
      </c>
    </row>
    <row r="9">
      <c r="A9" s="198" t="n">
        <v>46289</v>
      </c>
      <c r="B9" s="199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3">
        <f>'4주일별계획'!C9+'4주일별계획'!D9</f>
        <v/>
      </c>
      <c r="I9" s="193">
        <f>H9*0.503194</f>
        <v/>
      </c>
      <c r="J9" s="193">
        <f>H9*0.025182</f>
        <v/>
      </c>
      <c r="K9" s="193">
        <f>H9*0.191179</f>
        <v/>
      </c>
      <c r="L9" s="193">
        <f>H9*0.280445</f>
        <v/>
      </c>
      <c r="M9" s="194">
        <f>'4주일별계획'!E9+'4주일별계획'!F9+'4주일별계획'!G9</f>
        <v/>
      </c>
      <c r="N9" s="195">
        <f>Q9</f>
        <v/>
      </c>
      <c r="O9" s="195">
        <f>R9+S9</f>
        <v/>
      </c>
      <c r="P9" s="196">
        <f>IF(D9&lt;-0.5,"전 계좌 소진 — 부족 "&amp;TEXT(-D9,"#,##0")&amp;"원","")</f>
        <v/>
      </c>
      <c r="Q9" s="197">
        <f>MIN(MAX(0,E8+J9),MAX(0,M9-D8-I9))</f>
        <v/>
      </c>
      <c r="R9" s="197">
        <f>MIN(MAX(0,F8+K9),MAX(0,M9-D8-I9)-Q9)</f>
        <v/>
      </c>
      <c r="S9" s="197">
        <f>MIN(MAX(0,G8+L9),MAX(0,M9-D8-I9)-Q9-R9)</f>
        <v/>
      </c>
    </row>
    <row r="10">
      <c r="A10" s="198" t="n">
        <v>46290</v>
      </c>
      <c r="B10" s="199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3">
        <f>'4주일별계획'!C10+'4주일별계획'!D10</f>
        <v/>
      </c>
      <c r="I10" s="193">
        <f>H10*0.503194</f>
        <v/>
      </c>
      <c r="J10" s="193">
        <f>H10*0.025182</f>
        <v/>
      </c>
      <c r="K10" s="193">
        <f>H10*0.191179</f>
        <v/>
      </c>
      <c r="L10" s="193">
        <f>H10*0.280445</f>
        <v/>
      </c>
      <c r="M10" s="194">
        <f>'4주일별계획'!E10+'4주일별계획'!F10+'4주일별계획'!G10</f>
        <v/>
      </c>
      <c r="N10" s="195">
        <f>Q10</f>
        <v/>
      </c>
      <c r="O10" s="195">
        <f>R10+S10</f>
        <v/>
      </c>
      <c r="P10" s="196">
        <f>IF(D10&lt;-0.5,"전 계좌 소진 — 부족 "&amp;TEXT(-D10,"#,##0")&amp;"원","")</f>
        <v/>
      </c>
      <c r="Q10" s="197">
        <f>MIN(MAX(0,E9+J10),MAX(0,M10-D9-I10))</f>
        <v/>
      </c>
      <c r="R10" s="197">
        <f>MIN(MAX(0,F9+K10),MAX(0,M10-D9-I10)-Q10)</f>
        <v/>
      </c>
      <c r="S10" s="197">
        <f>MIN(MAX(0,G9+L10),MAX(0,M10-D9-I10)-Q10-R10)</f>
        <v/>
      </c>
    </row>
    <row r="11">
      <c r="A11" s="198" t="n">
        <v>46291</v>
      </c>
      <c r="B11" s="199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3">
        <f>'4주일별계획'!C11+'4주일별계획'!D11</f>
        <v/>
      </c>
      <c r="I11" s="193">
        <f>H11*0.503194</f>
        <v/>
      </c>
      <c r="J11" s="193">
        <f>H11*0.025182</f>
        <v/>
      </c>
      <c r="K11" s="193">
        <f>H11*0.191179</f>
        <v/>
      </c>
      <c r="L11" s="193">
        <f>H11*0.280445</f>
        <v/>
      </c>
      <c r="M11" s="194">
        <f>'4주일별계획'!E11+'4주일별계획'!F11+'4주일별계획'!G11</f>
        <v/>
      </c>
      <c r="N11" s="195">
        <f>Q11</f>
        <v/>
      </c>
      <c r="O11" s="195">
        <f>R11+S11</f>
        <v/>
      </c>
      <c r="P11" s="196">
        <f>IF(D11&lt;-0.5,"전 계좌 소진 — 부족 "&amp;TEXT(-D11,"#,##0")&amp;"원","")</f>
        <v/>
      </c>
      <c r="Q11" s="197">
        <f>MIN(MAX(0,E10+J11),MAX(0,M11-D10-I11))</f>
        <v/>
      </c>
      <c r="R11" s="197">
        <f>MIN(MAX(0,F10+K11),MAX(0,M11-D10-I11)-Q11)</f>
        <v/>
      </c>
      <c r="S11" s="197">
        <f>MIN(MAX(0,G10+L11),MAX(0,M11-D10-I11)-Q11-R11)</f>
        <v/>
      </c>
    </row>
    <row r="12">
      <c r="A12" s="198" t="n">
        <v>46292</v>
      </c>
      <c r="B12" s="199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3">
        <f>'4주일별계획'!C12+'4주일별계획'!D12</f>
        <v/>
      </c>
      <c r="I12" s="193">
        <f>H12*0.503194</f>
        <v/>
      </c>
      <c r="J12" s="193">
        <f>H12*0.025182</f>
        <v/>
      </c>
      <c r="K12" s="193">
        <f>H12*0.191179</f>
        <v/>
      </c>
      <c r="L12" s="193">
        <f>H12*0.280445</f>
        <v/>
      </c>
      <c r="M12" s="194">
        <f>'4주일별계획'!E12+'4주일별계획'!F12+'4주일별계획'!G12</f>
        <v/>
      </c>
      <c r="N12" s="195">
        <f>Q12</f>
        <v/>
      </c>
      <c r="O12" s="195">
        <f>R12+S12</f>
        <v/>
      </c>
      <c r="P12" s="196">
        <f>IF(D12&lt;-0.5,"전 계좌 소진 — 부족 "&amp;TEXT(-D12,"#,##0")&amp;"원","")</f>
        <v/>
      </c>
      <c r="Q12" s="197">
        <f>MIN(MAX(0,E11+J12),MAX(0,M12-D11-I12))</f>
        <v/>
      </c>
      <c r="R12" s="197">
        <f>MIN(MAX(0,F11+K12),MAX(0,M12-D11-I12)-Q12)</f>
        <v/>
      </c>
      <c r="S12" s="197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3">
        <f>'4주일별계획'!C13+'4주일별계획'!D13</f>
        <v/>
      </c>
      <c r="I13" s="193">
        <f>H13*0.503194</f>
        <v/>
      </c>
      <c r="J13" s="193">
        <f>H13*0.025182</f>
        <v/>
      </c>
      <c r="K13" s="193">
        <f>H13*0.191179</f>
        <v/>
      </c>
      <c r="L13" s="193">
        <f>H13*0.280445</f>
        <v/>
      </c>
      <c r="M13" s="194">
        <f>'4주일별계획'!E13+'4주일별계획'!F13+'4주일별계획'!G13</f>
        <v/>
      </c>
      <c r="N13" s="195">
        <f>Q13</f>
        <v/>
      </c>
      <c r="O13" s="195">
        <f>R13+S13</f>
        <v/>
      </c>
      <c r="P13" s="196">
        <f>IF(D13&lt;-0.5,"전 계좌 소진 — 부족 "&amp;TEXT(-D13,"#,##0")&amp;"원","")</f>
        <v/>
      </c>
      <c r="Q13" s="197">
        <f>MIN(MAX(0,E12+J13),MAX(0,M13-D12-I13))</f>
        <v/>
      </c>
      <c r="R13" s="197">
        <f>MIN(MAX(0,F12+K13),MAX(0,M13-D12-I13)-Q13)</f>
        <v/>
      </c>
      <c r="S13" s="197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3">
        <f>'4주일별계획'!C14+'4주일별계획'!D14</f>
        <v/>
      </c>
      <c r="I14" s="193">
        <f>H14*0.503194</f>
        <v/>
      </c>
      <c r="J14" s="193">
        <f>H14*0.025182</f>
        <v/>
      </c>
      <c r="K14" s="193">
        <f>H14*0.191179</f>
        <v/>
      </c>
      <c r="L14" s="193">
        <f>H14*0.280445</f>
        <v/>
      </c>
      <c r="M14" s="194">
        <f>'4주일별계획'!E14+'4주일별계획'!F14+'4주일별계획'!G14</f>
        <v/>
      </c>
      <c r="N14" s="195">
        <f>Q14</f>
        <v/>
      </c>
      <c r="O14" s="195">
        <f>R14+S14</f>
        <v/>
      </c>
      <c r="P14" s="196">
        <f>IF(D14&lt;-0.5,"전 계좌 소진 — 부족 "&amp;TEXT(-D14,"#,##0")&amp;"원","")</f>
        <v/>
      </c>
      <c r="Q14" s="197">
        <f>MIN(MAX(0,E13+J14),MAX(0,M14-D13-I14))</f>
        <v/>
      </c>
      <c r="R14" s="197">
        <f>MIN(MAX(0,F13+K14),MAX(0,M14-D13-I14)-Q14)</f>
        <v/>
      </c>
      <c r="S14" s="197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3">
        <f>'4주일별계획'!C15+'4주일별계획'!D15</f>
        <v/>
      </c>
      <c r="I15" s="193">
        <f>H15*0.503194</f>
        <v/>
      </c>
      <c r="J15" s="193">
        <f>H15*0.025182</f>
        <v/>
      </c>
      <c r="K15" s="193">
        <f>H15*0.191179</f>
        <v/>
      </c>
      <c r="L15" s="193">
        <f>H15*0.280445</f>
        <v/>
      </c>
      <c r="M15" s="194">
        <f>'4주일별계획'!E15+'4주일별계획'!F15+'4주일별계획'!G15</f>
        <v/>
      </c>
      <c r="N15" s="195">
        <f>Q15</f>
        <v/>
      </c>
      <c r="O15" s="195">
        <f>R15+S15</f>
        <v/>
      </c>
      <c r="P15" s="196">
        <f>IF(D15&lt;-0.5,"전 계좌 소진 — 부족 "&amp;TEXT(-D15,"#,##0")&amp;"원","")</f>
        <v/>
      </c>
      <c r="Q15" s="197">
        <f>MIN(MAX(0,E14+J15),MAX(0,M15-D14-I15))</f>
        <v/>
      </c>
      <c r="R15" s="197">
        <f>MIN(MAX(0,F14+K15),MAX(0,M15-D14-I15)-Q15)</f>
        <v/>
      </c>
      <c r="S15" s="197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3">
        <f>'4주일별계획'!C16+'4주일별계획'!D16</f>
        <v/>
      </c>
      <c r="I16" s="193">
        <f>H16*0.503194</f>
        <v/>
      </c>
      <c r="J16" s="193">
        <f>H16*0.025182</f>
        <v/>
      </c>
      <c r="K16" s="193">
        <f>H16*0.191179</f>
        <v/>
      </c>
      <c r="L16" s="193">
        <f>H16*0.280445</f>
        <v/>
      </c>
      <c r="M16" s="194">
        <f>'4주일별계획'!E16+'4주일별계획'!F16+'4주일별계획'!G16</f>
        <v/>
      </c>
      <c r="N16" s="195">
        <f>Q16</f>
        <v/>
      </c>
      <c r="O16" s="195">
        <f>R16+S16</f>
        <v/>
      </c>
      <c r="P16" s="196">
        <f>IF(D16&lt;-0.5,"전 계좌 소진 — 부족 "&amp;TEXT(-D16,"#,##0")&amp;"원","")</f>
        <v/>
      </c>
      <c r="Q16" s="197">
        <f>MIN(MAX(0,E15+J16),MAX(0,M16-D15-I16))</f>
        <v/>
      </c>
      <c r="R16" s="197">
        <f>MIN(MAX(0,F15+K16),MAX(0,M16-D15-I16)-Q16)</f>
        <v/>
      </c>
      <c r="S16" s="197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3">
        <f>'4주일별계획'!C17+'4주일별계획'!D17</f>
        <v/>
      </c>
      <c r="I17" s="193">
        <f>H17*0.503194</f>
        <v/>
      </c>
      <c r="J17" s="193">
        <f>H17*0.025182</f>
        <v/>
      </c>
      <c r="K17" s="193">
        <f>H17*0.191179</f>
        <v/>
      </c>
      <c r="L17" s="193">
        <f>H17*0.280445</f>
        <v/>
      </c>
      <c r="M17" s="194">
        <f>'4주일별계획'!E17+'4주일별계획'!F17+'4주일별계획'!G17</f>
        <v/>
      </c>
      <c r="N17" s="195">
        <f>Q17</f>
        <v/>
      </c>
      <c r="O17" s="195">
        <f>R17+S17</f>
        <v/>
      </c>
      <c r="P17" s="196">
        <f>IF(D17&lt;-0.5,"전 계좌 소진 — 부족 "&amp;TEXT(-D17,"#,##0")&amp;"원","")</f>
        <v/>
      </c>
      <c r="Q17" s="197">
        <f>MIN(MAX(0,E16+J17),MAX(0,M17-D16-I17))</f>
        <v/>
      </c>
      <c r="R17" s="197">
        <f>MIN(MAX(0,F16+K17),MAX(0,M17-D16-I17)-Q17)</f>
        <v/>
      </c>
      <c r="S17" s="197">
        <f>MIN(MAX(0,G16+L17),MAX(0,M17-D16-I17)-Q17-R17)</f>
        <v/>
      </c>
    </row>
    <row r="18">
      <c r="A18" s="198" t="n">
        <v>46298</v>
      </c>
      <c r="B18" s="199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3">
        <f>'4주일별계획'!C18+'4주일별계획'!D18</f>
        <v/>
      </c>
      <c r="I18" s="193">
        <f>H18*0.503194</f>
        <v/>
      </c>
      <c r="J18" s="193">
        <f>H18*0.025182</f>
        <v/>
      </c>
      <c r="K18" s="193">
        <f>H18*0.191179</f>
        <v/>
      </c>
      <c r="L18" s="193">
        <f>H18*0.280445</f>
        <v/>
      </c>
      <c r="M18" s="194">
        <f>'4주일별계획'!E18+'4주일별계획'!F18+'4주일별계획'!G18</f>
        <v/>
      </c>
      <c r="N18" s="195">
        <f>Q18</f>
        <v/>
      </c>
      <c r="O18" s="195">
        <f>R18+S18</f>
        <v/>
      </c>
      <c r="P18" s="196">
        <f>IF(D18&lt;-0.5,"전 계좌 소진 — 부족 "&amp;TEXT(-D18,"#,##0")&amp;"원","")</f>
        <v/>
      </c>
      <c r="Q18" s="197">
        <f>MIN(MAX(0,E17+J18),MAX(0,M18-D17-I18))</f>
        <v/>
      </c>
      <c r="R18" s="197">
        <f>MIN(MAX(0,F17+K18),MAX(0,M18-D17-I18)-Q18)</f>
        <v/>
      </c>
      <c r="S18" s="197">
        <f>MIN(MAX(0,G17+L18),MAX(0,M18-D17-I18)-Q18-R18)</f>
        <v/>
      </c>
    </row>
    <row r="19">
      <c r="A19" s="198" t="n">
        <v>46299</v>
      </c>
      <c r="B19" s="199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3">
        <f>'4주일별계획'!C19+'4주일별계획'!D19</f>
        <v/>
      </c>
      <c r="I19" s="193">
        <f>H19*0.503194</f>
        <v/>
      </c>
      <c r="J19" s="193">
        <f>H19*0.025182</f>
        <v/>
      </c>
      <c r="K19" s="193">
        <f>H19*0.191179</f>
        <v/>
      </c>
      <c r="L19" s="193">
        <f>H19*0.280445</f>
        <v/>
      </c>
      <c r="M19" s="194">
        <f>'4주일별계획'!E19+'4주일별계획'!F19+'4주일별계획'!G19</f>
        <v/>
      </c>
      <c r="N19" s="195">
        <f>Q19</f>
        <v/>
      </c>
      <c r="O19" s="195">
        <f>R19+S19</f>
        <v/>
      </c>
      <c r="P19" s="196">
        <f>IF(D19&lt;-0.5,"전 계좌 소진 — 부족 "&amp;TEXT(-D19,"#,##0")&amp;"원","")</f>
        <v/>
      </c>
      <c r="Q19" s="197">
        <f>MIN(MAX(0,E18+J19),MAX(0,M19-D18-I19))</f>
        <v/>
      </c>
      <c r="R19" s="197">
        <f>MIN(MAX(0,F18+K19),MAX(0,M19-D18-I19)-Q19)</f>
        <v/>
      </c>
      <c r="S19" s="197">
        <f>MIN(MAX(0,G18+L19),MAX(0,M19-D18-I19)-Q19-R19)</f>
        <v/>
      </c>
    </row>
    <row r="20">
      <c r="A20" s="198" t="n">
        <v>46300</v>
      </c>
      <c r="B20" s="199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3">
        <f>'4주일별계획'!C20+'4주일별계획'!D20</f>
        <v/>
      </c>
      <c r="I20" s="193">
        <f>H20*0.503194</f>
        <v/>
      </c>
      <c r="J20" s="193">
        <f>H20*0.025182</f>
        <v/>
      </c>
      <c r="K20" s="193">
        <f>H20*0.191179</f>
        <v/>
      </c>
      <c r="L20" s="193">
        <f>H20*0.280445</f>
        <v/>
      </c>
      <c r="M20" s="194">
        <f>'4주일별계획'!E20+'4주일별계획'!F20+'4주일별계획'!G20</f>
        <v/>
      </c>
      <c r="N20" s="195">
        <f>Q20</f>
        <v/>
      </c>
      <c r="O20" s="195">
        <f>R20+S20</f>
        <v/>
      </c>
      <c r="P20" s="196">
        <f>IF(D20&lt;-0.5,"전 계좌 소진 — 부족 "&amp;TEXT(-D20,"#,##0")&amp;"원","")</f>
        <v/>
      </c>
      <c r="Q20" s="197">
        <f>MIN(MAX(0,E19+J20),MAX(0,M20-D19-I20))</f>
        <v/>
      </c>
      <c r="R20" s="197">
        <f>MIN(MAX(0,F19+K20),MAX(0,M20-D19-I20)-Q20)</f>
        <v/>
      </c>
      <c r="S20" s="197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3">
        <f>'4주일별계획'!C21+'4주일별계획'!D21</f>
        <v/>
      </c>
      <c r="I21" s="193">
        <f>H21*0.503194</f>
        <v/>
      </c>
      <c r="J21" s="193">
        <f>H21*0.025182</f>
        <v/>
      </c>
      <c r="K21" s="193">
        <f>H21*0.191179</f>
        <v/>
      </c>
      <c r="L21" s="193">
        <f>H21*0.280445</f>
        <v/>
      </c>
      <c r="M21" s="194">
        <f>'4주일별계획'!E21+'4주일별계획'!F21+'4주일별계획'!G21</f>
        <v/>
      </c>
      <c r="N21" s="195">
        <f>Q21</f>
        <v/>
      </c>
      <c r="O21" s="195">
        <f>R21+S21</f>
        <v/>
      </c>
      <c r="P21" s="196">
        <f>IF(D21&lt;-0.5,"전 계좌 소진 — 부족 "&amp;TEXT(-D21,"#,##0")&amp;"원","")</f>
        <v/>
      </c>
      <c r="Q21" s="197">
        <f>MIN(MAX(0,E20+J21),MAX(0,M21-D20-I21))</f>
        <v/>
      </c>
      <c r="R21" s="197">
        <f>MIN(MAX(0,F20+K21),MAX(0,M21-D20-I21)-Q21)</f>
        <v/>
      </c>
      <c r="S21" s="197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3">
        <f>'4주일별계획'!C22+'4주일별계획'!D22</f>
        <v/>
      </c>
      <c r="I22" s="193">
        <f>H22*0.503194</f>
        <v/>
      </c>
      <c r="J22" s="193">
        <f>H22*0.025182</f>
        <v/>
      </c>
      <c r="K22" s="193">
        <f>H22*0.191179</f>
        <v/>
      </c>
      <c r="L22" s="193">
        <f>H22*0.280445</f>
        <v/>
      </c>
      <c r="M22" s="194">
        <f>'4주일별계획'!E22+'4주일별계획'!F22+'4주일별계획'!G22</f>
        <v/>
      </c>
      <c r="N22" s="195">
        <f>Q22</f>
        <v/>
      </c>
      <c r="O22" s="195">
        <f>R22+S22</f>
        <v/>
      </c>
      <c r="P22" s="196">
        <f>IF(D22&lt;-0.5,"전 계좌 소진 — 부족 "&amp;TEXT(-D22,"#,##0")&amp;"원","")</f>
        <v/>
      </c>
      <c r="Q22" s="197">
        <f>MIN(MAX(0,E21+J22),MAX(0,M22-D21-I22))</f>
        <v/>
      </c>
      <c r="R22" s="197">
        <f>MIN(MAX(0,F21+K22),MAX(0,M22-D21-I22)-Q22)</f>
        <v/>
      </c>
      <c r="S22" s="197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3">
        <f>'4주일별계획'!C23+'4주일별계획'!D23</f>
        <v/>
      </c>
      <c r="I23" s="193">
        <f>H23*0.503194</f>
        <v/>
      </c>
      <c r="J23" s="193">
        <f>H23*0.025182</f>
        <v/>
      </c>
      <c r="K23" s="193">
        <f>H23*0.191179</f>
        <v/>
      </c>
      <c r="L23" s="193">
        <f>H23*0.280445</f>
        <v/>
      </c>
      <c r="M23" s="194">
        <f>'4주일별계획'!E23+'4주일별계획'!F23+'4주일별계획'!G23</f>
        <v/>
      </c>
      <c r="N23" s="195">
        <f>Q23</f>
        <v/>
      </c>
      <c r="O23" s="195">
        <f>R23+S23</f>
        <v/>
      </c>
      <c r="P23" s="196">
        <f>IF(D23&lt;-0.5,"전 계좌 소진 — 부족 "&amp;TEXT(-D23,"#,##0")&amp;"원","")</f>
        <v/>
      </c>
      <c r="Q23" s="197">
        <f>MIN(MAX(0,E22+J23),MAX(0,M23-D22-I23))</f>
        <v/>
      </c>
      <c r="R23" s="197">
        <f>MIN(MAX(0,F22+K23),MAX(0,M23-D22-I23)-Q23)</f>
        <v/>
      </c>
      <c r="S23" s="197">
        <f>MIN(MAX(0,G22+L23),MAX(0,M23-D22-I23)-Q23-R23)</f>
        <v/>
      </c>
    </row>
    <row r="24">
      <c r="A24" s="198" t="n">
        <v>46304</v>
      </c>
      <c r="B24" s="199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3">
        <f>'4주일별계획'!C24+'4주일별계획'!D24</f>
        <v/>
      </c>
      <c r="I24" s="193">
        <f>H24*0.503194</f>
        <v/>
      </c>
      <c r="J24" s="193">
        <f>H24*0.025182</f>
        <v/>
      </c>
      <c r="K24" s="193">
        <f>H24*0.191179</f>
        <v/>
      </c>
      <c r="L24" s="193">
        <f>H24*0.280445</f>
        <v/>
      </c>
      <c r="M24" s="194">
        <f>'4주일별계획'!E24+'4주일별계획'!F24+'4주일별계획'!G24</f>
        <v/>
      </c>
      <c r="N24" s="195">
        <f>Q24</f>
        <v/>
      </c>
      <c r="O24" s="195">
        <f>R24+S24</f>
        <v/>
      </c>
      <c r="P24" s="196">
        <f>IF(D24&lt;-0.5,"전 계좌 소진 — 부족 "&amp;TEXT(-D24,"#,##0")&amp;"원","")</f>
        <v/>
      </c>
      <c r="Q24" s="197">
        <f>MIN(MAX(0,E23+J24),MAX(0,M24-D23-I24))</f>
        <v/>
      </c>
      <c r="R24" s="197">
        <f>MIN(MAX(0,F23+K24),MAX(0,M24-D23-I24)-Q24)</f>
        <v/>
      </c>
      <c r="S24" s="197">
        <f>MIN(MAX(0,G23+L24),MAX(0,M24-D23-I24)-Q24-R24)</f>
        <v/>
      </c>
    </row>
    <row r="25">
      <c r="A25" s="198" t="n">
        <v>46305</v>
      </c>
      <c r="B25" s="199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3">
        <f>'4주일별계획'!C25+'4주일별계획'!D25</f>
        <v/>
      </c>
      <c r="I25" s="193">
        <f>H25*0.503194</f>
        <v/>
      </c>
      <c r="J25" s="193">
        <f>H25*0.025182</f>
        <v/>
      </c>
      <c r="K25" s="193">
        <f>H25*0.191179</f>
        <v/>
      </c>
      <c r="L25" s="193">
        <f>H25*0.280445</f>
        <v/>
      </c>
      <c r="M25" s="194">
        <f>'4주일별계획'!E25+'4주일별계획'!F25+'4주일별계획'!G25</f>
        <v/>
      </c>
      <c r="N25" s="195">
        <f>Q25</f>
        <v/>
      </c>
      <c r="O25" s="195">
        <f>R25+S25</f>
        <v/>
      </c>
      <c r="P25" s="196">
        <f>IF(D25&lt;-0.5,"전 계좌 소진 — 부족 "&amp;TEXT(-D25,"#,##0")&amp;"원","")</f>
        <v/>
      </c>
      <c r="Q25" s="197">
        <f>MIN(MAX(0,E24+J25),MAX(0,M25-D24-I25))</f>
        <v/>
      </c>
      <c r="R25" s="197">
        <f>MIN(MAX(0,F24+K25),MAX(0,M25-D24-I25)-Q25)</f>
        <v/>
      </c>
      <c r="S25" s="197">
        <f>MIN(MAX(0,G24+L25),MAX(0,M25-D24-I25)-Q25-R25)</f>
        <v/>
      </c>
    </row>
    <row r="26">
      <c r="A26" s="198" t="n">
        <v>46306</v>
      </c>
      <c r="B26" s="199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3">
        <f>'4주일별계획'!C26+'4주일별계획'!D26</f>
        <v/>
      </c>
      <c r="I26" s="193">
        <f>H26*0.503194</f>
        <v/>
      </c>
      <c r="J26" s="193">
        <f>H26*0.025182</f>
        <v/>
      </c>
      <c r="K26" s="193">
        <f>H26*0.191179</f>
        <v/>
      </c>
      <c r="L26" s="193">
        <f>H26*0.280445</f>
        <v/>
      </c>
      <c r="M26" s="194">
        <f>'4주일별계획'!E26+'4주일별계획'!F26+'4주일별계획'!G26</f>
        <v/>
      </c>
      <c r="N26" s="195">
        <f>Q26</f>
        <v/>
      </c>
      <c r="O26" s="195">
        <f>R26+S26</f>
        <v/>
      </c>
      <c r="P26" s="196">
        <f>IF(D26&lt;-0.5,"전 계좌 소진 — 부족 "&amp;TEXT(-D26,"#,##0")&amp;"원","")</f>
        <v/>
      </c>
      <c r="Q26" s="197">
        <f>MIN(MAX(0,E25+J26),MAX(0,M26-D25-I26))</f>
        <v/>
      </c>
      <c r="R26" s="197">
        <f>MIN(MAX(0,F25+K26),MAX(0,M26-D25-I26)-Q26)</f>
        <v/>
      </c>
      <c r="S26" s="197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3">
        <f>'4주일별계획'!C27+'4주일별계획'!D27</f>
        <v/>
      </c>
      <c r="I27" s="193">
        <f>H27*0.503194</f>
        <v/>
      </c>
      <c r="J27" s="193">
        <f>H27*0.025182</f>
        <v/>
      </c>
      <c r="K27" s="193">
        <f>H27*0.191179</f>
        <v/>
      </c>
      <c r="L27" s="193">
        <f>H27*0.280445</f>
        <v/>
      </c>
      <c r="M27" s="194">
        <f>'4주일별계획'!E27+'4주일별계획'!F27+'4주일별계획'!G27</f>
        <v/>
      </c>
      <c r="N27" s="195">
        <f>Q27</f>
        <v/>
      </c>
      <c r="O27" s="195">
        <f>R27+S27</f>
        <v/>
      </c>
      <c r="P27" s="196">
        <f>IF(D27&lt;-0.5,"전 계좌 소진 — 부족 "&amp;TEXT(-D27,"#,##0")&amp;"원","")</f>
        <v/>
      </c>
      <c r="Q27" s="197">
        <f>MIN(MAX(0,E26+J27),MAX(0,M27-D26-I27))</f>
        <v/>
      </c>
      <c r="R27" s="197">
        <f>MIN(MAX(0,F26+K27),MAX(0,M27-D26-I27)-Q27)</f>
        <v/>
      </c>
      <c r="S27" s="197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3">
        <f>'4주일별계획'!C28+'4주일별계획'!D28</f>
        <v/>
      </c>
      <c r="I28" s="193">
        <f>H28*0.503194</f>
        <v/>
      </c>
      <c r="J28" s="193">
        <f>H28*0.025182</f>
        <v/>
      </c>
      <c r="K28" s="193">
        <f>H28*0.191179</f>
        <v/>
      </c>
      <c r="L28" s="193">
        <f>H28*0.280445</f>
        <v/>
      </c>
      <c r="M28" s="194">
        <f>'4주일별계획'!E28+'4주일별계획'!F28+'4주일별계획'!G28</f>
        <v/>
      </c>
      <c r="N28" s="195">
        <f>Q28</f>
        <v/>
      </c>
      <c r="O28" s="195">
        <f>R28+S28</f>
        <v/>
      </c>
      <c r="P28" s="196">
        <f>IF(D28&lt;-0.5,"전 계좌 소진 — 부족 "&amp;TEXT(-D28,"#,##0")&amp;"원","")</f>
        <v/>
      </c>
      <c r="Q28" s="197">
        <f>MIN(MAX(0,E27+J28),MAX(0,M28-D27-I28))</f>
        <v/>
      </c>
      <c r="R28" s="197">
        <f>MIN(MAX(0,F27+K28),MAX(0,M28-D27-I28)-Q28)</f>
        <v/>
      </c>
      <c r="S28" s="197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3">
        <f>'4주일별계획'!C29+'4주일별계획'!D29</f>
        <v/>
      </c>
      <c r="I29" s="193">
        <f>H29*0.503194</f>
        <v/>
      </c>
      <c r="J29" s="193">
        <f>H29*0.025182</f>
        <v/>
      </c>
      <c r="K29" s="193">
        <f>H29*0.191179</f>
        <v/>
      </c>
      <c r="L29" s="193">
        <f>H29*0.280445</f>
        <v/>
      </c>
      <c r="M29" s="194">
        <f>'4주일별계획'!E29+'4주일별계획'!F29+'4주일별계획'!G29</f>
        <v/>
      </c>
      <c r="N29" s="195">
        <f>Q29</f>
        <v/>
      </c>
      <c r="O29" s="195">
        <f>R29+S29</f>
        <v/>
      </c>
      <c r="P29" s="196">
        <f>IF(D29&lt;-0.5,"전 계좌 소진 — 부족 "&amp;TEXT(-D29,"#,##0")&amp;"원","")</f>
        <v/>
      </c>
      <c r="Q29" s="197">
        <f>MIN(MAX(0,E28+J29),MAX(0,M29-D28-I29))</f>
        <v/>
      </c>
      <c r="R29" s="197">
        <f>MIN(MAX(0,F28+K29),MAX(0,M29-D28-I29)-Q29)</f>
        <v/>
      </c>
      <c r="S29" s="197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3">
        <f>'4주일별계획'!C30+'4주일별계획'!D30</f>
        <v/>
      </c>
      <c r="I30" s="193">
        <f>H30*0.503194</f>
        <v/>
      </c>
      <c r="J30" s="193">
        <f>H30*0.025182</f>
        <v/>
      </c>
      <c r="K30" s="193">
        <f>H30*0.191179</f>
        <v/>
      </c>
      <c r="L30" s="193">
        <f>H30*0.280445</f>
        <v/>
      </c>
      <c r="M30" s="194">
        <f>'4주일별계획'!E30+'4주일별계획'!F30+'4주일별계획'!G30</f>
        <v/>
      </c>
      <c r="N30" s="195">
        <f>Q30</f>
        <v/>
      </c>
      <c r="O30" s="195">
        <f>R30+S30</f>
        <v/>
      </c>
      <c r="P30" s="196">
        <f>IF(D30&lt;-0.5,"전 계좌 소진 — 부족 "&amp;TEXT(-D30,"#,##0")&amp;"원","")</f>
        <v/>
      </c>
      <c r="Q30" s="197">
        <f>MIN(MAX(0,E29+J30),MAX(0,M30-D29-I30))</f>
        <v/>
      </c>
      <c r="R30" s="197">
        <f>MIN(MAX(0,F29+K30),MAX(0,M30-D29-I30)-Q30)</f>
        <v/>
      </c>
      <c r="S30" s="197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3">
        <f>'4주일별계획'!C31+'4주일별계획'!D31</f>
        <v/>
      </c>
      <c r="I31" s="193">
        <f>H31*0.503194</f>
        <v/>
      </c>
      <c r="J31" s="193">
        <f>H31*0.025182</f>
        <v/>
      </c>
      <c r="K31" s="193">
        <f>H31*0.191179</f>
        <v/>
      </c>
      <c r="L31" s="193">
        <f>H31*0.280445</f>
        <v/>
      </c>
      <c r="M31" s="194">
        <f>'4주일별계획'!E31+'4주일별계획'!F31+'4주일별계획'!G31</f>
        <v/>
      </c>
      <c r="N31" s="195">
        <f>Q31</f>
        <v/>
      </c>
      <c r="O31" s="195">
        <f>R31+S31</f>
        <v/>
      </c>
      <c r="P31" s="196">
        <f>IF(D31&lt;-0.5,"전 계좌 소진 — 부족 "&amp;TEXT(-D31,"#,##0")&amp;"원","")</f>
        <v/>
      </c>
      <c r="Q31" s="197">
        <f>MIN(MAX(0,E30+J31),MAX(0,M31-D30-I31))</f>
        <v/>
      </c>
      <c r="R31" s="197">
        <f>MIN(MAX(0,F30+K31),MAX(0,M31-D30-I31)-Q31)</f>
        <v/>
      </c>
      <c r="S31" s="197">
        <f>MIN(MAX(0,G30+L31),MAX(0,M31-D30-I31)-Q31-R31)</f>
        <v/>
      </c>
    </row>
    <row r="32">
      <c r="A32" s="198" t="n">
        <v>46312</v>
      </c>
      <c r="B32" s="199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3">
        <f>'4주일별계획'!C32+'4주일별계획'!D32</f>
        <v/>
      </c>
      <c r="I32" s="193">
        <f>H32*0.503194</f>
        <v/>
      </c>
      <c r="J32" s="193">
        <f>H32*0.025182</f>
        <v/>
      </c>
      <c r="K32" s="193">
        <f>H32*0.191179</f>
        <v/>
      </c>
      <c r="L32" s="193">
        <f>H32*0.280445</f>
        <v/>
      </c>
      <c r="M32" s="194">
        <f>'4주일별계획'!E32+'4주일별계획'!F32+'4주일별계획'!G32</f>
        <v/>
      </c>
      <c r="N32" s="195">
        <f>Q32</f>
        <v/>
      </c>
      <c r="O32" s="195">
        <f>R32+S32</f>
        <v/>
      </c>
      <c r="P32" s="196">
        <f>IF(D32&lt;-0.5,"전 계좌 소진 — 부족 "&amp;TEXT(-D32,"#,##0")&amp;"원","")</f>
        <v/>
      </c>
      <c r="Q32" s="197">
        <f>MIN(MAX(0,E31+J32),MAX(0,M32-D31-I32))</f>
        <v/>
      </c>
      <c r="R32" s="197">
        <f>MIN(MAX(0,F31+K32),MAX(0,M32-D31-I32)-Q32)</f>
        <v/>
      </c>
      <c r="S32" s="197">
        <f>MIN(MAX(0,G31+L32),MAX(0,M32-D31-I32)-Q32-R32)</f>
        <v/>
      </c>
    </row>
    <row r="33">
      <c r="A33" s="198" t="n">
        <v>46313</v>
      </c>
      <c r="B33" s="199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3">
        <f>'4주일별계획'!C33+'4주일별계획'!D33</f>
        <v/>
      </c>
      <c r="I33" s="193">
        <f>H33*0.503194</f>
        <v/>
      </c>
      <c r="J33" s="193">
        <f>H33*0.025182</f>
        <v/>
      </c>
      <c r="K33" s="193">
        <f>H33*0.191179</f>
        <v/>
      </c>
      <c r="L33" s="193">
        <f>H33*0.280445</f>
        <v/>
      </c>
      <c r="M33" s="194">
        <f>'4주일별계획'!E33+'4주일별계획'!F33+'4주일별계획'!G33</f>
        <v/>
      </c>
      <c r="N33" s="195">
        <f>Q33</f>
        <v/>
      </c>
      <c r="O33" s="195">
        <f>R33+S33</f>
        <v/>
      </c>
      <c r="P33" s="196">
        <f>IF(D33&lt;-0.5,"전 계좌 소진 — 부족 "&amp;TEXT(-D33,"#,##0")&amp;"원","")</f>
        <v/>
      </c>
      <c r="Q33" s="197">
        <f>MIN(MAX(0,E32+J33),MAX(0,M33-D32-I33))</f>
        <v/>
      </c>
      <c r="R33" s="197">
        <f>MIN(MAX(0,F32+K33),MAX(0,M33-D32-I33)-Q33)</f>
        <v/>
      </c>
      <c r="S33" s="197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00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0" t="n">
        <v>46290</v>
      </c>
      <c r="F21" s="200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0" t="n">
        <v>46290</v>
      </c>
      <c r="F22" s="200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1" t="n">
        <v>46283</v>
      </c>
      <c r="B6" s="202" t="inlineStr">
        <is>
          <t>금</t>
        </is>
      </c>
      <c r="C6" s="202" t="inlineStr">
        <is>
          <t>팀 지출계획</t>
        </is>
      </c>
      <c r="D6" s="202" t="inlineStr">
        <is>
          <t>미반영(별도 관리)</t>
        </is>
      </c>
      <c r="E6" s="202" t="inlineStr">
        <is>
          <t>경영지원팀</t>
        </is>
      </c>
      <c r="F6" s="202" t="inlineStr">
        <is>
          <t>이앤씨이노비즈타워</t>
        </is>
      </c>
      <c r="G6" s="202" t="inlineStr">
        <is>
          <t>본사관리비</t>
        </is>
      </c>
      <c r="H6" s="203" t="n">
        <v>1553720</v>
      </c>
      <c r="I6" s="202" t="inlineStr">
        <is>
          <t>계좌송금</t>
        </is>
      </c>
      <c r="J6" s="202" t="inlineStr">
        <is>
          <t>에이팜</t>
        </is>
      </c>
    </row>
    <row r="7">
      <c r="A7" s="201" t="n">
        <v>46288</v>
      </c>
      <c r="B7" s="202" t="inlineStr">
        <is>
          <t>수</t>
        </is>
      </c>
      <c r="C7" s="202" t="inlineStr">
        <is>
          <t>팀 지출계획</t>
        </is>
      </c>
      <c r="D7" s="202" t="inlineStr">
        <is>
          <t>미반영(별도 관리)</t>
        </is>
      </c>
      <c r="E7" s="202" t="inlineStr">
        <is>
          <t>경영지원팀</t>
        </is>
      </c>
      <c r="F7" s="202" t="inlineStr">
        <is>
          <t>비씨카드</t>
        </is>
      </c>
      <c r="G7" s="202" t="inlineStr">
        <is>
          <t>8월카드대금</t>
        </is>
      </c>
      <c r="H7" s="203" t="n">
        <v>269810</v>
      </c>
      <c r="I7" s="202" t="inlineStr">
        <is>
          <t>계좌송금</t>
        </is>
      </c>
      <c r="J7" s="202" t="inlineStr">
        <is>
          <t>에이팜</t>
        </is>
      </c>
    </row>
    <row r="8">
      <c r="A8" s="201" t="n">
        <v>46295</v>
      </c>
      <c r="B8" s="202" t="inlineStr">
        <is>
          <t>수</t>
        </is>
      </c>
      <c r="C8" s="202" t="inlineStr">
        <is>
          <t>팀 지출계획</t>
        </is>
      </c>
      <c r="D8" s="202" t="inlineStr">
        <is>
          <t>미반영(별도 관리)</t>
        </is>
      </c>
      <c r="E8" s="202" t="inlineStr">
        <is>
          <t>경영지원팀</t>
        </is>
      </c>
      <c r="F8" s="202" t="inlineStr">
        <is>
          <t>서원회계법인</t>
        </is>
      </c>
      <c r="G8" s="202" t="inlineStr">
        <is>
          <t>기장료</t>
        </is>
      </c>
      <c r="H8" s="203" t="n">
        <v>330000</v>
      </c>
      <c r="I8" s="202" t="inlineStr">
        <is>
          <t>계좌송금</t>
        </is>
      </c>
      <c r="J8" s="202" t="inlineStr">
        <is>
          <t>에이팜</t>
        </is>
      </c>
    </row>
    <row r="9">
      <c r="A9" s="201" t="n">
        <v>46295</v>
      </c>
      <c r="B9" s="202" t="inlineStr">
        <is>
          <t>수</t>
        </is>
      </c>
      <c r="C9" s="202" t="inlineStr">
        <is>
          <t>팀 지출계획</t>
        </is>
      </c>
      <c r="D9" s="202" t="inlineStr">
        <is>
          <t>미반영(별도 관리)</t>
        </is>
      </c>
      <c r="E9" s="202" t="inlineStr">
        <is>
          <t>경영지원팀</t>
        </is>
      </c>
      <c r="F9" s="202" t="inlineStr">
        <is>
          <t>가가사무기</t>
        </is>
      </c>
      <c r="G9" s="202" t="inlineStr">
        <is>
          <t>복합기 9월 임대비용</t>
        </is>
      </c>
      <c r="H9" s="203" t="n">
        <v>280000</v>
      </c>
      <c r="I9" s="202" t="inlineStr">
        <is>
          <t>계좌송금</t>
        </is>
      </c>
      <c r="J9" s="202" t="inlineStr">
        <is>
          <t>에이팜</t>
        </is>
      </c>
    </row>
    <row r="10">
      <c r="A10" s="201" t="n">
        <v>46295</v>
      </c>
      <c r="B10" s="202" t="inlineStr">
        <is>
          <t>수</t>
        </is>
      </c>
      <c r="C10" s="202" t="inlineStr">
        <is>
          <t>팀 지출계획</t>
        </is>
      </c>
      <c r="D10" s="202" t="inlineStr">
        <is>
          <t>미반영(별도 관리)</t>
        </is>
      </c>
      <c r="E10" s="202" t="inlineStr">
        <is>
          <t>경영지원팀</t>
        </is>
      </c>
      <c r="F10" s="202" t="inlineStr">
        <is>
          <t>대구상공회의소</t>
        </is>
      </c>
      <c r="G10" s="202" t="inlineStr">
        <is>
          <t>하반기연회비</t>
        </is>
      </c>
      <c r="H10" s="203" t="n">
        <v>250000</v>
      </c>
      <c r="I10" s="202" t="inlineStr">
        <is>
          <t>계좌송금</t>
        </is>
      </c>
      <c r="J10" s="202" t="inlineStr">
        <is>
          <t>에이팜</t>
        </is>
      </c>
    </row>
    <row r="11">
      <c r="G11" s="204" t="inlineStr">
        <is>
          <t>합계(자금계획 미반영)</t>
        </is>
      </c>
      <c r="H11" s="205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06" t="n">
        <v>46186.07862268519</v>
      </c>
      <c r="B36" s="20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06" t="n">
        <v>46284.39604166667</v>
      </c>
      <c r="B141" s="207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06" t="n">
        <v>46285.82394675926</v>
      </c>
      <c r="B142" s="207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2026-09-21T08:27:53Z</dcterms:modified>
</cp:coreProperties>
</file>