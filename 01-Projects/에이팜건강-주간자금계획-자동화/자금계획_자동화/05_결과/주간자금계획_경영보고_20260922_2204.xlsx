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'주간보고'!$A$72:$I$166</definedName>
    <definedName name="_xlnm.Print_Area" localSheetId="0">'주간보고'!$A$1:$I$181</definedName>
    <definedName name="_xlnm._FilterDatabase" localSheetId="1" hidden="1">'정기지출 체크'!$A$5:$G$22</definedName>
    <definedName name="_xlnm.Print_Area" localSheetId="1">'정기지출 체크'!$A$1:$G$22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165" fontId="5" fillId="3" borderId="1" pivotButton="0" quotePrefix="0" xfId="0"/>
    <xf numFmtId="3" fontId="5" fillId="3" borderId="1" pivotButton="0" quotePrefix="0" xfId="0"/>
    <xf numFmtId="3" fontId="5" fillId="5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pivotButton="0" quotePrefix="0" xfId="0"/>
    <xf numFmtId="3" fontId="5" fillId="6" borderId="1" pivotButton="0" quotePrefix="0" xfId="0"/>
    <xf numFmtId="0" fontId="11" fillId="6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4" customWidth="1" min="6" max="6"/>
    <col width="14" customWidth="1" min="7" max="7"/>
    <col width="12" customWidth="1" min="8" max="8"/>
    <col width="9" customWidth="1" min="9" max="9"/>
    <col hidden="1" width="12" customWidth="1" min="10" max="10"/>
    <col hidden="1" width="12" customWidth="1" min="11" max="11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2026-09-22 22:04:44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 ④ 지출예정에서 실지출과 차이 나는 행(주황)은 확인(I열) 드롭다운으로 확인 표시하세요.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국민 154577</t>
        </is>
      </c>
      <c r="C6" s="7" t="n">
        <v>36085938</v>
      </c>
      <c r="D6" s="8" t="inlineStr">
        <is>
          <t>최종 거래일 2026-09-22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2227429</v>
      </c>
      <c r="D8" s="8" t="inlineStr">
        <is>
          <t>최종 거래일 2026-09-22</t>
        </is>
      </c>
    </row>
    <row r="9">
      <c r="A9" s="6" t="inlineStr">
        <is>
          <t>우리 220351</t>
        </is>
      </c>
      <c r="C9" s="7" t="n">
        <v>9421750</v>
      </c>
      <c r="D9" s="8" t="inlineStr">
        <is>
          <t>최종 거래일 2026-09-22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  <c r="G12" s="5" t="n"/>
      <c r="H12" s="5" t="n"/>
      <c r="I12" s="5" t="n"/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K13" s="14" t="n">
        <v>112762164</v>
      </c>
    </row>
    <row r="14" hidden="1">
      <c r="A14" s="15" t="n">
        <v>46286</v>
      </c>
      <c r="B14" s="16" t="inlineStr">
        <is>
          <t>월</t>
        </is>
      </c>
      <c r="C14" s="17" t="n">
        <v>60967810</v>
      </c>
      <c r="D14" s="17" t="n">
        <v>16528386</v>
      </c>
      <c r="E14" s="7">
        <f>$K$13+C14-D14</f>
        <v/>
      </c>
      <c r="F14" s="18" t="inlineStr">
        <is>
          <t>실적</t>
        </is>
      </c>
      <c r="J14" s="14" t="n">
        <v>10677756</v>
      </c>
      <c r="K14" s="14" t="n">
        <v>40220000</v>
      </c>
    </row>
    <row r="15">
      <c r="A15" s="19" t="n">
        <v>46287</v>
      </c>
      <c r="B15" s="20" t="inlineStr">
        <is>
          <t>화</t>
        </is>
      </c>
      <c r="C15" s="21" t="n">
        <v>20116246</v>
      </c>
      <c r="D15" s="21" t="n">
        <v>28895517</v>
      </c>
      <c r="E15" s="22">
        <f>E14+C15-D15</f>
        <v/>
      </c>
      <c r="F15" s="23" t="inlineStr">
        <is>
          <t>실적</t>
        </is>
      </c>
      <c r="J15" s="14" t="n">
        <v>22255001</v>
      </c>
      <c r="K15" s="14" t="n">
        <v>529613</v>
      </c>
    </row>
    <row r="16">
      <c r="A16" s="24" t="n">
        <v>46288</v>
      </c>
      <c r="B16" s="16" t="inlineStr">
        <is>
          <t>수</t>
        </is>
      </c>
      <c r="C16" s="7">
        <f>ROUND(J16*$F$12,0)+K16</f>
        <v/>
      </c>
      <c r="D16" s="7">
        <f>SUMIFS($E$73:$E$166,$A$73:$A$166,A16)+20000000</f>
        <v/>
      </c>
      <c r="E16" s="7">
        <f>E15+C16-D16</f>
        <v/>
      </c>
      <c r="F16" s="25">
        <f>IF(E16&lt;0,"부족","")</f>
        <v/>
      </c>
      <c r="J16" s="14" t="n">
        <v>14296943</v>
      </c>
      <c r="K16" s="14" t="n">
        <v>0</v>
      </c>
    </row>
    <row r="17">
      <c r="A17" s="26" t="n">
        <v>46289</v>
      </c>
      <c r="B17" s="27" t="inlineStr">
        <is>
          <t>목</t>
        </is>
      </c>
      <c r="C17" s="7">
        <f>ROUND(J17*$F$12,0)+K17</f>
        <v/>
      </c>
      <c r="D17" s="7">
        <f>SUMIFS($E$73:$E$166,$A$73:$A$166,A17)</f>
        <v/>
      </c>
      <c r="E17" s="7">
        <f>E16+C17-D17</f>
        <v/>
      </c>
      <c r="F17" s="25">
        <f>IF(E17&lt;0,"부족","")</f>
        <v/>
      </c>
      <c r="J17" s="14" t="n">
        <v>0</v>
      </c>
      <c r="K17" s="14" t="n">
        <v>0</v>
      </c>
    </row>
    <row r="18">
      <c r="A18" s="26" t="n">
        <v>46290</v>
      </c>
      <c r="B18" s="27" t="inlineStr">
        <is>
          <t>금</t>
        </is>
      </c>
      <c r="C18" s="7">
        <f>ROUND(J18*$F$12,0)+K18</f>
        <v/>
      </c>
      <c r="D18" s="7">
        <f>SUMIFS($E$73:$E$166,$A$73:$A$166,A18)</f>
        <v/>
      </c>
      <c r="E18" s="7">
        <f>E17+C18-D18</f>
        <v/>
      </c>
      <c r="F18" s="25">
        <f>IF(E18&lt;0,"부족","")</f>
        <v/>
      </c>
      <c r="J18" s="14" t="n">
        <v>0</v>
      </c>
      <c r="K18" s="14" t="n">
        <v>0</v>
      </c>
    </row>
    <row r="19">
      <c r="A19" s="26" t="n">
        <v>46291</v>
      </c>
      <c r="B19" s="27" t="inlineStr">
        <is>
          <t>토</t>
        </is>
      </c>
      <c r="C19" s="7">
        <f>ROUND(J19*$F$12,0)+K19</f>
        <v/>
      </c>
      <c r="D19" s="7">
        <f>SUMIFS($E$73:$E$166,$A$73:$A$166,A19)</f>
        <v/>
      </c>
      <c r="E19" s="7">
        <f>E18+C19-D19</f>
        <v/>
      </c>
      <c r="F19" s="25">
        <f>IF(E19&lt;0,"부족","")</f>
        <v/>
      </c>
      <c r="J19" s="14" t="n">
        <v>0</v>
      </c>
      <c r="K19" s="14" t="n">
        <v>0</v>
      </c>
    </row>
    <row r="20">
      <c r="A20" s="26" t="n">
        <v>46292</v>
      </c>
      <c r="B20" s="27" t="inlineStr">
        <is>
          <t>일</t>
        </is>
      </c>
      <c r="C20" s="7">
        <f>ROUND(J20*$F$12,0)+K20</f>
        <v/>
      </c>
      <c r="D20" s="7">
        <f>SUMIFS($E$73:$E$166,$A$73:$A$166,A20)</f>
        <v/>
      </c>
      <c r="E20" s="7">
        <f>E19+C20-D20</f>
        <v/>
      </c>
      <c r="F20" s="25">
        <f>IF(E20&lt;0,"부족","")</f>
        <v/>
      </c>
      <c r="J20" s="14" t="n">
        <v>0</v>
      </c>
      <c r="K20" s="14" t="n">
        <v>0</v>
      </c>
    </row>
    <row r="21">
      <c r="A21" s="24" t="n">
        <v>46293</v>
      </c>
      <c r="B21" s="16" t="inlineStr">
        <is>
          <t>월</t>
        </is>
      </c>
      <c r="C21" s="7">
        <f>ROUND(J21*$F$12,0)+K21</f>
        <v/>
      </c>
      <c r="D21" s="7">
        <f>SUMIFS($E$73:$E$166,$A$73:$A$166,A21)</f>
        <v/>
      </c>
      <c r="E21" s="7">
        <f>E20+C21-D21</f>
        <v/>
      </c>
      <c r="F21" s="25">
        <f>IF(E21&lt;0,"부족","")</f>
        <v/>
      </c>
      <c r="J21" s="14" t="n">
        <v>10677756</v>
      </c>
      <c r="K21" s="14" t="n">
        <v>0</v>
      </c>
    </row>
    <row r="22">
      <c r="A22" s="24" t="n">
        <v>46294</v>
      </c>
      <c r="B22" s="16" t="inlineStr">
        <is>
          <t>화</t>
        </is>
      </c>
      <c r="C22" s="7">
        <f>ROUND(J22*$F$12,0)+K22</f>
        <v/>
      </c>
      <c r="D22" s="7">
        <f>SUMIFS($E$73:$E$166,$A$73:$A$166,A22)</f>
        <v/>
      </c>
      <c r="E22" s="7">
        <f>E21+C22-D22</f>
        <v/>
      </c>
      <c r="F22" s="25">
        <f>IF(E22&lt;0,"부족","")</f>
        <v/>
      </c>
      <c r="J22" s="14" t="n">
        <v>22255001</v>
      </c>
      <c r="K22" s="14" t="n">
        <v>0</v>
      </c>
    </row>
    <row r="23">
      <c r="A23" s="24" t="n">
        <v>46295</v>
      </c>
      <c r="B23" s="16" t="inlineStr">
        <is>
          <t>수</t>
        </is>
      </c>
      <c r="C23" s="7">
        <f>ROUND(J23*$F$12,0)+K23</f>
        <v/>
      </c>
      <c r="D23" s="7">
        <f>SUMIFS($E$73:$E$166,$A$73:$A$166,A23)</f>
        <v/>
      </c>
      <c r="E23" s="7">
        <f>E22+C23-D23</f>
        <v/>
      </c>
      <c r="F23" s="25">
        <f>IF(E23&lt;0,"부족","")</f>
        <v/>
      </c>
      <c r="J23" s="14" t="n">
        <v>14296943</v>
      </c>
      <c r="K23" s="14" t="n">
        <v>10021867</v>
      </c>
    </row>
    <row r="24">
      <c r="A24" s="24" t="n">
        <v>46296</v>
      </c>
      <c r="B24" s="16" t="inlineStr">
        <is>
          <t>목</t>
        </is>
      </c>
      <c r="C24" s="7">
        <f>ROUND(J24*$F$12,0)+K24</f>
        <v/>
      </c>
      <c r="D24" s="7">
        <f>SUMIFS($E$73:$E$166,$A$73:$A$166,A24)</f>
        <v/>
      </c>
      <c r="E24" s="7">
        <f>E23+C24-D24</f>
        <v/>
      </c>
      <c r="F24" s="25">
        <f>IF(E24&lt;0,"부족","")</f>
        <v/>
      </c>
      <c r="J24" s="14" t="n">
        <v>13264811</v>
      </c>
      <c r="K24" s="14" t="n">
        <v>0</v>
      </c>
    </row>
    <row r="25">
      <c r="A25" s="28" t="n">
        <v>46297</v>
      </c>
      <c r="B25" s="29" t="inlineStr">
        <is>
          <t>금</t>
        </is>
      </c>
      <c r="C25" s="30">
        <f>ROUND(J25*$F$12,0)+K25</f>
        <v/>
      </c>
      <c r="D25" s="30">
        <f>SUMIFS($E$73:$E$166,$A$73:$A$166,A25)</f>
        <v/>
      </c>
      <c r="E25" s="30">
        <f>E24+C25-D25</f>
        <v/>
      </c>
      <c r="F25" s="31">
        <f>IF(E25&lt;0,"부족","")</f>
        <v/>
      </c>
      <c r="J25" s="14" t="n">
        <v>10320905</v>
      </c>
      <c r="K25" s="14" t="n">
        <v>0</v>
      </c>
    </row>
    <row r="26" hidden="1">
      <c r="A26" s="32" t="n">
        <v>46298</v>
      </c>
      <c r="B26" s="27" t="inlineStr">
        <is>
          <t>토</t>
        </is>
      </c>
      <c r="C26" s="7">
        <f>ROUND(J26*$F$12,0)+K26</f>
        <v/>
      </c>
      <c r="D26" s="7">
        <f>SUMIFS($E$73:$E$166,$A$73:$A$166,A26)</f>
        <v/>
      </c>
      <c r="E26" s="7">
        <f>E25+C26-D26</f>
        <v/>
      </c>
      <c r="F26" s="27">
        <f>IF(E26&lt;0,"부족","")</f>
        <v/>
      </c>
      <c r="J26" s="14" t="n">
        <v>0</v>
      </c>
      <c r="K26" s="14" t="n">
        <v>0</v>
      </c>
    </row>
    <row r="27" hidden="1">
      <c r="A27" s="32" t="n">
        <v>46299</v>
      </c>
      <c r="B27" s="27" t="inlineStr">
        <is>
          <t>일</t>
        </is>
      </c>
      <c r="C27" s="7">
        <f>ROUND(J27*$F$12,0)+K27</f>
        <v/>
      </c>
      <c r="D27" s="7">
        <f>SUMIFS($E$73:$E$166,$A$73:$A$166,A27)</f>
        <v/>
      </c>
      <c r="E27" s="7">
        <f>E26+C27-D27</f>
        <v/>
      </c>
      <c r="F27" s="27">
        <f>IF(E27&lt;0,"부족","")</f>
        <v/>
      </c>
      <c r="J27" s="14" t="n">
        <v>0</v>
      </c>
      <c r="K27" s="14" t="n">
        <v>0</v>
      </c>
    </row>
    <row r="28" hidden="1">
      <c r="A28" s="32" t="n">
        <v>46300</v>
      </c>
      <c r="B28" s="27" t="inlineStr">
        <is>
          <t>월</t>
        </is>
      </c>
      <c r="C28" s="7">
        <f>ROUND(J28*$F$12,0)+K28</f>
        <v/>
      </c>
      <c r="D28" s="7">
        <f>SUMIFS($E$73:$E$166,$A$73:$A$166,A28)</f>
        <v/>
      </c>
      <c r="E28" s="7">
        <f>E27+C28-D28</f>
        <v/>
      </c>
      <c r="F28" s="27">
        <f>IF(E28&lt;0,"부족","")</f>
        <v/>
      </c>
      <c r="J28" s="14" t="n">
        <v>0</v>
      </c>
      <c r="K28" s="14" t="n">
        <v>0</v>
      </c>
    </row>
    <row r="29" hidden="1">
      <c r="A29" s="15" t="n">
        <v>46301</v>
      </c>
      <c r="B29" s="16" t="inlineStr">
        <is>
          <t>화</t>
        </is>
      </c>
      <c r="C29" s="7">
        <f>ROUND(J29*$F$12,0)+K29</f>
        <v/>
      </c>
      <c r="D29" s="7">
        <f>SUMIFS($E$73:$E$166,$A$73:$A$166,A29)</f>
        <v/>
      </c>
      <c r="E29" s="7">
        <f>E28+C29-D29</f>
        <v/>
      </c>
      <c r="F29" s="27">
        <f>IF(E29&lt;0,"부족","")</f>
        <v/>
      </c>
      <c r="J29" s="14" t="n">
        <v>22255001</v>
      </c>
      <c r="K29" s="14" t="n">
        <v>0</v>
      </c>
    </row>
    <row r="30" hidden="1">
      <c r="A30" s="15" t="n">
        <v>46302</v>
      </c>
      <c r="B30" s="16" t="inlineStr">
        <is>
          <t>수</t>
        </is>
      </c>
      <c r="C30" s="7">
        <f>ROUND(J30*$F$12,0)+K30</f>
        <v/>
      </c>
      <c r="D30" s="7">
        <f>SUMIFS($E$73:$E$166,$A$73:$A$166,A30)</f>
        <v/>
      </c>
      <c r="E30" s="7">
        <f>E29+C30-D30</f>
        <v/>
      </c>
      <c r="F30" s="27">
        <f>IF(E30&lt;0,"부족","")</f>
        <v/>
      </c>
      <c r="J30" s="14" t="n">
        <v>14296943</v>
      </c>
      <c r="K30" s="14" t="n">
        <v>0</v>
      </c>
    </row>
    <row r="31" hidden="1">
      <c r="A31" s="15" t="n">
        <v>46303</v>
      </c>
      <c r="B31" s="16" t="inlineStr">
        <is>
          <t>목</t>
        </is>
      </c>
      <c r="C31" s="7">
        <f>ROUND(J31*$F$12,0)+K31</f>
        <v/>
      </c>
      <c r="D31" s="7">
        <f>SUMIFS($E$73:$E$166,$A$73:$A$166,A31)</f>
        <v/>
      </c>
      <c r="E31" s="7">
        <f>E30+C31-D31</f>
        <v/>
      </c>
      <c r="F31" s="27">
        <f>IF(E31&lt;0,"부족","")</f>
        <v/>
      </c>
      <c r="J31" s="14" t="n">
        <v>13264811</v>
      </c>
      <c r="K31" s="14" t="n">
        <v>0</v>
      </c>
    </row>
    <row r="32" hidden="1">
      <c r="A32" s="32" t="n">
        <v>46304</v>
      </c>
      <c r="B32" s="27" t="inlineStr">
        <is>
          <t>금</t>
        </is>
      </c>
      <c r="C32" s="7">
        <f>ROUND(J32*$F$12,0)+K32</f>
        <v/>
      </c>
      <c r="D32" s="7">
        <f>SUMIFS($E$73:$E$166,$A$73:$A$166,A32)</f>
        <v/>
      </c>
      <c r="E32" s="7">
        <f>E31+C32-D32</f>
        <v/>
      </c>
      <c r="F32" s="27">
        <f>IF(E32&lt;0,"부족","")</f>
        <v/>
      </c>
      <c r="J32" s="14" t="n">
        <v>0</v>
      </c>
      <c r="K32" s="14" t="n">
        <v>0</v>
      </c>
    </row>
    <row r="33" hidden="1">
      <c r="A33" s="32" t="n">
        <v>46305</v>
      </c>
      <c r="B33" s="27" t="inlineStr">
        <is>
          <t>토</t>
        </is>
      </c>
      <c r="C33" s="7">
        <f>ROUND(J33*$F$12,0)+K33</f>
        <v/>
      </c>
      <c r="D33" s="7">
        <f>SUMIFS($E$73:$E$166,$A$73:$A$166,A33)</f>
        <v/>
      </c>
      <c r="E33" s="7">
        <f>E32+C33-D33</f>
        <v/>
      </c>
      <c r="F33" s="27">
        <f>IF(E33&lt;0,"부족","")</f>
        <v/>
      </c>
      <c r="J33" s="14" t="n">
        <v>0</v>
      </c>
      <c r="K33" s="14" t="n">
        <v>0</v>
      </c>
    </row>
    <row r="34" hidden="1">
      <c r="A34" s="32" t="n">
        <v>46306</v>
      </c>
      <c r="B34" s="27" t="inlineStr">
        <is>
          <t>일</t>
        </is>
      </c>
      <c r="C34" s="7">
        <f>ROUND(J34*$F$12,0)+K34</f>
        <v/>
      </c>
      <c r="D34" s="7">
        <f>SUMIFS($E$73:$E$166,$A$73:$A$166,A34)</f>
        <v/>
      </c>
      <c r="E34" s="7">
        <f>E33+C34-D34</f>
        <v/>
      </c>
      <c r="F34" s="27">
        <f>IF(E34&lt;0,"부족","")</f>
        <v/>
      </c>
      <c r="J34" s="14" t="n">
        <v>0</v>
      </c>
      <c r="K34" s="14" t="n">
        <v>0</v>
      </c>
    </row>
    <row r="35" hidden="1">
      <c r="A35" s="15" t="n">
        <v>46307</v>
      </c>
      <c r="B35" s="16" t="inlineStr">
        <is>
          <t>월</t>
        </is>
      </c>
      <c r="C35" s="7">
        <f>ROUND(J35*$F$12,0)+K35</f>
        <v/>
      </c>
      <c r="D35" s="7">
        <f>SUMIFS($E$73:$E$166,$A$73:$A$166,A35)</f>
        <v/>
      </c>
      <c r="E35" s="7">
        <f>E34+C35-D35</f>
        <v/>
      </c>
      <c r="F35" s="27">
        <f>IF(E35&lt;0,"부족","")</f>
        <v/>
      </c>
      <c r="J35" s="14" t="n">
        <v>10677756</v>
      </c>
      <c r="K35" s="14" t="n">
        <v>0</v>
      </c>
    </row>
    <row r="36" hidden="1">
      <c r="A36" s="15" t="n">
        <v>46308</v>
      </c>
      <c r="B36" s="16" t="inlineStr">
        <is>
          <t>화</t>
        </is>
      </c>
      <c r="C36" s="7">
        <f>ROUND(J36*$F$12,0)+K36</f>
        <v/>
      </c>
      <c r="D36" s="7">
        <f>SUMIFS($E$73:$E$166,$A$73:$A$166,A36)</f>
        <v/>
      </c>
      <c r="E36" s="7">
        <f>E35+C36-D36</f>
        <v/>
      </c>
      <c r="F36" s="27">
        <f>IF(E36&lt;0,"부족","")</f>
        <v/>
      </c>
      <c r="J36" s="14" t="n">
        <v>22255001</v>
      </c>
      <c r="K36" s="14" t="n">
        <v>0</v>
      </c>
    </row>
    <row r="37" hidden="1">
      <c r="A37" s="15" t="n">
        <v>46309</v>
      </c>
      <c r="B37" s="16" t="inlineStr">
        <is>
          <t>수</t>
        </is>
      </c>
      <c r="C37" s="7">
        <f>ROUND(J37*$F$12,0)+K37</f>
        <v/>
      </c>
      <c r="D37" s="7">
        <f>SUMIFS($E$73:$E$166,$A$73:$A$166,A37)</f>
        <v/>
      </c>
      <c r="E37" s="7">
        <f>E36+C37-D37</f>
        <v/>
      </c>
      <c r="F37" s="27">
        <f>IF(E37&lt;0,"부족","")</f>
        <v/>
      </c>
      <c r="J37" s="14" t="n">
        <v>14296943</v>
      </c>
      <c r="K37" s="14" t="n">
        <v>0</v>
      </c>
    </row>
    <row r="38" hidden="1">
      <c r="A38" s="15" t="n">
        <v>46310</v>
      </c>
      <c r="B38" s="16" t="inlineStr">
        <is>
          <t>목</t>
        </is>
      </c>
      <c r="C38" s="7">
        <f>ROUND(J38*$F$12,0)+K38</f>
        <v/>
      </c>
      <c r="D38" s="7">
        <f>SUMIFS($E$73:$E$166,$A$73:$A$166,A38)</f>
        <v/>
      </c>
      <c r="E38" s="7">
        <f>E37+C38-D38</f>
        <v/>
      </c>
      <c r="F38" s="27">
        <f>IF(E38&lt;0,"부족","")</f>
        <v/>
      </c>
      <c r="J38" s="14" t="n">
        <v>13264811</v>
      </c>
      <c r="K38" s="14" t="n">
        <v>0</v>
      </c>
    </row>
    <row r="39" hidden="1">
      <c r="A39" s="15" t="n">
        <v>46311</v>
      </c>
      <c r="B39" s="16" t="inlineStr">
        <is>
          <t>금</t>
        </is>
      </c>
      <c r="C39" s="7">
        <f>ROUND(J39*$F$12,0)+K39</f>
        <v/>
      </c>
      <c r="D39" s="7">
        <f>SUMIFS($E$73:$E$166,$A$73:$A$166,A39)</f>
        <v/>
      </c>
      <c r="E39" s="7">
        <f>E38+C39-D39</f>
        <v/>
      </c>
      <c r="F39" s="27">
        <f>IF(E39&lt;0,"부족","")</f>
        <v/>
      </c>
      <c r="J39" s="14" t="n">
        <v>10320905</v>
      </c>
      <c r="K39" s="14" t="n">
        <v>0</v>
      </c>
    </row>
    <row r="40" hidden="1">
      <c r="A40" s="32" t="n">
        <v>46312</v>
      </c>
      <c r="B40" s="27" t="inlineStr">
        <is>
          <t>토</t>
        </is>
      </c>
      <c r="C40" s="7">
        <f>ROUND(J40*$F$12,0)+K40</f>
        <v/>
      </c>
      <c r="D40" s="7">
        <f>SUMIFS($E$73:$E$166,$A$73:$A$166,A40)</f>
        <v/>
      </c>
      <c r="E40" s="7">
        <f>E39+C40-D40</f>
        <v/>
      </c>
      <c r="F40" s="27">
        <f>IF(E40&lt;0,"부족","")</f>
        <v/>
      </c>
      <c r="J40" s="14" t="n">
        <v>0</v>
      </c>
      <c r="K40" s="14" t="n">
        <v>0</v>
      </c>
    </row>
    <row r="41" hidden="1">
      <c r="A41" s="32" t="n">
        <v>46313</v>
      </c>
      <c r="B41" s="27" t="inlineStr">
        <is>
          <t>일</t>
        </is>
      </c>
      <c r="C41" s="7">
        <f>ROUND(J41*$F$12,0)+K41</f>
        <v/>
      </c>
      <c r="D41" s="7">
        <f>SUMIFS($E$73:$E$166,$A$73:$A$166,A41)</f>
        <v/>
      </c>
      <c r="E41" s="7">
        <f>E40+C41-D41</f>
        <v/>
      </c>
      <c r="F41" s="27">
        <f>IF(E41&lt;0,"부족","")</f>
        <v/>
      </c>
      <c r="J41" s="14" t="n">
        <v>0</v>
      </c>
      <c r="K41" s="14" t="n">
        <v>0</v>
      </c>
    </row>
    <row r="42">
      <c r="A42" s="33" t="inlineStr">
        <is>
          <t>4주 최저 잔액</t>
        </is>
      </c>
      <c r="C42" s="34">
        <f>MIN(E14:E41)</f>
        <v/>
      </c>
      <c r="D42" s="35" t="inlineStr">
        <is>
          <t>4주 예상 기말잔액</t>
        </is>
      </c>
      <c r="E42" s="34">
        <f>E41</f>
        <v/>
      </c>
    </row>
    <row r="43">
      <c r="A43" s="33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입금예정 (실행일~차주 금요일) — 예상은 반영률(F12) 연동 · 실입금은 은행 확인 값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13" t="inlineStr">
        <is>
          <t>입금일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예상금액</t>
        </is>
      </c>
      <c r="F46" s="13" t="inlineStr">
        <is>
          <t>실입금(은행 확인)</t>
        </is>
      </c>
      <c r="G46" s="13" t="inlineStr">
        <is>
          <t>차이</t>
        </is>
      </c>
    </row>
    <row r="47">
      <c r="A47" s="15" t="n">
        <v>46287</v>
      </c>
      <c r="B47" s="16" t="inlineStr">
        <is>
          <t>화</t>
        </is>
      </c>
      <c r="C47" s="6" t="inlineStr">
        <is>
          <t>온라인 예상</t>
        </is>
      </c>
      <c r="D47" s="36" t="inlineStr">
        <is>
          <t>12주 요일평균 × 반영률</t>
        </is>
      </c>
      <c r="E47" s="7">
        <f>ROUND(J15*$F$12,0)</f>
        <v/>
      </c>
      <c r="F47" s="17" t="n">
        <v>19586633</v>
      </c>
      <c r="G47" s="7">
        <f>IF(OR(F47="",E47=""),"",F47-E47)</f>
        <v/>
      </c>
    </row>
    <row r="48">
      <c r="A48" s="15" t="n">
        <v>46287</v>
      </c>
      <c r="B48" s="16" t="inlineStr">
        <is>
          <t>화</t>
        </is>
      </c>
      <c r="C48" s="6" t="inlineStr">
        <is>
          <t>기타 실입금</t>
        </is>
      </c>
      <c r="D48" s="36" t="inlineStr">
        <is>
          <t>계획 외 입금(은행 확인)</t>
        </is>
      </c>
      <c r="E48" s="6" t="inlineStr"/>
      <c r="F48" s="17" t="n">
        <v>529613</v>
      </c>
      <c r="G48" s="7">
        <f>IF(OR(F48="",E48=""),"",F48-E48)</f>
        <v/>
      </c>
    </row>
    <row r="49">
      <c r="A49" s="15" t="n">
        <v>46288</v>
      </c>
      <c r="B49" s="16" t="inlineStr">
        <is>
          <t>수</t>
        </is>
      </c>
      <c r="C49" s="6" t="inlineStr">
        <is>
          <t>온라인 예상</t>
        </is>
      </c>
      <c r="D49" s="36" t="inlineStr">
        <is>
          <t>12주 요일평균 × 반영률</t>
        </is>
      </c>
      <c r="E49" s="7">
        <f>ROUND(J16*$F$12,0)</f>
        <v/>
      </c>
      <c r="F49" s="6" t="inlineStr"/>
      <c r="G49" s="7">
        <f>IF(OR(F49="",E49=""),"",F49-E49)</f>
        <v/>
      </c>
    </row>
    <row r="50">
      <c r="A50" s="32" t="n">
        <v>46289</v>
      </c>
      <c r="B50" s="27" t="inlineStr">
        <is>
          <t>목</t>
        </is>
      </c>
      <c r="C50" s="6" t="inlineStr">
        <is>
          <t>온라인 예상</t>
        </is>
      </c>
      <c r="D50" s="36" t="inlineStr">
        <is>
          <t>12주 요일평균 × 반영률</t>
        </is>
      </c>
      <c r="E50" s="7">
        <f>ROUND(J17*$F$12,0)</f>
        <v/>
      </c>
      <c r="F50" s="6" t="inlineStr"/>
      <c r="G50" s="7">
        <f>IF(OR(F50="",E50=""),"",F50-E50)</f>
        <v/>
      </c>
    </row>
    <row r="51">
      <c r="A51" s="32" t="n">
        <v>46290</v>
      </c>
      <c r="B51" s="27" t="inlineStr">
        <is>
          <t>금</t>
        </is>
      </c>
      <c r="C51" s="6" t="inlineStr">
        <is>
          <t>온라인 예상</t>
        </is>
      </c>
      <c r="D51" s="36" t="inlineStr">
        <is>
          <t>12주 요일평균 × 반영률</t>
        </is>
      </c>
      <c r="E51" s="7">
        <f>ROUND(J18*$F$12,0)</f>
        <v/>
      </c>
      <c r="F51" s="6" t="inlineStr"/>
      <c r="G51" s="7">
        <f>IF(OR(F51="",E51=""),"",F51-E51)</f>
        <v/>
      </c>
    </row>
    <row r="52">
      <c r="A52" s="32" t="n">
        <v>46291</v>
      </c>
      <c r="B52" s="27" t="inlineStr">
        <is>
          <t>토</t>
        </is>
      </c>
      <c r="C52" s="6" t="inlineStr">
        <is>
          <t>온라인 예상</t>
        </is>
      </c>
      <c r="D52" s="36" t="inlineStr">
        <is>
          <t>12주 요일평균 × 반영률</t>
        </is>
      </c>
      <c r="E52" s="7">
        <f>ROUND(J19*$F$12,0)</f>
        <v/>
      </c>
      <c r="F52" s="6" t="inlineStr"/>
      <c r="G52" s="7">
        <f>IF(OR(F52="",E52=""),"",F52-E52)</f>
        <v/>
      </c>
    </row>
    <row r="53">
      <c r="A53" s="32" t="n">
        <v>46292</v>
      </c>
      <c r="B53" s="27" t="inlineStr">
        <is>
          <t>일</t>
        </is>
      </c>
      <c r="C53" s="6" t="inlineStr">
        <is>
          <t>온라인 예상</t>
        </is>
      </c>
      <c r="D53" s="36" t="inlineStr">
        <is>
          <t>12주 요일평균 × 반영률</t>
        </is>
      </c>
      <c r="E53" s="7">
        <f>ROUND(J20*$F$12,0)</f>
        <v/>
      </c>
      <c r="F53" s="6" t="inlineStr"/>
      <c r="G53" s="7">
        <f>IF(OR(F53="",E53=""),"",F53-E53)</f>
        <v/>
      </c>
    </row>
    <row r="54">
      <c r="A54" s="15" t="n">
        <v>46293</v>
      </c>
      <c r="B54" s="16" t="inlineStr">
        <is>
          <t>월</t>
        </is>
      </c>
      <c r="C54" s="6" t="inlineStr">
        <is>
          <t>온라인 예상</t>
        </is>
      </c>
      <c r="D54" s="36" t="inlineStr">
        <is>
          <t>12주 요일평균 × 반영률</t>
        </is>
      </c>
      <c r="E54" s="7">
        <f>ROUND(J21*$F$12,0)</f>
        <v/>
      </c>
      <c r="F54" s="6" t="inlineStr"/>
      <c r="G54" s="7">
        <f>IF(OR(F54="",E54=""),"",F54-E54)</f>
        <v/>
      </c>
    </row>
    <row r="55">
      <c r="A55" s="15" t="n">
        <v>46294</v>
      </c>
      <c r="B55" s="16" t="inlineStr">
        <is>
          <t>화</t>
        </is>
      </c>
      <c r="C55" s="6" t="inlineStr">
        <is>
          <t>온라인 예상</t>
        </is>
      </c>
      <c r="D55" s="36" t="inlineStr">
        <is>
          <t>12주 요일평균 × 반영률</t>
        </is>
      </c>
      <c r="E55" s="7">
        <f>ROUND(J22*$F$12,0)</f>
        <v/>
      </c>
      <c r="F55" s="6" t="inlineStr"/>
      <c r="G55" s="7">
        <f>IF(OR(F55="",E55=""),"",F55-E55)</f>
        <v/>
      </c>
    </row>
    <row r="56">
      <c r="A56" s="15" t="n">
        <v>46295</v>
      </c>
      <c r="B56" s="16" t="inlineStr">
        <is>
          <t>수</t>
        </is>
      </c>
      <c r="C56" s="6" t="inlineStr">
        <is>
          <t>온라인 예상</t>
        </is>
      </c>
      <c r="D56" s="36" t="inlineStr">
        <is>
          <t>12주 요일평균 × 반영률</t>
        </is>
      </c>
      <c r="E56" s="7">
        <f>ROUND(J23*$F$12,0)</f>
        <v/>
      </c>
      <c r="F56" s="6" t="inlineStr"/>
      <c r="G56" s="7">
        <f>IF(OR(F56="",E56=""),"",F56-E56)</f>
        <v/>
      </c>
    </row>
    <row r="57">
      <c r="A57" s="15" t="n">
        <v>46295</v>
      </c>
      <c r="B57" s="16" t="inlineStr">
        <is>
          <t>수</t>
        </is>
      </c>
      <c r="C57" s="6" t="inlineStr">
        <is>
          <t>확정입금</t>
        </is>
      </c>
      <c r="D57" s="36" t="inlineStr">
        <is>
          <t>관계사 외상대 입금 추정(주식회사에이팜, 말일)</t>
        </is>
      </c>
      <c r="E57" s="7" t="n">
        <v>10021867</v>
      </c>
      <c r="F57" s="6" t="inlineStr"/>
      <c r="G57" s="7">
        <f>IF(OR(F57="",E57=""),"",F57-E57)</f>
        <v/>
      </c>
    </row>
    <row r="58">
      <c r="A58" s="15" t="n">
        <v>46296</v>
      </c>
      <c r="B58" s="16" t="inlineStr">
        <is>
          <t>목</t>
        </is>
      </c>
      <c r="C58" s="6" t="inlineStr">
        <is>
          <t>온라인 예상</t>
        </is>
      </c>
      <c r="D58" s="36" t="inlineStr">
        <is>
          <t>12주 요일평균 × 반영률</t>
        </is>
      </c>
      <c r="E58" s="7">
        <f>ROUND(J24*$F$12,0)</f>
        <v/>
      </c>
      <c r="F58" s="6" t="inlineStr"/>
      <c r="G58" s="7">
        <f>IF(OR(F58="",E58=""),"",F58-E58)</f>
        <v/>
      </c>
    </row>
    <row r="59">
      <c r="A59" s="15" t="n">
        <v>46297</v>
      </c>
      <c r="B59" s="16" t="inlineStr">
        <is>
          <t>금</t>
        </is>
      </c>
      <c r="C59" s="6" t="inlineStr">
        <is>
          <t>온라인 예상</t>
        </is>
      </c>
      <c r="D59" s="36" t="inlineStr">
        <is>
          <t>12주 요일평균 × 반영률</t>
        </is>
      </c>
      <c r="E59" s="7">
        <f>ROUND(J25*$F$12,0)</f>
        <v/>
      </c>
      <c r="F59" s="6" t="inlineStr"/>
      <c r="G59" s="7">
        <f>IF(OR(F59="",E59=""),"",F59-E59)</f>
        <v/>
      </c>
    </row>
    <row r="60" hidden="1"/>
    <row r="61" hidden="1"/>
    <row r="62" hidden="1"/>
    <row r="63" hidden="1"/>
    <row r="64" hidden="1"/>
    <row r="65" hidden="1"/>
    <row r="66" hidden="1"/>
    <row r="67" hidden="1"/>
    <row r="68" hidden="1"/>
    <row r="69">
      <c r="D69" s="37" t="inlineStr">
        <is>
          <t>합계(표시 구간)</t>
        </is>
      </c>
      <c r="E69" s="34">
        <f>SUM(E47:E68)</f>
        <v/>
      </c>
      <c r="F69" s="34">
        <f>SUM(F47:F68)</f>
        <v/>
      </c>
    </row>
    <row r="71">
      <c r="A71" s="4" t="inlineStr">
        <is>
          <t>④ 반영된 지출예정 (실행일~차주 금요일 표시) — 지급일·금액을 고치면 ②가 다시 계산됩니다 · 실지출과 차이 나는 행(주황)은 확인(I열) 선택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13" t="inlineStr">
        <is>
          <t>지급일</t>
        </is>
      </c>
      <c r="B72" s="13" t="inlineStr">
        <is>
          <t>요일</t>
        </is>
      </c>
      <c r="C72" s="13" t="inlineStr">
        <is>
          <t>구분</t>
        </is>
      </c>
      <c r="D72" s="13" t="inlineStr">
        <is>
          <t>내용</t>
        </is>
      </c>
      <c r="E72" s="13" t="inlineStr">
        <is>
          <t>금액</t>
        </is>
      </c>
      <c r="F72" s="13" t="inlineStr">
        <is>
          <t>지급방법</t>
        </is>
      </c>
      <c r="G72" s="13" t="inlineStr">
        <is>
          <t>실지출(은행 확인)</t>
        </is>
      </c>
      <c r="H72" s="13" t="inlineStr">
        <is>
          <t>차이(잔여)</t>
        </is>
      </c>
      <c r="I72" s="13" t="inlineStr">
        <is>
          <t>확인</t>
        </is>
      </c>
    </row>
    <row r="73">
      <c r="A73" s="38" t="n">
        <v>46287</v>
      </c>
      <c r="B73" s="16">
        <f>IF(A73="","",MID("월화수목금토일",WEEKDAY(A73,2),1))</f>
        <v/>
      </c>
      <c r="C73" s="6" t="inlineStr">
        <is>
          <t>경영지원팀</t>
        </is>
      </c>
      <c r="D73" s="36" t="inlineStr">
        <is>
          <t>엠에스바이오텍 외상매입금</t>
        </is>
      </c>
      <c r="E73" s="39" t="n">
        <v>20000000</v>
      </c>
      <c r="F73" s="16" t="inlineStr">
        <is>
          <t>계좌송금</t>
        </is>
      </c>
      <c r="G73" s="40" t="n">
        <v>0</v>
      </c>
      <c r="H73" s="40">
        <f>IF(G73="","",E73-G73)</f>
        <v/>
      </c>
      <c r="I73" s="41" t="inlineStr"/>
    </row>
    <row r="74">
      <c r="A74" s="38" t="n">
        <v>46287</v>
      </c>
      <c r="B74" s="16">
        <f>IF(A74="","",MID("월화수목금토일",WEEKDAY(A74,2),1))</f>
        <v/>
      </c>
      <c r="C74" s="6" t="inlineStr">
        <is>
          <t>경영지원팀</t>
        </is>
      </c>
      <c r="D74" s="36" t="inlineStr">
        <is>
          <t>엠에스바이오텍 락토프리미엄 대금 지급 1차</t>
        </is>
      </c>
      <c r="E74" s="39" t="n">
        <v>20000000</v>
      </c>
      <c r="F74" s="16" t="inlineStr">
        <is>
          <t>계좌송금</t>
        </is>
      </c>
      <c r="G74" s="7" t="n">
        <v>20000000</v>
      </c>
      <c r="H74" s="7">
        <f>IF(G74="","",E74-G74)</f>
        <v/>
      </c>
      <c r="I74" s="16" t="inlineStr"/>
    </row>
    <row r="75">
      <c r="A75" s="38" t="n">
        <v>46287</v>
      </c>
      <c r="B75" s="16">
        <f>IF(A75="","",MID("월화수목금토일",WEEKDAY(A75,2),1))</f>
        <v/>
      </c>
      <c r="C75" s="6" t="inlineStr">
        <is>
          <t>경영지원팀</t>
        </is>
      </c>
      <c r="D75" s="36" t="inlineStr">
        <is>
          <t>추석 상여금 추석 상여금</t>
        </is>
      </c>
      <c r="E75" s="39" t="n">
        <v>7800000</v>
      </c>
      <c r="F75" s="16" t="inlineStr">
        <is>
          <t>계좌송금</t>
        </is>
      </c>
      <c r="G75" s="7" t="n">
        <v>7800000</v>
      </c>
      <c r="H75" s="7">
        <f>IF(G75="","",E75-G75)</f>
        <v/>
      </c>
      <c r="I75" s="16" t="inlineStr"/>
    </row>
    <row r="76">
      <c r="A76" s="38" t="n">
        <v>46287</v>
      </c>
      <c r="B76" s="16">
        <f>IF(A76="","",MID("월화수목금토일",WEEKDAY(A76,2),1))</f>
        <v/>
      </c>
      <c r="C76" s="6" t="inlineStr">
        <is>
          <t>건강사업팀</t>
        </is>
      </c>
      <c r="D76" s="36" t="inlineStr">
        <is>
          <t>네이버 네이버 톡톡 발송</t>
        </is>
      </c>
      <c r="E76" s="39" t="n">
        <v>500000</v>
      </c>
      <c r="F76" s="16" t="inlineStr">
        <is>
          <t>계좌송금</t>
        </is>
      </c>
      <c r="G76" s="40" t="n">
        <v>0</v>
      </c>
      <c r="H76" s="40">
        <f>IF(G76="","",E76-G76)</f>
        <v/>
      </c>
      <c r="I76" s="41" t="inlineStr"/>
    </row>
    <row r="77">
      <c r="A77" s="38" t="n">
        <v>46287</v>
      </c>
      <c r="B77" s="16">
        <f>IF(A77="","",MID("월화수목금토일",WEEKDAY(A77,2),1))</f>
        <v/>
      </c>
      <c r="C77" s="6" t="inlineStr">
        <is>
          <t>경영지원팀</t>
        </is>
      </c>
      <c r="D77" s="36" t="inlineStr">
        <is>
          <t>임대규(대청하이츠) 기숙사 월세 및 관리비</t>
        </is>
      </c>
      <c r="E77" s="39" t="n">
        <v>350000</v>
      </c>
      <c r="F77" s="16" t="inlineStr">
        <is>
          <t>계좌송금</t>
        </is>
      </c>
      <c r="G77" s="7" t="n">
        <v>350000</v>
      </c>
      <c r="H77" s="7">
        <f>IF(G77="","",E77-G77)</f>
        <v/>
      </c>
      <c r="I77" s="16" t="inlineStr"/>
    </row>
    <row r="78">
      <c r="A78" s="38" t="n">
        <v>46287</v>
      </c>
      <c r="B78" s="16">
        <f>IF(A78="","",MID("월화수목금토일",WEEKDAY(A78,2),1))</f>
        <v/>
      </c>
      <c r="C78" s="6" t="inlineStr">
        <is>
          <t>경영지원팀</t>
        </is>
      </c>
      <c r="D78" s="36" t="inlineStr">
        <is>
          <t>대구상공회의소 26년도 하반기 회비</t>
        </is>
      </c>
      <c r="E78" s="39" t="n">
        <v>250000</v>
      </c>
      <c r="F78" s="16" t="inlineStr">
        <is>
          <t>계좌송금</t>
        </is>
      </c>
      <c r="G78" s="7" t="n">
        <v>250000</v>
      </c>
      <c r="H78" s="7">
        <f>IF(G78="","",E78-G78)</f>
        <v/>
      </c>
      <c r="I78" s="16" t="inlineStr"/>
    </row>
    <row r="79">
      <c r="A79" s="38" t="n">
        <v>46288</v>
      </c>
      <c r="B79" s="16">
        <f>IF(A79="","",MID("월화수목금토일",WEEKDAY(A79,2),1))</f>
        <v/>
      </c>
      <c r="C79" s="6" t="inlineStr">
        <is>
          <t>건강사업팀</t>
        </is>
      </c>
      <c r="D79" s="36" t="inlineStr">
        <is>
          <t>네이버SA&amp;GFA 네이버SA&amp;GFA 광고 비용 충전</t>
        </is>
      </c>
      <c r="E79" s="39" t="n">
        <v>8305000</v>
      </c>
      <c r="F79" s="16" t="inlineStr">
        <is>
          <t>계좌송금</t>
        </is>
      </c>
      <c r="G79" s="6" t="inlineStr"/>
      <c r="H79" s="6" t="inlineStr"/>
      <c r="I79" s="6" t="inlineStr"/>
    </row>
    <row r="80">
      <c r="A80" s="38" t="n">
        <v>46288</v>
      </c>
      <c r="B80" s="16">
        <f>IF(A80="","",MID("월화수목금토일",WEEKDAY(A80,2),1))</f>
        <v/>
      </c>
      <c r="C80" s="6" t="inlineStr">
        <is>
          <t>건강사업팀</t>
        </is>
      </c>
      <c r="D80" s="36" t="inlineStr">
        <is>
          <t>인포크비즈니스 베리시톨 인플루언서 비용</t>
        </is>
      </c>
      <c r="E80" s="39" t="n">
        <v>3300000</v>
      </c>
      <c r="F80" s="16" t="inlineStr">
        <is>
          <t>계좌송금</t>
        </is>
      </c>
      <c r="G80" s="6" t="inlineStr"/>
      <c r="H80" s="6" t="inlineStr"/>
      <c r="I80" s="6" t="inlineStr"/>
    </row>
    <row r="81">
      <c r="A81" s="38" t="n">
        <v>46288</v>
      </c>
      <c r="B81" s="16">
        <f>IF(A81="","",MID("월화수목금토일",WEEKDAY(A81,2),1))</f>
        <v/>
      </c>
      <c r="C81" s="6" t="inlineStr">
        <is>
          <t>경영지원팀</t>
        </is>
      </c>
      <c r="D81" s="36" t="inlineStr">
        <is>
          <t>농협카드 8월 카드대금</t>
        </is>
      </c>
      <c r="E81" s="39" t="n">
        <v>2227429</v>
      </c>
      <c r="F81" s="16" t="inlineStr">
        <is>
          <t>자동이체</t>
        </is>
      </c>
      <c r="G81" s="6" t="inlineStr"/>
      <c r="H81" s="6" t="inlineStr"/>
      <c r="I81" s="6" t="inlineStr"/>
    </row>
    <row r="82">
      <c r="A82" s="38" t="n">
        <v>46288</v>
      </c>
      <c r="B82" s="16">
        <f>IF(A82="","",MID("월화수목금토일",WEEKDAY(A82,2),1))</f>
        <v/>
      </c>
      <c r="C82" s="6" t="inlineStr">
        <is>
          <t>건강사업팀</t>
        </is>
      </c>
      <c r="D82" s="36" t="inlineStr">
        <is>
          <t>써치엠 메타 광고 대행 수수</t>
        </is>
      </c>
      <c r="E82" s="39" t="n">
        <v>1487786</v>
      </c>
      <c r="F82" s="16" t="inlineStr">
        <is>
          <t>계좌송금</t>
        </is>
      </c>
      <c r="G82" s="6" t="inlineStr"/>
      <c r="H82" s="6" t="inlineStr"/>
      <c r="I82" s="6" t="inlineStr"/>
    </row>
    <row r="83">
      <c r="A83" s="38" t="n">
        <v>46288</v>
      </c>
      <c r="B83" s="16">
        <f>IF(A83="","",MID("월화수목금토일",WEEKDAY(A83,2),1))</f>
        <v/>
      </c>
      <c r="C83" s="6" t="inlineStr">
        <is>
          <t>경영지원팀</t>
        </is>
      </c>
      <c r="D83" s="36" t="inlineStr">
        <is>
          <t>와이투홀딩스 직원 추석 선물세트 구입</t>
        </is>
      </c>
      <c r="E83" s="39" t="n">
        <v>1023110</v>
      </c>
      <c r="F83" s="16" t="inlineStr">
        <is>
          <t>계좌송금</t>
        </is>
      </c>
      <c r="G83" s="6" t="inlineStr"/>
      <c r="H83" s="6" t="inlineStr"/>
      <c r="I83" s="6" t="inlineStr"/>
    </row>
    <row r="84">
      <c r="A84" s="38" t="n">
        <v>46288</v>
      </c>
      <c r="B84" s="16">
        <f>IF(A84="","",MID("월화수목금토일",WEEKDAY(A84,2),1))</f>
        <v/>
      </c>
      <c r="C84" s="6" t="inlineStr">
        <is>
          <t>건강사업팀</t>
        </is>
      </c>
      <c r="D84" s="36" t="inlineStr">
        <is>
          <t>ADN ADN 광고-추석 유입</t>
        </is>
      </c>
      <c r="E84" s="39" t="n">
        <v>550000</v>
      </c>
      <c r="F84" s="16" t="inlineStr">
        <is>
          <t>계좌송금</t>
        </is>
      </c>
      <c r="G84" s="6" t="inlineStr"/>
      <c r="H84" s="6" t="inlineStr"/>
      <c r="I84" s="6" t="inlineStr"/>
    </row>
    <row r="85">
      <c r="A85" s="38" t="n">
        <v>46293</v>
      </c>
      <c r="B85" s="16">
        <f>IF(A85="","",MID("월화수목금토일",WEEKDAY(A85,2),1))</f>
        <v/>
      </c>
      <c r="C85" s="6" t="inlineStr">
        <is>
          <t>경영지원팀</t>
        </is>
      </c>
      <c r="D85" s="36" t="inlineStr">
        <is>
          <t>우리카드 8월 카드대금</t>
        </is>
      </c>
      <c r="E85" s="39" t="n">
        <v>25346349</v>
      </c>
      <c r="F85" s="16" t="inlineStr">
        <is>
          <t>자동이체</t>
        </is>
      </c>
      <c r="G85" s="6" t="inlineStr"/>
      <c r="H85" s="6" t="inlineStr"/>
      <c r="I85" s="6" t="inlineStr"/>
    </row>
    <row r="86">
      <c r="A86" s="38" t="n">
        <v>46293</v>
      </c>
      <c r="B86" s="16">
        <f>IF(A86="","",MID("월화수목금토일",WEEKDAY(A86,2),1))</f>
        <v/>
      </c>
      <c r="C86" s="6" t="inlineStr">
        <is>
          <t>경영지원팀</t>
        </is>
      </c>
      <c r="D86" s="36" t="inlineStr">
        <is>
          <t>농협카드 8월 카드대금</t>
        </is>
      </c>
      <c r="E86" s="39" t="n">
        <v>4610000</v>
      </c>
      <c r="F86" s="16" t="inlineStr">
        <is>
          <t>자동이체</t>
        </is>
      </c>
      <c r="G86" s="6" t="inlineStr"/>
      <c r="H86" s="6" t="inlineStr"/>
      <c r="I86" s="6" t="inlineStr"/>
    </row>
    <row r="87">
      <c r="A87" s="38" t="n">
        <v>46293</v>
      </c>
      <c r="B87" s="16">
        <f>IF(A87="","",MID("월화수목금토일",WEEKDAY(A87,2),1))</f>
        <v/>
      </c>
      <c r="C87" s="6" t="inlineStr">
        <is>
          <t>경영지원팀</t>
        </is>
      </c>
      <c r="D87" s="36" t="inlineStr">
        <is>
          <t>메트라이프 정기보험_42회차</t>
        </is>
      </c>
      <c r="E87" s="39" t="n">
        <v>2497000</v>
      </c>
      <c r="F87" s="16" t="inlineStr">
        <is>
          <t>자동이체</t>
        </is>
      </c>
      <c r="G87" s="6" t="inlineStr"/>
      <c r="H87" s="6" t="inlineStr"/>
      <c r="I87" s="6" t="inlineStr"/>
    </row>
    <row r="88">
      <c r="A88" s="38" t="n">
        <v>46293</v>
      </c>
      <c r="B88" s="16">
        <f>IF(A88="","",MID("월화수목금토일",WEEKDAY(A88,2),1))</f>
        <v/>
      </c>
      <c r="C88" s="6" t="inlineStr">
        <is>
          <t>데이터사이언스팀</t>
        </is>
      </c>
      <c r="D88" s="36" t="inlineStr">
        <is>
          <t>엘앤에이치컴퍼니 흥덕IT밸리_사무실 임대료</t>
        </is>
      </c>
      <c r="E88" s="39" t="n">
        <v>1650000</v>
      </c>
      <c r="F88" s="16" t="inlineStr">
        <is>
          <t>계좌송금</t>
        </is>
      </c>
      <c r="G88" s="6" t="inlineStr"/>
      <c r="H88" s="6" t="inlineStr"/>
      <c r="I88" s="6" t="inlineStr"/>
    </row>
    <row r="89">
      <c r="A89" s="38" t="n">
        <v>46293</v>
      </c>
      <c r="B89" s="16">
        <f>IF(A89="","",MID("월화수목금토일",WEEKDAY(A89,2),1))</f>
        <v/>
      </c>
      <c r="C89" s="6" t="inlineStr">
        <is>
          <t>경영지원팀</t>
        </is>
      </c>
      <c r="D89" s="36" t="inlineStr">
        <is>
          <t>KT 통신비</t>
        </is>
      </c>
      <c r="E89" s="39" t="n">
        <v>109450</v>
      </c>
      <c r="F89" s="16" t="inlineStr">
        <is>
          <t>자동이체</t>
        </is>
      </c>
      <c r="G89" s="6" t="inlineStr"/>
      <c r="H89" s="6" t="inlineStr"/>
      <c r="I89" s="6" t="inlineStr"/>
    </row>
    <row r="90">
      <c r="A90" s="38" t="n">
        <v>46294</v>
      </c>
      <c r="B90" s="16">
        <f>IF(A90="","",MID("월화수목금토일",WEEKDAY(A90,2),1))</f>
        <v/>
      </c>
      <c r="C90" s="6" t="inlineStr">
        <is>
          <t>건강사업팀</t>
        </is>
      </c>
      <c r="D90" s="36" t="inlineStr">
        <is>
          <t>네이버 네이버 톡톡 발송</t>
        </is>
      </c>
      <c r="E90" s="39" t="n">
        <v>500000</v>
      </c>
      <c r="F90" s="16" t="inlineStr">
        <is>
          <t>계좌송금</t>
        </is>
      </c>
      <c r="G90" s="6" t="inlineStr"/>
      <c r="H90" s="6" t="inlineStr"/>
      <c r="I90" s="6" t="inlineStr"/>
    </row>
    <row r="91">
      <c r="A91" s="38" t="n">
        <v>46294</v>
      </c>
      <c r="B91" s="16">
        <f>IF(A91="","",MID("월화수목금토일",WEEKDAY(A91,2),1))</f>
        <v/>
      </c>
      <c r="C91" s="6" t="inlineStr">
        <is>
          <t>건강사업팀</t>
        </is>
      </c>
      <c r="D91" s="36" t="inlineStr">
        <is>
          <t>정상은(이준이서맘) 인스타그램 효소 홍보</t>
        </is>
      </c>
      <c r="E91" s="39" t="n">
        <v>500000</v>
      </c>
      <c r="F91" s="16" t="inlineStr">
        <is>
          <t>계좌송금</t>
        </is>
      </c>
      <c r="G91" s="6" t="inlineStr"/>
      <c r="H91" s="6" t="inlineStr"/>
      <c r="I91" s="6" t="inlineStr"/>
    </row>
    <row r="92">
      <c r="A92" s="38" t="n">
        <v>46295</v>
      </c>
      <c r="B92" s="16">
        <f>IF(A92="","",MID("월화수목금토일",WEEKDAY(A92,2),1))</f>
        <v/>
      </c>
      <c r="C92" s="6" t="inlineStr">
        <is>
          <t>건강사업팀</t>
        </is>
      </c>
      <c r="D92" s="36" t="inlineStr">
        <is>
          <t>(주) 오애드 호기심딱지 8월 정산</t>
        </is>
      </c>
      <c r="E92" s="39" t="n">
        <v>880000</v>
      </c>
      <c r="F92" s="16" t="inlineStr">
        <is>
          <t>계좌송금</t>
        </is>
      </c>
      <c r="G92" s="6" t="inlineStr"/>
      <c r="H92" s="6" t="inlineStr"/>
      <c r="I92" s="6" t="inlineStr"/>
    </row>
    <row r="93">
      <c r="A93" s="38" t="n">
        <v>46295</v>
      </c>
      <c r="B93" s="16">
        <f>IF(A93="","",MID("월화수목금토일",WEEKDAY(A93,2),1))</f>
        <v/>
      </c>
      <c r="C93" s="6" t="inlineStr">
        <is>
          <t>건강사업팀</t>
        </is>
      </c>
      <c r="D93" s="36" t="inlineStr">
        <is>
          <t>카카오톡 비즈니스 자사 카드뷰 발송</t>
        </is>
      </c>
      <c r="E93" s="39" t="n">
        <v>200000</v>
      </c>
      <c r="F93" s="16" t="inlineStr">
        <is>
          <t>계좌송금</t>
        </is>
      </c>
      <c r="G93" s="6" t="inlineStr"/>
      <c r="H93" s="6" t="inlineStr"/>
      <c r="I93" s="6" t="inlineStr"/>
    </row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>
      <c r="D167" s="37" t="inlineStr">
        <is>
          <t>합계(숨긴 행 포함 4주 전체)</t>
        </is>
      </c>
      <c r="E167" s="34">
        <f>SUM(E73:E166)</f>
        <v/>
      </c>
    </row>
    <row r="169">
      <c r="A169" s="4" t="inlineStr">
        <is>
          <t>⑤ 안정을 위한 필요 추가 입금 (향후 4주)</t>
        </is>
      </c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33" t="inlineStr">
        <is>
          <t>목표 최저잔액</t>
        </is>
      </c>
      <c r="C170" s="39" t="n">
        <v>0</v>
      </c>
      <c r="D170" s="42" t="inlineStr">
        <is>
          <t>예: 0원(적자 없음) 또는 안전하게 유지하고 싶은 잔액을 입력하세요.</t>
        </is>
      </c>
    </row>
    <row r="171">
      <c r="A171" s="13" t="inlineStr">
        <is>
          <t>반영률</t>
        </is>
      </c>
      <c r="B171" s="13" t="n"/>
      <c r="C171" s="13" t="inlineStr">
        <is>
          <t>4주 기말잔액</t>
        </is>
      </c>
      <c r="D171" s="13" t="inlineStr">
        <is>
          <t>4주 최저잔액</t>
        </is>
      </c>
      <c r="E171" s="13" t="inlineStr">
        <is>
          <t>자금부족 예상일</t>
        </is>
      </c>
      <c r="F171" s="13" t="inlineStr">
        <is>
          <t>필요 추가 입금</t>
        </is>
      </c>
    </row>
    <row r="172">
      <c r="A172" s="43" t="n">
        <v>0.8</v>
      </c>
      <c r="C172" s="7" t="n">
        <v>249853685</v>
      </c>
      <c r="D172" s="7" t="n">
        <v>97295953</v>
      </c>
      <c r="E172" s="16" t="inlineStr">
        <is>
          <t>없음</t>
        </is>
      </c>
      <c r="F172" s="10">
        <f>MAX(0,$C$170-D172)</f>
        <v/>
      </c>
    </row>
    <row r="173">
      <c r="A173" s="43" t="n">
        <v>0.9</v>
      </c>
      <c r="C173" s="7" t="n">
        <v>270428138</v>
      </c>
      <c r="D173" s="7" t="n">
        <v>99793423</v>
      </c>
      <c r="E173" s="16" t="inlineStr">
        <is>
          <t>없음</t>
        </is>
      </c>
      <c r="F173" s="10">
        <f>MAX(0,$C$170-D173)</f>
        <v/>
      </c>
    </row>
    <row r="174">
      <c r="A174" s="43" t="n">
        <v>1</v>
      </c>
      <c r="C174" s="7" t="n">
        <v>291002591</v>
      </c>
      <c r="D174" s="7" t="n">
        <v>102290893</v>
      </c>
      <c r="E174" s="16" t="inlineStr">
        <is>
          <t>없음</t>
        </is>
      </c>
      <c r="F174" s="10">
        <f>MAX(0,$C$170-D174)</f>
        <v/>
      </c>
    </row>
    <row r="175">
      <c r="A175" s="33" t="inlineStr">
        <is>
          <t>주당 추가 입금 목표</t>
        </is>
      </c>
      <c r="C175" s="34">
        <f>ROUND(F172/4,0)</f>
        <v/>
      </c>
      <c r="D175" s="35" t="inlineStr">
        <is>
          <t>영업일당(주 5일 기준)</t>
        </is>
      </c>
      <c r="E175" s="34">
        <f>ROUND(F172/20,0)</f>
        <v/>
      </c>
    </row>
    <row r="177">
      <c r="A177" s="4" t="inlineStr">
        <is>
          <t>⑥ 건강사업팀 전달 메모 (자동 작성)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44">
        <f>IF(F172&lt;=0,"현재 반영률 기준 향후 4주 자금은 목표 최저잔액("&amp;TEXT($C$170,"#,##0")&amp;"원)을 유지합니다. 추가 입금 목표 없이 계획대로 진행 가능합니다.","향후 4주 최저 예상잔액이 목표("&amp;TEXT($C$170,"#,##0")&amp;"원) 대비 "&amp;TEXT(F172,"#,##0")&amp;"원 부족합니다. 4주간 총 "&amp;TEXT(F172,"#,##0")&amp;"원, 주당 약 "&amp;TEXT(ROUND(F172/4,0),"#,##0")&amp;"원의 추가 입금(매출 회수)이 필요합니다. 건강사업팀에 목표 공유를 권장합니다.")</f>
        <v/>
      </c>
    </row>
    <row r="179"/>
    <row r="180"/>
  </sheetData>
  <autoFilter ref="A72:I166"/>
  <mergeCells count="1">
    <mergeCell ref="A178:F180"/>
  </mergeCells>
  <conditionalFormatting sqref="E14:E41">
    <cfRule type="cellIs" priority="1" operator="lessThan" dxfId="0">
      <formula>0</formula>
    </cfRule>
  </conditionalFormatting>
  <dataValidations count="2">
    <dataValidation sqref="F12" showDropDown="0" showInputMessage="0" showErrorMessage="1" allowBlank="1" error="목록에 있는 반영률만 선택할 수 있습니다." type="list">
      <formula1>"60%,70%,80%,90%,100%"</formula1>
    </dataValidation>
    <dataValidation sqref="I73 I76" showDropDown="0" showInputMessage="0" showErrorMessage="0" allowBlank="1" type="list">
      <formula1>"확인"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5" t="inlineStr">
        <is>
          <t>금주 정기지출 체크 — 팀 지출예정 제출 확인</t>
        </is>
      </c>
    </row>
    <row r="2">
      <c r="A2" s="2" t="inlineStr">
        <is>
          <t>확인 구간 2026-09-22 ~ 2026-10-02 (실행일~차주 금요일) · 매월 나가던 정기지출이 팀 지출예정 파일에 들어왔는지 자동 대조한 결과입니다.</t>
        </is>
      </c>
    </row>
    <row r="3">
      <c r="A3" s="46" t="inlineStr">
        <is>
          <t>⚠ 누락 의심 12건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46287</v>
      </c>
      <c r="B6" s="16" t="inlineStr">
        <is>
          <t>화</t>
        </is>
      </c>
      <c r="C6" s="6" t="inlineStr">
        <is>
          <t>SN</t>
        </is>
      </c>
      <c r="D6" s="7" t="n">
        <v>231733</v>
      </c>
      <c r="E6" s="16" t="inlineStr">
        <is>
          <t>제외</t>
        </is>
      </c>
      <c r="F6" s="6" t="inlineStr">
        <is>
          <t>있음 · 220,000원 (9/21)</t>
        </is>
      </c>
      <c r="G6" s="6" t="inlineStr">
        <is>
          <t>팀 계획 반영</t>
        </is>
      </c>
    </row>
    <row r="7">
      <c r="A7" s="15" t="n">
        <v>46288</v>
      </c>
      <c r="B7" s="16" t="inlineStr">
        <is>
          <t>수</t>
        </is>
      </c>
      <c r="C7" s="6" t="inlineStr">
        <is>
          <t>우리카드결제대금</t>
        </is>
      </c>
      <c r="D7" s="7" t="n">
        <v>26105540</v>
      </c>
      <c r="E7" s="16" t="inlineStr">
        <is>
          <t>제외</t>
        </is>
      </c>
      <c r="F7" s="6" t="inlineStr">
        <is>
          <t>있음 · 25,346,349원 (9/28)</t>
        </is>
      </c>
      <c r="G7" s="6" t="inlineStr">
        <is>
          <t>팀 계획 반영</t>
        </is>
      </c>
    </row>
    <row r="8">
      <c r="A8" s="47" t="n">
        <v>46288</v>
      </c>
      <c r="B8" s="48" t="inlineStr">
        <is>
          <t>수</t>
        </is>
      </c>
      <c r="C8" s="49" t="inlineStr">
        <is>
          <t>METLIFE</t>
        </is>
      </c>
      <c r="D8" s="50" t="n">
        <v>7641812</v>
      </c>
      <c r="E8" s="48" t="inlineStr">
        <is>
          <t>제외</t>
        </is>
      </c>
      <c r="F8" s="49" t="inlineStr">
        <is>
          <t>없음</t>
        </is>
      </c>
      <c r="G8" s="51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NH기업카드</t>
        </is>
      </c>
      <c r="D9" s="7" t="n">
        <v>6066502</v>
      </c>
      <c r="E9" s="16" t="inlineStr">
        <is>
          <t>제외</t>
        </is>
      </c>
      <c r="F9" s="6" t="inlineStr">
        <is>
          <t>있음 · 2,227,429원 (9/23)</t>
        </is>
      </c>
      <c r="G9" s="6" t="inlineStr">
        <is>
          <t>팀 계획 반영</t>
        </is>
      </c>
    </row>
    <row r="10">
      <c r="A10" s="47" t="n">
        <v>46288</v>
      </c>
      <c r="B10" s="48" t="inlineStr">
        <is>
          <t>수</t>
        </is>
      </c>
      <c r="C10" s="49" t="inlineStr">
        <is>
          <t>아이현종찬</t>
        </is>
      </c>
      <c r="D10" s="50" t="n">
        <v>173250</v>
      </c>
      <c r="E10" s="48" t="inlineStr">
        <is>
          <t>제외</t>
        </is>
      </c>
      <c r="F10" s="49" t="inlineStr">
        <is>
          <t>없음</t>
        </is>
      </c>
      <c r="G10" s="51" t="inlineStr">
        <is>
          <t>누락 의심 — 팀 재제출 요청</t>
        </is>
      </c>
    </row>
    <row r="11">
      <c r="A11" s="47" t="n">
        <v>46293</v>
      </c>
      <c r="B11" s="48" t="inlineStr">
        <is>
          <t>월</t>
        </is>
      </c>
      <c r="C11" s="49" t="inlineStr">
        <is>
          <t>세이브더칠드런</t>
        </is>
      </c>
      <c r="D11" s="50" t="n">
        <v>2000000</v>
      </c>
      <c r="E11" s="48" t="inlineStr">
        <is>
          <t>제외</t>
        </is>
      </c>
      <c r="F11" s="49" t="inlineStr">
        <is>
          <t>없음</t>
        </is>
      </c>
      <c r="G11" s="51" t="inlineStr">
        <is>
          <t>누락 의심 — 팀 재제출 요청</t>
        </is>
      </c>
    </row>
    <row r="12">
      <c r="A12" s="47" t="n">
        <v>46293</v>
      </c>
      <c r="B12" s="48" t="inlineStr">
        <is>
          <t>월</t>
        </is>
      </c>
      <c r="C12" s="49" t="inlineStr">
        <is>
          <t>농협한혜선</t>
        </is>
      </c>
      <c r="D12" s="50" t="n">
        <v>1650000</v>
      </c>
      <c r="E12" s="48" t="inlineStr">
        <is>
          <t>제외</t>
        </is>
      </c>
      <c r="F12" s="49" t="inlineStr">
        <is>
          <t>없음</t>
        </is>
      </c>
      <c r="G12" s="51" t="inlineStr">
        <is>
          <t>누락 의심 — 팀 재제출 요청</t>
        </is>
      </c>
    </row>
    <row r="13">
      <c r="A13" s="47" t="n">
        <v>46293</v>
      </c>
      <c r="B13" s="48" t="inlineStr">
        <is>
          <t>월</t>
        </is>
      </c>
      <c r="C13" s="49" t="inlineStr">
        <is>
          <t>하나남경 노무법인</t>
        </is>
      </c>
      <c r="D13" s="50" t="n">
        <v>449429</v>
      </c>
      <c r="E13" s="48" t="inlineStr">
        <is>
          <t>제외</t>
        </is>
      </c>
      <c r="F13" s="49" t="inlineStr">
        <is>
          <t>없음</t>
        </is>
      </c>
      <c r="G13" s="51" t="inlineStr">
        <is>
          <t>누락 의심 — 팀 재제출 요청</t>
        </is>
      </c>
    </row>
    <row r="14">
      <c r="A14" s="15" t="n">
        <v>46293</v>
      </c>
      <c r="B14" s="16" t="inlineStr">
        <is>
          <t>월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(9/28)</t>
        </is>
      </c>
      <c r="G14" s="6" t="inlineStr">
        <is>
          <t>팀 계획 반영</t>
        </is>
      </c>
    </row>
    <row r="15">
      <c r="A15" s="47" t="n">
        <v>46294</v>
      </c>
      <c r="B15" s="48" t="inlineStr">
        <is>
          <t>화</t>
        </is>
      </c>
      <c r="C15" s="49" t="inlineStr">
        <is>
          <t>아이서원회계법인 대</t>
        </is>
      </c>
      <c r="D15" s="50" t="n">
        <v>1348600</v>
      </c>
      <c r="E15" s="48" t="inlineStr">
        <is>
          <t>제외</t>
        </is>
      </c>
      <c r="F15" s="49" t="inlineStr">
        <is>
          <t>없음</t>
        </is>
      </c>
      <c r="G15" s="51" t="inlineStr">
        <is>
          <t>누락 의심 — 팀 재제출 요청</t>
        </is>
      </c>
    </row>
    <row r="16">
      <c r="A16" s="47" t="n">
        <v>46294</v>
      </c>
      <c r="B16" s="48" t="inlineStr">
        <is>
          <t>화</t>
        </is>
      </c>
      <c r="C16" s="49" t="inlineStr">
        <is>
          <t>국민주식회사 오애드</t>
        </is>
      </c>
      <c r="D16" s="50" t="n">
        <v>1045000</v>
      </c>
      <c r="E16" s="48" t="inlineStr">
        <is>
          <t>제외</t>
        </is>
      </c>
      <c r="F16" s="49" t="inlineStr">
        <is>
          <t>없음</t>
        </is>
      </c>
      <c r="G16" s="51" t="inlineStr">
        <is>
          <t>누락 의심 — 팀 재제출 요청</t>
        </is>
      </c>
    </row>
    <row r="17">
      <c r="A17" s="15" t="n">
        <v>46294</v>
      </c>
      <c r="B17" s="16" t="inlineStr">
        <is>
          <t>화</t>
        </is>
      </c>
      <c r="C17" s="6" t="inlineStr">
        <is>
          <t>하나흥덕IT밸리관리</t>
        </is>
      </c>
      <c r="D17" s="7" t="n">
        <v>586192</v>
      </c>
      <c r="E17" s="16" t="inlineStr">
        <is>
          <t>제외</t>
        </is>
      </c>
      <c r="F17" s="6" t="inlineStr">
        <is>
          <t>있음 · 1,650,000원 (9/28)</t>
        </is>
      </c>
      <c r="G17" s="6" t="inlineStr">
        <is>
          <t>팀 계획 반영</t>
        </is>
      </c>
    </row>
    <row r="18">
      <c r="A18" s="47" t="n">
        <v>46295</v>
      </c>
      <c r="B18" s="48" t="inlineStr">
        <is>
          <t>수</t>
        </is>
      </c>
      <c r="C18" s="49" t="inlineStr">
        <is>
          <t>TOP출금</t>
        </is>
      </c>
      <c r="D18" s="50" t="n">
        <v>65040941</v>
      </c>
      <c r="E18" s="48" t="inlineStr">
        <is>
          <t>제외</t>
        </is>
      </c>
      <c r="F18" s="49" t="inlineStr">
        <is>
          <t>없음</t>
        </is>
      </c>
      <c r="G18" s="51" t="inlineStr">
        <is>
          <t>누락 의심 — 팀 재제출 요청</t>
        </is>
      </c>
    </row>
    <row r="19">
      <c r="A19" s="47" t="n">
        <v>46295</v>
      </c>
      <c r="B19" s="48" t="inlineStr">
        <is>
          <t>수</t>
        </is>
      </c>
      <c r="C19" s="49" t="inlineStr">
        <is>
          <t>한진주식회사</t>
        </is>
      </c>
      <c r="D19" s="50" t="n">
        <v>10790260</v>
      </c>
      <c r="E19" s="48" t="inlineStr">
        <is>
          <t>제외</t>
        </is>
      </c>
      <c r="F19" s="49" t="inlineStr">
        <is>
          <t>없음</t>
        </is>
      </c>
      <c r="G19" s="51" t="inlineStr">
        <is>
          <t>누락 의심 — 팀 재제출 요청</t>
        </is>
      </c>
    </row>
    <row r="20">
      <c r="A20" s="47" t="n">
        <v>46295</v>
      </c>
      <c r="B20" s="48" t="inlineStr">
        <is>
          <t>수</t>
        </is>
      </c>
      <c r="C20" s="49" t="inlineStr">
        <is>
          <t>퇴직예약출금</t>
        </is>
      </c>
      <c r="D20" s="50" t="n">
        <v>8156420</v>
      </c>
      <c r="E20" s="48" t="inlineStr">
        <is>
          <t>제외</t>
        </is>
      </c>
      <c r="F20" s="49" t="inlineStr">
        <is>
          <t>없음</t>
        </is>
      </c>
      <c r="G20" s="51" t="inlineStr">
        <is>
          <t>누락 의심 — 팀 재제출 요청</t>
        </is>
      </c>
    </row>
    <row r="21">
      <c r="A21" s="47" t="n">
        <v>46295</v>
      </c>
      <c r="B21" s="48" t="inlineStr">
        <is>
          <t>수</t>
        </is>
      </c>
      <c r="C21" s="49" t="inlineStr">
        <is>
          <t>국민엠제이테크노파크</t>
        </is>
      </c>
      <c r="D21" s="50" t="n">
        <v>214586</v>
      </c>
      <c r="E21" s="48" t="inlineStr">
        <is>
          <t>제외</t>
        </is>
      </c>
      <c r="F21" s="49" t="inlineStr">
        <is>
          <t>없음</t>
        </is>
      </c>
      <c r="G21" s="51" t="inlineStr">
        <is>
          <t>누락 의심 — 팀 재제출 요청</t>
        </is>
      </c>
    </row>
    <row r="22">
      <c r="A22" s="47" t="n">
        <v>46296</v>
      </c>
      <c r="B22" s="48" t="inlineStr">
        <is>
          <t>목</t>
        </is>
      </c>
      <c r="C22" s="49" t="inlineStr">
        <is>
          <t>KB</t>
        </is>
      </c>
      <c r="D22" s="50" t="n">
        <v>2952747</v>
      </c>
      <c r="E22" s="48" t="inlineStr">
        <is>
          <t>제외</t>
        </is>
      </c>
      <c r="F22" s="49" t="inlineStr">
        <is>
          <t>없음</t>
        </is>
      </c>
      <c r="G22" s="51" t="inlineStr">
        <is>
          <t>누락 의심 — 팀 재제출 요청</t>
        </is>
      </c>
    </row>
  </sheetData>
  <autoFilter ref="A5:G22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2026-09-22T13:04:44Z</dcterms:created>
  <dcterms:modified xsi:type="dcterms:W3CDTF">2026-09-22T13:04:45Z</dcterms:modified>
</cp:coreProperties>
</file>