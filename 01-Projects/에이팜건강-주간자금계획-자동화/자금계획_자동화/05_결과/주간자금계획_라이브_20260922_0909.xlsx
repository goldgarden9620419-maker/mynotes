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3251899138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3448634205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65" t="n"/>
      <c r="H7" s="165" t="n"/>
      <c r="I7" s="165" t="n"/>
      <c r="J7" s="165" t="n"/>
      <c r="K7" s="165" t="n"/>
      <c r="L7" s="165" t="n"/>
      <c r="M7" s="165" t="n"/>
      <c r="N7" s="165" t="n"/>
      <c r="O7" s="165" t="n"/>
      <c r="P7" s="165" t="n"/>
      <c r="Q7" s="165" t="n"/>
      <c r="R7" s="170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1" t="n">
        <v>46286</v>
      </c>
      <c r="B8" s="172" t="inlineStr">
        <is>
          <t>월</t>
        </is>
      </c>
      <c r="C8" s="173">
        <f>'계좌별시나리오'!D8</f>
        <v/>
      </c>
      <c r="D8" s="173">
        <f>'계좌별시나리오'!E8</f>
        <v/>
      </c>
      <c r="E8" s="173">
        <f>'계좌별시나리오'!F8</f>
        <v/>
      </c>
      <c r="F8" s="173">
        <f>'계좌별시나리오'!G8</f>
        <v/>
      </c>
      <c r="G8" s="174" t="n">
        <v>10373905</v>
      </c>
      <c r="H8" s="175">
        <f>'계좌별시나리오'!I8</f>
        <v/>
      </c>
      <c r="I8" s="175">
        <f>'계좌별시나리오'!J8</f>
        <v/>
      </c>
      <c r="J8" s="175">
        <f>'계좌별시나리오'!K8</f>
        <v/>
      </c>
      <c r="K8" s="175">
        <f>'계좌별시나리오'!L8</f>
        <v/>
      </c>
      <c r="L8" s="176" t="n">
        <v>20110000</v>
      </c>
      <c r="M8" s="176" t="n"/>
      <c r="N8" s="176" t="n"/>
      <c r="O8" s="176" t="n">
        <v>3468293</v>
      </c>
      <c r="P8" s="177">
        <f>G8+L8-M8-N8-O8</f>
        <v/>
      </c>
      <c r="Q8" s="178" t="n">
        <v>134654720</v>
      </c>
      <c r="R8" s="177">
        <f>Q8+P8</f>
        <v/>
      </c>
      <c r="S8" s="179" t="inlineStr">
        <is>
          <t>실적 | 지출: 국민네이버 apha 2,178,000, 국민서울보증보험 632,250, 국민네이버 에이팜건 330,000 외 3건 | 기타입금: 허용 20,000,000, 양혜원 110,000</t>
        </is>
      </c>
    </row>
    <row r="9">
      <c r="A9" s="180" t="n">
        <v>46287</v>
      </c>
      <c r="B9" s="181" t="inlineStr">
        <is>
          <t>화</t>
        </is>
      </c>
      <c r="C9" s="182">
        <f>'계좌별시나리오'!D9</f>
        <v/>
      </c>
      <c r="D9" s="182">
        <f>'계좌별시나리오'!E9</f>
        <v/>
      </c>
      <c r="E9" s="182">
        <f>'계좌별시나리오'!F9</f>
        <v/>
      </c>
      <c r="F9" s="182">
        <f>'계좌별시나리오'!G9</f>
        <v/>
      </c>
      <c r="G9" s="183" t="n">
        <v>0</v>
      </c>
      <c r="H9" s="184">
        <f>'계좌별시나리오'!I9</f>
        <v/>
      </c>
      <c r="I9" s="184">
        <f>'계좌별시나리오'!J9</f>
        <v/>
      </c>
      <c r="J9" s="184">
        <f>'계좌별시나리오'!K9</f>
        <v/>
      </c>
      <c r="K9" s="184">
        <f>'계좌별시나리오'!L9</f>
        <v/>
      </c>
      <c r="L9" s="185" t="n"/>
      <c r="M9" s="185" t="n"/>
      <c r="N9" s="185" t="n"/>
      <c r="O9" s="185" t="n"/>
      <c r="P9" s="186">
        <f>G9+L9-M9-N9-O9</f>
        <v/>
      </c>
      <c r="Q9" s="187">
        <f>R8</f>
        <v/>
      </c>
      <c r="R9" s="186">
        <f>Q9+P9</f>
        <v/>
      </c>
      <c r="S9" s="188" t="inlineStr">
        <is>
          <t>엠에스바이오텍 20,000,000, 와이투홀딩스 1,023,110, 네이버 500,000; 실적(은행 확인): 입금 0·출금 0 — 미집행 예정 21,523,110 익일 이월</t>
        </is>
      </c>
    </row>
    <row r="10">
      <c r="A10" s="189" t="n">
        <v>46288</v>
      </c>
      <c r="B10" s="172" t="inlineStr">
        <is>
          <t>수</t>
        </is>
      </c>
      <c r="C10" s="173">
        <f>'계좌별시나리오'!D10</f>
        <v/>
      </c>
      <c r="D10" s="173">
        <f>'계좌별시나리오'!E10</f>
        <v/>
      </c>
      <c r="E10" s="173">
        <f>'계좌별시나리오'!F10</f>
        <v/>
      </c>
      <c r="F10" s="173">
        <f>'계좌별시나리오'!G10</f>
        <v/>
      </c>
      <c r="G10" s="190">
        <f>INDEX('설정및분류'!$C$6:$C$12,WEEKDAY(A10,2))*'요약'!$B$13</f>
        <v/>
      </c>
      <c r="H10" s="175">
        <f>'계좌별시나리오'!I10</f>
        <v/>
      </c>
      <c r="I10" s="175">
        <f>'계좌별시나리오'!J10</f>
        <v/>
      </c>
      <c r="J10" s="175">
        <f>'계좌별시나리오'!K10</f>
        <v/>
      </c>
      <c r="K10" s="175">
        <f>'계좌별시나리오'!L10</f>
        <v/>
      </c>
      <c r="L10" s="176" t="n"/>
      <c r="M10" s="176" t="n">
        <v>35165896</v>
      </c>
      <c r="N10" s="176" t="n"/>
      <c r="O10" s="176" t="n">
        <v>32174232</v>
      </c>
      <c r="P10" s="177">
        <f>G10+L10-M10-N10-O10</f>
        <v/>
      </c>
      <c r="Q10" s="178">
        <f>R9</f>
        <v/>
      </c>
      <c r="R10" s="177">
        <f>Q10+P10</f>
        <v/>
      </c>
      <c r="S10" s="191" t="inlineStr">
        <is>
          <t>우리카드 25,346,349, 네이버SA&amp;GFA 8,305,000, 농협카드 6,827,883, 인포크비즈니스 3,300,000, 써치엠 1,487,786, ADN 550,000; 전일 미집행 예정 21,523,110 이월 반영</t>
        </is>
      </c>
    </row>
    <row r="11">
      <c r="A11" s="192" t="n">
        <v>46289</v>
      </c>
      <c r="B11" s="193" t="inlineStr">
        <is>
          <t>목</t>
        </is>
      </c>
      <c r="C11" s="173">
        <f>'계좌별시나리오'!D11</f>
        <v/>
      </c>
      <c r="D11" s="173">
        <f>'계좌별시나리오'!E11</f>
        <v/>
      </c>
      <c r="E11" s="173">
        <f>'계좌별시나리오'!F11</f>
        <v/>
      </c>
      <c r="F11" s="173">
        <f>'계좌별시나리오'!G11</f>
        <v/>
      </c>
      <c r="G11" s="174" t="n">
        <v>0</v>
      </c>
      <c r="H11" s="175">
        <f>'계좌별시나리오'!I11</f>
        <v/>
      </c>
      <c r="I11" s="175">
        <f>'계좌별시나리오'!J11</f>
        <v/>
      </c>
      <c r="J11" s="175">
        <f>'계좌별시나리오'!K11</f>
        <v/>
      </c>
      <c r="K11" s="175">
        <f>'계좌별시나리오'!L11</f>
        <v/>
      </c>
      <c r="L11" s="176" t="n"/>
      <c r="M11" s="176" t="n"/>
      <c r="N11" s="176" t="n"/>
      <c r="O11" s="176" t="n"/>
      <c r="P11" s="177">
        <f>G11+L11-M11-N11-O11</f>
        <v/>
      </c>
      <c r="Q11" s="178">
        <f>R10</f>
        <v/>
      </c>
      <c r="R11" s="177">
        <f>Q11+P11</f>
        <v/>
      </c>
      <c r="S11" s="191" t="n"/>
    </row>
    <row r="12">
      <c r="A12" s="192" t="n">
        <v>46290</v>
      </c>
      <c r="B12" s="193" t="inlineStr">
        <is>
          <t>금</t>
        </is>
      </c>
      <c r="C12" s="173">
        <f>'계좌별시나리오'!D12</f>
        <v/>
      </c>
      <c r="D12" s="173">
        <f>'계좌별시나리오'!E12</f>
        <v/>
      </c>
      <c r="E12" s="173">
        <f>'계좌별시나리오'!F12</f>
        <v/>
      </c>
      <c r="F12" s="173">
        <f>'계좌별시나리오'!G12</f>
        <v/>
      </c>
      <c r="G12" s="174" t="n">
        <v>0</v>
      </c>
      <c r="H12" s="175">
        <f>'계좌별시나리오'!I12</f>
        <v/>
      </c>
      <c r="I12" s="175">
        <f>'계좌별시나리오'!J12</f>
        <v/>
      </c>
      <c r="J12" s="175">
        <f>'계좌별시나리오'!K12</f>
        <v/>
      </c>
      <c r="K12" s="175">
        <f>'계좌별시나리오'!L12</f>
        <v/>
      </c>
      <c r="L12" s="176" t="n"/>
      <c r="M12" s="176" t="n"/>
      <c r="N12" s="176" t="n"/>
      <c r="O12" s="176" t="n">
        <v>2606450</v>
      </c>
      <c r="P12" s="177">
        <f>G12+L12-M12-N12-O12</f>
        <v/>
      </c>
      <c r="Q12" s="178">
        <f>R11</f>
        <v/>
      </c>
      <c r="R12" s="177">
        <f>Q12+P12</f>
        <v/>
      </c>
      <c r="S12" s="191" t="inlineStr">
        <is>
          <t>메트라이프 2,497,000, KT 109,450</t>
        </is>
      </c>
    </row>
    <row r="13">
      <c r="A13" s="192" t="n">
        <v>46291</v>
      </c>
      <c r="B13" s="193" t="inlineStr">
        <is>
          <t>토</t>
        </is>
      </c>
      <c r="C13" s="173">
        <f>'계좌별시나리오'!D13</f>
        <v/>
      </c>
      <c r="D13" s="173">
        <f>'계좌별시나리오'!E13</f>
        <v/>
      </c>
      <c r="E13" s="173">
        <f>'계좌별시나리오'!F13</f>
        <v/>
      </c>
      <c r="F13" s="173">
        <f>'계좌별시나리오'!G13</f>
        <v/>
      </c>
      <c r="G13" s="174" t="n">
        <v>0</v>
      </c>
      <c r="H13" s="175">
        <f>'계좌별시나리오'!I13</f>
        <v/>
      </c>
      <c r="I13" s="175">
        <f>'계좌별시나리오'!J13</f>
        <v/>
      </c>
      <c r="J13" s="175">
        <f>'계좌별시나리오'!K13</f>
        <v/>
      </c>
      <c r="K13" s="175">
        <f>'계좌별시나리오'!L13</f>
        <v/>
      </c>
      <c r="L13" s="176" t="n"/>
      <c r="M13" s="176" t="n"/>
      <c r="N13" s="176" t="n"/>
      <c r="O13" s="176" t="n"/>
      <c r="P13" s="177">
        <f>G13+L13-M13-N13-O13</f>
        <v/>
      </c>
      <c r="Q13" s="178">
        <f>R12</f>
        <v/>
      </c>
      <c r="R13" s="177">
        <f>Q13+P13</f>
        <v/>
      </c>
      <c r="S13" s="191" t="n"/>
    </row>
    <row r="14">
      <c r="A14" s="192" t="n">
        <v>46292</v>
      </c>
      <c r="B14" s="193" t="inlineStr">
        <is>
          <t>일</t>
        </is>
      </c>
      <c r="C14" s="173">
        <f>'계좌별시나리오'!D14</f>
        <v/>
      </c>
      <c r="D14" s="173">
        <f>'계좌별시나리오'!E14</f>
        <v/>
      </c>
      <c r="E14" s="173">
        <f>'계좌별시나리오'!F14</f>
        <v/>
      </c>
      <c r="F14" s="173">
        <f>'계좌별시나리오'!G14</f>
        <v/>
      </c>
      <c r="G14" s="190">
        <f>INDEX('설정및분류'!$C$6:$C$12,WEEKDAY(A14,2))*'요약'!$B$13</f>
        <v/>
      </c>
      <c r="H14" s="175">
        <f>'계좌별시나리오'!I14</f>
        <v/>
      </c>
      <c r="I14" s="175">
        <f>'계좌별시나리오'!J14</f>
        <v/>
      </c>
      <c r="J14" s="175">
        <f>'계좌별시나리오'!K14</f>
        <v/>
      </c>
      <c r="K14" s="175">
        <f>'계좌별시나리오'!L14</f>
        <v/>
      </c>
      <c r="L14" s="176" t="n"/>
      <c r="M14" s="176" t="n"/>
      <c r="N14" s="176" t="n"/>
      <c r="O14" s="176" t="n"/>
      <c r="P14" s="177">
        <f>G14+L14-M14-N14-O14</f>
        <v/>
      </c>
      <c r="Q14" s="178">
        <f>R13</f>
        <v/>
      </c>
      <c r="R14" s="177">
        <f>Q14+P14</f>
        <v/>
      </c>
      <c r="S14" s="191" t="n"/>
    </row>
    <row r="15">
      <c r="A15" s="189" t="n">
        <v>46293</v>
      </c>
      <c r="B15" s="172" t="inlineStr">
        <is>
          <t>월</t>
        </is>
      </c>
      <c r="C15" s="173">
        <f>'계좌별시나리오'!D15</f>
        <v/>
      </c>
      <c r="D15" s="173">
        <f>'계좌별시나리오'!E15</f>
        <v/>
      </c>
      <c r="E15" s="173">
        <f>'계좌별시나리오'!F15</f>
        <v/>
      </c>
      <c r="F15" s="173">
        <f>'계좌별시나리오'!G15</f>
        <v/>
      </c>
      <c r="G15" s="190">
        <f>INDEX('설정및분류'!$C$6:$C$12,WEEKDAY(A15,2))*'요약'!$B$13</f>
        <v/>
      </c>
      <c r="H15" s="175">
        <f>'계좌별시나리오'!I15</f>
        <v/>
      </c>
      <c r="I15" s="175">
        <f>'계좌별시나리오'!J15</f>
        <v/>
      </c>
      <c r="J15" s="175">
        <f>'계좌별시나리오'!K15</f>
        <v/>
      </c>
      <c r="K15" s="175">
        <f>'계좌별시나리오'!L15</f>
        <v/>
      </c>
      <c r="L15" s="176" t="n"/>
      <c r="M15" s="176" t="n">
        <v>1650000</v>
      </c>
      <c r="N15" s="176" t="n"/>
      <c r="O15" s="176" t="n"/>
      <c r="P15" s="177">
        <f>G15+L15-M15-N15-O15</f>
        <v/>
      </c>
      <c r="Q15" s="178">
        <f>R14</f>
        <v/>
      </c>
      <c r="R15" s="177">
        <f>Q15+P15</f>
        <v/>
      </c>
      <c r="S15" s="191" t="inlineStr">
        <is>
          <t>엘앤에이치컴퍼니 1,650,000</t>
        </is>
      </c>
    </row>
    <row r="16">
      <c r="A16" s="189" t="n">
        <v>46294</v>
      </c>
      <c r="B16" s="172" t="inlineStr">
        <is>
          <t>화</t>
        </is>
      </c>
      <c r="C16" s="173">
        <f>'계좌별시나리오'!D16</f>
        <v/>
      </c>
      <c r="D16" s="173">
        <f>'계좌별시나리오'!E16</f>
        <v/>
      </c>
      <c r="E16" s="173">
        <f>'계좌별시나리오'!F16</f>
        <v/>
      </c>
      <c r="F16" s="173">
        <f>'계좌별시나리오'!G16</f>
        <v/>
      </c>
      <c r="G16" s="190">
        <f>INDEX('설정및분류'!$C$6:$C$12,WEEKDAY(A16,2))*'요약'!$B$13</f>
        <v/>
      </c>
      <c r="H16" s="175">
        <f>'계좌별시나리오'!I16</f>
        <v/>
      </c>
      <c r="I16" s="175">
        <f>'계좌별시나리오'!J16</f>
        <v/>
      </c>
      <c r="J16" s="175">
        <f>'계좌별시나리오'!K16</f>
        <v/>
      </c>
      <c r="K16" s="175">
        <f>'계좌별시나리오'!L16</f>
        <v/>
      </c>
      <c r="L16" s="176" t="n"/>
      <c r="M16" s="176" t="n"/>
      <c r="N16" s="176" t="n"/>
      <c r="O16" s="176" t="n"/>
      <c r="P16" s="177">
        <f>G16+L16-M16-N16-O16</f>
        <v/>
      </c>
      <c r="Q16" s="178">
        <f>R15</f>
        <v/>
      </c>
      <c r="R16" s="177">
        <f>Q16+P16</f>
        <v/>
      </c>
      <c r="S16" s="191" t="n"/>
    </row>
    <row r="17">
      <c r="A17" s="189" t="n">
        <v>46295</v>
      </c>
      <c r="B17" s="172" t="inlineStr">
        <is>
          <t>수</t>
        </is>
      </c>
      <c r="C17" s="173">
        <f>'계좌별시나리오'!D17</f>
        <v/>
      </c>
      <c r="D17" s="173">
        <f>'계좌별시나리오'!E17</f>
        <v/>
      </c>
      <c r="E17" s="173">
        <f>'계좌별시나리오'!F17</f>
        <v/>
      </c>
      <c r="F17" s="173">
        <f>'계좌별시나리오'!G17</f>
        <v/>
      </c>
      <c r="G17" s="190">
        <f>INDEX('설정및분류'!$C$6:$C$12,WEEKDAY(A17,2))*'요약'!$B$13</f>
        <v/>
      </c>
      <c r="H17" s="175">
        <f>'계좌별시나리오'!I17</f>
        <v/>
      </c>
      <c r="I17" s="175">
        <f>'계좌별시나리오'!J17</f>
        <v/>
      </c>
      <c r="J17" s="175">
        <f>'계좌별시나리오'!K17</f>
        <v/>
      </c>
      <c r="K17" s="175">
        <f>'계좌별시나리오'!L17</f>
        <v/>
      </c>
      <c r="L17" s="176" t="n">
        <v>10021867</v>
      </c>
      <c r="M17" s="176" t="n"/>
      <c r="N17" s="176" t="n"/>
      <c r="O17" s="176" t="n"/>
      <c r="P17" s="177">
        <f>G17+L17-M17-N17-O17</f>
        <v/>
      </c>
      <c r="Q17" s="178">
        <f>R16</f>
        <v/>
      </c>
      <c r="R17" s="177">
        <f>Q17+P17</f>
        <v/>
      </c>
      <c r="S17" s="191" t="inlineStr">
        <is>
          <t>관계사 외상대 입금 추정(주식회사에이팜, 말일)</t>
        </is>
      </c>
    </row>
    <row r="18">
      <c r="A18" s="189" t="n">
        <v>46296</v>
      </c>
      <c r="B18" s="172" t="inlineStr">
        <is>
          <t>목</t>
        </is>
      </c>
      <c r="C18" s="173">
        <f>'계좌별시나리오'!D18</f>
        <v/>
      </c>
      <c r="D18" s="173">
        <f>'계좌별시나리오'!E18</f>
        <v/>
      </c>
      <c r="E18" s="173">
        <f>'계좌별시나리오'!F18</f>
        <v/>
      </c>
      <c r="F18" s="173">
        <f>'계좌별시나리오'!G18</f>
        <v/>
      </c>
      <c r="G18" s="190">
        <f>INDEX('설정및분류'!$C$6:$C$12,WEEKDAY(A18,2))*'요약'!$B$13</f>
        <v/>
      </c>
      <c r="H18" s="175">
        <f>'계좌별시나리오'!I18</f>
        <v/>
      </c>
      <c r="I18" s="175">
        <f>'계좌별시나리오'!J18</f>
        <v/>
      </c>
      <c r="J18" s="175">
        <f>'계좌별시나리오'!K18</f>
        <v/>
      </c>
      <c r="K18" s="175">
        <f>'계좌별시나리오'!L18</f>
        <v/>
      </c>
      <c r="L18" s="176" t="n"/>
      <c r="M18" s="176" t="n"/>
      <c r="N18" s="176" t="n"/>
      <c r="O18" s="176" t="n"/>
      <c r="P18" s="177">
        <f>G18+L18-M18-N18-O18</f>
        <v/>
      </c>
      <c r="Q18" s="178">
        <f>R17</f>
        <v/>
      </c>
      <c r="R18" s="177">
        <f>Q18+P18</f>
        <v/>
      </c>
      <c r="S18" s="191" t="n"/>
    </row>
    <row r="19">
      <c r="A19" s="194" t="n">
        <v>46297</v>
      </c>
      <c r="B19" s="195" t="inlineStr">
        <is>
          <t>금</t>
        </is>
      </c>
      <c r="C19" s="196">
        <f>'계좌별시나리오'!D19</f>
        <v/>
      </c>
      <c r="D19" s="196">
        <f>'계좌별시나리오'!E19</f>
        <v/>
      </c>
      <c r="E19" s="196">
        <f>'계좌별시나리오'!F19</f>
        <v/>
      </c>
      <c r="F19" s="196">
        <f>'계좌별시나리오'!G19</f>
        <v/>
      </c>
      <c r="G19" s="197">
        <f>INDEX('설정및분류'!$C$6:$C$12,WEEKDAY(A19,2))*'요약'!$B$13</f>
        <v/>
      </c>
      <c r="H19" s="198">
        <f>'계좌별시나리오'!I19</f>
        <v/>
      </c>
      <c r="I19" s="198">
        <f>'계좌별시나리오'!J19</f>
        <v/>
      </c>
      <c r="J19" s="198">
        <f>'계좌별시나리오'!K19</f>
        <v/>
      </c>
      <c r="K19" s="198">
        <f>'계좌별시나리오'!L19</f>
        <v/>
      </c>
      <c r="L19" s="199" t="n"/>
      <c r="M19" s="199" t="n"/>
      <c r="N19" s="199" t="n"/>
      <c r="O19" s="199" t="n"/>
      <c r="P19" s="200">
        <f>G19+L19-M19-N19-O19</f>
        <v/>
      </c>
      <c r="Q19" s="201">
        <f>R18</f>
        <v/>
      </c>
      <c r="R19" s="200">
        <f>Q19+P19</f>
        <v/>
      </c>
      <c r="S19" s="202" t="n"/>
    </row>
    <row r="20">
      <c r="A20" s="203" t="n">
        <v>46298</v>
      </c>
      <c r="B20" s="193" t="inlineStr">
        <is>
          <t>토</t>
        </is>
      </c>
      <c r="C20" s="173">
        <f>'계좌별시나리오'!D20</f>
        <v/>
      </c>
      <c r="D20" s="173">
        <f>'계좌별시나리오'!E20</f>
        <v/>
      </c>
      <c r="E20" s="173">
        <f>'계좌별시나리오'!F20</f>
        <v/>
      </c>
      <c r="F20" s="173">
        <f>'계좌별시나리오'!G20</f>
        <v/>
      </c>
      <c r="G20" s="174" t="n">
        <v>0</v>
      </c>
      <c r="H20" s="175">
        <f>'계좌별시나리오'!I20</f>
        <v/>
      </c>
      <c r="I20" s="175">
        <f>'계좌별시나리오'!J20</f>
        <v/>
      </c>
      <c r="J20" s="175">
        <f>'계좌별시나리오'!K20</f>
        <v/>
      </c>
      <c r="K20" s="175">
        <f>'계좌별시나리오'!L20</f>
        <v/>
      </c>
      <c r="L20" s="176" t="n"/>
      <c r="M20" s="176" t="n"/>
      <c r="N20" s="176" t="n"/>
      <c r="O20" s="176" t="n"/>
      <c r="P20" s="177">
        <f>G20+L20-M20-N20-O20</f>
        <v/>
      </c>
      <c r="Q20" s="178">
        <f>R19</f>
        <v/>
      </c>
      <c r="R20" s="177">
        <f>Q20+P20</f>
        <v/>
      </c>
      <c r="S20" s="179" t="n"/>
    </row>
    <row r="21">
      <c r="A21" s="203" t="n">
        <v>46299</v>
      </c>
      <c r="B21" s="193" t="inlineStr">
        <is>
          <t>일</t>
        </is>
      </c>
      <c r="C21" s="173">
        <f>'계좌별시나리오'!D21</f>
        <v/>
      </c>
      <c r="D21" s="173">
        <f>'계좌별시나리오'!E21</f>
        <v/>
      </c>
      <c r="E21" s="173">
        <f>'계좌별시나리오'!F21</f>
        <v/>
      </c>
      <c r="F21" s="173">
        <f>'계좌별시나리오'!G21</f>
        <v/>
      </c>
      <c r="G21" s="190">
        <f>INDEX('설정및분류'!$C$6:$C$12,WEEKDAY(A21,2))*'요약'!$B$13</f>
        <v/>
      </c>
      <c r="H21" s="175">
        <f>'계좌별시나리오'!I21</f>
        <v/>
      </c>
      <c r="I21" s="175">
        <f>'계좌별시나리오'!J21</f>
        <v/>
      </c>
      <c r="J21" s="175">
        <f>'계좌별시나리오'!K21</f>
        <v/>
      </c>
      <c r="K21" s="175">
        <f>'계좌별시나리오'!L21</f>
        <v/>
      </c>
      <c r="L21" s="176" t="n"/>
      <c r="M21" s="176" t="n"/>
      <c r="N21" s="176" t="n"/>
      <c r="O21" s="176" t="n"/>
      <c r="P21" s="177">
        <f>G21+L21-M21-N21-O21</f>
        <v/>
      </c>
      <c r="Q21" s="178">
        <f>R20</f>
        <v/>
      </c>
      <c r="R21" s="177">
        <f>Q21+P21</f>
        <v/>
      </c>
      <c r="S21" s="179" t="n"/>
    </row>
    <row r="22">
      <c r="A22" s="203" t="n">
        <v>46300</v>
      </c>
      <c r="B22" s="193" t="inlineStr">
        <is>
          <t>월</t>
        </is>
      </c>
      <c r="C22" s="173">
        <f>'계좌별시나리오'!D22</f>
        <v/>
      </c>
      <c r="D22" s="173">
        <f>'계좌별시나리오'!E22</f>
        <v/>
      </c>
      <c r="E22" s="173">
        <f>'계좌별시나리오'!F22</f>
        <v/>
      </c>
      <c r="F22" s="173">
        <f>'계좌별시나리오'!G22</f>
        <v/>
      </c>
      <c r="G22" s="174" t="n">
        <v>0</v>
      </c>
      <c r="H22" s="175">
        <f>'계좌별시나리오'!I22</f>
        <v/>
      </c>
      <c r="I22" s="175">
        <f>'계좌별시나리오'!J22</f>
        <v/>
      </c>
      <c r="J22" s="175">
        <f>'계좌별시나리오'!K22</f>
        <v/>
      </c>
      <c r="K22" s="175">
        <f>'계좌별시나리오'!L22</f>
        <v/>
      </c>
      <c r="L22" s="176" t="n"/>
      <c r="M22" s="176" t="n"/>
      <c r="N22" s="176" t="n"/>
      <c r="O22" s="176" t="n"/>
      <c r="P22" s="177">
        <f>G22+L22-M22-N22-O22</f>
        <v/>
      </c>
      <c r="Q22" s="178">
        <f>R21</f>
        <v/>
      </c>
      <c r="R22" s="177">
        <f>Q22+P22</f>
        <v/>
      </c>
      <c r="S22" s="179" t="n"/>
    </row>
    <row r="23">
      <c r="A23" s="171" t="n">
        <v>46301</v>
      </c>
      <c r="B23" s="172" t="inlineStr">
        <is>
          <t>화</t>
        </is>
      </c>
      <c r="C23" s="173">
        <f>'계좌별시나리오'!D23</f>
        <v/>
      </c>
      <c r="D23" s="173">
        <f>'계좌별시나리오'!E23</f>
        <v/>
      </c>
      <c r="E23" s="173">
        <f>'계좌별시나리오'!F23</f>
        <v/>
      </c>
      <c r="F23" s="173">
        <f>'계좌별시나리오'!G23</f>
        <v/>
      </c>
      <c r="G23" s="190">
        <f>INDEX('설정및분류'!$C$6:$C$12,WEEKDAY(A23,2))*'요약'!$B$13</f>
        <v/>
      </c>
      <c r="H23" s="175">
        <f>'계좌별시나리오'!I23</f>
        <v/>
      </c>
      <c r="I23" s="175">
        <f>'계좌별시나리오'!J23</f>
        <v/>
      </c>
      <c r="J23" s="175">
        <f>'계좌별시나리오'!K23</f>
        <v/>
      </c>
      <c r="K23" s="175">
        <f>'계좌별시나리오'!L23</f>
        <v/>
      </c>
      <c r="L23" s="176" t="n"/>
      <c r="M23" s="176" t="n"/>
      <c r="N23" s="176" t="n"/>
      <c r="O23" s="176" t="n"/>
      <c r="P23" s="177">
        <f>G23+L23-M23-N23-O23</f>
        <v/>
      </c>
      <c r="Q23" s="178">
        <f>R22</f>
        <v/>
      </c>
      <c r="R23" s="177">
        <f>Q23+P23</f>
        <v/>
      </c>
      <c r="S23" s="179" t="n"/>
    </row>
    <row r="24">
      <c r="A24" s="171" t="n">
        <v>46302</v>
      </c>
      <c r="B24" s="172" t="inlineStr">
        <is>
          <t>수</t>
        </is>
      </c>
      <c r="C24" s="173">
        <f>'계좌별시나리오'!D24</f>
        <v/>
      </c>
      <c r="D24" s="173">
        <f>'계좌별시나리오'!E24</f>
        <v/>
      </c>
      <c r="E24" s="173">
        <f>'계좌별시나리오'!F24</f>
        <v/>
      </c>
      <c r="F24" s="173">
        <f>'계좌별시나리오'!G24</f>
        <v/>
      </c>
      <c r="G24" s="190">
        <f>INDEX('설정및분류'!$C$6:$C$12,WEEKDAY(A24,2))*'요약'!$B$13</f>
        <v/>
      </c>
      <c r="H24" s="175">
        <f>'계좌별시나리오'!I24</f>
        <v/>
      </c>
      <c r="I24" s="175">
        <f>'계좌별시나리오'!J24</f>
        <v/>
      </c>
      <c r="J24" s="175">
        <f>'계좌별시나리오'!K24</f>
        <v/>
      </c>
      <c r="K24" s="175">
        <f>'계좌별시나리오'!L24</f>
        <v/>
      </c>
      <c r="L24" s="176" t="n"/>
      <c r="M24" s="176" t="n"/>
      <c r="N24" s="176" t="n"/>
      <c r="O24" s="176" t="n"/>
      <c r="P24" s="177">
        <f>G24+L24-M24-N24-O24</f>
        <v/>
      </c>
      <c r="Q24" s="178">
        <f>R23</f>
        <v/>
      </c>
      <c r="R24" s="177">
        <f>Q24+P24</f>
        <v/>
      </c>
      <c r="S24" s="179" t="n"/>
    </row>
    <row r="25">
      <c r="A25" s="171" t="n">
        <v>46303</v>
      </c>
      <c r="B25" s="172" t="inlineStr">
        <is>
          <t>목</t>
        </is>
      </c>
      <c r="C25" s="173">
        <f>'계좌별시나리오'!D25</f>
        <v/>
      </c>
      <c r="D25" s="173">
        <f>'계좌별시나리오'!E25</f>
        <v/>
      </c>
      <c r="E25" s="173">
        <f>'계좌별시나리오'!F25</f>
        <v/>
      </c>
      <c r="F25" s="173">
        <f>'계좌별시나리오'!G25</f>
        <v/>
      </c>
      <c r="G25" s="190">
        <f>INDEX('설정및분류'!$C$6:$C$12,WEEKDAY(A25,2))*'요약'!$B$13</f>
        <v/>
      </c>
      <c r="H25" s="175">
        <f>'계좌별시나리오'!I25</f>
        <v/>
      </c>
      <c r="I25" s="175">
        <f>'계좌별시나리오'!J25</f>
        <v/>
      </c>
      <c r="J25" s="175">
        <f>'계좌별시나리오'!K25</f>
        <v/>
      </c>
      <c r="K25" s="175">
        <f>'계좌별시나리오'!L25</f>
        <v/>
      </c>
      <c r="L25" s="176" t="n"/>
      <c r="M25" s="176" t="n"/>
      <c r="N25" s="176" t="n"/>
      <c r="O25" s="176" t="n"/>
      <c r="P25" s="177">
        <f>G25+L25-M25-N25-O25</f>
        <v/>
      </c>
      <c r="Q25" s="178">
        <f>R24</f>
        <v/>
      </c>
      <c r="R25" s="177">
        <f>Q25+P25</f>
        <v/>
      </c>
      <c r="S25" s="179" t="n"/>
    </row>
    <row r="26">
      <c r="A26" s="203" t="n">
        <v>46304</v>
      </c>
      <c r="B26" s="193" t="inlineStr">
        <is>
          <t>금</t>
        </is>
      </c>
      <c r="C26" s="173">
        <f>'계좌별시나리오'!D26</f>
        <v/>
      </c>
      <c r="D26" s="173">
        <f>'계좌별시나리오'!E26</f>
        <v/>
      </c>
      <c r="E26" s="173">
        <f>'계좌별시나리오'!F26</f>
        <v/>
      </c>
      <c r="F26" s="173">
        <f>'계좌별시나리오'!G26</f>
        <v/>
      </c>
      <c r="G26" s="174" t="n">
        <v>0</v>
      </c>
      <c r="H26" s="175">
        <f>'계좌별시나리오'!I26</f>
        <v/>
      </c>
      <c r="I26" s="175">
        <f>'계좌별시나리오'!J26</f>
        <v/>
      </c>
      <c r="J26" s="175">
        <f>'계좌별시나리오'!K26</f>
        <v/>
      </c>
      <c r="K26" s="175">
        <f>'계좌별시나리오'!L26</f>
        <v/>
      </c>
      <c r="L26" s="176" t="n"/>
      <c r="M26" s="176" t="n"/>
      <c r="N26" s="176" t="n"/>
      <c r="O26" s="176" t="n"/>
      <c r="P26" s="177">
        <f>G26+L26-M26-N26-O26</f>
        <v/>
      </c>
      <c r="Q26" s="178">
        <f>R25</f>
        <v/>
      </c>
      <c r="R26" s="177">
        <f>Q26+P26</f>
        <v/>
      </c>
      <c r="S26" s="179" t="n"/>
    </row>
    <row r="27">
      <c r="A27" s="203" t="n">
        <v>46305</v>
      </c>
      <c r="B27" s="193" t="inlineStr">
        <is>
          <t>토</t>
        </is>
      </c>
      <c r="C27" s="173">
        <f>'계좌별시나리오'!D27</f>
        <v/>
      </c>
      <c r="D27" s="173">
        <f>'계좌별시나리오'!E27</f>
        <v/>
      </c>
      <c r="E27" s="173">
        <f>'계좌별시나리오'!F27</f>
        <v/>
      </c>
      <c r="F27" s="173">
        <f>'계좌별시나리오'!G27</f>
        <v/>
      </c>
      <c r="G27" s="190">
        <f>INDEX('설정및분류'!$C$6:$C$12,WEEKDAY(A27,2))*'요약'!$B$13</f>
        <v/>
      </c>
      <c r="H27" s="175">
        <f>'계좌별시나리오'!I27</f>
        <v/>
      </c>
      <c r="I27" s="175">
        <f>'계좌별시나리오'!J27</f>
        <v/>
      </c>
      <c r="J27" s="175">
        <f>'계좌별시나리오'!K27</f>
        <v/>
      </c>
      <c r="K27" s="175">
        <f>'계좌별시나리오'!L27</f>
        <v/>
      </c>
      <c r="L27" s="176" t="n"/>
      <c r="M27" s="176" t="n"/>
      <c r="N27" s="176" t="n"/>
      <c r="O27" s="176" t="n"/>
      <c r="P27" s="177">
        <f>G27+L27-M27-N27-O27</f>
        <v/>
      </c>
      <c r="Q27" s="178">
        <f>R26</f>
        <v/>
      </c>
      <c r="R27" s="177">
        <f>Q27+P27</f>
        <v/>
      </c>
      <c r="S27" s="179" t="n"/>
    </row>
    <row r="28">
      <c r="A28" s="203" t="n">
        <v>46306</v>
      </c>
      <c r="B28" s="193" t="inlineStr">
        <is>
          <t>일</t>
        </is>
      </c>
      <c r="C28" s="173">
        <f>'계좌별시나리오'!D28</f>
        <v/>
      </c>
      <c r="D28" s="173">
        <f>'계좌별시나리오'!E28</f>
        <v/>
      </c>
      <c r="E28" s="173">
        <f>'계좌별시나리오'!F28</f>
        <v/>
      </c>
      <c r="F28" s="173">
        <f>'계좌별시나리오'!G28</f>
        <v/>
      </c>
      <c r="G28" s="190">
        <f>INDEX('설정및분류'!$C$6:$C$12,WEEKDAY(A28,2))*'요약'!$B$13</f>
        <v/>
      </c>
      <c r="H28" s="175">
        <f>'계좌별시나리오'!I28</f>
        <v/>
      </c>
      <c r="I28" s="175">
        <f>'계좌별시나리오'!J28</f>
        <v/>
      </c>
      <c r="J28" s="175">
        <f>'계좌별시나리오'!K28</f>
        <v/>
      </c>
      <c r="K28" s="175">
        <f>'계좌별시나리오'!L28</f>
        <v/>
      </c>
      <c r="L28" s="176" t="n"/>
      <c r="M28" s="176" t="n"/>
      <c r="N28" s="176" t="n"/>
      <c r="O28" s="176" t="n"/>
      <c r="P28" s="177">
        <f>G28+L28-M28-N28-O28</f>
        <v/>
      </c>
      <c r="Q28" s="178">
        <f>R27</f>
        <v/>
      </c>
      <c r="R28" s="177">
        <f>Q28+P28</f>
        <v/>
      </c>
      <c r="S28" s="179" t="n"/>
    </row>
    <row r="29">
      <c r="A29" s="171" t="n">
        <v>46307</v>
      </c>
      <c r="B29" s="172" t="inlineStr">
        <is>
          <t>월</t>
        </is>
      </c>
      <c r="C29" s="173">
        <f>'계좌별시나리오'!D29</f>
        <v/>
      </c>
      <c r="D29" s="173">
        <f>'계좌별시나리오'!E29</f>
        <v/>
      </c>
      <c r="E29" s="173">
        <f>'계좌별시나리오'!F29</f>
        <v/>
      </c>
      <c r="F29" s="173">
        <f>'계좌별시나리오'!G29</f>
        <v/>
      </c>
      <c r="G29" s="190">
        <f>INDEX('설정및분류'!$C$6:$C$12,WEEKDAY(A29,2))*'요약'!$B$13</f>
        <v/>
      </c>
      <c r="H29" s="175">
        <f>'계좌별시나리오'!I29</f>
        <v/>
      </c>
      <c r="I29" s="175">
        <f>'계좌별시나리오'!J29</f>
        <v/>
      </c>
      <c r="J29" s="175">
        <f>'계좌별시나리오'!K29</f>
        <v/>
      </c>
      <c r="K29" s="175">
        <f>'계좌별시나리오'!L29</f>
        <v/>
      </c>
      <c r="L29" s="176" t="n"/>
      <c r="M29" s="176" t="n"/>
      <c r="N29" s="176" t="n"/>
      <c r="O29" s="176" t="n"/>
      <c r="P29" s="177">
        <f>G29+L29-M29-N29-O29</f>
        <v/>
      </c>
      <c r="Q29" s="178">
        <f>R28</f>
        <v/>
      </c>
      <c r="R29" s="177">
        <f>Q29+P29</f>
        <v/>
      </c>
      <c r="S29" s="179" t="n"/>
    </row>
    <row r="30">
      <c r="A30" s="171" t="n">
        <v>46308</v>
      </c>
      <c r="B30" s="172" t="inlineStr">
        <is>
          <t>화</t>
        </is>
      </c>
      <c r="C30" s="173">
        <f>'계좌별시나리오'!D30</f>
        <v/>
      </c>
      <c r="D30" s="173">
        <f>'계좌별시나리오'!E30</f>
        <v/>
      </c>
      <c r="E30" s="173">
        <f>'계좌별시나리오'!F30</f>
        <v/>
      </c>
      <c r="F30" s="173">
        <f>'계좌별시나리오'!G30</f>
        <v/>
      </c>
      <c r="G30" s="190">
        <f>INDEX('설정및분류'!$C$6:$C$12,WEEKDAY(A30,2))*'요약'!$B$13</f>
        <v/>
      </c>
      <c r="H30" s="175">
        <f>'계좌별시나리오'!I30</f>
        <v/>
      </c>
      <c r="I30" s="175">
        <f>'계좌별시나리오'!J30</f>
        <v/>
      </c>
      <c r="J30" s="175">
        <f>'계좌별시나리오'!K30</f>
        <v/>
      </c>
      <c r="K30" s="175">
        <f>'계좌별시나리오'!L30</f>
        <v/>
      </c>
      <c r="L30" s="176" t="n"/>
      <c r="M30" s="176" t="n"/>
      <c r="N30" s="176" t="n"/>
      <c r="O30" s="176" t="n"/>
      <c r="P30" s="177">
        <f>G30+L30-M30-N30-O30</f>
        <v/>
      </c>
      <c r="Q30" s="178">
        <f>R29</f>
        <v/>
      </c>
      <c r="R30" s="177">
        <f>Q30+P30</f>
        <v/>
      </c>
      <c r="S30" s="179" t="n"/>
    </row>
    <row r="31">
      <c r="A31" s="171" t="n">
        <v>46309</v>
      </c>
      <c r="B31" s="172" t="inlineStr">
        <is>
          <t>수</t>
        </is>
      </c>
      <c r="C31" s="173">
        <f>'계좌별시나리오'!D31</f>
        <v/>
      </c>
      <c r="D31" s="173">
        <f>'계좌별시나리오'!E31</f>
        <v/>
      </c>
      <c r="E31" s="173">
        <f>'계좌별시나리오'!F31</f>
        <v/>
      </c>
      <c r="F31" s="173">
        <f>'계좌별시나리오'!G31</f>
        <v/>
      </c>
      <c r="G31" s="190">
        <f>INDEX('설정및분류'!$C$6:$C$12,WEEKDAY(A31,2))*'요약'!$B$13</f>
        <v/>
      </c>
      <c r="H31" s="175">
        <f>'계좌별시나리오'!I31</f>
        <v/>
      </c>
      <c r="I31" s="175">
        <f>'계좌별시나리오'!J31</f>
        <v/>
      </c>
      <c r="J31" s="175">
        <f>'계좌별시나리오'!K31</f>
        <v/>
      </c>
      <c r="K31" s="175">
        <f>'계좌별시나리오'!L31</f>
        <v/>
      </c>
      <c r="L31" s="176" t="n"/>
      <c r="M31" s="176" t="n"/>
      <c r="N31" s="176" t="n"/>
      <c r="O31" s="176" t="n"/>
      <c r="P31" s="177">
        <f>G31+L31-M31-N31-O31</f>
        <v/>
      </c>
      <c r="Q31" s="178">
        <f>R30</f>
        <v/>
      </c>
      <c r="R31" s="177">
        <f>Q31+P31</f>
        <v/>
      </c>
      <c r="S31" s="179" t="n"/>
    </row>
    <row r="32">
      <c r="A32" s="171" t="n">
        <v>46310</v>
      </c>
      <c r="B32" s="172" t="inlineStr">
        <is>
          <t>목</t>
        </is>
      </c>
      <c r="C32" s="173">
        <f>'계좌별시나리오'!D32</f>
        <v/>
      </c>
      <c r="D32" s="173">
        <f>'계좌별시나리오'!E32</f>
        <v/>
      </c>
      <c r="E32" s="173">
        <f>'계좌별시나리오'!F32</f>
        <v/>
      </c>
      <c r="F32" s="173">
        <f>'계좌별시나리오'!G32</f>
        <v/>
      </c>
      <c r="G32" s="190">
        <f>INDEX('설정및분류'!$C$6:$C$12,WEEKDAY(A32,2))*'요약'!$B$13</f>
        <v/>
      </c>
      <c r="H32" s="175">
        <f>'계좌별시나리오'!I32</f>
        <v/>
      </c>
      <c r="I32" s="175">
        <f>'계좌별시나리오'!J32</f>
        <v/>
      </c>
      <c r="J32" s="175">
        <f>'계좌별시나리오'!K32</f>
        <v/>
      </c>
      <c r="K32" s="175">
        <f>'계좌별시나리오'!L32</f>
        <v/>
      </c>
      <c r="L32" s="176" t="n"/>
      <c r="M32" s="176" t="n"/>
      <c r="N32" s="176" t="n"/>
      <c r="O32" s="176" t="n"/>
      <c r="P32" s="177">
        <f>G32+L32-M32-N32-O32</f>
        <v/>
      </c>
      <c r="Q32" s="178">
        <f>R31</f>
        <v/>
      </c>
      <c r="R32" s="177">
        <f>Q32+P32</f>
        <v/>
      </c>
      <c r="S32" s="179" t="n"/>
    </row>
    <row r="33">
      <c r="A33" s="171" t="n">
        <v>46311</v>
      </c>
      <c r="B33" s="172" t="inlineStr">
        <is>
          <t>금</t>
        </is>
      </c>
      <c r="C33" s="173">
        <f>'계좌별시나리오'!D33</f>
        <v/>
      </c>
      <c r="D33" s="173">
        <f>'계좌별시나리오'!E33</f>
        <v/>
      </c>
      <c r="E33" s="173">
        <f>'계좌별시나리오'!F33</f>
        <v/>
      </c>
      <c r="F33" s="173">
        <f>'계좌별시나리오'!G33</f>
        <v/>
      </c>
      <c r="G33" s="190">
        <f>INDEX('설정및분류'!$C$6:$C$12,WEEKDAY(A33,2))*'요약'!$B$13</f>
        <v/>
      </c>
      <c r="H33" s="175">
        <f>'계좌별시나리오'!I33</f>
        <v/>
      </c>
      <c r="I33" s="175">
        <f>'계좌별시나리오'!J33</f>
        <v/>
      </c>
      <c r="J33" s="175">
        <f>'계좌별시나리오'!K33</f>
        <v/>
      </c>
      <c r="K33" s="175">
        <f>'계좌별시나리오'!L33</f>
        <v/>
      </c>
      <c r="L33" s="176" t="n"/>
      <c r="M33" s="176" t="n"/>
      <c r="N33" s="176" t="n"/>
      <c r="O33" s="176" t="n"/>
      <c r="P33" s="177">
        <f>G33+L33-M33-N33-O33</f>
        <v/>
      </c>
      <c r="Q33" s="178">
        <f>R32</f>
        <v/>
      </c>
      <c r="R33" s="177">
        <f>Q33+P33</f>
        <v/>
      </c>
      <c r="S33" s="179" t="n"/>
    </row>
    <row r="34">
      <c r="A34" s="203" t="n">
        <v>46312</v>
      </c>
      <c r="B34" s="193" t="inlineStr">
        <is>
          <t>토</t>
        </is>
      </c>
      <c r="C34" s="173">
        <f>'계좌별시나리오'!D34</f>
        <v/>
      </c>
      <c r="D34" s="173">
        <f>'계좌별시나리오'!E34</f>
        <v/>
      </c>
      <c r="E34" s="173">
        <f>'계좌별시나리오'!F34</f>
        <v/>
      </c>
      <c r="F34" s="173">
        <f>'계좌별시나리오'!G34</f>
        <v/>
      </c>
      <c r="G34" s="190">
        <f>INDEX('설정및분류'!$C$6:$C$12,WEEKDAY(A34,2))*'요약'!$B$13</f>
        <v/>
      </c>
      <c r="H34" s="175">
        <f>'계좌별시나리오'!I34</f>
        <v/>
      </c>
      <c r="I34" s="175">
        <f>'계좌별시나리오'!J34</f>
        <v/>
      </c>
      <c r="J34" s="175">
        <f>'계좌별시나리오'!K34</f>
        <v/>
      </c>
      <c r="K34" s="175">
        <f>'계좌별시나리오'!L34</f>
        <v/>
      </c>
      <c r="L34" s="176" t="n"/>
      <c r="M34" s="176" t="n"/>
      <c r="N34" s="176" t="n"/>
      <c r="O34" s="176" t="n"/>
      <c r="P34" s="177">
        <f>G34+L34-M34-N34-O34</f>
        <v/>
      </c>
      <c r="Q34" s="178">
        <f>R33</f>
        <v/>
      </c>
      <c r="R34" s="177">
        <f>Q34+P34</f>
        <v/>
      </c>
      <c r="S34" s="179" t="n"/>
    </row>
    <row r="35">
      <c r="A35" s="203" t="n">
        <v>46313</v>
      </c>
      <c r="B35" s="193" t="inlineStr">
        <is>
          <t>일</t>
        </is>
      </c>
      <c r="C35" s="173">
        <f>'계좌별시나리오'!D35</f>
        <v/>
      </c>
      <c r="D35" s="173">
        <f>'계좌별시나리오'!E35</f>
        <v/>
      </c>
      <c r="E35" s="173">
        <f>'계좌별시나리오'!F35</f>
        <v/>
      </c>
      <c r="F35" s="173">
        <f>'계좌별시나리오'!G35</f>
        <v/>
      </c>
      <c r="G35" s="190">
        <f>INDEX('설정및분류'!$C$6:$C$12,WEEKDAY(A35,2))*'요약'!$B$13</f>
        <v/>
      </c>
      <c r="H35" s="175">
        <f>'계좌별시나리오'!I35</f>
        <v/>
      </c>
      <c r="I35" s="175">
        <f>'계좌별시나리오'!J35</f>
        <v/>
      </c>
      <c r="J35" s="175">
        <f>'계좌별시나리오'!K35</f>
        <v/>
      </c>
      <c r="K35" s="175">
        <f>'계좌별시나리오'!L35</f>
        <v/>
      </c>
      <c r="L35" s="176" t="n"/>
      <c r="M35" s="176" t="n"/>
      <c r="N35" s="176" t="n"/>
      <c r="O35" s="176" t="n"/>
      <c r="P35" s="177">
        <f>G35+L35-M35-N35-O35</f>
        <v/>
      </c>
      <c r="Q35" s="178">
        <f>R34</f>
        <v/>
      </c>
      <c r="R35" s="177">
        <f>Q35+P35</f>
        <v/>
      </c>
      <c r="S35" s="179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4" t="n"/>
      <c r="E4" s="204" t="n"/>
      <c r="F4" s="204" t="n"/>
      <c r="G4" s="204" t="n"/>
      <c r="H4" s="159" t="inlineStr">
        <is>
          <t>② 오늘 들어오는 돈 — 예상입금 배분</t>
        </is>
      </c>
      <c r="I4" s="204" t="n"/>
      <c r="J4" s="204" t="n"/>
      <c r="K4" s="204" t="n"/>
      <c r="L4" s="204" t="n"/>
      <c r="M4" s="205" t="inlineStr">
        <is>
          <t>③ 지출</t>
        </is>
      </c>
      <c r="N4" s="206" t="inlineStr">
        <is>
          <t>④ 부족분 이체</t>
        </is>
      </c>
      <c r="O4" s="204" t="n"/>
      <c r="P4" s="207" t="inlineStr">
        <is>
          <t>비고</t>
        </is>
      </c>
    </row>
    <row r="5">
      <c r="A5" s="208" t="n"/>
      <c r="B5" s="208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9" t="inlineStr">
        <is>
          <t>우리은행 집행</t>
        </is>
      </c>
      <c r="N5" s="210" t="inlineStr">
        <is>
          <t>농협→우리</t>
        </is>
      </c>
      <c r="O5" s="210" t="inlineStr">
        <is>
          <t>국민→우리</t>
        </is>
      </c>
      <c r="P5" s="208" t="n"/>
    </row>
    <row r="6">
      <c r="A6" s="211" t="n">
        <v>46286</v>
      </c>
      <c r="B6" s="212" t="inlineStr">
        <is>
          <t>월</t>
        </is>
      </c>
      <c r="C6" s="164">
        <f>SUM(D6:G6)</f>
        <v/>
      </c>
      <c r="D6" s="164" t="n">
        <v>14174014</v>
      </c>
      <c r="E6" s="164" t="n">
        <v>1944429</v>
      </c>
      <c r="F6" s="164" t="n">
        <v>100687200</v>
      </c>
      <c r="G6" s="164" t="n">
        <v>44864689</v>
      </c>
      <c r="H6" s="204" t="n"/>
      <c r="I6" s="204" t="n"/>
      <c r="J6" s="204" t="n"/>
      <c r="K6" s="204" t="n"/>
      <c r="L6" s="204" t="n"/>
      <c r="M6" s="204" t="n"/>
      <c r="N6" s="204" t="n"/>
      <c r="O6" s="204" t="n"/>
      <c r="P6" s="213" t="inlineStr">
        <is>
          <t>전일 마감 실잔고 — 여기서 출발</t>
        </is>
      </c>
    </row>
    <row r="7">
      <c r="A7" s="214" t="n">
        <v>46287</v>
      </c>
      <c r="B7" s="215" t="inlineStr">
        <is>
          <t>화</t>
        </is>
      </c>
      <c r="C7" s="164">
        <f>SUM(D7:G7)</f>
        <v/>
      </c>
      <c r="D7" s="173" t="n">
        <v>14174014</v>
      </c>
      <c r="E7" s="173" t="n">
        <v>1944429</v>
      </c>
      <c r="F7" s="173" t="n">
        <v>100687200</v>
      </c>
      <c r="G7" s="173" t="n">
        <v>44864689</v>
      </c>
      <c r="H7" s="204" t="n"/>
      <c r="I7" s="204" t="n"/>
      <c r="J7" s="204" t="n"/>
      <c r="K7" s="204" t="n"/>
      <c r="L7" s="204" t="n"/>
      <c r="M7" s="204" t="n"/>
      <c r="N7" s="204" t="n"/>
      <c r="O7" s="204" t="n"/>
      <c r="P7" s="216" t="inlineStr">
        <is>
          <t>오늘 실잔고(은행 확인) — 참고</t>
        </is>
      </c>
    </row>
    <row r="8" hidden="1">
      <c r="A8" s="217" t="n">
        <v>46286</v>
      </c>
      <c r="B8" s="204" t="inlineStr">
        <is>
          <t>월</t>
        </is>
      </c>
      <c r="C8" s="164" t="n">
        <v>161670332</v>
      </c>
      <c r="D8" s="218" t="n">
        <v>14174014</v>
      </c>
      <c r="E8" s="218" t="n">
        <v>1944429</v>
      </c>
      <c r="F8" s="218" t="n">
        <v>100687200</v>
      </c>
      <c r="G8" s="218" t="n">
        <v>44864689</v>
      </c>
      <c r="H8" s="219" t="n"/>
      <c r="I8" s="219" t="n"/>
      <c r="J8" s="219" t="n"/>
      <c r="K8" s="219" t="n"/>
      <c r="L8" s="219" t="n"/>
      <c r="M8" s="220" t="n"/>
      <c r="N8" s="221" t="n"/>
      <c r="O8" s="221" t="n"/>
      <c r="P8" s="216" t="inlineStr">
        <is>
          <t>실적 구간</t>
        </is>
      </c>
    </row>
    <row r="9">
      <c r="A9" s="217" t="n">
        <v>46287</v>
      </c>
      <c r="B9" s="204" t="inlineStr">
        <is>
          <t>화</t>
        </is>
      </c>
      <c r="C9" s="164" t="n">
        <v>161670332</v>
      </c>
      <c r="D9" s="222" t="n">
        <v>14174014</v>
      </c>
      <c r="E9" s="222" t="n">
        <v>1944429</v>
      </c>
      <c r="F9" s="222" t="n">
        <v>100687200</v>
      </c>
      <c r="G9" s="222" t="n">
        <v>44864689</v>
      </c>
      <c r="H9" s="219" t="n"/>
      <c r="I9" s="219" t="n"/>
      <c r="J9" s="219" t="n"/>
      <c r="K9" s="219" t="n"/>
      <c r="L9" s="219" t="n"/>
      <c r="M9" s="220" t="n"/>
      <c r="N9" s="221" t="n"/>
      <c r="O9" s="221" t="n"/>
      <c r="P9" s="213" t="inlineStr">
        <is>
          <t>실적(은행 확인) — 여기서 예산 출발</t>
        </is>
      </c>
    </row>
    <row r="10">
      <c r="A10" s="217" t="n">
        <v>46288</v>
      </c>
      <c r="B10" s="204" t="inlineStr">
        <is>
          <t>수</t>
        </is>
      </c>
      <c r="C10" s="164">
        <f>SUM(D10:G10)</f>
        <v/>
      </c>
      <c r="D10" s="218">
        <f>D9+I10-M10+Q10+R10+S10</f>
        <v/>
      </c>
      <c r="E10" s="218">
        <f>E9+J10-Q10</f>
        <v/>
      </c>
      <c r="F10" s="218">
        <f>F9+K10-R10</f>
        <v/>
      </c>
      <c r="G10" s="218">
        <f>G9+L10-S10</f>
        <v/>
      </c>
      <c r="H10" s="175">
        <f>'4주일별계획'!G10+'4주일별계획'!L10</f>
        <v/>
      </c>
      <c r="I10" s="175">
        <f>H10*0.435678</f>
        <v/>
      </c>
      <c r="J10" s="175">
        <f>H10*0.020692</f>
        <v/>
      </c>
      <c r="K10" s="175">
        <f>H10*0.216801</f>
        <v/>
      </c>
      <c r="L10" s="175">
        <f>H10*0.326829</f>
        <v/>
      </c>
      <c r="M10" s="223">
        <f>'4주일별계획'!M10+'4주일별계획'!N10+'4주일별계획'!O10</f>
        <v/>
      </c>
      <c r="N10" s="224">
        <f>Q10</f>
        <v/>
      </c>
      <c r="O10" s="224">
        <f>R10+S10</f>
        <v/>
      </c>
      <c r="P10" s="225">
        <f>IF(D10&lt;-0.5,"전 계좌 소진 — 부족 "&amp;TEXT(-D10,"#,##0")&amp;"원","")</f>
        <v/>
      </c>
      <c r="Q10" s="226">
        <f>MIN(MAX(0,E9+J10),MAX(0,M10-D9-I10))</f>
        <v/>
      </c>
      <c r="R10" s="226">
        <f>MIN(MAX(0,F9+K10),MAX(0,M10-D9-I10)-Q10)</f>
        <v/>
      </c>
      <c r="S10" s="226">
        <f>MIN(MAX(0,G9+L10),MAX(0,M10-D9-I10)-Q10-R10)</f>
        <v/>
      </c>
    </row>
    <row r="11">
      <c r="A11" s="203" t="n">
        <v>46289</v>
      </c>
      <c r="B11" s="193" t="inlineStr">
        <is>
          <t>목</t>
        </is>
      </c>
      <c r="C11" s="164">
        <f>SUM(D11:G11)</f>
        <v/>
      </c>
      <c r="D11" s="218">
        <f>D10+I11-M11+Q11+R11+S11</f>
        <v/>
      </c>
      <c r="E11" s="218">
        <f>E10+J11-Q11</f>
        <v/>
      </c>
      <c r="F11" s="218">
        <f>F10+K11-R11</f>
        <v/>
      </c>
      <c r="G11" s="218">
        <f>G10+L11-S11</f>
        <v/>
      </c>
      <c r="H11" s="175">
        <f>'4주일별계획'!G11+'4주일별계획'!L11</f>
        <v/>
      </c>
      <c r="I11" s="175">
        <f>H11*0.435678</f>
        <v/>
      </c>
      <c r="J11" s="175">
        <f>H11*0.020692</f>
        <v/>
      </c>
      <c r="K11" s="175">
        <f>H11*0.216801</f>
        <v/>
      </c>
      <c r="L11" s="175">
        <f>H11*0.326829</f>
        <v/>
      </c>
      <c r="M11" s="223">
        <f>'4주일별계획'!M11+'4주일별계획'!N11+'4주일별계획'!O11</f>
        <v/>
      </c>
      <c r="N11" s="224">
        <f>Q11</f>
        <v/>
      </c>
      <c r="O11" s="224">
        <f>R11+S11</f>
        <v/>
      </c>
      <c r="P11" s="225">
        <f>IF(D11&lt;-0.5,"전 계좌 소진 — 부족 "&amp;TEXT(-D11,"#,##0")&amp;"원","")</f>
        <v/>
      </c>
      <c r="Q11" s="226">
        <f>MIN(MAX(0,E10+J11),MAX(0,M11-D10-I11))</f>
        <v/>
      </c>
      <c r="R11" s="226">
        <f>MIN(MAX(0,F10+K11),MAX(0,M11-D10-I11)-Q11)</f>
        <v/>
      </c>
      <c r="S11" s="226">
        <f>MIN(MAX(0,G10+L11),MAX(0,M11-D10-I11)-Q11-R11)</f>
        <v/>
      </c>
    </row>
    <row r="12">
      <c r="A12" s="203" t="n">
        <v>46290</v>
      </c>
      <c r="B12" s="193" t="inlineStr">
        <is>
          <t>금</t>
        </is>
      </c>
      <c r="C12" s="164">
        <f>SUM(D12:G12)</f>
        <v/>
      </c>
      <c r="D12" s="218">
        <f>D11+I12-M12+Q12+R12+S12</f>
        <v/>
      </c>
      <c r="E12" s="218">
        <f>E11+J12-Q12</f>
        <v/>
      </c>
      <c r="F12" s="218">
        <f>F11+K12-R12</f>
        <v/>
      </c>
      <c r="G12" s="218">
        <f>G11+L12-S12</f>
        <v/>
      </c>
      <c r="H12" s="175">
        <f>'4주일별계획'!G12+'4주일별계획'!L12</f>
        <v/>
      </c>
      <c r="I12" s="175">
        <f>H12*0.435678</f>
        <v/>
      </c>
      <c r="J12" s="175">
        <f>H12*0.020692</f>
        <v/>
      </c>
      <c r="K12" s="175">
        <f>H12*0.216801</f>
        <v/>
      </c>
      <c r="L12" s="175">
        <f>H12*0.326829</f>
        <v/>
      </c>
      <c r="M12" s="223">
        <f>'4주일별계획'!M12+'4주일별계획'!N12+'4주일별계획'!O12</f>
        <v/>
      </c>
      <c r="N12" s="224">
        <f>Q12</f>
        <v/>
      </c>
      <c r="O12" s="224">
        <f>R12+S12</f>
        <v/>
      </c>
      <c r="P12" s="225">
        <f>IF(D12&lt;-0.5,"전 계좌 소진 — 부족 "&amp;TEXT(-D12,"#,##0")&amp;"원","")</f>
        <v/>
      </c>
      <c r="Q12" s="226">
        <f>MIN(MAX(0,E11+J12),MAX(0,M12-D11-I12))</f>
        <v/>
      </c>
      <c r="R12" s="226">
        <f>MIN(MAX(0,F11+K12),MAX(0,M12-D11-I12)-Q12)</f>
        <v/>
      </c>
      <c r="S12" s="226">
        <f>MIN(MAX(0,G11+L12),MAX(0,M12-D11-I12)-Q12-R12)</f>
        <v/>
      </c>
    </row>
    <row r="13">
      <c r="A13" s="203" t="n">
        <v>46291</v>
      </c>
      <c r="B13" s="193" t="inlineStr">
        <is>
          <t>토</t>
        </is>
      </c>
      <c r="C13" s="164">
        <f>SUM(D13:G13)</f>
        <v/>
      </c>
      <c r="D13" s="218">
        <f>D12+I13-M13+Q13+R13+S13</f>
        <v/>
      </c>
      <c r="E13" s="218">
        <f>E12+J13-Q13</f>
        <v/>
      </c>
      <c r="F13" s="218">
        <f>F12+K13-R13</f>
        <v/>
      </c>
      <c r="G13" s="218">
        <f>G12+L13-S13</f>
        <v/>
      </c>
      <c r="H13" s="175">
        <f>'4주일별계획'!G13+'4주일별계획'!L13</f>
        <v/>
      </c>
      <c r="I13" s="175">
        <f>H13*0.435678</f>
        <v/>
      </c>
      <c r="J13" s="175">
        <f>H13*0.020692</f>
        <v/>
      </c>
      <c r="K13" s="175">
        <f>H13*0.216801</f>
        <v/>
      </c>
      <c r="L13" s="175">
        <f>H13*0.326829</f>
        <v/>
      </c>
      <c r="M13" s="223">
        <f>'4주일별계획'!M13+'4주일별계획'!N13+'4주일별계획'!O13</f>
        <v/>
      </c>
      <c r="N13" s="224">
        <f>Q13</f>
        <v/>
      </c>
      <c r="O13" s="224">
        <f>R13+S13</f>
        <v/>
      </c>
      <c r="P13" s="225">
        <f>IF(D13&lt;-0.5,"전 계좌 소진 — 부족 "&amp;TEXT(-D13,"#,##0")&amp;"원","")</f>
        <v/>
      </c>
      <c r="Q13" s="226">
        <f>MIN(MAX(0,E12+J13),MAX(0,M13-D12-I13))</f>
        <v/>
      </c>
      <c r="R13" s="226">
        <f>MIN(MAX(0,F12+K13),MAX(0,M13-D12-I13)-Q13)</f>
        <v/>
      </c>
      <c r="S13" s="226">
        <f>MIN(MAX(0,G12+L13),MAX(0,M13-D12-I13)-Q13-R13)</f>
        <v/>
      </c>
    </row>
    <row r="14">
      <c r="A14" s="203" t="n">
        <v>46292</v>
      </c>
      <c r="B14" s="193" t="inlineStr">
        <is>
          <t>일</t>
        </is>
      </c>
      <c r="C14" s="164">
        <f>SUM(D14:G14)</f>
        <v/>
      </c>
      <c r="D14" s="218">
        <f>D13+I14-M14+Q14+R14+S14</f>
        <v/>
      </c>
      <c r="E14" s="218">
        <f>E13+J14-Q14</f>
        <v/>
      </c>
      <c r="F14" s="218">
        <f>F13+K14-R14</f>
        <v/>
      </c>
      <c r="G14" s="218">
        <f>G13+L14-S14</f>
        <v/>
      </c>
      <c r="H14" s="175">
        <f>'4주일별계획'!G14+'4주일별계획'!L14</f>
        <v/>
      </c>
      <c r="I14" s="175">
        <f>H14*0.435678</f>
        <v/>
      </c>
      <c r="J14" s="175">
        <f>H14*0.020692</f>
        <v/>
      </c>
      <c r="K14" s="175">
        <f>H14*0.216801</f>
        <v/>
      </c>
      <c r="L14" s="175">
        <f>H14*0.326829</f>
        <v/>
      </c>
      <c r="M14" s="223">
        <f>'4주일별계획'!M14+'4주일별계획'!N14+'4주일별계획'!O14</f>
        <v/>
      </c>
      <c r="N14" s="224">
        <f>Q14</f>
        <v/>
      </c>
      <c r="O14" s="224">
        <f>R14+S14</f>
        <v/>
      </c>
      <c r="P14" s="225">
        <f>IF(D14&lt;-0.5,"전 계좌 소진 — 부족 "&amp;TEXT(-D14,"#,##0")&amp;"원","")</f>
        <v/>
      </c>
      <c r="Q14" s="226">
        <f>MIN(MAX(0,E13+J14),MAX(0,M14-D13-I14))</f>
        <v/>
      </c>
      <c r="R14" s="226">
        <f>MIN(MAX(0,F13+K14),MAX(0,M14-D13-I14)-Q14)</f>
        <v/>
      </c>
      <c r="S14" s="226">
        <f>MIN(MAX(0,G13+L14),MAX(0,M14-D13-I14)-Q14-R14)</f>
        <v/>
      </c>
    </row>
    <row r="15">
      <c r="A15" s="217" t="n">
        <v>46293</v>
      </c>
      <c r="B15" s="204" t="inlineStr">
        <is>
          <t>월</t>
        </is>
      </c>
      <c r="C15" s="164">
        <f>SUM(D15:G15)</f>
        <v/>
      </c>
      <c r="D15" s="218">
        <f>D14+I15-M15+Q15+R15+S15</f>
        <v/>
      </c>
      <c r="E15" s="218">
        <f>E14+J15-Q15</f>
        <v/>
      </c>
      <c r="F15" s="218">
        <f>F14+K15-R15</f>
        <v/>
      </c>
      <c r="G15" s="218">
        <f>G14+L15-S15</f>
        <v/>
      </c>
      <c r="H15" s="175">
        <f>'4주일별계획'!G15+'4주일별계획'!L15</f>
        <v/>
      </c>
      <c r="I15" s="175">
        <f>H15*0.435678</f>
        <v/>
      </c>
      <c r="J15" s="175">
        <f>H15*0.020692</f>
        <v/>
      </c>
      <c r="K15" s="175">
        <f>H15*0.216801</f>
        <v/>
      </c>
      <c r="L15" s="175">
        <f>H15*0.326829</f>
        <v/>
      </c>
      <c r="M15" s="223">
        <f>'4주일별계획'!M15+'4주일별계획'!N15+'4주일별계획'!O15</f>
        <v/>
      </c>
      <c r="N15" s="224">
        <f>Q15</f>
        <v/>
      </c>
      <c r="O15" s="224">
        <f>R15+S15</f>
        <v/>
      </c>
      <c r="P15" s="225">
        <f>IF(D15&lt;-0.5,"전 계좌 소진 — 부족 "&amp;TEXT(-D15,"#,##0")&amp;"원","")</f>
        <v/>
      </c>
      <c r="Q15" s="226">
        <f>MIN(MAX(0,E14+J15),MAX(0,M15-D14-I15))</f>
        <v/>
      </c>
      <c r="R15" s="226">
        <f>MIN(MAX(0,F14+K15),MAX(0,M15-D14-I15)-Q15)</f>
        <v/>
      </c>
      <c r="S15" s="226">
        <f>MIN(MAX(0,G14+L15),MAX(0,M15-D14-I15)-Q15-R15)</f>
        <v/>
      </c>
    </row>
    <row r="16">
      <c r="A16" s="217" t="n">
        <v>46294</v>
      </c>
      <c r="B16" s="204" t="inlineStr">
        <is>
          <t>화</t>
        </is>
      </c>
      <c r="C16" s="164">
        <f>SUM(D16:G16)</f>
        <v/>
      </c>
      <c r="D16" s="218">
        <f>D15+I16-M16+Q16+R16+S16</f>
        <v/>
      </c>
      <c r="E16" s="218">
        <f>E15+J16-Q16</f>
        <v/>
      </c>
      <c r="F16" s="218">
        <f>F15+K16-R16</f>
        <v/>
      </c>
      <c r="G16" s="218">
        <f>G15+L16-S16</f>
        <v/>
      </c>
      <c r="H16" s="175">
        <f>'4주일별계획'!G16+'4주일별계획'!L16</f>
        <v/>
      </c>
      <c r="I16" s="175">
        <f>H16*0.435678</f>
        <v/>
      </c>
      <c r="J16" s="175">
        <f>H16*0.020692</f>
        <v/>
      </c>
      <c r="K16" s="175">
        <f>H16*0.216801</f>
        <v/>
      </c>
      <c r="L16" s="175">
        <f>H16*0.326829</f>
        <v/>
      </c>
      <c r="M16" s="223">
        <f>'4주일별계획'!M16+'4주일별계획'!N16+'4주일별계획'!O16</f>
        <v/>
      </c>
      <c r="N16" s="224">
        <f>Q16</f>
        <v/>
      </c>
      <c r="O16" s="224">
        <f>R16+S16</f>
        <v/>
      </c>
      <c r="P16" s="225">
        <f>IF(D16&lt;-0.5,"전 계좌 소진 — 부족 "&amp;TEXT(-D16,"#,##0")&amp;"원","")</f>
        <v/>
      </c>
      <c r="Q16" s="226">
        <f>MIN(MAX(0,E15+J16),MAX(0,M16-D15-I16))</f>
        <v/>
      </c>
      <c r="R16" s="226">
        <f>MIN(MAX(0,F15+K16),MAX(0,M16-D15-I16)-Q16)</f>
        <v/>
      </c>
      <c r="S16" s="226">
        <f>MIN(MAX(0,G15+L16),MAX(0,M16-D15-I16)-Q16-R16)</f>
        <v/>
      </c>
    </row>
    <row r="17">
      <c r="A17" s="217" t="n">
        <v>46295</v>
      </c>
      <c r="B17" s="204" t="inlineStr">
        <is>
          <t>수</t>
        </is>
      </c>
      <c r="C17" s="164">
        <f>SUM(D17:G17)</f>
        <v/>
      </c>
      <c r="D17" s="218">
        <f>D16+I17-M17+Q17+R17+S17</f>
        <v/>
      </c>
      <c r="E17" s="218">
        <f>E16+J17-Q17</f>
        <v/>
      </c>
      <c r="F17" s="218">
        <f>F16+K17-R17</f>
        <v/>
      </c>
      <c r="G17" s="218">
        <f>G16+L17-S17</f>
        <v/>
      </c>
      <c r="H17" s="175">
        <f>'4주일별계획'!G17+'4주일별계획'!L17</f>
        <v/>
      </c>
      <c r="I17" s="175">
        <f>H17*0.435678</f>
        <v/>
      </c>
      <c r="J17" s="175">
        <f>H17*0.020692</f>
        <v/>
      </c>
      <c r="K17" s="175">
        <f>H17*0.216801</f>
        <v/>
      </c>
      <c r="L17" s="175">
        <f>H17*0.326829</f>
        <v/>
      </c>
      <c r="M17" s="223">
        <f>'4주일별계획'!M17+'4주일별계획'!N17+'4주일별계획'!O17</f>
        <v/>
      </c>
      <c r="N17" s="224">
        <f>Q17</f>
        <v/>
      </c>
      <c r="O17" s="224">
        <f>R17+S17</f>
        <v/>
      </c>
      <c r="P17" s="225">
        <f>IF(D17&lt;-0.5,"전 계좌 소진 — 부족 "&amp;TEXT(-D17,"#,##0")&amp;"원","")</f>
        <v/>
      </c>
      <c r="Q17" s="226">
        <f>MIN(MAX(0,E16+J17),MAX(0,M17-D16-I17))</f>
        <v/>
      </c>
      <c r="R17" s="226">
        <f>MIN(MAX(0,F16+K17),MAX(0,M17-D16-I17)-Q17)</f>
        <v/>
      </c>
      <c r="S17" s="226">
        <f>MIN(MAX(0,G16+L17),MAX(0,M17-D16-I17)-Q17-R17)</f>
        <v/>
      </c>
    </row>
    <row r="18">
      <c r="A18" s="217" t="n">
        <v>46296</v>
      </c>
      <c r="B18" s="204" t="inlineStr">
        <is>
          <t>목</t>
        </is>
      </c>
      <c r="C18" s="164">
        <f>SUM(D18:G18)</f>
        <v/>
      </c>
      <c r="D18" s="218">
        <f>D17+I18-M18+Q18+R18+S18</f>
        <v/>
      </c>
      <c r="E18" s="218">
        <f>E17+J18-Q18</f>
        <v/>
      </c>
      <c r="F18" s="218">
        <f>F17+K18-R18</f>
        <v/>
      </c>
      <c r="G18" s="218">
        <f>G17+L18-S18</f>
        <v/>
      </c>
      <c r="H18" s="175">
        <f>'4주일별계획'!G18+'4주일별계획'!L18</f>
        <v/>
      </c>
      <c r="I18" s="175">
        <f>H18*0.435678</f>
        <v/>
      </c>
      <c r="J18" s="175">
        <f>H18*0.020692</f>
        <v/>
      </c>
      <c r="K18" s="175">
        <f>H18*0.216801</f>
        <v/>
      </c>
      <c r="L18" s="175">
        <f>H18*0.326829</f>
        <v/>
      </c>
      <c r="M18" s="223">
        <f>'4주일별계획'!M18+'4주일별계획'!N18+'4주일별계획'!O18</f>
        <v/>
      </c>
      <c r="N18" s="224">
        <f>Q18</f>
        <v/>
      </c>
      <c r="O18" s="224">
        <f>R18+S18</f>
        <v/>
      </c>
      <c r="P18" s="225">
        <f>IF(D18&lt;-0.5,"전 계좌 소진 — 부족 "&amp;TEXT(-D18,"#,##0")&amp;"원","")</f>
        <v/>
      </c>
      <c r="Q18" s="226">
        <f>MIN(MAX(0,E17+J18),MAX(0,M18-D17-I18))</f>
        <v/>
      </c>
      <c r="R18" s="226">
        <f>MIN(MAX(0,F17+K18),MAX(0,M18-D17-I18)-Q18)</f>
        <v/>
      </c>
      <c r="S18" s="226">
        <f>MIN(MAX(0,G17+L18),MAX(0,M18-D17-I18)-Q18-R18)</f>
        <v/>
      </c>
    </row>
    <row r="19">
      <c r="A19" s="217" t="n">
        <v>46297</v>
      </c>
      <c r="B19" s="204" t="inlineStr">
        <is>
          <t>금</t>
        </is>
      </c>
      <c r="C19" s="164">
        <f>SUM(D19:G19)</f>
        <v/>
      </c>
      <c r="D19" s="218">
        <f>D18+I19-M19+Q19+R19+S19</f>
        <v/>
      </c>
      <c r="E19" s="218">
        <f>E18+J19-Q19</f>
        <v/>
      </c>
      <c r="F19" s="218">
        <f>F18+K19-R19</f>
        <v/>
      </c>
      <c r="G19" s="218">
        <f>G18+L19-S19</f>
        <v/>
      </c>
      <c r="H19" s="175">
        <f>'4주일별계획'!G19+'4주일별계획'!L19</f>
        <v/>
      </c>
      <c r="I19" s="175">
        <f>H19*0.435678</f>
        <v/>
      </c>
      <c r="J19" s="175">
        <f>H19*0.020692</f>
        <v/>
      </c>
      <c r="K19" s="175">
        <f>H19*0.216801</f>
        <v/>
      </c>
      <c r="L19" s="175">
        <f>H19*0.326829</f>
        <v/>
      </c>
      <c r="M19" s="223">
        <f>'4주일별계획'!M19+'4주일별계획'!N19+'4주일별계획'!O19</f>
        <v/>
      </c>
      <c r="N19" s="224">
        <f>Q19</f>
        <v/>
      </c>
      <c r="O19" s="224">
        <f>R19+S19</f>
        <v/>
      </c>
      <c r="P19" s="225">
        <f>IF(D19&lt;-0.5,"전 계좌 소진 — 부족 "&amp;TEXT(-D19,"#,##0")&amp;"원","")</f>
        <v/>
      </c>
      <c r="Q19" s="226">
        <f>MIN(MAX(0,E18+J19),MAX(0,M19-D18-I19))</f>
        <v/>
      </c>
      <c r="R19" s="226">
        <f>MIN(MAX(0,F18+K19),MAX(0,M19-D18-I19)-Q19)</f>
        <v/>
      </c>
      <c r="S19" s="226">
        <f>MIN(MAX(0,G18+L19),MAX(0,M19-D18-I19)-Q19-R19)</f>
        <v/>
      </c>
    </row>
    <row r="20">
      <c r="A20" s="203" t="n">
        <v>46298</v>
      </c>
      <c r="B20" s="193" t="inlineStr">
        <is>
          <t>토</t>
        </is>
      </c>
      <c r="C20" s="164">
        <f>SUM(D20:G20)</f>
        <v/>
      </c>
      <c r="D20" s="218">
        <f>D19+I20-M20+Q20+R20+S20</f>
        <v/>
      </c>
      <c r="E20" s="218">
        <f>E19+J20-Q20</f>
        <v/>
      </c>
      <c r="F20" s="218">
        <f>F19+K20-R20</f>
        <v/>
      </c>
      <c r="G20" s="218">
        <f>G19+L20-S20</f>
        <v/>
      </c>
      <c r="H20" s="175">
        <f>'4주일별계획'!G20+'4주일별계획'!L20</f>
        <v/>
      </c>
      <c r="I20" s="175">
        <f>H20*0.435678</f>
        <v/>
      </c>
      <c r="J20" s="175">
        <f>H20*0.020692</f>
        <v/>
      </c>
      <c r="K20" s="175">
        <f>H20*0.216801</f>
        <v/>
      </c>
      <c r="L20" s="175">
        <f>H20*0.326829</f>
        <v/>
      </c>
      <c r="M20" s="223">
        <f>'4주일별계획'!M20+'4주일별계획'!N20+'4주일별계획'!O20</f>
        <v/>
      </c>
      <c r="N20" s="224">
        <f>Q20</f>
        <v/>
      </c>
      <c r="O20" s="224">
        <f>R20+S20</f>
        <v/>
      </c>
      <c r="P20" s="225">
        <f>IF(D20&lt;-0.5,"전 계좌 소진 — 부족 "&amp;TEXT(-D20,"#,##0")&amp;"원","")</f>
        <v/>
      </c>
      <c r="Q20" s="226">
        <f>MIN(MAX(0,E19+J20),MAX(0,M20-D19-I20))</f>
        <v/>
      </c>
      <c r="R20" s="226">
        <f>MIN(MAX(0,F19+K20),MAX(0,M20-D19-I20)-Q20)</f>
        <v/>
      </c>
      <c r="S20" s="226">
        <f>MIN(MAX(0,G19+L20),MAX(0,M20-D19-I20)-Q20-R20)</f>
        <v/>
      </c>
    </row>
    <row r="21">
      <c r="A21" s="203" t="n">
        <v>46299</v>
      </c>
      <c r="B21" s="193" t="inlineStr">
        <is>
          <t>일</t>
        </is>
      </c>
      <c r="C21" s="164">
        <f>SUM(D21:G21)</f>
        <v/>
      </c>
      <c r="D21" s="218">
        <f>D20+I21-M21+Q21+R21+S21</f>
        <v/>
      </c>
      <c r="E21" s="218">
        <f>E20+J21-Q21</f>
        <v/>
      </c>
      <c r="F21" s="218">
        <f>F20+K21-R21</f>
        <v/>
      </c>
      <c r="G21" s="218">
        <f>G20+L21-S21</f>
        <v/>
      </c>
      <c r="H21" s="175">
        <f>'4주일별계획'!G21+'4주일별계획'!L21</f>
        <v/>
      </c>
      <c r="I21" s="175">
        <f>H21*0.435678</f>
        <v/>
      </c>
      <c r="J21" s="175">
        <f>H21*0.020692</f>
        <v/>
      </c>
      <c r="K21" s="175">
        <f>H21*0.216801</f>
        <v/>
      </c>
      <c r="L21" s="175">
        <f>H21*0.326829</f>
        <v/>
      </c>
      <c r="M21" s="223">
        <f>'4주일별계획'!M21+'4주일별계획'!N21+'4주일별계획'!O21</f>
        <v/>
      </c>
      <c r="N21" s="224">
        <f>Q21</f>
        <v/>
      </c>
      <c r="O21" s="224">
        <f>R21+S21</f>
        <v/>
      </c>
      <c r="P21" s="225">
        <f>IF(D21&lt;-0.5,"전 계좌 소진 — 부족 "&amp;TEXT(-D21,"#,##0")&amp;"원","")</f>
        <v/>
      </c>
      <c r="Q21" s="226">
        <f>MIN(MAX(0,E20+J21),MAX(0,M21-D20-I21))</f>
        <v/>
      </c>
      <c r="R21" s="226">
        <f>MIN(MAX(0,F20+K21),MAX(0,M21-D20-I21)-Q21)</f>
        <v/>
      </c>
      <c r="S21" s="226">
        <f>MIN(MAX(0,G20+L21),MAX(0,M21-D20-I21)-Q21-R21)</f>
        <v/>
      </c>
    </row>
    <row r="22">
      <c r="A22" s="203" t="n">
        <v>46300</v>
      </c>
      <c r="B22" s="193" t="inlineStr">
        <is>
          <t>월</t>
        </is>
      </c>
      <c r="C22" s="164">
        <f>SUM(D22:G22)</f>
        <v/>
      </c>
      <c r="D22" s="218">
        <f>D21+I22-M22+Q22+R22+S22</f>
        <v/>
      </c>
      <c r="E22" s="218">
        <f>E21+J22-Q22</f>
        <v/>
      </c>
      <c r="F22" s="218">
        <f>F21+K22-R22</f>
        <v/>
      </c>
      <c r="G22" s="218">
        <f>G21+L22-S22</f>
        <v/>
      </c>
      <c r="H22" s="175">
        <f>'4주일별계획'!G22+'4주일별계획'!L22</f>
        <v/>
      </c>
      <c r="I22" s="175">
        <f>H22*0.435678</f>
        <v/>
      </c>
      <c r="J22" s="175">
        <f>H22*0.020692</f>
        <v/>
      </c>
      <c r="K22" s="175">
        <f>H22*0.216801</f>
        <v/>
      </c>
      <c r="L22" s="175">
        <f>H22*0.326829</f>
        <v/>
      </c>
      <c r="M22" s="223">
        <f>'4주일별계획'!M22+'4주일별계획'!N22+'4주일별계획'!O22</f>
        <v/>
      </c>
      <c r="N22" s="224">
        <f>Q22</f>
        <v/>
      </c>
      <c r="O22" s="224">
        <f>R22+S22</f>
        <v/>
      </c>
      <c r="P22" s="225">
        <f>IF(D22&lt;-0.5,"전 계좌 소진 — 부족 "&amp;TEXT(-D22,"#,##0")&amp;"원","")</f>
        <v/>
      </c>
      <c r="Q22" s="226">
        <f>MIN(MAX(0,E21+J22),MAX(0,M22-D21-I22))</f>
        <v/>
      </c>
      <c r="R22" s="226">
        <f>MIN(MAX(0,F21+K22),MAX(0,M22-D21-I22)-Q22)</f>
        <v/>
      </c>
      <c r="S22" s="226">
        <f>MIN(MAX(0,G21+L22),MAX(0,M22-D21-I22)-Q22-R22)</f>
        <v/>
      </c>
    </row>
    <row r="23">
      <c r="A23" s="217" t="n">
        <v>46301</v>
      </c>
      <c r="B23" s="204" t="inlineStr">
        <is>
          <t>화</t>
        </is>
      </c>
      <c r="C23" s="164">
        <f>SUM(D23:G23)</f>
        <v/>
      </c>
      <c r="D23" s="218">
        <f>D22+I23-M23+Q23+R23+S23</f>
        <v/>
      </c>
      <c r="E23" s="218">
        <f>E22+J23-Q23</f>
        <v/>
      </c>
      <c r="F23" s="218">
        <f>F22+K23-R23</f>
        <v/>
      </c>
      <c r="G23" s="218">
        <f>G22+L23-S23</f>
        <v/>
      </c>
      <c r="H23" s="175">
        <f>'4주일별계획'!G23+'4주일별계획'!L23</f>
        <v/>
      </c>
      <c r="I23" s="175">
        <f>H23*0.435678</f>
        <v/>
      </c>
      <c r="J23" s="175">
        <f>H23*0.020692</f>
        <v/>
      </c>
      <c r="K23" s="175">
        <f>H23*0.216801</f>
        <v/>
      </c>
      <c r="L23" s="175">
        <f>H23*0.326829</f>
        <v/>
      </c>
      <c r="M23" s="223">
        <f>'4주일별계획'!M23+'4주일별계획'!N23+'4주일별계획'!O23</f>
        <v/>
      </c>
      <c r="N23" s="224">
        <f>Q23</f>
        <v/>
      </c>
      <c r="O23" s="224">
        <f>R23+S23</f>
        <v/>
      </c>
      <c r="P23" s="225">
        <f>IF(D23&lt;-0.5,"전 계좌 소진 — 부족 "&amp;TEXT(-D23,"#,##0")&amp;"원","")</f>
        <v/>
      </c>
      <c r="Q23" s="226">
        <f>MIN(MAX(0,E22+J23),MAX(0,M23-D22-I23))</f>
        <v/>
      </c>
      <c r="R23" s="226">
        <f>MIN(MAX(0,F22+K23),MAX(0,M23-D22-I23)-Q23)</f>
        <v/>
      </c>
      <c r="S23" s="226">
        <f>MIN(MAX(0,G22+L23),MAX(0,M23-D22-I23)-Q23-R23)</f>
        <v/>
      </c>
    </row>
    <row r="24">
      <c r="A24" s="217" t="n">
        <v>46302</v>
      </c>
      <c r="B24" s="204" t="inlineStr">
        <is>
          <t>수</t>
        </is>
      </c>
      <c r="C24" s="164">
        <f>SUM(D24:G24)</f>
        <v/>
      </c>
      <c r="D24" s="218">
        <f>D23+I24-M24+Q24+R24+S24</f>
        <v/>
      </c>
      <c r="E24" s="218">
        <f>E23+J24-Q24</f>
        <v/>
      </c>
      <c r="F24" s="218">
        <f>F23+K24-R24</f>
        <v/>
      </c>
      <c r="G24" s="218">
        <f>G23+L24-S24</f>
        <v/>
      </c>
      <c r="H24" s="175">
        <f>'4주일별계획'!G24+'4주일별계획'!L24</f>
        <v/>
      </c>
      <c r="I24" s="175">
        <f>H24*0.435678</f>
        <v/>
      </c>
      <c r="J24" s="175">
        <f>H24*0.020692</f>
        <v/>
      </c>
      <c r="K24" s="175">
        <f>H24*0.216801</f>
        <v/>
      </c>
      <c r="L24" s="175">
        <f>H24*0.326829</f>
        <v/>
      </c>
      <c r="M24" s="223">
        <f>'4주일별계획'!M24+'4주일별계획'!N24+'4주일별계획'!O24</f>
        <v/>
      </c>
      <c r="N24" s="224">
        <f>Q24</f>
        <v/>
      </c>
      <c r="O24" s="224">
        <f>R24+S24</f>
        <v/>
      </c>
      <c r="P24" s="225">
        <f>IF(D24&lt;-0.5,"전 계좌 소진 — 부족 "&amp;TEXT(-D24,"#,##0")&amp;"원","")</f>
        <v/>
      </c>
      <c r="Q24" s="226">
        <f>MIN(MAX(0,E23+J24),MAX(0,M24-D23-I24))</f>
        <v/>
      </c>
      <c r="R24" s="226">
        <f>MIN(MAX(0,F23+K24),MAX(0,M24-D23-I24)-Q24)</f>
        <v/>
      </c>
      <c r="S24" s="226">
        <f>MIN(MAX(0,G23+L24),MAX(0,M24-D23-I24)-Q24-R24)</f>
        <v/>
      </c>
    </row>
    <row r="25">
      <c r="A25" s="217" t="n">
        <v>46303</v>
      </c>
      <c r="B25" s="204" t="inlineStr">
        <is>
          <t>목</t>
        </is>
      </c>
      <c r="C25" s="164">
        <f>SUM(D25:G25)</f>
        <v/>
      </c>
      <c r="D25" s="218">
        <f>D24+I25-M25+Q25+R25+S25</f>
        <v/>
      </c>
      <c r="E25" s="218">
        <f>E24+J25-Q25</f>
        <v/>
      </c>
      <c r="F25" s="218">
        <f>F24+K25-R25</f>
        <v/>
      </c>
      <c r="G25" s="218">
        <f>G24+L25-S25</f>
        <v/>
      </c>
      <c r="H25" s="175">
        <f>'4주일별계획'!G25+'4주일별계획'!L25</f>
        <v/>
      </c>
      <c r="I25" s="175">
        <f>H25*0.435678</f>
        <v/>
      </c>
      <c r="J25" s="175">
        <f>H25*0.020692</f>
        <v/>
      </c>
      <c r="K25" s="175">
        <f>H25*0.216801</f>
        <v/>
      </c>
      <c r="L25" s="175">
        <f>H25*0.326829</f>
        <v/>
      </c>
      <c r="M25" s="223">
        <f>'4주일별계획'!M25+'4주일별계획'!N25+'4주일별계획'!O25</f>
        <v/>
      </c>
      <c r="N25" s="224">
        <f>Q25</f>
        <v/>
      </c>
      <c r="O25" s="224">
        <f>R25+S25</f>
        <v/>
      </c>
      <c r="P25" s="225">
        <f>IF(D25&lt;-0.5,"전 계좌 소진 — 부족 "&amp;TEXT(-D25,"#,##0")&amp;"원","")</f>
        <v/>
      </c>
      <c r="Q25" s="226">
        <f>MIN(MAX(0,E24+J25),MAX(0,M25-D24-I25))</f>
        <v/>
      </c>
      <c r="R25" s="226">
        <f>MIN(MAX(0,F24+K25),MAX(0,M25-D24-I25)-Q25)</f>
        <v/>
      </c>
      <c r="S25" s="226">
        <f>MIN(MAX(0,G24+L25),MAX(0,M25-D24-I25)-Q25-R25)</f>
        <v/>
      </c>
    </row>
    <row r="26">
      <c r="A26" s="203" t="n">
        <v>46304</v>
      </c>
      <c r="B26" s="193" t="inlineStr">
        <is>
          <t>금</t>
        </is>
      </c>
      <c r="C26" s="164">
        <f>SUM(D26:G26)</f>
        <v/>
      </c>
      <c r="D26" s="218">
        <f>D25+I26-M26+Q26+R26+S26</f>
        <v/>
      </c>
      <c r="E26" s="218">
        <f>E25+J26-Q26</f>
        <v/>
      </c>
      <c r="F26" s="218">
        <f>F25+K26-R26</f>
        <v/>
      </c>
      <c r="G26" s="218">
        <f>G25+L26-S26</f>
        <v/>
      </c>
      <c r="H26" s="175">
        <f>'4주일별계획'!G26+'4주일별계획'!L26</f>
        <v/>
      </c>
      <c r="I26" s="175">
        <f>H26*0.435678</f>
        <v/>
      </c>
      <c r="J26" s="175">
        <f>H26*0.020692</f>
        <v/>
      </c>
      <c r="K26" s="175">
        <f>H26*0.216801</f>
        <v/>
      </c>
      <c r="L26" s="175">
        <f>H26*0.326829</f>
        <v/>
      </c>
      <c r="M26" s="223">
        <f>'4주일별계획'!M26+'4주일별계획'!N26+'4주일별계획'!O26</f>
        <v/>
      </c>
      <c r="N26" s="224">
        <f>Q26</f>
        <v/>
      </c>
      <c r="O26" s="224">
        <f>R26+S26</f>
        <v/>
      </c>
      <c r="P26" s="225">
        <f>IF(D26&lt;-0.5,"전 계좌 소진 — 부족 "&amp;TEXT(-D26,"#,##0")&amp;"원","")</f>
        <v/>
      </c>
      <c r="Q26" s="226">
        <f>MIN(MAX(0,E25+J26),MAX(0,M26-D25-I26))</f>
        <v/>
      </c>
      <c r="R26" s="226">
        <f>MIN(MAX(0,F25+K26),MAX(0,M26-D25-I26)-Q26)</f>
        <v/>
      </c>
      <c r="S26" s="226">
        <f>MIN(MAX(0,G25+L26),MAX(0,M26-D25-I26)-Q26-R26)</f>
        <v/>
      </c>
    </row>
    <row r="27">
      <c r="A27" s="203" t="n">
        <v>46305</v>
      </c>
      <c r="B27" s="193" t="inlineStr">
        <is>
          <t>토</t>
        </is>
      </c>
      <c r="C27" s="164">
        <f>SUM(D27:G27)</f>
        <v/>
      </c>
      <c r="D27" s="218">
        <f>D26+I27-M27+Q27+R27+S27</f>
        <v/>
      </c>
      <c r="E27" s="218">
        <f>E26+J27-Q27</f>
        <v/>
      </c>
      <c r="F27" s="218">
        <f>F26+K27-R27</f>
        <v/>
      </c>
      <c r="G27" s="218">
        <f>G26+L27-S27</f>
        <v/>
      </c>
      <c r="H27" s="175">
        <f>'4주일별계획'!G27+'4주일별계획'!L27</f>
        <v/>
      </c>
      <c r="I27" s="175">
        <f>H27*0.435678</f>
        <v/>
      </c>
      <c r="J27" s="175">
        <f>H27*0.020692</f>
        <v/>
      </c>
      <c r="K27" s="175">
        <f>H27*0.216801</f>
        <v/>
      </c>
      <c r="L27" s="175">
        <f>H27*0.326829</f>
        <v/>
      </c>
      <c r="M27" s="223">
        <f>'4주일별계획'!M27+'4주일별계획'!N27+'4주일별계획'!O27</f>
        <v/>
      </c>
      <c r="N27" s="224">
        <f>Q27</f>
        <v/>
      </c>
      <c r="O27" s="224">
        <f>R27+S27</f>
        <v/>
      </c>
      <c r="P27" s="225">
        <f>IF(D27&lt;-0.5,"전 계좌 소진 — 부족 "&amp;TEXT(-D27,"#,##0")&amp;"원","")</f>
        <v/>
      </c>
      <c r="Q27" s="226">
        <f>MIN(MAX(0,E26+J27),MAX(0,M27-D26-I27))</f>
        <v/>
      </c>
      <c r="R27" s="226">
        <f>MIN(MAX(0,F26+K27),MAX(0,M27-D26-I27)-Q27)</f>
        <v/>
      </c>
      <c r="S27" s="226">
        <f>MIN(MAX(0,G26+L27),MAX(0,M27-D26-I27)-Q27-R27)</f>
        <v/>
      </c>
    </row>
    <row r="28">
      <c r="A28" s="203" t="n">
        <v>46306</v>
      </c>
      <c r="B28" s="193" t="inlineStr">
        <is>
          <t>일</t>
        </is>
      </c>
      <c r="C28" s="164">
        <f>SUM(D28:G28)</f>
        <v/>
      </c>
      <c r="D28" s="218">
        <f>D27+I28-M28+Q28+R28+S28</f>
        <v/>
      </c>
      <c r="E28" s="218">
        <f>E27+J28-Q28</f>
        <v/>
      </c>
      <c r="F28" s="218">
        <f>F27+K28-R28</f>
        <v/>
      </c>
      <c r="G28" s="218">
        <f>G27+L28-S28</f>
        <v/>
      </c>
      <c r="H28" s="175">
        <f>'4주일별계획'!G28+'4주일별계획'!L28</f>
        <v/>
      </c>
      <c r="I28" s="175">
        <f>H28*0.435678</f>
        <v/>
      </c>
      <c r="J28" s="175">
        <f>H28*0.020692</f>
        <v/>
      </c>
      <c r="K28" s="175">
        <f>H28*0.216801</f>
        <v/>
      </c>
      <c r="L28" s="175">
        <f>H28*0.326829</f>
        <v/>
      </c>
      <c r="M28" s="223">
        <f>'4주일별계획'!M28+'4주일별계획'!N28+'4주일별계획'!O28</f>
        <v/>
      </c>
      <c r="N28" s="224">
        <f>Q28</f>
        <v/>
      </c>
      <c r="O28" s="224">
        <f>R28+S28</f>
        <v/>
      </c>
      <c r="P28" s="225">
        <f>IF(D28&lt;-0.5,"전 계좌 소진 — 부족 "&amp;TEXT(-D28,"#,##0")&amp;"원","")</f>
        <v/>
      </c>
      <c r="Q28" s="226">
        <f>MIN(MAX(0,E27+J28),MAX(0,M28-D27-I28))</f>
        <v/>
      </c>
      <c r="R28" s="226">
        <f>MIN(MAX(0,F27+K28),MAX(0,M28-D27-I28)-Q28)</f>
        <v/>
      </c>
      <c r="S28" s="226">
        <f>MIN(MAX(0,G27+L28),MAX(0,M28-D27-I28)-Q28-R28)</f>
        <v/>
      </c>
    </row>
    <row r="29">
      <c r="A29" s="217" t="n">
        <v>46307</v>
      </c>
      <c r="B29" s="204" t="inlineStr">
        <is>
          <t>월</t>
        </is>
      </c>
      <c r="C29" s="164">
        <f>SUM(D29:G29)</f>
        <v/>
      </c>
      <c r="D29" s="218">
        <f>D28+I29-M29+Q29+R29+S29</f>
        <v/>
      </c>
      <c r="E29" s="218">
        <f>E28+J29-Q29</f>
        <v/>
      </c>
      <c r="F29" s="218">
        <f>F28+K29-R29</f>
        <v/>
      </c>
      <c r="G29" s="218">
        <f>G28+L29-S29</f>
        <v/>
      </c>
      <c r="H29" s="175">
        <f>'4주일별계획'!G29+'4주일별계획'!L29</f>
        <v/>
      </c>
      <c r="I29" s="175">
        <f>H29*0.435678</f>
        <v/>
      </c>
      <c r="J29" s="175">
        <f>H29*0.020692</f>
        <v/>
      </c>
      <c r="K29" s="175">
        <f>H29*0.216801</f>
        <v/>
      </c>
      <c r="L29" s="175">
        <f>H29*0.326829</f>
        <v/>
      </c>
      <c r="M29" s="223">
        <f>'4주일별계획'!M29+'4주일별계획'!N29+'4주일별계획'!O29</f>
        <v/>
      </c>
      <c r="N29" s="224">
        <f>Q29</f>
        <v/>
      </c>
      <c r="O29" s="224">
        <f>R29+S29</f>
        <v/>
      </c>
      <c r="P29" s="225">
        <f>IF(D29&lt;-0.5,"전 계좌 소진 — 부족 "&amp;TEXT(-D29,"#,##0")&amp;"원","")</f>
        <v/>
      </c>
      <c r="Q29" s="226">
        <f>MIN(MAX(0,E28+J29),MAX(0,M29-D28-I29))</f>
        <v/>
      </c>
      <c r="R29" s="226">
        <f>MIN(MAX(0,F28+K29),MAX(0,M29-D28-I29)-Q29)</f>
        <v/>
      </c>
      <c r="S29" s="226">
        <f>MIN(MAX(0,G28+L29),MAX(0,M29-D28-I29)-Q29-R29)</f>
        <v/>
      </c>
    </row>
    <row r="30">
      <c r="A30" s="217" t="n">
        <v>46308</v>
      </c>
      <c r="B30" s="204" t="inlineStr">
        <is>
          <t>화</t>
        </is>
      </c>
      <c r="C30" s="164">
        <f>SUM(D30:G30)</f>
        <v/>
      </c>
      <c r="D30" s="218">
        <f>D29+I30-M30+Q30+R30+S30</f>
        <v/>
      </c>
      <c r="E30" s="218">
        <f>E29+J30-Q30</f>
        <v/>
      </c>
      <c r="F30" s="218">
        <f>F29+K30-R30</f>
        <v/>
      </c>
      <c r="G30" s="218">
        <f>G29+L30-S30</f>
        <v/>
      </c>
      <c r="H30" s="175">
        <f>'4주일별계획'!G30+'4주일별계획'!L30</f>
        <v/>
      </c>
      <c r="I30" s="175">
        <f>H30*0.435678</f>
        <v/>
      </c>
      <c r="J30" s="175">
        <f>H30*0.020692</f>
        <v/>
      </c>
      <c r="K30" s="175">
        <f>H30*0.216801</f>
        <v/>
      </c>
      <c r="L30" s="175">
        <f>H30*0.326829</f>
        <v/>
      </c>
      <c r="M30" s="223">
        <f>'4주일별계획'!M30+'4주일별계획'!N30+'4주일별계획'!O30</f>
        <v/>
      </c>
      <c r="N30" s="224">
        <f>Q30</f>
        <v/>
      </c>
      <c r="O30" s="224">
        <f>R30+S30</f>
        <v/>
      </c>
      <c r="P30" s="225">
        <f>IF(D30&lt;-0.5,"전 계좌 소진 — 부족 "&amp;TEXT(-D30,"#,##0")&amp;"원","")</f>
        <v/>
      </c>
      <c r="Q30" s="226">
        <f>MIN(MAX(0,E29+J30),MAX(0,M30-D29-I30))</f>
        <v/>
      </c>
      <c r="R30" s="226">
        <f>MIN(MAX(0,F29+K30),MAX(0,M30-D29-I30)-Q30)</f>
        <v/>
      </c>
      <c r="S30" s="226">
        <f>MIN(MAX(0,G29+L30),MAX(0,M30-D29-I30)-Q30-R30)</f>
        <v/>
      </c>
    </row>
    <row r="31">
      <c r="A31" s="217" t="n">
        <v>46309</v>
      </c>
      <c r="B31" s="204" t="inlineStr">
        <is>
          <t>수</t>
        </is>
      </c>
      <c r="C31" s="164">
        <f>SUM(D31:G31)</f>
        <v/>
      </c>
      <c r="D31" s="218">
        <f>D30+I31-M31+Q31+R31+S31</f>
        <v/>
      </c>
      <c r="E31" s="218">
        <f>E30+J31-Q31</f>
        <v/>
      </c>
      <c r="F31" s="218">
        <f>F30+K31-R31</f>
        <v/>
      </c>
      <c r="G31" s="218">
        <f>G30+L31-S31</f>
        <v/>
      </c>
      <c r="H31" s="175">
        <f>'4주일별계획'!G31+'4주일별계획'!L31</f>
        <v/>
      </c>
      <c r="I31" s="175">
        <f>H31*0.435678</f>
        <v/>
      </c>
      <c r="J31" s="175">
        <f>H31*0.020692</f>
        <v/>
      </c>
      <c r="K31" s="175">
        <f>H31*0.216801</f>
        <v/>
      </c>
      <c r="L31" s="175">
        <f>H31*0.326829</f>
        <v/>
      </c>
      <c r="M31" s="223">
        <f>'4주일별계획'!M31+'4주일별계획'!N31+'4주일별계획'!O31</f>
        <v/>
      </c>
      <c r="N31" s="224">
        <f>Q31</f>
        <v/>
      </c>
      <c r="O31" s="224">
        <f>R31+S31</f>
        <v/>
      </c>
      <c r="P31" s="225">
        <f>IF(D31&lt;-0.5,"전 계좌 소진 — 부족 "&amp;TEXT(-D31,"#,##0")&amp;"원","")</f>
        <v/>
      </c>
      <c r="Q31" s="226">
        <f>MIN(MAX(0,E30+J31),MAX(0,M31-D30-I31))</f>
        <v/>
      </c>
      <c r="R31" s="226">
        <f>MIN(MAX(0,F30+K31),MAX(0,M31-D30-I31)-Q31)</f>
        <v/>
      </c>
      <c r="S31" s="226">
        <f>MIN(MAX(0,G30+L31),MAX(0,M31-D30-I31)-Q31-R31)</f>
        <v/>
      </c>
    </row>
    <row r="32">
      <c r="A32" s="217" t="n">
        <v>46310</v>
      </c>
      <c r="B32" s="204" t="inlineStr">
        <is>
          <t>목</t>
        </is>
      </c>
      <c r="C32" s="164">
        <f>SUM(D32:G32)</f>
        <v/>
      </c>
      <c r="D32" s="218">
        <f>D31+I32-M32+Q32+R32+S32</f>
        <v/>
      </c>
      <c r="E32" s="218">
        <f>E31+J32-Q32</f>
        <v/>
      </c>
      <c r="F32" s="218">
        <f>F31+K32-R32</f>
        <v/>
      </c>
      <c r="G32" s="218">
        <f>G31+L32-S32</f>
        <v/>
      </c>
      <c r="H32" s="175">
        <f>'4주일별계획'!G32+'4주일별계획'!L32</f>
        <v/>
      </c>
      <c r="I32" s="175">
        <f>H32*0.435678</f>
        <v/>
      </c>
      <c r="J32" s="175">
        <f>H32*0.020692</f>
        <v/>
      </c>
      <c r="K32" s="175">
        <f>H32*0.216801</f>
        <v/>
      </c>
      <c r="L32" s="175">
        <f>H32*0.326829</f>
        <v/>
      </c>
      <c r="M32" s="223">
        <f>'4주일별계획'!M32+'4주일별계획'!N32+'4주일별계획'!O32</f>
        <v/>
      </c>
      <c r="N32" s="224">
        <f>Q32</f>
        <v/>
      </c>
      <c r="O32" s="224">
        <f>R32+S32</f>
        <v/>
      </c>
      <c r="P32" s="225">
        <f>IF(D32&lt;-0.5,"전 계좌 소진 — 부족 "&amp;TEXT(-D32,"#,##0")&amp;"원","")</f>
        <v/>
      </c>
      <c r="Q32" s="226">
        <f>MIN(MAX(0,E31+J32),MAX(0,M32-D31-I32))</f>
        <v/>
      </c>
      <c r="R32" s="226">
        <f>MIN(MAX(0,F31+K32),MAX(0,M32-D31-I32)-Q32)</f>
        <v/>
      </c>
      <c r="S32" s="226">
        <f>MIN(MAX(0,G31+L32),MAX(0,M32-D31-I32)-Q32-R32)</f>
        <v/>
      </c>
    </row>
    <row r="33">
      <c r="A33" s="217" t="n">
        <v>46311</v>
      </c>
      <c r="B33" s="204" t="inlineStr">
        <is>
          <t>금</t>
        </is>
      </c>
      <c r="C33" s="164">
        <f>SUM(D33:G33)</f>
        <v/>
      </c>
      <c r="D33" s="218">
        <f>D32+I33-M33+Q33+R33+S33</f>
        <v/>
      </c>
      <c r="E33" s="218">
        <f>E32+J33-Q33</f>
        <v/>
      </c>
      <c r="F33" s="218">
        <f>F32+K33-R33</f>
        <v/>
      </c>
      <c r="G33" s="218">
        <f>G32+L33-S33</f>
        <v/>
      </c>
      <c r="H33" s="175">
        <f>'4주일별계획'!G33+'4주일별계획'!L33</f>
        <v/>
      </c>
      <c r="I33" s="175">
        <f>H33*0.435678</f>
        <v/>
      </c>
      <c r="J33" s="175">
        <f>H33*0.020692</f>
        <v/>
      </c>
      <c r="K33" s="175">
        <f>H33*0.216801</f>
        <v/>
      </c>
      <c r="L33" s="175">
        <f>H33*0.326829</f>
        <v/>
      </c>
      <c r="M33" s="223">
        <f>'4주일별계획'!M33+'4주일별계획'!N33+'4주일별계획'!O33</f>
        <v/>
      </c>
      <c r="N33" s="224">
        <f>Q33</f>
        <v/>
      </c>
      <c r="O33" s="224">
        <f>R33+S33</f>
        <v/>
      </c>
      <c r="P33" s="225">
        <f>IF(D33&lt;-0.5,"전 계좌 소진 — 부족 "&amp;TEXT(-D33,"#,##0")&amp;"원","")</f>
        <v/>
      </c>
      <c r="Q33" s="226">
        <f>MIN(MAX(0,E32+J33),MAX(0,M33-D32-I33))</f>
        <v/>
      </c>
      <c r="R33" s="226">
        <f>MIN(MAX(0,F32+K33),MAX(0,M33-D32-I33)-Q33)</f>
        <v/>
      </c>
      <c r="S33" s="226">
        <f>MIN(MAX(0,G32+L33),MAX(0,M33-D32-I33)-Q33-R33)</f>
        <v/>
      </c>
    </row>
    <row r="34">
      <c r="A34" s="203" t="n">
        <v>46312</v>
      </c>
      <c r="B34" s="193" t="inlineStr">
        <is>
          <t>토</t>
        </is>
      </c>
      <c r="C34" s="164">
        <f>SUM(D34:G34)</f>
        <v/>
      </c>
      <c r="D34" s="218">
        <f>D33+I34-M34+Q34+R34+S34</f>
        <v/>
      </c>
      <c r="E34" s="218">
        <f>E33+J34-Q34</f>
        <v/>
      </c>
      <c r="F34" s="218">
        <f>F33+K34-R34</f>
        <v/>
      </c>
      <c r="G34" s="218">
        <f>G33+L34-S34</f>
        <v/>
      </c>
      <c r="H34" s="175">
        <f>'4주일별계획'!G34+'4주일별계획'!L34</f>
        <v/>
      </c>
      <c r="I34" s="175">
        <f>H34*0.435678</f>
        <v/>
      </c>
      <c r="J34" s="175">
        <f>H34*0.020692</f>
        <v/>
      </c>
      <c r="K34" s="175">
        <f>H34*0.216801</f>
        <v/>
      </c>
      <c r="L34" s="175">
        <f>H34*0.326829</f>
        <v/>
      </c>
      <c r="M34" s="223">
        <f>'4주일별계획'!M34+'4주일별계획'!N34+'4주일별계획'!O34</f>
        <v/>
      </c>
      <c r="N34" s="224">
        <f>Q34</f>
        <v/>
      </c>
      <c r="O34" s="224">
        <f>R34+S34</f>
        <v/>
      </c>
      <c r="P34" s="225">
        <f>IF(D34&lt;-0.5,"전 계좌 소진 — 부족 "&amp;TEXT(-D34,"#,##0")&amp;"원","")</f>
        <v/>
      </c>
      <c r="Q34" s="226">
        <f>MIN(MAX(0,E33+J34),MAX(0,M34-D33-I34))</f>
        <v/>
      </c>
      <c r="R34" s="226">
        <f>MIN(MAX(0,F33+K34),MAX(0,M34-D33-I34)-Q34)</f>
        <v/>
      </c>
      <c r="S34" s="226">
        <f>MIN(MAX(0,G33+L34),MAX(0,M34-D33-I34)-Q34-R34)</f>
        <v/>
      </c>
    </row>
    <row r="35">
      <c r="A35" s="203" t="n">
        <v>46313</v>
      </c>
      <c r="B35" s="193" t="inlineStr">
        <is>
          <t>일</t>
        </is>
      </c>
      <c r="C35" s="164">
        <f>SUM(D35:G35)</f>
        <v/>
      </c>
      <c r="D35" s="218">
        <f>D34+I35-M35+Q35+R35+S35</f>
        <v/>
      </c>
      <c r="E35" s="218">
        <f>E34+J35-Q35</f>
        <v/>
      </c>
      <c r="F35" s="218">
        <f>F34+K35-R35</f>
        <v/>
      </c>
      <c r="G35" s="218">
        <f>G34+L35-S35</f>
        <v/>
      </c>
      <c r="H35" s="175">
        <f>'4주일별계획'!G35+'4주일별계획'!L35</f>
        <v/>
      </c>
      <c r="I35" s="175">
        <f>H35*0.435678</f>
        <v/>
      </c>
      <c r="J35" s="175">
        <f>H35*0.020692</f>
        <v/>
      </c>
      <c r="K35" s="175">
        <f>H35*0.216801</f>
        <v/>
      </c>
      <c r="L35" s="175">
        <f>H35*0.326829</f>
        <v/>
      </c>
      <c r="M35" s="223">
        <f>'4주일별계획'!M35+'4주일별계획'!N35+'4주일별계획'!O35</f>
        <v/>
      </c>
      <c r="N35" s="224">
        <f>Q35</f>
        <v/>
      </c>
      <c r="O35" s="224">
        <f>R35+S35</f>
        <v/>
      </c>
      <c r="P35" s="225">
        <f>IF(D35&lt;-0.5,"전 계좌 소진 — 부족 "&amp;TEXT(-D35,"#,##0")&amp;"원","")</f>
        <v/>
      </c>
      <c r="Q35" s="226">
        <f>MIN(MAX(0,E34+J35),MAX(0,M35-D34-I35))</f>
        <v/>
      </c>
      <c r="R35" s="226">
        <f>MIN(MAX(0,F34+K35),MAX(0,M35-D34-I35)-Q35)</f>
        <v/>
      </c>
      <c r="S35" s="226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7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7" t="n">
        <v>46290</v>
      </c>
      <c r="F21" s="227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7" t="n">
        <v>46290</v>
      </c>
      <c r="F22" s="227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8" t="n">
        <v>46283</v>
      </c>
      <c r="B6" s="229" t="inlineStr">
        <is>
          <t>금</t>
        </is>
      </c>
      <c r="C6" s="229" t="inlineStr">
        <is>
          <t>팀 지출계획</t>
        </is>
      </c>
      <c r="D6" s="229" t="inlineStr">
        <is>
          <t>미반영(별도 관리)</t>
        </is>
      </c>
      <c r="E6" s="229" t="inlineStr">
        <is>
          <t>경영지원팀</t>
        </is>
      </c>
      <c r="F6" s="229" t="inlineStr">
        <is>
          <t>이앤씨이노비즈타워</t>
        </is>
      </c>
      <c r="G6" s="229" t="inlineStr">
        <is>
          <t>본사관리비</t>
        </is>
      </c>
      <c r="H6" s="230" t="n">
        <v>1553720</v>
      </c>
      <c r="I6" s="229" t="inlineStr">
        <is>
          <t>계좌송금</t>
        </is>
      </c>
      <c r="J6" s="229" t="inlineStr">
        <is>
          <t>에이팜</t>
        </is>
      </c>
    </row>
    <row r="7">
      <c r="A7" s="228" t="n">
        <v>46288</v>
      </c>
      <c r="B7" s="229" t="inlineStr">
        <is>
          <t>수</t>
        </is>
      </c>
      <c r="C7" s="229" t="inlineStr">
        <is>
          <t>팀 지출계획</t>
        </is>
      </c>
      <c r="D7" s="229" t="inlineStr">
        <is>
          <t>미반영(별도 관리)</t>
        </is>
      </c>
      <c r="E7" s="229" t="inlineStr">
        <is>
          <t>경영지원팀</t>
        </is>
      </c>
      <c r="F7" s="229" t="inlineStr">
        <is>
          <t>비씨카드</t>
        </is>
      </c>
      <c r="G7" s="229" t="inlineStr">
        <is>
          <t>8월카드대금</t>
        </is>
      </c>
      <c r="H7" s="230" t="n">
        <v>269810</v>
      </c>
      <c r="I7" s="229" t="inlineStr">
        <is>
          <t>계좌송금</t>
        </is>
      </c>
      <c r="J7" s="229" t="inlineStr">
        <is>
          <t>에이팜</t>
        </is>
      </c>
    </row>
    <row r="8">
      <c r="A8" s="228" t="n">
        <v>46295</v>
      </c>
      <c r="B8" s="229" t="inlineStr">
        <is>
          <t>수</t>
        </is>
      </c>
      <c r="C8" s="229" t="inlineStr">
        <is>
          <t>팀 지출계획</t>
        </is>
      </c>
      <c r="D8" s="229" t="inlineStr">
        <is>
          <t>미반영(별도 관리)</t>
        </is>
      </c>
      <c r="E8" s="229" t="inlineStr">
        <is>
          <t>경영지원팀</t>
        </is>
      </c>
      <c r="F8" s="229" t="inlineStr">
        <is>
          <t>서원회계법인</t>
        </is>
      </c>
      <c r="G8" s="229" t="inlineStr">
        <is>
          <t>기장료</t>
        </is>
      </c>
      <c r="H8" s="230" t="n">
        <v>330000</v>
      </c>
      <c r="I8" s="229" t="inlineStr">
        <is>
          <t>계좌송금</t>
        </is>
      </c>
      <c r="J8" s="229" t="inlineStr">
        <is>
          <t>에이팜</t>
        </is>
      </c>
    </row>
    <row r="9">
      <c r="A9" s="228" t="n">
        <v>46295</v>
      </c>
      <c r="B9" s="229" t="inlineStr">
        <is>
          <t>수</t>
        </is>
      </c>
      <c r="C9" s="229" t="inlineStr">
        <is>
          <t>팀 지출계획</t>
        </is>
      </c>
      <c r="D9" s="229" t="inlineStr">
        <is>
          <t>미반영(별도 관리)</t>
        </is>
      </c>
      <c r="E9" s="229" t="inlineStr">
        <is>
          <t>경영지원팀</t>
        </is>
      </c>
      <c r="F9" s="229" t="inlineStr">
        <is>
          <t>가가사무기</t>
        </is>
      </c>
      <c r="G9" s="229" t="inlineStr">
        <is>
          <t>복합기 9월 임대비용</t>
        </is>
      </c>
      <c r="H9" s="230" t="n">
        <v>280000</v>
      </c>
      <c r="I9" s="229" t="inlineStr">
        <is>
          <t>계좌송금</t>
        </is>
      </c>
      <c r="J9" s="229" t="inlineStr">
        <is>
          <t>에이팜</t>
        </is>
      </c>
    </row>
    <row r="10">
      <c r="A10" s="228" t="n">
        <v>46295</v>
      </c>
      <c r="B10" s="229" t="inlineStr">
        <is>
          <t>수</t>
        </is>
      </c>
      <c r="C10" s="229" t="inlineStr">
        <is>
          <t>팀 지출계획</t>
        </is>
      </c>
      <c r="D10" s="229" t="inlineStr">
        <is>
          <t>미반영(별도 관리)</t>
        </is>
      </c>
      <c r="E10" s="229" t="inlineStr">
        <is>
          <t>경영지원팀</t>
        </is>
      </c>
      <c r="F10" s="229" t="inlineStr">
        <is>
          <t>대구상공회의소</t>
        </is>
      </c>
      <c r="G10" s="229" t="inlineStr">
        <is>
          <t>하반기연회비</t>
        </is>
      </c>
      <c r="H10" s="230" t="n">
        <v>250000</v>
      </c>
      <c r="I10" s="229" t="inlineStr">
        <is>
          <t>계좌송금</t>
        </is>
      </c>
      <c r="J10" s="229" t="inlineStr">
        <is>
          <t>에이팜</t>
        </is>
      </c>
    </row>
    <row r="11">
      <c r="G11" s="231" t="inlineStr">
        <is>
          <t>합계(자금계획 미반영)</t>
        </is>
      </c>
      <c r="H11" s="23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3" t="n">
        <v>46186.07862268519</v>
      </c>
      <c r="B36" s="234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3" t="n">
        <v>46284.39604166667</v>
      </c>
      <c r="B109" s="234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3" t="n">
        <v>46285.82394675926</v>
      </c>
      <c r="B110" s="234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-2178000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-330000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2026-09-22T00:09:06Z</dcterms:modified>
</cp:coreProperties>
</file>