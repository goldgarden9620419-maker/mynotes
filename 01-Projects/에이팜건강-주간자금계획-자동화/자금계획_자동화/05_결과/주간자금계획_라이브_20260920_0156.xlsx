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'지출계획_취합'!$A$5:$Q$25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8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color rgb="00C00000"/>
      <sz val="9"/>
    </font>
    <font>
      <name val="맑은 고딕"/>
      <color rgb="00C00000"/>
      <sz val="10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9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165" fontId="14" fillId="6" borderId="25" applyAlignment="1" pivotButton="0" quotePrefix="0" xfId="0">
      <alignment vertical="center"/>
    </xf>
    <xf numFmtId="0" fontId="14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165" fontId="14" fillId="6" borderId="29" applyAlignment="1" pivotButton="0" quotePrefix="0" xfId="0">
      <alignment vertical="center"/>
    </xf>
    <xf numFmtId="0" fontId="14" fillId="6" borderId="22" applyAlignment="1" pivotButton="0" quotePrefix="0" xfId="0">
      <alignment vertical="center"/>
    </xf>
    <xf numFmtId="3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5" fillId="0" borderId="0" pivotButton="0" quotePrefix="0" xfId="0"/>
    <xf numFmtId="165" fontId="16" fillId="0" borderId="0" pivotButton="0" quotePrefix="0" xfId="0"/>
    <xf numFmtId="0" fontId="16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7" fillId="0" borderId="0" pivotButton="0" quotePrefix="0" xfId="0"/>
    <xf numFmtId="3" fontId="17" fillId="0" borderId="0" pivotButton="0" quotePrefix="0" xfId="0"/>
    <xf numFmtId="166" fontId="16" fillId="0" borderId="13" applyAlignment="1" pivotButton="0" quotePrefix="0" xfId="0">
      <alignment vertical="center"/>
    </xf>
    <xf numFmtId="165" fontId="16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 hidden="1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 hidden="1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 hidden="1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 hidden="1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 hidden="1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0" t="n"/>
      <c r="L11" s="2" t="n"/>
      <c r="M11" s="2" t="n"/>
      <c r="N11" s="2" t="n"/>
      <c r="O11" s="2" t="n"/>
      <c r="P11" s="2" t="n"/>
    </row>
    <row r="12">
      <c r="A12" s="163" t="n">
        <v>46285</v>
      </c>
      <c r="B12" s="164" t="inlineStr">
        <is>
          <t>일</t>
        </is>
      </c>
      <c r="C12" s="165">
        <f>INDEX('설정및분류'!$C$6:$C$12,WEEKDAY(A12,2))*'요약'!$B$13</f>
        <v/>
      </c>
      <c r="D12" s="166" t="n"/>
      <c r="E12" s="166" t="n"/>
      <c r="F12" s="166" t="n"/>
      <c r="G12" s="166" t="n"/>
      <c r="H12" s="167">
        <f>C12+D12-E12-F12-G12</f>
        <v/>
      </c>
      <c r="I12" s="167">
        <f>J11</f>
        <v/>
      </c>
      <c r="J12" s="167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70" t="inlineStr">
        <is>
          <t>메트라이프 4,900,000, 네이버SA&amp;GFA 3,498,000, 인포크비즈니스 3,300,000, 트라이앵글하모니 1,996,000, SK브로드밴드 220,000</t>
        </is>
      </c>
      <c r="L13" s="2" t="n"/>
      <c r="M13" s="2" t="n"/>
      <c r="N13" s="2" t="n"/>
      <c r="O13" s="2" t="n"/>
      <c r="P13" s="2" t="n"/>
    </row>
    <row r="14">
      <c r="A14" s="16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70" t="inlineStr">
        <is>
          <t>엠에스바이오텍 20,000,000, 와이투홀딩스 1,023,110, 네이버 500,000</t>
        </is>
      </c>
      <c r="L14" s="2" t="n"/>
      <c r="M14" s="2" t="n"/>
      <c r="N14" s="2" t="n"/>
      <c r="O14" s="2" t="n"/>
      <c r="P14" s="2" t="n"/>
    </row>
    <row r="15">
      <c r="A15" s="16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70" t="inlineStr">
        <is>
          <t>우리카드 25,346,349, 네이버SA&amp;GFA 8,305,000, 농협카드 6,827,883, 써치엠 1,487,786, ADN 550,000</t>
        </is>
      </c>
      <c r="L15" s="2" t="n"/>
      <c r="M15" s="2" t="n"/>
      <c r="N15" s="2" t="n"/>
      <c r="O15" s="2" t="n"/>
      <c r="P15" s="2" t="n"/>
    </row>
    <row r="16">
      <c r="A16" s="171" t="n">
        <v>46289</v>
      </c>
      <c r="B16" s="162" t="inlineStr">
        <is>
          <t>목</t>
        </is>
      </c>
      <c r="C16" s="159" t="n">
        <v>0</v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70" t="n"/>
      <c r="L16" s="2" t="n"/>
      <c r="M16" s="2" t="n"/>
      <c r="N16" s="2" t="n"/>
      <c r="O16" s="2" t="n"/>
      <c r="P16" s="2" t="n"/>
    </row>
    <row r="17">
      <c r="A17" s="172" t="n">
        <v>46290</v>
      </c>
      <c r="B17" s="173" t="inlineStr">
        <is>
          <t>금</t>
        </is>
      </c>
      <c r="C17" s="174" t="n">
        <v>0</v>
      </c>
      <c r="D17" s="175" t="n"/>
      <c r="E17" s="175" t="n"/>
      <c r="F17" s="175" t="n"/>
      <c r="G17" s="175" t="n">
        <v>2606450</v>
      </c>
      <c r="H17" s="176">
        <f>C17+D17-E17-F17-G17</f>
        <v/>
      </c>
      <c r="I17" s="176">
        <f>J16</f>
        <v/>
      </c>
      <c r="J17" s="176">
        <f>I17+H17</f>
        <v/>
      </c>
      <c r="K17" s="177" t="inlineStr">
        <is>
          <t>메트라이프 2,497,000, KT 109,450</t>
        </is>
      </c>
      <c r="L17" s="2" t="n"/>
      <c r="M17" s="2" t="n"/>
      <c r="N17" s="2" t="n"/>
      <c r="O17" s="2" t="n"/>
      <c r="P17" s="2" t="n"/>
    </row>
    <row r="18">
      <c r="A18" s="161" t="n">
        <v>46291</v>
      </c>
      <c r="B18" s="162" t="inlineStr">
        <is>
          <t>토</t>
        </is>
      </c>
      <c r="C18" s="159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61" t="n">
        <v>46292</v>
      </c>
      <c r="B19" s="162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61" t="n">
        <v>46298</v>
      </c>
      <c r="B25" s="162" t="inlineStr">
        <is>
          <t>토</t>
        </is>
      </c>
      <c r="C25" s="159" t="n">
        <v>0</v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61" t="n">
        <v>46299</v>
      </c>
      <c r="B26" s="162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61" t="n">
        <v>46300</v>
      </c>
      <c r="B27" s="162" t="inlineStr">
        <is>
          <t>월</t>
        </is>
      </c>
      <c r="C27" s="159" t="n">
        <v>0</v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61" t="n">
        <v>46304</v>
      </c>
      <c r="B31" s="162" t="inlineStr">
        <is>
          <t>금</t>
        </is>
      </c>
      <c r="C31" s="159" t="n">
        <v>0</v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61" t="n">
        <v>46305</v>
      </c>
      <c r="B32" s="162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78" t="n">
        <v>46306</v>
      </c>
      <c r="B33" s="179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80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81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82" t="inlineStr">
        <is>
          <t>실적 구간</t>
        </is>
      </c>
    </row>
    <row r="7">
      <c r="A7" s="181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82" t="inlineStr">
        <is>
          <t>실적 구간</t>
        </is>
      </c>
    </row>
    <row r="8">
      <c r="A8" s="181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82" t="inlineStr">
        <is>
          <t>실적 구간</t>
        </is>
      </c>
    </row>
    <row r="9">
      <c r="A9" s="181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82" t="inlineStr">
        <is>
          <t>실적 구간</t>
        </is>
      </c>
    </row>
    <row r="10">
      <c r="A10" s="181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82" t="inlineStr">
        <is>
          <t>실적 구간</t>
        </is>
      </c>
    </row>
    <row r="11">
      <c r="A11" s="183" t="n">
        <v>46284</v>
      </c>
      <c r="B11" s="184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83" t="n">
        <v>46285</v>
      </c>
      <c r="B12" s="184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81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81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81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315568</v>
      </c>
      <c r="I15" s="144" t="n">
        <v>35922406</v>
      </c>
      <c r="J15" s="140" t="n"/>
    </row>
    <row r="16">
      <c r="A16" s="183" t="n">
        <v>46289</v>
      </c>
      <c r="B16" s="184" t="inlineStr">
        <is>
          <t>목</t>
        </is>
      </c>
      <c r="C16" s="144" t="n">
        <v>0</v>
      </c>
      <c r="D16" s="144" t="n">
        <v>0</v>
      </c>
      <c r="E16" s="144" t="n">
        <v>65059090</v>
      </c>
      <c r="F16" s="144" t="n">
        <v>31306367</v>
      </c>
      <c r="G16" s="144" t="n">
        <v>96365457</v>
      </c>
      <c r="H16" s="144" t="n"/>
      <c r="I16" s="144" t="n"/>
      <c r="J16" s="140" t="n"/>
    </row>
    <row r="17">
      <c r="A17" s="183" t="n">
        <v>46290</v>
      </c>
      <c r="B17" s="184" t="inlineStr">
        <is>
          <t>금</t>
        </is>
      </c>
      <c r="C17" s="144" t="n">
        <v>0</v>
      </c>
      <c r="D17" s="144" t="n">
        <v>0</v>
      </c>
      <c r="E17" s="144" t="n">
        <v>62452640</v>
      </c>
      <c r="F17" s="144" t="n">
        <v>31306367</v>
      </c>
      <c r="G17" s="144" t="n">
        <v>93759007</v>
      </c>
      <c r="H17" s="144" t="n"/>
      <c r="I17" s="144" t="n">
        <v>2606450</v>
      </c>
      <c r="J17" s="140" t="n"/>
    </row>
    <row r="18">
      <c r="A18" s="183" t="n">
        <v>46291</v>
      </c>
      <c r="B18" s="184" t="inlineStr">
        <is>
          <t>토</t>
        </is>
      </c>
      <c r="C18" s="144" t="n">
        <v>0</v>
      </c>
      <c r="D18" s="144" t="n">
        <v>0</v>
      </c>
      <c r="E18" s="144" t="n">
        <v>62452640</v>
      </c>
      <c r="F18" s="144" t="n">
        <v>31306367</v>
      </c>
      <c r="G18" s="144" t="n">
        <v>93759007</v>
      </c>
      <c r="H18" s="144" t="n"/>
      <c r="I18" s="144" t="n"/>
      <c r="J18" s="140" t="n"/>
    </row>
    <row r="19">
      <c r="A19" s="183" t="n">
        <v>46292</v>
      </c>
      <c r="B19" s="184" t="inlineStr">
        <is>
          <t>일</t>
        </is>
      </c>
      <c r="C19" s="144" t="n">
        <v>0</v>
      </c>
      <c r="D19" s="144" t="n">
        <v>0</v>
      </c>
      <c r="E19" s="144" t="n">
        <v>62452640</v>
      </c>
      <c r="F19" s="144" t="n">
        <v>31306367</v>
      </c>
      <c r="G19" s="144" t="n">
        <v>93759007</v>
      </c>
      <c r="H19" s="144" t="n"/>
      <c r="I19" s="144" t="n"/>
      <c r="J19" s="140" t="n"/>
    </row>
    <row r="20">
      <c r="A20" s="181" t="n">
        <v>46293</v>
      </c>
      <c r="B20" t="inlineStr">
        <is>
          <t>월</t>
        </is>
      </c>
      <c r="C20" s="144" t="n">
        <v>4533648</v>
      </c>
      <c r="D20" s="144" t="n">
        <v>227849</v>
      </c>
      <c r="E20" s="144" t="n">
        <v>64182456</v>
      </c>
      <c r="F20" s="144" t="n">
        <v>33843745</v>
      </c>
      <c r="G20" s="144" t="n">
        <v>102787698</v>
      </c>
      <c r="H20" s="144" t="n"/>
      <c r="I20" s="144" t="n"/>
      <c r="J20" s="140" t="n"/>
    </row>
    <row r="21">
      <c r="A21" s="181" t="n">
        <v>46294</v>
      </c>
      <c r="B21" t="inlineStr">
        <is>
          <t>화</t>
        </is>
      </c>
      <c r="C21" s="144" t="n">
        <v>13658199</v>
      </c>
      <c r="D21" s="144" t="n">
        <v>686426</v>
      </c>
      <c r="E21" s="144" t="n">
        <v>67663934</v>
      </c>
      <c r="F21" s="144" t="n">
        <v>38950545</v>
      </c>
      <c r="G21" s="144" t="n">
        <v>120959104</v>
      </c>
      <c r="H21" s="144" t="n"/>
      <c r="I21" s="144" t="n"/>
      <c r="J21" s="140" t="n"/>
    </row>
    <row r="22">
      <c r="A22" s="181" t="n">
        <v>46295</v>
      </c>
      <c r="B22" t="inlineStr">
        <is>
          <t>수</t>
        </is>
      </c>
      <c r="C22" s="144" t="n">
        <v>24969602</v>
      </c>
      <c r="D22" s="144" t="n">
        <v>1254907</v>
      </c>
      <c r="E22" s="144" t="n">
        <v>71979807</v>
      </c>
      <c r="F22" s="144" t="n">
        <v>45281275</v>
      </c>
      <c r="G22" s="144" t="n">
        <v>143485592</v>
      </c>
      <c r="H22" s="144" t="n"/>
      <c r="I22" s="144" t="n"/>
      <c r="J22" s="140" t="n"/>
    </row>
    <row r="23">
      <c r="A23" s="181" t="n">
        <v>46296</v>
      </c>
      <c r="B23" t="inlineStr">
        <is>
          <t>목</t>
        </is>
      </c>
      <c r="C23" s="144" t="n">
        <v>30829059</v>
      </c>
      <c r="D23" s="144" t="n">
        <v>1549389</v>
      </c>
      <c r="E23" s="144" t="n">
        <v>74215487</v>
      </c>
      <c r="F23" s="144" t="n">
        <v>48560678</v>
      </c>
      <c r="G23" s="144" t="n">
        <v>155154613</v>
      </c>
      <c r="H23" s="144" t="n"/>
      <c r="I23" s="144" t="n"/>
      <c r="J23" s="140" t="n"/>
    </row>
    <row r="24">
      <c r="A24" s="181" t="n">
        <v>46297</v>
      </c>
      <c r="B24" t="inlineStr">
        <is>
          <t>금</t>
        </is>
      </c>
      <c r="C24" s="144" t="n">
        <v>35192863</v>
      </c>
      <c r="D24" s="144" t="n">
        <v>1768702</v>
      </c>
      <c r="E24" s="144" t="n">
        <v>75880499</v>
      </c>
      <c r="F24" s="144" t="n">
        <v>51002998</v>
      </c>
      <c r="G24" s="144" t="n">
        <v>163845061</v>
      </c>
      <c r="H24" s="144" t="n"/>
      <c r="I24" s="144" t="n"/>
      <c r="J24" s="140" t="n"/>
    </row>
    <row r="25">
      <c r="A25" s="183" t="n">
        <v>46298</v>
      </c>
      <c r="B25" s="184" t="inlineStr">
        <is>
          <t>토</t>
        </is>
      </c>
      <c r="C25" s="144" t="n">
        <v>35192863</v>
      </c>
      <c r="D25" s="144" t="n">
        <v>1768702</v>
      </c>
      <c r="E25" s="144" t="n">
        <v>75880499</v>
      </c>
      <c r="F25" s="144" t="n">
        <v>51002998</v>
      </c>
      <c r="G25" s="144" t="n">
        <v>163845061</v>
      </c>
      <c r="H25" s="144" t="n"/>
      <c r="I25" s="144" t="n"/>
      <c r="J25" s="140" t="n"/>
    </row>
    <row r="26">
      <c r="A26" s="183" t="n">
        <v>46299</v>
      </c>
      <c r="B26" s="184" t="inlineStr">
        <is>
          <t>일</t>
        </is>
      </c>
      <c r="C26" s="144" t="n">
        <v>35192863</v>
      </c>
      <c r="D26" s="144" t="n">
        <v>1768702</v>
      </c>
      <c r="E26" s="144" t="n">
        <v>75880499</v>
      </c>
      <c r="F26" s="144" t="n">
        <v>51002998</v>
      </c>
      <c r="G26" s="144" t="n">
        <v>163845061</v>
      </c>
      <c r="H26" s="144" t="n"/>
      <c r="I26" s="144" t="n"/>
      <c r="J26" s="140" t="n"/>
    </row>
    <row r="27">
      <c r="A27" s="183" t="n">
        <v>46300</v>
      </c>
      <c r="B27" s="184" t="inlineStr">
        <is>
          <t>월</t>
        </is>
      </c>
      <c r="C27" s="144" t="n">
        <v>35192863</v>
      </c>
      <c r="D27" s="144" t="n">
        <v>1768702</v>
      </c>
      <c r="E27" s="144" t="n">
        <v>75880499</v>
      </c>
      <c r="F27" s="144" t="n">
        <v>51002998</v>
      </c>
      <c r="G27" s="144" t="n">
        <v>163845061</v>
      </c>
      <c r="H27" s="144" t="n"/>
      <c r="I27" s="144" t="n"/>
      <c r="J27" s="140" t="n"/>
    </row>
    <row r="28">
      <c r="A28" s="181" t="n">
        <v>46301</v>
      </c>
      <c r="B28" t="inlineStr">
        <is>
          <t>화</t>
        </is>
      </c>
      <c r="C28" s="144" t="n">
        <v>44317414</v>
      </c>
      <c r="D28" s="144" t="n">
        <v>2227278</v>
      </c>
      <c r="E28" s="144" t="n">
        <v>79361977</v>
      </c>
      <c r="F28" s="144" t="n">
        <v>56109798</v>
      </c>
      <c r="G28" s="144" t="n">
        <v>182016467</v>
      </c>
      <c r="H28" s="144" t="n"/>
      <c r="I28" s="144" t="n"/>
      <c r="J28" s="140" t="n"/>
    </row>
    <row r="29">
      <c r="A29" s="181" t="n">
        <v>46302</v>
      </c>
      <c r="B29" t="inlineStr">
        <is>
          <t>수</t>
        </is>
      </c>
      <c r="C29" s="144" t="n">
        <v>50596457</v>
      </c>
      <c r="D29" s="144" t="n">
        <v>2542847</v>
      </c>
      <c r="E29" s="144" t="n">
        <v>81757750</v>
      </c>
      <c r="F29" s="144" t="n">
        <v>59624033</v>
      </c>
      <c r="G29" s="144" t="n">
        <v>194521088</v>
      </c>
      <c r="H29" s="144" t="n"/>
      <c r="I29" s="144" t="n"/>
      <c r="J29" s="140" t="n"/>
    </row>
    <row r="30">
      <c r="A30" s="181" t="n">
        <v>46303</v>
      </c>
      <c r="B30" t="inlineStr">
        <is>
          <t>목</t>
        </is>
      </c>
      <c r="C30" s="144" t="n">
        <v>56455915</v>
      </c>
      <c r="D30" s="144" t="n">
        <v>2837328</v>
      </c>
      <c r="E30" s="144" t="n">
        <v>83993430</v>
      </c>
      <c r="F30" s="144" t="n">
        <v>62903436</v>
      </c>
      <c r="G30" s="144" t="n">
        <v>206190109</v>
      </c>
      <c r="H30" s="144" t="n"/>
      <c r="I30" s="144" t="n"/>
      <c r="J30" s="140" t="n"/>
    </row>
    <row r="31">
      <c r="A31" s="183" t="n">
        <v>46304</v>
      </c>
      <c r="B31" s="184" t="inlineStr">
        <is>
          <t>금</t>
        </is>
      </c>
      <c r="C31" s="144" t="n">
        <v>56455915</v>
      </c>
      <c r="D31" s="144" t="n">
        <v>2837328</v>
      </c>
      <c r="E31" s="144" t="n">
        <v>83993430</v>
      </c>
      <c r="F31" s="144" t="n">
        <v>62903436</v>
      </c>
      <c r="G31" s="144" t="n">
        <v>206190109</v>
      </c>
      <c r="H31" s="144" t="n"/>
      <c r="I31" s="144" t="n"/>
      <c r="J31" s="140" t="n"/>
    </row>
    <row r="32">
      <c r="A32" s="183" t="n">
        <v>46305</v>
      </c>
      <c r="B32" s="184" t="inlineStr">
        <is>
          <t>토</t>
        </is>
      </c>
      <c r="C32" s="144" t="n">
        <v>56455915</v>
      </c>
      <c r="D32" s="144" t="n">
        <v>2837328</v>
      </c>
      <c r="E32" s="144" t="n">
        <v>83993430</v>
      </c>
      <c r="F32" s="144" t="n">
        <v>62903436</v>
      </c>
      <c r="G32" s="144" t="n">
        <v>206190109</v>
      </c>
      <c r="H32" s="144" t="n"/>
      <c r="I32" s="144" t="n"/>
      <c r="J32" s="140" t="n"/>
    </row>
    <row r="33">
      <c r="A33" s="183" t="n">
        <v>46306</v>
      </c>
      <c r="B33" s="184" t="inlineStr">
        <is>
          <t>일</t>
        </is>
      </c>
      <c r="C33" s="144" t="n">
        <v>56455915</v>
      </c>
      <c r="D33" s="144" t="n">
        <v>2837328</v>
      </c>
      <c r="E33" s="144" t="n">
        <v>83993430</v>
      </c>
      <c r="F33" s="144" t="n">
        <v>62903436</v>
      </c>
      <c r="G33" s="144" t="n">
        <v>206190109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38424640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7864831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73310994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34494000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/>
      <c r="G14" s="131" t="n">
        <v>84282325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>
        <v>139091</v>
      </c>
      <c r="G15" s="131" t="n">
        <v>5046740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7978464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103197361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88776325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경영-20260918-015</t>
        </is>
      </c>
      <c r="B14" s="142" t="inlineStr">
        <is>
          <t>경영지원팀</t>
        </is>
      </c>
      <c r="C14" s="142" t="inlineStr">
        <is>
          <t>김정원</t>
        </is>
      </c>
      <c r="D14" s="142" t="inlineStr"/>
      <c r="E14" s="143" t="n">
        <v>46287</v>
      </c>
      <c r="F14" s="143" t="n">
        <v>46287</v>
      </c>
      <c r="G14" s="142" t="inlineStr">
        <is>
          <t>엠에스바이오텍</t>
        </is>
      </c>
      <c r="H14" s="142" t="inlineStr">
        <is>
          <t>외상매입금</t>
        </is>
      </c>
      <c r="I14" s="144" t="n">
        <v>20000000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83" t="n">
        <v>46284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지출계획_2026-09-19.xlsx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183" t="n">
        <v>46290</v>
      </c>
      <c r="F21" s="183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83" t="n">
        <v>46290</v>
      </c>
      <c r="F22" s="183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85" t="n">
        <v>46283</v>
      </c>
      <c r="B6" s="186" t="inlineStr">
        <is>
          <t>금</t>
        </is>
      </c>
      <c r="C6" s="186" t="inlineStr">
        <is>
          <t>팀 지출계획</t>
        </is>
      </c>
      <c r="D6" s="186" t="inlineStr">
        <is>
          <t>미반영(별도 관리)</t>
        </is>
      </c>
      <c r="E6" s="186" t="inlineStr">
        <is>
          <t>경영지원팀</t>
        </is>
      </c>
      <c r="F6" s="186" t="inlineStr">
        <is>
          <t>이앤씨이노비즈타워</t>
        </is>
      </c>
      <c r="G6" s="186" t="inlineStr">
        <is>
          <t>본사관리비</t>
        </is>
      </c>
      <c r="H6" s="187" t="n">
        <v>1553720</v>
      </c>
      <c r="I6" s="186" t="inlineStr">
        <is>
          <t>계좌송금</t>
        </is>
      </c>
      <c r="J6" s="186" t="inlineStr">
        <is>
          <t>에이팜</t>
        </is>
      </c>
    </row>
    <row r="7">
      <c r="A7" s="185" t="n">
        <v>46288</v>
      </c>
      <c r="B7" s="186" t="inlineStr">
        <is>
          <t>수</t>
        </is>
      </c>
      <c r="C7" s="186" t="inlineStr">
        <is>
          <t>팀 지출계획</t>
        </is>
      </c>
      <c r="D7" s="186" t="inlineStr">
        <is>
          <t>미반영(별도 관리)</t>
        </is>
      </c>
      <c r="E7" s="186" t="inlineStr">
        <is>
          <t>경영지원팀</t>
        </is>
      </c>
      <c r="F7" s="186" t="inlineStr">
        <is>
          <t>비씨카드</t>
        </is>
      </c>
      <c r="G7" s="186" t="inlineStr">
        <is>
          <t>8월카드대금</t>
        </is>
      </c>
      <c r="H7" s="187" t="n">
        <v>269810</v>
      </c>
      <c r="I7" s="186" t="inlineStr">
        <is>
          <t>계좌송금</t>
        </is>
      </c>
      <c r="J7" s="186" t="inlineStr">
        <is>
          <t>에이팜</t>
        </is>
      </c>
    </row>
    <row r="8">
      <c r="A8" s="185" t="n">
        <v>46295</v>
      </c>
      <c r="B8" s="186" t="inlineStr">
        <is>
          <t>수</t>
        </is>
      </c>
      <c r="C8" s="186" t="inlineStr">
        <is>
          <t>팀 지출계획</t>
        </is>
      </c>
      <c r="D8" s="186" t="inlineStr">
        <is>
          <t>미반영(별도 관리)</t>
        </is>
      </c>
      <c r="E8" s="186" t="inlineStr">
        <is>
          <t>경영지원팀</t>
        </is>
      </c>
      <c r="F8" s="186" t="inlineStr">
        <is>
          <t>서원회계법인</t>
        </is>
      </c>
      <c r="G8" s="186" t="inlineStr">
        <is>
          <t>기장료</t>
        </is>
      </c>
      <c r="H8" s="187" t="n">
        <v>330000</v>
      </c>
      <c r="I8" s="186" t="inlineStr">
        <is>
          <t>계좌송금</t>
        </is>
      </c>
      <c r="J8" s="186" t="inlineStr">
        <is>
          <t>에이팜</t>
        </is>
      </c>
    </row>
    <row r="9">
      <c r="A9" s="185" t="n">
        <v>46295</v>
      </c>
      <c r="B9" s="186" t="inlineStr">
        <is>
          <t>수</t>
        </is>
      </c>
      <c r="C9" s="186" t="inlineStr">
        <is>
          <t>팀 지출계획</t>
        </is>
      </c>
      <c r="D9" s="186" t="inlineStr">
        <is>
          <t>미반영(별도 관리)</t>
        </is>
      </c>
      <c r="E9" s="186" t="inlineStr">
        <is>
          <t>경영지원팀</t>
        </is>
      </c>
      <c r="F9" s="186" t="inlineStr">
        <is>
          <t>가가사무기</t>
        </is>
      </c>
      <c r="G9" s="186" t="inlineStr">
        <is>
          <t>복합기 9월 임대비용</t>
        </is>
      </c>
      <c r="H9" s="187" t="n">
        <v>280000</v>
      </c>
      <c r="I9" s="186" t="inlineStr">
        <is>
          <t>계좌송금</t>
        </is>
      </c>
      <c r="J9" s="186" t="inlineStr">
        <is>
          <t>에이팜</t>
        </is>
      </c>
    </row>
    <row r="10">
      <c r="A10" s="185" t="n">
        <v>46295</v>
      </c>
      <c r="B10" s="186" t="inlineStr">
        <is>
          <t>수</t>
        </is>
      </c>
      <c r="C10" s="186" t="inlineStr">
        <is>
          <t>팀 지출계획</t>
        </is>
      </c>
      <c r="D10" s="186" t="inlineStr">
        <is>
          <t>미반영(별도 관리)</t>
        </is>
      </c>
      <c r="E10" s="186" t="inlineStr">
        <is>
          <t>경영지원팀</t>
        </is>
      </c>
      <c r="F10" s="186" t="inlineStr">
        <is>
          <t>대구상공회의소</t>
        </is>
      </c>
      <c r="G10" s="186" t="inlineStr">
        <is>
          <t>하반기연회비</t>
        </is>
      </c>
      <c r="H10" s="187" t="n">
        <v>250000</v>
      </c>
      <c r="I10" s="186" t="inlineStr">
        <is>
          <t>계좌송금</t>
        </is>
      </c>
      <c r="J10" s="186" t="inlineStr">
        <is>
          <t>에이팜</t>
        </is>
      </c>
    </row>
    <row r="11">
      <c r="G11" s="188" t="inlineStr">
        <is>
          <t>합계(자금계획 미반영)</t>
        </is>
      </c>
      <c r="H11" s="189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90" t="n">
        <v>46186.07862268519</v>
      </c>
      <c r="B36" s="191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2026-09-19T16:56:51Z</dcterms:modified>
</cp:coreProperties>
</file>