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4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61" t="n">
        <v>46283</v>
      </c>
      <c r="B10" s="162" t="inlineStr">
        <is>
          <t>금</t>
        </is>
      </c>
      <c r="C10" s="163" t="n">
        <v>7902370</v>
      </c>
      <c r="D10" s="164" t="n">
        <v>200833</v>
      </c>
      <c r="E10" s="164" t="n"/>
      <c r="F10" s="164" t="n"/>
      <c r="G10" s="164" t="n">
        <v>1090000</v>
      </c>
      <c r="H10" s="165">
        <f>C10+D10-E10-F10-G10</f>
        <v/>
      </c>
      <c r="I10" s="165">
        <f>J9</f>
        <v/>
      </c>
      <c r="J10" s="165">
        <f>I10+H10</f>
        <v/>
      </c>
      <c r="K10" s="166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7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8" t="n"/>
      <c r="L11" s="2" t="n"/>
      <c r="M11" s="2" t="n"/>
      <c r="N11" s="2" t="n"/>
      <c r="O11" s="2" t="n"/>
      <c r="P11" s="2" t="n"/>
    </row>
    <row r="12">
      <c r="A12" s="167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7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6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67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8" t="inlineStr">
        <is>
          <t>네이버 500,000, 기타 대외비 지출 21,023,110</t>
        </is>
      </c>
      <c r="L14" s="2" t="n"/>
      <c r="M14" s="2" t="n"/>
      <c r="N14" s="2" t="n"/>
      <c r="O14" s="2" t="n"/>
      <c r="P14" s="2" t="n"/>
    </row>
    <row r="15">
      <c r="A15" s="167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46055796</v>
      </c>
      <c r="H15" s="132">
        <f>C15+D15-E15-F15-G15</f>
        <v/>
      </c>
      <c r="I15" s="132">
        <f>J14</f>
        <v/>
      </c>
      <c r="J15" s="132">
        <f>I15+H15</f>
        <v/>
      </c>
      <c r="K15" s="168" t="inlineStr">
        <is>
          <t>써치엠 1,487,786, 네이버SA&amp;GFA 8,305,000, ADN 550,000 외 1건; 자동추정: METLIFE, NH기업카드, 아이현종찬</t>
        </is>
      </c>
      <c r="L15" s="2" t="n"/>
      <c r="M15" s="2" t="n"/>
      <c r="N15" s="2" t="n"/>
      <c r="O15" s="2" t="n"/>
      <c r="P15" s="2" t="n"/>
    </row>
    <row r="16">
      <c r="A16" s="167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6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69" t="n">
        <v>46290</v>
      </c>
      <c r="B17" s="170" t="inlineStr">
        <is>
          <t>금</t>
        </is>
      </c>
      <c r="C17" s="171">
        <f>INDEX('설정및분류'!$C$6:$C$12,WEEKDAY(A17,2))*'요약'!$B$13</f>
        <v/>
      </c>
      <c r="D17" s="172" t="n"/>
      <c r="E17" s="172" t="n"/>
      <c r="F17" s="172" t="n"/>
      <c r="G17" s="172" t="n">
        <v>2606450</v>
      </c>
      <c r="H17" s="173">
        <f>C17+D17-E17-F17-G17</f>
        <v/>
      </c>
      <c r="I17" s="173">
        <f>J16</f>
        <v/>
      </c>
      <c r="J17" s="173">
        <f>I17+H17</f>
        <v/>
      </c>
      <c r="K17" s="174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60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60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60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60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60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60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60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60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60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60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1059960</v>
      </c>
      <c r="H33" s="136">
        <f>C33+D33-E33-F33-G33</f>
        <v/>
      </c>
      <c r="I33" s="136">
        <f>J32</f>
        <v/>
      </c>
      <c r="J33" s="136">
        <f>I33+H33</f>
        <v/>
      </c>
      <c r="K33" s="175" t="inlineStr">
        <is>
          <t>자동추정: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76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77" t="inlineStr">
        <is>
          <t>실적 구간</t>
        </is>
      </c>
    </row>
    <row r="7">
      <c r="A7" s="176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77" t="inlineStr">
        <is>
          <t>실적 구간</t>
        </is>
      </c>
    </row>
    <row r="8">
      <c r="A8" s="176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77" t="inlineStr">
        <is>
          <t>실적 구간</t>
        </is>
      </c>
    </row>
    <row r="9">
      <c r="A9" s="176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77" t="inlineStr">
        <is>
          <t>실적 구간</t>
        </is>
      </c>
    </row>
    <row r="10">
      <c r="A10" s="176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77" t="inlineStr">
        <is>
          <t>실적 구간</t>
        </is>
      </c>
    </row>
    <row r="11">
      <c r="A11" s="176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76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76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76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76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51177526</v>
      </c>
      <c r="F15" s="144" t="n">
        <v>31306367</v>
      </c>
      <c r="G15" s="144" t="n">
        <v>82483893</v>
      </c>
      <c r="H15" s="144" t="n">
        <v>315568</v>
      </c>
      <c r="I15" s="144" t="n">
        <v>49803970</v>
      </c>
      <c r="J15" s="140" t="n"/>
    </row>
    <row r="16">
      <c r="A16" s="176" t="n">
        <v>46289</v>
      </c>
      <c r="B16" t="inlineStr">
        <is>
          <t>목</t>
        </is>
      </c>
      <c r="C16" s="144" t="n">
        <v>3859458</v>
      </c>
      <c r="D16" s="144" t="n">
        <v>294481</v>
      </c>
      <c r="E16" s="144" t="n">
        <v>53413206</v>
      </c>
      <c r="F16" s="144" t="n">
        <v>34585770</v>
      </c>
      <c r="G16" s="144" t="n">
        <v>92152915</v>
      </c>
      <c r="H16" s="144" t="n"/>
      <c r="I16" s="144" t="n"/>
      <c r="J16" s="140" t="n"/>
    </row>
    <row r="17">
      <c r="A17" s="176" t="n">
        <v>46290</v>
      </c>
      <c r="B17" t="inlineStr">
        <is>
          <t>금</t>
        </is>
      </c>
      <c r="C17" s="144" t="n">
        <v>5616811</v>
      </c>
      <c r="D17" s="144" t="n">
        <v>513795</v>
      </c>
      <c r="E17" s="144" t="n">
        <v>55078218</v>
      </c>
      <c r="F17" s="144" t="n">
        <v>37028090</v>
      </c>
      <c r="G17" s="144" t="n">
        <v>98236913</v>
      </c>
      <c r="H17" s="144" t="n"/>
      <c r="I17" s="144" t="n"/>
      <c r="J17" s="140" t="n"/>
    </row>
    <row r="18">
      <c r="A18" s="176" t="n">
        <v>46291</v>
      </c>
      <c r="B18" t="inlineStr">
        <is>
          <t>토</t>
        </is>
      </c>
      <c r="C18" s="144" t="n">
        <v>5616811</v>
      </c>
      <c r="D18" s="144" t="n">
        <v>513795</v>
      </c>
      <c r="E18" s="144" t="n">
        <v>55078218</v>
      </c>
      <c r="F18" s="144" t="n">
        <v>37028090</v>
      </c>
      <c r="G18" s="144" t="n">
        <v>98236913</v>
      </c>
      <c r="H18" s="144" t="n"/>
      <c r="I18" s="144" t="n"/>
      <c r="J18" s="140" t="n"/>
    </row>
    <row r="19">
      <c r="A19" s="176" t="n">
        <v>46292</v>
      </c>
      <c r="B19" t="inlineStr">
        <is>
          <t>일</t>
        </is>
      </c>
      <c r="C19" s="144" t="n">
        <v>3517382</v>
      </c>
      <c r="D19" s="144" t="n">
        <v>513795</v>
      </c>
      <c r="E19" s="144" t="n">
        <v>55078218</v>
      </c>
      <c r="F19" s="144" t="n">
        <v>37028090</v>
      </c>
      <c r="G19" s="144" t="n">
        <v>96137484</v>
      </c>
      <c r="H19" s="144" t="n"/>
      <c r="I19" s="144" t="n"/>
      <c r="J19" s="140" t="n"/>
    </row>
    <row r="20">
      <c r="A20" s="176" t="n">
        <v>46293</v>
      </c>
      <c r="B20" t="inlineStr">
        <is>
          <t>월</t>
        </is>
      </c>
      <c r="C20" s="144" t="n">
        <v>8051030</v>
      </c>
      <c r="D20" s="144" t="n">
        <v>741644</v>
      </c>
      <c r="E20" s="144" t="n">
        <v>56808034</v>
      </c>
      <c r="F20" s="144" t="n">
        <v>39565467</v>
      </c>
      <c r="G20" s="144" t="n">
        <v>105166175</v>
      </c>
      <c r="H20" s="144" t="n"/>
      <c r="I20" s="144" t="n"/>
      <c r="J20" s="140" t="n"/>
    </row>
    <row r="21">
      <c r="A21" s="176" t="n">
        <v>46294</v>
      </c>
      <c r="B21" t="inlineStr">
        <is>
          <t>화</t>
        </is>
      </c>
      <c r="C21" s="144" t="n">
        <v>14195789</v>
      </c>
      <c r="D21" s="144" t="n">
        <v>1200220</v>
      </c>
      <c r="E21" s="144" t="n">
        <v>60289512</v>
      </c>
      <c r="F21" s="144" t="n">
        <v>44672268</v>
      </c>
      <c r="G21" s="144" t="n">
        <v>120357788</v>
      </c>
      <c r="H21" s="144" t="n"/>
      <c r="I21" s="144" t="n"/>
      <c r="J21" s="140" t="n"/>
    </row>
    <row r="22">
      <c r="A22" s="176" t="n">
        <v>46295</v>
      </c>
      <c r="B22" t="inlineStr">
        <is>
          <t>수</t>
        </is>
      </c>
      <c r="C22" s="144" t="n">
        <v>0</v>
      </c>
      <c r="D22" s="144" t="n">
        <v>0</v>
      </c>
      <c r="E22" s="144" t="n">
        <v>7679071</v>
      </c>
      <c r="F22" s="144" t="n">
        <v>51002998</v>
      </c>
      <c r="G22" s="144" t="n">
        <v>58682069</v>
      </c>
      <c r="H22" s="144" t="n">
        <v>1768702</v>
      </c>
      <c r="I22" s="144" t="n">
        <v>56926313</v>
      </c>
      <c r="J22" s="140" t="n"/>
    </row>
    <row r="23">
      <c r="A23" s="176" t="n">
        <v>46296</v>
      </c>
      <c r="B23" t="inlineStr">
        <is>
          <t>목</t>
        </is>
      </c>
      <c r="C23" s="144" t="n">
        <v>2906711</v>
      </c>
      <c r="D23" s="144" t="n">
        <v>294481</v>
      </c>
      <c r="E23" s="144" t="n">
        <v>9914751</v>
      </c>
      <c r="F23" s="144" t="n">
        <v>54282401</v>
      </c>
      <c r="G23" s="144" t="n">
        <v>67398344</v>
      </c>
      <c r="H23" s="144" t="n"/>
      <c r="I23" s="144" t="n"/>
      <c r="J23" s="140" t="n"/>
    </row>
    <row r="24">
      <c r="A24" s="176" t="n">
        <v>46297</v>
      </c>
      <c r="B24" t="inlineStr">
        <is>
          <t>금</t>
        </is>
      </c>
      <c r="C24" s="144" t="n">
        <v>7270514</v>
      </c>
      <c r="D24" s="144" t="n">
        <v>513795</v>
      </c>
      <c r="E24" s="144" t="n">
        <v>11579763</v>
      </c>
      <c r="F24" s="144" t="n">
        <v>56724720</v>
      </c>
      <c r="G24" s="144" t="n">
        <v>76088792</v>
      </c>
      <c r="H24" s="144" t="n"/>
      <c r="I24" s="144" t="n"/>
      <c r="J24" s="140" t="n"/>
    </row>
    <row r="25">
      <c r="A25" s="176" t="n">
        <v>46298</v>
      </c>
      <c r="B25" t="inlineStr">
        <is>
          <t>토</t>
        </is>
      </c>
      <c r="C25" s="144" t="n">
        <v>7170514</v>
      </c>
      <c r="D25" s="144" t="n">
        <v>513795</v>
      </c>
      <c r="E25" s="144" t="n">
        <v>11579763</v>
      </c>
      <c r="F25" s="144" t="n">
        <v>56724720</v>
      </c>
      <c r="G25" s="144" t="n">
        <v>75988792</v>
      </c>
      <c r="H25" s="144" t="n"/>
      <c r="I25" s="144" t="n"/>
      <c r="J25" s="140" t="n"/>
    </row>
    <row r="26">
      <c r="A26" s="176" t="n">
        <v>46299</v>
      </c>
      <c r="B26" t="inlineStr">
        <is>
          <t>일</t>
        </is>
      </c>
      <c r="C26" s="144" t="n">
        <v>0</v>
      </c>
      <c r="D26" s="144" t="n">
        <v>0</v>
      </c>
      <c r="E26" s="144" t="n">
        <v>0</v>
      </c>
      <c r="F26" s="144" t="n">
        <v>45988792</v>
      </c>
      <c r="G26" s="144" t="n">
        <v>45988792</v>
      </c>
      <c r="H26" s="144" t="n">
        <v>513795</v>
      </c>
      <c r="I26" s="144" t="n">
        <v>22315692</v>
      </c>
      <c r="J26" s="140" t="n"/>
    </row>
    <row r="27">
      <c r="A27" s="176" t="n">
        <v>46300</v>
      </c>
      <c r="B27" t="inlineStr">
        <is>
          <t>월</t>
        </is>
      </c>
      <c r="C27" s="144" t="n">
        <v>4533648</v>
      </c>
      <c r="D27" s="144" t="n">
        <v>227849</v>
      </c>
      <c r="E27" s="144" t="n">
        <v>1729816</v>
      </c>
      <c r="F27" s="144" t="n">
        <v>48526169</v>
      </c>
      <c r="G27" s="144" t="n">
        <v>55017483</v>
      </c>
      <c r="H27" s="144" t="n"/>
      <c r="I27" s="144" t="n"/>
      <c r="J27" s="140" t="n"/>
    </row>
    <row r="28">
      <c r="A28" s="176" t="n">
        <v>46301</v>
      </c>
      <c r="B28" t="inlineStr">
        <is>
          <t>화</t>
        </is>
      </c>
      <c r="C28" s="144" t="n">
        <v>9164199</v>
      </c>
      <c r="D28" s="144" t="n">
        <v>686426</v>
      </c>
      <c r="E28" s="144" t="n">
        <v>5211294</v>
      </c>
      <c r="F28" s="144" t="n">
        <v>53632969</v>
      </c>
      <c r="G28" s="144" t="n">
        <v>68694888</v>
      </c>
      <c r="H28" s="144" t="n"/>
      <c r="I28" s="144" t="n"/>
      <c r="J28" s="140" t="n"/>
    </row>
    <row r="29">
      <c r="A29" s="176" t="n">
        <v>46302</v>
      </c>
      <c r="B29" t="inlineStr">
        <is>
          <t>수</t>
        </is>
      </c>
      <c r="C29" s="144" t="n">
        <v>6545018</v>
      </c>
      <c r="D29" s="144" t="n">
        <v>1001994</v>
      </c>
      <c r="E29" s="144" t="n">
        <v>7607067</v>
      </c>
      <c r="F29" s="144" t="n">
        <v>57147205</v>
      </c>
      <c r="G29" s="144" t="n">
        <v>72301284</v>
      </c>
      <c r="H29" s="144" t="n"/>
      <c r="I29" s="144" t="n"/>
      <c r="J29" s="140" t="n"/>
    </row>
    <row r="30">
      <c r="A30" s="176" t="n">
        <v>46303</v>
      </c>
      <c r="B30" t="inlineStr">
        <is>
          <t>목</t>
        </is>
      </c>
      <c r="C30" s="144" t="n">
        <v>0</v>
      </c>
      <c r="D30" s="144" t="n">
        <v>0</v>
      </c>
      <c r="E30" s="144" t="n">
        <v>0</v>
      </c>
      <c r="F30" s="144" t="n">
        <v>41964106</v>
      </c>
      <c r="G30" s="144" t="n">
        <v>41964106</v>
      </c>
      <c r="H30" s="144" t="n">
        <v>1296475</v>
      </c>
      <c r="I30" s="144" t="n">
        <v>28305249</v>
      </c>
      <c r="J30" s="140" t="n"/>
    </row>
    <row r="31">
      <c r="A31" s="176" t="n">
        <v>46304</v>
      </c>
      <c r="B31" t="inlineStr">
        <is>
          <t>금</t>
        </is>
      </c>
      <c r="C31" s="144" t="n">
        <v>0</v>
      </c>
      <c r="D31" s="144" t="n">
        <v>0</v>
      </c>
      <c r="E31" s="144" t="n">
        <v>0</v>
      </c>
      <c r="F31" s="144" t="n">
        <v>35964054</v>
      </c>
      <c r="G31" s="144" t="n">
        <v>35964054</v>
      </c>
      <c r="H31" s="144" t="n">
        <v>219313</v>
      </c>
      <c r="I31" s="144" t="n">
        <v>10107383</v>
      </c>
      <c r="J31" s="140" t="n"/>
    </row>
    <row r="32">
      <c r="A32" s="176" t="n">
        <v>46305</v>
      </c>
      <c r="B32" t="inlineStr">
        <is>
          <t>토</t>
        </is>
      </c>
      <c r="C32" s="144" t="n">
        <v>-16919495</v>
      </c>
      <c r="D32" s="144" t="n">
        <v>0</v>
      </c>
      <c r="E32" s="144" t="n">
        <v>0</v>
      </c>
      <c r="F32" s="144" t="n">
        <v>0</v>
      </c>
      <c r="G32" s="144" t="n">
        <v>-16919495</v>
      </c>
      <c r="H32" s="144" t="n"/>
      <c r="I32" s="144" t="n">
        <v>35964054</v>
      </c>
      <c r="J32" s="177" t="inlineStr">
        <is>
          <t>전 계좌 소진 — 부족 16,919,495원</t>
        </is>
      </c>
    </row>
    <row r="33">
      <c r="A33" s="176" t="n">
        <v>46306</v>
      </c>
      <c r="B33" t="inlineStr">
        <is>
          <t>일</t>
        </is>
      </c>
      <c r="C33" s="144" t="n">
        <v>-17979455</v>
      </c>
      <c r="D33" s="144" t="n">
        <v>0</v>
      </c>
      <c r="E33" s="144" t="n">
        <v>0</v>
      </c>
      <c r="F33" s="144" t="n">
        <v>0</v>
      </c>
      <c r="G33" s="144" t="n">
        <v>-17979455</v>
      </c>
      <c r="H33" s="144" t="n"/>
      <c r="I33" s="144" t="n"/>
      <c r="J33" s="177" t="inlineStr">
        <is>
          <t>전 계좌 소진 — 부족 17,979,455원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14888739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11916935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92234174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78165606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7345383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15007916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121263434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21023110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에이팜 별도관리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에이팜 별도관리</t>
        </is>
      </c>
      <c r="Q21" s="142" t="inlineStr"/>
    </row>
    <row r="2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78" t="n">
        <v>46283</v>
      </c>
      <c r="B6" s="179" t="inlineStr">
        <is>
          <t>금</t>
        </is>
      </c>
      <c r="C6" s="179" t="inlineStr">
        <is>
          <t>팀 지출계획</t>
        </is>
      </c>
      <c r="D6" s="179" t="inlineStr">
        <is>
          <t>미반영(별도 관리)</t>
        </is>
      </c>
      <c r="E6" s="179" t="inlineStr">
        <is>
          <t>경영지원팀</t>
        </is>
      </c>
      <c r="F6" s="179" t="inlineStr">
        <is>
          <t>이앤씨이노비즈타워</t>
        </is>
      </c>
      <c r="G6" s="179" t="inlineStr">
        <is>
          <t>본사관리비</t>
        </is>
      </c>
      <c r="H6" s="180" t="n">
        <v>1553720</v>
      </c>
      <c r="I6" s="179" t="inlineStr">
        <is>
          <t>계좌송금</t>
        </is>
      </c>
      <c r="J6" s="179" t="inlineStr">
        <is>
          <t>에이팜</t>
        </is>
      </c>
    </row>
    <row r="7">
      <c r="A7" s="178" t="n">
        <v>46288</v>
      </c>
      <c r="B7" s="179" t="inlineStr">
        <is>
          <t>수</t>
        </is>
      </c>
      <c r="C7" s="179" t="inlineStr">
        <is>
          <t>팀 지출계획</t>
        </is>
      </c>
      <c r="D7" s="179" t="inlineStr">
        <is>
          <t>미반영(별도 관리)</t>
        </is>
      </c>
      <c r="E7" s="179" t="inlineStr">
        <is>
          <t>경영지원팀</t>
        </is>
      </c>
      <c r="F7" s="179" t="inlineStr">
        <is>
          <t>비씨카드</t>
        </is>
      </c>
      <c r="G7" s="179" t="inlineStr">
        <is>
          <t>8월카드대금</t>
        </is>
      </c>
      <c r="H7" s="180" t="n">
        <v>269810</v>
      </c>
      <c r="I7" s="179" t="inlineStr">
        <is>
          <t>계좌송금</t>
        </is>
      </c>
      <c r="J7" s="179" t="inlineStr">
        <is>
          <t>에이팜</t>
        </is>
      </c>
    </row>
    <row r="8">
      <c r="A8" s="178" t="n">
        <v>46295</v>
      </c>
      <c r="B8" s="179" t="inlineStr">
        <is>
          <t>수</t>
        </is>
      </c>
      <c r="C8" s="179" t="inlineStr">
        <is>
          <t>팀 지출계획</t>
        </is>
      </c>
      <c r="D8" s="179" t="inlineStr">
        <is>
          <t>미반영(별도 관리)</t>
        </is>
      </c>
      <c r="E8" s="179" t="inlineStr">
        <is>
          <t>경영지원팀</t>
        </is>
      </c>
      <c r="F8" s="179" t="inlineStr">
        <is>
          <t>서원회계법인</t>
        </is>
      </c>
      <c r="G8" s="179" t="inlineStr">
        <is>
          <t>기장료</t>
        </is>
      </c>
      <c r="H8" s="180" t="n">
        <v>330000</v>
      </c>
      <c r="I8" s="179" t="inlineStr">
        <is>
          <t>계좌송금</t>
        </is>
      </c>
      <c r="J8" s="179" t="inlineStr">
        <is>
          <t>에이팜</t>
        </is>
      </c>
    </row>
    <row r="9">
      <c r="A9" s="178" t="n">
        <v>46295</v>
      </c>
      <c r="B9" s="179" t="inlineStr">
        <is>
          <t>수</t>
        </is>
      </c>
      <c r="C9" s="179" t="inlineStr">
        <is>
          <t>팀 지출계획</t>
        </is>
      </c>
      <c r="D9" s="179" t="inlineStr">
        <is>
          <t>미반영(별도 관리)</t>
        </is>
      </c>
      <c r="E9" s="179" t="inlineStr">
        <is>
          <t>경영지원팀</t>
        </is>
      </c>
      <c r="F9" s="179" t="inlineStr">
        <is>
          <t>가가사무기</t>
        </is>
      </c>
      <c r="G9" s="179" t="inlineStr">
        <is>
          <t>복합기 9월 임대비용</t>
        </is>
      </c>
      <c r="H9" s="180" t="n">
        <v>280000</v>
      </c>
      <c r="I9" s="179" t="inlineStr">
        <is>
          <t>계좌송금</t>
        </is>
      </c>
      <c r="J9" s="179" t="inlineStr">
        <is>
          <t>에이팜</t>
        </is>
      </c>
    </row>
    <row r="10">
      <c r="A10" s="178" t="n">
        <v>46295</v>
      </c>
      <c r="B10" s="179" t="inlineStr">
        <is>
          <t>수</t>
        </is>
      </c>
      <c r="C10" s="179" t="inlineStr">
        <is>
          <t>팀 지출계획</t>
        </is>
      </c>
      <c r="D10" s="179" t="inlineStr">
        <is>
          <t>미반영(별도 관리)</t>
        </is>
      </c>
      <c r="E10" s="179" t="inlineStr">
        <is>
          <t>경영지원팀</t>
        </is>
      </c>
      <c r="F10" s="179" t="inlineStr">
        <is>
          <t>대구상공회의소</t>
        </is>
      </c>
      <c r="G10" s="179" t="inlineStr">
        <is>
          <t>하반기연회비</t>
        </is>
      </c>
      <c r="H10" s="180" t="n">
        <v>250000</v>
      </c>
      <c r="I10" s="179" t="inlineStr">
        <is>
          <t>계좌송금</t>
        </is>
      </c>
      <c r="J10" s="179" t="inlineStr">
        <is>
          <t>에이팜</t>
        </is>
      </c>
    </row>
    <row r="11">
      <c r="G11" s="181" t="inlineStr">
        <is>
          <t>합계(자금계획 미반영)</t>
        </is>
      </c>
      <c r="H11" s="182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변동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변동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변동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변동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2026-09-18T14:00:25Z</dcterms:modified>
</cp:coreProperties>
</file>