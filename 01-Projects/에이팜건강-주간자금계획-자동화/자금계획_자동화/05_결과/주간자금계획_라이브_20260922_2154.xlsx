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'지출계획_취합'!$A$5:$Q$38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148422317</v>
      </c>
      <c r="C6" s="2" t="n"/>
      <c r="D6" s="2" t="inlineStr">
        <is>
          <t>국민 154577</t>
        </is>
      </c>
      <c r="E6" s="120" t="n">
        <v>46287</v>
      </c>
      <c r="F6" s="119" t="n">
        <v>36085938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3302536289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3490589815</v>
      </c>
      <c r="C8" s="2" t="n"/>
      <c r="D8" s="2" t="inlineStr">
        <is>
          <t>농협 569003</t>
        </is>
      </c>
      <c r="E8" s="120" t="n">
        <v>46287</v>
      </c>
      <c r="F8" s="119" t="n">
        <v>2227429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2010798876</v>
      </c>
      <c r="C9" s="2" t="n"/>
      <c r="D9" s="2" t="inlineStr">
        <is>
          <t>우리 220351</t>
        </is>
      </c>
      <c r="E9" s="120" t="n">
        <v>46287</v>
      </c>
      <c r="F9" s="119" t="n">
        <v>9421750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9,421,750(09-22) · 농협 569003 2,227,429(09-22) · 국민 169124 100,687,200(09-15) · 국민 154577 36,085,938(09-22)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19586633</v>
      </c>
      <c r="H7" s="165" t="n"/>
      <c r="I7" s="165" t="n"/>
      <c r="J7" s="165" t="n"/>
      <c r="K7" s="165" t="n"/>
      <c r="L7" s="170" t="n">
        <v>529613</v>
      </c>
      <c r="M7" s="165" t="n"/>
      <c r="N7" s="165" t="n"/>
      <c r="O7" s="170" t="n">
        <v>28895517</v>
      </c>
      <c r="P7" s="170" t="n">
        <v>-8779271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16528386</v>
      </c>
      <c r="P8" s="178">
        <f>G8+L8-M8-N8-O8</f>
        <v/>
      </c>
      <c r="Q8" s="179" t="n">
        <v>112762164</v>
      </c>
      <c r="R8" s="178">
        <f>Q8+P8</f>
        <v/>
      </c>
      <c r="S8" s="180" t="inlineStr">
        <is>
          <t>실적 | 지출: METLIFE09002 4,795,900, METLIFE09002 4,795,900, 국민네이버 ａｐｈａ 2,178,000 외 11건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19586633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>
        <v>529613</v>
      </c>
      <c r="M9" s="186" t="n">
        <v>28895517</v>
      </c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엠에스바이오텍 20,000,000, 추석 상여금 7,800,000, 네이버 500,000, 임대규(대청하이츠) 350,000, 대구상공회의소 250,000; 실적(은행 확인): 입금 20,116,246·출금 28,895,517 — 미집행 예정 20,000,000 익일 이월 / 보류 제외: 네이버 4,483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34665896</v>
      </c>
      <c r="N10" s="177" t="n"/>
      <c r="O10" s="177" t="n">
        <v>2227429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네이버SA&amp;GFA 8,305,000, 인포크비즈니스 3,300,000, 농협카드 2,227,429, 써치엠 1,487,786, 와이투홀딩스 1,023,110, ADN 550,000; 전일 미집행 예정 20,000,000 이월 반영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/>
      <c r="P12" s="178">
        <f>G12+L12-M12-N12-O12</f>
        <v/>
      </c>
      <c r="Q12" s="179">
        <f>R11</f>
        <v/>
      </c>
      <c r="R12" s="178">
        <f>Q12+P12</f>
        <v/>
      </c>
      <c r="S12" s="192" t="n"/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>
        <v>32562799</v>
      </c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우리카드 25,346,349, 농협카드 4,610,000, 메트라이프 2,497,000, 엘앤에이치컴퍼니 1,650,000, KT 109,450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>
        <v>1000000</v>
      </c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inlineStr">
        <is>
          <t>네이버 500,000, 정상은(이준이서맘) 500,000</t>
        </is>
      </c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>
        <v>1080000</v>
      </c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(주) 오애드 880,000, 카카오톡 비즈니스 200,000; 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14669531</v>
      </c>
      <c r="E6" s="164" t="n">
        <v>1944429</v>
      </c>
      <c r="F6" s="164" t="n">
        <v>100687200</v>
      </c>
      <c r="G6" s="164" t="n">
        <v>39900428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9421750</v>
      </c>
      <c r="E7" s="174" t="n">
        <v>2227429</v>
      </c>
      <c r="F7" s="174" t="n">
        <v>100687200</v>
      </c>
      <c r="G7" s="174" t="n">
        <v>36085938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157201588</v>
      </c>
      <c r="D8" s="219" t="n">
        <v>14669531</v>
      </c>
      <c r="E8" s="219" t="n">
        <v>1944429</v>
      </c>
      <c r="F8" s="219" t="n">
        <v>100687200</v>
      </c>
      <c r="G8" s="219" t="n">
        <v>39900428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148422317</v>
      </c>
      <c r="D9" s="223" t="n">
        <v>9421750</v>
      </c>
      <c r="E9" s="223" t="n">
        <v>2227429</v>
      </c>
      <c r="F9" s="223" t="n">
        <v>100687200</v>
      </c>
      <c r="G9" s="223" t="n">
        <v>36085938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H10*0.435521</f>
        <v/>
      </c>
      <c r="J10" s="176">
        <f>H10*0.020493</f>
        <v/>
      </c>
      <c r="K10" s="176">
        <f>H10*0.213477</f>
        <v/>
      </c>
      <c r="L10" s="176">
        <f>H10*0.330509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H11*0.435521</f>
        <v/>
      </c>
      <c r="J11" s="176">
        <f>H11*0.020493</f>
        <v/>
      </c>
      <c r="K11" s="176">
        <f>H11*0.213477</f>
        <v/>
      </c>
      <c r="L11" s="176">
        <f>H11*0.330509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H12*0.435521</f>
        <v/>
      </c>
      <c r="J12" s="176">
        <f>H12*0.020493</f>
        <v/>
      </c>
      <c r="K12" s="176">
        <f>H12*0.213477</f>
        <v/>
      </c>
      <c r="L12" s="176">
        <f>H12*0.330509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H13*0.435521</f>
        <v/>
      </c>
      <c r="J13" s="176">
        <f>H13*0.020493</f>
        <v/>
      </c>
      <c r="K13" s="176">
        <f>H13*0.213477</f>
        <v/>
      </c>
      <c r="L13" s="176">
        <f>H13*0.330509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H14*0.435521</f>
        <v/>
      </c>
      <c r="J14" s="176">
        <f>H14*0.020493</f>
        <v/>
      </c>
      <c r="K14" s="176">
        <f>H14*0.213477</f>
        <v/>
      </c>
      <c r="L14" s="176">
        <f>H14*0.330509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H15*0.435521</f>
        <v/>
      </c>
      <c r="J15" s="176">
        <f>H15*0.020493</f>
        <v/>
      </c>
      <c r="K15" s="176">
        <f>H15*0.213477</f>
        <v/>
      </c>
      <c r="L15" s="176">
        <f>H15*0.330509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H16*0.435521</f>
        <v/>
      </c>
      <c r="J16" s="176">
        <f>H16*0.020493</f>
        <v/>
      </c>
      <c r="K16" s="176">
        <f>H16*0.213477</f>
        <v/>
      </c>
      <c r="L16" s="176">
        <f>H16*0.330509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H17*0.435521</f>
        <v/>
      </c>
      <c r="J17" s="176">
        <f>H17*0.020493</f>
        <v/>
      </c>
      <c r="K17" s="176">
        <f>H17*0.213477</f>
        <v/>
      </c>
      <c r="L17" s="176">
        <f>H17*0.330509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H18*0.435521</f>
        <v/>
      </c>
      <c r="J18" s="176">
        <f>H18*0.020493</f>
        <v/>
      </c>
      <c r="K18" s="176">
        <f>H18*0.213477</f>
        <v/>
      </c>
      <c r="L18" s="176">
        <f>H18*0.330509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H19*0.435521</f>
        <v/>
      </c>
      <c r="J19" s="176">
        <f>H19*0.020493</f>
        <v/>
      </c>
      <c r="K19" s="176">
        <f>H19*0.213477</f>
        <v/>
      </c>
      <c r="L19" s="176">
        <f>H19*0.330509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H20*0.435521</f>
        <v/>
      </c>
      <c r="J20" s="176">
        <f>H20*0.020493</f>
        <v/>
      </c>
      <c r="K20" s="176">
        <f>H20*0.213477</f>
        <v/>
      </c>
      <c r="L20" s="176">
        <f>H20*0.330509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H21*0.435521</f>
        <v/>
      </c>
      <c r="J21" s="176">
        <f>H21*0.020493</f>
        <v/>
      </c>
      <c r="K21" s="176">
        <f>H21*0.213477</f>
        <v/>
      </c>
      <c r="L21" s="176">
        <f>H21*0.330509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H22*0.435521</f>
        <v/>
      </c>
      <c r="J22" s="176">
        <f>H22*0.020493</f>
        <v/>
      </c>
      <c r="K22" s="176">
        <f>H22*0.213477</f>
        <v/>
      </c>
      <c r="L22" s="176">
        <f>H22*0.330509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H23*0.435521</f>
        <v/>
      </c>
      <c r="J23" s="176">
        <f>H23*0.020493</f>
        <v/>
      </c>
      <c r="K23" s="176">
        <f>H23*0.213477</f>
        <v/>
      </c>
      <c r="L23" s="176">
        <f>H23*0.330509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H24*0.435521</f>
        <v/>
      </c>
      <c r="J24" s="176">
        <f>H24*0.020493</f>
        <v/>
      </c>
      <c r="K24" s="176">
        <f>H24*0.213477</f>
        <v/>
      </c>
      <c r="L24" s="176">
        <f>H24*0.330509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H25*0.435521</f>
        <v/>
      </c>
      <c r="J25" s="176">
        <f>H25*0.020493</f>
        <v/>
      </c>
      <c r="K25" s="176">
        <f>H25*0.213477</f>
        <v/>
      </c>
      <c r="L25" s="176">
        <f>H25*0.330509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H26*0.435521</f>
        <v/>
      </c>
      <c r="J26" s="176">
        <f>H26*0.020493</f>
        <v/>
      </c>
      <c r="K26" s="176">
        <f>H26*0.213477</f>
        <v/>
      </c>
      <c r="L26" s="176">
        <f>H26*0.330509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H27*0.435521</f>
        <v/>
      </c>
      <c r="J27" s="176">
        <f>H27*0.020493</f>
        <v/>
      </c>
      <c r="K27" s="176">
        <f>H27*0.213477</f>
        <v/>
      </c>
      <c r="L27" s="176">
        <f>H27*0.330509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H28*0.435521</f>
        <v/>
      </c>
      <c r="J28" s="176">
        <f>H28*0.020493</f>
        <v/>
      </c>
      <c r="K28" s="176">
        <f>H28*0.213477</f>
        <v/>
      </c>
      <c r="L28" s="176">
        <f>H28*0.330509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H29*0.435521</f>
        <v/>
      </c>
      <c r="J29" s="176">
        <f>H29*0.020493</f>
        <v/>
      </c>
      <c r="K29" s="176">
        <f>H29*0.213477</f>
        <v/>
      </c>
      <c r="L29" s="176">
        <f>H29*0.330509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H30*0.435521</f>
        <v/>
      </c>
      <c r="J30" s="176">
        <f>H30*0.020493</f>
        <v/>
      </c>
      <c r="K30" s="176">
        <f>H30*0.213477</f>
        <v/>
      </c>
      <c r="L30" s="176">
        <f>H30*0.330509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H31*0.435521</f>
        <v/>
      </c>
      <c r="J31" s="176">
        <f>H31*0.020493</f>
        <v/>
      </c>
      <c r="K31" s="176">
        <f>H31*0.213477</f>
        <v/>
      </c>
      <c r="L31" s="176">
        <f>H31*0.330509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H32*0.435521</f>
        <v/>
      </c>
      <c r="J32" s="176">
        <f>H32*0.020493</f>
        <v/>
      </c>
      <c r="K32" s="176">
        <f>H32*0.213477</f>
        <v/>
      </c>
      <c r="L32" s="176">
        <f>H32*0.330509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H33*0.435521</f>
        <v/>
      </c>
      <c r="J33" s="176">
        <f>H33*0.020493</f>
        <v/>
      </c>
      <c r="K33" s="176">
        <f>H33*0.213477</f>
        <v/>
      </c>
      <c r="L33" s="176">
        <f>H33*0.330509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H34*0.435521</f>
        <v/>
      </c>
      <c r="J34" s="176">
        <f>H34*0.020493</f>
        <v/>
      </c>
      <c r="K34" s="176">
        <f>H34*0.213477</f>
        <v/>
      </c>
      <c r="L34" s="176">
        <f>H34*0.330509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H35*0.435521</f>
        <v/>
      </c>
      <c r="J35" s="176">
        <f>H35*0.020493</f>
        <v/>
      </c>
      <c r="K35" s="176">
        <f>H35*0.213477</f>
        <v/>
      </c>
      <c r="L35" s="176">
        <f>H35*0.330509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1675000</v>
      </c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지출계획_2026-09-22.xlsx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지출계획_2026-09-22.xlsx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지출계획_2026-09-22.xlsx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지출계획_2026-09-22.xlsx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지출계획_2026-09-22.xlsx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지출계획_2026-09-22.xlsx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경영-20260918-015</t>
        </is>
      </c>
      <c r="B12" s="142" t="inlineStr">
        <is>
          <t>경영지원팀</t>
        </is>
      </c>
      <c r="C12" s="142" t="inlineStr">
        <is>
          <t>김정원</t>
        </is>
      </c>
      <c r="D12" s="142" t="inlineStr"/>
      <c r="E12" s="143" t="n">
        <v>46287</v>
      </c>
      <c r="F12" s="143" t="n">
        <v>46287</v>
      </c>
      <c r="G12" s="142" t="inlineStr">
        <is>
          <t>엠에스바이오텍</t>
        </is>
      </c>
      <c r="H12" s="142" t="inlineStr">
        <is>
          <t>외상매입금</t>
        </is>
      </c>
      <c r="I12" s="144" t="n">
        <v>20000000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228" t="n">
        <v>46284</v>
      </c>
      <c r="O12" s="142" t="inlineStr">
        <is>
          <t>지출계획_2026-09-22.xlsx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경영-20260922-001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추석 상여금</t>
        </is>
      </c>
      <c r="H13" s="142" t="inlineStr">
        <is>
          <t>추석 상여금</t>
        </is>
      </c>
      <c r="I13" s="144" t="n">
        <v>4600000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46287</v>
      </c>
      <c r="O13" s="142" t="inlineStr">
        <is>
          <t>지출계획_2026-09-22.xlsx</t>
        </is>
      </c>
      <c r="P13" s="142" t="inlineStr">
        <is>
          <t>에이팜 별도관리</t>
        </is>
      </c>
      <c r="Q13" s="142" t="inlineStr"/>
    </row>
    <row r="14">
      <c r="A14" s="142" t="inlineStr">
        <is>
          <t>경영-20260922-002</t>
        </is>
      </c>
      <c r="B14" s="142" t="inlineStr">
        <is>
          <t>경영지원팀</t>
        </is>
      </c>
      <c r="C14" s="142" t="inlineStr">
        <is>
          <t>송채은</t>
        </is>
      </c>
      <c r="D14" s="142" t="inlineStr"/>
      <c r="E14" s="143" t="n">
        <v>46287</v>
      </c>
      <c r="F14" s="143" t="n">
        <v>46287</v>
      </c>
      <c r="G14" s="142" t="inlineStr">
        <is>
          <t>추석 상여금</t>
        </is>
      </c>
      <c r="H14" s="142" t="inlineStr">
        <is>
          <t>추석 상여금</t>
        </is>
      </c>
      <c r="I14" s="144" t="n">
        <v>7800000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46287</v>
      </c>
      <c r="O14" s="142" t="inlineStr">
        <is>
          <t>지출계획_2026-09-22.xlsx</t>
        </is>
      </c>
      <c r="P14" s="142" t="inlineStr">
        <is>
          <t>정상반영</t>
        </is>
      </c>
      <c r="Q14" s="142" t="inlineStr"/>
    </row>
    <row r="15">
      <c r="A15" s="142" t="inlineStr">
        <is>
          <t>경영-20260922-003</t>
        </is>
      </c>
      <c r="B15" s="142" t="inlineStr">
        <is>
          <t>경영지원팀</t>
        </is>
      </c>
      <c r="C15" s="142" t="inlineStr">
        <is>
          <t>김수희</t>
        </is>
      </c>
      <c r="D15" s="142" t="inlineStr"/>
      <c r="E15" s="143" t="n">
        <v>46287</v>
      </c>
      <c r="F15" s="143" t="n">
        <v>46287</v>
      </c>
      <c r="G15" s="142" t="inlineStr">
        <is>
          <t>임대규(대청하이츠)</t>
        </is>
      </c>
      <c r="H15" s="142" t="inlineStr">
        <is>
          <t>기숙사 월세 및 관리비</t>
        </is>
      </c>
      <c r="I15" s="144" t="n">
        <v>350000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46287</v>
      </c>
      <c r="O15" s="142" t="inlineStr">
        <is>
          <t>지출계획_2026-09-22.xlsx</t>
        </is>
      </c>
      <c r="P15" s="142" t="inlineStr">
        <is>
          <t>정상반영</t>
        </is>
      </c>
      <c r="Q15" s="142" t="inlineStr"/>
    </row>
    <row r="16">
      <c r="A16" s="142" t="inlineStr">
        <is>
          <t>경영-20260922-004</t>
        </is>
      </c>
      <c r="B16" s="142" t="inlineStr">
        <is>
          <t>경영지원팀</t>
        </is>
      </c>
      <c r="C16" s="142" t="inlineStr">
        <is>
          <t>김수희</t>
        </is>
      </c>
      <c r="D16" s="142" t="inlineStr"/>
      <c r="E16" s="143" t="n">
        <v>46287</v>
      </c>
      <c r="F16" s="143" t="n">
        <v>46287</v>
      </c>
      <c r="G16" s="142" t="inlineStr">
        <is>
          <t>엠에스바이오텍</t>
        </is>
      </c>
      <c r="H16" s="142" t="inlineStr">
        <is>
          <t>락토프리미엄 대금 지급 1차</t>
        </is>
      </c>
      <c r="I16" s="144" t="n">
        <v>20000000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46287</v>
      </c>
      <c r="O16" s="142" t="inlineStr">
        <is>
          <t>지출계획_2026-09-22.xlsx</t>
        </is>
      </c>
      <c r="P16" s="142" t="inlineStr">
        <is>
          <t>정상반영</t>
        </is>
      </c>
      <c r="Q16" s="142" t="inlineStr"/>
    </row>
    <row r="17">
      <c r="A17" s="142" t="inlineStr">
        <is>
          <t>경영-20260922-005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46287</v>
      </c>
      <c r="F17" s="143" t="n">
        <v>46287</v>
      </c>
      <c r="G17" s="142" t="inlineStr">
        <is>
          <t>대구상공회의소</t>
        </is>
      </c>
      <c r="H17" s="142" t="inlineStr">
        <is>
          <t>26년도 하반기 회비</t>
        </is>
      </c>
      <c r="I17" s="144" t="n">
        <v>250000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46287</v>
      </c>
      <c r="O17" s="142" t="inlineStr">
        <is>
          <t>지출계획_2026-09-22.xlsx</t>
        </is>
      </c>
      <c r="P17" s="142" t="inlineStr">
        <is>
          <t>정상반영</t>
        </is>
      </c>
      <c r="Q17" s="142" t="inlineStr"/>
    </row>
    <row r="18">
      <c r="A18" s="142" t="inlineStr">
        <is>
          <t>건강-20260918-004</t>
        </is>
      </c>
      <c r="B18" s="142" t="inlineStr">
        <is>
          <t>건강사업팀</t>
        </is>
      </c>
      <c r="C18" s="142" t="inlineStr">
        <is>
          <t>전은신</t>
        </is>
      </c>
      <c r="D18" s="142" t="inlineStr"/>
      <c r="E18" s="143" t="n">
        <v>46288</v>
      </c>
      <c r="F18" s="143" t="n">
        <v>46288</v>
      </c>
      <c r="G18" s="142" t="inlineStr">
        <is>
          <t>인포크비즈니스</t>
        </is>
      </c>
      <c r="H18" s="142" t="inlineStr">
        <is>
          <t>베리시톨 인플루언서 비용</t>
        </is>
      </c>
      <c r="I18" s="144" t="n">
        <v>3300000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>
        <is>
          <t>변경</t>
        </is>
      </c>
      <c r="N18" s="143" t="n">
        <v>46286</v>
      </c>
      <c r="O18" s="142" t="inlineStr">
        <is>
          <t>지출계획_2026-09-22.xlsx</t>
        </is>
      </c>
      <c r="P18" s="142" t="inlineStr">
        <is>
          <t>정상반영</t>
        </is>
      </c>
      <c r="Q18" s="142" t="inlineStr"/>
    </row>
    <row r="19">
      <c r="A19" s="142" t="inlineStr">
        <is>
          <t>건강-20260918-005</t>
        </is>
      </c>
      <c r="B19" s="142" t="inlineStr">
        <is>
          <t>건강사업팀</t>
        </is>
      </c>
      <c r="C19" s="142" t="inlineStr">
        <is>
          <t>전은신</t>
        </is>
      </c>
      <c r="D19" s="142" t="inlineStr"/>
      <c r="E19" s="143" t="n">
        <v>46288</v>
      </c>
      <c r="F19" s="143" t="n">
        <v>46288</v>
      </c>
      <c r="G19" s="142" t="inlineStr">
        <is>
          <t>써치엠</t>
        </is>
      </c>
      <c r="H19" s="142" t="inlineStr">
        <is>
          <t>메타 광고 대행 수수</t>
        </is>
      </c>
      <c r="I19" s="144" t="n">
        <v>1487786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지출계획_2026-09-22.xlsx</t>
        </is>
      </c>
      <c r="P19" s="142" t="inlineStr">
        <is>
          <t>정상반영</t>
        </is>
      </c>
      <c r="Q19" s="142" t="inlineStr"/>
    </row>
    <row r="20">
      <c r="A20" s="142" t="inlineStr">
        <is>
          <t>건강-20260918-006</t>
        </is>
      </c>
      <c r="B20" s="142" t="inlineStr">
        <is>
          <t>건강사업팀</t>
        </is>
      </c>
      <c r="C20" s="142" t="inlineStr">
        <is>
          <t>전은신</t>
        </is>
      </c>
      <c r="D20" s="142" t="inlineStr"/>
      <c r="E20" s="143" t="n">
        <v>46288</v>
      </c>
      <c r="F20" s="143" t="n">
        <v>46288</v>
      </c>
      <c r="G20" s="142" t="inlineStr">
        <is>
          <t>네이버SA&amp;GFA</t>
        </is>
      </c>
      <c r="H20" s="142" t="inlineStr">
        <is>
          <t>네이버SA&amp;GFA 광고 비용 충전</t>
        </is>
      </c>
      <c r="I20" s="144" t="n">
        <v>8305000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지출계획_2026-09-22.xlsx</t>
        </is>
      </c>
      <c r="P20" s="142" t="inlineStr">
        <is>
          <t>정상반영</t>
        </is>
      </c>
      <c r="Q20" s="142" t="inlineStr"/>
    </row>
    <row r="21">
      <c r="A21" s="142" t="inlineStr">
        <is>
          <t>건강-20260918-007</t>
        </is>
      </c>
      <c r="B21" s="142" t="inlineStr">
        <is>
          <t>건강사업팀</t>
        </is>
      </c>
      <c r="C21" s="142" t="inlineStr">
        <is>
          <t>전은신</t>
        </is>
      </c>
      <c r="D21" s="142" t="inlineStr"/>
      <c r="E21" s="143" t="n">
        <v>46288</v>
      </c>
      <c r="F21" s="143" t="n">
        <v>46288</v>
      </c>
      <c r="G21" s="142" t="inlineStr">
        <is>
          <t>ADN</t>
        </is>
      </c>
      <c r="H21" s="142" t="inlineStr">
        <is>
          <t>ADN 광고-추석 유입</t>
        </is>
      </c>
      <c r="I21" s="144" t="n">
        <v>550000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지출계획_2026-09-22.xlsx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경영-20260918-003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46288</v>
      </c>
      <c r="F22" s="143" t="n">
        <v>46288</v>
      </c>
      <c r="G22" s="142" t="inlineStr">
        <is>
          <t>농협카드</t>
        </is>
      </c>
      <c r="H22" s="142" t="inlineStr">
        <is>
          <t>8월 카드대금</t>
        </is>
      </c>
      <c r="I22" s="144" t="n">
        <v>2227429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변경</t>
        </is>
      </c>
      <c r="N22" s="143" t="n">
        <v>46287</v>
      </c>
      <c r="O22" s="142" t="inlineStr">
        <is>
          <t>지출계획_2026-09-22.xlsx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경영-20260918-007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46288</v>
      </c>
      <c r="F23" s="143" t="n">
        <v>46288</v>
      </c>
      <c r="G23" s="142" t="inlineStr">
        <is>
          <t>와이투홀딩스</t>
        </is>
      </c>
      <c r="H23" s="142" t="inlineStr">
        <is>
          <t>직원 추석 선물세트 구입</t>
        </is>
      </c>
      <c r="I23" s="144" t="n">
        <v>1023110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변경</t>
        </is>
      </c>
      <c r="N23" s="143" t="n">
        <v>46287</v>
      </c>
      <c r="O23" s="142" t="inlineStr">
        <is>
          <t>지출계획_2026-09-22.xlsx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경영-20260918-012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46288</v>
      </c>
      <c r="F24" s="143" t="n">
        <v>46288</v>
      </c>
      <c r="G24" s="142" t="inlineStr">
        <is>
          <t>비씨카드</t>
        </is>
      </c>
      <c r="H24" s="142" t="inlineStr">
        <is>
          <t>8월카드대금</t>
        </is>
      </c>
      <c r="I24" s="144" t="n">
        <v>269810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지출계획_2026-09-22.xlsx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경영-20260918-004</t>
        </is>
      </c>
      <c r="B25" s="142" t="inlineStr">
        <is>
          <t>경영지원팀</t>
        </is>
      </c>
      <c r="C25" s="142" t="inlineStr">
        <is>
          <t>김수희</t>
        </is>
      </c>
      <c r="D25" s="142" t="inlineStr"/>
      <c r="E25" s="143" t="n">
        <v>46293</v>
      </c>
      <c r="F25" s="143" t="n">
        <v>46293</v>
      </c>
      <c r="G25" s="142" t="inlineStr">
        <is>
          <t>우리카드</t>
        </is>
      </c>
      <c r="H25" s="142" t="inlineStr">
        <is>
          <t>8월 카드대금</t>
        </is>
      </c>
      <c r="I25" s="144" t="n">
        <v>25346349</v>
      </c>
      <c r="J25" s="142" t="inlineStr">
        <is>
          <t>자동이체</t>
        </is>
      </c>
      <c r="K25" s="142" t="inlineStr"/>
      <c r="L25" s="142" t="inlineStr">
        <is>
          <t>확정</t>
        </is>
      </c>
      <c r="M25" s="142" t="inlineStr">
        <is>
          <t>변경</t>
        </is>
      </c>
      <c r="N25" s="143" t="n">
        <v>46287</v>
      </c>
      <c r="O25" s="142" t="inlineStr">
        <is>
          <t>지출계획_2026-09-22.xlsx</t>
        </is>
      </c>
      <c r="P25" s="142" t="inlineStr">
        <is>
          <t>정상반영</t>
        </is>
      </c>
      <c r="Q25" s="142" t="inlineStr"/>
    </row>
    <row r="26">
      <c r="A26" s="142" t="inlineStr">
        <is>
          <t>경영-20260918-008</t>
        </is>
      </c>
      <c r="B26" s="142" t="inlineStr">
        <is>
          <t>경영지원팀</t>
        </is>
      </c>
      <c r="C26" s="142" t="inlineStr">
        <is>
          <t>김수희</t>
        </is>
      </c>
      <c r="D26" s="142" t="inlineStr"/>
      <c r="E26" s="143" t="n">
        <v>46293</v>
      </c>
      <c r="F26" s="143" t="n">
        <v>46293</v>
      </c>
      <c r="G26" s="142" t="inlineStr">
        <is>
          <t>메트라이프</t>
        </is>
      </c>
      <c r="H26" s="142" t="inlineStr">
        <is>
          <t>정기보험_42회차</t>
        </is>
      </c>
      <c r="I26" s="144" t="n">
        <v>2497000</v>
      </c>
      <c r="J26" s="142" t="inlineStr">
        <is>
          <t>자동이체</t>
        </is>
      </c>
      <c r="K26" s="142" t="inlineStr"/>
      <c r="L26" s="142" t="inlineStr">
        <is>
          <t>확정</t>
        </is>
      </c>
      <c r="M26" s="142" t="inlineStr">
        <is>
          <t>변경</t>
        </is>
      </c>
      <c r="N26" s="143" t="n">
        <v>46287</v>
      </c>
      <c r="O26" s="142" t="inlineStr">
        <is>
          <t>지출계획_2026-09-22.xlsx</t>
        </is>
      </c>
      <c r="P26" s="142" t="inlineStr">
        <is>
          <t>정상반영</t>
        </is>
      </c>
      <c r="Q26" s="142" t="inlineStr"/>
    </row>
    <row r="27">
      <c r="A27" s="142" t="inlineStr">
        <is>
          <t>경영-20260918-009</t>
        </is>
      </c>
      <c r="B27" s="142" t="inlineStr">
        <is>
          <t>경영지원팀</t>
        </is>
      </c>
      <c r="C27" s="142" t="inlineStr">
        <is>
          <t>김수희</t>
        </is>
      </c>
      <c r="D27" s="142" t="inlineStr"/>
      <c r="E27" s="143" t="n">
        <v>46293</v>
      </c>
      <c r="F27" s="143" t="n">
        <v>46293</v>
      </c>
      <c r="G27" s="142" t="inlineStr">
        <is>
          <t>KT</t>
        </is>
      </c>
      <c r="H27" s="142" t="inlineStr">
        <is>
          <t>통신비</t>
        </is>
      </c>
      <c r="I27" s="144" t="n">
        <v>109450</v>
      </c>
      <c r="J27" s="142" t="inlineStr">
        <is>
          <t>자동이체</t>
        </is>
      </c>
      <c r="K27" s="142" t="inlineStr"/>
      <c r="L27" s="142" t="inlineStr">
        <is>
          <t>확정</t>
        </is>
      </c>
      <c r="M27" s="142" t="inlineStr">
        <is>
          <t>변경</t>
        </is>
      </c>
      <c r="N27" s="143" t="n">
        <v>46287</v>
      </c>
      <c r="O27" s="142" t="inlineStr">
        <is>
          <t>지출계획_2026-09-22.xlsx</t>
        </is>
      </c>
      <c r="P27" s="142" t="inlineStr">
        <is>
          <t>정상반영</t>
        </is>
      </c>
      <c r="Q27" s="142" t="inlineStr"/>
    </row>
    <row r="28">
      <c r="A28" s="142" t="inlineStr">
        <is>
          <t>경영-20260922-007</t>
        </is>
      </c>
      <c r="B28" s="142" t="inlineStr">
        <is>
          <t>경영지원팀</t>
        </is>
      </c>
      <c r="C28" s="142" t="inlineStr">
        <is>
          <t>김수희</t>
        </is>
      </c>
      <c r="D28" s="142" t="inlineStr"/>
      <c r="E28" s="143" t="n">
        <v>46293</v>
      </c>
      <c r="F28" s="143" t="n">
        <v>46293</v>
      </c>
      <c r="G28" s="142" t="inlineStr">
        <is>
          <t>농협카드</t>
        </is>
      </c>
      <c r="H28" s="142" t="inlineStr">
        <is>
          <t>8월 카드대금</t>
        </is>
      </c>
      <c r="I28" s="144" t="n">
        <v>4610000</v>
      </c>
      <c r="J28" s="142" t="inlineStr">
        <is>
          <t>자동이체</t>
        </is>
      </c>
      <c r="K28" s="142" t="inlineStr"/>
      <c r="L28" s="142" t="inlineStr">
        <is>
          <t>확정</t>
        </is>
      </c>
      <c r="M28" s="142" t="inlineStr">
        <is>
          <t>신규</t>
        </is>
      </c>
      <c r="N28" s="143" t="n">
        <v>46287</v>
      </c>
      <c r="O28" s="142" t="inlineStr">
        <is>
          <t>지출계획_2026-09-22.xlsx</t>
        </is>
      </c>
      <c r="P28" s="142" t="inlineStr">
        <is>
          <t>정상반영</t>
        </is>
      </c>
      <c r="Q28" s="142" t="inlineStr"/>
    </row>
    <row r="29">
      <c r="A29" s="142" t="inlineStr">
        <is>
          <t>데이터-20260921-001</t>
        </is>
      </c>
      <c r="B29" s="142" t="inlineStr">
        <is>
          <t>데이터사이언스팀</t>
        </is>
      </c>
      <c r="C29" s="142" t="inlineStr">
        <is>
          <t>조성윤</t>
        </is>
      </c>
      <c r="D29" s="142" t="inlineStr"/>
      <c r="E29" s="143" t="n">
        <v>46293</v>
      </c>
      <c r="F29" s="143" t="n">
        <v>46293</v>
      </c>
      <c r="G29" s="142" t="inlineStr">
        <is>
          <t>엘앤에이치컴퍼니</t>
        </is>
      </c>
      <c r="H29" s="142" t="inlineStr">
        <is>
          <t>흥덕IT밸리_사무실 임대료</t>
        </is>
      </c>
      <c r="I29" s="144" t="n">
        <v>1650000</v>
      </c>
      <c r="J29" s="142" t="inlineStr">
        <is>
          <t>계좌송금</t>
        </is>
      </c>
      <c r="K29" s="142" t="inlineStr"/>
      <c r="L29" s="142" t="inlineStr">
        <is>
          <t>확정</t>
        </is>
      </c>
      <c r="M29" s="142" t="inlineStr">
        <is>
          <t>신규</t>
        </is>
      </c>
      <c r="N29" s="143" t="n">
        <v>46286</v>
      </c>
      <c r="O29" s="142" t="inlineStr">
        <is>
          <t>지출계획_2026-09-22.xlsx</t>
        </is>
      </c>
      <c r="P29" s="142" t="inlineStr">
        <is>
          <t>정상반영</t>
        </is>
      </c>
      <c r="Q29" s="142" t="inlineStr"/>
    </row>
    <row r="30">
      <c r="A30" s="142" t="inlineStr">
        <is>
          <t>건강-20260922-001</t>
        </is>
      </c>
      <c r="B30" s="142" t="inlineStr">
        <is>
          <t>건강사업팀</t>
        </is>
      </c>
      <c r="C30" s="142" t="inlineStr">
        <is>
          <t>양혜원</t>
        </is>
      </c>
      <c r="D30" s="142" t="inlineStr"/>
      <c r="E30" s="143" t="n">
        <v>46294</v>
      </c>
      <c r="F30" s="143" t="n">
        <v>46294</v>
      </c>
      <c r="G30" s="142" t="inlineStr">
        <is>
          <t>네이버</t>
        </is>
      </c>
      <c r="H30" s="142" t="inlineStr">
        <is>
          <t>네이버 톡톡 발송</t>
        </is>
      </c>
      <c r="I30" s="144" t="n">
        <v>500000</v>
      </c>
      <c r="J30" s="142" t="inlineStr">
        <is>
          <t>계좌송금</t>
        </is>
      </c>
      <c r="K30" s="142" t="inlineStr"/>
      <c r="L30" s="142" t="inlineStr">
        <is>
          <t>확정</t>
        </is>
      </c>
      <c r="M30" s="142" t="inlineStr">
        <is>
          <t>신규</t>
        </is>
      </c>
      <c r="N30" s="143" t="n">
        <v>46287</v>
      </c>
      <c r="O30" s="142" t="inlineStr">
        <is>
          <t>지출계획_2026-09-22.xlsx</t>
        </is>
      </c>
      <c r="P30" s="142" t="inlineStr">
        <is>
          <t>정상반영</t>
        </is>
      </c>
      <c r="Q30" s="142" t="inlineStr"/>
    </row>
    <row r="31">
      <c r="A31" s="142" t="inlineStr">
        <is>
          <t>건강-20260922-002</t>
        </is>
      </c>
      <c r="B31" s="142" t="inlineStr">
        <is>
          <t>건강사업팀</t>
        </is>
      </c>
      <c r="C31" s="142" t="inlineStr">
        <is>
          <t>신민경</t>
        </is>
      </c>
      <c r="D31" s="142" t="inlineStr"/>
      <c r="E31" s="143" t="n">
        <v>46294</v>
      </c>
      <c r="F31" s="143" t="n">
        <v>46294</v>
      </c>
      <c r="G31" s="142" t="inlineStr">
        <is>
          <t>정상은(이준이서맘)</t>
        </is>
      </c>
      <c r="H31" s="142" t="inlineStr">
        <is>
          <t>인스타그램 효소 홍보</t>
        </is>
      </c>
      <c r="I31" s="144" t="n">
        <v>500000</v>
      </c>
      <c r="J31" s="142" t="inlineStr">
        <is>
          <t>계좌송금</t>
        </is>
      </c>
      <c r="K31" s="142" t="inlineStr"/>
      <c r="L31" s="142" t="inlineStr">
        <is>
          <t>확정</t>
        </is>
      </c>
      <c r="M31" s="142" t="inlineStr">
        <is>
          <t>신규</t>
        </is>
      </c>
      <c r="N31" s="143" t="n">
        <v>46287</v>
      </c>
      <c r="O31" s="142" t="inlineStr">
        <is>
          <t>지출계획_2026-09-22.xlsx</t>
        </is>
      </c>
      <c r="P31" s="142" t="inlineStr">
        <is>
          <t>정상반영</t>
        </is>
      </c>
      <c r="Q31" s="142" t="inlineStr"/>
    </row>
    <row r="32">
      <c r="A32" s="142" t="inlineStr">
        <is>
          <t>건강-20260922-003</t>
        </is>
      </c>
      <c r="B32" s="142" t="inlineStr">
        <is>
          <t>건강사업팀</t>
        </is>
      </c>
      <c r="C32" s="142" t="inlineStr">
        <is>
          <t>신민경</t>
        </is>
      </c>
      <c r="D32" s="142" t="inlineStr"/>
      <c r="E32" s="143" t="n">
        <v>46295</v>
      </c>
      <c r="F32" s="143" t="n">
        <v>46295</v>
      </c>
      <c r="G32" s="142" t="inlineStr">
        <is>
          <t>(주) 오애드</t>
        </is>
      </c>
      <c r="H32" s="142" t="inlineStr">
        <is>
          <t>호기심딱지 8월 정산</t>
        </is>
      </c>
      <c r="I32" s="144" t="n">
        <v>880000</v>
      </c>
      <c r="J32" s="142" t="inlineStr">
        <is>
          <t>계좌송금</t>
        </is>
      </c>
      <c r="K32" s="142" t="inlineStr"/>
      <c r="L32" s="142" t="inlineStr">
        <is>
          <t>확정</t>
        </is>
      </c>
      <c r="M32" s="142" t="inlineStr">
        <is>
          <t>신규</t>
        </is>
      </c>
      <c r="N32" s="143" t="n">
        <v>46287</v>
      </c>
      <c r="O32" s="142" t="inlineStr">
        <is>
          <t>지출계획_2026-09-22.xlsx</t>
        </is>
      </c>
      <c r="P32" s="142" t="inlineStr">
        <is>
          <t>정상반영</t>
        </is>
      </c>
      <c r="Q32" s="142" t="inlineStr"/>
    </row>
    <row r="33">
      <c r="A33" s="142" t="inlineStr">
        <is>
          <t>건강-20260922-004</t>
        </is>
      </c>
      <c r="B33" s="142" t="inlineStr">
        <is>
          <t>건강사업팀</t>
        </is>
      </c>
      <c r="C33" s="142" t="inlineStr">
        <is>
          <t>양혜원</t>
        </is>
      </c>
      <c r="D33" s="142" t="inlineStr"/>
      <c r="E33" s="143" t="n">
        <v>46295</v>
      </c>
      <c r="F33" s="143" t="n">
        <v>46295</v>
      </c>
      <c r="G33" s="142" t="inlineStr">
        <is>
          <t>카카오톡 비즈니스</t>
        </is>
      </c>
      <c r="H33" s="142" t="inlineStr">
        <is>
          <t>자사 카드뷰 발송</t>
        </is>
      </c>
      <c r="I33" s="144" t="n">
        <v>200000</v>
      </c>
      <c r="J33" s="142" t="inlineStr">
        <is>
          <t>계좌송금</t>
        </is>
      </c>
      <c r="K33" s="142" t="inlineStr"/>
      <c r="L33" s="142" t="inlineStr">
        <is>
          <t>확정</t>
        </is>
      </c>
      <c r="M33" s="142" t="inlineStr">
        <is>
          <t>신규</t>
        </is>
      </c>
      <c r="N33" s="143" t="n">
        <v>46287</v>
      </c>
      <c r="O33" s="142" t="inlineStr">
        <is>
          <t>지출계획_2026-09-22.xlsx</t>
        </is>
      </c>
      <c r="P33" s="142" t="inlineStr">
        <is>
          <t>정상반영</t>
        </is>
      </c>
      <c r="Q33" s="142" t="inlineStr"/>
    </row>
    <row r="34">
      <c r="A34" s="142" t="inlineStr">
        <is>
          <t>경영-20260918-010</t>
        </is>
      </c>
      <c r="B34" s="142" t="inlineStr">
        <is>
          <t>경영지원팀</t>
        </is>
      </c>
      <c r="C34" s="142" t="inlineStr">
        <is>
          <t>송채은</t>
        </is>
      </c>
      <c r="D34" s="142" t="inlineStr"/>
      <c r="E34" s="143" t="n">
        <v>46295</v>
      </c>
      <c r="F34" s="143" t="n">
        <v>46295</v>
      </c>
      <c r="G34" s="142" t="inlineStr">
        <is>
          <t>서원회계법인</t>
        </is>
      </c>
      <c r="H34" s="142" t="inlineStr">
        <is>
          <t>기장료</t>
        </is>
      </c>
      <c r="I34" s="144" t="n">
        <v>330000</v>
      </c>
      <c r="J34" s="142" t="inlineStr">
        <is>
          <t>계좌송금</t>
        </is>
      </c>
      <c r="K34" s="142" t="inlineStr"/>
      <c r="L34" s="142" t="inlineStr">
        <is>
          <t>확정</t>
        </is>
      </c>
      <c r="M34" s="142" t="inlineStr">
        <is>
          <t>신규</t>
        </is>
      </c>
      <c r="N34" s="143" t="n">
        <v>46283</v>
      </c>
      <c r="O34" s="142" t="inlineStr">
        <is>
          <t>지출계획_2026-09-22.xlsx</t>
        </is>
      </c>
      <c r="P34" s="142" t="inlineStr">
        <is>
          <t>에이팜 별도관리</t>
        </is>
      </c>
      <c r="Q34" s="142" t="inlineStr"/>
    </row>
    <row r="35">
      <c r="A35" s="142" t="inlineStr">
        <is>
          <t>경영-20260918-013</t>
        </is>
      </c>
      <c r="B35" s="142" t="inlineStr">
        <is>
          <t>경영지원팀</t>
        </is>
      </c>
      <c r="C35" s="142" t="inlineStr">
        <is>
          <t>송채은</t>
        </is>
      </c>
      <c r="D35" s="142" t="inlineStr"/>
      <c r="E35" s="143" t="n">
        <v>46295</v>
      </c>
      <c r="F35" s="143" t="n">
        <v>46295</v>
      </c>
      <c r="G35" s="142" t="inlineStr">
        <is>
          <t>가가사무기</t>
        </is>
      </c>
      <c r="H35" s="142" t="inlineStr">
        <is>
          <t>복합기 9월 임대비용</t>
        </is>
      </c>
      <c r="I35" s="144" t="n">
        <v>280000</v>
      </c>
      <c r="J35" s="142" t="inlineStr">
        <is>
          <t>계좌송금</t>
        </is>
      </c>
      <c r="K35" s="142" t="inlineStr"/>
      <c r="L35" s="142" t="inlineStr">
        <is>
          <t>확정</t>
        </is>
      </c>
      <c r="M35" s="142" t="inlineStr">
        <is>
          <t>신규</t>
        </is>
      </c>
      <c r="N35" s="143" t="n">
        <v>46283</v>
      </c>
      <c r="O35" s="142" t="inlineStr">
        <is>
          <t>지출계획_2026-09-22.xlsx</t>
        </is>
      </c>
      <c r="P35" s="142" t="inlineStr">
        <is>
          <t>에이팜 별도관리</t>
        </is>
      </c>
      <c r="Q35" s="142" t="inlineStr"/>
    </row>
    <row r="36">
      <c r="A36" s="142" t="inlineStr">
        <is>
          <t>경영-20260918-014</t>
        </is>
      </c>
      <c r="B36" s="142" t="inlineStr">
        <is>
          <t>경영지원팀</t>
        </is>
      </c>
      <c r="C36" s="142" t="inlineStr">
        <is>
          <t>송채은</t>
        </is>
      </c>
      <c r="D36" s="142" t="inlineStr"/>
      <c r="E36" s="143" t="n">
        <v>46295</v>
      </c>
      <c r="F36" s="143" t="n">
        <v>46295</v>
      </c>
      <c r="G36" s="142" t="inlineStr">
        <is>
          <t>대구상공회의소</t>
        </is>
      </c>
      <c r="H36" s="142" t="inlineStr">
        <is>
          <t>하반기연회비</t>
        </is>
      </c>
      <c r="I36" s="144" t="n">
        <v>250000</v>
      </c>
      <c r="J36" s="142" t="inlineStr">
        <is>
          <t>계좌송금</t>
        </is>
      </c>
      <c r="K36" s="142" t="inlineStr"/>
      <c r="L36" s="142" t="inlineStr">
        <is>
          <t>확정</t>
        </is>
      </c>
      <c r="M36" s="142" t="inlineStr">
        <is>
          <t>신규</t>
        </is>
      </c>
      <c r="N36" s="143" t="n">
        <v>46283</v>
      </c>
      <c r="O36" s="142" t="inlineStr">
        <is>
          <t>지출계획_2026-09-22.xlsx</t>
        </is>
      </c>
      <c r="P36" s="142" t="inlineStr">
        <is>
          <t>에이팜 별도관리</t>
        </is>
      </c>
      <c r="Q36" s="142" t="inlineStr"/>
    </row>
    <row r="37">
      <c r="A37" s="142" t="inlineStr">
        <is>
          <t>경영-20260922-006</t>
        </is>
      </c>
      <c r="B37" s="142" t="inlineStr">
        <is>
          <t>경영지원팀</t>
        </is>
      </c>
      <c r="C37" s="142" t="inlineStr">
        <is>
          <t>송채은</t>
        </is>
      </c>
      <c r="D37" s="142" t="inlineStr"/>
      <c r="E37" s="143" t="n">
        <v>46295</v>
      </c>
      <c r="F37" s="143" t="n">
        <v>46295</v>
      </c>
      <c r="G37" s="142" t="inlineStr">
        <is>
          <t>달서구청</t>
        </is>
      </c>
      <c r="H37" s="142" t="inlineStr">
        <is>
          <t>2026년 토지재산세</t>
        </is>
      </c>
      <c r="I37" s="144" t="n">
        <v>315520</v>
      </c>
      <c r="J37" s="142" t="inlineStr">
        <is>
          <t>계좌송금</t>
        </is>
      </c>
      <c r="K37" s="142" t="inlineStr"/>
      <c r="L37" s="142" t="inlineStr">
        <is>
          <t>확정</t>
        </is>
      </c>
      <c r="M37" s="142" t="inlineStr">
        <is>
          <t>신규</t>
        </is>
      </c>
      <c r="N37" s="143" t="n">
        <v>46287</v>
      </c>
      <c r="O37" s="142" t="inlineStr">
        <is>
          <t>지출계획_2026-09-22.xlsx</t>
        </is>
      </c>
      <c r="P37" s="142" t="inlineStr">
        <is>
          <t>에이팜 별도관리</t>
        </is>
      </c>
      <c r="Q37" s="142" t="inlineStr"/>
    </row>
    <row r="38" hidden="1">
      <c r="A38" s="142" t="inlineStr">
        <is>
          <t>경영-20260922-008</t>
        </is>
      </c>
      <c r="B38" s="142" t="inlineStr">
        <is>
          <t>경영지원팀</t>
        </is>
      </c>
      <c r="C38" s="142" t="inlineStr">
        <is>
          <t>장은총</t>
        </is>
      </c>
      <c r="D38" s="142" t="inlineStr"/>
      <c r="E38" s="143" t="n">
        <v>46293</v>
      </c>
      <c r="F38" s="143" t="n">
        <v>46318</v>
      </c>
      <c r="G38" s="142" t="inlineStr">
        <is>
          <t>위버</t>
        </is>
      </c>
      <c r="H38" s="142" t="inlineStr">
        <is>
          <t>워크샵 (1부/2부) 이용료</t>
        </is>
      </c>
      <c r="I38" s="144" t="n">
        <v>1675000</v>
      </c>
      <c r="J38" s="142" t="inlineStr">
        <is>
          <t>법인카드</t>
        </is>
      </c>
      <c r="K38" s="142" t="inlineStr">
        <is>
          <t>우리카드</t>
        </is>
      </c>
      <c r="L38" s="142" t="inlineStr">
        <is>
          <t>확정</t>
        </is>
      </c>
      <c r="M38" s="142" t="inlineStr">
        <is>
          <t>신규</t>
        </is>
      </c>
      <c r="N38" s="143" t="n">
        <v>46287</v>
      </c>
      <c r="O38" s="142" t="inlineStr">
        <is>
          <t>지출계획_2026-09-22.xlsx</t>
        </is>
      </c>
      <c r="P38" s="142" t="inlineStr">
        <is>
          <t>정상반영</t>
        </is>
      </c>
      <c r="Q38" s="142" t="inlineStr"/>
    </row>
    <row r="39"/>
  </sheetData>
  <autoFilter ref="A5:Q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46287</v>
      </c>
      <c r="B7" s="230" t="inlineStr">
        <is>
          <t>화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(대외비)</t>
        </is>
      </c>
      <c r="G7" s="230" t="inlineStr">
        <is>
          <t>급여·인건비(대외비)</t>
        </is>
      </c>
      <c r="H7" s="231" t="n">
        <v>4600000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46288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비씨카드</t>
        </is>
      </c>
      <c r="G8" s="230" t="inlineStr">
        <is>
          <t>8월카드대금</t>
        </is>
      </c>
      <c r="H8" s="231" t="n">
        <v>269810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서원회계법인</t>
        </is>
      </c>
      <c r="G9" s="230" t="inlineStr">
        <is>
          <t>기장료</t>
        </is>
      </c>
      <c r="H9" s="231" t="n">
        <v>330000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달서구청</t>
        </is>
      </c>
      <c r="G10" s="230" t="inlineStr">
        <is>
          <t>2026년 토지재산세</t>
        </is>
      </c>
      <c r="H10" s="231" t="n">
        <v>315520</v>
      </c>
      <c r="I10" s="230" t="inlineStr">
        <is>
          <t>계좌송금</t>
        </is>
      </c>
      <c r="J10" s="230" t="inlineStr">
        <is>
          <t>에이팜</t>
        </is>
      </c>
    </row>
    <row r="11">
      <c r="A11" s="229" t="n">
        <v>46295</v>
      </c>
      <c r="B11" s="230" t="inlineStr">
        <is>
          <t>수</t>
        </is>
      </c>
      <c r="C11" s="230" t="inlineStr">
        <is>
          <t>팀 지출계획</t>
        </is>
      </c>
      <c r="D11" s="230" t="inlineStr">
        <is>
          <t>미반영(별도 관리)</t>
        </is>
      </c>
      <c r="E11" s="230" t="inlineStr">
        <is>
          <t>경영지원팀</t>
        </is>
      </c>
      <c r="F11" s="230" t="inlineStr">
        <is>
          <t>가가사무기</t>
        </is>
      </c>
      <c r="G11" s="230" t="inlineStr">
        <is>
          <t>복합기 9월 임대비용</t>
        </is>
      </c>
      <c r="H11" s="231" t="n">
        <v>280000</v>
      </c>
      <c r="I11" s="230" t="inlineStr">
        <is>
          <t>계좌송금</t>
        </is>
      </c>
      <c r="J11" s="230" t="inlineStr">
        <is>
          <t>에이팜</t>
        </is>
      </c>
    </row>
    <row r="12">
      <c r="A12" s="229" t="n">
        <v>46295</v>
      </c>
      <c r="B12" s="230" t="inlineStr">
        <is>
          <t>수</t>
        </is>
      </c>
      <c r="C12" s="230" t="inlineStr">
        <is>
          <t>팀 지출계획</t>
        </is>
      </c>
      <c r="D12" s="230" t="inlineStr">
        <is>
          <t>미반영(별도 관리)</t>
        </is>
      </c>
      <c r="E12" s="230" t="inlineStr">
        <is>
          <t>경영지원팀</t>
        </is>
      </c>
      <c r="F12" s="230" t="inlineStr">
        <is>
          <t>대구상공회의소</t>
        </is>
      </c>
      <c r="G12" s="230" t="inlineStr">
        <is>
          <t>하반기연회비</t>
        </is>
      </c>
      <c r="H12" s="231" t="n">
        <v>250000</v>
      </c>
      <c r="I12" s="230" t="inlineStr">
        <is>
          <t>계좌송금</t>
        </is>
      </c>
      <c r="J12" s="230" t="inlineStr">
        <is>
          <t>에이팜</t>
        </is>
      </c>
    </row>
    <row r="13">
      <c r="G13" s="232" t="inlineStr">
        <is>
          <t>합계(자금계획 미반영)</t>
        </is>
      </c>
      <c r="H13" s="233" t="n">
        <v>7599050</v>
      </c>
    </row>
    <row r="1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46280.42652777778</v>
      </c>
      <c r="B73" s="147" t="n">
        <v>46280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68600</v>
      </c>
      <c r="G73" s="148" t="n">
        <v>155520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68600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46280.42721064815</v>
      </c>
      <c r="B74" s="147" t="n">
        <v>46280</v>
      </c>
      <c r="C74" s="67" t="inlineStr">
        <is>
          <t>국민은행</t>
        </is>
      </c>
      <c r="D74" s="67" t="inlineStr">
        <is>
          <t>국민 169124</t>
        </is>
      </c>
      <c r="E74" s="148" t="n">
        <v>0</v>
      </c>
      <c r="F74" s="148" t="n">
        <v>1472990</v>
      </c>
      <c r="G74" s="148" t="n">
        <v>101472990</v>
      </c>
      <c r="H74" s="75" t="inlineStr">
        <is>
          <t>기일입금</t>
        </is>
      </c>
      <c r="I74" s="75" t="inlineStr">
        <is>
          <t>(주)에이팜건강</t>
        </is>
      </c>
      <c r="J74" s="75" t="inlineStr">
        <is>
          <t>진천역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46280.43946759259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34000</v>
      </c>
      <c r="G75" s="148" t="n">
        <v>189520</v>
      </c>
      <c r="H75" s="75" t="inlineStr">
        <is>
          <t>폰토스뱅크</t>
        </is>
      </c>
      <c r="I75" s="75" t="inlineStr">
        <is>
          <t>김수희</t>
        </is>
      </c>
      <c r="J75" s="75" t="inlineStr">
        <is>
          <t>토스뱅크 0921008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34000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46280.81505787037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785790</v>
      </c>
      <c r="F76" s="148" t="n">
        <v>0</v>
      </c>
      <c r="G76" s="148" t="n">
        <v>100687200</v>
      </c>
      <c r="H76" s="75" t="inlineStr">
        <is>
          <t>FBS출금</t>
        </is>
      </c>
      <c r="I76" s="75" t="inlineStr">
        <is>
          <t>삼성09016건</t>
        </is>
      </c>
      <c r="J76" s="75" t="inlineStr">
        <is>
          <t>ERP사</t>
        </is>
      </c>
      <c r="K76" s="67" t="inlineStr">
        <is>
          <t>보험료</t>
        </is>
      </c>
      <c r="L76" s="67" t="inlineStr">
        <is>
          <t>N</t>
        </is>
      </c>
      <c r="M76" s="67" t="inlineStr">
        <is>
          <t>Y</t>
        </is>
      </c>
      <c r="N76" s="148" t="n">
        <v>-785790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46281.10140046296</v>
      </c>
      <c r="B77" s="147" t="n">
        <v>46281</v>
      </c>
      <c r="C77" s="67" t="inlineStr">
        <is>
          <t>우리은행</t>
        </is>
      </c>
      <c r="D77" s="67" t="inlineStr">
        <is>
          <t>우리 220351</t>
        </is>
      </c>
      <c r="E77" s="148" t="n">
        <v>0</v>
      </c>
      <c r="F77" s="148" t="n">
        <v>7176912</v>
      </c>
      <c r="G77" s="148" t="n">
        <v>9629253</v>
      </c>
      <c r="H77" s="75" t="inlineStr">
        <is>
          <t>펌뱅킹</t>
        </is>
      </c>
      <c r="I77" s="75" t="inlineStr">
        <is>
          <t>스마트스토어정산</t>
        </is>
      </c>
      <c r="J77" s="75" t="inlineStr">
        <is>
          <t>두산타워기업영업지원팀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7176912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46281.12967592593</v>
      </c>
      <c r="B78" s="147" t="n">
        <v>46281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5776</v>
      </c>
      <c r="G78" s="148" t="n">
        <v>17222728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5776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46281.2155787037</v>
      </c>
      <c r="B79" s="147" t="n">
        <v>46281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1333398</v>
      </c>
      <c r="G79" s="148" t="n">
        <v>1522918</v>
      </c>
      <c r="H79" s="75" t="inlineStr">
        <is>
          <t>BC카드</t>
        </is>
      </c>
      <c r="I79" s="75" t="inlineStr">
        <is>
          <t>726168386BC</t>
        </is>
      </c>
      <c r="J79" s="75" t="inlineStr">
        <is>
          <t>농협 000998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1333398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46281.40854166666</v>
      </c>
      <c r="B80" s="147" t="n">
        <v>46281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80278</v>
      </c>
      <c r="G80" s="148" t="n">
        <v>1603196</v>
      </c>
      <c r="H80" s="75" t="inlineStr">
        <is>
          <t>PC-SC제일</t>
        </is>
      </c>
      <c r="I80" s="75" t="inlineStr">
        <is>
          <t>롯데45933388</t>
        </is>
      </c>
      <c r="J80" s="75" t="inlineStr">
        <is>
          <t>SC제일 0231040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80278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46281.45313657408</v>
      </c>
      <c r="B81" s="147" t="n">
        <v>46281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398851</v>
      </c>
      <c r="G81" s="148" t="n">
        <v>17621579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398851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46281.4655324074</v>
      </c>
      <c r="B82" s="147" t="n">
        <v>46281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76235</v>
      </c>
      <c r="G82" s="148" t="n">
        <v>17697814</v>
      </c>
      <c r="H82" s="75" t="inlineStr">
        <is>
          <t>전자금융</t>
        </is>
      </c>
      <c r="I82" s="75" t="inlineStr">
        <is>
          <t>KG이니시스</t>
        </is>
      </c>
      <c r="J82" s="75" t="inlineStr">
        <is>
          <t>하나은행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76235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46281.55491898148</v>
      </c>
      <c r="B83" s="147" t="n">
        <v>46281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60800</v>
      </c>
      <c r="G83" s="148" t="n">
        <v>1663996</v>
      </c>
      <c r="H83" s="75" t="inlineStr">
        <is>
          <t>NH콕송금</t>
        </is>
      </c>
      <c r="I83" s="75" t="inlineStr">
        <is>
          <t>조민경</t>
        </is>
      </c>
      <c r="J83" s="75" t="inlineStr">
        <is>
          <t>농협 150020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60800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46281.72231481481</v>
      </c>
      <c r="B84" s="147" t="n">
        <v>46281</v>
      </c>
      <c r="C84" s="67" t="inlineStr">
        <is>
          <t>우리은행</t>
        </is>
      </c>
      <c r="D84" s="67" t="inlineStr">
        <is>
          <t>우리 220351</t>
        </is>
      </c>
      <c r="E84" s="148" t="n">
        <v>40000</v>
      </c>
      <c r="F84" s="148" t="n">
        <v>0</v>
      </c>
      <c r="G84" s="148" t="n">
        <v>9589253</v>
      </c>
      <c r="H84" s="75" t="inlineStr">
        <is>
          <t>전자결제</t>
        </is>
      </c>
      <c r="I84" s="75" t="inlineStr">
        <is>
          <t>(사)한국</t>
        </is>
      </c>
      <c r="J84" s="75" t="inlineStr">
        <is>
          <t>자금부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-40000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46281.72320601852</v>
      </c>
      <c r="B85" s="147" t="n">
        <v>46281</v>
      </c>
      <c r="C85" s="67" t="inlineStr">
        <is>
          <t>우리은행</t>
        </is>
      </c>
      <c r="D85" s="67" t="inlineStr">
        <is>
          <t>우리 220351</t>
        </is>
      </c>
      <c r="E85" s="148" t="n">
        <v>2002000</v>
      </c>
      <c r="F85" s="148" t="n">
        <v>0</v>
      </c>
      <c r="G85" s="148" t="n">
        <v>7587253</v>
      </c>
      <c r="H85" s="75" t="inlineStr">
        <is>
          <t>인터넷</t>
        </is>
      </c>
      <c r="I85" s="75" t="inlineStr">
        <is>
          <t>국민네이버 apha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Y</t>
        </is>
      </c>
      <c r="N85" s="148" t="n">
        <v>-2002000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46281.90350694444</v>
      </c>
      <c r="B86" s="147" t="n">
        <v>46281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105760</v>
      </c>
      <c r="G86" s="148" t="n">
        <v>17803574</v>
      </c>
      <c r="H86" s="75" t="inlineStr">
        <is>
          <t>전자금융</t>
        </is>
      </c>
      <c r="I86" s="75" t="inlineStr">
        <is>
          <t>도정은</t>
        </is>
      </c>
      <c r="J86" s="75" t="inlineStr">
        <is>
          <t>신한은행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105760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46282.11561342593</v>
      </c>
      <c r="B87" s="147" t="n">
        <v>46282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6519025</v>
      </c>
      <c r="G87" s="148" t="n">
        <v>14106278</v>
      </c>
      <c r="H87" s="75" t="inlineStr">
        <is>
          <t>펌뱅킹</t>
        </is>
      </c>
      <c r="I87" s="75" t="inlineStr">
        <is>
          <t>스마트스토어정산</t>
        </is>
      </c>
      <c r="J87" s="75" t="inlineStr">
        <is>
          <t>두산타워기업영업지원팀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6519025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46282.14266203704</v>
      </c>
      <c r="B88" s="147" t="n">
        <v>46282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32729</v>
      </c>
      <c r="G88" s="148" t="n">
        <v>17836303</v>
      </c>
      <c r="H88" s="75" t="inlineStr">
        <is>
          <t>전자금융</t>
        </is>
      </c>
      <c r="I88" s="75" t="inlineStr">
        <is>
          <t>Npay정산</t>
        </is>
      </c>
      <c r="J88" s="75" t="inlineStr">
        <is>
          <t>SC은행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32729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46282.46387731482</v>
      </c>
      <c r="B89" s="147" t="n">
        <v>46282</v>
      </c>
      <c r="C89" s="67" t="inlineStr">
        <is>
          <t>국민은행</t>
        </is>
      </c>
      <c r="D89" s="67" t="inlineStr">
        <is>
          <t>국민 154577</t>
        </is>
      </c>
      <c r="E89" s="148" t="n">
        <v>0</v>
      </c>
      <c r="F89" s="148" t="n">
        <v>708904</v>
      </c>
      <c r="G89" s="148" t="n">
        <v>18545207</v>
      </c>
      <c r="H89" s="75" t="inlineStr">
        <is>
          <t>전자금융</t>
        </is>
      </c>
      <c r="I89" s="75" t="inlineStr">
        <is>
          <t>KG이니시스</t>
        </is>
      </c>
      <c r="J89" s="75" t="inlineStr">
        <is>
          <t>하나은행</t>
        </is>
      </c>
      <c r="K89" s="67" t="inlineStr">
        <is>
          <t>온라인매출입금</t>
        </is>
      </c>
      <c r="L89" s="67" t="inlineStr">
        <is>
          <t>N</t>
        </is>
      </c>
      <c r="M89" s="67" t="inlineStr">
        <is>
          <t>N</t>
        </is>
      </c>
      <c r="N89" s="148" t="n">
        <v>708904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46282.46910879629</v>
      </c>
      <c r="B90" s="147" t="n">
        <v>46282</v>
      </c>
      <c r="C90" s="67" t="inlineStr">
        <is>
          <t>국민은행</t>
        </is>
      </c>
      <c r="D90" s="67" t="inlineStr">
        <is>
          <t>국민 154577</t>
        </is>
      </c>
      <c r="E90" s="148" t="n">
        <v>0</v>
      </c>
      <c r="F90" s="148" t="n">
        <v>188773</v>
      </c>
      <c r="G90" s="148" t="n">
        <v>18733980</v>
      </c>
      <c r="H90" s="75" t="inlineStr">
        <is>
          <t>전자금융</t>
        </is>
      </c>
      <c r="I90" s="75" t="inlineStr">
        <is>
          <t>KG이니시스</t>
        </is>
      </c>
      <c r="J90" s="75" t="inlineStr">
        <is>
          <t>하나은행</t>
        </is>
      </c>
      <c r="K90" s="67" t="inlineStr">
        <is>
          <t>온라인매출입금</t>
        </is>
      </c>
      <c r="L90" s="67" t="inlineStr">
        <is>
          <t>N</t>
        </is>
      </c>
      <c r="M90" s="67" t="inlineStr">
        <is>
          <t>N</t>
        </is>
      </c>
      <c r="N90" s="148" t="n">
        <v>188773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46282.70287037037</v>
      </c>
      <c r="B91" s="147" t="n">
        <v>46282</v>
      </c>
      <c r="C91" s="67" t="inlineStr">
        <is>
          <t>우리은행</t>
        </is>
      </c>
      <c r="D91" s="67" t="inlineStr">
        <is>
          <t>우리 220351</t>
        </is>
      </c>
      <c r="E91" s="148" t="n">
        <v>498509</v>
      </c>
      <c r="F91" s="148" t="n">
        <v>0</v>
      </c>
      <c r="G91" s="148" t="n">
        <v>13607769</v>
      </c>
      <c r="H91" s="75" t="inlineStr">
        <is>
          <t>인터넷</t>
        </is>
      </c>
      <c r="I91" s="75" t="inlineStr">
        <is>
          <t>국민비즈월렛_쁘띠앤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-498509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46282.70288194445</v>
      </c>
      <c r="B92" s="147" t="n">
        <v>46282</v>
      </c>
      <c r="C92" s="67" t="inlineStr">
        <is>
          <t>우리은행</t>
        </is>
      </c>
      <c r="D92" s="67" t="inlineStr">
        <is>
          <t>우리 220351</t>
        </is>
      </c>
      <c r="E92" s="148" t="n">
        <v>550000</v>
      </c>
      <c r="F92" s="148" t="n">
        <v>0</v>
      </c>
      <c r="G92" s="148" t="n">
        <v>13057769</v>
      </c>
      <c r="H92" s="75" t="inlineStr">
        <is>
          <t>인터넷</t>
        </is>
      </c>
      <c r="I92" s="75" t="inlineStr">
        <is>
          <t>농협(주)레인보우8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-550000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46282.70289351852</v>
      </c>
      <c r="B93" s="147" t="n">
        <v>46282</v>
      </c>
      <c r="C93" s="67" t="inlineStr">
        <is>
          <t>우리은행</t>
        </is>
      </c>
      <c r="D93" s="67" t="inlineStr">
        <is>
          <t>우리 220351</t>
        </is>
      </c>
      <c r="E93" s="148" t="n">
        <v>1661000</v>
      </c>
      <c r="F93" s="148" t="n">
        <v>0</v>
      </c>
      <c r="G93" s="148" t="n">
        <v>11396769</v>
      </c>
      <c r="H93" s="75" t="inlineStr">
        <is>
          <t>인터넷</t>
        </is>
      </c>
      <c r="I93" s="75" t="inlineStr">
        <is>
          <t>국민네이버 apha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-1661000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46282.70290509259</v>
      </c>
      <c r="B94" s="147" t="n">
        <v>46282</v>
      </c>
      <c r="C94" s="67" t="inlineStr">
        <is>
          <t>우리은행</t>
        </is>
      </c>
      <c r="D94" s="67" t="inlineStr">
        <is>
          <t>우리 220351</t>
        </is>
      </c>
      <c r="E94" s="148" t="n">
        <v>330000</v>
      </c>
      <c r="F94" s="148" t="n">
        <v>0</v>
      </c>
      <c r="G94" s="148" t="n">
        <v>11066769</v>
      </c>
      <c r="H94" s="75" t="inlineStr">
        <is>
          <t>인터넷</t>
        </is>
      </c>
      <c r="I94" s="75" t="inlineStr">
        <is>
          <t>국민네이버 에이팜건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-330000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46282.70291666667</v>
      </c>
      <c r="B95" s="147" t="n">
        <v>46282</v>
      </c>
      <c r="C95" s="67" t="inlineStr">
        <is>
          <t>우리은행</t>
        </is>
      </c>
      <c r="D95" s="67" t="inlineStr">
        <is>
          <t>우리 220351</t>
        </is>
      </c>
      <c r="E95" s="148" t="n">
        <v>330000</v>
      </c>
      <c r="F95" s="148" t="n">
        <v>0</v>
      </c>
      <c r="G95" s="148" t="n">
        <v>10736769</v>
      </c>
      <c r="H95" s="75" t="inlineStr">
        <is>
          <t>인터넷</t>
        </is>
      </c>
      <c r="I95" s="75" t="inlineStr">
        <is>
          <t>국민네이버 ddi5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N</t>
        </is>
      </c>
      <c r="N95" s="148" t="n">
        <v>-330000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46282.94186342593</v>
      </c>
      <c r="B96" s="147" t="n">
        <v>46282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80720</v>
      </c>
      <c r="G96" s="148" t="n">
        <v>18814700</v>
      </c>
      <c r="H96" s="75" t="inlineStr">
        <is>
          <t>전자금융</t>
        </is>
      </c>
      <c r="I96" s="75" t="inlineStr">
        <is>
          <t>정유림</t>
        </is>
      </c>
      <c r="J96" s="75" t="inlineStr">
        <is>
          <t>카뱅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80720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46283.11054398148</v>
      </c>
      <c r="B97" s="147" t="n">
        <v>46283</v>
      </c>
      <c r="C97" s="67" t="inlineStr">
        <is>
          <t>우리은행</t>
        </is>
      </c>
      <c r="D97" s="67" t="inlineStr">
        <is>
          <t>우리 220351</t>
        </is>
      </c>
      <c r="E97" s="148" t="n">
        <v>0</v>
      </c>
      <c r="F97" s="148" t="n">
        <v>6599516</v>
      </c>
      <c r="G97" s="148" t="n">
        <v>17336285</v>
      </c>
      <c r="H97" s="75" t="inlineStr">
        <is>
          <t>펌뱅킹</t>
        </is>
      </c>
      <c r="I97" s="75" t="inlineStr">
        <is>
          <t>스마트스토어정산</t>
        </is>
      </c>
      <c r="J97" s="75" t="inlineStr">
        <is>
          <t>두산타워기업영업지원팀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6599516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46283.14090277778</v>
      </c>
      <c r="B98" s="147" t="n">
        <v>46283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49093</v>
      </c>
      <c r="G98" s="148" t="n">
        <v>18863793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49093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46283.38587962963</v>
      </c>
      <c r="B99" s="147" t="n">
        <v>46283</v>
      </c>
      <c r="C99" s="67" t="inlineStr">
        <is>
          <t>농협</t>
        </is>
      </c>
      <c r="D99" s="67" t="inlineStr">
        <is>
          <t>농협 569003</t>
        </is>
      </c>
      <c r="E99" s="148" t="n">
        <v>0</v>
      </c>
      <c r="F99" s="148" t="n">
        <v>29433</v>
      </c>
      <c r="G99" s="148" t="n">
        <v>1693429</v>
      </c>
      <c r="H99" s="75" t="inlineStr">
        <is>
          <t>센터일괄</t>
        </is>
      </c>
      <c r="I99" s="75" t="inlineStr">
        <is>
          <t>삼성카드가맹</t>
        </is>
      </c>
      <c r="J99" s="75" t="inlineStr">
        <is>
          <t>농협 000056</t>
        </is>
      </c>
      <c r="K99" s="67" t="inlineStr">
        <is>
          <t>보험 중도인출·보험금 입금</t>
        </is>
      </c>
      <c r="L99" s="67" t="inlineStr">
        <is>
          <t>N</t>
        </is>
      </c>
      <c r="M99" s="67" t="inlineStr">
        <is>
          <t>N</t>
        </is>
      </c>
      <c r="N99" s="148" t="n">
        <v>29433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46283.39877314815</v>
      </c>
      <c r="B100" s="147" t="n">
        <v>46283</v>
      </c>
      <c r="C100" s="67" t="inlineStr">
        <is>
          <t>농협</t>
        </is>
      </c>
      <c r="D100" s="67" t="inlineStr">
        <is>
          <t>농협 569003</t>
        </is>
      </c>
      <c r="E100" s="148" t="n">
        <v>0</v>
      </c>
      <c r="F100" s="148" t="n">
        <v>141000</v>
      </c>
      <c r="G100" s="148" t="n">
        <v>1834429</v>
      </c>
      <c r="H100" s="75" t="inlineStr">
        <is>
          <t>PC하나은행</t>
        </is>
      </c>
      <c r="I100" s="75" t="inlineStr">
        <is>
          <t>김수희</t>
        </is>
      </c>
      <c r="J100" s="75" t="inlineStr">
        <is>
          <t>하나 0812256</t>
        </is>
      </c>
      <c r="K100" s="67" t="inlineStr">
        <is>
          <t>기타입금</t>
        </is>
      </c>
      <c r="L100" s="67" t="inlineStr">
        <is>
          <t>N</t>
        </is>
      </c>
      <c r="M100" s="67" t="inlineStr">
        <is>
          <t>N</t>
        </is>
      </c>
      <c r="N100" s="148" t="n">
        <v>141000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46283.45922453704</v>
      </c>
      <c r="B101" s="147" t="n">
        <v>46283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871022</v>
      </c>
      <c r="G101" s="148" t="n">
        <v>19734815</v>
      </c>
      <c r="H101" s="75" t="inlineStr">
        <is>
          <t>전자금융</t>
        </is>
      </c>
      <c r="I101" s="75" t="inlineStr">
        <is>
          <t>KG이니시스</t>
        </is>
      </c>
      <c r="J101" s="75" t="inlineStr">
        <is>
          <t>하나은행</t>
        </is>
      </c>
      <c r="K101" s="67" t="inlineStr">
        <is>
          <t>온라인매출입금</t>
        </is>
      </c>
      <c r="L101" s="67" t="inlineStr">
        <is>
          <t>N</t>
        </is>
      </c>
      <c r="M101" s="67" t="inlineStr">
        <is>
          <t>N</t>
        </is>
      </c>
      <c r="N101" s="148" t="n">
        <v>871022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46283.46777777778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299722</v>
      </c>
      <c r="G102" s="148" t="n">
        <v>20034537</v>
      </c>
      <c r="H102" s="75" t="inlineStr">
        <is>
          <t>전자금융</t>
        </is>
      </c>
      <c r="I102" s="75" t="inlineStr">
        <is>
          <t>KG이니시스</t>
        </is>
      </c>
      <c r="J102" s="75" t="inlineStr">
        <is>
          <t>하나은행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299722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46283.6475</v>
      </c>
      <c r="B103" s="147" t="n">
        <v>46283</v>
      </c>
      <c r="C103" s="67" t="inlineStr">
        <is>
          <t>국민은행</t>
        </is>
      </c>
      <c r="D103" s="67" t="inlineStr">
        <is>
          <t>국민 154577</t>
        </is>
      </c>
      <c r="E103" s="148" t="n">
        <v>0</v>
      </c>
      <c r="F103" s="148" t="n">
        <v>83017</v>
      </c>
      <c r="G103" s="148" t="n">
        <v>20117554</v>
      </c>
      <c r="H103" s="75" t="inlineStr">
        <is>
          <t>전자금융</t>
        </is>
      </c>
      <c r="I103" s="75" t="inlineStr">
        <is>
          <t>엔에이치엔페이</t>
        </is>
      </c>
      <c r="J103" s="75" t="inlineStr">
        <is>
          <t>신한은행</t>
        </is>
      </c>
      <c r="K103" s="67" t="inlineStr">
        <is>
          <t>온라인매출입금</t>
        </is>
      </c>
      <c r="L103" s="67" t="inlineStr">
        <is>
          <t>N</t>
        </is>
      </c>
      <c r="M103" s="67" t="inlineStr">
        <is>
          <t>N</t>
        </is>
      </c>
      <c r="N103" s="148" t="n">
        <v>83017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46283.66711805556</v>
      </c>
      <c r="B104" s="147" t="n">
        <v>46283</v>
      </c>
      <c r="C104" s="67" t="inlineStr">
        <is>
          <t>국민은행</t>
        </is>
      </c>
      <c r="D104" s="67" t="inlineStr">
        <is>
          <t>국민 154577</t>
        </is>
      </c>
      <c r="E104" s="148" t="n">
        <v>0</v>
      </c>
      <c r="F104" s="148" t="n">
        <v>30400</v>
      </c>
      <c r="G104" s="148" t="n">
        <v>20147954</v>
      </c>
      <c r="H104" s="75" t="inlineStr">
        <is>
          <t>전자금융</t>
        </is>
      </c>
      <c r="I104" s="75" t="inlineStr">
        <is>
          <t>GS리테일</t>
        </is>
      </c>
      <c r="J104" s="75" t="inlineStr">
        <is>
          <t>우리은행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30400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46283.70120370371</v>
      </c>
      <c r="B105" s="147" t="n">
        <v>46283</v>
      </c>
      <c r="C105" s="67" t="inlineStr">
        <is>
          <t>우리은행</t>
        </is>
      </c>
      <c r="D105" s="67" t="inlineStr">
        <is>
          <t>우리 220351</t>
        </is>
      </c>
      <c r="E105" s="148" t="n">
        <v>3311000</v>
      </c>
      <c r="F105" s="148" t="n">
        <v>0</v>
      </c>
      <c r="G105" s="148" t="n">
        <v>13925285</v>
      </c>
      <c r="H105" s="75" t="inlineStr">
        <is>
          <t>인터넷</t>
        </is>
      </c>
      <c r="I105" s="75" t="inlineStr">
        <is>
          <t>국민네이버 apha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Y</t>
        </is>
      </c>
      <c r="N105" s="148" t="n">
        <v>-3311000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46283.70120370371</v>
      </c>
      <c r="B106" s="147" t="n">
        <v>46283</v>
      </c>
      <c r="C106" s="67" t="inlineStr">
        <is>
          <t>우리은행</t>
        </is>
      </c>
      <c r="D106" s="67" t="inlineStr">
        <is>
          <t>우리 220351</t>
        </is>
      </c>
      <c r="E106" s="148" t="n">
        <v>100000</v>
      </c>
      <c r="F106" s="148" t="n">
        <v>0</v>
      </c>
      <c r="G106" s="148" t="n">
        <v>17236285</v>
      </c>
      <c r="H106" s="75" t="inlineStr">
        <is>
          <t>인터넷</t>
        </is>
      </c>
      <c r="I106" s="75" t="inlineStr">
        <is>
          <t>카카이찬민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-100000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46283.70122685185</v>
      </c>
      <c r="B107" s="147" t="n">
        <v>46283</v>
      </c>
      <c r="C107" s="67" t="inlineStr">
        <is>
          <t>우리은행</t>
        </is>
      </c>
      <c r="D107" s="67" t="inlineStr">
        <is>
          <t>우리 220351</t>
        </is>
      </c>
      <c r="E107" s="148" t="n">
        <v>990000</v>
      </c>
      <c r="F107" s="148" t="n">
        <v>0</v>
      </c>
      <c r="G107" s="148" t="n">
        <v>12935285</v>
      </c>
      <c r="H107" s="75" t="inlineStr">
        <is>
          <t>인터넷</t>
        </is>
      </c>
      <c r="I107" s="75" t="inlineStr">
        <is>
          <t>국민네이버 에이팜건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Y</t>
        </is>
      </c>
      <c r="N107" s="148" t="n">
        <v>-990000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46283.70123842593</v>
      </c>
      <c r="B108" s="147" t="n">
        <v>46283</v>
      </c>
      <c r="C108" s="67" t="inlineStr">
        <is>
          <t>우리은행</t>
        </is>
      </c>
      <c r="D108" s="67" t="inlineStr">
        <is>
          <t>우리 220351</t>
        </is>
      </c>
      <c r="E108" s="148" t="n">
        <v>990000</v>
      </c>
      <c r="F108" s="148" t="n">
        <v>0</v>
      </c>
      <c r="G108" s="148" t="n">
        <v>11945285</v>
      </c>
      <c r="H108" s="75" t="inlineStr">
        <is>
          <t>인터넷</t>
        </is>
      </c>
      <c r="I108" s="75" t="inlineStr">
        <is>
          <t>국민네이버 ddi5</t>
        </is>
      </c>
      <c r="J108" s="75" t="inlineStr">
        <is>
          <t>성서공단금융센터</t>
        </is>
      </c>
      <c r="K108" s="67" t="inlineStr">
        <is>
          <t>기타지출</t>
        </is>
      </c>
      <c r="L108" s="67" t="inlineStr">
        <is>
          <t>N</t>
        </is>
      </c>
      <c r="M108" s="67" t="inlineStr">
        <is>
          <t>N</t>
        </is>
      </c>
      <c r="N108" s="148" t="n">
        <v>-990000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4" t="n">
        <v>46284</v>
      </c>
      <c r="B109" s="235" t="n">
        <v>46284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0</v>
      </c>
      <c r="G109" s="148" t="n">
        <v>20147954</v>
      </c>
      <c r="H109" s="75" t="inlineStr">
        <is>
          <t>전일잔액</t>
        </is>
      </c>
      <c r="I109" s="75" t="inlineStr"/>
      <c r="J109" s="75" t="inlineStr"/>
      <c r="K109" s="67" t="inlineStr">
        <is>
          <t>기타지출</t>
        </is>
      </c>
      <c r="L109" s="67" t="inlineStr">
        <is>
          <t>N</t>
        </is>
      </c>
      <c r="M109" s="67" t="inlineStr">
        <is>
          <t>N</t>
        </is>
      </c>
      <c r="N109" s="148" t="n">
        <v>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4" t="n">
        <v>46284.39604166667</v>
      </c>
      <c r="B110" s="235" t="n">
        <v>46284</v>
      </c>
      <c r="C110" s="67" t="inlineStr">
        <is>
          <t>우리은행</t>
        </is>
      </c>
      <c r="D110" s="67" t="inlineStr">
        <is>
          <t>우리 220351</t>
        </is>
      </c>
      <c r="E110" s="148" t="n">
        <v>0</v>
      </c>
      <c r="F110" s="148" t="n">
        <v>2852</v>
      </c>
      <c r="G110" s="148" t="n">
        <v>11948137</v>
      </c>
      <c r="H110" s="75" t="inlineStr">
        <is>
          <t>예금결산</t>
        </is>
      </c>
      <c r="I110" s="75" t="inlineStr">
        <is>
          <t>예금결산이자</t>
        </is>
      </c>
      <c r="J110" s="75" t="inlineStr">
        <is>
          <t>성서공단금융센터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2852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234" t="n">
        <v>46285</v>
      </c>
      <c r="B111" s="235" t="n">
        <v>46285</v>
      </c>
      <c r="C111" s="67" t="inlineStr">
        <is>
          <t>우리은행</t>
        </is>
      </c>
      <c r="D111" s="67" t="inlineStr">
        <is>
          <t>우리 220351</t>
        </is>
      </c>
      <c r="E111" s="148" t="n">
        <v>0</v>
      </c>
      <c r="F111" s="148" t="n">
        <v>0</v>
      </c>
      <c r="G111" s="148" t="n">
        <v>11948137</v>
      </c>
      <c r="H111" s="75" t="inlineStr">
        <is>
          <t>전일잔액</t>
        </is>
      </c>
      <c r="I111" s="75" t="inlineStr"/>
      <c r="J111" s="75" t="inlineStr"/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234" t="n">
        <v>46285.82394675926</v>
      </c>
      <c r="B112" s="235" t="n">
        <v>46285</v>
      </c>
      <c r="C112" s="67" t="inlineStr">
        <is>
          <t>국민은행</t>
        </is>
      </c>
      <c r="D112" s="67" t="inlineStr">
        <is>
          <t>국민 154577</t>
        </is>
      </c>
      <c r="E112" s="148" t="n">
        <v>0</v>
      </c>
      <c r="F112" s="148" t="n">
        <v>37000</v>
      </c>
      <c r="G112" s="148" t="n">
        <v>20184954</v>
      </c>
      <c r="H112" s="75" t="inlineStr">
        <is>
          <t>전자금융</t>
        </is>
      </c>
      <c r="I112" s="75" t="inlineStr">
        <is>
          <t>김은미</t>
        </is>
      </c>
      <c r="J112" s="75" t="inlineStr">
        <is>
          <t>카뱅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37000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134622</v>
      </c>
      <c r="F113" s="148" t="n">
        <v>0</v>
      </c>
      <c r="G113" s="148" t="n">
        <v>11813515</v>
      </c>
      <c r="H113" s="75" t="inlineStr">
        <is>
          <t>SKB6452342048</t>
        </is>
      </c>
      <c r="I113" s="75" t="inlineStr"/>
      <c r="J113" s="75" t="inlineStr"/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-134622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85621</v>
      </c>
      <c r="F114" s="148" t="n">
        <v>0</v>
      </c>
      <c r="G114" s="148" t="n">
        <v>11727894</v>
      </c>
      <c r="H114" s="75" t="inlineStr">
        <is>
          <t>SKB6486358411</t>
        </is>
      </c>
      <c r="I114" s="75" t="inlineStr"/>
      <c r="J114" s="75" t="inlineStr"/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-85621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</v>
      </c>
      <c r="B115" s="147" t="n">
        <v>46286</v>
      </c>
      <c r="C115" s="67" t="inlineStr">
        <is>
          <t>우리은행</t>
        </is>
      </c>
      <c r="D115" s="67" t="inlineStr">
        <is>
          <t>우리 220351</t>
        </is>
      </c>
      <c r="E115" s="148" t="n">
        <v>107800</v>
      </c>
      <c r="F115" s="148" t="n">
        <v>0</v>
      </c>
      <c r="G115" s="148" t="n">
        <v>11620094</v>
      </c>
      <c r="H115" s="75" t="inlineStr">
        <is>
          <t>S1(N6203178)</t>
        </is>
      </c>
      <c r="I115" s="75" t="inlineStr"/>
      <c r="J115" s="75" t="inlineStr"/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-107800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</v>
      </c>
      <c r="B116" s="147" t="n">
        <v>46286</v>
      </c>
      <c r="C116" s="67" t="inlineStr">
        <is>
          <t>우리은행</t>
        </is>
      </c>
      <c r="D116" s="67" t="inlineStr">
        <is>
          <t>우리 220351</t>
        </is>
      </c>
      <c r="E116" s="148" t="n">
        <v>0</v>
      </c>
      <c r="F116" s="148" t="n">
        <v>5694170</v>
      </c>
      <c r="G116" s="148" t="n">
        <v>17314264</v>
      </c>
      <c r="H116" s="75" t="inlineStr">
        <is>
          <t>스마트스토어정산</t>
        </is>
      </c>
      <c r="I116" s="75" t="inlineStr"/>
      <c r="J116" s="75" t="inlineStr"/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5694170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</v>
      </c>
      <c r="B117" s="147" t="n">
        <v>46286</v>
      </c>
      <c r="C117" s="67" t="inlineStr">
        <is>
          <t>우리은행</t>
        </is>
      </c>
      <c r="D117" s="67" t="inlineStr">
        <is>
          <t>우리 220351</t>
        </is>
      </c>
      <c r="E117" s="148" t="n">
        <v>2178000</v>
      </c>
      <c r="F117" s="148" t="n">
        <v>0</v>
      </c>
      <c r="G117" s="148" t="n">
        <v>15136264</v>
      </c>
      <c r="H117" s="75" t="inlineStr">
        <is>
          <t>국민네이버 ａｐｈａ</t>
        </is>
      </c>
      <c r="I117" s="75" t="inlineStr"/>
      <c r="J117" s="75" t="inlineStr"/>
      <c r="K117" s="67" t="inlineStr">
        <is>
          <t>기타지출</t>
        </is>
      </c>
      <c r="L117" s="67" t="inlineStr">
        <is>
          <t>N</t>
        </is>
      </c>
      <c r="M117" s="67" t="inlineStr">
        <is>
          <t>N</t>
        </is>
      </c>
      <c r="N117" s="148" t="n">
        <v>-2178000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</v>
      </c>
      <c r="B118" s="147" t="n">
        <v>46286</v>
      </c>
      <c r="C118" s="67" t="inlineStr">
        <is>
          <t>우리은행</t>
        </is>
      </c>
      <c r="D118" s="67" t="inlineStr">
        <is>
          <t>우리 220351</t>
        </is>
      </c>
      <c r="E118" s="148" t="n">
        <v>330000</v>
      </c>
      <c r="F118" s="148" t="n">
        <v>0</v>
      </c>
      <c r="G118" s="148" t="n">
        <v>14806264</v>
      </c>
      <c r="H118" s="75" t="inlineStr">
        <is>
          <t>국민네이버 에이팜건</t>
        </is>
      </c>
      <c r="I118" s="75" t="inlineStr"/>
      <c r="J118" s="75" t="inlineStr"/>
      <c r="K118" s="67" t="inlineStr">
        <is>
          <t>기타지출</t>
        </is>
      </c>
      <c r="L118" s="67" t="inlineStr">
        <is>
          <t>N</t>
        </is>
      </c>
      <c r="M118" s="67" t="inlineStr">
        <is>
          <t>N</t>
        </is>
      </c>
      <c r="N118" s="148" t="n">
        <v>-330000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</v>
      </c>
      <c r="B119" s="147" t="n">
        <v>46286</v>
      </c>
      <c r="C119" s="67" t="inlineStr">
        <is>
          <t>우리은행</t>
        </is>
      </c>
      <c r="D119" s="67" t="inlineStr">
        <is>
          <t>우리 220351</t>
        </is>
      </c>
      <c r="E119" s="148" t="n">
        <v>632250</v>
      </c>
      <c r="F119" s="148" t="n">
        <v>0</v>
      </c>
      <c r="G119" s="148" t="n">
        <v>14174014</v>
      </c>
      <c r="H119" s="75" t="inlineStr">
        <is>
          <t>국민서울보증보험</t>
        </is>
      </c>
      <c r="I119" s="75" t="inlineStr"/>
      <c r="J119" s="75" t="inlineStr"/>
      <c r="K119" s="67" t="inlineStr">
        <is>
          <t>기타지출</t>
        </is>
      </c>
      <c r="L119" s="67" t="inlineStr">
        <is>
          <t>N</t>
        </is>
      </c>
      <c r="M119" s="67" t="inlineStr">
        <is>
          <t>N</t>
        </is>
      </c>
      <c r="N119" s="148" t="n">
        <v>-632250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46286.42916666667</v>
      </c>
      <c r="B120" s="147" t="n">
        <v>46286</v>
      </c>
      <c r="C120" s="67" t="inlineStr">
        <is>
          <t>농협</t>
        </is>
      </c>
      <c r="D120" s="67" t="inlineStr">
        <is>
          <t>농협 569003</t>
        </is>
      </c>
      <c r="E120" s="148" t="n">
        <v>0</v>
      </c>
      <c r="F120" s="148" t="n">
        <v>110000</v>
      </c>
      <c r="G120" s="148" t="n">
        <v>1944429</v>
      </c>
      <c r="H120" s="75" t="inlineStr">
        <is>
          <t>E-K뱅크</t>
        </is>
      </c>
      <c r="I120" s="75" t="inlineStr">
        <is>
          <t>양혜원</t>
        </is>
      </c>
      <c r="J120" s="75" t="inlineStr">
        <is>
          <t>K뱅크 0891002</t>
        </is>
      </c>
      <c r="K120" s="67" t="inlineStr">
        <is>
          <t>기타입금</t>
        </is>
      </c>
      <c r="L120" s="67" t="inlineStr">
        <is>
          <t>N</t>
        </is>
      </c>
      <c r="M120" s="67" t="inlineStr">
        <is>
          <t>N</t>
        </is>
      </c>
      <c r="N120" s="148" t="n">
        <v>110000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46286.42984953704</v>
      </c>
      <c r="B121" s="147" t="n">
        <v>46286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750249</v>
      </c>
      <c r="G121" s="148" t="n">
        <v>20935203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750249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46286.4372337963</v>
      </c>
      <c r="B122" s="147" t="n">
        <v>46286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68816</v>
      </c>
      <c r="G122" s="148" t="n">
        <v>21004019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68816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46286.47028935186</v>
      </c>
      <c r="B123" s="147" t="n">
        <v>46286</v>
      </c>
      <c r="C123" s="67" t="inlineStr">
        <is>
          <t>국민은행</t>
        </is>
      </c>
      <c r="D123" s="67" t="inlineStr">
        <is>
          <t>국민 154577</t>
        </is>
      </c>
      <c r="E123" s="148" t="n">
        <v>0</v>
      </c>
      <c r="F123" s="148" t="n">
        <v>3860670</v>
      </c>
      <c r="G123" s="148" t="n">
        <v>24864689</v>
      </c>
      <c r="H123" s="75" t="inlineStr">
        <is>
          <t>FBS입금</t>
        </is>
      </c>
      <c r="I123" s="75" t="inlineStr">
        <is>
          <t>(주)현대이지웰</t>
        </is>
      </c>
      <c r="J123" s="75" t="inlineStr">
        <is>
          <t>ERP사</t>
        </is>
      </c>
      <c r="K123" s="67" t="inlineStr">
        <is>
          <t>온라인매출입금</t>
        </is>
      </c>
      <c r="L123" s="67" t="inlineStr">
        <is>
          <t>N</t>
        </is>
      </c>
      <c r="M123" s="67" t="inlineStr">
        <is>
          <t>N</t>
        </is>
      </c>
      <c r="N123" s="148" t="n">
        <v>3860670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46286.48598379629</v>
      </c>
      <c r="B124" s="147" t="n">
        <v>46286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20000000</v>
      </c>
      <c r="G124" s="148" t="n">
        <v>44864689</v>
      </c>
      <c r="H124" s="75" t="inlineStr">
        <is>
          <t>전자금융</t>
        </is>
      </c>
      <c r="I124" s="75" t="inlineStr">
        <is>
          <t>허용</t>
        </is>
      </c>
      <c r="J124" s="75" t="inlineStr">
        <is>
          <t>아이엠뱅</t>
        </is>
      </c>
      <c r="K124" s="67" t="inlineStr">
        <is>
          <t>가지급금 회수</t>
        </is>
      </c>
      <c r="L124" s="67" t="inlineStr">
        <is>
          <t>N</t>
        </is>
      </c>
      <c r="M124" s="67" t="inlineStr">
        <is>
          <t>N</t>
        </is>
      </c>
      <c r="N124" s="148" t="n">
        <v>20000000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46286.84199074074</v>
      </c>
      <c r="B125" s="147" t="n">
        <v>46286</v>
      </c>
      <c r="C125" s="67" t="inlineStr">
        <is>
          <t>국민은행</t>
        </is>
      </c>
      <c r="D125" s="67" t="inlineStr">
        <is>
          <t>국민 154577</t>
        </is>
      </c>
      <c r="E125" s="148" t="n">
        <v>4795900</v>
      </c>
      <c r="F125" s="148" t="n">
        <v>0</v>
      </c>
      <c r="G125" s="148" t="n">
        <v>40068789</v>
      </c>
      <c r="H125" s="75" t="inlineStr">
        <is>
          <t>CMS 공동</t>
        </is>
      </c>
      <c r="I125" s="75" t="inlineStr">
        <is>
          <t>METLIFE09002</t>
        </is>
      </c>
      <c r="J125" s="75" t="inlineStr">
        <is>
          <t>ERP사</t>
        </is>
      </c>
      <c r="K125" s="67" t="inlineStr">
        <is>
          <t>기타지출</t>
        </is>
      </c>
      <c r="L125" s="67" t="inlineStr">
        <is>
          <t>N</t>
        </is>
      </c>
      <c r="M125" s="67" t="inlineStr">
        <is>
          <t>N</t>
        </is>
      </c>
      <c r="N125" s="148" t="n">
        <v>-4795900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46287</v>
      </c>
      <c r="B126" s="147" t="n">
        <v>46287</v>
      </c>
      <c r="C126" s="67" t="inlineStr">
        <is>
          <t>우리은행</t>
        </is>
      </c>
      <c r="D126" s="67" t="inlineStr">
        <is>
          <t>우리 220351</t>
        </is>
      </c>
      <c r="E126" s="148" t="n">
        <v>0</v>
      </c>
      <c r="F126" s="148" t="n">
        <v>15847736</v>
      </c>
      <c r="G126" s="148" t="n">
        <v>30021750</v>
      </c>
      <c r="H126" s="75" t="inlineStr">
        <is>
          <t>스마트스토어정산</t>
        </is>
      </c>
      <c r="I126" s="75" t="inlineStr"/>
      <c r="J126" s="75" t="inlineStr"/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15847736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46287.20571759259</v>
      </c>
      <c r="B127" s="147" t="n">
        <v>46287</v>
      </c>
      <c r="C127" s="67" t="inlineStr">
        <is>
          <t>국민은행</t>
        </is>
      </c>
      <c r="D127" s="67" t="inlineStr">
        <is>
          <t>국민 154577</t>
        </is>
      </c>
      <c r="E127" s="148" t="n">
        <v>0</v>
      </c>
      <c r="F127" s="148" t="n">
        <v>168361</v>
      </c>
      <c r="G127" s="148" t="n">
        <v>40237150</v>
      </c>
      <c r="H127" s="75" t="inlineStr">
        <is>
          <t>전자금융</t>
        </is>
      </c>
      <c r="I127" s="75" t="inlineStr">
        <is>
          <t>Npay정산</t>
        </is>
      </c>
      <c r="J127" s="75" t="inlineStr">
        <is>
          <t>SC은행</t>
        </is>
      </c>
      <c r="K127" s="67" t="inlineStr">
        <is>
          <t>온라인매출입금</t>
        </is>
      </c>
      <c r="L127" s="67" t="inlineStr">
        <is>
          <t>N</t>
        </is>
      </c>
      <c r="M127" s="67" t="inlineStr">
        <is>
          <t>N</t>
        </is>
      </c>
      <c r="N127" s="148" t="n">
        <v>168361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46287.42416666666</v>
      </c>
      <c r="B128" s="147" t="n">
        <v>46287</v>
      </c>
      <c r="C128" s="67" t="inlineStr">
        <is>
          <t>농협</t>
        </is>
      </c>
      <c r="D128" s="67" t="inlineStr">
        <is>
          <t>농협 569003</t>
        </is>
      </c>
      <c r="E128" s="148" t="n">
        <v>0</v>
      </c>
      <c r="F128" s="148" t="n">
        <v>1000</v>
      </c>
      <c r="G128" s="148" t="n">
        <v>1945429</v>
      </c>
      <c r="H128" s="75" t="inlineStr">
        <is>
          <t>E-K뱅크</t>
        </is>
      </c>
      <c r="I128" s="75" t="inlineStr">
        <is>
          <t>양혜원</t>
        </is>
      </c>
      <c r="J128" s="75" t="inlineStr">
        <is>
          <t>K뱅크 0891002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1000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46287.42908564815</v>
      </c>
      <c r="B129" s="147" t="n">
        <v>46287</v>
      </c>
      <c r="C129" s="67" t="inlineStr">
        <is>
          <t>국민은행</t>
        </is>
      </c>
      <c r="D129" s="67" t="inlineStr">
        <is>
          <t>국민 154577</t>
        </is>
      </c>
      <c r="E129" s="148" t="n">
        <v>0</v>
      </c>
      <c r="F129" s="148" t="n">
        <v>618283</v>
      </c>
      <c r="G129" s="148" t="n">
        <v>40855433</v>
      </c>
      <c r="H129" s="75" t="inlineStr">
        <is>
          <t>전자금융</t>
        </is>
      </c>
      <c r="I129" s="75" t="inlineStr">
        <is>
          <t>KG이니시스</t>
        </is>
      </c>
      <c r="J129" s="75" t="inlineStr">
        <is>
          <t>하나은행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618283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46287.44971064815</v>
      </c>
      <c r="B130" s="147" t="n">
        <v>46287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2739917</v>
      </c>
      <c r="G130" s="148" t="n">
        <v>43595350</v>
      </c>
      <c r="H130" s="75" t="inlineStr">
        <is>
          <t>전자금융</t>
        </is>
      </c>
      <c r="I130" s="75" t="inlineStr">
        <is>
          <t>KG이니시스</t>
        </is>
      </c>
      <c r="J130" s="75" t="inlineStr">
        <is>
          <t>하나은행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2739917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46287.52225694444</v>
      </c>
      <c r="B131" s="147" t="n">
        <v>46287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246613</v>
      </c>
      <c r="G131" s="148" t="n">
        <v>43841963</v>
      </c>
      <c r="H131" s="75" t="inlineStr">
        <is>
          <t>전자금융</t>
        </is>
      </c>
      <c r="I131" s="75" t="inlineStr">
        <is>
          <t>화물택배물</t>
        </is>
      </c>
      <c r="J131" s="75" t="inlineStr">
        <is>
          <t>농협</t>
        </is>
      </c>
      <c r="K131" s="67" t="inlineStr">
        <is>
          <t>기타입금</t>
        </is>
      </c>
      <c r="L131" s="67" t="inlineStr">
        <is>
          <t>N</t>
        </is>
      </c>
      <c r="M131" s="67" t="inlineStr">
        <is>
          <t>N</t>
        </is>
      </c>
      <c r="N131" s="148" t="n">
        <v>246613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46287.56802083334</v>
      </c>
      <c r="B132" s="147" t="n">
        <v>46287</v>
      </c>
      <c r="C132" s="67" t="inlineStr">
        <is>
          <t>우리은행</t>
        </is>
      </c>
      <c r="D132" s="67" t="inlineStr">
        <is>
          <t>우리 220351</t>
        </is>
      </c>
      <c r="E132" s="148" t="n">
        <v>20000000</v>
      </c>
      <c r="F132" s="148" t="n">
        <v>0</v>
      </c>
      <c r="G132" s="148" t="n">
        <v>10021750</v>
      </c>
      <c r="H132" s="75" t="inlineStr">
        <is>
          <t>인터넷</t>
        </is>
      </c>
      <c r="I132" s="75" t="inlineStr">
        <is>
          <t>기업엠에스바이오텍(</t>
        </is>
      </c>
      <c r="J132" s="75" t="inlineStr">
        <is>
          <t>성서공단금융센터</t>
        </is>
      </c>
      <c r="K132" s="67" t="inlineStr">
        <is>
          <t>기타지출</t>
        </is>
      </c>
      <c r="L132" s="67" t="inlineStr">
        <is>
          <t>N</t>
        </is>
      </c>
      <c r="M132" s="67" t="inlineStr">
        <is>
          <t>N</t>
        </is>
      </c>
      <c r="N132" s="148" t="n">
        <v>-20000000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46287.60900462963</v>
      </c>
      <c r="B133" s="147" t="n">
        <v>46287</v>
      </c>
      <c r="C133" s="67" t="inlineStr">
        <is>
          <t>농협</t>
        </is>
      </c>
      <c r="D133" s="67" t="inlineStr">
        <is>
          <t>농협 569003</t>
        </is>
      </c>
      <c r="E133" s="148" t="n">
        <v>0</v>
      </c>
      <c r="F133" s="148" t="n">
        <v>2000</v>
      </c>
      <c r="G133" s="148" t="n">
        <v>1947429</v>
      </c>
      <c r="H133" s="75" t="inlineStr">
        <is>
          <t>PC신한은행</t>
        </is>
      </c>
      <c r="I133" s="75" t="inlineStr">
        <is>
          <t>송채은</t>
        </is>
      </c>
      <c r="J133" s="75" t="inlineStr">
        <is>
          <t>신한 0267623</t>
        </is>
      </c>
      <c r="K133" s="67" t="inlineStr">
        <is>
          <t>기타입금</t>
        </is>
      </c>
      <c r="L133" s="67" t="inlineStr">
        <is>
          <t>N</t>
        </is>
      </c>
      <c r="M133" s="67" t="inlineStr">
        <is>
          <t>N</t>
        </is>
      </c>
      <c r="N133" s="148" t="n">
        <v>2000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46287.62135416667</v>
      </c>
      <c r="B134" s="147" t="n">
        <v>46287</v>
      </c>
      <c r="C134" s="67" t="inlineStr">
        <is>
          <t>농협</t>
        </is>
      </c>
      <c r="D134" s="67" t="inlineStr">
        <is>
          <t>농협 569003</t>
        </is>
      </c>
      <c r="E134" s="148" t="n">
        <v>0</v>
      </c>
      <c r="F134" s="148" t="n">
        <v>280000</v>
      </c>
      <c r="G134" s="148" t="n">
        <v>2227429</v>
      </c>
      <c r="H134" s="75" t="inlineStr">
        <is>
          <t>E-아이엠</t>
        </is>
      </c>
      <c r="I134" s="75" t="inlineStr">
        <is>
          <t>석계아이엔디(주)(</t>
        </is>
      </c>
      <c r="J134" s="75" t="inlineStr">
        <is>
          <t>아이엠 (구)대구 0310017</t>
        </is>
      </c>
      <c r="K134" s="67" t="inlineStr">
        <is>
          <t>기타입금</t>
        </is>
      </c>
      <c r="L134" s="67" t="inlineStr">
        <is>
          <t>N</t>
        </is>
      </c>
      <c r="M134" s="67" t="inlineStr">
        <is>
          <t>N</t>
        </is>
      </c>
      <c r="N134" s="148" t="n">
        <v>280000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46287.64728009259</v>
      </c>
      <c r="B135" s="147" t="n">
        <v>46287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43975</v>
      </c>
      <c r="G135" s="148" t="n">
        <v>43885938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43975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46287.69748842593</v>
      </c>
      <c r="B136" s="147" t="n">
        <v>46287</v>
      </c>
      <c r="C136" s="67" t="inlineStr">
        <is>
          <t>우리은행</t>
        </is>
      </c>
      <c r="D136" s="67" t="inlineStr">
        <is>
          <t>우리 220351</t>
        </is>
      </c>
      <c r="E136" s="148" t="n">
        <v>250000</v>
      </c>
      <c r="F136" s="148" t="n">
        <v>0</v>
      </c>
      <c r="G136" s="148" t="n">
        <v>9771750</v>
      </c>
      <c r="H136" s="75" t="inlineStr">
        <is>
          <t>인터넷</t>
        </is>
      </c>
      <c r="I136" s="75" t="inlineStr">
        <is>
          <t>아이대구상공회의소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-250000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46287.6975</v>
      </c>
      <c r="B137" s="147" t="n">
        <v>46287</v>
      </c>
      <c r="C137" s="67" t="inlineStr">
        <is>
          <t>우리은행</t>
        </is>
      </c>
      <c r="D137" s="67" t="inlineStr">
        <is>
          <t>우리 220351</t>
        </is>
      </c>
      <c r="E137" s="148" t="n">
        <v>495517</v>
      </c>
      <c r="F137" s="148" t="n">
        <v>0</v>
      </c>
      <c r="G137" s="148" t="n">
        <v>8926233</v>
      </c>
      <c r="H137" s="75" t="inlineStr">
        <is>
          <t>인터넷</t>
        </is>
      </c>
      <c r="I137" s="75" t="inlineStr">
        <is>
          <t>국민비즈월렛_쁘띠앤</t>
        </is>
      </c>
      <c r="J137" s="75" t="inlineStr">
        <is>
          <t>성서공단금융센터</t>
        </is>
      </c>
      <c r="K137" s="67" t="inlineStr">
        <is>
          <t>기타지출</t>
        </is>
      </c>
      <c r="L137" s="67" t="inlineStr">
        <is>
          <t>N</t>
        </is>
      </c>
      <c r="M137" s="67" t="inlineStr">
        <is>
          <t>N</t>
        </is>
      </c>
      <c r="N137" s="148" t="n">
        <v>-495517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46287.6975</v>
      </c>
      <c r="B138" s="147" t="n">
        <v>46287</v>
      </c>
      <c r="C138" s="67" t="inlineStr">
        <is>
          <t>우리은행</t>
        </is>
      </c>
      <c r="D138" s="67" t="inlineStr">
        <is>
          <t>우리 220351</t>
        </is>
      </c>
      <c r="E138" s="148" t="n">
        <v>350000</v>
      </c>
      <c r="F138" s="148" t="n">
        <v>0</v>
      </c>
      <c r="G138" s="148" t="n">
        <v>9421750</v>
      </c>
      <c r="H138" s="75" t="inlineStr">
        <is>
          <t>인터넷</t>
        </is>
      </c>
      <c r="I138" s="75" t="inlineStr">
        <is>
          <t>아이임대규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-350000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46287.7091087963</v>
      </c>
      <c r="B139" s="147" t="n">
        <v>46287</v>
      </c>
      <c r="C139" s="67" t="inlineStr">
        <is>
          <t>국민은행</t>
        </is>
      </c>
      <c r="D139" s="67" t="inlineStr">
        <is>
          <t>국민 154577</t>
        </is>
      </c>
      <c r="E139" s="148" t="n">
        <v>7800000</v>
      </c>
      <c r="F139" s="148" t="n">
        <v>0</v>
      </c>
      <c r="G139" s="148" t="n">
        <v>36085938</v>
      </c>
      <c r="H139" s="75" t="inlineStr">
        <is>
          <t>TOP출금</t>
        </is>
      </c>
      <c r="I139" s="75" t="inlineStr"/>
      <c r="J139" s="75" t="inlineStr">
        <is>
          <t>진천역</t>
        </is>
      </c>
      <c r="K139" s="67" t="inlineStr">
        <is>
          <t>확인필요</t>
        </is>
      </c>
      <c r="L139" s="67" t="inlineStr">
        <is>
          <t>N</t>
        </is>
      </c>
      <c r="M139" s="67" t="inlineStr">
        <is>
          <t>N</t>
        </is>
      </c>
      <c r="N139" s="148" t="n">
        <v>-7800000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2026-09-22T12:54:12Z</dcterms:modified>
</cp:coreProperties>
</file>