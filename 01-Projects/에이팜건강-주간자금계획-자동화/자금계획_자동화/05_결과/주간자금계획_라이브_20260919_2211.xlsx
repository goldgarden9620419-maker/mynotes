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>
    <definedName name="_xlnm._FilterDatabase" localSheetId="5" hidden="1">'지출계획_취합'!$A$5:$Q$22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63">
        <f>INDEX('설정및분류'!$C$6:$C$12,WEEKDAY(A11,2))*'요약'!$B$13</f>
        <v/>
      </c>
      <c r="D11" s="164" t="n"/>
      <c r="E11" s="164" t="n"/>
      <c r="F11" s="164" t="n"/>
      <c r="G11" s="164" t="n"/>
      <c r="H11" s="165">
        <f>C11+D11-E11-F11-G11</f>
        <v/>
      </c>
      <c r="I11" s="165">
        <f>J10</f>
        <v/>
      </c>
      <c r="J11" s="165">
        <f>I11+H11</f>
        <v/>
      </c>
      <c r="K11" s="166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네이버 500,000, 기타 대외비 지출 1,023,110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30342786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써치엠 1,487,786, 네이버SA&amp;GFA 8,305,000, ADN 550,000 외 2건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8" t="n"/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5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10166374</v>
      </c>
      <c r="D14" s="144" t="n">
        <v>2520855</v>
      </c>
      <c r="E14" s="144" t="n">
        <v>105898494</v>
      </c>
      <c r="F14" s="144" t="n">
        <v>27792132</v>
      </c>
      <c r="G14" s="144" t="n">
        <v>146377855</v>
      </c>
      <c r="H14" s="144" t="n"/>
      <c r="I14" s="144" t="n"/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2836423</v>
      </c>
      <c r="I15" s="144" t="n">
        <v>43235177</v>
      </c>
      <c r="J15" s="140" t="n"/>
    </row>
    <row r="16">
      <c r="A16" s="176" t="n">
        <v>46289</v>
      </c>
      <c r="B16" t="inlineStr">
        <is>
          <t>목</t>
        </is>
      </c>
      <c r="C16" s="144" t="n">
        <v>5859458</v>
      </c>
      <c r="D16" s="144" t="n">
        <v>294481</v>
      </c>
      <c r="E16" s="144" t="n">
        <v>67294770</v>
      </c>
      <c r="F16" s="144" t="n">
        <v>34585770</v>
      </c>
      <c r="G16" s="144" t="n">
        <v>108034479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7616811</v>
      </c>
      <c r="D17" s="144" t="n">
        <v>513795</v>
      </c>
      <c r="E17" s="144" t="n">
        <v>68959782</v>
      </c>
      <c r="F17" s="144" t="n">
        <v>37028090</v>
      </c>
      <c r="G17" s="144" t="n">
        <v>114118477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7616811</v>
      </c>
      <c r="D18" s="144" t="n">
        <v>513795</v>
      </c>
      <c r="E18" s="144" t="n">
        <v>68959782</v>
      </c>
      <c r="F18" s="144" t="n">
        <v>37028090</v>
      </c>
      <c r="G18" s="144" t="n">
        <v>114118477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7616811</v>
      </c>
      <c r="D19" s="144" t="n">
        <v>513795</v>
      </c>
      <c r="E19" s="144" t="n">
        <v>68959782</v>
      </c>
      <c r="F19" s="144" t="n">
        <v>37028090</v>
      </c>
      <c r="G19" s="144" t="n">
        <v>114118477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12150459</v>
      </c>
      <c r="D20" s="144" t="n">
        <v>741644</v>
      </c>
      <c r="E20" s="144" t="n">
        <v>70689598</v>
      </c>
      <c r="F20" s="144" t="n">
        <v>39565467</v>
      </c>
      <c r="G20" s="144" t="n">
        <v>123147168</v>
      </c>
      <c r="H20" s="144" t="n"/>
      <c r="I20" s="144" t="n"/>
      <c r="J20" s="140" t="n"/>
    </row>
    <row r="21">
      <c r="A21" s="176" t="n">
        <v>46294</v>
      </c>
      <c r="B21" t="inlineStr">
        <is>
          <t>화</t>
        </is>
      </c>
      <c r="C21" s="144" t="n">
        <v>21275010</v>
      </c>
      <c r="D21" s="144" t="n">
        <v>1200220</v>
      </c>
      <c r="E21" s="144" t="n">
        <v>74171076</v>
      </c>
      <c r="F21" s="144" t="n">
        <v>44672268</v>
      </c>
      <c r="G21" s="144" t="n">
        <v>141318573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32586413</v>
      </c>
      <c r="D22" s="144" t="n">
        <v>1768702</v>
      </c>
      <c r="E22" s="144" t="n">
        <v>78486949</v>
      </c>
      <c r="F22" s="144" t="n">
        <v>51002998</v>
      </c>
      <c r="G22" s="144" t="n">
        <v>163845061</v>
      </c>
      <c r="H22" s="144" t="n"/>
      <c r="I22" s="144" t="n"/>
      <c r="J22" s="140" t="n"/>
    </row>
    <row r="23">
      <c r="A23" s="176" t="n">
        <v>46296</v>
      </c>
      <c r="B23" t="inlineStr">
        <is>
          <t>목</t>
        </is>
      </c>
      <c r="C23" s="144" t="n">
        <v>38445870</v>
      </c>
      <c r="D23" s="144" t="n">
        <v>2063183</v>
      </c>
      <c r="E23" s="144" t="n">
        <v>80722629</v>
      </c>
      <c r="F23" s="144" t="n">
        <v>54282401</v>
      </c>
      <c r="G23" s="144" t="n">
        <v>175514083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42809673</v>
      </c>
      <c r="D24" s="144" t="n">
        <v>2282497</v>
      </c>
      <c r="E24" s="144" t="n">
        <v>82387640</v>
      </c>
      <c r="F24" s="144" t="n">
        <v>56724720</v>
      </c>
      <c r="G24" s="144" t="n">
        <v>184204531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42809673</v>
      </c>
      <c r="D25" s="144" t="n">
        <v>2282497</v>
      </c>
      <c r="E25" s="144" t="n">
        <v>82387640</v>
      </c>
      <c r="F25" s="144" t="n">
        <v>56724720</v>
      </c>
      <c r="G25" s="144" t="n">
        <v>184204531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42809673</v>
      </c>
      <c r="D26" s="144" t="n">
        <v>2282497</v>
      </c>
      <c r="E26" s="144" t="n">
        <v>82387640</v>
      </c>
      <c r="F26" s="144" t="n">
        <v>56724720</v>
      </c>
      <c r="G26" s="144" t="n">
        <v>184204531</v>
      </c>
      <c r="H26" s="144" t="n"/>
      <c r="I26" s="144" t="n"/>
      <c r="J26" s="140" t="n"/>
    </row>
    <row r="27">
      <c r="A27" s="176" t="n">
        <v>46300</v>
      </c>
      <c r="B27" t="inlineStr">
        <is>
          <t>월</t>
        </is>
      </c>
      <c r="C27" s="144" t="n">
        <v>47343321</v>
      </c>
      <c r="D27" s="144" t="n">
        <v>2510346</v>
      </c>
      <c r="E27" s="144" t="n">
        <v>84117457</v>
      </c>
      <c r="F27" s="144" t="n">
        <v>59262098</v>
      </c>
      <c r="G27" s="144" t="n">
        <v>193233222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56467872</v>
      </c>
      <c r="D28" s="144" t="n">
        <v>2968922</v>
      </c>
      <c r="E28" s="144" t="n">
        <v>87598935</v>
      </c>
      <c r="F28" s="144" t="n">
        <v>64368898</v>
      </c>
      <c r="G28" s="144" t="n">
        <v>211404627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62746916</v>
      </c>
      <c r="D29" s="144" t="n">
        <v>3284491</v>
      </c>
      <c r="E29" s="144" t="n">
        <v>89994708</v>
      </c>
      <c r="F29" s="144" t="n">
        <v>67883134</v>
      </c>
      <c r="G29" s="144" t="n">
        <v>223909248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68606374</v>
      </c>
      <c r="D30" s="144" t="n">
        <v>3578972</v>
      </c>
      <c r="E30" s="144" t="n">
        <v>92230388</v>
      </c>
      <c r="F30" s="144" t="n">
        <v>71162536</v>
      </c>
      <c r="G30" s="144" t="n">
        <v>235578270</v>
      </c>
      <c r="H30" s="144" t="n"/>
      <c r="I30" s="144" t="n"/>
      <c r="J30" s="140" t="n"/>
    </row>
    <row r="31">
      <c r="A31" s="176" t="n">
        <v>46304</v>
      </c>
      <c r="B31" t="inlineStr">
        <is>
          <t>금</t>
        </is>
      </c>
      <c r="C31" s="144" t="n">
        <v>72970177</v>
      </c>
      <c r="D31" s="144" t="n">
        <v>3798285</v>
      </c>
      <c r="E31" s="144" t="n">
        <v>93895399</v>
      </c>
      <c r="F31" s="144" t="n">
        <v>73604856</v>
      </c>
      <c r="G31" s="144" t="n">
        <v>244268718</v>
      </c>
      <c r="H31" s="144" t="n"/>
      <c r="I31" s="144" t="n"/>
      <c r="J31" s="140" t="n"/>
    </row>
    <row r="32">
      <c r="A32" s="176" t="n">
        <v>46305</v>
      </c>
      <c r="B32" t="inlineStr">
        <is>
          <t>토</t>
        </is>
      </c>
      <c r="C32" s="144" t="n">
        <v>72970177</v>
      </c>
      <c r="D32" s="144" t="n">
        <v>3798285</v>
      </c>
      <c r="E32" s="144" t="n">
        <v>93895399</v>
      </c>
      <c r="F32" s="144" t="n">
        <v>73604856</v>
      </c>
      <c r="G32" s="144" t="n">
        <v>244268718</v>
      </c>
      <c r="H32" s="144" t="n"/>
      <c r="I32" s="144" t="n"/>
      <c r="J32" s="140" t="n"/>
    </row>
    <row r="33">
      <c r="A33" s="176" t="n">
        <v>46306</v>
      </c>
      <c r="B33" t="inlineStr">
        <is>
          <t>일</t>
        </is>
      </c>
      <c r="C33" s="144" t="n">
        <v>72970177</v>
      </c>
      <c r="D33" s="144" t="n">
        <v>3798285</v>
      </c>
      <c r="E33" s="144" t="n">
        <v>93895399</v>
      </c>
      <c r="F33" s="144" t="n">
        <v>73604856</v>
      </c>
      <c r="G33" s="144" t="n">
        <v>244268718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지출계획_2026-09-19.xlsx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46288</v>
      </c>
      <c r="F19" s="143" t="n">
        <v>46288</v>
      </c>
      <c r="G19" s="142" t="inlineStr">
        <is>
          <t>대외비</t>
        </is>
      </c>
      <c r="H19" s="142" t="inlineStr">
        <is>
          <t>기타 대외비 지출</t>
        </is>
      </c>
      <c r="I19" s="144" t="n">
        <v>20000000</v>
      </c>
      <c r="J19" s="142" t="inlineStr">
        <is>
          <t>계좌송금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세금·보험(대외비)</t>
        </is>
      </c>
      <c r="I20" s="144" t="n">
        <v>2497000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지출계획_2026-09-19.xlsx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46290</v>
      </c>
      <c r="F21" s="143" t="n">
        <v>46290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109450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대외비-집계</t>
        </is>
      </c>
      <c r="B22" s="142" t="inlineStr">
        <is>
          <t>경영지원팀</t>
        </is>
      </c>
      <c r="C22" s="142" t="n"/>
      <c r="D22" s="142" t="n"/>
      <c r="E22" s="143" t="n">
        <v>46295</v>
      </c>
      <c r="F22" s="143" t="n">
        <v>46295</v>
      </c>
      <c r="G22" s="142" t="inlineStr">
        <is>
          <t>대외비</t>
        </is>
      </c>
      <c r="H22" s="142" t="inlineStr">
        <is>
          <t>기타 대외비 지출</t>
        </is>
      </c>
      <c r="I22" s="144" t="n">
        <v>860000</v>
      </c>
      <c r="J22" s="142" t="inlineStr">
        <is>
          <t>계좌송금</t>
        </is>
      </c>
      <c r="K22" s="142" t="inlineStr"/>
      <c r="L22" s="142" t="inlineStr">
        <is>
          <t>확정</t>
        </is>
      </c>
      <c r="M22" s="142" t="inlineStr"/>
      <c r="N22" s="142" t="n"/>
      <c r="O22" s="142" t="inlineStr">
        <is>
          <t>지출계획_2026-09-19.xlsx</t>
        </is>
      </c>
      <c r="P22" s="142" t="inlineStr">
        <is>
          <t>에이팜 별도관리</t>
        </is>
      </c>
      <c r="Q22" s="142" t="inlineStr"/>
    </row>
    <row r="23"/>
  </sheetData>
  <autoFilter ref="A5:Q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2026-09-19T13:11:10Z</dcterms:modified>
</cp:coreProperties>
</file>