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2026-09-18 22:27:11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9" t="n">
        <v>46283</v>
      </c>
      <c r="B18" s="20" t="inlineStr">
        <is>
          <t>금</t>
        </is>
      </c>
      <c r="C18" s="21" t="n">
        <v>8103203</v>
      </c>
      <c r="D18" s="21" t="n">
        <v>1090000</v>
      </c>
      <c r="E18" s="22">
        <f>E17+C18-D18</f>
        <v/>
      </c>
      <c r="F18" s="23" t="inlineStr">
        <is>
          <t>실적</t>
        </is>
      </c>
      <c r="G18" s="14" t="n">
        <v>10863060</v>
      </c>
      <c r="H18" s="14" t="n">
        <v>200833</v>
      </c>
    </row>
    <row r="19">
      <c r="A19" s="24" t="n">
        <v>46284</v>
      </c>
      <c r="B19" s="16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5">
        <f>IF(E19&lt;0,"부족","")</f>
        <v/>
      </c>
      <c r="G19" s="14" t="n">
        <v>0</v>
      </c>
      <c r="H19" s="14" t="n">
        <v>0</v>
      </c>
    </row>
    <row r="20">
      <c r="A20" s="24" t="n">
        <v>46285</v>
      </c>
      <c r="B20" s="16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4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11285864</v>
      </c>
      <c r="H21" s="14" t="n">
        <v>0</v>
      </c>
    </row>
    <row r="22">
      <c r="A22" s="24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22714257</v>
      </c>
      <c r="H22" s="14" t="n">
        <v>0</v>
      </c>
    </row>
    <row r="23">
      <c r="A23" s="24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15630776</v>
      </c>
      <c r="H23" s="14" t="n">
        <v>0</v>
      </c>
    </row>
    <row r="24">
      <c r="A24" s="24" t="n">
        <v>46289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14586277</v>
      </c>
      <c r="H24" s="14" t="n">
        <v>0</v>
      </c>
    </row>
    <row r="25">
      <c r="A25" s="26" t="n">
        <v>46290</v>
      </c>
      <c r="B25" s="27" t="inlineStr">
        <is>
          <t>금</t>
        </is>
      </c>
      <c r="C25" s="28">
        <f>ROUND(G25*$F$12,0)+H25</f>
        <v/>
      </c>
      <c r="D25" s="28">
        <f>SUMIFS($E$47:$E$140,$A$47:$A$140,A25)</f>
        <v/>
      </c>
      <c r="E25" s="28">
        <f>E24+C25-D25</f>
        <v/>
      </c>
      <c r="F25" s="29">
        <f>IF(E25&lt;0,"부족","")</f>
        <v/>
      </c>
      <c r="G25" s="14" t="n">
        <v>10863060</v>
      </c>
      <c r="H25" s="14" t="n">
        <v>0</v>
      </c>
    </row>
    <row r="26">
      <c r="A26" s="15" t="n">
        <v>46291</v>
      </c>
      <c r="B26" s="16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30">
        <f>IF(E26&lt;0,"부족","")</f>
        <v/>
      </c>
      <c r="G26" s="14" t="n">
        <v>0</v>
      </c>
      <c r="H26" s="14" t="n">
        <v>0</v>
      </c>
    </row>
    <row r="27">
      <c r="A27" s="15" t="n">
        <v>46292</v>
      </c>
      <c r="B27" s="16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3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3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3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3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3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30">
        <f>IF(E32&lt;0,"부족","")</f>
        <v/>
      </c>
      <c r="G32" s="14" t="n">
        <v>10863060</v>
      </c>
      <c r="H32" s="14" t="n">
        <v>0</v>
      </c>
    </row>
    <row r="33">
      <c r="A33" s="15" t="n">
        <v>46298</v>
      </c>
      <c r="B33" s="16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30">
        <f>IF(E33&lt;0,"부족","")</f>
        <v/>
      </c>
      <c r="G33" s="14" t="n">
        <v>0</v>
      </c>
      <c r="H33" s="14" t="n">
        <v>0</v>
      </c>
    </row>
    <row r="34">
      <c r="A34" s="15" t="n">
        <v>46299</v>
      </c>
      <c r="B34" s="16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30">
        <f>IF(E34&lt;0,"부족","")</f>
        <v/>
      </c>
      <c r="G34" s="14" t="n">
        <v>0</v>
      </c>
      <c r="H34" s="14" t="n">
        <v>0</v>
      </c>
    </row>
    <row r="35">
      <c r="A35" s="15" t="n">
        <v>46300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30">
        <f>IF(E35&lt;0,"부족","")</f>
        <v/>
      </c>
      <c r="G35" s="14" t="n">
        <v>11285864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3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3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30">
        <f>IF(E38&lt;0,"부족","")</f>
        <v/>
      </c>
      <c r="G38" s="14" t="n">
        <v>14586277</v>
      </c>
      <c r="H38" s="14" t="n">
        <v>0</v>
      </c>
    </row>
    <row r="39">
      <c r="A39" s="15" t="n">
        <v>46304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30">
        <f>IF(E39&lt;0,"부족","")</f>
        <v/>
      </c>
      <c r="G39" s="14" t="n">
        <v>10863060</v>
      </c>
      <c r="H39" s="14" t="n">
        <v>0</v>
      </c>
    </row>
    <row r="40">
      <c r="A40" s="15" t="n">
        <v>46305</v>
      </c>
      <c r="B40" s="16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30">
        <f>IF(E40&lt;0,"부족","")</f>
        <v/>
      </c>
      <c r="G40" s="14" t="n">
        <v>0</v>
      </c>
      <c r="H40" s="14" t="n">
        <v>0</v>
      </c>
    </row>
    <row r="41">
      <c r="A41" s="15" t="n">
        <v>46306</v>
      </c>
      <c r="B41" s="16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30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5" t="inlineStr">
        <is>
          <t>대외비 세금·보험(대외비)</t>
        </is>
      </c>
      <c r="E47" s="36" t="n">
        <v>4900000</v>
      </c>
      <c r="F47" s="16" t="inlineStr">
        <is>
          <t>자동이체</t>
        </is>
      </c>
    </row>
    <row r="48">
      <c r="A48" s="34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5" t="inlineStr">
        <is>
          <t>네이버SA&amp;GFA 네이버 SA&amp;GFA 광고비 충전</t>
        </is>
      </c>
      <c r="E48" s="36" t="n">
        <v>3498000</v>
      </c>
      <c r="F48" s="16" t="inlineStr">
        <is>
          <t>계좌송금</t>
        </is>
      </c>
    </row>
    <row r="49">
      <c r="A49" s="34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5" t="inlineStr">
        <is>
          <t>인포크비즈니스 베리시톨 인플루언서 비용</t>
        </is>
      </c>
      <c r="E49" s="36" t="n">
        <v>3300000</v>
      </c>
      <c r="F49" s="16" t="inlineStr">
        <is>
          <t>계좌송금</t>
        </is>
      </c>
    </row>
    <row r="50">
      <c r="A50" s="34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5" t="inlineStr">
        <is>
          <t>트라이앵글하모니 카카오톡선물하기 베리시톨 리뷰작업</t>
        </is>
      </c>
      <c r="E50" s="36" t="n">
        <v>1996000</v>
      </c>
      <c r="F50" s="16" t="inlineStr">
        <is>
          <t>계좌송금</t>
        </is>
      </c>
    </row>
    <row r="51">
      <c r="A51" s="34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5" t="inlineStr">
        <is>
          <t>대외비 기타 대외비 지출</t>
        </is>
      </c>
      <c r="E51" s="36" t="n">
        <v>220000</v>
      </c>
      <c r="F51" s="16" t="inlineStr">
        <is>
          <t>자동이체</t>
        </is>
      </c>
    </row>
    <row r="52">
      <c r="A52" s="34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5" t="inlineStr">
        <is>
          <t>대외비 기타 대외비 지출</t>
        </is>
      </c>
      <c r="E52" s="36" t="n">
        <v>21023110</v>
      </c>
      <c r="F52" s="16" t="inlineStr">
        <is>
          <t>계좌송금</t>
        </is>
      </c>
    </row>
    <row r="53">
      <c r="A53" s="34" t="n">
        <v>46287</v>
      </c>
      <c r="B53" s="16">
        <f>IF(A53="","",MID("월화수목금토일",WEEKDAY(A53,2),1))</f>
        <v/>
      </c>
      <c r="C53" s="6" t="inlineStr">
        <is>
          <t>건강사업팀</t>
        </is>
      </c>
      <c r="D53" s="35" t="inlineStr">
        <is>
          <t>네이버 네이버 톡톡 발송</t>
        </is>
      </c>
      <c r="E53" s="36" t="n">
        <v>500000</v>
      </c>
      <c r="F53" s="16" t="inlineStr">
        <is>
          <t>계좌송금</t>
        </is>
      </c>
    </row>
    <row r="54">
      <c r="A54" s="34" t="n">
        <v>46288</v>
      </c>
      <c r="B54" s="16">
        <f>IF(A54="","",MID("월화수목금토일",WEEKDAY(A54,2),1))</f>
        <v/>
      </c>
      <c r="C54" s="6" t="inlineStr">
        <is>
          <t>경영지원팀</t>
        </is>
      </c>
      <c r="D54" s="35" t="inlineStr">
        <is>
          <t>대외비 기타 대외비 지출</t>
        </is>
      </c>
      <c r="E54" s="36" t="n">
        <v>32174232</v>
      </c>
      <c r="F54" s="16" t="inlineStr">
        <is>
          <t>자동이체</t>
        </is>
      </c>
    </row>
    <row r="55">
      <c r="A55" s="34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5" t="inlineStr">
        <is>
          <t>네이버SA&amp;GFA 네이버SA&amp;GFA 광고 비용 충전</t>
        </is>
      </c>
      <c r="E55" s="36" t="n">
        <v>8305000</v>
      </c>
      <c r="F55" s="16" t="inlineStr">
        <is>
          <t>계좌송금</t>
        </is>
      </c>
    </row>
    <row r="56">
      <c r="A56" s="34" t="n">
        <v>46288</v>
      </c>
      <c r="B56" s="16">
        <f>IF(A56="","",MID("월화수목금토일",WEEKDAY(A56,2),1))</f>
        <v/>
      </c>
      <c r="C56" s="6" t="inlineStr">
        <is>
          <t>자동추정</t>
        </is>
      </c>
      <c r="D56" s="35" t="inlineStr">
        <is>
          <t>정기지출 추정(자동 초안): METLIFE 신뢰도 중</t>
        </is>
      </c>
      <c r="E56" s="36" t="n">
        <v>7641812</v>
      </c>
      <c r="F56" s="16" t="inlineStr"/>
    </row>
    <row r="57">
      <c r="A57" s="34" t="n">
        <v>46288</v>
      </c>
      <c r="B57" s="16">
        <f>IF(A57="","",MID("월화수목금토일",WEEKDAY(A57,2),1))</f>
        <v/>
      </c>
      <c r="C57" s="6" t="inlineStr">
        <is>
          <t>자동추정</t>
        </is>
      </c>
      <c r="D57" s="35" t="inlineStr">
        <is>
          <t>정기지출 추정(자동 초안): NH기업카드 신뢰도 상</t>
        </is>
      </c>
      <c r="E57" s="36" t="n">
        <v>6066502</v>
      </c>
      <c r="F57" s="16" t="inlineStr"/>
    </row>
    <row r="58">
      <c r="A58" s="34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5" t="inlineStr">
        <is>
          <t>써치엠 메타 광고 대행 수수</t>
        </is>
      </c>
      <c r="E58" s="36" t="n">
        <v>1487786</v>
      </c>
      <c r="F58" s="16" t="inlineStr">
        <is>
          <t>계좌송금</t>
        </is>
      </c>
    </row>
    <row r="59">
      <c r="A59" s="34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5" t="inlineStr">
        <is>
          <t>ADN ADN 광고-추석 유입</t>
        </is>
      </c>
      <c r="E59" s="36" t="n">
        <v>550000</v>
      </c>
      <c r="F59" s="16" t="inlineStr">
        <is>
          <t>계좌송금</t>
        </is>
      </c>
    </row>
    <row r="60">
      <c r="A60" s="34" t="n">
        <v>46288</v>
      </c>
      <c r="B60" s="16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아이현종찬 신뢰도 하</t>
        </is>
      </c>
      <c r="E60" s="36" t="n">
        <v>173250</v>
      </c>
      <c r="F60" s="16" t="inlineStr"/>
    </row>
    <row r="61">
      <c r="A61" s="34" t="n">
        <v>46289</v>
      </c>
      <c r="B61" s="16">
        <f>IF(A61="","",MID("월화수목금토일",WEEKDAY(A61,2),1))</f>
        <v/>
      </c>
      <c r="C61" s="6" t="inlineStr">
        <is>
          <t>자동추정</t>
        </is>
      </c>
      <c r="D61" s="35" t="inlineStr">
        <is>
          <t>정기지출 추정(자동 초안): 세이브더칠드런 신뢰도 중</t>
        </is>
      </c>
      <c r="E61" s="36" t="n">
        <v>2000000</v>
      </c>
      <c r="F61" s="16" t="inlineStr"/>
    </row>
    <row r="62">
      <c r="A62" s="34" t="n">
        <v>46290</v>
      </c>
      <c r="B62" s="16">
        <f>IF(A62="","",MID("월화수목금토일",WEEKDAY(A62,2),1))</f>
        <v/>
      </c>
      <c r="C62" s="6" t="inlineStr">
        <is>
          <t>경영지원팀</t>
        </is>
      </c>
      <c r="D62" s="35" t="inlineStr">
        <is>
          <t>대외비 세금·보험(대외비)</t>
        </is>
      </c>
      <c r="E62" s="36" t="n">
        <v>2497000</v>
      </c>
      <c r="F62" s="16" t="inlineStr">
        <is>
          <t>자동이체</t>
        </is>
      </c>
    </row>
    <row r="63">
      <c r="A63" s="34" t="n">
        <v>46290</v>
      </c>
      <c r="B63" s="16">
        <f>IF(A63="","",MID("월화수목금토일",WEEKDAY(A63,2),1))</f>
        <v/>
      </c>
      <c r="C63" s="6" t="inlineStr">
        <is>
          <t>경영지원팀</t>
        </is>
      </c>
      <c r="D63" s="35" t="inlineStr">
        <is>
          <t>대외비 기타 대외비 지출</t>
        </is>
      </c>
      <c r="E63" s="36" t="n">
        <v>109450</v>
      </c>
      <c r="F63" s="16" t="inlineStr">
        <is>
          <t>자동이체</t>
        </is>
      </c>
    </row>
    <row r="64">
      <c r="A64" s="34" t="n">
        <v>46292</v>
      </c>
      <c r="B64" s="16">
        <f>IF(A64="","",MID("월화수목금토일",WEEKDAY(A64,2),1))</f>
        <v/>
      </c>
      <c r="C64" s="6" t="inlineStr">
        <is>
          <t>자동추정</t>
        </is>
      </c>
      <c r="D64" s="35" t="inlineStr">
        <is>
          <t>정기지출 추정(자동 초안): 농협한혜선 신뢰도 중</t>
        </is>
      </c>
      <c r="E64" s="36" t="n">
        <v>1650000</v>
      </c>
      <c r="F64" s="16" t="inlineStr"/>
    </row>
    <row r="65">
      <c r="A65" s="34" t="n">
        <v>46292</v>
      </c>
      <c r="B65" s="16">
        <f>IF(A65="","",MID("월화수목금토일",WEEKDAY(A65,2),1))</f>
        <v/>
      </c>
      <c r="C65" s="6" t="inlineStr">
        <is>
          <t>자동추정</t>
        </is>
      </c>
      <c r="D65" s="35" t="inlineStr">
        <is>
          <t>정기지출 추정(자동 초안): 하나남경 노무법인 신뢰도 하</t>
        </is>
      </c>
      <c r="E65" s="36" t="n">
        <v>449429</v>
      </c>
      <c r="F65" s="16" t="inlineStr"/>
    </row>
    <row r="66">
      <c r="A66" s="34" t="n">
        <v>46293</v>
      </c>
      <c r="B66" s="16">
        <f>IF(A66="","",MID("월화수목금토일",WEEKDAY(A66,2),1))</f>
        <v/>
      </c>
      <c r="C66" s="6" t="inlineStr">
        <is>
          <t>자동추정</t>
        </is>
      </c>
      <c r="D66" s="35" t="inlineStr">
        <is>
          <t>정기지출 추정(자동 초안): 기업콜마비앤에이치 신뢰도 중</t>
        </is>
      </c>
      <c r="E66" s="36" t="n">
        <v>44600001</v>
      </c>
      <c r="F66" s="16" t="inlineStr"/>
    </row>
    <row r="67">
      <c r="A67" s="34" t="n">
        <v>46294</v>
      </c>
      <c r="B67" s="16">
        <f>IF(A67="","",MID("월화수목금토일",WEEKDAY(A67,2),1))</f>
        <v/>
      </c>
      <c r="C67" s="6" t="inlineStr">
        <is>
          <t>자동추정</t>
        </is>
      </c>
      <c r="D67" s="35" t="inlineStr">
        <is>
          <t>정기지출 추정(자동 초안): 아이서원회계법인 대 신뢰도 하</t>
        </is>
      </c>
      <c r="E67" s="36" t="n">
        <v>1348600</v>
      </c>
      <c r="F67" s="16" t="inlineStr"/>
    </row>
    <row r="68">
      <c r="A68" s="34" t="n">
        <v>46294</v>
      </c>
      <c r="B68" s="16">
        <f>IF(A68="","",MID("월화수목금토일",WEEKDAY(A68,2),1))</f>
        <v/>
      </c>
      <c r="C68" s="6" t="inlineStr">
        <is>
          <t>자동추정</t>
        </is>
      </c>
      <c r="D68" s="35" t="inlineStr">
        <is>
          <t>정기지출 추정(자동 초안): 국민주식회사 오애드 신뢰도 하</t>
        </is>
      </c>
      <c r="E68" s="36" t="n">
        <v>1045000</v>
      </c>
      <c r="F68" s="16" t="inlineStr"/>
    </row>
    <row r="69">
      <c r="A69" s="34" t="n">
        <v>46294</v>
      </c>
      <c r="B69" s="16">
        <f>IF(A69="","",MID("월화수목금토일",WEEKDAY(A69,2),1))</f>
        <v/>
      </c>
      <c r="C69" s="6" t="inlineStr">
        <is>
          <t>자동추정</t>
        </is>
      </c>
      <c r="D69" s="35" t="inlineStr">
        <is>
          <t>정기지출 추정(자동 초안): 하나흥덕IT밸리관리 신뢰도 하</t>
        </is>
      </c>
      <c r="E69" s="36" t="n">
        <v>586192</v>
      </c>
      <c r="F69" s="16" t="inlineStr"/>
    </row>
    <row r="70">
      <c r="A70" s="34" t="n">
        <v>46295</v>
      </c>
      <c r="B70" s="16">
        <f>IF(A70="","",MID("월화수목금토일",WEEKDAY(A70,2),1))</f>
        <v/>
      </c>
      <c r="C70" s="6" t="inlineStr">
        <is>
          <t>자동추정</t>
        </is>
      </c>
      <c r="D70" s="35" t="inlineStr">
        <is>
          <t>정기지출 추정(자동 초안): TOP출금 신뢰도 하</t>
        </is>
      </c>
      <c r="E70" s="36" t="n">
        <v>65040941</v>
      </c>
      <c r="F70" s="16" t="inlineStr"/>
    </row>
    <row r="71">
      <c r="A71" s="34" t="n">
        <v>46295</v>
      </c>
      <c r="B71" s="16">
        <f>IF(A71="","",MID("월화수목금토일",WEEKDAY(A71,2),1))</f>
        <v/>
      </c>
      <c r="C71" s="6" t="inlineStr">
        <is>
          <t>자동추정</t>
        </is>
      </c>
      <c r="D71" s="35" t="inlineStr">
        <is>
          <t>정기지출 추정(자동 초안): 한진주식회사 신뢰도 상</t>
        </is>
      </c>
      <c r="E71" s="36" t="n">
        <v>10790260</v>
      </c>
      <c r="F71" s="16" t="inlineStr"/>
    </row>
    <row r="72">
      <c r="A72" s="34" t="n">
        <v>46295</v>
      </c>
      <c r="B72" s="16">
        <f>IF(A72="","",MID("월화수목금토일",WEEKDAY(A72,2),1))</f>
        <v/>
      </c>
      <c r="C72" s="6" t="inlineStr">
        <is>
          <t>자동추정</t>
        </is>
      </c>
      <c r="D72" s="35" t="inlineStr">
        <is>
          <t>정기지출 추정(자동 초안): 퇴직예약출금 신뢰도 하</t>
        </is>
      </c>
      <c r="E72" s="36" t="n">
        <v>8156420</v>
      </c>
      <c r="F72" s="16" t="inlineStr"/>
    </row>
    <row r="73">
      <c r="A73" s="34" t="n">
        <v>46295</v>
      </c>
      <c r="B73" s="16">
        <f>IF(A73="","",MID("월화수목금토일",WEEKDAY(A73,2),1))</f>
        <v/>
      </c>
      <c r="C73" s="6" t="inlineStr">
        <is>
          <t>자동추정</t>
        </is>
      </c>
      <c r="D73" s="35" t="inlineStr">
        <is>
          <t>정기지출 추정(자동 초안): 국민엠제이테크노파크 신뢰도 하</t>
        </is>
      </c>
      <c r="E73" s="36" t="n">
        <v>214586</v>
      </c>
      <c r="F73" s="16" t="inlineStr"/>
    </row>
    <row r="74">
      <c r="A74" s="34" t="n">
        <v>46296</v>
      </c>
      <c r="B74" s="16">
        <f>IF(A74="","",MID("월화수목금토일",WEEKDAY(A74,2),1))</f>
        <v/>
      </c>
      <c r="C74" s="6" t="inlineStr">
        <is>
          <t>자동추정</t>
        </is>
      </c>
      <c r="D74" s="35" t="inlineStr">
        <is>
          <t>정기지출 추정(자동 초안): KB 신뢰도 상</t>
        </is>
      </c>
      <c r="E74" s="36" t="n">
        <v>2952747</v>
      </c>
      <c r="F74" s="16" t="inlineStr"/>
    </row>
    <row r="75">
      <c r="A75" s="34" t="n">
        <v>46298</v>
      </c>
      <c r="B75" s="16">
        <f>IF(A75="","",MID("월화수목금토일",WEEKDAY(A75,2),1))</f>
        <v/>
      </c>
      <c r="C75" s="6" t="inlineStr">
        <is>
          <t>자동추정</t>
        </is>
      </c>
      <c r="D75" s="35" t="inlineStr">
        <is>
          <t>정기지출 추정(자동 초안): 대한사회복지회 신뢰도 상</t>
        </is>
      </c>
      <c r="E75" s="36" t="n">
        <v>100000</v>
      </c>
      <c r="F75" s="16" t="inlineStr"/>
    </row>
    <row r="76">
      <c r="A76" s="34" t="n">
        <v>46299</v>
      </c>
      <c r="B76" s="16">
        <f>IF(A76="","",MID("월화수목금토일",WEEKDAY(A76,2),1))</f>
        <v/>
      </c>
      <c r="C76" s="6" t="inlineStr">
        <is>
          <t>자동추정</t>
        </is>
      </c>
      <c r="D76" s="35" t="inlineStr">
        <is>
          <t>정기지출 추정(자동 초안): 한화스마트 신뢰도 상</t>
        </is>
      </c>
      <c r="E76" s="36" t="n">
        <v>30000000</v>
      </c>
      <c r="F76" s="16" t="inlineStr"/>
    </row>
    <row r="77">
      <c r="A77" s="34" t="n">
        <v>46301</v>
      </c>
      <c r="B77" s="16">
        <f>IF(A77="","",MID("월화수목금토일",WEEKDAY(A77,2),1))</f>
        <v/>
      </c>
      <c r="C77" s="6" t="inlineStr">
        <is>
          <t>자동추정</t>
        </is>
      </c>
      <c r="D77" s="35" t="inlineStr">
        <is>
          <t>정기지출 추정(자동 초안): 미래 신뢰도 상</t>
        </is>
      </c>
      <c r="E77" s="36" t="n">
        <v>4494000</v>
      </c>
      <c r="F77" s="16" t="inlineStr"/>
    </row>
    <row r="78">
      <c r="A78" s="34" t="n">
        <v>46302</v>
      </c>
      <c r="B78" s="16">
        <f>IF(A78="","",MID("월화수목금토일",WEEKDAY(A78,2),1))</f>
        <v/>
      </c>
      <c r="C78" s="6" t="inlineStr">
        <is>
          <t>자동추정</t>
        </is>
      </c>
      <c r="D78" s="35" t="inlineStr">
        <is>
          <t>정기지출 추정(자동 초안): 삼성건 신뢰도 하</t>
        </is>
      </c>
      <c r="E78" s="36" t="n">
        <v>8898225</v>
      </c>
      <c r="F78" s="16" t="inlineStr"/>
    </row>
    <row r="79">
      <c r="A79" s="34" t="n">
        <v>46303</v>
      </c>
      <c r="B79" s="16">
        <f>IF(A79="","",MID("월화수목금토일",WEEKDAY(A79,2),1))</f>
        <v/>
      </c>
      <c r="C79" s="6" t="inlineStr">
        <is>
          <t>자동추정</t>
        </is>
      </c>
      <c r="D79" s="35" t="inlineStr">
        <is>
          <t>정기지출 추정(자동 초안): 한화생 신뢰도 중</t>
        </is>
      </c>
      <c r="E79" s="36" t="n">
        <v>42006200</v>
      </c>
      <c r="F79" s="16" t="inlineStr"/>
    </row>
    <row r="80">
      <c r="A80" s="34" t="n">
        <v>46304</v>
      </c>
      <c r="B80" s="16">
        <f>IF(A80="","",MID("월화수목금토일",WEEKDAY(A80,2),1))</f>
        <v/>
      </c>
      <c r="C80" s="6" t="inlineStr">
        <is>
          <t>자동추정</t>
        </is>
      </c>
      <c r="D80" s="35" t="inlineStr">
        <is>
          <t>정기지출 추정(자동 초안): 국민주식회사 아이디 신뢰도 하</t>
        </is>
      </c>
      <c r="E80" s="36" t="n">
        <v>9157500</v>
      </c>
      <c r="F80" s="16" t="inlineStr"/>
    </row>
    <row r="81">
      <c r="A81" s="34" t="n">
        <v>46304</v>
      </c>
      <c r="B81" s="16">
        <f>IF(A81="","",MID("월화수목금토일",WEEKDAY(A81,2),1))</f>
        <v/>
      </c>
      <c r="C81" s="6" t="inlineStr">
        <is>
          <t>자동추정</t>
        </is>
      </c>
      <c r="D81" s="35" t="inlineStr">
        <is>
          <t>정기지출 추정(자동 초안): 국민SA 신뢰도 하</t>
        </is>
      </c>
      <c r="E81" s="36" t="n">
        <v>4427500</v>
      </c>
      <c r="F81" s="16" t="inlineStr"/>
    </row>
    <row r="82">
      <c r="A82" s="34" t="n">
        <v>46304</v>
      </c>
      <c r="B82" s="16">
        <f>IF(A82="","",MID("월화수목금토일",WEEKDAY(A82,2),1))</f>
        <v/>
      </c>
      <c r="C82" s="6" t="inlineStr">
        <is>
          <t>자동추정</t>
        </is>
      </c>
      <c r="D82" s="35" t="inlineStr">
        <is>
          <t>정기지출 추정(자동 초안): 국민GFA 신뢰도 하</t>
        </is>
      </c>
      <c r="E82" s="36" t="n">
        <v>907500</v>
      </c>
      <c r="F82" s="16" t="inlineStr"/>
    </row>
    <row r="83">
      <c r="A83" s="34" t="n">
        <v>46304</v>
      </c>
      <c r="B83" s="16">
        <f>IF(A83="","",MID("월화수목금토일",WEEKDAY(A83,2),1))</f>
        <v/>
      </c>
      <c r="C83" s="6" t="inlineStr">
        <is>
          <t>자동추정</t>
        </is>
      </c>
      <c r="D83" s="35" t="inlineStr">
        <is>
          <t>정기지출 추정(자동 초안): 기업주식회사 채널코 신뢰도 중</t>
        </is>
      </c>
      <c r="E83" s="36" t="n">
        <v>198000</v>
      </c>
      <c r="F83" s="16" t="inlineStr"/>
    </row>
    <row r="84">
      <c r="A84" s="34" t="n">
        <v>46305</v>
      </c>
      <c r="B84" s="16">
        <f>IF(A84="","",MID("월화수목금토일",WEEKDAY(A84,2),1))</f>
        <v/>
      </c>
      <c r="C84" s="6" t="inlineStr">
        <is>
          <t>자동추정</t>
        </is>
      </c>
      <c r="D84" s="35" t="inlineStr">
        <is>
          <t>정기지출 추정(자동 초안): 국고_주식회사 신뢰도 하</t>
        </is>
      </c>
      <c r="E84" s="36" t="n">
        <v>16964733</v>
      </c>
      <c r="F84" s="16" t="inlineStr"/>
    </row>
    <row r="85">
      <c r="A85" s="34" t="n">
        <v>46305</v>
      </c>
      <c r="B85" s="16">
        <f>IF(A85="","",MID("월화수목금토일",WEEKDAY(A85,2),1))</f>
        <v/>
      </c>
      <c r="C85" s="6" t="inlineStr">
        <is>
          <t>자동추정</t>
        </is>
      </c>
      <c r="D85" s="35" t="inlineStr">
        <is>
          <t>정기지출 추정(자동 초안): 신한고은미이룸파트 신뢰도 중</t>
        </is>
      </c>
      <c r="E85" s="36" t="n">
        <v>16732980</v>
      </c>
      <c r="F85" s="16" t="inlineStr"/>
    </row>
    <row r="86">
      <c r="A86" s="34" t="n">
        <v>46305</v>
      </c>
      <c r="B86" s="16">
        <f>IF(A86="","",MID("월화수목금토일",WEEKDAY(A86,2),1))</f>
        <v/>
      </c>
      <c r="C86" s="6" t="inlineStr">
        <is>
          <t>자동추정</t>
        </is>
      </c>
      <c r="D86" s="35" t="inlineStr">
        <is>
          <t>정기지출 추정(자동 초안): 사회보험 신뢰도 상</t>
        </is>
      </c>
      <c r="E86" s="36" t="n">
        <v>16413167</v>
      </c>
      <c r="F86" s="16" t="inlineStr"/>
    </row>
    <row r="87">
      <c r="A87" s="34" t="n">
        <v>46305</v>
      </c>
      <c r="B87" s="16">
        <f>IF(A87="","",MID("월화수목금토일",WEEKDAY(A87,2),1))</f>
        <v/>
      </c>
      <c r="C87" s="6" t="inlineStr">
        <is>
          <t>자동추정</t>
        </is>
      </c>
      <c r="D87" s="35" t="inlineStr">
        <is>
          <t>정기지출 추정(자동 초안): 신한대구달서구주식 신뢰도 하</t>
        </is>
      </c>
      <c r="E87" s="36" t="n">
        <v>2659287</v>
      </c>
      <c r="F87" s="16" t="inlineStr"/>
    </row>
    <row r="88">
      <c r="A88" s="34" t="n">
        <v>46305</v>
      </c>
      <c r="B88" s="16">
        <f>IF(A88="","",MID("월화수목금토일",WEEKDAY(A88,2),1))</f>
        <v/>
      </c>
      <c r="C88" s="6" t="inlineStr">
        <is>
          <t>자동추정</t>
        </is>
      </c>
      <c r="D88" s="35" t="inlineStr">
        <is>
          <t>정기지출 추정(자동 초안): 국민서울보증보험 신뢰도 하</t>
        </is>
      </c>
      <c r="E88" s="36" t="n">
        <v>113382</v>
      </c>
      <c r="F88" s="16" t="inlineStr"/>
    </row>
    <row r="89">
      <c r="A89" s="34" t="n">
        <v>46306</v>
      </c>
      <c r="B89" s="16">
        <f>IF(A89="","",MID("월화수목금토일",WEEKDAY(A89,2),1))</f>
        <v/>
      </c>
      <c r="C89" s="6" t="inlineStr">
        <is>
          <t>자동추정</t>
        </is>
      </c>
      <c r="D89" s="35" t="inlineStr">
        <is>
          <t>정기지출 추정(자동 초안): 허용 신뢰도 하</t>
        </is>
      </c>
      <c r="E89" s="36" t="n">
        <v>39250000</v>
      </c>
      <c r="F89" s="16" t="inlineStr"/>
    </row>
    <row r="90">
      <c r="A90" s="34" t="n">
        <v>46306</v>
      </c>
      <c r="B90" s="16">
        <f>IF(A90="","",MID("월화수목금토일",WEEKDAY(A90,2),1))</f>
        <v/>
      </c>
      <c r="C90" s="6" t="inlineStr">
        <is>
          <t>자동추정</t>
        </is>
      </c>
      <c r="D90" s="35" t="inlineStr">
        <is>
          <t>정기지출 추정(자동 초안): 농협주레인보우 신뢰도 하</t>
        </is>
      </c>
      <c r="E90" s="36" t="n">
        <v>839960</v>
      </c>
      <c r="F90" s="16" t="inlineStr"/>
    </row>
    <row r="91">
      <c r="A91" s="34" t="n">
        <v>46306</v>
      </c>
      <c r="B91" s="16">
        <f>IF(A91="","",MID("월화수목금토일",WEEKDAY(A91,2),1))</f>
        <v/>
      </c>
      <c r="C91" s="6" t="inlineStr">
        <is>
          <t>자동추정</t>
        </is>
      </c>
      <c r="D91" s="35" t="inlineStr">
        <is>
          <t>정기지출 추정(자동 초안): 아이로펌더봄엄요한 신뢰도 하</t>
        </is>
      </c>
      <c r="E91" s="36" t="n">
        <v>220000</v>
      </c>
      <c r="F91" s="16" t="inlineStr"/>
    </row>
    <row r="141">
      <c r="D141" s="37" t="inlineStr">
        <is>
          <t>합계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B144" s="36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9" t="n">
        <v>0.8</v>
      </c>
      <c r="B146" s="7" t="n">
        <v>-101829456</v>
      </c>
      <c r="C146" s="7" t="n">
        <v>-101829456</v>
      </c>
      <c r="D146" s="16" t="inlineStr">
        <is>
          <t>2026-10-08</t>
        </is>
      </c>
      <c r="E146" s="10">
        <f>MAX(0,$B$144-C146)</f>
        <v/>
      </c>
    </row>
    <row r="147">
      <c r="A147" s="39" t="n">
        <v>0.9</v>
      </c>
      <c r="B147" s="7" t="n">
        <v>-79305386</v>
      </c>
      <c r="C147" s="7" t="n">
        <v>-79305386</v>
      </c>
      <c r="D147" s="16" t="inlineStr">
        <is>
          <t>2026-10-10</t>
        </is>
      </c>
      <c r="E147" s="10">
        <f>MAX(0,$B$144-C147)</f>
        <v/>
      </c>
    </row>
    <row r="148">
      <c r="A148" s="39" t="n">
        <v>1</v>
      </c>
      <c r="B148" s="7" t="n">
        <v>-56781316</v>
      </c>
      <c r="C148" s="7" t="n">
        <v>-56781316</v>
      </c>
      <c r="D148" s="16" t="inlineStr">
        <is>
          <t>2026-10-10</t>
        </is>
      </c>
      <c r="E148" s="10">
        <f>MAX(0,$B$144-C148)</f>
        <v/>
      </c>
    </row>
    <row r="149">
      <c r="A149" s="31" t="inlineStr">
        <is>
          <t>주당 추가 입금 목표</t>
        </is>
      </c>
      <c r="B149" s="32">
        <f>ROUND(E146/4,0)</f>
        <v/>
      </c>
      <c r="D149" s="33" t="inlineStr">
        <is>
          <t>영업일당(주 5일 기준)</t>
        </is>
      </c>
      <c r="E149" s="32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mergeCells count="1">
    <mergeCell ref="A152:F154"/>
  </mergeCells>
  <conditionalFormatting sqref="E14:E41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2026-09-18T13:27:11Z</dcterms:created>
  <dcterms:modified xsi:type="dcterms:W3CDTF">2026-09-18T13:27:11Z</dcterms:modified>
</cp:coreProperties>
</file>