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6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border>
        <left style="medium">
          <color rgb="00C00000"/>
        </left>
        <right style="medium">
          <color rgb="00C00000"/>
        </right>
        <top style="medium">
          <color rgb="00C00000"/>
        </top>
        <bottom style="medium">
          <color rgb="00C00000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02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8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8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08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8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08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8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1건;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44600001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conditionalFormatting sqref="A6:K33">
    <cfRule type="expression" priority="2" dxfId="5">
      <formula>AND($A6&lt;&gt;"",$A6&gt;=TODAY()-WEEKDAY(TODAY(),2)+1,$A6&lt;TODAY()-WEEKDAY(TODAY(),2)+8)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59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60" t="inlineStr">
        <is>
          <t>실적 구간</t>
        </is>
      </c>
    </row>
    <row r="7">
      <c r="A7" s="159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60" t="inlineStr">
        <is>
          <t>실적 구간</t>
        </is>
      </c>
    </row>
    <row r="8">
      <c r="A8" s="159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60" t="inlineStr">
        <is>
          <t>실적 구간</t>
        </is>
      </c>
    </row>
    <row r="9">
      <c r="A9" s="159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60" t="inlineStr">
        <is>
          <t>실적 구간</t>
        </is>
      </c>
    </row>
    <row r="10">
      <c r="A10" s="159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60" t="inlineStr">
        <is>
          <t>실적 구간</t>
        </is>
      </c>
    </row>
    <row r="11">
      <c r="A11" s="159" t="n">
        <v>46284</v>
      </c>
      <c r="B11" t="inlineStr">
        <is>
          <t>토</t>
        </is>
      </c>
      <c r="C11" s="144" t="n">
        <v>9654940</v>
      </c>
      <c r="D11" s="144" t="n">
        <v>1834429</v>
      </c>
      <c r="E11" s="144" t="n">
        <v>100687200</v>
      </c>
      <c r="F11" s="144" t="n">
        <v>20147954</v>
      </c>
      <c r="G11" s="144" t="n">
        <v>132324523</v>
      </c>
      <c r="H11" s="144" t="n"/>
      <c r="I11" s="144" t="n"/>
      <c r="J11" s="140" t="n"/>
    </row>
    <row r="12">
      <c r="A12" s="159" t="n">
        <v>46285</v>
      </c>
      <c r="B12" t="inlineStr">
        <is>
          <t>일</t>
        </is>
      </c>
      <c r="C12" s="144" t="n">
        <v>9654940</v>
      </c>
      <c r="D12" s="144" t="n">
        <v>1834429</v>
      </c>
      <c r="E12" s="144" t="n">
        <v>100687200</v>
      </c>
      <c r="F12" s="144" t="n">
        <v>20147954</v>
      </c>
      <c r="G12" s="144" t="n">
        <v>132324523</v>
      </c>
      <c r="H12" s="144" t="n"/>
      <c r="I12" s="144" t="n"/>
      <c r="J12" s="140" t="n"/>
    </row>
    <row r="13">
      <c r="A13" s="159" t="n">
        <v>46286</v>
      </c>
      <c r="B13" t="inlineStr">
        <is>
          <t>월</t>
        </is>
      </c>
      <c r="C13" s="144" t="n">
        <v>274588</v>
      </c>
      <c r="D13" s="144" t="n">
        <v>2062278</v>
      </c>
      <c r="E13" s="144" t="n">
        <v>102417016</v>
      </c>
      <c r="F13" s="144" t="n">
        <v>22685332</v>
      </c>
      <c r="G13" s="144" t="n">
        <v>127439214</v>
      </c>
      <c r="H13" s="144" t="n"/>
      <c r="I13" s="144" t="n"/>
      <c r="J13" s="140" t="n"/>
    </row>
    <row r="14">
      <c r="A14" s="159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96295378</v>
      </c>
      <c r="F14" s="144" t="n">
        <v>27792132</v>
      </c>
      <c r="G14" s="144" t="n">
        <v>124087510</v>
      </c>
      <c r="H14" s="144" t="n">
        <v>2520855</v>
      </c>
      <c r="I14" s="144" t="n">
        <v>9603116</v>
      </c>
      <c r="J14" s="140" t="n"/>
    </row>
    <row r="15">
      <c r="A15" s="159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48887181</v>
      </c>
      <c r="F15" s="144" t="n">
        <v>31306367</v>
      </c>
      <c r="G15" s="144" t="n">
        <v>80193548</v>
      </c>
      <c r="H15" s="144" t="n">
        <v>315568</v>
      </c>
      <c r="I15" s="144" t="n">
        <v>49803970</v>
      </c>
      <c r="J15" s="140" t="n"/>
    </row>
    <row r="16">
      <c r="A16" s="159" t="n">
        <v>46289</v>
      </c>
      <c r="B16" t="inlineStr">
        <is>
          <t>목</t>
        </is>
      </c>
      <c r="C16" s="144" t="n">
        <v>3859458</v>
      </c>
      <c r="D16" s="144" t="n">
        <v>294481</v>
      </c>
      <c r="E16" s="144" t="n">
        <v>51122861</v>
      </c>
      <c r="F16" s="144" t="n">
        <v>34585770</v>
      </c>
      <c r="G16" s="144" t="n">
        <v>89862570</v>
      </c>
      <c r="H16" s="144" t="n"/>
      <c r="I16" s="144" t="n"/>
      <c r="J16" s="140" t="n"/>
    </row>
    <row r="17">
      <c r="A17" s="159" t="n">
        <v>46290</v>
      </c>
      <c r="B17" t="inlineStr">
        <is>
          <t>금</t>
        </is>
      </c>
      <c r="C17" s="144" t="n">
        <v>5616811</v>
      </c>
      <c r="D17" s="144" t="n">
        <v>513795</v>
      </c>
      <c r="E17" s="144" t="n">
        <v>52787873</v>
      </c>
      <c r="F17" s="144" t="n">
        <v>37028090</v>
      </c>
      <c r="G17" s="144" t="n">
        <v>95946568</v>
      </c>
      <c r="H17" s="144" t="n"/>
      <c r="I17" s="144" t="n"/>
      <c r="J17" s="140" t="n"/>
    </row>
    <row r="18">
      <c r="A18" s="159" t="n">
        <v>46291</v>
      </c>
      <c r="B18" t="inlineStr">
        <is>
          <t>토</t>
        </is>
      </c>
      <c r="C18" s="144" t="n">
        <v>5616811</v>
      </c>
      <c r="D18" s="144" t="n">
        <v>513795</v>
      </c>
      <c r="E18" s="144" t="n">
        <v>52787873</v>
      </c>
      <c r="F18" s="144" t="n">
        <v>37028090</v>
      </c>
      <c r="G18" s="144" t="n">
        <v>95946568</v>
      </c>
      <c r="H18" s="144" t="n"/>
      <c r="I18" s="144" t="n"/>
      <c r="J18" s="140" t="n"/>
    </row>
    <row r="19">
      <c r="A19" s="159" t="n">
        <v>46292</v>
      </c>
      <c r="B19" t="inlineStr">
        <is>
          <t>일</t>
        </is>
      </c>
      <c r="C19" s="144" t="n">
        <v>3517382</v>
      </c>
      <c r="D19" s="144" t="n">
        <v>513795</v>
      </c>
      <c r="E19" s="144" t="n">
        <v>52787873</v>
      </c>
      <c r="F19" s="144" t="n">
        <v>37028090</v>
      </c>
      <c r="G19" s="144" t="n">
        <v>93847139</v>
      </c>
      <c r="H19" s="144" t="n"/>
      <c r="I19" s="144" t="n"/>
      <c r="J19" s="140" t="n"/>
    </row>
    <row r="20">
      <c r="A20" s="159" t="n">
        <v>46293</v>
      </c>
      <c r="B20" t="inlineStr">
        <is>
          <t>월</t>
        </is>
      </c>
      <c r="C20" s="144" t="n">
        <v>0</v>
      </c>
      <c r="D20" s="144" t="n">
        <v>0</v>
      </c>
      <c r="E20" s="144" t="n">
        <v>18710361</v>
      </c>
      <c r="F20" s="144" t="n">
        <v>39565467</v>
      </c>
      <c r="G20" s="144" t="n">
        <v>58275829</v>
      </c>
      <c r="H20" s="144" t="n">
        <v>741644</v>
      </c>
      <c r="I20" s="144" t="n">
        <v>35807327</v>
      </c>
      <c r="J20" s="140" t="n"/>
    </row>
    <row r="21">
      <c r="A21" s="159" t="n">
        <v>46294</v>
      </c>
      <c r="B21" t="inlineStr">
        <is>
          <t>화</t>
        </is>
      </c>
      <c r="C21" s="144" t="n">
        <v>6144759</v>
      </c>
      <c r="D21" s="144" t="n">
        <v>458576</v>
      </c>
      <c r="E21" s="144" t="n">
        <v>22191840</v>
      </c>
      <c r="F21" s="144" t="n">
        <v>44672268</v>
      </c>
      <c r="G21" s="144" t="n">
        <v>73467442</v>
      </c>
      <c r="H21" s="144" t="n"/>
      <c r="I21" s="144" t="n"/>
      <c r="J21" s="140" t="n"/>
    </row>
    <row r="22">
      <c r="A22" s="159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0</v>
      </c>
      <c r="F22" s="144" t="n">
        <v>11791723</v>
      </c>
      <c r="G22" s="144" t="n">
        <v>11791723</v>
      </c>
      <c r="H22" s="144" t="n">
        <v>1027058</v>
      </c>
      <c r="I22" s="144" t="n">
        <v>65718987</v>
      </c>
      <c r="J22" s="140" t="n"/>
    </row>
    <row r="23">
      <c r="A23" s="159" t="n">
        <v>46296</v>
      </c>
      <c r="B23" t="inlineStr">
        <is>
          <t>목</t>
        </is>
      </c>
      <c r="C23" s="144" t="n">
        <v>2906711</v>
      </c>
      <c r="D23" s="144" t="n">
        <v>294481</v>
      </c>
      <c r="E23" s="144" t="n">
        <v>2235680</v>
      </c>
      <c r="F23" s="144" t="n">
        <v>15071126</v>
      </c>
      <c r="G23" s="144" t="n">
        <v>20507998</v>
      </c>
      <c r="H23" s="144" t="n"/>
      <c r="I23" s="144" t="n"/>
      <c r="J23" s="140" t="n"/>
    </row>
    <row r="24">
      <c r="A24" s="159" t="n">
        <v>46297</v>
      </c>
      <c r="B24" t="inlineStr">
        <is>
          <t>금</t>
        </is>
      </c>
      <c r="C24" s="144" t="n">
        <v>7270514</v>
      </c>
      <c r="D24" s="144" t="n">
        <v>513795</v>
      </c>
      <c r="E24" s="144" t="n">
        <v>3900692</v>
      </c>
      <c r="F24" s="144" t="n">
        <v>17513446</v>
      </c>
      <c r="G24" s="144" t="n">
        <v>29198446</v>
      </c>
      <c r="H24" s="144" t="n"/>
      <c r="I24" s="144" t="n"/>
      <c r="J24" s="140" t="n"/>
    </row>
    <row r="25">
      <c r="A25" s="159" t="n">
        <v>46298</v>
      </c>
      <c r="B25" t="inlineStr">
        <is>
          <t>토</t>
        </is>
      </c>
      <c r="C25" s="144" t="n">
        <v>7170514</v>
      </c>
      <c r="D25" s="144" t="n">
        <v>513795</v>
      </c>
      <c r="E25" s="144" t="n">
        <v>3900692</v>
      </c>
      <c r="F25" s="144" t="n">
        <v>17513446</v>
      </c>
      <c r="G25" s="144" t="n">
        <v>29098446</v>
      </c>
      <c r="H25" s="144" t="n"/>
      <c r="I25" s="144" t="n"/>
      <c r="J25" s="140" t="n"/>
    </row>
    <row r="26">
      <c r="A26" s="159" t="n">
        <v>46299</v>
      </c>
      <c r="B26" t="inlineStr">
        <is>
          <t>일</t>
        </is>
      </c>
      <c r="C26" s="144" t="n">
        <v>-901554</v>
      </c>
      <c r="D26" s="144" t="n">
        <v>0</v>
      </c>
      <c r="E26" s="144" t="n">
        <v>0</v>
      </c>
      <c r="F26" s="144" t="n">
        <v>0</v>
      </c>
      <c r="G26" s="144" t="n">
        <v>-901554</v>
      </c>
      <c r="H26" s="144" t="n">
        <v>513795</v>
      </c>
      <c r="I26" s="144" t="n">
        <v>21414137</v>
      </c>
      <c r="J26" s="160" t="inlineStr">
        <is>
          <t>전 계좌 소진 — 부족 901,554원</t>
        </is>
      </c>
    </row>
    <row r="27">
      <c r="A27" s="159" t="n">
        <v>46300</v>
      </c>
      <c r="B27" t="inlineStr">
        <is>
          <t>월</t>
        </is>
      </c>
      <c r="C27" s="144" t="n">
        <v>3632093</v>
      </c>
      <c r="D27" s="144" t="n">
        <v>227849</v>
      </c>
      <c r="E27" s="144" t="n">
        <v>1729816</v>
      </c>
      <c r="F27" s="144" t="n">
        <v>2537378</v>
      </c>
      <c r="G27" s="144" t="n">
        <v>8127137</v>
      </c>
      <c r="H27" s="144" t="n"/>
      <c r="I27" s="144" t="n"/>
      <c r="J27" s="140" t="n"/>
    </row>
    <row r="28">
      <c r="A28" s="159" t="n">
        <v>46301</v>
      </c>
      <c r="B28" t="inlineStr">
        <is>
          <t>화</t>
        </is>
      </c>
      <c r="C28" s="144" t="n">
        <v>8262645</v>
      </c>
      <c r="D28" s="144" t="n">
        <v>686426</v>
      </c>
      <c r="E28" s="144" t="n">
        <v>5211294</v>
      </c>
      <c r="F28" s="144" t="n">
        <v>7644178</v>
      </c>
      <c r="G28" s="144" t="n">
        <v>21804542</v>
      </c>
      <c r="H28" s="144" t="n"/>
      <c r="I28" s="144" t="n"/>
      <c r="J28" s="140" t="n"/>
    </row>
    <row r="29">
      <c r="A29" s="159" t="n">
        <v>46302</v>
      </c>
      <c r="B29" t="inlineStr">
        <is>
          <t>수</t>
        </is>
      </c>
      <c r="C29" s="144" t="n">
        <v>5643463</v>
      </c>
      <c r="D29" s="144" t="n">
        <v>1001994</v>
      </c>
      <c r="E29" s="144" t="n">
        <v>7607067</v>
      </c>
      <c r="F29" s="144" t="n">
        <v>11158413</v>
      </c>
      <c r="G29" s="144" t="n">
        <v>25410938</v>
      </c>
      <c r="H29" s="144" t="n"/>
      <c r="I29" s="144" t="n"/>
      <c r="J29" s="140" t="n"/>
    </row>
    <row r="30">
      <c r="A30" s="159" t="n">
        <v>46303</v>
      </c>
      <c r="B30" t="inlineStr">
        <is>
          <t>목</t>
        </is>
      </c>
      <c r="C30" s="144" t="n">
        <v>-4926240</v>
      </c>
      <c r="D30" s="144" t="n">
        <v>0</v>
      </c>
      <c r="E30" s="144" t="n">
        <v>0</v>
      </c>
      <c r="F30" s="144" t="n">
        <v>0</v>
      </c>
      <c r="G30" s="144" t="n">
        <v>-4926240</v>
      </c>
      <c r="H30" s="144" t="n">
        <v>1296475</v>
      </c>
      <c r="I30" s="144" t="n">
        <v>24280563</v>
      </c>
      <c r="J30" s="160" t="inlineStr">
        <is>
          <t>전 계좌 소진 — 부족 4,926,240원</t>
        </is>
      </c>
    </row>
    <row r="31">
      <c r="A31" s="159" t="n">
        <v>46304</v>
      </c>
      <c r="B31" t="inlineStr">
        <is>
          <t>금</t>
        </is>
      </c>
      <c r="C31" s="144" t="n">
        <v>-10926292</v>
      </c>
      <c r="D31" s="144" t="n">
        <v>0</v>
      </c>
      <c r="E31" s="144" t="n">
        <v>0</v>
      </c>
      <c r="F31" s="144" t="n">
        <v>0</v>
      </c>
      <c r="G31" s="144" t="n">
        <v>-10926292</v>
      </c>
      <c r="H31" s="144" t="n">
        <v>219313</v>
      </c>
      <c r="I31" s="144" t="n">
        <v>4107331</v>
      </c>
      <c r="J31" s="160" t="inlineStr">
        <is>
          <t>전 계좌 소진 — 부족 10,926,292원</t>
        </is>
      </c>
    </row>
    <row r="32">
      <c r="A32" s="159" t="n">
        <v>46305</v>
      </c>
      <c r="B32" t="inlineStr">
        <is>
          <t>토</t>
        </is>
      </c>
      <c r="C32" s="144" t="n">
        <v>-63809841</v>
      </c>
      <c r="D32" s="144" t="n">
        <v>0</v>
      </c>
      <c r="E32" s="144" t="n">
        <v>0</v>
      </c>
      <c r="F32" s="144" t="n">
        <v>0</v>
      </c>
      <c r="G32" s="144" t="n">
        <v>-63809841</v>
      </c>
      <c r="H32" s="144" t="n"/>
      <c r="I32" s="144" t="n"/>
      <c r="J32" s="160" t="inlineStr">
        <is>
          <t>전 계좌 소진 — 부족 63,809,841원</t>
        </is>
      </c>
    </row>
    <row r="33">
      <c r="A33" s="159" t="n">
        <v>46306</v>
      </c>
      <c r="B33" t="inlineStr">
        <is>
          <t>일</t>
        </is>
      </c>
      <c r="C33" s="144" t="n">
        <v>-104119801</v>
      </c>
      <c r="D33" s="144" t="n">
        <v>0</v>
      </c>
      <c r="E33" s="144" t="n">
        <v>0</v>
      </c>
      <c r="F33" s="144" t="n">
        <v>0</v>
      </c>
      <c r="G33" s="144" t="n">
        <v>-104119801</v>
      </c>
      <c r="H33" s="144" t="n"/>
      <c r="I33" s="144" t="n"/>
      <c r="J33" s="160" t="inlineStr">
        <is>
          <t>전 계좌 소진 — 부족 104,119,801원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14207280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136834176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59607917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61" t="n">
        <v>46283</v>
      </c>
      <c r="B6" s="162" t="inlineStr">
        <is>
          <t>금</t>
        </is>
      </c>
      <c r="C6" s="162" t="inlineStr">
        <is>
          <t>팀 지출계획</t>
        </is>
      </c>
      <c r="D6" s="162" t="inlineStr">
        <is>
          <t>미반영(별도 관리)</t>
        </is>
      </c>
      <c r="E6" s="162" t="inlineStr">
        <is>
          <t>경영지원팀</t>
        </is>
      </c>
      <c r="F6" s="162" t="inlineStr">
        <is>
          <t>이앤씨이노비즈타워</t>
        </is>
      </c>
      <c r="G6" s="162" t="inlineStr">
        <is>
          <t>본사관리비</t>
        </is>
      </c>
      <c r="H6" s="163" t="n">
        <v>1553720</v>
      </c>
      <c r="I6" s="162" t="inlineStr">
        <is>
          <t>계좌송금</t>
        </is>
      </c>
      <c r="J6" s="162" t="inlineStr">
        <is>
          <t>에이팜</t>
        </is>
      </c>
    </row>
    <row r="7">
      <c r="A7" s="161" t="n">
        <v>46288</v>
      </c>
      <c r="B7" s="162" t="inlineStr">
        <is>
          <t>수</t>
        </is>
      </c>
      <c r="C7" s="162" t="inlineStr">
        <is>
          <t>팀 지출계획</t>
        </is>
      </c>
      <c r="D7" s="162" t="inlineStr">
        <is>
          <t>미반영(별도 관리)</t>
        </is>
      </c>
      <c r="E7" s="162" t="inlineStr">
        <is>
          <t>경영지원팀</t>
        </is>
      </c>
      <c r="F7" s="162" t="inlineStr">
        <is>
          <t>비씨카드</t>
        </is>
      </c>
      <c r="G7" s="162" t="inlineStr">
        <is>
          <t>8월카드대금</t>
        </is>
      </c>
      <c r="H7" s="163" t="n">
        <v>269810</v>
      </c>
      <c r="I7" s="162" t="inlineStr">
        <is>
          <t>계좌송금</t>
        </is>
      </c>
      <c r="J7" s="162" t="inlineStr">
        <is>
          <t>에이팜</t>
        </is>
      </c>
    </row>
    <row r="8">
      <c r="A8" s="161" t="n">
        <v>46295</v>
      </c>
      <c r="B8" s="162" t="inlineStr">
        <is>
          <t>수</t>
        </is>
      </c>
      <c r="C8" s="162" t="inlineStr">
        <is>
          <t>팀 지출계획</t>
        </is>
      </c>
      <c r="D8" s="162" t="inlineStr">
        <is>
          <t>미반영(별도 관리)</t>
        </is>
      </c>
      <c r="E8" s="162" t="inlineStr">
        <is>
          <t>경영지원팀</t>
        </is>
      </c>
      <c r="F8" s="162" t="inlineStr">
        <is>
          <t>서원회계법인</t>
        </is>
      </c>
      <c r="G8" s="162" t="inlineStr">
        <is>
          <t>기장료</t>
        </is>
      </c>
      <c r="H8" s="163" t="n">
        <v>330000</v>
      </c>
      <c r="I8" s="162" t="inlineStr">
        <is>
          <t>계좌송금</t>
        </is>
      </c>
      <c r="J8" s="162" t="inlineStr">
        <is>
          <t>에이팜</t>
        </is>
      </c>
    </row>
    <row r="9">
      <c r="A9" s="161" t="n">
        <v>46295</v>
      </c>
      <c r="B9" s="162" t="inlineStr">
        <is>
          <t>수</t>
        </is>
      </c>
      <c r="C9" s="162" t="inlineStr">
        <is>
          <t>팀 지출계획</t>
        </is>
      </c>
      <c r="D9" s="162" t="inlineStr">
        <is>
          <t>미반영(별도 관리)</t>
        </is>
      </c>
      <c r="E9" s="162" t="inlineStr">
        <is>
          <t>경영지원팀</t>
        </is>
      </c>
      <c r="F9" s="162" t="inlineStr">
        <is>
          <t>가가사무기</t>
        </is>
      </c>
      <c r="G9" s="162" t="inlineStr">
        <is>
          <t>복합기 9월 임대비용</t>
        </is>
      </c>
      <c r="H9" s="163" t="n">
        <v>280000</v>
      </c>
      <c r="I9" s="162" t="inlineStr">
        <is>
          <t>계좌송금</t>
        </is>
      </c>
      <c r="J9" s="162" t="inlineStr">
        <is>
          <t>에이팜</t>
        </is>
      </c>
    </row>
    <row r="10">
      <c r="A10" s="161" t="n">
        <v>46295</v>
      </c>
      <c r="B10" s="162" t="inlineStr">
        <is>
          <t>수</t>
        </is>
      </c>
      <c r="C10" s="162" t="inlineStr">
        <is>
          <t>팀 지출계획</t>
        </is>
      </c>
      <c r="D10" s="162" t="inlineStr">
        <is>
          <t>미반영(별도 관리)</t>
        </is>
      </c>
      <c r="E10" s="162" t="inlineStr">
        <is>
          <t>경영지원팀</t>
        </is>
      </c>
      <c r="F10" s="162" t="inlineStr">
        <is>
          <t>대구상공회의소</t>
        </is>
      </c>
      <c r="G10" s="162" t="inlineStr">
        <is>
          <t>하반기연회비</t>
        </is>
      </c>
      <c r="H10" s="163" t="n">
        <v>250000</v>
      </c>
      <c r="I10" s="162" t="inlineStr">
        <is>
          <t>계좌송금</t>
        </is>
      </c>
      <c r="J10" s="162" t="inlineStr">
        <is>
          <t>에이팜</t>
        </is>
      </c>
    </row>
    <row r="11">
      <c r="G11" s="164" t="inlineStr">
        <is>
          <t>합계(자금계획 미반영)</t>
        </is>
      </c>
      <c r="H11" s="165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2026-09-18T12:51:13Z</dcterms:modified>
</cp:coreProperties>
</file>