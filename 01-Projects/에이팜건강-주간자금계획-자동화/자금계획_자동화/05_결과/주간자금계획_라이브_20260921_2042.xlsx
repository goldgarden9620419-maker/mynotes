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'지출계획_취합'!$A$5:$Q$26</definedName>
  </definedNames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yyyy-mm-dd"/>
    <numFmt numFmtId="166" formatCode="yyyy-mm-dd hh:mm:ss"/>
    <numFmt numFmtId="167" formatCode="yyyy-mm-dd h:mm:ss"/>
    <numFmt numFmtId="168" formatCode="#,##0;[Red]-#,##0"/>
    <numFmt numFmtId="169" formatCode="#,##0;[Red]-#,##0;"/>
  </numFmts>
  <fonts count="19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color rgb="00C00000"/>
      <sz val="10"/>
    </font>
    <font>
      <name val="맑은 고딕"/>
      <b val="1"/>
      <color rgb="00808080"/>
      <sz val="9"/>
    </font>
    <font>
      <name val="맑은 고딕"/>
      <color rgb="00C00000"/>
      <sz val="9"/>
    </font>
  </fonts>
  <fills count="20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EDED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BF1DE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35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medium">
        <color rgb="00C00000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medium">
        <color rgb="00C00000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medium">
        <color rgb="00C00000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2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4" fillId="7" borderId="19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14" fillId="8" borderId="19" applyAlignment="1" pivotButton="0" quotePrefix="0" xfId="0">
      <alignment horizontal="left" vertical="center"/>
    </xf>
    <xf numFmtId="0" fontId="14" fillId="7" borderId="19" applyAlignment="1" pivotButton="0" quotePrefix="0" xfId="0">
      <alignment horizontal="center" vertical="center"/>
    </xf>
    <xf numFmtId="0" fontId="14" fillId="8" borderId="19" applyAlignment="1" pivotButton="0" quotePrefix="0" xfId="0">
      <alignment horizontal="center" vertical="center"/>
    </xf>
    <xf numFmtId="165" fontId="15" fillId="9" borderId="19" pivotButton="0" quotePrefix="0" xfId="0"/>
    <xf numFmtId="0" fontId="15" fillId="9" borderId="19" pivotButton="0" quotePrefix="0" xfId="0"/>
    <xf numFmtId="168" fontId="15" fillId="10" borderId="19" pivotButton="0" quotePrefix="0" xfId="0"/>
    <xf numFmtId="0" fontId="0" fillId="9" borderId="19" pivotButton="0" quotePrefix="0" xfId="0"/>
    <xf numFmtId="3" fontId="15" fillId="9" borderId="19" pivotButton="0" quotePrefix="0" xfId="0"/>
    <xf numFmtId="165" fontId="13" fillId="0" borderId="26" pivotButton="0" quotePrefix="0" xfId="0"/>
    <xf numFmtId="0" fontId="13" fillId="0" borderId="24" pivotButton="0" quotePrefix="0" xfId="0"/>
    <xf numFmtId="168" fontId="13" fillId="10" borderId="24" pivotButton="0" quotePrefix="0" xfId="0"/>
    <xf numFmtId="164" fontId="13" fillId="12" borderId="24" pivotButton="0" quotePrefix="0" xfId="0"/>
    <xf numFmtId="169" fontId="13" fillId="11" borderId="24" pivotButton="0" quotePrefix="0" xfId="0"/>
    <xf numFmtId="164" fontId="13" fillId="13" borderId="24" pivotButton="0" quotePrefix="0" xfId="0"/>
    <xf numFmtId="164" fontId="13" fillId="14" borderId="24" pivotButton="0" quotePrefix="0" xfId="0"/>
    <xf numFmtId="3" fontId="13" fillId="14" borderId="24" pivotButton="0" quotePrefix="0" xfId="0"/>
    <xf numFmtId="0" fontId="13" fillId="0" borderId="27" applyAlignment="1" pivotButton="0" quotePrefix="0" xfId="0">
      <alignment horizontal="left" vertical="top" wrapText="1"/>
    </xf>
    <xf numFmtId="165" fontId="13" fillId="0" borderId="28" pivotButton="0" quotePrefix="0" xfId="0"/>
    <xf numFmtId="0" fontId="13" fillId="0" borderId="19" pivotButton="0" quotePrefix="0" xfId="0"/>
    <xf numFmtId="168" fontId="13" fillId="10" borderId="19" pivotButton="0" quotePrefix="0" xfId="0"/>
    <xf numFmtId="164" fontId="13" fillId="12" borderId="19" pivotButton="0" quotePrefix="0" xfId="0"/>
    <xf numFmtId="169" fontId="13" fillId="11" borderId="19" pivotButton="0" quotePrefix="0" xfId="0"/>
    <xf numFmtId="164" fontId="13" fillId="13" borderId="19" pivotButton="0" quotePrefix="0" xfId="0"/>
    <xf numFmtId="164" fontId="13" fillId="14" borderId="19" pivotButton="0" quotePrefix="0" xfId="0"/>
    <xf numFmtId="3" fontId="13" fillId="14" borderId="19" pivotButton="0" quotePrefix="0" xfId="0"/>
    <xf numFmtId="0" fontId="13" fillId="0" borderId="29" applyAlignment="1" pivotButton="0" quotePrefix="0" xfId="0">
      <alignment horizontal="left" vertical="top" wrapText="1"/>
    </xf>
    <xf numFmtId="165" fontId="16" fillId="0" borderId="28" pivotButton="0" quotePrefix="0" xfId="0"/>
    <xf numFmtId="0" fontId="16" fillId="0" borderId="19" pivotButton="0" quotePrefix="0" xfId="0"/>
    <xf numFmtId="3" fontId="13" fillId="12" borderId="19" pivotButton="0" quotePrefix="0" xfId="0"/>
    <xf numFmtId="165" fontId="13" fillId="0" borderId="30" pivotButton="0" quotePrefix="0" xfId="0"/>
    <xf numFmtId="0" fontId="13" fillId="0" borderId="25" pivotButton="0" quotePrefix="0" xfId="0"/>
    <xf numFmtId="168" fontId="13" fillId="10" borderId="25" pivotButton="0" quotePrefix="0" xfId="0"/>
    <xf numFmtId="164" fontId="13" fillId="12" borderId="25" pivotButton="0" quotePrefix="0" xfId="0"/>
    <xf numFmtId="169" fontId="13" fillId="11" borderId="25" pivotButton="0" quotePrefix="0" xfId="0"/>
    <xf numFmtId="164" fontId="13" fillId="13" borderId="25" pivotButton="0" quotePrefix="0" xfId="0"/>
    <xf numFmtId="164" fontId="13" fillId="14" borderId="25" pivotButton="0" quotePrefix="0" xfId="0"/>
    <xf numFmtId="3" fontId="13" fillId="14" borderId="25" pivotButton="0" quotePrefix="0" xfId="0"/>
    <xf numFmtId="0" fontId="13" fillId="0" borderId="31" applyAlignment="1" pivotButton="0" quotePrefix="0" xfId="0">
      <alignment horizontal="left" vertical="top" wrapText="1"/>
    </xf>
    <xf numFmtId="165" fontId="16" fillId="0" borderId="19" pivotButton="0" quotePrefix="0" xfId="0"/>
    <xf numFmtId="0" fontId="13" fillId="0" borderId="19" applyAlignment="1" pivotButton="0" quotePrefix="0" xfId="0">
      <alignment horizontal="left" vertical="top" wrapText="1"/>
    </xf>
    <xf numFmtId="165" fontId="13" fillId="0" borderId="19" pivotButton="0" quotePrefix="0" xfId="0"/>
    <xf numFmtId="0" fontId="0" fillId="0" borderId="19" pivotButton="0" quotePrefix="0" xfId="0"/>
    <xf numFmtId="0" fontId="14" fillId="15" borderId="19" applyAlignment="1" pivotButton="0" quotePrefix="0" xfId="0">
      <alignment horizontal="left" vertical="center"/>
    </xf>
    <xf numFmtId="0" fontId="14" fillId="16" borderId="19" applyAlignment="1" pivotButton="0" quotePrefix="0" xfId="0">
      <alignment horizontal="left" vertical="center"/>
    </xf>
    <xf numFmtId="0" fontId="14" fillId="17" borderId="19" applyAlignment="1" pivotButton="0" quotePrefix="0" xfId="0">
      <alignment horizontal="center" vertical="center"/>
    </xf>
    <xf numFmtId="0" fontId="0" fillId="0" borderId="34" pivotButton="0" quotePrefix="0" xfId="0"/>
    <xf numFmtId="0" fontId="14" fillId="15" borderId="19" applyAlignment="1" pivotButton="0" quotePrefix="0" xfId="0">
      <alignment horizontal="center" vertical="center"/>
    </xf>
    <xf numFmtId="0" fontId="14" fillId="16" borderId="19" applyAlignment="1" pivotButton="0" quotePrefix="0" xfId="0">
      <alignment horizontal="center" vertical="center"/>
    </xf>
    <xf numFmtId="165" fontId="15" fillId="0" borderId="19" pivotButton="0" quotePrefix="0" xfId="0"/>
    <xf numFmtId="0" fontId="15" fillId="0" borderId="19" pivotButton="0" quotePrefix="0" xfId="0"/>
    <xf numFmtId="0" fontId="17" fillId="0" borderId="19" pivotButton="0" quotePrefix="0" xfId="0"/>
    <xf numFmtId="165" fontId="0" fillId="0" borderId="19" pivotButton="0" quotePrefix="0" xfId="0"/>
    <xf numFmtId="168" fontId="13" fillId="0" borderId="19" pivotButton="0" quotePrefix="0" xfId="0"/>
    <xf numFmtId="169" fontId="13" fillId="18" borderId="19" pivotButton="0" quotePrefix="0" xfId="0"/>
    <xf numFmtId="169" fontId="13" fillId="19" borderId="19" pivotButton="0" quotePrefix="0" xfId="0"/>
    <xf numFmtId="0" fontId="18" fillId="0" borderId="19" pivotButton="0" quotePrefix="0" xfId="0"/>
    <xf numFmtId="169" fontId="13" fillId="0" borderId="0" pivotButton="0" quotePrefix="0" xfId="0"/>
    <xf numFmtId="165" fontId="16" fillId="0" borderId="0" pivotButton="0" quotePrefix="0" xfId="0"/>
    <xf numFmtId="165" fontId="13" fillId="13" borderId="0" pivotButton="0" quotePrefix="0" xfId="0"/>
    <xf numFmtId="0" fontId="13" fillId="13" borderId="0" pivotButton="0" quotePrefix="0" xfId="0"/>
    <xf numFmtId="3" fontId="13" fillId="13" borderId="0" pivotButton="0" quotePrefix="0" xfId="0"/>
    <xf numFmtId="0" fontId="15" fillId="0" borderId="0" pivotButton="0" quotePrefix="0" xfId="0"/>
    <xf numFmtId="3" fontId="15" fillId="0" borderId="0" pivotButton="0" quotePrefix="0" xfId="0"/>
    <xf numFmtId="166" fontId="16" fillId="0" borderId="13" applyAlignment="1" pivotButton="0" quotePrefix="0" xfId="0">
      <alignment vertical="center"/>
    </xf>
    <xf numFmtId="165" fontId="16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161670332</v>
      </c>
      <c r="C6" s="2" t="n"/>
      <c r="D6" s="2" t="inlineStr">
        <is>
          <t>국민 154577</t>
        </is>
      </c>
      <c r="E6" s="120" t="n">
        <v>46286</v>
      </c>
      <c r="F6" s="119" t="n">
        <v>44864689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3251899138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3448634205</v>
      </c>
      <c r="C8" s="2" t="n"/>
      <c r="D8" s="2" t="inlineStr">
        <is>
          <t>농협 569003</t>
        </is>
      </c>
      <c r="E8" s="120" t="n">
        <v>46286</v>
      </c>
      <c r="F8" s="119" t="n">
        <v>1944429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1980838338</v>
      </c>
      <c r="C9" s="2" t="n"/>
      <c r="D9" s="2" t="inlineStr">
        <is>
          <t>우리 220351</t>
        </is>
      </c>
      <c r="E9" s="120" t="n">
        <v>46286</v>
      </c>
      <c r="F9" s="119" t="n">
        <v>14174014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'4주일별계획'!R34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MIN('4주일별계획'!R7:R34)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S3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outlineLevel="1" width="13" customWidth="1" min="3" max="3"/>
    <col outlineLevel="1" width="13" customWidth="1" min="4" max="4"/>
    <col outlineLevel="1" width="13" customWidth="1" min="5" max="5"/>
    <col outlineLevel="1" width="13" customWidth="1" min="6" max="6"/>
    <col width="14" customWidth="1" min="7" max="7"/>
    <col outlineLevel="1" width="13" customWidth="1" min="8" max="8"/>
    <col outlineLevel="1" width="13" customWidth="1" min="9" max="9"/>
    <col outlineLevel="1" width="13" customWidth="1" min="10" max="10"/>
    <col outlineLevel="1" width="13" customWidth="1" min="11" max="11"/>
    <col width="13" customWidth="1" min="12" max="12"/>
    <col width="13" customWidth="1" min="13" max="13"/>
    <col width="12" customWidth="1" min="14" max="14"/>
    <col width="13" customWidth="1" min="15" max="15"/>
    <col width="13" customWidth="1" min="16" max="16"/>
    <col width="14" customWidth="1" min="17" max="17"/>
    <col width="14" customWidth="1" min="18" max="18"/>
    <col width="34" customWidth="1" min="19" max="19"/>
  </cols>
  <sheetData>
    <row r="2">
      <c r="A2" s="139" t="inlineStr">
        <is>
          <t>향후 4주 일별 자금계획</t>
        </is>
      </c>
    </row>
    <row r="3">
      <c r="A3" s="140" t="inlineStr">
        <is>
          <t>온라인 예상입금은 최근 12주 요일별 평균 × 입금 반영률(요약 B13)로 계산됩니다. 노란색 칸만 입력하세요.  |  실잔고(은행 최근 확인): 우리 220351 14,174,014(09-21) · 농협 569003 1,944,429(09-21) · 국민 169124 100,687,200(09-15) · 국민 154577 44,864,689(09-21) — 표의 첫 행(전일 마감 실잔고)에서 출발해 예상입금·지출·이체를 반영한 하루 마감 기준으로 계산합니다(반영률 B13 연동). 실행일 당일 행은 이미 확인된 실제 입출금 + 남은 계획으로 계산해 실적이 사라지거나 이중계산되지 않습니다</t>
        </is>
      </c>
    </row>
    <row r="4">
      <c r="C4" s="156" t="inlineStr">
        <is>
          <t>계좌별 예상잔고</t>
        </is>
      </c>
      <c r="D4" s="157" t="n"/>
      <c r="E4" s="157" t="n"/>
      <c r="F4" s="158" t="n"/>
      <c r="H4" s="159" t="inlineStr">
        <is>
          <t>계좌별 입금 배분(예상)</t>
        </is>
      </c>
      <c r="I4" s="157" t="n"/>
      <c r="J4" s="157" t="n"/>
      <c r="K4" s="158" t="n"/>
    </row>
    <row r="5">
      <c r="A5" s="160" t="inlineStr">
        <is>
          <t>일자</t>
        </is>
      </c>
      <c r="B5" s="160" t="inlineStr">
        <is>
          <t>요일</t>
        </is>
      </c>
      <c r="C5" s="160" t="inlineStr">
        <is>
          <t>우리 220351</t>
        </is>
      </c>
      <c r="D5" s="160" t="inlineStr">
        <is>
          <t>농협 569003</t>
        </is>
      </c>
      <c r="E5" s="160" t="inlineStr">
        <is>
          <t>국민 169124</t>
        </is>
      </c>
      <c r="F5" s="160" t="inlineStr">
        <is>
          <t>국민 154577</t>
        </is>
      </c>
      <c r="G5" s="160" t="inlineStr">
        <is>
          <t>온라인 예상입금</t>
        </is>
      </c>
      <c r="H5" s="161" t="inlineStr">
        <is>
          <t>우리 220351</t>
        </is>
      </c>
      <c r="I5" s="161" t="inlineStr">
        <is>
          <t>농협 569003</t>
        </is>
      </c>
      <c r="J5" s="161" t="inlineStr">
        <is>
          <t>국민 169124</t>
        </is>
      </c>
      <c r="K5" s="161" t="inlineStr">
        <is>
          <t>국민 154577</t>
        </is>
      </c>
      <c r="L5" s="160" t="inlineStr">
        <is>
          <t>확정·기타입금</t>
        </is>
      </c>
      <c r="M5" s="160" t="inlineStr">
        <is>
          <t>송금예정</t>
        </is>
      </c>
      <c r="N5" s="160" t="inlineStr">
        <is>
          <t>카드결제</t>
        </is>
      </c>
      <c r="O5" s="160" t="inlineStr">
        <is>
          <t>조정·추정 지출</t>
        </is>
      </c>
      <c r="P5" s="160" t="inlineStr">
        <is>
          <t>순현금흐름</t>
        </is>
      </c>
      <c r="Q5" s="160" t="inlineStr">
        <is>
          <t>기초잔액</t>
        </is>
      </c>
      <c r="R5" s="160" t="inlineStr">
        <is>
          <t>기말잔액</t>
        </is>
      </c>
      <c r="S5" s="160" t="inlineStr">
        <is>
          <t>비고</t>
        </is>
      </c>
    </row>
    <row r="6">
      <c r="A6" s="162" t="n">
        <v>46285</v>
      </c>
      <c r="B6" s="163" t="inlineStr">
        <is>
          <t>일</t>
        </is>
      </c>
      <c r="C6" s="164">
        <f>'계좌별시나리오'!D6</f>
        <v/>
      </c>
      <c r="D6" s="164">
        <f>'계좌별시나리오'!E6</f>
        <v/>
      </c>
      <c r="E6" s="164">
        <f>'계좌별시나리오'!F6</f>
        <v/>
      </c>
      <c r="F6" s="164">
        <f>'계좌별시나리오'!G6</f>
        <v/>
      </c>
      <c r="G6" s="165" t="n"/>
      <c r="H6" s="165" t="n"/>
      <c r="I6" s="165" t="n"/>
      <c r="J6" s="165" t="n"/>
      <c r="K6" s="165" t="n"/>
      <c r="L6" s="165" t="n"/>
      <c r="M6" s="165" t="n"/>
      <c r="N6" s="165" t="n"/>
      <c r="O6" s="165" t="n"/>
      <c r="P6" s="165" t="n"/>
      <c r="Q6" s="165" t="n"/>
      <c r="R6" s="166" t="n">
        <v>134654720</v>
      </c>
      <c r="S6" s="163" t="inlineStr">
        <is>
          <t>전일 마감 실잔고 — 여기서 계획 시작</t>
        </is>
      </c>
    </row>
    <row r="7">
      <c r="A7" s="167" t="n">
        <v>46286</v>
      </c>
      <c r="B7" s="168" t="inlineStr">
        <is>
          <t>월</t>
        </is>
      </c>
      <c r="C7" s="169">
        <f>'계좌별시나리오'!D7</f>
        <v/>
      </c>
      <c r="D7" s="169">
        <f>'계좌별시나리오'!E7</f>
        <v/>
      </c>
      <c r="E7" s="169">
        <f>'계좌별시나리오'!F7</f>
        <v/>
      </c>
      <c r="F7" s="169">
        <f>'계좌별시나리오'!G7</f>
        <v/>
      </c>
      <c r="G7" s="170">
        <f>MAX(INDEX('설정및분류'!$C$6:$C$12,WEEKDAY(A7,2))*'요약'!$B$13,10373905)</f>
        <v/>
      </c>
      <c r="H7" s="171">
        <f>'계좌별시나리오'!I7</f>
        <v/>
      </c>
      <c r="I7" s="171">
        <f>'계좌별시나리오'!J7</f>
        <v/>
      </c>
      <c r="J7" s="171">
        <f>'계좌별시나리오'!K7</f>
        <v/>
      </c>
      <c r="K7" s="171">
        <f>'계좌별시나리오'!L7</f>
        <v/>
      </c>
      <c r="L7" s="172" t="n">
        <v>20110000</v>
      </c>
      <c r="M7" s="172" t="n">
        <v>5494000</v>
      </c>
      <c r="N7" s="172" t="n"/>
      <c r="O7" s="172" t="n">
        <v>6190293</v>
      </c>
      <c r="P7" s="173">
        <f>G7+L7-M7-N7-O7</f>
        <v/>
      </c>
      <c r="Q7" s="174">
        <f>R6</f>
        <v/>
      </c>
      <c r="R7" s="173">
        <f>Q7+P7</f>
        <v/>
      </c>
      <c r="S7" s="175" t="inlineStr">
        <is>
          <t>메트라이프 4,900,000, 네이버SA&amp;GFA 3,498,000, 트라이앵글하모니 1,996,000, SK브로드밴드 220,000; 당일 실적 반영: 입금 30,483,905 · 지출 3,468,293 집행 — 남은 계획 유지</t>
        </is>
      </c>
    </row>
    <row r="8">
      <c r="A8" s="176" t="n">
        <v>46287</v>
      </c>
      <c r="B8" s="177" t="inlineStr">
        <is>
          <t>화</t>
        </is>
      </c>
      <c r="C8" s="178">
        <f>'계좌별시나리오'!D8</f>
        <v/>
      </c>
      <c r="D8" s="178">
        <f>'계좌별시나리오'!E8</f>
        <v/>
      </c>
      <c r="E8" s="178">
        <f>'계좌별시나리오'!F8</f>
        <v/>
      </c>
      <c r="F8" s="178">
        <f>'계좌별시나리오'!G8</f>
        <v/>
      </c>
      <c r="G8" s="179">
        <f>INDEX('설정및분류'!$C$6:$C$12,WEEKDAY(A8,2))*'요약'!$B$13</f>
        <v/>
      </c>
      <c r="H8" s="180">
        <f>'계좌별시나리오'!I8</f>
        <v/>
      </c>
      <c r="I8" s="180">
        <f>'계좌별시나리오'!J8</f>
        <v/>
      </c>
      <c r="J8" s="180">
        <f>'계좌별시나리오'!K8</f>
        <v/>
      </c>
      <c r="K8" s="180">
        <f>'계좌별시나리오'!L8</f>
        <v/>
      </c>
      <c r="L8" s="181" t="n"/>
      <c r="M8" s="181" t="n">
        <v>21523110</v>
      </c>
      <c r="N8" s="181" t="n"/>
      <c r="O8" s="181" t="n"/>
      <c r="P8" s="182">
        <f>G8+L8-M8-N8-O8</f>
        <v/>
      </c>
      <c r="Q8" s="183">
        <f>R7</f>
        <v/>
      </c>
      <c r="R8" s="182">
        <f>Q8+P8</f>
        <v/>
      </c>
      <c r="S8" s="184" t="inlineStr">
        <is>
          <t>엠에스바이오텍 20,000,000, 와이투홀딩스 1,023,110, 네이버 500,000</t>
        </is>
      </c>
    </row>
    <row r="9">
      <c r="A9" s="176" t="n">
        <v>46288</v>
      </c>
      <c r="B9" s="177" t="inlineStr">
        <is>
          <t>수</t>
        </is>
      </c>
      <c r="C9" s="178">
        <f>'계좌별시나리오'!D9</f>
        <v/>
      </c>
      <c r="D9" s="178">
        <f>'계좌별시나리오'!E9</f>
        <v/>
      </c>
      <c r="E9" s="178">
        <f>'계좌별시나리오'!F9</f>
        <v/>
      </c>
      <c r="F9" s="178">
        <f>'계좌별시나리오'!G9</f>
        <v/>
      </c>
      <c r="G9" s="179">
        <f>INDEX('설정및분류'!$C$6:$C$12,WEEKDAY(A9,2))*'요약'!$B$13</f>
        <v/>
      </c>
      <c r="H9" s="180">
        <f>'계좌별시나리오'!I9</f>
        <v/>
      </c>
      <c r="I9" s="180">
        <f>'계좌별시나리오'!J9</f>
        <v/>
      </c>
      <c r="J9" s="180">
        <f>'계좌별시나리오'!K9</f>
        <v/>
      </c>
      <c r="K9" s="180">
        <f>'계좌별시나리오'!L9</f>
        <v/>
      </c>
      <c r="L9" s="181" t="n"/>
      <c r="M9" s="181" t="n">
        <v>13642786</v>
      </c>
      <c r="N9" s="181" t="n"/>
      <c r="O9" s="181" t="n">
        <v>32174232</v>
      </c>
      <c r="P9" s="182">
        <f>G9+L9-M9-N9-O9</f>
        <v/>
      </c>
      <c r="Q9" s="183">
        <f>R8</f>
        <v/>
      </c>
      <c r="R9" s="182">
        <f>Q9+P9</f>
        <v/>
      </c>
      <c r="S9" s="184" t="inlineStr">
        <is>
          <t>우리카드 25,346,349, 네이버SA&amp;GFA 8,305,000, 농협카드 6,827,883, 인포크비즈니스 3,300,000, 써치엠 1,487,786, ADN 550,000</t>
        </is>
      </c>
    </row>
    <row r="10">
      <c r="A10" s="185" t="n">
        <v>46289</v>
      </c>
      <c r="B10" s="186" t="inlineStr">
        <is>
          <t>목</t>
        </is>
      </c>
      <c r="C10" s="178">
        <f>'계좌별시나리오'!D10</f>
        <v/>
      </c>
      <c r="D10" s="178">
        <f>'계좌별시나리오'!E10</f>
        <v/>
      </c>
      <c r="E10" s="178">
        <f>'계좌별시나리오'!F10</f>
        <v/>
      </c>
      <c r="F10" s="178">
        <f>'계좌별시나리오'!G10</f>
        <v/>
      </c>
      <c r="G10" s="187" t="n">
        <v>0</v>
      </c>
      <c r="H10" s="180">
        <f>'계좌별시나리오'!I10</f>
        <v/>
      </c>
      <c r="I10" s="180">
        <f>'계좌별시나리오'!J10</f>
        <v/>
      </c>
      <c r="J10" s="180">
        <f>'계좌별시나리오'!K10</f>
        <v/>
      </c>
      <c r="K10" s="180">
        <f>'계좌별시나리오'!L10</f>
        <v/>
      </c>
      <c r="L10" s="181" t="n"/>
      <c r="M10" s="181" t="n"/>
      <c r="N10" s="181" t="n"/>
      <c r="O10" s="181" t="n"/>
      <c r="P10" s="182">
        <f>G10+L10-M10-N10-O10</f>
        <v/>
      </c>
      <c r="Q10" s="183">
        <f>R9</f>
        <v/>
      </c>
      <c r="R10" s="182">
        <f>Q10+P10</f>
        <v/>
      </c>
      <c r="S10" s="184" t="n"/>
    </row>
    <row r="11">
      <c r="A11" s="185" t="n">
        <v>46290</v>
      </c>
      <c r="B11" s="186" t="inlineStr">
        <is>
          <t>금</t>
        </is>
      </c>
      <c r="C11" s="178">
        <f>'계좌별시나리오'!D11</f>
        <v/>
      </c>
      <c r="D11" s="178">
        <f>'계좌별시나리오'!E11</f>
        <v/>
      </c>
      <c r="E11" s="178">
        <f>'계좌별시나리오'!F11</f>
        <v/>
      </c>
      <c r="F11" s="178">
        <f>'계좌별시나리오'!G11</f>
        <v/>
      </c>
      <c r="G11" s="187" t="n">
        <v>0</v>
      </c>
      <c r="H11" s="180">
        <f>'계좌별시나리오'!I11</f>
        <v/>
      </c>
      <c r="I11" s="180">
        <f>'계좌별시나리오'!J11</f>
        <v/>
      </c>
      <c r="J11" s="180">
        <f>'계좌별시나리오'!K11</f>
        <v/>
      </c>
      <c r="K11" s="180">
        <f>'계좌별시나리오'!L11</f>
        <v/>
      </c>
      <c r="L11" s="181" t="n"/>
      <c r="M11" s="181" t="n"/>
      <c r="N11" s="181" t="n"/>
      <c r="O11" s="181" t="n">
        <v>2606450</v>
      </c>
      <c r="P11" s="182">
        <f>G11+L11-M11-N11-O11</f>
        <v/>
      </c>
      <c r="Q11" s="183">
        <f>R10</f>
        <v/>
      </c>
      <c r="R11" s="182">
        <f>Q11+P11</f>
        <v/>
      </c>
      <c r="S11" s="184" t="inlineStr">
        <is>
          <t>메트라이프 2,497,000, KT 109,450</t>
        </is>
      </c>
    </row>
    <row r="12">
      <c r="A12" s="185" t="n">
        <v>46291</v>
      </c>
      <c r="B12" s="186" t="inlineStr">
        <is>
          <t>토</t>
        </is>
      </c>
      <c r="C12" s="178">
        <f>'계좌별시나리오'!D12</f>
        <v/>
      </c>
      <c r="D12" s="178">
        <f>'계좌별시나리오'!E12</f>
        <v/>
      </c>
      <c r="E12" s="178">
        <f>'계좌별시나리오'!F12</f>
        <v/>
      </c>
      <c r="F12" s="178">
        <f>'계좌별시나리오'!G12</f>
        <v/>
      </c>
      <c r="G12" s="187" t="n">
        <v>0</v>
      </c>
      <c r="H12" s="180">
        <f>'계좌별시나리오'!I12</f>
        <v/>
      </c>
      <c r="I12" s="180">
        <f>'계좌별시나리오'!J12</f>
        <v/>
      </c>
      <c r="J12" s="180">
        <f>'계좌별시나리오'!K12</f>
        <v/>
      </c>
      <c r="K12" s="180">
        <f>'계좌별시나리오'!L12</f>
        <v/>
      </c>
      <c r="L12" s="181" t="n"/>
      <c r="M12" s="181" t="n"/>
      <c r="N12" s="181" t="n"/>
      <c r="O12" s="181" t="n"/>
      <c r="P12" s="182">
        <f>G12+L12-M12-N12-O12</f>
        <v/>
      </c>
      <c r="Q12" s="183">
        <f>R11</f>
        <v/>
      </c>
      <c r="R12" s="182">
        <f>Q12+P12</f>
        <v/>
      </c>
      <c r="S12" s="184" t="n"/>
    </row>
    <row r="13">
      <c r="A13" s="185" t="n">
        <v>46292</v>
      </c>
      <c r="B13" s="186" t="inlineStr">
        <is>
          <t>일</t>
        </is>
      </c>
      <c r="C13" s="178">
        <f>'계좌별시나리오'!D13</f>
        <v/>
      </c>
      <c r="D13" s="178">
        <f>'계좌별시나리오'!E13</f>
        <v/>
      </c>
      <c r="E13" s="178">
        <f>'계좌별시나리오'!F13</f>
        <v/>
      </c>
      <c r="F13" s="178">
        <f>'계좌별시나리오'!G13</f>
        <v/>
      </c>
      <c r="G13" s="179">
        <f>INDEX('설정및분류'!$C$6:$C$12,WEEKDAY(A13,2))*'요약'!$B$13</f>
        <v/>
      </c>
      <c r="H13" s="180">
        <f>'계좌별시나리오'!I13</f>
        <v/>
      </c>
      <c r="I13" s="180">
        <f>'계좌별시나리오'!J13</f>
        <v/>
      </c>
      <c r="J13" s="180">
        <f>'계좌별시나리오'!K13</f>
        <v/>
      </c>
      <c r="K13" s="180">
        <f>'계좌별시나리오'!L13</f>
        <v/>
      </c>
      <c r="L13" s="181" t="n"/>
      <c r="M13" s="181" t="n"/>
      <c r="N13" s="181" t="n"/>
      <c r="O13" s="181" t="n"/>
      <c r="P13" s="182">
        <f>G13+L13-M13-N13-O13</f>
        <v/>
      </c>
      <c r="Q13" s="183">
        <f>R12</f>
        <v/>
      </c>
      <c r="R13" s="182">
        <f>Q13+P13</f>
        <v/>
      </c>
      <c r="S13" s="184" t="n"/>
    </row>
    <row r="14">
      <c r="A14" s="176" t="n">
        <v>46293</v>
      </c>
      <c r="B14" s="177" t="inlineStr">
        <is>
          <t>월</t>
        </is>
      </c>
      <c r="C14" s="178">
        <f>'계좌별시나리오'!D14</f>
        <v/>
      </c>
      <c r="D14" s="178">
        <f>'계좌별시나리오'!E14</f>
        <v/>
      </c>
      <c r="E14" s="178">
        <f>'계좌별시나리오'!F14</f>
        <v/>
      </c>
      <c r="F14" s="178">
        <f>'계좌별시나리오'!G14</f>
        <v/>
      </c>
      <c r="G14" s="179">
        <f>INDEX('설정및분류'!$C$6:$C$12,WEEKDAY(A14,2))*'요약'!$B$13</f>
        <v/>
      </c>
      <c r="H14" s="180">
        <f>'계좌별시나리오'!I14</f>
        <v/>
      </c>
      <c r="I14" s="180">
        <f>'계좌별시나리오'!J14</f>
        <v/>
      </c>
      <c r="J14" s="180">
        <f>'계좌별시나리오'!K14</f>
        <v/>
      </c>
      <c r="K14" s="180">
        <f>'계좌별시나리오'!L14</f>
        <v/>
      </c>
      <c r="L14" s="181" t="n"/>
      <c r="M14" s="181" t="n">
        <v>1650000</v>
      </c>
      <c r="N14" s="181" t="n"/>
      <c r="O14" s="181" t="n"/>
      <c r="P14" s="182">
        <f>G14+L14-M14-N14-O14</f>
        <v/>
      </c>
      <c r="Q14" s="183">
        <f>R13</f>
        <v/>
      </c>
      <c r="R14" s="182">
        <f>Q14+P14</f>
        <v/>
      </c>
      <c r="S14" s="184" t="inlineStr">
        <is>
          <t>엘앤에이치컴퍼니 1,650,000</t>
        </is>
      </c>
    </row>
    <row r="15">
      <c r="A15" s="176" t="n">
        <v>46294</v>
      </c>
      <c r="B15" s="177" t="inlineStr">
        <is>
          <t>화</t>
        </is>
      </c>
      <c r="C15" s="178">
        <f>'계좌별시나리오'!D15</f>
        <v/>
      </c>
      <c r="D15" s="178">
        <f>'계좌별시나리오'!E15</f>
        <v/>
      </c>
      <c r="E15" s="178">
        <f>'계좌별시나리오'!F15</f>
        <v/>
      </c>
      <c r="F15" s="178">
        <f>'계좌별시나리오'!G15</f>
        <v/>
      </c>
      <c r="G15" s="179">
        <f>INDEX('설정및분류'!$C$6:$C$12,WEEKDAY(A15,2))*'요약'!$B$13</f>
        <v/>
      </c>
      <c r="H15" s="180">
        <f>'계좌별시나리오'!I15</f>
        <v/>
      </c>
      <c r="I15" s="180">
        <f>'계좌별시나리오'!J15</f>
        <v/>
      </c>
      <c r="J15" s="180">
        <f>'계좌별시나리오'!K15</f>
        <v/>
      </c>
      <c r="K15" s="180">
        <f>'계좌별시나리오'!L15</f>
        <v/>
      </c>
      <c r="L15" s="181" t="n"/>
      <c r="M15" s="181" t="n"/>
      <c r="N15" s="181" t="n"/>
      <c r="O15" s="181" t="n"/>
      <c r="P15" s="182">
        <f>G15+L15-M15-N15-O15</f>
        <v/>
      </c>
      <c r="Q15" s="183">
        <f>R14</f>
        <v/>
      </c>
      <c r="R15" s="182">
        <f>Q15+P15</f>
        <v/>
      </c>
      <c r="S15" s="184" t="n"/>
    </row>
    <row r="16">
      <c r="A16" s="176" t="n">
        <v>46295</v>
      </c>
      <c r="B16" s="177" t="inlineStr">
        <is>
          <t>수</t>
        </is>
      </c>
      <c r="C16" s="178">
        <f>'계좌별시나리오'!D16</f>
        <v/>
      </c>
      <c r="D16" s="178">
        <f>'계좌별시나리오'!E16</f>
        <v/>
      </c>
      <c r="E16" s="178">
        <f>'계좌별시나리오'!F16</f>
        <v/>
      </c>
      <c r="F16" s="178">
        <f>'계좌별시나리오'!G16</f>
        <v/>
      </c>
      <c r="G16" s="179">
        <f>INDEX('설정및분류'!$C$6:$C$12,WEEKDAY(A16,2))*'요약'!$B$13</f>
        <v/>
      </c>
      <c r="H16" s="180">
        <f>'계좌별시나리오'!I16</f>
        <v/>
      </c>
      <c r="I16" s="180">
        <f>'계좌별시나리오'!J16</f>
        <v/>
      </c>
      <c r="J16" s="180">
        <f>'계좌별시나리오'!K16</f>
        <v/>
      </c>
      <c r="K16" s="180">
        <f>'계좌별시나리오'!L16</f>
        <v/>
      </c>
      <c r="L16" s="181" t="n">
        <v>10021867</v>
      </c>
      <c r="M16" s="181" t="n"/>
      <c r="N16" s="181" t="n"/>
      <c r="O16" s="181" t="n"/>
      <c r="P16" s="182">
        <f>G16+L16-M16-N16-O16</f>
        <v/>
      </c>
      <c r="Q16" s="183">
        <f>R15</f>
        <v/>
      </c>
      <c r="R16" s="182">
        <f>Q16+P16</f>
        <v/>
      </c>
      <c r="S16" s="184" t="inlineStr">
        <is>
          <t>관계사 외상대 입금 추정(주식회사에이팜, 말일)</t>
        </is>
      </c>
    </row>
    <row r="17">
      <c r="A17" s="176" t="n">
        <v>46296</v>
      </c>
      <c r="B17" s="177" t="inlineStr">
        <is>
          <t>목</t>
        </is>
      </c>
      <c r="C17" s="178">
        <f>'계좌별시나리오'!D17</f>
        <v/>
      </c>
      <c r="D17" s="178">
        <f>'계좌별시나리오'!E17</f>
        <v/>
      </c>
      <c r="E17" s="178">
        <f>'계좌별시나리오'!F17</f>
        <v/>
      </c>
      <c r="F17" s="178">
        <f>'계좌별시나리오'!G17</f>
        <v/>
      </c>
      <c r="G17" s="179">
        <f>INDEX('설정및분류'!$C$6:$C$12,WEEKDAY(A17,2))*'요약'!$B$13</f>
        <v/>
      </c>
      <c r="H17" s="180">
        <f>'계좌별시나리오'!I17</f>
        <v/>
      </c>
      <c r="I17" s="180">
        <f>'계좌별시나리오'!J17</f>
        <v/>
      </c>
      <c r="J17" s="180">
        <f>'계좌별시나리오'!K17</f>
        <v/>
      </c>
      <c r="K17" s="180">
        <f>'계좌별시나리오'!L17</f>
        <v/>
      </c>
      <c r="L17" s="181" t="n"/>
      <c r="M17" s="181" t="n"/>
      <c r="N17" s="181" t="n"/>
      <c r="O17" s="181" t="n"/>
      <c r="P17" s="182">
        <f>G17+L17-M17-N17-O17</f>
        <v/>
      </c>
      <c r="Q17" s="183">
        <f>R16</f>
        <v/>
      </c>
      <c r="R17" s="182">
        <f>Q17+P17</f>
        <v/>
      </c>
      <c r="S17" s="184" t="n"/>
    </row>
    <row r="18">
      <c r="A18" s="188" t="n">
        <v>46297</v>
      </c>
      <c r="B18" s="189" t="inlineStr">
        <is>
          <t>금</t>
        </is>
      </c>
      <c r="C18" s="190">
        <f>'계좌별시나리오'!D18</f>
        <v/>
      </c>
      <c r="D18" s="190">
        <f>'계좌별시나리오'!E18</f>
        <v/>
      </c>
      <c r="E18" s="190">
        <f>'계좌별시나리오'!F18</f>
        <v/>
      </c>
      <c r="F18" s="190">
        <f>'계좌별시나리오'!G18</f>
        <v/>
      </c>
      <c r="G18" s="191">
        <f>INDEX('설정및분류'!$C$6:$C$12,WEEKDAY(A18,2))*'요약'!$B$13</f>
        <v/>
      </c>
      <c r="H18" s="192">
        <f>'계좌별시나리오'!I18</f>
        <v/>
      </c>
      <c r="I18" s="192">
        <f>'계좌별시나리오'!J18</f>
        <v/>
      </c>
      <c r="J18" s="192">
        <f>'계좌별시나리오'!K18</f>
        <v/>
      </c>
      <c r="K18" s="192">
        <f>'계좌별시나리오'!L18</f>
        <v/>
      </c>
      <c r="L18" s="193" t="n"/>
      <c r="M18" s="193" t="n"/>
      <c r="N18" s="193" t="n"/>
      <c r="O18" s="193" t="n"/>
      <c r="P18" s="194">
        <f>G18+L18-M18-N18-O18</f>
        <v/>
      </c>
      <c r="Q18" s="195">
        <f>R17</f>
        <v/>
      </c>
      <c r="R18" s="194">
        <f>Q18+P18</f>
        <v/>
      </c>
      <c r="S18" s="196" t="n"/>
    </row>
    <row r="19">
      <c r="A19" s="197" t="n">
        <v>46298</v>
      </c>
      <c r="B19" s="186" t="inlineStr">
        <is>
          <t>토</t>
        </is>
      </c>
      <c r="C19" s="178">
        <f>'계좌별시나리오'!D19</f>
        <v/>
      </c>
      <c r="D19" s="178">
        <f>'계좌별시나리오'!E19</f>
        <v/>
      </c>
      <c r="E19" s="178">
        <f>'계좌별시나리오'!F19</f>
        <v/>
      </c>
      <c r="F19" s="178">
        <f>'계좌별시나리오'!G19</f>
        <v/>
      </c>
      <c r="G19" s="187" t="n">
        <v>0</v>
      </c>
      <c r="H19" s="180">
        <f>'계좌별시나리오'!I19</f>
        <v/>
      </c>
      <c r="I19" s="180">
        <f>'계좌별시나리오'!J19</f>
        <v/>
      </c>
      <c r="J19" s="180">
        <f>'계좌별시나리오'!K19</f>
        <v/>
      </c>
      <c r="K19" s="180">
        <f>'계좌별시나리오'!L19</f>
        <v/>
      </c>
      <c r="L19" s="181" t="n"/>
      <c r="M19" s="181" t="n"/>
      <c r="N19" s="181" t="n"/>
      <c r="O19" s="181" t="n"/>
      <c r="P19" s="182">
        <f>G19+L19-M19-N19-O19</f>
        <v/>
      </c>
      <c r="Q19" s="183">
        <f>R18</f>
        <v/>
      </c>
      <c r="R19" s="182">
        <f>Q19+P19</f>
        <v/>
      </c>
      <c r="S19" s="198" t="n"/>
    </row>
    <row r="20">
      <c r="A20" s="197" t="n">
        <v>46299</v>
      </c>
      <c r="B20" s="186" t="inlineStr">
        <is>
          <t>일</t>
        </is>
      </c>
      <c r="C20" s="178">
        <f>'계좌별시나리오'!D20</f>
        <v/>
      </c>
      <c r="D20" s="178">
        <f>'계좌별시나리오'!E20</f>
        <v/>
      </c>
      <c r="E20" s="178">
        <f>'계좌별시나리오'!F20</f>
        <v/>
      </c>
      <c r="F20" s="178">
        <f>'계좌별시나리오'!G20</f>
        <v/>
      </c>
      <c r="G20" s="179">
        <f>INDEX('설정및분류'!$C$6:$C$12,WEEKDAY(A20,2))*'요약'!$B$13</f>
        <v/>
      </c>
      <c r="H20" s="180">
        <f>'계좌별시나리오'!I20</f>
        <v/>
      </c>
      <c r="I20" s="180">
        <f>'계좌별시나리오'!J20</f>
        <v/>
      </c>
      <c r="J20" s="180">
        <f>'계좌별시나리오'!K20</f>
        <v/>
      </c>
      <c r="K20" s="180">
        <f>'계좌별시나리오'!L20</f>
        <v/>
      </c>
      <c r="L20" s="181" t="n"/>
      <c r="M20" s="181" t="n"/>
      <c r="N20" s="181" t="n"/>
      <c r="O20" s="181" t="n"/>
      <c r="P20" s="182">
        <f>G20+L20-M20-N20-O20</f>
        <v/>
      </c>
      <c r="Q20" s="183">
        <f>R19</f>
        <v/>
      </c>
      <c r="R20" s="182">
        <f>Q20+P20</f>
        <v/>
      </c>
      <c r="S20" s="198" t="n"/>
    </row>
    <row r="21">
      <c r="A21" s="197" t="n">
        <v>46300</v>
      </c>
      <c r="B21" s="186" t="inlineStr">
        <is>
          <t>월</t>
        </is>
      </c>
      <c r="C21" s="178">
        <f>'계좌별시나리오'!D21</f>
        <v/>
      </c>
      <c r="D21" s="178">
        <f>'계좌별시나리오'!E21</f>
        <v/>
      </c>
      <c r="E21" s="178">
        <f>'계좌별시나리오'!F21</f>
        <v/>
      </c>
      <c r="F21" s="178">
        <f>'계좌별시나리오'!G21</f>
        <v/>
      </c>
      <c r="G21" s="187" t="n">
        <v>0</v>
      </c>
      <c r="H21" s="180">
        <f>'계좌별시나리오'!I21</f>
        <v/>
      </c>
      <c r="I21" s="180">
        <f>'계좌별시나리오'!J21</f>
        <v/>
      </c>
      <c r="J21" s="180">
        <f>'계좌별시나리오'!K21</f>
        <v/>
      </c>
      <c r="K21" s="180">
        <f>'계좌별시나리오'!L21</f>
        <v/>
      </c>
      <c r="L21" s="181" t="n"/>
      <c r="M21" s="181" t="n"/>
      <c r="N21" s="181" t="n"/>
      <c r="O21" s="181" t="n"/>
      <c r="P21" s="182">
        <f>G21+L21-M21-N21-O21</f>
        <v/>
      </c>
      <c r="Q21" s="183">
        <f>R20</f>
        <v/>
      </c>
      <c r="R21" s="182">
        <f>Q21+P21</f>
        <v/>
      </c>
      <c r="S21" s="198" t="n"/>
    </row>
    <row r="22">
      <c r="A22" s="199" t="n">
        <v>46301</v>
      </c>
      <c r="B22" s="177" t="inlineStr">
        <is>
          <t>화</t>
        </is>
      </c>
      <c r="C22" s="178">
        <f>'계좌별시나리오'!D22</f>
        <v/>
      </c>
      <c r="D22" s="178">
        <f>'계좌별시나리오'!E22</f>
        <v/>
      </c>
      <c r="E22" s="178">
        <f>'계좌별시나리오'!F22</f>
        <v/>
      </c>
      <c r="F22" s="178">
        <f>'계좌별시나리오'!G22</f>
        <v/>
      </c>
      <c r="G22" s="179">
        <f>INDEX('설정및분류'!$C$6:$C$12,WEEKDAY(A22,2))*'요약'!$B$13</f>
        <v/>
      </c>
      <c r="H22" s="180">
        <f>'계좌별시나리오'!I22</f>
        <v/>
      </c>
      <c r="I22" s="180">
        <f>'계좌별시나리오'!J22</f>
        <v/>
      </c>
      <c r="J22" s="180">
        <f>'계좌별시나리오'!K22</f>
        <v/>
      </c>
      <c r="K22" s="180">
        <f>'계좌별시나리오'!L22</f>
        <v/>
      </c>
      <c r="L22" s="181" t="n"/>
      <c r="M22" s="181" t="n"/>
      <c r="N22" s="181" t="n"/>
      <c r="O22" s="181" t="n">
        <v>3003000</v>
      </c>
      <c r="P22" s="182">
        <f>G22+L22-M22-N22-O22</f>
        <v/>
      </c>
      <c r="Q22" s="183">
        <f>R21</f>
        <v/>
      </c>
      <c r="R22" s="182">
        <f>Q22+P22</f>
        <v/>
      </c>
      <c r="S22" s="198" t="inlineStr">
        <is>
          <t>자동추정: 국민주에이팜건강</t>
        </is>
      </c>
    </row>
    <row r="23">
      <c r="A23" s="199" t="n">
        <v>46302</v>
      </c>
      <c r="B23" s="177" t="inlineStr">
        <is>
          <t>수</t>
        </is>
      </c>
      <c r="C23" s="178">
        <f>'계좌별시나리오'!D23</f>
        <v/>
      </c>
      <c r="D23" s="178">
        <f>'계좌별시나리오'!E23</f>
        <v/>
      </c>
      <c r="E23" s="178">
        <f>'계좌별시나리오'!F23</f>
        <v/>
      </c>
      <c r="F23" s="178">
        <f>'계좌별시나리오'!G23</f>
        <v/>
      </c>
      <c r="G23" s="179">
        <f>INDEX('설정및분류'!$C$6:$C$12,WEEKDAY(A23,2))*'요약'!$B$13</f>
        <v/>
      </c>
      <c r="H23" s="180">
        <f>'계좌별시나리오'!I23</f>
        <v/>
      </c>
      <c r="I23" s="180">
        <f>'계좌별시나리오'!J23</f>
        <v/>
      </c>
      <c r="J23" s="180">
        <f>'계좌별시나리오'!K23</f>
        <v/>
      </c>
      <c r="K23" s="180">
        <f>'계좌별시나리오'!L23</f>
        <v/>
      </c>
      <c r="L23" s="181" t="n"/>
      <c r="M23" s="181" t="n"/>
      <c r="N23" s="181" t="n"/>
      <c r="O23" s="181" t="n"/>
      <c r="P23" s="182">
        <f>G23+L23-M23-N23-O23</f>
        <v/>
      </c>
      <c r="Q23" s="183">
        <f>R22</f>
        <v/>
      </c>
      <c r="R23" s="182">
        <f>Q23+P23</f>
        <v/>
      </c>
      <c r="S23" s="198" t="n"/>
    </row>
    <row r="24">
      <c r="A24" s="199" t="n">
        <v>46303</v>
      </c>
      <c r="B24" s="177" t="inlineStr">
        <is>
          <t>목</t>
        </is>
      </c>
      <c r="C24" s="178">
        <f>'계좌별시나리오'!D24</f>
        <v/>
      </c>
      <c r="D24" s="178">
        <f>'계좌별시나리오'!E24</f>
        <v/>
      </c>
      <c r="E24" s="178">
        <f>'계좌별시나리오'!F24</f>
        <v/>
      </c>
      <c r="F24" s="178">
        <f>'계좌별시나리오'!G24</f>
        <v/>
      </c>
      <c r="G24" s="179">
        <f>INDEX('설정및분류'!$C$6:$C$12,WEEKDAY(A24,2))*'요약'!$B$13</f>
        <v/>
      </c>
      <c r="H24" s="180">
        <f>'계좌별시나리오'!I24</f>
        <v/>
      </c>
      <c r="I24" s="180">
        <f>'계좌별시나리오'!J24</f>
        <v/>
      </c>
      <c r="J24" s="180">
        <f>'계좌별시나리오'!K24</f>
        <v/>
      </c>
      <c r="K24" s="180">
        <f>'계좌별시나리오'!L24</f>
        <v/>
      </c>
      <c r="L24" s="181" t="n"/>
      <c r="M24" s="181" t="n"/>
      <c r="N24" s="181" t="n"/>
      <c r="O24" s="181" t="n"/>
      <c r="P24" s="182">
        <f>G24+L24-M24-N24-O24</f>
        <v/>
      </c>
      <c r="Q24" s="183">
        <f>R23</f>
        <v/>
      </c>
      <c r="R24" s="182">
        <f>Q24+P24</f>
        <v/>
      </c>
      <c r="S24" s="198" t="n"/>
    </row>
    <row r="25">
      <c r="A25" s="197" t="n">
        <v>46304</v>
      </c>
      <c r="B25" s="186" t="inlineStr">
        <is>
          <t>금</t>
        </is>
      </c>
      <c r="C25" s="178">
        <f>'계좌별시나리오'!D25</f>
        <v/>
      </c>
      <c r="D25" s="178">
        <f>'계좌별시나리오'!E25</f>
        <v/>
      </c>
      <c r="E25" s="178">
        <f>'계좌별시나리오'!F25</f>
        <v/>
      </c>
      <c r="F25" s="178">
        <f>'계좌별시나리오'!G25</f>
        <v/>
      </c>
      <c r="G25" s="187" t="n">
        <v>0</v>
      </c>
      <c r="H25" s="180">
        <f>'계좌별시나리오'!I25</f>
        <v/>
      </c>
      <c r="I25" s="180">
        <f>'계좌별시나리오'!J25</f>
        <v/>
      </c>
      <c r="J25" s="180">
        <f>'계좌별시나리오'!K25</f>
        <v/>
      </c>
      <c r="K25" s="180">
        <f>'계좌별시나리오'!L25</f>
        <v/>
      </c>
      <c r="L25" s="181" t="n"/>
      <c r="M25" s="181" t="n"/>
      <c r="N25" s="181" t="n"/>
      <c r="O25" s="181" t="n"/>
      <c r="P25" s="182">
        <f>G25+L25-M25-N25-O25</f>
        <v/>
      </c>
      <c r="Q25" s="183">
        <f>R24</f>
        <v/>
      </c>
      <c r="R25" s="182">
        <f>Q25+P25</f>
        <v/>
      </c>
      <c r="S25" s="198" t="n"/>
    </row>
    <row r="26">
      <c r="A26" s="197" t="n">
        <v>46305</v>
      </c>
      <c r="B26" s="186" t="inlineStr">
        <is>
          <t>토</t>
        </is>
      </c>
      <c r="C26" s="178">
        <f>'계좌별시나리오'!D26</f>
        <v/>
      </c>
      <c r="D26" s="178">
        <f>'계좌별시나리오'!E26</f>
        <v/>
      </c>
      <c r="E26" s="178">
        <f>'계좌별시나리오'!F26</f>
        <v/>
      </c>
      <c r="F26" s="178">
        <f>'계좌별시나리오'!G26</f>
        <v/>
      </c>
      <c r="G26" s="179">
        <f>INDEX('설정및분류'!$C$6:$C$12,WEEKDAY(A26,2))*'요약'!$B$13</f>
        <v/>
      </c>
      <c r="H26" s="180">
        <f>'계좌별시나리오'!I26</f>
        <v/>
      </c>
      <c r="I26" s="180">
        <f>'계좌별시나리오'!J26</f>
        <v/>
      </c>
      <c r="J26" s="180">
        <f>'계좌별시나리오'!K26</f>
        <v/>
      </c>
      <c r="K26" s="180">
        <f>'계좌별시나리오'!L26</f>
        <v/>
      </c>
      <c r="L26" s="181" t="n"/>
      <c r="M26" s="181" t="n"/>
      <c r="N26" s="181" t="n"/>
      <c r="O26" s="181" t="n"/>
      <c r="P26" s="182">
        <f>G26+L26-M26-N26-O26</f>
        <v/>
      </c>
      <c r="Q26" s="183">
        <f>R25</f>
        <v/>
      </c>
      <c r="R26" s="182">
        <f>Q26+P26</f>
        <v/>
      </c>
      <c r="S26" s="198" t="n"/>
    </row>
    <row r="27">
      <c r="A27" s="197" t="n">
        <v>46306</v>
      </c>
      <c r="B27" s="186" t="inlineStr">
        <is>
          <t>일</t>
        </is>
      </c>
      <c r="C27" s="178">
        <f>'계좌별시나리오'!D27</f>
        <v/>
      </c>
      <c r="D27" s="178">
        <f>'계좌별시나리오'!E27</f>
        <v/>
      </c>
      <c r="E27" s="178">
        <f>'계좌별시나리오'!F27</f>
        <v/>
      </c>
      <c r="F27" s="178">
        <f>'계좌별시나리오'!G27</f>
        <v/>
      </c>
      <c r="G27" s="179">
        <f>INDEX('설정및분류'!$C$6:$C$12,WEEKDAY(A27,2))*'요약'!$B$13</f>
        <v/>
      </c>
      <c r="H27" s="180">
        <f>'계좌별시나리오'!I27</f>
        <v/>
      </c>
      <c r="I27" s="180">
        <f>'계좌별시나리오'!J27</f>
        <v/>
      </c>
      <c r="J27" s="180">
        <f>'계좌별시나리오'!K27</f>
        <v/>
      </c>
      <c r="K27" s="180">
        <f>'계좌별시나리오'!L27</f>
        <v/>
      </c>
      <c r="L27" s="181" t="n"/>
      <c r="M27" s="181" t="n"/>
      <c r="N27" s="181" t="n"/>
      <c r="O27" s="181" t="n"/>
      <c r="P27" s="182">
        <f>G27+L27-M27-N27-O27</f>
        <v/>
      </c>
      <c r="Q27" s="183">
        <f>R26</f>
        <v/>
      </c>
      <c r="R27" s="182">
        <f>Q27+P27</f>
        <v/>
      </c>
      <c r="S27" s="198" t="n"/>
    </row>
    <row r="28">
      <c r="A28" s="199" t="n">
        <v>46307</v>
      </c>
      <c r="B28" s="177" t="inlineStr">
        <is>
          <t>월</t>
        </is>
      </c>
      <c r="C28" s="178">
        <f>'계좌별시나리오'!D28</f>
        <v/>
      </c>
      <c r="D28" s="178">
        <f>'계좌별시나리오'!E28</f>
        <v/>
      </c>
      <c r="E28" s="178">
        <f>'계좌별시나리오'!F28</f>
        <v/>
      </c>
      <c r="F28" s="178">
        <f>'계좌별시나리오'!G28</f>
        <v/>
      </c>
      <c r="G28" s="179">
        <f>INDEX('설정및분류'!$C$6:$C$12,WEEKDAY(A28,2))*'요약'!$B$13</f>
        <v/>
      </c>
      <c r="H28" s="180">
        <f>'계좌별시나리오'!I28</f>
        <v/>
      </c>
      <c r="I28" s="180">
        <f>'계좌별시나리오'!J28</f>
        <v/>
      </c>
      <c r="J28" s="180">
        <f>'계좌별시나리오'!K28</f>
        <v/>
      </c>
      <c r="K28" s="180">
        <f>'계좌별시나리오'!L28</f>
        <v/>
      </c>
      <c r="L28" s="181" t="n"/>
      <c r="M28" s="181" t="n"/>
      <c r="N28" s="181" t="n"/>
      <c r="O28" s="181" t="n"/>
      <c r="P28" s="182">
        <f>G28+L28-M28-N28-O28</f>
        <v/>
      </c>
      <c r="Q28" s="183">
        <f>R27</f>
        <v/>
      </c>
      <c r="R28" s="182">
        <f>Q28+P28</f>
        <v/>
      </c>
      <c r="S28" s="198" t="n"/>
    </row>
    <row r="29">
      <c r="A29" s="199" t="n">
        <v>46308</v>
      </c>
      <c r="B29" s="177" t="inlineStr">
        <is>
          <t>화</t>
        </is>
      </c>
      <c r="C29" s="178">
        <f>'계좌별시나리오'!D29</f>
        <v/>
      </c>
      <c r="D29" s="178">
        <f>'계좌별시나리오'!E29</f>
        <v/>
      </c>
      <c r="E29" s="178">
        <f>'계좌별시나리오'!F29</f>
        <v/>
      </c>
      <c r="F29" s="178">
        <f>'계좌별시나리오'!G29</f>
        <v/>
      </c>
      <c r="G29" s="179">
        <f>INDEX('설정및분류'!$C$6:$C$12,WEEKDAY(A29,2))*'요약'!$B$13</f>
        <v/>
      </c>
      <c r="H29" s="180">
        <f>'계좌별시나리오'!I29</f>
        <v/>
      </c>
      <c r="I29" s="180">
        <f>'계좌별시나리오'!J29</f>
        <v/>
      </c>
      <c r="J29" s="180">
        <f>'계좌별시나리오'!K29</f>
        <v/>
      </c>
      <c r="K29" s="180">
        <f>'계좌별시나리오'!L29</f>
        <v/>
      </c>
      <c r="L29" s="181" t="n"/>
      <c r="M29" s="181" t="n"/>
      <c r="N29" s="181" t="n"/>
      <c r="O29" s="181" t="n"/>
      <c r="P29" s="182">
        <f>G29+L29-M29-N29-O29</f>
        <v/>
      </c>
      <c r="Q29" s="183">
        <f>R28</f>
        <v/>
      </c>
      <c r="R29" s="182">
        <f>Q29+P29</f>
        <v/>
      </c>
      <c r="S29" s="198" t="n"/>
    </row>
    <row r="30">
      <c r="A30" s="199" t="n">
        <v>46309</v>
      </c>
      <c r="B30" s="177" t="inlineStr">
        <is>
          <t>수</t>
        </is>
      </c>
      <c r="C30" s="178">
        <f>'계좌별시나리오'!D30</f>
        <v/>
      </c>
      <c r="D30" s="178">
        <f>'계좌별시나리오'!E30</f>
        <v/>
      </c>
      <c r="E30" s="178">
        <f>'계좌별시나리오'!F30</f>
        <v/>
      </c>
      <c r="F30" s="178">
        <f>'계좌별시나리오'!G30</f>
        <v/>
      </c>
      <c r="G30" s="179">
        <f>INDEX('설정및분류'!$C$6:$C$12,WEEKDAY(A30,2))*'요약'!$B$13</f>
        <v/>
      </c>
      <c r="H30" s="180">
        <f>'계좌별시나리오'!I30</f>
        <v/>
      </c>
      <c r="I30" s="180">
        <f>'계좌별시나리오'!J30</f>
        <v/>
      </c>
      <c r="J30" s="180">
        <f>'계좌별시나리오'!K30</f>
        <v/>
      </c>
      <c r="K30" s="180">
        <f>'계좌별시나리오'!L30</f>
        <v/>
      </c>
      <c r="L30" s="181" t="n"/>
      <c r="M30" s="181" t="n"/>
      <c r="N30" s="181" t="n"/>
      <c r="O30" s="181" t="n"/>
      <c r="P30" s="182">
        <f>G30+L30-M30-N30-O30</f>
        <v/>
      </c>
      <c r="Q30" s="183">
        <f>R29</f>
        <v/>
      </c>
      <c r="R30" s="182">
        <f>Q30+P30</f>
        <v/>
      </c>
      <c r="S30" s="198" t="n"/>
    </row>
    <row r="31">
      <c r="A31" s="199" t="n">
        <v>46310</v>
      </c>
      <c r="B31" s="177" t="inlineStr">
        <is>
          <t>목</t>
        </is>
      </c>
      <c r="C31" s="178">
        <f>'계좌별시나리오'!D31</f>
        <v/>
      </c>
      <c r="D31" s="178">
        <f>'계좌별시나리오'!E31</f>
        <v/>
      </c>
      <c r="E31" s="178">
        <f>'계좌별시나리오'!F31</f>
        <v/>
      </c>
      <c r="F31" s="178">
        <f>'계좌별시나리오'!G31</f>
        <v/>
      </c>
      <c r="G31" s="179">
        <f>INDEX('설정및분류'!$C$6:$C$12,WEEKDAY(A31,2))*'요약'!$B$13</f>
        <v/>
      </c>
      <c r="H31" s="180">
        <f>'계좌별시나리오'!I31</f>
        <v/>
      </c>
      <c r="I31" s="180">
        <f>'계좌별시나리오'!J31</f>
        <v/>
      </c>
      <c r="J31" s="180">
        <f>'계좌별시나리오'!K31</f>
        <v/>
      </c>
      <c r="K31" s="180">
        <f>'계좌별시나리오'!L31</f>
        <v/>
      </c>
      <c r="L31" s="181" t="n"/>
      <c r="M31" s="181" t="n"/>
      <c r="N31" s="181" t="n"/>
      <c r="O31" s="181" t="n"/>
      <c r="P31" s="182">
        <f>G31+L31-M31-N31-O31</f>
        <v/>
      </c>
      <c r="Q31" s="183">
        <f>R30</f>
        <v/>
      </c>
      <c r="R31" s="182">
        <f>Q31+P31</f>
        <v/>
      </c>
      <c r="S31" s="198" t="n"/>
    </row>
    <row r="32">
      <c r="A32" s="199" t="n">
        <v>46311</v>
      </c>
      <c r="B32" s="177" t="inlineStr">
        <is>
          <t>금</t>
        </is>
      </c>
      <c r="C32" s="178">
        <f>'계좌별시나리오'!D32</f>
        <v/>
      </c>
      <c r="D32" s="178">
        <f>'계좌별시나리오'!E32</f>
        <v/>
      </c>
      <c r="E32" s="178">
        <f>'계좌별시나리오'!F32</f>
        <v/>
      </c>
      <c r="F32" s="178">
        <f>'계좌별시나리오'!G32</f>
        <v/>
      </c>
      <c r="G32" s="179">
        <f>INDEX('설정및분류'!$C$6:$C$12,WEEKDAY(A32,2))*'요약'!$B$13</f>
        <v/>
      </c>
      <c r="H32" s="180">
        <f>'계좌별시나리오'!I32</f>
        <v/>
      </c>
      <c r="I32" s="180">
        <f>'계좌별시나리오'!J32</f>
        <v/>
      </c>
      <c r="J32" s="180">
        <f>'계좌별시나리오'!K32</f>
        <v/>
      </c>
      <c r="K32" s="180">
        <f>'계좌별시나리오'!L32</f>
        <v/>
      </c>
      <c r="L32" s="181" t="n"/>
      <c r="M32" s="181" t="n"/>
      <c r="N32" s="181" t="n"/>
      <c r="O32" s="181" t="n"/>
      <c r="P32" s="182">
        <f>G32+L32-M32-N32-O32</f>
        <v/>
      </c>
      <c r="Q32" s="183">
        <f>R31</f>
        <v/>
      </c>
      <c r="R32" s="182">
        <f>Q32+P32</f>
        <v/>
      </c>
      <c r="S32" s="198" t="n"/>
    </row>
    <row r="33">
      <c r="A33" s="197" t="n">
        <v>46312</v>
      </c>
      <c r="B33" s="186" t="inlineStr">
        <is>
          <t>토</t>
        </is>
      </c>
      <c r="C33" s="178">
        <f>'계좌별시나리오'!D33</f>
        <v/>
      </c>
      <c r="D33" s="178">
        <f>'계좌별시나리오'!E33</f>
        <v/>
      </c>
      <c r="E33" s="178">
        <f>'계좌별시나리오'!F33</f>
        <v/>
      </c>
      <c r="F33" s="178">
        <f>'계좌별시나리오'!G33</f>
        <v/>
      </c>
      <c r="G33" s="179">
        <f>INDEX('설정및분류'!$C$6:$C$12,WEEKDAY(A33,2))*'요약'!$B$13</f>
        <v/>
      </c>
      <c r="H33" s="180">
        <f>'계좌별시나리오'!I33</f>
        <v/>
      </c>
      <c r="I33" s="180">
        <f>'계좌별시나리오'!J33</f>
        <v/>
      </c>
      <c r="J33" s="180">
        <f>'계좌별시나리오'!K33</f>
        <v/>
      </c>
      <c r="K33" s="180">
        <f>'계좌별시나리오'!L33</f>
        <v/>
      </c>
      <c r="L33" s="181" t="n"/>
      <c r="M33" s="181" t="n"/>
      <c r="N33" s="181" t="n"/>
      <c r="O33" s="181" t="n"/>
      <c r="P33" s="182">
        <f>G33+L33-M33-N33-O33</f>
        <v/>
      </c>
      <c r="Q33" s="183">
        <f>R32</f>
        <v/>
      </c>
      <c r="R33" s="182">
        <f>Q33+P33</f>
        <v/>
      </c>
      <c r="S33" s="198" t="n"/>
    </row>
    <row r="34">
      <c r="A34" s="197" t="n">
        <v>46313</v>
      </c>
      <c r="B34" s="186" t="inlineStr">
        <is>
          <t>일</t>
        </is>
      </c>
      <c r="C34" s="178">
        <f>'계좌별시나리오'!D34</f>
        <v/>
      </c>
      <c r="D34" s="178">
        <f>'계좌별시나리오'!E34</f>
        <v/>
      </c>
      <c r="E34" s="178">
        <f>'계좌별시나리오'!F34</f>
        <v/>
      </c>
      <c r="F34" s="178">
        <f>'계좌별시나리오'!G34</f>
        <v/>
      </c>
      <c r="G34" s="179">
        <f>INDEX('설정및분류'!$C$6:$C$12,WEEKDAY(A34,2))*'요약'!$B$13</f>
        <v/>
      </c>
      <c r="H34" s="180">
        <f>'계좌별시나리오'!I34</f>
        <v/>
      </c>
      <c r="I34" s="180">
        <f>'계좌별시나리오'!J34</f>
        <v/>
      </c>
      <c r="J34" s="180">
        <f>'계좌별시나리오'!K34</f>
        <v/>
      </c>
      <c r="K34" s="180">
        <f>'계좌별시나리오'!L34</f>
        <v/>
      </c>
      <c r="L34" s="181" t="n"/>
      <c r="M34" s="181" t="n"/>
      <c r="N34" s="181" t="n"/>
      <c r="O34" s="181" t="n"/>
      <c r="P34" s="182">
        <f>G34+L34-M34-N34-O34</f>
        <v/>
      </c>
      <c r="Q34" s="183">
        <f>R33</f>
        <v/>
      </c>
      <c r="R34" s="182">
        <f>Q34+P34</f>
        <v/>
      </c>
      <c r="S34" s="198" t="n"/>
    </row>
  </sheetData>
  <mergeCells count="2">
    <mergeCell ref="H4:K4"/>
    <mergeCell ref="C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4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44% · 농협 569003 2% · 국민 169124 22% · 국민 154577 33%</t>
        </is>
      </c>
    </row>
    <row r="4">
      <c r="A4" s="160" t="inlineStr">
        <is>
          <t>일자</t>
        </is>
      </c>
      <c r="B4" s="160" t="inlineStr">
        <is>
          <t>요일</t>
        </is>
      </c>
      <c r="C4" s="156" t="inlineStr">
        <is>
          <t>① 잔액 (총잔액 · 계좌별)</t>
        </is>
      </c>
      <c r="D4" s="200" t="n"/>
      <c r="E4" s="200" t="n"/>
      <c r="F4" s="200" t="n"/>
      <c r="G4" s="200" t="n"/>
      <c r="H4" s="159" t="inlineStr">
        <is>
          <t>② 오늘 들어오는 돈 — 예상입금 배분</t>
        </is>
      </c>
      <c r="I4" s="200" t="n"/>
      <c r="J4" s="200" t="n"/>
      <c r="K4" s="200" t="n"/>
      <c r="L4" s="200" t="n"/>
      <c r="M4" s="201" t="inlineStr">
        <is>
          <t>③ 지출</t>
        </is>
      </c>
      <c r="N4" s="202" t="inlineStr">
        <is>
          <t>④ 부족분 이체</t>
        </is>
      </c>
      <c r="O4" s="200" t="n"/>
      <c r="P4" s="203" t="inlineStr">
        <is>
          <t>비고</t>
        </is>
      </c>
    </row>
    <row r="5">
      <c r="A5" s="204" t="n"/>
      <c r="B5" s="204" t="n"/>
      <c r="C5" s="160" t="inlineStr">
        <is>
          <t>총잔액</t>
        </is>
      </c>
      <c r="D5" s="160" t="inlineStr">
        <is>
          <t>우리 220351</t>
        </is>
      </c>
      <c r="E5" s="160" t="inlineStr">
        <is>
          <t>농협 569003</t>
        </is>
      </c>
      <c r="F5" s="160" t="inlineStr">
        <is>
          <t>국민 169124</t>
        </is>
      </c>
      <c r="G5" s="160" t="inlineStr">
        <is>
          <t>국민 154577</t>
        </is>
      </c>
      <c r="H5" s="161" t="inlineStr">
        <is>
          <t>합계</t>
        </is>
      </c>
      <c r="I5" s="161" t="inlineStr">
        <is>
          <t>우리 220351</t>
        </is>
      </c>
      <c r="J5" s="161" t="inlineStr">
        <is>
          <t>농협 569003</t>
        </is>
      </c>
      <c r="K5" s="161" t="inlineStr">
        <is>
          <t>국민 169124</t>
        </is>
      </c>
      <c r="L5" s="161" t="inlineStr">
        <is>
          <t>국민 154577</t>
        </is>
      </c>
      <c r="M5" s="205" t="inlineStr">
        <is>
          <t>우리은행 집행</t>
        </is>
      </c>
      <c r="N5" s="206" t="inlineStr">
        <is>
          <t>농협→우리</t>
        </is>
      </c>
      <c r="O5" s="206" t="inlineStr">
        <is>
          <t>국민→우리</t>
        </is>
      </c>
      <c r="P5" s="204" t="n"/>
    </row>
    <row r="6">
      <c r="A6" s="207" t="n">
        <v>46285</v>
      </c>
      <c r="B6" s="208" t="inlineStr">
        <is>
          <t>일</t>
        </is>
      </c>
      <c r="C6" s="164">
        <f>SUM(D6:G6)</f>
        <v/>
      </c>
      <c r="D6" s="164" t="n">
        <v>11948137</v>
      </c>
      <c r="E6" s="164" t="n">
        <v>1834429</v>
      </c>
      <c r="F6" s="164" t="n">
        <v>100687200</v>
      </c>
      <c r="G6" s="164" t="n">
        <v>20184954</v>
      </c>
      <c r="H6" s="200" t="n"/>
      <c r="I6" s="200" t="n"/>
      <c r="J6" s="200" t="n"/>
      <c r="K6" s="200" t="n"/>
      <c r="L6" s="200" t="n"/>
      <c r="M6" s="200" t="n"/>
      <c r="N6" s="200" t="n"/>
      <c r="O6" s="200" t="n"/>
      <c r="P6" s="209" t="inlineStr">
        <is>
          <t>전일 마감 실잔고 — 여기서 출발</t>
        </is>
      </c>
    </row>
    <row r="7">
      <c r="A7" s="210" t="n">
        <v>46286</v>
      </c>
      <c r="B7" s="200" t="inlineStr">
        <is>
          <t>월</t>
        </is>
      </c>
      <c r="C7" s="164">
        <f>SUM(D7:G7)</f>
        <v/>
      </c>
      <c r="D7" s="211">
        <f>D6+I7-M7+Q7+R7+S7</f>
        <v/>
      </c>
      <c r="E7" s="211">
        <f>E6+J7-Q7</f>
        <v/>
      </c>
      <c r="F7" s="211">
        <f>F6+K7-R7</f>
        <v/>
      </c>
      <c r="G7" s="211">
        <f>G6+L7-S7</f>
        <v/>
      </c>
      <c r="H7" s="180">
        <f>'4주일별계획'!G7+'4주일별계획'!L7</f>
        <v/>
      </c>
      <c r="I7" s="180">
        <f>5694170+MAX(0,H7-30483905)*0.435678</f>
        <v/>
      </c>
      <c r="J7" s="180">
        <f>110000+MAX(0,H7-30483905)*0.020692</f>
        <v/>
      </c>
      <c r="K7" s="180">
        <f>0+MAX(0,H7-30483905)*0.216801</f>
        <v/>
      </c>
      <c r="L7" s="180">
        <f>24679735+MAX(0,H7-30483905)*0.326829</f>
        <v/>
      </c>
      <c r="M7" s="212">
        <f>'4주일별계획'!M7+'4주일별계획'!N7+'4주일별계획'!O7</f>
        <v/>
      </c>
      <c r="N7" s="213">
        <f>Q7</f>
        <v/>
      </c>
      <c r="O7" s="213">
        <f>R7+S7</f>
        <v/>
      </c>
      <c r="P7" s="214">
        <f>IF(D7&lt;-0.5,"전 계좌 소진 — 부족 "&amp;TEXT(-D7,"#,##0")&amp;"원","")</f>
        <v/>
      </c>
      <c r="Q7" s="215">
        <f>MIN(MAX(0,E6+J7),MAX(0,M7-D6-I7))</f>
        <v/>
      </c>
      <c r="R7" s="215">
        <f>MIN(MAX(0,F6+K7),MAX(0,M7-D6-I7)-Q7)</f>
        <v/>
      </c>
      <c r="S7" s="215">
        <f>MIN(MAX(0,G6+L7),MAX(0,M7-D6-I7)-Q7-R7)</f>
        <v/>
      </c>
    </row>
    <row r="8">
      <c r="A8" s="210" t="n">
        <v>46287</v>
      </c>
      <c r="B8" s="200" t="inlineStr">
        <is>
          <t>화</t>
        </is>
      </c>
      <c r="C8" s="164">
        <f>SUM(D8:G8)</f>
        <v/>
      </c>
      <c r="D8" s="211">
        <f>D7+I8-M8+Q8+R8+S8</f>
        <v/>
      </c>
      <c r="E8" s="211">
        <f>E7+J8-Q8</f>
        <v/>
      </c>
      <c r="F8" s="211">
        <f>F7+K8-R8</f>
        <v/>
      </c>
      <c r="G8" s="211">
        <f>G7+L8-S8</f>
        <v/>
      </c>
      <c r="H8" s="180">
        <f>'4주일별계획'!G8+'4주일별계획'!L8</f>
        <v/>
      </c>
      <c r="I8" s="180">
        <f>H8*0.435678</f>
        <v/>
      </c>
      <c r="J8" s="180">
        <f>H8*0.020692</f>
        <v/>
      </c>
      <c r="K8" s="180">
        <f>H8*0.216801</f>
        <v/>
      </c>
      <c r="L8" s="180">
        <f>H8*0.326829</f>
        <v/>
      </c>
      <c r="M8" s="212">
        <f>'4주일별계획'!M8+'4주일별계획'!N8+'4주일별계획'!O8</f>
        <v/>
      </c>
      <c r="N8" s="213">
        <f>Q8</f>
        <v/>
      </c>
      <c r="O8" s="213">
        <f>R8+S8</f>
        <v/>
      </c>
      <c r="P8" s="214">
        <f>IF(D8&lt;-0.5,"전 계좌 소진 — 부족 "&amp;TEXT(-D8,"#,##0")&amp;"원","")</f>
        <v/>
      </c>
      <c r="Q8" s="215">
        <f>MIN(MAX(0,E7+J8),MAX(0,M8-D7-I8))</f>
        <v/>
      </c>
      <c r="R8" s="215">
        <f>MIN(MAX(0,F7+K8),MAX(0,M8-D7-I8)-Q8)</f>
        <v/>
      </c>
      <c r="S8" s="215">
        <f>MIN(MAX(0,G7+L8),MAX(0,M8-D7-I8)-Q8-R8)</f>
        <v/>
      </c>
    </row>
    <row r="9">
      <c r="A9" s="210" t="n">
        <v>46288</v>
      </c>
      <c r="B9" s="200" t="inlineStr">
        <is>
          <t>수</t>
        </is>
      </c>
      <c r="C9" s="164">
        <f>SUM(D9:G9)</f>
        <v/>
      </c>
      <c r="D9" s="211">
        <f>D8+I9-M9+Q9+R9+S9</f>
        <v/>
      </c>
      <c r="E9" s="211">
        <f>E8+J9-Q9</f>
        <v/>
      </c>
      <c r="F9" s="211">
        <f>F8+K9-R9</f>
        <v/>
      </c>
      <c r="G9" s="211">
        <f>G8+L9-S9</f>
        <v/>
      </c>
      <c r="H9" s="180">
        <f>'4주일별계획'!G9+'4주일별계획'!L9</f>
        <v/>
      </c>
      <c r="I9" s="180">
        <f>H9*0.435678</f>
        <v/>
      </c>
      <c r="J9" s="180">
        <f>H9*0.020692</f>
        <v/>
      </c>
      <c r="K9" s="180">
        <f>H9*0.216801</f>
        <v/>
      </c>
      <c r="L9" s="180">
        <f>H9*0.326829</f>
        <v/>
      </c>
      <c r="M9" s="212">
        <f>'4주일별계획'!M9+'4주일별계획'!N9+'4주일별계획'!O9</f>
        <v/>
      </c>
      <c r="N9" s="213">
        <f>Q9</f>
        <v/>
      </c>
      <c r="O9" s="213">
        <f>R9+S9</f>
        <v/>
      </c>
      <c r="P9" s="214">
        <f>IF(D9&lt;-0.5,"전 계좌 소진 — 부족 "&amp;TEXT(-D9,"#,##0")&amp;"원","")</f>
        <v/>
      </c>
      <c r="Q9" s="215">
        <f>MIN(MAX(0,E8+J9),MAX(0,M9-D8-I9))</f>
        <v/>
      </c>
      <c r="R9" s="215">
        <f>MIN(MAX(0,F8+K9),MAX(0,M9-D8-I9)-Q9)</f>
        <v/>
      </c>
      <c r="S9" s="215">
        <f>MIN(MAX(0,G8+L9),MAX(0,M9-D8-I9)-Q9-R9)</f>
        <v/>
      </c>
    </row>
    <row r="10">
      <c r="A10" s="197" t="n">
        <v>46289</v>
      </c>
      <c r="B10" s="186" t="inlineStr">
        <is>
          <t>목</t>
        </is>
      </c>
      <c r="C10" s="164">
        <f>SUM(D10:G10)</f>
        <v/>
      </c>
      <c r="D10" s="211">
        <f>D9+I10-M10+Q10+R10+S10</f>
        <v/>
      </c>
      <c r="E10" s="211">
        <f>E9+J10-Q10</f>
        <v/>
      </c>
      <c r="F10" s="211">
        <f>F9+K10-R10</f>
        <v/>
      </c>
      <c r="G10" s="211">
        <f>G9+L10-S10</f>
        <v/>
      </c>
      <c r="H10" s="180">
        <f>'4주일별계획'!G10+'4주일별계획'!L10</f>
        <v/>
      </c>
      <c r="I10" s="180">
        <f>H10*0.435678</f>
        <v/>
      </c>
      <c r="J10" s="180">
        <f>H10*0.020692</f>
        <v/>
      </c>
      <c r="K10" s="180">
        <f>H10*0.216801</f>
        <v/>
      </c>
      <c r="L10" s="180">
        <f>H10*0.326829</f>
        <v/>
      </c>
      <c r="M10" s="212">
        <f>'4주일별계획'!M10+'4주일별계획'!N10+'4주일별계획'!O10</f>
        <v/>
      </c>
      <c r="N10" s="213">
        <f>Q10</f>
        <v/>
      </c>
      <c r="O10" s="213">
        <f>R10+S10</f>
        <v/>
      </c>
      <c r="P10" s="214">
        <f>IF(D10&lt;-0.5,"전 계좌 소진 — 부족 "&amp;TEXT(-D10,"#,##0")&amp;"원","")</f>
        <v/>
      </c>
      <c r="Q10" s="215">
        <f>MIN(MAX(0,E9+J10),MAX(0,M10-D9-I10))</f>
        <v/>
      </c>
      <c r="R10" s="215">
        <f>MIN(MAX(0,F9+K10),MAX(0,M10-D9-I10)-Q10)</f>
        <v/>
      </c>
      <c r="S10" s="215">
        <f>MIN(MAX(0,G9+L10),MAX(0,M10-D9-I10)-Q10-R10)</f>
        <v/>
      </c>
    </row>
    <row r="11">
      <c r="A11" s="197" t="n">
        <v>46290</v>
      </c>
      <c r="B11" s="186" t="inlineStr">
        <is>
          <t>금</t>
        </is>
      </c>
      <c r="C11" s="164">
        <f>SUM(D11:G11)</f>
        <v/>
      </c>
      <c r="D11" s="211">
        <f>D10+I11-M11+Q11+R11+S11</f>
        <v/>
      </c>
      <c r="E11" s="211">
        <f>E10+J11-Q11</f>
        <v/>
      </c>
      <c r="F11" s="211">
        <f>F10+K11-R11</f>
        <v/>
      </c>
      <c r="G11" s="211">
        <f>G10+L11-S11</f>
        <v/>
      </c>
      <c r="H11" s="180">
        <f>'4주일별계획'!G11+'4주일별계획'!L11</f>
        <v/>
      </c>
      <c r="I11" s="180">
        <f>H11*0.435678</f>
        <v/>
      </c>
      <c r="J11" s="180">
        <f>H11*0.020692</f>
        <v/>
      </c>
      <c r="K11" s="180">
        <f>H11*0.216801</f>
        <v/>
      </c>
      <c r="L11" s="180">
        <f>H11*0.326829</f>
        <v/>
      </c>
      <c r="M11" s="212">
        <f>'4주일별계획'!M11+'4주일별계획'!N11+'4주일별계획'!O11</f>
        <v/>
      </c>
      <c r="N11" s="213">
        <f>Q11</f>
        <v/>
      </c>
      <c r="O11" s="213">
        <f>R11+S11</f>
        <v/>
      </c>
      <c r="P11" s="214">
        <f>IF(D11&lt;-0.5,"전 계좌 소진 — 부족 "&amp;TEXT(-D11,"#,##0")&amp;"원","")</f>
        <v/>
      </c>
      <c r="Q11" s="215">
        <f>MIN(MAX(0,E10+J11),MAX(0,M11-D10-I11))</f>
        <v/>
      </c>
      <c r="R11" s="215">
        <f>MIN(MAX(0,F10+K11),MAX(0,M11-D10-I11)-Q11)</f>
        <v/>
      </c>
      <c r="S11" s="215">
        <f>MIN(MAX(0,G10+L11),MAX(0,M11-D10-I11)-Q11-R11)</f>
        <v/>
      </c>
    </row>
    <row r="12">
      <c r="A12" s="197" t="n">
        <v>46291</v>
      </c>
      <c r="B12" s="186" t="inlineStr">
        <is>
          <t>토</t>
        </is>
      </c>
      <c r="C12" s="164">
        <f>SUM(D12:G12)</f>
        <v/>
      </c>
      <c r="D12" s="211">
        <f>D11+I12-M12+Q12+R12+S12</f>
        <v/>
      </c>
      <c r="E12" s="211">
        <f>E11+J12-Q12</f>
        <v/>
      </c>
      <c r="F12" s="211">
        <f>F11+K12-R12</f>
        <v/>
      </c>
      <c r="G12" s="211">
        <f>G11+L12-S12</f>
        <v/>
      </c>
      <c r="H12" s="180">
        <f>'4주일별계획'!G12+'4주일별계획'!L12</f>
        <v/>
      </c>
      <c r="I12" s="180">
        <f>H12*0.435678</f>
        <v/>
      </c>
      <c r="J12" s="180">
        <f>H12*0.020692</f>
        <v/>
      </c>
      <c r="K12" s="180">
        <f>H12*0.216801</f>
        <v/>
      </c>
      <c r="L12" s="180">
        <f>H12*0.326829</f>
        <v/>
      </c>
      <c r="M12" s="212">
        <f>'4주일별계획'!M12+'4주일별계획'!N12+'4주일별계획'!O12</f>
        <v/>
      </c>
      <c r="N12" s="213">
        <f>Q12</f>
        <v/>
      </c>
      <c r="O12" s="213">
        <f>R12+S12</f>
        <v/>
      </c>
      <c r="P12" s="214">
        <f>IF(D12&lt;-0.5,"전 계좌 소진 — 부족 "&amp;TEXT(-D12,"#,##0")&amp;"원","")</f>
        <v/>
      </c>
      <c r="Q12" s="215">
        <f>MIN(MAX(0,E11+J12),MAX(0,M12-D11-I12))</f>
        <v/>
      </c>
      <c r="R12" s="215">
        <f>MIN(MAX(0,F11+K12),MAX(0,M12-D11-I12)-Q12)</f>
        <v/>
      </c>
      <c r="S12" s="215">
        <f>MIN(MAX(0,G11+L12),MAX(0,M12-D11-I12)-Q12-R12)</f>
        <v/>
      </c>
    </row>
    <row r="13">
      <c r="A13" s="197" t="n">
        <v>46292</v>
      </c>
      <c r="B13" s="186" t="inlineStr">
        <is>
          <t>일</t>
        </is>
      </c>
      <c r="C13" s="164">
        <f>SUM(D13:G13)</f>
        <v/>
      </c>
      <c r="D13" s="211">
        <f>D12+I13-M13+Q13+R13+S13</f>
        <v/>
      </c>
      <c r="E13" s="211">
        <f>E12+J13-Q13</f>
        <v/>
      </c>
      <c r="F13" s="211">
        <f>F12+K13-R13</f>
        <v/>
      </c>
      <c r="G13" s="211">
        <f>G12+L13-S13</f>
        <v/>
      </c>
      <c r="H13" s="180">
        <f>'4주일별계획'!G13+'4주일별계획'!L13</f>
        <v/>
      </c>
      <c r="I13" s="180">
        <f>H13*0.435678</f>
        <v/>
      </c>
      <c r="J13" s="180">
        <f>H13*0.020692</f>
        <v/>
      </c>
      <c r="K13" s="180">
        <f>H13*0.216801</f>
        <v/>
      </c>
      <c r="L13" s="180">
        <f>H13*0.326829</f>
        <v/>
      </c>
      <c r="M13" s="212">
        <f>'4주일별계획'!M13+'4주일별계획'!N13+'4주일별계획'!O13</f>
        <v/>
      </c>
      <c r="N13" s="213">
        <f>Q13</f>
        <v/>
      </c>
      <c r="O13" s="213">
        <f>R13+S13</f>
        <v/>
      </c>
      <c r="P13" s="214">
        <f>IF(D13&lt;-0.5,"전 계좌 소진 — 부족 "&amp;TEXT(-D13,"#,##0")&amp;"원","")</f>
        <v/>
      </c>
      <c r="Q13" s="215">
        <f>MIN(MAX(0,E12+J13),MAX(0,M13-D12-I13))</f>
        <v/>
      </c>
      <c r="R13" s="215">
        <f>MIN(MAX(0,F12+K13),MAX(0,M13-D12-I13)-Q13)</f>
        <v/>
      </c>
      <c r="S13" s="215">
        <f>MIN(MAX(0,G12+L13),MAX(0,M13-D12-I13)-Q13-R13)</f>
        <v/>
      </c>
    </row>
    <row r="14">
      <c r="A14" s="210" t="n">
        <v>46293</v>
      </c>
      <c r="B14" s="200" t="inlineStr">
        <is>
          <t>월</t>
        </is>
      </c>
      <c r="C14" s="164">
        <f>SUM(D14:G14)</f>
        <v/>
      </c>
      <c r="D14" s="211">
        <f>D13+I14-M14+Q14+R14+S14</f>
        <v/>
      </c>
      <c r="E14" s="211">
        <f>E13+J14-Q14</f>
        <v/>
      </c>
      <c r="F14" s="211">
        <f>F13+K14-R14</f>
        <v/>
      </c>
      <c r="G14" s="211">
        <f>G13+L14-S14</f>
        <v/>
      </c>
      <c r="H14" s="180">
        <f>'4주일별계획'!G14+'4주일별계획'!L14</f>
        <v/>
      </c>
      <c r="I14" s="180">
        <f>H14*0.435678</f>
        <v/>
      </c>
      <c r="J14" s="180">
        <f>H14*0.020692</f>
        <v/>
      </c>
      <c r="K14" s="180">
        <f>H14*0.216801</f>
        <v/>
      </c>
      <c r="L14" s="180">
        <f>H14*0.326829</f>
        <v/>
      </c>
      <c r="M14" s="212">
        <f>'4주일별계획'!M14+'4주일별계획'!N14+'4주일별계획'!O14</f>
        <v/>
      </c>
      <c r="N14" s="213">
        <f>Q14</f>
        <v/>
      </c>
      <c r="O14" s="213">
        <f>R14+S14</f>
        <v/>
      </c>
      <c r="P14" s="214">
        <f>IF(D14&lt;-0.5,"전 계좌 소진 — 부족 "&amp;TEXT(-D14,"#,##0")&amp;"원","")</f>
        <v/>
      </c>
      <c r="Q14" s="215">
        <f>MIN(MAX(0,E13+J14),MAX(0,M14-D13-I14))</f>
        <v/>
      </c>
      <c r="R14" s="215">
        <f>MIN(MAX(0,F13+K14),MAX(0,M14-D13-I14)-Q14)</f>
        <v/>
      </c>
      <c r="S14" s="215">
        <f>MIN(MAX(0,G13+L14),MAX(0,M14-D13-I14)-Q14-R14)</f>
        <v/>
      </c>
    </row>
    <row r="15">
      <c r="A15" s="210" t="n">
        <v>46294</v>
      </c>
      <c r="B15" s="200" t="inlineStr">
        <is>
          <t>화</t>
        </is>
      </c>
      <c r="C15" s="164">
        <f>SUM(D15:G15)</f>
        <v/>
      </c>
      <c r="D15" s="211">
        <f>D14+I15-M15+Q15+R15+S15</f>
        <v/>
      </c>
      <c r="E15" s="211">
        <f>E14+J15-Q15</f>
        <v/>
      </c>
      <c r="F15" s="211">
        <f>F14+K15-R15</f>
        <v/>
      </c>
      <c r="G15" s="211">
        <f>G14+L15-S15</f>
        <v/>
      </c>
      <c r="H15" s="180">
        <f>'4주일별계획'!G15+'4주일별계획'!L15</f>
        <v/>
      </c>
      <c r="I15" s="180">
        <f>H15*0.435678</f>
        <v/>
      </c>
      <c r="J15" s="180">
        <f>H15*0.020692</f>
        <v/>
      </c>
      <c r="K15" s="180">
        <f>H15*0.216801</f>
        <v/>
      </c>
      <c r="L15" s="180">
        <f>H15*0.326829</f>
        <v/>
      </c>
      <c r="M15" s="212">
        <f>'4주일별계획'!M15+'4주일별계획'!N15+'4주일별계획'!O15</f>
        <v/>
      </c>
      <c r="N15" s="213">
        <f>Q15</f>
        <v/>
      </c>
      <c r="O15" s="213">
        <f>R15+S15</f>
        <v/>
      </c>
      <c r="P15" s="214">
        <f>IF(D15&lt;-0.5,"전 계좌 소진 — 부족 "&amp;TEXT(-D15,"#,##0")&amp;"원","")</f>
        <v/>
      </c>
      <c r="Q15" s="215">
        <f>MIN(MAX(0,E14+J15),MAX(0,M15-D14-I15))</f>
        <v/>
      </c>
      <c r="R15" s="215">
        <f>MIN(MAX(0,F14+K15),MAX(0,M15-D14-I15)-Q15)</f>
        <v/>
      </c>
      <c r="S15" s="215">
        <f>MIN(MAX(0,G14+L15),MAX(0,M15-D14-I15)-Q15-R15)</f>
        <v/>
      </c>
    </row>
    <row r="16">
      <c r="A16" s="210" t="n">
        <v>46295</v>
      </c>
      <c r="B16" s="200" t="inlineStr">
        <is>
          <t>수</t>
        </is>
      </c>
      <c r="C16" s="164">
        <f>SUM(D16:G16)</f>
        <v/>
      </c>
      <c r="D16" s="211">
        <f>D15+I16-M16+Q16+R16+S16</f>
        <v/>
      </c>
      <c r="E16" s="211">
        <f>E15+J16-Q16</f>
        <v/>
      </c>
      <c r="F16" s="211">
        <f>F15+K16-R16</f>
        <v/>
      </c>
      <c r="G16" s="211">
        <f>G15+L16-S16</f>
        <v/>
      </c>
      <c r="H16" s="180">
        <f>'4주일별계획'!G16+'4주일별계획'!L16</f>
        <v/>
      </c>
      <c r="I16" s="180">
        <f>H16*0.435678</f>
        <v/>
      </c>
      <c r="J16" s="180">
        <f>H16*0.020692</f>
        <v/>
      </c>
      <c r="K16" s="180">
        <f>H16*0.216801</f>
        <v/>
      </c>
      <c r="L16" s="180">
        <f>H16*0.326829</f>
        <v/>
      </c>
      <c r="M16" s="212">
        <f>'4주일별계획'!M16+'4주일별계획'!N16+'4주일별계획'!O16</f>
        <v/>
      </c>
      <c r="N16" s="213">
        <f>Q16</f>
        <v/>
      </c>
      <c r="O16" s="213">
        <f>R16+S16</f>
        <v/>
      </c>
      <c r="P16" s="214">
        <f>IF(D16&lt;-0.5,"전 계좌 소진 — 부족 "&amp;TEXT(-D16,"#,##0")&amp;"원","")</f>
        <v/>
      </c>
      <c r="Q16" s="215">
        <f>MIN(MAX(0,E15+J16),MAX(0,M16-D15-I16))</f>
        <v/>
      </c>
      <c r="R16" s="215">
        <f>MIN(MAX(0,F15+K16),MAX(0,M16-D15-I16)-Q16)</f>
        <v/>
      </c>
      <c r="S16" s="215">
        <f>MIN(MAX(0,G15+L16),MAX(0,M16-D15-I16)-Q16-R16)</f>
        <v/>
      </c>
    </row>
    <row r="17">
      <c r="A17" s="210" t="n">
        <v>46296</v>
      </c>
      <c r="B17" s="200" t="inlineStr">
        <is>
          <t>목</t>
        </is>
      </c>
      <c r="C17" s="164">
        <f>SUM(D17:G17)</f>
        <v/>
      </c>
      <c r="D17" s="211">
        <f>D16+I17-M17+Q17+R17+S17</f>
        <v/>
      </c>
      <c r="E17" s="211">
        <f>E16+J17-Q17</f>
        <v/>
      </c>
      <c r="F17" s="211">
        <f>F16+K17-R17</f>
        <v/>
      </c>
      <c r="G17" s="211">
        <f>G16+L17-S17</f>
        <v/>
      </c>
      <c r="H17" s="180">
        <f>'4주일별계획'!G17+'4주일별계획'!L17</f>
        <v/>
      </c>
      <c r="I17" s="180">
        <f>H17*0.435678</f>
        <v/>
      </c>
      <c r="J17" s="180">
        <f>H17*0.020692</f>
        <v/>
      </c>
      <c r="K17" s="180">
        <f>H17*0.216801</f>
        <v/>
      </c>
      <c r="L17" s="180">
        <f>H17*0.326829</f>
        <v/>
      </c>
      <c r="M17" s="212">
        <f>'4주일별계획'!M17+'4주일별계획'!N17+'4주일별계획'!O17</f>
        <v/>
      </c>
      <c r="N17" s="213">
        <f>Q17</f>
        <v/>
      </c>
      <c r="O17" s="213">
        <f>R17+S17</f>
        <v/>
      </c>
      <c r="P17" s="214">
        <f>IF(D17&lt;-0.5,"전 계좌 소진 — 부족 "&amp;TEXT(-D17,"#,##0")&amp;"원","")</f>
        <v/>
      </c>
      <c r="Q17" s="215">
        <f>MIN(MAX(0,E16+J17),MAX(0,M17-D16-I17))</f>
        <v/>
      </c>
      <c r="R17" s="215">
        <f>MIN(MAX(0,F16+K17),MAX(0,M17-D16-I17)-Q17)</f>
        <v/>
      </c>
      <c r="S17" s="215">
        <f>MIN(MAX(0,G16+L17),MAX(0,M17-D16-I17)-Q17-R17)</f>
        <v/>
      </c>
    </row>
    <row r="18">
      <c r="A18" s="210" t="n">
        <v>46297</v>
      </c>
      <c r="B18" s="200" t="inlineStr">
        <is>
          <t>금</t>
        </is>
      </c>
      <c r="C18" s="164">
        <f>SUM(D18:G18)</f>
        <v/>
      </c>
      <c r="D18" s="211">
        <f>D17+I18-M18+Q18+R18+S18</f>
        <v/>
      </c>
      <c r="E18" s="211">
        <f>E17+J18-Q18</f>
        <v/>
      </c>
      <c r="F18" s="211">
        <f>F17+K18-R18</f>
        <v/>
      </c>
      <c r="G18" s="211">
        <f>G17+L18-S18</f>
        <v/>
      </c>
      <c r="H18" s="180">
        <f>'4주일별계획'!G18+'4주일별계획'!L18</f>
        <v/>
      </c>
      <c r="I18" s="180">
        <f>H18*0.435678</f>
        <v/>
      </c>
      <c r="J18" s="180">
        <f>H18*0.020692</f>
        <v/>
      </c>
      <c r="K18" s="180">
        <f>H18*0.216801</f>
        <v/>
      </c>
      <c r="L18" s="180">
        <f>H18*0.326829</f>
        <v/>
      </c>
      <c r="M18" s="212">
        <f>'4주일별계획'!M18+'4주일별계획'!N18+'4주일별계획'!O18</f>
        <v/>
      </c>
      <c r="N18" s="213">
        <f>Q18</f>
        <v/>
      </c>
      <c r="O18" s="213">
        <f>R18+S18</f>
        <v/>
      </c>
      <c r="P18" s="214">
        <f>IF(D18&lt;-0.5,"전 계좌 소진 — 부족 "&amp;TEXT(-D18,"#,##0")&amp;"원","")</f>
        <v/>
      </c>
      <c r="Q18" s="215">
        <f>MIN(MAX(0,E17+J18),MAX(0,M18-D17-I18))</f>
        <v/>
      </c>
      <c r="R18" s="215">
        <f>MIN(MAX(0,F17+K18),MAX(0,M18-D17-I18)-Q18)</f>
        <v/>
      </c>
      <c r="S18" s="215">
        <f>MIN(MAX(0,G17+L18),MAX(0,M18-D17-I18)-Q18-R18)</f>
        <v/>
      </c>
    </row>
    <row r="19">
      <c r="A19" s="197" t="n">
        <v>46298</v>
      </c>
      <c r="B19" s="186" t="inlineStr">
        <is>
          <t>토</t>
        </is>
      </c>
      <c r="C19" s="164">
        <f>SUM(D19:G19)</f>
        <v/>
      </c>
      <c r="D19" s="211">
        <f>D18+I19-M19+Q19+R19+S19</f>
        <v/>
      </c>
      <c r="E19" s="211">
        <f>E18+J19-Q19</f>
        <v/>
      </c>
      <c r="F19" s="211">
        <f>F18+K19-R19</f>
        <v/>
      </c>
      <c r="G19" s="211">
        <f>G18+L19-S19</f>
        <v/>
      </c>
      <c r="H19" s="180">
        <f>'4주일별계획'!G19+'4주일별계획'!L19</f>
        <v/>
      </c>
      <c r="I19" s="180">
        <f>H19*0.435678</f>
        <v/>
      </c>
      <c r="J19" s="180">
        <f>H19*0.020692</f>
        <v/>
      </c>
      <c r="K19" s="180">
        <f>H19*0.216801</f>
        <v/>
      </c>
      <c r="L19" s="180">
        <f>H19*0.326829</f>
        <v/>
      </c>
      <c r="M19" s="212">
        <f>'4주일별계획'!M19+'4주일별계획'!N19+'4주일별계획'!O19</f>
        <v/>
      </c>
      <c r="N19" s="213">
        <f>Q19</f>
        <v/>
      </c>
      <c r="O19" s="213">
        <f>R19+S19</f>
        <v/>
      </c>
      <c r="P19" s="214">
        <f>IF(D19&lt;-0.5,"전 계좌 소진 — 부족 "&amp;TEXT(-D19,"#,##0")&amp;"원","")</f>
        <v/>
      </c>
      <c r="Q19" s="215">
        <f>MIN(MAX(0,E18+J19),MAX(0,M19-D18-I19))</f>
        <v/>
      </c>
      <c r="R19" s="215">
        <f>MIN(MAX(0,F18+K19),MAX(0,M19-D18-I19)-Q19)</f>
        <v/>
      </c>
      <c r="S19" s="215">
        <f>MIN(MAX(0,G18+L19),MAX(0,M19-D18-I19)-Q19-R19)</f>
        <v/>
      </c>
    </row>
    <row r="20">
      <c r="A20" s="197" t="n">
        <v>46299</v>
      </c>
      <c r="B20" s="186" t="inlineStr">
        <is>
          <t>일</t>
        </is>
      </c>
      <c r="C20" s="164">
        <f>SUM(D20:G20)</f>
        <v/>
      </c>
      <c r="D20" s="211">
        <f>D19+I20-M20+Q20+R20+S20</f>
        <v/>
      </c>
      <c r="E20" s="211">
        <f>E19+J20-Q20</f>
        <v/>
      </c>
      <c r="F20" s="211">
        <f>F19+K20-R20</f>
        <v/>
      </c>
      <c r="G20" s="211">
        <f>G19+L20-S20</f>
        <v/>
      </c>
      <c r="H20" s="180">
        <f>'4주일별계획'!G20+'4주일별계획'!L20</f>
        <v/>
      </c>
      <c r="I20" s="180">
        <f>H20*0.435678</f>
        <v/>
      </c>
      <c r="J20" s="180">
        <f>H20*0.020692</f>
        <v/>
      </c>
      <c r="K20" s="180">
        <f>H20*0.216801</f>
        <v/>
      </c>
      <c r="L20" s="180">
        <f>H20*0.326829</f>
        <v/>
      </c>
      <c r="M20" s="212">
        <f>'4주일별계획'!M20+'4주일별계획'!N20+'4주일별계획'!O20</f>
        <v/>
      </c>
      <c r="N20" s="213">
        <f>Q20</f>
        <v/>
      </c>
      <c r="O20" s="213">
        <f>R20+S20</f>
        <v/>
      </c>
      <c r="P20" s="214">
        <f>IF(D20&lt;-0.5,"전 계좌 소진 — 부족 "&amp;TEXT(-D20,"#,##0")&amp;"원","")</f>
        <v/>
      </c>
      <c r="Q20" s="215">
        <f>MIN(MAX(0,E19+J20),MAX(0,M20-D19-I20))</f>
        <v/>
      </c>
      <c r="R20" s="215">
        <f>MIN(MAX(0,F19+K20),MAX(0,M20-D19-I20)-Q20)</f>
        <v/>
      </c>
      <c r="S20" s="215">
        <f>MIN(MAX(0,G19+L20),MAX(0,M20-D19-I20)-Q20-R20)</f>
        <v/>
      </c>
    </row>
    <row r="21">
      <c r="A21" s="197" t="n">
        <v>46300</v>
      </c>
      <c r="B21" s="186" t="inlineStr">
        <is>
          <t>월</t>
        </is>
      </c>
      <c r="C21" s="164">
        <f>SUM(D21:G21)</f>
        <v/>
      </c>
      <c r="D21" s="211">
        <f>D20+I21-M21+Q21+R21+S21</f>
        <v/>
      </c>
      <c r="E21" s="211">
        <f>E20+J21-Q21</f>
        <v/>
      </c>
      <c r="F21" s="211">
        <f>F20+K21-R21</f>
        <v/>
      </c>
      <c r="G21" s="211">
        <f>G20+L21-S21</f>
        <v/>
      </c>
      <c r="H21" s="180">
        <f>'4주일별계획'!G21+'4주일별계획'!L21</f>
        <v/>
      </c>
      <c r="I21" s="180">
        <f>H21*0.435678</f>
        <v/>
      </c>
      <c r="J21" s="180">
        <f>H21*0.020692</f>
        <v/>
      </c>
      <c r="K21" s="180">
        <f>H21*0.216801</f>
        <v/>
      </c>
      <c r="L21" s="180">
        <f>H21*0.326829</f>
        <v/>
      </c>
      <c r="M21" s="212">
        <f>'4주일별계획'!M21+'4주일별계획'!N21+'4주일별계획'!O21</f>
        <v/>
      </c>
      <c r="N21" s="213">
        <f>Q21</f>
        <v/>
      </c>
      <c r="O21" s="213">
        <f>R21+S21</f>
        <v/>
      </c>
      <c r="P21" s="214">
        <f>IF(D21&lt;-0.5,"전 계좌 소진 — 부족 "&amp;TEXT(-D21,"#,##0")&amp;"원","")</f>
        <v/>
      </c>
      <c r="Q21" s="215">
        <f>MIN(MAX(0,E20+J21),MAX(0,M21-D20-I21))</f>
        <v/>
      </c>
      <c r="R21" s="215">
        <f>MIN(MAX(0,F20+K21),MAX(0,M21-D20-I21)-Q21)</f>
        <v/>
      </c>
      <c r="S21" s="215">
        <f>MIN(MAX(0,G20+L21),MAX(0,M21-D20-I21)-Q21-R21)</f>
        <v/>
      </c>
    </row>
    <row r="22">
      <c r="A22" s="210" t="n">
        <v>46301</v>
      </c>
      <c r="B22" s="200" t="inlineStr">
        <is>
          <t>화</t>
        </is>
      </c>
      <c r="C22" s="164">
        <f>SUM(D22:G22)</f>
        <v/>
      </c>
      <c r="D22" s="211">
        <f>D21+I22-M22+Q22+R22+S22</f>
        <v/>
      </c>
      <c r="E22" s="211">
        <f>E21+J22-Q22</f>
        <v/>
      </c>
      <c r="F22" s="211">
        <f>F21+K22-R22</f>
        <v/>
      </c>
      <c r="G22" s="211">
        <f>G21+L22-S22</f>
        <v/>
      </c>
      <c r="H22" s="180">
        <f>'4주일별계획'!G22+'4주일별계획'!L22</f>
        <v/>
      </c>
      <c r="I22" s="180">
        <f>H22*0.435678</f>
        <v/>
      </c>
      <c r="J22" s="180">
        <f>H22*0.020692</f>
        <v/>
      </c>
      <c r="K22" s="180">
        <f>H22*0.216801</f>
        <v/>
      </c>
      <c r="L22" s="180">
        <f>H22*0.326829</f>
        <v/>
      </c>
      <c r="M22" s="212">
        <f>'4주일별계획'!M22+'4주일별계획'!N22+'4주일별계획'!O22</f>
        <v/>
      </c>
      <c r="N22" s="213">
        <f>Q22</f>
        <v/>
      </c>
      <c r="O22" s="213">
        <f>R22+S22</f>
        <v/>
      </c>
      <c r="P22" s="214">
        <f>IF(D22&lt;-0.5,"전 계좌 소진 — 부족 "&amp;TEXT(-D22,"#,##0")&amp;"원","")</f>
        <v/>
      </c>
      <c r="Q22" s="215">
        <f>MIN(MAX(0,E21+J22),MAX(0,M22-D21-I22))</f>
        <v/>
      </c>
      <c r="R22" s="215">
        <f>MIN(MAX(0,F21+K22),MAX(0,M22-D21-I22)-Q22)</f>
        <v/>
      </c>
      <c r="S22" s="215">
        <f>MIN(MAX(0,G21+L22),MAX(0,M22-D21-I22)-Q22-R22)</f>
        <v/>
      </c>
    </row>
    <row r="23">
      <c r="A23" s="210" t="n">
        <v>46302</v>
      </c>
      <c r="B23" s="200" t="inlineStr">
        <is>
          <t>수</t>
        </is>
      </c>
      <c r="C23" s="164">
        <f>SUM(D23:G23)</f>
        <v/>
      </c>
      <c r="D23" s="211">
        <f>D22+I23-M23+Q23+R23+S23</f>
        <v/>
      </c>
      <c r="E23" s="211">
        <f>E22+J23-Q23</f>
        <v/>
      </c>
      <c r="F23" s="211">
        <f>F22+K23-R23</f>
        <v/>
      </c>
      <c r="G23" s="211">
        <f>G22+L23-S23</f>
        <v/>
      </c>
      <c r="H23" s="180">
        <f>'4주일별계획'!G23+'4주일별계획'!L23</f>
        <v/>
      </c>
      <c r="I23" s="180">
        <f>H23*0.435678</f>
        <v/>
      </c>
      <c r="J23" s="180">
        <f>H23*0.020692</f>
        <v/>
      </c>
      <c r="K23" s="180">
        <f>H23*0.216801</f>
        <v/>
      </c>
      <c r="L23" s="180">
        <f>H23*0.326829</f>
        <v/>
      </c>
      <c r="M23" s="212">
        <f>'4주일별계획'!M23+'4주일별계획'!N23+'4주일별계획'!O23</f>
        <v/>
      </c>
      <c r="N23" s="213">
        <f>Q23</f>
        <v/>
      </c>
      <c r="O23" s="213">
        <f>R23+S23</f>
        <v/>
      </c>
      <c r="P23" s="214">
        <f>IF(D23&lt;-0.5,"전 계좌 소진 — 부족 "&amp;TEXT(-D23,"#,##0")&amp;"원","")</f>
        <v/>
      </c>
      <c r="Q23" s="215">
        <f>MIN(MAX(0,E22+J23),MAX(0,M23-D22-I23))</f>
        <v/>
      </c>
      <c r="R23" s="215">
        <f>MIN(MAX(0,F22+K23),MAX(0,M23-D22-I23)-Q23)</f>
        <v/>
      </c>
      <c r="S23" s="215">
        <f>MIN(MAX(0,G22+L23),MAX(0,M23-D22-I23)-Q23-R23)</f>
        <v/>
      </c>
    </row>
    <row r="24">
      <c r="A24" s="210" t="n">
        <v>46303</v>
      </c>
      <c r="B24" s="200" t="inlineStr">
        <is>
          <t>목</t>
        </is>
      </c>
      <c r="C24" s="164">
        <f>SUM(D24:G24)</f>
        <v/>
      </c>
      <c r="D24" s="211">
        <f>D23+I24-M24+Q24+R24+S24</f>
        <v/>
      </c>
      <c r="E24" s="211">
        <f>E23+J24-Q24</f>
        <v/>
      </c>
      <c r="F24" s="211">
        <f>F23+K24-R24</f>
        <v/>
      </c>
      <c r="G24" s="211">
        <f>G23+L24-S24</f>
        <v/>
      </c>
      <c r="H24" s="180">
        <f>'4주일별계획'!G24+'4주일별계획'!L24</f>
        <v/>
      </c>
      <c r="I24" s="180">
        <f>H24*0.435678</f>
        <v/>
      </c>
      <c r="J24" s="180">
        <f>H24*0.020692</f>
        <v/>
      </c>
      <c r="K24" s="180">
        <f>H24*0.216801</f>
        <v/>
      </c>
      <c r="L24" s="180">
        <f>H24*0.326829</f>
        <v/>
      </c>
      <c r="M24" s="212">
        <f>'4주일별계획'!M24+'4주일별계획'!N24+'4주일별계획'!O24</f>
        <v/>
      </c>
      <c r="N24" s="213">
        <f>Q24</f>
        <v/>
      </c>
      <c r="O24" s="213">
        <f>R24+S24</f>
        <v/>
      </c>
      <c r="P24" s="214">
        <f>IF(D24&lt;-0.5,"전 계좌 소진 — 부족 "&amp;TEXT(-D24,"#,##0")&amp;"원","")</f>
        <v/>
      </c>
      <c r="Q24" s="215">
        <f>MIN(MAX(0,E23+J24),MAX(0,M24-D23-I24))</f>
        <v/>
      </c>
      <c r="R24" s="215">
        <f>MIN(MAX(0,F23+K24),MAX(0,M24-D23-I24)-Q24)</f>
        <v/>
      </c>
      <c r="S24" s="215">
        <f>MIN(MAX(0,G23+L24),MAX(0,M24-D23-I24)-Q24-R24)</f>
        <v/>
      </c>
    </row>
    <row r="25">
      <c r="A25" s="197" t="n">
        <v>46304</v>
      </c>
      <c r="B25" s="186" t="inlineStr">
        <is>
          <t>금</t>
        </is>
      </c>
      <c r="C25" s="164">
        <f>SUM(D25:G25)</f>
        <v/>
      </c>
      <c r="D25" s="211">
        <f>D24+I25-M25+Q25+R25+S25</f>
        <v/>
      </c>
      <c r="E25" s="211">
        <f>E24+J25-Q25</f>
        <v/>
      </c>
      <c r="F25" s="211">
        <f>F24+K25-R25</f>
        <v/>
      </c>
      <c r="G25" s="211">
        <f>G24+L25-S25</f>
        <v/>
      </c>
      <c r="H25" s="180">
        <f>'4주일별계획'!G25+'4주일별계획'!L25</f>
        <v/>
      </c>
      <c r="I25" s="180">
        <f>H25*0.435678</f>
        <v/>
      </c>
      <c r="J25" s="180">
        <f>H25*0.020692</f>
        <v/>
      </c>
      <c r="K25" s="180">
        <f>H25*0.216801</f>
        <v/>
      </c>
      <c r="L25" s="180">
        <f>H25*0.326829</f>
        <v/>
      </c>
      <c r="M25" s="212">
        <f>'4주일별계획'!M25+'4주일별계획'!N25+'4주일별계획'!O25</f>
        <v/>
      </c>
      <c r="N25" s="213">
        <f>Q25</f>
        <v/>
      </c>
      <c r="O25" s="213">
        <f>R25+S25</f>
        <v/>
      </c>
      <c r="P25" s="214">
        <f>IF(D25&lt;-0.5,"전 계좌 소진 — 부족 "&amp;TEXT(-D25,"#,##0")&amp;"원","")</f>
        <v/>
      </c>
      <c r="Q25" s="215">
        <f>MIN(MAX(0,E24+J25),MAX(0,M25-D24-I25))</f>
        <v/>
      </c>
      <c r="R25" s="215">
        <f>MIN(MAX(0,F24+K25),MAX(0,M25-D24-I25)-Q25)</f>
        <v/>
      </c>
      <c r="S25" s="215">
        <f>MIN(MAX(0,G24+L25),MAX(0,M25-D24-I25)-Q25-R25)</f>
        <v/>
      </c>
    </row>
    <row r="26">
      <c r="A26" s="197" t="n">
        <v>46305</v>
      </c>
      <c r="B26" s="186" t="inlineStr">
        <is>
          <t>토</t>
        </is>
      </c>
      <c r="C26" s="164">
        <f>SUM(D26:G26)</f>
        <v/>
      </c>
      <c r="D26" s="211">
        <f>D25+I26-M26+Q26+R26+S26</f>
        <v/>
      </c>
      <c r="E26" s="211">
        <f>E25+J26-Q26</f>
        <v/>
      </c>
      <c r="F26" s="211">
        <f>F25+K26-R26</f>
        <v/>
      </c>
      <c r="G26" s="211">
        <f>G25+L26-S26</f>
        <v/>
      </c>
      <c r="H26" s="180">
        <f>'4주일별계획'!G26+'4주일별계획'!L26</f>
        <v/>
      </c>
      <c r="I26" s="180">
        <f>H26*0.435678</f>
        <v/>
      </c>
      <c r="J26" s="180">
        <f>H26*0.020692</f>
        <v/>
      </c>
      <c r="K26" s="180">
        <f>H26*0.216801</f>
        <v/>
      </c>
      <c r="L26" s="180">
        <f>H26*0.326829</f>
        <v/>
      </c>
      <c r="M26" s="212">
        <f>'4주일별계획'!M26+'4주일별계획'!N26+'4주일별계획'!O26</f>
        <v/>
      </c>
      <c r="N26" s="213">
        <f>Q26</f>
        <v/>
      </c>
      <c r="O26" s="213">
        <f>R26+S26</f>
        <v/>
      </c>
      <c r="P26" s="214">
        <f>IF(D26&lt;-0.5,"전 계좌 소진 — 부족 "&amp;TEXT(-D26,"#,##0")&amp;"원","")</f>
        <v/>
      </c>
      <c r="Q26" s="215">
        <f>MIN(MAX(0,E25+J26),MAX(0,M26-D25-I26))</f>
        <v/>
      </c>
      <c r="R26" s="215">
        <f>MIN(MAX(0,F25+K26),MAX(0,M26-D25-I26)-Q26)</f>
        <v/>
      </c>
      <c r="S26" s="215">
        <f>MIN(MAX(0,G25+L26),MAX(0,M26-D25-I26)-Q26-R26)</f>
        <v/>
      </c>
    </row>
    <row r="27">
      <c r="A27" s="197" t="n">
        <v>46306</v>
      </c>
      <c r="B27" s="186" t="inlineStr">
        <is>
          <t>일</t>
        </is>
      </c>
      <c r="C27" s="164">
        <f>SUM(D27:G27)</f>
        <v/>
      </c>
      <c r="D27" s="211">
        <f>D26+I27-M27+Q27+R27+S27</f>
        <v/>
      </c>
      <c r="E27" s="211">
        <f>E26+J27-Q27</f>
        <v/>
      </c>
      <c r="F27" s="211">
        <f>F26+K27-R27</f>
        <v/>
      </c>
      <c r="G27" s="211">
        <f>G26+L27-S27</f>
        <v/>
      </c>
      <c r="H27" s="180">
        <f>'4주일별계획'!G27+'4주일별계획'!L27</f>
        <v/>
      </c>
      <c r="I27" s="180">
        <f>H27*0.435678</f>
        <v/>
      </c>
      <c r="J27" s="180">
        <f>H27*0.020692</f>
        <v/>
      </c>
      <c r="K27" s="180">
        <f>H27*0.216801</f>
        <v/>
      </c>
      <c r="L27" s="180">
        <f>H27*0.326829</f>
        <v/>
      </c>
      <c r="M27" s="212">
        <f>'4주일별계획'!M27+'4주일별계획'!N27+'4주일별계획'!O27</f>
        <v/>
      </c>
      <c r="N27" s="213">
        <f>Q27</f>
        <v/>
      </c>
      <c r="O27" s="213">
        <f>R27+S27</f>
        <v/>
      </c>
      <c r="P27" s="214">
        <f>IF(D27&lt;-0.5,"전 계좌 소진 — 부족 "&amp;TEXT(-D27,"#,##0")&amp;"원","")</f>
        <v/>
      </c>
      <c r="Q27" s="215">
        <f>MIN(MAX(0,E26+J27),MAX(0,M27-D26-I27))</f>
        <v/>
      </c>
      <c r="R27" s="215">
        <f>MIN(MAX(0,F26+K27),MAX(0,M27-D26-I27)-Q27)</f>
        <v/>
      </c>
      <c r="S27" s="215">
        <f>MIN(MAX(0,G26+L27),MAX(0,M27-D26-I27)-Q27-R27)</f>
        <v/>
      </c>
    </row>
    <row r="28">
      <c r="A28" s="210" t="n">
        <v>46307</v>
      </c>
      <c r="B28" s="200" t="inlineStr">
        <is>
          <t>월</t>
        </is>
      </c>
      <c r="C28" s="164">
        <f>SUM(D28:G28)</f>
        <v/>
      </c>
      <c r="D28" s="211">
        <f>D27+I28-M28+Q28+R28+S28</f>
        <v/>
      </c>
      <c r="E28" s="211">
        <f>E27+J28-Q28</f>
        <v/>
      </c>
      <c r="F28" s="211">
        <f>F27+K28-R28</f>
        <v/>
      </c>
      <c r="G28" s="211">
        <f>G27+L28-S28</f>
        <v/>
      </c>
      <c r="H28" s="180">
        <f>'4주일별계획'!G28+'4주일별계획'!L28</f>
        <v/>
      </c>
      <c r="I28" s="180">
        <f>H28*0.435678</f>
        <v/>
      </c>
      <c r="J28" s="180">
        <f>H28*0.020692</f>
        <v/>
      </c>
      <c r="K28" s="180">
        <f>H28*0.216801</f>
        <v/>
      </c>
      <c r="L28" s="180">
        <f>H28*0.326829</f>
        <v/>
      </c>
      <c r="M28" s="212">
        <f>'4주일별계획'!M28+'4주일별계획'!N28+'4주일별계획'!O28</f>
        <v/>
      </c>
      <c r="N28" s="213">
        <f>Q28</f>
        <v/>
      </c>
      <c r="O28" s="213">
        <f>R28+S28</f>
        <v/>
      </c>
      <c r="P28" s="214">
        <f>IF(D28&lt;-0.5,"전 계좌 소진 — 부족 "&amp;TEXT(-D28,"#,##0")&amp;"원","")</f>
        <v/>
      </c>
      <c r="Q28" s="215">
        <f>MIN(MAX(0,E27+J28),MAX(0,M28-D27-I28))</f>
        <v/>
      </c>
      <c r="R28" s="215">
        <f>MIN(MAX(0,F27+K28),MAX(0,M28-D27-I28)-Q28)</f>
        <v/>
      </c>
      <c r="S28" s="215">
        <f>MIN(MAX(0,G27+L28),MAX(0,M28-D27-I28)-Q28-R28)</f>
        <v/>
      </c>
    </row>
    <row r="29">
      <c r="A29" s="210" t="n">
        <v>46308</v>
      </c>
      <c r="B29" s="200" t="inlineStr">
        <is>
          <t>화</t>
        </is>
      </c>
      <c r="C29" s="164">
        <f>SUM(D29:G29)</f>
        <v/>
      </c>
      <c r="D29" s="211">
        <f>D28+I29-M29+Q29+R29+S29</f>
        <v/>
      </c>
      <c r="E29" s="211">
        <f>E28+J29-Q29</f>
        <v/>
      </c>
      <c r="F29" s="211">
        <f>F28+K29-R29</f>
        <v/>
      </c>
      <c r="G29" s="211">
        <f>G28+L29-S29</f>
        <v/>
      </c>
      <c r="H29" s="180">
        <f>'4주일별계획'!G29+'4주일별계획'!L29</f>
        <v/>
      </c>
      <c r="I29" s="180">
        <f>H29*0.435678</f>
        <v/>
      </c>
      <c r="J29" s="180">
        <f>H29*0.020692</f>
        <v/>
      </c>
      <c r="K29" s="180">
        <f>H29*0.216801</f>
        <v/>
      </c>
      <c r="L29" s="180">
        <f>H29*0.326829</f>
        <v/>
      </c>
      <c r="M29" s="212">
        <f>'4주일별계획'!M29+'4주일별계획'!N29+'4주일별계획'!O29</f>
        <v/>
      </c>
      <c r="N29" s="213">
        <f>Q29</f>
        <v/>
      </c>
      <c r="O29" s="213">
        <f>R29+S29</f>
        <v/>
      </c>
      <c r="P29" s="214">
        <f>IF(D29&lt;-0.5,"전 계좌 소진 — 부족 "&amp;TEXT(-D29,"#,##0")&amp;"원","")</f>
        <v/>
      </c>
      <c r="Q29" s="215">
        <f>MIN(MAX(0,E28+J29),MAX(0,M29-D28-I29))</f>
        <v/>
      </c>
      <c r="R29" s="215">
        <f>MIN(MAX(0,F28+K29),MAX(0,M29-D28-I29)-Q29)</f>
        <v/>
      </c>
      <c r="S29" s="215">
        <f>MIN(MAX(0,G28+L29),MAX(0,M29-D28-I29)-Q29-R29)</f>
        <v/>
      </c>
    </row>
    <row r="30">
      <c r="A30" s="210" t="n">
        <v>46309</v>
      </c>
      <c r="B30" s="200" t="inlineStr">
        <is>
          <t>수</t>
        </is>
      </c>
      <c r="C30" s="164">
        <f>SUM(D30:G30)</f>
        <v/>
      </c>
      <c r="D30" s="211">
        <f>D29+I30-M30+Q30+R30+S30</f>
        <v/>
      </c>
      <c r="E30" s="211">
        <f>E29+J30-Q30</f>
        <v/>
      </c>
      <c r="F30" s="211">
        <f>F29+K30-R30</f>
        <v/>
      </c>
      <c r="G30" s="211">
        <f>G29+L30-S30</f>
        <v/>
      </c>
      <c r="H30" s="180">
        <f>'4주일별계획'!G30+'4주일별계획'!L30</f>
        <v/>
      </c>
      <c r="I30" s="180">
        <f>H30*0.435678</f>
        <v/>
      </c>
      <c r="J30" s="180">
        <f>H30*0.020692</f>
        <v/>
      </c>
      <c r="K30" s="180">
        <f>H30*0.216801</f>
        <v/>
      </c>
      <c r="L30" s="180">
        <f>H30*0.326829</f>
        <v/>
      </c>
      <c r="M30" s="212">
        <f>'4주일별계획'!M30+'4주일별계획'!N30+'4주일별계획'!O30</f>
        <v/>
      </c>
      <c r="N30" s="213">
        <f>Q30</f>
        <v/>
      </c>
      <c r="O30" s="213">
        <f>R30+S30</f>
        <v/>
      </c>
      <c r="P30" s="214">
        <f>IF(D30&lt;-0.5,"전 계좌 소진 — 부족 "&amp;TEXT(-D30,"#,##0")&amp;"원","")</f>
        <v/>
      </c>
      <c r="Q30" s="215">
        <f>MIN(MAX(0,E29+J30),MAX(0,M30-D29-I30))</f>
        <v/>
      </c>
      <c r="R30" s="215">
        <f>MIN(MAX(0,F29+K30),MAX(0,M30-D29-I30)-Q30)</f>
        <v/>
      </c>
      <c r="S30" s="215">
        <f>MIN(MAX(0,G29+L30),MAX(0,M30-D29-I30)-Q30-R30)</f>
        <v/>
      </c>
    </row>
    <row r="31">
      <c r="A31" s="210" t="n">
        <v>46310</v>
      </c>
      <c r="B31" s="200" t="inlineStr">
        <is>
          <t>목</t>
        </is>
      </c>
      <c r="C31" s="164">
        <f>SUM(D31:G31)</f>
        <v/>
      </c>
      <c r="D31" s="211">
        <f>D30+I31-M31+Q31+R31+S31</f>
        <v/>
      </c>
      <c r="E31" s="211">
        <f>E30+J31-Q31</f>
        <v/>
      </c>
      <c r="F31" s="211">
        <f>F30+K31-R31</f>
        <v/>
      </c>
      <c r="G31" s="211">
        <f>G30+L31-S31</f>
        <v/>
      </c>
      <c r="H31" s="180">
        <f>'4주일별계획'!G31+'4주일별계획'!L31</f>
        <v/>
      </c>
      <c r="I31" s="180">
        <f>H31*0.435678</f>
        <v/>
      </c>
      <c r="J31" s="180">
        <f>H31*0.020692</f>
        <v/>
      </c>
      <c r="K31" s="180">
        <f>H31*0.216801</f>
        <v/>
      </c>
      <c r="L31" s="180">
        <f>H31*0.326829</f>
        <v/>
      </c>
      <c r="M31" s="212">
        <f>'4주일별계획'!M31+'4주일별계획'!N31+'4주일별계획'!O31</f>
        <v/>
      </c>
      <c r="N31" s="213">
        <f>Q31</f>
        <v/>
      </c>
      <c r="O31" s="213">
        <f>R31+S31</f>
        <v/>
      </c>
      <c r="P31" s="214">
        <f>IF(D31&lt;-0.5,"전 계좌 소진 — 부족 "&amp;TEXT(-D31,"#,##0")&amp;"원","")</f>
        <v/>
      </c>
      <c r="Q31" s="215">
        <f>MIN(MAX(0,E30+J31),MAX(0,M31-D30-I31))</f>
        <v/>
      </c>
      <c r="R31" s="215">
        <f>MIN(MAX(0,F30+K31),MAX(0,M31-D30-I31)-Q31)</f>
        <v/>
      </c>
      <c r="S31" s="215">
        <f>MIN(MAX(0,G30+L31),MAX(0,M31-D30-I31)-Q31-R31)</f>
        <v/>
      </c>
    </row>
    <row r="32">
      <c r="A32" s="210" t="n">
        <v>46311</v>
      </c>
      <c r="B32" s="200" t="inlineStr">
        <is>
          <t>금</t>
        </is>
      </c>
      <c r="C32" s="164">
        <f>SUM(D32:G32)</f>
        <v/>
      </c>
      <c r="D32" s="211">
        <f>D31+I32-M32+Q32+R32+S32</f>
        <v/>
      </c>
      <c r="E32" s="211">
        <f>E31+J32-Q32</f>
        <v/>
      </c>
      <c r="F32" s="211">
        <f>F31+K32-R32</f>
        <v/>
      </c>
      <c r="G32" s="211">
        <f>G31+L32-S32</f>
        <v/>
      </c>
      <c r="H32" s="180">
        <f>'4주일별계획'!G32+'4주일별계획'!L32</f>
        <v/>
      </c>
      <c r="I32" s="180">
        <f>H32*0.435678</f>
        <v/>
      </c>
      <c r="J32" s="180">
        <f>H32*0.020692</f>
        <v/>
      </c>
      <c r="K32" s="180">
        <f>H32*0.216801</f>
        <v/>
      </c>
      <c r="L32" s="180">
        <f>H32*0.326829</f>
        <v/>
      </c>
      <c r="M32" s="212">
        <f>'4주일별계획'!M32+'4주일별계획'!N32+'4주일별계획'!O32</f>
        <v/>
      </c>
      <c r="N32" s="213">
        <f>Q32</f>
        <v/>
      </c>
      <c r="O32" s="213">
        <f>R32+S32</f>
        <v/>
      </c>
      <c r="P32" s="214">
        <f>IF(D32&lt;-0.5,"전 계좌 소진 — 부족 "&amp;TEXT(-D32,"#,##0")&amp;"원","")</f>
        <v/>
      </c>
      <c r="Q32" s="215">
        <f>MIN(MAX(0,E31+J32),MAX(0,M32-D31-I32))</f>
        <v/>
      </c>
      <c r="R32" s="215">
        <f>MIN(MAX(0,F31+K32),MAX(0,M32-D31-I32)-Q32)</f>
        <v/>
      </c>
      <c r="S32" s="215">
        <f>MIN(MAX(0,G31+L32),MAX(0,M32-D31-I32)-Q32-R32)</f>
        <v/>
      </c>
    </row>
    <row r="33">
      <c r="A33" s="197" t="n">
        <v>46312</v>
      </c>
      <c r="B33" s="186" t="inlineStr">
        <is>
          <t>토</t>
        </is>
      </c>
      <c r="C33" s="164">
        <f>SUM(D33:G33)</f>
        <v/>
      </c>
      <c r="D33" s="211">
        <f>D32+I33-M33+Q33+R33+S33</f>
        <v/>
      </c>
      <c r="E33" s="211">
        <f>E32+J33-Q33</f>
        <v/>
      </c>
      <c r="F33" s="211">
        <f>F32+K33-R33</f>
        <v/>
      </c>
      <c r="G33" s="211">
        <f>G32+L33-S33</f>
        <v/>
      </c>
      <c r="H33" s="180">
        <f>'4주일별계획'!G33+'4주일별계획'!L33</f>
        <v/>
      </c>
      <c r="I33" s="180">
        <f>H33*0.435678</f>
        <v/>
      </c>
      <c r="J33" s="180">
        <f>H33*0.020692</f>
        <v/>
      </c>
      <c r="K33" s="180">
        <f>H33*0.216801</f>
        <v/>
      </c>
      <c r="L33" s="180">
        <f>H33*0.326829</f>
        <v/>
      </c>
      <c r="M33" s="212">
        <f>'4주일별계획'!M33+'4주일별계획'!N33+'4주일별계획'!O33</f>
        <v/>
      </c>
      <c r="N33" s="213">
        <f>Q33</f>
        <v/>
      </c>
      <c r="O33" s="213">
        <f>R33+S33</f>
        <v/>
      </c>
      <c r="P33" s="214">
        <f>IF(D33&lt;-0.5,"전 계좌 소진 — 부족 "&amp;TEXT(-D33,"#,##0")&amp;"원","")</f>
        <v/>
      </c>
      <c r="Q33" s="215">
        <f>MIN(MAX(0,E32+J33),MAX(0,M33-D32-I33))</f>
        <v/>
      </c>
      <c r="R33" s="215">
        <f>MIN(MAX(0,F32+K33),MAX(0,M33-D32-I33)-Q33)</f>
        <v/>
      </c>
      <c r="S33" s="215">
        <f>MIN(MAX(0,G32+L33),MAX(0,M33-D32-I33)-Q33-R33)</f>
        <v/>
      </c>
    </row>
    <row r="34">
      <c r="A34" s="197" t="n">
        <v>46313</v>
      </c>
      <c r="B34" s="186" t="inlineStr">
        <is>
          <t>일</t>
        </is>
      </c>
      <c r="C34" s="164">
        <f>SUM(D34:G34)</f>
        <v/>
      </c>
      <c r="D34" s="211">
        <f>D33+I34-M34+Q34+R34+S34</f>
        <v/>
      </c>
      <c r="E34" s="211">
        <f>E33+J34-Q34</f>
        <v/>
      </c>
      <c r="F34" s="211">
        <f>F33+K34-R34</f>
        <v/>
      </c>
      <c r="G34" s="211">
        <f>G33+L34-S34</f>
        <v/>
      </c>
      <c r="H34" s="180">
        <f>'4주일별계획'!G34+'4주일별계획'!L34</f>
        <v/>
      </c>
      <c r="I34" s="180">
        <f>H34*0.435678</f>
        <v/>
      </c>
      <c r="J34" s="180">
        <f>H34*0.020692</f>
        <v/>
      </c>
      <c r="K34" s="180">
        <f>H34*0.216801</f>
        <v/>
      </c>
      <c r="L34" s="180">
        <f>H34*0.326829</f>
        <v/>
      </c>
      <c r="M34" s="212">
        <f>'4주일별계획'!M34+'4주일별계획'!N34+'4주일별계획'!O34</f>
        <v/>
      </c>
      <c r="N34" s="213">
        <f>Q34</f>
        <v/>
      </c>
      <c r="O34" s="213">
        <f>R34+S34</f>
        <v/>
      </c>
      <c r="P34" s="214">
        <f>IF(D34&lt;-0.5,"전 계좌 소진 — 부족 "&amp;TEXT(-D34,"#,##0")&amp;"원","")</f>
        <v/>
      </c>
      <c r="Q34" s="215">
        <f>MIN(MAX(0,E33+J34),MAX(0,M34-D33-I34))</f>
        <v/>
      </c>
      <c r="R34" s="215">
        <f>MIN(MAX(0,F33+K34),MAX(0,M34-D33-I34)-Q34)</f>
        <v/>
      </c>
      <c r="S34" s="215">
        <f>MIN(MAX(0,G33+L34),MAX(0,M34-D33-I34)-Q34-R34)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SUMIFS('4주일별계획'!$G$7:$G$34,'4주일별계획'!$A$7:$A$34,"&gt;="&amp;DATE(2026,9,21),'4주일별계획'!$A$7:$A$34,"&lt;="&amp;DATE(2026,9,27))</f>
        <v/>
      </c>
      <c r="D6" s="126">
        <f>SUMIFS('4주일별계획'!$L$7:$L$34,'4주일별계획'!$A$7:$A$34,"&gt;="&amp;DATE(2026,9,21),'4주일별계획'!$A$7:$A$34,"&lt;="&amp;DATE(2026,9,27))</f>
        <v/>
      </c>
      <c r="E6" s="126">
        <f>SUMIFS('4주일별계획'!$M$7:$M$34,'4주일별계획'!$A$7:$A$34,"&gt;="&amp;DATE(2026,9,21),'4주일별계획'!$A$7:$A$34,"&lt;="&amp;DATE(2026,9,27))</f>
        <v/>
      </c>
      <c r="F6" s="126">
        <f>SUMIFS('4주일별계획'!$N$7:$N$34,'4주일별계획'!$A$7:$A$34,"&gt;="&amp;DATE(2026,9,21),'4주일별계획'!$A$7:$A$34,"&lt;="&amp;DATE(2026,9,27))</f>
        <v/>
      </c>
      <c r="G6" s="126">
        <f>SUMIFS('4주일별계획'!$O$7:$O$34,'4주일별계획'!$A$7:$A$34,"&gt;="&amp;DATE(2026,9,21),'4주일별계획'!$A$7:$A$34,"&lt;="&amp;DATE(2026,9,27))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SUMIFS('4주일별계획'!$G$7:$G$34,'4주일별계획'!$A$7:$A$34,"&gt;="&amp;DATE(2026,9,28),'4주일별계획'!$A$7:$A$34,"&lt;="&amp;DATE(2026,10,4))</f>
        <v/>
      </c>
      <c r="D7" s="130">
        <f>SUMIFS('4주일별계획'!$L$7:$L$34,'4주일별계획'!$A$7:$A$34,"&gt;="&amp;DATE(2026,9,28),'4주일별계획'!$A$7:$A$34,"&lt;="&amp;DATE(2026,10,4))</f>
        <v/>
      </c>
      <c r="E7" s="130">
        <f>SUMIFS('4주일별계획'!$M$7:$M$34,'4주일별계획'!$A$7:$A$34,"&gt;="&amp;DATE(2026,9,28),'4주일별계획'!$A$7:$A$34,"&lt;="&amp;DATE(2026,10,4))</f>
        <v/>
      </c>
      <c r="F7" s="130">
        <f>SUMIFS('4주일별계획'!$N$7:$N$34,'4주일별계획'!$A$7:$A$34,"&gt;="&amp;DATE(2026,9,28),'4주일별계획'!$A$7:$A$34,"&lt;="&amp;DATE(2026,10,4))</f>
        <v/>
      </c>
      <c r="G7" s="130">
        <f>SUMIFS('4주일별계획'!$O$7:$O$34,'4주일별계획'!$A$7:$A$34,"&gt;="&amp;DATE(2026,9,28),'4주일별계획'!$A$7:$A$34,"&lt;="&amp;DATE(2026,10,4))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SUMIFS('4주일별계획'!$G$7:$G$34,'4주일별계획'!$A$7:$A$34,"&gt;="&amp;DATE(2026,10,5),'4주일별계획'!$A$7:$A$34,"&lt;="&amp;DATE(2026,10,11))</f>
        <v/>
      </c>
      <c r="D8" s="130">
        <f>SUMIFS('4주일별계획'!$L$7:$L$34,'4주일별계획'!$A$7:$A$34,"&gt;="&amp;DATE(2026,10,5),'4주일별계획'!$A$7:$A$34,"&lt;="&amp;DATE(2026,10,11))</f>
        <v/>
      </c>
      <c r="E8" s="130">
        <f>SUMIFS('4주일별계획'!$M$7:$M$34,'4주일별계획'!$A$7:$A$34,"&gt;="&amp;DATE(2026,10,5),'4주일별계획'!$A$7:$A$34,"&lt;="&amp;DATE(2026,10,11))</f>
        <v/>
      </c>
      <c r="F8" s="130">
        <f>SUMIFS('4주일별계획'!$N$7:$N$34,'4주일별계획'!$A$7:$A$34,"&gt;="&amp;DATE(2026,10,5),'4주일별계획'!$A$7:$A$34,"&lt;="&amp;DATE(2026,10,11))</f>
        <v/>
      </c>
      <c r="G8" s="130">
        <f>SUMIFS('4주일별계획'!$O$7:$O$34,'4주일별계획'!$A$7:$A$34,"&gt;="&amp;DATE(2026,10,5),'4주일별계획'!$A$7:$A$34,"&lt;="&amp;DATE(2026,10,11))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SUMIFS('4주일별계획'!$G$7:$G$34,'4주일별계획'!$A$7:$A$34,"&gt;="&amp;DATE(2026,10,12),'4주일별계획'!$A$7:$A$34,"&lt;="&amp;DATE(2026,10,18))</f>
        <v/>
      </c>
      <c r="D9" s="130">
        <f>SUMIFS('4주일별계획'!$L$7:$L$34,'4주일별계획'!$A$7:$A$34,"&gt;="&amp;DATE(2026,10,12),'4주일별계획'!$A$7:$A$34,"&lt;="&amp;DATE(2026,10,18))</f>
        <v/>
      </c>
      <c r="E9" s="130">
        <f>SUMIFS('4주일별계획'!$M$7:$M$34,'4주일별계획'!$A$7:$A$34,"&gt;="&amp;DATE(2026,10,12),'4주일별계획'!$A$7:$A$34,"&lt;="&amp;DATE(2026,10,18))</f>
        <v/>
      </c>
      <c r="F9" s="130">
        <f>SUMIFS('4주일별계획'!$N$7:$N$34,'4주일별계획'!$A$7:$A$34,"&gt;="&amp;DATE(2026,10,12),'4주일별계획'!$A$7:$A$34,"&lt;="&amp;DATE(2026,10,18))</f>
        <v/>
      </c>
      <c r="G9" s="130">
        <f>SUMIFS('4주일별계획'!$O$7:$O$34,'4주일별계획'!$A$7:$A$34,"&gt;="&amp;DATE(2026,10,12),'4주일별계획'!$A$7:$A$34,"&lt;="&amp;DATE(2026,10,18))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>
        <v>6066502</v>
      </c>
      <c r="G10" s="131" t="n">
        <v>7864831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>
        <v>25712983</v>
      </c>
      <c r="G11" s="131" t="n">
        <v>73310994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>
        <v>37497000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84413290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>
        <v>155361</v>
      </c>
      <c r="G14" s="131" t="n">
        <v>5046740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>
        <v>31779485</v>
      </c>
      <c r="G15" s="131" t="n">
        <v>7978464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>
        <v>106200361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>
        <v>88907290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>
        <v>155361</v>
      </c>
      <c r="G18" s="135" t="n">
        <v>5046740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 경영보고와 같은 실행일~차주 금요일 기간만 표시합니다 (그 밖의 반영일 행은 숨김 — 행 숨기기 해제로 전체 확인).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 hidden="1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지출계획_2026-09-21.xlsx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지출계획_2026-09-21.xlsx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지출계획_2026-09-21.xlsx</t>
        </is>
      </c>
      <c r="P8" s="142" t="inlineStr">
        <is>
          <t>정상반영</t>
        </is>
      </c>
      <c r="Q8" s="142" t="inlineStr"/>
    </row>
    <row r="9">
      <c r="A9" s="142" t="inlineStr">
        <is>
          <t>경영-20260918-005</t>
        </is>
      </c>
      <c r="B9" s="142" t="inlineStr">
        <is>
          <t>경영지원팀</t>
        </is>
      </c>
      <c r="C9" s="142" t="inlineStr">
        <is>
          <t>김수희</t>
        </is>
      </c>
      <c r="D9" s="142" t="inlineStr"/>
      <c r="E9" s="143" t="n">
        <v>46286</v>
      </c>
      <c r="F9" s="143" t="n">
        <v>46286</v>
      </c>
      <c r="G9" s="142" t="inlineStr">
        <is>
          <t>메트라이프</t>
        </is>
      </c>
      <c r="H9" s="142" t="inlineStr">
        <is>
          <t>달러경영인정기보험_63회차/55회차</t>
        </is>
      </c>
      <c r="I9" s="144" t="n">
        <v>4900000</v>
      </c>
      <c r="J9" s="142" t="inlineStr">
        <is>
          <t>자동이체</t>
        </is>
      </c>
      <c r="K9" s="142" t="inlineStr"/>
      <c r="L9" s="142" t="inlineStr">
        <is>
          <t>확정</t>
        </is>
      </c>
      <c r="M9" s="142" t="inlineStr">
        <is>
          <t>변경</t>
        </is>
      </c>
      <c r="N9" s="143" t="n">
        <v>46283</v>
      </c>
      <c r="O9" s="142" t="inlineStr">
        <is>
          <t>지출계획_2026-09-21.xlsx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경영-20260918-006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SK브로드밴드</t>
        </is>
      </c>
      <c r="H10" s="142" t="inlineStr">
        <is>
          <t>사내전화</t>
        </is>
      </c>
      <c r="I10" s="144" t="n">
        <v>220000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신규</t>
        </is>
      </c>
      <c r="N10" s="143" t="n">
        <v>46283</v>
      </c>
      <c r="O10" s="142" t="inlineStr">
        <is>
          <t>지출계획_2026-09-21.xlsx</t>
        </is>
      </c>
      <c r="P10" s="142" t="inlineStr">
        <is>
          <t>정상반영</t>
        </is>
      </c>
      <c r="Q10" s="142" t="inlineStr"/>
    </row>
    <row r="11">
      <c r="A11" s="142" t="inlineStr">
        <is>
          <t>건강-20260918-002</t>
        </is>
      </c>
      <c r="B11" s="142" t="inlineStr">
        <is>
          <t>건강사업팀</t>
        </is>
      </c>
      <c r="C11" s="142" t="inlineStr">
        <is>
          <t>양혜원</t>
        </is>
      </c>
      <c r="D11" s="142" t="inlineStr"/>
      <c r="E11" s="143" t="n">
        <v>46287</v>
      </c>
      <c r="F11" s="143" t="n">
        <v>46287</v>
      </c>
      <c r="G11" s="142" t="inlineStr">
        <is>
          <t>네이버</t>
        </is>
      </c>
      <c r="H11" s="142" t="inlineStr">
        <is>
          <t>네이버 톡톡 발송</t>
        </is>
      </c>
      <c r="I11" s="144" t="n">
        <v>500000</v>
      </c>
      <c r="J11" s="142" t="inlineStr">
        <is>
          <t>계좌송금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지출계획_2026-09-21.xlsx</t>
        </is>
      </c>
      <c r="P11" s="142" t="inlineStr">
        <is>
          <t>정상반영</t>
        </is>
      </c>
      <c r="Q11" s="142" t="inlineStr"/>
    </row>
    <row r="12">
      <c r="A12" s="142" t="inlineStr">
        <is>
          <t>경영-20260918-007</t>
        </is>
      </c>
      <c r="B12" s="142" t="inlineStr">
        <is>
          <t>경영지원팀</t>
        </is>
      </c>
      <c r="C12" s="142" t="inlineStr">
        <is>
          <t>송채은</t>
        </is>
      </c>
      <c r="D12" s="142" t="inlineStr"/>
      <c r="E12" s="143" t="n">
        <v>46287</v>
      </c>
      <c r="F12" s="143" t="n">
        <v>46287</v>
      </c>
      <c r="G12" s="142" t="inlineStr">
        <is>
          <t>와이투홀딩스</t>
        </is>
      </c>
      <c r="H12" s="142" t="inlineStr">
        <is>
          <t>직원 추석 선물세트 구입</t>
        </is>
      </c>
      <c r="I12" s="144" t="n">
        <v>1023110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변경</t>
        </is>
      </c>
      <c r="N12" s="143" t="n">
        <v>46283</v>
      </c>
      <c r="O12" s="142" t="inlineStr">
        <is>
          <t>지출계획_2026-09-21.xlsx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경영-20260918-015</t>
        </is>
      </c>
      <c r="B13" s="142" t="inlineStr">
        <is>
          <t>경영지원팀</t>
        </is>
      </c>
      <c r="C13" s="142" t="inlineStr">
        <is>
          <t>김정원</t>
        </is>
      </c>
      <c r="D13" s="142" t="inlineStr"/>
      <c r="E13" s="143" t="n">
        <v>46287</v>
      </c>
      <c r="F13" s="143" t="n">
        <v>46287</v>
      </c>
      <c r="G13" s="142" t="inlineStr">
        <is>
          <t>엠에스바이오텍</t>
        </is>
      </c>
      <c r="H13" s="142" t="inlineStr">
        <is>
          <t>외상매입금</t>
        </is>
      </c>
      <c r="I13" s="144" t="n">
        <v>20000000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216" t="n">
        <v>46284</v>
      </c>
      <c r="O13" s="142" t="inlineStr">
        <is>
          <t>지출계획_2026-09-21.xlsx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건강-20260918-004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인포크비즈니스</t>
        </is>
      </c>
      <c r="H14" s="142" t="inlineStr">
        <is>
          <t>베리시톨 인플루언서 비용</t>
        </is>
      </c>
      <c r="I14" s="144" t="n">
        <v>3300000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46286</v>
      </c>
      <c r="O14" s="142" t="inlineStr">
        <is>
          <t>지출계획_2026-09-21.xlsx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지출계획_2026-09-21.xlsx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지출계획_2026-09-21.xlsx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지출계획_2026-09-21.xlsx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지출계획_2026-09-21.xlsx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지출계획_2026-09-21.xlsx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지출계획_2026-09-21.xlsx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216" t="n">
        <v>46290</v>
      </c>
      <c r="F21" s="216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지출계획_2026-09-21.xlsx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216" t="n">
        <v>46290</v>
      </c>
      <c r="F22" s="216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지출계획_2026-09-21.xlsx</t>
        </is>
      </c>
      <c r="P22" s="142" t="inlineStr">
        <is>
          <t>정상반영</t>
        </is>
      </c>
      <c r="Q22" s="142" t="inlineStr"/>
    </row>
    <row r="23">
      <c r="A23" s="142" t="inlineStr">
        <is>
          <t>데이터-20260921-001</t>
        </is>
      </c>
      <c r="B23" s="142" t="inlineStr">
        <is>
          <t>데이터사이언스팀</t>
        </is>
      </c>
      <c r="C23" s="142" t="inlineStr">
        <is>
          <t>조성윤</t>
        </is>
      </c>
      <c r="D23" s="142" t="inlineStr"/>
      <c r="E23" s="143" t="n">
        <v>46293</v>
      </c>
      <c r="F23" s="143" t="n">
        <v>46293</v>
      </c>
      <c r="G23" s="142" t="inlineStr">
        <is>
          <t>엘앤에이치컴퍼니</t>
        </is>
      </c>
      <c r="H23" s="142" t="inlineStr">
        <is>
          <t>흥덕IT밸리_사무실 임대료</t>
        </is>
      </c>
      <c r="I23" s="144" t="n">
        <v>1650000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46286</v>
      </c>
      <c r="O23" s="142" t="inlineStr">
        <is>
          <t>지출계획_2026-09-21.xlsx</t>
        </is>
      </c>
      <c r="P23" s="142" t="inlineStr">
        <is>
          <t>정상반영</t>
        </is>
      </c>
      <c r="Q23" s="142" t="inlineStr"/>
    </row>
    <row r="24">
      <c r="A24" s="142" t="inlineStr">
        <is>
          <t>경영-20260918-010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서원회계법인</t>
        </is>
      </c>
      <c r="H24" s="142" t="inlineStr">
        <is>
          <t>기장료</t>
        </is>
      </c>
      <c r="I24" s="144" t="n">
        <v>330000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지출계획_2026-09-21.xlsx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경영-20260918-013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가가사무기</t>
        </is>
      </c>
      <c r="H25" s="142" t="inlineStr">
        <is>
          <t>복합기 9월 임대비용</t>
        </is>
      </c>
      <c r="I25" s="144" t="n">
        <v>280000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지출계획_2026-09-21.xlsx</t>
        </is>
      </c>
      <c r="P25" s="142" t="inlineStr">
        <is>
          <t>에이팜 별도관리</t>
        </is>
      </c>
      <c r="Q25" s="142" t="inlineStr"/>
    </row>
    <row r="26">
      <c r="A26" s="142" t="inlineStr">
        <is>
          <t>경영-20260918-014</t>
        </is>
      </c>
      <c r="B26" s="142" t="inlineStr">
        <is>
          <t>경영지원팀</t>
        </is>
      </c>
      <c r="C26" s="142" t="inlineStr">
        <is>
          <t>송채은</t>
        </is>
      </c>
      <c r="D26" s="142" t="inlineStr"/>
      <c r="E26" s="143" t="n">
        <v>46295</v>
      </c>
      <c r="F26" s="143" t="n">
        <v>46295</v>
      </c>
      <c r="G26" s="142" t="inlineStr">
        <is>
          <t>대구상공회의소</t>
        </is>
      </c>
      <c r="H26" s="142" t="inlineStr">
        <is>
          <t>하반기연회비</t>
        </is>
      </c>
      <c r="I26" s="144" t="n">
        <v>250000</v>
      </c>
      <c r="J26" s="142" t="inlineStr">
        <is>
          <t>계좌송금</t>
        </is>
      </c>
      <c r="K26" s="142" t="inlineStr"/>
      <c r="L26" s="142" t="inlineStr">
        <is>
          <t>확정</t>
        </is>
      </c>
      <c r="M26" s="142" t="inlineStr">
        <is>
          <t>신규</t>
        </is>
      </c>
      <c r="N26" s="143" t="n">
        <v>46283</v>
      </c>
      <c r="O26" s="142" t="inlineStr">
        <is>
          <t>지출계획_2026-09-21.xlsx</t>
        </is>
      </c>
      <c r="P26" s="142" t="inlineStr">
        <is>
          <t>에이팜 별도관리</t>
        </is>
      </c>
      <c r="Q26" s="142" t="inlineStr"/>
    </row>
    <row r="27"/>
  </sheetData>
  <autoFilter ref="A5: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17" t="n">
        <v>46283</v>
      </c>
      <c r="B6" s="218" t="inlineStr">
        <is>
          <t>금</t>
        </is>
      </c>
      <c r="C6" s="218" t="inlineStr">
        <is>
          <t>팀 지출계획</t>
        </is>
      </c>
      <c r="D6" s="218" t="inlineStr">
        <is>
          <t>미반영(별도 관리)</t>
        </is>
      </c>
      <c r="E6" s="218" t="inlineStr">
        <is>
          <t>경영지원팀</t>
        </is>
      </c>
      <c r="F6" s="218" t="inlineStr">
        <is>
          <t>이앤씨이노비즈타워</t>
        </is>
      </c>
      <c r="G6" s="218" t="inlineStr">
        <is>
          <t>본사관리비</t>
        </is>
      </c>
      <c r="H6" s="219" t="n">
        <v>1553720</v>
      </c>
      <c r="I6" s="218" t="inlineStr">
        <is>
          <t>계좌송금</t>
        </is>
      </c>
      <c r="J6" s="218" t="inlineStr">
        <is>
          <t>에이팜</t>
        </is>
      </c>
    </row>
    <row r="7">
      <c r="A7" s="217" t="n">
        <v>46288</v>
      </c>
      <c r="B7" s="218" t="inlineStr">
        <is>
          <t>수</t>
        </is>
      </c>
      <c r="C7" s="218" t="inlineStr">
        <is>
          <t>팀 지출계획</t>
        </is>
      </c>
      <c r="D7" s="218" t="inlineStr">
        <is>
          <t>미반영(별도 관리)</t>
        </is>
      </c>
      <c r="E7" s="218" t="inlineStr">
        <is>
          <t>경영지원팀</t>
        </is>
      </c>
      <c r="F7" s="218" t="inlineStr">
        <is>
          <t>비씨카드</t>
        </is>
      </c>
      <c r="G7" s="218" t="inlineStr">
        <is>
          <t>8월카드대금</t>
        </is>
      </c>
      <c r="H7" s="219" t="n">
        <v>269810</v>
      </c>
      <c r="I7" s="218" t="inlineStr">
        <is>
          <t>계좌송금</t>
        </is>
      </c>
      <c r="J7" s="218" t="inlineStr">
        <is>
          <t>에이팜</t>
        </is>
      </c>
    </row>
    <row r="8">
      <c r="A8" s="217" t="n">
        <v>46295</v>
      </c>
      <c r="B8" s="218" t="inlineStr">
        <is>
          <t>수</t>
        </is>
      </c>
      <c r="C8" s="218" t="inlineStr">
        <is>
          <t>팀 지출계획</t>
        </is>
      </c>
      <c r="D8" s="218" t="inlineStr">
        <is>
          <t>미반영(별도 관리)</t>
        </is>
      </c>
      <c r="E8" s="218" t="inlineStr">
        <is>
          <t>경영지원팀</t>
        </is>
      </c>
      <c r="F8" s="218" t="inlineStr">
        <is>
          <t>서원회계법인</t>
        </is>
      </c>
      <c r="G8" s="218" t="inlineStr">
        <is>
          <t>기장료</t>
        </is>
      </c>
      <c r="H8" s="219" t="n">
        <v>330000</v>
      </c>
      <c r="I8" s="218" t="inlineStr">
        <is>
          <t>계좌송금</t>
        </is>
      </c>
      <c r="J8" s="218" t="inlineStr">
        <is>
          <t>에이팜</t>
        </is>
      </c>
    </row>
    <row r="9">
      <c r="A9" s="217" t="n">
        <v>46295</v>
      </c>
      <c r="B9" s="218" t="inlineStr">
        <is>
          <t>수</t>
        </is>
      </c>
      <c r="C9" s="218" t="inlineStr">
        <is>
          <t>팀 지출계획</t>
        </is>
      </c>
      <c r="D9" s="218" t="inlineStr">
        <is>
          <t>미반영(별도 관리)</t>
        </is>
      </c>
      <c r="E9" s="218" t="inlineStr">
        <is>
          <t>경영지원팀</t>
        </is>
      </c>
      <c r="F9" s="218" t="inlineStr">
        <is>
          <t>가가사무기</t>
        </is>
      </c>
      <c r="G9" s="218" t="inlineStr">
        <is>
          <t>복합기 9월 임대비용</t>
        </is>
      </c>
      <c r="H9" s="219" t="n">
        <v>280000</v>
      </c>
      <c r="I9" s="218" t="inlineStr">
        <is>
          <t>계좌송금</t>
        </is>
      </c>
      <c r="J9" s="218" t="inlineStr">
        <is>
          <t>에이팜</t>
        </is>
      </c>
    </row>
    <row r="10">
      <c r="A10" s="217" t="n">
        <v>46295</v>
      </c>
      <c r="B10" s="218" t="inlineStr">
        <is>
          <t>수</t>
        </is>
      </c>
      <c r="C10" s="218" t="inlineStr">
        <is>
          <t>팀 지출계획</t>
        </is>
      </c>
      <c r="D10" s="218" t="inlineStr">
        <is>
          <t>미반영(별도 관리)</t>
        </is>
      </c>
      <c r="E10" s="218" t="inlineStr">
        <is>
          <t>경영지원팀</t>
        </is>
      </c>
      <c r="F10" s="218" t="inlineStr">
        <is>
          <t>대구상공회의소</t>
        </is>
      </c>
      <c r="G10" s="218" t="inlineStr">
        <is>
          <t>하반기연회비</t>
        </is>
      </c>
      <c r="H10" s="219" t="n">
        <v>250000</v>
      </c>
      <c r="I10" s="218" t="inlineStr">
        <is>
          <t>계좌송금</t>
        </is>
      </c>
      <c r="J10" s="218" t="inlineStr">
        <is>
          <t>에이팜</t>
        </is>
      </c>
    </row>
    <row r="11">
      <c r="G11" s="220" t="inlineStr">
        <is>
          <t>합계(자금계획 미반영)</t>
        </is>
      </c>
      <c r="H11" s="221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관계사 입금</t>
        </is>
      </c>
      <c r="L7" s="67" t="inlineStr">
        <is>
          <t>N</t>
        </is>
      </c>
      <c r="M7" s="67" t="inlineStr">
        <is>
          <t>N</t>
        </is>
      </c>
      <c r="N7" s="148" t="n">
        <v>3003000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기타입금</t>
        </is>
      </c>
      <c r="L10" s="67" t="inlineStr">
        <is>
          <t>N</t>
        </is>
      </c>
      <c r="M10" s="67" t="inlineStr">
        <is>
          <t>N</t>
        </is>
      </c>
      <c r="N10" s="148" t="n">
        <v>30000000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기타입금</t>
        </is>
      </c>
      <c r="L19" s="67" t="inlineStr">
        <is>
          <t>N</t>
        </is>
      </c>
      <c r="M19" s="67" t="inlineStr">
        <is>
          <t>N</t>
        </is>
      </c>
      <c r="N19" s="148" t="n">
        <v>30000000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관계사 입금</t>
        </is>
      </c>
      <c r="L20" s="67" t="inlineStr">
        <is>
          <t>N</t>
        </is>
      </c>
      <c r="M20" s="67" t="inlineStr">
        <is>
          <t>N</t>
        </is>
      </c>
      <c r="N20" s="148" t="n">
        <v>3003000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기타입금</t>
        </is>
      </c>
      <c r="L30" s="67" t="inlineStr">
        <is>
          <t>N</t>
        </is>
      </c>
      <c r="M30" s="67" t="inlineStr">
        <is>
          <t>N</t>
        </is>
      </c>
      <c r="N30" s="148" t="n">
        <v>30000000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관계사 입금</t>
        </is>
      </c>
      <c r="L31" s="67" t="inlineStr">
        <is>
          <t>N</t>
        </is>
      </c>
      <c r="M31" s="67" t="inlineStr">
        <is>
          <t>N</t>
        </is>
      </c>
      <c r="N31" s="148" t="n">
        <v>3003000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22" t="n">
        <v>46186.07862268519</v>
      </c>
      <c r="B36" s="223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관계사 입금</t>
        </is>
      </c>
      <c r="L42" s="67" t="inlineStr">
        <is>
          <t>N</t>
        </is>
      </c>
      <c r="M42" s="67" t="inlineStr">
        <is>
          <t>N</t>
        </is>
      </c>
      <c r="N42" s="148" t="n">
        <v>3003000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기타입금</t>
        </is>
      </c>
      <c r="L45" s="67" t="inlineStr">
        <is>
          <t>N</t>
        </is>
      </c>
      <c r="M45" s="67" t="inlineStr">
        <is>
          <t>N</t>
        </is>
      </c>
      <c r="N45" s="148" t="n">
        <v>30000000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기타입금</t>
        </is>
      </c>
      <c r="L55" s="67" t="inlineStr">
        <is>
          <t>N</t>
        </is>
      </c>
      <c r="M55" s="67" t="inlineStr">
        <is>
          <t>N</t>
        </is>
      </c>
      <c r="N55" s="148" t="n">
        <v>30000000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기타입금</t>
        </is>
      </c>
      <c r="L67" s="67" t="inlineStr">
        <is>
          <t>N</t>
        </is>
      </c>
      <c r="M67" s="67" t="inlineStr">
        <is>
          <t>N</t>
        </is>
      </c>
      <c r="N67" s="148" t="n">
        <v>30000000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관계사 입금</t>
        </is>
      </c>
      <c r="L68" s="67" t="inlineStr">
        <is>
          <t>N</t>
        </is>
      </c>
      <c r="M68" s="67" t="inlineStr">
        <is>
          <t>N</t>
        </is>
      </c>
      <c r="N68" s="148" t="n">
        <v>3003000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46279.42850694444</v>
      </c>
      <c r="B73" s="147" t="n">
        <v>46279</v>
      </c>
      <c r="C73" s="67" t="inlineStr">
        <is>
          <t>농협</t>
        </is>
      </c>
      <c r="D73" s="67" t="inlineStr">
        <is>
          <t>농협 569003</t>
        </is>
      </c>
      <c r="E73" s="148" t="n">
        <v>0</v>
      </c>
      <c r="F73" s="148" t="n">
        <v>25610</v>
      </c>
      <c r="G73" s="148" t="n">
        <v>70920</v>
      </c>
      <c r="H73" s="75" t="inlineStr">
        <is>
          <t>KB카드</t>
        </is>
      </c>
      <c r="I73" s="75" t="inlineStr">
        <is>
          <t>KB103013814</t>
        </is>
      </c>
      <c r="J73" s="75" t="inlineStr">
        <is>
          <t>농협 000998</t>
        </is>
      </c>
      <c r="K73" s="67" t="inlineStr">
        <is>
          <t>기타입금</t>
        </is>
      </c>
      <c r="L73" s="67" t="inlineStr">
        <is>
          <t>N</t>
        </is>
      </c>
      <c r="M73" s="67" t="inlineStr">
        <is>
          <t>N</t>
        </is>
      </c>
      <c r="N73" s="148" t="n">
        <v>25610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46279.70739583333</v>
      </c>
      <c r="B74" s="147" t="n">
        <v>46279</v>
      </c>
      <c r="C74" s="67" t="inlineStr">
        <is>
          <t>농협</t>
        </is>
      </c>
      <c r="D74" s="67" t="inlineStr">
        <is>
          <t>농협 569003</t>
        </is>
      </c>
      <c r="E74" s="148" t="n">
        <v>0</v>
      </c>
      <c r="F74" s="148" t="n">
        <v>16000</v>
      </c>
      <c r="G74" s="148" t="n">
        <v>86920</v>
      </c>
      <c r="H74" s="75" t="inlineStr">
        <is>
          <t>폰카카오</t>
        </is>
      </c>
      <c r="I74" s="75" t="inlineStr">
        <is>
          <t>조성윤</t>
        </is>
      </c>
      <c r="J74" s="75" t="inlineStr">
        <is>
          <t>카카오뱅크 0900032</t>
        </is>
      </c>
      <c r="K74" s="67" t="inlineStr">
        <is>
          <t>기타입금</t>
        </is>
      </c>
      <c r="L74" s="67" t="inlineStr">
        <is>
          <t>N</t>
        </is>
      </c>
      <c r="M74" s="67" t="inlineStr">
        <is>
          <t>N</t>
        </is>
      </c>
      <c r="N74" s="148" t="n">
        <v>16000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46280.08842592593</v>
      </c>
      <c r="B75" s="147" t="n">
        <v>46280</v>
      </c>
      <c r="C75" s="67" t="inlineStr">
        <is>
          <t>국민은행</t>
        </is>
      </c>
      <c r="D75" s="67" t="inlineStr">
        <is>
          <t>국민 154577</t>
        </is>
      </c>
      <c r="E75" s="148" t="n">
        <v>0</v>
      </c>
      <c r="F75" s="148" t="n">
        <v>221807</v>
      </c>
      <c r="G75" s="148" t="n">
        <v>19456975</v>
      </c>
      <c r="H75" s="75" t="inlineStr">
        <is>
          <t>전자금융</t>
        </is>
      </c>
      <c r="I75" s="75" t="inlineStr">
        <is>
          <t>Npay정산</t>
        </is>
      </c>
      <c r="J75" s="75" t="inlineStr">
        <is>
          <t>SC은행</t>
        </is>
      </c>
      <c r="K75" s="67" t="inlineStr">
        <is>
          <t>온라인매출입금</t>
        </is>
      </c>
      <c r="L75" s="67" t="inlineStr">
        <is>
          <t>N</t>
        </is>
      </c>
      <c r="M75" s="67" t="inlineStr">
        <is>
          <t>N</t>
        </is>
      </c>
      <c r="N75" s="148" t="n">
        <v>221807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46280.42652777778</v>
      </c>
      <c r="B76" s="147" t="n">
        <v>46280</v>
      </c>
      <c r="C76" s="67" t="inlineStr">
        <is>
          <t>농협</t>
        </is>
      </c>
      <c r="D76" s="67" t="inlineStr">
        <is>
          <t>농협 569003</t>
        </is>
      </c>
      <c r="E76" s="148" t="n">
        <v>0</v>
      </c>
      <c r="F76" s="148" t="n">
        <v>68600</v>
      </c>
      <c r="G76" s="148" t="n">
        <v>155520</v>
      </c>
      <c r="H76" s="75" t="inlineStr">
        <is>
          <t>KB카드</t>
        </is>
      </c>
      <c r="I76" s="75" t="inlineStr">
        <is>
          <t>KB103013814</t>
        </is>
      </c>
      <c r="J76" s="75" t="inlineStr">
        <is>
          <t>농협 000998</t>
        </is>
      </c>
      <c r="K76" s="67" t="inlineStr">
        <is>
          <t>기타입금</t>
        </is>
      </c>
      <c r="L76" s="67" t="inlineStr">
        <is>
          <t>N</t>
        </is>
      </c>
      <c r="M76" s="67" t="inlineStr">
        <is>
          <t>N</t>
        </is>
      </c>
      <c r="N76" s="148" t="n">
        <v>68600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46280.42721064815</v>
      </c>
      <c r="B77" s="147" t="n">
        <v>46280</v>
      </c>
      <c r="C77" s="67" t="inlineStr">
        <is>
          <t>국민은행</t>
        </is>
      </c>
      <c r="D77" s="67" t="inlineStr">
        <is>
          <t>국민 169124</t>
        </is>
      </c>
      <c r="E77" s="148" t="n">
        <v>0</v>
      </c>
      <c r="F77" s="148" t="n">
        <v>1472990</v>
      </c>
      <c r="G77" s="148" t="n">
        <v>101472990</v>
      </c>
      <c r="H77" s="75" t="inlineStr">
        <is>
          <t>기일입금</t>
        </is>
      </c>
      <c r="I77" s="75" t="inlineStr">
        <is>
          <t>(주)에이팜건강</t>
        </is>
      </c>
      <c r="J77" s="75" t="inlineStr">
        <is>
          <t>진천역</t>
        </is>
      </c>
      <c r="K77" s="67" t="inlineStr">
        <is>
          <t>계좌간이체</t>
        </is>
      </c>
      <c r="L77" s="67" t="inlineStr">
        <is>
          <t>Y</t>
        </is>
      </c>
      <c r="M77" s="67" t="inlineStr">
        <is>
          <t>N</t>
        </is>
      </c>
      <c r="N77" s="148" t="n">
        <v>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46280.42721064815</v>
      </c>
      <c r="B78" s="147" t="n">
        <v>46280</v>
      </c>
      <c r="C78" s="67" t="inlineStr">
        <is>
          <t>국민은행</t>
        </is>
      </c>
      <c r="D78" s="67" t="inlineStr">
        <is>
          <t>국민 154577</t>
        </is>
      </c>
      <c r="E78" s="148" t="n">
        <v>1472990</v>
      </c>
      <c r="F78" s="148" t="n">
        <v>0</v>
      </c>
      <c r="G78" s="148" t="n">
        <v>17983985</v>
      </c>
      <c r="H78" s="75" t="inlineStr">
        <is>
          <t>기일출금</t>
        </is>
      </c>
      <c r="I78" s="75" t="inlineStr">
        <is>
          <t>(주)에이팜건강</t>
        </is>
      </c>
      <c r="J78" s="75" t="inlineStr">
        <is>
          <t>진천역</t>
        </is>
      </c>
      <c r="K78" s="67" t="inlineStr">
        <is>
          <t>계좌간이체</t>
        </is>
      </c>
      <c r="L78" s="67" t="inlineStr">
        <is>
          <t>Y</t>
        </is>
      </c>
      <c r="M78" s="67" t="inlineStr">
        <is>
          <t>N</t>
        </is>
      </c>
      <c r="N78" s="148" t="n">
        <v>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46280.43946759259</v>
      </c>
      <c r="B79" s="147" t="n">
        <v>46280</v>
      </c>
      <c r="C79" s="67" t="inlineStr">
        <is>
          <t>농협</t>
        </is>
      </c>
      <c r="D79" s="67" t="inlineStr">
        <is>
          <t>농협 569003</t>
        </is>
      </c>
      <c r="E79" s="148" t="n">
        <v>0</v>
      </c>
      <c r="F79" s="148" t="n">
        <v>34000</v>
      </c>
      <c r="G79" s="148" t="n">
        <v>189520</v>
      </c>
      <c r="H79" s="75" t="inlineStr">
        <is>
          <t>폰토스뱅크</t>
        </is>
      </c>
      <c r="I79" s="75" t="inlineStr">
        <is>
          <t>김수희</t>
        </is>
      </c>
      <c r="J79" s="75" t="inlineStr">
        <is>
          <t>토스뱅크 0921008</t>
        </is>
      </c>
      <c r="K79" s="67" t="inlineStr">
        <is>
          <t>기타입금</t>
        </is>
      </c>
      <c r="L79" s="67" t="inlineStr">
        <is>
          <t>N</t>
        </is>
      </c>
      <c r="M79" s="67" t="inlineStr">
        <is>
          <t>N</t>
        </is>
      </c>
      <c r="N79" s="148" t="n">
        <v>34000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46280.44305555556</v>
      </c>
      <c r="B80" s="147" t="n">
        <v>46280</v>
      </c>
      <c r="C80" s="67" t="inlineStr">
        <is>
          <t>국민은행</t>
        </is>
      </c>
      <c r="D80" s="67" t="inlineStr">
        <is>
          <t>국민 154577</t>
        </is>
      </c>
      <c r="E80" s="148" t="n">
        <v>0</v>
      </c>
      <c r="F80" s="148" t="n">
        <v>2685770</v>
      </c>
      <c r="G80" s="148" t="n">
        <v>20669755</v>
      </c>
      <c r="H80" s="75" t="inlineStr">
        <is>
          <t>전자금융</t>
        </is>
      </c>
      <c r="I80" s="75" t="inlineStr">
        <is>
          <t>KG이니시스</t>
        </is>
      </c>
      <c r="J80" s="75" t="inlineStr">
        <is>
          <t>하나은행</t>
        </is>
      </c>
      <c r="K80" s="67" t="inlineStr">
        <is>
          <t>온라인매출입금</t>
        </is>
      </c>
      <c r="L80" s="67" t="inlineStr">
        <is>
          <t>N</t>
        </is>
      </c>
      <c r="M80" s="67" t="inlineStr">
        <is>
          <t>N</t>
        </is>
      </c>
      <c r="N80" s="148" t="n">
        <v>2685770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46280.44626157408</v>
      </c>
      <c r="B81" s="147" t="n">
        <v>46280</v>
      </c>
      <c r="C81" s="67" t="inlineStr">
        <is>
          <t>국민은행</t>
        </is>
      </c>
      <c r="D81" s="67" t="inlineStr">
        <is>
          <t>국민 154577</t>
        </is>
      </c>
      <c r="E81" s="148" t="n">
        <v>0</v>
      </c>
      <c r="F81" s="148" t="n">
        <v>824288</v>
      </c>
      <c r="G81" s="148" t="n">
        <v>21494043</v>
      </c>
      <c r="H81" s="75" t="inlineStr">
        <is>
          <t>전자금융</t>
        </is>
      </c>
      <c r="I81" s="75" t="inlineStr">
        <is>
          <t>KG이니시스</t>
        </is>
      </c>
      <c r="J81" s="75" t="inlineStr">
        <is>
          <t>하나은행</t>
        </is>
      </c>
      <c r="K81" s="67" t="inlineStr">
        <is>
          <t>온라인매출입금</t>
        </is>
      </c>
      <c r="L81" s="67" t="inlineStr">
        <is>
          <t>N</t>
        </is>
      </c>
      <c r="M81" s="67" t="inlineStr">
        <is>
          <t>N</t>
        </is>
      </c>
      <c r="N81" s="148" t="n">
        <v>824288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46280.63819444444</v>
      </c>
      <c r="B82" s="147" t="n">
        <v>46280</v>
      </c>
      <c r="C82" s="67" t="inlineStr">
        <is>
          <t>국민은행</t>
        </is>
      </c>
      <c r="D82" s="67" t="inlineStr">
        <is>
          <t>국민 154577</t>
        </is>
      </c>
      <c r="E82" s="148" t="n">
        <v>0</v>
      </c>
      <c r="F82" s="148" t="n">
        <v>29700</v>
      </c>
      <c r="G82" s="148" t="n">
        <v>21523743</v>
      </c>
      <c r="H82" s="75" t="inlineStr">
        <is>
          <t>전자금융</t>
        </is>
      </c>
      <c r="I82" s="75" t="inlineStr">
        <is>
          <t>한진8364</t>
        </is>
      </c>
      <c r="J82" s="75" t="inlineStr">
        <is>
          <t>우리은행</t>
        </is>
      </c>
      <c r="K82" s="67" t="inlineStr">
        <is>
          <t>기타입금</t>
        </is>
      </c>
      <c r="L82" s="67" t="inlineStr">
        <is>
          <t>N</t>
        </is>
      </c>
      <c r="M82" s="67" t="inlineStr">
        <is>
          <t>N</t>
        </is>
      </c>
      <c r="N82" s="148" t="n">
        <v>29700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46280.64746527778</v>
      </c>
      <c r="B83" s="147" t="n">
        <v>46280</v>
      </c>
      <c r="C83" s="67" t="inlineStr">
        <is>
          <t>국민은행</t>
        </is>
      </c>
      <c r="D83" s="67" t="inlineStr">
        <is>
          <t>국민 154577</t>
        </is>
      </c>
      <c r="E83" s="148" t="n">
        <v>0</v>
      </c>
      <c r="F83" s="148" t="n">
        <v>73690</v>
      </c>
      <c r="G83" s="148" t="n">
        <v>21597433</v>
      </c>
      <c r="H83" s="75" t="inlineStr">
        <is>
          <t>전자금융</t>
        </is>
      </c>
      <c r="I83" s="75" t="inlineStr">
        <is>
          <t>엔에이치엔페이</t>
        </is>
      </c>
      <c r="J83" s="75" t="inlineStr">
        <is>
          <t>신한은행</t>
        </is>
      </c>
      <c r="K83" s="67" t="inlineStr">
        <is>
          <t>온라인매출입금</t>
        </is>
      </c>
      <c r="L83" s="67" t="inlineStr">
        <is>
          <t>N</t>
        </is>
      </c>
      <c r="M83" s="67" t="inlineStr">
        <is>
          <t>N</t>
        </is>
      </c>
      <c r="N83" s="148" t="n">
        <v>73690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46280.69144675926</v>
      </c>
      <c r="B84" s="147" t="n">
        <v>46280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78710</v>
      </c>
      <c r="G84" s="148" t="n">
        <v>21676143</v>
      </c>
      <c r="H84" s="75" t="inlineStr">
        <is>
          <t>전자금융</t>
        </is>
      </c>
      <c r="I84" s="75" t="inlineStr">
        <is>
          <t>에스케이엠앤서비스</t>
        </is>
      </c>
      <c r="J84" s="75" t="inlineStr">
        <is>
          <t>하나은행</t>
        </is>
      </c>
      <c r="K84" s="67" t="inlineStr">
        <is>
          <t>기타입금</t>
        </is>
      </c>
      <c r="L84" s="67" t="inlineStr">
        <is>
          <t>N</t>
        </is>
      </c>
      <c r="M84" s="67" t="inlineStr">
        <is>
          <t>N</t>
        </is>
      </c>
      <c r="N84" s="148" t="n">
        <v>78710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46280.69503472222</v>
      </c>
      <c r="B85" s="147" t="n">
        <v>46280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539023</v>
      </c>
      <c r="G85" s="148" t="n">
        <v>22215166</v>
      </c>
      <c r="H85" s="75" t="inlineStr">
        <is>
          <t>인터넷입금이체</t>
        </is>
      </c>
      <c r="I85" s="75" t="inlineStr">
        <is>
          <t>(주)씨제이이엔엠</t>
        </is>
      </c>
      <c r="J85" s="75" t="inlineStr">
        <is>
          <t>대1-5</t>
        </is>
      </c>
      <c r="K85" s="67" t="inlineStr">
        <is>
          <t>온라인매출입금</t>
        </is>
      </c>
      <c r="L85" s="67" t="inlineStr">
        <is>
          <t>N</t>
        </is>
      </c>
      <c r="M85" s="67" t="inlineStr">
        <is>
          <t>N</t>
        </is>
      </c>
      <c r="N85" s="148" t="n">
        <v>539023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46280.70096064815</v>
      </c>
      <c r="B86" s="147" t="n">
        <v>46280</v>
      </c>
      <c r="C86" s="67" t="inlineStr">
        <is>
          <t>국민은행</t>
        </is>
      </c>
      <c r="D86" s="67" t="inlineStr">
        <is>
          <t>국민 154577</t>
        </is>
      </c>
      <c r="E86" s="148" t="n">
        <v>0</v>
      </c>
      <c r="F86" s="148" t="n">
        <v>67500</v>
      </c>
      <c r="G86" s="148" t="n">
        <v>22282666</v>
      </c>
      <c r="H86" s="75" t="inlineStr">
        <is>
          <t>FBS입금</t>
        </is>
      </c>
      <c r="I86" s="75" t="inlineStr">
        <is>
          <t>김선정</t>
        </is>
      </c>
      <c r="J86" s="75" t="inlineStr">
        <is>
          <t>ERP사</t>
        </is>
      </c>
      <c r="K86" s="67" t="inlineStr">
        <is>
          <t>기타입금</t>
        </is>
      </c>
      <c r="L86" s="67" t="inlineStr">
        <is>
          <t>N</t>
        </is>
      </c>
      <c r="M86" s="67" t="inlineStr">
        <is>
          <t>N</t>
        </is>
      </c>
      <c r="N86" s="148" t="n">
        <v>67500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46280.70805555556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189836</v>
      </c>
      <c r="G87" s="148" t="n">
        <v>22472502</v>
      </c>
      <c r="H87" s="75" t="inlineStr">
        <is>
          <t>인터넷입금이체</t>
        </is>
      </c>
      <c r="I87" s="75" t="inlineStr">
        <is>
          <t>(주)씨제이이엔엠</t>
        </is>
      </c>
      <c r="J87" s="75" t="inlineStr">
        <is>
          <t>대1-5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189836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46280.75979166666</v>
      </c>
      <c r="B88" s="147" t="n">
        <v>46280</v>
      </c>
      <c r="C88" s="67" t="inlineStr">
        <is>
          <t>국민은행</t>
        </is>
      </c>
      <c r="D88" s="67" t="inlineStr">
        <is>
          <t>국민 154577</t>
        </is>
      </c>
      <c r="E88" s="148" t="n">
        <v>253800</v>
      </c>
      <c r="F88" s="148" t="n">
        <v>0</v>
      </c>
      <c r="G88" s="148" t="n">
        <v>22218702</v>
      </c>
      <c r="H88" s="75" t="inlineStr">
        <is>
          <t>국민카드</t>
        </is>
      </c>
      <c r="I88" s="75" t="inlineStr">
        <is>
          <t>KB카드출금</t>
        </is>
      </c>
      <c r="J88" s="75" t="inlineStr">
        <is>
          <t>수신상</t>
        </is>
      </c>
      <c r="K88" s="67" t="inlineStr">
        <is>
          <t>국민카드 결제</t>
        </is>
      </c>
      <c r="L88" s="67" t="inlineStr">
        <is>
          <t>N</t>
        </is>
      </c>
      <c r="M88" s="67" t="inlineStr">
        <is>
          <t>Y</t>
        </is>
      </c>
      <c r="N88" s="148" t="n">
        <v>-253800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46280.81505787037</v>
      </c>
      <c r="B89" s="147" t="n">
        <v>46280</v>
      </c>
      <c r="C89" s="67" t="inlineStr">
        <is>
          <t>국민은행</t>
        </is>
      </c>
      <c r="D89" s="67" t="inlineStr">
        <is>
          <t>국민 169124</t>
        </is>
      </c>
      <c r="E89" s="148" t="n">
        <v>785790</v>
      </c>
      <c r="F89" s="148" t="n">
        <v>0</v>
      </c>
      <c r="G89" s="148" t="n">
        <v>100687200</v>
      </c>
      <c r="H89" s="75" t="inlineStr">
        <is>
          <t>FBS출금</t>
        </is>
      </c>
      <c r="I89" s="75" t="inlineStr">
        <is>
          <t>삼성09016건</t>
        </is>
      </c>
      <c r="J89" s="75" t="inlineStr">
        <is>
          <t>ERP사</t>
        </is>
      </c>
      <c r="K89" s="67" t="inlineStr">
        <is>
          <t>보험료</t>
        </is>
      </c>
      <c r="L89" s="67" t="inlineStr">
        <is>
          <t>N</t>
        </is>
      </c>
      <c r="M89" s="67" t="inlineStr">
        <is>
          <t>Y</t>
        </is>
      </c>
      <c r="N89" s="148" t="n">
        <v>-785790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46280.84253472222</v>
      </c>
      <c r="B90" s="147" t="n">
        <v>46280</v>
      </c>
      <c r="C90" s="67" t="inlineStr">
        <is>
          <t>국민은행</t>
        </is>
      </c>
      <c r="D90" s="67" t="inlineStr">
        <is>
          <t>국민 154577</t>
        </is>
      </c>
      <c r="E90" s="148" t="n">
        <v>5001750</v>
      </c>
      <c r="F90" s="148" t="n">
        <v>0</v>
      </c>
      <c r="G90" s="148" t="n">
        <v>17216952</v>
      </c>
      <c r="H90" s="75" t="inlineStr">
        <is>
          <t>FBS출금</t>
        </is>
      </c>
      <c r="I90" s="75" t="inlineStr">
        <is>
          <t>ABL생명09010</t>
        </is>
      </c>
      <c r="J90" s="75" t="inlineStr">
        <is>
          <t>ERP사</t>
        </is>
      </c>
      <c r="K90" s="67" t="inlineStr">
        <is>
          <t>보험료</t>
        </is>
      </c>
      <c r="L90" s="67" t="inlineStr">
        <is>
          <t>N</t>
        </is>
      </c>
      <c r="M90" s="67" t="inlineStr">
        <is>
          <t>Y</t>
        </is>
      </c>
      <c r="N90" s="148" t="n">
        <v>-5001750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46281.12967592593</v>
      </c>
      <c r="B91" s="147" t="n">
        <v>46281</v>
      </c>
      <c r="C91" s="67" t="inlineStr">
        <is>
          <t>국민은행</t>
        </is>
      </c>
      <c r="D91" s="67" t="inlineStr">
        <is>
          <t>국민 154577</t>
        </is>
      </c>
      <c r="E91" s="148" t="n">
        <v>0</v>
      </c>
      <c r="F91" s="148" t="n">
        <v>5776</v>
      </c>
      <c r="G91" s="148" t="n">
        <v>17222728</v>
      </c>
      <c r="H91" s="75" t="inlineStr">
        <is>
          <t>전자금융</t>
        </is>
      </c>
      <c r="I91" s="75" t="inlineStr">
        <is>
          <t>Npay정산</t>
        </is>
      </c>
      <c r="J91" s="75" t="inlineStr">
        <is>
          <t>SC은행</t>
        </is>
      </c>
      <c r="K91" s="67" t="inlineStr">
        <is>
          <t>온라인매출입금</t>
        </is>
      </c>
      <c r="L91" s="67" t="inlineStr">
        <is>
          <t>N</t>
        </is>
      </c>
      <c r="M91" s="67" t="inlineStr">
        <is>
          <t>N</t>
        </is>
      </c>
      <c r="N91" s="148" t="n">
        <v>5776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46281.2155787037</v>
      </c>
      <c r="B92" s="147" t="n">
        <v>46281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1333398</v>
      </c>
      <c r="G92" s="148" t="n">
        <v>1522918</v>
      </c>
      <c r="H92" s="75" t="inlineStr">
        <is>
          <t>BC카드</t>
        </is>
      </c>
      <c r="I92" s="75" t="inlineStr">
        <is>
          <t>726168386BC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1333398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46281.40854166666</v>
      </c>
      <c r="B93" s="147" t="n">
        <v>46281</v>
      </c>
      <c r="C93" s="67" t="inlineStr">
        <is>
          <t>농협</t>
        </is>
      </c>
      <c r="D93" s="67" t="inlineStr">
        <is>
          <t>농협 569003</t>
        </is>
      </c>
      <c r="E93" s="148" t="n">
        <v>0</v>
      </c>
      <c r="F93" s="148" t="n">
        <v>80278</v>
      </c>
      <c r="G93" s="148" t="n">
        <v>1603196</v>
      </c>
      <c r="H93" s="75" t="inlineStr">
        <is>
          <t>PC-SC제일</t>
        </is>
      </c>
      <c r="I93" s="75" t="inlineStr">
        <is>
          <t>롯데45933388</t>
        </is>
      </c>
      <c r="J93" s="75" t="inlineStr">
        <is>
          <t>SC제일 0231040</t>
        </is>
      </c>
      <c r="K93" s="67" t="inlineStr">
        <is>
          <t>기타입금</t>
        </is>
      </c>
      <c r="L93" s="67" t="inlineStr">
        <is>
          <t>N</t>
        </is>
      </c>
      <c r="M93" s="67" t="inlineStr">
        <is>
          <t>N</t>
        </is>
      </c>
      <c r="N93" s="148" t="n">
        <v>80278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46281.45313657408</v>
      </c>
      <c r="B94" s="147" t="n">
        <v>46281</v>
      </c>
      <c r="C94" s="67" t="inlineStr">
        <is>
          <t>국민은행</t>
        </is>
      </c>
      <c r="D94" s="67" t="inlineStr">
        <is>
          <t>국민 154577</t>
        </is>
      </c>
      <c r="E94" s="148" t="n">
        <v>0</v>
      </c>
      <c r="F94" s="148" t="n">
        <v>398851</v>
      </c>
      <c r="G94" s="148" t="n">
        <v>17621579</v>
      </c>
      <c r="H94" s="75" t="inlineStr">
        <is>
          <t>전자금융</t>
        </is>
      </c>
      <c r="I94" s="75" t="inlineStr">
        <is>
          <t>KG이니시스</t>
        </is>
      </c>
      <c r="J94" s="75" t="inlineStr">
        <is>
          <t>하나은행</t>
        </is>
      </c>
      <c r="K94" s="67" t="inlineStr">
        <is>
          <t>온라인매출입금</t>
        </is>
      </c>
      <c r="L94" s="67" t="inlineStr">
        <is>
          <t>N</t>
        </is>
      </c>
      <c r="M94" s="67" t="inlineStr">
        <is>
          <t>N</t>
        </is>
      </c>
      <c r="N94" s="148" t="n">
        <v>398851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46281.4655324074</v>
      </c>
      <c r="B95" s="147" t="n">
        <v>46281</v>
      </c>
      <c r="C95" s="67" t="inlineStr">
        <is>
          <t>국민은행</t>
        </is>
      </c>
      <c r="D95" s="67" t="inlineStr">
        <is>
          <t>국민 154577</t>
        </is>
      </c>
      <c r="E95" s="148" t="n">
        <v>0</v>
      </c>
      <c r="F95" s="148" t="n">
        <v>76235</v>
      </c>
      <c r="G95" s="148" t="n">
        <v>17697814</v>
      </c>
      <c r="H95" s="75" t="inlineStr">
        <is>
          <t>전자금융</t>
        </is>
      </c>
      <c r="I95" s="75" t="inlineStr">
        <is>
          <t>KG이니시스</t>
        </is>
      </c>
      <c r="J95" s="75" t="inlineStr">
        <is>
          <t>하나은행</t>
        </is>
      </c>
      <c r="K95" s="67" t="inlineStr">
        <is>
          <t>온라인매출입금</t>
        </is>
      </c>
      <c r="L95" s="67" t="inlineStr">
        <is>
          <t>N</t>
        </is>
      </c>
      <c r="M95" s="67" t="inlineStr">
        <is>
          <t>N</t>
        </is>
      </c>
      <c r="N95" s="148" t="n">
        <v>76235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46281.55491898148</v>
      </c>
      <c r="B96" s="147" t="n">
        <v>46281</v>
      </c>
      <c r="C96" s="67" t="inlineStr">
        <is>
          <t>농협</t>
        </is>
      </c>
      <c r="D96" s="67" t="inlineStr">
        <is>
          <t>농협 569003</t>
        </is>
      </c>
      <c r="E96" s="148" t="n">
        <v>0</v>
      </c>
      <c r="F96" s="148" t="n">
        <v>60800</v>
      </c>
      <c r="G96" s="148" t="n">
        <v>1663996</v>
      </c>
      <c r="H96" s="75" t="inlineStr">
        <is>
          <t>NH콕송금</t>
        </is>
      </c>
      <c r="I96" s="75" t="inlineStr">
        <is>
          <t>조민경</t>
        </is>
      </c>
      <c r="J96" s="75" t="inlineStr">
        <is>
          <t>농협 150020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60800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46281.90350694444</v>
      </c>
      <c r="B97" s="147" t="n">
        <v>46281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105760</v>
      </c>
      <c r="G97" s="148" t="n">
        <v>17803574</v>
      </c>
      <c r="H97" s="75" t="inlineStr">
        <is>
          <t>전자금융</t>
        </is>
      </c>
      <c r="I97" s="75" t="inlineStr">
        <is>
          <t>도정은</t>
        </is>
      </c>
      <c r="J97" s="75" t="inlineStr">
        <is>
          <t>신한은행</t>
        </is>
      </c>
      <c r="K97" s="67" t="inlineStr">
        <is>
          <t>기타입금</t>
        </is>
      </c>
      <c r="L97" s="67" t="inlineStr">
        <is>
          <t>N</t>
        </is>
      </c>
      <c r="M97" s="67" t="inlineStr">
        <is>
          <t>N</t>
        </is>
      </c>
      <c r="N97" s="148" t="n">
        <v>105760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46282.14266203704</v>
      </c>
      <c r="B98" s="147" t="n">
        <v>46282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32729</v>
      </c>
      <c r="G98" s="148" t="n">
        <v>17836303</v>
      </c>
      <c r="H98" s="75" t="inlineStr">
        <is>
          <t>전자금융</t>
        </is>
      </c>
      <c r="I98" s="75" t="inlineStr">
        <is>
          <t>Npay정산</t>
        </is>
      </c>
      <c r="J98" s="75" t="inlineStr">
        <is>
          <t>SC은행</t>
        </is>
      </c>
      <c r="K98" s="67" t="inlineStr">
        <is>
          <t>온라인매출입금</t>
        </is>
      </c>
      <c r="L98" s="67" t="inlineStr">
        <is>
          <t>N</t>
        </is>
      </c>
      <c r="M98" s="67" t="inlineStr">
        <is>
          <t>N</t>
        </is>
      </c>
      <c r="N98" s="148" t="n">
        <v>32729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46282.46387731482</v>
      </c>
      <c r="B99" s="147" t="n">
        <v>46282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708904</v>
      </c>
      <c r="G99" s="148" t="n">
        <v>18545207</v>
      </c>
      <c r="H99" s="75" t="inlineStr">
        <is>
          <t>전자금융</t>
        </is>
      </c>
      <c r="I99" s="75" t="inlineStr">
        <is>
          <t>KG이니시스</t>
        </is>
      </c>
      <c r="J99" s="75" t="inlineStr">
        <is>
          <t>하나은행</t>
        </is>
      </c>
      <c r="K99" s="67" t="inlineStr">
        <is>
          <t>온라인매출입금</t>
        </is>
      </c>
      <c r="L99" s="67" t="inlineStr">
        <is>
          <t>N</t>
        </is>
      </c>
      <c r="M99" s="67" t="inlineStr">
        <is>
          <t>N</t>
        </is>
      </c>
      <c r="N99" s="148" t="n">
        <v>708904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46282.46910879629</v>
      </c>
      <c r="B100" s="147" t="n">
        <v>46282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188773</v>
      </c>
      <c r="G100" s="148" t="n">
        <v>18733980</v>
      </c>
      <c r="H100" s="75" t="inlineStr">
        <is>
          <t>전자금융</t>
        </is>
      </c>
      <c r="I100" s="75" t="inlineStr">
        <is>
          <t>KG이니시스</t>
        </is>
      </c>
      <c r="J100" s="75" t="inlineStr">
        <is>
          <t>하나은행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188773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46282.94186342593</v>
      </c>
      <c r="B101" s="147" t="n">
        <v>46282</v>
      </c>
      <c r="C101" s="67" t="inlineStr">
        <is>
          <t>국민은행</t>
        </is>
      </c>
      <c r="D101" s="67" t="inlineStr">
        <is>
          <t>국민 154577</t>
        </is>
      </c>
      <c r="E101" s="148" t="n">
        <v>0</v>
      </c>
      <c r="F101" s="148" t="n">
        <v>80720</v>
      </c>
      <c r="G101" s="148" t="n">
        <v>18814700</v>
      </c>
      <c r="H101" s="75" t="inlineStr">
        <is>
          <t>전자금융</t>
        </is>
      </c>
      <c r="I101" s="75" t="inlineStr">
        <is>
          <t>정유림</t>
        </is>
      </c>
      <c r="J101" s="75" t="inlineStr">
        <is>
          <t>카뱅</t>
        </is>
      </c>
      <c r="K101" s="67" t="inlineStr">
        <is>
          <t>기타입금</t>
        </is>
      </c>
      <c r="L101" s="67" t="inlineStr">
        <is>
          <t>N</t>
        </is>
      </c>
      <c r="M101" s="67" t="inlineStr">
        <is>
          <t>N</t>
        </is>
      </c>
      <c r="N101" s="148" t="n">
        <v>80720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46283.14090277778</v>
      </c>
      <c r="B102" s="147" t="n">
        <v>46283</v>
      </c>
      <c r="C102" s="67" t="inlineStr">
        <is>
          <t>국민은행</t>
        </is>
      </c>
      <c r="D102" s="67" t="inlineStr">
        <is>
          <t>국민 154577</t>
        </is>
      </c>
      <c r="E102" s="148" t="n">
        <v>0</v>
      </c>
      <c r="F102" s="148" t="n">
        <v>49093</v>
      </c>
      <c r="G102" s="148" t="n">
        <v>18863793</v>
      </c>
      <c r="H102" s="75" t="inlineStr">
        <is>
          <t>전자금융</t>
        </is>
      </c>
      <c r="I102" s="75" t="inlineStr">
        <is>
          <t>Npay정산</t>
        </is>
      </c>
      <c r="J102" s="75" t="inlineStr">
        <is>
          <t>SC은행</t>
        </is>
      </c>
      <c r="K102" s="67" t="inlineStr">
        <is>
          <t>온라인매출입금</t>
        </is>
      </c>
      <c r="L102" s="67" t="inlineStr">
        <is>
          <t>N</t>
        </is>
      </c>
      <c r="M102" s="67" t="inlineStr">
        <is>
          <t>N</t>
        </is>
      </c>
      <c r="N102" s="148" t="n">
        <v>49093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46283.38587962963</v>
      </c>
      <c r="B103" s="147" t="n">
        <v>46283</v>
      </c>
      <c r="C103" s="67" t="inlineStr">
        <is>
          <t>농협</t>
        </is>
      </c>
      <c r="D103" s="67" t="inlineStr">
        <is>
          <t>농협 569003</t>
        </is>
      </c>
      <c r="E103" s="148" t="n">
        <v>0</v>
      </c>
      <c r="F103" s="148" t="n">
        <v>29433</v>
      </c>
      <c r="G103" s="148" t="n">
        <v>1693429</v>
      </c>
      <c r="H103" s="75" t="inlineStr">
        <is>
          <t>센터일괄</t>
        </is>
      </c>
      <c r="I103" s="75" t="inlineStr">
        <is>
          <t>삼성카드가맹</t>
        </is>
      </c>
      <c r="J103" s="75" t="inlineStr">
        <is>
          <t>농협 000056</t>
        </is>
      </c>
      <c r="K103" s="67" t="inlineStr">
        <is>
          <t>보험 중도인출·보험금 입금</t>
        </is>
      </c>
      <c r="L103" s="67" t="inlineStr">
        <is>
          <t>N</t>
        </is>
      </c>
      <c r="M103" s="67" t="inlineStr">
        <is>
          <t>N</t>
        </is>
      </c>
      <c r="N103" s="148" t="n">
        <v>29433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46283.39877314815</v>
      </c>
      <c r="B104" s="147" t="n">
        <v>46283</v>
      </c>
      <c r="C104" s="67" t="inlineStr">
        <is>
          <t>농협</t>
        </is>
      </c>
      <c r="D104" s="67" t="inlineStr">
        <is>
          <t>농협 569003</t>
        </is>
      </c>
      <c r="E104" s="148" t="n">
        <v>0</v>
      </c>
      <c r="F104" s="148" t="n">
        <v>141000</v>
      </c>
      <c r="G104" s="148" t="n">
        <v>1834429</v>
      </c>
      <c r="H104" s="75" t="inlineStr">
        <is>
          <t>PC하나은행</t>
        </is>
      </c>
      <c r="I104" s="75" t="inlineStr">
        <is>
          <t>김수희</t>
        </is>
      </c>
      <c r="J104" s="75" t="inlineStr">
        <is>
          <t>하나 0812256</t>
        </is>
      </c>
      <c r="K104" s="67" t="inlineStr">
        <is>
          <t>기타입금</t>
        </is>
      </c>
      <c r="L104" s="67" t="inlineStr">
        <is>
          <t>N</t>
        </is>
      </c>
      <c r="M104" s="67" t="inlineStr">
        <is>
          <t>N</t>
        </is>
      </c>
      <c r="N104" s="148" t="n">
        <v>141000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46283.45922453704</v>
      </c>
      <c r="B105" s="147" t="n">
        <v>46283</v>
      </c>
      <c r="C105" s="67" t="inlineStr">
        <is>
          <t>국민은행</t>
        </is>
      </c>
      <c r="D105" s="67" t="inlineStr">
        <is>
          <t>국민 154577</t>
        </is>
      </c>
      <c r="E105" s="148" t="n">
        <v>0</v>
      </c>
      <c r="F105" s="148" t="n">
        <v>871022</v>
      </c>
      <c r="G105" s="148" t="n">
        <v>19734815</v>
      </c>
      <c r="H105" s="75" t="inlineStr">
        <is>
          <t>전자금융</t>
        </is>
      </c>
      <c r="I105" s="75" t="inlineStr">
        <is>
          <t>KG이니시스</t>
        </is>
      </c>
      <c r="J105" s="75" t="inlineStr">
        <is>
          <t>하나은행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871022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46283.46777777778</v>
      </c>
      <c r="B106" s="147" t="n">
        <v>46283</v>
      </c>
      <c r="C106" s="67" t="inlineStr">
        <is>
          <t>국민은행</t>
        </is>
      </c>
      <c r="D106" s="67" t="inlineStr">
        <is>
          <t>국민 154577</t>
        </is>
      </c>
      <c r="E106" s="148" t="n">
        <v>0</v>
      </c>
      <c r="F106" s="148" t="n">
        <v>299722</v>
      </c>
      <c r="G106" s="148" t="n">
        <v>20034537</v>
      </c>
      <c r="H106" s="75" t="inlineStr">
        <is>
          <t>전자금융</t>
        </is>
      </c>
      <c r="I106" s="75" t="inlineStr">
        <is>
          <t>KG이니시스</t>
        </is>
      </c>
      <c r="J106" s="75" t="inlineStr">
        <is>
          <t>하나은행</t>
        </is>
      </c>
      <c r="K106" s="67" t="inlineStr">
        <is>
          <t>온라인매출입금</t>
        </is>
      </c>
      <c r="L106" s="67" t="inlineStr">
        <is>
          <t>N</t>
        </is>
      </c>
      <c r="M106" s="67" t="inlineStr">
        <is>
          <t>N</t>
        </is>
      </c>
      <c r="N106" s="148" t="n">
        <v>299722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46283.6475</v>
      </c>
      <c r="B107" s="147" t="n">
        <v>46283</v>
      </c>
      <c r="C107" s="67" t="inlineStr">
        <is>
          <t>국민은행</t>
        </is>
      </c>
      <c r="D107" s="67" t="inlineStr">
        <is>
          <t>국민 154577</t>
        </is>
      </c>
      <c r="E107" s="148" t="n">
        <v>0</v>
      </c>
      <c r="F107" s="148" t="n">
        <v>83017</v>
      </c>
      <c r="G107" s="148" t="n">
        <v>20117554</v>
      </c>
      <c r="H107" s="75" t="inlineStr">
        <is>
          <t>전자금융</t>
        </is>
      </c>
      <c r="I107" s="75" t="inlineStr">
        <is>
          <t>엔에이치엔페이</t>
        </is>
      </c>
      <c r="J107" s="75" t="inlineStr">
        <is>
          <t>신한은행</t>
        </is>
      </c>
      <c r="K107" s="67" t="inlineStr">
        <is>
          <t>온라인매출입금</t>
        </is>
      </c>
      <c r="L107" s="67" t="inlineStr">
        <is>
          <t>N</t>
        </is>
      </c>
      <c r="M107" s="67" t="inlineStr">
        <is>
          <t>N</t>
        </is>
      </c>
      <c r="N107" s="148" t="n">
        <v>83017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46283.66711805556</v>
      </c>
      <c r="B108" s="147" t="n">
        <v>46283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30400</v>
      </c>
      <c r="G108" s="148" t="n">
        <v>20147954</v>
      </c>
      <c r="H108" s="75" t="inlineStr">
        <is>
          <t>전자금융</t>
        </is>
      </c>
      <c r="I108" s="75" t="inlineStr">
        <is>
          <t>GS리테일</t>
        </is>
      </c>
      <c r="J108" s="75" t="inlineStr">
        <is>
          <t>우리은행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30400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222" t="n">
        <v>46284.39604166667</v>
      </c>
      <c r="B109" s="223" t="n">
        <v>46284</v>
      </c>
      <c r="C109" s="67" t="inlineStr">
        <is>
          <t>우리은행</t>
        </is>
      </c>
      <c r="D109" s="67" t="inlineStr">
        <is>
          <t>우리 220351</t>
        </is>
      </c>
      <c r="E109" s="148" t="n">
        <v>0</v>
      </c>
      <c r="F109" s="148" t="n">
        <v>2852</v>
      </c>
      <c r="G109" s="148" t="n">
        <v>11948137</v>
      </c>
      <c r="H109" s="75" t="inlineStr">
        <is>
          <t>예금결산</t>
        </is>
      </c>
      <c r="I109" s="75" t="inlineStr">
        <is>
          <t>예금결산이자</t>
        </is>
      </c>
      <c r="J109" s="75" t="inlineStr">
        <is>
          <t>성서공단금융센터</t>
        </is>
      </c>
      <c r="K109" s="67" t="inlineStr">
        <is>
          <t>기타입금</t>
        </is>
      </c>
      <c r="L109" s="67" t="inlineStr">
        <is>
          <t>N</t>
        </is>
      </c>
      <c r="M109" s="67" t="inlineStr">
        <is>
          <t>N</t>
        </is>
      </c>
      <c r="N109" s="148" t="n">
        <v>2852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222" t="n">
        <v>46285.82394675926</v>
      </c>
      <c r="B110" s="223" t="n">
        <v>46285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37000</v>
      </c>
      <c r="G110" s="148" t="n">
        <v>20184954</v>
      </c>
      <c r="H110" s="75" t="inlineStr">
        <is>
          <t>전자금융</t>
        </is>
      </c>
      <c r="I110" s="75" t="inlineStr">
        <is>
          <t>김은미</t>
        </is>
      </c>
      <c r="J110" s="75" t="inlineStr">
        <is>
          <t>카뱅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37000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46286.14091435185</v>
      </c>
      <c r="B111" s="147" t="n">
        <v>46286</v>
      </c>
      <c r="C111" s="67" t="inlineStr">
        <is>
          <t>우리은행</t>
        </is>
      </c>
      <c r="D111" s="67" t="inlineStr">
        <is>
          <t>우리 220351</t>
        </is>
      </c>
      <c r="E111" s="148" t="n">
        <v>85621</v>
      </c>
      <c r="F111" s="148" t="n">
        <v>0</v>
      </c>
      <c r="G111" s="148" t="n">
        <v>11727894</v>
      </c>
      <c r="H111" s="75" t="inlineStr">
        <is>
          <t>통신요금</t>
        </is>
      </c>
      <c r="I111" s="75" t="inlineStr">
        <is>
          <t>SKB6486358411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-85621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46286.14091435185</v>
      </c>
      <c r="B112" s="147" t="n">
        <v>46286</v>
      </c>
      <c r="C112" s="67" t="inlineStr">
        <is>
          <t>우리은행</t>
        </is>
      </c>
      <c r="D112" s="67" t="inlineStr">
        <is>
          <t>우리 220351</t>
        </is>
      </c>
      <c r="E112" s="148" t="n">
        <v>134622</v>
      </c>
      <c r="F112" s="148" t="n">
        <v>0</v>
      </c>
      <c r="G112" s="148" t="n">
        <v>11813515</v>
      </c>
      <c r="H112" s="75" t="inlineStr">
        <is>
          <t>통신요금</t>
        </is>
      </c>
      <c r="I112" s="75" t="inlineStr">
        <is>
          <t>SKB6452342048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-134622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46286.14101851852</v>
      </c>
      <c r="B113" s="147" t="n">
        <v>46286</v>
      </c>
      <c r="C113" s="67" t="inlineStr">
        <is>
          <t>우리은행</t>
        </is>
      </c>
      <c r="D113" s="67" t="inlineStr">
        <is>
          <t>우리 220351</t>
        </is>
      </c>
      <c r="E113" s="148" t="n">
        <v>107800</v>
      </c>
      <c r="F113" s="148" t="n">
        <v>0</v>
      </c>
      <c r="G113" s="148" t="n">
        <v>11620094</v>
      </c>
      <c r="H113" s="75" t="inlineStr">
        <is>
          <t>지로자동</t>
        </is>
      </c>
      <c r="I113" s="75" t="inlineStr">
        <is>
          <t>S1(N6203178)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-107800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46286.21854166667</v>
      </c>
      <c r="B114" s="147" t="n">
        <v>46286</v>
      </c>
      <c r="C114" s="67" t="inlineStr">
        <is>
          <t>우리은행</t>
        </is>
      </c>
      <c r="D114" s="67" t="inlineStr">
        <is>
          <t>우리 220351</t>
        </is>
      </c>
      <c r="E114" s="148" t="n">
        <v>0</v>
      </c>
      <c r="F114" s="148" t="n">
        <v>5694170</v>
      </c>
      <c r="G114" s="148" t="n">
        <v>17314264</v>
      </c>
      <c r="H114" s="75" t="inlineStr">
        <is>
          <t>펌뱅킹</t>
        </is>
      </c>
      <c r="I114" s="75" t="inlineStr">
        <is>
          <t>스마트스토어정산</t>
        </is>
      </c>
      <c r="J114" s="75" t="inlineStr">
        <is>
          <t>두산타워기업영업지원팀</t>
        </is>
      </c>
      <c r="K114" s="67" t="inlineStr">
        <is>
          <t>온라인매출입금</t>
        </is>
      </c>
      <c r="L114" s="67" t="inlineStr">
        <is>
          <t>N</t>
        </is>
      </c>
      <c r="M114" s="67" t="inlineStr">
        <is>
          <t>N</t>
        </is>
      </c>
      <c r="N114" s="148" t="n">
        <v>5694170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46286.42916666667</v>
      </c>
      <c r="B115" s="147" t="n">
        <v>46286</v>
      </c>
      <c r="C115" s="67" t="inlineStr">
        <is>
          <t>농협</t>
        </is>
      </c>
      <c r="D115" s="67" t="inlineStr">
        <is>
          <t>농협 569003</t>
        </is>
      </c>
      <c r="E115" s="148" t="n">
        <v>0</v>
      </c>
      <c r="F115" s="148" t="n">
        <v>110000</v>
      </c>
      <c r="G115" s="148" t="n">
        <v>1944429</v>
      </c>
      <c r="H115" s="75" t="inlineStr">
        <is>
          <t>E-K뱅크</t>
        </is>
      </c>
      <c r="I115" s="75" t="inlineStr">
        <is>
          <t>양혜원</t>
        </is>
      </c>
      <c r="J115" s="75" t="inlineStr">
        <is>
          <t>K뱅크 0891002</t>
        </is>
      </c>
      <c r="K115" s="67" t="inlineStr">
        <is>
          <t>기타입금</t>
        </is>
      </c>
      <c r="L115" s="67" t="inlineStr">
        <is>
          <t>N</t>
        </is>
      </c>
      <c r="M115" s="67" t="inlineStr">
        <is>
          <t>N</t>
        </is>
      </c>
      <c r="N115" s="148" t="n">
        <v>110000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46286.42984953704</v>
      </c>
      <c r="B116" s="147" t="n">
        <v>46286</v>
      </c>
      <c r="C116" s="67" t="inlineStr">
        <is>
          <t>국민은행</t>
        </is>
      </c>
      <c r="D116" s="67" t="inlineStr">
        <is>
          <t>국민 154577</t>
        </is>
      </c>
      <c r="E116" s="148" t="n">
        <v>0</v>
      </c>
      <c r="F116" s="148" t="n">
        <v>750249</v>
      </c>
      <c r="G116" s="148" t="n">
        <v>20935203</v>
      </c>
      <c r="H116" s="75" t="inlineStr">
        <is>
          <t>전자금융</t>
        </is>
      </c>
      <c r="I116" s="75" t="inlineStr">
        <is>
          <t>KG이니시스</t>
        </is>
      </c>
      <c r="J116" s="75" t="inlineStr">
        <is>
          <t>하나은행</t>
        </is>
      </c>
      <c r="K116" s="67" t="inlineStr">
        <is>
          <t>온라인매출입금</t>
        </is>
      </c>
      <c r="L116" s="67" t="inlineStr">
        <is>
          <t>N</t>
        </is>
      </c>
      <c r="M116" s="67" t="inlineStr">
        <is>
          <t>N</t>
        </is>
      </c>
      <c r="N116" s="148" t="n">
        <v>750249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46286.4372337963</v>
      </c>
      <c r="B117" s="147" t="n">
        <v>46286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68816</v>
      </c>
      <c r="G117" s="148" t="n">
        <v>21004019</v>
      </c>
      <c r="H117" s="75" t="inlineStr">
        <is>
          <t>전자금융</t>
        </is>
      </c>
      <c r="I117" s="75" t="inlineStr">
        <is>
          <t>KG이니시스</t>
        </is>
      </c>
      <c r="J117" s="75" t="inlineStr">
        <is>
          <t>하나은행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68816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46286.47028935186</v>
      </c>
      <c r="B118" s="147" t="n">
        <v>46286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3860670</v>
      </c>
      <c r="G118" s="148" t="n">
        <v>24864689</v>
      </c>
      <c r="H118" s="75" t="inlineStr">
        <is>
          <t>FBS입금</t>
        </is>
      </c>
      <c r="I118" s="75" t="inlineStr">
        <is>
          <t>(주)현대이지웰</t>
        </is>
      </c>
      <c r="J118" s="75" t="inlineStr">
        <is>
          <t>ERP사</t>
        </is>
      </c>
      <c r="K118" s="67" t="inlineStr">
        <is>
          <t>온라인매출입금</t>
        </is>
      </c>
      <c r="L118" s="67" t="inlineStr">
        <is>
          <t>N</t>
        </is>
      </c>
      <c r="M118" s="67" t="inlineStr">
        <is>
          <t>N</t>
        </is>
      </c>
      <c r="N118" s="148" t="n">
        <v>3860670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46286.48598379629</v>
      </c>
      <c r="B119" s="147" t="n">
        <v>46286</v>
      </c>
      <c r="C119" s="67" t="inlineStr">
        <is>
          <t>국민은행</t>
        </is>
      </c>
      <c r="D119" s="67" t="inlineStr">
        <is>
          <t>국민 154577</t>
        </is>
      </c>
      <c r="E119" s="148" t="n">
        <v>0</v>
      </c>
      <c r="F119" s="148" t="n">
        <v>20000000</v>
      </c>
      <c r="G119" s="148" t="n">
        <v>44864689</v>
      </c>
      <c r="H119" s="75" t="inlineStr">
        <is>
          <t>전자금융</t>
        </is>
      </c>
      <c r="I119" s="75" t="inlineStr">
        <is>
          <t>허용</t>
        </is>
      </c>
      <c r="J119" s="75" t="inlineStr">
        <is>
          <t>아이엠뱅</t>
        </is>
      </c>
      <c r="K119" s="67" t="inlineStr">
        <is>
          <t>가지급금 회수</t>
        </is>
      </c>
      <c r="L119" s="67" t="inlineStr">
        <is>
          <t>N</t>
        </is>
      </c>
      <c r="M119" s="67" t="inlineStr">
        <is>
          <t>N</t>
        </is>
      </c>
      <c r="N119" s="148" t="n">
        <v>20000000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46286.70733796297</v>
      </c>
      <c r="B120" s="147" t="n">
        <v>46286</v>
      </c>
      <c r="C120" s="67" t="inlineStr">
        <is>
          <t>우리은행</t>
        </is>
      </c>
      <c r="D120" s="67" t="inlineStr">
        <is>
          <t>우리 220351</t>
        </is>
      </c>
      <c r="E120" s="148" t="n">
        <v>2178000</v>
      </c>
      <c r="F120" s="148" t="n">
        <v>0</v>
      </c>
      <c r="G120" s="148" t="n">
        <v>15136264</v>
      </c>
      <c r="H120" s="75" t="inlineStr">
        <is>
          <t>인터넷</t>
        </is>
      </c>
      <c r="I120" s="75" t="inlineStr">
        <is>
          <t>국민네이버 apha</t>
        </is>
      </c>
      <c r="J120" s="75" t="inlineStr">
        <is>
          <t>성서공단금융센터</t>
        </is>
      </c>
      <c r="K120" s="67" t="inlineStr">
        <is>
          <t>기타지출</t>
        </is>
      </c>
      <c r="L120" s="67" t="inlineStr">
        <is>
          <t>N</t>
        </is>
      </c>
      <c r="M120" s="67" t="inlineStr">
        <is>
          <t>N</t>
        </is>
      </c>
      <c r="N120" s="148" t="n">
        <v>-2178000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46286.70734953704</v>
      </c>
      <c r="B121" s="147" t="n">
        <v>46286</v>
      </c>
      <c r="C121" s="67" t="inlineStr">
        <is>
          <t>우리은행</t>
        </is>
      </c>
      <c r="D121" s="67" t="inlineStr">
        <is>
          <t>우리 220351</t>
        </is>
      </c>
      <c r="E121" s="148" t="n">
        <v>330000</v>
      </c>
      <c r="F121" s="148" t="n">
        <v>0</v>
      </c>
      <c r="G121" s="148" t="n">
        <v>14806264</v>
      </c>
      <c r="H121" s="75" t="inlineStr">
        <is>
          <t>인터넷</t>
        </is>
      </c>
      <c r="I121" s="75" t="inlineStr">
        <is>
          <t>국민네이버 에이팜건</t>
        </is>
      </c>
      <c r="J121" s="75" t="inlineStr">
        <is>
          <t>성서공단금융센터</t>
        </is>
      </c>
      <c r="K121" s="67" t="inlineStr">
        <is>
          <t>기타지출</t>
        </is>
      </c>
      <c r="L121" s="67" t="inlineStr">
        <is>
          <t>N</t>
        </is>
      </c>
      <c r="M121" s="67" t="inlineStr">
        <is>
          <t>N</t>
        </is>
      </c>
      <c r="N121" s="148" t="n">
        <v>-330000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46286.70736111111</v>
      </c>
      <c r="B122" s="147" t="n">
        <v>46286</v>
      </c>
      <c r="C122" s="67" t="inlineStr">
        <is>
          <t>우리은행</t>
        </is>
      </c>
      <c r="D122" s="67" t="inlineStr">
        <is>
          <t>우리 220351</t>
        </is>
      </c>
      <c r="E122" s="148" t="n">
        <v>632250</v>
      </c>
      <c r="F122" s="148" t="n">
        <v>0</v>
      </c>
      <c r="G122" s="148" t="n">
        <v>14174014</v>
      </c>
      <c r="H122" s="75" t="inlineStr">
        <is>
          <t>인터넷</t>
        </is>
      </c>
      <c r="I122" s="75" t="inlineStr">
        <is>
          <t>국민서울보증보험</t>
        </is>
      </c>
      <c r="J122" s="75" t="inlineStr">
        <is>
          <t>성서공단금융센터</t>
        </is>
      </c>
      <c r="K122" s="67" t="inlineStr">
        <is>
          <t>기타지출</t>
        </is>
      </c>
      <c r="L122" s="67" t="inlineStr">
        <is>
          <t>N</t>
        </is>
      </c>
      <c r="M122" s="67" t="inlineStr">
        <is>
          <t>N</t>
        </is>
      </c>
      <c r="N122" s="148" t="n">
        <v>-632250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/>
      <c r="B123" s="147" t="n"/>
      <c r="C123" s="67" t="n"/>
      <c r="D123" s="67" t="n"/>
      <c r="E123" s="148" t="n"/>
      <c r="F123" s="148" t="n"/>
      <c r="G123" s="148" t="n"/>
      <c r="H123" s="75" t="n"/>
      <c r="I123" s="75" t="n"/>
      <c r="J123" s="75" t="n"/>
      <c r="K123" s="67" t="n"/>
      <c r="L123" s="67" t="n"/>
      <c r="M123" s="67" t="n"/>
      <c r="N123" s="148" t="n"/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/>
      <c r="B124" s="147" t="n"/>
      <c r="C124" s="67" t="n"/>
      <c r="D124" s="67" t="n"/>
      <c r="E124" s="148" t="n"/>
      <c r="F124" s="148" t="n"/>
      <c r="G124" s="148" t="n"/>
      <c r="H124" s="75" t="n"/>
      <c r="I124" s="75" t="n"/>
      <c r="J124" s="75" t="n"/>
      <c r="K124" s="67" t="n"/>
      <c r="L124" s="67" t="n"/>
      <c r="M124" s="67" t="n"/>
      <c r="N124" s="148" t="n"/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/>
      <c r="B125" s="147" t="n"/>
      <c r="C125" s="67" t="n"/>
      <c r="D125" s="67" t="n"/>
      <c r="E125" s="148" t="n"/>
      <c r="F125" s="148" t="n"/>
      <c r="G125" s="148" t="n"/>
      <c r="H125" s="75" t="n"/>
      <c r="I125" s="75" t="n"/>
      <c r="J125" s="75" t="n"/>
      <c r="K125" s="67" t="n"/>
      <c r="L125" s="67" t="n"/>
      <c r="M125" s="67" t="n"/>
      <c r="N125" s="148" t="n"/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/>
      <c r="B126" s="147" t="n"/>
      <c r="C126" s="67" t="n"/>
      <c r="D126" s="67" t="n"/>
      <c r="E126" s="148" t="n"/>
      <c r="F126" s="148" t="n"/>
      <c r="G126" s="148" t="n"/>
      <c r="H126" s="75" t="n"/>
      <c r="I126" s="75" t="n"/>
      <c r="J126" s="75" t="n"/>
      <c r="K126" s="67" t="n"/>
      <c r="L126" s="67" t="n"/>
      <c r="M126" s="67" t="n"/>
      <c r="N126" s="148" t="n"/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/>
      <c r="B127" s="147" t="n"/>
      <c r="C127" s="67" t="n"/>
      <c r="D127" s="67" t="n"/>
      <c r="E127" s="148" t="n"/>
      <c r="F127" s="148" t="n"/>
      <c r="G127" s="148" t="n"/>
      <c r="H127" s="75" t="n"/>
      <c r="I127" s="75" t="n"/>
      <c r="J127" s="75" t="n"/>
      <c r="K127" s="67" t="n"/>
      <c r="L127" s="67" t="n"/>
      <c r="M127" s="67" t="n"/>
      <c r="N127" s="148" t="n"/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/>
      <c r="B128" s="147" t="n"/>
      <c r="C128" s="67" t="n"/>
      <c r="D128" s="67" t="n"/>
      <c r="E128" s="148" t="n"/>
      <c r="F128" s="148" t="n"/>
      <c r="G128" s="148" t="n"/>
      <c r="H128" s="75" t="n"/>
      <c r="I128" s="75" t="n"/>
      <c r="J128" s="75" t="n"/>
      <c r="K128" s="67" t="n"/>
      <c r="L128" s="67" t="n"/>
      <c r="M128" s="67" t="n"/>
      <c r="N128" s="148" t="n"/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/>
      <c r="B129" s="147" t="n"/>
      <c r="C129" s="67" t="n"/>
      <c r="D129" s="67" t="n"/>
      <c r="E129" s="148" t="n"/>
      <c r="F129" s="148" t="n"/>
      <c r="G129" s="148" t="n"/>
      <c r="H129" s="75" t="n"/>
      <c r="I129" s="75" t="n"/>
      <c r="J129" s="75" t="n"/>
      <c r="K129" s="67" t="n"/>
      <c r="L129" s="67" t="n"/>
      <c r="M129" s="67" t="n"/>
      <c r="N129" s="148" t="n"/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/>
      <c r="B130" s="147" t="n"/>
      <c r="C130" s="67" t="n"/>
      <c r="D130" s="67" t="n"/>
      <c r="E130" s="148" t="n"/>
      <c r="F130" s="148" t="n"/>
      <c r="G130" s="148" t="n"/>
      <c r="H130" s="75" t="n"/>
      <c r="I130" s="75" t="n"/>
      <c r="J130" s="75" t="n"/>
      <c r="K130" s="67" t="n"/>
      <c r="L130" s="67" t="n"/>
      <c r="M130" s="67" t="n"/>
      <c r="N130" s="148" t="n"/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/>
      <c r="B131" s="147" t="n"/>
      <c r="C131" s="67" t="n"/>
      <c r="D131" s="67" t="n"/>
      <c r="E131" s="148" t="n"/>
      <c r="F131" s="148" t="n"/>
      <c r="G131" s="148" t="n"/>
      <c r="H131" s="75" t="n"/>
      <c r="I131" s="75" t="n"/>
      <c r="J131" s="75" t="n"/>
      <c r="K131" s="67" t="n"/>
      <c r="L131" s="67" t="n"/>
      <c r="M131" s="67" t="n"/>
      <c r="N131" s="148" t="n"/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/>
      <c r="B132" s="147" t="n"/>
      <c r="C132" s="67" t="n"/>
      <c r="D132" s="67" t="n"/>
      <c r="E132" s="148" t="n"/>
      <c r="F132" s="148" t="n"/>
      <c r="G132" s="148" t="n"/>
      <c r="H132" s="75" t="n"/>
      <c r="I132" s="75" t="n"/>
      <c r="J132" s="75" t="n"/>
      <c r="K132" s="67" t="n"/>
      <c r="L132" s="67" t="n"/>
      <c r="M132" s="67" t="n"/>
      <c r="N132" s="148" t="n"/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/>
      <c r="B133" s="147" t="n"/>
      <c r="C133" s="67" t="n"/>
      <c r="D133" s="67" t="n"/>
      <c r="E133" s="148" t="n"/>
      <c r="F133" s="148" t="n"/>
      <c r="G133" s="148" t="n"/>
      <c r="H133" s="75" t="n"/>
      <c r="I133" s="75" t="n"/>
      <c r="J133" s="75" t="n"/>
      <c r="K133" s="67" t="n"/>
      <c r="L133" s="67" t="n"/>
      <c r="M133" s="67" t="n"/>
      <c r="N133" s="148" t="n"/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/>
      <c r="B134" s="147" t="n"/>
      <c r="C134" s="67" t="n"/>
      <c r="D134" s="67" t="n"/>
      <c r="E134" s="148" t="n"/>
      <c r="F134" s="148" t="n"/>
      <c r="G134" s="148" t="n"/>
      <c r="H134" s="75" t="n"/>
      <c r="I134" s="75" t="n"/>
      <c r="J134" s="75" t="n"/>
      <c r="K134" s="67" t="n"/>
      <c r="L134" s="67" t="n"/>
      <c r="M134" s="67" t="n"/>
      <c r="N134" s="148" t="n"/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/>
      <c r="B135" s="147" t="n"/>
      <c r="C135" s="67" t="n"/>
      <c r="D135" s="67" t="n"/>
      <c r="E135" s="148" t="n"/>
      <c r="F135" s="148" t="n"/>
      <c r="G135" s="148" t="n"/>
      <c r="H135" s="75" t="n"/>
      <c r="I135" s="75" t="n"/>
      <c r="J135" s="75" t="n"/>
      <c r="K135" s="67" t="n"/>
      <c r="L135" s="67" t="n"/>
      <c r="M135" s="67" t="n"/>
      <c r="N135" s="148" t="n"/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/>
      <c r="B136" s="147" t="n"/>
      <c r="C136" s="67" t="n"/>
      <c r="D136" s="67" t="n"/>
      <c r="E136" s="148" t="n"/>
      <c r="F136" s="148" t="n"/>
      <c r="G136" s="148" t="n"/>
      <c r="H136" s="75" t="n"/>
      <c r="I136" s="75" t="n"/>
      <c r="J136" s="75" t="n"/>
      <c r="K136" s="67" t="n"/>
      <c r="L136" s="67" t="n"/>
      <c r="M136" s="67" t="n"/>
      <c r="N136" s="148" t="n"/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/>
      <c r="B137" s="147" t="n"/>
      <c r="C137" s="67" t="n"/>
      <c r="D137" s="67" t="n"/>
      <c r="E137" s="148" t="n"/>
      <c r="F137" s="148" t="n"/>
      <c r="G137" s="148" t="n"/>
      <c r="H137" s="75" t="n"/>
      <c r="I137" s="75" t="n"/>
      <c r="J137" s="75" t="n"/>
      <c r="K137" s="67" t="n"/>
      <c r="L137" s="67" t="n"/>
      <c r="M137" s="67" t="n"/>
      <c r="N137" s="148" t="n"/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/>
      <c r="B138" s="147" t="n"/>
      <c r="C138" s="67" t="n"/>
      <c r="D138" s="67" t="n"/>
      <c r="E138" s="148" t="n"/>
      <c r="F138" s="148" t="n"/>
      <c r="G138" s="148" t="n"/>
      <c r="H138" s="75" t="n"/>
      <c r="I138" s="75" t="n"/>
      <c r="J138" s="75" t="n"/>
      <c r="K138" s="67" t="n"/>
      <c r="L138" s="67" t="n"/>
      <c r="M138" s="67" t="n"/>
      <c r="N138" s="148" t="n"/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/>
      <c r="B139" s="147" t="n"/>
      <c r="C139" s="67" t="n"/>
      <c r="D139" s="67" t="n"/>
      <c r="E139" s="148" t="n"/>
      <c r="F139" s="148" t="n"/>
      <c r="G139" s="148" t="n"/>
      <c r="H139" s="75" t="n"/>
      <c r="I139" s="75" t="n"/>
      <c r="J139" s="75" t="n"/>
      <c r="K139" s="67" t="n"/>
      <c r="L139" s="67" t="n"/>
      <c r="M139" s="67" t="n"/>
      <c r="N139" s="148" t="n"/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/>
      <c r="B140" s="147" t="n"/>
      <c r="C140" s="67" t="n"/>
      <c r="D140" s="67" t="n"/>
      <c r="E140" s="148" t="n"/>
      <c r="F140" s="148" t="n"/>
      <c r="G140" s="148" t="n"/>
      <c r="H140" s="75" t="n"/>
      <c r="I140" s="75" t="n"/>
      <c r="J140" s="75" t="n"/>
      <c r="K140" s="67" t="n"/>
      <c r="L140" s="67" t="n"/>
      <c r="M140" s="67" t="n"/>
      <c r="N140" s="148" t="n"/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/>
      <c r="B141" s="147" t="n"/>
      <c r="C141" s="67" t="n"/>
      <c r="D141" s="67" t="n"/>
      <c r="E141" s="148" t="n"/>
      <c r="F141" s="148" t="n"/>
      <c r="G141" s="148" t="n"/>
      <c r="H141" s="75" t="n"/>
      <c r="I141" s="75" t="n"/>
      <c r="J141" s="75" t="n"/>
      <c r="K141" s="67" t="n"/>
      <c r="L141" s="67" t="n"/>
      <c r="M141" s="67" t="n"/>
      <c r="N141" s="148" t="n"/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/>
      <c r="B142" s="147" t="n"/>
      <c r="C142" s="67" t="n"/>
      <c r="D142" s="67" t="n"/>
      <c r="E142" s="148" t="n"/>
      <c r="F142" s="148" t="n"/>
      <c r="G142" s="148" t="n"/>
      <c r="H142" s="75" t="n"/>
      <c r="I142" s="75" t="n"/>
      <c r="J142" s="75" t="n"/>
      <c r="K142" s="67" t="n"/>
      <c r="L142" s="67" t="n"/>
      <c r="M142" s="67" t="n"/>
      <c r="N142" s="148" t="n"/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/>
      <c r="B143" s="147" t="n"/>
      <c r="C143" s="67" t="n"/>
      <c r="D143" s="67" t="n"/>
      <c r="E143" s="148" t="n"/>
      <c r="F143" s="148" t="n"/>
      <c r="G143" s="148" t="n"/>
      <c r="H143" s="75" t="n"/>
      <c r="I143" s="75" t="n"/>
      <c r="J143" s="75" t="n"/>
      <c r="K143" s="67" t="n"/>
      <c r="L143" s="67" t="n"/>
      <c r="M143" s="67" t="n"/>
      <c r="N143" s="148" t="n"/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/>
      <c r="B144" s="147" t="n"/>
      <c r="C144" s="67" t="n"/>
      <c r="D144" s="67" t="n"/>
      <c r="E144" s="148" t="n"/>
      <c r="F144" s="148" t="n"/>
      <c r="G144" s="148" t="n"/>
      <c r="H144" s="75" t="n"/>
      <c r="I144" s="75" t="n"/>
      <c r="J144" s="75" t="n"/>
      <c r="K144" s="67" t="n"/>
      <c r="L144" s="67" t="n"/>
      <c r="M144" s="67" t="n"/>
      <c r="N144" s="148" t="n"/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/>
      <c r="B145" s="147" t="n"/>
      <c r="C145" s="67" t="n"/>
      <c r="D145" s="67" t="n"/>
      <c r="E145" s="148" t="n"/>
      <c r="F145" s="148" t="n"/>
      <c r="G145" s="148" t="n"/>
      <c r="H145" s="75" t="n"/>
      <c r="I145" s="75" t="n"/>
      <c r="J145" s="75" t="n"/>
      <c r="K145" s="67" t="n"/>
      <c r="L145" s="67" t="n"/>
      <c r="M145" s="67" t="n"/>
      <c r="N145" s="148" t="n"/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/>
      <c r="B146" s="147" t="n"/>
      <c r="C146" s="67" t="n"/>
      <c r="D146" s="67" t="n"/>
      <c r="E146" s="148" t="n"/>
      <c r="F146" s="148" t="n"/>
      <c r="G146" s="148" t="n"/>
      <c r="H146" s="75" t="n"/>
      <c r="I146" s="75" t="n"/>
      <c r="J146" s="75" t="n"/>
      <c r="K146" s="67" t="n"/>
      <c r="L146" s="67" t="n"/>
      <c r="M146" s="67" t="n"/>
      <c r="N146" s="148" t="n"/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/>
      <c r="B147" s="147" t="n"/>
      <c r="C147" s="67" t="n"/>
      <c r="D147" s="67" t="n"/>
      <c r="E147" s="148" t="n"/>
      <c r="F147" s="148" t="n"/>
      <c r="G147" s="148" t="n"/>
      <c r="H147" s="75" t="n"/>
      <c r="I147" s="75" t="n"/>
      <c r="J147" s="75" t="n"/>
      <c r="K147" s="67" t="n"/>
      <c r="L147" s="67" t="n"/>
      <c r="M147" s="67" t="n"/>
      <c r="N147" s="148" t="n"/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2026-09-21T11:42:11Z</dcterms:modified>
</cp:coreProperties>
</file>