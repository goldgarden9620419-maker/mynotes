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43844964-B487-4755-9F5A-36ED26160F8C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지출계획_취합!$A$5:$Q$26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C16" i="5"/>
  <c r="I16" i="5" s="1"/>
  <c r="C15" i="5"/>
  <c r="I15" i="5" s="1"/>
  <c r="C14" i="5"/>
  <c r="I14" i="5" s="1"/>
  <c r="C13" i="5"/>
  <c r="I13" i="5" s="1"/>
  <c r="C12" i="5"/>
  <c r="I12" i="5" s="1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C6" i="5"/>
  <c r="I6" i="5" s="1"/>
  <c r="J6" i="5" s="1"/>
  <c r="A3" i="5"/>
  <c r="M33" i="4"/>
  <c r="M32" i="4"/>
  <c r="L32" i="4"/>
  <c r="K32" i="3" s="1"/>
  <c r="J32" i="4"/>
  <c r="I32" i="4"/>
  <c r="H32" i="3" s="1"/>
  <c r="H32" i="4"/>
  <c r="K32" i="4" s="1"/>
  <c r="J32" i="3" s="1"/>
  <c r="M31" i="4"/>
  <c r="M30" i="4"/>
  <c r="K30" i="4"/>
  <c r="J30" i="3" s="1"/>
  <c r="I30" i="4"/>
  <c r="H30" i="3" s="1"/>
  <c r="H30" i="4"/>
  <c r="J30" i="4" s="1"/>
  <c r="I30" i="3" s="1"/>
  <c r="M29" i="4"/>
  <c r="L29" i="4"/>
  <c r="K29" i="3" s="1"/>
  <c r="I29" i="4"/>
  <c r="H29" i="3" s="1"/>
  <c r="M28" i="4"/>
  <c r="L28" i="4"/>
  <c r="K28" i="4"/>
  <c r="J28" i="3" s="1"/>
  <c r="J28" i="4"/>
  <c r="I28" i="3" s="1"/>
  <c r="H28" i="4"/>
  <c r="I28" i="4" s="1"/>
  <c r="H28" i="3" s="1"/>
  <c r="M27" i="4"/>
  <c r="M26" i="4"/>
  <c r="L26" i="4"/>
  <c r="K26" i="3" s="1"/>
  <c r="H26" i="4"/>
  <c r="M25" i="4"/>
  <c r="M24" i="4"/>
  <c r="J24" i="4"/>
  <c r="I24" i="3" s="1"/>
  <c r="I24" i="4"/>
  <c r="H24" i="4"/>
  <c r="L24" i="4" s="1"/>
  <c r="M23" i="4"/>
  <c r="M22" i="4"/>
  <c r="M21" i="4"/>
  <c r="M20" i="4"/>
  <c r="H20" i="4"/>
  <c r="M19" i="4"/>
  <c r="M18" i="4"/>
  <c r="J18" i="4"/>
  <c r="I18" i="3" s="1"/>
  <c r="H18" i="4"/>
  <c r="M17" i="4"/>
  <c r="M16" i="4"/>
  <c r="M15" i="4"/>
  <c r="M14" i="4"/>
  <c r="K14" i="4"/>
  <c r="J14" i="3" s="1"/>
  <c r="H14" i="4"/>
  <c r="L14" i="4" s="1"/>
  <c r="K14" i="3" s="1"/>
  <c r="M13" i="4"/>
  <c r="M12" i="4"/>
  <c r="M11" i="4"/>
  <c r="L11" i="4"/>
  <c r="K11" i="4"/>
  <c r="J11" i="4"/>
  <c r="I11" i="4"/>
  <c r="H11" i="3" s="1"/>
  <c r="H11" i="4"/>
  <c r="M10" i="4"/>
  <c r="H10" i="4"/>
  <c r="M9" i="4"/>
  <c r="I9" i="4"/>
  <c r="H9" i="3" s="1"/>
  <c r="H9" i="4"/>
  <c r="M8" i="4"/>
  <c r="J8" i="4"/>
  <c r="I8" i="3" s="1"/>
  <c r="I8" i="4"/>
  <c r="H8" i="4"/>
  <c r="M7" i="4"/>
  <c r="M6" i="4"/>
  <c r="G33" i="3"/>
  <c r="H33" i="4" s="1"/>
  <c r="P32" i="3"/>
  <c r="I32" i="3"/>
  <c r="G32" i="3"/>
  <c r="P31" i="3"/>
  <c r="G31" i="3"/>
  <c r="H31" i="4" s="1"/>
  <c r="P30" i="3"/>
  <c r="G30" i="3"/>
  <c r="P29" i="3"/>
  <c r="G29" i="3"/>
  <c r="H29" i="4" s="1"/>
  <c r="K29" i="4" s="1"/>
  <c r="J29" i="3" s="1"/>
  <c r="P28" i="3"/>
  <c r="K28" i="3"/>
  <c r="G28" i="3"/>
  <c r="G27" i="3"/>
  <c r="P26" i="3"/>
  <c r="G26" i="3"/>
  <c r="P25" i="3"/>
  <c r="G25" i="3"/>
  <c r="H25" i="4" s="1"/>
  <c r="P24" i="3"/>
  <c r="K24" i="3"/>
  <c r="H24" i="3"/>
  <c r="G23" i="3"/>
  <c r="H23" i="4" s="1"/>
  <c r="K23" i="4" s="1"/>
  <c r="J23" i="3" s="1"/>
  <c r="G22" i="3"/>
  <c r="P21" i="3"/>
  <c r="G21" i="3"/>
  <c r="H21" i="4" s="1"/>
  <c r="P20" i="3"/>
  <c r="P19" i="3"/>
  <c r="G19" i="3"/>
  <c r="H19" i="4" s="1"/>
  <c r="P18" i="3"/>
  <c r="G17" i="3"/>
  <c r="P17" i="3" s="1"/>
  <c r="G16" i="3"/>
  <c r="G15" i="3"/>
  <c r="P15" i="3" s="1"/>
  <c r="G14" i="3"/>
  <c r="P14" i="3" s="1"/>
  <c r="G13" i="3"/>
  <c r="P13" i="3" s="1"/>
  <c r="G12" i="3"/>
  <c r="P11" i="3"/>
  <c r="K11" i="3"/>
  <c r="J11" i="3"/>
  <c r="I11" i="3"/>
  <c r="P10" i="3"/>
  <c r="P9" i="3"/>
  <c r="P8" i="3"/>
  <c r="H8" i="3"/>
  <c r="G8" i="3"/>
  <c r="G7" i="3"/>
  <c r="P7" i="3" s="1"/>
  <c r="G6" i="3"/>
  <c r="H6" i="4" s="1"/>
  <c r="D15" i="1"/>
  <c r="I31" i="4" l="1"/>
  <c r="H31" i="3" s="1"/>
  <c r="L31" i="4"/>
  <c r="K31" i="3" s="1"/>
  <c r="K31" i="4"/>
  <c r="J31" i="3" s="1"/>
  <c r="J31" i="4"/>
  <c r="I31" i="3" s="1"/>
  <c r="L33" i="4"/>
  <c r="K33" i="3" s="1"/>
  <c r="J33" i="4"/>
  <c r="I33" i="3" s="1"/>
  <c r="K33" i="4"/>
  <c r="J33" i="3" s="1"/>
  <c r="I33" i="4"/>
  <c r="H33" i="3" s="1"/>
  <c r="K6" i="4"/>
  <c r="L6" i="4"/>
  <c r="J6" i="4"/>
  <c r="I6" i="4"/>
  <c r="L25" i="4"/>
  <c r="K25" i="3" s="1"/>
  <c r="K25" i="4"/>
  <c r="J25" i="3" s="1"/>
  <c r="J25" i="4"/>
  <c r="I25" i="3" s="1"/>
  <c r="I25" i="4"/>
  <c r="H25" i="3" s="1"/>
  <c r="K6" i="5"/>
  <c r="P22" i="3"/>
  <c r="H22" i="4"/>
  <c r="L9" i="4"/>
  <c r="K9" i="3" s="1"/>
  <c r="K9" i="4"/>
  <c r="J9" i="3" s="1"/>
  <c r="J9" i="4"/>
  <c r="I9" i="3" s="1"/>
  <c r="L20" i="4"/>
  <c r="K20" i="3" s="1"/>
  <c r="K20" i="4"/>
  <c r="J20" i="3" s="1"/>
  <c r="J20" i="4"/>
  <c r="I20" i="3" s="1"/>
  <c r="I20" i="4"/>
  <c r="H20" i="3" s="1"/>
  <c r="K26" i="4"/>
  <c r="J26" i="3" s="1"/>
  <c r="J26" i="4"/>
  <c r="I26" i="3" s="1"/>
  <c r="I26" i="4"/>
  <c r="H26" i="3" s="1"/>
  <c r="P33" i="3"/>
  <c r="L8" i="4"/>
  <c r="K8" i="3" s="1"/>
  <c r="K8" i="4"/>
  <c r="J8" i="3" s="1"/>
  <c r="L30" i="4"/>
  <c r="K30" i="3" s="1"/>
  <c r="H15" i="4"/>
  <c r="P6" i="3"/>
  <c r="R6" i="3" s="1"/>
  <c r="H17" i="4"/>
  <c r="H7" i="4"/>
  <c r="J23" i="4"/>
  <c r="I23" i="3" s="1"/>
  <c r="L19" i="4"/>
  <c r="K19" i="3" s="1"/>
  <c r="K19" i="4"/>
  <c r="J19" i="3" s="1"/>
  <c r="J19" i="4"/>
  <c r="I19" i="3" s="1"/>
  <c r="H12" i="4"/>
  <c r="P12" i="3"/>
  <c r="K21" i="4"/>
  <c r="J21" i="3" s="1"/>
  <c r="J21" i="4"/>
  <c r="I21" i="3" s="1"/>
  <c r="I21" i="4"/>
  <c r="H21" i="3" s="1"/>
  <c r="I19" i="4"/>
  <c r="H19" i="3" s="1"/>
  <c r="L21" i="4"/>
  <c r="K21" i="3" s="1"/>
  <c r="H16" i="4"/>
  <c r="P16" i="3"/>
  <c r="L23" i="4"/>
  <c r="K23" i="3" s="1"/>
  <c r="I23" i="4"/>
  <c r="H23" i="3" s="1"/>
  <c r="I14" i="4"/>
  <c r="H14" i="3" s="1"/>
  <c r="J29" i="4"/>
  <c r="I29" i="3" s="1"/>
  <c r="H27" i="4"/>
  <c r="C9" i="5"/>
  <c r="I9" i="5" s="1"/>
  <c r="J14" i="4"/>
  <c r="I14" i="3" s="1"/>
  <c r="C8" i="5"/>
  <c r="I8" i="5" s="1"/>
  <c r="K10" i="4"/>
  <c r="J10" i="3" s="1"/>
  <c r="J10" i="4"/>
  <c r="I10" i="3" s="1"/>
  <c r="I10" i="4"/>
  <c r="H10" i="3" s="1"/>
  <c r="L10" i="4"/>
  <c r="K10" i="3" s="1"/>
  <c r="P23" i="3"/>
  <c r="P27" i="3"/>
  <c r="H13" i="4"/>
  <c r="C7" i="5"/>
  <c r="I7" i="5" s="1"/>
  <c r="J7" i="5" s="1"/>
  <c r="L18" i="4"/>
  <c r="K18" i="3" s="1"/>
  <c r="K18" i="4"/>
  <c r="J18" i="3" s="1"/>
  <c r="I18" i="4"/>
  <c r="H18" i="3" s="1"/>
  <c r="K24" i="4"/>
  <c r="J24" i="3" s="1"/>
  <c r="K7" i="5" l="1"/>
  <c r="J8" i="5"/>
  <c r="H6" i="3"/>
  <c r="I12" i="4"/>
  <c r="H12" i="3" s="1"/>
  <c r="L12" i="4"/>
  <c r="K12" i="3" s="1"/>
  <c r="K12" i="4"/>
  <c r="J12" i="3" s="1"/>
  <c r="J12" i="4"/>
  <c r="I12" i="3" s="1"/>
  <c r="I6" i="3"/>
  <c r="Q6" i="4"/>
  <c r="N6" i="4" s="1"/>
  <c r="K6" i="3"/>
  <c r="J27" i="4"/>
  <c r="I27" i="3" s="1"/>
  <c r="I27" i="4"/>
  <c r="H27" i="3" s="1"/>
  <c r="L27" i="4"/>
  <c r="K27" i="3" s="1"/>
  <c r="K27" i="4"/>
  <c r="J27" i="3" s="1"/>
  <c r="L7" i="4"/>
  <c r="K7" i="3" s="1"/>
  <c r="K7" i="4"/>
  <c r="J7" i="3" s="1"/>
  <c r="J7" i="4"/>
  <c r="I7" i="3" s="1"/>
  <c r="I7" i="4"/>
  <c r="H7" i="3" s="1"/>
  <c r="J22" i="4"/>
  <c r="I22" i="3" s="1"/>
  <c r="I22" i="4"/>
  <c r="H22" i="3" s="1"/>
  <c r="K22" i="4"/>
  <c r="J22" i="3" s="1"/>
  <c r="L22" i="4"/>
  <c r="K22" i="3" s="1"/>
  <c r="I15" i="4"/>
  <c r="H15" i="3" s="1"/>
  <c r="L15" i="4"/>
  <c r="K15" i="3" s="1"/>
  <c r="K15" i="4"/>
  <c r="J15" i="3" s="1"/>
  <c r="J15" i="4"/>
  <c r="I15" i="3" s="1"/>
  <c r="K16" i="4"/>
  <c r="J16" i="3" s="1"/>
  <c r="L16" i="4"/>
  <c r="K16" i="3" s="1"/>
  <c r="J16" i="4"/>
  <c r="I16" i="3" s="1"/>
  <c r="I16" i="4"/>
  <c r="H16" i="3" s="1"/>
  <c r="J6" i="3"/>
  <c r="L17" i="4"/>
  <c r="K17" i="3" s="1"/>
  <c r="J17" i="4"/>
  <c r="I17" i="3" s="1"/>
  <c r="K17" i="4"/>
  <c r="J17" i="3" s="1"/>
  <c r="I17" i="4"/>
  <c r="H17" i="3" s="1"/>
  <c r="Q7" i="3"/>
  <c r="R7" i="3" s="1"/>
  <c r="Q8" i="3" s="1"/>
  <c r="R8" i="3" s="1"/>
  <c r="Q9" i="3" s="1"/>
  <c r="R9" i="3" s="1"/>
  <c r="Q10" i="3" s="1"/>
  <c r="R10" i="3" s="1"/>
  <c r="Q11" i="3" s="1"/>
  <c r="R11" i="3" s="1"/>
  <c r="Q12" i="3" s="1"/>
  <c r="R12" i="3" s="1"/>
  <c r="Q13" i="3" s="1"/>
  <c r="R13" i="3" s="1"/>
  <c r="Q14" i="3" s="1"/>
  <c r="R14" i="3" s="1"/>
  <c r="Q15" i="3" s="1"/>
  <c r="R15" i="3" s="1"/>
  <c r="Q16" i="3" s="1"/>
  <c r="R16" i="3" s="1"/>
  <c r="Q17" i="3" s="1"/>
  <c r="R17" i="3" s="1"/>
  <c r="Q18" i="3" s="1"/>
  <c r="R18" i="3" s="1"/>
  <c r="Q19" i="3" s="1"/>
  <c r="R19" i="3" s="1"/>
  <c r="Q20" i="3" s="1"/>
  <c r="R20" i="3" s="1"/>
  <c r="Q21" i="3" s="1"/>
  <c r="R21" i="3" s="1"/>
  <c r="Q22" i="3" s="1"/>
  <c r="R22" i="3" s="1"/>
  <c r="Q23" i="3" s="1"/>
  <c r="R23" i="3" s="1"/>
  <c r="Q24" i="3" s="1"/>
  <c r="R24" i="3" s="1"/>
  <c r="Q25" i="3" s="1"/>
  <c r="R25" i="3" s="1"/>
  <c r="Q26" i="3" s="1"/>
  <c r="R26" i="3" s="1"/>
  <c r="Q27" i="3" s="1"/>
  <c r="R27" i="3" s="1"/>
  <c r="Q28" i="3" s="1"/>
  <c r="R28" i="3" s="1"/>
  <c r="Q29" i="3" s="1"/>
  <c r="R29" i="3" s="1"/>
  <c r="Q30" i="3" s="1"/>
  <c r="R30" i="3" s="1"/>
  <c r="Q31" i="3" s="1"/>
  <c r="R31" i="3" s="1"/>
  <c r="Q32" i="3" s="1"/>
  <c r="R32" i="3" s="1"/>
  <c r="Q33" i="3" s="1"/>
  <c r="R33" i="3" s="1"/>
  <c r="B14" i="1" s="1"/>
  <c r="J13" i="4"/>
  <c r="I13" i="3" s="1"/>
  <c r="K13" i="4"/>
  <c r="J13" i="3" s="1"/>
  <c r="L13" i="4"/>
  <c r="K13" i="3" s="1"/>
  <c r="I13" i="4"/>
  <c r="H13" i="3" s="1"/>
  <c r="B15" i="1" l="1"/>
  <c r="E6" i="4"/>
  <c r="R6" i="4"/>
  <c r="J9" i="5"/>
  <c r="K8" i="5"/>
  <c r="J10" i="5" l="1"/>
  <c r="K9" i="5"/>
  <c r="D6" i="3"/>
  <c r="F6" i="4"/>
  <c r="S6" i="4"/>
  <c r="G6" i="4" s="1"/>
  <c r="F6" i="3" l="1"/>
  <c r="O6" i="4"/>
  <c r="K10" i="5"/>
  <c r="J11" i="5"/>
  <c r="E6" i="3"/>
  <c r="D6" i="4"/>
  <c r="J12" i="5" l="1"/>
  <c r="K11" i="5"/>
  <c r="P6" i="4"/>
  <c r="C6" i="3"/>
  <c r="C6" i="4"/>
  <c r="Q7" i="4"/>
  <c r="R7" i="4" s="1"/>
  <c r="F7" i="4" l="1"/>
  <c r="S7" i="4"/>
  <c r="G7" i="4" s="1"/>
  <c r="N7" i="4"/>
  <c r="E7" i="4"/>
  <c r="D7" i="4"/>
  <c r="J13" i="5"/>
  <c r="K12" i="5"/>
  <c r="J14" i="5" l="1"/>
  <c r="K13" i="5"/>
  <c r="C7" i="3"/>
  <c r="P7" i="4"/>
  <c r="C7" i="4"/>
  <c r="Q8" i="4"/>
  <c r="N8" i="4" s="1"/>
  <c r="D7" i="3"/>
  <c r="F7" i="3"/>
  <c r="E7" i="3"/>
  <c r="R8" i="4"/>
  <c r="O7" i="4"/>
  <c r="S8" i="4" l="1"/>
  <c r="G8" i="4" s="1"/>
  <c r="E8" i="4"/>
  <c r="O8" i="4"/>
  <c r="F8" i="4"/>
  <c r="D8" i="4"/>
  <c r="K14" i="5"/>
  <c r="J15" i="5"/>
  <c r="J16" i="5" l="1"/>
  <c r="K15" i="5"/>
  <c r="C8" i="4"/>
  <c r="C8" i="3"/>
  <c r="P8" i="4"/>
  <c r="E8" i="3"/>
  <c r="Q9" i="4"/>
  <c r="N9" i="4" s="1"/>
  <c r="D8" i="3"/>
  <c r="F8" i="3"/>
  <c r="E9" i="4" l="1"/>
  <c r="R9" i="4"/>
  <c r="J17" i="5"/>
  <c r="K16" i="5"/>
  <c r="J18" i="5" l="1"/>
  <c r="K17" i="5"/>
  <c r="F9" i="4"/>
  <c r="S9" i="4"/>
  <c r="G9" i="4" s="1"/>
  <c r="D9" i="3"/>
  <c r="F9" i="3" l="1"/>
  <c r="D9" i="4"/>
  <c r="O9" i="4"/>
  <c r="E9" i="3"/>
  <c r="K18" i="5"/>
  <c r="B16" i="1"/>
  <c r="C9" i="3" l="1"/>
  <c r="C9" i="4"/>
  <c r="P9" i="4"/>
  <c r="Q10" i="4"/>
  <c r="N10" i="4" l="1"/>
  <c r="E10" i="4"/>
  <c r="R10" i="4"/>
  <c r="F10" i="4" l="1"/>
  <c r="S10" i="4"/>
  <c r="G10" i="4" s="1"/>
  <c r="D10" i="3"/>
  <c r="F10" i="3" l="1"/>
  <c r="E10" i="3"/>
  <c r="O10" i="4"/>
  <c r="D10" i="4"/>
  <c r="C10" i="4" l="1"/>
  <c r="P10" i="4"/>
  <c r="C10" i="3"/>
  <c r="Q11" i="4"/>
  <c r="R11" i="4" s="1"/>
  <c r="F11" i="4" l="1"/>
  <c r="N11" i="4"/>
  <c r="E11" i="4"/>
  <c r="S11" i="4"/>
  <c r="G11" i="4" s="1"/>
  <c r="D11" i="4" l="1"/>
  <c r="E11" i="3"/>
  <c r="F11" i="3"/>
  <c r="Q12" i="4"/>
  <c r="N12" i="4" s="1"/>
  <c r="D11" i="3"/>
  <c r="E12" i="4"/>
  <c r="O11" i="4"/>
  <c r="D12" i="3" l="1"/>
  <c r="R12" i="4"/>
  <c r="P11" i="4"/>
  <c r="C11" i="3"/>
  <c r="C11" i="4"/>
  <c r="F12" i="4" l="1"/>
  <c r="S12" i="4"/>
  <c r="E12" i="3" l="1"/>
  <c r="G12" i="4"/>
  <c r="D12" i="4"/>
  <c r="O12" i="4"/>
  <c r="F12" i="3" l="1"/>
  <c r="P12" i="4"/>
  <c r="C12" i="4"/>
  <c r="C12" i="3"/>
  <c r="Q13" i="4"/>
  <c r="R13" i="4" l="1"/>
  <c r="S13" i="4" s="1"/>
  <c r="G13" i="4" s="1"/>
  <c r="N13" i="4"/>
  <c r="E13" i="4"/>
  <c r="F13" i="3" l="1"/>
  <c r="D13" i="3"/>
  <c r="O13" i="4"/>
  <c r="F13" i="4"/>
  <c r="D13" i="4"/>
  <c r="E13" i="3" l="1"/>
  <c r="C13" i="4"/>
  <c r="P13" i="4"/>
  <c r="C13" i="3"/>
  <c r="Q14" i="4"/>
  <c r="N14" i="4" l="1"/>
  <c r="E14" i="4"/>
  <c r="R14" i="4"/>
  <c r="S14" i="4"/>
  <c r="G14" i="4" s="1"/>
  <c r="F14" i="3" l="1"/>
  <c r="O14" i="4"/>
  <c r="F14" i="4"/>
  <c r="D14" i="4"/>
  <c r="Q15" i="4"/>
  <c r="N15" i="4" s="1"/>
  <c r="D14" i="3"/>
  <c r="E15" i="4" l="1"/>
  <c r="C14" i="4"/>
  <c r="C14" i="3"/>
  <c r="P14" i="4"/>
  <c r="R15" i="4"/>
  <c r="S15" i="4" s="1"/>
  <c r="G15" i="4" s="1"/>
  <c r="E14" i="3"/>
  <c r="F15" i="3" l="1"/>
  <c r="O15" i="4"/>
  <c r="F15" i="4"/>
  <c r="D15" i="4"/>
  <c r="D15" i="3"/>
  <c r="Q16" i="4"/>
  <c r="N16" i="4" s="1"/>
  <c r="P15" i="4" l="1"/>
  <c r="C15" i="3"/>
  <c r="C15" i="4"/>
  <c r="E16" i="4"/>
  <c r="R16" i="4"/>
  <c r="S16" i="4" s="1"/>
  <c r="G16" i="4" s="1"/>
  <c r="E15" i="3"/>
  <c r="F16" i="3" l="1"/>
  <c r="D16" i="3"/>
  <c r="O16" i="4"/>
  <c r="F16" i="4"/>
  <c r="D16" i="4"/>
  <c r="Q17" i="4" s="1"/>
  <c r="N17" i="4" l="1"/>
  <c r="E17" i="4"/>
  <c r="R17" i="4"/>
  <c r="D17" i="4" s="1"/>
  <c r="E16" i="3"/>
  <c r="C16" i="4"/>
  <c r="P16" i="4"/>
  <c r="C16" i="3"/>
  <c r="S17" i="4"/>
  <c r="G17" i="4" s="1"/>
  <c r="P17" i="4" l="1"/>
  <c r="C17" i="3"/>
  <c r="F17" i="3"/>
  <c r="O17" i="4"/>
  <c r="F17" i="4"/>
  <c r="Q18" i="4"/>
  <c r="N18" i="4" s="1"/>
  <c r="D17" i="3"/>
  <c r="E18" i="4" l="1"/>
  <c r="R18" i="4"/>
  <c r="E17" i="3"/>
  <c r="C17" i="4"/>
  <c r="S18" i="4" l="1"/>
  <c r="G18" i="4" s="1"/>
  <c r="F18" i="4"/>
  <c r="D18" i="3"/>
  <c r="E18" i="3" l="1"/>
  <c r="F18" i="3"/>
  <c r="D18" i="4"/>
  <c r="O18" i="4"/>
  <c r="C18" i="4" l="1"/>
  <c r="C18" i="3"/>
  <c r="P18" i="4"/>
  <c r="Q19" i="4"/>
  <c r="R19" i="4"/>
  <c r="F19" i="4" l="1"/>
  <c r="S19" i="4"/>
  <c r="G19" i="4" s="1"/>
  <c r="N19" i="4"/>
  <c r="E19" i="4"/>
  <c r="D19" i="4"/>
  <c r="P19" i="4" l="1"/>
  <c r="C19" i="3"/>
  <c r="C19" i="4"/>
  <c r="Q20" i="4"/>
  <c r="N20" i="4" s="1"/>
  <c r="D19" i="3"/>
  <c r="F19" i="3"/>
  <c r="R20" i="4"/>
  <c r="S20" i="4" s="1"/>
  <c r="G20" i="4" s="1"/>
  <c r="E19" i="3"/>
  <c r="O19" i="4"/>
  <c r="F20" i="3" l="1"/>
  <c r="F20" i="4"/>
  <c r="E20" i="4"/>
  <c r="O20" i="4"/>
  <c r="D20" i="4"/>
  <c r="E20" i="3" l="1"/>
  <c r="P20" i="4"/>
  <c r="C20" i="3"/>
  <c r="C20" i="4"/>
  <c r="D20" i="3"/>
  <c r="Q21" i="4"/>
  <c r="N21" i="4" s="1"/>
  <c r="E21" i="4" l="1"/>
  <c r="R21" i="4"/>
  <c r="F21" i="4" l="1"/>
  <c r="D21" i="3"/>
  <c r="S21" i="4"/>
  <c r="G21" i="4" s="1"/>
  <c r="F21" i="3" l="1"/>
  <c r="D21" i="4"/>
  <c r="E21" i="3"/>
  <c r="O21" i="4"/>
  <c r="C21" i="4" l="1"/>
  <c r="P21" i="4"/>
  <c r="C21" i="3"/>
  <c r="Q22" i="4"/>
  <c r="N22" i="4" l="1"/>
  <c r="E22" i="4"/>
  <c r="R22" i="4"/>
  <c r="D22" i="3" l="1"/>
  <c r="F22" i="4"/>
  <c r="S22" i="4"/>
  <c r="G22" i="4" s="1"/>
  <c r="F22" i="3" l="1"/>
  <c r="D22" i="4"/>
  <c r="E22" i="3"/>
  <c r="O22" i="4"/>
  <c r="C22" i="3" l="1"/>
  <c r="P22" i="4"/>
  <c r="C22" i="4"/>
  <c r="Q23" i="4"/>
  <c r="N23" i="4" l="1"/>
  <c r="E23" i="4"/>
  <c r="R23" i="4"/>
  <c r="F23" i="4" l="1"/>
  <c r="D23" i="3"/>
  <c r="S23" i="4"/>
  <c r="G23" i="4" s="1"/>
  <c r="F23" i="3" l="1"/>
  <c r="E23" i="3"/>
  <c r="O23" i="4"/>
  <c r="D23" i="4"/>
  <c r="P23" i="4" l="1"/>
  <c r="C23" i="3"/>
  <c r="C23" i="4"/>
  <c r="Q24" i="4"/>
  <c r="N24" i="4" l="1"/>
  <c r="E24" i="4"/>
  <c r="R24" i="4"/>
  <c r="F24" i="4" l="1"/>
  <c r="S24" i="4"/>
  <c r="G24" i="4" s="1"/>
  <c r="D24" i="3"/>
  <c r="F24" i="3" l="1"/>
  <c r="E24" i="3"/>
  <c r="O24" i="4"/>
  <c r="D24" i="4"/>
  <c r="P24" i="4" l="1"/>
  <c r="C24" i="4"/>
  <c r="C24" i="3"/>
  <c r="Q25" i="4"/>
  <c r="R25" i="4" s="1"/>
  <c r="F25" i="4" l="1"/>
  <c r="N25" i="4"/>
  <c r="E25" i="4"/>
  <c r="S25" i="4"/>
  <c r="G25" i="4" s="1"/>
  <c r="D25" i="4" l="1"/>
  <c r="E25" i="3"/>
  <c r="F25" i="3"/>
  <c r="Q26" i="4"/>
  <c r="N26" i="4" s="1"/>
  <c r="D25" i="3"/>
  <c r="O25" i="4"/>
  <c r="E26" i="4" l="1"/>
  <c r="R26" i="4"/>
  <c r="C25" i="3"/>
  <c r="P25" i="4"/>
  <c r="C25" i="4"/>
  <c r="F26" i="4" l="1"/>
  <c r="D26" i="3"/>
  <c r="S26" i="4"/>
  <c r="G26" i="4" s="1"/>
  <c r="F26" i="3" l="1"/>
  <c r="E26" i="3"/>
  <c r="D26" i="4"/>
  <c r="O26" i="4"/>
  <c r="C26" i="4" l="1"/>
  <c r="C26" i="3"/>
  <c r="P26" i="4"/>
  <c r="Q27" i="4"/>
  <c r="N27" i="4" l="1"/>
  <c r="E27" i="4"/>
  <c r="R27" i="4"/>
  <c r="F27" i="4" l="1"/>
  <c r="S27" i="4"/>
  <c r="G27" i="4" s="1"/>
  <c r="D27" i="3"/>
  <c r="F27" i="3" l="1"/>
  <c r="E27" i="3"/>
  <c r="O27" i="4"/>
  <c r="D27" i="4"/>
  <c r="C27" i="3" l="1"/>
  <c r="C27" i="4"/>
  <c r="P27" i="4"/>
  <c r="Q28" i="4"/>
  <c r="N28" i="4" l="1"/>
  <c r="E28" i="4"/>
  <c r="R28" i="4"/>
  <c r="F28" i="4" l="1"/>
  <c r="S28" i="4"/>
  <c r="G28" i="4" s="1"/>
  <c r="D28" i="3"/>
  <c r="D28" i="4" l="1"/>
  <c r="E28" i="3"/>
  <c r="F28" i="3"/>
  <c r="O28" i="4"/>
  <c r="C28" i="4" l="1"/>
  <c r="P28" i="4"/>
  <c r="C28" i="3"/>
  <c r="Q29" i="4"/>
  <c r="N29" i="4" l="1"/>
  <c r="E29" i="4"/>
  <c r="R29" i="4"/>
  <c r="F29" i="4" l="1"/>
  <c r="S29" i="4"/>
  <c r="G29" i="4" s="1"/>
  <c r="D29" i="3"/>
  <c r="D29" i="4" l="1"/>
  <c r="F29" i="3"/>
  <c r="E29" i="3"/>
  <c r="O29" i="4"/>
  <c r="C29" i="4" l="1"/>
  <c r="P29" i="4"/>
  <c r="C29" i="3"/>
  <c r="Q30" i="4"/>
  <c r="N30" i="4" l="1"/>
  <c r="E30" i="4"/>
  <c r="R30" i="4"/>
  <c r="F30" i="4" l="1"/>
  <c r="S30" i="4"/>
  <c r="G30" i="4" s="1"/>
  <c r="D30" i="3"/>
  <c r="F30" i="3" l="1"/>
  <c r="D30" i="4"/>
  <c r="E30" i="3"/>
  <c r="O30" i="4"/>
  <c r="P30" i="4" l="1"/>
  <c r="C30" i="4"/>
  <c r="C30" i="3"/>
  <c r="Q31" i="4"/>
  <c r="N31" i="4" l="1"/>
  <c r="E31" i="4"/>
  <c r="R31" i="4"/>
  <c r="F31" i="4" l="1"/>
  <c r="D31" i="3"/>
  <c r="S31" i="4"/>
  <c r="G31" i="4" s="1"/>
  <c r="F31" i="3" l="1"/>
  <c r="E31" i="3"/>
  <c r="O31" i="4"/>
  <c r="D31" i="4"/>
  <c r="C31" i="3" l="1"/>
  <c r="P31" i="4"/>
  <c r="C31" i="4"/>
  <c r="Q32" i="4"/>
  <c r="R32" i="4"/>
  <c r="F32" i="4" l="1"/>
  <c r="S32" i="4"/>
  <c r="G32" i="4" s="1"/>
  <c r="N32" i="4"/>
  <c r="E32" i="4"/>
  <c r="D32" i="4" l="1"/>
  <c r="Q33" i="4"/>
  <c r="N33" i="4" s="1"/>
  <c r="D32" i="3"/>
  <c r="R33" i="4"/>
  <c r="E32" i="3"/>
  <c r="F33" i="4"/>
  <c r="E33" i="3" s="1"/>
  <c r="S33" i="4"/>
  <c r="G33" i="4" s="1"/>
  <c r="F33" i="3" s="1"/>
  <c r="F32" i="3"/>
  <c r="O32" i="4"/>
  <c r="E33" i="4" l="1"/>
  <c r="D33" i="3" s="1"/>
  <c r="O33" i="4"/>
  <c r="D33" i="4"/>
  <c r="C32" i="4"/>
  <c r="P32" i="4"/>
  <c r="C32" i="3"/>
  <c r="C33" i="4" l="1"/>
  <c r="C33" i="3"/>
  <c r="P33" i="4"/>
</calcChain>
</file>

<file path=xl/sharedStrings.xml><?xml version="1.0" encoding="utf-8"?>
<sst xmlns="http://schemas.openxmlformats.org/spreadsheetml/2006/main" count="5916" uniqueCount="422">
  <si>
    <t>(주)에이팜건강 자금계획 기초 현황</t>
  </si>
  <si>
    <t>기준일 2026-09-21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</si>
  <si>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</si>
  <si>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</si>
  <si>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</si>
  <si>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</si>
  <si>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</si>
  <si>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</si>
  <si>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</si>
  <si>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</si>
  <si>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</si>
  <si>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</si>
  <si>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</si>
  <si>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</si>
  <si>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</si>
  <si>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</si>
  <si>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</si>
  <si>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</si>
  <si>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</si>
  <si>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</si>
  <si>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</si>
  <si>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</si>
  <si>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</si>
  <si>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</si>
  <si>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</si>
  <si>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</si>
  <si>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</si>
  <si>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</si>
  <si>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</si>
  <si>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</si>
  <si>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</si>
  <si>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</si>
  <si>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</si>
  <si>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</si>
  <si>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</si>
  <si>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</si>
  <si>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</si>
  <si>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</si>
  <si>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</si>
  <si>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</si>
  <si>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</si>
  <si>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</si>
  <si>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</si>
  <si>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</si>
  <si>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</si>
  <si>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</si>
  <si>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</si>
  <si>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</si>
  <si>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</si>
  <si>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</si>
  <si>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</si>
  <si>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</si>
  <si>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</si>
  <si>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</si>
  <si>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</si>
  <si>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</si>
  <si>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</si>
  <si>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</si>
  <si>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</si>
  <si>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</si>
  <si>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</si>
  <si>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</si>
  <si>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</si>
  <si>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</si>
  <si>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</si>
  <si>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</si>
  <si>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</si>
  <si>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</si>
  <si>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</si>
  <si>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</si>
  <si>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</si>
  <si>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</si>
  <si>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</si>
  <si>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</si>
  <si>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</si>
  <si>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</si>
  <si>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</si>
  <si>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</si>
  <si>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</si>
  <si>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</si>
  <si>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</si>
  <si>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</si>
  <si>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</si>
  <si>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</si>
  <si>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</si>
  <si>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</si>
  <si>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</si>
  <si>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</si>
  <si>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</si>
  <si>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</si>
  <si>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</si>
  <si>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</si>
  <si>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</si>
  <si>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온라인 예상입금은 최근 12주 요일별 평균 × 입금 반영률(요약 B13)로 계산됩니다. 노란색 칸만 입력하세요.  |  실잔고(은행 최근 확인): 우리 220351 17,314,264(09-21) · 농협 569003 1,834,429(09-18) · 국민 169124 100,687,200(09-15) · 국민 154577 20,184,954(09-20)  |  출발(전일 마감) 잔액: 우리 220351 11,948,137 · 농협 569003 1,834,429 · 국민 169124 100,687,200 · 국민 154577 20,184,954 — 예상잔고는 출발 잔액에 예상입금·지출·이체를 반영한 하루 마감 기준 값(반영률 B13 연동, 당일 이미 반영된 실적은 중복 계산 안 함)</t>
  </si>
  <si>
    <t>계좌별 예상잔고</t>
  </si>
  <si>
    <t>계좌별 입금 배분(예상)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</si>
  <si>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</si>
  <si>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</si>
  <si>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</si>
  <si>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</si>
  <si>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</si>
  <si>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</si>
  <si>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</si>
  <si>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</si>
  <si>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</si>
  <si>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</si>
  <si>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</si>
  <si>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</si>
  <si>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메트라이프 4,900,000, 네이버SA&amp;GFA 3,498,000, 트라이앵글하모니 1,996,000, SK브로드밴드 220,000</t>
  </si>
  <si>
    <t>화</t>
  </si>
  <si>
    <t>엠에스바이오텍 20,000,000, 와이투홀딩스 1,023,110, 네이버 500,000</t>
  </si>
  <si>
    <t>수</t>
  </si>
  <si>
    <t>우리카드 25,346,349, 네이버SA&amp;GFA 8,305,000, 농협카드 6,827,883, 인포크비즈니스 3,300,000, 써치엠 1,487,786, ADN 550,000</t>
  </si>
  <si>
    <t>목</t>
  </si>
  <si>
    <t>금</t>
  </si>
  <si>
    <t>메트라이프 2,497,000, KT 109,450</t>
  </si>
  <si>
    <t>토</t>
  </si>
  <si>
    <t>일</t>
  </si>
  <si>
    <t>엘앤에이치컴퍼니 1,650,000</t>
  </si>
  <si>
    <t>관계사 외상대 입금 추정(주식회사에이팜, 말일)</t>
  </si>
  <si>
    <t>계좌별 일별 잔액 시나리오 (자동 반영)</t>
  </si>
  <si>
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</si>
  <si>
    <t>① 잔액 (총잔액 · 계좌별)</t>
  </si>
  <si>
    <t>② 오늘 들어오는 돈 — 예상입금 배분</t>
  </si>
  <si>
    <t>③ 지출</t>
  </si>
  <si>
    <t>④ 부족분 이체</t>
  </si>
  <si>
    <t>총잔액</t>
  </si>
  <si>
    <t>합계</t>
  </si>
  <si>
    <t>우리은행 집행</t>
  </si>
  <si>
    <t>농협→우리</t>
  </si>
  <si>
    <t>국민→우리</t>
  </si>
  <si>
    <t>향후 13주 주별 자금계획</t>
  </si>
  <si>
    <t>주차</t>
  </si>
  <si>
    <t>기간</t>
  </si>
  <si>
    <t>추가 주간조정</t>
  </si>
  <si>
    <t>1주차</t>
  </si>
  <si>
    <t>2026-09-21 ~ 2026-09-27</t>
  </si>
  <si>
    <t>2주차</t>
  </si>
  <si>
    <t>2026-09-28 ~ 2026-10-04</t>
  </si>
  <si>
    <t>3주차</t>
  </si>
  <si>
    <t>2026-10-05 ~ 2026-10-11</t>
  </si>
  <si>
    <t>4주차</t>
  </si>
  <si>
    <t>2026-10-12 ~ 2026-10-18</t>
  </si>
  <si>
    <t>5주차</t>
  </si>
  <si>
    <t>2026-10-19 ~ 2026-10-25</t>
  </si>
  <si>
    <t>6주차</t>
  </si>
  <si>
    <t>2026-10-26 ~ 2026-11-01</t>
  </si>
  <si>
    <t>7주차</t>
  </si>
  <si>
    <t>2026-11-02 ~ 2026-11-08</t>
  </si>
  <si>
    <t>8주차</t>
  </si>
  <si>
    <t>2026-11-09 ~ 2026-11-15</t>
  </si>
  <si>
    <t>9주차</t>
  </si>
  <si>
    <t>2026-11-16 ~ 2026-11-22</t>
  </si>
  <si>
    <t>10주차</t>
  </si>
  <si>
    <t>2026-11-23 ~ 2026-11-29</t>
  </si>
  <si>
    <t>11주차</t>
  </si>
  <si>
    <t>2026-11-30 ~ 2026-12-06</t>
  </si>
  <si>
    <t>12주차</t>
  </si>
  <si>
    <t>2026-12-07 ~ 2026-12-13</t>
  </si>
  <si>
    <t>13주차</t>
  </si>
  <si>
    <t>2026-12-14 ~ 2026-12-20</t>
  </si>
  <si>
    <t>팀 지출계획 취합 (자동 반영)</t>
  </si>
  <si>
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</si>
  <si>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</si>
  <si>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</si>
  <si>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</si>
  <si>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</si>
  <si>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</si>
  <si>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</si>
  <si>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</si>
  <si>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</si>
  <si>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</si>
  <si>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</si>
  <si>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</si>
  <si>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</si>
  <si>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</si>
  <si>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</si>
  <si>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</si>
  <si>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</si>
  <si>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</si>
  <si>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</si>
  <si>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</si>
  <si>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</si>
  <si>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</si>
  <si>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</si>
  <si>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</si>
  <si>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</si>
  <si>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</si>
  <si>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지출계획_2026-09-21.xlsx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</si>
  <si>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</si>
  <si>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</si>
  <si>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</si>
  <si>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</si>
  <si>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</si>
  <si>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</si>
  <si>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</si>
  <si>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</si>
  <si>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</si>
  <si>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</si>
  <si>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</si>
  <si>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</si>
  <si>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</si>
  <si>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</si>
  <si>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</si>
  <si>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</si>
  <si>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</si>
  <si>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</si>
  <si>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</si>
  <si>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</si>
  <si>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</si>
  <si>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</si>
  <si>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</si>
  <si>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</si>
  <si>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</si>
  <si>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</si>
  <si>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</si>
  <si>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</si>
  <si>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</si>
  <si>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</si>
  <si>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건강-20260918-004</t>
  </si>
  <si>
    <t>인포크비즈니스</t>
  </si>
  <si>
    <t>베리시톨 인플루언서 비용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</si>
  <si>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</si>
  <si>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</si>
  <si>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</si>
  <si>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</si>
  <si>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</si>
  <si>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</si>
  <si>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</si>
  <si>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</si>
  <si>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</si>
  <si>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</si>
  <si>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</si>
  <si>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</si>
  <si>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</si>
  <si>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</si>
  <si>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</si>
  <si>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</si>
  <si>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</si>
  <si>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</si>
  <si>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</si>
  <si>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</si>
  <si>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</si>
  <si>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</si>
  <si>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데이터-20260921-001</t>
  </si>
  <si>
    <t>데이터사이언스팀</t>
  </si>
  <si>
    <t>조성윤</t>
  </si>
  <si>
    <t>엘앤에이치컴퍼니</t>
  </si>
  <si>
    <t>흥덕IT밸리_사무실 임대료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</si>
  <si>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</si>
  <si>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</si>
  <si>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</si>
  <si>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</si>
  <si>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</si>
  <si>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</si>
  <si>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</si>
  <si>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</si>
  <si>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</si>
  <si>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</si>
  <si>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</si>
  <si>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</si>
  <si>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</si>
  <si>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</si>
  <si>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</si>
  <si>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</si>
  <si>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</si>
  <si>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</si>
  <si>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</si>
  <si>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</si>
  <si>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</si>
  <si>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</si>
  <si>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</si>
  <si>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</si>
  <si>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</si>
  <si>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</si>
  <si>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</si>
  <si>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</si>
  <si>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</si>
  <si>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</si>
  <si>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</si>
  <si>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</si>
  <si>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</si>
  <si>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</si>
  <si>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</si>
  <si>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</si>
  <si>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</si>
  <si>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</si>
  <si>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</si>
  <si>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</si>
  <si>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</si>
  <si>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</si>
  <si>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</si>
  <si>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</si>
  <si>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</si>
  <si>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</si>
  <si>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</si>
  <si>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</si>
  <si>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</si>
  <si>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</si>
  <si>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</si>
  <si>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</si>
  <si>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</si>
  <si>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</si>
  <si>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</si>
  <si>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</si>
  <si>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</si>
  <si>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</si>
  <si>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</si>
  <si>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</si>
  <si>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</si>
  <si>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</si>
  <si>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</si>
  <si>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</si>
  <si>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</si>
  <si>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</si>
  <si>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</si>
  <si>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</si>
  <si>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</si>
  <si>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</si>
  <si>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</si>
  <si>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</si>
  <si>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</si>
  <si>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</si>
  <si>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KB카드</t>
  </si>
  <si>
    <t>KB103013814</t>
  </si>
  <si>
    <t>농협 000998</t>
  </si>
  <si>
    <t>폰카카오</t>
  </si>
  <si>
    <t>카카오뱅크 0900032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</si>
  <si>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</si>
  <si>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</si>
  <si>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</si>
  <si>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</si>
  <si>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</si>
  <si>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</si>
  <si>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지로자동</t>
  </si>
  <si>
    <t>적십자후원2</t>
  </si>
  <si>
    <t>성서공단금융센터</t>
  </si>
  <si>
    <t>통신요금</t>
  </si>
  <si>
    <t>LGUM2M</t>
  </si>
  <si>
    <t>LGU48453341</t>
  </si>
  <si>
    <t>기일출금</t>
  </si>
  <si>
    <t>폰토스뱅크</t>
  </si>
  <si>
    <t>토스뱅크 0921008</t>
  </si>
  <si>
    <t>KG이니시스</t>
  </si>
  <si>
    <t>하나은행</t>
  </si>
  <si>
    <t>인터넷</t>
  </si>
  <si>
    <t>국민비즈월렛_쁘띠앤</t>
  </si>
  <si>
    <t>한진8364</t>
  </si>
  <si>
    <t>엔에이치엔페이</t>
  </si>
  <si>
    <t>신한은행</t>
  </si>
  <si>
    <t>국민네이버 apha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</si>
  <si>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</si>
  <si>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</si>
  <si>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</si>
  <si>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</si>
  <si>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</si>
  <si>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</si>
  <si>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</si>
  <si>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</si>
  <si>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</si>
  <si>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</si>
  <si>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</si>
  <si>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</si>
  <si>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</si>
  <si>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</si>
  <si>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</si>
  <si>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</si>
  <si>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</si>
  <si>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</si>
  <si>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</si>
  <si>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</si>
  <si>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</si>
  <si>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</si>
  <si>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</si>
  <si>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</si>
  <si>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</si>
  <si>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</si>
  <si>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</si>
  <si>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</si>
  <si>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</si>
  <si>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</si>
  <si>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</si>
  <si>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</si>
  <si>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</si>
  <si>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</si>
  <si>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</si>
  <si>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</si>
  <si>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</si>
  <si>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</si>
  <si>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</si>
  <si>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</si>
  <si>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</si>
  <si>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예금결산</t>
  </si>
  <si>
    <t>예금결산이자</t>
  </si>
  <si>
    <t>김은미</t>
  </si>
  <si>
    <t>SKB6486358411</t>
  </si>
  <si>
    <t>SKB6452342048</t>
  </si>
  <si>
    <t>S1(N6203178)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</si>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</sst>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yyyy\-mm\-dd"/>
    <numFmt numFmtId="178" formatCode="yyyy\-mm\-dd\ hh:mm:ss"/>
    <numFmt numFmtId="180" formatCode="#,##0;[Red]\-#,##0;"/>
  </numFmts>
  <fonts count="18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D9E2F1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BF1DE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808080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31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6" fillId="0" borderId="0"/>
  </cellStyleXfs>
  <cellXfs count="147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0" fontId="12" fillId="7" borderId="19" xfId="1" applyFont="1" applyFill="1" applyBorder="1" applyAlignment="1">
      <alignment horizontal="center" vertical="center"/>
    </xf>
    <xf numFmtId="0" fontId="12" fillId="8" borderId="19" xfId="1" applyFont="1" applyFill="1" applyBorder="1" applyAlignment="1">
      <alignment horizontal="center" vertical="center"/>
    </xf>
    <xf numFmtId="177" fontId="11" fillId="0" borderId="24" xfId="1" applyNumberFormat="1" applyFont="1" applyBorder="1"/>
    <xf numFmtId="0" fontId="11" fillId="0" borderId="22" xfId="1" applyFont="1" applyBorder="1"/>
    <xf numFmtId="38" fontId="11" fillId="9" borderId="22" xfId="1" applyNumberFormat="1" applyFont="1" applyFill="1" applyBorder="1"/>
    <xf numFmtId="176" fontId="11" fillId="11" borderId="22" xfId="1" applyNumberFormat="1" applyFont="1" applyFill="1" applyBorder="1"/>
    <xf numFmtId="180" fontId="11" fillId="10" borderId="22" xfId="1" applyNumberFormat="1" applyFont="1" applyFill="1" applyBorder="1"/>
    <xf numFmtId="176" fontId="11" fillId="12" borderId="22" xfId="1" applyNumberFormat="1" applyFont="1" applyFill="1" applyBorder="1"/>
    <xf numFmtId="176" fontId="11" fillId="13" borderId="22" xfId="1" applyNumberFormat="1" applyFont="1" applyFill="1" applyBorder="1"/>
    <xf numFmtId="3" fontId="11" fillId="13" borderId="22" xfId="1" applyNumberFormat="1" applyFont="1" applyFill="1" applyBorder="1"/>
    <xf numFmtId="0" fontId="11" fillId="0" borderId="25" xfId="1" applyFont="1" applyBorder="1" applyAlignment="1">
      <alignment horizontal="left" vertical="top" wrapText="1"/>
    </xf>
    <xf numFmtId="177" fontId="11" fillId="0" borderId="26" xfId="1" applyNumberFormat="1" applyFont="1" applyBorder="1"/>
    <xf numFmtId="0" fontId="11" fillId="0" borderId="19" xfId="1" applyFont="1" applyBorder="1"/>
    <xf numFmtId="38" fontId="11" fillId="9" borderId="19" xfId="1" applyNumberFormat="1" applyFont="1" applyFill="1" applyBorder="1"/>
    <xf numFmtId="176" fontId="11" fillId="11" borderId="19" xfId="1" applyNumberFormat="1" applyFont="1" applyFill="1" applyBorder="1"/>
    <xf numFmtId="180" fontId="11" fillId="10" borderId="19" xfId="1" applyNumberFormat="1" applyFont="1" applyFill="1" applyBorder="1"/>
    <xf numFmtId="176" fontId="11" fillId="12" borderId="19" xfId="1" applyNumberFormat="1" applyFont="1" applyFill="1" applyBorder="1"/>
    <xf numFmtId="176" fontId="11" fillId="13" borderId="19" xfId="1" applyNumberFormat="1" applyFont="1" applyFill="1" applyBorder="1"/>
    <xf numFmtId="3" fontId="11" fillId="13" borderId="19" xfId="1" applyNumberFormat="1" applyFont="1" applyFill="1" applyBorder="1"/>
    <xf numFmtId="0" fontId="11" fillId="0" borderId="27" xfId="1" applyFont="1" applyBorder="1" applyAlignment="1">
      <alignment horizontal="left" vertical="top" wrapText="1"/>
    </xf>
    <xf numFmtId="177" fontId="13" fillId="0" borderId="26" xfId="1" applyNumberFormat="1" applyFont="1" applyBorder="1"/>
    <xf numFmtId="0" fontId="13" fillId="0" borderId="19" xfId="1" applyFont="1" applyBorder="1"/>
    <xf numFmtId="3" fontId="11" fillId="11" borderId="19" xfId="1" applyNumberFormat="1" applyFont="1" applyFill="1" applyBorder="1"/>
    <xf numFmtId="177" fontId="11" fillId="0" borderId="28" xfId="1" applyNumberFormat="1" applyFont="1" applyBorder="1"/>
    <xf numFmtId="0" fontId="11" fillId="0" borderId="23" xfId="1" applyFont="1" applyBorder="1"/>
    <xf numFmtId="38" fontId="11" fillId="9" borderId="23" xfId="1" applyNumberFormat="1" applyFont="1" applyFill="1" applyBorder="1"/>
    <xf numFmtId="176" fontId="11" fillId="11" borderId="23" xfId="1" applyNumberFormat="1" applyFont="1" applyFill="1" applyBorder="1"/>
    <xf numFmtId="180" fontId="11" fillId="10" borderId="23" xfId="1" applyNumberFormat="1" applyFont="1" applyFill="1" applyBorder="1"/>
    <xf numFmtId="176" fontId="11" fillId="12" borderId="23" xfId="1" applyNumberFormat="1" applyFont="1" applyFill="1" applyBorder="1"/>
    <xf numFmtId="176" fontId="11" fillId="13" borderId="23" xfId="1" applyNumberFormat="1" applyFont="1" applyFill="1" applyBorder="1"/>
    <xf numFmtId="3" fontId="11" fillId="13" borderId="23" xfId="1" applyNumberFormat="1" applyFont="1" applyFill="1" applyBorder="1"/>
    <xf numFmtId="0" fontId="11" fillId="0" borderId="29" xfId="1" applyFont="1" applyBorder="1" applyAlignment="1">
      <alignment horizontal="left" vertical="top" wrapText="1"/>
    </xf>
    <xf numFmtId="177" fontId="13" fillId="0" borderId="19" xfId="1" applyNumberFormat="1" applyFont="1" applyBorder="1"/>
    <xf numFmtId="0" fontId="11" fillId="0" borderId="19" xfId="1" applyFont="1" applyBorder="1" applyAlignment="1">
      <alignment horizontal="left" vertical="top" wrapText="1"/>
    </xf>
    <xf numFmtId="177" fontId="11" fillId="0" borderId="19" xfId="1" applyNumberFormat="1" applyFont="1" applyBorder="1"/>
    <xf numFmtId="0" fontId="0" fillId="0" borderId="19" xfId="1" applyFont="1" applyBorder="1"/>
    <xf numFmtId="0" fontId="12" fillId="14" borderId="19" xfId="1" applyFont="1" applyFill="1" applyBorder="1" applyAlignment="1">
      <alignment horizontal="left" vertical="center"/>
    </xf>
    <xf numFmtId="0" fontId="12" fillId="14" borderId="19" xfId="1" applyFont="1" applyFill="1" applyBorder="1" applyAlignment="1">
      <alignment horizontal="center" vertical="center"/>
    </xf>
    <xf numFmtId="0" fontId="12" fillId="15" borderId="19" xfId="1" applyFont="1" applyFill="1" applyBorder="1" applyAlignment="1">
      <alignment horizontal="center" vertical="center"/>
    </xf>
    <xf numFmtId="177" fontId="0" fillId="0" borderId="19" xfId="1" applyNumberFormat="1" applyFont="1" applyBorder="1"/>
    <xf numFmtId="38" fontId="14" fillId="9" borderId="19" xfId="1" applyNumberFormat="1" applyFont="1" applyFill="1" applyBorder="1"/>
    <xf numFmtId="38" fontId="11" fillId="0" borderId="19" xfId="1" applyNumberFormat="1" applyFont="1" applyBorder="1"/>
    <xf numFmtId="180" fontId="11" fillId="17" borderId="19" xfId="1" applyNumberFormat="1" applyFont="1" applyFill="1" applyBorder="1"/>
    <xf numFmtId="180" fontId="11" fillId="18" borderId="19" xfId="1" applyNumberFormat="1" applyFont="1" applyFill="1" applyBorder="1"/>
    <xf numFmtId="0" fontId="15" fillId="0" borderId="19" xfId="1" applyFont="1" applyBorder="1"/>
    <xf numFmtId="180" fontId="11" fillId="0" borderId="0" xfId="1" applyNumberFormat="1" applyFont="1"/>
    <xf numFmtId="177" fontId="13" fillId="0" borderId="0" xfId="1" applyNumberFormat="1" applyFont="1"/>
    <xf numFmtId="177" fontId="11" fillId="12" borderId="0" xfId="1" applyNumberFormat="1" applyFont="1" applyFill="1"/>
    <xf numFmtId="0" fontId="11" fillId="12" borderId="0" xfId="1" applyFont="1" applyFill="1"/>
    <xf numFmtId="3" fontId="11" fillId="12" borderId="0" xfId="1" applyNumberFormat="1" applyFont="1" applyFill="1"/>
    <xf numFmtId="0" fontId="14" fillId="0" borderId="0" xfId="1" applyFont="1"/>
    <xf numFmtId="3" fontId="14" fillId="0" borderId="0" xfId="1" applyNumberFormat="1" applyFont="1"/>
    <xf numFmtId="178" fontId="13" fillId="0" borderId="13" xfId="1" applyNumberFormat="1" applyFont="1" applyBorder="1" applyAlignment="1">
      <alignment vertical="center"/>
    </xf>
    <xf numFmtId="177" fontId="13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2" fillId="8" borderId="19" xfId="1" applyFont="1" applyFill="1" applyBorder="1" applyAlignment="1">
      <alignment horizontal="left" vertical="center"/>
    </xf>
    <xf numFmtId="0" fontId="0" fillId="0" borderId="20" xfId="1" applyFont="1" applyBorder="1"/>
    <xf numFmtId="0" fontId="0" fillId="0" borderId="21" xfId="1" applyFont="1" applyBorder="1"/>
    <xf numFmtId="0" fontId="12" fillId="7" borderId="19" xfId="1" applyFont="1" applyFill="1" applyBorder="1" applyAlignment="1">
      <alignment horizontal="left" vertical="center"/>
    </xf>
    <xf numFmtId="0" fontId="0" fillId="0" borderId="19" xfId="1" applyFont="1" applyBorder="1"/>
    <xf numFmtId="0" fontId="12" fillId="7" borderId="19" xfId="1" applyFont="1" applyFill="1" applyBorder="1" applyAlignment="1">
      <alignment horizontal="center" vertical="center"/>
    </xf>
    <xf numFmtId="0" fontId="0" fillId="0" borderId="30" xfId="1" applyFont="1" applyBorder="1"/>
    <xf numFmtId="0" fontId="12" fillId="16" borderId="19" xfId="1" applyFont="1" applyFill="1" applyBorder="1" applyAlignment="1">
      <alignment horizontal="center" vertical="center"/>
    </xf>
    <xf numFmtId="0" fontId="12" fillId="15" borderId="19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3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6" t="s">
        <v>0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</row>
    <row r="3" spans="1:16">
      <c r="A3" s="134" t="s">
        <v>1</v>
      </c>
      <c r="B3" s="133"/>
      <c r="C3" s="133"/>
      <c r="D3" s="133"/>
      <c r="E3" s="133"/>
      <c r="F3" s="133"/>
      <c r="G3" s="133"/>
      <c r="H3" s="13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140020847</v>
      </c>
      <c r="C6" s="1"/>
      <c r="D6" s="1" t="s">
        <v>8</v>
      </c>
      <c r="E6" s="6">
        <v>46285</v>
      </c>
      <c r="F6" s="5">
        <v>20184954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2667659335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3070029191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1976158603</v>
      </c>
      <c r="C9" s="1"/>
      <c r="D9" s="1" t="s">
        <v>14</v>
      </c>
      <c r="E9" s="6">
        <v>46286</v>
      </c>
      <c r="F9" s="5">
        <v>17314264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70815416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32" t="s">
        <v>18</v>
      </c>
      <c r="E12" s="133"/>
      <c r="F12" s="133"/>
      <c r="G12" s="133"/>
      <c r="H12" s="133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35" t="s">
        <v>20</v>
      </c>
      <c r="E13" s="133"/>
      <c r="F13" s="133"/>
      <c r="G13" s="133"/>
      <c r="H13" s="133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'4주일별계획'!R33</f>
        <v>253407838.60000008</v>
      </c>
      <c r="C14" s="1"/>
      <c r="D14" s="135" t="s">
        <v>22</v>
      </c>
      <c r="E14" s="133"/>
      <c r="F14" s="133"/>
      <c r="G14" s="133"/>
      <c r="H14" s="133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MIN('4주일별계획'!R6:R33)</f>
        <v>91877902</v>
      </c>
      <c r="C15" s="1"/>
      <c r="D15" s="135" t="str">
        <f>"3. 온라인 입금은 최근 12주 요일별 평균의 "&amp;TEXT($B$13,"0%")&amp;"로 예측합니다."</f>
        <v>3. 온라인 입금은 최근 12주 요일별 평균의 80%로 예측합니다.</v>
      </c>
      <c r="E15" s="133"/>
      <c r="F15" s="133"/>
      <c r="G15" s="133"/>
      <c r="H15" s="133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314559292.80000013</v>
      </c>
      <c r="C16" s="1"/>
      <c r="D16" s="135" t="s">
        <v>25</v>
      </c>
      <c r="E16" s="133"/>
      <c r="F16" s="133"/>
      <c r="G16" s="133"/>
      <c r="H16" s="133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35" t="s">
        <v>26</v>
      </c>
      <c r="E17" s="133"/>
      <c r="F17" s="133"/>
      <c r="G17" s="133"/>
      <c r="H17" s="133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6" t="s">
        <v>27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</row>
    <row r="3" spans="1:16">
      <c r="A3" s="137" t="s">
        <v>28</v>
      </c>
      <c r="B3" s="133"/>
      <c r="C3" s="133"/>
      <c r="D3" s="133"/>
      <c r="E3" s="133"/>
      <c r="F3" s="133"/>
      <c r="G3" s="133"/>
      <c r="H3" s="133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3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outlineLevelCol="1"/>
  <cols>
    <col min="1" max="1" width="11" customWidth="1"/>
    <col min="2" max="2" width="5" customWidth="1"/>
    <col min="3" max="3" width="13" customWidth="1" outlineLevel="1"/>
    <col min="4" max="6" width="13" customWidth="1"/>
    <col min="7" max="7" width="14" customWidth="1"/>
    <col min="8" max="8" width="13" hidden="1" customWidth="1" outlineLevel="1"/>
    <col min="9" max="9" width="13" customWidth="1" collapsed="1"/>
    <col min="10" max="13" width="13" customWidth="1"/>
    <col min="14" max="14" width="12" customWidth="1"/>
    <col min="15" max="16" width="13" customWidth="1"/>
    <col min="17" max="18" width="14" customWidth="1"/>
    <col min="19" max="19" width="34" customWidth="1"/>
  </cols>
  <sheetData>
    <row r="2" spans="1:19" ht="19.5">
      <c r="A2" s="72" t="s">
        <v>92</v>
      </c>
    </row>
    <row r="3" spans="1:19">
      <c r="A3" s="73" t="s">
        <v>93</v>
      </c>
    </row>
    <row r="4" spans="1:19">
      <c r="C4" s="141" t="s">
        <v>94</v>
      </c>
      <c r="D4" s="139"/>
      <c r="E4" s="139"/>
      <c r="F4" s="140"/>
      <c r="H4" s="138" t="s">
        <v>95</v>
      </c>
      <c r="I4" s="139"/>
      <c r="J4" s="139"/>
      <c r="K4" s="140"/>
    </row>
    <row r="5" spans="1:19">
      <c r="A5" s="78" t="s">
        <v>96</v>
      </c>
      <c r="B5" s="78" t="s">
        <v>97</v>
      </c>
      <c r="C5" s="78" t="s">
        <v>14</v>
      </c>
      <c r="D5" s="78" t="s">
        <v>12</v>
      </c>
      <c r="E5" s="78" t="s">
        <v>10</v>
      </c>
      <c r="F5" s="78" t="s">
        <v>8</v>
      </c>
      <c r="G5" s="78" t="s">
        <v>98</v>
      </c>
      <c r="H5" s="79" t="s">
        <v>14</v>
      </c>
      <c r="I5" s="79" t="s">
        <v>12</v>
      </c>
      <c r="J5" s="79" t="s">
        <v>10</v>
      </c>
      <c r="K5" s="79" t="s">
        <v>8</v>
      </c>
      <c r="L5" s="78" t="s">
        <v>99</v>
      </c>
      <c r="M5" s="78" t="s">
        <v>100</v>
      </c>
      <c r="N5" s="78" t="s">
        <v>101</v>
      </c>
      <c r="O5" s="78" t="s">
        <v>102</v>
      </c>
      <c r="P5" s="78" t="s">
        <v>103</v>
      </c>
      <c r="Q5" s="78" t="s">
        <v>104</v>
      </c>
      <c r="R5" s="78" t="s">
        <v>105</v>
      </c>
      <c r="S5" s="78" t="s">
        <v>106</v>
      </c>
    </row>
    <row r="6" spans="1:19" ht="40.5">
      <c r="A6" s="80">
        <v>46286</v>
      </c>
      <c r="B6" s="81" t="s">
        <v>107</v>
      </c>
      <c r="C6" s="82">
        <f>계좌별시나리오!D6</f>
        <v>5632523.2021312006</v>
      </c>
      <c r="D6" s="82">
        <f>계좌별시나리오!E6</f>
        <v>2049538.8012736</v>
      </c>
      <c r="E6" s="82">
        <f>계좌별시나리오!F6</f>
        <v>102320290.1714592</v>
      </c>
      <c r="F6" s="82">
        <f>계좌별시나리오!G6</f>
        <v>22580572.625135999</v>
      </c>
      <c r="G6" s="83">
        <f>INDEX(설정및분류!$C$6:$C$12,WEEKDAY(A6,2))*요약!$B$13</f>
        <v>8542204.8000000007</v>
      </c>
      <c r="H6" s="84">
        <f>계좌별시나리오!I6</f>
        <v>4298386.2021312006</v>
      </c>
      <c r="I6" s="84">
        <f>계좌별시나리오!J6</f>
        <v>215109.80127360002</v>
      </c>
      <c r="J6" s="84">
        <f>계좌별시나리오!K6</f>
        <v>1633090.1714592001</v>
      </c>
      <c r="K6" s="84">
        <f>계좌별시나리오!L6</f>
        <v>2395618.6251360001</v>
      </c>
      <c r="L6" s="85"/>
      <c r="M6" s="85">
        <v>5494000</v>
      </c>
      <c r="N6" s="85"/>
      <c r="O6" s="85">
        <v>5120000</v>
      </c>
      <c r="P6" s="86">
        <f t="shared" ref="P6:P33" si="0">G6+L6-M6-N6-O6</f>
        <v>-2071795.1999999993</v>
      </c>
      <c r="Q6" s="87">
        <v>134654720</v>
      </c>
      <c r="R6" s="86">
        <f t="shared" ref="R6:R33" si="1">Q6+P6</f>
        <v>132582924.8</v>
      </c>
      <c r="S6" s="88" t="s">
        <v>108</v>
      </c>
    </row>
    <row r="7" spans="1:19" ht="27">
      <c r="A7" s="89">
        <v>46287</v>
      </c>
      <c r="B7" s="90" t="s">
        <v>109</v>
      </c>
      <c r="C7" s="91">
        <f>계좌별시나리오!D7</f>
        <v>0</v>
      </c>
      <c r="D7" s="91">
        <f>계좌별시나리오!E7</f>
        <v>0</v>
      </c>
      <c r="E7" s="91">
        <f>계좌별시나리오!F7</f>
        <v>101290199.97050801</v>
      </c>
      <c r="F7" s="91">
        <f>계좌별시나리오!G7</f>
        <v>27573615.629492</v>
      </c>
      <c r="G7" s="92">
        <f>INDEX(설정및분류!$C$6:$C$12,WEEKDAY(A7,2))*요약!$B$13</f>
        <v>17804000.800000001</v>
      </c>
      <c r="H7" s="93">
        <f>계좌별시나리오!I7</f>
        <v>8958866.378555201</v>
      </c>
      <c r="I7" s="93">
        <f>계좌별시나리오!J7</f>
        <v>448340.3481456</v>
      </c>
      <c r="J7" s="93">
        <f>계좌별시나리오!K7</f>
        <v>3403751.0689431997</v>
      </c>
      <c r="K7" s="93">
        <f>계좌별시나리오!L7</f>
        <v>4993043.0043560006</v>
      </c>
      <c r="L7" s="94"/>
      <c r="M7" s="94">
        <v>21523110</v>
      </c>
      <c r="N7" s="94"/>
      <c r="O7" s="94"/>
      <c r="P7" s="95">
        <f t="shared" si="0"/>
        <v>-3719109.1999999993</v>
      </c>
      <c r="Q7" s="96">
        <f t="shared" ref="Q7:Q33" si="2">R6</f>
        <v>132582924.8</v>
      </c>
      <c r="R7" s="95">
        <f t="shared" si="1"/>
        <v>128863815.59999999</v>
      </c>
      <c r="S7" s="97" t="s">
        <v>110</v>
      </c>
    </row>
    <row r="8" spans="1:19" ht="40.5">
      <c r="A8" s="89">
        <v>46288</v>
      </c>
      <c r="B8" s="90" t="s">
        <v>111</v>
      </c>
      <c r="C8" s="91">
        <f>계좌별시나리오!D8</f>
        <v>0</v>
      </c>
      <c r="D8" s="91">
        <f>계좌별시나리오!E8</f>
        <v>0</v>
      </c>
      <c r="E8" s="91">
        <f>계좌별시나리오!F8</f>
        <v>63703131.426800013</v>
      </c>
      <c r="F8" s="91">
        <f>계좌별시나리오!G8</f>
        <v>30781220.573199999</v>
      </c>
      <c r="G8" s="92">
        <f>INDEX(설정및분류!$C$6:$C$12,WEEKDAY(A8,2))*요약!$B$13</f>
        <v>11437554.4</v>
      </c>
      <c r="H8" s="93">
        <f>계좌별시나리오!I8</f>
        <v>5755308.7487536008</v>
      </c>
      <c r="I8" s="93">
        <f>계좌별시나리오!J8</f>
        <v>288020.4949008</v>
      </c>
      <c r="J8" s="93">
        <f>계좌별시나리오!K8</f>
        <v>2186620.2126376</v>
      </c>
      <c r="K8" s="93">
        <f>계좌별시나리오!L8</f>
        <v>3207604.9437080002</v>
      </c>
      <c r="L8" s="94"/>
      <c r="M8" s="94">
        <v>13642786</v>
      </c>
      <c r="N8" s="94"/>
      <c r="O8" s="94">
        <v>32174232</v>
      </c>
      <c r="P8" s="95">
        <f t="shared" si="0"/>
        <v>-34379463.600000001</v>
      </c>
      <c r="Q8" s="96">
        <f t="shared" si="2"/>
        <v>128863815.59999999</v>
      </c>
      <c r="R8" s="95">
        <f t="shared" si="1"/>
        <v>94484352</v>
      </c>
      <c r="S8" s="97" t="s">
        <v>112</v>
      </c>
    </row>
    <row r="9" spans="1:19" ht="15">
      <c r="A9" s="98">
        <v>46289</v>
      </c>
      <c r="B9" s="99" t="s">
        <v>113</v>
      </c>
      <c r="C9" s="91">
        <f>계좌별시나리오!D9</f>
        <v>0</v>
      </c>
      <c r="D9" s="91">
        <f>계좌별시나리오!E9</f>
        <v>0</v>
      </c>
      <c r="E9" s="91">
        <f>계좌별시나리오!F9</f>
        <v>63703131.426800013</v>
      </c>
      <c r="F9" s="91">
        <f>계좌별시나리오!G9</f>
        <v>30781220.573199999</v>
      </c>
      <c r="G9" s="100">
        <v>0</v>
      </c>
      <c r="H9" s="93">
        <f>계좌별시나리오!I9</f>
        <v>0</v>
      </c>
      <c r="I9" s="93">
        <f>계좌별시나리오!J9</f>
        <v>0</v>
      </c>
      <c r="J9" s="93">
        <f>계좌별시나리오!K9</f>
        <v>0</v>
      </c>
      <c r="K9" s="93">
        <f>계좌별시나리오!L9</f>
        <v>0</v>
      </c>
      <c r="L9" s="94"/>
      <c r="M9" s="94"/>
      <c r="N9" s="94"/>
      <c r="O9" s="94"/>
      <c r="P9" s="95">
        <f t="shared" si="0"/>
        <v>0</v>
      </c>
      <c r="Q9" s="96">
        <f t="shared" si="2"/>
        <v>94484352</v>
      </c>
      <c r="R9" s="95">
        <f t="shared" si="1"/>
        <v>94484352</v>
      </c>
      <c r="S9" s="97"/>
    </row>
    <row r="10" spans="1:19" ht="15">
      <c r="A10" s="98">
        <v>46290</v>
      </c>
      <c r="B10" s="99" t="s">
        <v>114</v>
      </c>
      <c r="C10" s="91">
        <f>계좌별시나리오!D10</f>
        <v>0</v>
      </c>
      <c r="D10" s="91">
        <f>계좌별시나리오!E10</f>
        <v>0</v>
      </c>
      <c r="E10" s="91">
        <f>계좌별시나리오!F10</f>
        <v>61096681.426800013</v>
      </c>
      <c r="F10" s="91">
        <f>계좌별시나리오!G10</f>
        <v>30781220.573199999</v>
      </c>
      <c r="G10" s="100">
        <v>0</v>
      </c>
      <c r="H10" s="93">
        <f>계좌별시나리오!I10</f>
        <v>0</v>
      </c>
      <c r="I10" s="93">
        <f>계좌별시나리오!J10</f>
        <v>0</v>
      </c>
      <c r="J10" s="93">
        <f>계좌별시나리오!K10</f>
        <v>0</v>
      </c>
      <c r="K10" s="93">
        <f>계좌별시나리오!L10</f>
        <v>0</v>
      </c>
      <c r="L10" s="94"/>
      <c r="M10" s="94"/>
      <c r="N10" s="94"/>
      <c r="O10" s="94">
        <v>2606450</v>
      </c>
      <c r="P10" s="95">
        <f t="shared" si="0"/>
        <v>-2606450</v>
      </c>
      <c r="Q10" s="96">
        <f t="shared" si="2"/>
        <v>94484352</v>
      </c>
      <c r="R10" s="95">
        <f t="shared" si="1"/>
        <v>91877902</v>
      </c>
      <c r="S10" s="97" t="s">
        <v>115</v>
      </c>
    </row>
    <row r="11" spans="1:19" ht="15">
      <c r="A11" s="98">
        <v>46291</v>
      </c>
      <c r="B11" s="99" t="s">
        <v>116</v>
      </c>
      <c r="C11" s="91">
        <f>계좌별시나리오!D11</f>
        <v>0</v>
      </c>
      <c r="D11" s="91">
        <f>계좌별시나리오!E11</f>
        <v>0</v>
      </c>
      <c r="E11" s="91">
        <f>계좌별시나리오!F11</f>
        <v>61096681.426800013</v>
      </c>
      <c r="F11" s="91">
        <f>계좌별시나리오!G11</f>
        <v>30781220.573199999</v>
      </c>
      <c r="G11" s="100">
        <v>0</v>
      </c>
      <c r="H11" s="93">
        <f>계좌별시나리오!I11</f>
        <v>0</v>
      </c>
      <c r="I11" s="93">
        <f>계좌별시나리오!J11</f>
        <v>0</v>
      </c>
      <c r="J11" s="93">
        <f>계좌별시나리오!K11</f>
        <v>0</v>
      </c>
      <c r="K11" s="93">
        <f>계좌별시나리오!L11</f>
        <v>0</v>
      </c>
      <c r="L11" s="94"/>
      <c r="M11" s="94"/>
      <c r="N11" s="94"/>
      <c r="O11" s="94"/>
      <c r="P11" s="95">
        <f t="shared" si="0"/>
        <v>0</v>
      </c>
      <c r="Q11" s="96">
        <f t="shared" si="2"/>
        <v>91877902</v>
      </c>
      <c r="R11" s="95">
        <f t="shared" si="1"/>
        <v>91877902</v>
      </c>
      <c r="S11" s="97"/>
    </row>
    <row r="12" spans="1:19" ht="15">
      <c r="A12" s="98">
        <v>46292</v>
      </c>
      <c r="B12" s="99" t="s">
        <v>117</v>
      </c>
      <c r="C12" s="91">
        <f>계좌별시나리오!D12</f>
        <v>0</v>
      </c>
      <c r="D12" s="91">
        <f>계좌별시나리오!E12</f>
        <v>0</v>
      </c>
      <c r="E12" s="91">
        <f>계좌별시나리오!F12</f>
        <v>61096681.426800013</v>
      </c>
      <c r="F12" s="91">
        <f>계좌별시나리오!G12</f>
        <v>30781220.573199999</v>
      </c>
      <c r="G12" s="92">
        <f>INDEX(설정및분류!$C$6:$C$12,WEEKDAY(A12,2))*요약!$B$13</f>
        <v>0</v>
      </c>
      <c r="H12" s="93">
        <f>계좌별시나리오!I12</f>
        <v>0</v>
      </c>
      <c r="I12" s="93">
        <f>계좌별시나리오!J12</f>
        <v>0</v>
      </c>
      <c r="J12" s="93">
        <f>계좌별시나리오!K12</f>
        <v>0</v>
      </c>
      <c r="K12" s="93">
        <f>계좌별시나리오!L12</f>
        <v>0</v>
      </c>
      <c r="L12" s="94"/>
      <c r="M12" s="94"/>
      <c r="N12" s="94"/>
      <c r="O12" s="94"/>
      <c r="P12" s="95">
        <f t="shared" si="0"/>
        <v>0</v>
      </c>
      <c r="Q12" s="96">
        <f t="shared" si="2"/>
        <v>91877902</v>
      </c>
      <c r="R12" s="95">
        <f t="shared" si="1"/>
        <v>91877902</v>
      </c>
      <c r="S12" s="97"/>
    </row>
    <row r="13" spans="1:19" ht="15">
      <c r="A13" s="89">
        <v>46293</v>
      </c>
      <c r="B13" s="90" t="s">
        <v>107</v>
      </c>
      <c r="C13" s="91">
        <f>계좌별시나리오!D13</f>
        <v>2648386.2021312006</v>
      </c>
      <c r="D13" s="91">
        <f>계좌별시나리오!E13</f>
        <v>215109.80127360002</v>
      </c>
      <c r="E13" s="91">
        <f>계좌별시나리오!F13</f>
        <v>62729771.598259211</v>
      </c>
      <c r="F13" s="91">
        <f>계좌별시나리오!G13</f>
        <v>33176839.198335998</v>
      </c>
      <c r="G13" s="92">
        <f>INDEX(설정및분류!$C$6:$C$12,WEEKDAY(A13,2))*요약!$B$13</f>
        <v>8542204.8000000007</v>
      </c>
      <c r="H13" s="93">
        <f>계좌별시나리오!I13</f>
        <v>4298386.2021312006</v>
      </c>
      <c r="I13" s="93">
        <f>계좌별시나리오!J13</f>
        <v>215109.80127360002</v>
      </c>
      <c r="J13" s="93">
        <f>계좌별시나리오!K13</f>
        <v>1633090.1714592001</v>
      </c>
      <c r="K13" s="93">
        <f>계좌별시나리오!L13</f>
        <v>2395618.6251360001</v>
      </c>
      <c r="L13" s="94"/>
      <c r="M13" s="94">
        <v>1650000</v>
      </c>
      <c r="N13" s="94"/>
      <c r="O13" s="94"/>
      <c r="P13" s="95">
        <f t="shared" si="0"/>
        <v>6892204.8000000007</v>
      </c>
      <c r="Q13" s="96">
        <f t="shared" si="2"/>
        <v>91877902</v>
      </c>
      <c r="R13" s="95">
        <f t="shared" si="1"/>
        <v>98770106.799999997</v>
      </c>
      <c r="S13" s="97" t="s">
        <v>118</v>
      </c>
    </row>
    <row r="14" spans="1:19" ht="15">
      <c r="A14" s="89">
        <v>46294</v>
      </c>
      <c r="B14" s="90" t="s">
        <v>109</v>
      </c>
      <c r="C14" s="91">
        <f>계좌별시나리오!D14</f>
        <v>11607252.580686402</v>
      </c>
      <c r="D14" s="91">
        <f>계좌별시나리오!E14</f>
        <v>663450.14941920002</v>
      </c>
      <c r="E14" s="91">
        <f>계좌별시나리오!F14</f>
        <v>66133522.667202413</v>
      </c>
      <c r="F14" s="91">
        <f>계좌별시나리오!G14</f>
        <v>38169882.202692002</v>
      </c>
      <c r="G14" s="92">
        <f>INDEX(설정및분류!$C$6:$C$12,WEEKDAY(A14,2))*요약!$B$13</f>
        <v>17804000.800000001</v>
      </c>
      <c r="H14" s="93">
        <f>계좌별시나리오!I14</f>
        <v>8958866.378555201</v>
      </c>
      <c r="I14" s="93">
        <f>계좌별시나리오!J14</f>
        <v>448340.3481456</v>
      </c>
      <c r="J14" s="93">
        <f>계좌별시나리오!K14</f>
        <v>3403751.0689431997</v>
      </c>
      <c r="K14" s="93">
        <f>계좌별시나리오!L14</f>
        <v>4993043.0043560006</v>
      </c>
      <c r="L14" s="94"/>
      <c r="M14" s="94"/>
      <c r="N14" s="94"/>
      <c r="O14" s="94"/>
      <c r="P14" s="95">
        <f t="shared" si="0"/>
        <v>17804000.800000001</v>
      </c>
      <c r="Q14" s="96">
        <f t="shared" si="2"/>
        <v>98770106.799999997</v>
      </c>
      <c r="R14" s="95">
        <f t="shared" si="1"/>
        <v>116574107.59999999</v>
      </c>
      <c r="S14" s="97"/>
    </row>
    <row r="15" spans="1:19" ht="27">
      <c r="A15" s="89">
        <v>46295</v>
      </c>
      <c r="B15" s="90" t="s">
        <v>111</v>
      </c>
      <c r="C15" s="91">
        <f>계좌별시나리오!D15</f>
        <v>22405504.672637999</v>
      </c>
      <c r="D15" s="91">
        <f>계좌별시나리오!E15</f>
        <v>1203841.2991140001</v>
      </c>
      <c r="E15" s="91">
        <f>계좌별시나리오!F15</f>
        <v>70236113.391033009</v>
      </c>
      <c r="F15" s="91">
        <f>계좌별시나리오!G15</f>
        <v>44188069.637215003</v>
      </c>
      <c r="G15" s="92">
        <f>INDEX(설정및분류!$C$6:$C$12,WEEKDAY(A15,2))*요약!$B$13</f>
        <v>11437554.4</v>
      </c>
      <c r="H15" s="93">
        <f>계좌별시나리오!I15</f>
        <v>10798252.091951599</v>
      </c>
      <c r="I15" s="93">
        <f>계좌별시나리오!J15</f>
        <v>540391.14969479991</v>
      </c>
      <c r="J15" s="93">
        <f>계좌별시나리오!K15</f>
        <v>4102590.7238305993</v>
      </c>
      <c r="K15" s="93">
        <f>계좌별시나리오!L15</f>
        <v>6018187.4345229995</v>
      </c>
      <c r="L15" s="94">
        <v>10021867</v>
      </c>
      <c r="M15" s="94"/>
      <c r="N15" s="94"/>
      <c r="O15" s="94"/>
      <c r="P15" s="95">
        <f t="shared" si="0"/>
        <v>21459421.399999999</v>
      </c>
      <c r="Q15" s="96">
        <f t="shared" si="2"/>
        <v>116574107.59999999</v>
      </c>
      <c r="R15" s="95">
        <f t="shared" si="1"/>
        <v>138033529</v>
      </c>
      <c r="S15" s="97" t="s">
        <v>119</v>
      </c>
    </row>
    <row r="16" spans="1:19" ht="15">
      <c r="A16" s="89">
        <v>46296</v>
      </c>
      <c r="B16" s="90" t="s">
        <v>113</v>
      </c>
      <c r="C16" s="91">
        <f>계좌별시나리오!D16</f>
        <v>27745323.317705199</v>
      </c>
      <c r="D16" s="91">
        <f>계좌별시나리오!E16</f>
        <v>1471068.8755956001</v>
      </c>
      <c r="E16" s="91">
        <f>계좌별시나리오!F16</f>
        <v>72264876.032768205</v>
      </c>
      <c r="F16" s="91">
        <f>계좌별시나리오!G16</f>
        <v>47164109.573931001</v>
      </c>
      <c r="G16" s="92">
        <f>INDEX(설정및분류!$C$6:$C$12,WEEKDAY(A16,2))*요약!$B$13</f>
        <v>10611848.800000001</v>
      </c>
      <c r="H16" s="93">
        <f>계좌별시나리오!I16</f>
        <v>5339818.645067201</v>
      </c>
      <c r="I16" s="93">
        <f>계좌별시나리오!J16</f>
        <v>267227.5764816</v>
      </c>
      <c r="J16" s="93">
        <f>계좌별시나리오!K16</f>
        <v>2028762.6417352001</v>
      </c>
      <c r="K16" s="93">
        <f>계좌별시나리오!L16</f>
        <v>2976039.9367160001</v>
      </c>
      <c r="L16" s="94"/>
      <c r="M16" s="94"/>
      <c r="N16" s="94"/>
      <c r="O16" s="94"/>
      <c r="P16" s="95">
        <f t="shared" si="0"/>
        <v>10611848.800000001</v>
      </c>
      <c r="Q16" s="96">
        <f t="shared" si="2"/>
        <v>138033529</v>
      </c>
      <c r="R16" s="95">
        <f t="shared" si="1"/>
        <v>148645377.80000001</v>
      </c>
      <c r="S16" s="97"/>
    </row>
    <row r="17" spans="1:19" ht="15">
      <c r="A17" s="101">
        <v>46297</v>
      </c>
      <c r="B17" s="102" t="s">
        <v>114</v>
      </c>
      <c r="C17" s="103">
        <f>계좌별시나리오!D17</f>
        <v>31900057.294161201</v>
      </c>
      <c r="D17" s="103">
        <f>계좌별시나리오!E17</f>
        <v>1678989.6993636</v>
      </c>
      <c r="E17" s="103">
        <f>계좌별시나리오!F17</f>
        <v>73843388.27036421</v>
      </c>
      <c r="F17" s="103">
        <f>계좌별시나리오!G17</f>
        <v>49479666.536110997</v>
      </c>
      <c r="G17" s="104">
        <f>INDEX(설정및분류!$C$6:$C$12,WEEKDAY(A17,2))*요약!$B$13</f>
        <v>8256724</v>
      </c>
      <c r="H17" s="105">
        <f>계좌별시나리오!I17</f>
        <v>4154733.9764560005</v>
      </c>
      <c r="I17" s="105">
        <f>계좌별시나리오!J17</f>
        <v>207920.823768</v>
      </c>
      <c r="J17" s="105">
        <f>계좌별시나리오!K17</f>
        <v>1578512.2375959998</v>
      </c>
      <c r="K17" s="105">
        <f>계좌별시나리오!L17</f>
        <v>2315556.9621799998</v>
      </c>
      <c r="L17" s="106"/>
      <c r="M17" s="106"/>
      <c r="N17" s="106"/>
      <c r="O17" s="106"/>
      <c r="P17" s="107">
        <f t="shared" si="0"/>
        <v>8256724</v>
      </c>
      <c r="Q17" s="108">
        <f t="shared" si="2"/>
        <v>148645377.80000001</v>
      </c>
      <c r="R17" s="107">
        <f t="shared" si="1"/>
        <v>156902101.80000001</v>
      </c>
      <c r="S17" s="109"/>
    </row>
    <row r="18" spans="1:19" ht="15">
      <c r="A18" s="110">
        <v>46298</v>
      </c>
      <c r="B18" s="99" t="s">
        <v>116</v>
      </c>
      <c r="C18" s="91">
        <f>계좌별시나리오!D18</f>
        <v>31900057.294161201</v>
      </c>
      <c r="D18" s="91">
        <f>계좌별시나리오!E18</f>
        <v>1678989.6993636</v>
      </c>
      <c r="E18" s="91">
        <f>계좌별시나리오!F18</f>
        <v>73843388.27036421</v>
      </c>
      <c r="F18" s="91">
        <f>계좌별시나리오!G18</f>
        <v>49479666.536110997</v>
      </c>
      <c r="G18" s="100">
        <v>0</v>
      </c>
      <c r="H18" s="93">
        <f>계좌별시나리오!I18</f>
        <v>0</v>
      </c>
      <c r="I18" s="93">
        <f>계좌별시나리오!J18</f>
        <v>0</v>
      </c>
      <c r="J18" s="93">
        <f>계좌별시나리오!K18</f>
        <v>0</v>
      </c>
      <c r="K18" s="93">
        <f>계좌별시나리오!L18</f>
        <v>0</v>
      </c>
      <c r="L18" s="94"/>
      <c r="M18" s="94"/>
      <c r="N18" s="94"/>
      <c r="O18" s="94"/>
      <c r="P18" s="95">
        <f t="shared" si="0"/>
        <v>0</v>
      </c>
      <c r="Q18" s="96">
        <f t="shared" si="2"/>
        <v>156902101.80000001</v>
      </c>
      <c r="R18" s="95">
        <f t="shared" si="1"/>
        <v>156902101.80000001</v>
      </c>
      <c r="S18" s="111"/>
    </row>
    <row r="19" spans="1:19" ht="15">
      <c r="A19" s="110">
        <v>46299</v>
      </c>
      <c r="B19" s="99" t="s">
        <v>117</v>
      </c>
      <c r="C19" s="91">
        <f>계좌별시나리오!D19</f>
        <v>31900057.294161201</v>
      </c>
      <c r="D19" s="91">
        <f>계좌별시나리오!E19</f>
        <v>1678989.6993636</v>
      </c>
      <c r="E19" s="91">
        <f>계좌별시나리오!F19</f>
        <v>73843388.27036421</v>
      </c>
      <c r="F19" s="91">
        <f>계좌별시나리오!G19</f>
        <v>49479666.536110997</v>
      </c>
      <c r="G19" s="92">
        <f>INDEX(설정및분류!$C$6:$C$12,WEEKDAY(A19,2))*요약!$B$13</f>
        <v>0</v>
      </c>
      <c r="H19" s="93">
        <f>계좌별시나리오!I19</f>
        <v>0</v>
      </c>
      <c r="I19" s="93">
        <f>계좌별시나리오!J19</f>
        <v>0</v>
      </c>
      <c r="J19" s="93">
        <f>계좌별시나리오!K19</f>
        <v>0</v>
      </c>
      <c r="K19" s="93">
        <f>계좌별시나리오!L19</f>
        <v>0</v>
      </c>
      <c r="L19" s="94"/>
      <c r="M19" s="94"/>
      <c r="N19" s="94"/>
      <c r="O19" s="94"/>
      <c r="P19" s="95">
        <f t="shared" si="0"/>
        <v>0</v>
      </c>
      <c r="Q19" s="96">
        <f t="shared" si="2"/>
        <v>156902101.80000001</v>
      </c>
      <c r="R19" s="95">
        <f t="shared" si="1"/>
        <v>156902101.80000001</v>
      </c>
      <c r="S19" s="111"/>
    </row>
    <row r="20" spans="1:19" ht="15">
      <c r="A20" s="110">
        <v>46300</v>
      </c>
      <c r="B20" s="99" t="s">
        <v>107</v>
      </c>
      <c r="C20" s="91">
        <f>계좌별시나리오!D20</f>
        <v>31900057.294161201</v>
      </c>
      <c r="D20" s="91">
        <f>계좌별시나리오!E20</f>
        <v>1678989.6993636</v>
      </c>
      <c r="E20" s="91">
        <f>계좌별시나리오!F20</f>
        <v>73843388.27036421</v>
      </c>
      <c r="F20" s="91">
        <f>계좌별시나리오!G20</f>
        <v>49479666.536110997</v>
      </c>
      <c r="G20" s="100">
        <v>0</v>
      </c>
      <c r="H20" s="93">
        <f>계좌별시나리오!I20</f>
        <v>0</v>
      </c>
      <c r="I20" s="93">
        <f>계좌별시나리오!J20</f>
        <v>0</v>
      </c>
      <c r="J20" s="93">
        <f>계좌별시나리오!K20</f>
        <v>0</v>
      </c>
      <c r="K20" s="93">
        <f>계좌별시나리오!L20</f>
        <v>0</v>
      </c>
      <c r="L20" s="94"/>
      <c r="M20" s="94"/>
      <c r="N20" s="94"/>
      <c r="O20" s="94"/>
      <c r="P20" s="95">
        <f t="shared" si="0"/>
        <v>0</v>
      </c>
      <c r="Q20" s="96">
        <f t="shared" si="2"/>
        <v>156902101.80000001</v>
      </c>
      <c r="R20" s="95">
        <f t="shared" si="1"/>
        <v>156902101.80000001</v>
      </c>
      <c r="S20" s="111"/>
    </row>
    <row r="21" spans="1:19" ht="15">
      <c r="A21" s="112">
        <v>46301</v>
      </c>
      <c r="B21" s="90" t="s">
        <v>109</v>
      </c>
      <c r="C21" s="91">
        <f>계좌별시나리오!D21</f>
        <v>40858923.672716402</v>
      </c>
      <c r="D21" s="91">
        <f>계좌별시나리오!E21</f>
        <v>2127330.0475091999</v>
      </c>
      <c r="E21" s="91">
        <f>계좌별시나리오!F21</f>
        <v>77247139.339307413</v>
      </c>
      <c r="F21" s="91">
        <f>계좌별시나리오!G21</f>
        <v>54472709.540466994</v>
      </c>
      <c r="G21" s="92">
        <f>INDEX(설정및분류!$C$6:$C$12,WEEKDAY(A21,2))*요약!$B$13</f>
        <v>17804000.800000001</v>
      </c>
      <c r="H21" s="93">
        <f>계좌별시나리오!I21</f>
        <v>8958866.378555201</v>
      </c>
      <c r="I21" s="93">
        <f>계좌별시나리오!J21</f>
        <v>448340.3481456</v>
      </c>
      <c r="J21" s="93">
        <f>계좌별시나리오!K21</f>
        <v>3403751.0689431997</v>
      </c>
      <c r="K21" s="93">
        <f>계좌별시나리오!L21</f>
        <v>4993043.0043560006</v>
      </c>
      <c r="L21" s="94"/>
      <c r="M21" s="94"/>
      <c r="N21" s="94"/>
      <c r="O21" s="94"/>
      <c r="P21" s="95">
        <f t="shared" si="0"/>
        <v>17804000.800000001</v>
      </c>
      <c r="Q21" s="96">
        <f t="shared" si="2"/>
        <v>156902101.80000001</v>
      </c>
      <c r="R21" s="95">
        <f t="shared" si="1"/>
        <v>174706102.60000002</v>
      </c>
      <c r="S21" s="111"/>
    </row>
    <row r="22" spans="1:19" ht="15">
      <c r="A22" s="112">
        <v>46302</v>
      </c>
      <c r="B22" s="90" t="s">
        <v>111</v>
      </c>
      <c r="C22" s="91">
        <f>계좌별시나리오!D22</f>
        <v>46614232.421470001</v>
      </c>
      <c r="D22" s="91">
        <f>계좌별시나리오!E22</f>
        <v>2415350.5424099998</v>
      </c>
      <c r="E22" s="91">
        <f>계좌별시나리오!F22</f>
        <v>79433759.551945016</v>
      </c>
      <c r="F22" s="91">
        <f>계좌별시나리오!G22</f>
        <v>57680314.484174997</v>
      </c>
      <c r="G22" s="92">
        <f>INDEX(설정및분류!$C$6:$C$12,WEEKDAY(A22,2))*요약!$B$13</f>
        <v>11437554.4</v>
      </c>
      <c r="H22" s="93">
        <f>계좌별시나리오!I22</f>
        <v>5755308.7487536008</v>
      </c>
      <c r="I22" s="93">
        <f>계좌별시나리오!J22</f>
        <v>288020.4949008</v>
      </c>
      <c r="J22" s="93">
        <f>계좌별시나리오!K22</f>
        <v>2186620.2126376</v>
      </c>
      <c r="K22" s="93">
        <f>계좌별시나리오!L22</f>
        <v>3207604.9437080002</v>
      </c>
      <c r="L22" s="94"/>
      <c r="M22" s="94"/>
      <c r="N22" s="94"/>
      <c r="O22" s="94"/>
      <c r="P22" s="95">
        <f t="shared" si="0"/>
        <v>11437554.4</v>
      </c>
      <c r="Q22" s="96">
        <f t="shared" si="2"/>
        <v>174706102.60000002</v>
      </c>
      <c r="R22" s="95">
        <f t="shared" si="1"/>
        <v>186143657.00000003</v>
      </c>
      <c r="S22" s="111"/>
    </row>
    <row r="23" spans="1:19" ht="15">
      <c r="A23" s="112">
        <v>46303</v>
      </c>
      <c r="B23" s="90" t="s">
        <v>113</v>
      </c>
      <c r="C23" s="91">
        <f>계좌별시나리오!D23</f>
        <v>51954051.066537201</v>
      </c>
      <c r="D23" s="91">
        <f>계좌별시나리오!E23</f>
        <v>2682578.1188915996</v>
      </c>
      <c r="E23" s="91">
        <f>계좌별시나리오!F23</f>
        <v>81462522.193680212</v>
      </c>
      <c r="F23" s="91">
        <f>계좌별시나리오!G23</f>
        <v>60656354.420890994</v>
      </c>
      <c r="G23" s="92">
        <f>INDEX(설정및분류!$C$6:$C$12,WEEKDAY(A23,2))*요약!$B$13</f>
        <v>10611848.800000001</v>
      </c>
      <c r="H23" s="93">
        <f>계좌별시나리오!I23</f>
        <v>5339818.645067201</v>
      </c>
      <c r="I23" s="93">
        <f>계좌별시나리오!J23</f>
        <v>267227.5764816</v>
      </c>
      <c r="J23" s="93">
        <f>계좌별시나리오!K23</f>
        <v>2028762.6417352001</v>
      </c>
      <c r="K23" s="93">
        <f>계좌별시나리오!L23</f>
        <v>2976039.9367160001</v>
      </c>
      <c r="L23" s="94"/>
      <c r="M23" s="94"/>
      <c r="N23" s="94"/>
      <c r="O23" s="94"/>
      <c r="P23" s="95">
        <f t="shared" si="0"/>
        <v>10611848.800000001</v>
      </c>
      <c r="Q23" s="96">
        <f t="shared" si="2"/>
        <v>186143657.00000003</v>
      </c>
      <c r="R23" s="95">
        <f t="shared" si="1"/>
        <v>196755505.80000004</v>
      </c>
      <c r="S23" s="111"/>
    </row>
    <row r="24" spans="1:19" ht="15">
      <c r="A24" s="110">
        <v>46304</v>
      </c>
      <c r="B24" s="99" t="s">
        <v>114</v>
      </c>
      <c r="C24" s="91">
        <f>계좌별시나리오!D24</f>
        <v>51954051.066537201</v>
      </c>
      <c r="D24" s="91">
        <f>계좌별시나리오!E24</f>
        <v>2682578.1188915996</v>
      </c>
      <c r="E24" s="91">
        <f>계좌별시나리오!F24</f>
        <v>81462522.193680212</v>
      </c>
      <c r="F24" s="91">
        <f>계좌별시나리오!G24</f>
        <v>60656354.420890994</v>
      </c>
      <c r="G24" s="100">
        <v>0</v>
      </c>
      <c r="H24" s="93">
        <f>계좌별시나리오!I24</f>
        <v>0</v>
      </c>
      <c r="I24" s="93">
        <f>계좌별시나리오!J24</f>
        <v>0</v>
      </c>
      <c r="J24" s="93">
        <f>계좌별시나리오!K24</f>
        <v>0</v>
      </c>
      <c r="K24" s="93">
        <f>계좌별시나리오!L24</f>
        <v>0</v>
      </c>
      <c r="L24" s="94"/>
      <c r="M24" s="94"/>
      <c r="N24" s="94"/>
      <c r="O24" s="94"/>
      <c r="P24" s="95">
        <f t="shared" si="0"/>
        <v>0</v>
      </c>
      <c r="Q24" s="96">
        <f t="shared" si="2"/>
        <v>196755505.80000004</v>
      </c>
      <c r="R24" s="95">
        <f t="shared" si="1"/>
        <v>196755505.80000004</v>
      </c>
      <c r="S24" s="111"/>
    </row>
    <row r="25" spans="1:19" ht="15">
      <c r="A25" s="110">
        <v>46305</v>
      </c>
      <c r="B25" s="99" t="s">
        <v>116</v>
      </c>
      <c r="C25" s="91">
        <f>계좌별시나리오!D25</f>
        <v>51954051.066537201</v>
      </c>
      <c r="D25" s="91">
        <f>계좌별시나리오!E25</f>
        <v>2682578.1188915996</v>
      </c>
      <c r="E25" s="91">
        <f>계좌별시나리오!F25</f>
        <v>81462522.193680212</v>
      </c>
      <c r="F25" s="91">
        <f>계좌별시나리오!G25</f>
        <v>60656354.420890994</v>
      </c>
      <c r="G25" s="92">
        <f>INDEX(설정및분류!$C$6:$C$12,WEEKDAY(A25,2))*요약!$B$13</f>
        <v>0</v>
      </c>
      <c r="H25" s="93">
        <f>계좌별시나리오!I25</f>
        <v>0</v>
      </c>
      <c r="I25" s="93">
        <f>계좌별시나리오!J25</f>
        <v>0</v>
      </c>
      <c r="J25" s="93">
        <f>계좌별시나리오!K25</f>
        <v>0</v>
      </c>
      <c r="K25" s="93">
        <f>계좌별시나리오!L25</f>
        <v>0</v>
      </c>
      <c r="L25" s="94"/>
      <c r="M25" s="94"/>
      <c r="N25" s="94"/>
      <c r="O25" s="94"/>
      <c r="P25" s="95">
        <f t="shared" si="0"/>
        <v>0</v>
      </c>
      <c r="Q25" s="96">
        <f t="shared" si="2"/>
        <v>196755505.80000004</v>
      </c>
      <c r="R25" s="95">
        <f t="shared" si="1"/>
        <v>196755505.80000004</v>
      </c>
      <c r="S25" s="111"/>
    </row>
    <row r="26" spans="1:19" ht="15">
      <c r="A26" s="110">
        <v>46306</v>
      </c>
      <c r="B26" s="99" t="s">
        <v>117</v>
      </c>
      <c r="C26" s="91">
        <f>계좌별시나리오!D26</f>
        <v>51954051.066537201</v>
      </c>
      <c r="D26" s="91">
        <f>계좌별시나리오!E26</f>
        <v>2682578.1188915996</v>
      </c>
      <c r="E26" s="91">
        <f>계좌별시나리오!F26</f>
        <v>81462522.193680212</v>
      </c>
      <c r="F26" s="91">
        <f>계좌별시나리오!G26</f>
        <v>60656354.420890994</v>
      </c>
      <c r="G26" s="92">
        <f>INDEX(설정및분류!$C$6:$C$12,WEEKDAY(A26,2))*요약!$B$13</f>
        <v>0</v>
      </c>
      <c r="H26" s="93">
        <f>계좌별시나리오!I26</f>
        <v>0</v>
      </c>
      <c r="I26" s="93">
        <f>계좌별시나리오!J26</f>
        <v>0</v>
      </c>
      <c r="J26" s="93">
        <f>계좌별시나리오!K26</f>
        <v>0</v>
      </c>
      <c r="K26" s="93">
        <f>계좌별시나리오!L26</f>
        <v>0</v>
      </c>
      <c r="L26" s="94"/>
      <c r="M26" s="94"/>
      <c r="N26" s="94"/>
      <c r="O26" s="94"/>
      <c r="P26" s="95">
        <f t="shared" si="0"/>
        <v>0</v>
      </c>
      <c r="Q26" s="96">
        <f t="shared" si="2"/>
        <v>196755505.80000004</v>
      </c>
      <c r="R26" s="95">
        <f t="shared" si="1"/>
        <v>196755505.80000004</v>
      </c>
      <c r="S26" s="111"/>
    </row>
    <row r="27" spans="1:19" ht="15">
      <c r="A27" s="112">
        <v>46307</v>
      </c>
      <c r="B27" s="90" t="s">
        <v>107</v>
      </c>
      <c r="C27" s="91">
        <f>계좌별시나리오!D27</f>
        <v>56252437.268668398</v>
      </c>
      <c r="D27" s="91">
        <f>계좌별시나리오!E27</f>
        <v>2897687.9201651998</v>
      </c>
      <c r="E27" s="91">
        <f>계좌별시나리오!F27</f>
        <v>83095612.36513941</v>
      </c>
      <c r="F27" s="91">
        <f>계좌별시나리오!G27</f>
        <v>63051973.046026997</v>
      </c>
      <c r="G27" s="92">
        <f>INDEX(설정및분류!$C$6:$C$12,WEEKDAY(A27,2))*요약!$B$13</f>
        <v>8542204.8000000007</v>
      </c>
      <c r="H27" s="93">
        <f>계좌별시나리오!I27</f>
        <v>4298386.2021312006</v>
      </c>
      <c r="I27" s="93">
        <f>계좌별시나리오!J27</f>
        <v>215109.80127360002</v>
      </c>
      <c r="J27" s="93">
        <f>계좌별시나리오!K27</f>
        <v>1633090.1714592001</v>
      </c>
      <c r="K27" s="93">
        <f>계좌별시나리오!L27</f>
        <v>2395618.6251360001</v>
      </c>
      <c r="L27" s="94"/>
      <c r="M27" s="94"/>
      <c r="N27" s="94"/>
      <c r="O27" s="94"/>
      <c r="P27" s="95">
        <f t="shared" si="0"/>
        <v>8542204.8000000007</v>
      </c>
      <c r="Q27" s="96">
        <f t="shared" si="2"/>
        <v>196755505.80000004</v>
      </c>
      <c r="R27" s="95">
        <f t="shared" si="1"/>
        <v>205297710.60000005</v>
      </c>
      <c r="S27" s="111"/>
    </row>
    <row r="28" spans="1:19" ht="15">
      <c r="A28" s="112">
        <v>46308</v>
      </c>
      <c r="B28" s="90" t="s">
        <v>109</v>
      </c>
      <c r="C28" s="91">
        <f>계좌별시나리오!D28</f>
        <v>65211303.647223599</v>
      </c>
      <c r="D28" s="91">
        <f>계좌별시나리오!E28</f>
        <v>3346028.2683107997</v>
      </c>
      <c r="E28" s="91">
        <f>계좌별시나리오!F28</f>
        <v>86499363.434082612</v>
      </c>
      <c r="F28" s="91">
        <f>계좌별시나리오!G28</f>
        <v>68045016.050383002</v>
      </c>
      <c r="G28" s="92">
        <f>INDEX(설정및분류!$C$6:$C$12,WEEKDAY(A28,2))*요약!$B$13</f>
        <v>17804000.800000001</v>
      </c>
      <c r="H28" s="93">
        <f>계좌별시나리오!I28</f>
        <v>8958866.378555201</v>
      </c>
      <c r="I28" s="93">
        <f>계좌별시나리오!J28</f>
        <v>448340.3481456</v>
      </c>
      <c r="J28" s="93">
        <f>계좌별시나리오!K28</f>
        <v>3403751.0689431997</v>
      </c>
      <c r="K28" s="93">
        <f>계좌별시나리오!L28</f>
        <v>4993043.0043560006</v>
      </c>
      <c r="L28" s="94"/>
      <c r="M28" s="94"/>
      <c r="N28" s="94"/>
      <c r="O28" s="94"/>
      <c r="P28" s="95">
        <f t="shared" si="0"/>
        <v>17804000.800000001</v>
      </c>
      <c r="Q28" s="96">
        <f t="shared" si="2"/>
        <v>205297710.60000005</v>
      </c>
      <c r="R28" s="95">
        <f t="shared" si="1"/>
        <v>223101711.40000007</v>
      </c>
      <c r="S28" s="111"/>
    </row>
    <row r="29" spans="1:19" ht="15">
      <c r="A29" s="112">
        <v>46309</v>
      </c>
      <c r="B29" s="90" t="s">
        <v>111</v>
      </c>
      <c r="C29" s="91">
        <f>계좌별시나리오!D29</f>
        <v>70966612.395977199</v>
      </c>
      <c r="D29" s="91">
        <f>계좌별시나리오!E29</f>
        <v>3634048.7632115996</v>
      </c>
      <c r="E29" s="91">
        <f>계좌별시나리오!F29</f>
        <v>88685983.646720216</v>
      </c>
      <c r="F29" s="91">
        <f>계좌별시나리오!G29</f>
        <v>71252620.994091004</v>
      </c>
      <c r="G29" s="92">
        <f>INDEX(설정및분류!$C$6:$C$12,WEEKDAY(A29,2))*요약!$B$13</f>
        <v>11437554.4</v>
      </c>
      <c r="H29" s="93">
        <f>계좌별시나리오!I29</f>
        <v>5755308.7487536008</v>
      </c>
      <c r="I29" s="93">
        <f>계좌별시나리오!J29</f>
        <v>288020.4949008</v>
      </c>
      <c r="J29" s="93">
        <f>계좌별시나리오!K29</f>
        <v>2186620.2126376</v>
      </c>
      <c r="K29" s="93">
        <f>계좌별시나리오!L29</f>
        <v>3207604.9437080002</v>
      </c>
      <c r="L29" s="94"/>
      <c r="M29" s="94"/>
      <c r="N29" s="94"/>
      <c r="O29" s="94"/>
      <c r="P29" s="95">
        <f t="shared" si="0"/>
        <v>11437554.4</v>
      </c>
      <c r="Q29" s="96">
        <f t="shared" si="2"/>
        <v>223101711.40000007</v>
      </c>
      <c r="R29" s="95">
        <f t="shared" si="1"/>
        <v>234539265.80000007</v>
      </c>
      <c r="S29" s="111"/>
    </row>
    <row r="30" spans="1:19" ht="15">
      <c r="A30" s="112">
        <v>46310</v>
      </c>
      <c r="B30" s="90" t="s">
        <v>113</v>
      </c>
      <c r="C30" s="91">
        <f>계좌별시나리오!D30</f>
        <v>76306431.041044399</v>
      </c>
      <c r="D30" s="91">
        <f>계좌별시나리오!E30</f>
        <v>3901276.3396931994</v>
      </c>
      <c r="E30" s="91">
        <f>계좌별시나리오!F30</f>
        <v>90714746.288455412</v>
      </c>
      <c r="F30" s="91">
        <f>계좌별시나리오!G30</f>
        <v>74228660.930807009</v>
      </c>
      <c r="G30" s="92">
        <f>INDEX(설정및분류!$C$6:$C$12,WEEKDAY(A30,2))*요약!$B$13</f>
        <v>10611848.800000001</v>
      </c>
      <c r="H30" s="93">
        <f>계좌별시나리오!I30</f>
        <v>5339818.645067201</v>
      </c>
      <c r="I30" s="93">
        <f>계좌별시나리오!J30</f>
        <v>267227.5764816</v>
      </c>
      <c r="J30" s="93">
        <f>계좌별시나리오!K30</f>
        <v>2028762.6417352001</v>
      </c>
      <c r="K30" s="93">
        <f>계좌별시나리오!L30</f>
        <v>2976039.9367160001</v>
      </c>
      <c r="L30" s="94"/>
      <c r="M30" s="94"/>
      <c r="N30" s="94"/>
      <c r="O30" s="94"/>
      <c r="P30" s="95">
        <f t="shared" si="0"/>
        <v>10611848.800000001</v>
      </c>
      <c r="Q30" s="96">
        <f t="shared" si="2"/>
        <v>234539265.80000007</v>
      </c>
      <c r="R30" s="95">
        <f t="shared" si="1"/>
        <v>245151114.60000008</v>
      </c>
      <c r="S30" s="111"/>
    </row>
    <row r="31" spans="1:19" ht="15">
      <c r="A31" s="112">
        <v>46311</v>
      </c>
      <c r="B31" s="90" t="s">
        <v>114</v>
      </c>
      <c r="C31" s="91">
        <f>계좌별시나리오!D31</f>
        <v>80461165.017500401</v>
      </c>
      <c r="D31" s="91">
        <f>계좌별시나리오!E31</f>
        <v>4109197.1634611995</v>
      </c>
      <c r="E31" s="91">
        <f>계좌별시나리오!F31</f>
        <v>92293258.526051417</v>
      </c>
      <c r="F31" s="91">
        <f>계좌별시나리오!G31</f>
        <v>76544217.892987013</v>
      </c>
      <c r="G31" s="92">
        <f>INDEX(설정및분류!$C$6:$C$12,WEEKDAY(A31,2))*요약!$B$13</f>
        <v>8256724</v>
      </c>
      <c r="H31" s="93">
        <f>계좌별시나리오!I31</f>
        <v>4154733.9764560005</v>
      </c>
      <c r="I31" s="93">
        <f>계좌별시나리오!J31</f>
        <v>207920.823768</v>
      </c>
      <c r="J31" s="93">
        <f>계좌별시나리오!K31</f>
        <v>1578512.2375959998</v>
      </c>
      <c r="K31" s="93">
        <f>계좌별시나리오!L31</f>
        <v>2315556.9621799998</v>
      </c>
      <c r="L31" s="94"/>
      <c r="M31" s="94"/>
      <c r="N31" s="94"/>
      <c r="O31" s="94"/>
      <c r="P31" s="95">
        <f t="shared" si="0"/>
        <v>8256724</v>
      </c>
      <c r="Q31" s="96">
        <f t="shared" si="2"/>
        <v>245151114.60000008</v>
      </c>
      <c r="R31" s="95">
        <f t="shared" si="1"/>
        <v>253407838.60000008</v>
      </c>
      <c r="S31" s="111"/>
    </row>
    <row r="32" spans="1:19" ht="15">
      <c r="A32" s="110">
        <v>46312</v>
      </c>
      <c r="B32" s="99" t="s">
        <v>116</v>
      </c>
      <c r="C32" s="91">
        <f>계좌별시나리오!D32</f>
        <v>80461165.017500401</v>
      </c>
      <c r="D32" s="91">
        <f>계좌별시나리오!E32</f>
        <v>4109197.1634611995</v>
      </c>
      <c r="E32" s="91">
        <f>계좌별시나리오!F32</f>
        <v>92293258.526051417</v>
      </c>
      <c r="F32" s="91">
        <f>계좌별시나리오!G32</f>
        <v>76544217.892987013</v>
      </c>
      <c r="G32" s="92">
        <f>INDEX(설정및분류!$C$6:$C$12,WEEKDAY(A32,2))*요약!$B$13</f>
        <v>0</v>
      </c>
      <c r="H32" s="93">
        <f>계좌별시나리오!I32</f>
        <v>0</v>
      </c>
      <c r="I32" s="93">
        <f>계좌별시나리오!J32</f>
        <v>0</v>
      </c>
      <c r="J32" s="93">
        <f>계좌별시나리오!K32</f>
        <v>0</v>
      </c>
      <c r="K32" s="93">
        <f>계좌별시나리오!L32</f>
        <v>0</v>
      </c>
      <c r="L32" s="94"/>
      <c r="M32" s="94"/>
      <c r="N32" s="94"/>
      <c r="O32" s="94"/>
      <c r="P32" s="95">
        <f t="shared" si="0"/>
        <v>0</v>
      </c>
      <c r="Q32" s="96">
        <f t="shared" si="2"/>
        <v>253407838.60000008</v>
      </c>
      <c r="R32" s="95">
        <f t="shared" si="1"/>
        <v>253407838.60000008</v>
      </c>
      <c r="S32" s="111"/>
    </row>
    <row r="33" spans="1:19" ht="15">
      <c r="A33" s="110">
        <v>46313</v>
      </c>
      <c r="B33" s="99" t="s">
        <v>117</v>
      </c>
      <c r="C33" s="91">
        <f>계좌별시나리오!D33</f>
        <v>80461165.017500401</v>
      </c>
      <c r="D33" s="91">
        <f>계좌별시나리오!E33</f>
        <v>4109197.1634611995</v>
      </c>
      <c r="E33" s="91">
        <f>계좌별시나리오!F33</f>
        <v>92293258.526051417</v>
      </c>
      <c r="F33" s="91">
        <f>계좌별시나리오!G33</f>
        <v>76544217.892987013</v>
      </c>
      <c r="G33" s="92">
        <f>INDEX(설정및분류!$C$6:$C$12,WEEKDAY(A33,2))*요약!$B$13</f>
        <v>0</v>
      </c>
      <c r="H33" s="93">
        <f>계좌별시나리오!I33</f>
        <v>0</v>
      </c>
      <c r="I33" s="93">
        <f>계좌별시나리오!J33</f>
        <v>0</v>
      </c>
      <c r="J33" s="93">
        <f>계좌별시나리오!K33</f>
        <v>0</v>
      </c>
      <c r="K33" s="93">
        <f>계좌별시나리오!L33</f>
        <v>0</v>
      </c>
      <c r="L33" s="94"/>
      <c r="M33" s="94"/>
      <c r="N33" s="94"/>
      <c r="O33" s="94"/>
      <c r="P33" s="95">
        <f t="shared" si="0"/>
        <v>0</v>
      </c>
      <c r="Q33" s="96">
        <f t="shared" si="2"/>
        <v>253407838.60000008</v>
      </c>
      <c r="R33" s="95">
        <f t="shared" si="1"/>
        <v>253407838.60000008</v>
      </c>
      <c r="S33" s="111"/>
    </row>
  </sheetData>
  <mergeCells count="2">
    <mergeCell ref="H4:K4"/>
    <mergeCell ref="C4:F4"/>
  </mergeCells>
  <phoneticPr fontId="1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/>
  <cols>
    <col min="1" max="1" width="11" customWidth="1"/>
    <col min="2" max="2" width="5" customWidth="1"/>
    <col min="3" max="3" width="15" customWidth="1"/>
    <col min="4" max="7" width="14" customWidth="1"/>
    <col min="8" max="8" width="13" customWidth="1"/>
    <col min="9" max="12" width="14" customWidth="1"/>
    <col min="13" max="13" width="13" customWidth="1"/>
    <col min="14" max="15" width="12" customWidth="1"/>
    <col min="16" max="16" width="22" customWidth="1"/>
    <col min="17" max="19" width="13" hidden="1" customWidth="1"/>
  </cols>
  <sheetData>
    <row r="2" spans="1:19" ht="19.5">
      <c r="A2" s="72" t="s">
        <v>120</v>
      </c>
    </row>
    <row r="3" spans="1:19">
      <c r="A3" s="73" t="s">
        <v>121</v>
      </c>
    </row>
    <row r="4" spans="1:19">
      <c r="A4" s="143" t="s">
        <v>96</v>
      </c>
      <c r="B4" s="143" t="s">
        <v>97</v>
      </c>
      <c r="C4" s="141" t="s">
        <v>122</v>
      </c>
      <c r="D4" s="142"/>
      <c r="E4" s="142"/>
      <c r="F4" s="142"/>
      <c r="G4" s="142"/>
      <c r="H4" s="138" t="s">
        <v>123</v>
      </c>
      <c r="I4" s="142"/>
      <c r="J4" s="142"/>
      <c r="K4" s="142"/>
      <c r="L4" s="142"/>
      <c r="M4" s="114" t="s">
        <v>124</v>
      </c>
      <c r="N4" s="146" t="s">
        <v>125</v>
      </c>
      <c r="O4" s="142"/>
      <c r="P4" s="145" t="s">
        <v>106</v>
      </c>
    </row>
    <row r="5" spans="1:19">
      <c r="A5" s="144"/>
      <c r="B5" s="144"/>
      <c r="C5" s="78" t="s">
        <v>126</v>
      </c>
      <c r="D5" s="78" t="s">
        <v>14</v>
      </c>
      <c r="E5" s="78" t="s">
        <v>12</v>
      </c>
      <c r="F5" s="78" t="s">
        <v>10</v>
      </c>
      <c r="G5" s="78" t="s">
        <v>8</v>
      </c>
      <c r="H5" s="79" t="s">
        <v>127</v>
      </c>
      <c r="I5" s="79" t="s">
        <v>14</v>
      </c>
      <c r="J5" s="79" t="s">
        <v>12</v>
      </c>
      <c r="K5" s="79" t="s">
        <v>10</v>
      </c>
      <c r="L5" s="79" t="s">
        <v>8</v>
      </c>
      <c r="M5" s="115" t="s">
        <v>128</v>
      </c>
      <c r="N5" s="116" t="s">
        <v>129</v>
      </c>
      <c r="O5" s="116" t="s">
        <v>130</v>
      </c>
      <c r="P5" s="144"/>
    </row>
    <row r="6" spans="1:19" ht="15">
      <c r="A6" s="117">
        <v>46286</v>
      </c>
      <c r="B6" s="113" t="s">
        <v>107</v>
      </c>
      <c r="C6" s="118">
        <f t="shared" ref="C6:C33" si="0">SUM(D6:G6)</f>
        <v>132582924.8</v>
      </c>
      <c r="D6" s="119">
        <f>11948137+I6-M6+Q6+R6+S6</f>
        <v>5632523.2021312006</v>
      </c>
      <c r="E6" s="119">
        <f>1834429+J6-Q6</f>
        <v>2049538.8012736</v>
      </c>
      <c r="F6" s="119">
        <f>100687200+K6-R6</f>
        <v>102320290.1714592</v>
      </c>
      <c r="G6" s="119">
        <f>20184954+L6-S6</f>
        <v>22580572.625135999</v>
      </c>
      <c r="H6" s="93">
        <f>'4주일별계획'!G6+'4주일별계획'!L6</f>
        <v>8542204.8000000007</v>
      </c>
      <c r="I6" s="93">
        <f t="shared" ref="I6:I33" si="1">H6*0.503194</f>
        <v>4298386.2021312006</v>
      </c>
      <c r="J6" s="93">
        <f t="shared" ref="J6:J33" si="2">H6*0.025182</f>
        <v>215109.80127360002</v>
      </c>
      <c r="K6" s="93">
        <f t="shared" ref="K6:K33" si="3">H6*0.191179</f>
        <v>1633090.1714592001</v>
      </c>
      <c r="L6" s="93">
        <f t="shared" ref="L6:L33" si="4">H6*0.280445</f>
        <v>2395618.6251360001</v>
      </c>
      <c r="M6" s="120">
        <f>'4주일별계획'!M6+'4주일별계획'!N6+'4주일별계획'!O6</f>
        <v>10614000</v>
      </c>
      <c r="N6" s="121">
        <f t="shared" ref="N6:N33" si="5">Q6</f>
        <v>0</v>
      </c>
      <c r="O6" s="121">
        <f t="shared" ref="O6:O33" si="6">R6+S6</f>
        <v>0</v>
      </c>
      <c r="P6" s="122" t="str">
        <f t="shared" ref="P6:P33" si="7">IF(D6&lt;-0.5,"전 계좌 소진 — 부족 "&amp;TEXT(-D6,"#,##0")&amp;"원","")</f>
        <v/>
      </c>
      <c r="Q6" s="123">
        <f>MIN(MAX(0,1834429+J6),MAX(0,M6-11948137-I6))</f>
        <v>0</v>
      </c>
      <c r="R6" s="123">
        <f>MIN(MAX(0,100687200+K6),MAX(0,M6-11948137-I6)-Q6)</f>
        <v>0</v>
      </c>
      <c r="S6" s="123">
        <f>MIN(MAX(0,20184954+L6),MAX(0,M6-11948137-I6)-Q6-R6)</f>
        <v>0</v>
      </c>
    </row>
    <row r="7" spans="1:19" ht="15">
      <c r="A7" s="117">
        <v>46287</v>
      </c>
      <c r="B7" s="113" t="s">
        <v>109</v>
      </c>
      <c r="C7" s="118">
        <f t="shared" si="0"/>
        <v>128863815.60000001</v>
      </c>
      <c r="D7" s="119">
        <f t="shared" ref="D7:D33" si="8">D6+I7-M7+Q7+R7+S7</f>
        <v>0</v>
      </c>
      <c r="E7" s="119">
        <f t="shared" ref="E7:E33" si="9">E6+J7-Q7</f>
        <v>0</v>
      </c>
      <c r="F7" s="119">
        <f t="shared" ref="F7:F33" si="10">F6+K7-R7</f>
        <v>101290199.97050801</v>
      </c>
      <c r="G7" s="119">
        <f t="shared" ref="G7:G33" si="11">G6+L7-S7</f>
        <v>27573615.629492</v>
      </c>
      <c r="H7" s="93">
        <f>'4주일별계획'!G7+'4주일별계획'!L7</f>
        <v>17804000.800000001</v>
      </c>
      <c r="I7" s="93">
        <f t="shared" si="1"/>
        <v>8958866.378555201</v>
      </c>
      <c r="J7" s="93">
        <f t="shared" si="2"/>
        <v>448340.3481456</v>
      </c>
      <c r="K7" s="93">
        <f t="shared" si="3"/>
        <v>3403751.0689431997</v>
      </c>
      <c r="L7" s="93">
        <f t="shared" si="4"/>
        <v>4993043.0043560006</v>
      </c>
      <c r="M7" s="120">
        <f>'4주일별계획'!M7+'4주일별계획'!N7+'4주일별계획'!O7</f>
        <v>21523110</v>
      </c>
      <c r="N7" s="121">
        <f t="shared" si="5"/>
        <v>2497879.1494192001</v>
      </c>
      <c r="O7" s="121">
        <f t="shared" si="6"/>
        <v>4433841.2698943987</v>
      </c>
      <c r="P7" s="122" t="str">
        <f t="shared" si="7"/>
        <v/>
      </c>
      <c r="Q7" s="123">
        <f t="shared" ref="Q7:Q33" si="12">MIN(MAX(0,E6+J7),MAX(0,M7-D6-I7))</f>
        <v>2497879.1494192001</v>
      </c>
      <c r="R7" s="123">
        <f t="shared" ref="R7:R33" si="13">MIN(MAX(0,F6+K7),MAX(0,M7-D6-I7)-Q7)</f>
        <v>4433841.2698943987</v>
      </c>
      <c r="S7" s="123">
        <f t="shared" ref="S7:S33" si="14">MIN(MAX(0,G6+L7),MAX(0,M7-D6-I7)-Q7-R7)</f>
        <v>0</v>
      </c>
    </row>
    <row r="8" spans="1:19" ht="15">
      <c r="A8" s="117">
        <v>46288</v>
      </c>
      <c r="B8" s="113" t="s">
        <v>111</v>
      </c>
      <c r="C8" s="118">
        <f t="shared" si="0"/>
        <v>94484352.000000015</v>
      </c>
      <c r="D8" s="119">
        <f t="shared" si="8"/>
        <v>0</v>
      </c>
      <c r="E8" s="119">
        <f t="shared" si="9"/>
        <v>0</v>
      </c>
      <c r="F8" s="119">
        <f t="shared" si="10"/>
        <v>63703131.426800013</v>
      </c>
      <c r="G8" s="119">
        <f t="shared" si="11"/>
        <v>30781220.573199999</v>
      </c>
      <c r="H8" s="93">
        <f>'4주일별계획'!G8+'4주일별계획'!L8</f>
        <v>11437554.4</v>
      </c>
      <c r="I8" s="93">
        <f t="shared" si="1"/>
        <v>5755308.7487536008</v>
      </c>
      <c r="J8" s="93">
        <f t="shared" si="2"/>
        <v>288020.4949008</v>
      </c>
      <c r="K8" s="93">
        <f t="shared" si="3"/>
        <v>2186620.2126376</v>
      </c>
      <c r="L8" s="93">
        <f t="shared" si="4"/>
        <v>3207604.9437080002</v>
      </c>
      <c r="M8" s="120">
        <f>'4주일별계획'!M8+'4주일별계획'!N8+'4주일별계획'!O8</f>
        <v>45817018</v>
      </c>
      <c r="N8" s="121">
        <f t="shared" si="5"/>
        <v>288020.4949008</v>
      </c>
      <c r="O8" s="121">
        <f t="shared" si="6"/>
        <v>39773688.7563456</v>
      </c>
      <c r="P8" s="122" t="str">
        <f t="shared" si="7"/>
        <v/>
      </c>
      <c r="Q8" s="123">
        <f t="shared" si="12"/>
        <v>288020.4949008</v>
      </c>
      <c r="R8" s="123">
        <f t="shared" si="13"/>
        <v>39773688.7563456</v>
      </c>
      <c r="S8" s="123">
        <f t="shared" si="14"/>
        <v>0</v>
      </c>
    </row>
    <row r="9" spans="1:19" ht="15">
      <c r="A9" s="110">
        <v>46289</v>
      </c>
      <c r="B9" s="99" t="s">
        <v>113</v>
      </c>
      <c r="C9" s="118">
        <f t="shared" si="0"/>
        <v>94484352.000000015</v>
      </c>
      <c r="D9" s="119">
        <f t="shared" si="8"/>
        <v>0</v>
      </c>
      <c r="E9" s="119">
        <f t="shared" si="9"/>
        <v>0</v>
      </c>
      <c r="F9" s="119">
        <f t="shared" si="10"/>
        <v>63703131.426800013</v>
      </c>
      <c r="G9" s="119">
        <f t="shared" si="11"/>
        <v>30781220.573199999</v>
      </c>
      <c r="H9" s="93">
        <f>'4주일별계획'!G9+'4주일별계획'!L9</f>
        <v>0</v>
      </c>
      <c r="I9" s="93">
        <f t="shared" si="1"/>
        <v>0</v>
      </c>
      <c r="J9" s="93">
        <f t="shared" si="2"/>
        <v>0</v>
      </c>
      <c r="K9" s="93">
        <f t="shared" si="3"/>
        <v>0</v>
      </c>
      <c r="L9" s="93">
        <f t="shared" si="4"/>
        <v>0</v>
      </c>
      <c r="M9" s="120">
        <f>'4주일별계획'!M9+'4주일별계획'!N9+'4주일별계획'!O9</f>
        <v>0</v>
      </c>
      <c r="N9" s="121">
        <f t="shared" si="5"/>
        <v>0</v>
      </c>
      <c r="O9" s="121">
        <f t="shared" si="6"/>
        <v>0</v>
      </c>
      <c r="P9" s="122" t="str">
        <f t="shared" si="7"/>
        <v/>
      </c>
      <c r="Q9" s="123">
        <f t="shared" si="12"/>
        <v>0</v>
      </c>
      <c r="R9" s="123">
        <f t="shared" si="13"/>
        <v>0</v>
      </c>
      <c r="S9" s="123">
        <f t="shared" si="14"/>
        <v>0</v>
      </c>
    </row>
    <row r="10" spans="1:19" ht="15">
      <c r="A10" s="110">
        <v>46290</v>
      </c>
      <c r="B10" s="99" t="s">
        <v>114</v>
      </c>
      <c r="C10" s="118">
        <f t="shared" si="0"/>
        <v>91877902.000000015</v>
      </c>
      <c r="D10" s="119">
        <f t="shared" si="8"/>
        <v>0</v>
      </c>
      <c r="E10" s="119">
        <f t="shared" si="9"/>
        <v>0</v>
      </c>
      <c r="F10" s="119">
        <f t="shared" si="10"/>
        <v>61096681.426800013</v>
      </c>
      <c r="G10" s="119">
        <f t="shared" si="11"/>
        <v>30781220.573199999</v>
      </c>
      <c r="H10" s="93">
        <f>'4주일별계획'!G10+'4주일별계획'!L10</f>
        <v>0</v>
      </c>
      <c r="I10" s="93">
        <f t="shared" si="1"/>
        <v>0</v>
      </c>
      <c r="J10" s="93">
        <f t="shared" si="2"/>
        <v>0</v>
      </c>
      <c r="K10" s="93">
        <f t="shared" si="3"/>
        <v>0</v>
      </c>
      <c r="L10" s="93">
        <f t="shared" si="4"/>
        <v>0</v>
      </c>
      <c r="M10" s="120">
        <f>'4주일별계획'!M10+'4주일별계획'!N10+'4주일별계획'!O10</f>
        <v>2606450</v>
      </c>
      <c r="N10" s="121">
        <f t="shared" si="5"/>
        <v>0</v>
      </c>
      <c r="O10" s="121">
        <f t="shared" si="6"/>
        <v>2606450</v>
      </c>
      <c r="P10" s="122" t="str">
        <f t="shared" si="7"/>
        <v/>
      </c>
      <c r="Q10" s="123">
        <f t="shared" si="12"/>
        <v>0</v>
      </c>
      <c r="R10" s="123">
        <f t="shared" si="13"/>
        <v>2606450</v>
      </c>
      <c r="S10" s="123">
        <f t="shared" si="14"/>
        <v>0</v>
      </c>
    </row>
    <row r="11" spans="1:19" ht="15">
      <c r="A11" s="110">
        <v>46291</v>
      </c>
      <c r="B11" s="99" t="s">
        <v>116</v>
      </c>
      <c r="C11" s="118">
        <f t="shared" si="0"/>
        <v>91877902.000000015</v>
      </c>
      <c r="D11" s="119">
        <f t="shared" si="8"/>
        <v>0</v>
      </c>
      <c r="E11" s="119">
        <f t="shared" si="9"/>
        <v>0</v>
      </c>
      <c r="F11" s="119">
        <f t="shared" si="10"/>
        <v>61096681.426800013</v>
      </c>
      <c r="G11" s="119">
        <f t="shared" si="11"/>
        <v>30781220.573199999</v>
      </c>
      <c r="H11" s="93">
        <f>'4주일별계획'!G11+'4주일별계획'!L11</f>
        <v>0</v>
      </c>
      <c r="I11" s="93">
        <f t="shared" si="1"/>
        <v>0</v>
      </c>
      <c r="J11" s="93">
        <f t="shared" si="2"/>
        <v>0</v>
      </c>
      <c r="K11" s="93">
        <f t="shared" si="3"/>
        <v>0</v>
      </c>
      <c r="L11" s="93">
        <f t="shared" si="4"/>
        <v>0</v>
      </c>
      <c r="M11" s="120">
        <f>'4주일별계획'!M11+'4주일별계획'!N11+'4주일별계획'!O11</f>
        <v>0</v>
      </c>
      <c r="N11" s="121">
        <f t="shared" si="5"/>
        <v>0</v>
      </c>
      <c r="O11" s="121">
        <f t="shared" si="6"/>
        <v>0</v>
      </c>
      <c r="P11" s="122" t="str">
        <f t="shared" si="7"/>
        <v/>
      </c>
      <c r="Q11" s="123">
        <f t="shared" si="12"/>
        <v>0</v>
      </c>
      <c r="R11" s="123">
        <f t="shared" si="13"/>
        <v>0</v>
      </c>
      <c r="S11" s="123">
        <f t="shared" si="14"/>
        <v>0</v>
      </c>
    </row>
    <row r="12" spans="1:19" ht="15">
      <c r="A12" s="110">
        <v>46292</v>
      </c>
      <c r="B12" s="99" t="s">
        <v>117</v>
      </c>
      <c r="C12" s="118">
        <f t="shared" si="0"/>
        <v>91877902.000000015</v>
      </c>
      <c r="D12" s="119">
        <f t="shared" si="8"/>
        <v>0</v>
      </c>
      <c r="E12" s="119">
        <f t="shared" si="9"/>
        <v>0</v>
      </c>
      <c r="F12" s="119">
        <f t="shared" si="10"/>
        <v>61096681.426800013</v>
      </c>
      <c r="G12" s="119">
        <f t="shared" si="11"/>
        <v>30781220.573199999</v>
      </c>
      <c r="H12" s="93">
        <f>'4주일별계획'!G12+'4주일별계획'!L12</f>
        <v>0</v>
      </c>
      <c r="I12" s="93">
        <f t="shared" si="1"/>
        <v>0</v>
      </c>
      <c r="J12" s="93">
        <f t="shared" si="2"/>
        <v>0</v>
      </c>
      <c r="K12" s="93">
        <f t="shared" si="3"/>
        <v>0</v>
      </c>
      <c r="L12" s="93">
        <f t="shared" si="4"/>
        <v>0</v>
      </c>
      <c r="M12" s="120">
        <f>'4주일별계획'!M12+'4주일별계획'!N12+'4주일별계획'!O12</f>
        <v>0</v>
      </c>
      <c r="N12" s="121">
        <f t="shared" si="5"/>
        <v>0</v>
      </c>
      <c r="O12" s="121">
        <f t="shared" si="6"/>
        <v>0</v>
      </c>
      <c r="P12" s="122" t="str">
        <f t="shared" si="7"/>
        <v/>
      </c>
      <c r="Q12" s="123">
        <f t="shared" si="12"/>
        <v>0</v>
      </c>
      <c r="R12" s="123">
        <f t="shared" si="13"/>
        <v>0</v>
      </c>
      <c r="S12" s="123">
        <f t="shared" si="14"/>
        <v>0</v>
      </c>
    </row>
    <row r="13" spans="1:19" ht="15">
      <c r="A13" s="117">
        <v>46293</v>
      </c>
      <c r="B13" s="113" t="s">
        <v>107</v>
      </c>
      <c r="C13" s="118">
        <f t="shared" si="0"/>
        <v>98770106.800000012</v>
      </c>
      <c r="D13" s="119">
        <f t="shared" si="8"/>
        <v>2648386.2021312006</v>
      </c>
      <c r="E13" s="119">
        <f t="shared" si="9"/>
        <v>215109.80127360002</v>
      </c>
      <c r="F13" s="119">
        <f t="shared" si="10"/>
        <v>62729771.598259211</v>
      </c>
      <c r="G13" s="119">
        <f t="shared" si="11"/>
        <v>33176839.198335998</v>
      </c>
      <c r="H13" s="93">
        <f>'4주일별계획'!G13+'4주일별계획'!L13</f>
        <v>8542204.8000000007</v>
      </c>
      <c r="I13" s="93">
        <f t="shared" si="1"/>
        <v>4298386.2021312006</v>
      </c>
      <c r="J13" s="93">
        <f t="shared" si="2"/>
        <v>215109.80127360002</v>
      </c>
      <c r="K13" s="93">
        <f t="shared" si="3"/>
        <v>1633090.1714592001</v>
      </c>
      <c r="L13" s="93">
        <f t="shared" si="4"/>
        <v>2395618.6251360001</v>
      </c>
      <c r="M13" s="120">
        <f>'4주일별계획'!M13+'4주일별계획'!N13+'4주일별계획'!O13</f>
        <v>1650000</v>
      </c>
      <c r="N13" s="121">
        <f t="shared" si="5"/>
        <v>0</v>
      </c>
      <c r="O13" s="121">
        <f t="shared" si="6"/>
        <v>0</v>
      </c>
      <c r="P13" s="122" t="str">
        <f t="shared" si="7"/>
        <v/>
      </c>
      <c r="Q13" s="123">
        <f t="shared" si="12"/>
        <v>0</v>
      </c>
      <c r="R13" s="123">
        <f t="shared" si="13"/>
        <v>0</v>
      </c>
      <c r="S13" s="123">
        <f t="shared" si="14"/>
        <v>0</v>
      </c>
    </row>
    <row r="14" spans="1:19" ht="15">
      <c r="A14" s="117">
        <v>46294</v>
      </c>
      <c r="B14" s="113" t="s">
        <v>109</v>
      </c>
      <c r="C14" s="118">
        <f t="shared" si="0"/>
        <v>116574107.60000002</v>
      </c>
      <c r="D14" s="119">
        <f t="shared" si="8"/>
        <v>11607252.580686402</v>
      </c>
      <c r="E14" s="119">
        <f t="shared" si="9"/>
        <v>663450.14941920002</v>
      </c>
      <c r="F14" s="119">
        <f t="shared" si="10"/>
        <v>66133522.667202413</v>
      </c>
      <c r="G14" s="119">
        <f t="shared" si="11"/>
        <v>38169882.202692002</v>
      </c>
      <c r="H14" s="93">
        <f>'4주일별계획'!G14+'4주일별계획'!L14</f>
        <v>17804000.800000001</v>
      </c>
      <c r="I14" s="93">
        <f t="shared" si="1"/>
        <v>8958866.378555201</v>
      </c>
      <c r="J14" s="93">
        <f t="shared" si="2"/>
        <v>448340.3481456</v>
      </c>
      <c r="K14" s="93">
        <f t="shared" si="3"/>
        <v>3403751.0689431997</v>
      </c>
      <c r="L14" s="93">
        <f t="shared" si="4"/>
        <v>4993043.0043560006</v>
      </c>
      <c r="M14" s="120">
        <f>'4주일별계획'!M14+'4주일별계획'!N14+'4주일별계획'!O14</f>
        <v>0</v>
      </c>
      <c r="N14" s="121">
        <f t="shared" si="5"/>
        <v>0</v>
      </c>
      <c r="O14" s="121">
        <f t="shared" si="6"/>
        <v>0</v>
      </c>
      <c r="P14" s="122" t="str">
        <f t="shared" si="7"/>
        <v/>
      </c>
      <c r="Q14" s="123">
        <f t="shared" si="12"/>
        <v>0</v>
      </c>
      <c r="R14" s="123">
        <f t="shared" si="13"/>
        <v>0</v>
      </c>
      <c r="S14" s="123">
        <f t="shared" si="14"/>
        <v>0</v>
      </c>
    </row>
    <row r="15" spans="1:19" ht="15">
      <c r="A15" s="117">
        <v>46295</v>
      </c>
      <c r="B15" s="113" t="s">
        <v>111</v>
      </c>
      <c r="C15" s="118">
        <f t="shared" si="0"/>
        <v>138033529</v>
      </c>
      <c r="D15" s="119">
        <f t="shared" si="8"/>
        <v>22405504.672637999</v>
      </c>
      <c r="E15" s="119">
        <f t="shared" si="9"/>
        <v>1203841.2991140001</v>
      </c>
      <c r="F15" s="119">
        <f t="shared" si="10"/>
        <v>70236113.391033009</v>
      </c>
      <c r="G15" s="119">
        <f t="shared" si="11"/>
        <v>44188069.637215003</v>
      </c>
      <c r="H15" s="93">
        <f>'4주일별계획'!G15+'4주일별계획'!L15</f>
        <v>21459421.399999999</v>
      </c>
      <c r="I15" s="93">
        <f t="shared" si="1"/>
        <v>10798252.091951599</v>
      </c>
      <c r="J15" s="93">
        <f t="shared" si="2"/>
        <v>540391.14969479991</v>
      </c>
      <c r="K15" s="93">
        <f t="shared" si="3"/>
        <v>4102590.7238305993</v>
      </c>
      <c r="L15" s="93">
        <f t="shared" si="4"/>
        <v>6018187.4345229995</v>
      </c>
      <c r="M15" s="120">
        <f>'4주일별계획'!M15+'4주일별계획'!N15+'4주일별계획'!O15</f>
        <v>0</v>
      </c>
      <c r="N15" s="121">
        <f t="shared" si="5"/>
        <v>0</v>
      </c>
      <c r="O15" s="121">
        <f t="shared" si="6"/>
        <v>0</v>
      </c>
      <c r="P15" s="122" t="str">
        <f t="shared" si="7"/>
        <v/>
      </c>
      <c r="Q15" s="123">
        <f t="shared" si="12"/>
        <v>0</v>
      </c>
      <c r="R15" s="123">
        <f t="shared" si="13"/>
        <v>0</v>
      </c>
      <c r="S15" s="123">
        <f t="shared" si="14"/>
        <v>0</v>
      </c>
    </row>
    <row r="16" spans="1:19" ht="15">
      <c r="A16" s="117">
        <v>46296</v>
      </c>
      <c r="B16" s="113" t="s">
        <v>113</v>
      </c>
      <c r="C16" s="118">
        <f t="shared" si="0"/>
        <v>148645377.80000001</v>
      </c>
      <c r="D16" s="119">
        <f t="shared" si="8"/>
        <v>27745323.317705199</v>
      </c>
      <c r="E16" s="119">
        <f t="shared" si="9"/>
        <v>1471068.8755956001</v>
      </c>
      <c r="F16" s="119">
        <f t="shared" si="10"/>
        <v>72264876.032768205</v>
      </c>
      <c r="G16" s="119">
        <f t="shared" si="11"/>
        <v>47164109.573931001</v>
      </c>
      <c r="H16" s="93">
        <f>'4주일별계획'!G16+'4주일별계획'!L16</f>
        <v>10611848.800000001</v>
      </c>
      <c r="I16" s="93">
        <f t="shared" si="1"/>
        <v>5339818.645067201</v>
      </c>
      <c r="J16" s="93">
        <f t="shared" si="2"/>
        <v>267227.5764816</v>
      </c>
      <c r="K16" s="93">
        <f t="shared" si="3"/>
        <v>2028762.6417352001</v>
      </c>
      <c r="L16" s="93">
        <f t="shared" si="4"/>
        <v>2976039.9367160001</v>
      </c>
      <c r="M16" s="120">
        <f>'4주일별계획'!M16+'4주일별계획'!N16+'4주일별계획'!O16</f>
        <v>0</v>
      </c>
      <c r="N16" s="121">
        <f t="shared" si="5"/>
        <v>0</v>
      </c>
      <c r="O16" s="121">
        <f t="shared" si="6"/>
        <v>0</v>
      </c>
      <c r="P16" s="122" t="str">
        <f t="shared" si="7"/>
        <v/>
      </c>
      <c r="Q16" s="123">
        <f t="shared" si="12"/>
        <v>0</v>
      </c>
      <c r="R16" s="123">
        <f t="shared" si="13"/>
        <v>0</v>
      </c>
      <c r="S16" s="123">
        <f t="shared" si="14"/>
        <v>0</v>
      </c>
    </row>
    <row r="17" spans="1:19" ht="15">
      <c r="A17" s="117">
        <v>46297</v>
      </c>
      <c r="B17" s="113" t="s">
        <v>114</v>
      </c>
      <c r="C17" s="118">
        <f t="shared" si="0"/>
        <v>156902101.80000001</v>
      </c>
      <c r="D17" s="119">
        <f t="shared" si="8"/>
        <v>31900057.294161201</v>
      </c>
      <c r="E17" s="119">
        <f t="shared" si="9"/>
        <v>1678989.6993636</v>
      </c>
      <c r="F17" s="119">
        <f t="shared" si="10"/>
        <v>73843388.27036421</v>
      </c>
      <c r="G17" s="119">
        <f t="shared" si="11"/>
        <v>49479666.536110997</v>
      </c>
      <c r="H17" s="93">
        <f>'4주일별계획'!G17+'4주일별계획'!L17</f>
        <v>8256724</v>
      </c>
      <c r="I17" s="93">
        <f t="shared" si="1"/>
        <v>4154733.9764560005</v>
      </c>
      <c r="J17" s="93">
        <f t="shared" si="2"/>
        <v>207920.823768</v>
      </c>
      <c r="K17" s="93">
        <f t="shared" si="3"/>
        <v>1578512.2375959998</v>
      </c>
      <c r="L17" s="93">
        <f t="shared" si="4"/>
        <v>2315556.9621799998</v>
      </c>
      <c r="M17" s="120">
        <f>'4주일별계획'!M17+'4주일별계획'!N17+'4주일별계획'!O17</f>
        <v>0</v>
      </c>
      <c r="N17" s="121">
        <f t="shared" si="5"/>
        <v>0</v>
      </c>
      <c r="O17" s="121">
        <f t="shared" si="6"/>
        <v>0</v>
      </c>
      <c r="P17" s="122" t="str">
        <f t="shared" si="7"/>
        <v/>
      </c>
      <c r="Q17" s="123">
        <f t="shared" si="12"/>
        <v>0</v>
      </c>
      <c r="R17" s="123">
        <f t="shared" si="13"/>
        <v>0</v>
      </c>
      <c r="S17" s="123">
        <f t="shared" si="14"/>
        <v>0</v>
      </c>
    </row>
    <row r="18" spans="1:19" ht="15">
      <c r="A18" s="110">
        <v>46298</v>
      </c>
      <c r="B18" s="99" t="s">
        <v>116</v>
      </c>
      <c r="C18" s="118">
        <f t="shared" si="0"/>
        <v>156902101.80000001</v>
      </c>
      <c r="D18" s="119">
        <f t="shared" si="8"/>
        <v>31900057.294161201</v>
      </c>
      <c r="E18" s="119">
        <f t="shared" si="9"/>
        <v>1678989.6993636</v>
      </c>
      <c r="F18" s="119">
        <f t="shared" si="10"/>
        <v>73843388.27036421</v>
      </c>
      <c r="G18" s="119">
        <f t="shared" si="11"/>
        <v>49479666.536110997</v>
      </c>
      <c r="H18" s="93">
        <f>'4주일별계획'!G18+'4주일별계획'!L18</f>
        <v>0</v>
      </c>
      <c r="I18" s="93">
        <f t="shared" si="1"/>
        <v>0</v>
      </c>
      <c r="J18" s="93">
        <f t="shared" si="2"/>
        <v>0</v>
      </c>
      <c r="K18" s="93">
        <f t="shared" si="3"/>
        <v>0</v>
      </c>
      <c r="L18" s="93">
        <f t="shared" si="4"/>
        <v>0</v>
      </c>
      <c r="M18" s="120">
        <f>'4주일별계획'!M18+'4주일별계획'!N18+'4주일별계획'!O18</f>
        <v>0</v>
      </c>
      <c r="N18" s="121">
        <f t="shared" si="5"/>
        <v>0</v>
      </c>
      <c r="O18" s="121">
        <f t="shared" si="6"/>
        <v>0</v>
      </c>
      <c r="P18" s="122" t="str">
        <f t="shared" si="7"/>
        <v/>
      </c>
      <c r="Q18" s="123">
        <f t="shared" si="12"/>
        <v>0</v>
      </c>
      <c r="R18" s="123">
        <f t="shared" si="13"/>
        <v>0</v>
      </c>
      <c r="S18" s="123">
        <f t="shared" si="14"/>
        <v>0</v>
      </c>
    </row>
    <row r="19" spans="1:19" ht="15">
      <c r="A19" s="110">
        <v>46299</v>
      </c>
      <c r="B19" s="99" t="s">
        <v>117</v>
      </c>
      <c r="C19" s="118">
        <f t="shared" si="0"/>
        <v>156902101.80000001</v>
      </c>
      <c r="D19" s="119">
        <f t="shared" si="8"/>
        <v>31900057.294161201</v>
      </c>
      <c r="E19" s="119">
        <f t="shared" si="9"/>
        <v>1678989.6993636</v>
      </c>
      <c r="F19" s="119">
        <f t="shared" si="10"/>
        <v>73843388.27036421</v>
      </c>
      <c r="G19" s="119">
        <f t="shared" si="11"/>
        <v>49479666.536110997</v>
      </c>
      <c r="H19" s="93">
        <f>'4주일별계획'!G19+'4주일별계획'!L19</f>
        <v>0</v>
      </c>
      <c r="I19" s="93">
        <f t="shared" si="1"/>
        <v>0</v>
      </c>
      <c r="J19" s="93">
        <f t="shared" si="2"/>
        <v>0</v>
      </c>
      <c r="K19" s="93">
        <f t="shared" si="3"/>
        <v>0</v>
      </c>
      <c r="L19" s="93">
        <f t="shared" si="4"/>
        <v>0</v>
      </c>
      <c r="M19" s="120">
        <f>'4주일별계획'!M19+'4주일별계획'!N19+'4주일별계획'!O19</f>
        <v>0</v>
      </c>
      <c r="N19" s="121">
        <f t="shared" si="5"/>
        <v>0</v>
      </c>
      <c r="O19" s="121">
        <f t="shared" si="6"/>
        <v>0</v>
      </c>
      <c r="P19" s="122" t="str">
        <f t="shared" si="7"/>
        <v/>
      </c>
      <c r="Q19" s="123">
        <f t="shared" si="12"/>
        <v>0</v>
      </c>
      <c r="R19" s="123">
        <f t="shared" si="13"/>
        <v>0</v>
      </c>
      <c r="S19" s="123">
        <f t="shared" si="14"/>
        <v>0</v>
      </c>
    </row>
    <row r="20" spans="1:19" ht="15">
      <c r="A20" s="110">
        <v>46300</v>
      </c>
      <c r="B20" s="99" t="s">
        <v>107</v>
      </c>
      <c r="C20" s="118">
        <f t="shared" si="0"/>
        <v>156902101.80000001</v>
      </c>
      <c r="D20" s="119">
        <f t="shared" si="8"/>
        <v>31900057.294161201</v>
      </c>
      <c r="E20" s="119">
        <f t="shared" si="9"/>
        <v>1678989.6993636</v>
      </c>
      <c r="F20" s="119">
        <f t="shared" si="10"/>
        <v>73843388.27036421</v>
      </c>
      <c r="G20" s="119">
        <f t="shared" si="11"/>
        <v>49479666.536110997</v>
      </c>
      <c r="H20" s="93">
        <f>'4주일별계획'!G20+'4주일별계획'!L20</f>
        <v>0</v>
      </c>
      <c r="I20" s="93">
        <f t="shared" si="1"/>
        <v>0</v>
      </c>
      <c r="J20" s="93">
        <f t="shared" si="2"/>
        <v>0</v>
      </c>
      <c r="K20" s="93">
        <f t="shared" si="3"/>
        <v>0</v>
      </c>
      <c r="L20" s="93">
        <f t="shared" si="4"/>
        <v>0</v>
      </c>
      <c r="M20" s="120">
        <f>'4주일별계획'!M20+'4주일별계획'!N20+'4주일별계획'!O20</f>
        <v>0</v>
      </c>
      <c r="N20" s="121">
        <f t="shared" si="5"/>
        <v>0</v>
      </c>
      <c r="O20" s="121">
        <f t="shared" si="6"/>
        <v>0</v>
      </c>
      <c r="P20" s="122" t="str">
        <f t="shared" si="7"/>
        <v/>
      </c>
      <c r="Q20" s="123">
        <f t="shared" si="12"/>
        <v>0</v>
      </c>
      <c r="R20" s="123">
        <f t="shared" si="13"/>
        <v>0</v>
      </c>
      <c r="S20" s="123">
        <f t="shared" si="14"/>
        <v>0</v>
      </c>
    </row>
    <row r="21" spans="1:19" ht="15">
      <c r="A21" s="117">
        <v>46301</v>
      </c>
      <c r="B21" s="113" t="s">
        <v>109</v>
      </c>
      <c r="C21" s="118">
        <f t="shared" si="0"/>
        <v>174706102.60000002</v>
      </c>
      <c r="D21" s="119">
        <f t="shared" si="8"/>
        <v>40858923.672716402</v>
      </c>
      <c r="E21" s="119">
        <f t="shared" si="9"/>
        <v>2127330.0475091999</v>
      </c>
      <c r="F21" s="119">
        <f t="shared" si="10"/>
        <v>77247139.339307413</v>
      </c>
      <c r="G21" s="119">
        <f t="shared" si="11"/>
        <v>54472709.540466994</v>
      </c>
      <c r="H21" s="93">
        <f>'4주일별계획'!G21+'4주일별계획'!L21</f>
        <v>17804000.800000001</v>
      </c>
      <c r="I21" s="93">
        <f t="shared" si="1"/>
        <v>8958866.378555201</v>
      </c>
      <c r="J21" s="93">
        <f t="shared" si="2"/>
        <v>448340.3481456</v>
      </c>
      <c r="K21" s="93">
        <f t="shared" si="3"/>
        <v>3403751.0689431997</v>
      </c>
      <c r="L21" s="93">
        <f t="shared" si="4"/>
        <v>4993043.0043560006</v>
      </c>
      <c r="M21" s="120">
        <f>'4주일별계획'!M21+'4주일별계획'!N21+'4주일별계획'!O21</f>
        <v>0</v>
      </c>
      <c r="N21" s="121">
        <f t="shared" si="5"/>
        <v>0</v>
      </c>
      <c r="O21" s="121">
        <f t="shared" si="6"/>
        <v>0</v>
      </c>
      <c r="P21" s="122" t="str">
        <f t="shared" si="7"/>
        <v/>
      </c>
      <c r="Q21" s="123">
        <f t="shared" si="12"/>
        <v>0</v>
      </c>
      <c r="R21" s="123">
        <f t="shared" si="13"/>
        <v>0</v>
      </c>
      <c r="S21" s="123">
        <f t="shared" si="14"/>
        <v>0</v>
      </c>
    </row>
    <row r="22" spans="1:19" ht="15">
      <c r="A22" s="117">
        <v>46302</v>
      </c>
      <c r="B22" s="113" t="s">
        <v>111</v>
      </c>
      <c r="C22" s="118">
        <f t="shared" si="0"/>
        <v>186143657</v>
      </c>
      <c r="D22" s="119">
        <f t="shared" si="8"/>
        <v>46614232.421470001</v>
      </c>
      <c r="E22" s="119">
        <f t="shared" si="9"/>
        <v>2415350.5424099998</v>
      </c>
      <c r="F22" s="119">
        <f t="shared" si="10"/>
        <v>79433759.551945016</v>
      </c>
      <c r="G22" s="119">
        <f t="shared" si="11"/>
        <v>57680314.484174997</v>
      </c>
      <c r="H22" s="93">
        <f>'4주일별계획'!G22+'4주일별계획'!L22</f>
        <v>11437554.4</v>
      </c>
      <c r="I22" s="93">
        <f t="shared" si="1"/>
        <v>5755308.7487536008</v>
      </c>
      <c r="J22" s="93">
        <f t="shared" si="2"/>
        <v>288020.4949008</v>
      </c>
      <c r="K22" s="93">
        <f t="shared" si="3"/>
        <v>2186620.2126376</v>
      </c>
      <c r="L22" s="93">
        <f t="shared" si="4"/>
        <v>3207604.9437080002</v>
      </c>
      <c r="M22" s="120">
        <f>'4주일별계획'!M22+'4주일별계획'!N22+'4주일별계획'!O22</f>
        <v>0</v>
      </c>
      <c r="N22" s="121">
        <f t="shared" si="5"/>
        <v>0</v>
      </c>
      <c r="O22" s="121">
        <f t="shared" si="6"/>
        <v>0</v>
      </c>
      <c r="P22" s="122" t="str">
        <f t="shared" si="7"/>
        <v/>
      </c>
      <c r="Q22" s="123">
        <f t="shared" si="12"/>
        <v>0</v>
      </c>
      <c r="R22" s="123">
        <f t="shared" si="13"/>
        <v>0</v>
      </c>
      <c r="S22" s="123">
        <f t="shared" si="14"/>
        <v>0</v>
      </c>
    </row>
    <row r="23" spans="1:19" ht="15">
      <c r="A23" s="117">
        <v>46303</v>
      </c>
      <c r="B23" s="113" t="s">
        <v>113</v>
      </c>
      <c r="C23" s="118">
        <f t="shared" si="0"/>
        <v>196755505.80000001</v>
      </c>
      <c r="D23" s="119">
        <f t="shared" si="8"/>
        <v>51954051.066537201</v>
      </c>
      <c r="E23" s="119">
        <f t="shared" si="9"/>
        <v>2682578.1188915996</v>
      </c>
      <c r="F23" s="119">
        <f t="shared" si="10"/>
        <v>81462522.193680212</v>
      </c>
      <c r="G23" s="119">
        <f t="shared" si="11"/>
        <v>60656354.420890994</v>
      </c>
      <c r="H23" s="93">
        <f>'4주일별계획'!G23+'4주일별계획'!L23</f>
        <v>10611848.800000001</v>
      </c>
      <c r="I23" s="93">
        <f t="shared" si="1"/>
        <v>5339818.645067201</v>
      </c>
      <c r="J23" s="93">
        <f t="shared" si="2"/>
        <v>267227.5764816</v>
      </c>
      <c r="K23" s="93">
        <f t="shared" si="3"/>
        <v>2028762.6417352001</v>
      </c>
      <c r="L23" s="93">
        <f t="shared" si="4"/>
        <v>2976039.9367160001</v>
      </c>
      <c r="M23" s="120">
        <f>'4주일별계획'!M23+'4주일별계획'!N23+'4주일별계획'!O23</f>
        <v>0</v>
      </c>
      <c r="N23" s="121">
        <f t="shared" si="5"/>
        <v>0</v>
      </c>
      <c r="O23" s="121">
        <f t="shared" si="6"/>
        <v>0</v>
      </c>
      <c r="P23" s="122" t="str">
        <f t="shared" si="7"/>
        <v/>
      </c>
      <c r="Q23" s="123">
        <f t="shared" si="12"/>
        <v>0</v>
      </c>
      <c r="R23" s="123">
        <f t="shared" si="13"/>
        <v>0</v>
      </c>
      <c r="S23" s="123">
        <f t="shared" si="14"/>
        <v>0</v>
      </c>
    </row>
    <row r="24" spans="1:19" ht="15">
      <c r="A24" s="110">
        <v>46304</v>
      </c>
      <c r="B24" s="99" t="s">
        <v>114</v>
      </c>
      <c r="C24" s="118">
        <f t="shared" si="0"/>
        <v>196755505.80000001</v>
      </c>
      <c r="D24" s="119">
        <f t="shared" si="8"/>
        <v>51954051.066537201</v>
      </c>
      <c r="E24" s="119">
        <f t="shared" si="9"/>
        <v>2682578.1188915996</v>
      </c>
      <c r="F24" s="119">
        <f t="shared" si="10"/>
        <v>81462522.193680212</v>
      </c>
      <c r="G24" s="119">
        <f t="shared" si="11"/>
        <v>60656354.420890994</v>
      </c>
      <c r="H24" s="93">
        <f>'4주일별계획'!G24+'4주일별계획'!L24</f>
        <v>0</v>
      </c>
      <c r="I24" s="93">
        <f t="shared" si="1"/>
        <v>0</v>
      </c>
      <c r="J24" s="93">
        <f t="shared" si="2"/>
        <v>0</v>
      </c>
      <c r="K24" s="93">
        <f t="shared" si="3"/>
        <v>0</v>
      </c>
      <c r="L24" s="93">
        <f t="shared" si="4"/>
        <v>0</v>
      </c>
      <c r="M24" s="120">
        <f>'4주일별계획'!M24+'4주일별계획'!N24+'4주일별계획'!O24</f>
        <v>0</v>
      </c>
      <c r="N24" s="121">
        <f t="shared" si="5"/>
        <v>0</v>
      </c>
      <c r="O24" s="121">
        <f t="shared" si="6"/>
        <v>0</v>
      </c>
      <c r="P24" s="122" t="str">
        <f t="shared" si="7"/>
        <v/>
      </c>
      <c r="Q24" s="123">
        <f t="shared" si="12"/>
        <v>0</v>
      </c>
      <c r="R24" s="123">
        <f t="shared" si="13"/>
        <v>0</v>
      </c>
      <c r="S24" s="123">
        <f t="shared" si="14"/>
        <v>0</v>
      </c>
    </row>
    <row r="25" spans="1:19" ht="15">
      <c r="A25" s="110">
        <v>46305</v>
      </c>
      <c r="B25" s="99" t="s">
        <v>116</v>
      </c>
      <c r="C25" s="118">
        <f t="shared" si="0"/>
        <v>196755505.80000001</v>
      </c>
      <c r="D25" s="119">
        <f t="shared" si="8"/>
        <v>51954051.066537201</v>
      </c>
      <c r="E25" s="119">
        <f t="shared" si="9"/>
        <v>2682578.1188915996</v>
      </c>
      <c r="F25" s="119">
        <f t="shared" si="10"/>
        <v>81462522.193680212</v>
      </c>
      <c r="G25" s="119">
        <f t="shared" si="11"/>
        <v>60656354.420890994</v>
      </c>
      <c r="H25" s="93">
        <f>'4주일별계획'!G25+'4주일별계획'!L25</f>
        <v>0</v>
      </c>
      <c r="I25" s="93">
        <f t="shared" si="1"/>
        <v>0</v>
      </c>
      <c r="J25" s="93">
        <f t="shared" si="2"/>
        <v>0</v>
      </c>
      <c r="K25" s="93">
        <f t="shared" si="3"/>
        <v>0</v>
      </c>
      <c r="L25" s="93">
        <f t="shared" si="4"/>
        <v>0</v>
      </c>
      <c r="M25" s="120">
        <f>'4주일별계획'!M25+'4주일별계획'!N25+'4주일별계획'!O25</f>
        <v>0</v>
      </c>
      <c r="N25" s="121">
        <f t="shared" si="5"/>
        <v>0</v>
      </c>
      <c r="O25" s="121">
        <f t="shared" si="6"/>
        <v>0</v>
      </c>
      <c r="P25" s="122" t="str">
        <f t="shared" si="7"/>
        <v/>
      </c>
      <c r="Q25" s="123">
        <f t="shared" si="12"/>
        <v>0</v>
      </c>
      <c r="R25" s="123">
        <f t="shared" si="13"/>
        <v>0</v>
      </c>
      <c r="S25" s="123">
        <f t="shared" si="14"/>
        <v>0</v>
      </c>
    </row>
    <row r="26" spans="1:19" ht="15">
      <c r="A26" s="110">
        <v>46306</v>
      </c>
      <c r="B26" s="99" t="s">
        <v>117</v>
      </c>
      <c r="C26" s="118">
        <f t="shared" si="0"/>
        <v>196755505.80000001</v>
      </c>
      <c r="D26" s="119">
        <f t="shared" si="8"/>
        <v>51954051.066537201</v>
      </c>
      <c r="E26" s="119">
        <f t="shared" si="9"/>
        <v>2682578.1188915996</v>
      </c>
      <c r="F26" s="119">
        <f t="shared" si="10"/>
        <v>81462522.193680212</v>
      </c>
      <c r="G26" s="119">
        <f t="shared" si="11"/>
        <v>60656354.420890994</v>
      </c>
      <c r="H26" s="93">
        <f>'4주일별계획'!G26+'4주일별계획'!L26</f>
        <v>0</v>
      </c>
      <c r="I26" s="93">
        <f t="shared" si="1"/>
        <v>0</v>
      </c>
      <c r="J26" s="93">
        <f t="shared" si="2"/>
        <v>0</v>
      </c>
      <c r="K26" s="93">
        <f t="shared" si="3"/>
        <v>0</v>
      </c>
      <c r="L26" s="93">
        <f t="shared" si="4"/>
        <v>0</v>
      </c>
      <c r="M26" s="120">
        <f>'4주일별계획'!M26+'4주일별계획'!N26+'4주일별계획'!O26</f>
        <v>0</v>
      </c>
      <c r="N26" s="121">
        <f t="shared" si="5"/>
        <v>0</v>
      </c>
      <c r="O26" s="121">
        <f t="shared" si="6"/>
        <v>0</v>
      </c>
      <c r="P26" s="122" t="str">
        <f t="shared" si="7"/>
        <v/>
      </c>
      <c r="Q26" s="123">
        <f t="shared" si="12"/>
        <v>0</v>
      </c>
      <c r="R26" s="123">
        <f t="shared" si="13"/>
        <v>0</v>
      </c>
      <c r="S26" s="123">
        <f t="shared" si="14"/>
        <v>0</v>
      </c>
    </row>
    <row r="27" spans="1:19" ht="15">
      <c r="A27" s="117">
        <v>46307</v>
      </c>
      <c r="B27" s="113" t="s">
        <v>107</v>
      </c>
      <c r="C27" s="118">
        <f t="shared" si="0"/>
        <v>205297710.60000002</v>
      </c>
      <c r="D27" s="119">
        <f t="shared" si="8"/>
        <v>56252437.268668398</v>
      </c>
      <c r="E27" s="119">
        <f t="shared" si="9"/>
        <v>2897687.9201651998</v>
      </c>
      <c r="F27" s="119">
        <f t="shared" si="10"/>
        <v>83095612.36513941</v>
      </c>
      <c r="G27" s="119">
        <f t="shared" si="11"/>
        <v>63051973.046026997</v>
      </c>
      <c r="H27" s="93">
        <f>'4주일별계획'!G27+'4주일별계획'!L27</f>
        <v>8542204.8000000007</v>
      </c>
      <c r="I27" s="93">
        <f t="shared" si="1"/>
        <v>4298386.2021312006</v>
      </c>
      <c r="J27" s="93">
        <f t="shared" si="2"/>
        <v>215109.80127360002</v>
      </c>
      <c r="K27" s="93">
        <f t="shared" si="3"/>
        <v>1633090.1714592001</v>
      </c>
      <c r="L27" s="93">
        <f t="shared" si="4"/>
        <v>2395618.6251360001</v>
      </c>
      <c r="M27" s="120">
        <f>'4주일별계획'!M27+'4주일별계획'!N27+'4주일별계획'!O27</f>
        <v>0</v>
      </c>
      <c r="N27" s="121">
        <f t="shared" si="5"/>
        <v>0</v>
      </c>
      <c r="O27" s="121">
        <f t="shared" si="6"/>
        <v>0</v>
      </c>
      <c r="P27" s="122" t="str">
        <f t="shared" si="7"/>
        <v/>
      </c>
      <c r="Q27" s="123">
        <f t="shared" si="12"/>
        <v>0</v>
      </c>
      <c r="R27" s="123">
        <f t="shared" si="13"/>
        <v>0</v>
      </c>
      <c r="S27" s="123">
        <f t="shared" si="14"/>
        <v>0</v>
      </c>
    </row>
    <row r="28" spans="1:19" ht="15">
      <c r="A28" s="117">
        <v>46308</v>
      </c>
      <c r="B28" s="113" t="s">
        <v>109</v>
      </c>
      <c r="C28" s="118">
        <f t="shared" si="0"/>
        <v>223101711.40000001</v>
      </c>
      <c r="D28" s="119">
        <f t="shared" si="8"/>
        <v>65211303.647223599</v>
      </c>
      <c r="E28" s="119">
        <f t="shared" si="9"/>
        <v>3346028.2683107997</v>
      </c>
      <c r="F28" s="119">
        <f t="shared" si="10"/>
        <v>86499363.434082612</v>
      </c>
      <c r="G28" s="119">
        <f t="shared" si="11"/>
        <v>68045016.050383002</v>
      </c>
      <c r="H28" s="93">
        <f>'4주일별계획'!G28+'4주일별계획'!L28</f>
        <v>17804000.800000001</v>
      </c>
      <c r="I28" s="93">
        <f t="shared" si="1"/>
        <v>8958866.378555201</v>
      </c>
      <c r="J28" s="93">
        <f t="shared" si="2"/>
        <v>448340.3481456</v>
      </c>
      <c r="K28" s="93">
        <f t="shared" si="3"/>
        <v>3403751.0689431997</v>
      </c>
      <c r="L28" s="93">
        <f t="shared" si="4"/>
        <v>4993043.0043560006</v>
      </c>
      <c r="M28" s="120">
        <f>'4주일별계획'!M28+'4주일별계획'!N28+'4주일별계획'!O28</f>
        <v>0</v>
      </c>
      <c r="N28" s="121">
        <f t="shared" si="5"/>
        <v>0</v>
      </c>
      <c r="O28" s="121">
        <f t="shared" si="6"/>
        <v>0</v>
      </c>
      <c r="P28" s="122" t="str">
        <f t="shared" si="7"/>
        <v/>
      </c>
      <c r="Q28" s="123">
        <f t="shared" si="12"/>
        <v>0</v>
      </c>
      <c r="R28" s="123">
        <f t="shared" si="13"/>
        <v>0</v>
      </c>
      <c r="S28" s="123">
        <f t="shared" si="14"/>
        <v>0</v>
      </c>
    </row>
    <row r="29" spans="1:19" ht="15">
      <c r="A29" s="117">
        <v>46309</v>
      </c>
      <c r="B29" s="113" t="s">
        <v>111</v>
      </c>
      <c r="C29" s="118">
        <f t="shared" si="0"/>
        <v>234539265.80000001</v>
      </c>
      <c r="D29" s="119">
        <f t="shared" si="8"/>
        <v>70966612.395977199</v>
      </c>
      <c r="E29" s="119">
        <f t="shared" si="9"/>
        <v>3634048.7632115996</v>
      </c>
      <c r="F29" s="119">
        <f t="shared" si="10"/>
        <v>88685983.646720216</v>
      </c>
      <c r="G29" s="119">
        <f t="shared" si="11"/>
        <v>71252620.994091004</v>
      </c>
      <c r="H29" s="93">
        <f>'4주일별계획'!G29+'4주일별계획'!L29</f>
        <v>11437554.4</v>
      </c>
      <c r="I29" s="93">
        <f t="shared" si="1"/>
        <v>5755308.7487536008</v>
      </c>
      <c r="J29" s="93">
        <f t="shared" si="2"/>
        <v>288020.4949008</v>
      </c>
      <c r="K29" s="93">
        <f t="shared" si="3"/>
        <v>2186620.2126376</v>
      </c>
      <c r="L29" s="93">
        <f t="shared" si="4"/>
        <v>3207604.9437080002</v>
      </c>
      <c r="M29" s="120">
        <f>'4주일별계획'!M29+'4주일별계획'!N29+'4주일별계획'!O29</f>
        <v>0</v>
      </c>
      <c r="N29" s="121">
        <f t="shared" si="5"/>
        <v>0</v>
      </c>
      <c r="O29" s="121">
        <f t="shared" si="6"/>
        <v>0</v>
      </c>
      <c r="P29" s="122" t="str">
        <f t="shared" si="7"/>
        <v/>
      </c>
      <c r="Q29" s="123">
        <f t="shared" si="12"/>
        <v>0</v>
      </c>
      <c r="R29" s="123">
        <f t="shared" si="13"/>
        <v>0</v>
      </c>
      <c r="S29" s="123">
        <f t="shared" si="14"/>
        <v>0</v>
      </c>
    </row>
    <row r="30" spans="1:19" ht="15">
      <c r="A30" s="117">
        <v>46310</v>
      </c>
      <c r="B30" s="113" t="s">
        <v>113</v>
      </c>
      <c r="C30" s="118">
        <f t="shared" si="0"/>
        <v>245151114.60000002</v>
      </c>
      <c r="D30" s="119">
        <f t="shared" si="8"/>
        <v>76306431.041044399</v>
      </c>
      <c r="E30" s="119">
        <f t="shared" si="9"/>
        <v>3901276.3396931994</v>
      </c>
      <c r="F30" s="119">
        <f t="shared" si="10"/>
        <v>90714746.288455412</v>
      </c>
      <c r="G30" s="119">
        <f t="shared" si="11"/>
        <v>74228660.930807009</v>
      </c>
      <c r="H30" s="93">
        <f>'4주일별계획'!G30+'4주일별계획'!L30</f>
        <v>10611848.800000001</v>
      </c>
      <c r="I30" s="93">
        <f t="shared" si="1"/>
        <v>5339818.645067201</v>
      </c>
      <c r="J30" s="93">
        <f t="shared" si="2"/>
        <v>267227.5764816</v>
      </c>
      <c r="K30" s="93">
        <f t="shared" si="3"/>
        <v>2028762.6417352001</v>
      </c>
      <c r="L30" s="93">
        <f t="shared" si="4"/>
        <v>2976039.9367160001</v>
      </c>
      <c r="M30" s="120">
        <f>'4주일별계획'!M30+'4주일별계획'!N30+'4주일별계획'!O30</f>
        <v>0</v>
      </c>
      <c r="N30" s="121">
        <f t="shared" si="5"/>
        <v>0</v>
      </c>
      <c r="O30" s="121">
        <f t="shared" si="6"/>
        <v>0</v>
      </c>
      <c r="P30" s="122" t="str">
        <f t="shared" si="7"/>
        <v/>
      </c>
      <c r="Q30" s="123">
        <f t="shared" si="12"/>
        <v>0</v>
      </c>
      <c r="R30" s="123">
        <f t="shared" si="13"/>
        <v>0</v>
      </c>
      <c r="S30" s="123">
        <f t="shared" si="14"/>
        <v>0</v>
      </c>
    </row>
    <row r="31" spans="1:19" ht="15">
      <c r="A31" s="117">
        <v>46311</v>
      </c>
      <c r="B31" s="113" t="s">
        <v>114</v>
      </c>
      <c r="C31" s="118">
        <f t="shared" si="0"/>
        <v>253407838.60000002</v>
      </c>
      <c r="D31" s="119">
        <f t="shared" si="8"/>
        <v>80461165.017500401</v>
      </c>
      <c r="E31" s="119">
        <f t="shared" si="9"/>
        <v>4109197.1634611995</v>
      </c>
      <c r="F31" s="119">
        <f t="shared" si="10"/>
        <v>92293258.526051417</v>
      </c>
      <c r="G31" s="119">
        <f t="shared" si="11"/>
        <v>76544217.892987013</v>
      </c>
      <c r="H31" s="93">
        <f>'4주일별계획'!G31+'4주일별계획'!L31</f>
        <v>8256724</v>
      </c>
      <c r="I31" s="93">
        <f t="shared" si="1"/>
        <v>4154733.9764560005</v>
      </c>
      <c r="J31" s="93">
        <f t="shared" si="2"/>
        <v>207920.823768</v>
      </c>
      <c r="K31" s="93">
        <f t="shared" si="3"/>
        <v>1578512.2375959998</v>
      </c>
      <c r="L31" s="93">
        <f t="shared" si="4"/>
        <v>2315556.9621799998</v>
      </c>
      <c r="M31" s="120">
        <f>'4주일별계획'!M31+'4주일별계획'!N31+'4주일별계획'!O31</f>
        <v>0</v>
      </c>
      <c r="N31" s="121">
        <f t="shared" si="5"/>
        <v>0</v>
      </c>
      <c r="O31" s="121">
        <f t="shared" si="6"/>
        <v>0</v>
      </c>
      <c r="P31" s="122" t="str">
        <f t="shared" si="7"/>
        <v/>
      </c>
      <c r="Q31" s="123">
        <f t="shared" si="12"/>
        <v>0</v>
      </c>
      <c r="R31" s="123">
        <f t="shared" si="13"/>
        <v>0</v>
      </c>
      <c r="S31" s="123">
        <f t="shared" si="14"/>
        <v>0</v>
      </c>
    </row>
    <row r="32" spans="1:19" ht="15">
      <c r="A32" s="110">
        <v>46312</v>
      </c>
      <c r="B32" s="99" t="s">
        <v>116</v>
      </c>
      <c r="C32" s="118">
        <f t="shared" si="0"/>
        <v>253407838.60000002</v>
      </c>
      <c r="D32" s="119">
        <f t="shared" si="8"/>
        <v>80461165.017500401</v>
      </c>
      <c r="E32" s="119">
        <f t="shared" si="9"/>
        <v>4109197.1634611995</v>
      </c>
      <c r="F32" s="119">
        <f t="shared" si="10"/>
        <v>92293258.526051417</v>
      </c>
      <c r="G32" s="119">
        <f t="shared" si="11"/>
        <v>76544217.892987013</v>
      </c>
      <c r="H32" s="93">
        <f>'4주일별계획'!G32+'4주일별계획'!L32</f>
        <v>0</v>
      </c>
      <c r="I32" s="93">
        <f t="shared" si="1"/>
        <v>0</v>
      </c>
      <c r="J32" s="93">
        <f t="shared" si="2"/>
        <v>0</v>
      </c>
      <c r="K32" s="93">
        <f t="shared" si="3"/>
        <v>0</v>
      </c>
      <c r="L32" s="93">
        <f t="shared" si="4"/>
        <v>0</v>
      </c>
      <c r="M32" s="120">
        <f>'4주일별계획'!M32+'4주일별계획'!N32+'4주일별계획'!O32</f>
        <v>0</v>
      </c>
      <c r="N32" s="121">
        <f t="shared" si="5"/>
        <v>0</v>
      </c>
      <c r="O32" s="121">
        <f t="shared" si="6"/>
        <v>0</v>
      </c>
      <c r="P32" s="122" t="str">
        <f t="shared" si="7"/>
        <v/>
      </c>
      <c r="Q32" s="123">
        <f t="shared" si="12"/>
        <v>0</v>
      </c>
      <c r="R32" s="123">
        <f t="shared" si="13"/>
        <v>0</v>
      </c>
      <c r="S32" s="123">
        <f t="shared" si="14"/>
        <v>0</v>
      </c>
    </row>
    <row r="33" spans="1:19" ht="15">
      <c r="A33" s="110">
        <v>46313</v>
      </c>
      <c r="B33" s="99" t="s">
        <v>117</v>
      </c>
      <c r="C33" s="118">
        <f t="shared" si="0"/>
        <v>253407838.60000002</v>
      </c>
      <c r="D33" s="119">
        <f t="shared" si="8"/>
        <v>80461165.017500401</v>
      </c>
      <c r="E33" s="119">
        <f t="shared" si="9"/>
        <v>4109197.1634611995</v>
      </c>
      <c r="F33" s="119">
        <f t="shared" si="10"/>
        <v>92293258.526051417</v>
      </c>
      <c r="G33" s="119">
        <f t="shared" si="11"/>
        <v>76544217.892987013</v>
      </c>
      <c r="H33" s="93">
        <f>'4주일별계획'!G33+'4주일별계획'!L33</f>
        <v>0</v>
      </c>
      <c r="I33" s="93">
        <f t="shared" si="1"/>
        <v>0</v>
      </c>
      <c r="J33" s="93">
        <f t="shared" si="2"/>
        <v>0</v>
      </c>
      <c r="K33" s="93">
        <f t="shared" si="3"/>
        <v>0</v>
      </c>
      <c r="L33" s="93">
        <f t="shared" si="4"/>
        <v>0</v>
      </c>
      <c r="M33" s="120">
        <f>'4주일별계획'!M33+'4주일별계획'!N33+'4주일별계획'!O33</f>
        <v>0</v>
      </c>
      <c r="N33" s="121">
        <f t="shared" si="5"/>
        <v>0</v>
      </c>
      <c r="O33" s="121">
        <f t="shared" si="6"/>
        <v>0</v>
      </c>
      <c r="P33" s="122" t="str">
        <f t="shared" si="7"/>
        <v/>
      </c>
      <c r="Q33" s="123">
        <f t="shared" si="12"/>
        <v>0</v>
      </c>
      <c r="R33" s="123">
        <f t="shared" si="13"/>
        <v>0</v>
      </c>
      <c r="S33" s="123">
        <f t="shared" si="14"/>
        <v>0</v>
      </c>
    </row>
  </sheetData>
  <sheetProtection sheet="1" formatColumns="0" formatRows="0"/>
  <mergeCells count="6">
    <mergeCell ref="C4:G4"/>
    <mergeCell ref="B4:B5"/>
    <mergeCell ref="A4:A5"/>
    <mergeCell ref="P4:P5"/>
    <mergeCell ref="H4:L4"/>
    <mergeCell ref="N4:O4"/>
  </mergeCells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6" t="s">
        <v>131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"/>
      <c r="M2" s="1"/>
      <c r="N2" s="1"/>
      <c r="O2" s="1"/>
      <c r="P2" s="1"/>
    </row>
    <row r="3" spans="1:16">
      <c r="A3" s="134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132</v>
      </c>
      <c r="B5" s="15" t="s">
        <v>133</v>
      </c>
      <c r="C5" s="15" t="s">
        <v>98</v>
      </c>
      <c r="D5" s="15" t="s">
        <v>99</v>
      </c>
      <c r="E5" s="15" t="s">
        <v>100</v>
      </c>
      <c r="F5" s="15" t="s">
        <v>101</v>
      </c>
      <c r="G5" s="15" t="s">
        <v>102</v>
      </c>
      <c r="H5" s="15" t="s">
        <v>134</v>
      </c>
      <c r="I5" s="15" t="s">
        <v>103</v>
      </c>
      <c r="J5" s="15" t="s">
        <v>105</v>
      </c>
      <c r="K5" s="15" t="s">
        <v>84</v>
      </c>
      <c r="L5" s="1"/>
      <c r="M5" s="1"/>
      <c r="N5" s="1"/>
      <c r="O5" s="1"/>
      <c r="P5" s="1"/>
    </row>
    <row r="6" spans="1:16">
      <c r="A6" s="69" t="s">
        <v>135</v>
      </c>
      <c r="B6" s="58" t="s">
        <v>136</v>
      </c>
      <c r="C6" s="59">
        <f>SUMIFS('4주일별계획'!$G$6:$G$33,'4주일별계획'!$A$6:$A$33,"&gt;="&amp;DATE(2026,9,21),'4주일별계획'!$A$6:$A$33,"&lt;="&amp;DATE(2026,9,27))</f>
        <v>37783760</v>
      </c>
      <c r="D6" s="59">
        <f>SUMIFS('4주일별계획'!$L$6:$L$33,'4주일별계획'!$A$6:$A$33,"&gt;="&amp;DATE(2026,9,21),'4주일별계획'!$A$6:$A$33,"&lt;="&amp;DATE(2026,9,27))</f>
        <v>0</v>
      </c>
      <c r="E6" s="59">
        <f>SUMIFS('4주일별계획'!$M$6:$M$33,'4주일별계획'!$A$6:$A$33,"&gt;="&amp;DATE(2026,9,21),'4주일별계획'!$A$6:$A$33,"&lt;="&amp;DATE(2026,9,27))</f>
        <v>40659896</v>
      </c>
      <c r="F6" s="59">
        <f>SUMIFS('4주일별계획'!$N$6:$N$33,'4주일별계획'!$A$6:$A$33,"&gt;="&amp;DATE(2026,9,21),'4주일별계획'!$A$6:$A$33,"&lt;="&amp;DATE(2026,9,27))</f>
        <v>0</v>
      </c>
      <c r="G6" s="59">
        <f>SUMIFS('4주일별계획'!$O$6:$O$33,'4주일별계획'!$A$6:$A$33,"&gt;="&amp;DATE(2026,9,21),'4주일별계획'!$A$6:$A$33,"&lt;="&amp;DATE(2026,9,27))</f>
        <v>39900682</v>
      </c>
      <c r="H6" s="56"/>
      <c r="I6" s="60">
        <f t="shared" ref="I6:I18" si="0">C6+D6-E6-F6-G6+H6</f>
        <v>-42776818</v>
      </c>
      <c r="J6" s="60">
        <f>요약!$B$6+I6</f>
        <v>97244029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0" t="s">
        <v>137</v>
      </c>
      <c r="B7" s="61" t="s">
        <v>138</v>
      </c>
      <c r="C7" s="62">
        <f>SUMIFS('4주일별계획'!$G$6:$G$33,'4주일별계획'!$A$6:$A$33,"&gt;="&amp;DATE(2026,9,28),'4주일별계획'!$A$6:$A$33,"&lt;="&amp;DATE(2026,10,4))</f>
        <v>56652332.799999997</v>
      </c>
      <c r="D7" s="62">
        <f>SUMIFS('4주일별계획'!$L$6:$L$33,'4주일별계획'!$A$6:$A$33,"&gt;="&amp;DATE(2026,9,28),'4주일별계획'!$A$6:$A$33,"&lt;="&amp;DATE(2026,10,4))</f>
        <v>10021867</v>
      </c>
      <c r="E7" s="62">
        <f>SUMIFS('4주일별계획'!$M$6:$M$33,'4주일별계획'!$A$6:$A$33,"&gt;="&amp;DATE(2026,9,28),'4주일별계획'!$A$6:$A$33,"&lt;="&amp;DATE(2026,10,4))</f>
        <v>1650000</v>
      </c>
      <c r="F7" s="62">
        <f>SUMIFS('4주일별계획'!$N$6:$N$33,'4주일별계획'!$A$6:$A$33,"&gt;="&amp;DATE(2026,9,28),'4주일별계획'!$A$6:$A$33,"&lt;="&amp;DATE(2026,10,4))</f>
        <v>0</v>
      </c>
      <c r="G7" s="62">
        <f>SUMIFS('4주일별계획'!$O$6:$O$33,'4주일별계획'!$A$6:$A$33,"&gt;="&amp;DATE(2026,9,28),'4주일별계획'!$A$6:$A$33,"&lt;="&amp;DATE(2026,10,4))</f>
        <v>0</v>
      </c>
      <c r="H7" s="57"/>
      <c r="I7" s="64">
        <f t="shared" si="0"/>
        <v>65024199.799999997</v>
      </c>
      <c r="J7" s="64">
        <f t="shared" ref="J7:J18" si="1">J6+I7</f>
        <v>162268228.80000001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0" t="s">
        <v>139</v>
      </c>
      <c r="B8" s="61" t="s">
        <v>140</v>
      </c>
      <c r="C8" s="62">
        <f>SUMIFS('4주일별계획'!$G$6:$G$33,'4주일별계획'!$A$6:$A$33,"&gt;="&amp;DATE(2026,10,5),'4주일별계획'!$A$6:$A$33,"&lt;="&amp;DATE(2026,10,11))</f>
        <v>39853404</v>
      </c>
      <c r="D8" s="62">
        <f>SUMIFS('4주일별계획'!$L$6:$L$33,'4주일별계획'!$A$6:$A$33,"&gt;="&amp;DATE(2026,10,5),'4주일별계획'!$A$6:$A$33,"&lt;="&amp;DATE(2026,10,11))</f>
        <v>0</v>
      </c>
      <c r="E8" s="62">
        <f>SUMIFS('4주일별계획'!$M$6:$M$33,'4주일별계획'!$A$6:$A$33,"&gt;="&amp;DATE(2026,10,5),'4주일별계획'!$A$6:$A$33,"&lt;="&amp;DATE(2026,10,11))</f>
        <v>0</v>
      </c>
      <c r="F8" s="62">
        <f>SUMIFS('4주일별계획'!$N$6:$N$33,'4주일별계획'!$A$6:$A$33,"&gt;="&amp;DATE(2026,10,5),'4주일별계획'!$A$6:$A$33,"&lt;="&amp;DATE(2026,10,11))</f>
        <v>0</v>
      </c>
      <c r="G8" s="62">
        <f>SUMIFS('4주일별계획'!$O$6:$O$33,'4주일별계획'!$A$6:$A$33,"&gt;="&amp;DATE(2026,10,5),'4주일별계획'!$A$6:$A$33,"&lt;="&amp;DATE(2026,10,11))</f>
        <v>0</v>
      </c>
      <c r="H8" s="57"/>
      <c r="I8" s="64">
        <f t="shared" si="0"/>
        <v>39853404</v>
      </c>
      <c r="J8" s="64">
        <f t="shared" si="1"/>
        <v>202121632.80000001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0" t="s">
        <v>141</v>
      </c>
      <c r="B9" s="61" t="s">
        <v>142</v>
      </c>
      <c r="C9" s="62">
        <f>SUMIFS('4주일별계획'!$G$6:$G$33,'4주일별계획'!$A$6:$A$33,"&gt;="&amp;DATE(2026,10,12),'4주일별계획'!$A$6:$A$33,"&lt;="&amp;DATE(2026,10,18))</f>
        <v>56652332.799999997</v>
      </c>
      <c r="D9" s="62">
        <f>SUMIFS('4주일별계획'!$L$6:$L$33,'4주일별계획'!$A$6:$A$33,"&gt;="&amp;DATE(2026,10,12),'4주일별계획'!$A$6:$A$33,"&lt;="&amp;DATE(2026,10,18))</f>
        <v>0</v>
      </c>
      <c r="E9" s="62">
        <f>SUMIFS('4주일별계획'!$M$6:$M$33,'4주일별계획'!$A$6:$A$33,"&gt;="&amp;DATE(2026,10,12),'4주일별계획'!$A$6:$A$33,"&lt;="&amp;DATE(2026,10,18))</f>
        <v>0</v>
      </c>
      <c r="F9" s="62">
        <f>SUMIFS('4주일별계획'!$N$6:$N$33,'4주일별계획'!$A$6:$A$33,"&gt;="&amp;DATE(2026,10,12),'4주일별계획'!$A$6:$A$33,"&lt;="&amp;DATE(2026,10,18))</f>
        <v>0</v>
      </c>
      <c r="G9" s="62">
        <f>SUMIFS('4주일별계획'!$O$6:$O$33,'4주일별계획'!$A$6:$A$33,"&gt;="&amp;DATE(2026,10,12),'4주일별계획'!$A$6:$A$33,"&lt;="&amp;DATE(2026,10,18))</f>
        <v>0</v>
      </c>
      <c r="H9" s="57"/>
      <c r="I9" s="64">
        <f t="shared" si="0"/>
        <v>56652332.799999997</v>
      </c>
      <c r="J9" s="64">
        <f t="shared" si="1"/>
        <v>258773965.60000002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0" t="s">
        <v>143</v>
      </c>
      <c r="B10" s="61" t="s">
        <v>144</v>
      </c>
      <c r="C10" s="62">
        <f>SUM(설정및분류!$C$6:$C$12)*요약!$B$13</f>
        <v>56652332.800000004</v>
      </c>
      <c r="D10" s="63"/>
      <c r="E10" s="63"/>
      <c r="F10" s="63">
        <v>6066502</v>
      </c>
      <c r="G10" s="63">
        <v>7864831</v>
      </c>
      <c r="H10" s="63"/>
      <c r="I10" s="64">
        <f t="shared" si="0"/>
        <v>42720999.800000004</v>
      </c>
      <c r="J10" s="64">
        <f t="shared" si="1"/>
        <v>301494965.40000004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0" t="s">
        <v>145</v>
      </c>
      <c r="B11" s="61" t="s">
        <v>146</v>
      </c>
      <c r="C11" s="62">
        <f>SUM(설정및분류!$C$6:$C$12)*요약!$B$13</f>
        <v>56652332.800000004</v>
      </c>
      <c r="D11" s="63">
        <v>10021867</v>
      </c>
      <c r="E11" s="63"/>
      <c r="F11" s="63">
        <v>25712983</v>
      </c>
      <c r="G11" s="63">
        <v>73310994</v>
      </c>
      <c r="H11" s="63"/>
      <c r="I11" s="64">
        <f t="shared" si="0"/>
        <v>-32349777.199999996</v>
      </c>
      <c r="J11" s="64">
        <f t="shared" si="1"/>
        <v>269145188.20000005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0" t="s">
        <v>147</v>
      </c>
      <c r="B12" s="61" t="s">
        <v>148</v>
      </c>
      <c r="C12" s="62">
        <f>SUM(설정및분류!$C$6:$C$12)*요약!$B$13</f>
        <v>56652332.800000004</v>
      </c>
      <c r="D12" s="63"/>
      <c r="E12" s="63"/>
      <c r="F12" s="63"/>
      <c r="G12" s="63">
        <v>34494000</v>
      </c>
      <c r="H12" s="63"/>
      <c r="I12" s="64">
        <f t="shared" si="0"/>
        <v>22158332.800000004</v>
      </c>
      <c r="J12" s="64">
        <f t="shared" si="1"/>
        <v>291303521.00000006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0" t="s">
        <v>149</v>
      </c>
      <c r="B13" s="61" t="s">
        <v>150</v>
      </c>
      <c r="C13" s="62">
        <f>SUM(설정및분류!$C$6:$C$12)*요약!$B$13</f>
        <v>56652332.800000004</v>
      </c>
      <c r="D13" s="63"/>
      <c r="E13" s="63"/>
      <c r="F13" s="63"/>
      <c r="G13" s="63">
        <v>84413290</v>
      </c>
      <c r="H13" s="63"/>
      <c r="I13" s="64">
        <f t="shared" si="0"/>
        <v>-27760957.199999996</v>
      </c>
      <c r="J13" s="64">
        <f t="shared" si="1"/>
        <v>263542563.80000007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0" t="s">
        <v>151</v>
      </c>
      <c r="B14" s="61" t="s">
        <v>152</v>
      </c>
      <c r="C14" s="62">
        <f>SUM(설정및분류!$C$6:$C$12)*요약!$B$13</f>
        <v>56652332.800000004</v>
      </c>
      <c r="D14" s="63"/>
      <c r="E14" s="63"/>
      <c r="F14" s="63">
        <v>155361</v>
      </c>
      <c r="G14" s="63">
        <v>5046740</v>
      </c>
      <c r="H14" s="63"/>
      <c r="I14" s="64">
        <f t="shared" si="0"/>
        <v>51450231.800000004</v>
      </c>
      <c r="J14" s="64">
        <f t="shared" si="1"/>
        <v>314992795.60000008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0" t="s">
        <v>153</v>
      </c>
      <c r="B15" s="61" t="s">
        <v>154</v>
      </c>
      <c r="C15" s="62">
        <f>SUM(설정및분류!$C$6:$C$12)*요약!$B$13</f>
        <v>56652332.800000004</v>
      </c>
      <c r="D15" s="63"/>
      <c r="E15" s="63"/>
      <c r="F15" s="63">
        <v>31779485</v>
      </c>
      <c r="G15" s="63">
        <v>7978464</v>
      </c>
      <c r="H15" s="63"/>
      <c r="I15" s="64">
        <f t="shared" si="0"/>
        <v>16894383.800000004</v>
      </c>
      <c r="J15" s="64">
        <f t="shared" si="1"/>
        <v>331887179.4000001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0" t="s">
        <v>155</v>
      </c>
      <c r="B16" s="61" t="s">
        <v>156</v>
      </c>
      <c r="C16" s="62">
        <f>SUM(설정및분류!$C$6:$C$12)*요약!$B$13</f>
        <v>56652332.800000004</v>
      </c>
      <c r="D16" s="63">
        <v>10021867</v>
      </c>
      <c r="E16" s="63"/>
      <c r="F16" s="63"/>
      <c r="G16" s="63">
        <v>103197361</v>
      </c>
      <c r="H16" s="63"/>
      <c r="I16" s="64">
        <f t="shared" si="0"/>
        <v>-36523161.199999996</v>
      </c>
      <c r="J16" s="64">
        <f t="shared" si="1"/>
        <v>295364018.20000011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0" t="s">
        <v>157</v>
      </c>
      <c r="B17" s="61" t="s">
        <v>158</v>
      </c>
      <c r="C17" s="62">
        <f>SUM(설정및분류!$C$6:$C$12)*요약!$B$13</f>
        <v>56652332.800000004</v>
      </c>
      <c r="D17" s="63"/>
      <c r="E17" s="63"/>
      <c r="F17" s="63"/>
      <c r="G17" s="63">
        <v>88907290</v>
      </c>
      <c r="H17" s="63"/>
      <c r="I17" s="64">
        <f t="shared" si="0"/>
        <v>-32254957.199999996</v>
      </c>
      <c r="J17" s="64">
        <f t="shared" si="1"/>
        <v>263109061.00000012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1" t="s">
        <v>159</v>
      </c>
      <c r="B18" s="65" t="s">
        <v>160</v>
      </c>
      <c r="C18" s="66">
        <f>SUM(설정및분류!$C$6:$C$12)*요약!$B$13</f>
        <v>56652332.800000004</v>
      </c>
      <c r="D18" s="67"/>
      <c r="E18" s="67"/>
      <c r="F18" s="67">
        <v>155361</v>
      </c>
      <c r="G18" s="67">
        <v>5046740</v>
      </c>
      <c r="H18" s="67"/>
      <c r="I18" s="68">
        <f t="shared" si="0"/>
        <v>51450231.800000004</v>
      </c>
      <c r="J18" s="68">
        <f t="shared" si="1"/>
        <v>314559292.80000013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6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2" t="s">
        <v>161</v>
      </c>
    </row>
    <row r="3" spans="1:17">
      <c r="A3" s="73" t="s">
        <v>162</v>
      </c>
    </row>
    <row r="5" spans="1:17" ht="15">
      <c r="A5" s="74" t="s">
        <v>163</v>
      </c>
      <c r="B5" s="74" t="s">
        <v>164</v>
      </c>
      <c r="C5" s="74" t="s">
        <v>165</v>
      </c>
      <c r="D5" s="74" t="s">
        <v>166</v>
      </c>
      <c r="E5" s="74" t="s">
        <v>167</v>
      </c>
      <c r="F5" s="74" t="s">
        <v>168</v>
      </c>
      <c r="G5" s="74" t="s">
        <v>169</v>
      </c>
      <c r="H5" s="74" t="s">
        <v>170</v>
      </c>
      <c r="I5" s="74" t="s">
        <v>171</v>
      </c>
      <c r="J5" s="74" t="s">
        <v>172</v>
      </c>
      <c r="K5" s="74" t="s">
        <v>173</v>
      </c>
      <c r="L5" s="74" t="s">
        <v>174</v>
      </c>
      <c r="M5" s="74" t="s">
        <v>175</v>
      </c>
      <c r="N5" s="74" t="s">
        <v>176</v>
      </c>
      <c r="O5" s="74" t="s">
        <v>177</v>
      </c>
      <c r="P5" s="74" t="s">
        <v>178</v>
      </c>
      <c r="Q5" s="74" t="s">
        <v>179</v>
      </c>
    </row>
    <row r="6" spans="1:17" ht="15" hidden="1">
      <c r="A6" s="75" t="s">
        <v>180</v>
      </c>
      <c r="B6" s="75" t="s">
        <v>181</v>
      </c>
      <c r="C6" s="75" t="s">
        <v>182</v>
      </c>
      <c r="D6" s="75"/>
      <c r="E6" s="76">
        <v>46283</v>
      </c>
      <c r="F6" s="76">
        <v>46283</v>
      </c>
      <c r="G6" s="75" t="s">
        <v>183</v>
      </c>
      <c r="H6" s="75" t="s">
        <v>184</v>
      </c>
      <c r="I6" s="77">
        <v>1553720</v>
      </c>
      <c r="J6" s="75" t="s">
        <v>185</v>
      </c>
      <c r="K6" s="75"/>
      <c r="L6" s="75" t="s">
        <v>186</v>
      </c>
      <c r="M6" s="75" t="s">
        <v>187</v>
      </c>
      <c r="N6" s="76">
        <v>46283</v>
      </c>
      <c r="O6" s="75" t="s">
        <v>188</v>
      </c>
      <c r="P6" s="75" t="s">
        <v>189</v>
      </c>
      <c r="Q6" s="75"/>
    </row>
    <row r="7" spans="1:17" ht="15">
      <c r="A7" s="75" t="s">
        <v>190</v>
      </c>
      <c r="B7" s="75" t="s">
        <v>191</v>
      </c>
      <c r="C7" s="75" t="s">
        <v>192</v>
      </c>
      <c r="D7" s="75"/>
      <c r="E7" s="76">
        <v>46286</v>
      </c>
      <c r="F7" s="76">
        <v>46286</v>
      </c>
      <c r="G7" s="75" t="s">
        <v>193</v>
      </c>
      <c r="H7" s="75" t="s">
        <v>194</v>
      </c>
      <c r="I7" s="77">
        <v>1996000</v>
      </c>
      <c r="J7" s="75" t="s">
        <v>185</v>
      </c>
      <c r="K7" s="75"/>
      <c r="L7" s="75" t="s">
        <v>186</v>
      </c>
      <c r="M7" s="75" t="s">
        <v>187</v>
      </c>
      <c r="N7" s="76">
        <v>46283</v>
      </c>
      <c r="O7" s="75" t="s">
        <v>188</v>
      </c>
      <c r="P7" s="75" t="s">
        <v>195</v>
      </c>
      <c r="Q7" s="75"/>
    </row>
    <row r="8" spans="1:17" ht="15">
      <c r="A8" s="75" t="s">
        <v>196</v>
      </c>
      <c r="B8" s="75" t="s">
        <v>191</v>
      </c>
      <c r="C8" s="75" t="s">
        <v>197</v>
      </c>
      <c r="D8" s="75"/>
      <c r="E8" s="76">
        <v>46286</v>
      </c>
      <c r="F8" s="76">
        <v>46286</v>
      </c>
      <c r="G8" s="75" t="s">
        <v>198</v>
      </c>
      <c r="H8" s="75" t="s">
        <v>199</v>
      </c>
      <c r="I8" s="77">
        <v>3498000</v>
      </c>
      <c r="J8" s="75" t="s">
        <v>185</v>
      </c>
      <c r="K8" s="75"/>
      <c r="L8" s="75" t="s">
        <v>186</v>
      </c>
      <c r="M8" s="75" t="s">
        <v>200</v>
      </c>
      <c r="N8" s="76">
        <v>46283</v>
      </c>
      <c r="O8" s="75" t="s">
        <v>188</v>
      </c>
      <c r="P8" s="75" t="s">
        <v>195</v>
      </c>
      <c r="Q8" s="75"/>
    </row>
    <row r="9" spans="1:17" ht="15">
      <c r="A9" s="75" t="s">
        <v>201</v>
      </c>
      <c r="B9" s="75" t="s">
        <v>181</v>
      </c>
      <c r="C9" s="75" t="s">
        <v>202</v>
      </c>
      <c r="D9" s="75"/>
      <c r="E9" s="76">
        <v>46286</v>
      </c>
      <c r="F9" s="76">
        <v>46286</v>
      </c>
      <c r="G9" s="75" t="s">
        <v>203</v>
      </c>
      <c r="H9" s="75" t="s">
        <v>204</v>
      </c>
      <c r="I9" s="77">
        <v>4900000</v>
      </c>
      <c r="J9" s="75" t="s">
        <v>205</v>
      </c>
      <c r="K9" s="75"/>
      <c r="L9" s="75" t="s">
        <v>186</v>
      </c>
      <c r="M9" s="75" t="s">
        <v>200</v>
      </c>
      <c r="N9" s="76">
        <v>46283</v>
      </c>
      <c r="O9" s="75" t="s">
        <v>188</v>
      </c>
      <c r="P9" s="75" t="s">
        <v>195</v>
      </c>
      <c r="Q9" s="75"/>
    </row>
    <row r="10" spans="1:17" ht="15">
      <c r="A10" s="75" t="s">
        <v>206</v>
      </c>
      <c r="B10" s="75" t="s">
        <v>181</v>
      </c>
      <c r="C10" s="75" t="s">
        <v>202</v>
      </c>
      <c r="D10" s="75"/>
      <c r="E10" s="76">
        <v>46286</v>
      </c>
      <c r="F10" s="76">
        <v>46286</v>
      </c>
      <c r="G10" s="75" t="s">
        <v>207</v>
      </c>
      <c r="H10" s="75" t="s">
        <v>208</v>
      </c>
      <c r="I10" s="77">
        <v>220000</v>
      </c>
      <c r="J10" s="75" t="s">
        <v>205</v>
      </c>
      <c r="K10" s="75"/>
      <c r="L10" s="75" t="s">
        <v>186</v>
      </c>
      <c r="M10" s="75" t="s">
        <v>187</v>
      </c>
      <c r="N10" s="76">
        <v>46283</v>
      </c>
      <c r="O10" s="75" t="s">
        <v>188</v>
      </c>
      <c r="P10" s="75" t="s">
        <v>195</v>
      </c>
      <c r="Q10" s="75"/>
    </row>
    <row r="11" spans="1:17" ht="15">
      <c r="A11" s="75" t="s">
        <v>209</v>
      </c>
      <c r="B11" s="75" t="s">
        <v>191</v>
      </c>
      <c r="C11" s="75" t="s">
        <v>192</v>
      </c>
      <c r="D11" s="75"/>
      <c r="E11" s="76">
        <v>46287</v>
      </c>
      <c r="F11" s="76">
        <v>46287</v>
      </c>
      <c r="G11" s="75" t="s">
        <v>210</v>
      </c>
      <c r="H11" s="75" t="s">
        <v>211</v>
      </c>
      <c r="I11" s="77">
        <v>500000</v>
      </c>
      <c r="J11" s="75" t="s">
        <v>185</v>
      </c>
      <c r="K11" s="75"/>
      <c r="L11" s="75" t="s">
        <v>186</v>
      </c>
      <c r="M11" s="75" t="s">
        <v>187</v>
      </c>
      <c r="N11" s="76">
        <v>46283</v>
      </c>
      <c r="O11" s="75" t="s">
        <v>188</v>
      </c>
      <c r="P11" s="75" t="s">
        <v>195</v>
      </c>
      <c r="Q11" s="75"/>
    </row>
    <row r="12" spans="1:17" ht="15">
      <c r="A12" s="75" t="s">
        <v>212</v>
      </c>
      <c r="B12" s="75" t="s">
        <v>181</v>
      </c>
      <c r="C12" s="75" t="s">
        <v>182</v>
      </c>
      <c r="D12" s="75"/>
      <c r="E12" s="76">
        <v>46287</v>
      </c>
      <c r="F12" s="76">
        <v>46287</v>
      </c>
      <c r="G12" s="75" t="s">
        <v>213</v>
      </c>
      <c r="H12" s="75" t="s">
        <v>214</v>
      </c>
      <c r="I12" s="77">
        <v>1023110</v>
      </c>
      <c r="J12" s="75" t="s">
        <v>185</v>
      </c>
      <c r="K12" s="75"/>
      <c r="L12" s="75" t="s">
        <v>186</v>
      </c>
      <c r="M12" s="75" t="s">
        <v>200</v>
      </c>
      <c r="N12" s="76">
        <v>46283</v>
      </c>
      <c r="O12" s="75" t="s">
        <v>188</v>
      </c>
      <c r="P12" s="75" t="s">
        <v>195</v>
      </c>
      <c r="Q12" s="75"/>
    </row>
    <row r="13" spans="1:17" ht="15">
      <c r="A13" s="75" t="s">
        <v>215</v>
      </c>
      <c r="B13" s="75" t="s">
        <v>181</v>
      </c>
      <c r="C13" s="75" t="s">
        <v>216</v>
      </c>
      <c r="D13" s="75"/>
      <c r="E13" s="76">
        <v>46287</v>
      </c>
      <c r="F13" s="76">
        <v>46287</v>
      </c>
      <c r="G13" s="75" t="s">
        <v>217</v>
      </c>
      <c r="H13" s="75" t="s">
        <v>218</v>
      </c>
      <c r="I13" s="77">
        <v>20000000</v>
      </c>
      <c r="J13" s="75" t="s">
        <v>185</v>
      </c>
      <c r="K13" s="75"/>
      <c r="L13" s="75" t="s">
        <v>186</v>
      </c>
      <c r="M13" s="75" t="s">
        <v>200</v>
      </c>
      <c r="N13" s="124">
        <v>46284</v>
      </c>
      <c r="O13" s="75" t="s">
        <v>188</v>
      </c>
      <c r="P13" s="75" t="s">
        <v>195</v>
      </c>
      <c r="Q13" s="75"/>
    </row>
    <row r="14" spans="1:17" ht="15">
      <c r="A14" s="75" t="s">
        <v>219</v>
      </c>
      <c r="B14" s="75" t="s">
        <v>191</v>
      </c>
      <c r="C14" s="75" t="s">
        <v>197</v>
      </c>
      <c r="D14" s="75"/>
      <c r="E14" s="76">
        <v>46288</v>
      </c>
      <c r="F14" s="76">
        <v>46288</v>
      </c>
      <c r="G14" s="75" t="s">
        <v>220</v>
      </c>
      <c r="H14" s="75" t="s">
        <v>221</v>
      </c>
      <c r="I14" s="77">
        <v>3300000</v>
      </c>
      <c r="J14" s="75" t="s">
        <v>185</v>
      </c>
      <c r="K14" s="75"/>
      <c r="L14" s="75" t="s">
        <v>186</v>
      </c>
      <c r="M14" s="75" t="s">
        <v>200</v>
      </c>
      <c r="N14" s="76">
        <v>46286</v>
      </c>
      <c r="O14" s="75" t="s">
        <v>188</v>
      </c>
      <c r="P14" s="75" t="s">
        <v>195</v>
      </c>
      <c r="Q14" s="75"/>
    </row>
    <row r="15" spans="1:17" ht="15">
      <c r="A15" s="75" t="s">
        <v>222</v>
      </c>
      <c r="B15" s="75" t="s">
        <v>191</v>
      </c>
      <c r="C15" s="75" t="s">
        <v>197</v>
      </c>
      <c r="D15" s="75"/>
      <c r="E15" s="76">
        <v>46288</v>
      </c>
      <c r="F15" s="76">
        <v>46288</v>
      </c>
      <c r="G15" s="75" t="s">
        <v>223</v>
      </c>
      <c r="H15" s="75" t="s">
        <v>224</v>
      </c>
      <c r="I15" s="77">
        <v>1487786</v>
      </c>
      <c r="J15" s="75" t="s">
        <v>185</v>
      </c>
      <c r="K15" s="75"/>
      <c r="L15" s="75" t="s">
        <v>186</v>
      </c>
      <c r="M15" s="75" t="s">
        <v>187</v>
      </c>
      <c r="N15" s="76">
        <v>46283</v>
      </c>
      <c r="O15" s="75" t="s">
        <v>188</v>
      </c>
      <c r="P15" s="75" t="s">
        <v>195</v>
      </c>
      <c r="Q15" s="75"/>
    </row>
    <row r="16" spans="1:17" ht="15">
      <c r="A16" s="75" t="s">
        <v>225</v>
      </c>
      <c r="B16" s="75" t="s">
        <v>191</v>
      </c>
      <c r="C16" s="75" t="s">
        <v>197</v>
      </c>
      <c r="D16" s="75"/>
      <c r="E16" s="76">
        <v>46288</v>
      </c>
      <c r="F16" s="76">
        <v>46288</v>
      </c>
      <c r="G16" s="75" t="s">
        <v>198</v>
      </c>
      <c r="H16" s="75" t="s">
        <v>226</v>
      </c>
      <c r="I16" s="77">
        <v>8305000</v>
      </c>
      <c r="J16" s="75" t="s">
        <v>185</v>
      </c>
      <c r="K16" s="75"/>
      <c r="L16" s="75" t="s">
        <v>186</v>
      </c>
      <c r="M16" s="75" t="s">
        <v>187</v>
      </c>
      <c r="N16" s="76">
        <v>46283</v>
      </c>
      <c r="O16" s="75" t="s">
        <v>188</v>
      </c>
      <c r="P16" s="75" t="s">
        <v>195</v>
      </c>
      <c r="Q16" s="75"/>
    </row>
    <row r="17" spans="1:17" ht="15">
      <c r="A17" s="75" t="s">
        <v>227</v>
      </c>
      <c r="B17" s="75" t="s">
        <v>191</v>
      </c>
      <c r="C17" s="75" t="s">
        <v>197</v>
      </c>
      <c r="D17" s="75"/>
      <c r="E17" s="76">
        <v>46288</v>
      </c>
      <c r="F17" s="76">
        <v>46288</v>
      </c>
      <c r="G17" s="75" t="s">
        <v>228</v>
      </c>
      <c r="H17" s="75" t="s">
        <v>229</v>
      </c>
      <c r="I17" s="77">
        <v>550000</v>
      </c>
      <c r="J17" s="75" t="s">
        <v>185</v>
      </c>
      <c r="K17" s="75"/>
      <c r="L17" s="75" t="s">
        <v>186</v>
      </c>
      <c r="M17" s="75" t="s">
        <v>187</v>
      </c>
      <c r="N17" s="76">
        <v>46283</v>
      </c>
      <c r="O17" s="75" t="s">
        <v>188</v>
      </c>
      <c r="P17" s="75" t="s">
        <v>195</v>
      </c>
      <c r="Q17" s="75"/>
    </row>
    <row r="18" spans="1:17" ht="15">
      <c r="A18" s="75" t="s">
        <v>230</v>
      </c>
      <c r="B18" s="75" t="s">
        <v>181</v>
      </c>
      <c r="C18" s="75" t="s">
        <v>202</v>
      </c>
      <c r="D18" s="75"/>
      <c r="E18" s="76">
        <v>46288</v>
      </c>
      <c r="F18" s="76">
        <v>46288</v>
      </c>
      <c r="G18" s="75" t="s">
        <v>231</v>
      </c>
      <c r="H18" s="75" t="s">
        <v>232</v>
      </c>
      <c r="I18" s="77">
        <v>6827883</v>
      </c>
      <c r="J18" s="75" t="s">
        <v>205</v>
      </c>
      <c r="K18" s="75"/>
      <c r="L18" s="75" t="s">
        <v>186</v>
      </c>
      <c r="M18" s="75" t="s">
        <v>187</v>
      </c>
      <c r="N18" s="76">
        <v>46283</v>
      </c>
      <c r="O18" s="75" t="s">
        <v>188</v>
      </c>
      <c r="P18" s="75" t="s">
        <v>195</v>
      </c>
      <c r="Q18" s="75"/>
    </row>
    <row r="19" spans="1:17" ht="15">
      <c r="A19" s="75" t="s">
        <v>233</v>
      </c>
      <c r="B19" s="75" t="s">
        <v>181</v>
      </c>
      <c r="C19" s="75" t="s">
        <v>202</v>
      </c>
      <c r="D19" s="75"/>
      <c r="E19" s="76">
        <v>46288</v>
      </c>
      <c r="F19" s="76">
        <v>46288</v>
      </c>
      <c r="G19" s="75" t="s">
        <v>234</v>
      </c>
      <c r="H19" s="75" t="s">
        <v>235</v>
      </c>
      <c r="I19" s="77">
        <v>25346349</v>
      </c>
      <c r="J19" s="75" t="s">
        <v>205</v>
      </c>
      <c r="K19" s="75"/>
      <c r="L19" s="75" t="s">
        <v>186</v>
      </c>
      <c r="M19" s="75" t="s">
        <v>187</v>
      </c>
      <c r="N19" s="76">
        <v>46283</v>
      </c>
      <c r="O19" s="75" t="s">
        <v>188</v>
      </c>
      <c r="P19" s="75" t="s">
        <v>195</v>
      </c>
      <c r="Q19" s="75"/>
    </row>
    <row r="20" spans="1:17" ht="15">
      <c r="A20" s="75" t="s">
        <v>236</v>
      </c>
      <c r="B20" s="75" t="s">
        <v>181</v>
      </c>
      <c r="C20" s="75" t="s">
        <v>182</v>
      </c>
      <c r="D20" s="75"/>
      <c r="E20" s="76">
        <v>46288</v>
      </c>
      <c r="F20" s="76">
        <v>46288</v>
      </c>
      <c r="G20" s="75" t="s">
        <v>237</v>
      </c>
      <c r="H20" s="75" t="s">
        <v>238</v>
      </c>
      <c r="I20" s="77">
        <v>269810</v>
      </c>
      <c r="J20" s="75" t="s">
        <v>185</v>
      </c>
      <c r="K20" s="75"/>
      <c r="L20" s="75" t="s">
        <v>186</v>
      </c>
      <c r="M20" s="75" t="s">
        <v>187</v>
      </c>
      <c r="N20" s="76">
        <v>46283</v>
      </c>
      <c r="O20" s="75" t="s">
        <v>188</v>
      </c>
      <c r="P20" s="75" t="s">
        <v>189</v>
      </c>
      <c r="Q20" s="75"/>
    </row>
    <row r="21" spans="1:17" ht="15">
      <c r="A21" s="75" t="s">
        <v>239</v>
      </c>
      <c r="B21" s="75" t="s">
        <v>181</v>
      </c>
      <c r="C21" s="75" t="s">
        <v>202</v>
      </c>
      <c r="D21" s="75"/>
      <c r="E21" s="124">
        <v>46290</v>
      </c>
      <c r="F21" s="124">
        <v>46290</v>
      </c>
      <c r="G21" s="75" t="s">
        <v>203</v>
      </c>
      <c r="H21" s="75" t="s">
        <v>240</v>
      </c>
      <c r="I21" s="77">
        <v>2497000</v>
      </c>
      <c r="J21" s="75" t="s">
        <v>205</v>
      </c>
      <c r="K21" s="75"/>
      <c r="L21" s="75" t="s">
        <v>186</v>
      </c>
      <c r="M21" s="75" t="s">
        <v>187</v>
      </c>
      <c r="N21" s="76">
        <v>46283</v>
      </c>
      <c r="O21" s="75" t="s">
        <v>188</v>
      </c>
      <c r="P21" s="75" t="s">
        <v>195</v>
      </c>
      <c r="Q21" s="75"/>
    </row>
    <row r="22" spans="1:17" ht="15">
      <c r="A22" s="75" t="s">
        <v>241</v>
      </c>
      <c r="B22" s="75" t="s">
        <v>181</v>
      </c>
      <c r="C22" s="75" t="s">
        <v>202</v>
      </c>
      <c r="D22" s="75"/>
      <c r="E22" s="124">
        <v>46290</v>
      </c>
      <c r="F22" s="124">
        <v>46290</v>
      </c>
      <c r="G22" s="75" t="s">
        <v>242</v>
      </c>
      <c r="H22" s="75" t="s">
        <v>243</v>
      </c>
      <c r="I22" s="77">
        <v>109450</v>
      </c>
      <c r="J22" s="75" t="s">
        <v>205</v>
      </c>
      <c r="K22" s="75"/>
      <c r="L22" s="75" t="s">
        <v>186</v>
      </c>
      <c r="M22" s="75" t="s">
        <v>187</v>
      </c>
      <c r="N22" s="76">
        <v>46283</v>
      </c>
      <c r="O22" s="75" t="s">
        <v>188</v>
      </c>
      <c r="P22" s="75" t="s">
        <v>195</v>
      </c>
      <c r="Q22" s="75"/>
    </row>
    <row r="23" spans="1:17" ht="15">
      <c r="A23" s="75" t="s">
        <v>244</v>
      </c>
      <c r="B23" s="75" t="s">
        <v>245</v>
      </c>
      <c r="C23" s="75" t="s">
        <v>246</v>
      </c>
      <c r="D23" s="75"/>
      <c r="E23" s="76">
        <v>46293</v>
      </c>
      <c r="F23" s="76">
        <v>46293</v>
      </c>
      <c r="G23" s="75" t="s">
        <v>247</v>
      </c>
      <c r="H23" s="75" t="s">
        <v>248</v>
      </c>
      <c r="I23" s="77">
        <v>1650000</v>
      </c>
      <c r="J23" s="75" t="s">
        <v>185</v>
      </c>
      <c r="K23" s="75"/>
      <c r="L23" s="75" t="s">
        <v>186</v>
      </c>
      <c r="M23" s="75" t="s">
        <v>187</v>
      </c>
      <c r="N23" s="76">
        <v>46286</v>
      </c>
      <c r="O23" s="75" t="s">
        <v>188</v>
      </c>
      <c r="P23" s="75" t="s">
        <v>195</v>
      </c>
      <c r="Q23" s="75"/>
    </row>
    <row r="24" spans="1:17" ht="15">
      <c r="A24" s="75" t="s">
        <v>249</v>
      </c>
      <c r="B24" s="75" t="s">
        <v>181</v>
      </c>
      <c r="C24" s="75" t="s">
        <v>182</v>
      </c>
      <c r="D24" s="75"/>
      <c r="E24" s="76">
        <v>46295</v>
      </c>
      <c r="F24" s="76">
        <v>46295</v>
      </c>
      <c r="G24" s="75" t="s">
        <v>250</v>
      </c>
      <c r="H24" s="75" t="s">
        <v>251</v>
      </c>
      <c r="I24" s="77">
        <v>330000</v>
      </c>
      <c r="J24" s="75" t="s">
        <v>185</v>
      </c>
      <c r="K24" s="75"/>
      <c r="L24" s="75" t="s">
        <v>186</v>
      </c>
      <c r="M24" s="75" t="s">
        <v>187</v>
      </c>
      <c r="N24" s="76">
        <v>46283</v>
      </c>
      <c r="O24" s="75" t="s">
        <v>188</v>
      </c>
      <c r="P24" s="75" t="s">
        <v>189</v>
      </c>
      <c r="Q24" s="75"/>
    </row>
    <row r="25" spans="1:17" ht="15">
      <c r="A25" s="75" t="s">
        <v>252</v>
      </c>
      <c r="B25" s="75" t="s">
        <v>181</v>
      </c>
      <c r="C25" s="75" t="s">
        <v>182</v>
      </c>
      <c r="D25" s="75"/>
      <c r="E25" s="76">
        <v>46295</v>
      </c>
      <c r="F25" s="76">
        <v>46295</v>
      </c>
      <c r="G25" s="75" t="s">
        <v>253</v>
      </c>
      <c r="H25" s="75" t="s">
        <v>254</v>
      </c>
      <c r="I25" s="77">
        <v>280000</v>
      </c>
      <c r="J25" s="75" t="s">
        <v>185</v>
      </c>
      <c r="K25" s="75"/>
      <c r="L25" s="75" t="s">
        <v>186</v>
      </c>
      <c r="M25" s="75" t="s">
        <v>187</v>
      </c>
      <c r="N25" s="76">
        <v>46283</v>
      </c>
      <c r="O25" s="75" t="s">
        <v>188</v>
      </c>
      <c r="P25" s="75" t="s">
        <v>189</v>
      </c>
      <c r="Q25" s="75"/>
    </row>
    <row r="26" spans="1:17" ht="15">
      <c r="A26" s="75" t="s">
        <v>255</v>
      </c>
      <c r="B26" s="75" t="s">
        <v>181</v>
      </c>
      <c r="C26" s="75" t="s">
        <v>182</v>
      </c>
      <c r="D26" s="75"/>
      <c r="E26" s="76">
        <v>46295</v>
      </c>
      <c r="F26" s="76">
        <v>46295</v>
      </c>
      <c r="G26" s="75" t="s">
        <v>256</v>
      </c>
      <c r="H26" s="75" t="s">
        <v>257</v>
      </c>
      <c r="I26" s="77">
        <v>250000</v>
      </c>
      <c r="J26" s="75" t="s">
        <v>185</v>
      </c>
      <c r="K26" s="75"/>
      <c r="L26" s="75" t="s">
        <v>186</v>
      </c>
      <c r="M26" s="75" t="s">
        <v>187</v>
      </c>
      <c r="N26" s="76">
        <v>46283</v>
      </c>
      <c r="O26" s="75" t="s">
        <v>188</v>
      </c>
      <c r="P26" s="75" t="s">
        <v>189</v>
      </c>
      <c r="Q26" s="75"/>
    </row>
  </sheetData>
  <autoFilter ref="A5:Q26" xr:uid="{00000000-0009-0000-0000-000005000000}"/>
  <phoneticPr fontId="1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2" t="s">
        <v>258</v>
      </c>
    </row>
    <row r="3" spans="1:10">
      <c r="A3" s="73" t="s">
        <v>259</v>
      </c>
    </row>
    <row r="5" spans="1:10" ht="15">
      <c r="A5" s="74" t="s">
        <v>96</v>
      </c>
      <c r="B5" s="74" t="s">
        <v>97</v>
      </c>
      <c r="C5" s="74" t="s">
        <v>260</v>
      </c>
      <c r="D5" s="74" t="s">
        <v>261</v>
      </c>
      <c r="E5" s="74" t="s">
        <v>164</v>
      </c>
      <c r="F5" s="74" t="s">
        <v>169</v>
      </c>
      <c r="G5" s="74" t="s">
        <v>170</v>
      </c>
      <c r="H5" s="74" t="s">
        <v>171</v>
      </c>
      <c r="I5" s="74" t="s">
        <v>172</v>
      </c>
      <c r="J5" s="74" t="s">
        <v>106</v>
      </c>
    </row>
    <row r="6" spans="1:10" ht="15">
      <c r="A6" s="125">
        <v>46283</v>
      </c>
      <c r="B6" s="126" t="s">
        <v>114</v>
      </c>
      <c r="C6" s="126" t="s">
        <v>262</v>
      </c>
      <c r="D6" s="126" t="s">
        <v>263</v>
      </c>
      <c r="E6" s="126" t="s">
        <v>181</v>
      </c>
      <c r="F6" s="126" t="s">
        <v>183</v>
      </c>
      <c r="G6" s="126" t="s">
        <v>184</v>
      </c>
      <c r="H6" s="127">
        <v>1553720</v>
      </c>
      <c r="I6" s="126" t="s">
        <v>185</v>
      </c>
      <c r="J6" s="126" t="s">
        <v>264</v>
      </c>
    </row>
    <row r="7" spans="1:10" ht="15">
      <c r="A7" s="125">
        <v>46288</v>
      </c>
      <c r="B7" s="126" t="s">
        <v>111</v>
      </c>
      <c r="C7" s="126" t="s">
        <v>262</v>
      </c>
      <c r="D7" s="126" t="s">
        <v>263</v>
      </c>
      <c r="E7" s="126" t="s">
        <v>181</v>
      </c>
      <c r="F7" s="126" t="s">
        <v>237</v>
      </c>
      <c r="G7" s="126" t="s">
        <v>238</v>
      </c>
      <c r="H7" s="127">
        <v>269810</v>
      </c>
      <c r="I7" s="126" t="s">
        <v>185</v>
      </c>
      <c r="J7" s="126" t="s">
        <v>264</v>
      </c>
    </row>
    <row r="8" spans="1:10" ht="15">
      <c r="A8" s="125">
        <v>46295</v>
      </c>
      <c r="B8" s="126" t="s">
        <v>111</v>
      </c>
      <c r="C8" s="126" t="s">
        <v>262</v>
      </c>
      <c r="D8" s="126" t="s">
        <v>263</v>
      </c>
      <c r="E8" s="126" t="s">
        <v>181</v>
      </c>
      <c r="F8" s="126" t="s">
        <v>250</v>
      </c>
      <c r="G8" s="126" t="s">
        <v>251</v>
      </c>
      <c r="H8" s="127">
        <v>330000</v>
      </c>
      <c r="I8" s="126" t="s">
        <v>185</v>
      </c>
      <c r="J8" s="126" t="s">
        <v>264</v>
      </c>
    </row>
    <row r="9" spans="1:10" ht="15">
      <c r="A9" s="125">
        <v>46295</v>
      </c>
      <c r="B9" s="126" t="s">
        <v>111</v>
      </c>
      <c r="C9" s="126" t="s">
        <v>262</v>
      </c>
      <c r="D9" s="126" t="s">
        <v>263</v>
      </c>
      <c r="E9" s="126" t="s">
        <v>181</v>
      </c>
      <c r="F9" s="126" t="s">
        <v>253</v>
      </c>
      <c r="G9" s="126" t="s">
        <v>254</v>
      </c>
      <c r="H9" s="127">
        <v>280000</v>
      </c>
      <c r="I9" s="126" t="s">
        <v>185</v>
      </c>
      <c r="J9" s="126" t="s">
        <v>264</v>
      </c>
    </row>
    <row r="10" spans="1:10" ht="15">
      <c r="A10" s="125">
        <v>46295</v>
      </c>
      <c r="B10" s="126" t="s">
        <v>111</v>
      </c>
      <c r="C10" s="126" t="s">
        <v>262</v>
      </c>
      <c r="D10" s="126" t="s">
        <v>263</v>
      </c>
      <c r="E10" s="126" t="s">
        <v>181</v>
      </c>
      <c r="F10" s="126" t="s">
        <v>256</v>
      </c>
      <c r="G10" s="126" t="s">
        <v>257</v>
      </c>
      <c r="H10" s="127">
        <v>250000</v>
      </c>
      <c r="I10" s="126" t="s">
        <v>185</v>
      </c>
      <c r="J10" s="126" t="s">
        <v>264</v>
      </c>
    </row>
    <row r="11" spans="1:10" ht="15">
      <c r="G11" s="128" t="s">
        <v>265</v>
      </c>
      <c r="H11" s="129">
        <v>2683530</v>
      </c>
    </row>
  </sheetData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266</v>
      </c>
      <c r="B1" s="36" t="s">
        <v>267</v>
      </c>
      <c r="C1" s="36" t="s">
        <v>79</v>
      </c>
      <c r="D1" s="36" t="s">
        <v>4</v>
      </c>
      <c r="E1" s="36" t="s">
        <v>268</v>
      </c>
      <c r="F1" s="36" t="s">
        <v>269</v>
      </c>
      <c r="G1" s="36" t="s">
        <v>270</v>
      </c>
      <c r="H1" s="36" t="s">
        <v>271</v>
      </c>
      <c r="I1" s="36" t="s">
        <v>272</v>
      </c>
      <c r="J1" s="36" t="s">
        <v>273</v>
      </c>
      <c r="K1" s="36" t="s">
        <v>274</v>
      </c>
      <c r="L1" s="36" t="s">
        <v>275</v>
      </c>
      <c r="M1" s="36" t="s">
        <v>276</v>
      </c>
      <c r="N1" s="36" t="s">
        <v>277</v>
      </c>
      <c r="O1" s="36" t="s">
        <v>177</v>
      </c>
      <c r="P1" s="37" t="s">
        <v>178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278</v>
      </c>
      <c r="I2" s="43" t="s">
        <v>279</v>
      </c>
      <c r="J2" s="43" t="s">
        <v>280</v>
      </c>
      <c r="K2" s="40" t="s">
        <v>281</v>
      </c>
      <c r="L2" s="40" t="s">
        <v>282</v>
      </c>
      <c r="M2" s="40" t="s">
        <v>283</v>
      </c>
      <c r="N2" s="41">
        <v>0</v>
      </c>
      <c r="O2" s="40" t="s">
        <v>86</v>
      </c>
      <c r="P2" s="42" t="s">
        <v>284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285</v>
      </c>
      <c r="I3" s="43" t="s">
        <v>286</v>
      </c>
      <c r="J3" s="43" t="s">
        <v>287</v>
      </c>
      <c r="K3" s="40" t="s">
        <v>288</v>
      </c>
      <c r="L3" s="40" t="s">
        <v>283</v>
      </c>
      <c r="M3" s="40" t="s">
        <v>283</v>
      </c>
      <c r="N3" s="41">
        <v>110000000</v>
      </c>
      <c r="O3" s="40" t="s">
        <v>86</v>
      </c>
      <c r="P3" s="42" t="s">
        <v>284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289</v>
      </c>
      <c r="I4" s="43" t="s">
        <v>290</v>
      </c>
      <c r="J4" s="43" t="s">
        <v>287</v>
      </c>
      <c r="K4" s="40" t="s">
        <v>291</v>
      </c>
      <c r="L4" s="40" t="s">
        <v>283</v>
      </c>
      <c r="M4" s="40" t="s">
        <v>282</v>
      </c>
      <c r="N4" s="41">
        <v>-2497000</v>
      </c>
      <c r="O4" s="40" t="s">
        <v>86</v>
      </c>
      <c r="P4" s="42" t="s">
        <v>284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292</v>
      </c>
      <c r="I5" s="43" t="s">
        <v>293</v>
      </c>
      <c r="J5" s="43" t="s">
        <v>287</v>
      </c>
      <c r="K5" s="40" t="s">
        <v>294</v>
      </c>
      <c r="L5" s="40" t="s">
        <v>283</v>
      </c>
      <c r="M5" s="40" t="s">
        <v>283</v>
      </c>
      <c r="N5" s="41">
        <v>-110000000</v>
      </c>
      <c r="O5" s="40" t="s">
        <v>86</v>
      </c>
      <c r="P5" s="42" t="s">
        <v>284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295</v>
      </c>
      <c r="I6" s="43" t="s">
        <v>279</v>
      </c>
      <c r="J6" s="43" t="s">
        <v>280</v>
      </c>
      <c r="K6" s="40" t="s">
        <v>281</v>
      </c>
      <c r="L6" s="40" t="s">
        <v>282</v>
      </c>
      <c r="M6" s="40" t="s">
        <v>283</v>
      </c>
      <c r="N6" s="41">
        <v>0</v>
      </c>
      <c r="O6" s="40" t="s">
        <v>86</v>
      </c>
      <c r="P6" s="42" t="s">
        <v>284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296</v>
      </c>
      <c r="I7" s="43" t="s">
        <v>297</v>
      </c>
      <c r="J7" s="43" t="s">
        <v>88</v>
      </c>
      <c r="K7" s="40" t="s">
        <v>281</v>
      </c>
      <c r="L7" s="40" t="s">
        <v>282</v>
      </c>
      <c r="M7" s="40" t="s">
        <v>283</v>
      </c>
      <c r="N7" s="41">
        <v>0</v>
      </c>
      <c r="O7" s="40" t="s">
        <v>91</v>
      </c>
      <c r="P7" s="42" t="s">
        <v>284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278</v>
      </c>
      <c r="I8" s="43" t="s">
        <v>279</v>
      </c>
      <c r="J8" s="43" t="s">
        <v>280</v>
      </c>
      <c r="K8" s="40" t="s">
        <v>281</v>
      </c>
      <c r="L8" s="40" t="s">
        <v>282</v>
      </c>
      <c r="M8" s="40" t="s">
        <v>283</v>
      </c>
      <c r="N8" s="41">
        <v>0</v>
      </c>
      <c r="O8" s="40" t="s">
        <v>91</v>
      </c>
      <c r="P8" s="42" t="s">
        <v>284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278</v>
      </c>
      <c r="I9" s="43" t="s">
        <v>279</v>
      </c>
      <c r="J9" s="43" t="s">
        <v>280</v>
      </c>
      <c r="K9" s="40" t="s">
        <v>281</v>
      </c>
      <c r="L9" s="40" t="s">
        <v>282</v>
      </c>
      <c r="M9" s="40" t="s">
        <v>283</v>
      </c>
      <c r="N9" s="41">
        <v>0</v>
      </c>
      <c r="O9" s="40" t="s">
        <v>91</v>
      </c>
      <c r="P9" s="42" t="s">
        <v>284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278</v>
      </c>
      <c r="I10" s="43" t="s">
        <v>279</v>
      </c>
      <c r="J10" s="43" t="s">
        <v>280</v>
      </c>
      <c r="K10" s="40" t="s">
        <v>281</v>
      </c>
      <c r="L10" s="40" t="s">
        <v>282</v>
      </c>
      <c r="M10" s="40" t="s">
        <v>283</v>
      </c>
      <c r="N10" s="41">
        <v>0</v>
      </c>
      <c r="O10" s="40" t="s">
        <v>91</v>
      </c>
      <c r="P10" s="42" t="s">
        <v>284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278</v>
      </c>
      <c r="I11" s="43" t="s">
        <v>279</v>
      </c>
      <c r="J11" s="43" t="s">
        <v>280</v>
      </c>
      <c r="K11" s="40" t="s">
        <v>281</v>
      </c>
      <c r="L11" s="40" t="s">
        <v>282</v>
      </c>
      <c r="M11" s="40" t="s">
        <v>283</v>
      </c>
      <c r="N11" s="41">
        <v>0</v>
      </c>
      <c r="O11" s="40" t="s">
        <v>89</v>
      </c>
      <c r="P11" s="42" t="s">
        <v>284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292</v>
      </c>
      <c r="I12" s="43" t="s">
        <v>298</v>
      </c>
      <c r="J12" s="43" t="s">
        <v>287</v>
      </c>
      <c r="K12" s="40" t="s">
        <v>294</v>
      </c>
      <c r="L12" s="40" t="s">
        <v>283</v>
      </c>
      <c r="M12" s="40" t="s">
        <v>282</v>
      </c>
      <c r="N12" s="41">
        <v>-40521200</v>
      </c>
      <c r="O12" s="40" t="s">
        <v>89</v>
      </c>
      <c r="P12" s="42" t="s">
        <v>284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292</v>
      </c>
      <c r="I13" s="43" t="s">
        <v>299</v>
      </c>
      <c r="J13" s="43" t="s">
        <v>287</v>
      </c>
      <c r="K13" s="40" t="s">
        <v>294</v>
      </c>
      <c r="L13" s="40" t="s">
        <v>283</v>
      </c>
      <c r="M13" s="40" t="s">
        <v>282</v>
      </c>
      <c r="N13" s="41">
        <v>-8243400</v>
      </c>
      <c r="O13" s="40" t="s">
        <v>89</v>
      </c>
      <c r="P13" s="42" t="s">
        <v>284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278</v>
      </c>
      <c r="I14" s="43" t="s">
        <v>279</v>
      </c>
      <c r="J14" s="43" t="s">
        <v>280</v>
      </c>
      <c r="K14" s="40" t="s">
        <v>281</v>
      </c>
      <c r="L14" s="40" t="s">
        <v>282</v>
      </c>
      <c r="M14" s="40" t="s">
        <v>283</v>
      </c>
      <c r="N14" s="41">
        <v>0</v>
      </c>
      <c r="O14" s="40" t="s">
        <v>91</v>
      </c>
      <c r="P14" s="42" t="s">
        <v>284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292</v>
      </c>
      <c r="I15" s="43" t="s">
        <v>300</v>
      </c>
      <c r="J15" s="43" t="s">
        <v>287</v>
      </c>
      <c r="K15" s="40" t="s">
        <v>294</v>
      </c>
      <c r="L15" s="40" t="s">
        <v>283</v>
      </c>
      <c r="M15" s="40" t="s">
        <v>282</v>
      </c>
      <c r="N15" s="41">
        <v>-785790</v>
      </c>
      <c r="O15" s="40" t="s">
        <v>91</v>
      </c>
      <c r="P15" s="42" t="s">
        <v>284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278</v>
      </c>
      <c r="I16" s="43" t="s">
        <v>279</v>
      </c>
      <c r="J16" s="43" t="s">
        <v>280</v>
      </c>
      <c r="K16" s="40" t="s">
        <v>281</v>
      </c>
      <c r="L16" s="40" t="s">
        <v>282</v>
      </c>
      <c r="M16" s="40" t="s">
        <v>283</v>
      </c>
      <c r="N16" s="41">
        <v>0</v>
      </c>
      <c r="O16" s="40" t="s">
        <v>91</v>
      </c>
      <c r="P16" s="42" t="s">
        <v>284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289</v>
      </c>
      <c r="I17" s="43" t="s">
        <v>301</v>
      </c>
      <c r="J17" s="43" t="s">
        <v>287</v>
      </c>
      <c r="K17" s="40" t="s">
        <v>291</v>
      </c>
      <c r="L17" s="40" t="s">
        <v>283</v>
      </c>
      <c r="M17" s="40" t="s">
        <v>282</v>
      </c>
      <c r="N17" s="41">
        <v>-2497000</v>
      </c>
      <c r="O17" s="40" t="s">
        <v>91</v>
      </c>
      <c r="P17" s="42" t="s">
        <v>284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278</v>
      </c>
      <c r="I18" s="43" t="s">
        <v>279</v>
      </c>
      <c r="J18" s="43" t="s">
        <v>280</v>
      </c>
      <c r="K18" s="40" t="s">
        <v>281</v>
      </c>
      <c r="L18" s="40" t="s">
        <v>282</v>
      </c>
      <c r="M18" s="40" t="s">
        <v>283</v>
      </c>
      <c r="N18" s="41">
        <v>0</v>
      </c>
      <c r="O18" s="40" t="s">
        <v>89</v>
      </c>
      <c r="P18" s="42" t="s">
        <v>284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278</v>
      </c>
      <c r="I19" s="43" t="s">
        <v>279</v>
      </c>
      <c r="J19" s="43" t="s">
        <v>280</v>
      </c>
      <c r="K19" s="40" t="s">
        <v>281</v>
      </c>
      <c r="L19" s="40" t="s">
        <v>282</v>
      </c>
      <c r="M19" s="40" t="s">
        <v>283</v>
      </c>
      <c r="N19" s="41">
        <v>0</v>
      </c>
      <c r="O19" s="40" t="s">
        <v>89</v>
      </c>
      <c r="P19" s="42" t="s">
        <v>284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296</v>
      </c>
      <c r="I20" s="43" t="s">
        <v>297</v>
      </c>
      <c r="J20" s="43" t="s">
        <v>88</v>
      </c>
      <c r="K20" s="40" t="s">
        <v>281</v>
      </c>
      <c r="L20" s="40" t="s">
        <v>282</v>
      </c>
      <c r="M20" s="40" t="s">
        <v>283</v>
      </c>
      <c r="N20" s="41">
        <v>0</v>
      </c>
      <c r="O20" s="40" t="s">
        <v>89</v>
      </c>
      <c r="P20" s="42" t="s">
        <v>284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278</v>
      </c>
      <c r="I21" s="43" t="s">
        <v>279</v>
      </c>
      <c r="J21" s="43" t="s">
        <v>280</v>
      </c>
      <c r="K21" s="40" t="s">
        <v>281</v>
      </c>
      <c r="L21" s="40" t="s">
        <v>282</v>
      </c>
      <c r="M21" s="40" t="s">
        <v>283</v>
      </c>
      <c r="N21" s="41">
        <v>0</v>
      </c>
      <c r="O21" s="40" t="s">
        <v>89</v>
      </c>
      <c r="P21" s="42" t="s">
        <v>284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278</v>
      </c>
      <c r="I22" s="43" t="s">
        <v>279</v>
      </c>
      <c r="J22" s="43" t="s">
        <v>280</v>
      </c>
      <c r="K22" s="40" t="s">
        <v>281</v>
      </c>
      <c r="L22" s="40" t="s">
        <v>282</v>
      </c>
      <c r="M22" s="40" t="s">
        <v>283</v>
      </c>
      <c r="N22" s="41">
        <v>0</v>
      </c>
      <c r="O22" s="40" t="s">
        <v>89</v>
      </c>
      <c r="P22" s="42" t="s">
        <v>284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292</v>
      </c>
      <c r="I23" s="43" t="s">
        <v>302</v>
      </c>
      <c r="J23" s="43" t="s">
        <v>287</v>
      </c>
      <c r="K23" s="40" t="s">
        <v>294</v>
      </c>
      <c r="L23" s="40" t="s">
        <v>283</v>
      </c>
      <c r="M23" s="40" t="s">
        <v>282</v>
      </c>
      <c r="N23" s="41">
        <v>-40521200</v>
      </c>
      <c r="O23" s="40" t="s">
        <v>91</v>
      </c>
      <c r="P23" s="42" t="s">
        <v>284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292</v>
      </c>
      <c r="I24" s="43" t="s">
        <v>303</v>
      </c>
      <c r="J24" s="43" t="s">
        <v>287</v>
      </c>
      <c r="K24" s="40" t="s">
        <v>294</v>
      </c>
      <c r="L24" s="40" t="s">
        <v>283</v>
      </c>
      <c r="M24" s="40" t="s">
        <v>282</v>
      </c>
      <c r="N24" s="41">
        <v>-8243400</v>
      </c>
      <c r="O24" s="40" t="s">
        <v>89</v>
      </c>
      <c r="P24" s="42" t="s">
        <v>284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278</v>
      </c>
      <c r="I25" s="43" t="s">
        <v>279</v>
      </c>
      <c r="J25" s="43" t="s">
        <v>280</v>
      </c>
      <c r="K25" s="40" t="s">
        <v>281</v>
      </c>
      <c r="L25" s="40" t="s">
        <v>282</v>
      </c>
      <c r="M25" s="40" t="s">
        <v>283</v>
      </c>
      <c r="N25" s="41">
        <v>0</v>
      </c>
      <c r="O25" s="40" t="s">
        <v>91</v>
      </c>
      <c r="P25" s="42" t="s">
        <v>284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292</v>
      </c>
      <c r="I26" s="43" t="s">
        <v>304</v>
      </c>
      <c r="J26" s="43" t="s">
        <v>287</v>
      </c>
      <c r="K26" s="40" t="s">
        <v>294</v>
      </c>
      <c r="L26" s="40" t="s">
        <v>283</v>
      </c>
      <c r="M26" s="40" t="s">
        <v>282</v>
      </c>
      <c r="N26" s="41">
        <v>-785790</v>
      </c>
      <c r="O26" s="40" t="s">
        <v>91</v>
      </c>
      <c r="P26" s="42" t="s">
        <v>284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278</v>
      </c>
      <c r="I27" s="43" t="s">
        <v>279</v>
      </c>
      <c r="J27" s="43" t="s">
        <v>280</v>
      </c>
      <c r="K27" s="40" t="s">
        <v>281</v>
      </c>
      <c r="L27" s="40" t="s">
        <v>282</v>
      </c>
      <c r="M27" s="40" t="s">
        <v>283</v>
      </c>
      <c r="N27" s="41">
        <v>0</v>
      </c>
      <c r="O27" s="40" t="s">
        <v>89</v>
      </c>
      <c r="P27" s="42" t="s">
        <v>284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289</v>
      </c>
      <c r="I28" s="43" t="s">
        <v>305</v>
      </c>
      <c r="J28" s="43" t="s">
        <v>287</v>
      </c>
      <c r="K28" s="40" t="s">
        <v>291</v>
      </c>
      <c r="L28" s="40" t="s">
        <v>283</v>
      </c>
      <c r="M28" s="40" t="s">
        <v>282</v>
      </c>
      <c r="N28" s="41">
        <v>-2497000</v>
      </c>
      <c r="O28" s="40" t="s">
        <v>89</v>
      </c>
      <c r="P28" s="42" t="s">
        <v>284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278</v>
      </c>
      <c r="I29" s="43" t="s">
        <v>279</v>
      </c>
      <c r="J29" s="43" t="s">
        <v>280</v>
      </c>
      <c r="K29" s="40" t="s">
        <v>281</v>
      </c>
      <c r="L29" s="40" t="s">
        <v>282</v>
      </c>
      <c r="M29" s="40" t="s">
        <v>283</v>
      </c>
      <c r="N29" s="41">
        <v>0</v>
      </c>
      <c r="O29" s="40" t="s">
        <v>91</v>
      </c>
      <c r="P29" s="42" t="s">
        <v>284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278</v>
      </c>
      <c r="I30" s="43" t="s">
        <v>279</v>
      </c>
      <c r="J30" s="43" t="s">
        <v>280</v>
      </c>
      <c r="K30" s="40" t="s">
        <v>281</v>
      </c>
      <c r="L30" s="40" t="s">
        <v>282</v>
      </c>
      <c r="M30" s="40" t="s">
        <v>283</v>
      </c>
      <c r="N30" s="41">
        <v>0</v>
      </c>
      <c r="O30" s="40" t="s">
        <v>89</v>
      </c>
      <c r="P30" s="42" t="s">
        <v>284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296</v>
      </c>
      <c r="I31" s="43" t="s">
        <v>297</v>
      </c>
      <c r="J31" s="43" t="s">
        <v>88</v>
      </c>
      <c r="K31" s="40" t="s">
        <v>281</v>
      </c>
      <c r="L31" s="40" t="s">
        <v>282</v>
      </c>
      <c r="M31" s="40" t="s">
        <v>283</v>
      </c>
      <c r="N31" s="41">
        <v>0</v>
      </c>
      <c r="O31" s="40" t="s">
        <v>91</v>
      </c>
      <c r="P31" s="42" t="s">
        <v>284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278</v>
      </c>
      <c r="I32" s="43" t="s">
        <v>279</v>
      </c>
      <c r="J32" s="43" t="s">
        <v>280</v>
      </c>
      <c r="K32" s="40" t="s">
        <v>281</v>
      </c>
      <c r="L32" s="40" t="s">
        <v>282</v>
      </c>
      <c r="M32" s="40" t="s">
        <v>283</v>
      </c>
      <c r="N32" s="41">
        <v>0</v>
      </c>
      <c r="O32" s="40" t="s">
        <v>89</v>
      </c>
      <c r="P32" s="42" t="s">
        <v>284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278</v>
      </c>
      <c r="I33" s="43" t="s">
        <v>279</v>
      </c>
      <c r="J33" s="43" t="s">
        <v>280</v>
      </c>
      <c r="K33" s="40" t="s">
        <v>281</v>
      </c>
      <c r="L33" s="40" t="s">
        <v>282</v>
      </c>
      <c r="M33" s="40" t="s">
        <v>283</v>
      </c>
      <c r="N33" s="41">
        <v>0</v>
      </c>
      <c r="O33" s="40" t="s">
        <v>89</v>
      </c>
      <c r="P33" s="42" t="s">
        <v>284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292</v>
      </c>
      <c r="I34" s="43" t="s">
        <v>306</v>
      </c>
      <c r="J34" s="43" t="s">
        <v>287</v>
      </c>
      <c r="K34" s="40" t="s">
        <v>294</v>
      </c>
      <c r="L34" s="40" t="s">
        <v>283</v>
      </c>
      <c r="M34" s="40" t="s">
        <v>282</v>
      </c>
      <c r="N34" s="41">
        <v>-40521200</v>
      </c>
      <c r="O34" s="40" t="s">
        <v>89</v>
      </c>
      <c r="P34" s="42" t="s">
        <v>284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292</v>
      </c>
      <c r="I35" s="43" t="s">
        <v>307</v>
      </c>
      <c r="J35" s="43" t="s">
        <v>287</v>
      </c>
      <c r="K35" s="40" t="s">
        <v>294</v>
      </c>
      <c r="L35" s="40" t="s">
        <v>283</v>
      </c>
      <c r="M35" s="40" t="s">
        <v>282</v>
      </c>
      <c r="N35" s="41">
        <v>-8243400</v>
      </c>
      <c r="O35" s="40" t="s">
        <v>91</v>
      </c>
      <c r="P35" s="42" t="s">
        <v>284</v>
      </c>
    </row>
    <row r="36" spans="1:16">
      <c r="A36" s="130">
        <v>46186.078622685192</v>
      </c>
      <c r="B36" s="131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308</v>
      </c>
      <c r="I36" s="43" t="s">
        <v>309</v>
      </c>
      <c r="J36" s="43" t="s">
        <v>280</v>
      </c>
      <c r="K36" s="40" t="s">
        <v>310</v>
      </c>
      <c r="L36" s="40" t="s">
        <v>283</v>
      </c>
      <c r="M36" s="40" t="s">
        <v>283</v>
      </c>
      <c r="N36" s="41">
        <v>992</v>
      </c>
      <c r="O36" s="40" t="s">
        <v>91</v>
      </c>
      <c r="P36" s="42" t="s">
        <v>284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278</v>
      </c>
      <c r="I37" s="43" t="s">
        <v>279</v>
      </c>
      <c r="J37" s="43" t="s">
        <v>280</v>
      </c>
      <c r="K37" s="40" t="s">
        <v>281</v>
      </c>
      <c r="L37" s="40" t="s">
        <v>282</v>
      </c>
      <c r="M37" s="40" t="s">
        <v>283</v>
      </c>
      <c r="N37" s="41">
        <v>0</v>
      </c>
      <c r="O37" s="40" t="s">
        <v>89</v>
      </c>
      <c r="P37" s="42" t="s">
        <v>284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292</v>
      </c>
      <c r="I38" s="43" t="s">
        <v>311</v>
      </c>
      <c r="J38" s="43" t="s">
        <v>287</v>
      </c>
      <c r="K38" s="40" t="s">
        <v>294</v>
      </c>
      <c r="L38" s="40" t="s">
        <v>283</v>
      </c>
      <c r="M38" s="40" t="s">
        <v>282</v>
      </c>
      <c r="N38" s="41">
        <v>-785790</v>
      </c>
      <c r="O38" s="40" t="s">
        <v>91</v>
      </c>
      <c r="P38" s="42" t="s">
        <v>284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295</v>
      </c>
      <c r="I39" s="43" t="s">
        <v>279</v>
      </c>
      <c r="J39" s="43" t="s">
        <v>280</v>
      </c>
      <c r="K39" s="40" t="s">
        <v>281</v>
      </c>
      <c r="L39" s="40" t="s">
        <v>282</v>
      </c>
      <c r="M39" s="40" t="s">
        <v>283</v>
      </c>
      <c r="N39" s="41">
        <v>0</v>
      </c>
      <c r="O39" s="40" t="s">
        <v>91</v>
      </c>
      <c r="P39" s="42" t="s">
        <v>284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278</v>
      </c>
      <c r="I40" s="43" t="s">
        <v>279</v>
      </c>
      <c r="J40" s="43" t="s">
        <v>280</v>
      </c>
      <c r="K40" s="40" t="s">
        <v>281</v>
      </c>
      <c r="L40" s="40" t="s">
        <v>282</v>
      </c>
      <c r="M40" s="40" t="s">
        <v>283</v>
      </c>
      <c r="N40" s="41">
        <v>0</v>
      </c>
      <c r="O40" s="40" t="s">
        <v>91</v>
      </c>
      <c r="P40" s="42" t="s">
        <v>284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289</v>
      </c>
      <c r="I41" s="43" t="s">
        <v>312</v>
      </c>
      <c r="J41" s="43" t="s">
        <v>287</v>
      </c>
      <c r="K41" s="40" t="s">
        <v>291</v>
      </c>
      <c r="L41" s="40" t="s">
        <v>283</v>
      </c>
      <c r="M41" s="40" t="s">
        <v>282</v>
      </c>
      <c r="N41" s="41">
        <v>-2497000</v>
      </c>
      <c r="O41" s="40" t="s">
        <v>91</v>
      </c>
      <c r="P41" s="42" t="s">
        <v>284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296</v>
      </c>
      <c r="I42" s="43" t="s">
        <v>297</v>
      </c>
      <c r="J42" s="43" t="s">
        <v>88</v>
      </c>
      <c r="K42" s="40" t="s">
        <v>281</v>
      </c>
      <c r="L42" s="40" t="s">
        <v>282</v>
      </c>
      <c r="M42" s="40" t="s">
        <v>283</v>
      </c>
      <c r="N42" s="41">
        <v>0</v>
      </c>
      <c r="O42" s="40" t="s">
        <v>91</v>
      </c>
      <c r="P42" s="42" t="s">
        <v>284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278</v>
      </c>
      <c r="I43" s="43" t="s">
        <v>279</v>
      </c>
      <c r="J43" s="43" t="s">
        <v>280</v>
      </c>
      <c r="K43" s="40" t="s">
        <v>281</v>
      </c>
      <c r="L43" s="40" t="s">
        <v>282</v>
      </c>
      <c r="M43" s="40" t="s">
        <v>283</v>
      </c>
      <c r="N43" s="41">
        <v>0</v>
      </c>
      <c r="O43" s="40" t="s">
        <v>89</v>
      </c>
      <c r="P43" s="42" t="s">
        <v>284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278</v>
      </c>
      <c r="I44" s="43" t="s">
        <v>279</v>
      </c>
      <c r="J44" s="43" t="s">
        <v>280</v>
      </c>
      <c r="K44" s="40" t="s">
        <v>281</v>
      </c>
      <c r="L44" s="40" t="s">
        <v>282</v>
      </c>
      <c r="M44" s="40" t="s">
        <v>283</v>
      </c>
      <c r="N44" s="41">
        <v>0</v>
      </c>
      <c r="O44" s="40" t="s">
        <v>89</v>
      </c>
      <c r="P44" s="42" t="s">
        <v>284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278</v>
      </c>
      <c r="I45" s="43" t="s">
        <v>279</v>
      </c>
      <c r="J45" s="43" t="s">
        <v>280</v>
      </c>
      <c r="K45" s="40" t="s">
        <v>281</v>
      </c>
      <c r="L45" s="40" t="s">
        <v>282</v>
      </c>
      <c r="M45" s="40" t="s">
        <v>283</v>
      </c>
      <c r="N45" s="41">
        <v>0</v>
      </c>
      <c r="O45" s="40" t="s">
        <v>89</v>
      </c>
      <c r="P45" s="42" t="s">
        <v>284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278</v>
      </c>
      <c r="I46" s="43" t="s">
        <v>279</v>
      </c>
      <c r="J46" s="43" t="s">
        <v>280</v>
      </c>
      <c r="K46" s="40" t="s">
        <v>281</v>
      </c>
      <c r="L46" s="40" t="s">
        <v>282</v>
      </c>
      <c r="M46" s="40" t="s">
        <v>283</v>
      </c>
      <c r="N46" s="41">
        <v>0</v>
      </c>
      <c r="O46" s="40" t="s">
        <v>89</v>
      </c>
      <c r="P46" s="42" t="s">
        <v>284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292</v>
      </c>
      <c r="I47" s="43" t="s">
        <v>313</v>
      </c>
      <c r="J47" s="43" t="s">
        <v>287</v>
      </c>
      <c r="K47" s="40" t="s">
        <v>294</v>
      </c>
      <c r="L47" s="40" t="s">
        <v>283</v>
      </c>
      <c r="M47" s="40" t="s">
        <v>282</v>
      </c>
      <c r="N47" s="41">
        <v>-40521200</v>
      </c>
      <c r="O47" s="40" t="s">
        <v>89</v>
      </c>
      <c r="P47" s="42" t="s">
        <v>284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292</v>
      </c>
      <c r="I48" s="43" t="s">
        <v>314</v>
      </c>
      <c r="J48" s="43" t="s">
        <v>287</v>
      </c>
      <c r="K48" s="40" t="s">
        <v>294</v>
      </c>
      <c r="L48" s="40" t="s">
        <v>283</v>
      </c>
      <c r="M48" s="40" t="s">
        <v>282</v>
      </c>
      <c r="N48" s="41">
        <v>-8243400</v>
      </c>
      <c r="O48" s="40" t="s">
        <v>89</v>
      </c>
      <c r="P48" s="42" t="s">
        <v>284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278</v>
      </c>
      <c r="I49" s="43" t="s">
        <v>279</v>
      </c>
      <c r="J49" s="43" t="s">
        <v>280</v>
      </c>
      <c r="K49" s="40" t="s">
        <v>281</v>
      </c>
      <c r="L49" s="40" t="s">
        <v>282</v>
      </c>
      <c r="M49" s="40" t="s">
        <v>283</v>
      </c>
      <c r="N49" s="41">
        <v>0</v>
      </c>
      <c r="O49" s="40" t="s">
        <v>89</v>
      </c>
      <c r="P49" s="42" t="s">
        <v>284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292</v>
      </c>
      <c r="I50" s="43" t="s">
        <v>315</v>
      </c>
      <c r="J50" s="43" t="s">
        <v>287</v>
      </c>
      <c r="K50" s="40" t="s">
        <v>294</v>
      </c>
      <c r="L50" s="40" t="s">
        <v>283</v>
      </c>
      <c r="M50" s="40" t="s">
        <v>282</v>
      </c>
      <c r="N50" s="41">
        <v>-785790</v>
      </c>
      <c r="O50" s="40" t="s">
        <v>89</v>
      </c>
      <c r="P50" s="42" t="s">
        <v>284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278</v>
      </c>
      <c r="I51" s="43" t="s">
        <v>279</v>
      </c>
      <c r="J51" s="43" t="s">
        <v>280</v>
      </c>
      <c r="K51" s="40" t="s">
        <v>281</v>
      </c>
      <c r="L51" s="40" t="s">
        <v>282</v>
      </c>
      <c r="M51" s="40" t="s">
        <v>283</v>
      </c>
      <c r="N51" s="41">
        <v>0</v>
      </c>
      <c r="O51" s="40" t="s">
        <v>91</v>
      </c>
      <c r="P51" s="42" t="s">
        <v>284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285</v>
      </c>
      <c r="I52" s="43" t="s">
        <v>286</v>
      </c>
      <c r="J52" s="43" t="s">
        <v>287</v>
      </c>
      <c r="K52" s="40" t="s">
        <v>288</v>
      </c>
      <c r="L52" s="40" t="s">
        <v>283</v>
      </c>
      <c r="M52" s="40" t="s">
        <v>283</v>
      </c>
      <c r="N52" s="41">
        <v>400000000</v>
      </c>
      <c r="O52" s="40" t="s">
        <v>91</v>
      </c>
      <c r="P52" s="42" t="s">
        <v>284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289</v>
      </c>
      <c r="I53" s="43" t="s">
        <v>316</v>
      </c>
      <c r="J53" s="43" t="s">
        <v>287</v>
      </c>
      <c r="K53" s="40" t="s">
        <v>291</v>
      </c>
      <c r="L53" s="40" t="s">
        <v>283</v>
      </c>
      <c r="M53" s="40" t="s">
        <v>282</v>
      </c>
      <c r="N53" s="41">
        <v>-2497000</v>
      </c>
      <c r="O53" s="40" t="s">
        <v>89</v>
      </c>
      <c r="P53" s="42" t="s">
        <v>284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295</v>
      </c>
      <c r="I54" s="43" t="s">
        <v>279</v>
      </c>
      <c r="J54" s="43" t="s">
        <v>280</v>
      </c>
      <c r="K54" s="40" t="s">
        <v>281</v>
      </c>
      <c r="L54" s="40" t="s">
        <v>282</v>
      </c>
      <c r="M54" s="40" t="s">
        <v>283</v>
      </c>
      <c r="N54" s="41">
        <v>0</v>
      </c>
      <c r="O54" s="40" t="s">
        <v>91</v>
      </c>
      <c r="P54" s="42" t="s">
        <v>284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278</v>
      </c>
      <c r="I55" s="43" t="s">
        <v>279</v>
      </c>
      <c r="J55" s="43" t="s">
        <v>280</v>
      </c>
      <c r="K55" s="40" t="s">
        <v>281</v>
      </c>
      <c r="L55" s="40" t="s">
        <v>282</v>
      </c>
      <c r="M55" s="40" t="s">
        <v>283</v>
      </c>
      <c r="N55" s="41">
        <v>0</v>
      </c>
      <c r="O55" s="40" t="s">
        <v>91</v>
      </c>
      <c r="P55" s="42" t="s">
        <v>284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278</v>
      </c>
      <c r="I56" s="43" t="s">
        <v>279</v>
      </c>
      <c r="J56" s="43" t="s">
        <v>280</v>
      </c>
      <c r="K56" s="40" t="s">
        <v>281</v>
      </c>
      <c r="L56" s="40" t="s">
        <v>282</v>
      </c>
      <c r="M56" s="40" t="s">
        <v>283</v>
      </c>
      <c r="N56" s="41">
        <v>0</v>
      </c>
      <c r="O56" s="40" t="s">
        <v>91</v>
      </c>
      <c r="P56" s="42" t="s">
        <v>284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278</v>
      </c>
      <c r="I57" s="43" t="s">
        <v>279</v>
      </c>
      <c r="J57" s="43" t="s">
        <v>280</v>
      </c>
      <c r="K57" s="40" t="s">
        <v>281</v>
      </c>
      <c r="L57" s="40" t="s">
        <v>282</v>
      </c>
      <c r="M57" s="40" t="s">
        <v>283</v>
      </c>
      <c r="N57" s="41">
        <v>0</v>
      </c>
      <c r="O57" s="40" t="s">
        <v>91</v>
      </c>
      <c r="P57" s="42" t="s">
        <v>284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292</v>
      </c>
      <c r="I58" s="43" t="s">
        <v>317</v>
      </c>
      <c r="J58" s="43" t="s">
        <v>287</v>
      </c>
      <c r="K58" s="40" t="s">
        <v>294</v>
      </c>
      <c r="L58" s="40" t="s">
        <v>283</v>
      </c>
      <c r="M58" s="40" t="s">
        <v>282</v>
      </c>
      <c r="N58" s="41">
        <v>-40521200</v>
      </c>
      <c r="O58" s="40" t="s">
        <v>91</v>
      </c>
      <c r="P58" s="42" t="s">
        <v>284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292</v>
      </c>
      <c r="I59" s="43" t="s">
        <v>318</v>
      </c>
      <c r="J59" s="43" t="s">
        <v>287</v>
      </c>
      <c r="K59" s="40" t="s">
        <v>294</v>
      </c>
      <c r="L59" s="40" t="s">
        <v>283</v>
      </c>
      <c r="M59" s="40" t="s">
        <v>282</v>
      </c>
      <c r="N59" s="41">
        <v>-8243400</v>
      </c>
      <c r="O59" s="40" t="s">
        <v>89</v>
      </c>
      <c r="P59" s="42" t="s">
        <v>284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278</v>
      </c>
      <c r="I60" s="43" t="s">
        <v>279</v>
      </c>
      <c r="J60" s="43" t="s">
        <v>280</v>
      </c>
      <c r="K60" s="40" t="s">
        <v>281</v>
      </c>
      <c r="L60" s="40" t="s">
        <v>282</v>
      </c>
      <c r="M60" s="40" t="s">
        <v>283</v>
      </c>
      <c r="N60" s="41">
        <v>0</v>
      </c>
      <c r="O60" s="40" t="s">
        <v>89</v>
      </c>
      <c r="P60" s="42" t="s">
        <v>284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278</v>
      </c>
      <c r="I61" s="43" t="s">
        <v>279</v>
      </c>
      <c r="J61" s="43" t="s">
        <v>280</v>
      </c>
      <c r="K61" s="40" t="s">
        <v>281</v>
      </c>
      <c r="L61" s="40" t="s">
        <v>282</v>
      </c>
      <c r="M61" s="40" t="s">
        <v>283</v>
      </c>
      <c r="N61" s="41">
        <v>0</v>
      </c>
      <c r="O61" s="40" t="s">
        <v>89</v>
      </c>
      <c r="P61" s="42" t="s">
        <v>284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292</v>
      </c>
      <c r="I62" s="43" t="s">
        <v>319</v>
      </c>
      <c r="J62" s="43" t="s">
        <v>287</v>
      </c>
      <c r="K62" s="40" t="s">
        <v>294</v>
      </c>
      <c r="L62" s="40" t="s">
        <v>283</v>
      </c>
      <c r="M62" s="40" t="s">
        <v>282</v>
      </c>
      <c r="N62" s="41">
        <v>-785790</v>
      </c>
      <c r="O62" s="40" t="s">
        <v>89</v>
      </c>
      <c r="P62" s="42" t="s">
        <v>284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278</v>
      </c>
      <c r="I63" s="43" t="s">
        <v>279</v>
      </c>
      <c r="J63" s="43" t="s">
        <v>280</v>
      </c>
      <c r="K63" s="40" t="s">
        <v>281</v>
      </c>
      <c r="L63" s="40" t="s">
        <v>282</v>
      </c>
      <c r="M63" s="40" t="s">
        <v>283</v>
      </c>
      <c r="N63" s="41">
        <v>0</v>
      </c>
      <c r="O63" s="40" t="s">
        <v>89</v>
      </c>
      <c r="P63" s="42" t="s">
        <v>284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289</v>
      </c>
      <c r="I64" s="43" t="s">
        <v>320</v>
      </c>
      <c r="J64" s="43" t="s">
        <v>287</v>
      </c>
      <c r="K64" s="40" t="s">
        <v>291</v>
      </c>
      <c r="L64" s="40" t="s">
        <v>283</v>
      </c>
      <c r="M64" s="40" t="s">
        <v>282</v>
      </c>
      <c r="N64" s="41">
        <v>-2497000</v>
      </c>
      <c r="O64" s="40" t="s">
        <v>89</v>
      </c>
      <c r="P64" s="42" t="s">
        <v>284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295</v>
      </c>
      <c r="I65" s="43" t="s">
        <v>279</v>
      </c>
      <c r="J65" s="43" t="s">
        <v>280</v>
      </c>
      <c r="K65" s="40" t="s">
        <v>281</v>
      </c>
      <c r="L65" s="40" t="s">
        <v>282</v>
      </c>
      <c r="M65" s="40" t="s">
        <v>283</v>
      </c>
      <c r="N65" s="41">
        <v>0</v>
      </c>
      <c r="O65" s="40" t="s">
        <v>89</v>
      </c>
      <c r="P65" s="42" t="s">
        <v>284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278</v>
      </c>
      <c r="I66" s="43" t="s">
        <v>279</v>
      </c>
      <c r="J66" s="43" t="s">
        <v>280</v>
      </c>
      <c r="K66" s="40" t="s">
        <v>281</v>
      </c>
      <c r="L66" s="40" t="s">
        <v>282</v>
      </c>
      <c r="M66" s="40" t="s">
        <v>283</v>
      </c>
      <c r="N66" s="41">
        <v>0</v>
      </c>
      <c r="O66" s="40" t="s">
        <v>86</v>
      </c>
      <c r="P66" s="42" t="s">
        <v>284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278</v>
      </c>
      <c r="I67" s="43" t="s">
        <v>279</v>
      </c>
      <c r="J67" s="43" t="s">
        <v>280</v>
      </c>
      <c r="K67" s="40" t="s">
        <v>281</v>
      </c>
      <c r="L67" s="40" t="s">
        <v>282</v>
      </c>
      <c r="M67" s="40" t="s">
        <v>283</v>
      </c>
      <c r="N67" s="41">
        <v>0</v>
      </c>
      <c r="O67" s="40" t="s">
        <v>91</v>
      </c>
      <c r="P67" s="42" t="s">
        <v>284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296</v>
      </c>
      <c r="I68" s="43" t="s">
        <v>297</v>
      </c>
      <c r="J68" s="43" t="s">
        <v>88</v>
      </c>
      <c r="K68" s="40" t="s">
        <v>281</v>
      </c>
      <c r="L68" s="40" t="s">
        <v>282</v>
      </c>
      <c r="M68" s="40" t="s">
        <v>283</v>
      </c>
      <c r="N68" s="41">
        <v>0</v>
      </c>
      <c r="O68" s="40" t="s">
        <v>89</v>
      </c>
      <c r="P68" s="42" t="s">
        <v>284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278</v>
      </c>
      <c r="I69" s="43" t="s">
        <v>279</v>
      </c>
      <c r="J69" s="43" t="s">
        <v>280</v>
      </c>
      <c r="K69" s="40" t="s">
        <v>281</v>
      </c>
      <c r="L69" s="40" t="s">
        <v>282</v>
      </c>
      <c r="M69" s="40" t="s">
        <v>283</v>
      </c>
      <c r="N69" s="41">
        <v>0</v>
      </c>
      <c r="O69" s="40" t="s">
        <v>91</v>
      </c>
      <c r="P69" s="42" t="s">
        <v>284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278</v>
      </c>
      <c r="I70" s="43" t="s">
        <v>279</v>
      </c>
      <c r="J70" s="43" t="s">
        <v>280</v>
      </c>
      <c r="K70" s="40" t="s">
        <v>281</v>
      </c>
      <c r="L70" s="40" t="s">
        <v>282</v>
      </c>
      <c r="M70" s="40" t="s">
        <v>283</v>
      </c>
      <c r="N70" s="41">
        <v>0</v>
      </c>
      <c r="O70" s="40" t="s">
        <v>91</v>
      </c>
      <c r="P70" s="42" t="s">
        <v>284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292</v>
      </c>
      <c r="I71" s="43" t="s">
        <v>321</v>
      </c>
      <c r="J71" s="43" t="s">
        <v>287</v>
      </c>
      <c r="K71" s="40" t="s">
        <v>294</v>
      </c>
      <c r="L71" s="40" t="s">
        <v>283</v>
      </c>
      <c r="M71" s="40" t="s">
        <v>282</v>
      </c>
      <c r="N71" s="41">
        <v>-40521200</v>
      </c>
      <c r="O71" s="40" t="s">
        <v>91</v>
      </c>
      <c r="P71" s="42" t="s">
        <v>284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292</v>
      </c>
      <c r="I72" s="43" t="s">
        <v>322</v>
      </c>
      <c r="J72" s="43" t="s">
        <v>287</v>
      </c>
      <c r="K72" s="40" t="s">
        <v>294</v>
      </c>
      <c r="L72" s="40" t="s">
        <v>283</v>
      </c>
      <c r="M72" s="40" t="s">
        <v>282</v>
      </c>
      <c r="N72" s="41">
        <v>-8243400</v>
      </c>
      <c r="O72" s="40" t="s">
        <v>86</v>
      </c>
      <c r="P72" s="42" t="s">
        <v>284</v>
      </c>
    </row>
    <row r="73" spans="1:16">
      <c r="A73" s="38">
        <v>46279.428506944438</v>
      </c>
      <c r="B73" s="39">
        <v>46279</v>
      </c>
      <c r="C73" s="40" t="s">
        <v>85</v>
      </c>
      <c r="D73" s="40" t="s">
        <v>12</v>
      </c>
      <c r="E73" s="41">
        <v>0</v>
      </c>
      <c r="F73" s="41">
        <v>25610</v>
      </c>
      <c r="G73" s="41">
        <v>70920</v>
      </c>
      <c r="H73" s="43" t="s">
        <v>323</v>
      </c>
      <c r="I73" s="43" t="s">
        <v>324</v>
      </c>
      <c r="J73" s="43" t="s">
        <v>325</v>
      </c>
      <c r="K73" s="40" t="s">
        <v>310</v>
      </c>
      <c r="L73" s="40" t="s">
        <v>283</v>
      </c>
      <c r="M73" s="40" t="s">
        <v>283</v>
      </c>
      <c r="N73" s="41">
        <v>25610</v>
      </c>
      <c r="O73" s="40" t="s">
        <v>89</v>
      </c>
      <c r="P73" s="42" t="s">
        <v>284</v>
      </c>
    </row>
    <row r="74" spans="1:16">
      <c r="A74" s="38">
        <v>46279.707395833328</v>
      </c>
      <c r="B74" s="39">
        <v>46279</v>
      </c>
      <c r="C74" s="40" t="s">
        <v>85</v>
      </c>
      <c r="D74" s="40" t="s">
        <v>12</v>
      </c>
      <c r="E74" s="41">
        <v>0</v>
      </c>
      <c r="F74" s="41">
        <v>16000</v>
      </c>
      <c r="G74" s="41">
        <v>86920</v>
      </c>
      <c r="H74" s="43" t="s">
        <v>326</v>
      </c>
      <c r="I74" s="43" t="s">
        <v>246</v>
      </c>
      <c r="J74" s="43" t="s">
        <v>327</v>
      </c>
      <c r="K74" s="40" t="s">
        <v>310</v>
      </c>
      <c r="L74" s="40" t="s">
        <v>283</v>
      </c>
      <c r="M74" s="40" t="s">
        <v>283</v>
      </c>
      <c r="N74" s="41">
        <v>16000</v>
      </c>
      <c r="O74" s="40" t="s">
        <v>89</v>
      </c>
      <c r="P74" s="42" t="s">
        <v>284</v>
      </c>
    </row>
    <row r="75" spans="1:16">
      <c r="A75" s="38">
        <v>46280.088425925933</v>
      </c>
      <c r="B75" s="39">
        <v>46280</v>
      </c>
      <c r="C75" s="40" t="s">
        <v>90</v>
      </c>
      <c r="D75" s="40" t="s">
        <v>8</v>
      </c>
      <c r="E75" s="41">
        <v>0</v>
      </c>
      <c r="F75" s="41">
        <v>221807</v>
      </c>
      <c r="G75" s="41">
        <v>19456975</v>
      </c>
      <c r="H75" s="43" t="s">
        <v>296</v>
      </c>
      <c r="I75" s="43" t="s">
        <v>328</v>
      </c>
      <c r="J75" s="43" t="s">
        <v>329</v>
      </c>
      <c r="K75" s="40" t="s">
        <v>330</v>
      </c>
      <c r="L75" s="40" t="s">
        <v>283</v>
      </c>
      <c r="M75" s="40" t="s">
        <v>283</v>
      </c>
      <c r="N75" s="41">
        <v>221807</v>
      </c>
      <c r="O75" s="40" t="s">
        <v>86</v>
      </c>
      <c r="P75" s="42" t="s">
        <v>284</v>
      </c>
    </row>
    <row r="76" spans="1:16">
      <c r="A76" s="38">
        <v>46280.099490740737</v>
      </c>
      <c r="B76" s="39">
        <v>46280</v>
      </c>
      <c r="C76" s="40" t="s">
        <v>88</v>
      </c>
      <c r="D76" s="40" t="s">
        <v>14</v>
      </c>
      <c r="E76" s="41">
        <v>0</v>
      </c>
      <c r="F76" s="41">
        <v>16004657</v>
      </c>
      <c r="G76" s="41">
        <v>18992603</v>
      </c>
      <c r="H76" s="43" t="s">
        <v>331</v>
      </c>
      <c r="I76" s="43" t="s">
        <v>332</v>
      </c>
      <c r="J76" s="43" t="s">
        <v>333</v>
      </c>
      <c r="K76" s="40" t="s">
        <v>330</v>
      </c>
      <c r="L76" s="40" t="s">
        <v>283</v>
      </c>
      <c r="M76" s="40" t="s">
        <v>283</v>
      </c>
      <c r="N76" s="41">
        <v>16004657</v>
      </c>
      <c r="O76" s="40" t="s">
        <v>91</v>
      </c>
      <c r="P76" s="42" t="s">
        <v>284</v>
      </c>
    </row>
    <row r="77" spans="1:16">
      <c r="A77" s="38">
        <v>46280.134988425933</v>
      </c>
      <c r="B77" s="39">
        <v>46280</v>
      </c>
      <c r="C77" s="40" t="s">
        <v>88</v>
      </c>
      <c r="D77" s="40" t="s">
        <v>14</v>
      </c>
      <c r="E77" s="41">
        <v>100000</v>
      </c>
      <c r="F77" s="41">
        <v>0</v>
      </c>
      <c r="G77" s="41">
        <v>18892603</v>
      </c>
      <c r="H77" s="43" t="s">
        <v>334</v>
      </c>
      <c r="I77" s="43" t="s">
        <v>335</v>
      </c>
      <c r="J77" s="43" t="s">
        <v>336</v>
      </c>
      <c r="K77" s="40" t="s">
        <v>291</v>
      </c>
      <c r="L77" s="40" t="s">
        <v>283</v>
      </c>
      <c r="M77" s="40" t="s">
        <v>282</v>
      </c>
      <c r="N77" s="41">
        <v>-100000</v>
      </c>
      <c r="O77" s="40" t="s">
        <v>91</v>
      </c>
      <c r="P77" s="42" t="s">
        <v>284</v>
      </c>
    </row>
    <row r="78" spans="1:16">
      <c r="A78" s="38">
        <v>46280.139421296299</v>
      </c>
      <c r="B78" s="39">
        <v>46280</v>
      </c>
      <c r="C78" s="40" t="s">
        <v>88</v>
      </c>
      <c r="D78" s="40" t="s">
        <v>14</v>
      </c>
      <c r="E78" s="41">
        <v>11000</v>
      </c>
      <c r="F78" s="41">
        <v>0</v>
      </c>
      <c r="G78" s="41">
        <v>18881603</v>
      </c>
      <c r="H78" s="43" t="s">
        <v>337</v>
      </c>
      <c r="I78" s="43" t="s">
        <v>338</v>
      </c>
      <c r="J78" s="43" t="s">
        <v>336</v>
      </c>
      <c r="K78" s="40" t="s">
        <v>291</v>
      </c>
      <c r="L78" s="40" t="s">
        <v>283</v>
      </c>
      <c r="M78" s="40" t="s">
        <v>282</v>
      </c>
      <c r="N78" s="41">
        <v>-11000</v>
      </c>
      <c r="O78" s="40" t="s">
        <v>91</v>
      </c>
      <c r="P78" s="42" t="s">
        <v>284</v>
      </c>
    </row>
    <row r="79" spans="1:16">
      <c r="A79" s="38">
        <v>46280.139432870368</v>
      </c>
      <c r="B79" s="39">
        <v>46280</v>
      </c>
      <c r="C79" s="40" t="s">
        <v>88</v>
      </c>
      <c r="D79" s="40" t="s">
        <v>14</v>
      </c>
      <c r="E79" s="41">
        <v>33990</v>
      </c>
      <c r="F79" s="41">
        <v>0</v>
      </c>
      <c r="G79" s="41">
        <v>18847613</v>
      </c>
      <c r="H79" s="43" t="s">
        <v>337</v>
      </c>
      <c r="I79" s="43" t="s">
        <v>339</v>
      </c>
      <c r="J79" s="43" t="s">
        <v>336</v>
      </c>
      <c r="K79" s="40" t="s">
        <v>291</v>
      </c>
      <c r="L79" s="40" t="s">
        <v>283</v>
      </c>
      <c r="M79" s="40" t="s">
        <v>282</v>
      </c>
      <c r="N79" s="41">
        <v>-33990</v>
      </c>
      <c r="O79" s="40" t="s">
        <v>89</v>
      </c>
      <c r="P79" s="42" t="s">
        <v>284</v>
      </c>
    </row>
    <row r="80" spans="1:16">
      <c r="A80" s="38">
        <v>46280.426527777781</v>
      </c>
      <c r="B80" s="39">
        <v>46280</v>
      </c>
      <c r="C80" s="40" t="s">
        <v>85</v>
      </c>
      <c r="D80" s="40" t="s">
        <v>12</v>
      </c>
      <c r="E80" s="41">
        <v>0</v>
      </c>
      <c r="F80" s="41">
        <v>68600</v>
      </c>
      <c r="G80" s="41">
        <v>155520</v>
      </c>
      <c r="H80" s="43" t="s">
        <v>323</v>
      </c>
      <c r="I80" s="43" t="s">
        <v>324</v>
      </c>
      <c r="J80" s="43" t="s">
        <v>325</v>
      </c>
      <c r="K80" s="40" t="s">
        <v>310</v>
      </c>
      <c r="L80" s="40" t="s">
        <v>283</v>
      </c>
      <c r="M80" s="40" t="s">
        <v>283</v>
      </c>
      <c r="N80" s="41">
        <v>68600</v>
      </c>
      <c r="O80" s="40" t="s">
        <v>89</v>
      </c>
      <c r="P80" s="42" t="s">
        <v>284</v>
      </c>
    </row>
    <row r="81" spans="1:16">
      <c r="A81" s="38">
        <v>46280.427210648151</v>
      </c>
      <c r="B81" s="39">
        <v>46280</v>
      </c>
      <c r="C81" s="40" t="s">
        <v>90</v>
      </c>
      <c r="D81" s="40" t="s">
        <v>10</v>
      </c>
      <c r="E81" s="41">
        <v>0</v>
      </c>
      <c r="F81" s="41">
        <v>1472990</v>
      </c>
      <c r="G81" s="41">
        <v>101472990</v>
      </c>
      <c r="H81" s="43" t="s">
        <v>278</v>
      </c>
      <c r="I81" s="43" t="s">
        <v>279</v>
      </c>
      <c r="J81" s="43" t="s">
        <v>280</v>
      </c>
      <c r="K81" s="40" t="s">
        <v>281</v>
      </c>
      <c r="L81" s="40" t="s">
        <v>282</v>
      </c>
      <c r="M81" s="40" t="s">
        <v>283</v>
      </c>
      <c r="N81" s="41">
        <v>0</v>
      </c>
      <c r="O81" s="40" t="s">
        <v>86</v>
      </c>
      <c r="P81" s="42" t="s">
        <v>284</v>
      </c>
    </row>
    <row r="82" spans="1:16">
      <c r="A82" s="38">
        <v>46280.427210648151</v>
      </c>
      <c r="B82" s="39">
        <v>46280</v>
      </c>
      <c r="C82" s="40" t="s">
        <v>90</v>
      </c>
      <c r="D82" s="40" t="s">
        <v>8</v>
      </c>
      <c r="E82" s="41">
        <v>1472990</v>
      </c>
      <c r="F82" s="41">
        <v>0</v>
      </c>
      <c r="G82" s="41">
        <v>17983985</v>
      </c>
      <c r="H82" s="43" t="s">
        <v>340</v>
      </c>
      <c r="I82" s="43" t="s">
        <v>279</v>
      </c>
      <c r="J82" s="43" t="s">
        <v>280</v>
      </c>
      <c r="K82" s="40" t="s">
        <v>281</v>
      </c>
      <c r="L82" s="40" t="s">
        <v>282</v>
      </c>
      <c r="M82" s="40" t="s">
        <v>283</v>
      </c>
      <c r="N82" s="41">
        <v>0</v>
      </c>
      <c r="O82" s="40" t="s">
        <v>91</v>
      </c>
      <c r="P82" s="42" t="s">
        <v>284</v>
      </c>
    </row>
    <row r="83" spans="1:16">
      <c r="A83" s="38">
        <v>46280.439467592587</v>
      </c>
      <c r="B83" s="39">
        <v>46280</v>
      </c>
      <c r="C83" s="40" t="s">
        <v>85</v>
      </c>
      <c r="D83" s="40" t="s">
        <v>12</v>
      </c>
      <c r="E83" s="41">
        <v>0</v>
      </c>
      <c r="F83" s="41">
        <v>34000</v>
      </c>
      <c r="G83" s="41">
        <v>189520</v>
      </c>
      <c r="H83" s="43" t="s">
        <v>341</v>
      </c>
      <c r="I83" s="43" t="s">
        <v>202</v>
      </c>
      <c r="J83" s="43" t="s">
        <v>342</v>
      </c>
      <c r="K83" s="40" t="s">
        <v>310</v>
      </c>
      <c r="L83" s="40" t="s">
        <v>283</v>
      </c>
      <c r="M83" s="40" t="s">
        <v>283</v>
      </c>
      <c r="N83" s="41">
        <v>34000</v>
      </c>
      <c r="O83" s="40" t="s">
        <v>91</v>
      </c>
      <c r="P83" s="42" t="s">
        <v>284</v>
      </c>
    </row>
    <row r="84" spans="1:16">
      <c r="A84" s="38">
        <v>46280.443055555559</v>
      </c>
      <c r="B84" s="39">
        <v>46280</v>
      </c>
      <c r="C84" s="40" t="s">
        <v>90</v>
      </c>
      <c r="D84" s="40" t="s">
        <v>8</v>
      </c>
      <c r="E84" s="41">
        <v>0</v>
      </c>
      <c r="F84" s="41">
        <v>2685770</v>
      </c>
      <c r="G84" s="41">
        <v>20669755</v>
      </c>
      <c r="H84" s="43" t="s">
        <v>296</v>
      </c>
      <c r="I84" s="43" t="s">
        <v>343</v>
      </c>
      <c r="J84" s="43" t="s">
        <v>344</v>
      </c>
      <c r="K84" s="40" t="s">
        <v>330</v>
      </c>
      <c r="L84" s="40" t="s">
        <v>283</v>
      </c>
      <c r="M84" s="40" t="s">
        <v>283</v>
      </c>
      <c r="N84" s="41">
        <v>2685770</v>
      </c>
      <c r="O84" s="40" t="s">
        <v>91</v>
      </c>
      <c r="P84" s="42" t="s">
        <v>284</v>
      </c>
    </row>
    <row r="85" spans="1:16">
      <c r="A85" s="38">
        <v>46280.446261574078</v>
      </c>
      <c r="B85" s="39">
        <v>46280</v>
      </c>
      <c r="C85" s="40" t="s">
        <v>90</v>
      </c>
      <c r="D85" s="40" t="s">
        <v>8</v>
      </c>
      <c r="E85" s="41">
        <v>0</v>
      </c>
      <c r="F85" s="41">
        <v>824288</v>
      </c>
      <c r="G85" s="41">
        <v>21494043</v>
      </c>
      <c r="H85" s="43" t="s">
        <v>296</v>
      </c>
      <c r="I85" s="43" t="s">
        <v>343</v>
      </c>
      <c r="J85" s="43" t="s">
        <v>344</v>
      </c>
      <c r="K85" s="40" t="s">
        <v>330</v>
      </c>
      <c r="L85" s="40" t="s">
        <v>283</v>
      </c>
      <c r="M85" s="40" t="s">
        <v>283</v>
      </c>
      <c r="N85" s="41">
        <v>824288</v>
      </c>
      <c r="O85" s="40" t="s">
        <v>91</v>
      </c>
      <c r="P85" s="42" t="s">
        <v>284</v>
      </c>
    </row>
    <row r="86" spans="1:16">
      <c r="A86" s="38">
        <v>46280.454976851863</v>
      </c>
      <c r="B86" s="39">
        <v>46280</v>
      </c>
      <c r="C86" s="40" t="s">
        <v>88</v>
      </c>
      <c r="D86" s="40" t="s">
        <v>14</v>
      </c>
      <c r="E86" s="41">
        <v>498762</v>
      </c>
      <c r="F86" s="41">
        <v>0</v>
      </c>
      <c r="G86" s="41">
        <v>18348851</v>
      </c>
      <c r="H86" s="43" t="s">
        <v>345</v>
      </c>
      <c r="I86" s="43" t="s">
        <v>346</v>
      </c>
      <c r="J86" s="43" t="s">
        <v>336</v>
      </c>
      <c r="K86" s="40" t="s">
        <v>291</v>
      </c>
      <c r="L86" s="40" t="s">
        <v>283</v>
      </c>
      <c r="M86" s="40" t="s">
        <v>282</v>
      </c>
      <c r="N86" s="41">
        <v>-498762</v>
      </c>
      <c r="O86" s="40" t="s">
        <v>91</v>
      </c>
      <c r="P86" s="42" t="s">
        <v>284</v>
      </c>
    </row>
    <row r="87" spans="1:16">
      <c r="A87" s="38">
        <v>46280.638194444437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29700</v>
      </c>
      <c r="G87" s="41">
        <v>21523743</v>
      </c>
      <c r="H87" s="43" t="s">
        <v>296</v>
      </c>
      <c r="I87" s="43" t="s">
        <v>347</v>
      </c>
      <c r="J87" s="43" t="s">
        <v>88</v>
      </c>
      <c r="K87" s="40" t="s">
        <v>310</v>
      </c>
      <c r="L87" s="40" t="s">
        <v>283</v>
      </c>
      <c r="M87" s="40" t="s">
        <v>283</v>
      </c>
      <c r="N87" s="41">
        <v>29700</v>
      </c>
      <c r="O87" s="40" t="s">
        <v>89</v>
      </c>
      <c r="P87" s="42" t="s">
        <v>284</v>
      </c>
    </row>
    <row r="88" spans="1:16">
      <c r="A88" s="38">
        <v>46280.647465277783</v>
      </c>
      <c r="B88" s="39">
        <v>46280</v>
      </c>
      <c r="C88" s="40" t="s">
        <v>90</v>
      </c>
      <c r="D88" s="40" t="s">
        <v>8</v>
      </c>
      <c r="E88" s="41">
        <v>0</v>
      </c>
      <c r="F88" s="41">
        <v>73690</v>
      </c>
      <c r="G88" s="41">
        <v>21597433</v>
      </c>
      <c r="H88" s="43" t="s">
        <v>296</v>
      </c>
      <c r="I88" s="43" t="s">
        <v>348</v>
      </c>
      <c r="J88" s="43" t="s">
        <v>349</v>
      </c>
      <c r="K88" s="40" t="s">
        <v>330</v>
      </c>
      <c r="L88" s="40" t="s">
        <v>283</v>
      </c>
      <c r="M88" s="40" t="s">
        <v>283</v>
      </c>
      <c r="N88" s="41">
        <v>73690</v>
      </c>
      <c r="O88" s="40" t="s">
        <v>91</v>
      </c>
      <c r="P88" s="42" t="s">
        <v>284</v>
      </c>
    </row>
    <row r="89" spans="1:16">
      <c r="A89" s="38">
        <v>46280.678923611107</v>
      </c>
      <c r="B89" s="39">
        <v>46280</v>
      </c>
      <c r="C89" s="40" t="s">
        <v>88</v>
      </c>
      <c r="D89" s="40" t="s">
        <v>14</v>
      </c>
      <c r="E89" s="41">
        <v>1881000</v>
      </c>
      <c r="F89" s="41">
        <v>0</v>
      </c>
      <c r="G89" s="41">
        <v>16467851</v>
      </c>
      <c r="H89" s="43" t="s">
        <v>345</v>
      </c>
      <c r="I89" s="43" t="s">
        <v>350</v>
      </c>
      <c r="J89" s="43" t="s">
        <v>336</v>
      </c>
      <c r="K89" s="40" t="s">
        <v>281</v>
      </c>
      <c r="L89" s="40" t="s">
        <v>282</v>
      </c>
      <c r="M89" s="40" t="s">
        <v>283</v>
      </c>
      <c r="N89" s="41">
        <v>0</v>
      </c>
      <c r="O89" s="40" t="s">
        <v>89</v>
      </c>
      <c r="P89" s="42" t="s">
        <v>284</v>
      </c>
    </row>
    <row r="90" spans="1:16">
      <c r="A90" s="38">
        <v>46280.678935185177</v>
      </c>
      <c r="B90" s="39">
        <v>46280</v>
      </c>
      <c r="C90" s="40" t="s">
        <v>88</v>
      </c>
      <c r="D90" s="40" t="s">
        <v>14</v>
      </c>
      <c r="E90" s="41">
        <v>330000</v>
      </c>
      <c r="F90" s="41">
        <v>0</v>
      </c>
      <c r="G90" s="41">
        <v>16137851</v>
      </c>
      <c r="H90" s="43" t="s">
        <v>345</v>
      </c>
      <c r="I90" s="43" t="s">
        <v>351</v>
      </c>
      <c r="J90" s="43" t="s">
        <v>336</v>
      </c>
      <c r="K90" s="40" t="s">
        <v>281</v>
      </c>
      <c r="L90" s="40" t="s">
        <v>282</v>
      </c>
      <c r="M90" s="40" t="s">
        <v>283</v>
      </c>
      <c r="N90" s="41">
        <v>0</v>
      </c>
      <c r="O90" s="40" t="s">
        <v>89</v>
      </c>
      <c r="P90" s="42" t="s">
        <v>284</v>
      </c>
    </row>
    <row r="91" spans="1:16">
      <c r="A91" s="38">
        <v>46280.67895833333</v>
      </c>
      <c r="B91" s="39">
        <v>46280</v>
      </c>
      <c r="C91" s="40" t="s">
        <v>88</v>
      </c>
      <c r="D91" s="40" t="s">
        <v>14</v>
      </c>
      <c r="E91" s="41">
        <v>20000</v>
      </c>
      <c r="F91" s="41">
        <v>0</v>
      </c>
      <c r="G91" s="41">
        <v>14617851</v>
      </c>
      <c r="H91" s="43" t="s">
        <v>345</v>
      </c>
      <c r="I91" s="43" t="s">
        <v>352</v>
      </c>
      <c r="J91" s="43" t="s">
        <v>336</v>
      </c>
      <c r="K91" s="40" t="s">
        <v>291</v>
      </c>
      <c r="L91" s="40" t="s">
        <v>283</v>
      </c>
      <c r="M91" s="40" t="s">
        <v>282</v>
      </c>
      <c r="N91" s="41">
        <v>-20000</v>
      </c>
      <c r="O91" s="40" t="s">
        <v>89</v>
      </c>
      <c r="P91" s="42" t="s">
        <v>284</v>
      </c>
    </row>
    <row r="92" spans="1:16">
      <c r="A92" s="38">
        <v>46280.67895833333</v>
      </c>
      <c r="B92" s="39">
        <v>46280</v>
      </c>
      <c r="C92" s="40" t="s">
        <v>88</v>
      </c>
      <c r="D92" s="40" t="s">
        <v>14</v>
      </c>
      <c r="E92" s="41">
        <v>1500000</v>
      </c>
      <c r="F92" s="41">
        <v>0</v>
      </c>
      <c r="G92" s="41">
        <v>14637851</v>
      </c>
      <c r="H92" s="43" t="s">
        <v>345</v>
      </c>
      <c r="I92" s="43" t="s">
        <v>353</v>
      </c>
      <c r="J92" s="43" t="s">
        <v>336</v>
      </c>
      <c r="K92" s="40" t="s">
        <v>291</v>
      </c>
      <c r="L92" s="40" t="s">
        <v>283</v>
      </c>
      <c r="M92" s="40" t="s">
        <v>282</v>
      </c>
      <c r="N92" s="41">
        <v>-1500000</v>
      </c>
      <c r="O92" s="40" t="s">
        <v>89</v>
      </c>
      <c r="P92" s="42" t="s">
        <v>284</v>
      </c>
    </row>
    <row r="93" spans="1:16">
      <c r="A93" s="38">
        <v>46280.678969907407</v>
      </c>
      <c r="B93" s="39">
        <v>46280</v>
      </c>
      <c r="C93" s="40" t="s">
        <v>88</v>
      </c>
      <c r="D93" s="40" t="s">
        <v>14</v>
      </c>
      <c r="E93" s="41">
        <v>20000</v>
      </c>
      <c r="F93" s="41">
        <v>0</v>
      </c>
      <c r="G93" s="41">
        <v>14597851</v>
      </c>
      <c r="H93" s="43" t="s">
        <v>345</v>
      </c>
      <c r="I93" s="43" t="s">
        <v>352</v>
      </c>
      <c r="J93" s="43" t="s">
        <v>336</v>
      </c>
      <c r="K93" s="40" t="s">
        <v>291</v>
      </c>
      <c r="L93" s="40" t="s">
        <v>283</v>
      </c>
      <c r="M93" s="40" t="s">
        <v>282</v>
      </c>
      <c r="N93" s="41">
        <v>-20000</v>
      </c>
      <c r="O93" s="40" t="s">
        <v>89</v>
      </c>
      <c r="P93" s="42" t="s">
        <v>284</v>
      </c>
    </row>
    <row r="94" spans="1:16">
      <c r="A94" s="38">
        <v>46280.678981481477</v>
      </c>
      <c r="B94" s="39">
        <v>46280</v>
      </c>
      <c r="C94" s="40" t="s">
        <v>88</v>
      </c>
      <c r="D94" s="40" t="s">
        <v>14</v>
      </c>
      <c r="E94" s="41">
        <v>20000</v>
      </c>
      <c r="F94" s="41">
        <v>0</v>
      </c>
      <c r="G94" s="41">
        <v>14577851</v>
      </c>
      <c r="H94" s="43" t="s">
        <v>345</v>
      </c>
      <c r="I94" s="43" t="s">
        <v>352</v>
      </c>
      <c r="J94" s="43" t="s">
        <v>336</v>
      </c>
      <c r="K94" s="40" t="s">
        <v>291</v>
      </c>
      <c r="L94" s="40" t="s">
        <v>283</v>
      </c>
      <c r="M94" s="40" t="s">
        <v>282</v>
      </c>
      <c r="N94" s="41">
        <v>-20000</v>
      </c>
      <c r="O94" s="40" t="s">
        <v>89</v>
      </c>
      <c r="P94" s="42" t="s">
        <v>284</v>
      </c>
    </row>
    <row r="95" spans="1:16">
      <c r="A95" s="38">
        <v>46280.678993055553</v>
      </c>
      <c r="B95" s="39">
        <v>46280</v>
      </c>
      <c r="C95" s="40" t="s">
        <v>88</v>
      </c>
      <c r="D95" s="40" t="s">
        <v>14</v>
      </c>
      <c r="E95" s="41">
        <v>11953700</v>
      </c>
      <c r="F95" s="41">
        <v>0</v>
      </c>
      <c r="G95" s="41">
        <v>2624151</v>
      </c>
      <c r="H95" s="43" t="s">
        <v>345</v>
      </c>
      <c r="I95" s="43" t="s">
        <v>354</v>
      </c>
      <c r="J95" s="43" t="s">
        <v>336</v>
      </c>
      <c r="K95" s="40" t="s">
        <v>291</v>
      </c>
      <c r="L95" s="40" t="s">
        <v>283</v>
      </c>
      <c r="M95" s="40" t="s">
        <v>282</v>
      </c>
      <c r="N95" s="41">
        <v>-11953700</v>
      </c>
      <c r="O95" s="40" t="s">
        <v>91</v>
      </c>
      <c r="P95" s="42" t="s">
        <v>284</v>
      </c>
    </row>
    <row r="96" spans="1:16">
      <c r="A96" s="38">
        <v>46280.691446759258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78710</v>
      </c>
      <c r="G96" s="41">
        <v>21676143</v>
      </c>
      <c r="H96" s="43" t="s">
        <v>296</v>
      </c>
      <c r="I96" s="43" t="s">
        <v>355</v>
      </c>
      <c r="J96" s="43" t="s">
        <v>344</v>
      </c>
      <c r="K96" s="40" t="s">
        <v>310</v>
      </c>
      <c r="L96" s="40" t="s">
        <v>283</v>
      </c>
      <c r="M96" s="40" t="s">
        <v>283</v>
      </c>
      <c r="N96" s="41">
        <v>78710</v>
      </c>
      <c r="O96" s="40" t="s">
        <v>89</v>
      </c>
      <c r="P96" s="42" t="s">
        <v>284</v>
      </c>
    </row>
    <row r="97" spans="1:16">
      <c r="A97" s="38">
        <v>46280.695034722223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539023</v>
      </c>
      <c r="G97" s="41">
        <v>22215166</v>
      </c>
      <c r="H97" s="43" t="s">
        <v>356</v>
      </c>
      <c r="I97" s="43" t="s">
        <v>357</v>
      </c>
      <c r="J97" s="43" t="s">
        <v>358</v>
      </c>
      <c r="K97" s="40" t="s">
        <v>330</v>
      </c>
      <c r="L97" s="40" t="s">
        <v>283</v>
      </c>
      <c r="M97" s="40" t="s">
        <v>283</v>
      </c>
      <c r="N97" s="41">
        <v>539023</v>
      </c>
      <c r="O97" s="40" t="s">
        <v>91</v>
      </c>
      <c r="P97" s="42" t="s">
        <v>284</v>
      </c>
    </row>
    <row r="98" spans="1:16">
      <c r="A98" s="38">
        <v>46280.700960648152</v>
      </c>
      <c r="B98" s="39">
        <v>46280</v>
      </c>
      <c r="C98" s="40" t="s">
        <v>90</v>
      </c>
      <c r="D98" s="40" t="s">
        <v>8</v>
      </c>
      <c r="E98" s="41">
        <v>0</v>
      </c>
      <c r="F98" s="41">
        <v>67500</v>
      </c>
      <c r="G98" s="41">
        <v>22282666</v>
      </c>
      <c r="H98" s="43" t="s">
        <v>285</v>
      </c>
      <c r="I98" s="43" t="s">
        <v>359</v>
      </c>
      <c r="J98" s="43" t="s">
        <v>287</v>
      </c>
      <c r="K98" s="40" t="s">
        <v>310</v>
      </c>
      <c r="L98" s="40" t="s">
        <v>283</v>
      </c>
      <c r="M98" s="40" t="s">
        <v>283</v>
      </c>
      <c r="N98" s="41">
        <v>67500</v>
      </c>
      <c r="O98" s="40" t="s">
        <v>91</v>
      </c>
      <c r="P98" s="42" t="s">
        <v>284</v>
      </c>
    </row>
    <row r="99" spans="1:16">
      <c r="A99" s="38">
        <v>46280.704571759263</v>
      </c>
      <c r="B99" s="39">
        <v>46280</v>
      </c>
      <c r="C99" s="40" t="s">
        <v>88</v>
      </c>
      <c r="D99" s="40" t="s">
        <v>14</v>
      </c>
      <c r="E99" s="41">
        <v>20800</v>
      </c>
      <c r="F99" s="41">
        <v>0</v>
      </c>
      <c r="G99" s="41">
        <v>2603351</v>
      </c>
      <c r="H99" s="43" t="s">
        <v>360</v>
      </c>
      <c r="I99" s="43" t="s">
        <v>361</v>
      </c>
      <c r="J99" s="43" t="s">
        <v>336</v>
      </c>
      <c r="K99" s="40" t="s">
        <v>291</v>
      </c>
      <c r="L99" s="40" t="s">
        <v>283</v>
      </c>
      <c r="M99" s="40" t="s">
        <v>282</v>
      </c>
      <c r="N99" s="41">
        <v>-20800</v>
      </c>
      <c r="O99" s="40" t="s">
        <v>89</v>
      </c>
      <c r="P99" s="42" t="s">
        <v>284</v>
      </c>
    </row>
    <row r="100" spans="1:16">
      <c r="A100" s="38">
        <v>46280.704583333332</v>
      </c>
      <c r="B100" s="39">
        <v>46280</v>
      </c>
      <c r="C100" s="40" t="s">
        <v>88</v>
      </c>
      <c r="D100" s="40" t="s">
        <v>14</v>
      </c>
      <c r="E100" s="41">
        <v>50910</v>
      </c>
      <c r="F100" s="41">
        <v>0</v>
      </c>
      <c r="G100" s="41">
        <v>2535041</v>
      </c>
      <c r="H100" s="43" t="s">
        <v>360</v>
      </c>
      <c r="I100" s="43" t="s">
        <v>362</v>
      </c>
      <c r="J100" s="43" t="s">
        <v>336</v>
      </c>
      <c r="K100" s="40" t="s">
        <v>291</v>
      </c>
      <c r="L100" s="40" t="s">
        <v>283</v>
      </c>
      <c r="M100" s="40" t="s">
        <v>282</v>
      </c>
      <c r="N100" s="41">
        <v>-50910</v>
      </c>
      <c r="O100" s="40" t="s">
        <v>89</v>
      </c>
      <c r="P100" s="42" t="s">
        <v>284</v>
      </c>
    </row>
    <row r="101" spans="1:16">
      <c r="A101" s="38">
        <v>46280.704583333332</v>
      </c>
      <c r="B101" s="39">
        <v>46280</v>
      </c>
      <c r="C101" s="40" t="s">
        <v>88</v>
      </c>
      <c r="D101" s="40" t="s">
        <v>14</v>
      </c>
      <c r="E101" s="41">
        <v>17400</v>
      </c>
      <c r="F101" s="41">
        <v>0</v>
      </c>
      <c r="G101" s="41">
        <v>2585951</v>
      </c>
      <c r="H101" s="43" t="s">
        <v>360</v>
      </c>
      <c r="I101" s="43" t="s">
        <v>361</v>
      </c>
      <c r="J101" s="43" t="s">
        <v>336</v>
      </c>
      <c r="K101" s="40" t="s">
        <v>291</v>
      </c>
      <c r="L101" s="40" t="s">
        <v>283</v>
      </c>
      <c r="M101" s="40" t="s">
        <v>282</v>
      </c>
      <c r="N101" s="41">
        <v>-17400</v>
      </c>
      <c r="O101" s="40" t="s">
        <v>89</v>
      </c>
      <c r="P101" s="42" t="s">
        <v>284</v>
      </c>
    </row>
    <row r="102" spans="1:16">
      <c r="A102" s="38">
        <v>46280.704594907409</v>
      </c>
      <c r="B102" s="39">
        <v>46280</v>
      </c>
      <c r="C102" s="40" t="s">
        <v>88</v>
      </c>
      <c r="D102" s="40" t="s">
        <v>14</v>
      </c>
      <c r="E102" s="41">
        <v>22010</v>
      </c>
      <c r="F102" s="41">
        <v>0</v>
      </c>
      <c r="G102" s="41">
        <v>2513031</v>
      </c>
      <c r="H102" s="43" t="s">
        <v>360</v>
      </c>
      <c r="I102" s="43" t="s">
        <v>362</v>
      </c>
      <c r="J102" s="43" t="s">
        <v>336</v>
      </c>
      <c r="K102" s="40" t="s">
        <v>291</v>
      </c>
      <c r="L102" s="40" t="s">
        <v>283</v>
      </c>
      <c r="M102" s="40" t="s">
        <v>282</v>
      </c>
      <c r="N102" s="41">
        <v>-22010</v>
      </c>
      <c r="O102" s="40" t="s">
        <v>89</v>
      </c>
      <c r="P102" s="42" t="s">
        <v>284</v>
      </c>
    </row>
    <row r="103" spans="1:16">
      <c r="A103" s="38">
        <v>46280.704606481479</v>
      </c>
      <c r="B103" s="39">
        <v>46280</v>
      </c>
      <c r="C103" s="40" t="s">
        <v>88</v>
      </c>
      <c r="D103" s="40" t="s">
        <v>14</v>
      </c>
      <c r="E103" s="41">
        <v>28900</v>
      </c>
      <c r="F103" s="41">
        <v>0</v>
      </c>
      <c r="G103" s="41">
        <v>2452341</v>
      </c>
      <c r="H103" s="43" t="s">
        <v>360</v>
      </c>
      <c r="I103" s="43" t="s">
        <v>361</v>
      </c>
      <c r="J103" s="43" t="s">
        <v>336</v>
      </c>
      <c r="K103" s="40" t="s">
        <v>291</v>
      </c>
      <c r="L103" s="40" t="s">
        <v>283</v>
      </c>
      <c r="M103" s="40" t="s">
        <v>282</v>
      </c>
      <c r="N103" s="41">
        <v>-28900</v>
      </c>
      <c r="O103" s="40" t="s">
        <v>89</v>
      </c>
      <c r="P103" s="42" t="s">
        <v>284</v>
      </c>
    </row>
    <row r="104" spans="1:16">
      <c r="A104" s="38">
        <v>46280.704606481479</v>
      </c>
      <c r="B104" s="39">
        <v>46280</v>
      </c>
      <c r="C104" s="40" t="s">
        <v>88</v>
      </c>
      <c r="D104" s="40" t="s">
        <v>14</v>
      </c>
      <c r="E104" s="41">
        <v>31790</v>
      </c>
      <c r="F104" s="41">
        <v>0</v>
      </c>
      <c r="G104" s="41">
        <v>2481241</v>
      </c>
      <c r="H104" s="43" t="s">
        <v>360</v>
      </c>
      <c r="I104" s="43" t="s">
        <v>362</v>
      </c>
      <c r="J104" s="43" t="s">
        <v>336</v>
      </c>
      <c r="K104" s="40" t="s">
        <v>291</v>
      </c>
      <c r="L104" s="40" t="s">
        <v>283</v>
      </c>
      <c r="M104" s="40" t="s">
        <v>282</v>
      </c>
      <c r="N104" s="41">
        <v>-31790</v>
      </c>
      <c r="O104" s="40" t="s">
        <v>89</v>
      </c>
      <c r="P104" s="42" t="s">
        <v>284</v>
      </c>
    </row>
    <row r="105" spans="1:16">
      <c r="A105" s="38">
        <v>46280.708055555559</v>
      </c>
      <c r="B105" s="39">
        <v>46280</v>
      </c>
      <c r="C105" s="40" t="s">
        <v>90</v>
      </c>
      <c r="D105" s="40" t="s">
        <v>8</v>
      </c>
      <c r="E105" s="41">
        <v>0</v>
      </c>
      <c r="F105" s="41">
        <v>189836</v>
      </c>
      <c r="G105" s="41">
        <v>22472502</v>
      </c>
      <c r="H105" s="43" t="s">
        <v>356</v>
      </c>
      <c r="I105" s="43" t="s">
        <v>357</v>
      </c>
      <c r="J105" s="43" t="s">
        <v>358</v>
      </c>
      <c r="K105" s="40" t="s">
        <v>330</v>
      </c>
      <c r="L105" s="40" t="s">
        <v>283</v>
      </c>
      <c r="M105" s="40" t="s">
        <v>283</v>
      </c>
      <c r="N105" s="41">
        <v>189836</v>
      </c>
      <c r="O105" s="40" t="s">
        <v>86</v>
      </c>
      <c r="P105" s="42" t="s">
        <v>284</v>
      </c>
    </row>
    <row r="106" spans="1:16">
      <c r="A106" s="38">
        <v>46280.759791666656</v>
      </c>
      <c r="B106" s="39">
        <v>46280</v>
      </c>
      <c r="C106" s="40" t="s">
        <v>90</v>
      </c>
      <c r="D106" s="40" t="s">
        <v>8</v>
      </c>
      <c r="E106" s="41">
        <v>253800</v>
      </c>
      <c r="F106" s="41">
        <v>0</v>
      </c>
      <c r="G106" s="41">
        <v>22218702</v>
      </c>
      <c r="H106" s="43" t="s">
        <v>363</v>
      </c>
      <c r="I106" s="43" t="s">
        <v>364</v>
      </c>
      <c r="J106" s="43" t="s">
        <v>365</v>
      </c>
      <c r="K106" s="40" t="s">
        <v>366</v>
      </c>
      <c r="L106" s="40" t="s">
        <v>283</v>
      </c>
      <c r="M106" s="40" t="s">
        <v>282</v>
      </c>
      <c r="N106" s="41">
        <v>-253800</v>
      </c>
      <c r="O106" s="40" t="s">
        <v>91</v>
      </c>
      <c r="P106" s="42" t="s">
        <v>284</v>
      </c>
    </row>
    <row r="107" spans="1:16">
      <c r="A107" s="38">
        <v>46280.815057870372</v>
      </c>
      <c r="B107" s="39">
        <v>46280</v>
      </c>
      <c r="C107" s="40" t="s">
        <v>90</v>
      </c>
      <c r="D107" s="40" t="s">
        <v>10</v>
      </c>
      <c r="E107" s="41">
        <v>785790</v>
      </c>
      <c r="F107" s="41">
        <v>0</v>
      </c>
      <c r="G107" s="41">
        <v>100687200</v>
      </c>
      <c r="H107" s="43" t="s">
        <v>292</v>
      </c>
      <c r="I107" s="43" t="s">
        <v>367</v>
      </c>
      <c r="J107" s="43" t="s">
        <v>287</v>
      </c>
      <c r="K107" s="40" t="s">
        <v>294</v>
      </c>
      <c r="L107" s="40" t="s">
        <v>283</v>
      </c>
      <c r="M107" s="40" t="s">
        <v>282</v>
      </c>
      <c r="N107" s="41">
        <v>-785790</v>
      </c>
      <c r="O107" s="40" t="s">
        <v>86</v>
      </c>
      <c r="P107" s="42" t="s">
        <v>284</v>
      </c>
    </row>
    <row r="108" spans="1:16">
      <c r="A108" s="38">
        <v>46280.842534722222</v>
      </c>
      <c r="B108" s="39">
        <v>46280</v>
      </c>
      <c r="C108" s="40" t="s">
        <v>90</v>
      </c>
      <c r="D108" s="40" t="s">
        <v>8</v>
      </c>
      <c r="E108" s="41">
        <v>5001750</v>
      </c>
      <c r="F108" s="41">
        <v>0</v>
      </c>
      <c r="G108" s="41">
        <v>17216952</v>
      </c>
      <c r="H108" s="43" t="s">
        <v>292</v>
      </c>
      <c r="I108" s="43" t="s">
        <v>368</v>
      </c>
      <c r="J108" s="43" t="s">
        <v>287</v>
      </c>
      <c r="K108" s="40" t="s">
        <v>294</v>
      </c>
      <c r="L108" s="40" t="s">
        <v>283</v>
      </c>
      <c r="M108" s="40" t="s">
        <v>282</v>
      </c>
      <c r="N108" s="41">
        <v>-5001750</v>
      </c>
      <c r="O108" s="40" t="s">
        <v>91</v>
      </c>
      <c r="P108" s="42" t="s">
        <v>284</v>
      </c>
    </row>
    <row r="109" spans="1:16">
      <c r="A109" s="38">
        <v>46281.101400462961</v>
      </c>
      <c r="B109" s="39">
        <v>46281</v>
      </c>
      <c r="C109" s="40" t="s">
        <v>88</v>
      </c>
      <c r="D109" s="40" t="s">
        <v>14</v>
      </c>
      <c r="E109" s="41">
        <v>0</v>
      </c>
      <c r="F109" s="41">
        <v>7176912</v>
      </c>
      <c r="G109" s="41">
        <v>9629253</v>
      </c>
      <c r="H109" s="43" t="s">
        <v>331</v>
      </c>
      <c r="I109" s="43" t="s">
        <v>332</v>
      </c>
      <c r="J109" s="43" t="s">
        <v>333</v>
      </c>
      <c r="K109" s="40" t="s">
        <v>330</v>
      </c>
      <c r="L109" s="40" t="s">
        <v>283</v>
      </c>
      <c r="M109" s="40" t="s">
        <v>283</v>
      </c>
      <c r="N109" s="41">
        <v>7176912</v>
      </c>
      <c r="O109" s="40" t="s">
        <v>91</v>
      </c>
      <c r="P109" s="42" t="s">
        <v>284</v>
      </c>
    </row>
    <row r="110" spans="1:16">
      <c r="A110" s="38">
        <v>46281.129675925928</v>
      </c>
      <c r="B110" s="39">
        <v>46281</v>
      </c>
      <c r="C110" s="40" t="s">
        <v>90</v>
      </c>
      <c r="D110" s="40" t="s">
        <v>8</v>
      </c>
      <c r="E110" s="41">
        <v>0</v>
      </c>
      <c r="F110" s="41">
        <v>5776</v>
      </c>
      <c r="G110" s="41">
        <v>17222728</v>
      </c>
      <c r="H110" s="43" t="s">
        <v>296</v>
      </c>
      <c r="I110" s="43" t="s">
        <v>328</v>
      </c>
      <c r="J110" s="43" t="s">
        <v>329</v>
      </c>
      <c r="K110" s="40" t="s">
        <v>330</v>
      </c>
      <c r="L110" s="40" t="s">
        <v>283</v>
      </c>
      <c r="M110" s="40" t="s">
        <v>283</v>
      </c>
      <c r="N110" s="41">
        <v>5776</v>
      </c>
      <c r="O110" s="40" t="s">
        <v>86</v>
      </c>
      <c r="P110" s="42" t="s">
        <v>284</v>
      </c>
    </row>
    <row r="111" spans="1:16">
      <c r="A111" s="38">
        <v>46281.215578703697</v>
      </c>
      <c r="B111" s="39">
        <v>46281</v>
      </c>
      <c r="C111" s="40" t="s">
        <v>85</v>
      </c>
      <c r="D111" s="40" t="s">
        <v>12</v>
      </c>
      <c r="E111" s="41">
        <v>0</v>
      </c>
      <c r="F111" s="41">
        <v>1333398</v>
      </c>
      <c r="G111" s="41">
        <v>1522918</v>
      </c>
      <c r="H111" s="43" t="s">
        <v>369</v>
      </c>
      <c r="I111" s="43" t="s">
        <v>370</v>
      </c>
      <c r="J111" s="43" t="s">
        <v>325</v>
      </c>
      <c r="K111" s="40" t="s">
        <v>310</v>
      </c>
      <c r="L111" s="40" t="s">
        <v>283</v>
      </c>
      <c r="M111" s="40" t="s">
        <v>283</v>
      </c>
      <c r="N111" s="41">
        <v>1333398</v>
      </c>
      <c r="O111" s="40" t="s">
        <v>91</v>
      </c>
      <c r="P111" s="42" t="s">
        <v>284</v>
      </c>
    </row>
    <row r="112" spans="1:16">
      <c r="A112" s="38">
        <v>46281.408541666657</v>
      </c>
      <c r="B112" s="39">
        <v>46281</v>
      </c>
      <c r="C112" s="40" t="s">
        <v>85</v>
      </c>
      <c r="D112" s="40" t="s">
        <v>12</v>
      </c>
      <c r="E112" s="41">
        <v>0</v>
      </c>
      <c r="F112" s="41">
        <v>80278</v>
      </c>
      <c r="G112" s="41">
        <v>1603196</v>
      </c>
      <c r="H112" s="43" t="s">
        <v>371</v>
      </c>
      <c r="I112" s="43" t="s">
        <v>372</v>
      </c>
      <c r="J112" s="43" t="s">
        <v>373</v>
      </c>
      <c r="K112" s="40" t="s">
        <v>310</v>
      </c>
      <c r="L112" s="40" t="s">
        <v>283</v>
      </c>
      <c r="M112" s="40" t="s">
        <v>283</v>
      </c>
      <c r="N112" s="41">
        <v>80278</v>
      </c>
      <c r="O112" s="40" t="s">
        <v>86</v>
      </c>
      <c r="P112" s="42" t="s">
        <v>284</v>
      </c>
    </row>
    <row r="113" spans="1:16">
      <c r="A113" s="38">
        <v>46281.453136574077</v>
      </c>
      <c r="B113" s="39">
        <v>46281</v>
      </c>
      <c r="C113" s="40" t="s">
        <v>90</v>
      </c>
      <c r="D113" s="40" t="s">
        <v>8</v>
      </c>
      <c r="E113" s="41">
        <v>0</v>
      </c>
      <c r="F113" s="41">
        <v>398851</v>
      </c>
      <c r="G113" s="41">
        <v>17621579</v>
      </c>
      <c r="H113" s="43" t="s">
        <v>296</v>
      </c>
      <c r="I113" s="43" t="s">
        <v>343</v>
      </c>
      <c r="J113" s="43" t="s">
        <v>344</v>
      </c>
      <c r="K113" s="40" t="s">
        <v>330</v>
      </c>
      <c r="L113" s="40" t="s">
        <v>283</v>
      </c>
      <c r="M113" s="40" t="s">
        <v>283</v>
      </c>
      <c r="N113" s="41">
        <v>398851</v>
      </c>
      <c r="O113" s="40" t="s">
        <v>89</v>
      </c>
      <c r="P113" s="42" t="s">
        <v>284</v>
      </c>
    </row>
    <row r="114" spans="1:16">
      <c r="A114" s="38">
        <v>46281.465532407397</v>
      </c>
      <c r="B114" s="39">
        <v>46281</v>
      </c>
      <c r="C114" s="40" t="s">
        <v>90</v>
      </c>
      <c r="D114" s="40" t="s">
        <v>8</v>
      </c>
      <c r="E114" s="41">
        <v>0</v>
      </c>
      <c r="F114" s="41">
        <v>76235</v>
      </c>
      <c r="G114" s="41">
        <v>17697814</v>
      </c>
      <c r="H114" s="43" t="s">
        <v>296</v>
      </c>
      <c r="I114" s="43" t="s">
        <v>343</v>
      </c>
      <c r="J114" s="43" t="s">
        <v>344</v>
      </c>
      <c r="K114" s="40" t="s">
        <v>330</v>
      </c>
      <c r="L114" s="40" t="s">
        <v>283</v>
      </c>
      <c r="M114" s="40" t="s">
        <v>283</v>
      </c>
      <c r="N114" s="41">
        <v>76235</v>
      </c>
      <c r="O114" s="40" t="s">
        <v>89</v>
      </c>
      <c r="P114" s="42" t="s">
        <v>284</v>
      </c>
    </row>
    <row r="115" spans="1:16">
      <c r="A115" s="38">
        <v>46281.554918981477</v>
      </c>
      <c r="B115" s="39">
        <v>46281</v>
      </c>
      <c r="C115" s="40" t="s">
        <v>85</v>
      </c>
      <c r="D115" s="40" t="s">
        <v>12</v>
      </c>
      <c r="E115" s="41">
        <v>0</v>
      </c>
      <c r="F115" s="41">
        <v>60800</v>
      </c>
      <c r="G115" s="41">
        <v>1663996</v>
      </c>
      <c r="H115" s="43" t="s">
        <v>374</v>
      </c>
      <c r="I115" s="43" t="s">
        <v>375</v>
      </c>
      <c r="J115" s="43" t="s">
        <v>376</v>
      </c>
      <c r="K115" s="40" t="s">
        <v>310</v>
      </c>
      <c r="L115" s="40" t="s">
        <v>283</v>
      </c>
      <c r="M115" s="40" t="s">
        <v>283</v>
      </c>
      <c r="N115" s="41">
        <v>60800</v>
      </c>
      <c r="O115" s="40" t="s">
        <v>89</v>
      </c>
      <c r="P115" s="42" t="s">
        <v>284</v>
      </c>
    </row>
    <row r="116" spans="1:16">
      <c r="A116" s="38">
        <v>46281.722314814811</v>
      </c>
      <c r="B116" s="39">
        <v>46281</v>
      </c>
      <c r="C116" s="40" t="s">
        <v>88</v>
      </c>
      <c r="D116" s="40" t="s">
        <v>14</v>
      </c>
      <c r="E116" s="41">
        <v>40000</v>
      </c>
      <c r="F116" s="41">
        <v>0</v>
      </c>
      <c r="G116" s="41">
        <v>9589253</v>
      </c>
      <c r="H116" s="43" t="s">
        <v>377</v>
      </c>
      <c r="I116" s="43" t="s">
        <v>378</v>
      </c>
      <c r="J116" s="43" t="s">
        <v>379</v>
      </c>
      <c r="K116" s="40" t="s">
        <v>291</v>
      </c>
      <c r="L116" s="40" t="s">
        <v>283</v>
      </c>
      <c r="M116" s="40" t="s">
        <v>283</v>
      </c>
      <c r="N116" s="41">
        <v>-40000</v>
      </c>
      <c r="O116" s="40" t="s">
        <v>89</v>
      </c>
      <c r="P116" s="42" t="s">
        <v>284</v>
      </c>
    </row>
    <row r="117" spans="1:16">
      <c r="A117" s="38">
        <v>46281.72320601852</v>
      </c>
      <c r="B117" s="39">
        <v>46281</v>
      </c>
      <c r="C117" s="40" t="s">
        <v>88</v>
      </c>
      <c r="D117" s="40" t="s">
        <v>14</v>
      </c>
      <c r="E117" s="41">
        <v>2002000</v>
      </c>
      <c r="F117" s="41">
        <v>0</v>
      </c>
      <c r="G117" s="41">
        <v>7587253</v>
      </c>
      <c r="H117" s="43" t="s">
        <v>345</v>
      </c>
      <c r="I117" s="43" t="s">
        <v>350</v>
      </c>
      <c r="J117" s="43" t="s">
        <v>336</v>
      </c>
      <c r="K117" s="40" t="s">
        <v>281</v>
      </c>
      <c r="L117" s="40" t="s">
        <v>282</v>
      </c>
      <c r="M117" s="40" t="s">
        <v>283</v>
      </c>
      <c r="N117" s="41">
        <v>0</v>
      </c>
      <c r="O117" s="40" t="s">
        <v>89</v>
      </c>
      <c r="P117" s="42" t="s">
        <v>284</v>
      </c>
    </row>
    <row r="118" spans="1:16">
      <c r="A118" s="38">
        <v>46281.903506944444</v>
      </c>
      <c r="B118" s="39">
        <v>46281</v>
      </c>
      <c r="C118" s="40" t="s">
        <v>90</v>
      </c>
      <c r="D118" s="40" t="s">
        <v>8</v>
      </c>
      <c r="E118" s="41">
        <v>0</v>
      </c>
      <c r="F118" s="41">
        <v>105760</v>
      </c>
      <c r="G118" s="41">
        <v>17803574</v>
      </c>
      <c r="H118" s="43" t="s">
        <v>296</v>
      </c>
      <c r="I118" s="43" t="s">
        <v>380</v>
      </c>
      <c r="J118" s="43" t="s">
        <v>349</v>
      </c>
      <c r="K118" s="40" t="s">
        <v>310</v>
      </c>
      <c r="L118" s="40" t="s">
        <v>283</v>
      </c>
      <c r="M118" s="40" t="s">
        <v>283</v>
      </c>
      <c r="N118" s="41">
        <v>105760</v>
      </c>
      <c r="O118" s="40" t="s">
        <v>91</v>
      </c>
      <c r="P118" s="42" t="s">
        <v>284</v>
      </c>
    </row>
    <row r="119" spans="1:16">
      <c r="A119" s="38">
        <v>46282.115613425929</v>
      </c>
      <c r="B119" s="39">
        <v>46282</v>
      </c>
      <c r="C119" s="40" t="s">
        <v>88</v>
      </c>
      <c r="D119" s="40" t="s">
        <v>14</v>
      </c>
      <c r="E119" s="41">
        <v>0</v>
      </c>
      <c r="F119" s="41">
        <v>6519025</v>
      </c>
      <c r="G119" s="41">
        <v>14106278</v>
      </c>
      <c r="H119" s="43" t="s">
        <v>331</v>
      </c>
      <c r="I119" s="43" t="s">
        <v>332</v>
      </c>
      <c r="J119" s="43" t="s">
        <v>333</v>
      </c>
      <c r="K119" s="40" t="s">
        <v>330</v>
      </c>
      <c r="L119" s="40" t="s">
        <v>283</v>
      </c>
      <c r="M119" s="40" t="s">
        <v>283</v>
      </c>
      <c r="N119" s="41">
        <v>6519025</v>
      </c>
      <c r="O119" s="40" t="s">
        <v>86</v>
      </c>
      <c r="P119" s="42" t="s">
        <v>284</v>
      </c>
    </row>
    <row r="120" spans="1:16">
      <c r="A120" s="38">
        <v>46282.14266203704</v>
      </c>
      <c r="B120" s="39">
        <v>46282</v>
      </c>
      <c r="C120" s="40" t="s">
        <v>90</v>
      </c>
      <c r="D120" s="40" t="s">
        <v>8</v>
      </c>
      <c r="E120" s="41">
        <v>0</v>
      </c>
      <c r="F120" s="41">
        <v>32729</v>
      </c>
      <c r="G120" s="41">
        <v>17836303</v>
      </c>
      <c r="H120" s="43" t="s">
        <v>296</v>
      </c>
      <c r="I120" s="43" t="s">
        <v>328</v>
      </c>
      <c r="J120" s="43" t="s">
        <v>329</v>
      </c>
      <c r="K120" s="40" t="s">
        <v>330</v>
      </c>
      <c r="L120" s="40" t="s">
        <v>283</v>
      </c>
      <c r="M120" s="40" t="s">
        <v>283</v>
      </c>
      <c r="N120" s="41">
        <v>32729</v>
      </c>
      <c r="O120" s="40" t="s">
        <v>91</v>
      </c>
      <c r="P120" s="42" t="s">
        <v>284</v>
      </c>
    </row>
    <row r="121" spans="1:16">
      <c r="A121" s="38">
        <v>46282.463877314818</v>
      </c>
      <c r="B121" s="39">
        <v>46282</v>
      </c>
      <c r="C121" s="40" t="s">
        <v>90</v>
      </c>
      <c r="D121" s="40" t="s">
        <v>8</v>
      </c>
      <c r="E121" s="41">
        <v>0</v>
      </c>
      <c r="F121" s="41">
        <v>708904</v>
      </c>
      <c r="G121" s="41">
        <v>18545207</v>
      </c>
      <c r="H121" s="43" t="s">
        <v>296</v>
      </c>
      <c r="I121" s="43" t="s">
        <v>343</v>
      </c>
      <c r="J121" s="43" t="s">
        <v>344</v>
      </c>
      <c r="K121" s="40" t="s">
        <v>330</v>
      </c>
      <c r="L121" s="40" t="s">
        <v>283</v>
      </c>
      <c r="M121" s="40" t="s">
        <v>283</v>
      </c>
      <c r="N121" s="41">
        <v>708904</v>
      </c>
      <c r="O121" s="40" t="s">
        <v>91</v>
      </c>
      <c r="P121" s="42" t="s">
        <v>284</v>
      </c>
    </row>
    <row r="122" spans="1:16">
      <c r="A122" s="38">
        <v>46282.469108796293</v>
      </c>
      <c r="B122" s="39">
        <v>46282</v>
      </c>
      <c r="C122" s="40" t="s">
        <v>90</v>
      </c>
      <c r="D122" s="40" t="s">
        <v>8</v>
      </c>
      <c r="E122" s="41">
        <v>0</v>
      </c>
      <c r="F122" s="41">
        <v>188773</v>
      </c>
      <c r="G122" s="41">
        <v>18733980</v>
      </c>
      <c r="H122" s="43" t="s">
        <v>296</v>
      </c>
      <c r="I122" s="43" t="s">
        <v>343</v>
      </c>
      <c r="J122" s="43" t="s">
        <v>344</v>
      </c>
      <c r="K122" s="40" t="s">
        <v>330</v>
      </c>
      <c r="L122" s="40" t="s">
        <v>283</v>
      </c>
      <c r="M122" s="40" t="s">
        <v>283</v>
      </c>
      <c r="N122" s="41">
        <v>188773</v>
      </c>
      <c r="O122" s="40" t="s">
        <v>91</v>
      </c>
      <c r="P122" s="42" t="s">
        <v>284</v>
      </c>
    </row>
    <row r="123" spans="1:16">
      <c r="A123" s="38">
        <v>46282.702870370369</v>
      </c>
      <c r="B123" s="39">
        <v>46282</v>
      </c>
      <c r="C123" s="40" t="s">
        <v>88</v>
      </c>
      <c r="D123" s="40" t="s">
        <v>14</v>
      </c>
      <c r="E123" s="41">
        <v>498509</v>
      </c>
      <c r="F123" s="41">
        <v>0</v>
      </c>
      <c r="G123" s="41">
        <v>13607769</v>
      </c>
      <c r="H123" s="43" t="s">
        <v>345</v>
      </c>
      <c r="I123" s="43" t="s">
        <v>346</v>
      </c>
      <c r="J123" s="43" t="s">
        <v>336</v>
      </c>
      <c r="K123" s="40" t="s">
        <v>291</v>
      </c>
      <c r="L123" s="40" t="s">
        <v>283</v>
      </c>
      <c r="M123" s="40" t="s">
        <v>282</v>
      </c>
      <c r="N123" s="41">
        <v>-498509</v>
      </c>
      <c r="O123" s="40" t="s">
        <v>86</v>
      </c>
      <c r="P123" s="42" t="s">
        <v>284</v>
      </c>
    </row>
    <row r="124" spans="1:16">
      <c r="A124" s="38">
        <v>46282.702881944453</v>
      </c>
      <c r="B124" s="39">
        <v>46282</v>
      </c>
      <c r="C124" s="40" t="s">
        <v>88</v>
      </c>
      <c r="D124" s="40" t="s">
        <v>14</v>
      </c>
      <c r="E124" s="41">
        <v>550000</v>
      </c>
      <c r="F124" s="41">
        <v>0</v>
      </c>
      <c r="G124" s="41">
        <v>13057769</v>
      </c>
      <c r="H124" s="43" t="s">
        <v>345</v>
      </c>
      <c r="I124" s="43" t="s">
        <v>381</v>
      </c>
      <c r="J124" s="43" t="s">
        <v>336</v>
      </c>
      <c r="K124" s="40" t="s">
        <v>291</v>
      </c>
      <c r="L124" s="40" t="s">
        <v>283</v>
      </c>
      <c r="M124" s="40" t="s">
        <v>282</v>
      </c>
      <c r="N124" s="41">
        <v>-550000</v>
      </c>
      <c r="O124" s="40" t="s">
        <v>91</v>
      </c>
      <c r="P124" s="42" t="s">
        <v>284</v>
      </c>
    </row>
    <row r="125" spans="1:16">
      <c r="A125" s="38">
        <v>46282.702893518523</v>
      </c>
      <c r="B125" s="39">
        <v>46282</v>
      </c>
      <c r="C125" s="40" t="s">
        <v>88</v>
      </c>
      <c r="D125" s="40" t="s">
        <v>14</v>
      </c>
      <c r="E125" s="41">
        <v>1661000</v>
      </c>
      <c r="F125" s="41">
        <v>0</v>
      </c>
      <c r="G125" s="41">
        <v>11396769</v>
      </c>
      <c r="H125" s="43" t="s">
        <v>345</v>
      </c>
      <c r="I125" s="43" t="s">
        <v>350</v>
      </c>
      <c r="J125" s="43" t="s">
        <v>336</v>
      </c>
      <c r="K125" s="40" t="s">
        <v>281</v>
      </c>
      <c r="L125" s="40" t="s">
        <v>282</v>
      </c>
      <c r="M125" s="40" t="s">
        <v>283</v>
      </c>
      <c r="N125" s="41">
        <v>0</v>
      </c>
      <c r="O125" s="40" t="s">
        <v>86</v>
      </c>
      <c r="P125" s="42" t="s">
        <v>284</v>
      </c>
    </row>
    <row r="126" spans="1:16">
      <c r="A126" s="38">
        <v>46282.702905092592</v>
      </c>
      <c r="B126" s="39">
        <v>46282</v>
      </c>
      <c r="C126" s="40" t="s">
        <v>88</v>
      </c>
      <c r="D126" s="40" t="s">
        <v>14</v>
      </c>
      <c r="E126" s="41">
        <v>330000</v>
      </c>
      <c r="F126" s="41">
        <v>0</v>
      </c>
      <c r="G126" s="41">
        <v>11066769</v>
      </c>
      <c r="H126" s="43" t="s">
        <v>345</v>
      </c>
      <c r="I126" s="43" t="s">
        <v>351</v>
      </c>
      <c r="J126" s="43" t="s">
        <v>336</v>
      </c>
      <c r="K126" s="40" t="s">
        <v>281</v>
      </c>
      <c r="L126" s="40" t="s">
        <v>282</v>
      </c>
      <c r="M126" s="40" t="s">
        <v>283</v>
      </c>
      <c r="N126" s="41">
        <v>0</v>
      </c>
      <c r="O126" s="40" t="s">
        <v>91</v>
      </c>
      <c r="P126" s="42" t="s">
        <v>284</v>
      </c>
    </row>
    <row r="127" spans="1:16">
      <c r="A127" s="38">
        <v>46282.702916666669</v>
      </c>
      <c r="B127" s="39">
        <v>46282</v>
      </c>
      <c r="C127" s="40" t="s">
        <v>88</v>
      </c>
      <c r="D127" s="40" t="s">
        <v>14</v>
      </c>
      <c r="E127" s="41">
        <v>330000</v>
      </c>
      <c r="F127" s="41">
        <v>0</v>
      </c>
      <c r="G127" s="41">
        <v>10736769</v>
      </c>
      <c r="H127" s="43" t="s">
        <v>345</v>
      </c>
      <c r="I127" s="43" t="s">
        <v>382</v>
      </c>
      <c r="J127" s="43" t="s">
        <v>336</v>
      </c>
      <c r="K127" s="40" t="s">
        <v>291</v>
      </c>
      <c r="L127" s="40" t="s">
        <v>283</v>
      </c>
      <c r="M127" s="40" t="s">
        <v>283</v>
      </c>
      <c r="N127" s="41">
        <v>-330000</v>
      </c>
      <c r="O127" s="40" t="s">
        <v>89</v>
      </c>
      <c r="P127" s="42" t="s">
        <v>284</v>
      </c>
    </row>
    <row r="128" spans="1:16">
      <c r="A128" s="38">
        <v>46282.941863425927</v>
      </c>
      <c r="B128" s="39">
        <v>46282</v>
      </c>
      <c r="C128" s="40" t="s">
        <v>90</v>
      </c>
      <c r="D128" s="40" t="s">
        <v>8</v>
      </c>
      <c r="E128" s="41">
        <v>0</v>
      </c>
      <c r="F128" s="41">
        <v>80720</v>
      </c>
      <c r="G128" s="41">
        <v>18814700</v>
      </c>
      <c r="H128" s="43" t="s">
        <v>296</v>
      </c>
      <c r="I128" s="43" t="s">
        <v>383</v>
      </c>
      <c r="J128" s="43" t="s">
        <v>384</v>
      </c>
      <c r="K128" s="40" t="s">
        <v>310</v>
      </c>
      <c r="L128" s="40" t="s">
        <v>283</v>
      </c>
      <c r="M128" s="40" t="s">
        <v>283</v>
      </c>
      <c r="N128" s="41">
        <v>80720</v>
      </c>
      <c r="O128" s="40" t="s">
        <v>89</v>
      </c>
      <c r="P128" s="42" t="s">
        <v>284</v>
      </c>
    </row>
    <row r="129" spans="1:16">
      <c r="A129" s="38">
        <v>46283.110543981478</v>
      </c>
      <c r="B129" s="39">
        <v>46283</v>
      </c>
      <c r="C129" s="40" t="s">
        <v>88</v>
      </c>
      <c r="D129" s="40" t="s">
        <v>14</v>
      </c>
      <c r="E129" s="41">
        <v>0</v>
      </c>
      <c r="F129" s="41">
        <v>6599516</v>
      </c>
      <c r="G129" s="41">
        <v>17336285</v>
      </c>
      <c r="H129" s="43" t="s">
        <v>331</v>
      </c>
      <c r="I129" s="43" t="s">
        <v>332</v>
      </c>
      <c r="J129" s="43" t="s">
        <v>333</v>
      </c>
      <c r="K129" s="40" t="s">
        <v>330</v>
      </c>
      <c r="L129" s="40" t="s">
        <v>283</v>
      </c>
      <c r="M129" s="40" t="s">
        <v>283</v>
      </c>
      <c r="N129" s="41">
        <v>6599516</v>
      </c>
      <c r="O129" s="40" t="s">
        <v>89</v>
      </c>
      <c r="P129" s="42" t="s">
        <v>284</v>
      </c>
    </row>
    <row r="130" spans="1:16">
      <c r="A130" s="38">
        <v>46283.140902777777</v>
      </c>
      <c r="B130" s="39">
        <v>46283</v>
      </c>
      <c r="C130" s="40" t="s">
        <v>90</v>
      </c>
      <c r="D130" s="40" t="s">
        <v>8</v>
      </c>
      <c r="E130" s="41">
        <v>0</v>
      </c>
      <c r="F130" s="41">
        <v>49093</v>
      </c>
      <c r="G130" s="41">
        <v>18863793</v>
      </c>
      <c r="H130" s="43" t="s">
        <v>296</v>
      </c>
      <c r="I130" s="43" t="s">
        <v>328</v>
      </c>
      <c r="J130" s="43" t="s">
        <v>329</v>
      </c>
      <c r="K130" s="40" t="s">
        <v>330</v>
      </c>
      <c r="L130" s="40" t="s">
        <v>283</v>
      </c>
      <c r="M130" s="40" t="s">
        <v>283</v>
      </c>
      <c r="N130" s="41">
        <v>49093</v>
      </c>
      <c r="O130" s="40" t="s">
        <v>91</v>
      </c>
      <c r="P130" s="42" t="s">
        <v>284</v>
      </c>
    </row>
    <row r="131" spans="1:16">
      <c r="A131" s="38">
        <v>46283.385879629634</v>
      </c>
      <c r="B131" s="39">
        <v>46283</v>
      </c>
      <c r="C131" s="40" t="s">
        <v>85</v>
      </c>
      <c r="D131" s="40" t="s">
        <v>12</v>
      </c>
      <c r="E131" s="41">
        <v>0</v>
      </c>
      <c r="F131" s="41">
        <v>29433</v>
      </c>
      <c r="G131" s="41">
        <v>1693429</v>
      </c>
      <c r="H131" s="43" t="s">
        <v>385</v>
      </c>
      <c r="I131" s="43" t="s">
        <v>386</v>
      </c>
      <c r="J131" s="43" t="s">
        <v>387</v>
      </c>
      <c r="K131" s="40" t="s">
        <v>288</v>
      </c>
      <c r="L131" s="40" t="s">
        <v>283</v>
      </c>
      <c r="M131" s="40" t="s">
        <v>283</v>
      </c>
      <c r="N131" s="41">
        <v>29433</v>
      </c>
      <c r="O131" s="40" t="s">
        <v>91</v>
      </c>
      <c r="P131" s="42" t="s">
        <v>284</v>
      </c>
    </row>
    <row r="132" spans="1:16">
      <c r="A132" s="38">
        <v>46283.398773148147</v>
      </c>
      <c r="B132" s="39">
        <v>46283</v>
      </c>
      <c r="C132" s="40" t="s">
        <v>85</v>
      </c>
      <c r="D132" s="40" t="s">
        <v>12</v>
      </c>
      <c r="E132" s="41">
        <v>0</v>
      </c>
      <c r="F132" s="41">
        <v>141000</v>
      </c>
      <c r="G132" s="41">
        <v>1834429</v>
      </c>
      <c r="H132" s="43" t="s">
        <v>388</v>
      </c>
      <c r="I132" s="43" t="s">
        <v>202</v>
      </c>
      <c r="J132" s="43" t="s">
        <v>389</v>
      </c>
      <c r="K132" s="40" t="s">
        <v>310</v>
      </c>
      <c r="L132" s="40" t="s">
        <v>283</v>
      </c>
      <c r="M132" s="40" t="s">
        <v>283</v>
      </c>
      <c r="N132" s="41">
        <v>141000</v>
      </c>
      <c r="O132" s="40" t="s">
        <v>89</v>
      </c>
      <c r="P132" s="42" t="s">
        <v>284</v>
      </c>
    </row>
    <row r="133" spans="1:16">
      <c r="A133" s="38">
        <v>46283.459224537037</v>
      </c>
      <c r="B133" s="39">
        <v>46283</v>
      </c>
      <c r="C133" s="40" t="s">
        <v>90</v>
      </c>
      <c r="D133" s="40" t="s">
        <v>8</v>
      </c>
      <c r="E133" s="41">
        <v>0</v>
      </c>
      <c r="F133" s="41">
        <v>871022</v>
      </c>
      <c r="G133" s="41">
        <v>19734815</v>
      </c>
      <c r="H133" s="43" t="s">
        <v>296</v>
      </c>
      <c r="I133" s="43" t="s">
        <v>343</v>
      </c>
      <c r="J133" s="43" t="s">
        <v>344</v>
      </c>
      <c r="K133" s="40" t="s">
        <v>330</v>
      </c>
      <c r="L133" s="40" t="s">
        <v>283</v>
      </c>
      <c r="M133" s="40" t="s">
        <v>283</v>
      </c>
      <c r="N133" s="41">
        <v>871022</v>
      </c>
      <c r="O133" s="40" t="s">
        <v>89</v>
      </c>
      <c r="P133" s="42" t="s">
        <v>284</v>
      </c>
    </row>
    <row r="134" spans="1:16">
      <c r="A134" s="38">
        <v>46283.467777777783</v>
      </c>
      <c r="B134" s="39">
        <v>46283</v>
      </c>
      <c r="C134" s="40" t="s">
        <v>90</v>
      </c>
      <c r="D134" s="40" t="s">
        <v>8</v>
      </c>
      <c r="E134" s="41">
        <v>0</v>
      </c>
      <c r="F134" s="41">
        <v>299722</v>
      </c>
      <c r="G134" s="41">
        <v>20034537</v>
      </c>
      <c r="H134" s="43" t="s">
        <v>296</v>
      </c>
      <c r="I134" s="43" t="s">
        <v>343</v>
      </c>
      <c r="J134" s="43" t="s">
        <v>344</v>
      </c>
      <c r="K134" s="40" t="s">
        <v>330</v>
      </c>
      <c r="L134" s="40" t="s">
        <v>283</v>
      </c>
      <c r="M134" s="40" t="s">
        <v>283</v>
      </c>
      <c r="N134" s="41">
        <v>299722</v>
      </c>
      <c r="O134" s="40" t="s">
        <v>89</v>
      </c>
      <c r="P134" s="42" t="s">
        <v>284</v>
      </c>
    </row>
    <row r="135" spans="1:16">
      <c r="A135" s="38">
        <v>46283.647499999999</v>
      </c>
      <c r="B135" s="39">
        <v>46283</v>
      </c>
      <c r="C135" s="40" t="s">
        <v>90</v>
      </c>
      <c r="D135" s="40" t="s">
        <v>8</v>
      </c>
      <c r="E135" s="41">
        <v>0</v>
      </c>
      <c r="F135" s="41">
        <v>83017</v>
      </c>
      <c r="G135" s="41">
        <v>20117554</v>
      </c>
      <c r="H135" s="43" t="s">
        <v>296</v>
      </c>
      <c r="I135" s="43" t="s">
        <v>348</v>
      </c>
      <c r="J135" s="43" t="s">
        <v>349</v>
      </c>
      <c r="K135" s="40" t="s">
        <v>330</v>
      </c>
      <c r="L135" s="40" t="s">
        <v>283</v>
      </c>
      <c r="M135" s="40" t="s">
        <v>283</v>
      </c>
      <c r="N135" s="41">
        <v>83017</v>
      </c>
      <c r="O135" s="40" t="s">
        <v>89</v>
      </c>
      <c r="P135" s="42" t="s">
        <v>284</v>
      </c>
    </row>
    <row r="136" spans="1:16">
      <c r="A136" s="38">
        <v>46283.667118055557</v>
      </c>
      <c r="B136" s="39">
        <v>46283</v>
      </c>
      <c r="C136" s="40" t="s">
        <v>90</v>
      </c>
      <c r="D136" s="40" t="s">
        <v>8</v>
      </c>
      <c r="E136" s="41">
        <v>0</v>
      </c>
      <c r="F136" s="41">
        <v>30400</v>
      </c>
      <c r="G136" s="41">
        <v>20147954</v>
      </c>
      <c r="H136" s="43" t="s">
        <v>296</v>
      </c>
      <c r="I136" s="43" t="s">
        <v>390</v>
      </c>
      <c r="J136" s="43" t="s">
        <v>88</v>
      </c>
      <c r="K136" s="40" t="s">
        <v>310</v>
      </c>
      <c r="L136" s="40" t="s">
        <v>283</v>
      </c>
      <c r="M136" s="40" t="s">
        <v>283</v>
      </c>
      <c r="N136" s="41">
        <v>30400</v>
      </c>
      <c r="O136" s="40" t="s">
        <v>91</v>
      </c>
      <c r="P136" s="42" t="s">
        <v>284</v>
      </c>
    </row>
    <row r="137" spans="1:16">
      <c r="A137" s="38">
        <v>46283.701203703713</v>
      </c>
      <c r="B137" s="39">
        <v>46283</v>
      </c>
      <c r="C137" s="40" t="s">
        <v>88</v>
      </c>
      <c r="D137" s="40" t="s">
        <v>14</v>
      </c>
      <c r="E137" s="41">
        <v>3311000</v>
      </c>
      <c r="F137" s="41">
        <v>0</v>
      </c>
      <c r="G137" s="41">
        <v>13925285</v>
      </c>
      <c r="H137" s="43" t="s">
        <v>345</v>
      </c>
      <c r="I137" s="43" t="s">
        <v>350</v>
      </c>
      <c r="J137" s="43" t="s">
        <v>336</v>
      </c>
      <c r="K137" s="40" t="s">
        <v>281</v>
      </c>
      <c r="L137" s="40" t="s">
        <v>282</v>
      </c>
      <c r="M137" s="40" t="s">
        <v>283</v>
      </c>
      <c r="N137" s="41">
        <v>0</v>
      </c>
      <c r="O137" s="40" t="s">
        <v>86</v>
      </c>
      <c r="P137" s="42" t="s">
        <v>284</v>
      </c>
    </row>
    <row r="138" spans="1:16">
      <c r="A138" s="38">
        <v>46283.701203703713</v>
      </c>
      <c r="B138" s="39">
        <v>46283</v>
      </c>
      <c r="C138" s="40" t="s">
        <v>88</v>
      </c>
      <c r="D138" s="40" t="s">
        <v>14</v>
      </c>
      <c r="E138" s="41">
        <v>100000</v>
      </c>
      <c r="F138" s="41">
        <v>0</v>
      </c>
      <c r="G138" s="41">
        <v>17236285</v>
      </c>
      <c r="H138" s="43" t="s">
        <v>345</v>
      </c>
      <c r="I138" s="43" t="s">
        <v>391</v>
      </c>
      <c r="J138" s="43" t="s">
        <v>336</v>
      </c>
      <c r="K138" s="40" t="s">
        <v>291</v>
      </c>
      <c r="L138" s="40" t="s">
        <v>283</v>
      </c>
      <c r="M138" s="40" t="s">
        <v>283</v>
      </c>
      <c r="N138" s="41">
        <v>-100000</v>
      </c>
      <c r="O138" s="40" t="s">
        <v>91</v>
      </c>
      <c r="P138" s="42" t="s">
        <v>284</v>
      </c>
    </row>
    <row r="139" spans="1:16">
      <c r="A139" s="38">
        <v>46283.701226851852</v>
      </c>
      <c r="B139" s="39">
        <v>46283</v>
      </c>
      <c r="C139" s="40" t="s">
        <v>88</v>
      </c>
      <c r="D139" s="40" t="s">
        <v>14</v>
      </c>
      <c r="E139" s="41">
        <v>990000</v>
      </c>
      <c r="F139" s="41">
        <v>0</v>
      </c>
      <c r="G139" s="41">
        <v>12935285</v>
      </c>
      <c r="H139" s="43" t="s">
        <v>345</v>
      </c>
      <c r="I139" s="43" t="s">
        <v>351</v>
      </c>
      <c r="J139" s="43" t="s">
        <v>336</v>
      </c>
      <c r="K139" s="40" t="s">
        <v>281</v>
      </c>
      <c r="L139" s="40" t="s">
        <v>282</v>
      </c>
      <c r="M139" s="40" t="s">
        <v>283</v>
      </c>
      <c r="N139" s="41">
        <v>0</v>
      </c>
      <c r="O139" s="40" t="s">
        <v>91</v>
      </c>
      <c r="P139" s="42" t="s">
        <v>284</v>
      </c>
    </row>
    <row r="140" spans="1:16">
      <c r="A140" s="38">
        <v>46283.701238425929</v>
      </c>
      <c r="B140" s="39">
        <v>46283</v>
      </c>
      <c r="C140" s="40" t="s">
        <v>88</v>
      </c>
      <c r="D140" s="40" t="s">
        <v>14</v>
      </c>
      <c r="E140" s="41">
        <v>990000</v>
      </c>
      <c r="F140" s="41">
        <v>0</v>
      </c>
      <c r="G140" s="41">
        <v>11945285</v>
      </c>
      <c r="H140" s="43" t="s">
        <v>345</v>
      </c>
      <c r="I140" s="43" t="s">
        <v>382</v>
      </c>
      <c r="J140" s="43" t="s">
        <v>336</v>
      </c>
      <c r="K140" s="40" t="s">
        <v>291</v>
      </c>
      <c r="L140" s="40" t="s">
        <v>283</v>
      </c>
      <c r="M140" s="40" t="s">
        <v>283</v>
      </c>
      <c r="N140" s="41">
        <v>-990000</v>
      </c>
      <c r="O140" s="40" t="s">
        <v>86</v>
      </c>
      <c r="P140" s="42" t="s">
        <v>284</v>
      </c>
    </row>
    <row r="141" spans="1:16">
      <c r="A141" s="130">
        <v>46284.396041666667</v>
      </c>
      <c r="B141" s="131">
        <v>46284</v>
      </c>
      <c r="C141" s="40" t="s">
        <v>88</v>
      </c>
      <c r="D141" s="40" t="s">
        <v>14</v>
      </c>
      <c r="E141" s="41">
        <v>0</v>
      </c>
      <c r="F141" s="41">
        <v>2852</v>
      </c>
      <c r="G141" s="41">
        <v>11948137</v>
      </c>
      <c r="H141" s="43" t="s">
        <v>392</v>
      </c>
      <c r="I141" s="43" t="s">
        <v>393</v>
      </c>
      <c r="J141" s="43" t="s">
        <v>336</v>
      </c>
      <c r="K141" s="40" t="s">
        <v>310</v>
      </c>
      <c r="L141" s="40" t="s">
        <v>283</v>
      </c>
      <c r="M141" s="40" t="s">
        <v>283</v>
      </c>
      <c r="N141" s="41">
        <v>2852</v>
      </c>
      <c r="O141" s="40" t="s">
        <v>86</v>
      </c>
      <c r="P141" s="42" t="s">
        <v>284</v>
      </c>
    </row>
    <row r="142" spans="1:16">
      <c r="A142" s="130">
        <v>46285.823946759258</v>
      </c>
      <c r="B142" s="131">
        <v>46285</v>
      </c>
      <c r="C142" s="40" t="s">
        <v>90</v>
      </c>
      <c r="D142" s="40" t="s">
        <v>8</v>
      </c>
      <c r="E142" s="41">
        <v>0</v>
      </c>
      <c r="F142" s="41">
        <v>37000</v>
      </c>
      <c r="G142" s="41">
        <v>20184954</v>
      </c>
      <c r="H142" s="43" t="s">
        <v>296</v>
      </c>
      <c r="I142" s="43" t="s">
        <v>394</v>
      </c>
      <c r="J142" s="43" t="s">
        <v>384</v>
      </c>
      <c r="K142" s="40" t="s">
        <v>310</v>
      </c>
      <c r="L142" s="40" t="s">
        <v>283</v>
      </c>
      <c r="M142" s="40" t="s">
        <v>283</v>
      </c>
      <c r="N142" s="41">
        <v>37000</v>
      </c>
      <c r="O142" s="40" t="s">
        <v>91</v>
      </c>
      <c r="P142" s="42" t="s">
        <v>284</v>
      </c>
    </row>
    <row r="143" spans="1:16">
      <c r="A143" s="38">
        <v>46286.140914351847</v>
      </c>
      <c r="B143" s="39">
        <v>46286</v>
      </c>
      <c r="C143" s="40" t="s">
        <v>88</v>
      </c>
      <c r="D143" s="40" t="s">
        <v>14</v>
      </c>
      <c r="E143" s="41">
        <v>85621</v>
      </c>
      <c r="F143" s="41">
        <v>0</v>
      </c>
      <c r="G143" s="41">
        <v>11727894</v>
      </c>
      <c r="H143" s="43" t="s">
        <v>337</v>
      </c>
      <c r="I143" s="43" t="s">
        <v>395</v>
      </c>
      <c r="J143" s="43" t="s">
        <v>336</v>
      </c>
      <c r="K143" s="40" t="s">
        <v>291</v>
      </c>
      <c r="L143" s="40" t="s">
        <v>283</v>
      </c>
      <c r="M143" s="40" t="s">
        <v>283</v>
      </c>
      <c r="N143" s="41">
        <v>-85621</v>
      </c>
      <c r="O143" s="40" t="s">
        <v>91</v>
      </c>
      <c r="P143" s="42" t="s">
        <v>284</v>
      </c>
    </row>
    <row r="144" spans="1:16">
      <c r="A144" s="38">
        <v>46286.140914351847</v>
      </c>
      <c r="B144" s="39">
        <v>46286</v>
      </c>
      <c r="C144" s="40" t="s">
        <v>88</v>
      </c>
      <c r="D144" s="40" t="s">
        <v>14</v>
      </c>
      <c r="E144" s="41">
        <v>134622</v>
      </c>
      <c r="F144" s="41">
        <v>0</v>
      </c>
      <c r="G144" s="41">
        <v>11813515</v>
      </c>
      <c r="H144" s="43" t="s">
        <v>337</v>
      </c>
      <c r="I144" s="43" t="s">
        <v>396</v>
      </c>
      <c r="J144" s="43" t="s">
        <v>336</v>
      </c>
      <c r="K144" s="40" t="s">
        <v>291</v>
      </c>
      <c r="L144" s="40" t="s">
        <v>283</v>
      </c>
      <c r="M144" s="40" t="s">
        <v>283</v>
      </c>
      <c r="N144" s="41">
        <v>-134622</v>
      </c>
      <c r="O144" s="40" t="s">
        <v>91</v>
      </c>
      <c r="P144" s="42" t="s">
        <v>284</v>
      </c>
    </row>
    <row r="145" spans="1:16">
      <c r="A145" s="38">
        <v>46286.141018518523</v>
      </c>
      <c r="B145" s="39">
        <v>46286</v>
      </c>
      <c r="C145" s="40" t="s">
        <v>88</v>
      </c>
      <c r="D145" s="40" t="s">
        <v>14</v>
      </c>
      <c r="E145" s="41">
        <v>107800</v>
      </c>
      <c r="F145" s="41">
        <v>0</v>
      </c>
      <c r="G145" s="41">
        <v>11620094</v>
      </c>
      <c r="H145" s="43" t="s">
        <v>334</v>
      </c>
      <c r="I145" s="43" t="s">
        <v>397</v>
      </c>
      <c r="J145" s="43" t="s">
        <v>336</v>
      </c>
      <c r="K145" s="40" t="s">
        <v>291</v>
      </c>
      <c r="L145" s="40" t="s">
        <v>283</v>
      </c>
      <c r="M145" s="40" t="s">
        <v>283</v>
      </c>
      <c r="N145" s="41">
        <v>-107800</v>
      </c>
      <c r="O145" s="40" t="s">
        <v>91</v>
      </c>
      <c r="P145" s="42" t="s">
        <v>284</v>
      </c>
    </row>
    <row r="146" spans="1:16">
      <c r="A146" s="38">
        <v>46286.218541666669</v>
      </c>
      <c r="B146" s="39">
        <v>46286</v>
      </c>
      <c r="C146" s="40" t="s">
        <v>88</v>
      </c>
      <c r="D146" s="40" t="s">
        <v>14</v>
      </c>
      <c r="E146" s="41">
        <v>0</v>
      </c>
      <c r="F146" s="41">
        <v>5694170</v>
      </c>
      <c r="G146" s="41">
        <v>17314264</v>
      </c>
      <c r="H146" s="43" t="s">
        <v>331</v>
      </c>
      <c r="I146" s="43" t="s">
        <v>332</v>
      </c>
      <c r="J146" s="43" t="s">
        <v>333</v>
      </c>
      <c r="K146" s="40" t="s">
        <v>330</v>
      </c>
      <c r="L146" s="40" t="s">
        <v>283</v>
      </c>
      <c r="M146" s="40" t="s">
        <v>283</v>
      </c>
      <c r="N146" s="41">
        <v>5694170</v>
      </c>
      <c r="O146" s="40" t="s">
        <v>89</v>
      </c>
      <c r="P146" s="42" t="s">
        <v>284</v>
      </c>
    </row>
    <row r="147" spans="1:16">
      <c r="A147" s="38"/>
      <c r="B147" s="39"/>
      <c r="C147" s="40"/>
      <c r="D147" s="40"/>
      <c r="E147" s="41"/>
      <c r="F147" s="41"/>
      <c r="G147" s="41"/>
      <c r="H147" s="43"/>
      <c r="I147" s="43"/>
      <c r="J147" s="43"/>
      <c r="K147" s="40"/>
      <c r="L147" s="40"/>
      <c r="M147" s="40"/>
      <c r="N147" s="41"/>
      <c r="O147" s="40" t="s">
        <v>89</v>
      </c>
      <c r="P147" s="42" t="s">
        <v>284</v>
      </c>
    </row>
    <row r="148" spans="1:16">
      <c r="A148" s="38"/>
      <c r="B148" s="39"/>
      <c r="C148" s="40"/>
      <c r="D148" s="40"/>
      <c r="E148" s="41"/>
      <c r="F148" s="41"/>
      <c r="G148" s="41"/>
      <c r="H148" s="43"/>
      <c r="I148" s="43"/>
      <c r="J148" s="43"/>
      <c r="K148" s="40"/>
      <c r="L148" s="40"/>
      <c r="M148" s="40"/>
      <c r="N148" s="41"/>
      <c r="O148" s="40" t="s">
        <v>89</v>
      </c>
      <c r="P148" s="42" t="s">
        <v>284</v>
      </c>
    </row>
    <row r="149" spans="1:16">
      <c r="A149" s="38"/>
      <c r="B149" s="39"/>
      <c r="C149" s="40"/>
      <c r="D149" s="40"/>
      <c r="E149" s="41"/>
      <c r="F149" s="41"/>
      <c r="G149" s="41"/>
      <c r="H149" s="43"/>
      <c r="I149" s="43"/>
      <c r="J149" s="43"/>
      <c r="K149" s="40"/>
      <c r="L149" s="40"/>
      <c r="M149" s="40"/>
      <c r="N149" s="41"/>
      <c r="O149" s="40" t="s">
        <v>89</v>
      </c>
      <c r="P149" s="42" t="s">
        <v>284</v>
      </c>
    </row>
    <row r="150" spans="1:16">
      <c r="A150" s="38"/>
      <c r="B150" s="39"/>
      <c r="C150" s="40"/>
      <c r="D150" s="40"/>
      <c r="E150" s="41"/>
      <c r="F150" s="41"/>
      <c r="G150" s="41"/>
      <c r="H150" s="43"/>
      <c r="I150" s="43"/>
      <c r="J150" s="43"/>
      <c r="K150" s="40"/>
      <c r="L150" s="40"/>
      <c r="M150" s="40"/>
      <c r="N150" s="41"/>
      <c r="O150" s="40" t="s">
        <v>89</v>
      </c>
      <c r="P150" s="42" t="s">
        <v>284</v>
      </c>
    </row>
    <row r="151" spans="1:16">
      <c r="A151" s="38"/>
      <c r="B151" s="39"/>
      <c r="C151" s="40"/>
      <c r="D151" s="40"/>
      <c r="E151" s="41"/>
      <c r="F151" s="41"/>
      <c r="G151" s="41"/>
      <c r="H151" s="43"/>
      <c r="I151" s="43"/>
      <c r="J151" s="43"/>
      <c r="K151" s="40"/>
      <c r="L151" s="40"/>
      <c r="M151" s="40"/>
      <c r="N151" s="41"/>
      <c r="O151" s="40" t="s">
        <v>89</v>
      </c>
      <c r="P151" s="42" t="s">
        <v>284</v>
      </c>
    </row>
    <row r="152" spans="1:16">
      <c r="A152" s="38"/>
      <c r="B152" s="39"/>
      <c r="C152" s="40"/>
      <c r="D152" s="40"/>
      <c r="E152" s="41"/>
      <c r="F152" s="41"/>
      <c r="G152" s="41"/>
      <c r="H152" s="43"/>
      <c r="I152" s="43"/>
      <c r="J152" s="43"/>
      <c r="K152" s="40"/>
      <c r="L152" s="40"/>
      <c r="M152" s="40"/>
      <c r="N152" s="41"/>
      <c r="O152" s="40" t="s">
        <v>91</v>
      </c>
      <c r="P152" s="42" t="s">
        <v>284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284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284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284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284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284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284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284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284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284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284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284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284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284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284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284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284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284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284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284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284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284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284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284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284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284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284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284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284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284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284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284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284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284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284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284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284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284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284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284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284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284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284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284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284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284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284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284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284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284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284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284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284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284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284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284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284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284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284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284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284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284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284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284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284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284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284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284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284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284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284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284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284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284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284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284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284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284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284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284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284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284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284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284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284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284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284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284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284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284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284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284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284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284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284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284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284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284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284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284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284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284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284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284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284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284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284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284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284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284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284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284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284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284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284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284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284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284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284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284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284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284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284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284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284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284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284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284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284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284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284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284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284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284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284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284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284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284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284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284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284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284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284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284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284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284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284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284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284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284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284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284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284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284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284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284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284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284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284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284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284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284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284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284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284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284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284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284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284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284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284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284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284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284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284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284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284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284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284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284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284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284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284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284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284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284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284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284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284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284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284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284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284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284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284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284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284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284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284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284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284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284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284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284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284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284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284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284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284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284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284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284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284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284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284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284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284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284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284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284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284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284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284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284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284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284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284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284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284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284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284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284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284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284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284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284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284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284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284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284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284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284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284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284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284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284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284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284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284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284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284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284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284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284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284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284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284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284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284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284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284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284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284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284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284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284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284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284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284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284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284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284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284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284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284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284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284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284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284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284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284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284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284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284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284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284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284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284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284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284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284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284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284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284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284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284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284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284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284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284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284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284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284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284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284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284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284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284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284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284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284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284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284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284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284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284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284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284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284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284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284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284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284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284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284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284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284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284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284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284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284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284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284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284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284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284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284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284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284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284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284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284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284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284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284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284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284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284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284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284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284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284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284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284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284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284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284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284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284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284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284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284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284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284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284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284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284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284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284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284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284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284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284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284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284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284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284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284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284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284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284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284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284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284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284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284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284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284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284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284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284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284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284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284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284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284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284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284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284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284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284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284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284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284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284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284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284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284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284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284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284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284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284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284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284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284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284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284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284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284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284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284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284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284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284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284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284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284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284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284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284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284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284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284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284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284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284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284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284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284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284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284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284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284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284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284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284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284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284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284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284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284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284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284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284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284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284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284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284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284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284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284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284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284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284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284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284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284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284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284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284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284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284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284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284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284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284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284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284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284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284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284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284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284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284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284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284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284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284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284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284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284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284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284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284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284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284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284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284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284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284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284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284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284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284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284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284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284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284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284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284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284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284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284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284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284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284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284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284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284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284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284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284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284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284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284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284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284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284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284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284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284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284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284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284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284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284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284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284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284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284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284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284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284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284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284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284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284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284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284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284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284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284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284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284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284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284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284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284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284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284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284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284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284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284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284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284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284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284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284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284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284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284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284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284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284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284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284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284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284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284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284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284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284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284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284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284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284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284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284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284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284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284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284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284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284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284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284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284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284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284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284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284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284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284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284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284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284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284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284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284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284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284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284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284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284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284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284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284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284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284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284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284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284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284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284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284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284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284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284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284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284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284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284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284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284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284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284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284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284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284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284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284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284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284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284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284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284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284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284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284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284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284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284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284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284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284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284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284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284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284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284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284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284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284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284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284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284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284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284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284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284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284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284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284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284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284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284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284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284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284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284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284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284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284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284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284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284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284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284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284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284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284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284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284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284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284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284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284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284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284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284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284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284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284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284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284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284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284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284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284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284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284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284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284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284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284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284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284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284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284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284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284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284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284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284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284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284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284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284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284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284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284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284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284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284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284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284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284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284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284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284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284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284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284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284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284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284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284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284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284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284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284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284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284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284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284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284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284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284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284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284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284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284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284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284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284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284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284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284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284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284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284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284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284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284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284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284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284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284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284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284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284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284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284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284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284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284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284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284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284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284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284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284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284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284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284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284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284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284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284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284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284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284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284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284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284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284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284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284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284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284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284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284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284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284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284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284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284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284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284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284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284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284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284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284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284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284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284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284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284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284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284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284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284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284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284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284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284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284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284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284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284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284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284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284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284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284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284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284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284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284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284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284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284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284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284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284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284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284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284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284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284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284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284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284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284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284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284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284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284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284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284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284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284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284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284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284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284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284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284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284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284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284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284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284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284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284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284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284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284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284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284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284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284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284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284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284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284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284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284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284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284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284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284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284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284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284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284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284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284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284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284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284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284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284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284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284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284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284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284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284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284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284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284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284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284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284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284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284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284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284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284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284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284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284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284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284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284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284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284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284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284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284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284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284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284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284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284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284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284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284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284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284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284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284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284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284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284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284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284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284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284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284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284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284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284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284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284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284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284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284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284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284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284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284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284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284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284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284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284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284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284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284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284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284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284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284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284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284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284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284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284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284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284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284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284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284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284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284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284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284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284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284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284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284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284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284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284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284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284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284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284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284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284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284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284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284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284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284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284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284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284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284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284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284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284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284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284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284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284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284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284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284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284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284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284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284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284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284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284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284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284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284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284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284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284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284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284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284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284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284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284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284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284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284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284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284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284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284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284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284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284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284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284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284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284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284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284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284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284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284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284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284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284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284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284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284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284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284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284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284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284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284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284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284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284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284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284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284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284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284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284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284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284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284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284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284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284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284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284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284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284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284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284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284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284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284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284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284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284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284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284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284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284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284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284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284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284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284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284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284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284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284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284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284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284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284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284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284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284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284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284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284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284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284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284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284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284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284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284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284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284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284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284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284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284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284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284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284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284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284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284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284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284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284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284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284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284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284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284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284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284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284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284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284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284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284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284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284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284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284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284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284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284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284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284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284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284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284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284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284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284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284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284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284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284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284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284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284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284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284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284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284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284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284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284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284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284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284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284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284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284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284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284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284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284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284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284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284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284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284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284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284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284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284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284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284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284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284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284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284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284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284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284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284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284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284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284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284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284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284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284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284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284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284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284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284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284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284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284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284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284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284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284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284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284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284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284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284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284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284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284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284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284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284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284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284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284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284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284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284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284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284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284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284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284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284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284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284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284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284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284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284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284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284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284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284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284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284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284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284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284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284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284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284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284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284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284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284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284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284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284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284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284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284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284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284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284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284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284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284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284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284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284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284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284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284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284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284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284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284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284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284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284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284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284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284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284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284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284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284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284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284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284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284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284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284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284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284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284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284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284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284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284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284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284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284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284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284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284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284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284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284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284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284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284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284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284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284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284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284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284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284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284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284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284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284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284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284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284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284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284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284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284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284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284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284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284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284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284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284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284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284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284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284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284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284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284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284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284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284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284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284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284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284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284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284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284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284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284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284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284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284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284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284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284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284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284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284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284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284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284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284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284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284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284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284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284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284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284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284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284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284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284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284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284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284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284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284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284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284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284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284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284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284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284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284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284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284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284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284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284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284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284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284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284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284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284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284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284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284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284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284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284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284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284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284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284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284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284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284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284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284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284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284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284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284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284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284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284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284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284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284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284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284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284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284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284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284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284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284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284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284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284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284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284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284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284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284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284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284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284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284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284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284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284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284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284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284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284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284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284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284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284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284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284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284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284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284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284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284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284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284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284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284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284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284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284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284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284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284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284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284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284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284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284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284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284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284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284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284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284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284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284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284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284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284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284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284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284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284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284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284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284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284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284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284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284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284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284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284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284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284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284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284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284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284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284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284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284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284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284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284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284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284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284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284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284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284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284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284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284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284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284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284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284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284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284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284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284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284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284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284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284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284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284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284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284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284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284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284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284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284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284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284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284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284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284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284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284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284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284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284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284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284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284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284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284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284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284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284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284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284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284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284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284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284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284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284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284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284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284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284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284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284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284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284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284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284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284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284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284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284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284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284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284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284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284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284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284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284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284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284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284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284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284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284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284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284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284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284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284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284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284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284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284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284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284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284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284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284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284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284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284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284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284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284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284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284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284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284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284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284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284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284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284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284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284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284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284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284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284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284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284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284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284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284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284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284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284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284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284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284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284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284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284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284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284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284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284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284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284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284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284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284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284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284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284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284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284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284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284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284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284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284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284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284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284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284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284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284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284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284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284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284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284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284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284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284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284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284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284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284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284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284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284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284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284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284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284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284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284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284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284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284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284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284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284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284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284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284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284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284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284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284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284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284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284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284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284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284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284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284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284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284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284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284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284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284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284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284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284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284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284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284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284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284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284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284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284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284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284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284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284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284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284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284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284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284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284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284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284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284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284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284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284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284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284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284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284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284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284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284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284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284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284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284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284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284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284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284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284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284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284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284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284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284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284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284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284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284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284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284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284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284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284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284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284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284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284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284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284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284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284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284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284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284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284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284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284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284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284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284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284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284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284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284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284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284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284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284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284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284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284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284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284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284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284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284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284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284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284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284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284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284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284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284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284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284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284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284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284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284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284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284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284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284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284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284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284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284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284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284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284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284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284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284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284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284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284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284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284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284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284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284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284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284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284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284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284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284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284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284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284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284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284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284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284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284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284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284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284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284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284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284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284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284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284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284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284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284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284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284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284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284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284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284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284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284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284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284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284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284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284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284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284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284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284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284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284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284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284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284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284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284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284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284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284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284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284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7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6" t="s">
        <v>398</v>
      </c>
      <c r="B2" s="133"/>
      <c r="C2" s="133"/>
      <c r="D2" s="133"/>
      <c r="E2" s="133"/>
      <c r="F2" s="13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399</v>
      </c>
      <c r="B5" s="2" t="s">
        <v>97</v>
      </c>
      <c r="C5" s="2" t="s">
        <v>400</v>
      </c>
      <c r="D5" s="1"/>
      <c r="E5" s="2" t="s">
        <v>401</v>
      </c>
      <c r="F5" s="2" t="s">
        <v>402</v>
      </c>
      <c r="G5" s="1"/>
      <c r="H5" s="2" t="s">
        <v>403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107</v>
      </c>
      <c r="C6" s="5">
        <v>10677756</v>
      </c>
      <c r="D6" s="1"/>
      <c r="E6" s="1" t="s">
        <v>330</v>
      </c>
      <c r="F6" s="8" t="s">
        <v>404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109</v>
      </c>
      <c r="C7" s="5">
        <v>22255001</v>
      </c>
      <c r="D7" s="1"/>
      <c r="E7" s="1" t="s">
        <v>281</v>
      </c>
      <c r="F7" s="8" t="s">
        <v>405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111</v>
      </c>
      <c r="C8" s="5">
        <v>14296943</v>
      </c>
      <c r="D8" s="1"/>
      <c r="E8" s="1" t="s">
        <v>406</v>
      </c>
      <c r="F8" s="8" t="s">
        <v>407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113</v>
      </c>
      <c r="C9" s="5">
        <v>13264811</v>
      </c>
      <c r="D9" s="1"/>
      <c r="E9" s="1" t="s">
        <v>408</v>
      </c>
      <c r="F9" s="8" t="s">
        <v>409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114</v>
      </c>
      <c r="C10" s="5">
        <v>10320905</v>
      </c>
      <c r="D10" s="1"/>
      <c r="E10" s="1" t="s">
        <v>410</v>
      </c>
      <c r="F10" s="8" t="s">
        <v>411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116</v>
      </c>
      <c r="C11" s="5">
        <v>0</v>
      </c>
      <c r="D11" s="1"/>
      <c r="E11" s="1" t="s">
        <v>412</v>
      </c>
      <c r="F11" s="8" t="s">
        <v>413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117</v>
      </c>
      <c r="C12" s="5">
        <v>0</v>
      </c>
      <c r="D12" s="1"/>
      <c r="E12" s="1" t="s">
        <v>414</v>
      </c>
      <c r="F12" s="8" t="s">
        <v>415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416</v>
      </c>
      <c r="F13" s="8" t="s">
        <v>417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418</v>
      </c>
      <c r="F14" s="8" t="s">
        <v>419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420</v>
      </c>
      <c r="F15" s="8" t="s">
        <v>421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2026-09-21T09:59:12Z</dcterms:modified>
</cp:coreProperties>
</file>