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급여대장_원본" sheetId="2" state="visible" r:id="rId2"/>
    <sheet xmlns:r="http://schemas.openxmlformats.org/officeDocument/2006/relationships" name="설정" sheetId="3" state="visible" r:id="rId3"/>
    <sheet xmlns:r="http://schemas.openxmlformats.org/officeDocument/2006/relationships" name="점검" sheetId="4" state="visible" r:id="rId4"/>
    <sheet xmlns:r="http://schemas.openxmlformats.org/officeDocument/2006/relationships" name="명세서_미리보기" sheetId="5" state="visible" r:id="rId5"/>
    <sheet xmlns:r="http://schemas.openxmlformats.org/officeDocument/2006/relationships" name="명세서_전체" sheetId="6" state="visible" r:id="rId6"/>
    <sheet xmlns:r="http://schemas.openxmlformats.org/officeDocument/2006/relationships" name="직원목록" sheetId="7" state="visible" r:id="rId7"/>
  </sheets>
  <definedNames>
    <definedName name="_xlnm.Print_Area" localSheetId="4">'명세서_미리보기'!$A$1:$I$18</definedName>
    <definedName name="_xlnm.Print_Area" localSheetId="5">'명세서_전체'!$A$1:$I$3000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-#,##0;0"/>
  </numFmts>
  <fonts count="16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</font>
    <font>
      <name val="맑은 고딕"/>
      <b val="1"/>
    </font>
    <font>
      <name val="맑은 고딕"/>
      <b val="1"/>
      <color rgb="00FFFFFF"/>
    </font>
    <font>
      <name val="맑은 고딕"/>
      <b val="1"/>
      <color rgb="002E7D32"/>
    </font>
    <font>
      <name val="맑은 고딕"/>
      <b val="1"/>
      <color rgb="00C00000"/>
    </font>
    <font>
      <name val="맑은 고딕"/>
      <b val="1"/>
      <color rgb="001F3864"/>
      <sz val="13"/>
    </font>
    <font>
      <name val="맑은 고딕"/>
      <color rgb="00595959"/>
      <sz val="9"/>
    </font>
    <font>
      <color rgb="00FFFFFF"/>
    </font>
    <font>
      <color rgb="00FFFFFF"/>
      <sz val="8"/>
    </font>
    <font>
      <name val="맑은 고딕"/>
      <b val="1"/>
      <color rgb="001F3864"/>
      <sz val="16"/>
    </font>
    <font>
      <name val="맑은 고딕"/>
      <sz val="9"/>
    </font>
    <font>
      <name val="맑은 고딕"/>
      <b val="1"/>
      <sz val="14"/>
    </font>
    <font>
      <name val="맑은 고딕"/>
      <b val="1"/>
      <color rgb="001F3864"/>
      <sz val="18"/>
    </font>
    <font>
      <name val="맑은 고딕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0" borderId="0" pivotButton="0" quotePrefix="0" xfId="0"/>
    <xf numFmtId="0" fontId="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3" fontId="2" fillId="0" borderId="0" pivotButton="0" quotePrefix="0" xfId="0"/>
    <xf numFmtId="3" fontId="3" fillId="0" borderId="0" pivotButton="0" quotePrefix="0" xfId="0"/>
    <xf numFmtId="0" fontId="2" fillId="2" borderId="1" pivotButton="0" quotePrefix="0" xfId="0"/>
    <xf numFmtId="164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2" fillId="2" borderId="1" pivotButton="0" quotePrefix="0" xfId="0"/>
    <xf numFmtId="165" fontId="2" fillId="0" borderId="1" pivotButton="0" quotePrefix="0" xfId="0"/>
    <xf numFmtId="0" fontId="3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165" fontId="2" fillId="0" borderId="0" pivotButton="0" quotePrefix="0" xfId="0"/>
    <xf numFmtId="0" fontId="1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0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165" fontId="3" fillId="5" borderId="1" applyAlignment="1" pivotButton="0" quotePrefix="0" xfId="0">
      <alignment horizontal="right" vertical="center"/>
    </xf>
    <xf numFmtId="0" fontId="2" fillId="5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13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C00000"/>
      </font>
    </dxf>
    <dxf>
      <font>
        <b val="1"/>
        <color rgb="002E7D32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1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78" customWidth="1" min="3" max="3"/>
  </cols>
  <sheetData>
    <row r="1">
      <c r="B1" s="1" t="inlineStr">
        <is>
          <t>급여명세서 자동 생성 양식</t>
        </is>
      </c>
    </row>
    <row r="2">
      <c r="B2" s="2" t="inlineStr">
        <is>
          <t>급여대장 엑셀을 붙여넣으면 직원별 임금명세서가 인쇄·PDF용 페이지로 자동 정리됩니다. 매크로 없는 순수 수식 · 노란 칸만 입력 · 하루보고 무료 양식</t>
        </is>
      </c>
    </row>
    <row r="4" ht="46" customHeight="1">
      <c r="B4" s="3" t="inlineStr">
        <is>
          <t>① 급여대장 내려받기</t>
        </is>
      </c>
      <c r="C4" s="4" t="inlineStr">
        <is>
          <t>쓰시는 급여프로그램에서 월 급여대장(직원별 지급·공제 항목이 한 줄에 있는 표)을 엑셀로 내려받습니다.</t>
        </is>
      </c>
    </row>
    <row r="5">
      <c r="B5" s="5" t="inlineStr">
        <is>
          <t>▼</t>
        </is>
      </c>
    </row>
    <row r="6" ht="46" customHeight="1">
      <c r="B6" s="3" t="inlineStr">
        <is>
          <t>② 붙여넣기</t>
        </is>
      </c>
      <c r="C6" s="4" t="inlineStr">
        <is>
          <t>내려받은 파일에서 Ctrl+A → Ctrl+C. 이 파일의 [급여대장_원본] 시트 A8 칸을 클릭하고 Ctrl+V. (파일이 '보호된 보기'면 노란 막대의 [편집 사용]을 먼저 누르세요.)</t>
        </is>
      </c>
    </row>
    <row r="7">
      <c r="B7" s="5" t="inlineStr">
        <is>
          <t>▼</t>
        </is>
      </c>
    </row>
    <row r="8" ht="46" customHeight="1">
      <c r="B8" s="3" t="inlineStr">
        <is>
          <t>③ 예시 지우기</t>
        </is>
      </c>
      <c r="C8" s="4" t="inlineStr">
        <is>
          <t>붙여넣기 전에 [급여대장_원본] 9행 아래를 모두 선택해 Delete. 예시가 남아 있으면 빨간 경고가 뜹니다.</t>
        </is>
      </c>
    </row>
    <row r="9">
      <c r="B9" s="5" t="inlineStr">
        <is>
          <t>▼</t>
        </is>
      </c>
    </row>
    <row r="10" ht="46" customHeight="1">
      <c r="B10" s="3" t="inlineStr">
        <is>
          <t>④ 설정 확인</t>
        </is>
      </c>
      <c r="C10" s="4" t="inlineStr">
        <is>
          <t>[설정] 시트에서 회사명·귀속월·지급일(노란 칸)을 고칩니다. 아래쪽 머리글 이름이 모두 ✔면 더 건드릴 것이 없습니다. ✖ 줄은 파일 맨 윗줄에 적힌 글자와 똑같이 고치세요.</t>
        </is>
      </c>
    </row>
    <row r="11">
      <c r="B11" s="5" t="inlineStr">
        <is>
          <t>▼</t>
        </is>
      </c>
    </row>
    <row r="12" ht="46" customHeight="1">
      <c r="B12" s="3" t="inlineStr">
        <is>
          <t>⑤ 점검</t>
        </is>
      </c>
      <c r="C12" s="4" t="inlineStr">
        <is>
          <t>[점검] 시트에서 합계가 급여프로그램 화면과 맞는지(✔), 확인 포인트에 ⚠가 뜬 줄이 있는지 봅니다.</t>
        </is>
      </c>
    </row>
    <row r="13">
      <c r="B13" s="5" t="inlineStr">
        <is>
          <t>▼</t>
        </is>
      </c>
    </row>
    <row r="14" ht="46" customHeight="1">
      <c r="B14" s="3" t="inlineStr">
        <is>
          <t>⑥ 확인·인쇄</t>
        </is>
      </c>
      <c r="C14" s="4" t="inlineStr">
        <is>
          <t>[명세서_미리보기]에서 이름을 골라 한 명씩 확인하고, [명세서_전체]에서 1쪽 = 1명으로 인쇄하거나 PDF로 저장합니다. 인쇄할 쪽 수는 [점검] 시트에 나옵니다.</t>
        </is>
      </c>
    </row>
    <row r="16">
      <c r="B16" s="6" t="inlineStr">
        <is>
          <t>시트 안내</t>
        </is>
      </c>
    </row>
    <row r="17">
      <c r="B17" s="7" t="inlineStr">
        <is>
          <t>급여대장_원본</t>
        </is>
      </c>
      <c r="C17" s="4" t="inlineStr">
        <is>
          <t>내려받은 급여대장을 그대로 붙여넣는 곳</t>
        </is>
      </c>
    </row>
    <row r="18">
      <c r="B18" s="7" t="inlineStr">
        <is>
          <t>설정</t>
        </is>
      </c>
      <c r="C18" s="4" t="inlineStr">
        <is>
          <t>회사명·귀속월·지급일, 급여대장 머리글 이름 연결</t>
        </is>
      </c>
    </row>
    <row r="19">
      <c r="B19" s="7" t="inlineStr">
        <is>
          <t>점검</t>
        </is>
      </c>
      <c r="C19" s="4" t="inlineStr">
        <is>
          <t>합계 대조, 확인 후보 목록, 인쇄 쪽 수</t>
        </is>
      </c>
    </row>
    <row r="20">
      <c r="B20" s="7" t="inlineStr">
        <is>
          <t>명세서_미리보기</t>
        </is>
      </c>
      <c r="C20" s="4" t="inlineStr">
        <is>
          <t>이름을 골라 한 명씩 보기</t>
        </is>
      </c>
    </row>
    <row r="21">
      <c r="B21" s="7" t="inlineStr">
        <is>
          <t>명세서_전체</t>
        </is>
      </c>
      <c r="C21" s="4" t="inlineStr">
        <is>
          <t>직원 전원 명세서 (1쪽 1명, 최대 100명)</t>
        </is>
      </c>
    </row>
    <row r="22">
      <c r="B22" s="7" t="inlineStr">
        <is>
          <t>직원목록</t>
        </is>
      </c>
      <c r="C22" s="4" t="inlineStr">
        <is>
          <t>자동 정리용 계산 시트 (건드리지 마세요)</t>
        </is>
      </c>
    </row>
    <row r="24">
      <c r="B24" s="6" t="inlineStr">
        <is>
          <t>명세서에 들어가는 것</t>
        </is>
      </c>
    </row>
    <row r="25" ht="34" customHeight="1">
      <c r="C25" s="4" t="inlineStr">
        <is>
          <t>성명·사번·부서 / 임금 지급일 / 지급 항목별 금액과 합계 / 연장·야간·휴일 수당 옆 근로시간 / 공제 항목별 금액과 합계 / 실수령액</t>
        </is>
      </c>
    </row>
    <row r="27">
      <c r="B27" s="6" t="inlineStr">
        <is>
          <t>주의</t>
        </is>
      </c>
    </row>
    <row r="28" ht="32" customHeight="1">
      <c r="C28" s="8" t="inlineStr">
        <is>
          <t>· 예시의 금액과 공제 수치는 모두 가상이며 실제 요율·세액과 무관합니다. 공제액은 급여프로그램에서 계산된 값을 그대로 가져옵니다.</t>
        </is>
      </c>
    </row>
    <row r="29" ht="32" customHeight="1">
      <c r="C29" s="8" t="inlineStr">
        <is>
          <t>· 이 양식은 정리·인쇄 도구입니다. 명세서 기재 항목과 교부 방법은 근로기준법과 고용노동부 안내를 기준으로 담당자가 최종 확인하세요.</t>
        </is>
      </c>
    </row>
    <row r="30" ht="32" customHeight="1">
      <c r="C30" s="8" t="inlineStr">
        <is>
          <t>· 주민등록번호·계좌번호 등은 명세서와 다른 시트로 옮기지 않습니다. 파일 보관·메일 전송 시 개인정보에 유의하세요.</t>
        </is>
      </c>
    </row>
    <row r="31" ht="32" customHeight="1">
      <c r="C31" s="8" t="inlineStr">
        <is>
          <t>· 이름이 같은 직원이 있으면 미리보기는 첫 번째 사람만 보입니다 (전체 인쇄는 정상).</t>
        </is>
      </c>
    </row>
  </sheetData>
  <mergeCells count="1">
    <mergeCell ref="B2:C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W1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9" t="inlineStr">
        <is>
          <t>급여대장 붙여넣기 시트</t>
        </is>
      </c>
    </row>
    <row r="2">
      <c r="A2" s="2" t="inlineStr">
        <is>
          <t>급여프로그램에서 내려받은 엑셀을 열어 Ctrl+A → Ctrl+C 한 뒤, 이 시트의 A8 칸을 클릭하고 Ctrl+V. 맨 윗줄(머리글)이 8행에 오면 됩니다.</t>
        </is>
      </c>
    </row>
    <row r="3">
      <c r="A3" s="2" t="inlineStr">
        <is>
          <t>예시 지우는 법: 9행 아래를 모두 선택 → Delete (머리글 8행은 새 파일 것으로 덮어써지니 그냥 붙여넣으면 됩니다).</t>
        </is>
      </c>
    </row>
    <row r="4">
      <c r="A4" s="2" t="inlineStr">
        <is>
          <t>내려받은 파일이 '보호된 보기'면 노란 막대의 [편집 사용]을 먼저 누른 뒤 복사하세요.</t>
        </is>
      </c>
    </row>
    <row r="5">
      <c r="A5" s="6" t="inlineStr">
        <is>
          <t>▶ 인식 결과</t>
        </is>
      </c>
      <c r="B5" s="10">
        <f>IF('직원목록'!$D$3&gt;0,"직원 "&amp;'직원목록'!$D$3&amp;"명 인식","⚠ 직원이 인식되지 않았습니다 — 8행 머리글과 설정 시트를 확인하세요")</f>
        <v/>
      </c>
      <c r="E5" s="11">
        <f>IF('직원목록'!$D$4&gt;0,"⚠ 예시 데이터 "&amp;'직원목록'!$D$4&amp;"줄이 남아 있습니다 — 지우고 쓰세요","")</f>
        <v/>
      </c>
    </row>
    <row r="6">
      <c r="A6" s="6" t="inlineStr">
        <is>
          <t>▶ 머리글</t>
        </is>
      </c>
      <c r="B6" s="10">
        <f>IF(COUNTIF(설정!$E$13:$E$37,"✖*")=0,"✔ 설정한 머리글을 모두 찾았습니다","✖ 못 찾은 머리글 "&amp;COUNTIF(설정!$E$13:$E$37,"✖*")&amp;"개 — 설정 시트의 ✖ 줄을 파일의 글자에 맞추세요")</f>
        <v/>
      </c>
    </row>
    <row r="8">
      <c r="A8" s="12" t="inlineStr">
        <is>
          <t>사번</t>
        </is>
      </c>
      <c r="B8" s="12" t="inlineStr">
        <is>
          <t>성명</t>
        </is>
      </c>
      <c r="C8" s="12" t="inlineStr">
        <is>
          <t>부서</t>
        </is>
      </c>
      <c r="D8" s="12" t="inlineStr">
        <is>
          <t>입사일</t>
        </is>
      </c>
      <c r="E8" s="12" t="inlineStr">
        <is>
          <t>기본급</t>
        </is>
      </c>
      <c r="F8" s="12" t="inlineStr">
        <is>
          <t>연장근로시간</t>
        </is>
      </c>
      <c r="G8" s="12" t="inlineStr">
        <is>
          <t>연장근로수당</t>
        </is>
      </c>
      <c r="H8" s="12" t="inlineStr">
        <is>
          <t>야간근로시간</t>
        </is>
      </c>
      <c r="I8" s="12" t="inlineStr">
        <is>
          <t>야간근로수당</t>
        </is>
      </c>
      <c r="J8" s="12" t="inlineStr">
        <is>
          <t>휴일근로시간</t>
        </is>
      </c>
      <c r="K8" s="12" t="inlineStr">
        <is>
          <t>휴일근로수당</t>
        </is>
      </c>
      <c r="L8" s="12" t="inlineStr">
        <is>
          <t>식대</t>
        </is>
      </c>
      <c r="M8" s="12" t="inlineStr">
        <is>
          <t>직책수당</t>
        </is>
      </c>
      <c r="N8" s="12" t="inlineStr">
        <is>
          <t>상여금</t>
        </is>
      </c>
      <c r="O8" s="12" t="inlineStr">
        <is>
          <t>지급합계</t>
        </is>
      </c>
      <c r="P8" s="12" t="inlineStr">
        <is>
          <t>국민연금</t>
        </is>
      </c>
      <c r="Q8" s="12" t="inlineStr">
        <is>
          <t>건강보험</t>
        </is>
      </c>
      <c r="R8" s="12" t="inlineStr">
        <is>
          <t>장기요양보험</t>
        </is>
      </c>
      <c r="S8" s="12" t="inlineStr">
        <is>
          <t>고용보험</t>
        </is>
      </c>
      <c r="T8" s="12" t="inlineStr">
        <is>
          <t>소득세</t>
        </is>
      </c>
      <c r="U8" s="12" t="inlineStr">
        <is>
          <t>지방소득세</t>
        </is>
      </c>
      <c r="V8" s="12" t="inlineStr">
        <is>
          <t>공제합계</t>
        </is>
      </c>
      <c r="W8" s="12" t="inlineStr">
        <is>
          <t>실수령액</t>
        </is>
      </c>
    </row>
    <row r="9">
      <c r="A9" s="2" t="inlineStr">
        <is>
          <t>EX-001</t>
        </is>
      </c>
      <c r="B9" s="2" t="inlineStr">
        <is>
          <t>가상직원01</t>
        </is>
      </c>
      <c r="C9" s="2" t="inlineStr">
        <is>
          <t>경영지원</t>
        </is>
      </c>
      <c r="D9" s="2" t="inlineStr">
        <is>
          <t>2019-03-04</t>
        </is>
      </c>
      <c r="E9" s="13" t="n">
        <v>3200000</v>
      </c>
      <c r="F9" s="2" t="n">
        <v>0</v>
      </c>
      <c r="G9" s="13" t="n">
        <v>0</v>
      </c>
      <c r="H9" s="2" t="n">
        <v>0</v>
      </c>
      <c r="I9" s="13" t="n">
        <v>0</v>
      </c>
      <c r="J9" s="2" t="n">
        <v>0</v>
      </c>
      <c r="K9" s="13" t="n">
        <v>0</v>
      </c>
      <c r="L9" s="13" t="n">
        <v>200000</v>
      </c>
      <c r="M9" s="13" t="n">
        <v>300000</v>
      </c>
      <c r="N9" s="13" t="n">
        <v>0</v>
      </c>
      <c r="O9" s="13" t="n">
        <v>3700000</v>
      </c>
      <c r="P9" s="13" t="n">
        <v>164000</v>
      </c>
      <c r="Q9" s="13" t="n">
        <v>120000</v>
      </c>
      <c r="R9" s="13" t="n">
        <v>15000</v>
      </c>
      <c r="S9" s="13" t="n">
        <v>29000</v>
      </c>
      <c r="T9" s="13" t="n">
        <v>85000</v>
      </c>
      <c r="U9" s="13" t="n">
        <v>8500</v>
      </c>
      <c r="V9" s="13" t="n">
        <v>421500</v>
      </c>
      <c r="W9" s="13" t="n">
        <v>3278500</v>
      </c>
    </row>
    <row r="10">
      <c r="A10" s="2" t="inlineStr">
        <is>
          <t>EX-002</t>
        </is>
      </c>
      <c r="B10" s="2" t="inlineStr">
        <is>
          <t>가상직원02</t>
        </is>
      </c>
      <c r="C10" s="2" t="inlineStr">
        <is>
          <t>경영지원</t>
        </is>
      </c>
      <c r="D10" s="2" t="inlineStr">
        <is>
          <t>2021-07-12</t>
        </is>
      </c>
      <c r="E10" s="13" t="n">
        <v>2700000</v>
      </c>
      <c r="F10" s="2" t="n">
        <v>10</v>
      </c>
      <c r="G10" s="13" t="n">
        <v>193780</v>
      </c>
      <c r="H10" s="2" t="n">
        <v>0</v>
      </c>
      <c r="I10" s="13" t="n">
        <v>0</v>
      </c>
      <c r="J10" s="2" t="n">
        <v>0</v>
      </c>
      <c r="K10" s="13" t="n">
        <v>0</v>
      </c>
      <c r="L10" s="13" t="n">
        <v>200000</v>
      </c>
      <c r="M10" s="13" t="n">
        <v>0</v>
      </c>
      <c r="N10" s="13" t="n">
        <v>0</v>
      </c>
      <c r="O10" s="13" t="n">
        <v>3093780</v>
      </c>
      <c r="P10" s="13" t="n">
        <v>133000</v>
      </c>
      <c r="Q10" s="13" t="n">
        <v>98000</v>
      </c>
      <c r="R10" s="13" t="n">
        <v>12000</v>
      </c>
      <c r="S10" s="13" t="n">
        <v>24000</v>
      </c>
      <c r="T10" s="13" t="n">
        <v>41000</v>
      </c>
      <c r="U10" s="13" t="n">
        <v>4100</v>
      </c>
      <c r="V10" s="13" t="n">
        <v>312100</v>
      </c>
      <c r="W10" s="13" t="n">
        <v>2781680</v>
      </c>
    </row>
    <row r="11">
      <c r="A11" s="2" t="inlineStr">
        <is>
          <t>EX-003</t>
        </is>
      </c>
      <c r="B11" s="2" t="inlineStr">
        <is>
          <t>가상직원03</t>
        </is>
      </c>
      <c r="C11" s="2" t="inlineStr">
        <is>
          <t>영업</t>
        </is>
      </c>
      <c r="D11" s="2" t="inlineStr">
        <is>
          <t>2022-01-03</t>
        </is>
      </c>
      <c r="E11" s="13" t="n">
        <v>2800000</v>
      </c>
      <c r="F11" s="2" t="n">
        <v>18</v>
      </c>
      <c r="G11" s="13" t="n">
        <v>361720</v>
      </c>
      <c r="H11" s="2" t="n">
        <v>4</v>
      </c>
      <c r="I11" s="13" t="n">
        <v>26790</v>
      </c>
      <c r="J11" s="2" t="n">
        <v>0</v>
      </c>
      <c r="K11" s="13" t="n">
        <v>0</v>
      </c>
      <c r="L11" s="13" t="n">
        <v>200000</v>
      </c>
      <c r="M11" s="13" t="n">
        <v>0</v>
      </c>
      <c r="N11" s="13" t="n">
        <v>500000</v>
      </c>
      <c r="O11" s="13" t="n">
        <v>3888510</v>
      </c>
      <c r="P11" s="13" t="n">
        <v>139000</v>
      </c>
      <c r="Q11" s="13" t="n">
        <v>101000</v>
      </c>
      <c r="R11" s="13" t="n">
        <v>12000</v>
      </c>
      <c r="S11" s="13" t="n">
        <v>25000</v>
      </c>
      <c r="T11" s="13" t="n">
        <v>52000</v>
      </c>
      <c r="U11" s="13" t="n">
        <v>5200</v>
      </c>
      <c r="V11" s="13" t="n">
        <v>334200</v>
      </c>
      <c r="W11" s="13" t="n">
        <v>3554310</v>
      </c>
    </row>
    <row r="12">
      <c r="A12" s="2" t="inlineStr">
        <is>
          <t>EX-004</t>
        </is>
      </c>
      <c r="B12" s="2" t="inlineStr">
        <is>
          <t>가상직원04</t>
        </is>
      </c>
      <c r="C12" s="2" t="inlineStr">
        <is>
          <t>영업</t>
        </is>
      </c>
      <c r="D12" s="2" t="inlineStr">
        <is>
          <t>2023-05-22</t>
        </is>
      </c>
      <c r="E12" s="13" t="n">
        <v>2500000</v>
      </c>
      <c r="F12" s="2" t="n">
        <v>6.5</v>
      </c>
      <c r="G12" s="13" t="n">
        <v>116630</v>
      </c>
      <c r="H12" s="2" t="n">
        <v>0</v>
      </c>
      <c r="I12" s="13" t="n">
        <v>0</v>
      </c>
      <c r="J12" s="2" t="n">
        <v>8</v>
      </c>
      <c r="K12" s="13" t="n">
        <v>143540</v>
      </c>
      <c r="L12" s="13" t="n">
        <v>200000</v>
      </c>
      <c r="M12" s="13" t="n">
        <v>0</v>
      </c>
      <c r="N12" s="13" t="n">
        <v>0</v>
      </c>
      <c r="O12" s="13" t="n">
        <v>2960170</v>
      </c>
      <c r="P12" s="13" t="n">
        <v>122000</v>
      </c>
      <c r="Q12" s="13" t="n">
        <v>90000</v>
      </c>
      <c r="R12" s="13" t="n">
        <v>11000</v>
      </c>
      <c r="S12" s="13" t="n">
        <v>22000</v>
      </c>
      <c r="T12" s="13" t="n">
        <v>33000</v>
      </c>
      <c r="U12" s="13" t="n">
        <v>3300</v>
      </c>
      <c r="V12" s="13" t="n">
        <v>281300</v>
      </c>
      <c r="W12" s="13" t="n">
        <v>2678870</v>
      </c>
    </row>
    <row r="13">
      <c r="A13" s="2" t="inlineStr">
        <is>
          <t>EX-005</t>
        </is>
      </c>
      <c r="B13" s="2" t="inlineStr">
        <is>
          <t>가상직원05</t>
        </is>
      </c>
      <c r="C13" s="2" t="inlineStr">
        <is>
          <t>생산</t>
        </is>
      </c>
      <c r="D13" s="2" t="inlineStr">
        <is>
          <t>2020-10-05</t>
        </is>
      </c>
      <c r="E13" s="13" t="n">
        <v>2600000</v>
      </c>
      <c r="F13" s="2" t="n">
        <v>22</v>
      </c>
      <c r="G13" s="13" t="n">
        <v>410530</v>
      </c>
      <c r="H13" s="2" t="n">
        <v>12</v>
      </c>
      <c r="I13" s="13" t="n">
        <v>74640</v>
      </c>
      <c r="J13" s="2" t="n">
        <v>16</v>
      </c>
      <c r="K13" s="13" t="n">
        <v>298560</v>
      </c>
      <c r="L13" s="13" t="n">
        <v>200000</v>
      </c>
      <c r="M13" s="13" t="n">
        <v>100000</v>
      </c>
      <c r="N13" s="13" t="n">
        <v>0</v>
      </c>
      <c r="O13" s="13" t="n">
        <v>3683730</v>
      </c>
      <c r="P13" s="13" t="n">
        <v>140000</v>
      </c>
      <c r="Q13" s="13" t="n">
        <v>103000</v>
      </c>
      <c r="R13" s="13" t="n">
        <v>13000</v>
      </c>
      <c r="S13" s="13" t="n">
        <v>26000</v>
      </c>
      <c r="T13" s="13" t="n">
        <v>60000</v>
      </c>
      <c r="U13" s="13" t="n">
        <v>6000</v>
      </c>
      <c r="V13" s="13" t="n">
        <v>348000</v>
      </c>
      <c r="W13" s="13" t="n">
        <v>3335730</v>
      </c>
    </row>
    <row r="14">
      <c r="A14" s="2" t="inlineStr">
        <is>
          <t>EX-006</t>
        </is>
      </c>
      <c r="B14" s="2" t="inlineStr">
        <is>
          <t>가상직원06</t>
        </is>
      </c>
      <c r="C14" s="2" t="inlineStr">
        <is>
          <t>생산</t>
        </is>
      </c>
      <c r="D14" s="2" t="inlineStr">
        <is>
          <t>2024-02-19</t>
        </is>
      </c>
      <c r="E14" s="13" t="n">
        <v>2400000</v>
      </c>
      <c r="F14" s="2" t="n">
        <v>0</v>
      </c>
      <c r="G14" s="13" t="n">
        <v>0</v>
      </c>
      <c r="H14" s="2" t="n">
        <v>0</v>
      </c>
      <c r="I14" s="13" t="n">
        <v>0</v>
      </c>
      <c r="J14" s="2" t="n">
        <v>0</v>
      </c>
      <c r="K14" s="13" t="n">
        <v>0</v>
      </c>
      <c r="L14" s="13" t="n">
        <v>200000</v>
      </c>
      <c r="M14" s="13" t="n">
        <v>0</v>
      </c>
      <c r="N14" s="13" t="n">
        <v>0</v>
      </c>
      <c r="O14" s="13" t="n">
        <v>2600000</v>
      </c>
      <c r="P14" s="13" t="n">
        <v>108000</v>
      </c>
      <c r="Q14" s="13" t="n">
        <v>80000</v>
      </c>
      <c r="R14" s="13" t="n">
        <v>10000</v>
      </c>
      <c r="S14" s="13" t="n">
        <v>20000</v>
      </c>
      <c r="T14" s="13" t="n">
        <v>25000</v>
      </c>
      <c r="U14" s="13" t="n">
        <v>2500</v>
      </c>
      <c r="V14" s="13" t="n">
        <v>245500</v>
      </c>
      <c r="W14" s="13" t="n">
        <v>2354500</v>
      </c>
    </row>
    <row r="15">
      <c r="A15" s="6" t="inlineStr">
        <is>
          <t>합계</t>
        </is>
      </c>
      <c r="E15" s="14">
        <f>SUM(E9:E14)</f>
        <v/>
      </c>
      <c r="G15" s="14">
        <f>SUM(G9:G14)</f>
        <v/>
      </c>
      <c r="I15" s="14">
        <f>SUM(I9:I14)</f>
        <v/>
      </c>
      <c r="K15" s="14">
        <f>SUM(K9:K14)</f>
        <v/>
      </c>
      <c r="L15" s="14">
        <f>SUM(L9:L14)</f>
        <v/>
      </c>
      <c r="M15" s="14">
        <f>SUM(M9:M14)</f>
        <v/>
      </c>
      <c r="N15" s="14">
        <f>SUM(N9:N14)</f>
        <v/>
      </c>
      <c r="O15" s="14">
        <f>SUM(O9:O14)</f>
        <v/>
      </c>
      <c r="P15" s="14">
        <f>SUM(P9:P14)</f>
        <v/>
      </c>
      <c r="Q15" s="14">
        <f>SUM(Q9:Q14)</f>
        <v/>
      </c>
      <c r="R15" s="14">
        <f>SUM(R9:R14)</f>
        <v/>
      </c>
      <c r="S15" s="14">
        <f>SUM(S9:S14)</f>
        <v/>
      </c>
      <c r="T15" s="14">
        <f>SUM(T9:T14)</f>
        <v/>
      </c>
      <c r="U15" s="14">
        <f>SUM(U9:U14)</f>
        <v/>
      </c>
      <c r="V15" s="14">
        <f>SUM(V9:V14)</f>
        <v/>
      </c>
      <c r="W15" s="14">
        <f>SUM(W9:W14)</f>
        <v/>
      </c>
    </row>
  </sheetData>
  <conditionalFormatting sqref="B6">
    <cfRule type="expression" priority="1" dxfId="0">
      <formula>LEFT($B$6,1)="✖"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E4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  <col width="30" customWidth="1" min="5" max="5"/>
  </cols>
  <sheetData>
    <row r="1">
      <c r="A1" s="9" t="inlineStr">
        <is>
          <t>설정 — 평소에는 노란 칸 중 위쪽(회사명·귀속월·지급일)만 고치세요</t>
        </is>
      </c>
    </row>
    <row r="2" ht="32" customHeight="1">
      <c r="A2" s="8" t="inlineStr">
        <is>
          <t>아래 '머리글 이름'은 급여대장 파일 맨 윗줄에 적힌 글자와 똑같아야 합니다. 상태가 ✔ 이면 건드릴 것 없고, ✖ 가 뜨는 줄만 파일의 글자에 맞춰 고치세요.</t>
        </is>
      </c>
    </row>
    <row r="4">
      <c r="A4" s="6" t="inlineStr">
        <is>
          <t>회사명</t>
        </is>
      </c>
      <c r="B4" s="15" t="inlineStr">
        <is>
          <t>가상상사 주식회사</t>
        </is>
      </c>
    </row>
    <row r="5">
      <c r="A5" s="6" t="inlineStr">
        <is>
          <t>귀속월 (명세서 제목)</t>
        </is>
      </c>
      <c r="B5" s="15" t="inlineStr">
        <is>
          <t>2026년 10월분</t>
        </is>
      </c>
    </row>
    <row r="6">
      <c r="A6" s="6" t="inlineStr">
        <is>
          <t>임금 지급일</t>
        </is>
      </c>
      <c r="B6" s="16" t="n">
        <v>46320</v>
      </c>
    </row>
    <row r="7">
      <c r="A7" s="6" t="inlineStr">
        <is>
          <t>명세서 하단 안내문</t>
        </is>
      </c>
      <c r="B7" s="15" t="inlineStr">
        <is>
          <t>문의: 경영지원팀 (내선 000)</t>
        </is>
      </c>
      <c r="C7" s="17" t="n"/>
      <c r="D7" s="17" t="n"/>
      <c r="E7" s="18" t="n"/>
    </row>
    <row r="8">
      <c r="A8" s="6" t="inlineStr">
        <is>
          <t>머리글이 있는 행 번호</t>
        </is>
      </c>
      <c r="B8" s="15" t="n">
        <v>8</v>
      </c>
      <c r="C8" s="2" t="inlineStr">
        <is>
          <t>← 원본 시트 A8에 붙여넣으면 머리글이 8행에 옵니다 (기본값 그대로 두세요)</t>
        </is>
      </c>
    </row>
    <row r="9">
      <c r="A9" s="6" t="inlineStr">
        <is>
          <t>데이터 시작 행</t>
        </is>
      </c>
      <c r="B9" s="19">
        <f>B8+1</f>
        <v/>
      </c>
    </row>
    <row r="11">
      <c r="A11" s="12" t="inlineStr">
        <is>
          <t>항목</t>
        </is>
      </c>
      <c r="B11" s="12" t="inlineStr">
        <is>
          <t>급여대장 머리글 이름</t>
        </is>
      </c>
      <c r="C11" s="12" t="inlineStr">
        <is>
          <t>시간 열 머리글(선택)</t>
        </is>
      </c>
      <c r="D11" s="12" t="inlineStr">
        <is>
          <t>찾은 열</t>
        </is>
      </c>
      <c r="E11" s="12" t="inlineStr">
        <is>
          <t>상태</t>
        </is>
      </c>
    </row>
    <row r="12">
      <c r="A12" s="6" t="inlineStr">
        <is>
          <t>[인적사항]</t>
        </is>
      </c>
    </row>
    <row r="13">
      <c r="A13" s="19" t="inlineStr">
        <is>
          <t>사번</t>
        </is>
      </c>
      <c r="B13" s="15" t="inlineStr">
        <is>
          <t>사번</t>
        </is>
      </c>
      <c r="C13" s="20" t="inlineStr"/>
      <c r="D13" s="21">
        <f>IF(B13="","",IFERROR(MATCH(B13,INDEX(급여대장_원본!$A$1:$AZ$400,$B$8,0),0),""))</f>
        <v/>
      </c>
      <c r="E13" s="19">
        <f>IF(B13="","(사용 안 함)",IF(D13="","✖ 못 찾음 — 파일의 글자에 맞추세요","✔ "&amp;SUBSTITUTE(ADDRESS(1,D13,4),"1",""))&amp;"")</f>
        <v/>
      </c>
    </row>
    <row r="14">
      <c r="A14" s="19" t="inlineStr">
        <is>
          <t>성명</t>
        </is>
      </c>
      <c r="B14" s="15" t="inlineStr">
        <is>
          <t>성명</t>
        </is>
      </c>
      <c r="C14" s="20" t="inlineStr"/>
      <c r="D14" s="21">
        <f>IF(B14="","",IFERROR(MATCH(B14,INDEX(급여대장_원본!$A$1:$AZ$400,$B$8,0),0),""))</f>
        <v/>
      </c>
      <c r="E14" s="19">
        <f>IF(B14="","(사용 안 함)",IF(D14="","✖ 못 찾음 — 파일의 글자에 맞추세요","✔ "&amp;SUBSTITUTE(ADDRESS(1,D14,4),"1",""))&amp;"")</f>
        <v/>
      </c>
    </row>
    <row r="15">
      <c r="A15" s="19" t="inlineStr">
        <is>
          <t>부서</t>
        </is>
      </c>
      <c r="B15" s="15" t="inlineStr">
        <is>
          <t>부서</t>
        </is>
      </c>
      <c r="C15" s="20" t="inlineStr"/>
      <c r="D15" s="21">
        <f>IF(B15="","",IFERROR(MATCH(B15,INDEX(급여대장_원본!$A$1:$AZ$400,$B$8,0),0),""))</f>
        <v/>
      </c>
      <c r="E15" s="19">
        <f>IF(B15="","(사용 안 함)",IF(D15="","✖ 못 찾음 — 파일의 글자에 맞추세요","✔ "&amp;SUBSTITUTE(ADDRESS(1,D15,4),"1",""))&amp;"")</f>
        <v/>
      </c>
    </row>
    <row r="16">
      <c r="A16" s="6" t="inlineStr">
        <is>
          <t>[지급 항목] 8칸 · 비우면 사용 안 함</t>
        </is>
      </c>
    </row>
    <row r="17">
      <c r="A17" s="19" t="inlineStr">
        <is>
          <t>지급 1</t>
        </is>
      </c>
      <c r="B17" s="15" t="inlineStr">
        <is>
          <t>기본급</t>
        </is>
      </c>
      <c r="C17" s="15" t="inlineStr"/>
      <c r="D17" s="21">
        <f>IF(B17="","",IFERROR(MATCH(B17,INDEX(급여대장_원본!$A$1:$AZ$400,$B$8,0),0),""))</f>
        <v/>
      </c>
      <c r="E17" s="19">
        <f>IF(B17="","(사용 안 함)",IF(D17="","✖ 못 찾음 — 파일의 글자에 맞추세요","✔ "&amp;SUBSTITUTE(ADDRESS(1,D17,4),"1",""))&amp;IF(C17="","",IF(IFERROR(MATCH(C17,INDEX(급여대장_원본!$A$1:$AZ$400,$B$8,0),0),0)=0," / 시간열 ✖","")))</f>
        <v/>
      </c>
    </row>
    <row r="18">
      <c r="A18" s="19" t="inlineStr">
        <is>
          <t>지급 2</t>
        </is>
      </c>
      <c r="B18" s="15" t="inlineStr">
        <is>
          <t>연장근로수당</t>
        </is>
      </c>
      <c r="C18" s="15" t="inlineStr">
        <is>
          <t>연장근로시간</t>
        </is>
      </c>
      <c r="D18" s="21">
        <f>IF(B18="","",IFERROR(MATCH(B18,INDEX(급여대장_원본!$A$1:$AZ$400,$B$8,0),0),""))</f>
        <v/>
      </c>
      <c r="E18" s="19">
        <f>IF(B18="","(사용 안 함)",IF(D18="","✖ 못 찾음 — 파일의 글자에 맞추세요","✔ "&amp;SUBSTITUTE(ADDRESS(1,D18,4),"1",""))&amp;IF(C18="","",IF(IFERROR(MATCH(C18,INDEX(급여대장_원본!$A$1:$AZ$400,$B$8,0),0),0)=0," / 시간열 ✖","")))</f>
        <v/>
      </c>
    </row>
    <row r="19">
      <c r="A19" s="19" t="inlineStr">
        <is>
          <t>지급 3</t>
        </is>
      </c>
      <c r="B19" s="15" t="inlineStr">
        <is>
          <t>야간근로수당</t>
        </is>
      </c>
      <c r="C19" s="15" t="inlineStr">
        <is>
          <t>야간근로시간</t>
        </is>
      </c>
      <c r="D19" s="21">
        <f>IF(B19="","",IFERROR(MATCH(B19,INDEX(급여대장_원본!$A$1:$AZ$400,$B$8,0),0),""))</f>
        <v/>
      </c>
      <c r="E19" s="19">
        <f>IF(B19="","(사용 안 함)",IF(D19="","✖ 못 찾음 — 파일의 글자에 맞추세요","✔ "&amp;SUBSTITUTE(ADDRESS(1,D19,4),"1",""))&amp;IF(C19="","",IF(IFERROR(MATCH(C19,INDEX(급여대장_원본!$A$1:$AZ$400,$B$8,0),0),0)=0," / 시간열 ✖","")))</f>
        <v/>
      </c>
    </row>
    <row r="20">
      <c r="A20" s="19" t="inlineStr">
        <is>
          <t>지급 4</t>
        </is>
      </c>
      <c r="B20" s="15" t="inlineStr">
        <is>
          <t>휴일근로수당</t>
        </is>
      </c>
      <c r="C20" s="15" t="inlineStr">
        <is>
          <t>휴일근로시간</t>
        </is>
      </c>
      <c r="D20" s="21">
        <f>IF(B20="","",IFERROR(MATCH(B20,INDEX(급여대장_원본!$A$1:$AZ$400,$B$8,0),0),""))</f>
        <v/>
      </c>
      <c r="E20" s="19">
        <f>IF(B20="","(사용 안 함)",IF(D20="","✖ 못 찾음 — 파일의 글자에 맞추세요","✔ "&amp;SUBSTITUTE(ADDRESS(1,D20,4),"1",""))&amp;IF(C20="","",IF(IFERROR(MATCH(C20,INDEX(급여대장_원본!$A$1:$AZ$400,$B$8,0),0),0)=0," / 시간열 ✖","")))</f>
        <v/>
      </c>
    </row>
    <row r="21">
      <c r="A21" s="19" t="inlineStr">
        <is>
          <t>지급 5</t>
        </is>
      </c>
      <c r="B21" s="15" t="inlineStr">
        <is>
          <t>식대</t>
        </is>
      </c>
      <c r="C21" s="15" t="inlineStr"/>
      <c r="D21" s="21">
        <f>IF(B21="","",IFERROR(MATCH(B21,INDEX(급여대장_원본!$A$1:$AZ$400,$B$8,0),0),""))</f>
        <v/>
      </c>
      <c r="E21" s="19">
        <f>IF(B21="","(사용 안 함)",IF(D21="","✖ 못 찾음 — 파일의 글자에 맞추세요","✔ "&amp;SUBSTITUTE(ADDRESS(1,D21,4),"1",""))&amp;IF(C21="","",IF(IFERROR(MATCH(C21,INDEX(급여대장_원본!$A$1:$AZ$400,$B$8,0),0),0)=0," / 시간열 ✖","")))</f>
        <v/>
      </c>
    </row>
    <row r="22">
      <c r="A22" s="19" t="inlineStr">
        <is>
          <t>지급 6</t>
        </is>
      </c>
      <c r="B22" s="15" t="inlineStr">
        <is>
          <t>직책수당</t>
        </is>
      </c>
      <c r="C22" s="15" t="inlineStr"/>
      <c r="D22" s="21">
        <f>IF(B22="","",IFERROR(MATCH(B22,INDEX(급여대장_원본!$A$1:$AZ$400,$B$8,0),0),""))</f>
        <v/>
      </c>
      <c r="E22" s="19">
        <f>IF(B22="","(사용 안 함)",IF(D22="","✖ 못 찾음 — 파일의 글자에 맞추세요","✔ "&amp;SUBSTITUTE(ADDRESS(1,D22,4),"1",""))&amp;IF(C22="","",IF(IFERROR(MATCH(C22,INDEX(급여대장_원본!$A$1:$AZ$400,$B$8,0),0),0)=0," / 시간열 ✖","")))</f>
        <v/>
      </c>
    </row>
    <row r="23">
      <c r="A23" s="19" t="inlineStr">
        <is>
          <t>지급 7</t>
        </is>
      </c>
      <c r="B23" s="15" t="inlineStr">
        <is>
          <t>상여금</t>
        </is>
      </c>
      <c r="C23" s="15" t="inlineStr"/>
      <c r="D23" s="21">
        <f>IF(B23="","",IFERROR(MATCH(B23,INDEX(급여대장_원본!$A$1:$AZ$400,$B$8,0),0),""))</f>
        <v/>
      </c>
      <c r="E23" s="19">
        <f>IF(B23="","(사용 안 함)",IF(D23="","✖ 못 찾음 — 파일의 글자에 맞추세요","✔ "&amp;SUBSTITUTE(ADDRESS(1,D23,4),"1",""))&amp;IF(C23="","",IF(IFERROR(MATCH(C23,INDEX(급여대장_원본!$A$1:$AZ$400,$B$8,0),0),0)=0," / 시간열 ✖","")))</f>
        <v/>
      </c>
    </row>
    <row r="24">
      <c r="A24" s="19" t="inlineStr">
        <is>
          <t>지급 8</t>
        </is>
      </c>
      <c r="B24" s="15" t="inlineStr"/>
      <c r="C24" s="15" t="inlineStr"/>
      <c r="D24" s="21">
        <f>IF(B24="","",IFERROR(MATCH(B24,INDEX(급여대장_원본!$A$1:$AZ$400,$B$8,0),0),""))</f>
        <v/>
      </c>
      <c r="E24" s="19">
        <f>IF(B24="","(사용 안 함)",IF(D24="","✖ 못 찾음 — 파일의 글자에 맞추세요","✔ "&amp;SUBSTITUTE(ADDRESS(1,D24,4),"1",""))&amp;IF(C24="","",IF(IFERROR(MATCH(C24,INDEX(급여대장_원본!$A$1:$AZ$400,$B$8,0),0),0)=0," / 시간열 ✖","")))</f>
        <v/>
      </c>
    </row>
    <row r="25">
      <c r="A25" s="6" t="inlineStr">
        <is>
          <t>[공제 항목] 8칸 · 비우면 사용 안 함</t>
        </is>
      </c>
    </row>
    <row r="26">
      <c r="A26" s="19" t="inlineStr">
        <is>
          <t>공제 1</t>
        </is>
      </c>
      <c r="B26" s="15" t="inlineStr">
        <is>
          <t>국민연금</t>
        </is>
      </c>
      <c r="C26" s="20" t="inlineStr"/>
      <c r="D26" s="21">
        <f>IF(B26="","",IFERROR(MATCH(B26,INDEX(급여대장_원본!$A$1:$AZ$400,$B$8,0),0),""))</f>
        <v/>
      </c>
      <c r="E26" s="19">
        <f>IF(B26="","(사용 안 함)",IF(D26="","✖ 못 찾음 — 파일의 글자에 맞추세요","✔ "&amp;SUBSTITUTE(ADDRESS(1,D26,4),"1",""))&amp;"")</f>
        <v/>
      </c>
    </row>
    <row r="27">
      <c r="A27" s="19" t="inlineStr">
        <is>
          <t>공제 2</t>
        </is>
      </c>
      <c r="B27" s="15" t="inlineStr">
        <is>
          <t>건강보험</t>
        </is>
      </c>
      <c r="C27" s="20" t="inlineStr"/>
      <c r="D27" s="21">
        <f>IF(B27="","",IFERROR(MATCH(B27,INDEX(급여대장_원본!$A$1:$AZ$400,$B$8,0),0),""))</f>
        <v/>
      </c>
      <c r="E27" s="19">
        <f>IF(B27="","(사용 안 함)",IF(D27="","✖ 못 찾음 — 파일의 글자에 맞추세요","✔ "&amp;SUBSTITUTE(ADDRESS(1,D27,4),"1",""))&amp;"")</f>
        <v/>
      </c>
    </row>
    <row r="28">
      <c r="A28" s="19" t="inlineStr">
        <is>
          <t>공제 3</t>
        </is>
      </c>
      <c r="B28" s="15" t="inlineStr">
        <is>
          <t>장기요양보험</t>
        </is>
      </c>
      <c r="C28" s="20" t="inlineStr"/>
      <c r="D28" s="21">
        <f>IF(B28="","",IFERROR(MATCH(B28,INDEX(급여대장_원본!$A$1:$AZ$400,$B$8,0),0),""))</f>
        <v/>
      </c>
      <c r="E28" s="19">
        <f>IF(B28="","(사용 안 함)",IF(D28="","✖ 못 찾음 — 파일의 글자에 맞추세요","✔ "&amp;SUBSTITUTE(ADDRESS(1,D28,4),"1",""))&amp;"")</f>
        <v/>
      </c>
    </row>
    <row r="29">
      <c r="A29" s="19" t="inlineStr">
        <is>
          <t>공제 4</t>
        </is>
      </c>
      <c r="B29" s="15" t="inlineStr">
        <is>
          <t>고용보험</t>
        </is>
      </c>
      <c r="C29" s="20" t="inlineStr"/>
      <c r="D29" s="21">
        <f>IF(B29="","",IFERROR(MATCH(B29,INDEX(급여대장_원본!$A$1:$AZ$400,$B$8,0),0),""))</f>
        <v/>
      </c>
      <c r="E29" s="19">
        <f>IF(B29="","(사용 안 함)",IF(D29="","✖ 못 찾음 — 파일의 글자에 맞추세요","✔ "&amp;SUBSTITUTE(ADDRESS(1,D29,4),"1",""))&amp;"")</f>
        <v/>
      </c>
    </row>
    <row r="30">
      <c r="A30" s="19" t="inlineStr">
        <is>
          <t>공제 5</t>
        </is>
      </c>
      <c r="B30" s="15" t="inlineStr">
        <is>
          <t>소득세</t>
        </is>
      </c>
      <c r="C30" s="20" t="inlineStr"/>
      <c r="D30" s="21">
        <f>IF(B30="","",IFERROR(MATCH(B30,INDEX(급여대장_원본!$A$1:$AZ$400,$B$8,0),0),""))</f>
        <v/>
      </c>
      <c r="E30" s="19">
        <f>IF(B30="","(사용 안 함)",IF(D30="","✖ 못 찾음 — 파일의 글자에 맞추세요","✔ "&amp;SUBSTITUTE(ADDRESS(1,D30,4),"1",""))&amp;"")</f>
        <v/>
      </c>
    </row>
    <row r="31">
      <c r="A31" s="19" t="inlineStr">
        <is>
          <t>공제 6</t>
        </is>
      </c>
      <c r="B31" s="15" t="inlineStr">
        <is>
          <t>지방소득세</t>
        </is>
      </c>
      <c r="C31" s="20" t="inlineStr"/>
      <c r="D31" s="21">
        <f>IF(B31="","",IFERROR(MATCH(B31,INDEX(급여대장_원본!$A$1:$AZ$400,$B$8,0),0),""))</f>
        <v/>
      </c>
      <c r="E31" s="19">
        <f>IF(B31="","(사용 안 함)",IF(D31="","✖ 못 찾음 — 파일의 글자에 맞추세요","✔ "&amp;SUBSTITUTE(ADDRESS(1,D31,4),"1",""))&amp;"")</f>
        <v/>
      </c>
    </row>
    <row r="32">
      <c r="A32" s="19" t="inlineStr">
        <is>
          <t>공제 7</t>
        </is>
      </c>
      <c r="B32" s="15" t="inlineStr"/>
      <c r="C32" s="20" t="inlineStr"/>
      <c r="D32" s="21">
        <f>IF(B32="","",IFERROR(MATCH(B32,INDEX(급여대장_원본!$A$1:$AZ$400,$B$8,0),0),""))</f>
        <v/>
      </c>
      <c r="E32" s="19">
        <f>IF(B32="","(사용 안 함)",IF(D32="","✖ 못 찾음 — 파일의 글자에 맞추세요","✔ "&amp;SUBSTITUTE(ADDRESS(1,D32,4),"1",""))&amp;"")</f>
        <v/>
      </c>
    </row>
    <row r="33">
      <c r="A33" s="19" t="inlineStr">
        <is>
          <t>공제 8</t>
        </is>
      </c>
      <c r="B33" s="15" t="inlineStr"/>
      <c r="C33" s="20" t="inlineStr"/>
      <c r="D33" s="21">
        <f>IF(B33="","",IFERROR(MATCH(B33,INDEX(급여대장_원본!$A$1:$AZ$400,$B$8,0),0),""))</f>
        <v/>
      </c>
      <c r="E33" s="19">
        <f>IF(B33="","(사용 안 함)",IF(D33="","✖ 못 찾음 — 파일의 글자에 맞추세요","✔ "&amp;SUBSTITUTE(ADDRESS(1,D33,4),"1",""))&amp;"")</f>
        <v/>
      </c>
    </row>
    <row r="34">
      <c r="A34" s="6" t="inlineStr">
        <is>
          <t>[급여대장의 합계 열 · 선택] 있으면 점검 시트가 계산값과 맞춰 봅니다</t>
        </is>
      </c>
    </row>
    <row r="35">
      <c r="A35" s="19" t="inlineStr">
        <is>
          <t>총지급액 열</t>
        </is>
      </c>
      <c r="B35" s="15" t="inlineStr">
        <is>
          <t>지급합계</t>
        </is>
      </c>
      <c r="C35" s="20" t="inlineStr"/>
      <c r="D35" s="21">
        <f>IF(B35="","",IFERROR(MATCH(B35,INDEX(급여대장_원본!$A$1:$AZ$400,$B$8,0),0),""))</f>
        <v/>
      </c>
      <c r="E35" s="19">
        <f>IF(B35="","(사용 안 함)",IF(D35="","✖ 못 찾음 — 파일의 글자에 맞추세요","✔ "&amp;SUBSTITUTE(ADDRESS(1,D35,4),"1",""))&amp;"")</f>
        <v/>
      </c>
    </row>
    <row r="36">
      <c r="A36" s="19" t="inlineStr">
        <is>
          <t>총공제액 열</t>
        </is>
      </c>
      <c r="B36" s="15" t="inlineStr">
        <is>
          <t>공제합계</t>
        </is>
      </c>
      <c r="C36" s="20" t="inlineStr"/>
      <c r="D36" s="21">
        <f>IF(B36="","",IFERROR(MATCH(B36,INDEX(급여대장_원본!$A$1:$AZ$400,$B$8,0),0),""))</f>
        <v/>
      </c>
      <c r="E36" s="19">
        <f>IF(B36="","(사용 안 함)",IF(D36="","✖ 못 찾음 — 파일의 글자에 맞추세요","✔ "&amp;SUBSTITUTE(ADDRESS(1,D36,4),"1",""))&amp;"")</f>
        <v/>
      </c>
    </row>
    <row r="37">
      <c r="A37" s="19" t="inlineStr">
        <is>
          <t>실수령액 열</t>
        </is>
      </c>
      <c r="B37" s="15" t="inlineStr">
        <is>
          <t>실수령액</t>
        </is>
      </c>
      <c r="C37" s="20" t="inlineStr"/>
      <c r="D37" s="21">
        <f>IF(B37="","",IFERROR(MATCH(B37,INDEX(급여대장_원본!$A$1:$AZ$400,$B$8,0),0),""))</f>
        <v/>
      </c>
      <c r="E37" s="19">
        <f>IF(B37="","(사용 안 함)",IF(D37="","✖ 못 찾음 — 파일의 글자에 맞추세요","✔ "&amp;SUBSTITUTE(ADDRESS(1,D37,4),"1",""))&amp;"")</f>
        <v/>
      </c>
    </row>
    <row r="39">
      <c r="A39" s="2" t="inlineStr">
        <is>
          <t>※ 급여대장에 있어도 위에 적지 않은 열(주민등록번호·계좌번호 등)은 명세서와 다른 시트로 옮기지 않습니다.</t>
        </is>
      </c>
    </row>
    <row r="40">
      <c r="A40" s="2" t="inlineStr">
        <is>
          <t>※ '시간 열 머리글'은 연장·야간·휴일 수당 줄 옆에 '○시간'을 찍기 위한 칸입니다. 고정 수당이면 비워 두세요.</t>
        </is>
      </c>
    </row>
  </sheetData>
  <mergeCells count="2">
    <mergeCell ref="A2:E2"/>
    <mergeCell ref="B7:E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52" customWidth="1" min="12" max="12"/>
  </cols>
  <sheetData>
    <row r="1">
      <c r="A1" s="9" t="inlineStr">
        <is>
          <t>점검 — 명세서를 나눠주기 전에 한 번 훑어보세요</t>
        </is>
      </c>
    </row>
    <row r="2">
      <c r="A2" s="2" t="inlineStr">
        <is>
          <t>아래는 '확인할 후보'만 알려줍니다. 맞고 틀림은 담당자가 급여대장과 근로계약 기준으로 판단하세요.</t>
        </is>
      </c>
    </row>
    <row r="4">
      <c r="A4" s="6" t="inlineStr">
        <is>
          <t>요약</t>
        </is>
      </c>
    </row>
    <row r="5">
      <c r="B5" s="20" t="inlineStr">
        <is>
          <t>인식 직원 수</t>
        </is>
      </c>
      <c r="C5" s="22">
        <f>직원목록!$D$3</f>
        <v/>
      </c>
      <c r="F5" s="6" t="inlineStr">
        <is>
          <t>급여프로그램 화면 합계 (노란 칸에 적으면 대조)</t>
        </is>
      </c>
      <c r="H5" s="6" t="inlineStr">
        <is>
          <t>계산값</t>
        </is>
      </c>
    </row>
    <row r="6">
      <c r="B6" s="20" t="inlineStr">
        <is>
          <t>인쇄할 쪽</t>
        </is>
      </c>
      <c r="C6" s="22">
        <f>IF(C5=0,"-","명세서_전체 1~"&amp;C5&amp;"쪽")</f>
        <v/>
      </c>
      <c r="D6" s="18" t="n"/>
      <c r="F6" s="20" t="inlineStr">
        <is>
          <t>총지급액</t>
        </is>
      </c>
      <c r="G6" s="23" t="n"/>
      <c r="H6" s="24">
        <f>SUMIF(직원목록!$A$7:$A$306,1,직원목록!$V$7:$V$306)</f>
        <v/>
      </c>
      <c r="I6" s="25">
        <f>IF(G6="","(화면 합계를 적으세요)",IF(G6=H6,"✔ 일치","✖ 차이 "&amp;TEXT(H6-G6,"#,##0")&amp;"원"))</f>
        <v/>
      </c>
    </row>
    <row r="7">
      <c r="B7" s="20" t="inlineStr">
        <is>
          <t>확인 필요 줄</t>
        </is>
      </c>
      <c r="C7" s="22">
        <f>COUNTIF($L$13:$L$312,"⚠*")</f>
        <v/>
      </c>
      <c r="F7" s="20" t="inlineStr">
        <is>
          <t>총공제액</t>
        </is>
      </c>
      <c r="G7" s="23" t="n"/>
      <c r="H7" s="24">
        <f>SUMIF(직원목록!$A$7:$A$306,1,직원목록!$AE$7:$AE$306)</f>
        <v/>
      </c>
      <c r="I7" s="25">
        <f>IF(G7="","(화면 합계를 적으세요)",IF(G7=H7,"✔ 일치","✖ 차이 "&amp;TEXT(H7-G7,"#,##0")&amp;"원"))</f>
        <v/>
      </c>
    </row>
    <row r="8">
      <c r="F8" s="20" t="inlineStr">
        <is>
          <t>실수령액</t>
        </is>
      </c>
      <c r="G8" s="23" t="n"/>
      <c r="H8" s="24">
        <f>SUMIF(직원목록!$A$7:$A$306,1,직원목록!$AF$7:$AF$306)</f>
        <v/>
      </c>
      <c r="I8" s="25">
        <f>IF(G8="","(화면 합계를 적으세요)",IF(G8=H8,"✔ 일치","✖ 차이 "&amp;TEXT(H8-G8,"#,##0")&amp;"원"))</f>
        <v/>
      </c>
    </row>
    <row r="10">
      <c r="A10" s="2" t="inlineStr">
        <is>
          <t>※ 명세서 하단 확인: 임금 지급일은 설정 시트에 적었는지, 연장·야간·휴일 수당 줄에 시간 열을 지정했는지 확인하세요.</t>
        </is>
      </c>
    </row>
    <row r="12">
      <c r="A12" s="12" t="inlineStr">
        <is>
          <t>순번</t>
        </is>
      </c>
      <c r="B12" s="12" t="inlineStr">
        <is>
          <t>성명</t>
        </is>
      </c>
      <c r="C12" s="12" t="inlineStr">
        <is>
          <t>사번</t>
        </is>
      </c>
      <c r="D12" s="12" t="inlineStr">
        <is>
          <t>계산 총지급</t>
        </is>
      </c>
      <c r="E12" s="12" t="inlineStr">
        <is>
          <t>대장 총지급</t>
        </is>
      </c>
      <c r="F12" s="12" t="inlineStr">
        <is>
          <t>차이</t>
        </is>
      </c>
      <c r="G12" s="12" t="inlineStr">
        <is>
          <t>계산 총공제</t>
        </is>
      </c>
      <c r="H12" s="12" t="inlineStr">
        <is>
          <t>대장 총공제</t>
        </is>
      </c>
      <c r="I12" s="12" t="inlineStr">
        <is>
          <t>차이</t>
        </is>
      </c>
      <c r="J12" s="12" t="inlineStr">
        <is>
          <t>계산 실수령</t>
        </is>
      </c>
      <c r="K12" s="12" t="inlineStr">
        <is>
          <t>대장 실수령</t>
        </is>
      </c>
      <c r="L12" s="12" t="inlineStr">
        <is>
          <t>확인 포인트</t>
        </is>
      </c>
    </row>
    <row r="13">
      <c r="A13" s="26">
        <f>IF(IFERROR(MATCH(1,직원목록!$B$7:$B$306,0),0)=0,"",1)</f>
        <v/>
      </c>
      <c r="B13" s="2">
        <f>IF($A13="","",IFERROR(INDEX(직원목록!$D$7:$D$306,MATCH(1,직원목록!$B$7:$B$306,0)),""))</f>
        <v/>
      </c>
      <c r="C13" s="2">
        <f>IF($A13="","",IFERROR(INDEX(직원목록!$C$7:$C$306,MATCH(1,직원목록!$B$7:$B$306,0)),""))</f>
        <v/>
      </c>
      <c r="D13" s="27">
        <f>IF($A13="","",IFERROR(INDEX(직원목록!$V$7:$V$306,MATCH(1,직원목록!$B$7:$B$306,0)),""))</f>
        <v/>
      </c>
      <c r="E13" s="27">
        <f>IF($A13="","",IFERROR(INDEX(직원목록!$AG$7:$AG$306,MATCH(1,직원목록!$B$7:$B$306,0)),""))</f>
        <v/>
      </c>
      <c r="F13" s="27">
        <f>IF(OR($A13="",E13=""),"",D13-E13)</f>
        <v/>
      </c>
      <c r="G13" s="27">
        <f>IF($A13="","",IFERROR(INDEX(직원목록!$AE$7:$AE$306,MATCH(1,직원목록!$B$7:$B$306,0)),""))</f>
        <v/>
      </c>
      <c r="H13" s="27">
        <f>IF($A13="","",IFERROR(INDEX(직원목록!$AH$7:$AH$306,MATCH(1,직원목록!$B$7:$B$306,0)),""))</f>
        <v/>
      </c>
      <c r="I13" s="27">
        <f>IF(OR($A13="",H13=""),"",G13-H13)</f>
        <v/>
      </c>
      <c r="J13" s="27">
        <f>IF($A13="","",IFERROR(INDEX(직원목록!$AF$7:$AF$306,MATCH(1,직원목록!$B$7:$B$306,0)),""))</f>
        <v/>
      </c>
      <c r="K13" s="27">
        <f>IF($A13="","",IFERROR(INDEX(직원목록!$AI$7:$AI$306,MATCH(1,직원목록!$B$7:$B$306,0)),""))</f>
        <v/>
      </c>
      <c r="L13" s="8">
        <f>IF($A13="","",IF(LEN(IF(AND(F13&lt;&gt;"",F13&lt;&gt;0),"계산 총지급과 대장 총지급이 다릅니다 / ","")&amp;IF(AND(I13&lt;&gt;"",I13&lt;&gt;0),"계산 총공제와 대장 총공제가 다릅니다 / ","")&amp;IF(J13&lt;0,"실수령액이 음수입니다 / ","")&amp;IF(COUNTIF(직원목록!$D$7:$D$306,B13)&gt;1,"같은 이름이 둘 이상 — 미리보기는 첫 번째만 보입니다 / ","")&amp;IF(AND(C13&lt;&gt;"",COUNTIF(직원목록!$C$7:$C$306,C13)&gt;1),"사번 중복 / ","")&amp;IF(D13=0,"총지급이 0원 — 머리글 매칭 확인 / ","")&amp;IF(AND(설정!$B$17&lt;&gt;"",설정!$C$17="",OR(ISNUMBER(FIND("연장",설정!$B$17)),ISNUMBER(FIND("야간",설정!$B$17)),ISNUMBER(FIND("휴일",설정!$B$17))),INDEX(직원목록!$F$7:$F$306,MATCH(1,직원목록!$B$7:$B$306,0))&gt;0),"연장·야간·휴일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","")&amp;IF(AND(설정!$B$24&lt;&gt;"",설정!$C$24="",OR(ISNUMBER(FIND("연장",설정!$B$24)),ISNUMBER(FIND("야간",설정!$B$24)),ISNUMBER(FIND("휴일",설정!$B$24))),INDEX(직원목록!$M$7:$M$306,MATCH(1,직원목록!$B$7:$B$306,0))&gt;0),"연장·야간·휴일 수당은 시간 수도 명세서에 적어야 하니 시간 열 지정 필요 / ",""))=0,"✔",("⚠ "&amp;IF(AND(F13&lt;&gt;"",F13&lt;&gt;0),"계산 총지급과 대장 총지급이 다릅니다 / ","")&amp;IF(AND(I13&lt;&gt;"",I13&lt;&gt;0),"계산 총공제와 대장 총공제가 다릅니다 / ","")&amp;IF(J13&lt;0,"실수령액이 음수입니다 / ","")&amp;IF(COUNTIF(직원목록!$D$7:$D$306,B13)&gt;1,"같은 이름이 둘 이상 — 미리보기는 첫 번째만 보입니다 / ","")&amp;IF(AND(C13&lt;&gt;"",COUNTIF(직원목록!$C$7:$C$306,C13)&gt;1),"사번 중복 / ","")&amp;IF(D13=0,"총지급이 0원 — 머리글 매칭 확인 / ","")&amp;IF(AND(설정!$B$17&lt;&gt;"",설정!$C$17="",OR(ISNUMBER(FIND("연장",설정!$B$17)),ISNUMBER(FIND("야간",설정!$B$17)),ISNUMBER(FIND("휴일",설정!$B$17))),INDEX(직원목록!$F$7:$F$306,MATCH(1,직원목록!$B$7:$B$306,0))&gt;0),"연장·야간·휴일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","")&amp;IF(AND(설정!$B$24&lt;&gt;"",설정!$C$24="",OR(ISNUMBER(FIND("연장",설정!$B$24)),ISNUMBER(FIND("야간",설정!$B$24)),ISNUMBER(FIND("휴일",설정!$B$24))),INDEX(직원목록!$M$7:$M$306,MATCH(1,직원목록!$B$7:$B$306,0))&gt;0),"연장·야간·휴일 수당은 시간 수도 명세서에 적어야 하니 시간 열 지정 필요 / ",""))))</f>
        <v/>
      </c>
    </row>
    <row r="14">
      <c r="A14" s="26">
        <f>IF(IFERROR(MATCH(2,직원목록!$B$7:$B$306,0),0)=0,"",2)</f>
        <v/>
      </c>
      <c r="B14" s="2">
        <f>IF($A14="","",IFERROR(INDEX(직원목록!$D$7:$D$306,MATCH(2,직원목록!$B$7:$B$306,0)),""))</f>
        <v/>
      </c>
      <c r="C14" s="2">
        <f>IF($A14="","",IFERROR(INDEX(직원목록!$C$7:$C$306,MATCH(2,직원목록!$B$7:$B$306,0)),""))</f>
        <v/>
      </c>
      <c r="D14" s="27">
        <f>IF($A14="","",IFERROR(INDEX(직원목록!$V$7:$V$306,MATCH(2,직원목록!$B$7:$B$306,0)),""))</f>
        <v/>
      </c>
      <c r="E14" s="27">
        <f>IF($A14="","",IFERROR(INDEX(직원목록!$AG$7:$AG$306,MATCH(2,직원목록!$B$7:$B$306,0)),""))</f>
        <v/>
      </c>
      <c r="F14" s="27">
        <f>IF(OR($A14="",E14=""),"",D14-E14)</f>
        <v/>
      </c>
      <c r="G14" s="27">
        <f>IF($A14="","",IFERROR(INDEX(직원목록!$AE$7:$AE$306,MATCH(2,직원목록!$B$7:$B$306,0)),""))</f>
        <v/>
      </c>
      <c r="H14" s="27">
        <f>IF($A14="","",IFERROR(INDEX(직원목록!$AH$7:$AH$306,MATCH(2,직원목록!$B$7:$B$306,0)),""))</f>
        <v/>
      </c>
      <c r="I14" s="27">
        <f>IF(OR($A14="",H14=""),"",G14-H14)</f>
        <v/>
      </c>
      <c r="J14" s="27">
        <f>IF($A14="","",IFERROR(INDEX(직원목록!$AF$7:$AF$306,MATCH(2,직원목록!$B$7:$B$306,0)),""))</f>
        <v/>
      </c>
      <c r="K14" s="27">
        <f>IF($A14="","",IFERROR(INDEX(직원목록!$AI$7:$AI$306,MATCH(2,직원목록!$B$7:$B$306,0)),""))</f>
        <v/>
      </c>
      <c r="L14" s="8">
        <f>IF($A14="","",IF(LEN(IF(AND(F14&lt;&gt;"",F14&lt;&gt;0),"계산 총지급과 대장 총지급이 다릅니다 / ","")&amp;IF(AND(I14&lt;&gt;"",I14&lt;&gt;0),"계산 총공제와 대장 총공제가 다릅니다 / ","")&amp;IF(J14&lt;0,"실수령액이 음수입니다 / ","")&amp;IF(COUNTIF(직원목록!$D$7:$D$306,B14)&gt;1,"같은 이름이 둘 이상 — 미리보기는 첫 번째만 보입니다 / ","")&amp;IF(AND(C14&lt;&gt;"",COUNTIF(직원목록!$C$7:$C$306,C14)&gt;1),"사번 중복 / ","")&amp;IF(D14=0,"총지급이 0원 — 머리글 매칭 확인 / ","")&amp;IF(AND(설정!$B$17&lt;&gt;"",설정!$C$17="",OR(ISNUMBER(FIND("연장",설정!$B$17)),ISNUMBER(FIND("야간",설정!$B$17)),ISNUMBER(FIND("휴일",설정!$B$17))),INDEX(직원목록!$F$7:$F$306,MATCH(2,직원목록!$B$7:$B$306,0))&gt;0),"연장·야간·휴일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","")&amp;IF(AND(설정!$B$24&lt;&gt;"",설정!$C$24="",OR(ISNUMBER(FIND("연장",설정!$B$24)),ISNUMBER(FIND("야간",설정!$B$24)),ISNUMBER(FIND("휴일",설정!$B$24))),INDEX(직원목록!$M$7:$M$306,MATCH(2,직원목록!$B$7:$B$306,0))&gt;0),"연장·야간·휴일 수당은 시간 수도 명세서에 적어야 하니 시간 열 지정 필요 / ",""))=0,"✔",("⚠ "&amp;IF(AND(F14&lt;&gt;"",F14&lt;&gt;0),"계산 총지급과 대장 총지급이 다릅니다 / ","")&amp;IF(AND(I14&lt;&gt;"",I14&lt;&gt;0),"계산 총공제와 대장 총공제가 다릅니다 / ","")&amp;IF(J14&lt;0,"실수령액이 음수입니다 / ","")&amp;IF(COUNTIF(직원목록!$D$7:$D$306,B14)&gt;1,"같은 이름이 둘 이상 — 미리보기는 첫 번째만 보입니다 / ","")&amp;IF(AND(C14&lt;&gt;"",COUNTIF(직원목록!$C$7:$C$306,C14)&gt;1),"사번 중복 / ","")&amp;IF(D14=0,"총지급이 0원 — 머리글 매칭 확인 / ","")&amp;IF(AND(설정!$B$17&lt;&gt;"",설정!$C$17="",OR(ISNUMBER(FIND("연장",설정!$B$17)),ISNUMBER(FIND("야간",설정!$B$17)),ISNUMBER(FIND("휴일",설정!$B$17))),INDEX(직원목록!$F$7:$F$306,MATCH(2,직원목록!$B$7:$B$306,0))&gt;0),"연장·야간·휴일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","")&amp;IF(AND(설정!$B$24&lt;&gt;"",설정!$C$24="",OR(ISNUMBER(FIND("연장",설정!$B$24)),ISNUMBER(FIND("야간",설정!$B$24)),ISNUMBER(FIND("휴일",설정!$B$24))),INDEX(직원목록!$M$7:$M$306,MATCH(2,직원목록!$B$7:$B$306,0))&gt;0),"연장·야간·휴일 수당은 시간 수도 명세서에 적어야 하니 시간 열 지정 필요 / ",""))))</f>
        <v/>
      </c>
    </row>
    <row r="15">
      <c r="A15" s="26">
        <f>IF(IFERROR(MATCH(3,직원목록!$B$7:$B$306,0),0)=0,"",3)</f>
        <v/>
      </c>
      <c r="B15" s="2">
        <f>IF($A15="","",IFERROR(INDEX(직원목록!$D$7:$D$306,MATCH(3,직원목록!$B$7:$B$306,0)),""))</f>
        <v/>
      </c>
      <c r="C15" s="2">
        <f>IF($A15="","",IFERROR(INDEX(직원목록!$C$7:$C$306,MATCH(3,직원목록!$B$7:$B$306,0)),""))</f>
        <v/>
      </c>
      <c r="D15" s="27">
        <f>IF($A15="","",IFERROR(INDEX(직원목록!$V$7:$V$306,MATCH(3,직원목록!$B$7:$B$306,0)),""))</f>
        <v/>
      </c>
      <c r="E15" s="27">
        <f>IF($A15="","",IFERROR(INDEX(직원목록!$AG$7:$AG$306,MATCH(3,직원목록!$B$7:$B$306,0)),""))</f>
        <v/>
      </c>
      <c r="F15" s="27">
        <f>IF(OR($A15="",E15=""),"",D15-E15)</f>
        <v/>
      </c>
      <c r="G15" s="27">
        <f>IF($A15="","",IFERROR(INDEX(직원목록!$AE$7:$AE$306,MATCH(3,직원목록!$B$7:$B$306,0)),""))</f>
        <v/>
      </c>
      <c r="H15" s="27">
        <f>IF($A15="","",IFERROR(INDEX(직원목록!$AH$7:$AH$306,MATCH(3,직원목록!$B$7:$B$306,0)),""))</f>
        <v/>
      </c>
      <c r="I15" s="27">
        <f>IF(OR($A15="",H15=""),"",G15-H15)</f>
        <v/>
      </c>
      <c r="J15" s="27">
        <f>IF($A15="","",IFERROR(INDEX(직원목록!$AF$7:$AF$306,MATCH(3,직원목록!$B$7:$B$306,0)),""))</f>
        <v/>
      </c>
      <c r="K15" s="27">
        <f>IF($A15="","",IFERROR(INDEX(직원목록!$AI$7:$AI$306,MATCH(3,직원목록!$B$7:$B$306,0)),""))</f>
        <v/>
      </c>
      <c r="L15" s="8">
        <f>IF($A15="","",IF(LEN(IF(AND(F15&lt;&gt;"",F15&lt;&gt;0),"계산 총지급과 대장 총지급이 다릅니다 / ","")&amp;IF(AND(I15&lt;&gt;"",I15&lt;&gt;0),"계산 총공제와 대장 총공제가 다릅니다 / ","")&amp;IF(J15&lt;0,"실수령액이 음수입니다 / ","")&amp;IF(COUNTIF(직원목록!$D$7:$D$306,B15)&gt;1,"같은 이름이 둘 이상 — 미리보기는 첫 번째만 보입니다 / ","")&amp;IF(AND(C15&lt;&gt;"",COUNTIF(직원목록!$C$7:$C$306,C15)&gt;1),"사번 중복 / ","")&amp;IF(D15=0,"총지급이 0원 — 머리글 매칭 확인 / ","")&amp;IF(AND(설정!$B$17&lt;&gt;"",설정!$C$17="",OR(ISNUMBER(FIND("연장",설정!$B$17)),ISNUMBER(FIND("야간",설정!$B$17)),ISNUMBER(FIND("휴일",설정!$B$17))),INDEX(직원목록!$F$7:$F$306,MATCH(3,직원목록!$B$7:$B$306,0))&gt;0),"연장·야간·휴일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","")&amp;IF(AND(설정!$B$24&lt;&gt;"",설정!$C$24="",OR(ISNUMBER(FIND("연장",설정!$B$24)),ISNUMBER(FIND("야간",설정!$B$24)),ISNUMBER(FIND("휴일",설정!$B$24))),INDEX(직원목록!$M$7:$M$306,MATCH(3,직원목록!$B$7:$B$306,0))&gt;0),"연장·야간·휴일 수당은 시간 수도 명세서에 적어야 하니 시간 열 지정 필요 / ",""))=0,"✔",("⚠ "&amp;IF(AND(F15&lt;&gt;"",F15&lt;&gt;0),"계산 총지급과 대장 총지급이 다릅니다 / ","")&amp;IF(AND(I15&lt;&gt;"",I15&lt;&gt;0),"계산 총공제와 대장 총공제가 다릅니다 / ","")&amp;IF(J15&lt;0,"실수령액이 음수입니다 / ","")&amp;IF(COUNTIF(직원목록!$D$7:$D$306,B15)&gt;1,"같은 이름이 둘 이상 — 미리보기는 첫 번째만 보입니다 / ","")&amp;IF(AND(C15&lt;&gt;"",COUNTIF(직원목록!$C$7:$C$306,C15)&gt;1),"사번 중복 / ","")&amp;IF(D15=0,"총지급이 0원 — 머리글 매칭 확인 / ","")&amp;IF(AND(설정!$B$17&lt;&gt;"",설정!$C$17="",OR(ISNUMBER(FIND("연장",설정!$B$17)),ISNUMBER(FIND("야간",설정!$B$17)),ISNUMBER(FIND("휴일",설정!$B$17))),INDEX(직원목록!$F$7:$F$306,MATCH(3,직원목록!$B$7:$B$306,0))&gt;0),"연장·야간·휴일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","")&amp;IF(AND(설정!$B$24&lt;&gt;"",설정!$C$24="",OR(ISNUMBER(FIND("연장",설정!$B$24)),ISNUMBER(FIND("야간",설정!$B$24)),ISNUMBER(FIND("휴일",설정!$B$24))),INDEX(직원목록!$M$7:$M$306,MATCH(3,직원목록!$B$7:$B$306,0))&gt;0),"연장·야간·휴일 수당은 시간 수도 명세서에 적어야 하니 시간 열 지정 필요 / ",""))))</f>
        <v/>
      </c>
    </row>
    <row r="16">
      <c r="A16" s="26">
        <f>IF(IFERROR(MATCH(4,직원목록!$B$7:$B$306,0),0)=0,"",4)</f>
        <v/>
      </c>
      <c r="B16" s="2">
        <f>IF($A16="","",IFERROR(INDEX(직원목록!$D$7:$D$306,MATCH(4,직원목록!$B$7:$B$306,0)),""))</f>
        <v/>
      </c>
      <c r="C16" s="2">
        <f>IF($A16="","",IFERROR(INDEX(직원목록!$C$7:$C$306,MATCH(4,직원목록!$B$7:$B$306,0)),""))</f>
        <v/>
      </c>
      <c r="D16" s="27">
        <f>IF($A16="","",IFERROR(INDEX(직원목록!$V$7:$V$306,MATCH(4,직원목록!$B$7:$B$306,0)),""))</f>
        <v/>
      </c>
      <c r="E16" s="27">
        <f>IF($A16="","",IFERROR(INDEX(직원목록!$AG$7:$AG$306,MATCH(4,직원목록!$B$7:$B$306,0)),""))</f>
        <v/>
      </c>
      <c r="F16" s="27">
        <f>IF(OR($A16="",E16=""),"",D16-E16)</f>
        <v/>
      </c>
      <c r="G16" s="27">
        <f>IF($A16="","",IFERROR(INDEX(직원목록!$AE$7:$AE$306,MATCH(4,직원목록!$B$7:$B$306,0)),""))</f>
        <v/>
      </c>
      <c r="H16" s="27">
        <f>IF($A16="","",IFERROR(INDEX(직원목록!$AH$7:$AH$306,MATCH(4,직원목록!$B$7:$B$306,0)),""))</f>
        <v/>
      </c>
      <c r="I16" s="27">
        <f>IF(OR($A16="",H16=""),"",G16-H16)</f>
        <v/>
      </c>
      <c r="J16" s="27">
        <f>IF($A16="","",IFERROR(INDEX(직원목록!$AF$7:$AF$306,MATCH(4,직원목록!$B$7:$B$306,0)),""))</f>
        <v/>
      </c>
      <c r="K16" s="27">
        <f>IF($A16="","",IFERROR(INDEX(직원목록!$AI$7:$AI$306,MATCH(4,직원목록!$B$7:$B$306,0)),""))</f>
        <v/>
      </c>
      <c r="L16" s="8">
        <f>IF($A16="","",IF(LEN(IF(AND(F16&lt;&gt;"",F16&lt;&gt;0),"계산 총지급과 대장 총지급이 다릅니다 / ","")&amp;IF(AND(I16&lt;&gt;"",I16&lt;&gt;0),"계산 총공제와 대장 총공제가 다릅니다 / ","")&amp;IF(J16&lt;0,"실수령액이 음수입니다 / ","")&amp;IF(COUNTIF(직원목록!$D$7:$D$306,B16)&gt;1,"같은 이름이 둘 이상 — 미리보기는 첫 번째만 보입니다 / ","")&amp;IF(AND(C16&lt;&gt;"",COUNTIF(직원목록!$C$7:$C$306,C16)&gt;1),"사번 중복 / ","")&amp;IF(D16=0,"총지급이 0원 — 머리글 매칭 확인 / ","")&amp;IF(AND(설정!$B$17&lt;&gt;"",설정!$C$17="",OR(ISNUMBER(FIND("연장",설정!$B$17)),ISNUMBER(FIND("야간",설정!$B$17)),ISNUMBER(FIND("휴일",설정!$B$17))),INDEX(직원목록!$F$7:$F$306,MATCH(4,직원목록!$B$7:$B$306,0))&gt;0),"연장·야간·휴일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","")&amp;IF(AND(설정!$B$24&lt;&gt;"",설정!$C$24="",OR(ISNUMBER(FIND("연장",설정!$B$24)),ISNUMBER(FIND("야간",설정!$B$24)),ISNUMBER(FIND("휴일",설정!$B$24))),INDEX(직원목록!$M$7:$M$306,MATCH(4,직원목록!$B$7:$B$306,0))&gt;0),"연장·야간·휴일 수당은 시간 수도 명세서에 적어야 하니 시간 열 지정 필요 / ",""))=0,"✔",("⚠ "&amp;IF(AND(F16&lt;&gt;"",F16&lt;&gt;0),"계산 총지급과 대장 총지급이 다릅니다 / ","")&amp;IF(AND(I16&lt;&gt;"",I16&lt;&gt;0),"계산 총공제와 대장 총공제가 다릅니다 / ","")&amp;IF(J16&lt;0,"실수령액이 음수입니다 / ","")&amp;IF(COUNTIF(직원목록!$D$7:$D$306,B16)&gt;1,"같은 이름이 둘 이상 — 미리보기는 첫 번째만 보입니다 / ","")&amp;IF(AND(C16&lt;&gt;"",COUNTIF(직원목록!$C$7:$C$306,C16)&gt;1),"사번 중복 / ","")&amp;IF(D16=0,"총지급이 0원 — 머리글 매칭 확인 / ","")&amp;IF(AND(설정!$B$17&lt;&gt;"",설정!$C$17="",OR(ISNUMBER(FIND("연장",설정!$B$17)),ISNUMBER(FIND("야간",설정!$B$17)),ISNUMBER(FIND("휴일",설정!$B$17))),INDEX(직원목록!$F$7:$F$306,MATCH(4,직원목록!$B$7:$B$306,0))&gt;0),"연장·야간·휴일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","")&amp;IF(AND(설정!$B$24&lt;&gt;"",설정!$C$24="",OR(ISNUMBER(FIND("연장",설정!$B$24)),ISNUMBER(FIND("야간",설정!$B$24)),ISNUMBER(FIND("휴일",설정!$B$24))),INDEX(직원목록!$M$7:$M$306,MATCH(4,직원목록!$B$7:$B$306,0))&gt;0),"연장·야간·휴일 수당은 시간 수도 명세서에 적어야 하니 시간 열 지정 필요 / ",""))))</f>
        <v/>
      </c>
    </row>
    <row r="17">
      <c r="A17" s="26">
        <f>IF(IFERROR(MATCH(5,직원목록!$B$7:$B$306,0),0)=0,"",5)</f>
        <v/>
      </c>
      <c r="B17" s="2">
        <f>IF($A17="","",IFERROR(INDEX(직원목록!$D$7:$D$306,MATCH(5,직원목록!$B$7:$B$306,0)),""))</f>
        <v/>
      </c>
      <c r="C17" s="2">
        <f>IF($A17="","",IFERROR(INDEX(직원목록!$C$7:$C$306,MATCH(5,직원목록!$B$7:$B$306,0)),""))</f>
        <v/>
      </c>
      <c r="D17" s="27">
        <f>IF($A17="","",IFERROR(INDEX(직원목록!$V$7:$V$306,MATCH(5,직원목록!$B$7:$B$306,0)),""))</f>
        <v/>
      </c>
      <c r="E17" s="27">
        <f>IF($A17="","",IFERROR(INDEX(직원목록!$AG$7:$AG$306,MATCH(5,직원목록!$B$7:$B$306,0)),""))</f>
        <v/>
      </c>
      <c r="F17" s="27">
        <f>IF(OR($A17="",E17=""),"",D17-E17)</f>
        <v/>
      </c>
      <c r="G17" s="27">
        <f>IF($A17="","",IFERROR(INDEX(직원목록!$AE$7:$AE$306,MATCH(5,직원목록!$B$7:$B$306,0)),""))</f>
        <v/>
      </c>
      <c r="H17" s="27">
        <f>IF($A17="","",IFERROR(INDEX(직원목록!$AH$7:$AH$306,MATCH(5,직원목록!$B$7:$B$306,0)),""))</f>
        <v/>
      </c>
      <c r="I17" s="27">
        <f>IF(OR($A17="",H17=""),"",G17-H17)</f>
        <v/>
      </c>
      <c r="J17" s="27">
        <f>IF($A17="","",IFERROR(INDEX(직원목록!$AF$7:$AF$306,MATCH(5,직원목록!$B$7:$B$306,0)),""))</f>
        <v/>
      </c>
      <c r="K17" s="27">
        <f>IF($A17="","",IFERROR(INDEX(직원목록!$AI$7:$AI$306,MATCH(5,직원목록!$B$7:$B$306,0)),""))</f>
        <v/>
      </c>
      <c r="L17" s="8">
        <f>IF($A17="","",IF(LEN(IF(AND(F17&lt;&gt;"",F17&lt;&gt;0),"계산 총지급과 대장 총지급이 다릅니다 / ","")&amp;IF(AND(I17&lt;&gt;"",I17&lt;&gt;0),"계산 총공제와 대장 총공제가 다릅니다 / ","")&amp;IF(J17&lt;0,"실수령액이 음수입니다 / ","")&amp;IF(COUNTIF(직원목록!$D$7:$D$306,B17)&gt;1,"같은 이름이 둘 이상 — 미리보기는 첫 번째만 보입니다 / ","")&amp;IF(AND(C17&lt;&gt;"",COUNTIF(직원목록!$C$7:$C$306,C17)&gt;1),"사번 중복 / ","")&amp;IF(D17=0,"총지급이 0원 — 머리글 매칭 확인 / ","")&amp;IF(AND(설정!$B$17&lt;&gt;"",설정!$C$17="",OR(ISNUMBER(FIND("연장",설정!$B$17)),ISNUMBER(FIND("야간",설정!$B$17)),ISNUMBER(FIND("휴일",설정!$B$17))),INDEX(직원목록!$F$7:$F$306,MATCH(5,직원목록!$B$7:$B$306,0))&gt;0),"연장·야간·휴일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","")&amp;IF(AND(설정!$B$24&lt;&gt;"",설정!$C$24="",OR(ISNUMBER(FIND("연장",설정!$B$24)),ISNUMBER(FIND("야간",설정!$B$24)),ISNUMBER(FIND("휴일",설정!$B$24))),INDEX(직원목록!$M$7:$M$306,MATCH(5,직원목록!$B$7:$B$306,0))&gt;0),"연장·야간·휴일 수당은 시간 수도 명세서에 적어야 하니 시간 열 지정 필요 / ",""))=0,"✔",("⚠ "&amp;IF(AND(F17&lt;&gt;"",F17&lt;&gt;0),"계산 총지급과 대장 총지급이 다릅니다 / ","")&amp;IF(AND(I17&lt;&gt;"",I17&lt;&gt;0),"계산 총공제와 대장 총공제가 다릅니다 / ","")&amp;IF(J17&lt;0,"실수령액이 음수입니다 / ","")&amp;IF(COUNTIF(직원목록!$D$7:$D$306,B17)&gt;1,"같은 이름이 둘 이상 — 미리보기는 첫 번째만 보입니다 / ","")&amp;IF(AND(C17&lt;&gt;"",COUNTIF(직원목록!$C$7:$C$306,C17)&gt;1),"사번 중복 / ","")&amp;IF(D17=0,"총지급이 0원 — 머리글 매칭 확인 / ","")&amp;IF(AND(설정!$B$17&lt;&gt;"",설정!$C$17="",OR(ISNUMBER(FIND("연장",설정!$B$17)),ISNUMBER(FIND("야간",설정!$B$17)),ISNUMBER(FIND("휴일",설정!$B$17))),INDEX(직원목록!$F$7:$F$306,MATCH(5,직원목록!$B$7:$B$306,0))&gt;0),"연장·야간·휴일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","")&amp;IF(AND(설정!$B$24&lt;&gt;"",설정!$C$24="",OR(ISNUMBER(FIND("연장",설정!$B$24)),ISNUMBER(FIND("야간",설정!$B$24)),ISNUMBER(FIND("휴일",설정!$B$24))),INDEX(직원목록!$M$7:$M$306,MATCH(5,직원목록!$B$7:$B$306,0))&gt;0),"연장·야간·휴일 수당은 시간 수도 명세서에 적어야 하니 시간 열 지정 필요 / ",""))))</f>
        <v/>
      </c>
    </row>
    <row r="18">
      <c r="A18" s="26">
        <f>IF(IFERROR(MATCH(6,직원목록!$B$7:$B$306,0),0)=0,"",6)</f>
        <v/>
      </c>
      <c r="B18" s="2">
        <f>IF($A18="","",IFERROR(INDEX(직원목록!$D$7:$D$306,MATCH(6,직원목록!$B$7:$B$306,0)),""))</f>
        <v/>
      </c>
      <c r="C18" s="2">
        <f>IF($A18="","",IFERROR(INDEX(직원목록!$C$7:$C$306,MATCH(6,직원목록!$B$7:$B$306,0)),""))</f>
        <v/>
      </c>
      <c r="D18" s="27">
        <f>IF($A18="","",IFERROR(INDEX(직원목록!$V$7:$V$306,MATCH(6,직원목록!$B$7:$B$306,0)),""))</f>
        <v/>
      </c>
      <c r="E18" s="27">
        <f>IF($A18="","",IFERROR(INDEX(직원목록!$AG$7:$AG$306,MATCH(6,직원목록!$B$7:$B$306,0)),""))</f>
        <v/>
      </c>
      <c r="F18" s="27">
        <f>IF(OR($A18="",E18=""),"",D18-E18)</f>
        <v/>
      </c>
      <c r="G18" s="27">
        <f>IF($A18="","",IFERROR(INDEX(직원목록!$AE$7:$AE$306,MATCH(6,직원목록!$B$7:$B$306,0)),""))</f>
        <v/>
      </c>
      <c r="H18" s="27">
        <f>IF($A18="","",IFERROR(INDEX(직원목록!$AH$7:$AH$306,MATCH(6,직원목록!$B$7:$B$306,0)),""))</f>
        <v/>
      </c>
      <c r="I18" s="27">
        <f>IF(OR($A18="",H18=""),"",G18-H18)</f>
        <v/>
      </c>
      <c r="J18" s="27">
        <f>IF($A18="","",IFERROR(INDEX(직원목록!$AF$7:$AF$306,MATCH(6,직원목록!$B$7:$B$306,0)),""))</f>
        <v/>
      </c>
      <c r="K18" s="27">
        <f>IF($A18="","",IFERROR(INDEX(직원목록!$AI$7:$AI$306,MATCH(6,직원목록!$B$7:$B$306,0)),""))</f>
        <v/>
      </c>
      <c r="L18" s="8">
        <f>IF($A18="","",IF(LEN(IF(AND(F18&lt;&gt;"",F18&lt;&gt;0),"계산 총지급과 대장 총지급이 다릅니다 / ","")&amp;IF(AND(I18&lt;&gt;"",I18&lt;&gt;0),"계산 총공제와 대장 총공제가 다릅니다 / ","")&amp;IF(J18&lt;0,"실수령액이 음수입니다 / ","")&amp;IF(COUNTIF(직원목록!$D$7:$D$306,B18)&gt;1,"같은 이름이 둘 이상 — 미리보기는 첫 번째만 보입니다 / ","")&amp;IF(AND(C18&lt;&gt;"",COUNTIF(직원목록!$C$7:$C$306,C18)&gt;1),"사번 중복 / ","")&amp;IF(D18=0,"총지급이 0원 — 머리글 매칭 확인 / ","")&amp;IF(AND(설정!$B$17&lt;&gt;"",설정!$C$17="",OR(ISNUMBER(FIND("연장",설정!$B$17)),ISNUMBER(FIND("야간",설정!$B$17)),ISNUMBER(FIND("휴일",설정!$B$17))),INDEX(직원목록!$F$7:$F$306,MATCH(6,직원목록!$B$7:$B$306,0))&gt;0),"연장·야간·휴일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","")&amp;IF(AND(설정!$B$24&lt;&gt;"",설정!$C$24="",OR(ISNUMBER(FIND("연장",설정!$B$24)),ISNUMBER(FIND("야간",설정!$B$24)),ISNUMBER(FIND("휴일",설정!$B$24))),INDEX(직원목록!$M$7:$M$306,MATCH(6,직원목록!$B$7:$B$306,0))&gt;0),"연장·야간·휴일 수당은 시간 수도 명세서에 적어야 하니 시간 열 지정 필요 / ",""))=0,"✔",("⚠ "&amp;IF(AND(F18&lt;&gt;"",F18&lt;&gt;0),"계산 총지급과 대장 총지급이 다릅니다 / ","")&amp;IF(AND(I18&lt;&gt;"",I18&lt;&gt;0),"계산 총공제와 대장 총공제가 다릅니다 / ","")&amp;IF(J18&lt;0,"실수령액이 음수입니다 / ","")&amp;IF(COUNTIF(직원목록!$D$7:$D$306,B18)&gt;1,"같은 이름이 둘 이상 — 미리보기는 첫 번째만 보입니다 / ","")&amp;IF(AND(C18&lt;&gt;"",COUNTIF(직원목록!$C$7:$C$306,C18)&gt;1),"사번 중복 / ","")&amp;IF(D18=0,"총지급이 0원 — 머리글 매칭 확인 / ","")&amp;IF(AND(설정!$B$17&lt;&gt;"",설정!$C$17="",OR(ISNUMBER(FIND("연장",설정!$B$17)),ISNUMBER(FIND("야간",설정!$B$17)),ISNUMBER(FIND("휴일",설정!$B$17))),INDEX(직원목록!$F$7:$F$306,MATCH(6,직원목록!$B$7:$B$306,0))&gt;0),"연장·야간·휴일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","")&amp;IF(AND(설정!$B$24&lt;&gt;"",설정!$C$24="",OR(ISNUMBER(FIND("연장",설정!$B$24)),ISNUMBER(FIND("야간",설정!$B$24)),ISNUMBER(FIND("휴일",설정!$B$24))),INDEX(직원목록!$M$7:$M$306,MATCH(6,직원목록!$B$7:$B$306,0))&gt;0),"연장·야간·휴일 수당은 시간 수도 명세서에 적어야 하니 시간 열 지정 필요 / ",""))))</f>
        <v/>
      </c>
    </row>
    <row r="19">
      <c r="A19" s="26">
        <f>IF(IFERROR(MATCH(7,직원목록!$B$7:$B$306,0),0)=0,"",7)</f>
        <v/>
      </c>
      <c r="B19" s="2">
        <f>IF($A19="","",IFERROR(INDEX(직원목록!$D$7:$D$306,MATCH(7,직원목록!$B$7:$B$306,0)),""))</f>
        <v/>
      </c>
      <c r="C19" s="2">
        <f>IF($A19="","",IFERROR(INDEX(직원목록!$C$7:$C$306,MATCH(7,직원목록!$B$7:$B$306,0)),""))</f>
        <v/>
      </c>
      <c r="D19" s="27">
        <f>IF($A19="","",IFERROR(INDEX(직원목록!$V$7:$V$306,MATCH(7,직원목록!$B$7:$B$306,0)),""))</f>
        <v/>
      </c>
      <c r="E19" s="27">
        <f>IF($A19="","",IFERROR(INDEX(직원목록!$AG$7:$AG$306,MATCH(7,직원목록!$B$7:$B$306,0)),""))</f>
        <v/>
      </c>
      <c r="F19" s="27">
        <f>IF(OR($A19="",E19=""),"",D19-E19)</f>
        <v/>
      </c>
      <c r="G19" s="27">
        <f>IF($A19="","",IFERROR(INDEX(직원목록!$AE$7:$AE$306,MATCH(7,직원목록!$B$7:$B$306,0)),""))</f>
        <v/>
      </c>
      <c r="H19" s="27">
        <f>IF($A19="","",IFERROR(INDEX(직원목록!$AH$7:$AH$306,MATCH(7,직원목록!$B$7:$B$306,0)),""))</f>
        <v/>
      </c>
      <c r="I19" s="27">
        <f>IF(OR($A19="",H19=""),"",G19-H19)</f>
        <v/>
      </c>
      <c r="J19" s="27">
        <f>IF($A19="","",IFERROR(INDEX(직원목록!$AF$7:$AF$306,MATCH(7,직원목록!$B$7:$B$306,0)),""))</f>
        <v/>
      </c>
      <c r="K19" s="27">
        <f>IF($A19="","",IFERROR(INDEX(직원목록!$AI$7:$AI$306,MATCH(7,직원목록!$B$7:$B$306,0)),""))</f>
        <v/>
      </c>
      <c r="L19" s="8">
        <f>IF($A19="","",IF(LEN(IF(AND(F19&lt;&gt;"",F19&lt;&gt;0),"계산 총지급과 대장 총지급이 다릅니다 / ","")&amp;IF(AND(I19&lt;&gt;"",I19&lt;&gt;0),"계산 총공제와 대장 총공제가 다릅니다 / ","")&amp;IF(J19&lt;0,"실수령액이 음수입니다 / ","")&amp;IF(COUNTIF(직원목록!$D$7:$D$306,B19)&gt;1,"같은 이름이 둘 이상 — 미리보기는 첫 번째만 보입니다 / ","")&amp;IF(AND(C19&lt;&gt;"",COUNTIF(직원목록!$C$7:$C$306,C19)&gt;1),"사번 중복 / ","")&amp;IF(D19=0,"총지급이 0원 — 머리글 매칭 확인 / ","")&amp;IF(AND(설정!$B$17&lt;&gt;"",설정!$C$17="",OR(ISNUMBER(FIND("연장",설정!$B$17)),ISNUMBER(FIND("야간",설정!$B$17)),ISNUMBER(FIND("휴일",설정!$B$17))),INDEX(직원목록!$F$7:$F$306,MATCH(7,직원목록!$B$7:$B$306,0))&gt;0),"연장·야간·휴일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","")&amp;IF(AND(설정!$B$24&lt;&gt;"",설정!$C$24="",OR(ISNUMBER(FIND("연장",설정!$B$24)),ISNUMBER(FIND("야간",설정!$B$24)),ISNUMBER(FIND("휴일",설정!$B$24))),INDEX(직원목록!$M$7:$M$306,MATCH(7,직원목록!$B$7:$B$306,0))&gt;0),"연장·야간·휴일 수당은 시간 수도 명세서에 적어야 하니 시간 열 지정 필요 / ",""))=0,"✔",("⚠ "&amp;IF(AND(F19&lt;&gt;"",F19&lt;&gt;0),"계산 총지급과 대장 총지급이 다릅니다 / ","")&amp;IF(AND(I19&lt;&gt;"",I19&lt;&gt;0),"계산 총공제와 대장 총공제가 다릅니다 / ","")&amp;IF(J19&lt;0,"실수령액이 음수입니다 / ","")&amp;IF(COUNTIF(직원목록!$D$7:$D$306,B19)&gt;1,"같은 이름이 둘 이상 — 미리보기는 첫 번째만 보입니다 / ","")&amp;IF(AND(C19&lt;&gt;"",COUNTIF(직원목록!$C$7:$C$306,C19)&gt;1),"사번 중복 / ","")&amp;IF(D19=0,"총지급이 0원 — 머리글 매칭 확인 / ","")&amp;IF(AND(설정!$B$17&lt;&gt;"",설정!$C$17="",OR(ISNUMBER(FIND("연장",설정!$B$17)),ISNUMBER(FIND("야간",설정!$B$17)),ISNUMBER(FIND("휴일",설정!$B$17))),INDEX(직원목록!$F$7:$F$306,MATCH(7,직원목록!$B$7:$B$306,0))&gt;0),"연장·야간·휴일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","")&amp;IF(AND(설정!$B$24&lt;&gt;"",설정!$C$24="",OR(ISNUMBER(FIND("연장",설정!$B$24)),ISNUMBER(FIND("야간",설정!$B$24)),ISNUMBER(FIND("휴일",설정!$B$24))),INDEX(직원목록!$M$7:$M$306,MATCH(7,직원목록!$B$7:$B$306,0))&gt;0),"연장·야간·휴일 수당은 시간 수도 명세서에 적어야 하니 시간 열 지정 필요 / ",""))))</f>
        <v/>
      </c>
    </row>
    <row r="20">
      <c r="A20" s="26">
        <f>IF(IFERROR(MATCH(8,직원목록!$B$7:$B$306,0),0)=0,"",8)</f>
        <v/>
      </c>
      <c r="B20" s="2">
        <f>IF($A20="","",IFERROR(INDEX(직원목록!$D$7:$D$306,MATCH(8,직원목록!$B$7:$B$306,0)),""))</f>
        <v/>
      </c>
      <c r="C20" s="2">
        <f>IF($A20="","",IFERROR(INDEX(직원목록!$C$7:$C$306,MATCH(8,직원목록!$B$7:$B$306,0)),""))</f>
        <v/>
      </c>
      <c r="D20" s="27">
        <f>IF($A20="","",IFERROR(INDEX(직원목록!$V$7:$V$306,MATCH(8,직원목록!$B$7:$B$306,0)),""))</f>
        <v/>
      </c>
      <c r="E20" s="27">
        <f>IF($A20="","",IFERROR(INDEX(직원목록!$AG$7:$AG$306,MATCH(8,직원목록!$B$7:$B$306,0)),""))</f>
        <v/>
      </c>
      <c r="F20" s="27">
        <f>IF(OR($A20="",E20=""),"",D20-E20)</f>
        <v/>
      </c>
      <c r="G20" s="27">
        <f>IF($A20="","",IFERROR(INDEX(직원목록!$AE$7:$AE$306,MATCH(8,직원목록!$B$7:$B$306,0)),""))</f>
        <v/>
      </c>
      <c r="H20" s="27">
        <f>IF($A20="","",IFERROR(INDEX(직원목록!$AH$7:$AH$306,MATCH(8,직원목록!$B$7:$B$306,0)),""))</f>
        <v/>
      </c>
      <c r="I20" s="27">
        <f>IF(OR($A20="",H20=""),"",G20-H20)</f>
        <v/>
      </c>
      <c r="J20" s="27">
        <f>IF($A20="","",IFERROR(INDEX(직원목록!$AF$7:$AF$306,MATCH(8,직원목록!$B$7:$B$306,0)),""))</f>
        <v/>
      </c>
      <c r="K20" s="27">
        <f>IF($A20="","",IFERROR(INDEX(직원목록!$AI$7:$AI$306,MATCH(8,직원목록!$B$7:$B$306,0)),""))</f>
        <v/>
      </c>
      <c r="L20" s="8">
        <f>IF($A20="","",IF(LEN(IF(AND(F20&lt;&gt;"",F20&lt;&gt;0),"계산 총지급과 대장 총지급이 다릅니다 / ","")&amp;IF(AND(I20&lt;&gt;"",I20&lt;&gt;0),"계산 총공제와 대장 총공제가 다릅니다 / ","")&amp;IF(J20&lt;0,"실수령액이 음수입니다 / ","")&amp;IF(COUNTIF(직원목록!$D$7:$D$306,B20)&gt;1,"같은 이름이 둘 이상 — 미리보기는 첫 번째만 보입니다 / ","")&amp;IF(AND(C20&lt;&gt;"",COUNTIF(직원목록!$C$7:$C$306,C20)&gt;1),"사번 중복 / ","")&amp;IF(D20=0,"총지급이 0원 — 머리글 매칭 확인 / ","")&amp;IF(AND(설정!$B$17&lt;&gt;"",설정!$C$17="",OR(ISNUMBER(FIND("연장",설정!$B$17)),ISNUMBER(FIND("야간",설정!$B$17)),ISNUMBER(FIND("휴일",설정!$B$17))),INDEX(직원목록!$F$7:$F$306,MATCH(8,직원목록!$B$7:$B$306,0))&gt;0),"연장·야간·휴일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","")&amp;IF(AND(설정!$B$24&lt;&gt;"",설정!$C$24="",OR(ISNUMBER(FIND("연장",설정!$B$24)),ISNUMBER(FIND("야간",설정!$B$24)),ISNUMBER(FIND("휴일",설정!$B$24))),INDEX(직원목록!$M$7:$M$306,MATCH(8,직원목록!$B$7:$B$306,0))&gt;0),"연장·야간·휴일 수당은 시간 수도 명세서에 적어야 하니 시간 열 지정 필요 / ",""))=0,"✔",("⚠ "&amp;IF(AND(F20&lt;&gt;"",F20&lt;&gt;0),"계산 총지급과 대장 총지급이 다릅니다 / ","")&amp;IF(AND(I20&lt;&gt;"",I20&lt;&gt;0),"계산 총공제와 대장 총공제가 다릅니다 / ","")&amp;IF(J20&lt;0,"실수령액이 음수입니다 / ","")&amp;IF(COUNTIF(직원목록!$D$7:$D$306,B20)&gt;1,"같은 이름이 둘 이상 — 미리보기는 첫 번째만 보입니다 / ","")&amp;IF(AND(C20&lt;&gt;"",COUNTIF(직원목록!$C$7:$C$306,C20)&gt;1),"사번 중복 / ","")&amp;IF(D20=0,"총지급이 0원 — 머리글 매칭 확인 / ","")&amp;IF(AND(설정!$B$17&lt;&gt;"",설정!$C$17="",OR(ISNUMBER(FIND("연장",설정!$B$17)),ISNUMBER(FIND("야간",설정!$B$17)),ISNUMBER(FIND("휴일",설정!$B$17))),INDEX(직원목록!$F$7:$F$306,MATCH(8,직원목록!$B$7:$B$306,0))&gt;0),"연장·야간·휴일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","")&amp;IF(AND(설정!$B$24&lt;&gt;"",설정!$C$24="",OR(ISNUMBER(FIND("연장",설정!$B$24)),ISNUMBER(FIND("야간",설정!$B$24)),ISNUMBER(FIND("휴일",설정!$B$24))),INDEX(직원목록!$M$7:$M$306,MATCH(8,직원목록!$B$7:$B$306,0))&gt;0),"연장·야간·휴일 수당은 시간 수도 명세서에 적어야 하니 시간 열 지정 필요 / ",""))))</f>
        <v/>
      </c>
    </row>
    <row r="21">
      <c r="A21" s="26">
        <f>IF(IFERROR(MATCH(9,직원목록!$B$7:$B$306,0),0)=0,"",9)</f>
        <v/>
      </c>
      <c r="B21" s="2">
        <f>IF($A21="","",IFERROR(INDEX(직원목록!$D$7:$D$306,MATCH(9,직원목록!$B$7:$B$306,0)),""))</f>
        <v/>
      </c>
      <c r="C21" s="2">
        <f>IF($A21="","",IFERROR(INDEX(직원목록!$C$7:$C$306,MATCH(9,직원목록!$B$7:$B$306,0)),""))</f>
        <v/>
      </c>
      <c r="D21" s="27">
        <f>IF($A21="","",IFERROR(INDEX(직원목록!$V$7:$V$306,MATCH(9,직원목록!$B$7:$B$306,0)),""))</f>
        <v/>
      </c>
      <c r="E21" s="27">
        <f>IF($A21="","",IFERROR(INDEX(직원목록!$AG$7:$AG$306,MATCH(9,직원목록!$B$7:$B$306,0)),""))</f>
        <v/>
      </c>
      <c r="F21" s="27">
        <f>IF(OR($A21="",E21=""),"",D21-E21)</f>
        <v/>
      </c>
      <c r="G21" s="27">
        <f>IF($A21="","",IFERROR(INDEX(직원목록!$AE$7:$AE$306,MATCH(9,직원목록!$B$7:$B$306,0)),""))</f>
        <v/>
      </c>
      <c r="H21" s="27">
        <f>IF($A21="","",IFERROR(INDEX(직원목록!$AH$7:$AH$306,MATCH(9,직원목록!$B$7:$B$306,0)),""))</f>
        <v/>
      </c>
      <c r="I21" s="27">
        <f>IF(OR($A21="",H21=""),"",G21-H21)</f>
        <v/>
      </c>
      <c r="J21" s="27">
        <f>IF($A21="","",IFERROR(INDEX(직원목록!$AF$7:$AF$306,MATCH(9,직원목록!$B$7:$B$306,0)),""))</f>
        <v/>
      </c>
      <c r="K21" s="27">
        <f>IF($A21="","",IFERROR(INDEX(직원목록!$AI$7:$AI$306,MATCH(9,직원목록!$B$7:$B$306,0)),""))</f>
        <v/>
      </c>
      <c r="L21" s="8">
        <f>IF($A21="","",IF(LEN(IF(AND(F21&lt;&gt;"",F21&lt;&gt;0),"계산 총지급과 대장 총지급이 다릅니다 / ","")&amp;IF(AND(I21&lt;&gt;"",I21&lt;&gt;0),"계산 총공제와 대장 총공제가 다릅니다 / ","")&amp;IF(J21&lt;0,"실수령액이 음수입니다 / ","")&amp;IF(COUNTIF(직원목록!$D$7:$D$306,B21)&gt;1,"같은 이름이 둘 이상 — 미리보기는 첫 번째만 보입니다 / ","")&amp;IF(AND(C21&lt;&gt;"",COUNTIF(직원목록!$C$7:$C$306,C21)&gt;1),"사번 중복 / ","")&amp;IF(D21=0,"총지급이 0원 — 머리글 매칭 확인 / ","")&amp;IF(AND(설정!$B$17&lt;&gt;"",설정!$C$17="",OR(ISNUMBER(FIND("연장",설정!$B$17)),ISNUMBER(FIND("야간",설정!$B$17)),ISNUMBER(FIND("휴일",설정!$B$17))),INDEX(직원목록!$F$7:$F$306,MATCH(9,직원목록!$B$7:$B$306,0))&gt;0),"연장·야간·휴일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","")&amp;IF(AND(설정!$B$24&lt;&gt;"",설정!$C$24="",OR(ISNUMBER(FIND("연장",설정!$B$24)),ISNUMBER(FIND("야간",설정!$B$24)),ISNUMBER(FIND("휴일",설정!$B$24))),INDEX(직원목록!$M$7:$M$306,MATCH(9,직원목록!$B$7:$B$306,0))&gt;0),"연장·야간·휴일 수당은 시간 수도 명세서에 적어야 하니 시간 열 지정 필요 / ",""))=0,"✔",("⚠ "&amp;IF(AND(F21&lt;&gt;"",F21&lt;&gt;0),"계산 총지급과 대장 총지급이 다릅니다 / ","")&amp;IF(AND(I21&lt;&gt;"",I21&lt;&gt;0),"계산 총공제와 대장 총공제가 다릅니다 / ","")&amp;IF(J21&lt;0,"실수령액이 음수입니다 / ","")&amp;IF(COUNTIF(직원목록!$D$7:$D$306,B21)&gt;1,"같은 이름이 둘 이상 — 미리보기는 첫 번째만 보입니다 / ","")&amp;IF(AND(C21&lt;&gt;"",COUNTIF(직원목록!$C$7:$C$306,C21)&gt;1),"사번 중복 / ","")&amp;IF(D21=0,"총지급이 0원 — 머리글 매칭 확인 / ","")&amp;IF(AND(설정!$B$17&lt;&gt;"",설정!$C$17="",OR(ISNUMBER(FIND("연장",설정!$B$17)),ISNUMBER(FIND("야간",설정!$B$17)),ISNUMBER(FIND("휴일",설정!$B$17))),INDEX(직원목록!$F$7:$F$306,MATCH(9,직원목록!$B$7:$B$306,0))&gt;0),"연장·야간·휴일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","")&amp;IF(AND(설정!$B$24&lt;&gt;"",설정!$C$24="",OR(ISNUMBER(FIND("연장",설정!$B$24)),ISNUMBER(FIND("야간",설정!$B$24)),ISNUMBER(FIND("휴일",설정!$B$24))),INDEX(직원목록!$M$7:$M$306,MATCH(9,직원목록!$B$7:$B$306,0))&gt;0),"연장·야간·휴일 수당은 시간 수도 명세서에 적어야 하니 시간 열 지정 필요 / ",""))))</f>
        <v/>
      </c>
    </row>
    <row r="22">
      <c r="A22" s="26">
        <f>IF(IFERROR(MATCH(10,직원목록!$B$7:$B$306,0),0)=0,"",10)</f>
        <v/>
      </c>
      <c r="B22" s="2">
        <f>IF($A22="","",IFERROR(INDEX(직원목록!$D$7:$D$306,MATCH(10,직원목록!$B$7:$B$306,0)),""))</f>
        <v/>
      </c>
      <c r="C22" s="2">
        <f>IF($A22="","",IFERROR(INDEX(직원목록!$C$7:$C$306,MATCH(10,직원목록!$B$7:$B$306,0)),""))</f>
        <v/>
      </c>
      <c r="D22" s="27">
        <f>IF($A22="","",IFERROR(INDEX(직원목록!$V$7:$V$306,MATCH(10,직원목록!$B$7:$B$306,0)),""))</f>
        <v/>
      </c>
      <c r="E22" s="27">
        <f>IF($A22="","",IFERROR(INDEX(직원목록!$AG$7:$AG$306,MATCH(10,직원목록!$B$7:$B$306,0)),""))</f>
        <v/>
      </c>
      <c r="F22" s="27">
        <f>IF(OR($A22="",E22=""),"",D22-E22)</f>
        <v/>
      </c>
      <c r="G22" s="27">
        <f>IF($A22="","",IFERROR(INDEX(직원목록!$AE$7:$AE$306,MATCH(10,직원목록!$B$7:$B$306,0)),""))</f>
        <v/>
      </c>
      <c r="H22" s="27">
        <f>IF($A22="","",IFERROR(INDEX(직원목록!$AH$7:$AH$306,MATCH(10,직원목록!$B$7:$B$306,0)),""))</f>
        <v/>
      </c>
      <c r="I22" s="27">
        <f>IF(OR($A22="",H22=""),"",G22-H22)</f>
        <v/>
      </c>
      <c r="J22" s="27">
        <f>IF($A22="","",IFERROR(INDEX(직원목록!$AF$7:$AF$306,MATCH(10,직원목록!$B$7:$B$306,0)),""))</f>
        <v/>
      </c>
      <c r="K22" s="27">
        <f>IF($A22="","",IFERROR(INDEX(직원목록!$AI$7:$AI$306,MATCH(10,직원목록!$B$7:$B$306,0)),""))</f>
        <v/>
      </c>
      <c r="L22" s="8">
        <f>IF($A22="","",IF(LEN(IF(AND(F22&lt;&gt;"",F22&lt;&gt;0),"계산 총지급과 대장 총지급이 다릅니다 / ","")&amp;IF(AND(I22&lt;&gt;"",I22&lt;&gt;0),"계산 총공제와 대장 총공제가 다릅니다 / ","")&amp;IF(J22&lt;0,"실수령액이 음수입니다 / ","")&amp;IF(COUNTIF(직원목록!$D$7:$D$306,B22)&gt;1,"같은 이름이 둘 이상 — 미리보기는 첫 번째만 보입니다 / ","")&amp;IF(AND(C22&lt;&gt;"",COUNTIF(직원목록!$C$7:$C$306,C22)&gt;1),"사번 중복 / ","")&amp;IF(D22=0,"총지급이 0원 — 머리글 매칭 확인 / ","")&amp;IF(AND(설정!$B$17&lt;&gt;"",설정!$C$17="",OR(ISNUMBER(FIND("연장",설정!$B$17)),ISNUMBER(FIND("야간",설정!$B$17)),ISNUMBER(FIND("휴일",설정!$B$17))),INDEX(직원목록!$F$7:$F$306,MATCH(10,직원목록!$B$7:$B$306,0))&gt;0),"연장·야간·휴일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","")&amp;IF(AND(설정!$B$24&lt;&gt;"",설정!$C$24="",OR(ISNUMBER(FIND("연장",설정!$B$24)),ISNUMBER(FIND("야간",설정!$B$24)),ISNUMBER(FIND("휴일",설정!$B$24))),INDEX(직원목록!$M$7:$M$306,MATCH(10,직원목록!$B$7:$B$306,0))&gt;0),"연장·야간·휴일 수당은 시간 수도 명세서에 적어야 하니 시간 열 지정 필요 / ",""))=0,"✔",("⚠ "&amp;IF(AND(F22&lt;&gt;"",F22&lt;&gt;0),"계산 총지급과 대장 총지급이 다릅니다 / ","")&amp;IF(AND(I22&lt;&gt;"",I22&lt;&gt;0),"계산 총공제와 대장 총공제가 다릅니다 / ","")&amp;IF(J22&lt;0,"실수령액이 음수입니다 / ","")&amp;IF(COUNTIF(직원목록!$D$7:$D$306,B22)&gt;1,"같은 이름이 둘 이상 — 미리보기는 첫 번째만 보입니다 / ","")&amp;IF(AND(C22&lt;&gt;"",COUNTIF(직원목록!$C$7:$C$306,C22)&gt;1),"사번 중복 / ","")&amp;IF(D22=0,"총지급이 0원 — 머리글 매칭 확인 / ","")&amp;IF(AND(설정!$B$17&lt;&gt;"",설정!$C$17="",OR(ISNUMBER(FIND("연장",설정!$B$17)),ISNUMBER(FIND("야간",설정!$B$17)),ISNUMBER(FIND("휴일",설정!$B$17))),INDEX(직원목록!$F$7:$F$306,MATCH(10,직원목록!$B$7:$B$306,0))&gt;0),"연장·야간·휴일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","")&amp;IF(AND(설정!$B$24&lt;&gt;"",설정!$C$24="",OR(ISNUMBER(FIND("연장",설정!$B$24)),ISNUMBER(FIND("야간",설정!$B$24)),ISNUMBER(FIND("휴일",설정!$B$24))),INDEX(직원목록!$M$7:$M$306,MATCH(10,직원목록!$B$7:$B$306,0))&gt;0),"연장·야간·휴일 수당은 시간 수도 명세서에 적어야 하니 시간 열 지정 필요 / ",""))))</f>
        <v/>
      </c>
    </row>
    <row r="23">
      <c r="A23" s="26">
        <f>IF(IFERROR(MATCH(11,직원목록!$B$7:$B$306,0),0)=0,"",11)</f>
        <v/>
      </c>
      <c r="B23" s="2">
        <f>IF($A23="","",IFERROR(INDEX(직원목록!$D$7:$D$306,MATCH(11,직원목록!$B$7:$B$306,0)),""))</f>
        <v/>
      </c>
      <c r="C23" s="2">
        <f>IF($A23="","",IFERROR(INDEX(직원목록!$C$7:$C$306,MATCH(11,직원목록!$B$7:$B$306,0)),""))</f>
        <v/>
      </c>
      <c r="D23" s="27">
        <f>IF($A23="","",IFERROR(INDEX(직원목록!$V$7:$V$306,MATCH(11,직원목록!$B$7:$B$306,0)),""))</f>
        <v/>
      </c>
      <c r="E23" s="27">
        <f>IF($A23="","",IFERROR(INDEX(직원목록!$AG$7:$AG$306,MATCH(11,직원목록!$B$7:$B$306,0)),""))</f>
        <v/>
      </c>
      <c r="F23" s="27">
        <f>IF(OR($A23="",E23=""),"",D23-E23)</f>
        <v/>
      </c>
      <c r="G23" s="27">
        <f>IF($A23="","",IFERROR(INDEX(직원목록!$AE$7:$AE$306,MATCH(11,직원목록!$B$7:$B$306,0)),""))</f>
        <v/>
      </c>
      <c r="H23" s="27">
        <f>IF($A23="","",IFERROR(INDEX(직원목록!$AH$7:$AH$306,MATCH(11,직원목록!$B$7:$B$306,0)),""))</f>
        <v/>
      </c>
      <c r="I23" s="27">
        <f>IF(OR($A23="",H23=""),"",G23-H23)</f>
        <v/>
      </c>
      <c r="J23" s="27">
        <f>IF($A23="","",IFERROR(INDEX(직원목록!$AF$7:$AF$306,MATCH(11,직원목록!$B$7:$B$306,0)),""))</f>
        <v/>
      </c>
      <c r="K23" s="27">
        <f>IF($A23="","",IFERROR(INDEX(직원목록!$AI$7:$AI$306,MATCH(11,직원목록!$B$7:$B$306,0)),""))</f>
        <v/>
      </c>
      <c r="L23" s="8">
        <f>IF($A23="","",IF(LEN(IF(AND(F23&lt;&gt;"",F23&lt;&gt;0),"계산 총지급과 대장 총지급이 다릅니다 / ","")&amp;IF(AND(I23&lt;&gt;"",I23&lt;&gt;0),"계산 총공제와 대장 총공제가 다릅니다 / ","")&amp;IF(J23&lt;0,"실수령액이 음수입니다 / ","")&amp;IF(COUNTIF(직원목록!$D$7:$D$306,B23)&gt;1,"같은 이름이 둘 이상 — 미리보기는 첫 번째만 보입니다 / ","")&amp;IF(AND(C23&lt;&gt;"",COUNTIF(직원목록!$C$7:$C$306,C23)&gt;1),"사번 중복 / ","")&amp;IF(D23=0,"총지급이 0원 — 머리글 매칭 확인 / ","")&amp;IF(AND(설정!$B$17&lt;&gt;"",설정!$C$17="",OR(ISNUMBER(FIND("연장",설정!$B$17)),ISNUMBER(FIND("야간",설정!$B$17)),ISNUMBER(FIND("휴일",설정!$B$17))),INDEX(직원목록!$F$7:$F$306,MATCH(11,직원목록!$B$7:$B$306,0))&gt;0),"연장·야간·휴일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","")&amp;IF(AND(설정!$B$24&lt;&gt;"",설정!$C$24="",OR(ISNUMBER(FIND("연장",설정!$B$24)),ISNUMBER(FIND("야간",설정!$B$24)),ISNUMBER(FIND("휴일",설정!$B$24))),INDEX(직원목록!$M$7:$M$306,MATCH(11,직원목록!$B$7:$B$306,0))&gt;0),"연장·야간·휴일 수당은 시간 수도 명세서에 적어야 하니 시간 열 지정 필요 / ",""))=0,"✔",("⚠ "&amp;IF(AND(F23&lt;&gt;"",F23&lt;&gt;0),"계산 총지급과 대장 총지급이 다릅니다 / ","")&amp;IF(AND(I23&lt;&gt;"",I23&lt;&gt;0),"계산 총공제와 대장 총공제가 다릅니다 / ","")&amp;IF(J23&lt;0,"실수령액이 음수입니다 / ","")&amp;IF(COUNTIF(직원목록!$D$7:$D$306,B23)&gt;1,"같은 이름이 둘 이상 — 미리보기는 첫 번째만 보입니다 / ","")&amp;IF(AND(C23&lt;&gt;"",COUNTIF(직원목록!$C$7:$C$306,C23)&gt;1),"사번 중복 / ","")&amp;IF(D23=0,"총지급이 0원 — 머리글 매칭 확인 / ","")&amp;IF(AND(설정!$B$17&lt;&gt;"",설정!$C$17="",OR(ISNUMBER(FIND("연장",설정!$B$17)),ISNUMBER(FIND("야간",설정!$B$17)),ISNUMBER(FIND("휴일",설정!$B$17))),INDEX(직원목록!$F$7:$F$306,MATCH(11,직원목록!$B$7:$B$306,0))&gt;0),"연장·야간·휴일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","")&amp;IF(AND(설정!$B$24&lt;&gt;"",설정!$C$24="",OR(ISNUMBER(FIND("연장",설정!$B$24)),ISNUMBER(FIND("야간",설정!$B$24)),ISNUMBER(FIND("휴일",설정!$B$24))),INDEX(직원목록!$M$7:$M$306,MATCH(11,직원목록!$B$7:$B$306,0))&gt;0),"연장·야간·휴일 수당은 시간 수도 명세서에 적어야 하니 시간 열 지정 필요 / ",""))))</f>
        <v/>
      </c>
    </row>
    <row r="24">
      <c r="A24" s="26">
        <f>IF(IFERROR(MATCH(12,직원목록!$B$7:$B$306,0),0)=0,"",12)</f>
        <v/>
      </c>
      <c r="B24" s="2">
        <f>IF($A24="","",IFERROR(INDEX(직원목록!$D$7:$D$306,MATCH(12,직원목록!$B$7:$B$306,0)),""))</f>
        <v/>
      </c>
      <c r="C24" s="2">
        <f>IF($A24="","",IFERROR(INDEX(직원목록!$C$7:$C$306,MATCH(12,직원목록!$B$7:$B$306,0)),""))</f>
        <v/>
      </c>
      <c r="D24" s="27">
        <f>IF($A24="","",IFERROR(INDEX(직원목록!$V$7:$V$306,MATCH(12,직원목록!$B$7:$B$306,0)),""))</f>
        <v/>
      </c>
      <c r="E24" s="27">
        <f>IF($A24="","",IFERROR(INDEX(직원목록!$AG$7:$AG$306,MATCH(12,직원목록!$B$7:$B$306,0)),""))</f>
        <v/>
      </c>
      <c r="F24" s="27">
        <f>IF(OR($A24="",E24=""),"",D24-E24)</f>
        <v/>
      </c>
      <c r="G24" s="27">
        <f>IF($A24="","",IFERROR(INDEX(직원목록!$AE$7:$AE$306,MATCH(12,직원목록!$B$7:$B$306,0)),""))</f>
        <v/>
      </c>
      <c r="H24" s="27">
        <f>IF($A24="","",IFERROR(INDEX(직원목록!$AH$7:$AH$306,MATCH(12,직원목록!$B$7:$B$306,0)),""))</f>
        <v/>
      </c>
      <c r="I24" s="27">
        <f>IF(OR($A24="",H24=""),"",G24-H24)</f>
        <v/>
      </c>
      <c r="J24" s="27">
        <f>IF($A24="","",IFERROR(INDEX(직원목록!$AF$7:$AF$306,MATCH(12,직원목록!$B$7:$B$306,0)),""))</f>
        <v/>
      </c>
      <c r="K24" s="27">
        <f>IF($A24="","",IFERROR(INDEX(직원목록!$AI$7:$AI$306,MATCH(12,직원목록!$B$7:$B$306,0)),""))</f>
        <v/>
      </c>
      <c r="L24" s="8">
        <f>IF($A24="","",IF(LEN(IF(AND(F24&lt;&gt;"",F24&lt;&gt;0),"계산 총지급과 대장 총지급이 다릅니다 / ","")&amp;IF(AND(I24&lt;&gt;"",I24&lt;&gt;0),"계산 총공제와 대장 총공제가 다릅니다 / ","")&amp;IF(J24&lt;0,"실수령액이 음수입니다 / ","")&amp;IF(COUNTIF(직원목록!$D$7:$D$306,B24)&gt;1,"같은 이름이 둘 이상 — 미리보기는 첫 번째만 보입니다 / ","")&amp;IF(AND(C24&lt;&gt;"",COUNTIF(직원목록!$C$7:$C$306,C24)&gt;1),"사번 중복 / ","")&amp;IF(D24=0,"총지급이 0원 — 머리글 매칭 확인 / ","")&amp;IF(AND(설정!$B$17&lt;&gt;"",설정!$C$17="",OR(ISNUMBER(FIND("연장",설정!$B$17)),ISNUMBER(FIND("야간",설정!$B$17)),ISNUMBER(FIND("휴일",설정!$B$17))),INDEX(직원목록!$F$7:$F$306,MATCH(12,직원목록!$B$7:$B$306,0))&gt;0),"연장·야간·휴일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","")&amp;IF(AND(설정!$B$24&lt;&gt;"",설정!$C$24="",OR(ISNUMBER(FIND("연장",설정!$B$24)),ISNUMBER(FIND("야간",설정!$B$24)),ISNUMBER(FIND("휴일",설정!$B$24))),INDEX(직원목록!$M$7:$M$306,MATCH(12,직원목록!$B$7:$B$306,0))&gt;0),"연장·야간·휴일 수당은 시간 수도 명세서에 적어야 하니 시간 열 지정 필요 / ",""))=0,"✔",("⚠ "&amp;IF(AND(F24&lt;&gt;"",F24&lt;&gt;0),"계산 총지급과 대장 총지급이 다릅니다 / ","")&amp;IF(AND(I24&lt;&gt;"",I24&lt;&gt;0),"계산 총공제와 대장 총공제가 다릅니다 / ","")&amp;IF(J24&lt;0,"실수령액이 음수입니다 / ","")&amp;IF(COUNTIF(직원목록!$D$7:$D$306,B24)&gt;1,"같은 이름이 둘 이상 — 미리보기는 첫 번째만 보입니다 / ","")&amp;IF(AND(C24&lt;&gt;"",COUNTIF(직원목록!$C$7:$C$306,C24)&gt;1),"사번 중복 / ","")&amp;IF(D24=0,"총지급이 0원 — 머리글 매칭 확인 / ","")&amp;IF(AND(설정!$B$17&lt;&gt;"",설정!$C$17="",OR(ISNUMBER(FIND("연장",설정!$B$17)),ISNUMBER(FIND("야간",설정!$B$17)),ISNUMBER(FIND("휴일",설정!$B$17))),INDEX(직원목록!$F$7:$F$306,MATCH(12,직원목록!$B$7:$B$306,0))&gt;0),"연장·야간·휴일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","")&amp;IF(AND(설정!$B$24&lt;&gt;"",설정!$C$24="",OR(ISNUMBER(FIND("연장",설정!$B$24)),ISNUMBER(FIND("야간",설정!$B$24)),ISNUMBER(FIND("휴일",설정!$B$24))),INDEX(직원목록!$M$7:$M$306,MATCH(12,직원목록!$B$7:$B$306,0))&gt;0),"연장·야간·휴일 수당은 시간 수도 명세서에 적어야 하니 시간 열 지정 필요 / ",""))))</f>
        <v/>
      </c>
    </row>
    <row r="25">
      <c r="A25" s="26">
        <f>IF(IFERROR(MATCH(13,직원목록!$B$7:$B$306,0),0)=0,"",13)</f>
        <v/>
      </c>
      <c r="B25" s="2">
        <f>IF($A25="","",IFERROR(INDEX(직원목록!$D$7:$D$306,MATCH(13,직원목록!$B$7:$B$306,0)),""))</f>
        <v/>
      </c>
      <c r="C25" s="2">
        <f>IF($A25="","",IFERROR(INDEX(직원목록!$C$7:$C$306,MATCH(13,직원목록!$B$7:$B$306,0)),""))</f>
        <v/>
      </c>
      <c r="D25" s="27">
        <f>IF($A25="","",IFERROR(INDEX(직원목록!$V$7:$V$306,MATCH(13,직원목록!$B$7:$B$306,0)),""))</f>
        <v/>
      </c>
      <c r="E25" s="27">
        <f>IF($A25="","",IFERROR(INDEX(직원목록!$AG$7:$AG$306,MATCH(13,직원목록!$B$7:$B$306,0)),""))</f>
        <v/>
      </c>
      <c r="F25" s="27">
        <f>IF(OR($A25="",E25=""),"",D25-E25)</f>
        <v/>
      </c>
      <c r="G25" s="27">
        <f>IF($A25="","",IFERROR(INDEX(직원목록!$AE$7:$AE$306,MATCH(13,직원목록!$B$7:$B$306,0)),""))</f>
        <v/>
      </c>
      <c r="H25" s="27">
        <f>IF($A25="","",IFERROR(INDEX(직원목록!$AH$7:$AH$306,MATCH(13,직원목록!$B$7:$B$306,0)),""))</f>
        <v/>
      </c>
      <c r="I25" s="27">
        <f>IF(OR($A25="",H25=""),"",G25-H25)</f>
        <v/>
      </c>
      <c r="J25" s="27">
        <f>IF($A25="","",IFERROR(INDEX(직원목록!$AF$7:$AF$306,MATCH(13,직원목록!$B$7:$B$306,0)),""))</f>
        <v/>
      </c>
      <c r="K25" s="27">
        <f>IF($A25="","",IFERROR(INDEX(직원목록!$AI$7:$AI$306,MATCH(13,직원목록!$B$7:$B$306,0)),""))</f>
        <v/>
      </c>
      <c r="L25" s="8">
        <f>IF($A25="","",IF(LEN(IF(AND(F25&lt;&gt;"",F25&lt;&gt;0),"계산 총지급과 대장 총지급이 다릅니다 / ","")&amp;IF(AND(I25&lt;&gt;"",I25&lt;&gt;0),"계산 총공제와 대장 총공제가 다릅니다 / ","")&amp;IF(J25&lt;0,"실수령액이 음수입니다 / ","")&amp;IF(COUNTIF(직원목록!$D$7:$D$306,B25)&gt;1,"같은 이름이 둘 이상 — 미리보기는 첫 번째만 보입니다 / ","")&amp;IF(AND(C25&lt;&gt;"",COUNTIF(직원목록!$C$7:$C$306,C25)&gt;1),"사번 중복 / ","")&amp;IF(D25=0,"총지급이 0원 — 머리글 매칭 확인 / ","")&amp;IF(AND(설정!$B$17&lt;&gt;"",설정!$C$17="",OR(ISNUMBER(FIND("연장",설정!$B$17)),ISNUMBER(FIND("야간",설정!$B$17)),ISNUMBER(FIND("휴일",설정!$B$17))),INDEX(직원목록!$F$7:$F$306,MATCH(13,직원목록!$B$7:$B$306,0))&gt;0),"연장·야간·휴일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","")&amp;IF(AND(설정!$B$24&lt;&gt;"",설정!$C$24="",OR(ISNUMBER(FIND("연장",설정!$B$24)),ISNUMBER(FIND("야간",설정!$B$24)),ISNUMBER(FIND("휴일",설정!$B$24))),INDEX(직원목록!$M$7:$M$306,MATCH(13,직원목록!$B$7:$B$306,0))&gt;0),"연장·야간·휴일 수당은 시간 수도 명세서에 적어야 하니 시간 열 지정 필요 / ",""))=0,"✔",("⚠ "&amp;IF(AND(F25&lt;&gt;"",F25&lt;&gt;0),"계산 총지급과 대장 총지급이 다릅니다 / ","")&amp;IF(AND(I25&lt;&gt;"",I25&lt;&gt;0),"계산 총공제와 대장 총공제가 다릅니다 / ","")&amp;IF(J25&lt;0,"실수령액이 음수입니다 / ","")&amp;IF(COUNTIF(직원목록!$D$7:$D$306,B25)&gt;1,"같은 이름이 둘 이상 — 미리보기는 첫 번째만 보입니다 / ","")&amp;IF(AND(C25&lt;&gt;"",COUNTIF(직원목록!$C$7:$C$306,C25)&gt;1),"사번 중복 / ","")&amp;IF(D25=0,"총지급이 0원 — 머리글 매칭 확인 / ","")&amp;IF(AND(설정!$B$17&lt;&gt;"",설정!$C$17="",OR(ISNUMBER(FIND("연장",설정!$B$17)),ISNUMBER(FIND("야간",설정!$B$17)),ISNUMBER(FIND("휴일",설정!$B$17))),INDEX(직원목록!$F$7:$F$306,MATCH(13,직원목록!$B$7:$B$306,0))&gt;0),"연장·야간·휴일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","")&amp;IF(AND(설정!$B$24&lt;&gt;"",설정!$C$24="",OR(ISNUMBER(FIND("연장",설정!$B$24)),ISNUMBER(FIND("야간",설정!$B$24)),ISNUMBER(FIND("휴일",설정!$B$24))),INDEX(직원목록!$M$7:$M$306,MATCH(13,직원목록!$B$7:$B$306,0))&gt;0),"연장·야간·휴일 수당은 시간 수도 명세서에 적어야 하니 시간 열 지정 필요 / ",""))))</f>
        <v/>
      </c>
    </row>
    <row r="26">
      <c r="A26" s="26">
        <f>IF(IFERROR(MATCH(14,직원목록!$B$7:$B$306,0),0)=0,"",14)</f>
        <v/>
      </c>
      <c r="B26" s="2">
        <f>IF($A26="","",IFERROR(INDEX(직원목록!$D$7:$D$306,MATCH(14,직원목록!$B$7:$B$306,0)),""))</f>
        <v/>
      </c>
      <c r="C26" s="2">
        <f>IF($A26="","",IFERROR(INDEX(직원목록!$C$7:$C$306,MATCH(14,직원목록!$B$7:$B$306,0)),""))</f>
        <v/>
      </c>
      <c r="D26" s="27">
        <f>IF($A26="","",IFERROR(INDEX(직원목록!$V$7:$V$306,MATCH(14,직원목록!$B$7:$B$306,0)),""))</f>
        <v/>
      </c>
      <c r="E26" s="27">
        <f>IF($A26="","",IFERROR(INDEX(직원목록!$AG$7:$AG$306,MATCH(14,직원목록!$B$7:$B$306,0)),""))</f>
        <v/>
      </c>
      <c r="F26" s="27">
        <f>IF(OR($A26="",E26=""),"",D26-E26)</f>
        <v/>
      </c>
      <c r="G26" s="27">
        <f>IF($A26="","",IFERROR(INDEX(직원목록!$AE$7:$AE$306,MATCH(14,직원목록!$B$7:$B$306,0)),""))</f>
        <v/>
      </c>
      <c r="H26" s="27">
        <f>IF($A26="","",IFERROR(INDEX(직원목록!$AH$7:$AH$306,MATCH(14,직원목록!$B$7:$B$306,0)),""))</f>
        <v/>
      </c>
      <c r="I26" s="27">
        <f>IF(OR($A26="",H26=""),"",G26-H26)</f>
        <v/>
      </c>
      <c r="J26" s="27">
        <f>IF($A26="","",IFERROR(INDEX(직원목록!$AF$7:$AF$306,MATCH(14,직원목록!$B$7:$B$306,0)),""))</f>
        <v/>
      </c>
      <c r="K26" s="27">
        <f>IF($A26="","",IFERROR(INDEX(직원목록!$AI$7:$AI$306,MATCH(14,직원목록!$B$7:$B$306,0)),""))</f>
        <v/>
      </c>
      <c r="L26" s="8">
        <f>IF($A26="","",IF(LEN(IF(AND(F26&lt;&gt;"",F26&lt;&gt;0),"계산 총지급과 대장 총지급이 다릅니다 / ","")&amp;IF(AND(I26&lt;&gt;"",I26&lt;&gt;0),"계산 총공제와 대장 총공제가 다릅니다 / ","")&amp;IF(J26&lt;0,"실수령액이 음수입니다 / ","")&amp;IF(COUNTIF(직원목록!$D$7:$D$306,B26)&gt;1,"같은 이름이 둘 이상 — 미리보기는 첫 번째만 보입니다 / ","")&amp;IF(AND(C26&lt;&gt;"",COUNTIF(직원목록!$C$7:$C$306,C26)&gt;1),"사번 중복 / ","")&amp;IF(D26=0,"총지급이 0원 — 머리글 매칭 확인 / ","")&amp;IF(AND(설정!$B$17&lt;&gt;"",설정!$C$17="",OR(ISNUMBER(FIND("연장",설정!$B$17)),ISNUMBER(FIND("야간",설정!$B$17)),ISNUMBER(FIND("휴일",설정!$B$17))),INDEX(직원목록!$F$7:$F$306,MATCH(14,직원목록!$B$7:$B$306,0))&gt;0),"연장·야간·휴일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","")&amp;IF(AND(설정!$B$24&lt;&gt;"",설정!$C$24="",OR(ISNUMBER(FIND("연장",설정!$B$24)),ISNUMBER(FIND("야간",설정!$B$24)),ISNUMBER(FIND("휴일",설정!$B$24))),INDEX(직원목록!$M$7:$M$306,MATCH(14,직원목록!$B$7:$B$306,0))&gt;0),"연장·야간·휴일 수당은 시간 수도 명세서에 적어야 하니 시간 열 지정 필요 / ",""))=0,"✔",("⚠ "&amp;IF(AND(F26&lt;&gt;"",F26&lt;&gt;0),"계산 총지급과 대장 총지급이 다릅니다 / ","")&amp;IF(AND(I26&lt;&gt;"",I26&lt;&gt;0),"계산 총공제와 대장 총공제가 다릅니다 / ","")&amp;IF(J26&lt;0,"실수령액이 음수입니다 / ","")&amp;IF(COUNTIF(직원목록!$D$7:$D$306,B26)&gt;1,"같은 이름이 둘 이상 — 미리보기는 첫 번째만 보입니다 / ","")&amp;IF(AND(C26&lt;&gt;"",COUNTIF(직원목록!$C$7:$C$306,C26)&gt;1),"사번 중복 / ","")&amp;IF(D26=0,"총지급이 0원 — 머리글 매칭 확인 / ","")&amp;IF(AND(설정!$B$17&lt;&gt;"",설정!$C$17="",OR(ISNUMBER(FIND("연장",설정!$B$17)),ISNUMBER(FIND("야간",설정!$B$17)),ISNUMBER(FIND("휴일",설정!$B$17))),INDEX(직원목록!$F$7:$F$306,MATCH(14,직원목록!$B$7:$B$306,0))&gt;0),"연장·야간·휴일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","")&amp;IF(AND(설정!$B$24&lt;&gt;"",설정!$C$24="",OR(ISNUMBER(FIND("연장",설정!$B$24)),ISNUMBER(FIND("야간",설정!$B$24)),ISNUMBER(FIND("휴일",설정!$B$24))),INDEX(직원목록!$M$7:$M$306,MATCH(14,직원목록!$B$7:$B$306,0))&gt;0),"연장·야간·휴일 수당은 시간 수도 명세서에 적어야 하니 시간 열 지정 필요 / ",""))))</f>
        <v/>
      </c>
    </row>
    <row r="27">
      <c r="A27" s="26">
        <f>IF(IFERROR(MATCH(15,직원목록!$B$7:$B$306,0),0)=0,"",15)</f>
        <v/>
      </c>
      <c r="B27" s="2">
        <f>IF($A27="","",IFERROR(INDEX(직원목록!$D$7:$D$306,MATCH(15,직원목록!$B$7:$B$306,0)),""))</f>
        <v/>
      </c>
      <c r="C27" s="2">
        <f>IF($A27="","",IFERROR(INDEX(직원목록!$C$7:$C$306,MATCH(15,직원목록!$B$7:$B$306,0)),""))</f>
        <v/>
      </c>
      <c r="D27" s="27">
        <f>IF($A27="","",IFERROR(INDEX(직원목록!$V$7:$V$306,MATCH(15,직원목록!$B$7:$B$306,0)),""))</f>
        <v/>
      </c>
      <c r="E27" s="27">
        <f>IF($A27="","",IFERROR(INDEX(직원목록!$AG$7:$AG$306,MATCH(15,직원목록!$B$7:$B$306,0)),""))</f>
        <v/>
      </c>
      <c r="F27" s="27">
        <f>IF(OR($A27="",E27=""),"",D27-E27)</f>
        <v/>
      </c>
      <c r="G27" s="27">
        <f>IF($A27="","",IFERROR(INDEX(직원목록!$AE$7:$AE$306,MATCH(15,직원목록!$B$7:$B$306,0)),""))</f>
        <v/>
      </c>
      <c r="H27" s="27">
        <f>IF($A27="","",IFERROR(INDEX(직원목록!$AH$7:$AH$306,MATCH(15,직원목록!$B$7:$B$306,0)),""))</f>
        <v/>
      </c>
      <c r="I27" s="27">
        <f>IF(OR($A27="",H27=""),"",G27-H27)</f>
        <v/>
      </c>
      <c r="J27" s="27">
        <f>IF($A27="","",IFERROR(INDEX(직원목록!$AF$7:$AF$306,MATCH(15,직원목록!$B$7:$B$306,0)),""))</f>
        <v/>
      </c>
      <c r="K27" s="27">
        <f>IF($A27="","",IFERROR(INDEX(직원목록!$AI$7:$AI$306,MATCH(15,직원목록!$B$7:$B$306,0)),""))</f>
        <v/>
      </c>
      <c r="L27" s="8">
        <f>IF($A27="","",IF(LEN(IF(AND(F27&lt;&gt;"",F27&lt;&gt;0),"계산 총지급과 대장 총지급이 다릅니다 / ","")&amp;IF(AND(I27&lt;&gt;"",I27&lt;&gt;0),"계산 총공제와 대장 총공제가 다릅니다 / ","")&amp;IF(J27&lt;0,"실수령액이 음수입니다 / ","")&amp;IF(COUNTIF(직원목록!$D$7:$D$306,B27)&gt;1,"같은 이름이 둘 이상 — 미리보기는 첫 번째만 보입니다 / ","")&amp;IF(AND(C27&lt;&gt;"",COUNTIF(직원목록!$C$7:$C$306,C27)&gt;1),"사번 중복 / ","")&amp;IF(D27=0,"총지급이 0원 — 머리글 매칭 확인 / ","")&amp;IF(AND(설정!$B$17&lt;&gt;"",설정!$C$17="",OR(ISNUMBER(FIND("연장",설정!$B$17)),ISNUMBER(FIND("야간",설정!$B$17)),ISNUMBER(FIND("휴일",설정!$B$17))),INDEX(직원목록!$F$7:$F$306,MATCH(15,직원목록!$B$7:$B$306,0))&gt;0),"연장·야간·휴일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","")&amp;IF(AND(설정!$B$24&lt;&gt;"",설정!$C$24="",OR(ISNUMBER(FIND("연장",설정!$B$24)),ISNUMBER(FIND("야간",설정!$B$24)),ISNUMBER(FIND("휴일",설정!$B$24))),INDEX(직원목록!$M$7:$M$306,MATCH(15,직원목록!$B$7:$B$306,0))&gt;0),"연장·야간·휴일 수당은 시간 수도 명세서에 적어야 하니 시간 열 지정 필요 / ",""))=0,"✔",("⚠ "&amp;IF(AND(F27&lt;&gt;"",F27&lt;&gt;0),"계산 총지급과 대장 총지급이 다릅니다 / ","")&amp;IF(AND(I27&lt;&gt;"",I27&lt;&gt;0),"계산 총공제와 대장 총공제가 다릅니다 / ","")&amp;IF(J27&lt;0,"실수령액이 음수입니다 / ","")&amp;IF(COUNTIF(직원목록!$D$7:$D$306,B27)&gt;1,"같은 이름이 둘 이상 — 미리보기는 첫 번째만 보입니다 / ","")&amp;IF(AND(C27&lt;&gt;"",COUNTIF(직원목록!$C$7:$C$306,C27)&gt;1),"사번 중복 / ","")&amp;IF(D27=0,"총지급이 0원 — 머리글 매칭 확인 / ","")&amp;IF(AND(설정!$B$17&lt;&gt;"",설정!$C$17="",OR(ISNUMBER(FIND("연장",설정!$B$17)),ISNUMBER(FIND("야간",설정!$B$17)),ISNUMBER(FIND("휴일",설정!$B$17))),INDEX(직원목록!$F$7:$F$306,MATCH(15,직원목록!$B$7:$B$306,0))&gt;0),"연장·야간·휴일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","")&amp;IF(AND(설정!$B$24&lt;&gt;"",설정!$C$24="",OR(ISNUMBER(FIND("연장",설정!$B$24)),ISNUMBER(FIND("야간",설정!$B$24)),ISNUMBER(FIND("휴일",설정!$B$24))),INDEX(직원목록!$M$7:$M$306,MATCH(15,직원목록!$B$7:$B$306,0))&gt;0),"연장·야간·휴일 수당은 시간 수도 명세서에 적어야 하니 시간 열 지정 필요 / ",""))))</f>
        <v/>
      </c>
    </row>
    <row r="28">
      <c r="A28" s="26">
        <f>IF(IFERROR(MATCH(16,직원목록!$B$7:$B$306,0),0)=0,"",16)</f>
        <v/>
      </c>
      <c r="B28" s="2">
        <f>IF($A28="","",IFERROR(INDEX(직원목록!$D$7:$D$306,MATCH(16,직원목록!$B$7:$B$306,0)),""))</f>
        <v/>
      </c>
      <c r="C28" s="2">
        <f>IF($A28="","",IFERROR(INDEX(직원목록!$C$7:$C$306,MATCH(16,직원목록!$B$7:$B$306,0)),""))</f>
        <v/>
      </c>
      <c r="D28" s="27">
        <f>IF($A28="","",IFERROR(INDEX(직원목록!$V$7:$V$306,MATCH(16,직원목록!$B$7:$B$306,0)),""))</f>
        <v/>
      </c>
      <c r="E28" s="27">
        <f>IF($A28="","",IFERROR(INDEX(직원목록!$AG$7:$AG$306,MATCH(16,직원목록!$B$7:$B$306,0)),""))</f>
        <v/>
      </c>
      <c r="F28" s="27">
        <f>IF(OR($A28="",E28=""),"",D28-E28)</f>
        <v/>
      </c>
      <c r="G28" s="27">
        <f>IF($A28="","",IFERROR(INDEX(직원목록!$AE$7:$AE$306,MATCH(16,직원목록!$B$7:$B$306,0)),""))</f>
        <v/>
      </c>
      <c r="H28" s="27">
        <f>IF($A28="","",IFERROR(INDEX(직원목록!$AH$7:$AH$306,MATCH(16,직원목록!$B$7:$B$306,0)),""))</f>
        <v/>
      </c>
      <c r="I28" s="27">
        <f>IF(OR($A28="",H28=""),"",G28-H28)</f>
        <v/>
      </c>
      <c r="J28" s="27">
        <f>IF($A28="","",IFERROR(INDEX(직원목록!$AF$7:$AF$306,MATCH(16,직원목록!$B$7:$B$306,0)),""))</f>
        <v/>
      </c>
      <c r="K28" s="27">
        <f>IF($A28="","",IFERROR(INDEX(직원목록!$AI$7:$AI$306,MATCH(16,직원목록!$B$7:$B$306,0)),""))</f>
        <v/>
      </c>
      <c r="L28" s="8">
        <f>IF($A28="","",IF(LEN(IF(AND(F28&lt;&gt;"",F28&lt;&gt;0),"계산 총지급과 대장 총지급이 다릅니다 / ","")&amp;IF(AND(I28&lt;&gt;"",I28&lt;&gt;0),"계산 총공제와 대장 총공제가 다릅니다 / ","")&amp;IF(J28&lt;0,"실수령액이 음수입니다 / ","")&amp;IF(COUNTIF(직원목록!$D$7:$D$306,B28)&gt;1,"같은 이름이 둘 이상 — 미리보기는 첫 번째만 보입니다 / ","")&amp;IF(AND(C28&lt;&gt;"",COUNTIF(직원목록!$C$7:$C$306,C28)&gt;1),"사번 중복 / ","")&amp;IF(D28=0,"총지급이 0원 — 머리글 매칭 확인 / ","")&amp;IF(AND(설정!$B$17&lt;&gt;"",설정!$C$17="",OR(ISNUMBER(FIND("연장",설정!$B$17)),ISNUMBER(FIND("야간",설정!$B$17)),ISNUMBER(FIND("휴일",설정!$B$17))),INDEX(직원목록!$F$7:$F$306,MATCH(16,직원목록!$B$7:$B$306,0))&gt;0),"연장·야간·휴일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","")&amp;IF(AND(설정!$B$24&lt;&gt;"",설정!$C$24="",OR(ISNUMBER(FIND("연장",설정!$B$24)),ISNUMBER(FIND("야간",설정!$B$24)),ISNUMBER(FIND("휴일",설정!$B$24))),INDEX(직원목록!$M$7:$M$306,MATCH(16,직원목록!$B$7:$B$306,0))&gt;0),"연장·야간·휴일 수당은 시간 수도 명세서에 적어야 하니 시간 열 지정 필요 / ",""))=0,"✔",("⚠ "&amp;IF(AND(F28&lt;&gt;"",F28&lt;&gt;0),"계산 총지급과 대장 총지급이 다릅니다 / ","")&amp;IF(AND(I28&lt;&gt;"",I28&lt;&gt;0),"계산 총공제와 대장 총공제가 다릅니다 / ","")&amp;IF(J28&lt;0,"실수령액이 음수입니다 / ","")&amp;IF(COUNTIF(직원목록!$D$7:$D$306,B28)&gt;1,"같은 이름이 둘 이상 — 미리보기는 첫 번째만 보입니다 / ","")&amp;IF(AND(C28&lt;&gt;"",COUNTIF(직원목록!$C$7:$C$306,C28)&gt;1),"사번 중복 / ","")&amp;IF(D28=0,"총지급이 0원 — 머리글 매칭 확인 / ","")&amp;IF(AND(설정!$B$17&lt;&gt;"",설정!$C$17="",OR(ISNUMBER(FIND("연장",설정!$B$17)),ISNUMBER(FIND("야간",설정!$B$17)),ISNUMBER(FIND("휴일",설정!$B$17))),INDEX(직원목록!$F$7:$F$306,MATCH(16,직원목록!$B$7:$B$306,0))&gt;0),"연장·야간·휴일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","")&amp;IF(AND(설정!$B$24&lt;&gt;"",설정!$C$24="",OR(ISNUMBER(FIND("연장",설정!$B$24)),ISNUMBER(FIND("야간",설정!$B$24)),ISNUMBER(FIND("휴일",설정!$B$24))),INDEX(직원목록!$M$7:$M$306,MATCH(16,직원목록!$B$7:$B$306,0))&gt;0),"연장·야간·휴일 수당은 시간 수도 명세서에 적어야 하니 시간 열 지정 필요 / ",""))))</f>
        <v/>
      </c>
    </row>
    <row r="29">
      <c r="A29" s="26">
        <f>IF(IFERROR(MATCH(17,직원목록!$B$7:$B$306,0),0)=0,"",17)</f>
        <v/>
      </c>
      <c r="B29" s="2">
        <f>IF($A29="","",IFERROR(INDEX(직원목록!$D$7:$D$306,MATCH(17,직원목록!$B$7:$B$306,0)),""))</f>
        <v/>
      </c>
      <c r="C29" s="2">
        <f>IF($A29="","",IFERROR(INDEX(직원목록!$C$7:$C$306,MATCH(17,직원목록!$B$7:$B$306,0)),""))</f>
        <v/>
      </c>
      <c r="D29" s="27">
        <f>IF($A29="","",IFERROR(INDEX(직원목록!$V$7:$V$306,MATCH(17,직원목록!$B$7:$B$306,0)),""))</f>
        <v/>
      </c>
      <c r="E29" s="27">
        <f>IF($A29="","",IFERROR(INDEX(직원목록!$AG$7:$AG$306,MATCH(17,직원목록!$B$7:$B$306,0)),""))</f>
        <v/>
      </c>
      <c r="F29" s="27">
        <f>IF(OR($A29="",E29=""),"",D29-E29)</f>
        <v/>
      </c>
      <c r="G29" s="27">
        <f>IF($A29="","",IFERROR(INDEX(직원목록!$AE$7:$AE$306,MATCH(17,직원목록!$B$7:$B$306,0)),""))</f>
        <v/>
      </c>
      <c r="H29" s="27">
        <f>IF($A29="","",IFERROR(INDEX(직원목록!$AH$7:$AH$306,MATCH(17,직원목록!$B$7:$B$306,0)),""))</f>
        <v/>
      </c>
      <c r="I29" s="27">
        <f>IF(OR($A29="",H29=""),"",G29-H29)</f>
        <v/>
      </c>
      <c r="J29" s="27">
        <f>IF($A29="","",IFERROR(INDEX(직원목록!$AF$7:$AF$306,MATCH(17,직원목록!$B$7:$B$306,0)),""))</f>
        <v/>
      </c>
      <c r="K29" s="27">
        <f>IF($A29="","",IFERROR(INDEX(직원목록!$AI$7:$AI$306,MATCH(17,직원목록!$B$7:$B$306,0)),""))</f>
        <v/>
      </c>
      <c r="L29" s="8">
        <f>IF($A29="","",IF(LEN(IF(AND(F29&lt;&gt;"",F29&lt;&gt;0),"계산 총지급과 대장 총지급이 다릅니다 / ","")&amp;IF(AND(I29&lt;&gt;"",I29&lt;&gt;0),"계산 총공제와 대장 총공제가 다릅니다 / ","")&amp;IF(J29&lt;0,"실수령액이 음수입니다 / ","")&amp;IF(COUNTIF(직원목록!$D$7:$D$306,B29)&gt;1,"같은 이름이 둘 이상 — 미리보기는 첫 번째만 보입니다 / ","")&amp;IF(AND(C29&lt;&gt;"",COUNTIF(직원목록!$C$7:$C$306,C29)&gt;1),"사번 중복 / ","")&amp;IF(D29=0,"총지급이 0원 — 머리글 매칭 확인 / ","")&amp;IF(AND(설정!$B$17&lt;&gt;"",설정!$C$17="",OR(ISNUMBER(FIND("연장",설정!$B$17)),ISNUMBER(FIND("야간",설정!$B$17)),ISNUMBER(FIND("휴일",설정!$B$17))),INDEX(직원목록!$F$7:$F$306,MATCH(17,직원목록!$B$7:$B$306,0))&gt;0),"연장·야간·휴일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","")&amp;IF(AND(설정!$B$24&lt;&gt;"",설정!$C$24="",OR(ISNUMBER(FIND("연장",설정!$B$24)),ISNUMBER(FIND("야간",설정!$B$24)),ISNUMBER(FIND("휴일",설정!$B$24))),INDEX(직원목록!$M$7:$M$306,MATCH(17,직원목록!$B$7:$B$306,0))&gt;0),"연장·야간·휴일 수당은 시간 수도 명세서에 적어야 하니 시간 열 지정 필요 / ",""))=0,"✔",("⚠ "&amp;IF(AND(F29&lt;&gt;"",F29&lt;&gt;0),"계산 총지급과 대장 총지급이 다릅니다 / ","")&amp;IF(AND(I29&lt;&gt;"",I29&lt;&gt;0),"계산 총공제와 대장 총공제가 다릅니다 / ","")&amp;IF(J29&lt;0,"실수령액이 음수입니다 / ","")&amp;IF(COUNTIF(직원목록!$D$7:$D$306,B29)&gt;1,"같은 이름이 둘 이상 — 미리보기는 첫 번째만 보입니다 / ","")&amp;IF(AND(C29&lt;&gt;"",COUNTIF(직원목록!$C$7:$C$306,C29)&gt;1),"사번 중복 / ","")&amp;IF(D29=0,"총지급이 0원 — 머리글 매칭 확인 / ","")&amp;IF(AND(설정!$B$17&lt;&gt;"",설정!$C$17="",OR(ISNUMBER(FIND("연장",설정!$B$17)),ISNUMBER(FIND("야간",설정!$B$17)),ISNUMBER(FIND("휴일",설정!$B$17))),INDEX(직원목록!$F$7:$F$306,MATCH(17,직원목록!$B$7:$B$306,0))&gt;0),"연장·야간·휴일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","")&amp;IF(AND(설정!$B$24&lt;&gt;"",설정!$C$24="",OR(ISNUMBER(FIND("연장",설정!$B$24)),ISNUMBER(FIND("야간",설정!$B$24)),ISNUMBER(FIND("휴일",설정!$B$24))),INDEX(직원목록!$M$7:$M$306,MATCH(17,직원목록!$B$7:$B$306,0))&gt;0),"연장·야간·휴일 수당은 시간 수도 명세서에 적어야 하니 시간 열 지정 필요 / ",""))))</f>
        <v/>
      </c>
    </row>
    <row r="30">
      <c r="A30" s="26">
        <f>IF(IFERROR(MATCH(18,직원목록!$B$7:$B$306,0),0)=0,"",18)</f>
        <v/>
      </c>
      <c r="B30" s="2">
        <f>IF($A30="","",IFERROR(INDEX(직원목록!$D$7:$D$306,MATCH(18,직원목록!$B$7:$B$306,0)),""))</f>
        <v/>
      </c>
      <c r="C30" s="2">
        <f>IF($A30="","",IFERROR(INDEX(직원목록!$C$7:$C$306,MATCH(18,직원목록!$B$7:$B$306,0)),""))</f>
        <v/>
      </c>
      <c r="D30" s="27">
        <f>IF($A30="","",IFERROR(INDEX(직원목록!$V$7:$V$306,MATCH(18,직원목록!$B$7:$B$306,0)),""))</f>
        <v/>
      </c>
      <c r="E30" s="27">
        <f>IF($A30="","",IFERROR(INDEX(직원목록!$AG$7:$AG$306,MATCH(18,직원목록!$B$7:$B$306,0)),""))</f>
        <v/>
      </c>
      <c r="F30" s="27">
        <f>IF(OR($A30="",E30=""),"",D30-E30)</f>
        <v/>
      </c>
      <c r="G30" s="27">
        <f>IF($A30="","",IFERROR(INDEX(직원목록!$AE$7:$AE$306,MATCH(18,직원목록!$B$7:$B$306,0)),""))</f>
        <v/>
      </c>
      <c r="H30" s="27">
        <f>IF($A30="","",IFERROR(INDEX(직원목록!$AH$7:$AH$306,MATCH(18,직원목록!$B$7:$B$306,0)),""))</f>
        <v/>
      </c>
      <c r="I30" s="27">
        <f>IF(OR($A30="",H30=""),"",G30-H30)</f>
        <v/>
      </c>
      <c r="J30" s="27">
        <f>IF($A30="","",IFERROR(INDEX(직원목록!$AF$7:$AF$306,MATCH(18,직원목록!$B$7:$B$306,0)),""))</f>
        <v/>
      </c>
      <c r="K30" s="27">
        <f>IF($A30="","",IFERROR(INDEX(직원목록!$AI$7:$AI$306,MATCH(18,직원목록!$B$7:$B$306,0)),""))</f>
        <v/>
      </c>
      <c r="L30" s="8">
        <f>IF($A30="","",IF(LEN(IF(AND(F30&lt;&gt;"",F30&lt;&gt;0),"계산 총지급과 대장 총지급이 다릅니다 / ","")&amp;IF(AND(I30&lt;&gt;"",I30&lt;&gt;0),"계산 총공제와 대장 총공제가 다릅니다 / ","")&amp;IF(J30&lt;0,"실수령액이 음수입니다 / ","")&amp;IF(COUNTIF(직원목록!$D$7:$D$306,B30)&gt;1,"같은 이름이 둘 이상 — 미리보기는 첫 번째만 보입니다 / ","")&amp;IF(AND(C30&lt;&gt;"",COUNTIF(직원목록!$C$7:$C$306,C30)&gt;1),"사번 중복 / ","")&amp;IF(D30=0,"총지급이 0원 — 머리글 매칭 확인 / ","")&amp;IF(AND(설정!$B$17&lt;&gt;"",설정!$C$17="",OR(ISNUMBER(FIND("연장",설정!$B$17)),ISNUMBER(FIND("야간",설정!$B$17)),ISNUMBER(FIND("휴일",설정!$B$17))),INDEX(직원목록!$F$7:$F$306,MATCH(18,직원목록!$B$7:$B$306,0))&gt;0),"연장·야간·휴일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","")&amp;IF(AND(설정!$B$24&lt;&gt;"",설정!$C$24="",OR(ISNUMBER(FIND("연장",설정!$B$24)),ISNUMBER(FIND("야간",설정!$B$24)),ISNUMBER(FIND("휴일",설정!$B$24))),INDEX(직원목록!$M$7:$M$306,MATCH(18,직원목록!$B$7:$B$306,0))&gt;0),"연장·야간·휴일 수당은 시간 수도 명세서에 적어야 하니 시간 열 지정 필요 / ",""))=0,"✔",("⚠ "&amp;IF(AND(F30&lt;&gt;"",F30&lt;&gt;0),"계산 총지급과 대장 총지급이 다릅니다 / ","")&amp;IF(AND(I30&lt;&gt;"",I30&lt;&gt;0),"계산 총공제와 대장 총공제가 다릅니다 / ","")&amp;IF(J30&lt;0,"실수령액이 음수입니다 / ","")&amp;IF(COUNTIF(직원목록!$D$7:$D$306,B30)&gt;1,"같은 이름이 둘 이상 — 미리보기는 첫 번째만 보입니다 / ","")&amp;IF(AND(C30&lt;&gt;"",COUNTIF(직원목록!$C$7:$C$306,C30)&gt;1),"사번 중복 / ","")&amp;IF(D30=0,"총지급이 0원 — 머리글 매칭 확인 / ","")&amp;IF(AND(설정!$B$17&lt;&gt;"",설정!$C$17="",OR(ISNUMBER(FIND("연장",설정!$B$17)),ISNUMBER(FIND("야간",설정!$B$17)),ISNUMBER(FIND("휴일",설정!$B$17))),INDEX(직원목록!$F$7:$F$306,MATCH(18,직원목록!$B$7:$B$306,0))&gt;0),"연장·야간·휴일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","")&amp;IF(AND(설정!$B$24&lt;&gt;"",설정!$C$24="",OR(ISNUMBER(FIND("연장",설정!$B$24)),ISNUMBER(FIND("야간",설정!$B$24)),ISNUMBER(FIND("휴일",설정!$B$24))),INDEX(직원목록!$M$7:$M$306,MATCH(18,직원목록!$B$7:$B$306,0))&gt;0),"연장·야간·휴일 수당은 시간 수도 명세서에 적어야 하니 시간 열 지정 필요 / ",""))))</f>
        <v/>
      </c>
    </row>
    <row r="31">
      <c r="A31" s="26">
        <f>IF(IFERROR(MATCH(19,직원목록!$B$7:$B$306,0),0)=0,"",19)</f>
        <v/>
      </c>
      <c r="B31" s="2">
        <f>IF($A31="","",IFERROR(INDEX(직원목록!$D$7:$D$306,MATCH(19,직원목록!$B$7:$B$306,0)),""))</f>
        <v/>
      </c>
      <c r="C31" s="2">
        <f>IF($A31="","",IFERROR(INDEX(직원목록!$C$7:$C$306,MATCH(19,직원목록!$B$7:$B$306,0)),""))</f>
        <v/>
      </c>
      <c r="D31" s="27">
        <f>IF($A31="","",IFERROR(INDEX(직원목록!$V$7:$V$306,MATCH(19,직원목록!$B$7:$B$306,0)),""))</f>
        <v/>
      </c>
      <c r="E31" s="27">
        <f>IF($A31="","",IFERROR(INDEX(직원목록!$AG$7:$AG$306,MATCH(19,직원목록!$B$7:$B$306,0)),""))</f>
        <v/>
      </c>
      <c r="F31" s="27">
        <f>IF(OR($A31="",E31=""),"",D31-E31)</f>
        <v/>
      </c>
      <c r="G31" s="27">
        <f>IF($A31="","",IFERROR(INDEX(직원목록!$AE$7:$AE$306,MATCH(19,직원목록!$B$7:$B$306,0)),""))</f>
        <v/>
      </c>
      <c r="H31" s="27">
        <f>IF($A31="","",IFERROR(INDEX(직원목록!$AH$7:$AH$306,MATCH(19,직원목록!$B$7:$B$306,0)),""))</f>
        <v/>
      </c>
      <c r="I31" s="27">
        <f>IF(OR($A31="",H31=""),"",G31-H31)</f>
        <v/>
      </c>
      <c r="J31" s="27">
        <f>IF($A31="","",IFERROR(INDEX(직원목록!$AF$7:$AF$306,MATCH(19,직원목록!$B$7:$B$306,0)),""))</f>
        <v/>
      </c>
      <c r="K31" s="27">
        <f>IF($A31="","",IFERROR(INDEX(직원목록!$AI$7:$AI$306,MATCH(19,직원목록!$B$7:$B$306,0)),""))</f>
        <v/>
      </c>
      <c r="L31" s="8">
        <f>IF($A31="","",IF(LEN(IF(AND(F31&lt;&gt;"",F31&lt;&gt;0),"계산 총지급과 대장 총지급이 다릅니다 / ","")&amp;IF(AND(I31&lt;&gt;"",I31&lt;&gt;0),"계산 총공제와 대장 총공제가 다릅니다 / ","")&amp;IF(J31&lt;0,"실수령액이 음수입니다 / ","")&amp;IF(COUNTIF(직원목록!$D$7:$D$306,B31)&gt;1,"같은 이름이 둘 이상 — 미리보기는 첫 번째만 보입니다 / ","")&amp;IF(AND(C31&lt;&gt;"",COUNTIF(직원목록!$C$7:$C$306,C31)&gt;1),"사번 중복 / ","")&amp;IF(D31=0,"총지급이 0원 — 머리글 매칭 확인 / ","")&amp;IF(AND(설정!$B$17&lt;&gt;"",설정!$C$17="",OR(ISNUMBER(FIND("연장",설정!$B$17)),ISNUMBER(FIND("야간",설정!$B$17)),ISNUMBER(FIND("휴일",설정!$B$17))),INDEX(직원목록!$F$7:$F$306,MATCH(19,직원목록!$B$7:$B$306,0))&gt;0),"연장·야간·휴일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","")&amp;IF(AND(설정!$B$24&lt;&gt;"",설정!$C$24="",OR(ISNUMBER(FIND("연장",설정!$B$24)),ISNUMBER(FIND("야간",설정!$B$24)),ISNUMBER(FIND("휴일",설정!$B$24))),INDEX(직원목록!$M$7:$M$306,MATCH(19,직원목록!$B$7:$B$306,0))&gt;0),"연장·야간·휴일 수당은 시간 수도 명세서에 적어야 하니 시간 열 지정 필요 / ",""))=0,"✔",("⚠ "&amp;IF(AND(F31&lt;&gt;"",F31&lt;&gt;0),"계산 총지급과 대장 총지급이 다릅니다 / ","")&amp;IF(AND(I31&lt;&gt;"",I31&lt;&gt;0),"계산 총공제와 대장 총공제가 다릅니다 / ","")&amp;IF(J31&lt;0,"실수령액이 음수입니다 / ","")&amp;IF(COUNTIF(직원목록!$D$7:$D$306,B31)&gt;1,"같은 이름이 둘 이상 — 미리보기는 첫 번째만 보입니다 / ","")&amp;IF(AND(C31&lt;&gt;"",COUNTIF(직원목록!$C$7:$C$306,C31)&gt;1),"사번 중복 / ","")&amp;IF(D31=0,"총지급이 0원 — 머리글 매칭 확인 / ","")&amp;IF(AND(설정!$B$17&lt;&gt;"",설정!$C$17="",OR(ISNUMBER(FIND("연장",설정!$B$17)),ISNUMBER(FIND("야간",설정!$B$17)),ISNUMBER(FIND("휴일",설정!$B$17))),INDEX(직원목록!$F$7:$F$306,MATCH(19,직원목록!$B$7:$B$306,0))&gt;0),"연장·야간·휴일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","")&amp;IF(AND(설정!$B$24&lt;&gt;"",설정!$C$24="",OR(ISNUMBER(FIND("연장",설정!$B$24)),ISNUMBER(FIND("야간",설정!$B$24)),ISNUMBER(FIND("휴일",설정!$B$24))),INDEX(직원목록!$M$7:$M$306,MATCH(19,직원목록!$B$7:$B$306,0))&gt;0),"연장·야간·휴일 수당은 시간 수도 명세서에 적어야 하니 시간 열 지정 필요 / ",""))))</f>
        <v/>
      </c>
    </row>
    <row r="32">
      <c r="A32" s="26">
        <f>IF(IFERROR(MATCH(20,직원목록!$B$7:$B$306,0),0)=0,"",20)</f>
        <v/>
      </c>
      <c r="B32" s="2">
        <f>IF($A32="","",IFERROR(INDEX(직원목록!$D$7:$D$306,MATCH(20,직원목록!$B$7:$B$306,0)),""))</f>
        <v/>
      </c>
      <c r="C32" s="2">
        <f>IF($A32="","",IFERROR(INDEX(직원목록!$C$7:$C$306,MATCH(20,직원목록!$B$7:$B$306,0)),""))</f>
        <v/>
      </c>
      <c r="D32" s="27">
        <f>IF($A32="","",IFERROR(INDEX(직원목록!$V$7:$V$306,MATCH(20,직원목록!$B$7:$B$306,0)),""))</f>
        <v/>
      </c>
      <c r="E32" s="27">
        <f>IF($A32="","",IFERROR(INDEX(직원목록!$AG$7:$AG$306,MATCH(20,직원목록!$B$7:$B$306,0)),""))</f>
        <v/>
      </c>
      <c r="F32" s="27">
        <f>IF(OR($A32="",E32=""),"",D32-E32)</f>
        <v/>
      </c>
      <c r="G32" s="27">
        <f>IF($A32="","",IFERROR(INDEX(직원목록!$AE$7:$AE$306,MATCH(20,직원목록!$B$7:$B$306,0)),""))</f>
        <v/>
      </c>
      <c r="H32" s="27">
        <f>IF($A32="","",IFERROR(INDEX(직원목록!$AH$7:$AH$306,MATCH(20,직원목록!$B$7:$B$306,0)),""))</f>
        <v/>
      </c>
      <c r="I32" s="27">
        <f>IF(OR($A32="",H32=""),"",G32-H32)</f>
        <v/>
      </c>
      <c r="J32" s="27">
        <f>IF($A32="","",IFERROR(INDEX(직원목록!$AF$7:$AF$306,MATCH(20,직원목록!$B$7:$B$306,0)),""))</f>
        <v/>
      </c>
      <c r="K32" s="27">
        <f>IF($A32="","",IFERROR(INDEX(직원목록!$AI$7:$AI$306,MATCH(20,직원목록!$B$7:$B$306,0)),""))</f>
        <v/>
      </c>
      <c r="L32" s="8">
        <f>IF($A32="","",IF(LEN(IF(AND(F32&lt;&gt;"",F32&lt;&gt;0),"계산 총지급과 대장 총지급이 다릅니다 / ","")&amp;IF(AND(I32&lt;&gt;"",I32&lt;&gt;0),"계산 총공제와 대장 총공제가 다릅니다 / ","")&amp;IF(J32&lt;0,"실수령액이 음수입니다 / ","")&amp;IF(COUNTIF(직원목록!$D$7:$D$306,B32)&gt;1,"같은 이름이 둘 이상 — 미리보기는 첫 번째만 보입니다 / ","")&amp;IF(AND(C32&lt;&gt;"",COUNTIF(직원목록!$C$7:$C$306,C32)&gt;1),"사번 중복 / ","")&amp;IF(D32=0,"총지급이 0원 — 머리글 매칭 확인 / ","")&amp;IF(AND(설정!$B$17&lt;&gt;"",설정!$C$17="",OR(ISNUMBER(FIND("연장",설정!$B$17)),ISNUMBER(FIND("야간",설정!$B$17)),ISNUMBER(FIND("휴일",설정!$B$17))),INDEX(직원목록!$F$7:$F$306,MATCH(20,직원목록!$B$7:$B$306,0))&gt;0),"연장·야간·휴일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","")&amp;IF(AND(설정!$B$24&lt;&gt;"",설정!$C$24="",OR(ISNUMBER(FIND("연장",설정!$B$24)),ISNUMBER(FIND("야간",설정!$B$24)),ISNUMBER(FIND("휴일",설정!$B$24))),INDEX(직원목록!$M$7:$M$306,MATCH(20,직원목록!$B$7:$B$306,0))&gt;0),"연장·야간·휴일 수당은 시간 수도 명세서에 적어야 하니 시간 열 지정 필요 / ",""))=0,"✔",("⚠ "&amp;IF(AND(F32&lt;&gt;"",F32&lt;&gt;0),"계산 총지급과 대장 총지급이 다릅니다 / ","")&amp;IF(AND(I32&lt;&gt;"",I32&lt;&gt;0),"계산 총공제와 대장 총공제가 다릅니다 / ","")&amp;IF(J32&lt;0,"실수령액이 음수입니다 / ","")&amp;IF(COUNTIF(직원목록!$D$7:$D$306,B32)&gt;1,"같은 이름이 둘 이상 — 미리보기는 첫 번째만 보입니다 / ","")&amp;IF(AND(C32&lt;&gt;"",COUNTIF(직원목록!$C$7:$C$306,C32)&gt;1),"사번 중복 / ","")&amp;IF(D32=0,"총지급이 0원 — 머리글 매칭 확인 / ","")&amp;IF(AND(설정!$B$17&lt;&gt;"",설정!$C$17="",OR(ISNUMBER(FIND("연장",설정!$B$17)),ISNUMBER(FIND("야간",설정!$B$17)),ISNUMBER(FIND("휴일",설정!$B$17))),INDEX(직원목록!$F$7:$F$306,MATCH(20,직원목록!$B$7:$B$306,0))&gt;0),"연장·야간·휴일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","")&amp;IF(AND(설정!$B$24&lt;&gt;"",설정!$C$24="",OR(ISNUMBER(FIND("연장",설정!$B$24)),ISNUMBER(FIND("야간",설정!$B$24)),ISNUMBER(FIND("휴일",설정!$B$24))),INDEX(직원목록!$M$7:$M$306,MATCH(20,직원목록!$B$7:$B$306,0))&gt;0),"연장·야간·휴일 수당은 시간 수도 명세서에 적어야 하니 시간 열 지정 필요 / ",""))))</f>
        <v/>
      </c>
    </row>
    <row r="33">
      <c r="A33" s="26">
        <f>IF(IFERROR(MATCH(21,직원목록!$B$7:$B$306,0),0)=0,"",21)</f>
        <v/>
      </c>
      <c r="B33" s="2">
        <f>IF($A33="","",IFERROR(INDEX(직원목록!$D$7:$D$306,MATCH(21,직원목록!$B$7:$B$306,0)),""))</f>
        <v/>
      </c>
      <c r="C33" s="2">
        <f>IF($A33="","",IFERROR(INDEX(직원목록!$C$7:$C$306,MATCH(21,직원목록!$B$7:$B$306,0)),""))</f>
        <v/>
      </c>
      <c r="D33" s="27">
        <f>IF($A33="","",IFERROR(INDEX(직원목록!$V$7:$V$306,MATCH(21,직원목록!$B$7:$B$306,0)),""))</f>
        <v/>
      </c>
      <c r="E33" s="27">
        <f>IF($A33="","",IFERROR(INDEX(직원목록!$AG$7:$AG$306,MATCH(21,직원목록!$B$7:$B$306,0)),""))</f>
        <v/>
      </c>
      <c r="F33" s="27">
        <f>IF(OR($A33="",E33=""),"",D33-E33)</f>
        <v/>
      </c>
      <c r="G33" s="27">
        <f>IF($A33="","",IFERROR(INDEX(직원목록!$AE$7:$AE$306,MATCH(21,직원목록!$B$7:$B$306,0)),""))</f>
        <v/>
      </c>
      <c r="H33" s="27">
        <f>IF($A33="","",IFERROR(INDEX(직원목록!$AH$7:$AH$306,MATCH(21,직원목록!$B$7:$B$306,0)),""))</f>
        <v/>
      </c>
      <c r="I33" s="27">
        <f>IF(OR($A33="",H33=""),"",G33-H33)</f>
        <v/>
      </c>
      <c r="J33" s="27">
        <f>IF($A33="","",IFERROR(INDEX(직원목록!$AF$7:$AF$306,MATCH(21,직원목록!$B$7:$B$306,0)),""))</f>
        <v/>
      </c>
      <c r="K33" s="27">
        <f>IF($A33="","",IFERROR(INDEX(직원목록!$AI$7:$AI$306,MATCH(21,직원목록!$B$7:$B$306,0)),""))</f>
        <v/>
      </c>
      <c r="L33" s="8">
        <f>IF($A33="","",IF(LEN(IF(AND(F33&lt;&gt;"",F33&lt;&gt;0),"계산 총지급과 대장 총지급이 다릅니다 / ","")&amp;IF(AND(I33&lt;&gt;"",I33&lt;&gt;0),"계산 총공제와 대장 총공제가 다릅니다 / ","")&amp;IF(J33&lt;0,"실수령액이 음수입니다 / ","")&amp;IF(COUNTIF(직원목록!$D$7:$D$306,B33)&gt;1,"같은 이름이 둘 이상 — 미리보기는 첫 번째만 보입니다 / ","")&amp;IF(AND(C33&lt;&gt;"",COUNTIF(직원목록!$C$7:$C$306,C33)&gt;1),"사번 중복 / ","")&amp;IF(D33=0,"총지급이 0원 — 머리글 매칭 확인 / ","")&amp;IF(AND(설정!$B$17&lt;&gt;"",설정!$C$17="",OR(ISNUMBER(FIND("연장",설정!$B$17)),ISNUMBER(FIND("야간",설정!$B$17)),ISNUMBER(FIND("휴일",설정!$B$17))),INDEX(직원목록!$F$7:$F$306,MATCH(21,직원목록!$B$7:$B$306,0))&gt;0),"연장·야간·휴일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","")&amp;IF(AND(설정!$B$24&lt;&gt;"",설정!$C$24="",OR(ISNUMBER(FIND("연장",설정!$B$24)),ISNUMBER(FIND("야간",설정!$B$24)),ISNUMBER(FIND("휴일",설정!$B$24))),INDEX(직원목록!$M$7:$M$306,MATCH(21,직원목록!$B$7:$B$306,0))&gt;0),"연장·야간·휴일 수당은 시간 수도 명세서에 적어야 하니 시간 열 지정 필요 / ",""))=0,"✔",("⚠ "&amp;IF(AND(F33&lt;&gt;"",F33&lt;&gt;0),"계산 총지급과 대장 총지급이 다릅니다 / ","")&amp;IF(AND(I33&lt;&gt;"",I33&lt;&gt;0),"계산 총공제와 대장 총공제가 다릅니다 / ","")&amp;IF(J33&lt;0,"실수령액이 음수입니다 / ","")&amp;IF(COUNTIF(직원목록!$D$7:$D$306,B33)&gt;1,"같은 이름이 둘 이상 — 미리보기는 첫 번째만 보입니다 / ","")&amp;IF(AND(C33&lt;&gt;"",COUNTIF(직원목록!$C$7:$C$306,C33)&gt;1),"사번 중복 / ","")&amp;IF(D33=0,"총지급이 0원 — 머리글 매칭 확인 / ","")&amp;IF(AND(설정!$B$17&lt;&gt;"",설정!$C$17="",OR(ISNUMBER(FIND("연장",설정!$B$17)),ISNUMBER(FIND("야간",설정!$B$17)),ISNUMBER(FIND("휴일",설정!$B$17))),INDEX(직원목록!$F$7:$F$306,MATCH(21,직원목록!$B$7:$B$306,0))&gt;0),"연장·야간·휴일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","")&amp;IF(AND(설정!$B$24&lt;&gt;"",설정!$C$24="",OR(ISNUMBER(FIND("연장",설정!$B$24)),ISNUMBER(FIND("야간",설정!$B$24)),ISNUMBER(FIND("휴일",설정!$B$24))),INDEX(직원목록!$M$7:$M$306,MATCH(21,직원목록!$B$7:$B$306,0))&gt;0),"연장·야간·휴일 수당은 시간 수도 명세서에 적어야 하니 시간 열 지정 필요 / ",""))))</f>
        <v/>
      </c>
    </row>
    <row r="34">
      <c r="A34" s="26">
        <f>IF(IFERROR(MATCH(22,직원목록!$B$7:$B$306,0),0)=0,"",22)</f>
        <v/>
      </c>
      <c r="B34" s="2">
        <f>IF($A34="","",IFERROR(INDEX(직원목록!$D$7:$D$306,MATCH(22,직원목록!$B$7:$B$306,0)),""))</f>
        <v/>
      </c>
      <c r="C34" s="2">
        <f>IF($A34="","",IFERROR(INDEX(직원목록!$C$7:$C$306,MATCH(22,직원목록!$B$7:$B$306,0)),""))</f>
        <v/>
      </c>
      <c r="D34" s="27">
        <f>IF($A34="","",IFERROR(INDEX(직원목록!$V$7:$V$306,MATCH(22,직원목록!$B$7:$B$306,0)),""))</f>
        <v/>
      </c>
      <c r="E34" s="27">
        <f>IF($A34="","",IFERROR(INDEX(직원목록!$AG$7:$AG$306,MATCH(22,직원목록!$B$7:$B$306,0)),""))</f>
        <v/>
      </c>
      <c r="F34" s="27">
        <f>IF(OR($A34="",E34=""),"",D34-E34)</f>
        <v/>
      </c>
      <c r="G34" s="27">
        <f>IF($A34="","",IFERROR(INDEX(직원목록!$AE$7:$AE$306,MATCH(22,직원목록!$B$7:$B$306,0)),""))</f>
        <v/>
      </c>
      <c r="H34" s="27">
        <f>IF($A34="","",IFERROR(INDEX(직원목록!$AH$7:$AH$306,MATCH(22,직원목록!$B$7:$B$306,0)),""))</f>
        <v/>
      </c>
      <c r="I34" s="27">
        <f>IF(OR($A34="",H34=""),"",G34-H34)</f>
        <v/>
      </c>
      <c r="J34" s="27">
        <f>IF($A34="","",IFERROR(INDEX(직원목록!$AF$7:$AF$306,MATCH(22,직원목록!$B$7:$B$306,0)),""))</f>
        <v/>
      </c>
      <c r="K34" s="27">
        <f>IF($A34="","",IFERROR(INDEX(직원목록!$AI$7:$AI$306,MATCH(22,직원목록!$B$7:$B$306,0)),""))</f>
        <v/>
      </c>
      <c r="L34" s="8">
        <f>IF($A34="","",IF(LEN(IF(AND(F34&lt;&gt;"",F34&lt;&gt;0),"계산 총지급과 대장 총지급이 다릅니다 / ","")&amp;IF(AND(I34&lt;&gt;"",I34&lt;&gt;0),"계산 총공제와 대장 총공제가 다릅니다 / ","")&amp;IF(J34&lt;0,"실수령액이 음수입니다 / ","")&amp;IF(COUNTIF(직원목록!$D$7:$D$306,B34)&gt;1,"같은 이름이 둘 이상 — 미리보기는 첫 번째만 보입니다 / ","")&amp;IF(AND(C34&lt;&gt;"",COUNTIF(직원목록!$C$7:$C$306,C34)&gt;1),"사번 중복 / ","")&amp;IF(D34=0,"총지급이 0원 — 머리글 매칭 확인 / ","")&amp;IF(AND(설정!$B$17&lt;&gt;"",설정!$C$17="",OR(ISNUMBER(FIND("연장",설정!$B$17)),ISNUMBER(FIND("야간",설정!$B$17)),ISNUMBER(FIND("휴일",설정!$B$17))),INDEX(직원목록!$F$7:$F$306,MATCH(22,직원목록!$B$7:$B$306,0))&gt;0),"연장·야간·휴일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","")&amp;IF(AND(설정!$B$24&lt;&gt;"",설정!$C$24="",OR(ISNUMBER(FIND("연장",설정!$B$24)),ISNUMBER(FIND("야간",설정!$B$24)),ISNUMBER(FIND("휴일",설정!$B$24))),INDEX(직원목록!$M$7:$M$306,MATCH(22,직원목록!$B$7:$B$306,0))&gt;0),"연장·야간·휴일 수당은 시간 수도 명세서에 적어야 하니 시간 열 지정 필요 / ",""))=0,"✔",("⚠ "&amp;IF(AND(F34&lt;&gt;"",F34&lt;&gt;0),"계산 총지급과 대장 총지급이 다릅니다 / ","")&amp;IF(AND(I34&lt;&gt;"",I34&lt;&gt;0),"계산 총공제와 대장 총공제가 다릅니다 / ","")&amp;IF(J34&lt;0,"실수령액이 음수입니다 / ","")&amp;IF(COUNTIF(직원목록!$D$7:$D$306,B34)&gt;1,"같은 이름이 둘 이상 — 미리보기는 첫 번째만 보입니다 / ","")&amp;IF(AND(C34&lt;&gt;"",COUNTIF(직원목록!$C$7:$C$306,C34)&gt;1),"사번 중복 / ","")&amp;IF(D34=0,"총지급이 0원 — 머리글 매칭 확인 / ","")&amp;IF(AND(설정!$B$17&lt;&gt;"",설정!$C$17="",OR(ISNUMBER(FIND("연장",설정!$B$17)),ISNUMBER(FIND("야간",설정!$B$17)),ISNUMBER(FIND("휴일",설정!$B$17))),INDEX(직원목록!$F$7:$F$306,MATCH(22,직원목록!$B$7:$B$306,0))&gt;0),"연장·야간·휴일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","")&amp;IF(AND(설정!$B$24&lt;&gt;"",설정!$C$24="",OR(ISNUMBER(FIND("연장",설정!$B$24)),ISNUMBER(FIND("야간",설정!$B$24)),ISNUMBER(FIND("휴일",설정!$B$24))),INDEX(직원목록!$M$7:$M$306,MATCH(22,직원목록!$B$7:$B$306,0))&gt;0),"연장·야간·휴일 수당은 시간 수도 명세서에 적어야 하니 시간 열 지정 필요 / ",""))))</f>
        <v/>
      </c>
    </row>
    <row r="35">
      <c r="A35" s="26">
        <f>IF(IFERROR(MATCH(23,직원목록!$B$7:$B$306,0),0)=0,"",23)</f>
        <v/>
      </c>
      <c r="B35" s="2">
        <f>IF($A35="","",IFERROR(INDEX(직원목록!$D$7:$D$306,MATCH(23,직원목록!$B$7:$B$306,0)),""))</f>
        <v/>
      </c>
      <c r="C35" s="2">
        <f>IF($A35="","",IFERROR(INDEX(직원목록!$C$7:$C$306,MATCH(23,직원목록!$B$7:$B$306,0)),""))</f>
        <v/>
      </c>
      <c r="D35" s="27">
        <f>IF($A35="","",IFERROR(INDEX(직원목록!$V$7:$V$306,MATCH(23,직원목록!$B$7:$B$306,0)),""))</f>
        <v/>
      </c>
      <c r="E35" s="27">
        <f>IF($A35="","",IFERROR(INDEX(직원목록!$AG$7:$AG$306,MATCH(23,직원목록!$B$7:$B$306,0)),""))</f>
        <v/>
      </c>
      <c r="F35" s="27">
        <f>IF(OR($A35="",E35=""),"",D35-E35)</f>
        <v/>
      </c>
      <c r="G35" s="27">
        <f>IF($A35="","",IFERROR(INDEX(직원목록!$AE$7:$AE$306,MATCH(23,직원목록!$B$7:$B$306,0)),""))</f>
        <v/>
      </c>
      <c r="H35" s="27">
        <f>IF($A35="","",IFERROR(INDEX(직원목록!$AH$7:$AH$306,MATCH(23,직원목록!$B$7:$B$306,0)),""))</f>
        <v/>
      </c>
      <c r="I35" s="27">
        <f>IF(OR($A35="",H35=""),"",G35-H35)</f>
        <v/>
      </c>
      <c r="J35" s="27">
        <f>IF($A35="","",IFERROR(INDEX(직원목록!$AF$7:$AF$306,MATCH(23,직원목록!$B$7:$B$306,0)),""))</f>
        <v/>
      </c>
      <c r="K35" s="27">
        <f>IF($A35="","",IFERROR(INDEX(직원목록!$AI$7:$AI$306,MATCH(23,직원목록!$B$7:$B$306,0)),""))</f>
        <v/>
      </c>
      <c r="L35" s="8">
        <f>IF($A35="","",IF(LEN(IF(AND(F35&lt;&gt;"",F35&lt;&gt;0),"계산 총지급과 대장 총지급이 다릅니다 / ","")&amp;IF(AND(I35&lt;&gt;"",I35&lt;&gt;0),"계산 총공제와 대장 총공제가 다릅니다 / ","")&amp;IF(J35&lt;0,"실수령액이 음수입니다 / ","")&amp;IF(COUNTIF(직원목록!$D$7:$D$306,B35)&gt;1,"같은 이름이 둘 이상 — 미리보기는 첫 번째만 보입니다 / ","")&amp;IF(AND(C35&lt;&gt;"",COUNTIF(직원목록!$C$7:$C$306,C35)&gt;1),"사번 중복 / ","")&amp;IF(D35=0,"총지급이 0원 — 머리글 매칭 확인 / ","")&amp;IF(AND(설정!$B$17&lt;&gt;"",설정!$C$17="",OR(ISNUMBER(FIND("연장",설정!$B$17)),ISNUMBER(FIND("야간",설정!$B$17)),ISNUMBER(FIND("휴일",설정!$B$17))),INDEX(직원목록!$F$7:$F$306,MATCH(23,직원목록!$B$7:$B$306,0))&gt;0),"연장·야간·휴일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","")&amp;IF(AND(설정!$B$24&lt;&gt;"",설정!$C$24="",OR(ISNUMBER(FIND("연장",설정!$B$24)),ISNUMBER(FIND("야간",설정!$B$24)),ISNUMBER(FIND("휴일",설정!$B$24))),INDEX(직원목록!$M$7:$M$306,MATCH(23,직원목록!$B$7:$B$306,0))&gt;0),"연장·야간·휴일 수당은 시간 수도 명세서에 적어야 하니 시간 열 지정 필요 / ",""))=0,"✔",("⚠ "&amp;IF(AND(F35&lt;&gt;"",F35&lt;&gt;0),"계산 총지급과 대장 총지급이 다릅니다 / ","")&amp;IF(AND(I35&lt;&gt;"",I35&lt;&gt;0),"계산 총공제와 대장 총공제가 다릅니다 / ","")&amp;IF(J35&lt;0,"실수령액이 음수입니다 / ","")&amp;IF(COUNTIF(직원목록!$D$7:$D$306,B35)&gt;1,"같은 이름이 둘 이상 — 미리보기는 첫 번째만 보입니다 / ","")&amp;IF(AND(C35&lt;&gt;"",COUNTIF(직원목록!$C$7:$C$306,C35)&gt;1),"사번 중복 / ","")&amp;IF(D35=0,"총지급이 0원 — 머리글 매칭 확인 / ","")&amp;IF(AND(설정!$B$17&lt;&gt;"",설정!$C$17="",OR(ISNUMBER(FIND("연장",설정!$B$17)),ISNUMBER(FIND("야간",설정!$B$17)),ISNUMBER(FIND("휴일",설정!$B$17))),INDEX(직원목록!$F$7:$F$306,MATCH(23,직원목록!$B$7:$B$306,0))&gt;0),"연장·야간·휴일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","")&amp;IF(AND(설정!$B$24&lt;&gt;"",설정!$C$24="",OR(ISNUMBER(FIND("연장",설정!$B$24)),ISNUMBER(FIND("야간",설정!$B$24)),ISNUMBER(FIND("휴일",설정!$B$24))),INDEX(직원목록!$M$7:$M$306,MATCH(23,직원목록!$B$7:$B$306,0))&gt;0),"연장·야간·휴일 수당은 시간 수도 명세서에 적어야 하니 시간 열 지정 필요 / ",""))))</f>
        <v/>
      </c>
    </row>
    <row r="36">
      <c r="A36" s="26">
        <f>IF(IFERROR(MATCH(24,직원목록!$B$7:$B$306,0),0)=0,"",24)</f>
        <v/>
      </c>
      <c r="B36" s="2">
        <f>IF($A36="","",IFERROR(INDEX(직원목록!$D$7:$D$306,MATCH(24,직원목록!$B$7:$B$306,0)),""))</f>
        <v/>
      </c>
      <c r="C36" s="2">
        <f>IF($A36="","",IFERROR(INDEX(직원목록!$C$7:$C$306,MATCH(24,직원목록!$B$7:$B$306,0)),""))</f>
        <v/>
      </c>
      <c r="D36" s="27">
        <f>IF($A36="","",IFERROR(INDEX(직원목록!$V$7:$V$306,MATCH(24,직원목록!$B$7:$B$306,0)),""))</f>
        <v/>
      </c>
      <c r="E36" s="27">
        <f>IF($A36="","",IFERROR(INDEX(직원목록!$AG$7:$AG$306,MATCH(24,직원목록!$B$7:$B$306,0)),""))</f>
        <v/>
      </c>
      <c r="F36" s="27">
        <f>IF(OR($A36="",E36=""),"",D36-E36)</f>
        <v/>
      </c>
      <c r="G36" s="27">
        <f>IF($A36="","",IFERROR(INDEX(직원목록!$AE$7:$AE$306,MATCH(24,직원목록!$B$7:$B$306,0)),""))</f>
        <v/>
      </c>
      <c r="H36" s="27">
        <f>IF($A36="","",IFERROR(INDEX(직원목록!$AH$7:$AH$306,MATCH(24,직원목록!$B$7:$B$306,0)),""))</f>
        <v/>
      </c>
      <c r="I36" s="27">
        <f>IF(OR($A36="",H36=""),"",G36-H36)</f>
        <v/>
      </c>
      <c r="J36" s="27">
        <f>IF($A36="","",IFERROR(INDEX(직원목록!$AF$7:$AF$306,MATCH(24,직원목록!$B$7:$B$306,0)),""))</f>
        <v/>
      </c>
      <c r="K36" s="27">
        <f>IF($A36="","",IFERROR(INDEX(직원목록!$AI$7:$AI$306,MATCH(24,직원목록!$B$7:$B$306,0)),""))</f>
        <v/>
      </c>
      <c r="L36" s="8">
        <f>IF($A36="","",IF(LEN(IF(AND(F36&lt;&gt;"",F36&lt;&gt;0),"계산 총지급과 대장 총지급이 다릅니다 / ","")&amp;IF(AND(I36&lt;&gt;"",I36&lt;&gt;0),"계산 총공제와 대장 총공제가 다릅니다 / ","")&amp;IF(J36&lt;0,"실수령액이 음수입니다 / ","")&amp;IF(COUNTIF(직원목록!$D$7:$D$306,B36)&gt;1,"같은 이름이 둘 이상 — 미리보기는 첫 번째만 보입니다 / ","")&amp;IF(AND(C36&lt;&gt;"",COUNTIF(직원목록!$C$7:$C$306,C36)&gt;1),"사번 중복 / ","")&amp;IF(D36=0,"총지급이 0원 — 머리글 매칭 확인 / ","")&amp;IF(AND(설정!$B$17&lt;&gt;"",설정!$C$17="",OR(ISNUMBER(FIND("연장",설정!$B$17)),ISNUMBER(FIND("야간",설정!$B$17)),ISNUMBER(FIND("휴일",설정!$B$17))),INDEX(직원목록!$F$7:$F$306,MATCH(24,직원목록!$B$7:$B$306,0))&gt;0),"연장·야간·휴일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","")&amp;IF(AND(설정!$B$24&lt;&gt;"",설정!$C$24="",OR(ISNUMBER(FIND("연장",설정!$B$24)),ISNUMBER(FIND("야간",설정!$B$24)),ISNUMBER(FIND("휴일",설정!$B$24))),INDEX(직원목록!$M$7:$M$306,MATCH(24,직원목록!$B$7:$B$306,0))&gt;0),"연장·야간·휴일 수당은 시간 수도 명세서에 적어야 하니 시간 열 지정 필요 / ",""))=0,"✔",("⚠ "&amp;IF(AND(F36&lt;&gt;"",F36&lt;&gt;0),"계산 총지급과 대장 총지급이 다릅니다 / ","")&amp;IF(AND(I36&lt;&gt;"",I36&lt;&gt;0),"계산 총공제와 대장 총공제가 다릅니다 / ","")&amp;IF(J36&lt;0,"실수령액이 음수입니다 / ","")&amp;IF(COUNTIF(직원목록!$D$7:$D$306,B36)&gt;1,"같은 이름이 둘 이상 — 미리보기는 첫 번째만 보입니다 / ","")&amp;IF(AND(C36&lt;&gt;"",COUNTIF(직원목록!$C$7:$C$306,C36)&gt;1),"사번 중복 / ","")&amp;IF(D36=0,"총지급이 0원 — 머리글 매칭 확인 / ","")&amp;IF(AND(설정!$B$17&lt;&gt;"",설정!$C$17="",OR(ISNUMBER(FIND("연장",설정!$B$17)),ISNUMBER(FIND("야간",설정!$B$17)),ISNUMBER(FIND("휴일",설정!$B$17))),INDEX(직원목록!$F$7:$F$306,MATCH(24,직원목록!$B$7:$B$306,0))&gt;0),"연장·야간·휴일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","")&amp;IF(AND(설정!$B$24&lt;&gt;"",설정!$C$24="",OR(ISNUMBER(FIND("연장",설정!$B$24)),ISNUMBER(FIND("야간",설정!$B$24)),ISNUMBER(FIND("휴일",설정!$B$24))),INDEX(직원목록!$M$7:$M$306,MATCH(24,직원목록!$B$7:$B$306,0))&gt;0),"연장·야간·휴일 수당은 시간 수도 명세서에 적어야 하니 시간 열 지정 필요 / ",""))))</f>
        <v/>
      </c>
    </row>
    <row r="37">
      <c r="A37" s="26">
        <f>IF(IFERROR(MATCH(25,직원목록!$B$7:$B$306,0),0)=0,"",25)</f>
        <v/>
      </c>
      <c r="B37" s="2">
        <f>IF($A37="","",IFERROR(INDEX(직원목록!$D$7:$D$306,MATCH(25,직원목록!$B$7:$B$306,0)),""))</f>
        <v/>
      </c>
      <c r="C37" s="2">
        <f>IF($A37="","",IFERROR(INDEX(직원목록!$C$7:$C$306,MATCH(25,직원목록!$B$7:$B$306,0)),""))</f>
        <v/>
      </c>
      <c r="D37" s="27">
        <f>IF($A37="","",IFERROR(INDEX(직원목록!$V$7:$V$306,MATCH(25,직원목록!$B$7:$B$306,0)),""))</f>
        <v/>
      </c>
      <c r="E37" s="27">
        <f>IF($A37="","",IFERROR(INDEX(직원목록!$AG$7:$AG$306,MATCH(25,직원목록!$B$7:$B$306,0)),""))</f>
        <v/>
      </c>
      <c r="F37" s="27">
        <f>IF(OR($A37="",E37=""),"",D37-E37)</f>
        <v/>
      </c>
      <c r="G37" s="27">
        <f>IF($A37="","",IFERROR(INDEX(직원목록!$AE$7:$AE$306,MATCH(25,직원목록!$B$7:$B$306,0)),""))</f>
        <v/>
      </c>
      <c r="H37" s="27">
        <f>IF($A37="","",IFERROR(INDEX(직원목록!$AH$7:$AH$306,MATCH(25,직원목록!$B$7:$B$306,0)),""))</f>
        <v/>
      </c>
      <c r="I37" s="27">
        <f>IF(OR($A37="",H37=""),"",G37-H37)</f>
        <v/>
      </c>
      <c r="J37" s="27">
        <f>IF($A37="","",IFERROR(INDEX(직원목록!$AF$7:$AF$306,MATCH(25,직원목록!$B$7:$B$306,0)),""))</f>
        <v/>
      </c>
      <c r="K37" s="27">
        <f>IF($A37="","",IFERROR(INDEX(직원목록!$AI$7:$AI$306,MATCH(25,직원목록!$B$7:$B$306,0)),""))</f>
        <v/>
      </c>
      <c r="L37" s="8">
        <f>IF($A37="","",IF(LEN(IF(AND(F37&lt;&gt;"",F37&lt;&gt;0),"계산 총지급과 대장 총지급이 다릅니다 / ","")&amp;IF(AND(I37&lt;&gt;"",I37&lt;&gt;0),"계산 총공제와 대장 총공제가 다릅니다 / ","")&amp;IF(J37&lt;0,"실수령액이 음수입니다 / ","")&amp;IF(COUNTIF(직원목록!$D$7:$D$306,B37)&gt;1,"같은 이름이 둘 이상 — 미리보기는 첫 번째만 보입니다 / ","")&amp;IF(AND(C37&lt;&gt;"",COUNTIF(직원목록!$C$7:$C$306,C37)&gt;1),"사번 중복 / ","")&amp;IF(D37=0,"총지급이 0원 — 머리글 매칭 확인 / ","")&amp;IF(AND(설정!$B$17&lt;&gt;"",설정!$C$17="",OR(ISNUMBER(FIND("연장",설정!$B$17)),ISNUMBER(FIND("야간",설정!$B$17)),ISNUMBER(FIND("휴일",설정!$B$17))),INDEX(직원목록!$F$7:$F$306,MATCH(25,직원목록!$B$7:$B$306,0))&gt;0),"연장·야간·휴일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","")&amp;IF(AND(설정!$B$24&lt;&gt;"",설정!$C$24="",OR(ISNUMBER(FIND("연장",설정!$B$24)),ISNUMBER(FIND("야간",설정!$B$24)),ISNUMBER(FIND("휴일",설정!$B$24))),INDEX(직원목록!$M$7:$M$306,MATCH(25,직원목록!$B$7:$B$306,0))&gt;0),"연장·야간·휴일 수당은 시간 수도 명세서에 적어야 하니 시간 열 지정 필요 / ",""))=0,"✔",("⚠ "&amp;IF(AND(F37&lt;&gt;"",F37&lt;&gt;0),"계산 총지급과 대장 총지급이 다릅니다 / ","")&amp;IF(AND(I37&lt;&gt;"",I37&lt;&gt;0),"계산 총공제와 대장 총공제가 다릅니다 / ","")&amp;IF(J37&lt;0,"실수령액이 음수입니다 / ","")&amp;IF(COUNTIF(직원목록!$D$7:$D$306,B37)&gt;1,"같은 이름이 둘 이상 — 미리보기는 첫 번째만 보입니다 / ","")&amp;IF(AND(C37&lt;&gt;"",COUNTIF(직원목록!$C$7:$C$306,C37)&gt;1),"사번 중복 / ","")&amp;IF(D37=0,"총지급이 0원 — 머리글 매칭 확인 / ","")&amp;IF(AND(설정!$B$17&lt;&gt;"",설정!$C$17="",OR(ISNUMBER(FIND("연장",설정!$B$17)),ISNUMBER(FIND("야간",설정!$B$17)),ISNUMBER(FIND("휴일",설정!$B$17))),INDEX(직원목록!$F$7:$F$306,MATCH(25,직원목록!$B$7:$B$306,0))&gt;0),"연장·야간·휴일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","")&amp;IF(AND(설정!$B$24&lt;&gt;"",설정!$C$24="",OR(ISNUMBER(FIND("연장",설정!$B$24)),ISNUMBER(FIND("야간",설정!$B$24)),ISNUMBER(FIND("휴일",설정!$B$24))),INDEX(직원목록!$M$7:$M$306,MATCH(25,직원목록!$B$7:$B$306,0))&gt;0),"연장·야간·휴일 수당은 시간 수도 명세서에 적어야 하니 시간 열 지정 필요 / ",""))))</f>
        <v/>
      </c>
    </row>
    <row r="38">
      <c r="A38" s="26">
        <f>IF(IFERROR(MATCH(26,직원목록!$B$7:$B$306,0),0)=0,"",26)</f>
        <v/>
      </c>
      <c r="B38" s="2">
        <f>IF($A38="","",IFERROR(INDEX(직원목록!$D$7:$D$306,MATCH(26,직원목록!$B$7:$B$306,0)),""))</f>
        <v/>
      </c>
      <c r="C38" s="2">
        <f>IF($A38="","",IFERROR(INDEX(직원목록!$C$7:$C$306,MATCH(26,직원목록!$B$7:$B$306,0)),""))</f>
        <v/>
      </c>
      <c r="D38" s="27">
        <f>IF($A38="","",IFERROR(INDEX(직원목록!$V$7:$V$306,MATCH(26,직원목록!$B$7:$B$306,0)),""))</f>
        <v/>
      </c>
      <c r="E38" s="27">
        <f>IF($A38="","",IFERROR(INDEX(직원목록!$AG$7:$AG$306,MATCH(26,직원목록!$B$7:$B$306,0)),""))</f>
        <v/>
      </c>
      <c r="F38" s="27">
        <f>IF(OR($A38="",E38=""),"",D38-E38)</f>
        <v/>
      </c>
      <c r="G38" s="27">
        <f>IF($A38="","",IFERROR(INDEX(직원목록!$AE$7:$AE$306,MATCH(26,직원목록!$B$7:$B$306,0)),""))</f>
        <v/>
      </c>
      <c r="H38" s="27">
        <f>IF($A38="","",IFERROR(INDEX(직원목록!$AH$7:$AH$306,MATCH(26,직원목록!$B$7:$B$306,0)),""))</f>
        <v/>
      </c>
      <c r="I38" s="27">
        <f>IF(OR($A38="",H38=""),"",G38-H38)</f>
        <v/>
      </c>
      <c r="J38" s="27">
        <f>IF($A38="","",IFERROR(INDEX(직원목록!$AF$7:$AF$306,MATCH(26,직원목록!$B$7:$B$306,0)),""))</f>
        <v/>
      </c>
      <c r="K38" s="27">
        <f>IF($A38="","",IFERROR(INDEX(직원목록!$AI$7:$AI$306,MATCH(26,직원목록!$B$7:$B$306,0)),""))</f>
        <v/>
      </c>
      <c r="L38" s="8">
        <f>IF($A38="","",IF(LEN(IF(AND(F38&lt;&gt;"",F38&lt;&gt;0),"계산 총지급과 대장 총지급이 다릅니다 / ","")&amp;IF(AND(I38&lt;&gt;"",I38&lt;&gt;0),"계산 총공제와 대장 총공제가 다릅니다 / ","")&amp;IF(J38&lt;0,"실수령액이 음수입니다 / ","")&amp;IF(COUNTIF(직원목록!$D$7:$D$306,B38)&gt;1,"같은 이름이 둘 이상 — 미리보기는 첫 번째만 보입니다 / ","")&amp;IF(AND(C38&lt;&gt;"",COUNTIF(직원목록!$C$7:$C$306,C38)&gt;1),"사번 중복 / ","")&amp;IF(D38=0,"총지급이 0원 — 머리글 매칭 확인 / ","")&amp;IF(AND(설정!$B$17&lt;&gt;"",설정!$C$17="",OR(ISNUMBER(FIND("연장",설정!$B$17)),ISNUMBER(FIND("야간",설정!$B$17)),ISNUMBER(FIND("휴일",설정!$B$17))),INDEX(직원목록!$F$7:$F$306,MATCH(26,직원목록!$B$7:$B$306,0))&gt;0),"연장·야간·휴일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","")&amp;IF(AND(설정!$B$24&lt;&gt;"",설정!$C$24="",OR(ISNUMBER(FIND("연장",설정!$B$24)),ISNUMBER(FIND("야간",설정!$B$24)),ISNUMBER(FIND("휴일",설정!$B$24))),INDEX(직원목록!$M$7:$M$306,MATCH(26,직원목록!$B$7:$B$306,0))&gt;0),"연장·야간·휴일 수당은 시간 수도 명세서에 적어야 하니 시간 열 지정 필요 / ",""))=0,"✔",("⚠ "&amp;IF(AND(F38&lt;&gt;"",F38&lt;&gt;0),"계산 총지급과 대장 총지급이 다릅니다 / ","")&amp;IF(AND(I38&lt;&gt;"",I38&lt;&gt;0),"계산 총공제와 대장 총공제가 다릅니다 / ","")&amp;IF(J38&lt;0,"실수령액이 음수입니다 / ","")&amp;IF(COUNTIF(직원목록!$D$7:$D$306,B38)&gt;1,"같은 이름이 둘 이상 — 미리보기는 첫 번째만 보입니다 / ","")&amp;IF(AND(C38&lt;&gt;"",COUNTIF(직원목록!$C$7:$C$306,C38)&gt;1),"사번 중복 / ","")&amp;IF(D38=0,"총지급이 0원 — 머리글 매칭 확인 / ","")&amp;IF(AND(설정!$B$17&lt;&gt;"",설정!$C$17="",OR(ISNUMBER(FIND("연장",설정!$B$17)),ISNUMBER(FIND("야간",설정!$B$17)),ISNUMBER(FIND("휴일",설정!$B$17))),INDEX(직원목록!$F$7:$F$306,MATCH(26,직원목록!$B$7:$B$306,0))&gt;0),"연장·야간·휴일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","")&amp;IF(AND(설정!$B$24&lt;&gt;"",설정!$C$24="",OR(ISNUMBER(FIND("연장",설정!$B$24)),ISNUMBER(FIND("야간",설정!$B$24)),ISNUMBER(FIND("휴일",설정!$B$24))),INDEX(직원목록!$M$7:$M$306,MATCH(26,직원목록!$B$7:$B$306,0))&gt;0),"연장·야간·휴일 수당은 시간 수도 명세서에 적어야 하니 시간 열 지정 필요 / ",""))))</f>
        <v/>
      </c>
    </row>
    <row r="39">
      <c r="A39" s="26">
        <f>IF(IFERROR(MATCH(27,직원목록!$B$7:$B$306,0),0)=0,"",27)</f>
        <v/>
      </c>
      <c r="B39" s="2">
        <f>IF($A39="","",IFERROR(INDEX(직원목록!$D$7:$D$306,MATCH(27,직원목록!$B$7:$B$306,0)),""))</f>
        <v/>
      </c>
      <c r="C39" s="2">
        <f>IF($A39="","",IFERROR(INDEX(직원목록!$C$7:$C$306,MATCH(27,직원목록!$B$7:$B$306,0)),""))</f>
        <v/>
      </c>
      <c r="D39" s="27">
        <f>IF($A39="","",IFERROR(INDEX(직원목록!$V$7:$V$306,MATCH(27,직원목록!$B$7:$B$306,0)),""))</f>
        <v/>
      </c>
      <c r="E39" s="27">
        <f>IF($A39="","",IFERROR(INDEX(직원목록!$AG$7:$AG$306,MATCH(27,직원목록!$B$7:$B$306,0)),""))</f>
        <v/>
      </c>
      <c r="F39" s="27">
        <f>IF(OR($A39="",E39=""),"",D39-E39)</f>
        <v/>
      </c>
      <c r="G39" s="27">
        <f>IF($A39="","",IFERROR(INDEX(직원목록!$AE$7:$AE$306,MATCH(27,직원목록!$B$7:$B$306,0)),""))</f>
        <v/>
      </c>
      <c r="H39" s="27">
        <f>IF($A39="","",IFERROR(INDEX(직원목록!$AH$7:$AH$306,MATCH(27,직원목록!$B$7:$B$306,0)),""))</f>
        <v/>
      </c>
      <c r="I39" s="27">
        <f>IF(OR($A39="",H39=""),"",G39-H39)</f>
        <v/>
      </c>
      <c r="J39" s="27">
        <f>IF($A39="","",IFERROR(INDEX(직원목록!$AF$7:$AF$306,MATCH(27,직원목록!$B$7:$B$306,0)),""))</f>
        <v/>
      </c>
      <c r="K39" s="27">
        <f>IF($A39="","",IFERROR(INDEX(직원목록!$AI$7:$AI$306,MATCH(27,직원목록!$B$7:$B$306,0)),""))</f>
        <v/>
      </c>
      <c r="L39" s="8">
        <f>IF($A39="","",IF(LEN(IF(AND(F39&lt;&gt;"",F39&lt;&gt;0),"계산 총지급과 대장 총지급이 다릅니다 / ","")&amp;IF(AND(I39&lt;&gt;"",I39&lt;&gt;0),"계산 총공제와 대장 총공제가 다릅니다 / ","")&amp;IF(J39&lt;0,"실수령액이 음수입니다 / ","")&amp;IF(COUNTIF(직원목록!$D$7:$D$306,B39)&gt;1,"같은 이름이 둘 이상 — 미리보기는 첫 번째만 보입니다 / ","")&amp;IF(AND(C39&lt;&gt;"",COUNTIF(직원목록!$C$7:$C$306,C39)&gt;1),"사번 중복 / ","")&amp;IF(D39=0,"총지급이 0원 — 머리글 매칭 확인 / ","")&amp;IF(AND(설정!$B$17&lt;&gt;"",설정!$C$17="",OR(ISNUMBER(FIND("연장",설정!$B$17)),ISNUMBER(FIND("야간",설정!$B$17)),ISNUMBER(FIND("휴일",설정!$B$17))),INDEX(직원목록!$F$7:$F$306,MATCH(27,직원목록!$B$7:$B$306,0))&gt;0),"연장·야간·휴일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","")&amp;IF(AND(설정!$B$24&lt;&gt;"",설정!$C$24="",OR(ISNUMBER(FIND("연장",설정!$B$24)),ISNUMBER(FIND("야간",설정!$B$24)),ISNUMBER(FIND("휴일",설정!$B$24))),INDEX(직원목록!$M$7:$M$306,MATCH(27,직원목록!$B$7:$B$306,0))&gt;0),"연장·야간·휴일 수당은 시간 수도 명세서에 적어야 하니 시간 열 지정 필요 / ",""))=0,"✔",("⚠ "&amp;IF(AND(F39&lt;&gt;"",F39&lt;&gt;0),"계산 총지급과 대장 총지급이 다릅니다 / ","")&amp;IF(AND(I39&lt;&gt;"",I39&lt;&gt;0),"계산 총공제와 대장 총공제가 다릅니다 / ","")&amp;IF(J39&lt;0,"실수령액이 음수입니다 / ","")&amp;IF(COUNTIF(직원목록!$D$7:$D$306,B39)&gt;1,"같은 이름이 둘 이상 — 미리보기는 첫 번째만 보입니다 / ","")&amp;IF(AND(C39&lt;&gt;"",COUNTIF(직원목록!$C$7:$C$306,C39)&gt;1),"사번 중복 / ","")&amp;IF(D39=0,"총지급이 0원 — 머리글 매칭 확인 / ","")&amp;IF(AND(설정!$B$17&lt;&gt;"",설정!$C$17="",OR(ISNUMBER(FIND("연장",설정!$B$17)),ISNUMBER(FIND("야간",설정!$B$17)),ISNUMBER(FIND("휴일",설정!$B$17))),INDEX(직원목록!$F$7:$F$306,MATCH(27,직원목록!$B$7:$B$306,0))&gt;0),"연장·야간·휴일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","")&amp;IF(AND(설정!$B$24&lt;&gt;"",설정!$C$24="",OR(ISNUMBER(FIND("연장",설정!$B$24)),ISNUMBER(FIND("야간",설정!$B$24)),ISNUMBER(FIND("휴일",설정!$B$24))),INDEX(직원목록!$M$7:$M$306,MATCH(27,직원목록!$B$7:$B$306,0))&gt;0),"연장·야간·휴일 수당은 시간 수도 명세서에 적어야 하니 시간 열 지정 필요 / ",""))))</f>
        <v/>
      </c>
    </row>
    <row r="40">
      <c r="A40" s="26">
        <f>IF(IFERROR(MATCH(28,직원목록!$B$7:$B$306,0),0)=0,"",28)</f>
        <v/>
      </c>
      <c r="B40" s="2">
        <f>IF($A40="","",IFERROR(INDEX(직원목록!$D$7:$D$306,MATCH(28,직원목록!$B$7:$B$306,0)),""))</f>
        <v/>
      </c>
      <c r="C40" s="2">
        <f>IF($A40="","",IFERROR(INDEX(직원목록!$C$7:$C$306,MATCH(28,직원목록!$B$7:$B$306,0)),""))</f>
        <v/>
      </c>
      <c r="D40" s="27">
        <f>IF($A40="","",IFERROR(INDEX(직원목록!$V$7:$V$306,MATCH(28,직원목록!$B$7:$B$306,0)),""))</f>
        <v/>
      </c>
      <c r="E40" s="27">
        <f>IF($A40="","",IFERROR(INDEX(직원목록!$AG$7:$AG$306,MATCH(28,직원목록!$B$7:$B$306,0)),""))</f>
        <v/>
      </c>
      <c r="F40" s="27">
        <f>IF(OR($A40="",E40=""),"",D40-E40)</f>
        <v/>
      </c>
      <c r="G40" s="27">
        <f>IF($A40="","",IFERROR(INDEX(직원목록!$AE$7:$AE$306,MATCH(28,직원목록!$B$7:$B$306,0)),""))</f>
        <v/>
      </c>
      <c r="H40" s="27">
        <f>IF($A40="","",IFERROR(INDEX(직원목록!$AH$7:$AH$306,MATCH(28,직원목록!$B$7:$B$306,0)),""))</f>
        <v/>
      </c>
      <c r="I40" s="27">
        <f>IF(OR($A40="",H40=""),"",G40-H40)</f>
        <v/>
      </c>
      <c r="J40" s="27">
        <f>IF($A40="","",IFERROR(INDEX(직원목록!$AF$7:$AF$306,MATCH(28,직원목록!$B$7:$B$306,0)),""))</f>
        <v/>
      </c>
      <c r="K40" s="27">
        <f>IF($A40="","",IFERROR(INDEX(직원목록!$AI$7:$AI$306,MATCH(28,직원목록!$B$7:$B$306,0)),""))</f>
        <v/>
      </c>
      <c r="L40" s="8">
        <f>IF($A40="","",IF(LEN(IF(AND(F40&lt;&gt;"",F40&lt;&gt;0),"계산 총지급과 대장 총지급이 다릅니다 / ","")&amp;IF(AND(I40&lt;&gt;"",I40&lt;&gt;0),"계산 총공제와 대장 총공제가 다릅니다 / ","")&amp;IF(J40&lt;0,"실수령액이 음수입니다 / ","")&amp;IF(COUNTIF(직원목록!$D$7:$D$306,B40)&gt;1,"같은 이름이 둘 이상 — 미리보기는 첫 번째만 보입니다 / ","")&amp;IF(AND(C40&lt;&gt;"",COUNTIF(직원목록!$C$7:$C$306,C40)&gt;1),"사번 중복 / ","")&amp;IF(D40=0,"총지급이 0원 — 머리글 매칭 확인 / ","")&amp;IF(AND(설정!$B$17&lt;&gt;"",설정!$C$17="",OR(ISNUMBER(FIND("연장",설정!$B$17)),ISNUMBER(FIND("야간",설정!$B$17)),ISNUMBER(FIND("휴일",설정!$B$17))),INDEX(직원목록!$F$7:$F$306,MATCH(28,직원목록!$B$7:$B$306,0))&gt;0),"연장·야간·휴일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","")&amp;IF(AND(설정!$B$24&lt;&gt;"",설정!$C$24="",OR(ISNUMBER(FIND("연장",설정!$B$24)),ISNUMBER(FIND("야간",설정!$B$24)),ISNUMBER(FIND("휴일",설정!$B$24))),INDEX(직원목록!$M$7:$M$306,MATCH(28,직원목록!$B$7:$B$306,0))&gt;0),"연장·야간·휴일 수당은 시간 수도 명세서에 적어야 하니 시간 열 지정 필요 / ",""))=0,"✔",("⚠ "&amp;IF(AND(F40&lt;&gt;"",F40&lt;&gt;0),"계산 총지급과 대장 총지급이 다릅니다 / ","")&amp;IF(AND(I40&lt;&gt;"",I40&lt;&gt;0),"계산 총공제와 대장 총공제가 다릅니다 / ","")&amp;IF(J40&lt;0,"실수령액이 음수입니다 / ","")&amp;IF(COUNTIF(직원목록!$D$7:$D$306,B40)&gt;1,"같은 이름이 둘 이상 — 미리보기는 첫 번째만 보입니다 / ","")&amp;IF(AND(C40&lt;&gt;"",COUNTIF(직원목록!$C$7:$C$306,C40)&gt;1),"사번 중복 / ","")&amp;IF(D40=0,"총지급이 0원 — 머리글 매칭 확인 / ","")&amp;IF(AND(설정!$B$17&lt;&gt;"",설정!$C$17="",OR(ISNUMBER(FIND("연장",설정!$B$17)),ISNUMBER(FIND("야간",설정!$B$17)),ISNUMBER(FIND("휴일",설정!$B$17))),INDEX(직원목록!$F$7:$F$306,MATCH(28,직원목록!$B$7:$B$306,0))&gt;0),"연장·야간·휴일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","")&amp;IF(AND(설정!$B$24&lt;&gt;"",설정!$C$24="",OR(ISNUMBER(FIND("연장",설정!$B$24)),ISNUMBER(FIND("야간",설정!$B$24)),ISNUMBER(FIND("휴일",설정!$B$24))),INDEX(직원목록!$M$7:$M$306,MATCH(28,직원목록!$B$7:$B$306,0))&gt;0),"연장·야간·휴일 수당은 시간 수도 명세서에 적어야 하니 시간 열 지정 필요 / ",""))))</f>
        <v/>
      </c>
    </row>
    <row r="41">
      <c r="A41" s="26">
        <f>IF(IFERROR(MATCH(29,직원목록!$B$7:$B$306,0),0)=0,"",29)</f>
        <v/>
      </c>
      <c r="B41" s="2">
        <f>IF($A41="","",IFERROR(INDEX(직원목록!$D$7:$D$306,MATCH(29,직원목록!$B$7:$B$306,0)),""))</f>
        <v/>
      </c>
      <c r="C41" s="2">
        <f>IF($A41="","",IFERROR(INDEX(직원목록!$C$7:$C$306,MATCH(29,직원목록!$B$7:$B$306,0)),""))</f>
        <v/>
      </c>
      <c r="D41" s="27">
        <f>IF($A41="","",IFERROR(INDEX(직원목록!$V$7:$V$306,MATCH(29,직원목록!$B$7:$B$306,0)),""))</f>
        <v/>
      </c>
      <c r="E41" s="27">
        <f>IF($A41="","",IFERROR(INDEX(직원목록!$AG$7:$AG$306,MATCH(29,직원목록!$B$7:$B$306,0)),""))</f>
        <v/>
      </c>
      <c r="F41" s="27">
        <f>IF(OR($A41="",E41=""),"",D41-E41)</f>
        <v/>
      </c>
      <c r="G41" s="27">
        <f>IF($A41="","",IFERROR(INDEX(직원목록!$AE$7:$AE$306,MATCH(29,직원목록!$B$7:$B$306,0)),""))</f>
        <v/>
      </c>
      <c r="H41" s="27">
        <f>IF($A41="","",IFERROR(INDEX(직원목록!$AH$7:$AH$306,MATCH(29,직원목록!$B$7:$B$306,0)),""))</f>
        <v/>
      </c>
      <c r="I41" s="27">
        <f>IF(OR($A41="",H41=""),"",G41-H41)</f>
        <v/>
      </c>
      <c r="J41" s="27">
        <f>IF($A41="","",IFERROR(INDEX(직원목록!$AF$7:$AF$306,MATCH(29,직원목록!$B$7:$B$306,0)),""))</f>
        <v/>
      </c>
      <c r="K41" s="27">
        <f>IF($A41="","",IFERROR(INDEX(직원목록!$AI$7:$AI$306,MATCH(29,직원목록!$B$7:$B$306,0)),""))</f>
        <v/>
      </c>
      <c r="L41" s="8">
        <f>IF($A41="","",IF(LEN(IF(AND(F41&lt;&gt;"",F41&lt;&gt;0),"계산 총지급과 대장 총지급이 다릅니다 / ","")&amp;IF(AND(I41&lt;&gt;"",I41&lt;&gt;0),"계산 총공제와 대장 총공제가 다릅니다 / ","")&amp;IF(J41&lt;0,"실수령액이 음수입니다 / ","")&amp;IF(COUNTIF(직원목록!$D$7:$D$306,B41)&gt;1,"같은 이름이 둘 이상 — 미리보기는 첫 번째만 보입니다 / ","")&amp;IF(AND(C41&lt;&gt;"",COUNTIF(직원목록!$C$7:$C$306,C41)&gt;1),"사번 중복 / ","")&amp;IF(D41=0,"총지급이 0원 — 머리글 매칭 확인 / ","")&amp;IF(AND(설정!$B$17&lt;&gt;"",설정!$C$17="",OR(ISNUMBER(FIND("연장",설정!$B$17)),ISNUMBER(FIND("야간",설정!$B$17)),ISNUMBER(FIND("휴일",설정!$B$17))),INDEX(직원목록!$F$7:$F$306,MATCH(29,직원목록!$B$7:$B$306,0))&gt;0),"연장·야간·휴일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","")&amp;IF(AND(설정!$B$24&lt;&gt;"",설정!$C$24="",OR(ISNUMBER(FIND("연장",설정!$B$24)),ISNUMBER(FIND("야간",설정!$B$24)),ISNUMBER(FIND("휴일",설정!$B$24))),INDEX(직원목록!$M$7:$M$306,MATCH(29,직원목록!$B$7:$B$306,0))&gt;0),"연장·야간·휴일 수당은 시간 수도 명세서에 적어야 하니 시간 열 지정 필요 / ",""))=0,"✔",("⚠ "&amp;IF(AND(F41&lt;&gt;"",F41&lt;&gt;0),"계산 총지급과 대장 총지급이 다릅니다 / ","")&amp;IF(AND(I41&lt;&gt;"",I41&lt;&gt;0),"계산 총공제와 대장 총공제가 다릅니다 / ","")&amp;IF(J41&lt;0,"실수령액이 음수입니다 / ","")&amp;IF(COUNTIF(직원목록!$D$7:$D$306,B41)&gt;1,"같은 이름이 둘 이상 — 미리보기는 첫 번째만 보입니다 / ","")&amp;IF(AND(C41&lt;&gt;"",COUNTIF(직원목록!$C$7:$C$306,C41)&gt;1),"사번 중복 / ","")&amp;IF(D41=0,"총지급이 0원 — 머리글 매칭 확인 / ","")&amp;IF(AND(설정!$B$17&lt;&gt;"",설정!$C$17="",OR(ISNUMBER(FIND("연장",설정!$B$17)),ISNUMBER(FIND("야간",설정!$B$17)),ISNUMBER(FIND("휴일",설정!$B$17))),INDEX(직원목록!$F$7:$F$306,MATCH(29,직원목록!$B$7:$B$306,0))&gt;0),"연장·야간·휴일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","")&amp;IF(AND(설정!$B$24&lt;&gt;"",설정!$C$24="",OR(ISNUMBER(FIND("연장",설정!$B$24)),ISNUMBER(FIND("야간",설정!$B$24)),ISNUMBER(FIND("휴일",설정!$B$24))),INDEX(직원목록!$M$7:$M$306,MATCH(29,직원목록!$B$7:$B$306,0))&gt;0),"연장·야간·휴일 수당은 시간 수도 명세서에 적어야 하니 시간 열 지정 필요 / ",""))))</f>
        <v/>
      </c>
    </row>
    <row r="42">
      <c r="A42" s="26">
        <f>IF(IFERROR(MATCH(30,직원목록!$B$7:$B$306,0),0)=0,"",30)</f>
        <v/>
      </c>
      <c r="B42" s="2">
        <f>IF($A42="","",IFERROR(INDEX(직원목록!$D$7:$D$306,MATCH(30,직원목록!$B$7:$B$306,0)),""))</f>
        <v/>
      </c>
      <c r="C42" s="2">
        <f>IF($A42="","",IFERROR(INDEX(직원목록!$C$7:$C$306,MATCH(30,직원목록!$B$7:$B$306,0)),""))</f>
        <v/>
      </c>
      <c r="D42" s="27">
        <f>IF($A42="","",IFERROR(INDEX(직원목록!$V$7:$V$306,MATCH(30,직원목록!$B$7:$B$306,0)),""))</f>
        <v/>
      </c>
      <c r="E42" s="27">
        <f>IF($A42="","",IFERROR(INDEX(직원목록!$AG$7:$AG$306,MATCH(30,직원목록!$B$7:$B$306,0)),""))</f>
        <v/>
      </c>
      <c r="F42" s="27">
        <f>IF(OR($A42="",E42=""),"",D42-E42)</f>
        <v/>
      </c>
      <c r="G42" s="27">
        <f>IF($A42="","",IFERROR(INDEX(직원목록!$AE$7:$AE$306,MATCH(30,직원목록!$B$7:$B$306,0)),""))</f>
        <v/>
      </c>
      <c r="H42" s="27">
        <f>IF($A42="","",IFERROR(INDEX(직원목록!$AH$7:$AH$306,MATCH(30,직원목록!$B$7:$B$306,0)),""))</f>
        <v/>
      </c>
      <c r="I42" s="27">
        <f>IF(OR($A42="",H42=""),"",G42-H42)</f>
        <v/>
      </c>
      <c r="J42" s="27">
        <f>IF($A42="","",IFERROR(INDEX(직원목록!$AF$7:$AF$306,MATCH(30,직원목록!$B$7:$B$306,0)),""))</f>
        <v/>
      </c>
      <c r="K42" s="27">
        <f>IF($A42="","",IFERROR(INDEX(직원목록!$AI$7:$AI$306,MATCH(30,직원목록!$B$7:$B$306,0)),""))</f>
        <v/>
      </c>
      <c r="L42" s="8">
        <f>IF($A42="","",IF(LEN(IF(AND(F42&lt;&gt;"",F42&lt;&gt;0),"계산 총지급과 대장 총지급이 다릅니다 / ","")&amp;IF(AND(I42&lt;&gt;"",I42&lt;&gt;0),"계산 총공제와 대장 총공제가 다릅니다 / ","")&amp;IF(J42&lt;0,"실수령액이 음수입니다 / ","")&amp;IF(COUNTIF(직원목록!$D$7:$D$306,B42)&gt;1,"같은 이름이 둘 이상 — 미리보기는 첫 번째만 보입니다 / ","")&amp;IF(AND(C42&lt;&gt;"",COUNTIF(직원목록!$C$7:$C$306,C42)&gt;1),"사번 중복 / ","")&amp;IF(D42=0,"총지급이 0원 — 머리글 매칭 확인 / ","")&amp;IF(AND(설정!$B$17&lt;&gt;"",설정!$C$17="",OR(ISNUMBER(FIND("연장",설정!$B$17)),ISNUMBER(FIND("야간",설정!$B$17)),ISNUMBER(FIND("휴일",설정!$B$17))),INDEX(직원목록!$F$7:$F$306,MATCH(30,직원목록!$B$7:$B$306,0))&gt;0),"연장·야간·휴일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","")&amp;IF(AND(설정!$B$24&lt;&gt;"",설정!$C$24="",OR(ISNUMBER(FIND("연장",설정!$B$24)),ISNUMBER(FIND("야간",설정!$B$24)),ISNUMBER(FIND("휴일",설정!$B$24))),INDEX(직원목록!$M$7:$M$306,MATCH(30,직원목록!$B$7:$B$306,0))&gt;0),"연장·야간·휴일 수당은 시간 수도 명세서에 적어야 하니 시간 열 지정 필요 / ",""))=0,"✔",("⚠ "&amp;IF(AND(F42&lt;&gt;"",F42&lt;&gt;0),"계산 총지급과 대장 총지급이 다릅니다 / ","")&amp;IF(AND(I42&lt;&gt;"",I42&lt;&gt;0),"계산 총공제와 대장 총공제가 다릅니다 / ","")&amp;IF(J42&lt;0,"실수령액이 음수입니다 / ","")&amp;IF(COUNTIF(직원목록!$D$7:$D$306,B42)&gt;1,"같은 이름이 둘 이상 — 미리보기는 첫 번째만 보입니다 / ","")&amp;IF(AND(C42&lt;&gt;"",COUNTIF(직원목록!$C$7:$C$306,C42)&gt;1),"사번 중복 / ","")&amp;IF(D42=0,"총지급이 0원 — 머리글 매칭 확인 / ","")&amp;IF(AND(설정!$B$17&lt;&gt;"",설정!$C$17="",OR(ISNUMBER(FIND("연장",설정!$B$17)),ISNUMBER(FIND("야간",설정!$B$17)),ISNUMBER(FIND("휴일",설정!$B$17))),INDEX(직원목록!$F$7:$F$306,MATCH(30,직원목록!$B$7:$B$306,0))&gt;0),"연장·야간·휴일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","")&amp;IF(AND(설정!$B$24&lt;&gt;"",설정!$C$24="",OR(ISNUMBER(FIND("연장",설정!$B$24)),ISNUMBER(FIND("야간",설정!$B$24)),ISNUMBER(FIND("휴일",설정!$B$24))),INDEX(직원목록!$M$7:$M$306,MATCH(30,직원목록!$B$7:$B$306,0))&gt;0),"연장·야간·휴일 수당은 시간 수도 명세서에 적어야 하니 시간 열 지정 필요 / ",""))))</f>
        <v/>
      </c>
    </row>
    <row r="43">
      <c r="A43" s="26">
        <f>IF(IFERROR(MATCH(31,직원목록!$B$7:$B$306,0),0)=0,"",31)</f>
        <v/>
      </c>
      <c r="B43" s="2">
        <f>IF($A43="","",IFERROR(INDEX(직원목록!$D$7:$D$306,MATCH(31,직원목록!$B$7:$B$306,0)),""))</f>
        <v/>
      </c>
      <c r="C43" s="2">
        <f>IF($A43="","",IFERROR(INDEX(직원목록!$C$7:$C$306,MATCH(31,직원목록!$B$7:$B$306,0)),""))</f>
        <v/>
      </c>
      <c r="D43" s="27">
        <f>IF($A43="","",IFERROR(INDEX(직원목록!$V$7:$V$306,MATCH(31,직원목록!$B$7:$B$306,0)),""))</f>
        <v/>
      </c>
      <c r="E43" s="27">
        <f>IF($A43="","",IFERROR(INDEX(직원목록!$AG$7:$AG$306,MATCH(31,직원목록!$B$7:$B$306,0)),""))</f>
        <v/>
      </c>
      <c r="F43" s="27">
        <f>IF(OR($A43="",E43=""),"",D43-E43)</f>
        <v/>
      </c>
      <c r="G43" s="27">
        <f>IF($A43="","",IFERROR(INDEX(직원목록!$AE$7:$AE$306,MATCH(31,직원목록!$B$7:$B$306,0)),""))</f>
        <v/>
      </c>
      <c r="H43" s="27">
        <f>IF($A43="","",IFERROR(INDEX(직원목록!$AH$7:$AH$306,MATCH(31,직원목록!$B$7:$B$306,0)),""))</f>
        <v/>
      </c>
      <c r="I43" s="27">
        <f>IF(OR($A43="",H43=""),"",G43-H43)</f>
        <v/>
      </c>
      <c r="J43" s="27">
        <f>IF($A43="","",IFERROR(INDEX(직원목록!$AF$7:$AF$306,MATCH(31,직원목록!$B$7:$B$306,0)),""))</f>
        <v/>
      </c>
      <c r="K43" s="27">
        <f>IF($A43="","",IFERROR(INDEX(직원목록!$AI$7:$AI$306,MATCH(31,직원목록!$B$7:$B$306,0)),""))</f>
        <v/>
      </c>
      <c r="L43" s="8">
        <f>IF($A43="","",IF(LEN(IF(AND(F43&lt;&gt;"",F43&lt;&gt;0),"계산 총지급과 대장 총지급이 다릅니다 / ","")&amp;IF(AND(I43&lt;&gt;"",I43&lt;&gt;0),"계산 총공제와 대장 총공제가 다릅니다 / ","")&amp;IF(J43&lt;0,"실수령액이 음수입니다 / ","")&amp;IF(COUNTIF(직원목록!$D$7:$D$306,B43)&gt;1,"같은 이름이 둘 이상 — 미리보기는 첫 번째만 보입니다 / ","")&amp;IF(AND(C43&lt;&gt;"",COUNTIF(직원목록!$C$7:$C$306,C43)&gt;1),"사번 중복 / ","")&amp;IF(D43=0,"총지급이 0원 — 머리글 매칭 확인 / ","")&amp;IF(AND(설정!$B$17&lt;&gt;"",설정!$C$17="",OR(ISNUMBER(FIND("연장",설정!$B$17)),ISNUMBER(FIND("야간",설정!$B$17)),ISNUMBER(FIND("휴일",설정!$B$17))),INDEX(직원목록!$F$7:$F$306,MATCH(31,직원목록!$B$7:$B$306,0))&gt;0),"연장·야간·휴일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","")&amp;IF(AND(설정!$B$24&lt;&gt;"",설정!$C$24="",OR(ISNUMBER(FIND("연장",설정!$B$24)),ISNUMBER(FIND("야간",설정!$B$24)),ISNUMBER(FIND("휴일",설정!$B$24))),INDEX(직원목록!$M$7:$M$306,MATCH(31,직원목록!$B$7:$B$306,0))&gt;0),"연장·야간·휴일 수당은 시간 수도 명세서에 적어야 하니 시간 열 지정 필요 / ",""))=0,"✔",("⚠ "&amp;IF(AND(F43&lt;&gt;"",F43&lt;&gt;0),"계산 총지급과 대장 총지급이 다릅니다 / ","")&amp;IF(AND(I43&lt;&gt;"",I43&lt;&gt;0),"계산 총공제와 대장 총공제가 다릅니다 / ","")&amp;IF(J43&lt;0,"실수령액이 음수입니다 / ","")&amp;IF(COUNTIF(직원목록!$D$7:$D$306,B43)&gt;1,"같은 이름이 둘 이상 — 미리보기는 첫 번째만 보입니다 / ","")&amp;IF(AND(C43&lt;&gt;"",COUNTIF(직원목록!$C$7:$C$306,C43)&gt;1),"사번 중복 / ","")&amp;IF(D43=0,"총지급이 0원 — 머리글 매칭 확인 / ","")&amp;IF(AND(설정!$B$17&lt;&gt;"",설정!$C$17="",OR(ISNUMBER(FIND("연장",설정!$B$17)),ISNUMBER(FIND("야간",설정!$B$17)),ISNUMBER(FIND("휴일",설정!$B$17))),INDEX(직원목록!$F$7:$F$306,MATCH(31,직원목록!$B$7:$B$306,0))&gt;0),"연장·야간·휴일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","")&amp;IF(AND(설정!$B$24&lt;&gt;"",설정!$C$24="",OR(ISNUMBER(FIND("연장",설정!$B$24)),ISNUMBER(FIND("야간",설정!$B$24)),ISNUMBER(FIND("휴일",설정!$B$24))),INDEX(직원목록!$M$7:$M$306,MATCH(31,직원목록!$B$7:$B$306,0))&gt;0),"연장·야간·휴일 수당은 시간 수도 명세서에 적어야 하니 시간 열 지정 필요 / ",""))))</f>
        <v/>
      </c>
    </row>
    <row r="44">
      <c r="A44" s="26">
        <f>IF(IFERROR(MATCH(32,직원목록!$B$7:$B$306,0),0)=0,"",32)</f>
        <v/>
      </c>
      <c r="B44" s="2">
        <f>IF($A44="","",IFERROR(INDEX(직원목록!$D$7:$D$306,MATCH(32,직원목록!$B$7:$B$306,0)),""))</f>
        <v/>
      </c>
      <c r="C44" s="2">
        <f>IF($A44="","",IFERROR(INDEX(직원목록!$C$7:$C$306,MATCH(32,직원목록!$B$7:$B$306,0)),""))</f>
        <v/>
      </c>
      <c r="D44" s="27">
        <f>IF($A44="","",IFERROR(INDEX(직원목록!$V$7:$V$306,MATCH(32,직원목록!$B$7:$B$306,0)),""))</f>
        <v/>
      </c>
      <c r="E44" s="27">
        <f>IF($A44="","",IFERROR(INDEX(직원목록!$AG$7:$AG$306,MATCH(32,직원목록!$B$7:$B$306,0)),""))</f>
        <v/>
      </c>
      <c r="F44" s="27">
        <f>IF(OR($A44="",E44=""),"",D44-E44)</f>
        <v/>
      </c>
      <c r="G44" s="27">
        <f>IF($A44="","",IFERROR(INDEX(직원목록!$AE$7:$AE$306,MATCH(32,직원목록!$B$7:$B$306,0)),""))</f>
        <v/>
      </c>
      <c r="H44" s="27">
        <f>IF($A44="","",IFERROR(INDEX(직원목록!$AH$7:$AH$306,MATCH(32,직원목록!$B$7:$B$306,0)),""))</f>
        <v/>
      </c>
      <c r="I44" s="27">
        <f>IF(OR($A44="",H44=""),"",G44-H44)</f>
        <v/>
      </c>
      <c r="J44" s="27">
        <f>IF($A44="","",IFERROR(INDEX(직원목록!$AF$7:$AF$306,MATCH(32,직원목록!$B$7:$B$306,0)),""))</f>
        <v/>
      </c>
      <c r="K44" s="27">
        <f>IF($A44="","",IFERROR(INDEX(직원목록!$AI$7:$AI$306,MATCH(32,직원목록!$B$7:$B$306,0)),""))</f>
        <v/>
      </c>
      <c r="L44" s="8">
        <f>IF($A44="","",IF(LEN(IF(AND(F44&lt;&gt;"",F44&lt;&gt;0),"계산 총지급과 대장 총지급이 다릅니다 / ","")&amp;IF(AND(I44&lt;&gt;"",I44&lt;&gt;0),"계산 총공제와 대장 총공제가 다릅니다 / ","")&amp;IF(J44&lt;0,"실수령액이 음수입니다 / ","")&amp;IF(COUNTIF(직원목록!$D$7:$D$306,B44)&gt;1,"같은 이름이 둘 이상 — 미리보기는 첫 번째만 보입니다 / ","")&amp;IF(AND(C44&lt;&gt;"",COUNTIF(직원목록!$C$7:$C$306,C44)&gt;1),"사번 중복 / ","")&amp;IF(D44=0,"총지급이 0원 — 머리글 매칭 확인 / ","")&amp;IF(AND(설정!$B$17&lt;&gt;"",설정!$C$17="",OR(ISNUMBER(FIND("연장",설정!$B$17)),ISNUMBER(FIND("야간",설정!$B$17)),ISNUMBER(FIND("휴일",설정!$B$17))),INDEX(직원목록!$F$7:$F$306,MATCH(32,직원목록!$B$7:$B$306,0))&gt;0),"연장·야간·휴일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","")&amp;IF(AND(설정!$B$24&lt;&gt;"",설정!$C$24="",OR(ISNUMBER(FIND("연장",설정!$B$24)),ISNUMBER(FIND("야간",설정!$B$24)),ISNUMBER(FIND("휴일",설정!$B$24))),INDEX(직원목록!$M$7:$M$306,MATCH(32,직원목록!$B$7:$B$306,0))&gt;0),"연장·야간·휴일 수당은 시간 수도 명세서에 적어야 하니 시간 열 지정 필요 / ",""))=0,"✔",("⚠ "&amp;IF(AND(F44&lt;&gt;"",F44&lt;&gt;0),"계산 총지급과 대장 총지급이 다릅니다 / ","")&amp;IF(AND(I44&lt;&gt;"",I44&lt;&gt;0),"계산 총공제와 대장 총공제가 다릅니다 / ","")&amp;IF(J44&lt;0,"실수령액이 음수입니다 / ","")&amp;IF(COUNTIF(직원목록!$D$7:$D$306,B44)&gt;1,"같은 이름이 둘 이상 — 미리보기는 첫 번째만 보입니다 / ","")&amp;IF(AND(C44&lt;&gt;"",COUNTIF(직원목록!$C$7:$C$306,C44)&gt;1),"사번 중복 / ","")&amp;IF(D44=0,"총지급이 0원 — 머리글 매칭 확인 / ","")&amp;IF(AND(설정!$B$17&lt;&gt;"",설정!$C$17="",OR(ISNUMBER(FIND("연장",설정!$B$17)),ISNUMBER(FIND("야간",설정!$B$17)),ISNUMBER(FIND("휴일",설정!$B$17))),INDEX(직원목록!$F$7:$F$306,MATCH(32,직원목록!$B$7:$B$306,0))&gt;0),"연장·야간·휴일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","")&amp;IF(AND(설정!$B$24&lt;&gt;"",설정!$C$24="",OR(ISNUMBER(FIND("연장",설정!$B$24)),ISNUMBER(FIND("야간",설정!$B$24)),ISNUMBER(FIND("휴일",설정!$B$24))),INDEX(직원목록!$M$7:$M$306,MATCH(32,직원목록!$B$7:$B$306,0))&gt;0),"연장·야간·휴일 수당은 시간 수도 명세서에 적어야 하니 시간 열 지정 필요 / ",""))))</f>
        <v/>
      </c>
    </row>
    <row r="45">
      <c r="A45" s="26">
        <f>IF(IFERROR(MATCH(33,직원목록!$B$7:$B$306,0),0)=0,"",33)</f>
        <v/>
      </c>
      <c r="B45" s="2">
        <f>IF($A45="","",IFERROR(INDEX(직원목록!$D$7:$D$306,MATCH(33,직원목록!$B$7:$B$306,0)),""))</f>
        <v/>
      </c>
      <c r="C45" s="2">
        <f>IF($A45="","",IFERROR(INDEX(직원목록!$C$7:$C$306,MATCH(33,직원목록!$B$7:$B$306,0)),""))</f>
        <v/>
      </c>
      <c r="D45" s="27">
        <f>IF($A45="","",IFERROR(INDEX(직원목록!$V$7:$V$306,MATCH(33,직원목록!$B$7:$B$306,0)),""))</f>
        <v/>
      </c>
      <c r="E45" s="27">
        <f>IF($A45="","",IFERROR(INDEX(직원목록!$AG$7:$AG$306,MATCH(33,직원목록!$B$7:$B$306,0)),""))</f>
        <v/>
      </c>
      <c r="F45" s="27">
        <f>IF(OR($A45="",E45=""),"",D45-E45)</f>
        <v/>
      </c>
      <c r="G45" s="27">
        <f>IF($A45="","",IFERROR(INDEX(직원목록!$AE$7:$AE$306,MATCH(33,직원목록!$B$7:$B$306,0)),""))</f>
        <v/>
      </c>
      <c r="H45" s="27">
        <f>IF($A45="","",IFERROR(INDEX(직원목록!$AH$7:$AH$306,MATCH(33,직원목록!$B$7:$B$306,0)),""))</f>
        <v/>
      </c>
      <c r="I45" s="27">
        <f>IF(OR($A45="",H45=""),"",G45-H45)</f>
        <v/>
      </c>
      <c r="J45" s="27">
        <f>IF($A45="","",IFERROR(INDEX(직원목록!$AF$7:$AF$306,MATCH(33,직원목록!$B$7:$B$306,0)),""))</f>
        <v/>
      </c>
      <c r="K45" s="27">
        <f>IF($A45="","",IFERROR(INDEX(직원목록!$AI$7:$AI$306,MATCH(33,직원목록!$B$7:$B$306,0)),""))</f>
        <v/>
      </c>
      <c r="L45" s="8">
        <f>IF($A45="","",IF(LEN(IF(AND(F45&lt;&gt;"",F45&lt;&gt;0),"계산 총지급과 대장 총지급이 다릅니다 / ","")&amp;IF(AND(I45&lt;&gt;"",I45&lt;&gt;0),"계산 총공제와 대장 총공제가 다릅니다 / ","")&amp;IF(J45&lt;0,"실수령액이 음수입니다 / ","")&amp;IF(COUNTIF(직원목록!$D$7:$D$306,B45)&gt;1,"같은 이름이 둘 이상 — 미리보기는 첫 번째만 보입니다 / ","")&amp;IF(AND(C45&lt;&gt;"",COUNTIF(직원목록!$C$7:$C$306,C45)&gt;1),"사번 중복 / ","")&amp;IF(D45=0,"총지급이 0원 — 머리글 매칭 확인 / ","")&amp;IF(AND(설정!$B$17&lt;&gt;"",설정!$C$17="",OR(ISNUMBER(FIND("연장",설정!$B$17)),ISNUMBER(FIND("야간",설정!$B$17)),ISNUMBER(FIND("휴일",설정!$B$17))),INDEX(직원목록!$F$7:$F$306,MATCH(33,직원목록!$B$7:$B$306,0))&gt;0),"연장·야간·휴일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","")&amp;IF(AND(설정!$B$24&lt;&gt;"",설정!$C$24="",OR(ISNUMBER(FIND("연장",설정!$B$24)),ISNUMBER(FIND("야간",설정!$B$24)),ISNUMBER(FIND("휴일",설정!$B$24))),INDEX(직원목록!$M$7:$M$306,MATCH(33,직원목록!$B$7:$B$306,0))&gt;0),"연장·야간·휴일 수당은 시간 수도 명세서에 적어야 하니 시간 열 지정 필요 / ",""))=0,"✔",("⚠ "&amp;IF(AND(F45&lt;&gt;"",F45&lt;&gt;0),"계산 총지급과 대장 총지급이 다릅니다 / ","")&amp;IF(AND(I45&lt;&gt;"",I45&lt;&gt;0),"계산 총공제와 대장 총공제가 다릅니다 / ","")&amp;IF(J45&lt;0,"실수령액이 음수입니다 / ","")&amp;IF(COUNTIF(직원목록!$D$7:$D$306,B45)&gt;1,"같은 이름이 둘 이상 — 미리보기는 첫 번째만 보입니다 / ","")&amp;IF(AND(C45&lt;&gt;"",COUNTIF(직원목록!$C$7:$C$306,C45)&gt;1),"사번 중복 / ","")&amp;IF(D45=0,"총지급이 0원 — 머리글 매칭 확인 / ","")&amp;IF(AND(설정!$B$17&lt;&gt;"",설정!$C$17="",OR(ISNUMBER(FIND("연장",설정!$B$17)),ISNUMBER(FIND("야간",설정!$B$17)),ISNUMBER(FIND("휴일",설정!$B$17))),INDEX(직원목록!$F$7:$F$306,MATCH(33,직원목록!$B$7:$B$306,0))&gt;0),"연장·야간·휴일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","")&amp;IF(AND(설정!$B$24&lt;&gt;"",설정!$C$24="",OR(ISNUMBER(FIND("연장",설정!$B$24)),ISNUMBER(FIND("야간",설정!$B$24)),ISNUMBER(FIND("휴일",설정!$B$24))),INDEX(직원목록!$M$7:$M$306,MATCH(33,직원목록!$B$7:$B$306,0))&gt;0),"연장·야간·휴일 수당은 시간 수도 명세서에 적어야 하니 시간 열 지정 필요 / ",""))))</f>
        <v/>
      </c>
    </row>
    <row r="46">
      <c r="A46" s="26">
        <f>IF(IFERROR(MATCH(34,직원목록!$B$7:$B$306,0),0)=0,"",34)</f>
        <v/>
      </c>
      <c r="B46" s="2">
        <f>IF($A46="","",IFERROR(INDEX(직원목록!$D$7:$D$306,MATCH(34,직원목록!$B$7:$B$306,0)),""))</f>
        <v/>
      </c>
      <c r="C46" s="2">
        <f>IF($A46="","",IFERROR(INDEX(직원목록!$C$7:$C$306,MATCH(34,직원목록!$B$7:$B$306,0)),""))</f>
        <v/>
      </c>
      <c r="D46" s="27">
        <f>IF($A46="","",IFERROR(INDEX(직원목록!$V$7:$V$306,MATCH(34,직원목록!$B$7:$B$306,0)),""))</f>
        <v/>
      </c>
      <c r="E46" s="27">
        <f>IF($A46="","",IFERROR(INDEX(직원목록!$AG$7:$AG$306,MATCH(34,직원목록!$B$7:$B$306,0)),""))</f>
        <v/>
      </c>
      <c r="F46" s="27">
        <f>IF(OR($A46="",E46=""),"",D46-E46)</f>
        <v/>
      </c>
      <c r="G46" s="27">
        <f>IF($A46="","",IFERROR(INDEX(직원목록!$AE$7:$AE$306,MATCH(34,직원목록!$B$7:$B$306,0)),""))</f>
        <v/>
      </c>
      <c r="H46" s="27">
        <f>IF($A46="","",IFERROR(INDEX(직원목록!$AH$7:$AH$306,MATCH(34,직원목록!$B$7:$B$306,0)),""))</f>
        <v/>
      </c>
      <c r="I46" s="27">
        <f>IF(OR($A46="",H46=""),"",G46-H46)</f>
        <v/>
      </c>
      <c r="J46" s="27">
        <f>IF($A46="","",IFERROR(INDEX(직원목록!$AF$7:$AF$306,MATCH(34,직원목록!$B$7:$B$306,0)),""))</f>
        <v/>
      </c>
      <c r="K46" s="27">
        <f>IF($A46="","",IFERROR(INDEX(직원목록!$AI$7:$AI$306,MATCH(34,직원목록!$B$7:$B$306,0)),""))</f>
        <v/>
      </c>
      <c r="L46" s="8">
        <f>IF($A46="","",IF(LEN(IF(AND(F46&lt;&gt;"",F46&lt;&gt;0),"계산 총지급과 대장 총지급이 다릅니다 / ","")&amp;IF(AND(I46&lt;&gt;"",I46&lt;&gt;0),"계산 총공제와 대장 총공제가 다릅니다 / ","")&amp;IF(J46&lt;0,"실수령액이 음수입니다 / ","")&amp;IF(COUNTIF(직원목록!$D$7:$D$306,B46)&gt;1,"같은 이름이 둘 이상 — 미리보기는 첫 번째만 보입니다 / ","")&amp;IF(AND(C46&lt;&gt;"",COUNTIF(직원목록!$C$7:$C$306,C46)&gt;1),"사번 중복 / ","")&amp;IF(D46=0,"총지급이 0원 — 머리글 매칭 확인 / ","")&amp;IF(AND(설정!$B$17&lt;&gt;"",설정!$C$17="",OR(ISNUMBER(FIND("연장",설정!$B$17)),ISNUMBER(FIND("야간",설정!$B$17)),ISNUMBER(FIND("휴일",설정!$B$17))),INDEX(직원목록!$F$7:$F$306,MATCH(34,직원목록!$B$7:$B$306,0))&gt;0),"연장·야간·휴일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","")&amp;IF(AND(설정!$B$24&lt;&gt;"",설정!$C$24="",OR(ISNUMBER(FIND("연장",설정!$B$24)),ISNUMBER(FIND("야간",설정!$B$24)),ISNUMBER(FIND("휴일",설정!$B$24))),INDEX(직원목록!$M$7:$M$306,MATCH(34,직원목록!$B$7:$B$306,0))&gt;0),"연장·야간·휴일 수당은 시간 수도 명세서에 적어야 하니 시간 열 지정 필요 / ",""))=0,"✔",("⚠ "&amp;IF(AND(F46&lt;&gt;"",F46&lt;&gt;0),"계산 총지급과 대장 총지급이 다릅니다 / ","")&amp;IF(AND(I46&lt;&gt;"",I46&lt;&gt;0),"계산 총공제와 대장 총공제가 다릅니다 / ","")&amp;IF(J46&lt;0,"실수령액이 음수입니다 / ","")&amp;IF(COUNTIF(직원목록!$D$7:$D$306,B46)&gt;1,"같은 이름이 둘 이상 — 미리보기는 첫 번째만 보입니다 / ","")&amp;IF(AND(C46&lt;&gt;"",COUNTIF(직원목록!$C$7:$C$306,C46)&gt;1),"사번 중복 / ","")&amp;IF(D46=0,"총지급이 0원 — 머리글 매칭 확인 / ","")&amp;IF(AND(설정!$B$17&lt;&gt;"",설정!$C$17="",OR(ISNUMBER(FIND("연장",설정!$B$17)),ISNUMBER(FIND("야간",설정!$B$17)),ISNUMBER(FIND("휴일",설정!$B$17))),INDEX(직원목록!$F$7:$F$306,MATCH(34,직원목록!$B$7:$B$306,0))&gt;0),"연장·야간·휴일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","")&amp;IF(AND(설정!$B$24&lt;&gt;"",설정!$C$24="",OR(ISNUMBER(FIND("연장",설정!$B$24)),ISNUMBER(FIND("야간",설정!$B$24)),ISNUMBER(FIND("휴일",설정!$B$24))),INDEX(직원목록!$M$7:$M$306,MATCH(34,직원목록!$B$7:$B$306,0))&gt;0),"연장·야간·휴일 수당은 시간 수도 명세서에 적어야 하니 시간 열 지정 필요 / ",""))))</f>
        <v/>
      </c>
    </row>
    <row r="47">
      <c r="A47" s="26">
        <f>IF(IFERROR(MATCH(35,직원목록!$B$7:$B$306,0),0)=0,"",35)</f>
        <v/>
      </c>
      <c r="B47" s="2">
        <f>IF($A47="","",IFERROR(INDEX(직원목록!$D$7:$D$306,MATCH(35,직원목록!$B$7:$B$306,0)),""))</f>
        <v/>
      </c>
      <c r="C47" s="2">
        <f>IF($A47="","",IFERROR(INDEX(직원목록!$C$7:$C$306,MATCH(35,직원목록!$B$7:$B$306,0)),""))</f>
        <v/>
      </c>
      <c r="D47" s="27">
        <f>IF($A47="","",IFERROR(INDEX(직원목록!$V$7:$V$306,MATCH(35,직원목록!$B$7:$B$306,0)),""))</f>
        <v/>
      </c>
      <c r="E47" s="27">
        <f>IF($A47="","",IFERROR(INDEX(직원목록!$AG$7:$AG$306,MATCH(35,직원목록!$B$7:$B$306,0)),""))</f>
        <v/>
      </c>
      <c r="F47" s="27">
        <f>IF(OR($A47="",E47=""),"",D47-E47)</f>
        <v/>
      </c>
      <c r="G47" s="27">
        <f>IF($A47="","",IFERROR(INDEX(직원목록!$AE$7:$AE$306,MATCH(35,직원목록!$B$7:$B$306,0)),""))</f>
        <v/>
      </c>
      <c r="H47" s="27">
        <f>IF($A47="","",IFERROR(INDEX(직원목록!$AH$7:$AH$306,MATCH(35,직원목록!$B$7:$B$306,0)),""))</f>
        <v/>
      </c>
      <c r="I47" s="27">
        <f>IF(OR($A47="",H47=""),"",G47-H47)</f>
        <v/>
      </c>
      <c r="J47" s="27">
        <f>IF($A47="","",IFERROR(INDEX(직원목록!$AF$7:$AF$306,MATCH(35,직원목록!$B$7:$B$306,0)),""))</f>
        <v/>
      </c>
      <c r="K47" s="27">
        <f>IF($A47="","",IFERROR(INDEX(직원목록!$AI$7:$AI$306,MATCH(35,직원목록!$B$7:$B$306,0)),""))</f>
        <v/>
      </c>
      <c r="L47" s="8">
        <f>IF($A47="","",IF(LEN(IF(AND(F47&lt;&gt;"",F47&lt;&gt;0),"계산 총지급과 대장 총지급이 다릅니다 / ","")&amp;IF(AND(I47&lt;&gt;"",I47&lt;&gt;0),"계산 총공제와 대장 총공제가 다릅니다 / ","")&amp;IF(J47&lt;0,"실수령액이 음수입니다 / ","")&amp;IF(COUNTIF(직원목록!$D$7:$D$306,B47)&gt;1,"같은 이름이 둘 이상 — 미리보기는 첫 번째만 보입니다 / ","")&amp;IF(AND(C47&lt;&gt;"",COUNTIF(직원목록!$C$7:$C$306,C47)&gt;1),"사번 중복 / ","")&amp;IF(D47=0,"총지급이 0원 — 머리글 매칭 확인 / ","")&amp;IF(AND(설정!$B$17&lt;&gt;"",설정!$C$17="",OR(ISNUMBER(FIND("연장",설정!$B$17)),ISNUMBER(FIND("야간",설정!$B$17)),ISNUMBER(FIND("휴일",설정!$B$17))),INDEX(직원목록!$F$7:$F$306,MATCH(35,직원목록!$B$7:$B$306,0))&gt;0),"연장·야간·휴일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","")&amp;IF(AND(설정!$B$24&lt;&gt;"",설정!$C$24="",OR(ISNUMBER(FIND("연장",설정!$B$24)),ISNUMBER(FIND("야간",설정!$B$24)),ISNUMBER(FIND("휴일",설정!$B$24))),INDEX(직원목록!$M$7:$M$306,MATCH(35,직원목록!$B$7:$B$306,0))&gt;0),"연장·야간·휴일 수당은 시간 수도 명세서에 적어야 하니 시간 열 지정 필요 / ",""))=0,"✔",("⚠ "&amp;IF(AND(F47&lt;&gt;"",F47&lt;&gt;0),"계산 총지급과 대장 총지급이 다릅니다 / ","")&amp;IF(AND(I47&lt;&gt;"",I47&lt;&gt;0),"계산 총공제와 대장 총공제가 다릅니다 / ","")&amp;IF(J47&lt;0,"실수령액이 음수입니다 / ","")&amp;IF(COUNTIF(직원목록!$D$7:$D$306,B47)&gt;1,"같은 이름이 둘 이상 — 미리보기는 첫 번째만 보입니다 / ","")&amp;IF(AND(C47&lt;&gt;"",COUNTIF(직원목록!$C$7:$C$306,C47)&gt;1),"사번 중복 / ","")&amp;IF(D47=0,"총지급이 0원 — 머리글 매칭 확인 / ","")&amp;IF(AND(설정!$B$17&lt;&gt;"",설정!$C$17="",OR(ISNUMBER(FIND("연장",설정!$B$17)),ISNUMBER(FIND("야간",설정!$B$17)),ISNUMBER(FIND("휴일",설정!$B$17))),INDEX(직원목록!$F$7:$F$306,MATCH(35,직원목록!$B$7:$B$306,0))&gt;0),"연장·야간·휴일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","")&amp;IF(AND(설정!$B$24&lt;&gt;"",설정!$C$24="",OR(ISNUMBER(FIND("연장",설정!$B$24)),ISNUMBER(FIND("야간",설정!$B$24)),ISNUMBER(FIND("휴일",설정!$B$24))),INDEX(직원목록!$M$7:$M$306,MATCH(35,직원목록!$B$7:$B$306,0))&gt;0),"연장·야간·휴일 수당은 시간 수도 명세서에 적어야 하니 시간 열 지정 필요 / ",""))))</f>
        <v/>
      </c>
    </row>
    <row r="48">
      <c r="A48" s="26">
        <f>IF(IFERROR(MATCH(36,직원목록!$B$7:$B$306,0),0)=0,"",36)</f>
        <v/>
      </c>
      <c r="B48" s="2">
        <f>IF($A48="","",IFERROR(INDEX(직원목록!$D$7:$D$306,MATCH(36,직원목록!$B$7:$B$306,0)),""))</f>
        <v/>
      </c>
      <c r="C48" s="2">
        <f>IF($A48="","",IFERROR(INDEX(직원목록!$C$7:$C$306,MATCH(36,직원목록!$B$7:$B$306,0)),""))</f>
        <v/>
      </c>
      <c r="D48" s="27">
        <f>IF($A48="","",IFERROR(INDEX(직원목록!$V$7:$V$306,MATCH(36,직원목록!$B$7:$B$306,0)),""))</f>
        <v/>
      </c>
      <c r="E48" s="27">
        <f>IF($A48="","",IFERROR(INDEX(직원목록!$AG$7:$AG$306,MATCH(36,직원목록!$B$7:$B$306,0)),""))</f>
        <v/>
      </c>
      <c r="F48" s="27">
        <f>IF(OR($A48="",E48=""),"",D48-E48)</f>
        <v/>
      </c>
      <c r="G48" s="27">
        <f>IF($A48="","",IFERROR(INDEX(직원목록!$AE$7:$AE$306,MATCH(36,직원목록!$B$7:$B$306,0)),""))</f>
        <v/>
      </c>
      <c r="H48" s="27">
        <f>IF($A48="","",IFERROR(INDEX(직원목록!$AH$7:$AH$306,MATCH(36,직원목록!$B$7:$B$306,0)),""))</f>
        <v/>
      </c>
      <c r="I48" s="27">
        <f>IF(OR($A48="",H48=""),"",G48-H48)</f>
        <v/>
      </c>
      <c r="J48" s="27">
        <f>IF($A48="","",IFERROR(INDEX(직원목록!$AF$7:$AF$306,MATCH(36,직원목록!$B$7:$B$306,0)),""))</f>
        <v/>
      </c>
      <c r="K48" s="27">
        <f>IF($A48="","",IFERROR(INDEX(직원목록!$AI$7:$AI$306,MATCH(36,직원목록!$B$7:$B$306,0)),""))</f>
        <v/>
      </c>
      <c r="L48" s="8">
        <f>IF($A48="","",IF(LEN(IF(AND(F48&lt;&gt;"",F48&lt;&gt;0),"계산 총지급과 대장 총지급이 다릅니다 / ","")&amp;IF(AND(I48&lt;&gt;"",I48&lt;&gt;0),"계산 총공제와 대장 총공제가 다릅니다 / ","")&amp;IF(J48&lt;0,"실수령액이 음수입니다 / ","")&amp;IF(COUNTIF(직원목록!$D$7:$D$306,B48)&gt;1,"같은 이름이 둘 이상 — 미리보기는 첫 번째만 보입니다 / ","")&amp;IF(AND(C48&lt;&gt;"",COUNTIF(직원목록!$C$7:$C$306,C48)&gt;1),"사번 중복 / ","")&amp;IF(D48=0,"총지급이 0원 — 머리글 매칭 확인 / ","")&amp;IF(AND(설정!$B$17&lt;&gt;"",설정!$C$17="",OR(ISNUMBER(FIND("연장",설정!$B$17)),ISNUMBER(FIND("야간",설정!$B$17)),ISNUMBER(FIND("휴일",설정!$B$17))),INDEX(직원목록!$F$7:$F$306,MATCH(36,직원목록!$B$7:$B$306,0))&gt;0),"연장·야간·휴일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","")&amp;IF(AND(설정!$B$24&lt;&gt;"",설정!$C$24="",OR(ISNUMBER(FIND("연장",설정!$B$24)),ISNUMBER(FIND("야간",설정!$B$24)),ISNUMBER(FIND("휴일",설정!$B$24))),INDEX(직원목록!$M$7:$M$306,MATCH(36,직원목록!$B$7:$B$306,0))&gt;0),"연장·야간·휴일 수당은 시간 수도 명세서에 적어야 하니 시간 열 지정 필요 / ",""))=0,"✔",("⚠ "&amp;IF(AND(F48&lt;&gt;"",F48&lt;&gt;0),"계산 총지급과 대장 총지급이 다릅니다 / ","")&amp;IF(AND(I48&lt;&gt;"",I48&lt;&gt;0),"계산 총공제와 대장 총공제가 다릅니다 / ","")&amp;IF(J48&lt;0,"실수령액이 음수입니다 / ","")&amp;IF(COUNTIF(직원목록!$D$7:$D$306,B48)&gt;1,"같은 이름이 둘 이상 — 미리보기는 첫 번째만 보입니다 / ","")&amp;IF(AND(C48&lt;&gt;"",COUNTIF(직원목록!$C$7:$C$306,C48)&gt;1),"사번 중복 / ","")&amp;IF(D48=0,"총지급이 0원 — 머리글 매칭 확인 / ","")&amp;IF(AND(설정!$B$17&lt;&gt;"",설정!$C$17="",OR(ISNUMBER(FIND("연장",설정!$B$17)),ISNUMBER(FIND("야간",설정!$B$17)),ISNUMBER(FIND("휴일",설정!$B$17))),INDEX(직원목록!$F$7:$F$306,MATCH(36,직원목록!$B$7:$B$306,0))&gt;0),"연장·야간·휴일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","")&amp;IF(AND(설정!$B$24&lt;&gt;"",설정!$C$24="",OR(ISNUMBER(FIND("연장",설정!$B$24)),ISNUMBER(FIND("야간",설정!$B$24)),ISNUMBER(FIND("휴일",설정!$B$24))),INDEX(직원목록!$M$7:$M$306,MATCH(36,직원목록!$B$7:$B$306,0))&gt;0),"연장·야간·휴일 수당은 시간 수도 명세서에 적어야 하니 시간 열 지정 필요 / ",""))))</f>
        <v/>
      </c>
    </row>
    <row r="49">
      <c r="A49" s="26">
        <f>IF(IFERROR(MATCH(37,직원목록!$B$7:$B$306,0),0)=0,"",37)</f>
        <v/>
      </c>
      <c r="B49" s="2">
        <f>IF($A49="","",IFERROR(INDEX(직원목록!$D$7:$D$306,MATCH(37,직원목록!$B$7:$B$306,0)),""))</f>
        <v/>
      </c>
      <c r="C49" s="2">
        <f>IF($A49="","",IFERROR(INDEX(직원목록!$C$7:$C$306,MATCH(37,직원목록!$B$7:$B$306,0)),""))</f>
        <v/>
      </c>
      <c r="D49" s="27">
        <f>IF($A49="","",IFERROR(INDEX(직원목록!$V$7:$V$306,MATCH(37,직원목록!$B$7:$B$306,0)),""))</f>
        <v/>
      </c>
      <c r="E49" s="27">
        <f>IF($A49="","",IFERROR(INDEX(직원목록!$AG$7:$AG$306,MATCH(37,직원목록!$B$7:$B$306,0)),""))</f>
        <v/>
      </c>
      <c r="F49" s="27">
        <f>IF(OR($A49="",E49=""),"",D49-E49)</f>
        <v/>
      </c>
      <c r="G49" s="27">
        <f>IF($A49="","",IFERROR(INDEX(직원목록!$AE$7:$AE$306,MATCH(37,직원목록!$B$7:$B$306,0)),""))</f>
        <v/>
      </c>
      <c r="H49" s="27">
        <f>IF($A49="","",IFERROR(INDEX(직원목록!$AH$7:$AH$306,MATCH(37,직원목록!$B$7:$B$306,0)),""))</f>
        <v/>
      </c>
      <c r="I49" s="27">
        <f>IF(OR($A49="",H49=""),"",G49-H49)</f>
        <v/>
      </c>
      <c r="J49" s="27">
        <f>IF($A49="","",IFERROR(INDEX(직원목록!$AF$7:$AF$306,MATCH(37,직원목록!$B$7:$B$306,0)),""))</f>
        <v/>
      </c>
      <c r="K49" s="27">
        <f>IF($A49="","",IFERROR(INDEX(직원목록!$AI$7:$AI$306,MATCH(37,직원목록!$B$7:$B$306,0)),""))</f>
        <v/>
      </c>
      <c r="L49" s="8">
        <f>IF($A49="","",IF(LEN(IF(AND(F49&lt;&gt;"",F49&lt;&gt;0),"계산 총지급과 대장 총지급이 다릅니다 / ","")&amp;IF(AND(I49&lt;&gt;"",I49&lt;&gt;0),"계산 총공제와 대장 총공제가 다릅니다 / ","")&amp;IF(J49&lt;0,"실수령액이 음수입니다 / ","")&amp;IF(COUNTIF(직원목록!$D$7:$D$306,B49)&gt;1,"같은 이름이 둘 이상 — 미리보기는 첫 번째만 보입니다 / ","")&amp;IF(AND(C49&lt;&gt;"",COUNTIF(직원목록!$C$7:$C$306,C49)&gt;1),"사번 중복 / ","")&amp;IF(D49=0,"총지급이 0원 — 머리글 매칭 확인 / ","")&amp;IF(AND(설정!$B$17&lt;&gt;"",설정!$C$17="",OR(ISNUMBER(FIND("연장",설정!$B$17)),ISNUMBER(FIND("야간",설정!$B$17)),ISNUMBER(FIND("휴일",설정!$B$17))),INDEX(직원목록!$F$7:$F$306,MATCH(37,직원목록!$B$7:$B$306,0))&gt;0),"연장·야간·휴일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","")&amp;IF(AND(설정!$B$24&lt;&gt;"",설정!$C$24="",OR(ISNUMBER(FIND("연장",설정!$B$24)),ISNUMBER(FIND("야간",설정!$B$24)),ISNUMBER(FIND("휴일",설정!$B$24))),INDEX(직원목록!$M$7:$M$306,MATCH(37,직원목록!$B$7:$B$306,0))&gt;0),"연장·야간·휴일 수당은 시간 수도 명세서에 적어야 하니 시간 열 지정 필요 / ",""))=0,"✔",("⚠ "&amp;IF(AND(F49&lt;&gt;"",F49&lt;&gt;0),"계산 총지급과 대장 총지급이 다릅니다 / ","")&amp;IF(AND(I49&lt;&gt;"",I49&lt;&gt;0),"계산 총공제와 대장 총공제가 다릅니다 / ","")&amp;IF(J49&lt;0,"실수령액이 음수입니다 / ","")&amp;IF(COUNTIF(직원목록!$D$7:$D$306,B49)&gt;1,"같은 이름이 둘 이상 — 미리보기는 첫 번째만 보입니다 / ","")&amp;IF(AND(C49&lt;&gt;"",COUNTIF(직원목록!$C$7:$C$306,C49)&gt;1),"사번 중복 / ","")&amp;IF(D49=0,"총지급이 0원 — 머리글 매칭 확인 / ","")&amp;IF(AND(설정!$B$17&lt;&gt;"",설정!$C$17="",OR(ISNUMBER(FIND("연장",설정!$B$17)),ISNUMBER(FIND("야간",설정!$B$17)),ISNUMBER(FIND("휴일",설정!$B$17))),INDEX(직원목록!$F$7:$F$306,MATCH(37,직원목록!$B$7:$B$306,0))&gt;0),"연장·야간·휴일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","")&amp;IF(AND(설정!$B$24&lt;&gt;"",설정!$C$24="",OR(ISNUMBER(FIND("연장",설정!$B$24)),ISNUMBER(FIND("야간",설정!$B$24)),ISNUMBER(FIND("휴일",설정!$B$24))),INDEX(직원목록!$M$7:$M$306,MATCH(37,직원목록!$B$7:$B$306,0))&gt;0),"연장·야간·휴일 수당은 시간 수도 명세서에 적어야 하니 시간 열 지정 필요 / ",""))))</f>
        <v/>
      </c>
    </row>
    <row r="50">
      <c r="A50" s="26">
        <f>IF(IFERROR(MATCH(38,직원목록!$B$7:$B$306,0),0)=0,"",38)</f>
        <v/>
      </c>
      <c r="B50" s="2">
        <f>IF($A50="","",IFERROR(INDEX(직원목록!$D$7:$D$306,MATCH(38,직원목록!$B$7:$B$306,0)),""))</f>
        <v/>
      </c>
      <c r="C50" s="2">
        <f>IF($A50="","",IFERROR(INDEX(직원목록!$C$7:$C$306,MATCH(38,직원목록!$B$7:$B$306,0)),""))</f>
        <v/>
      </c>
      <c r="D50" s="27">
        <f>IF($A50="","",IFERROR(INDEX(직원목록!$V$7:$V$306,MATCH(38,직원목록!$B$7:$B$306,0)),""))</f>
        <v/>
      </c>
      <c r="E50" s="27">
        <f>IF($A50="","",IFERROR(INDEX(직원목록!$AG$7:$AG$306,MATCH(38,직원목록!$B$7:$B$306,0)),""))</f>
        <v/>
      </c>
      <c r="F50" s="27">
        <f>IF(OR($A50="",E50=""),"",D50-E50)</f>
        <v/>
      </c>
      <c r="G50" s="27">
        <f>IF($A50="","",IFERROR(INDEX(직원목록!$AE$7:$AE$306,MATCH(38,직원목록!$B$7:$B$306,0)),""))</f>
        <v/>
      </c>
      <c r="H50" s="27">
        <f>IF($A50="","",IFERROR(INDEX(직원목록!$AH$7:$AH$306,MATCH(38,직원목록!$B$7:$B$306,0)),""))</f>
        <v/>
      </c>
      <c r="I50" s="27">
        <f>IF(OR($A50="",H50=""),"",G50-H50)</f>
        <v/>
      </c>
      <c r="J50" s="27">
        <f>IF($A50="","",IFERROR(INDEX(직원목록!$AF$7:$AF$306,MATCH(38,직원목록!$B$7:$B$306,0)),""))</f>
        <v/>
      </c>
      <c r="K50" s="27">
        <f>IF($A50="","",IFERROR(INDEX(직원목록!$AI$7:$AI$306,MATCH(38,직원목록!$B$7:$B$306,0)),""))</f>
        <v/>
      </c>
      <c r="L50" s="8">
        <f>IF($A50="","",IF(LEN(IF(AND(F50&lt;&gt;"",F50&lt;&gt;0),"계산 총지급과 대장 총지급이 다릅니다 / ","")&amp;IF(AND(I50&lt;&gt;"",I50&lt;&gt;0),"계산 총공제와 대장 총공제가 다릅니다 / ","")&amp;IF(J50&lt;0,"실수령액이 음수입니다 / ","")&amp;IF(COUNTIF(직원목록!$D$7:$D$306,B50)&gt;1,"같은 이름이 둘 이상 — 미리보기는 첫 번째만 보입니다 / ","")&amp;IF(AND(C50&lt;&gt;"",COUNTIF(직원목록!$C$7:$C$306,C50)&gt;1),"사번 중복 / ","")&amp;IF(D50=0,"총지급이 0원 — 머리글 매칭 확인 / ","")&amp;IF(AND(설정!$B$17&lt;&gt;"",설정!$C$17="",OR(ISNUMBER(FIND("연장",설정!$B$17)),ISNUMBER(FIND("야간",설정!$B$17)),ISNUMBER(FIND("휴일",설정!$B$17))),INDEX(직원목록!$F$7:$F$306,MATCH(38,직원목록!$B$7:$B$306,0))&gt;0),"연장·야간·휴일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","")&amp;IF(AND(설정!$B$24&lt;&gt;"",설정!$C$24="",OR(ISNUMBER(FIND("연장",설정!$B$24)),ISNUMBER(FIND("야간",설정!$B$24)),ISNUMBER(FIND("휴일",설정!$B$24))),INDEX(직원목록!$M$7:$M$306,MATCH(38,직원목록!$B$7:$B$306,0))&gt;0),"연장·야간·휴일 수당은 시간 수도 명세서에 적어야 하니 시간 열 지정 필요 / ",""))=0,"✔",("⚠ "&amp;IF(AND(F50&lt;&gt;"",F50&lt;&gt;0),"계산 총지급과 대장 총지급이 다릅니다 / ","")&amp;IF(AND(I50&lt;&gt;"",I50&lt;&gt;0),"계산 총공제와 대장 총공제가 다릅니다 / ","")&amp;IF(J50&lt;0,"실수령액이 음수입니다 / ","")&amp;IF(COUNTIF(직원목록!$D$7:$D$306,B50)&gt;1,"같은 이름이 둘 이상 — 미리보기는 첫 번째만 보입니다 / ","")&amp;IF(AND(C50&lt;&gt;"",COUNTIF(직원목록!$C$7:$C$306,C50)&gt;1),"사번 중복 / ","")&amp;IF(D50=0,"총지급이 0원 — 머리글 매칭 확인 / ","")&amp;IF(AND(설정!$B$17&lt;&gt;"",설정!$C$17="",OR(ISNUMBER(FIND("연장",설정!$B$17)),ISNUMBER(FIND("야간",설정!$B$17)),ISNUMBER(FIND("휴일",설정!$B$17))),INDEX(직원목록!$F$7:$F$306,MATCH(38,직원목록!$B$7:$B$306,0))&gt;0),"연장·야간·휴일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","")&amp;IF(AND(설정!$B$24&lt;&gt;"",설정!$C$24="",OR(ISNUMBER(FIND("연장",설정!$B$24)),ISNUMBER(FIND("야간",설정!$B$24)),ISNUMBER(FIND("휴일",설정!$B$24))),INDEX(직원목록!$M$7:$M$306,MATCH(38,직원목록!$B$7:$B$306,0))&gt;0),"연장·야간·휴일 수당은 시간 수도 명세서에 적어야 하니 시간 열 지정 필요 / ",""))))</f>
        <v/>
      </c>
    </row>
    <row r="51">
      <c r="A51" s="26">
        <f>IF(IFERROR(MATCH(39,직원목록!$B$7:$B$306,0),0)=0,"",39)</f>
        <v/>
      </c>
      <c r="B51" s="2">
        <f>IF($A51="","",IFERROR(INDEX(직원목록!$D$7:$D$306,MATCH(39,직원목록!$B$7:$B$306,0)),""))</f>
        <v/>
      </c>
      <c r="C51" s="2">
        <f>IF($A51="","",IFERROR(INDEX(직원목록!$C$7:$C$306,MATCH(39,직원목록!$B$7:$B$306,0)),""))</f>
        <v/>
      </c>
      <c r="D51" s="27">
        <f>IF($A51="","",IFERROR(INDEX(직원목록!$V$7:$V$306,MATCH(39,직원목록!$B$7:$B$306,0)),""))</f>
        <v/>
      </c>
      <c r="E51" s="27">
        <f>IF($A51="","",IFERROR(INDEX(직원목록!$AG$7:$AG$306,MATCH(39,직원목록!$B$7:$B$306,0)),""))</f>
        <v/>
      </c>
      <c r="F51" s="27">
        <f>IF(OR($A51="",E51=""),"",D51-E51)</f>
        <v/>
      </c>
      <c r="G51" s="27">
        <f>IF($A51="","",IFERROR(INDEX(직원목록!$AE$7:$AE$306,MATCH(39,직원목록!$B$7:$B$306,0)),""))</f>
        <v/>
      </c>
      <c r="H51" s="27">
        <f>IF($A51="","",IFERROR(INDEX(직원목록!$AH$7:$AH$306,MATCH(39,직원목록!$B$7:$B$306,0)),""))</f>
        <v/>
      </c>
      <c r="I51" s="27">
        <f>IF(OR($A51="",H51=""),"",G51-H51)</f>
        <v/>
      </c>
      <c r="J51" s="27">
        <f>IF($A51="","",IFERROR(INDEX(직원목록!$AF$7:$AF$306,MATCH(39,직원목록!$B$7:$B$306,0)),""))</f>
        <v/>
      </c>
      <c r="K51" s="27">
        <f>IF($A51="","",IFERROR(INDEX(직원목록!$AI$7:$AI$306,MATCH(39,직원목록!$B$7:$B$306,0)),""))</f>
        <v/>
      </c>
      <c r="L51" s="8">
        <f>IF($A51="","",IF(LEN(IF(AND(F51&lt;&gt;"",F51&lt;&gt;0),"계산 총지급과 대장 총지급이 다릅니다 / ","")&amp;IF(AND(I51&lt;&gt;"",I51&lt;&gt;0),"계산 총공제와 대장 총공제가 다릅니다 / ","")&amp;IF(J51&lt;0,"실수령액이 음수입니다 / ","")&amp;IF(COUNTIF(직원목록!$D$7:$D$306,B51)&gt;1,"같은 이름이 둘 이상 — 미리보기는 첫 번째만 보입니다 / ","")&amp;IF(AND(C51&lt;&gt;"",COUNTIF(직원목록!$C$7:$C$306,C51)&gt;1),"사번 중복 / ","")&amp;IF(D51=0,"총지급이 0원 — 머리글 매칭 확인 / ","")&amp;IF(AND(설정!$B$17&lt;&gt;"",설정!$C$17="",OR(ISNUMBER(FIND("연장",설정!$B$17)),ISNUMBER(FIND("야간",설정!$B$17)),ISNUMBER(FIND("휴일",설정!$B$17))),INDEX(직원목록!$F$7:$F$306,MATCH(39,직원목록!$B$7:$B$306,0))&gt;0),"연장·야간·휴일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","")&amp;IF(AND(설정!$B$24&lt;&gt;"",설정!$C$24="",OR(ISNUMBER(FIND("연장",설정!$B$24)),ISNUMBER(FIND("야간",설정!$B$24)),ISNUMBER(FIND("휴일",설정!$B$24))),INDEX(직원목록!$M$7:$M$306,MATCH(39,직원목록!$B$7:$B$306,0))&gt;0),"연장·야간·휴일 수당은 시간 수도 명세서에 적어야 하니 시간 열 지정 필요 / ",""))=0,"✔",("⚠ "&amp;IF(AND(F51&lt;&gt;"",F51&lt;&gt;0),"계산 총지급과 대장 총지급이 다릅니다 / ","")&amp;IF(AND(I51&lt;&gt;"",I51&lt;&gt;0),"계산 총공제와 대장 총공제가 다릅니다 / ","")&amp;IF(J51&lt;0,"실수령액이 음수입니다 / ","")&amp;IF(COUNTIF(직원목록!$D$7:$D$306,B51)&gt;1,"같은 이름이 둘 이상 — 미리보기는 첫 번째만 보입니다 / ","")&amp;IF(AND(C51&lt;&gt;"",COUNTIF(직원목록!$C$7:$C$306,C51)&gt;1),"사번 중복 / ","")&amp;IF(D51=0,"총지급이 0원 — 머리글 매칭 확인 / ","")&amp;IF(AND(설정!$B$17&lt;&gt;"",설정!$C$17="",OR(ISNUMBER(FIND("연장",설정!$B$17)),ISNUMBER(FIND("야간",설정!$B$17)),ISNUMBER(FIND("휴일",설정!$B$17))),INDEX(직원목록!$F$7:$F$306,MATCH(39,직원목록!$B$7:$B$306,0))&gt;0),"연장·야간·휴일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","")&amp;IF(AND(설정!$B$24&lt;&gt;"",설정!$C$24="",OR(ISNUMBER(FIND("연장",설정!$B$24)),ISNUMBER(FIND("야간",설정!$B$24)),ISNUMBER(FIND("휴일",설정!$B$24))),INDEX(직원목록!$M$7:$M$306,MATCH(39,직원목록!$B$7:$B$306,0))&gt;0),"연장·야간·휴일 수당은 시간 수도 명세서에 적어야 하니 시간 열 지정 필요 / ",""))))</f>
        <v/>
      </c>
    </row>
    <row r="52">
      <c r="A52" s="26">
        <f>IF(IFERROR(MATCH(40,직원목록!$B$7:$B$306,0),0)=0,"",40)</f>
        <v/>
      </c>
      <c r="B52" s="2">
        <f>IF($A52="","",IFERROR(INDEX(직원목록!$D$7:$D$306,MATCH(40,직원목록!$B$7:$B$306,0)),""))</f>
        <v/>
      </c>
      <c r="C52" s="2">
        <f>IF($A52="","",IFERROR(INDEX(직원목록!$C$7:$C$306,MATCH(40,직원목록!$B$7:$B$306,0)),""))</f>
        <v/>
      </c>
      <c r="D52" s="27">
        <f>IF($A52="","",IFERROR(INDEX(직원목록!$V$7:$V$306,MATCH(40,직원목록!$B$7:$B$306,0)),""))</f>
        <v/>
      </c>
      <c r="E52" s="27">
        <f>IF($A52="","",IFERROR(INDEX(직원목록!$AG$7:$AG$306,MATCH(40,직원목록!$B$7:$B$306,0)),""))</f>
        <v/>
      </c>
      <c r="F52" s="27">
        <f>IF(OR($A52="",E52=""),"",D52-E52)</f>
        <v/>
      </c>
      <c r="G52" s="27">
        <f>IF($A52="","",IFERROR(INDEX(직원목록!$AE$7:$AE$306,MATCH(40,직원목록!$B$7:$B$306,0)),""))</f>
        <v/>
      </c>
      <c r="H52" s="27">
        <f>IF($A52="","",IFERROR(INDEX(직원목록!$AH$7:$AH$306,MATCH(40,직원목록!$B$7:$B$306,0)),""))</f>
        <v/>
      </c>
      <c r="I52" s="27">
        <f>IF(OR($A52="",H52=""),"",G52-H52)</f>
        <v/>
      </c>
      <c r="J52" s="27">
        <f>IF($A52="","",IFERROR(INDEX(직원목록!$AF$7:$AF$306,MATCH(40,직원목록!$B$7:$B$306,0)),""))</f>
        <v/>
      </c>
      <c r="K52" s="27">
        <f>IF($A52="","",IFERROR(INDEX(직원목록!$AI$7:$AI$306,MATCH(40,직원목록!$B$7:$B$306,0)),""))</f>
        <v/>
      </c>
      <c r="L52" s="8">
        <f>IF($A52="","",IF(LEN(IF(AND(F52&lt;&gt;"",F52&lt;&gt;0),"계산 총지급과 대장 총지급이 다릅니다 / ","")&amp;IF(AND(I52&lt;&gt;"",I52&lt;&gt;0),"계산 총공제와 대장 총공제가 다릅니다 / ","")&amp;IF(J52&lt;0,"실수령액이 음수입니다 / ","")&amp;IF(COUNTIF(직원목록!$D$7:$D$306,B52)&gt;1,"같은 이름이 둘 이상 — 미리보기는 첫 번째만 보입니다 / ","")&amp;IF(AND(C52&lt;&gt;"",COUNTIF(직원목록!$C$7:$C$306,C52)&gt;1),"사번 중복 / ","")&amp;IF(D52=0,"총지급이 0원 — 머리글 매칭 확인 / ","")&amp;IF(AND(설정!$B$17&lt;&gt;"",설정!$C$17="",OR(ISNUMBER(FIND("연장",설정!$B$17)),ISNUMBER(FIND("야간",설정!$B$17)),ISNUMBER(FIND("휴일",설정!$B$17))),INDEX(직원목록!$F$7:$F$306,MATCH(40,직원목록!$B$7:$B$306,0))&gt;0),"연장·야간·휴일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","")&amp;IF(AND(설정!$B$24&lt;&gt;"",설정!$C$24="",OR(ISNUMBER(FIND("연장",설정!$B$24)),ISNUMBER(FIND("야간",설정!$B$24)),ISNUMBER(FIND("휴일",설정!$B$24))),INDEX(직원목록!$M$7:$M$306,MATCH(40,직원목록!$B$7:$B$306,0))&gt;0),"연장·야간·휴일 수당은 시간 수도 명세서에 적어야 하니 시간 열 지정 필요 / ",""))=0,"✔",("⚠ "&amp;IF(AND(F52&lt;&gt;"",F52&lt;&gt;0),"계산 총지급과 대장 총지급이 다릅니다 / ","")&amp;IF(AND(I52&lt;&gt;"",I52&lt;&gt;0),"계산 총공제와 대장 총공제가 다릅니다 / ","")&amp;IF(J52&lt;0,"실수령액이 음수입니다 / ","")&amp;IF(COUNTIF(직원목록!$D$7:$D$306,B52)&gt;1,"같은 이름이 둘 이상 — 미리보기는 첫 번째만 보입니다 / ","")&amp;IF(AND(C52&lt;&gt;"",COUNTIF(직원목록!$C$7:$C$306,C52)&gt;1),"사번 중복 / ","")&amp;IF(D52=0,"총지급이 0원 — 머리글 매칭 확인 / ","")&amp;IF(AND(설정!$B$17&lt;&gt;"",설정!$C$17="",OR(ISNUMBER(FIND("연장",설정!$B$17)),ISNUMBER(FIND("야간",설정!$B$17)),ISNUMBER(FIND("휴일",설정!$B$17))),INDEX(직원목록!$F$7:$F$306,MATCH(40,직원목록!$B$7:$B$306,0))&gt;0),"연장·야간·휴일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","")&amp;IF(AND(설정!$B$24&lt;&gt;"",설정!$C$24="",OR(ISNUMBER(FIND("연장",설정!$B$24)),ISNUMBER(FIND("야간",설정!$B$24)),ISNUMBER(FIND("휴일",설정!$B$24))),INDEX(직원목록!$M$7:$M$306,MATCH(40,직원목록!$B$7:$B$306,0))&gt;0),"연장·야간·휴일 수당은 시간 수도 명세서에 적어야 하니 시간 열 지정 필요 / ",""))))</f>
        <v/>
      </c>
    </row>
    <row r="53">
      <c r="A53" s="26">
        <f>IF(IFERROR(MATCH(41,직원목록!$B$7:$B$306,0),0)=0,"",41)</f>
        <v/>
      </c>
      <c r="B53" s="2">
        <f>IF($A53="","",IFERROR(INDEX(직원목록!$D$7:$D$306,MATCH(41,직원목록!$B$7:$B$306,0)),""))</f>
        <v/>
      </c>
      <c r="C53" s="2">
        <f>IF($A53="","",IFERROR(INDEX(직원목록!$C$7:$C$306,MATCH(41,직원목록!$B$7:$B$306,0)),""))</f>
        <v/>
      </c>
      <c r="D53" s="27">
        <f>IF($A53="","",IFERROR(INDEX(직원목록!$V$7:$V$306,MATCH(41,직원목록!$B$7:$B$306,0)),""))</f>
        <v/>
      </c>
      <c r="E53" s="27">
        <f>IF($A53="","",IFERROR(INDEX(직원목록!$AG$7:$AG$306,MATCH(41,직원목록!$B$7:$B$306,0)),""))</f>
        <v/>
      </c>
      <c r="F53" s="27">
        <f>IF(OR($A53="",E53=""),"",D53-E53)</f>
        <v/>
      </c>
      <c r="G53" s="27">
        <f>IF($A53="","",IFERROR(INDEX(직원목록!$AE$7:$AE$306,MATCH(41,직원목록!$B$7:$B$306,0)),""))</f>
        <v/>
      </c>
      <c r="H53" s="27">
        <f>IF($A53="","",IFERROR(INDEX(직원목록!$AH$7:$AH$306,MATCH(41,직원목록!$B$7:$B$306,0)),""))</f>
        <v/>
      </c>
      <c r="I53" s="27">
        <f>IF(OR($A53="",H53=""),"",G53-H53)</f>
        <v/>
      </c>
      <c r="J53" s="27">
        <f>IF($A53="","",IFERROR(INDEX(직원목록!$AF$7:$AF$306,MATCH(41,직원목록!$B$7:$B$306,0)),""))</f>
        <v/>
      </c>
      <c r="K53" s="27">
        <f>IF($A53="","",IFERROR(INDEX(직원목록!$AI$7:$AI$306,MATCH(41,직원목록!$B$7:$B$306,0)),""))</f>
        <v/>
      </c>
      <c r="L53" s="8">
        <f>IF($A53="","",IF(LEN(IF(AND(F53&lt;&gt;"",F53&lt;&gt;0),"계산 총지급과 대장 총지급이 다릅니다 / ","")&amp;IF(AND(I53&lt;&gt;"",I53&lt;&gt;0),"계산 총공제와 대장 총공제가 다릅니다 / ","")&amp;IF(J53&lt;0,"실수령액이 음수입니다 / ","")&amp;IF(COUNTIF(직원목록!$D$7:$D$306,B53)&gt;1,"같은 이름이 둘 이상 — 미리보기는 첫 번째만 보입니다 / ","")&amp;IF(AND(C53&lt;&gt;"",COUNTIF(직원목록!$C$7:$C$306,C53)&gt;1),"사번 중복 / ","")&amp;IF(D53=0,"총지급이 0원 — 머리글 매칭 확인 / ","")&amp;IF(AND(설정!$B$17&lt;&gt;"",설정!$C$17="",OR(ISNUMBER(FIND("연장",설정!$B$17)),ISNUMBER(FIND("야간",설정!$B$17)),ISNUMBER(FIND("휴일",설정!$B$17))),INDEX(직원목록!$F$7:$F$306,MATCH(41,직원목록!$B$7:$B$306,0))&gt;0),"연장·야간·휴일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","")&amp;IF(AND(설정!$B$24&lt;&gt;"",설정!$C$24="",OR(ISNUMBER(FIND("연장",설정!$B$24)),ISNUMBER(FIND("야간",설정!$B$24)),ISNUMBER(FIND("휴일",설정!$B$24))),INDEX(직원목록!$M$7:$M$306,MATCH(41,직원목록!$B$7:$B$306,0))&gt;0),"연장·야간·휴일 수당은 시간 수도 명세서에 적어야 하니 시간 열 지정 필요 / ",""))=0,"✔",("⚠ "&amp;IF(AND(F53&lt;&gt;"",F53&lt;&gt;0),"계산 총지급과 대장 총지급이 다릅니다 / ","")&amp;IF(AND(I53&lt;&gt;"",I53&lt;&gt;0),"계산 총공제와 대장 총공제가 다릅니다 / ","")&amp;IF(J53&lt;0,"실수령액이 음수입니다 / ","")&amp;IF(COUNTIF(직원목록!$D$7:$D$306,B53)&gt;1,"같은 이름이 둘 이상 — 미리보기는 첫 번째만 보입니다 / ","")&amp;IF(AND(C53&lt;&gt;"",COUNTIF(직원목록!$C$7:$C$306,C53)&gt;1),"사번 중복 / ","")&amp;IF(D53=0,"총지급이 0원 — 머리글 매칭 확인 / ","")&amp;IF(AND(설정!$B$17&lt;&gt;"",설정!$C$17="",OR(ISNUMBER(FIND("연장",설정!$B$17)),ISNUMBER(FIND("야간",설정!$B$17)),ISNUMBER(FIND("휴일",설정!$B$17))),INDEX(직원목록!$F$7:$F$306,MATCH(41,직원목록!$B$7:$B$306,0))&gt;0),"연장·야간·휴일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","")&amp;IF(AND(설정!$B$24&lt;&gt;"",설정!$C$24="",OR(ISNUMBER(FIND("연장",설정!$B$24)),ISNUMBER(FIND("야간",설정!$B$24)),ISNUMBER(FIND("휴일",설정!$B$24))),INDEX(직원목록!$M$7:$M$306,MATCH(41,직원목록!$B$7:$B$306,0))&gt;0),"연장·야간·휴일 수당은 시간 수도 명세서에 적어야 하니 시간 열 지정 필요 / ",""))))</f>
        <v/>
      </c>
    </row>
    <row r="54">
      <c r="A54" s="26">
        <f>IF(IFERROR(MATCH(42,직원목록!$B$7:$B$306,0),0)=0,"",42)</f>
        <v/>
      </c>
      <c r="B54" s="2">
        <f>IF($A54="","",IFERROR(INDEX(직원목록!$D$7:$D$306,MATCH(42,직원목록!$B$7:$B$306,0)),""))</f>
        <v/>
      </c>
      <c r="C54" s="2">
        <f>IF($A54="","",IFERROR(INDEX(직원목록!$C$7:$C$306,MATCH(42,직원목록!$B$7:$B$306,0)),""))</f>
        <v/>
      </c>
      <c r="D54" s="27">
        <f>IF($A54="","",IFERROR(INDEX(직원목록!$V$7:$V$306,MATCH(42,직원목록!$B$7:$B$306,0)),""))</f>
        <v/>
      </c>
      <c r="E54" s="27">
        <f>IF($A54="","",IFERROR(INDEX(직원목록!$AG$7:$AG$306,MATCH(42,직원목록!$B$7:$B$306,0)),""))</f>
        <v/>
      </c>
      <c r="F54" s="27">
        <f>IF(OR($A54="",E54=""),"",D54-E54)</f>
        <v/>
      </c>
      <c r="G54" s="27">
        <f>IF($A54="","",IFERROR(INDEX(직원목록!$AE$7:$AE$306,MATCH(42,직원목록!$B$7:$B$306,0)),""))</f>
        <v/>
      </c>
      <c r="H54" s="27">
        <f>IF($A54="","",IFERROR(INDEX(직원목록!$AH$7:$AH$306,MATCH(42,직원목록!$B$7:$B$306,0)),""))</f>
        <v/>
      </c>
      <c r="I54" s="27">
        <f>IF(OR($A54="",H54=""),"",G54-H54)</f>
        <v/>
      </c>
      <c r="J54" s="27">
        <f>IF($A54="","",IFERROR(INDEX(직원목록!$AF$7:$AF$306,MATCH(42,직원목록!$B$7:$B$306,0)),""))</f>
        <v/>
      </c>
      <c r="K54" s="27">
        <f>IF($A54="","",IFERROR(INDEX(직원목록!$AI$7:$AI$306,MATCH(42,직원목록!$B$7:$B$306,0)),""))</f>
        <v/>
      </c>
      <c r="L54" s="8">
        <f>IF($A54="","",IF(LEN(IF(AND(F54&lt;&gt;"",F54&lt;&gt;0),"계산 총지급과 대장 총지급이 다릅니다 / ","")&amp;IF(AND(I54&lt;&gt;"",I54&lt;&gt;0),"계산 총공제와 대장 총공제가 다릅니다 / ","")&amp;IF(J54&lt;0,"실수령액이 음수입니다 / ","")&amp;IF(COUNTIF(직원목록!$D$7:$D$306,B54)&gt;1,"같은 이름이 둘 이상 — 미리보기는 첫 번째만 보입니다 / ","")&amp;IF(AND(C54&lt;&gt;"",COUNTIF(직원목록!$C$7:$C$306,C54)&gt;1),"사번 중복 / ","")&amp;IF(D54=0,"총지급이 0원 — 머리글 매칭 확인 / ","")&amp;IF(AND(설정!$B$17&lt;&gt;"",설정!$C$17="",OR(ISNUMBER(FIND("연장",설정!$B$17)),ISNUMBER(FIND("야간",설정!$B$17)),ISNUMBER(FIND("휴일",설정!$B$17))),INDEX(직원목록!$F$7:$F$306,MATCH(42,직원목록!$B$7:$B$306,0))&gt;0),"연장·야간·휴일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","")&amp;IF(AND(설정!$B$24&lt;&gt;"",설정!$C$24="",OR(ISNUMBER(FIND("연장",설정!$B$24)),ISNUMBER(FIND("야간",설정!$B$24)),ISNUMBER(FIND("휴일",설정!$B$24))),INDEX(직원목록!$M$7:$M$306,MATCH(42,직원목록!$B$7:$B$306,0))&gt;0),"연장·야간·휴일 수당은 시간 수도 명세서에 적어야 하니 시간 열 지정 필요 / ",""))=0,"✔",("⚠ "&amp;IF(AND(F54&lt;&gt;"",F54&lt;&gt;0),"계산 총지급과 대장 총지급이 다릅니다 / ","")&amp;IF(AND(I54&lt;&gt;"",I54&lt;&gt;0),"계산 총공제와 대장 총공제가 다릅니다 / ","")&amp;IF(J54&lt;0,"실수령액이 음수입니다 / ","")&amp;IF(COUNTIF(직원목록!$D$7:$D$306,B54)&gt;1,"같은 이름이 둘 이상 — 미리보기는 첫 번째만 보입니다 / ","")&amp;IF(AND(C54&lt;&gt;"",COUNTIF(직원목록!$C$7:$C$306,C54)&gt;1),"사번 중복 / ","")&amp;IF(D54=0,"총지급이 0원 — 머리글 매칭 확인 / ","")&amp;IF(AND(설정!$B$17&lt;&gt;"",설정!$C$17="",OR(ISNUMBER(FIND("연장",설정!$B$17)),ISNUMBER(FIND("야간",설정!$B$17)),ISNUMBER(FIND("휴일",설정!$B$17))),INDEX(직원목록!$F$7:$F$306,MATCH(42,직원목록!$B$7:$B$306,0))&gt;0),"연장·야간·휴일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","")&amp;IF(AND(설정!$B$24&lt;&gt;"",설정!$C$24="",OR(ISNUMBER(FIND("연장",설정!$B$24)),ISNUMBER(FIND("야간",설정!$B$24)),ISNUMBER(FIND("휴일",설정!$B$24))),INDEX(직원목록!$M$7:$M$306,MATCH(42,직원목록!$B$7:$B$306,0))&gt;0),"연장·야간·휴일 수당은 시간 수도 명세서에 적어야 하니 시간 열 지정 필요 / ",""))))</f>
        <v/>
      </c>
    </row>
    <row r="55">
      <c r="A55" s="26">
        <f>IF(IFERROR(MATCH(43,직원목록!$B$7:$B$306,0),0)=0,"",43)</f>
        <v/>
      </c>
      <c r="B55" s="2">
        <f>IF($A55="","",IFERROR(INDEX(직원목록!$D$7:$D$306,MATCH(43,직원목록!$B$7:$B$306,0)),""))</f>
        <v/>
      </c>
      <c r="C55" s="2">
        <f>IF($A55="","",IFERROR(INDEX(직원목록!$C$7:$C$306,MATCH(43,직원목록!$B$7:$B$306,0)),""))</f>
        <v/>
      </c>
      <c r="D55" s="27">
        <f>IF($A55="","",IFERROR(INDEX(직원목록!$V$7:$V$306,MATCH(43,직원목록!$B$7:$B$306,0)),""))</f>
        <v/>
      </c>
      <c r="E55" s="27">
        <f>IF($A55="","",IFERROR(INDEX(직원목록!$AG$7:$AG$306,MATCH(43,직원목록!$B$7:$B$306,0)),""))</f>
        <v/>
      </c>
      <c r="F55" s="27">
        <f>IF(OR($A55="",E55=""),"",D55-E55)</f>
        <v/>
      </c>
      <c r="G55" s="27">
        <f>IF($A55="","",IFERROR(INDEX(직원목록!$AE$7:$AE$306,MATCH(43,직원목록!$B$7:$B$306,0)),""))</f>
        <v/>
      </c>
      <c r="H55" s="27">
        <f>IF($A55="","",IFERROR(INDEX(직원목록!$AH$7:$AH$306,MATCH(43,직원목록!$B$7:$B$306,0)),""))</f>
        <v/>
      </c>
      <c r="I55" s="27">
        <f>IF(OR($A55="",H55=""),"",G55-H55)</f>
        <v/>
      </c>
      <c r="J55" s="27">
        <f>IF($A55="","",IFERROR(INDEX(직원목록!$AF$7:$AF$306,MATCH(43,직원목록!$B$7:$B$306,0)),""))</f>
        <v/>
      </c>
      <c r="K55" s="27">
        <f>IF($A55="","",IFERROR(INDEX(직원목록!$AI$7:$AI$306,MATCH(43,직원목록!$B$7:$B$306,0)),""))</f>
        <v/>
      </c>
      <c r="L55" s="8">
        <f>IF($A55="","",IF(LEN(IF(AND(F55&lt;&gt;"",F55&lt;&gt;0),"계산 총지급과 대장 총지급이 다릅니다 / ","")&amp;IF(AND(I55&lt;&gt;"",I55&lt;&gt;0),"계산 총공제와 대장 총공제가 다릅니다 / ","")&amp;IF(J55&lt;0,"실수령액이 음수입니다 / ","")&amp;IF(COUNTIF(직원목록!$D$7:$D$306,B55)&gt;1,"같은 이름이 둘 이상 — 미리보기는 첫 번째만 보입니다 / ","")&amp;IF(AND(C55&lt;&gt;"",COUNTIF(직원목록!$C$7:$C$306,C55)&gt;1),"사번 중복 / ","")&amp;IF(D55=0,"총지급이 0원 — 머리글 매칭 확인 / ","")&amp;IF(AND(설정!$B$17&lt;&gt;"",설정!$C$17="",OR(ISNUMBER(FIND("연장",설정!$B$17)),ISNUMBER(FIND("야간",설정!$B$17)),ISNUMBER(FIND("휴일",설정!$B$17))),INDEX(직원목록!$F$7:$F$306,MATCH(43,직원목록!$B$7:$B$306,0))&gt;0),"연장·야간·휴일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","")&amp;IF(AND(설정!$B$24&lt;&gt;"",설정!$C$24="",OR(ISNUMBER(FIND("연장",설정!$B$24)),ISNUMBER(FIND("야간",설정!$B$24)),ISNUMBER(FIND("휴일",설정!$B$24))),INDEX(직원목록!$M$7:$M$306,MATCH(43,직원목록!$B$7:$B$306,0))&gt;0),"연장·야간·휴일 수당은 시간 수도 명세서에 적어야 하니 시간 열 지정 필요 / ",""))=0,"✔",("⚠ "&amp;IF(AND(F55&lt;&gt;"",F55&lt;&gt;0),"계산 총지급과 대장 총지급이 다릅니다 / ","")&amp;IF(AND(I55&lt;&gt;"",I55&lt;&gt;0),"계산 총공제와 대장 총공제가 다릅니다 / ","")&amp;IF(J55&lt;0,"실수령액이 음수입니다 / ","")&amp;IF(COUNTIF(직원목록!$D$7:$D$306,B55)&gt;1,"같은 이름이 둘 이상 — 미리보기는 첫 번째만 보입니다 / ","")&amp;IF(AND(C55&lt;&gt;"",COUNTIF(직원목록!$C$7:$C$306,C55)&gt;1),"사번 중복 / ","")&amp;IF(D55=0,"총지급이 0원 — 머리글 매칭 확인 / ","")&amp;IF(AND(설정!$B$17&lt;&gt;"",설정!$C$17="",OR(ISNUMBER(FIND("연장",설정!$B$17)),ISNUMBER(FIND("야간",설정!$B$17)),ISNUMBER(FIND("휴일",설정!$B$17))),INDEX(직원목록!$F$7:$F$306,MATCH(43,직원목록!$B$7:$B$306,0))&gt;0),"연장·야간·휴일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","")&amp;IF(AND(설정!$B$24&lt;&gt;"",설정!$C$24="",OR(ISNUMBER(FIND("연장",설정!$B$24)),ISNUMBER(FIND("야간",설정!$B$24)),ISNUMBER(FIND("휴일",설정!$B$24))),INDEX(직원목록!$M$7:$M$306,MATCH(43,직원목록!$B$7:$B$306,0))&gt;0),"연장·야간·휴일 수당은 시간 수도 명세서에 적어야 하니 시간 열 지정 필요 / ",""))))</f>
        <v/>
      </c>
    </row>
    <row r="56">
      <c r="A56" s="26">
        <f>IF(IFERROR(MATCH(44,직원목록!$B$7:$B$306,0),0)=0,"",44)</f>
        <v/>
      </c>
      <c r="B56" s="2">
        <f>IF($A56="","",IFERROR(INDEX(직원목록!$D$7:$D$306,MATCH(44,직원목록!$B$7:$B$306,0)),""))</f>
        <v/>
      </c>
      <c r="C56" s="2">
        <f>IF($A56="","",IFERROR(INDEX(직원목록!$C$7:$C$306,MATCH(44,직원목록!$B$7:$B$306,0)),""))</f>
        <v/>
      </c>
      <c r="D56" s="27">
        <f>IF($A56="","",IFERROR(INDEX(직원목록!$V$7:$V$306,MATCH(44,직원목록!$B$7:$B$306,0)),""))</f>
        <v/>
      </c>
      <c r="E56" s="27">
        <f>IF($A56="","",IFERROR(INDEX(직원목록!$AG$7:$AG$306,MATCH(44,직원목록!$B$7:$B$306,0)),""))</f>
        <v/>
      </c>
      <c r="F56" s="27">
        <f>IF(OR($A56="",E56=""),"",D56-E56)</f>
        <v/>
      </c>
      <c r="G56" s="27">
        <f>IF($A56="","",IFERROR(INDEX(직원목록!$AE$7:$AE$306,MATCH(44,직원목록!$B$7:$B$306,0)),""))</f>
        <v/>
      </c>
      <c r="H56" s="27">
        <f>IF($A56="","",IFERROR(INDEX(직원목록!$AH$7:$AH$306,MATCH(44,직원목록!$B$7:$B$306,0)),""))</f>
        <v/>
      </c>
      <c r="I56" s="27">
        <f>IF(OR($A56="",H56=""),"",G56-H56)</f>
        <v/>
      </c>
      <c r="J56" s="27">
        <f>IF($A56="","",IFERROR(INDEX(직원목록!$AF$7:$AF$306,MATCH(44,직원목록!$B$7:$B$306,0)),""))</f>
        <v/>
      </c>
      <c r="K56" s="27">
        <f>IF($A56="","",IFERROR(INDEX(직원목록!$AI$7:$AI$306,MATCH(44,직원목록!$B$7:$B$306,0)),""))</f>
        <v/>
      </c>
      <c r="L56" s="8">
        <f>IF($A56="","",IF(LEN(IF(AND(F56&lt;&gt;"",F56&lt;&gt;0),"계산 총지급과 대장 총지급이 다릅니다 / ","")&amp;IF(AND(I56&lt;&gt;"",I56&lt;&gt;0),"계산 총공제와 대장 총공제가 다릅니다 / ","")&amp;IF(J56&lt;0,"실수령액이 음수입니다 / ","")&amp;IF(COUNTIF(직원목록!$D$7:$D$306,B56)&gt;1,"같은 이름이 둘 이상 — 미리보기는 첫 번째만 보입니다 / ","")&amp;IF(AND(C56&lt;&gt;"",COUNTIF(직원목록!$C$7:$C$306,C56)&gt;1),"사번 중복 / ","")&amp;IF(D56=0,"총지급이 0원 — 머리글 매칭 확인 / ","")&amp;IF(AND(설정!$B$17&lt;&gt;"",설정!$C$17="",OR(ISNUMBER(FIND("연장",설정!$B$17)),ISNUMBER(FIND("야간",설정!$B$17)),ISNUMBER(FIND("휴일",설정!$B$17))),INDEX(직원목록!$F$7:$F$306,MATCH(44,직원목록!$B$7:$B$306,0))&gt;0),"연장·야간·휴일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","")&amp;IF(AND(설정!$B$24&lt;&gt;"",설정!$C$24="",OR(ISNUMBER(FIND("연장",설정!$B$24)),ISNUMBER(FIND("야간",설정!$B$24)),ISNUMBER(FIND("휴일",설정!$B$24))),INDEX(직원목록!$M$7:$M$306,MATCH(44,직원목록!$B$7:$B$306,0))&gt;0),"연장·야간·휴일 수당은 시간 수도 명세서에 적어야 하니 시간 열 지정 필요 / ",""))=0,"✔",("⚠ "&amp;IF(AND(F56&lt;&gt;"",F56&lt;&gt;0),"계산 총지급과 대장 총지급이 다릅니다 / ","")&amp;IF(AND(I56&lt;&gt;"",I56&lt;&gt;0),"계산 총공제와 대장 총공제가 다릅니다 / ","")&amp;IF(J56&lt;0,"실수령액이 음수입니다 / ","")&amp;IF(COUNTIF(직원목록!$D$7:$D$306,B56)&gt;1,"같은 이름이 둘 이상 — 미리보기는 첫 번째만 보입니다 / ","")&amp;IF(AND(C56&lt;&gt;"",COUNTIF(직원목록!$C$7:$C$306,C56)&gt;1),"사번 중복 / ","")&amp;IF(D56=0,"총지급이 0원 — 머리글 매칭 확인 / ","")&amp;IF(AND(설정!$B$17&lt;&gt;"",설정!$C$17="",OR(ISNUMBER(FIND("연장",설정!$B$17)),ISNUMBER(FIND("야간",설정!$B$17)),ISNUMBER(FIND("휴일",설정!$B$17))),INDEX(직원목록!$F$7:$F$306,MATCH(44,직원목록!$B$7:$B$306,0))&gt;0),"연장·야간·휴일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","")&amp;IF(AND(설정!$B$24&lt;&gt;"",설정!$C$24="",OR(ISNUMBER(FIND("연장",설정!$B$24)),ISNUMBER(FIND("야간",설정!$B$24)),ISNUMBER(FIND("휴일",설정!$B$24))),INDEX(직원목록!$M$7:$M$306,MATCH(44,직원목록!$B$7:$B$306,0))&gt;0),"연장·야간·휴일 수당은 시간 수도 명세서에 적어야 하니 시간 열 지정 필요 / ",""))))</f>
        <v/>
      </c>
    </row>
    <row r="57">
      <c r="A57" s="26">
        <f>IF(IFERROR(MATCH(45,직원목록!$B$7:$B$306,0),0)=0,"",45)</f>
        <v/>
      </c>
      <c r="B57" s="2">
        <f>IF($A57="","",IFERROR(INDEX(직원목록!$D$7:$D$306,MATCH(45,직원목록!$B$7:$B$306,0)),""))</f>
        <v/>
      </c>
      <c r="C57" s="2">
        <f>IF($A57="","",IFERROR(INDEX(직원목록!$C$7:$C$306,MATCH(45,직원목록!$B$7:$B$306,0)),""))</f>
        <v/>
      </c>
      <c r="D57" s="27">
        <f>IF($A57="","",IFERROR(INDEX(직원목록!$V$7:$V$306,MATCH(45,직원목록!$B$7:$B$306,0)),""))</f>
        <v/>
      </c>
      <c r="E57" s="27">
        <f>IF($A57="","",IFERROR(INDEX(직원목록!$AG$7:$AG$306,MATCH(45,직원목록!$B$7:$B$306,0)),""))</f>
        <v/>
      </c>
      <c r="F57" s="27">
        <f>IF(OR($A57="",E57=""),"",D57-E57)</f>
        <v/>
      </c>
      <c r="G57" s="27">
        <f>IF($A57="","",IFERROR(INDEX(직원목록!$AE$7:$AE$306,MATCH(45,직원목록!$B$7:$B$306,0)),""))</f>
        <v/>
      </c>
      <c r="H57" s="27">
        <f>IF($A57="","",IFERROR(INDEX(직원목록!$AH$7:$AH$306,MATCH(45,직원목록!$B$7:$B$306,0)),""))</f>
        <v/>
      </c>
      <c r="I57" s="27">
        <f>IF(OR($A57="",H57=""),"",G57-H57)</f>
        <v/>
      </c>
      <c r="J57" s="27">
        <f>IF($A57="","",IFERROR(INDEX(직원목록!$AF$7:$AF$306,MATCH(45,직원목록!$B$7:$B$306,0)),""))</f>
        <v/>
      </c>
      <c r="K57" s="27">
        <f>IF($A57="","",IFERROR(INDEX(직원목록!$AI$7:$AI$306,MATCH(45,직원목록!$B$7:$B$306,0)),""))</f>
        <v/>
      </c>
      <c r="L57" s="8">
        <f>IF($A57="","",IF(LEN(IF(AND(F57&lt;&gt;"",F57&lt;&gt;0),"계산 총지급과 대장 총지급이 다릅니다 / ","")&amp;IF(AND(I57&lt;&gt;"",I57&lt;&gt;0),"계산 총공제와 대장 총공제가 다릅니다 / ","")&amp;IF(J57&lt;0,"실수령액이 음수입니다 / ","")&amp;IF(COUNTIF(직원목록!$D$7:$D$306,B57)&gt;1,"같은 이름이 둘 이상 — 미리보기는 첫 번째만 보입니다 / ","")&amp;IF(AND(C57&lt;&gt;"",COUNTIF(직원목록!$C$7:$C$306,C57)&gt;1),"사번 중복 / ","")&amp;IF(D57=0,"총지급이 0원 — 머리글 매칭 확인 / ","")&amp;IF(AND(설정!$B$17&lt;&gt;"",설정!$C$17="",OR(ISNUMBER(FIND("연장",설정!$B$17)),ISNUMBER(FIND("야간",설정!$B$17)),ISNUMBER(FIND("휴일",설정!$B$17))),INDEX(직원목록!$F$7:$F$306,MATCH(45,직원목록!$B$7:$B$306,0))&gt;0),"연장·야간·휴일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","")&amp;IF(AND(설정!$B$24&lt;&gt;"",설정!$C$24="",OR(ISNUMBER(FIND("연장",설정!$B$24)),ISNUMBER(FIND("야간",설정!$B$24)),ISNUMBER(FIND("휴일",설정!$B$24))),INDEX(직원목록!$M$7:$M$306,MATCH(45,직원목록!$B$7:$B$306,0))&gt;0),"연장·야간·휴일 수당은 시간 수도 명세서에 적어야 하니 시간 열 지정 필요 / ",""))=0,"✔",("⚠ "&amp;IF(AND(F57&lt;&gt;"",F57&lt;&gt;0),"계산 총지급과 대장 총지급이 다릅니다 / ","")&amp;IF(AND(I57&lt;&gt;"",I57&lt;&gt;0),"계산 총공제와 대장 총공제가 다릅니다 / ","")&amp;IF(J57&lt;0,"실수령액이 음수입니다 / ","")&amp;IF(COUNTIF(직원목록!$D$7:$D$306,B57)&gt;1,"같은 이름이 둘 이상 — 미리보기는 첫 번째만 보입니다 / ","")&amp;IF(AND(C57&lt;&gt;"",COUNTIF(직원목록!$C$7:$C$306,C57)&gt;1),"사번 중복 / ","")&amp;IF(D57=0,"총지급이 0원 — 머리글 매칭 확인 / ","")&amp;IF(AND(설정!$B$17&lt;&gt;"",설정!$C$17="",OR(ISNUMBER(FIND("연장",설정!$B$17)),ISNUMBER(FIND("야간",설정!$B$17)),ISNUMBER(FIND("휴일",설정!$B$17))),INDEX(직원목록!$F$7:$F$306,MATCH(45,직원목록!$B$7:$B$306,0))&gt;0),"연장·야간·휴일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","")&amp;IF(AND(설정!$B$24&lt;&gt;"",설정!$C$24="",OR(ISNUMBER(FIND("연장",설정!$B$24)),ISNUMBER(FIND("야간",설정!$B$24)),ISNUMBER(FIND("휴일",설정!$B$24))),INDEX(직원목록!$M$7:$M$306,MATCH(45,직원목록!$B$7:$B$306,0))&gt;0),"연장·야간·휴일 수당은 시간 수도 명세서에 적어야 하니 시간 열 지정 필요 / ",""))))</f>
        <v/>
      </c>
    </row>
    <row r="58">
      <c r="A58" s="26">
        <f>IF(IFERROR(MATCH(46,직원목록!$B$7:$B$306,0),0)=0,"",46)</f>
        <v/>
      </c>
      <c r="B58" s="2">
        <f>IF($A58="","",IFERROR(INDEX(직원목록!$D$7:$D$306,MATCH(46,직원목록!$B$7:$B$306,0)),""))</f>
        <v/>
      </c>
      <c r="C58" s="2">
        <f>IF($A58="","",IFERROR(INDEX(직원목록!$C$7:$C$306,MATCH(46,직원목록!$B$7:$B$306,0)),""))</f>
        <v/>
      </c>
      <c r="D58" s="27">
        <f>IF($A58="","",IFERROR(INDEX(직원목록!$V$7:$V$306,MATCH(46,직원목록!$B$7:$B$306,0)),""))</f>
        <v/>
      </c>
      <c r="E58" s="27">
        <f>IF($A58="","",IFERROR(INDEX(직원목록!$AG$7:$AG$306,MATCH(46,직원목록!$B$7:$B$306,0)),""))</f>
        <v/>
      </c>
      <c r="F58" s="27">
        <f>IF(OR($A58="",E58=""),"",D58-E58)</f>
        <v/>
      </c>
      <c r="G58" s="27">
        <f>IF($A58="","",IFERROR(INDEX(직원목록!$AE$7:$AE$306,MATCH(46,직원목록!$B$7:$B$306,0)),""))</f>
        <v/>
      </c>
      <c r="H58" s="27">
        <f>IF($A58="","",IFERROR(INDEX(직원목록!$AH$7:$AH$306,MATCH(46,직원목록!$B$7:$B$306,0)),""))</f>
        <v/>
      </c>
      <c r="I58" s="27">
        <f>IF(OR($A58="",H58=""),"",G58-H58)</f>
        <v/>
      </c>
      <c r="J58" s="27">
        <f>IF($A58="","",IFERROR(INDEX(직원목록!$AF$7:$AF$306,MATCH(46,직원목록!$B$7:$B$306,0)),""))</f>
        <v/>
      </c>
      <c r="K58" s="27">
        <f>IF($A58="","",IFERROR(INDEX(직원목록!$AI$7:$AI$306,MATCH(46,직원목록!$B$7:$B$306,0)),""))</f>
        <v/>
      </c>
      <c r="L58" s="8">
        <f>IF($A58="","",IF(LEN(IF(AND(F58&lt;&gt;"",F58&lt;&gt;0),"계산 총지급과 대장 총지급이 다릅니다 / ","")&amp;IF(AND(I58&lt;&gt;"",I58&lt;&gt;0),"계산 총공제와 대장 총공제가 다릅니다 / ","")&amp;IF(J58&lt;0,"실수령액이 음수입니다 / ","")&amp;IF(COUNTIF(직원목록!$D$7:$D$306,B58)&gt;1,"같은 이름이 둘 이상 — 미리보기는 첫 번째만 보입니다 / ","")&amp;IF(AND(C58&lt;&gt;"",COUNTIF(직원목록!$C$7:$C$306,C58)&gt;1),"사번 중복 / ","")&amp;IF(D58=0,"총지급이 0원 — 머리글 매칭 확인 / ","")&amp;IF(AND(설정!$B$17&lt;&gt;"",설정!$C$17="",OR(ISNUMBER(FIND("연장",설정!$B$17)),ISNUMBER(FIND("야간",설정!$B$17)),ISNUMBER(FIND("휴일",설정!$B$17))),INDEX(직원목록!$F$7:$F$306,MATCH(46,직원목록!$B$7:$B$306,0))&gt;0),"연장·야간·휴일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","")&amp;IF(AND(설정!$B$24&lt;&gt;"",설정!$C$24="",OR(ISNUMBER(FIND("연장",설정!$B$24)),ISNUMBER(FIND("야간",설정!$B$24)),ISNUMBER(FIND("휴일",설정!$B$24))),INDEX(직원목록!$M$7:$M$306,MATCH(46,직원목록!$B$7:$B$306,0))&gt;0),"연장·야간·휴일 수당은 시간 수도 명세서에 적어야 하니 시간 열 지정 필요 / ",""))=0,"✔",("⚠ "&amp;IF(AND(F58&lt;&gt;"",F58&lt;&gt;0),"계산 총지급과 대장 총지급이 다릅니다 / ","")&amp;IF(AND(I58&lt;&gt;"",I58&lt;&gt;0),"계산 총공제와 대장 총공제가 다릅니다 / ","")&amp;IF(J58&lt;0,"실수령액이 음수입니다 / ","")&amp;IF(COUNTIF(직원목록!$D$7:$D$306,B58)&gt;1,"같은 이름이 둘 이상 — 미리보기는 첫 번째만 보입니다 / ","")&amp;IF(AND(C58&lt;&gt;"",COUNTIF(직원목록!$C$7:$C$306,C58)&gt;1),"사번 중복 / ","")&amp;IF(D58=0,"총지급이 0원 — 머리글 매칭 확인 / ","")&amp;IF(AND(설정!$B$17&lt;&gt;"",설정!$C$17="",OR(ISNUMBER(FIND("연장",설정!$B$17)),ISNUMBER(FIND("야간",설정!$B$17)),ISNUMBER(FIND("휴일",설정!$B$17))),INDEX(직원목록!$F$7:$F$306,MATCH(46,직원목록!$B$7:$B$306,0))&gt;0),"연장·야간·휴일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","")&amp;IF(AND(설정!$B$24&lt;&gt;"",설정!$C$24="",OR(ISNUMBER(FIND("연장",설정!$B$24)),ISNUMBER(FIND("야간",설정!$B$24)),ISNUMBER(FIND("휴일",설정!$B$24))),INDEX(직원목록!$M$7:$M$306,MATCH(46,직원목록!$B$7:$B$306,0))&gt;0),"연장·야간·휴일 수당은 시간 수도 명세서에 적어야 하니 시간 열 지정 필요 / ",""))))</f>
        <v/>
      </c>
    </row>
    <row r="59">
      <c r="A59" s="26">
        <f>IF(IFERROR(MATCH(47,직원목록!$B$7:$B$306,0),0)=0,"",47)</f>
        <v/>
      </c>
      <c r="B59" s="2">
        <f>IF($A59="","",IFERROR(INDEX(직원목록!$D$7:$D$306,MATCH(47,직원목록!$B$7:$B$306,0)),""))</f>
        <v/>
      </c>
      <c r="C59" s="2">
        <f>IF($A59="","",IFERROR(INDEX(직원목록!$C$7:$C$306,MATCH(47,직원목록!$B$7:$B$306,0)),""))</f>
        <v/>
      </c>
      <c r="D59" s="27">
        <f>IF($A59="","",IFERROR(INDEX(직원목록!$V$7:$V$306,MATCH(47,직원목록!$B$7:$B$306,0)),""))</f>
        <v/>
      </c>
      <c r="E59" s="27">
        <f>IF($A59="","",IFERROR(INDEX(직원목록!$AG$7:$AG$306,MATCH(47,직원목록!$B$7:$B$306,0)),""))</f>
        <v/>
      </c>
      <c r="F59" s="27">
        <f>IF(OR($A59="",E59=""),"",D59-E59)</f>
        <v/>
      </c>
      <c r="G59" s="27">
        <f>IF($A59="","",IFERROR(INDEX(직원목록!$AE$7:$AE$306,MATCH(47,직원목록!$B$7:$B$306,0)),""))</f>
        <v/>
      </c>
      <c r="H59" s="27">
        <f>IF($A59="","",IFERROR(INDEX(직원목록!$AH$7:$AH$306,MATCH(47,직원목록!$B$7:$B$306,0)),""))</f>
        <v/>
      </c>
      <c r="I59" s="27">
        <f>IF(OR($A59="",H59=""),"",G59-H59)</f>
        <v/>
      </c>
      <c r="J59" s="27">
        <f>IF($A59="","",IFERROR(INDEX(직원목록!$AF$7:$AF$306,MATCH(47,직원목록!$B$7:$B$306,0)),""))</f>
        <v/>
      </c>
      <c r="K59" s="27">
        <f>IF($A59="","",IFERROR(INDEX(직원목록!$AI$7:$AI$306,MATCH(47,직원목록!$B$7:$B$306,0)),""))</f>
        <v/>
      </c>
      <c r="L59" s="8">
        <f>IF($A59="","",IF(LEN(IF(AND(F59&lt;&gt;"",F59&lt;&gt;0),"계산 총지급과 대장 총지급이 다릅니다 / ","")&amp;IF(AND(I59&lt;&gt;"",I59&lt;&gt;0),"계산 총공제와 대장 총공제가 다릅니다 / ","")&amp;IF(J59&lt;0,"실수령액이 음수입니다 / ","")&amp;IF(COUNTIF(직원목록!$D$7:$D$306,B59)&gt;1,"같은 이름이 둘 이상 — 미리보기는 첫 번째만 보입니다 / ","")&amp;IF(AND(C59&lt;&gt;"",COUNTIF(직원목록!$C$7:$C$306,C59)&gt;1),"사번 중복 / ","")&amp;IF(D59=0,"총지급이 0원 — 머리글 매칭 확인 / ","")&amp;IF(AND(설정!$B$17&lt;&gt;"",설정!$C$17="",OR(ISNUMBER(FIND("연장",설정!$B$17)),ISNUMBER(FIND("야간",설정!$B$17)),ISNUMBER(FIND("휴일",설정!$B$17))),INDEX(직원목록!$F$7:$F$306,MATCH(47,직원목록!$B$7:$B$306,0))&gt;0),"연장·야간·휴일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","")&amp;IF(AND(설정!$B$24&lt;&gt;"",설정!$C$24="",OR(ISNUMBER(FIND("연장",설정!$B$24)),ISNUMBER(FIND("야간",설정!$B$24)),ISNUMBER(FIND("휴일",설정!$B$24))),INDEX(직원목록!$M$7:$M$306,MATCH(47,직원목록!$B$7:$B$306,0))&gt;0),"연장·야간·휴일 수당은 시간 수도 명세서에 적어야 하니 시간 열 지정 필요 / ",""))=0,"✔",("⚠ "&amp;IF(AND(F59&lt;&gt;"",F59&lt;&gt;0),"계산 총지급과 대장 총지급이 다릅니다 / ","")&amp;IF(AND(I59&lt;&gt;"",I59&lt;&gt;0),"계산 총공제와 대장 총공제가 다릅니다 / ","")&amp;IF(J59&lt;0,"실수령액이 음수입니다 / ","")&amp;IF(COUNTIF(직원목록!$D$7:$D$306,B59)&gt;1,"같은 이름이 둘 이상 — 미리보기는 첫 번째만 보입니다 / ","")&amp;IF(AND(C59&lt;&gt;"",COUNTIF(직원목록!$C$7:$C$306,C59)&gt;1),"사번 중복 / ","")&amp;IF(D59=0,"총지급이 0원 — 머리글 매칭 확인 / ","")&amp;IF(AND(설정!$B$17&lt;&gt;"",설정!$C$17="",OR(ISNUMBER(FIND("연장",설정!$B$17)),ISNUMBER(FIND("야간",설정!$B$17)),ISNUMBER(FIND("휴일",설정!$B$17))),INDEX(직원목록!$F$7:$F$306,MATCH(47,직원목록!$B$7:$B$306,0))&gt;0),"연장·야간·휴일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","")&amp;IF(AND(설정!$B$24&lt;&gt;"",설정!$C$24="",OR(ISNUMBER(FIND("연장",설정!$B$24)),ISNUMBER(FIND("야간",설정!$B$24)),ISNUMBER(FIND("휴일",설정!$B$24))),INDEX(직원목록!$M$7:$M$306,MATCH(47,직원목록!$B$7:$B$306,0))&gt;0),"연장·야간·휴일 수당은 시간 수도 명세서에 적어야 하니 시간 열 지정 필요 / ",""))))</f>
        <v/>
      </c>
    </row>
    <row r="60">
      <c r="A60" s="26">
        <f>IF(IFERROR(MATCH(48,직원목록!$B$7:$B$306,0),0)=0,"",48)</f>
        <v/>
      </c>
      <c r="B60" s="2">
        <f>IF($A60="","",IFERROR(INDEX(직원목록!$D$7:$D$306,MATCH(48,직원목록!$B$7:$B$306,0)),""))</f>
        <v/>
      </c>
      <c r="C60" s="2">
        <f>IF($A60="","",IFERROR(INDEX(직원목록!$C$7:$C$306,MATCH(48,직원목록!$B$7:$B$306,0)),""))</f>
        <v/>
      </c>
      <c r="D60" s="27">
        <f>IF($A60="","",IFERROR(INDEX(직원목록!$V$7:$V$306,MATCH(48,직원목록!$B$7:$B$306,0)),""))</f>
        <v/>
      </c>
      <c r="E60" s="27">
        <f>IF($A60="","",IFERROR(INDEX(직원목록!$AG$7:$AG$306,MATCH(48,직원목록!$B$7:$B$306,0)),""))</f>
        <v/>
      </c>
      <c r="F60" s="27">
        <f>IF(OR($A60="",E60=""),"",D60-E60)</f>
        <v/>
      </c>
      <c r="G60" s="27">
        <f>IF($A60="","",IFERROR(INDEX(직원목록!$AE$7:$AE$306,MATCH(48,직원목록!$B$7:$B$306,0)),""))</f>
        <v/>
      </c>
      <c r="H60" s="27">
        <f>IF($A60="","",IFERROR(INDEX(직원목록!$AH$7:$AH$306,MATCH(48,직원목록!$B$7:$B$306,0)),""))</f>
        <v/>
      </c>
      <c r="I60" s="27">
        <f>IF(OR($A60="",H60=""),"",G60-H60)</f>
        <v/>
      </c>
      <c r="J60" s="27">
        <f>IF($A60="","",IFERROR(INDEX(직원목록!$AF$7:$AF$306,MATCH(48,직원목록!$B$7:$B$306,0)),""))</f>
        <v/>
      </c>
      <c r="K60" s="27">
        <f>IF($A60="","",IFERROR(INDEX(직원목록!$AI$7:$AI$306,MATCH(48,직원목록!$B$7:$B$306,0)),""))</f>
        <v/>
      </c>
      <c r="L60" s="8">
        <f>IF($A60="","",IF(LEN(IF(AND(F60&lt;&gt;"",F60&lt;&gt;0),"계산 총지급과 대장 총지급이 다릅니다 / ","")&amp;IF(AND(I60&lt;&gt;"",I60&lt;&gt;0),"계산 총공제와 대장 총공제가 다릅니다 / ","")&amp;IF(J60&lt;0,"실수령액이 음수입니다 / ","")&amp;IF(COUNTIF(직원목록!$D$7:$D$306,B60)&gt;1,"같은 이름이 둘 이상 — 미리보기는 첫 번째만 보입니다 / ","")&amp;IF(AND(C60&lt;&gt;"",COUNTIF(직원목록!$C$7:$C$306,C60)&gt;1),"사번 중복 / ","")&amp;IF(D60=0,"총지급이 0원 — 머리글 매칭 확인 / ","")&amp;IF(AND(설정!$B$17&lt;&gt;"",설정!$C$17="",OR(ISNUMBER(FIND("연장",설정!$B$17)),ISNUMBER(FIND("야간",설정!$B$17)),ISNUMBER(FIND("휴일",설정!$B$17))),INDEX(직원목록!$F$7:$F$306,MATCH(48,직원목록!$B$7:$B$306,0))&gt;0),"연장·야간·휴일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","")&amp;IF(AND(설정!$B$24&lt;&gt;"",설정!$C$24="",OR(ISNUMBER(FIND("연장",설정!$B$24)),ISNUMBER(FIND("야간",설정!$B$24)),ISNUMBER(FIND("휴일",설정!$B$24))),INDEX(직원목록!$M$7:$M$306,MATCH(48,직원목록!$B$7:$B$306,0))&gt;0),"연장·야간·휴일 수당은 시간 수도 명세서에 적어야 하니 시간 열 지정 필요 / ",""))=0,"✔",("⚠ "&amp;IF(AND(F60&lt;&gt;"",F60&lt;&gt;0),"계산 총지급과 대장 총지급이 다릅니다 / ","")&amp;IF(AND(I60&lt;&gt;"",I60&lt;&gt;0),"계산 총공제와 대장 총공제가 다릅니다 / ","")&amp;IF(J60&lt;0,"실수령액이 음수입니다 / ","")&amp;IF(COUNTIF(직원목록!$D$7:$D$306,B60)&gt;1,"같은 이름이 둘 이상 — 미리보기는 첫 번째만 보입니다 / ","")&amp;IF(AND(C60&lt;&gt;"",COUNTIF(직원목록!$C$7:$C$306,C60)&gt;1),"사번 중복 / ","")&amp;IF(D60=0,"총지급이 0원 — 머리글 매칭 확인 / ","")&amp;IF(AND(설정!$B$17&lt;&gt;"",설정!$C$17="",OR(ISNUMBER(FIND("연장",설정!$B$17)),ISNUMBER(FIND("야간",설정!$B$17)),ISNUMBER(FIND("휴일",설정!$B$17))),INDEX(직원목록!$F$7:$F$306,MATCH(48,직원목록!$B$7:$B$306,0))&gt;0),"연장·야간·휴일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","")&amp;IF(AND(설정!$B$24&lt;&gt;"",설정!$C$24="",OR(ISNUMBER(FIND("연장",설정!$B$24)),ISNUMBER(FIND("야간",설정!$B$24)),ISNUMBER(FIND("휴일",설정!$B$24))),INDEX(직원목록!$M$7:$M$306,MATCH(48,직원목록!$B$7:$B$306,0))&gt;0),"연장·야간·휴일 수당은 시간 수도 명세서에 적어야 하니 시간 열 지정 필요 / ",""))))</f>
        <v/>
      </c>
    </row>
    <row r="61">
      <c r="A61" s="26">
        <f>IF(IFERROR(MATCH(49,직원목록!$B$7:$B$306,0),0)=0,"",49)</f>
        <v/>
      </c>
      <c r="B61" s="2">
        <f>IF($A61="","",IFERROR(INDEX(직원목록!$D$7:$D$306,MATCH(49,직원목록!$B$7:$B$306,0)),""))</f>
        <v/>
      </c>
      <c r="C61" s="2">
        <f>IF($A61="","",IFERROR(INDEX(직원목록!$C$7:$C$306,MATCH(49,직원목록!$B$7:$B$306,0)),""))</f>
        <v/>
      </c>
      <c r="D61" s="27">
        <f>IF($A61="","",IFERROR(INDEX(직원목록!$V$7:$V$306,MATCH(49,직원목록!$B$7:$B$306,0)),""))</f>
        <v/>
      </c>
      <c r="E61" s="27">
        <f>IF($A61="","",IFERROR(INDEX(직원목록!$AG$7:$AG$306,MATCH(49,직원목록!$B$7:$B$306,0)),""))</f>
        <v/>
      </c>
      <c r="F61" s="27">
        <f>IF(OR($A61="",E61=""),"",D61-E61)</f>
        <v/>
      </c>
      <c r="G61" s="27">
        <f>IF($A61="","",IFERROR(INDEX(직원목록!$AE$7:$AE$306,MATCH(49,직원목록!$B$7:$B$306,0)),""))</f>
        <v/>
      </c>
      <c r="H61" s="27">
        <f>IF($A61="","",IFERROR(INDEX(직원목록!$AH$7:$AH$306,MATCH(49,직원목록!$B$7:$B$306,0)),""))</f>
        <v/>
      </c>
      <c r="I61" s="27">
        <f>IF(OR($A61="",H61=""),"",G61-H61)</f>
        <v/>
      </c>
      <c r="J61" s="27">
        <f>IF($A61="","",IFERROR(INDEX(직원목록!$AF$7:$AF$306,MATCH(49,직원목록!$B$7:$B$306,0)),""))</f>
        <v/>
      </c>
      <c r="K61" s="27">
        <f>IF($A61="","",IFERROR(INDEX(직원목록!$AI$7:$AI$306,MATCH(49,직원목록!$B$7:$B$306,0)),""))</f>
        <v/>
      </c>
      <c r="L61" s="8">
        <f>IF($A61="","",IF(LEN(IF(AND(F61&lt;&gt;"",F61&lt;&gt;0),"계산 총지급과 대장 총지급이 다릅니다 / ","")&amp;IF(AND(I61&lt;&gt;"",I61&lt;&gt;0),"계산 총공제와 대장 총공제가 다릅니다 / ","")&amp;IF(J61&lt;0,"실수령액이 음수입니다 / ","")&amp;IF(COUNTIF(직원목록!$D$7:$D$306,B61)&gt;1,"같은 이름이 둘 이상 — 미리보기는 첫 번째만 보입니다 / ","")&amp;IF(AND(C61&lt;&gt;"",COUNTIF(직원목록!$C$7:$C$306,C61)&gt;1),"사번 중복 / ","")&amp;IF(D61=0,"총지급이 0원 — 머리글 매칭 확인 / ","")&amp;IF(AND(설정!$B$17&lt;&gt;"",설정!$C$17="",OR(ISNUMBER(FIND("연장",설정!$B$17)),ISNUMBER(FIND("야간",설정!$B$17)),ISNUMBER(FIND("휴일",설정!$B$17))),INDEX(직원목록!$F$7:$F$306,MATCH(49,직원목록!$B$7:$B$306,0))&gt;0),"연장·야간·휴일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","")&amp;IF(AND(설정!$B$24&lt;&gt;"",설정!$C$24="",OR(ISNUMBER(FIND("연장",설정!$B$24)),ISNUMBER(FIND("야간",설정!$B$24)),ISNUMBER(FIND("휴일",설정!$B$24))),INDEX(직원목록!$M$7:$M$306,MATCH(49,직원목록!$B$7:$B$306,0))&gt;0),"연장·야간·휴일 수당은 시간 수도 명세서에 적어야 하니 시간 열 지정 필요 / ",""))=0,"✔",("⚠ "&amp;IF(AND(F61&lt;&gt;"",F61&lt;&gt;0),"계산 총지급과 대장 총지급이 다릅니다 / ","")&amp;IF(AND(I61&lt;&gt;"",I61&lt;&gt;0),"계산 총공제와 대장 총공제가 다릅니다 / ","")&amp;IF(J61&lt;0,"실수령액이 음수입니다 / ","")&amp;IF(COUNTIF(직원목록!$D$7:$D$306,B61)&gt;1,"같은 이름이 둘 이상 — 미리보기는 첫 번째만 보입니다 / ","")&amp;IF(AND(C61&lt;&gt;"",COUNTIF(직원목록!$C$7:$C$306,C61)&gt;1),"사번 중복 / ","")&amp;IF(D61=0,"총지급이 0원 — 머리글 매칭 확인 / ","")&amp;IF(AND(설정!$B$17&lt;&gt;"",설정!$C$17="",OR(ISNUMBER(FIND("연장",설정!$B$17)),ISNUMBER(FIND("야간",설정!$B$17)),ISNUMBER(FIND("휴일",설정!$B$17))),INDEX(직원목록!$F$7:$F$306,MATCH(49,직원목록!$B$7:$B$306,0))&gt;0),"연장·야간·휴일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","")&amp;IF(AND(설정!$B$18&lt;&gt;"",설정!$C$18="",OR(ISNUMBER(FIND("연장",설정!$B$18)),ISNUMBER(FIND("야간",설정!$B$18)),ISNUMBER(FIND("휴일",설정!$B$18))),INDEX(직원목록!$G$7:$G$306,MATCH(49,직원목록!$B$7:$B$306,0))&gt;0),"연장·야간·휴일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","")&amp;IF(AND(설정!$B$19&lt;&gt;"",설정!$C$19="",OR(ISNUMBER(FIND("연장",설정!$B$19)),ISNUMBER(FIND("야간",설정!$B$19)),ISNUMBER(FIND("휴일",설정!$B$19))),INDEX(직원목록!$H$7:$H$306,MATCH(49,직원목록!$B$7:$B$306,0))&gt;0),"연장·야간·휴일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","")&amp;IF(AND(설정!$B$20&lt;&gt;"",설정!$C$20="",OR(ISNUMBER(FIND("연장",설정!$B$20)),ISNUMBER(FIND("야간",설정!$B$20)),ISNUMBER(FIND("휴일",설정!$B$20))),INDEX(직원목록!$I$7:$I$306,MATCH(49,직원목록!$B$7:$B$306,0))&gt;0),"연장·야간·휴일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","")&amp;IF(AND(설정!$B$21&lt;&gt;"",설정!$C$21="",OR(ISNUMBER(FIND("연장",설정!$B$21)),ISNUMBER(FIND("야간",설정!$B$21)),ISNUMBER(FIND("휴일",설정!$B$21))),INDEX(직원목록!$J$7:$J$306,MATCH(49,직원목록!$B$7:$B$306,0))&gt;0),"연장·야간·휴일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","")&amp;IF(AND(설정!$B$22&lt;&gt;"",설정!$C$22="",OR(ISNUMBER(FIND("연장",설정!$B$22)),ISNUMBER(FIND("야간",설정!$B$22)),ISNUMBER(FIND("휴일",설정!$B$22))),INDEX(직원목록!$K$7:$K$306,MATCH(49,직원목록!$B$7:$B$306,0))&gt;0),"연장·야간·휴일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","")&amp;IF(AND(설정!$B$23&lt;&gt;"",설정!$C$23="",OR(ISNUMBER(FIND("연장",설정!$B$23)),ISNUMBER(FIND("야간",설정!$B$23)),ISNUMBER(FIND("휴일",설정!$B$23))),INDEX(직원목록!$L$7:$L$306,MATCH(49,직원목록!$B$7:$B$306,0))&gt;0),"연장·야간·휴일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","")&amp;IF(AND(설정!$B$24&lt;&gt;"",설정!$C$24="",OR(ISNUMBER(FIND("연장",설정!$B$24)),ISNUMBER(FIND("야간",설정!$B$24)),ISNUMBER(FIND("휴일",설정!$B$24))),INDEX(직원목록!$M$7:$M$306,MATCH(49,직원목록!$B$7:$B$306,0))&gt;0),"연장·야간·휴일 수당은 시간 수도 명세서에 적어야 하니 시간 열 지정 필요 / ",""))))</f>
        <v/>
      </c>
    </row>
    <row r="62">
      <c r="A62" s="26">
        <f>IF(IFERROR(MATCH(50,직원목록!$B$7:$B$306,0),0)=0,"",50)</f>
        <v/>
      </c>
      <c r="B62" s="2">
        <f>IF($A62="","",IFERROR(INDEX(직원목록!$D$7:$D$306,MATCH(50,직원목록!$B$7:$B$306,0)),""))</f>
        <v/>
      </c>
      <c r="C62" s="2">
        <f>IF($A62="","",IFERROR(INDEX(직원목록!$C$7:$C$306,MATCH(50,직원목록!$B$7:$B$306,0)),""))</f>
        <v/>
      </c>
      <c r="D62" s="27">
        <f>IF($A62="","",IFERROR(INDEX(직원목록!$V$7:$V$306,MATCH(50,직원목록!$B$7:$B$306,0)),""))</f>
        <v/>
      </c>
      <c r="E62" s="27">
        <f>IF($A62="","",IFERROR(INDEX(직원목록!$AG$7:$AG$306,MATCH(50,직원목록!$B$7:$B$306,0)),""))</f>
        <v/>
      </c>
      <c r="F62" s="27">
        <f>IF(OR($A62="",E62=""),"",D62-E62)</f>
        <v/>
      </c>
      <c r="G62" s="27">
        <f>IF($A62="","",IFERROR(INDEX(직원목록!$AE$7:$AE$306,MATCH(50,직원목록!$B$7:$B$306,0)),""))</f>
        <v/>
      </c>
      <c r="H62" s="27">
        <f>IF($A62="","",IFERROR(INDEX(직원목록!$AH$7:$AH$306,MATCH(50,직원목록!$B$7:$B$306,0)),""))</f>
        <v/>
      </c>
      <c r="I62" s="27">
        <f>IF(OR($A62="",H62=""),"",G62-H62)</f>
        <v/>
      </c>
      <c r="J62" s="27">
        <f>IF($A62="","",IFERROR(INDEX(직원목록!$AF$7:$AF$306,MATCH(50,직원목록!$B$7:$B$306,0)),""))</f>
        <v/>
      </c>
      <c r="K62" s="27">
        <f>IF($A62="","",IFERROR(INDEX(직원목록!$AI$7:$AI$306,MATCH(50,직원목록!$B$7:$B$306,0)),""))</f>
        <v/>
      </c>
      <c r="L62" s="8">
        <f>IF($A62="","",IF(LEN(IF(AND(F62&lt;&gt;"",F62&lt;&gt;0),"계산 총지급과 대장 총지급이 다릅니다 / ","")&amp;IF(AND(I62&lt;&gt;"",I62&lt;&gt;0),"계산 총공제와 대장 총공제가 다릅니다 / ","")&amp;IF(J62&lt;0,"실수령액이 음수입니다 / ","")&amp;IF(COUNTIF(직원목록!$D$7:$D$306,B62)&gt;1,"같은 이름이 둘 이상 — 미리보기는 첫 번째만 보입니다 / ","")&amp;IF(AND(C62&lt;&gt;"",COUNTIF(직원목록!$C$7:$C$306,C62)&gt;1),"사번 중복 / ","")&amp;IF(D62=0,"총지급이 0원 — 머리글 매칭 확인 / ","")&amp;IF(AND(설정!$B$17&lt;&gt;"",설정!$C$17="",OR(ISNUMBER(FIND("연장",설정!$B$17)),ISNUMBER(FIND("야간",설정!$B$17)),ISNUMBER(FIND("휴일",설정!$B$17))),INDEX(직원목록!$F$7:$F$306,MATCH(50,직원목록!$B$7:$B$306,0))&gt;0),"연장·야간·휴일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","")&amp;IF(AND(설정!$B$24&lt;&gt;"",설정!$C$24="",OR(ISNUMBER(FIND("연장",설정!$B$24)),ISNUMBER(FIND("야간",설정!$B$24)),ISNUMBER(FIND("휴일",설정!$B$24))),INDEX(직원목록!$M$7:$M$306,MATCH(50,직원목록!$B$7:$B$306,0))&gt;0),"연장·야간·휴일 수당은 시간 수도 명세서에 적어야 하니 시간 열 지정 필요 / ",""))=0,"✔",("⚠ "&amp;IF(AND(F62&lt;&gt;"",F62&lt;&gt;0),"계산 총지급과 대장 총지급이 다릅니다 / ","")&amp;IF(AND(I62&lt;&gt;"",I62&lt;&gt;0),"계산 총공제와 대장 총공제가 다릅니다 / ","")&amp;IF(J62&lt;0,"실수령액이 음수입니다 / ","")&amp;IF(COUNTIF(직원목록!$D$7:$D$306,B62)&gt;1,"같은 이름이 둘 이상 — 미리보기는 첫 번째만 보입니다 / ","")&amp;IF(AND(C62&lt;&gt;"",COUNTIF(직원목록!$C$7:$C$306,C62)&gt;1),"사번 중복 / ","")&amp;IF(D62=0,"총지급이 0원 — 머리글 매칭 확인 / ","")&amp;IF(AND(설정!$B$17&lt;&gt;"",설정!$C$17="",OR(ISNUMBER(FIND("연장",설정!$B$17)),ISNUMBER(FIND("야간",설정!$B$17)),ISNUMBER(FIND("휴일",설정!$B$17))),INDEX(직원목록!$F$7:$F$306,MATCH(50,직원목록!$B$7:$B$306,0))&gt;0),"연장·야간·휴일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","")&amp;IF(AND(설정!$B$24&lt;&gt;"",설정!$C$24="",OR(ISNUMBER(FIND("연장",설정!$B$24)),ISNUMBER(FIND("야간",설정!$B$24)),ISNUMBER(FIND("휴일",설정!$B$24))),INDEX(직원목록!$M$7:$M$306,MATCH(50,직원목록!$B$7:$B$306,0))&gt;0),"연장·야간·휴일 수당은 시간 수도 명세서에 적어야 하니 시간 열 지정 필요 / ",""))))</f>
        <v/>
      </c>
    </row>
    <row r="63">
      <c r="A63" s="26">
        <f>IF(IFERROR(MATCH(51,직원목록!$B$7:$B$306,0),0)=0,"",51)</f>
        <v/>
      </c>
      <c r="B63" s="2">
        <f>IF($A63="","",IFERROR(INDEX(직원목록!$D$7:$D$306,MATCH(51,직원목록!$B$7:$B$306,0)),""))</f>
        <v/>
      </c>
      <c r="C63" s="2">
        <f>IF($A63="","",IFERROR(INDEX(직원목록!$C$7:$C$306,MATCH(51,직원목록!$B$7:$B$306,0)),""))</f>
        <v/>
      </c>
      <c r="D63" s="27">
        <f>IF($A63="","",IFERROR(INDEX(직원목록!$V$7:$V$306,MATCH(51,직원목록!$B$7:$B$306,0)),""))</f>
        <v/>
      </c>
      <c r="E63" s="27">
        <f>IF($A63="","",IFERROR(INDEX(직원목록!$AG$7:$AG$306,MATCH(51,직원목록!$B$7:$B$306,0)),""))</f>
        <v/>
      </c>
      <c r="F63" s="27">
        <f>IF(OR($A63="",E63=""),"",D63-E63)</f>
        <v/>
      </c>
      <c r="G63" s="27">
        <f>IF($A63="","",IFERROR(INDEX(직원목록!$AE$7:$AE$306,MATCH(51,직원목록!$B$7:$B$306,0)),""))</f>
        <v/>
      </c>
      <c r="H63" s="27">
        <f>IF($A63="","",IFERROR(INDEX(직원목록!$AH$7:$AH$306,MATCH(51,직원목록!$B$7:$B$306,0)),""))</f>
        <v/>
      </c>
      <c r="I63" s="27">
        <f>IF(OR($A63="",H63=""),"",G63-H63)</f>
        <v/>
      </c>
      <c r="J63" s="27">
        <f>IF($A63="","",IFERROR(INDEX(직원목록!$AF$7:$AF$306,MATCH(51,직원목록!$B$7:$B$306,0)),""))</f>
        <v/>
      </c>
      <c r="K63" s="27">
        <f>IF($A63="","",IFERROR(INDEX(직원목록!$AI$7:$AI$306,MATCH(51,직원목록!$B$7:$B$306,0)),""))</f>
        <v/>
      </c>
      <c r="L63" s="8">
        <f>IF($A63="","",IF(LEN(IF(AND(F63&lt;&gt;"",F63&lt;&gt;0),"계산 총지급과 대장 총지급이 다릅니다 / ","")&amp;IF(AND(I63&lt;&gt;"",I63&lt;&gt;0),"계산 총공제와 대장 총공제가 다릅니다 / ","")&amp;IF(J63&lt;0,"실수령액이 음수입니다 / ","")&amp;IF(COUNTIF(직원목록!$D$7:$D$306,B63)&gt;1,"같은 이름이 둘 이상 — 미리보기는 첫 번째만 보입니다 / ","")&amp;IF(AND(C63&lt;&gt;"",COUNTIF(직원목록!$C$7:$C$306,C63)&gt;1),"사번 중복 / ","")&amp;IF(D63=0,"총지급이 0원 — 머리글 매칭 확인 / ","")&amp;IF(AND(설정!$B$17&lt;&gt;"",설정!$C$17="",OR(ISNUMBER(FIND("연장",설정!$B$17)),ISNUMBER(FIND("야간",설정!$B$17)),ISNUMBER(FIND("휴일",설정!$B$17))),INDEX(직원목록!$F$7:$F$306,MATCH(51,직원목록!$B$7:$B$306,0))&gt;0),"연장·야간·휴일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","")&amp;IF(AND(설정!$B$24&lt;&gt;"",설정!$C$24="",OR(ISNUMBER(FIND("연장",설정!$B$24)),ISNUMBER(FIND("야간",설정!$B$24)),ISNUMBER(FIND("휴일",설정!$B$24))),INDEX(직원목록!$M$7:$M$306,MATCH(51,직원목록!$B$7:$B$306,0))&gt;0),"연장·야간·휴일 수당은 시간 수도 명세서에 적어야 하니 시간 열 지정 필요 / ",""))=0,"✔",("⚠ "&amp;IF(AND(F63&lt;&gt;"",F63&lt;&gt;0),"계산 총지급과 대장 총지급이 다릅니다 / ","")&amp;IF(AND(I63&lt;&gt;"",I63&lt;&gt;0),"계산 총공제와 대장 총공제가 다릅니다 / ","")&amp;IF(J63&lt;0,"실수령액이 음수입니다 / ","")&amp;IF(COUNTIF(직원목록!$D$7:$D$306,B63)&gt;1,"같은 이름이 둘 이상 — 미리보기는 첫 번째만 보입니다 / ","")&amp;IF(AND(C63&lt;&gt;"",COUNTIF(직원목록!$C$7:$C$306,C63)&gt;1),"사번 중복 / ","")&amp;IF(D63=0,"총지급이 0원 — 머리글 매칭 확인 / ","")&amp;IF(AND(설정!$B$17&lt;&gt;"",설정!$C$17="",OR(ISNUMBER(FIND("연장",설정!$B$17)),ISNUMBER(FIND("야간",설정!$B$17)),ISNUMBER(FIND("휴일",설정!$B$17))),INDEX(직원목록!$F$7:$F$306,MATCH(51,직원목록!$B$7:$B$306,0))&gt;0),"연장·야간·휴일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","")&amp;IF(AND(설정!$B$24&lt;&gt;"",설정!$C$24="",OR(ISNUMBER(FIND("연장",설정!$B$24)),ISNUMBER(FIND("야간",설정!$B$24)),ISNUMBER(FIND("휴일",설정!$B$24))),INDEX(직원목록!$M$7:$M$306,MATCH(51,직원목록!$B$7:$B$306,0))&gt;0),"연장·야간·휴일 수당은 시간 수도 명세서에 적어야 하니 시간 열 지정 필요 / ",""))))</f>
        <v/>
      </c>
    </row>
    <row r="64">
      <c r="A64" s="26">
        <f>IF(IFERROR(MATCH(52,직원목록!$B$7:$B$306,0),0)=0,"",52)</f>
        <v/>
      </c>
      <c r="B64" s="2">
        <f>IF($A64="","",IFERROR(INDEX(직원목록!$D$7:$D$306,MATCH(52,직원목록!$B$7:$B$306,0)),""))</f>
        <v/>
      </c>
      <c r="C64" s="2">
        <f>IF($A64="","",IFERROR(INDEX(직원목록!$C$7:$C$306,MATCH(52,직원목록!$B$7:$B$306,0)),""))</f>
        <v/>
      </c>
      <c r="D64" s="27">
        <f>IF($A64="","",IFERROR(INDEX(직원목록!$V$7:$V$306,MATCH(52,직원목록!$B$7:$B$306,0)),""))</f>
        <v/>
      </c>
      <c r="E64" s="27">
        <f>IF($A64="","",IFERROR(INDEX(직원목록!$AG$7:$AG$306,MATCH(52,직원목록!$B$7:$B$306,0)),""))</f>
        <v/>
      </c>
      <c r="F64" s="27">
        <f>IF(OR($A64="",E64=""),"",D64-E64)</f>
        <v/>
      </c>
      <c r="G64" s="27">
        <f>IF($A64="","",IFERROR(INDEX(직원목록!$AE$7:$AE$306,MATCH(52,직원목록!$B$7:$B$306,0)),""))</f>
        <v/>
      </c>
      <c r="H64" s="27">
        <f>IF($A64="","",IFERROR(INDEX(직원목록!$AH$7:$AH$306,MATCH(52,직원목록!$B$7:$B$306,0)),""))</f>
        <v/>
      </c>
      <c r="I64" s="27">
        <f>IF(OR($A64="",H64=""),"",G64-H64)</f>
        <v/>
      </c>
      <c r="J64" s="27">
        <f>IF($A64="","",IFERROR(INDEX(직원목록!$AF$7:$AF$306,MATCH(52,직원목록!$B$7:$B$306,0)),""))</f>
        <v/>
      </c>
      <c r="K64" s="27">
        <f>IF($A64="","",IFERROR(INDEX(직원목록!$AI$7:$AI$306,MATCH(52,직원목록!$B$7:$B$306,0)),""))</f>
        <v/>
      </c>
      <c r="L64" s="8">
        <f>IF($A64="","",IF(LEN(IF(AND(F64&lt;&gt;"",F64&lt;&gt;0),"계산 총지급과 대장 총지급이 다릅니다 / ","")&amp;IF(AND(I64&lt;&gt;"",I64&lt;&gt;0),"계산 총공제와 대장 총공제가 다릅니다 / ","")&amp;IF(J64&lt;0,"실수령액이 음수입니다 / ","")&amp;IF(COUNTIF(직원목록!$D$7:$D$306,B64)&gt;1,"같은 이름이 둘 이상 — 미리보기는 첫 번째만 보입니다 / ","")&amp;IF(AND(C64&lt;&gt;"",COUNTIF(직원목록!$C$7:$C$306,C64)&gt;1),"사번 중복 / ","")&amp;IF(D64=0,"총지급이 0원 — 머리글 매칭 확인 / ","")&amp;IF(AND(설정!$B$17&lt;&gt;"",설정!$C$17="",OR(ISNUMBER(FIND("연장",설정!$B$17)),ISNUMBER(FIND("야간",설정!$B$17)),ISNUMBER(FIND("휴일",설정!$B$17))),INDEX(직원목록!$F$7:$F$306,MATCH(52,직원목록!$B$7:$B$306,0))&gt;0),"연장·야간·휴일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","")&amp;IF(AND(설정!$B$24&lt;&gt;"",설정!$C$24="",OR(ISNUMBER(FIND("연장",설정!$B$24)),ISNUMBER(FIND("야간",설정!$B$24)),ISNUMBER(FIND("휴일",설정!$B$24))),INDEX(직원목록!$M$7:$M$306,MATCH(52,직원목록!$B$7:$B$306,0))&gt;0),"연장·야간·휴일 수당은 시간 수도 명세서에 적어야 하니 시간 열 지정 필요 / ",""))=0,"✔",("⚠ "&amp;IF(AND(F64&lt;&gt;"",F64&lt;&gt;0),"계산 총지급과 대장 총지급이 다릅니다 / ","")&amp;IF(AND(I64&lt;&gt;"",I64&lt;&gt;0),"계산 총공제와 대장 총공제가 다릅니다 / ","")&amp;IF(J64&lt;0,"실수령액이 음수입니다 / ","")&amp;IF(COUNTIF(직원목록!$D$7:$D$306,B64)&gt;1,"같은 이름이 둘 이상 — 미리보기는 첫 번째만 보입니다 / ","")&amp;IF(AND(C64&lt;&gt;"",COUNTIF(직원목록!$C$7:$C$306,C64)&gt;1),"사번 중복 / ","")&amp;IF(D64=0,"총지급이 0원 — 머리글 매칭 확인 / ","")&amp;IF(AND(설정!$B$17&lt;&gt;"",설정!$C$17="",OR(ISNUMBER(FIND("연장",설정!$B$17)),ISNUMBER(FIND("야간",설정!$B$17)),ISNUMBER(FIND("휴일",설정!$B$17))),INDEX(직원목록!$F$7:$F$306,MATCH(52,직원목록!$B$7:$B$306,0))&gt;0),"연장·야간·휴일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","")&amp;IF(AND(설정!$B$24&lt;&gt;"",설정!$C$24="",OR(ISNUMBER(FIND("연장",설정!$B$24)),ISNUMBER(FIND("야간",설정!$B$24)),ISNUMBER(FIND("휴일",설정!$B$24))),INDEX(직원목록!$M$7:$M$306,MATCH(52,직원목록!$B$7:$B$306,0))&gt;0),"연장·야간·휴일 수당은 시간 수도 명세서에 적어야 하니 시간 열 지정 필요 / ",""))))</f>
        <v/>
      </c>
    </row>
    <row r="65">
      <c r="A65" s="26">
        <f>IF(IFERROR(MATCH(53,직원목록!$B$7:$B$306,0),0)=0,"",53)</f>
        <v/>
      </c>
      <c r="B65" s="2">
        <f>IF($A65="","",IFERROR(INDEX(직원목록!$D$7:$D$306,MATCH(53,직원목록!$B$7:$B$306,0)),""))</f>
        <v/>
      </c>
      <c r="C65" s="2">
        <f>IF($A65="","",IFERROR(INDEX(직원목록!$C$7:$C$306,MATCH(53,직원목록!$B$7:$B$306,0)),""))</f>
        <v/>
      </c>
      <c r="D65" s="27">
        <f>IF($A65="","",IFERROR(INDEX(직원목록!$V$7:$V$306,MATCH(53,직원목록!$B$7:$B$306,0)),""))</f>
        <v/>
      </c>
      <c r="E65" s="27">
        <f>IF($A65="","",IFERROR(INDEX(직원목록!$AG$7:$AG$306,MATCH(53,직원목록!$B$7:$B$306,0)),""))</f>
        <v/>
      </c>
      <c r="F65" s="27">
        <f>IF(OR($A65="",E65=""),"",D65-E65)</f>
        <v/>
      </c>
      <c r="G65" s="27">
        <f>IF($A65="","",IFERROR(INDEX(직원목록!$AE$7:$AE$306,MATCH(53,직원목록!$B$7:$B$306,0)),""))</f>
        <v/>
      </c>
      <c r="H65" s="27">
        <f>IF($A65="","",IFERROR(INDEX(직원목록!$AH$7:$AH$306,MATCH(53,직원목록!$B$7:$B$306,0)),""))</f>
        <v/>
      </c>
      <c r="I65" s="27">
        <f>IF(OR($A65="",H65=""),"",G65-H65)</f>
        <v/>
      </c>
      <c r="J65" s="27">
        <f>IF($A65="","",IFERROR(INDEX(직원목록!$AF$7:$AF$306,MATCH(53,직원목록!$B$7:$B$306,0)),""))</f>
        <v/>
      </c>
      <c r="K65" s="27">
        <f>IF($A65="","",IFERROR(INDEX(직원목록!$AI$7:$AI$306,MATCH(53,직원목록!$B$7:$B$306,0)),""))</f>
        <v/>
      </c>
      <c r="L65" s="8">
        <f>IF($A65="","",IF(LEN(IF(AND(F65&lt;&gt;"",F65&lt;&gt;0),"계산 총지급과 대장 총지급이 다릅니다 / ","")&amp;IF(AND(I65&lt;&gt;"",I65&lt;&gt;0),"계산 총공제와 대장 총공제가 다릅니다 / ","")&amp;IF(J65&lt;0,"실수령액이 음수입니다 / ","")&amp;IF(COUNTIF(직원목록!$D$7:$D$306,B65)&gt;1,"같은 이름이 둘 이상 — 미리보기는 첫 번째만 보입니다 / ","")&amp;IF(AND(C65&lt;&gt;"",COUNTIF(직원목록!$C$7:$C$306,C65)&gt;1),"사번 중복 / ","")&amp;IF(D65=0,"총지급이 0원 — 머리글 매칭 확인 / ","")&amp;IF(AND(설정!$B$17&lt;&gt;"",설정!$C$17="",OR(ISNUMBER(FIND("연장",설정!$B$17)),ISNUMBER(FIND("야간",설정!$B$17)),ISNUMBER(FIND("휴일",설정!$B$17))),INDEX(직원목록!$F$7:$F$306,MATCH(53,직원목록!$B$7:$B$306,0))&gt;0),"연장·야간·휴일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","")&amp;IF(AND(설정!$B$24&lt;&gt;"",설정!$C$24="",OR(ISNUMBER(FIND("연장",설정!$B$24)),ISNUMBER(FIND("야간",설정!$B$24)),ISNUMBER(FIND("휴일",설정!$B$24))),INDEX(직원목록!$M$7:$M$306,MATCH(53,직원목록!$B$7:$B$306,0))&gt;0),"연장·야간·휴일 수당은 시간 수도 명세서에 적어야 하니 시간 열 지정 필요 / ",""))=0,"✔",("⚠ "&amp;IF(AND(F65&lt;&gt;"",F65&lt;&gt;0),"계산 총지급과 대장 총지급이 다릅니다 / ","")&amp;IF(AND(I65&lt;&gt;"",I65&lt;&gt;0),"계산 총공제와 대장 총공제가 다릅니다 / ","")&amp;IF(J65&lt;0,"실수령액이 음수입니다 / ","")&amp;IF(COUNTIF(직원목록!$D$7:$D$306,B65)&gt;1,"같은 이름이 둘 이상 — 미리보기는 첫 번째만 보입니다 / ","")&amp;IF(AND(C65&lt;&gt;"",COUNTIF(직원목록!$C$7:$C$306,C65)&gt;1),"사번 중복 / ","")&amp;IF(D65=0,"총지급이 0원 — 머리글 매칭 확인 / ","")&amp;IF(AND(설정!$B$17&lt;&gt;"",설정!$C$17="",OR(ISNUMBER(FIND("연장",설정!$B$17)),ISNUMBER(FIND("야간",설정!$B$17)),ISNUMBER(FIND("휴일",설정!$B$17))),INDEX(직원목록!$F$7:$F$306,MATCH(53,직원목록!$B$7:$B$306,0))&gt;0),"연장·야간·휴일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","")&amp;IF(AND(설정!$B$24&lt;&gt;"",설정!$C$24="",OR(ISNUMBER(FIND("연장",설정!$B$24)),ISNUMBER(FIND("야간",설정!$B$24)),ISNUMBER(FIND("휴일",설정!$B$24))),INDEX(직원목록!$M$7:$M$306,MATCH(53,직원목록!$B$7:$B$306,0))&gt;0),"연장·야간·휴일 수당은 시간 수도 명세서에 적어야 하니 시간 열 지정 필요 / ",""))))</f>
        <v/>
      </c>
    </row>
    <row r="66">
      <c r="A66" s="26">
        <f>IF(IFERROR(MATCH(54,직원목록!$B$7:$B$306,0),0)=0,"",54)</f>
        <v/>
      </c>
      <c r="B66" s="2">
        <f>IF($A66="","",IFERROR(INDEX(직원목록!$D$7:$D$306,MATCH(54,직원목록!$B$7:$B$306,0)),""))</f>
        <v/>
      </c>
      <c r="C66" s="2">
        <f>IF($A66="","",IFERROR(INDEX(직원목록!$C$7:$C$306,MATCH(54,직원목록!$B$7:$B$306,0)),""))</f>
        <v/>
      </c>
      <c r="D66" s="27">
        <f>IF($A66="","",IFERROR(INDEX(직원목록!$V$7:$V$306,MATCH(54,직원목록!$B$7:$B$306,0)),""))</f>
        <v/>
      </c>
      <c r="E66" s="27">
        <f>IF($A66="","",IFERROR(INDEX(직원목록!$AG$7:$AG$306,MATCH(54,직원목록!$B$7:$B$306,0)),""))</f>
        <v/>
      </c>
      <c r="F66" s="27">
        <f>IF(OR($A66="",E66=""),"",D66-E66)</f>
        <v/>
      </c>
      <c r="G66" s="27">
        <f>IF($A66="","",IFERROR(INDEX(직원목록!$AE$7:$AE$306,MATCH(54,직원목록!$B$7:$B$306,0)),""))</f>
        <v/>
      </c>
      <c r="H66" s="27">
        <f>IF($A66="","",IFERROR(INDEX(직원목록!$AH$7:$AH$306,MATCH(54,직원목록!$B$7:$B$306,0)),""))</f>
        <v/>
      </c>
      <c r="I66" s="27">
        <f>IF(OR($A66="",H66=""),"",G66-H66)</f>
        <v/>
      </c>
      <c r="J66" s="27">
        <f>IF($A66="","",IFERROR(INDEX(직원목록!$AF$7:$AF$306,MATCH(54,직원목록!$B$7:$B$306,0)),""))</f>
        <v/>
      </c>
      <c r="K66" s="27">
        <f>IF($A66="","",IFERROR(INDEX(직원목록!$AI$7:$AI$306,MATCH(54,직원목록!$B$7:$B$306,0)),""))</f>
        <v/>
      </c>
      <c r="L66" s="8">
        <f>IF($A66="","",IF(LEN(IF(AND(F66&lt;&gt;"",F66&lt;&gt;0),"계산 총지급과 대장 총지급이 다릅니다 / ","")&amp;IF(AND(I66&lt;&gt;"",I66&lt;&gt;0),"계산 총공제와 대장 총공제가 다릅니다 / ","")&amp;IF(J66&lt;0,"실수령액이 음수입니다 / ","")&amp;IF(COUNTIF(직원목록!$D$7:$D$306,B66)&gt;1,"같은 이름이 둘 이상 — 미리보기는 첫 번째만 보입니다 / ","")&amp;IF(AND(C66&lt;&gt;"",COUNTIF(직원목록!$C$7:$C$306,C66)&gt;1),"사번 중복 / ","")&amp;IF(D66=0,"총지급이 0원 — 머리글 매칭 확인 / ","")&amp;IF(AND(설정!$B$17&lt;&gt;"",설정!$C$17="",OR(ISNUMBER(FIND("연장",설정!$B$17)),ISNUMBER(FIND("야간",설정!$B$17)),ISNUMBER(FIND("휴일",설정!$B$17))),INDEX(직원목록!$F$7:$F$306,MATCH(54,직원목록!$B$7:$B$306,0))&gt;0),"연장·야간·휴일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","")&amp;IF(AND(설정!$B$24&lt;&gt;"",설정!$C$24="",OR(ISNUMBER(FIND("연장",설정!$B$24)),ISNUMBER(FIND("야간",설정!$B$24)),ISNUMBER(FIND("휴일",설정!$B$24))),INDEX(직원목록!$M$7:$M$306,MATCH(54,직원목록!$B$7:$B$306,0))&gt;0),"연장·야간·휴일 수당은 시간 수도 명세서에 적어야 하니 시간 열 지정 필요 / ",""))=0,"✔",("⚠ "&amp;IF(AND(F66&lt;&gt;"",F66&lt;&gt;0),"계산 총지급과 대장 총지급이 다릅니다 / ","")&amp;IF(AND(I66&lt;&gt;"",I66&lt;&gt;0),"계산 총공제와 대장 총공제가 다릅니다 / ","")&amp;IF(J66&lt;0,"실수령액이 음수입니다 / ","")&amp;IF(COUNTIF(직원목록!$D$7:$D$306,B66)&gt;1,"같은 이름이 둘 이상 — 미리보기는 첫 번째만 보입니다 / ","")&amp;IF(AND(C66&lt;&gt;"",COUNTIF(직원목록!$C$7:$C$306,C66)&gt;1),"사번 중복 / ","")&amp;IF(D66=0,"총지급이 0원 — 머리글 매칭 확인 / ","")&amp;IF(AND(설정!$B$17&lt;&gt;"",설정!$C$17="",OR(ISNUMBER(FIND("연장",설정!$B$17)),ISNUMBER(FIND("야간",설정!$B$17)),ISNUMBER(FIND("휴일",설정!$B$17))),INDEX(직원목록!$F$7:$F$306,MATCH(54,직원목록!$B$7:$B$306,0))&gt;0),"연장·야간·휴일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","")&amp;IF(AND(설정!$B$24&lt;&gt;"",설정!$C$24="",OR(ISNUMBER(FIND("연장",설정!$B$24)),ISNUMBER(FIND("야간",설정!$B$24)),ISNUMBER(FIND("휴일",설정!$B$24))),INDEX(직원목록!$M$7:$M$306,MATCH(54,직원목록!$B$7:$B$306,0))&gt;0),"연장·야간·휴일 수당은 시간 수도 명세서에 적어야 하니 시간 열 지정 필요 / ",""))))</f>
        <v/>
      </c>
    </row>
    <row r="67">
      <c r="A67" s="26">
        <f>IF(IFERROR(MATCH(55,직원목록!$B$7:$B$306,0),0)=0,"",55)</f>
        <v/>
      </c>
      <c r="B67" s="2">
        <f>IF($A67="","",IFERROR(INDEX(직원목록!$D$7:$D$306,MATCH(55,직원목록!$B$7:$B$306,0)),""))</f>
        <v/>
      </c>
      <c r="C67" s="2">
        <f>IF($A67="","",IFERROR(INDEX(직원목록!$C$7:$C$306,MATCH(55,직원목록!$B$7:$B$306,0)),""))</f>
        <v/>
      </c>
      <c r="D67" s="27">
        <f>IF($A67="","",IFERROR(INDEX(직원목록!$V$7:$V$306,MATCH(55,직원목록!$B$7:$B$306,0)),""))</f>
        <v/>
      </c>
      <c r="E67" s="27">
        <f>IF($A67="","",IFERROR(INDEX(직원목록!$AG$7:$AG$306,MATCH(55,직원목록!$B$7:$B$306,0)),""))</f>
        <v/>
      </c>
      <c r="F67" s="27">
        <f>IF(OR($A67="",E67=""),"",D67-E67)</f>
        <v/>
      </c>
      <c r="G67" s="27">
        <f>IF($A67="","",IFERROR(INDEX(직원목록!$AE$7:$AE$306,MATCH(55,직원목록!$B$7:$B$306,0)),""))</f>
        <v/>
      </c>
      <c r="H67" s="27">
        <f>IF($A67="","",IFERROR(INDEX(직원목록!$AH$7:$AH$306,MATCH(55,직원목록!$B$7:$B$306,0)),""))</f>
        <v/>
      </c>
      <c r="I67" s="27">
        <f>IF(OR($A67="",H67=""),"",G67-H67)</f>
        <v/>
      </c>
      <c r="J67" s="27">
        <f>IF($A67="","",IFERROR(INDEX(직원목록!$AF$7:$AF$306,MATCH(55,직원목록!$B$7:$B$306,0)),""))</f>
        <v/>
      </c>
      <c r="K67" s="27">
        <f>IF($A67="","",IFERROR(INDEX(직원목록!$AI$7:$AI$306,MATCH(55,직원목록!$B$7:$B$306,0)),""))</f>
        <v/>
      </c>
      <c r="L67" s="8">
        <f>IF($A67="","",IF(LEN(IF(AND(F67&lt;&gt;"",F67&lt;&gt;0),"계산 총지급과 대장 총지급이 다릅니다 / ","")&amp;IF(AND(I67&lt;&gt;"",I67&lt;&gt;0),"계산 총공제와 대장 총공제가 다릅니다 / ","")&amp;IF(J67&lt;0,"실수령액이 음수입니다 / ","")&amp;IF(COUNTIF(직원목록!$D$7:$D$306,B67)&gt;1,"같은 이름이 둘 이상 — 미리보기는 첫 번째만 보입니다 / ","")&amp;IF(AND(C67&lt;&gt;"",COUNTIF(직원목록!$C$7:$C$306,C67)&gt;1),"사번 중복 / ","")&amp;IF(D67=0,"총지급이 0원 — 머리글 매칭 확인 / ","")&amp;IF(AND(설정!$B$17&lt;&gt;"",설정!$C$17="",OR(ISNUMBER(FIND("연장",설정!$B$17)),ISNUMBER(FIND("야간",설정!$B$17)),ISNUMBER(FIND("휴일",설정!$B$17))),INDEX(직원목록!$F$7:$F$306,MATCH(55,직원목록!$B$7:$B$306,0))&gt;0),"연장·야간·휴일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","")&amp;IF(AND(설정!$B$24&lt;&gt;"",설정!$C$24="",OR(ISNUMBER(FIND("연장",설정!$B$24)),ISNUMBER(FIND("야간",설정!$B$24)),ISNUMBER(FIND("휴일",설정!$B$24))),INDEX(직원목록!$M$7:$M$306,MATCH(55,직원목록!$B$7:$B$306,0))&gt;0),"연장·야간·휴일 수당은 시간 수도 명세서에 적어야 하니 시간 열 지정 필요 / ",""))=0,"✔",("⚠ "&amp;IF(AND(F67&lt;&gt;"",F67&lt;&gt;0),"계산 총지급과 대장 총지급이 다릅니다 / ","")&amp;IF(AND(I67&lt;&gt;"",I67&lt;&gt;0),"계산 총공제와 대장 총공제가 다릅니다 / ","")&amp;IF(J67&lt;0,"실수령액이 음수입니다 / ","")&amp;IF(COUNTIF(직원목록!$D$7:$D$306,B67)&gt;1,"같은 이름이 둘 이상 — 미리보기는 첫 번째만 보입니다 / ","")&amp;IF(AND(C67&lt;&gt;"",COUNTIF(직원목록!$C$7:$C$306,C67)&gt;1),"사번 중복 / ","")&amp;IF(D67=0,"총지급이 0원 — 머리글 매칭 확인 / ","")&amp;IF(AND(설정!$B$17&lt;&gt;"",설정!$C$17="",OR(ISNUMBER(FIND("연장",설정!$B$17)),ISNUMBER(FIND("야간",설정!$B$17)),ISNUMBER(FIND("휴일",설정!$B$17))),INDEX(직원목록!$F$7:$F$306,MATCH(55,직원목록!$B$7:$B$306,0))&gt;0),"연장·야간·휴일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","")&amp;IF(AND(설정!$B$24&lt;&gt;"",설정!$C$24="",OR(ISNUMBER(FIND("연장",설정!$B$24)),ISNUMBER(FIND("야간",설정!$B$24)),ISNUMBER(FIND("휴일",설정!$B$24))),INDEX(직원목록!$M$7:$M$306,MATCH(55,직원목록!$B$7:$B$306,0))&gt;0),"연장·야간·휴일 수당은 시간 수도 명세서에 적어야 하니 시간 열 지정 필요 / ",""))))</f>
        <v/>
      </c>
    </row>
    <row r="68">
      <c r="A68" s="26">
        <f>IF(IFERROR(MATCH(56,직원목록!$B$7:$B$306,0),0)=0,"",56)</f>
        <v/>
      </c>
      <c r="B68" s="2">
        <f>IF($A68="","",IFERROR(INDEX(직원목록!$D$7:$D$306,MATCH(56,직원목록!$B$7:$B$306,0)),""))</f>
        <v/>
      </c>
      <c r="C68" s="2">
        <f>IF($A68="","",IFERROR(INDEX(직원목록!$C$7:$C$306,MATCH(56,직원목록!$B$7:$B$306,0)),""))</f>
        <v/>
      </c>
      <c r="D68" s="27">
        <f>IF($A68="","",IFERROR(INDEX(직원목록!$V$7:$V$306,MATCH(56,직원목록!$B$7:$B$306,0)),""))</f>
        <v/>
      </c>
      <c r="E68" s="27">
        <f>IF($A68="","",IFERROR(INDEX(직원목록!$AG$7:$AG$306,MATCH(56,직원목록!$B$7:$B$306,0)),""))</f>
        <v/>
      </c>
      <c r="F68" s="27">
        <f>IF(OR($A68="",E68=""),"",D68-E68)</f>
        <v/>
      </c>
      <c r="G68" s="27">
        <f>IF($A68="","",IFERROR(INDEX(직원목록!$AE$7:$AE$306,MATCH(56,직원목록!$B$7:$B$306,0)),""))</f>
        <v/>
      </c>
      <c r="H68" s="27">
        <f>IF($A68="","",IFERROR(INDEX(직원목록!$AH$7:$AH$306,MATCH(56,직원목록!$B$7:$B$306,0)),""))</f>
        <v/>
      </c>
      <c r="I68" s="27">
        <f>IF(OR($A68="",H68=""),"",G68-H68)</f>
        <v/>
      </c>
      <c r="J68" s="27">
        <f>IF($A68="","",IFERROR(INDEX(직원목록!$AF$7:$AF$306,MATCH(56,직원목록!$B$7:$B$306,0)),""))</f>
        <v/>
      </c>
      <c r="K68" s="27">
        <f>IF($A68="","",IFERROR(INDEX(직원목록!$AI$7:$AI$306,MATCH(56,직원목록!$B$7:$B$306,0)),""))</f>
        <v/>
      </c>
      <c r="L68" s="8">
        <f>IF($A68="","",IF(LEN(IF(AND(F68&lt;&gt;"",F68&lt;&gt;0),"계산 총지급과 대장 총지급이 다릅니다 / ","")&amp;IF(AND(I68&lt;&gt;"",I68&lt;&gt;0),"계산 총공제와 대장 총공제가 다릅니다 / ","")&amp;IF(J68&lt;0,"실수령액이 음수입니다 / ","")&amp;IF(COUNTIF(직원목록!$D$7:$D$306,B68)&gt;1,"같은 이름이 둘 이상 — 미리보기는 첫 번째만 보입니다 / ","")&amp;IF(AND(C68&lt;&gt;"",COUNTIF(직원목록!$C$7:$C$306,C68)&gt;1),"사번 중복 / ","")&amp;IF(D68=0,"총지급이 0원 — 머리글 매칭 확인 / ","")&amp;IF(AND(설정!$B$17&lt;&gt;"",설정!$C$17="",OR(ISNUMBER(FIND("연장",설정!$B$17)),ISNUMBER(FIND("야간",설정!$B$17)),ISNUMBER(FIND("휴일",설정!$B$17))),INDEX(직원목록!$F$7:$F$306,MATCH(56,직원목록!$B$7:$B$306,0))&gt;0),"연장·야간·휴일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","")&amp;IF(AND(설정!$B$24&lt;&gt;"",설정!$C$24="",OR(ISNUMBER(FIND("연장",설정!$B$24)),ISNUMBER(FIND("야간",설정!$B$24)),ISNUMBER(FIND("휴일",설정!$B$24))),INDEX(직원목록!$M$7:$M$306,MATCH(56,직원목록!$B$7:$B$306,0))&gt;0),"연장·야간·휴일 수당은 시간 수도 명세서에 적어야 하니 시간 열 지정 필요 / ",""))=0,"✔",("⚠ "&amp;IF(AND(F68&lt;&gt;"",F68&lt;&gt;0),"계산 총지급과 대장 총지급이 다릅니다 / ","")&amp;IF(AND(I68&lt;&gt;"",I68&lt;&gt;0),"계산 총공제와 대장 총공제가 다릅니다 / ","")&amp;IF(J68&lt;0,"실수령액이 음수입니다 / ","")&amp;IF(COUNTIF(직원목록!$D$7:$D$306,B68)&gt;1,"같은 이름이 둘 이상 — 미리보기는 첫 번째만 보입니다 / ","")&amp;IF(AND(C68&lt;&gt;"",COUNTIF(직원목록!$C$7:$C$306,C68)&gt;1),"사번 중복 / ","")&amp;IF(D68=0,"총지급이 0원 — 머리글 매칭 확인 / ","")&amp;IF(AND(설정!$B$17&lt;&gt;"",설정!$C$17="",OR(ISNUMBER(FIND("연장",설정!$B$17)),ISNUMBER(FIND("야간",설정!$B$17)),ISNUMBER(FIND("휴일",설정!$B$17))),INDEX(직원목록!$F$7:$F$306,MATCH(56,직원목록!$B$7:$B$306,0))&gt;0),"연장·야간·휴일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","")&amp;IF(AND(설정!$B$24&lt;&gt;"",설정!$C$24="",OR(ISNUMBER(FIND("연장",설정!$B$24)),ISNUMBER(FIND("야간",설정!$B$24)),ISNUMBER(FIND("휴일",설정!$B$24))),INDEX(직원목록!$M$7:$M$306,MATCH(56,직원목록!$B$7:$B$306,0))&gt;0),"연장·야간·휴일 수당은 시간 수도 명세서에 적어야 하니 시간 열 지정 필요 / ",""))))</f>
        <v/>
      </c>
    </row>
    <row r="69">
      <c r="A69" s="26">
        <f>IF(IFERROR(MATCH(57,직원목록!$B$7:$B$306,0),0)=0,"",57)</f>
        <v/>
      </c>
      <c r="B69" s="2">
        <f>IF($A69="","",IFERROR(INDEX(직원목록!$D$7:$D$306,MATCH(57,직원목록!$B$7:$B$306,0)),""))</f>
        <v/>
      </c>
      <c r="C69" s="2">
        <f>IF($A69="","",IFERROR(INDEX(직원목록!$C$7:$C$306,MATCH(57,직원목록!$B$7:$B$306,0)),""))</f>
        <v/>
      </c>
      <c r="D69" s="27">
        <f>IF($A69="","",IFERROR(INDEX(직원목록!$V$7:$V$306,MATCH(57,직원목록!$B$7:$B$306,0)),""))</f>
        <v/>
      </c>
      <c r="E69" s="27">
        <f>IF($A69="","",IFERROR(INDEX(직원목록!$AG$7:$AG$306,MATCH(57,직원목록!$B$7:$B$306,0)),""))</f>
        <v/>
      </c>
      <c r="F69" s="27">
        <f>IF(OR($A69="",E69=""),"",D69-E69)</f>
        <v/>
      </c>
      <c r="G69" s="27">
        <f>IF($A69="","",IFERROR(INDEX(직원목록!$AE$7:$AE$306,MATCH(57,직원목록!$B$7:$B$306,0)),""))</f>
        <v/>
      </c>
      <c r="H69" s="27">
        <f>IF($A69="","",IFERROR(INDEX(직원목록!$AH$7:$AH$306,MATCH(57,직원목록!$B$7:$B$306,0)),""))</f>
        <v/>
      </c>
      <c r="I69" s="27">
        <f>IF(OR($A69="",H69=""),"",G69-H69)</f>
        <v/>
      </c>
      <c r="J69" s="27">
        <f>IF($A69="","",IFERROR(INDEX(직원목록!$AF$7:$AF$306,MATCH(57,직원목록!$B$7:$B$306,0)),""))</f>
        <v/>
      </c>
      <c r="K69" s="27">
        <f>IF($A69="","",IFERROR(INDEX(직원목록!$AI$7:$AI$306,MATCH(57,직원목록!$B$7:$B$306,0)),""))</f>
        <v/>
      </c>
      <c r="L69" s="8">
        <f>IF($A69="","",IF(LEN(IF(AND(F69&lt;&gt;"",F69&lt;&gt;0),"계산 총지급과 대장 총지급이 다릅니다 / ","")&amp;IF(AND(I69&lt;&gt;"",I69&lt;&gt;0),"계산 총공제와 대장 총공제가 다릅니다 / ","")&amp;IF(J69&lt;0,"실수령액이 음수입니다 / ","")&amp;IF(COUNTIF(직원목록!$D$7:$D$306,B69)&gt;1,"같은 이름이 둘 이상 — 미리보기는 첫 번째만 보입니다 / ","")&amp;IF(AND(C69&lt;&gt;"",COUNTIF(직원목록!$C$7:$C$306,C69)&gt;1),"사번 중복 / ","")&amp;IF(D69=0,"총지급이 0원 — 머리글 매칭 확인 / ","")&amp;IF(AND(설정!$B$17&lt;&gt;"",설정!$C$17="",OR(ISNUMBER(FIND("연장",설정!$B$17)),ISNUMBER(FIND("야간",설정!$B$17)),ISNUMBER(FIND("휴일",설정!$B$17))),INDEX(직원목록!$F$7:$F$306,MATCH(57,직원목록!$B$7:$B$306,0))&gt;0),"연장·야간·휴일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","")&amp;IF(AND(설정!$B$24&lt;&gt;"",설정!$C$24="",OR(ISNUMBER(FIND("연장",설정!$B$24)),ISNUMBER(FIND("야간",설정!$B$24)),ISNUMBER(FIND("휴일",설정!$B$24))),INDEX(직원목록!$M$7:$M$306,MATCH(57,직원목록!$B$7:$B$306,0))&gt;0),"연장·야간·휴일 수당은 시간 수도 명세서에 적어야 하니 시간 열 지정 필요 / ",""))=0,"✔",("⚠ "&amp;IF(AND(F69&lt;&gt;"",F69&lt;&gt;0),"계산 총지급과 대장 총지급이 다릅니다 / ","")&amp;IF(AND(I69&lt;&gt;"",I69&lt;&gt;0),"계산 총공제와 대장 총공제가 다릅니다 / ","")&amp;IF(J69&lt;0,"실수령액이 음수입니다 / ","")&amp;IF(COUNTIF(직원목록!$D$7:$D$306,B69)&gt;1,"같은 이름이 둘 이상 — 미리보기는 첫 번째만 보입니다 / ","")&amp;IF(AND(C69&lt;&gt;"",COUNTIF(직원목록!$C$7:$C$306,C69)&gt;1),"사번 중복 / ","")&amp;IF(D69=0,"총지급이 0원 — 머리글 매칭 확인 / ","")&amp;IF(AND(설정!$B$17&lt;&gt;"",설정!$C$17="",OR(ISNUMBER(FIND("연장",설정!$B$17)),ISNUMBER(FIND("야간",설정!$B$17)),ISNUMBER(FIND("휴일",설정!$B$17))),INDEX(직원목록!$F$7:$F$306,MATCH(57,직원목록!$B$7:$B$306,0))&gt;0),"연장·야간·휴일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","")&amp;IF(AND(설정!$B$24&lt;&gt;"",설정!$C$24="",OR(ISNUMBER(FIND("연장",설정!$B$24)),ISNUMBER(FIND("야간",설정!$B$24)),ISNUMBER(FIND("휴일",설정!$B$24))),INDEX(직원목록!$M$7:$M$306,MATCH(57,직원목록!$B$7:$B$306,0))&gt;0),"연장·야간·휴일 수당은 시간 수도 명세서에 적어야 하니 시간 열 지정 필요 / ",""))))</f>
        <v/>
      </c>
    </row>
    <row r="70">
      <c r="A70" s="26">
        <f>IF(IFERROR(MATCH(58,직원목록!$B$7:$B$306,0),0)=0,"",58)</f>
        <v/>
      </c>
      <c r="B70" s="2">
        <f>IF($A70="","",IFERROR(INDEX(직원목록!$D$7:$D$306,MATCH(58,직원목록!$B$7:$B$306,0)),""))</f>
        <v/>
      </c>
      <c r="C70" s="2">
        <f>IF($A70="","",IFERROR(INDEX(직원목록!$C$7:$C$306,MATCH(58,직원목록!$B$7:$B$306,0)),""))</f>
        <v/>
      </c>
      <c r="D70" s="27">
        <f>IF($A70="","",IFERROR(INDEX(직원목록!$V$7:$V$306,MATCH(58,직원목록!$B$7:$B$306,0)),""))</f>
        <v/>
      </c>
      <c r="E70" s="27">
        <f>IF($A70="","",IFERROR(INDEX(직원목록!$AG$7:$AG$306,MATCH(58,직원목록!$B$7:$B$306,0)),""))</f>
        <v/>
      </c>
      <c r="F70" s="27">
        <f>IF(OR($A70="",E70=""),"",D70-E70)</f>
        <v/>
      </c>
      <c r="G70" s="27">
        <f>IF($A70="","",IFERROR(INDEX(직원목록!$AE$7:$AE$306,MATCH(58,직원목록!$B$7:$B$306,0)),""))</f>
        <v/>
      </c>
      <c r="H70" s="27">
        <f>IF($A70="","",IFERROR(INDEX(직원목록!$AH$7:$AH$306,MATCH(58,직원목록!$B$7:$B$306,0)),""))</f>
        <v/>
      </c>
      <c r="I70" s="27">
        <f>IF(OR($A70="",H70=""),"",G70-H70)</f>
        <v/>
      </c>
      <c r="J70" s="27">
        <f>IF($A70="","",IFERROR(INDEX(직원목록!$AF$7:$AF$306,MATCH(58,직원목록!$B$7:$B$306,0)),""))</f>
        <v/>
      </c>
      <c r="K70" s="27">
        <f>IF($A70="","",IFERROR(INDEX(직원목록!$AI$7:$AI$306,MATCH(58,직원목록!$B$7:$B$306,0)),""))</f>
        <v/>
      </c>
      <c r="L70" s="8">
        <f>IF($A70="","",IF(LEN(IF(AND(F70&lt;&gt;"",F70&lt;&gt;0),"계산 총지급과 대장 총지급이 다릅니다 / ","")&amp;IF(AND(I70&lt;&gt;"",I70&lt;&gt;0),"계산 총공제와 대장 총공제가 다릅니다 / ","")&amp;IF(J70&lt;0,"실수령액이 음수입니다 / ","")&amp;IF(COUNTIF(직원목록!$D$7:$D$306,B70)&gt;1,"같은 이름이 둘 이상 — 미리보기는 첫 번째만 보입니다 / ","")&amp;IF(AND(C70&lt;&gt;"",COUNTIF(직원목록!$C$7:$C$306,C70)&gt;1),"사번 중복 / ","")&amp;IF(D70=0,"총지급이 0원 — 머리글 매칭 확인 / ","")&amp;IF(AND(설정!$B$17&lt;&gt;"",설정!$C$17="",OR(ISNUMBER(FIND("연장",설정!$B$17)),ISNUMBER(FIND("야간",설정!$B$17)),ISNUMBER(FIND("휴일",설정!$B$17))),INDEX(직원목록!$F$7:$F$306,MATCH(58,직원목록!$B$7:$B$306,0))&gt;0),"연장·야간·휴일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","")&amp;IF(AND(설정!$B$24&lt;&gt;"",설정!$C$24="",OR(ISNUMBER(FIND("연장",설정!$B$24)),ISNUMBER(FIND("야간",설정!$B$24)),ISNUMBER(FIND("휴일",설정!$B$24))),INDEX(직원목록!$M$7:$M$306,MATCH(58,직원목록!$B$7:$B$306,0))&gt;0),"연장·야간·휴일 수당은 시간 수도 명세서에 적어야 하니 시간 열 지정 필요 / ",""))=0,"✔",("⚠ "&amp;IF(AND(F70&lt;&gt;"",F70&lt;&gt;0),"계산 총지급과 대장 총지급이 다릅니다 / ","")&amp;IF(AND(I70&lt;&gt;"",I70&lt;&gt;0),"계산 총공제와 대장 총공제가 다릅니다 / ","")&amp;IF(J70&lt;0,"실수령액이 음수입니다 / ","")&amp;IF(COUNTIF(직원목록!$D$7:$D$306,B70)&gt;1,"같은 이름이 둘 이상 — 미리보기는 첫 번째만 보입니다 / ","")&amp;IF(AND(C70&lt;&gt;"",COUNTIF(직원목록!$C$7:$C$306,C70)&gt;1),"사번 중복 / ","")&amp;IF(D70=0,"총지급이 0원 — 머리글 매칭 확인 / ","")&amp;IF(AND(설정!$B$17&lt;&gt;"",설정!$C$17="",OR(ISNUMBER(FIND("연장",설정!$B$17)),ISNUMBER(FIND("야간",설정!$B$17)),ISNUMBER(FIND("휴일",설정!$B$17))),INDEX(직원목록!$F$7:$F$306,MATCH(58,직원목록!$B$7:$B$306,0))&gt;0),"연장·야간·휴일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","")&amp;IF(AND(설정!$B$24&lt;&gt;"",설정!$C$24="",OR(ISNUMBER(FIND("연장",설정!$B$24)),ISNUMBER(FIND("야간",설정!$B$24)),ISNUMBER(FIND("휴일",설정!$B$24))),INDEX(직원목록!$M$7:$M$306,MATCH(58,직원목록!$B$7:$B$306,0))&gt;0),"연장·야간·휴일 수당은 시간 수도 명세서에 적어야 하니 시간 열 지정 필요 / ",""))))</f>
        <v/>
      </c>
    </row>
    <row r="71">
      <c r="A71" s="26">
        <f>IF(IFERROR(MATCH(59,직원목록!$B$7:$B$306,0),0)=0,"",59)</f>
        <v/>
      </c>
      <c r="B71" s="2">
        <f>IF($A71="","",IFERROR(INDEX(직원목록!$D$7:$D$306,MATCH(59,직원목록!$B$7:$B$306,0)),""))</f>
        <v/>
      </c>
      <c r="C71" s="2">
        <f>IF($A71="","",IFERROR(INDEX(직원목록!$C$7:$C$306,MATCH(59,직원목록!$B$7:$B$306,0)),""))</f>
        <v/>
      </c>
      <c r="D71" s="27">
        <f>IF($A71="","",IFERROR(INDEX(직원목록!$V$7:$V$306,MATCH(59,직원목록!$B$7:$B$306,0)),""))</f>
        <v/>
      </c>
      <c r="E71" s="27">
        <f>IF($A71="","",IFERROR(INDEX(직원목록!$AG$7:$AG$306,MATCH(59,직원목록!$B$7:$B$306,0)),""))</f>
        <v/>
      </c>
      <c r="F71" s="27">
        <f>IF(OR($A71="",E71=""),"",D71-E71)</f>
        <v/>
      </c>
      <c r="G71" s="27">
        <f>IF($A71="","",IFERROR(INDEX(직원목록!$AE$7:$AE$306,MATCH(59,직원목록!$B$7:$B$306,0)),""))</f>
        <v/>
      </c>
      <c r="H71" s="27">
        <f>IF($A71="","",IFERROR(INDEX(직원목록!$AH$7:$AH$306,MATCH(59,직원목록!$B$7:$B$306,0)),""))</f>
        <v/>
      </c>
      <c r="I71" s="27">
        <f>IF(OR($A71="",H71=""),"",G71-H71)</f>
        <v/>
      </c>
      <c r="J71" s="27">
        <f>IF($A71="","",IFERROR(INDEX(직원목록!$AF$7:$AF$306,MATCH(59,직원목록!$B$7:$B$306,0)),""))</f>
        <v/>
      </c>
      <c r="K71" s="27">
        <f>IF($A71="","",IFERROR(INDEX(직원목록!$AI$7:$AI$306,MATCH(59,직원목록!$B$7:$B$306,0)),""))</f>
        <v/>
      </c>
      <c r="L71" s="8">
        <f>IF($A71="","",IF(LEN(IF(AND(F71&lt;&gt;"",F71&lt;&gt;0),"계산 총지급과 대장 총지급이 다릅니다 / ","")&amp;IF(AND(I71&lt;&gt;"",I71&lt;&gt;0),"계산 총공제와 대장 총공제가 다릅니다 / ","")&amp;IF(J71&lt;0,"실수령액이 음수입니다 / ","")&amp;IF(COUNTIF(직원목록!$D$7:$D$306,B71)&gt;1,"같은 이름이 둘 이상 — 미리보기는 첫 번째만 보입니다 / ","")&amp;IF(AND(C71&lt;&gt;"",COUNTIF(직원목록!$C$7:$C$306,C71)&gt;1),"사번 중복 / ","")&amp;IF(D71=0,"총지급이 0원 — 머리글 매칭 확인 / ","")&amp;IF(AND(설정!$B$17&lt;&gt;"",설정!$C$17="",OR(ISNUMBER(FIND("연장",설정!$B$17)),ISNUMBER(FIND("야간",설정!$B$17)),ISNUMBER(FIND("휴일",설정!$B$17))),INDEX(직원목록!$F$7:$F$306,MATCH(59,직원목록!$B$7:$B$306,0))&gt;0),"연장·야간·휴일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","")&amp;IF(AND(설정!$B$24&lt;&gt;"",설정!$C$24="",OR(ISNUMBER(FIND("연장",설정!$B$24)),ISNUMBER(FIND("야간",설정!$B$24)),ISNUMBER(FIND("휴일",설정!$B$24))),INDEX(직원목록!$M$7:$M$306,MATCH(59,직원목록!$B$7:$B$306,0))&gt;0),"연장·야간·휴일 수당은 시간 수도 명세서에 적어야 하니 시간 열 지정 필요 / ",""))=0,"✔",("⚠ "&amp;IF(AND(F71&lt;&gt;"",F71&lt;&gt;0),"계산 총지급과 대장 총지급이 다릅니다 / ","")&amp;IF(AND(I71&lt;&gt;"",I71&lt;&gt;0),"계산 총공제와 대장 총공제가 다릅니다 / ","")&amp;IF(J71&lt;0,"실수령액이 음수입니다 / ","")&amp;IF(COUNTIF(직원목록!$D$7:$D$306,B71)&gt;1,"같은 이름이 둘 이상 — 미리보기는 첫 번째만 보입니다 / ","")&amp;IF(AND(C71&lt;&gt;"",COUNTIF(직원목록!$C$7:$C$306,C71)&gt;1),"사번 중복 / ","")&amp;IF(D71=0,"총지급이 0원 — 머리글 매칭 확인 / ","")&amp;IF(AND(설정!$B$17&lt;&gt;"",설정!$C$17="",OR(ISNUMBER(FIND("연장",설정!$B$17)),ISNUMBER(FIND("야간",설정!$B$17)),ISNUMBER(FIND("휴일",설정!$B$17))),INDEX(직원목록!$F$7:$F$306,MATCH(59,직원목록!$B$7:$B$306,0))&gt;0),"연장·야간·휴일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","")&amp;IF(AND(설정!$B$18&lt;&gt;"",설정!$C$18="",OR(ISNUMBER(FIND("연장",설정!$B$18)),ISNUMBER(FIND("야간",설정!$B$18)),ISNUMBER(FIND("휴일",설정!$B$18))),INDEX(직원목록!$G$7:$G$306,MATCH(59,직원목록!$B$7:$B$306,0))&gt;0),"연장·야간·휴일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","")&amp;IF(AND(설정!$B$19&lt;&gt;"",설정!$C$19="",OR(ISNUMBER(FIND("연장",설정!$B$19)),ISNUMBER(FIND("야간",설정!$B$19)),ISNUMBER(FIND("휴일",설정!$B$19))),INDEX(직원목록!$H$7:$H$306,MATCH(59,직원목록!$B$7:$B$306,0))&gt;0),"연장·야간·휴일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","")&amp;IF(AND(설정!$B$20&lt;&gt;"",설정!$C$20="",OR(ISNUMBER(FIND("연장",설정!$B$20)),ISNUMBER(FIND("야간",설정!$B$20)),ISNUMBER(FIND("휴일",설정!$B$20))),INDEX(직원목록!$I$7:$I$306,MATCH(59,직원목록!$B$7:$B$306,0))&gt;0),"연장·야간·휴일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","")&amp;IF(AND(설정!$B$21&lt;&gt;"",설정!$C$21="",OR(ISNUMBER(FIND("연장",설정!$B$21)),ISNUMBER(FIND("야간",설정!$B$21)),ISNUMBER(FIND("휴일",설정!$B$21))),INDEX(직원목록!$J$7:$J$306,MATCH(59,직원목록!$B$7:$B$306,0))&gt;0),"연장·야간·휴일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","")&amp;IF(AND(설정!$B$22&lt;&gt;"",설정!$C$22="",OR(ISNUMBER(FIND("연장",설정!$B$22)),ISNUMBER(FIND("야간",설정!$B$22)),ISNUMBER(FIND("휴일",설정!$B$22))),INDEX(직원목록!$K$7:$K$306,MATCH(59,직원목록!$B$7:$B$306,0))&gt;0),"연장·야간·휴일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","")&amp;IF(AND(설정!$B$23&lt;&gt;"",설정!$C$23="",OR(ISNUMBER(FIND("연장",설정!$B$23)),ISNUMBER(FIND("야간",설정!$B$23)),ISNUMBER(FIND("휴일",설정!$B$23))),INDEX(직원목록!$L$7:$L$306,MATCH(59,직원목록!$B$7:$B$306,0))&gt;0),"연장·야간·휴일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","")&amp;IF(AND(설정!$B$24&lt;&gt;"",설정!$C$24="",OR(ISNUMBER(FIND("연장",설정!$B$24)),ISNUMBER(FIND("야간",설정!$B$24)),ISNUMBER(FIND("휴일",설정!$B$24))),INDEX(직원목록!$M$7:$M$306,MATCH(59,직원목록!$B$7:$B$306,0))&gt;0),"연장·야간·휴일 수당은 시간 수도 명세서에 적어야 하니 시간 열 지정 필요 / ",""))))</f>
        <v/>
      </c>
    </row>
    <row r="72">
      <c r="A72" s="26">
        <f>IF(IFERROR(MATCH(60,직원목록!$B$7:$B$306,0),0)=0,"",60)</f>
        <v/>
      </c>
      <c r="B72" s="2">
        <f>IF($A72="","",IFERROR(INDEX(직원목록!$D$7:$D$306,MATCH(60,직원목록!$B$7:$B$306,0)),""))</f>
        <v/>
      </c>
      <c r="C72" s="2">
        <f>IF($A72="","",IFERROR(INDEX(직원목록!$C$7:$C$306,MATCH(60,직원목록!$B$7:$B$306,0)),""))</f>
        <v/>
      </c>
      <c r="D72" s="27">
        <f>IF($A72="","",IFERROR(INDEX(직원목록!$V$7:$V$306,MATCH(60,직원목록!$B$7:$B$306,0)),""))</f>
        <v/>
      </c>
      <c r="E72" s="27">
        <f>IF($A72="","",IFERROR(INDEX(직원목록!$AG$7:$AG$306,MATCH(60,직원목록!$B$7:$B$306,0)),""))</f>
        <v/>
      </c>
      <c r="F72" s="27">
        <f>IF(OR($A72="",E72=""),"",D72-E72)</f>
        <v/>
      </c>
      <c r="G72" s="27">
        <f>IF($A72="","",IFERROR(INDEX(직원목록!$AE$7:$AE$306,MATCH(60,직원목록!$B$7:$B$306,0)),""))</f>
        <v/>
      </c>
      <c r="H72" s="27">
        <f>IF($A72="","",IFERROR(INDEX(직원목록!$AH$7:$AH$306,MATCH(60,직원목록!$B$7:$B$306,0)),""))</f>
        <v/>
      </c>
      <c r="I72" s="27">
        <f>IF(OR($A72="",H72=""),"",G72-H72)</f>
        <v/>
      </c>
      <c r="J72" s="27">
        <f>IF($A72="","",IFERROR(INDEX(직원목록!$AF$7:$AF$306,MATCH(60,직원목록!$B$7:$B$306,0)),""))</f>
        <v/>
      </c>
      <c r="K72" s="27">
        <f>IF($A72="","",IFERROR(INDEX(직원목록!$AI$7:$AI$306,MATCH(60,직원목록!$B$7:$B$306,0)),""))</f>
        <v/>
      </c>
      <c r="L72" s="8">
        <f>IF($A72="","",IF(LEN(IF(AND(F72&lt;&gt;"",F72&lt;&gt;0),"계산 총지급과 대장 총지급이 다릅니다 / ","")&amp;IF(AND(I72&lt;&gt;"",I72&lt;&gt;0),"계산 총공제와 대장 총공제가 다릅니다 / ","")&amp;IF(J72&lt;0,"실수령액이 음수입니다 / ","")&amp;IF(COUNTIF(직원목록!$D$7:$D$306,B72)&gt;1,"같은 이름이 둘 이상 — 미리보기는 첫 번째만 보입니다 / ","")&amp;IF(AND(C72&lt;&gt;"",COUNTIF(직원목록!$C$7:$C$306,C72)&gt;1),"사번 중복 / ","")&amp;IF(D72=0,"총지급이 0원 — 머리글 매칭 확인 / ","")&amp;IF(AND(설정!$B$17&lt;&gt;"",설정!$C$17="",OR(ISNUMBER(FIND("연장",설정!$B$17)),ISNUMBER(FIND("야간",설정!$B$17)),ISNUMBER(FIND("휴일",설정!$B$17))),INDEX(직원목록!$F$7:$F$306,MATCH(60,직원목록!$B$7:$B$306,0))&gt;0),"연장·야간·휴일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","")&amp;IF(AND(설정!$B$24&lt;&gt;"",설정!$C$24="",OR(ISNUMBER(FIND("연장",설정!$B$24)),ISNUMBER(FIND("야간",설정!$B$24)),ISNUMBER(FIND("휴일",설정!$B$24))),INDEX(직원목록!$M$7:$M$306,MATCH(60,직원목록!$B$7:$B$306,0))&gt;0),"연장·야간·휴일 수당은 시간 수도 명세서에 적어야 하니 시간 열 지정 필요 / ",""))=0,"✔",("⚠ "&amp;IF(AND(F72&lt;&gt;"",F72&lt;&gt;0),"계산 총지급과 대장 총지급이 다릅니다 / ","")&amp;IF(AND(I72&lt;&gt;"",I72&lt;&gt;0),"계산 총공제와 대장 총공제가 다릅니다 / ","")&amp;IF(J72&lt;0,"실수령액이 음수입니다 / ","")&amp;IF(COUNTIF(직원목록!$D$7:$D$306,B72)&gt;1,"같은 이름이 둘 이상 — 미리보기는 첫 번째만 보입니다 / ","")&amp;IF(AND(C72&lt;&gt;"",COUNTIF(직원목록!$C$7:$C$306,C72)&gt;1),"사번 중복 / ","")&amp;IF(D72=0,"총지급이 0원 — 머리글 매칭 확인 / ","")&amp;IF(AND(설정!$B$17&lt;&gt;"",설정!$C$17="",OR(ISNUMBER(FIND("연장",설정!$B$17)),ISNUMBER(FIND("야간",설정!$B$17)),ISNUMBER(FIND("휴일",설정!$B$17))),INDEX(직원목록!$F$7:$F$306,MATCH(60,직원목록!$B$7:$B$306,0))&gt;0),"연장·야간·휴일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","")&amp;IF(AND(설정!$B$24&lt;&gt;"",설정!$C$24="",OR(ISNUMBER(FIND("연장",설정!$B$24)),ISNUMBER(FIND("야간",설정!$B$24)),ISNUMBER(FIND("휴일",설정!$B$24))),INDEX(직원목록!$M$7:$M$306,MATCH(60,직원목록!$B$7:$B$306,0))&gt;0),"연장·야간·휴일 수당은 시간 수도 명세서에 적어야 하니 시간 열 지정 필요 / ",""))))</f>
        <v/>
      </c>
    </row>
    <row r="73">
      <c r="A73" s="26">
        <f>IF(IFERROR(MATCH(61,직원목록!$B$7:$B$306,0),0)=0,"",61)</f>
        <v/>
      </c>
      <c r="B73" s="2">
        <f>IF($A73="","",IFERROR(INDEX(직원목록!$D$7:$D$306,MATCH(61,직원목록!$B$7:$B$306,0)),""))</f>
        <v/>
      </c>
      <c r="C73" s="2">
        <f>IF($A73="","",IFERROR(INDEX(직원목록!$C$7:$C$306,MATCH(61,직원목록!$B$7:$B$306,0)),""))</f>
        <v/>
      </c>
      <c r="D73" s="27">
        <f>IF($A73="","",IFERROR(INDEX(직원목록!$V$7:$V$306,MATCH(61,직원목록!$B$7:$B$306,0)),""))</f>
        <v/>
      </c>
      <c r="E73" s="27">
        <f>IF($A73="","",IFERROR(INDEX(직원목록!$AG$7:$AG$306,MATCH(61,직원목록!$B$7:$B$306,0)),""))</f>
        <v/>
      </c>
      <c r="F73" s="27">
        <f>IF(OR($A73="",E73=""),"",D73-E73)</f>
        <v/>
      </c>
      <c r="G73" s="27">
        <f>IF($A73="","",IFERROR(INDEX(직원목록!$AE$7:$AE$306,MATCH(61,직원목록!$B$7:$B$306,0)),""))</f>
        <v/>
      </c>
      <c r="H73" s="27">
        <f>IF($A73="","",IFERROR(INDEX(직원목록!$AH$7:$AH$306,MATCH(61,직원목록!$B$7:$B$306,0)),""))</f>
        <v/>
      </c>
      <c r="I73" s="27">
        <f>IF(OR($A73="",H73=""),"",G73-H73)</f>
        <v/>
      </c>
      <c r="J73" s="27">
        <f>IF($A73="","",IFERROR(INDEX(직원목록!$AF$7:$AF$306,MATCH(61,직원목록!$B$7:$B$306,0)),""))</f>
        <v/>
      </c>
      <c r="K73" s="27">
        <f>IF($A73="","",IFERROR(INDEX(직원목록!$AI$7:$AI$306,MATCH(61,직원목록!$B$7:$B$306,0)),""))</f>
        <v/>
      </c>
      <c r="L73" s="8">
        <f>IF($A73="","",IF(LEN(IF(AND(F73&lt;&gt;"",F73&lt;&gt;0),"계산 총지급과 대장 총지급이 다릅니다 / ","")&amp;IF(AND(I73&lt;&gt;"",I73&lt;&gt;0),"계산 총공제와 대장 총공제가 다릅니다 / ","")&amp;IF(J73&lt;0,"실수령액이 음수입니다 / ","")&amp;IF(COUNTIF(직원목록!$D$7:$D$306,B73)&gt;1,"같은 이름이 둘 이상 — 미리보기는 첫 번째만 보입니다 / ","")&amp;IF(AND(C73&lt;&gt;"",COUNTIF(직원목록!$C$7:$C$306,C73)&gt;1),"사번 중복 / ","")&amp;IF(D73=0,"총지급이 0원 — 머리글 매칭 확인 / ","")&amp;IF(AND(설정!$B$17&lt;&gt;"",설정!$C$17="",OR(ISNUMBER(FIND("연장",설정!$B$17)),ISNUMBER(FIND("야간",설정!$B$17)),ISNUMBER(FIND("휴일",설정!$B$17))),INDEX(직원목록!$F$7:$F$306,MATCH(61,직원목록!$B$7:$B$306,0))&gt;0),"연장·야간·휴일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","")&amp;IF(AND(설정!$B$24&lt;&gt;"",설정!$C$24="",OR(ISNUMBER(FIND("연장",설정!$B$24)),ISNUMBER(FIND("야간",설정!$B$24)),ISNUMBER(FIND("휴일",설정!$B$24))),INDEX(직원목록!$M$7:$M$306,MATCH(61,직원목록!$B$7:$B$306,0))&gt;0),"연장·야간·휴일 수당은 시간 수도 명세서에 적어야 하니 시간 열 지정 필요 / ",""))=0,"✔",("⚠ "&amp;IF(AND(F73&lt;&gt;"",F73&lt;&gt;0),"계산 총지급과 대장 총지급이 다릅니다 / ","")&amp;IF(AND(I73&lt;&gt;"",I73&lt;&gt;0),"계산 총공제와 대장 총공제가 다릅니다 / ","")&amp;IF(J73&lt;0,"실수령액이 음수입니다 / ","")&amp;IF(COUNTIF(직원목록!$D$7:$D$306,B73)&gt;1,"같은 이름이 둘 이상 — 미리보기는 첫 번째만 보입니다 / ","")&amp;IF(AND(C73&lt;&gt;"",COUNTIF(직원목록!$C$7:$C$306,C73)&gt;1),"사번 중복 / ","")&amp;IF(D73=0,"총지급이 0원 — 머리글 매칭 확인 / ","")&amp;IF(AND(설정!$B$17&lt;&gt;"",설정!$C$17="",OR(ISNUMBER(FIND("연장",설정!$B$17)),ISNUMBER(FIND("야간",설정!$B$17)),ISNUMBER(FIND("휴일",설정!$B$17))),INDEX(직원목록!$F$7:$F$306,MATCH(61,직원목록!$B$7:$B$306,0))&gt;0),"연장·야간·휴일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","")&amp;IF(AND(설정!$B$24&lt;&gt;"",설정!$C$24="",OR(ISNUMBER(FIND("연장",설정!$B$24)),ISNUMBER(FIND("야간",설정!$B$24)),ISNUMBER(FIND("휴일",설정!$B$24))),INDEX(직원목록!$M$7:$M$306,MATCH(61,직원목록!$B$7:$B$306,0))&gt;0),"연장·야간·휴일 수당은 시간 수도 명세서에 적어야 하니 시간 열 지정 필요 / ",""))))</f>
        <v/>
      </c>
    </row>
    <row r="74">
      <c r="A74" s="26">
        <f>IF(IFERROR(MATCH(62,직원목록!$B$7:$B$306,0),0)=0,"",62)</f>
        <v/>
      </c>
      <c r="B74" s="2">
        <f>IF($A74="","",IFERROR(INDEX(직원목록!$D$7:$D$306,MATCH(62,직원목록!$B$7:$B$306,0)),""))</f>
        <v/>
      </c>
      <c r="C74" s="2">
        <f>IF($A74="","",IFERROR(INDEX(직원목록!$C$7:$C$306,MATCH(62,직원목록!$B$7:$B$306,0)),""))</f>
        <v/>
      </c>
      <c r="D74" s="27">
        <f>IF($A74="","",IFERROR(INDEX(직원목록!$V$7:$V$306,MATCH(62,직원목록!$B$7:$B$306,0)),""))</f>
        <v/>
      </c>
      <c r="E74" s="27">
        <f>IF($A74="","",IFERROR(INDEX(직원목록!$AG$7:$AG$306,MATCH(62,직원목록!$B$7:$B$306,0)),""))</f>
        <v/>
      </c>
      <c r="F74" s="27">
        <f>IF(OR($A74="",E74=""),"",D74-E74)</f>
        <v/>
      </c>
      <c r="G74" s="27">
        <f>IF($A74="","",IFERROR(INDEX(직원목록!$AE$7:$AE$306,MATCH(62,직원목록!$B$7:$B$306,0)),""))</f>
        <v/>
      </c>
      <c r="H74" s="27">
        <f>IF($A74="","",IFERROR(INDEX(직원목록!$AH$7:$AH$306,MATCH(62,직원목록!$B$7:$B$306,0)),""))</f>
        <v/>
      </c>
      <c r="I74" s="27">
        <f>IF(OR($A74="",H74=""),"",G74-H74)</f>
        <v/>
      </c>
      <c r="J74" s="27">
        <f>IF($A74="","",IFERROR(INDEX(직원목록!$AF$7:$AF$306,MATCH(62,직원목록!$B$7:$B$306,0)),""))</f>
        <v/>
      </c>
      <c r="K74" s="27">
        <f>IF($A74="","",IFERROR(INDEX(직원목록!$AI$7:$AI$306,MATCH(62,직원목록!$B$7:$B$306,0)),""))</f>
        <v/>
      </c>
      <c r="L74" s="8">
        <f>IF($A74="","",IF(LEN(IF(AND(F74&lt;&gt;"",F74&lt;&gt;0),"계산 총지급과 대장 총지급이 다릅니다 / ","")&amp;IF(AND(I74&lt;&gt;"",I74&lt;&gt;0),"계산 총공제와 대장 총공제가 다릅니다 / ","")&amp;IF(J74&lt;0,"실수령액이 음수입니다 / ","")&amp;IF(COUNTIF(직원목록!$D$7:$D$306,B74)&gt;1,"같은 이름이 둘 이상 — 미리보기는 첫 번째만 보입니다 / ","")&amp;IF(AND(C74&lt;&gt;"",COUNTIF(직원목록!$C$7:$C$306,C74)&gt;1),"사번 중복 / ","")&amp;IF(D74=0,"총지급이 0원 — 머리글 매칭 확인 / ","")&amp;IF(AND(설정!$B$17&lt;&gt;"",설정!$C$17="",OR(ISNUMBER(FIND("연장",설정!$B$17)),ISNUMBER(FIND("야간",설정!$B$17)),ISNUMBER(FIND("휴일",설정!$B$17))),INDEX(직원목록!$F$7:$F$306,MATCH(62,직원목록!$B$7:$B$306,0))&gt;0),"연장·야간·휴일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","")&amp;IF(AND(설정!$B$24&lt;&gt;"",설정!$C$24="",OR(ISNUMBER(FIND("연장",설정!$B$24)),ISNUMBER(FIND("야간",설정!$B$24)),ISNUMBER(FIND("휴일",설정!$B$24))),INDEX(직원목록!$M$7:$M$306,MATCH(62,직원목록!$B$7:$B$306,0))&gt;0),"연장·야간·휴일 수당은 시간 수도 명세서에 적어야 하니 시간 열 지정 필요 / ",""))=0,"✔",("⚠ "&amp;IF(AND(F74&lt;&gt;"",F74&lt;&gt;0),"계산 총지급과 대장 총지급이 다릅니다 / ","")&amp;IF(AND(I74&lt;&gt;"",I74&lt;&gt;0),"계산 총공제와 대장 총공제가 다릅니다 / ","")&amp;IF(J74&lt;0,"실수령액이 음수입니다 / ","")&amp;IF(COUNTIF(직원목록!$D$7:$D$306,B74)&gt;1,"같은 이름이 둘 이상 — 미리보기는 첫 번째만 보입니다 / ","")&amp;IF(AND(C74&lt;&gt;"",COUNTIF(직원목록!$C$7:$C$306,C74)&gt;1),"사번 중복 / ","")&amp;IF(D74=0,"총지급이 0원 — 머리글 매칭 확인 / ","")&amp;IF(AND(설정!$B$17&lt;&gt;"",설정!$C$17="",OR(ISNUMBER(FIND("연장",설정!$B$17)),ISNUMBER(FIND("야간",설정!$B$17)),ISNUMBER(FIND("휴일",설정!$B$17))),INDEX(직원목록!$F$7:$F$306,MATCH(62,직원목록!$B$7:$B$306,0))&gt;0),"연장·야간·휴일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","")&amp;IF(AND(설정!$B$24&lt;&gt;"",설정!$C$24="",OR(ISNUMBER(FIND("연장",설정!$B$24)),ISNUMBER(FIND("야간",설정!$B$24)),ISNUMBER(FIND("휴일",설정!$B$24))),INDEX(직원목록!$M$7:$M$306,MATCH(62,직원목록!$B$7:$B$306,0))&gt;0),"연장·야간·휴일 수당은 시간 수도 명세서에 적어야 하니 시간 열 지정 필요 / ",""))))</f>
        <v/>
      </c>
    </row>
    <row r="75">
      <c r="A75" s="26">
        <f>IF(IFERROR(MATCH(63,직원목록!$B$7:$B$306,0),0)=0,"",63)</f>
        <v/>
      </c>
      <c r="B75" s="2">
        <f>IF($A75="","",IFERROR(INDEX(직원목록!$D$7:$D$306,MATCH(63,직원목록!$B$7:$B$306,0)),""))</f>
        <v/>
      </c>
      <c r="C75" s="2">
        <f>IF($A75="","",IFERROR(INDEX(직원목록!$C$7:$C$306,MATCH(63,직원목록!$B$7:$B$306,0)),""))</f>
        <v/>
      </c>
      <c r="D75" s="27">
        <f>IF($A75="","",IFERROR(INDEX(직원목록!$V$7:$V$306,MATCH(63,직원목록!$B$7:$B$306,0)),""))</f>
        <v/>
      </c>
      <c r="E75" s="27">
        <f>IF($A75="","",IFERROR(INDEX(직원목록!$AG$7:$AG$306,MATCH(63,직원목록!$B$7:$B$306,0)),""))</f>
        <v/>
      </c>
      <c r="F75" s="27">
        <f>IF(OR($A75="",E75=""),"",D75-E75)</f>
        <v/>
      </c>
      <c r="G75" s="27">
        <f>IF($A75="","",IFERROR(INDEX(직원목록!$AE$7:$AE$306,MATCH(63,직원목록!$B$7:$B$306,0)),""))</f>
        <v/>
      </c>
      <c r="H75" s="27">
        <f>IF($A75="","",IFERROR(INDEX(직원목록!$AH$7:$AH$306,MATCH(63,직원목록!$B$7:$B$306,0)),""))</f>
        <v/>
      </c>
      <c r="I75" s="27">
        <f>IF(OR($A75="",H75=""),"",G75-H75)</f>
        <v/>
      </c>
      <c r="J75" s="27">
        <f>IF($A75="","",IFERROR(INDEX(직원목록!$AF$7:$AF$306,MATCH(63,직원목록!$B$7:$B$306,0)),""))</f>
        <v/>
      </c>
      <c r="K75" s="27">
        <f>IF($A75="","",IFERROR(INDEX(직원목록!$AI$7:$AI$306,MATCH(63,직원목록!$B$7:$B$306,0)),""))</f>
        <v/>
      </c>
      <c r="L75" s="8">
        <f>IF($A75="","",IF(LEN(IF(AND(F75&lt;&gt;"",F75&lt;&gt;0),"계산 총지급과 대장 총지급이 다릅니다 / ","")&amp;IF(AND(I75&lt;&gt;"",I75&lt;&gt;0),"계산 총공제와 대장 총공제가 다릅니다 / ","")&amp;IF(J75&lt;0,"실수령액이 음수입니다 / ","")&amp;IF(COUNTIF(직원목록!$D$7:$D$306,B75)&gt;1,"같은 이름이 둘 이상 — 미리보기는 첫 번째만 보입니다 / ","")&amp;IF(AND(C75&lt;&gt;"",COUNTIF(직원목록!$C$7:$C$306,C75)&gt;1),"사번 중복 / ","")&amp;IF(D75=0,"총지급이 0원 — 머리글 매칭 확인 / ","")&amp;IF(AND(설정!$B$17&lt;&gt;"",설정!$C$17="",OR(ISNUMBER(FIND("연장",설정!$B$17)),ISNUMBER(FIND("야간",설정!$B$17)),ISNUMBER(FIND("휴일",설정!$B$17))),INDEX(직원목록!$F$7:$F$306,MATCH(63,직원목록!$B$7:$B$306,0))&gt;0),"연장·야간·휴일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","")&amp;IF(AND(설정!$B$24&lt;&gt;"",설정!$C$24="",OR(ISNUMBER(FIND("연장",설정!$B$24)),ISNUMBER(FIND("야간",설정!$B$24)),ISNUMBER(FIND("휴일",설정!$B$24))),INDEX(직원목록!$M$7:$M$306,MATCH(63,직원목록!$B$7:$B$306,0))&gt;0),"연장·야간·휴일 수당은 시간 수도 명세서에 적어야 하니 시간 열 지정 필요 / ",""))=0,"✔",("⚠ "&amp;IF(AND(F75&lt;&gt;"",F75&lt;&gt;0),"계산 총지급과 대장 총지급이 다릅니다 / ","")&amp;IF(AND(I75&lt;&gt;"",I75&lt;&gt;0),"계산 총공제와 대장 총공제가 다릅니다 / ","")&amp;IF(J75&lt;0,"실수령액이 음수입니다 / ","")&amp;IF(COUNTIF(직원목록!$D$7:$D$306,B75)&gt;1,"같은 이름이 둘 이상 — 미리보기는 첫 번째만 보입니다 / ","")&amp;IF(AND(C75&lt;&gt;"",COUNTIF(직원목록!$C$7:$C$306,C75)&gt;1),"사번 중복 / ","")&amp;IF(D75=0,"총지급이 0원 — 머리글 매칭 확인 / ","")&amp;IF(AND(설정!$B$17&lt;&gt;"",설정!$C$17="",OR(ISNUMBER(FIND("연장",설정!$B$17)),ISNUMBER(FIND("야간",설정!$B$17)),ISNUMBER(FIND("휴일",설정!$B$17))),INDEX(직원목록!$F$7:$F$306,MATCH(63,직원목록!$B$7:$B$306,0))&gt;0),"연장·야간·휴일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","")&amp;IF(AND(설정!$B$24&lt;&gt;"",설정!$C$24="",OR(ISNUMBER(FIND("연장",설정!$B$24)),ISNUMBER(FIND("야간",설정!$B$24)),ISNUMBER(FIND("휴일",설정!$B$24))),INDEX(직원목록!$M$7:$M$306,MATCH(63,직원목록!$B$7:$B$306,0))&gt;0),"연장·야간·휴일 수당은 시간 수도 명세서에 적어야 하니 시간 열 지정 필요 / ",""))))</f>
        <v/>
      </c>
    </row>
    <row r="76">
      <c r="A76" s="26">
        <f>IF(IFERROR(MATCH(64,직원목록!$B$7:$B$306,0),0)=0,"",64)</f>
        <v/>
      </c>
      <c r="B76" s="2">
        <f>IF($A76="","",IFERROR(INDEX(직원목록!$D$7:$D$306,MATCH(64,직원목록!$B$7:$B$306,0)),""))</f>
        <v/>
      </c>
      <c r="C76" s="2">
        <f>IF($A76="","",IFERROR(INDEX(직원목록!$C$7:$C$306,MATCH(64,직원목록!$B$7:$B$306,0)),""))</f>
        <v/>
      </c>
      <c r="D76" s="27">
        <f>IF($A76="","",IFERROR(INDEX(직원목록!$V$7:$V$306,MATCH(64,직원목록!$B$7:$B$306,0)),""))</f>
        <v/>
      </c>
      <c r="E76" s="27">
        <f>IF($A76="","",IFERROR(INDEX(직원목록!$AG$7:$AG$306,MATCH(64,직원목록!$B$7:$B$306,0)),""))</f>
        <v/>
      </c>
      <c r="F76" s="27">
        <f>IF(OR($A76="",E76=""),"",D76-E76)</f>
        <v/>
      </c>
      <c r="G76" s="27">
        <f>IF($A76="","",IFERROR(INDEX(직원목록!$AE$7:$AE$306,MATCH(64,직원목록!$B$7:$B$306,0)),""))</f>
        <v/>
      </c>
      <c r="H76" s="27">
        <f>IF($A76="","",IFERROR(INDEX(직원목록!$AH$7:$AH$306,MATCH(64,직원목록!$B$7:$B$306,0)),""))</f>
        <v/>
      </c>
      <c r="I76" s="27">
        <f>IF(OR($A76="",H76=""),"",G76-H76)</f>
        <v/>
      </c>
      <c r="J76" s="27">
        <f>IF($A76="","",IFERROR(INDEX(직원목록!$AF$7:$AF$306,MATCH(64,직원목록!$B$7:$B$306,0)),""))</f>
        <v/>
      </c>
      <c r="K76" s="27">
        <f>IF($A76="","",IFERROR(INDEX(직원목록!$AI$7:$AI$306,MATCH(64,직원목록!$B$7:$B$306,0)),""))</f>
        <v/>
      </c>
      <c r="L76" s="8">
        <f>IF($A76="","",IF(LEN(IF(AND(F76&lt;&gt;"",F76&lt;&gt;0),"계산 총지급과 대장 총지급이 다릅니다 / ","")&amp;IF(AND(I76&lt;&gt;"",I76&lt;&gt;0),"계산 총공제와 대장 총공제가 다릅니다 / ","")&amp;IF(J76&lt;0,"실수령액이 음수입니다 / ","")&amp;IF(COUNTIF(직원목록!$D$7:$D$306,B76)&gt;1,"같은 이름이 둘 이상 — 미리보기는 첫 번째만 보입니다 / ","")&amp;IF(AND(C76&lt;&gt;"",COUNTIF(직원목록!$C$7:$C$306,C76)&gt;1),"사번 중복 / ","")&amp;IF(D76=0,"총지급이 0원 — 머리글 매칭 확인 / ","")&amp;IF(AND(설정!$B$17&lt;&gt;"",설정!$C$17="",OR(ISNUMBER(FIND("연장",설정!$B$17)),ISNUMBER(FIND("야간",설정!$B$17)),ISNUMBER(FIND("휴일",설정!$B$17))),INDEX(직원목록!$F$7:$F$306,MATCH(64,직원목록!$B$7:$B$306,0))&gt;0),"연장·야간·휴일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","")&amp;IF(AND(설정!$B$24&lt;&gt;"",설정!$C$24="",OR(ISNUMBER(FIND("연장",설정!$B$24)),ISNUMBER(FIND("야간",설정!$B$24)),ISNUMBER(FIND("휴일",설정!$B$24))),INDEX(직원목록!$M$7:$M$306,MATCH(64,직원목록!$B$7:$B$306,0))&gt;0),"연장·야간·휴일 수당은 시간 수도 명세서에 적어야 하니 시간 열 지정 필요 / ",""))=0,"✔",("⚠ "&amp;IF(AND(F76&lt;&gt;"",F76&lt;&gt;0),"계산 총지급과 대장 총지급이 다릅니다 / ","")&amp;IF(AND(I76&lt;&gt;"",I76&lt;&gt;0),"계산 총공제와 대장 총공제가 다릅니다 / ","")&amp;IF(J76&lt;0,"실수령액이 음수입니다 / ","")&amp;IF(COUNTIF(직원목록!$D$7:$D$306,B76)&gt;1,"같은 이름이 둘 이상 — 미리보기는 첫 번째만 보입니다 / ","")&amp;IF(AND(C76&lt;&gt;"",COUNTIF(직원목록!$C$7:$C$306,C76)&gt;1),"사번 중복 / ","")&amp;IF(D76=0,"총지급이 0원 — 머리글 매칭 확인 / ","")&amp;IF(AND(설정!$B$17&lt;&gt;"",설정!$C$17="",OR(ISNUMBER(FIND("연장",설정!$B$17)),ISNUMBER(FIND("야간",설정!$B$17)),ISNUMBER(FIND("휴일",설정!$B$17))),INDEX(직원목록!$F$7:$F$306,MATCH(64,직원목록!$B$7:$B$306,0))&gt;0),"연장·야간·휴일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","")&amp;IF(AND(설정!$B$24&lt;&gt;"",설정!$C$24="",OR(ISNUMBER(FIND("연장",설정!$B$24)),ISNUMBER(FIND("야간",설정!$B$24)),ISNUMBER(FIND("휴일",설정!$B$24))),INDEX(직원목록!$M$7:$M$306,MATCH(64,직원목록!$B$7:$B$306,0))&gt;0),"연장·야간·휴일 수당은 시간 수도 명세서에 적어야 하니 시간 열 지정 필요 / ",""))))</f>
        <v/>
      </c>
    </row>
    <row r="77">
      <c r="A77" s="26">
        <f>IF(IFERROR(MATCH(65,직원목록!$B$7:$B$306,0),0)=0,"",65)</f>
        <v/>
      </c>
      <c r="B77" s="2">
        <f>IF($A77="","",IFERROR(INDEX(직원목록!$D$7:$D$306,MATCH(65,직원목록!$B$7:$B$306,0)),""))</f>
        <v/>
      </c>
      <c r="C77" s="2">
        <f>IF($A77="","",IFERROR(INDEX(직원목록!$C$7:$C$306,MATCH(65,직원목록!$B$7:$B$306,0)),""))</f>
        <v/>
      </c>
      <c r="D77" s="27">
        <f>IF($A77="","",IFERROR(INDEX(직원목록!$V$7:$V$306,MATCH(65,직원목록!$B$7:$B$306,0)),""))</f>
        <v/>
      </c>
      <c r="E77" s="27">
        <f>IF($A77="","",IFERROR(INDEX(직원목록!$AG$7:$AG$306,MATCH(65,직원목록!$B$7:$B$306,0)),""))</f>
        <v/>
      </c>
      <c r="F77" s="27">
        <f>IF(OR($A77="",E77=""),"",D77-E77)</f>
        <v/>
      </c>
      <c r="G77" s="27">
        <f>IF($A77="","",IFERROR(INDEX(직원목록!$AE$7:$AE$306,MATCH(65,직원목록!$B$7:$B$306,0)),""))</f>
        <v/>
      </c>
      <c r="H77" s="27">
        <f>IF($A77="","",IFERROR(INDEX(직원목록!$AH$7:$AH$306,MATCH(65,직원목록!$B$7:$B$306,0)),""))</f>
        <v/>
      </c>
      <c r="I77" s="27">
        <f>IF(OR($A77="",H77=""),"",G77-H77)</f>
        <v/>
      </c>
      <c r="J77" s="27">
        <f>IF($A77="","",IFERROR(INDEX(직원목록!$AF$7:$AF$306,MATCH(65,직원목록!$B$7:$B$306,0)),""))</f>
        <v/>
      </c>
      <c r="K77" s="27">
        <f>IF($A77="","",IFERROR(INDEX(직원목록!$AI$7:$AI$306,MATCH(65,직원목록!$B$7:$B$306,0)),""))</f>
        <v/>
      </c>
      <c r="L77" s="8">
        <f>IF($A77="","",IF(LEN(IF(AND(F77&lt;&gt;"",F77&lt;&gt;0),"계산 총지급과 대장 총지급이 다릅니다 / ","")&amp;IF(AND(I77&lt;&gt;"",I77&lt;&gt;0),"계산 총공제와 대장 총공제가 다릅니다 / ","")&amp;IF(J77&lt;0,"실수령액이 음수입니다 / ","")&amp;IF(COUNTIF(직원목록!$D$7:$D$306,B77)&gt;1,"같은 이름이 둘 이상 — 미리보기는 첫 번째만 보입니다 / ","")&amp;IF(AND(C77&lt;&gt;"",COUNTIF(직원목록!$C$7:$C$306,C77)&gt;1),"사번 중복 / ","")&amp;IF(D77=0,"총지급이 0원 — 머리글 매칭 확인 / ","")&amp;IF(AND(설정!$B$17&lt;&gt;"",설정!$C$17="",OR(ISNUMBER(FIND("연장",설정!$B$17)),ISNUMBER(FIND("야간",설정!$B$17)),ISNUMBER(FIND("휴일",설정!$B$17))),INDEX(직원목록!$F$7:$F$306,MATCH(65,직원목록!$B$7:$B$306,0))&gt;0),"연장·야간·휴일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","")&amp;IF(AND(설정!$B$24&lt;&gt;"",설정!$C$24="",OR(ISNUMBER(FIND("연장",설정!$B$24)),ISNUMBER(FIND("야간",설정!$B$24)),ISNUMBER(FIND("휴일",설정!$B$24))),INDEX(직원목록!$M$7:$M$306,MATCH(65,직원목록!$B$7:$B$306,0))&gt;0),"연장·야간·휴일 수당은 시간 수도 명세서에 적어야 하니 시간 열 지정 필요 / ",""))=0,"✔",("⚠ "&amp;IF(AND(F77&lt;&gt;"",F77&lt;&gt;0),"계산 총지급과 대장 총지급이 다릅니다 / ","")&amp;IF(AND(I77&lt;&gt;"",I77&lt;&gt;0),"계산 총공제와 대장 총공제가 다릅니다 / ","")&amp;IF(J77&lt;0,"실수령액이 음수입니다 / ","")&amp;IF(COUNTIF(직원목록!$D$7:$D$306,B77)&gt;1,"같은 이름이 둘 이상 — 미리보기는 첫 번째만 보입니다 / ","")&amp;IF(AND(C77&lt;&gt;"",COUNTIF(직원목록!$C$7:$C$306,C77)&gt;1),"사번 중복 / ","")&amp;IF(D77=0,"총지급이 0원 — 머리글 매칭 확인 / ","")&amp;IF(AND(설정!$B$17&lt;&gt;"",설정!$C$17="",OR(ISNUMBER(FIND("연장",설정!$B$17)),ISNUMBER(FIND("야간",설정!$B$17)),ISNUMBER(FIND("휴일",설정!$B$17))),INDEX(직원목록!$F$7:$F$306,MATCH(65,직원목록!$B$7:$B$306,0))&gt;0),"연장·야간·휴일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","")&amp;IF(AND(설정!$B$24&lt;&gt;"",설정!$C$24="",OR(ISNUMBER(FIND("연장",설정!$B$24)),ISNUMBER(FIND("야간",설정!$B$24)),ISNUMBER(FIND("휴일",설정!$B$24))),INDEX(직원목록!$M$7:$M$306,MATCH(65,직원목록!$B$7:$B$306,0))&gt;0),"연장·야간·휴일 수당은 시간 수도 명세서에 적어야 하니 시간 열 지정 필요 / ",""))))</f>
        <v/>
      </c>
    </row>
    <row r="78">
      <c r="A78" s="26">
        <f>IF(IFERROR(MATCH(66,직원목록!$B$7:$B$306,0),0)=0,"",66)</f>
        <v/>
      </c>
      <c r="B78" s="2">
        <f>IF($A78="","",IFERROR(INDEX(직원목록!$D$7:$D$306,MATCH(66,직원목록!$B$7:$B$306,0)),""))</f>
        <v/>
      </c>
      <c r="C78" s="2">
        <f>IF($A78="","",IFERROR(INDEX(직원목록!$C$7:$C$306,MATCH(66,직원목록!$B$7:$B$306,0)),""))</f>
        <v/>
      </c>
      <c r="D78" s="27">
        <f>IF($A78="","",IFERROR(INDEX(직원목록!$V$7:$V$306,MATCH(66,직원목록!$B$7:$B$306,0)),""))</f>
        <v/>
      </c>
      <c r="E78" s="27">
        <f>IF($A78="","",IFERROR(INDEX(직원목록!$AG$7:$AG$306,MATCH(66,직원목록!$B$7:$B$306,0)),""))</f>
        <v/>
      </c>
      <c r="F78" s="27">
        <f>IF(OR($A78="",E78=""),"",D78-E78)</f>
        <v/>
      </c>
      <c r="G78" s="27">
        <f>IF($A78="","",IFERROR(INDEX(직원목록!$AE$7:$AE$306,MATCH(66,직원목록!$B$7:$B$306,0)),""))</f>
        <v/>
      </c>
      <c r="H78" s="27">
        <f>IF($A78="","",IFERROR(INDEX(직원목록!$AH$7:$AH$306,MATCH(66,직원목록!$B$7:$B$306,0)),""))</f>
        <v/>
      </c>
      <c r="I78" s="27">
        <f>IF(OR($A78="",H78=""),"",G78-H78)</f>
        <v/>
      </c>
      <c r="J78" s="27">
        <f>IF($A78="","",IFERROR(INDEX(직원목록!$AF$7:$AF$306,MATCH(66,직원목록!$B$7:$B$306,0)),""))</f>
        <v/>
      </c>
      <c r="K78" s="27">
        <f>IF($A78="","",IFERROR(INDEX(직원목록!$AI$7:$AI$306,MATCH(66,직원목록!$B$7:$B$306,0)),""))</f>
        <v/>
      </c>
      <c r="L78" s="8">
        <f>IF($A78="","",IF(LEN(IF(AND(F78&lt;&gt;"",F78&lt;&gt;0),"계산 총지급과 대장 총지급이 다릅니다 / ","")&amp;IF(AND(I78&lt;&gt;"",I78&lt;&gt;0),"계산 총공제와 대장 총공제가 다릅니다 / ","")&amp;IF(J78&lt;0,"실수령액이 음수입니다 / ","")&amp;IF(COUNTIF(직원목록!$D$7:$D$306,B78)&gt;1,"같은 이름이 둘 이상 — 미리보기는 첫 번째만 보입니다 / ","")&amp;IF(AND(C78&lt;&gt;"",COUNTIF(직원목록!$C$7:$C$306,C78)&gt;1),"사번 중복 / ","")&amp;IF(D78=0,"총지급이 0원 — 머리글 매칭 확인 / ","")&amp;IF(AND(설정!$B$17&lt;&gt;"",설정!$C$17="",OR(ISNUMBER(FIND("연장",설정!$B$17)),ISNUMBER(FIND("야간",설정!$B$17)),ISNUMBER(FIND("휴일",설정!$B$17))),INDEX(직원목록!$F$7:$F$306,MATCH(66,직원목록!$B$7:$B$306,0))&gt;0),"연장·야간·휴일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","")&amp;IF(AND(설정!$B$24&lt;&gt;"",설정!$C$24="",OR(ISNUMBER(FIND("연장",설정!$B$24)),ISNUMBER(FIND("야간",설정!$B$24)),ISNUMBER(FIND("휴일",설정!$B$24))),INDEX(직원목록!$M$7:$M$306,MATCH(66,직원목록!$B$7:$B$306,0))&gt;0),"연장·야간·휴일 수당은 시간 수도 명세서에 적어야 하니 시간 열 지정 필요 / ",""))=0,"✔",("⚠ "&amp;IF(AND(F78&lt;&gt;"",F78&lt;&gt;0),"계산 총지급과 대장 총지급이 다릅니다 / ","")&amp;IF(AND(I78&lt;&gt;"",I78&lt;&gt;0),"계산 총공제와 대장 총공제가 다릅니다 / ","")&amp;IF(J78&lt;0,"실수령액이 음수입니다 / ","")&amp;IF(COUNTIF(직원목록!$D$7:$D$306,B78)&gt;1,"같은 이름이 둘 이상 — 미리보기는 첫 번째만 보입니다 / ","")&amp;IF(AND(C78&lt;&gt;"",COUNTIF(직원목록!$C$7:$C$306,C78)&gt;1),"사번 중복 / ","")&amp;IF(D78=0,"총지급이 0원 — 머리글 매칭 확인 / ","")&amp;IF(AND(설정!$B$17&lt;&gt;"",설정!$C$17="",OR(ISNUMBER(FIND("연장",설정!$B$17)),ISNUMBER(FIND("야간",설정!$B$17)),ISNUMBER(FIND("휴일",설정!$B$17))),INDEX(직원목록!$F$7:$F$306,MATCH(66,직원목록!$B$7:$B$306,0))&gt;0),"연장·야간·휴일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","")&amp;IF(AND(설정!$B$24&lt;&gt;"",설정!$C$24="",OR(ISNUMBER(FIND("연장",설정!$B$24)),ISNUMBER(FIND("야간",설정!$B$24)),ISNUMBER(FIND("휴일",설정!$B$24))),INDEX(직원목록!$M$7:$M$306,MATCH(66,직원목록!$B$7:$B$306,0))&gt;0),"연장·야간·휴일 수당은 시간 수도 명세서에 적어야 하니 시간 열 지정 필요 / ",""))))</f>
        <v/>
      </c>
    </row>
    <row r="79">
      <c r="A79" s="26">
        <f>IF(IFERROR(MATCH(67,직원목록!$B$7:$B$306,0),0)=0,"",67)</f>
        <v/>
      </c>
      <c r="B79" s="2">
        <f>IF($A79="","",IFERROR(INDEX(직원목록!$D$7:$D$306,MATCH(67,직원목록!$B$7:$B$306,0)),""))</f>
        <v/>
      </c>
      <c r="C79" s="2">
        <f>IF($A79="","",IFERROR(INDEX(직원목록!$C$7:$C$306,MATCH(67,직원목록!$B$7:$B$306,0)),""))</f>
        <v/>
      </c>
      <c r="D79" s="27">
        <f>IF($A79="","",IFERROR(INDEX(직원목록!$V$7:$V$306,MATCH(67,직원목록!$B$7:$B$306,0)),""))</f>
        <v/>
      </c>
      <c r="E79" s="27">
        <f>IF($A79="","",IFERROR(INDEX(직원목록!$AG$7:$AG$306,MATCH(67,직원목록!$B$7:$B$306,0)),""))</f>
        <v/>
      </c>
      <c r="F79" s="27">
        <f>IF(OR($A79="",E79=""),"",D79-E79)</f>
        <v/>
      </c>
      <c r="G79" s="27">
        <f>IF($A79="","",IFERROR(INDEX(직원목록!$AE$7:$AE$306,MATCH(67,직원목록!$B$7:$B$306,0)),""))</f>
        <v/>
      </c>
      <c r="H79" s="27">
        <f>IF($A79="","",IFERROR(INDEX(직원목록!$AH$7:$AH$306,MATCH(67,직원목록!$B$7:$B$306,0)),""))</f>
        <v/>
      </c>
      <c r="I79" s="27">
        <f>IF(OR($A79="",H79=""),"",G79-H79)</f>
        <v/>
      </c>
      <c r="J79" s="27">
        <f>IF($A79="","",IFERROR(INDEX(직원목록!$AF$7:$AF$306,MATCH(67,직원목록!$B$7:$B$306,0)),""))</f>
        <v/>
      </c>
      <c r="K79" s="27">
        <f>IF($A79="","",IFERROR(INDEX(직원목록!$AI$7:$AI$306,MATCH(67,직원목록!$B$7:$B$306,0)),""))</f>
        <v/>
      </c>
      <c r="L79" s="8">
        <f>IF($A79="","",IF(LEN(IF(AND(F79&lt;&gt;"",F79&lt;&gt;0),"계산 총지급과 대장 총지급이 다릅니다 / ","")&amp;IF(AND(I79&lt;&gt;"",I79&lt;&gt;0),"계산 총공제와 대장 총공제가 다릅니다 / ","")&amp;IF(J79&lt;0,"실수령액이 음수입니다 / ","")&amp;IF(COUNTIF(직원목록!$D$7:$D$306,B79)&gt;1,"같은 이름이 둘 이상 — 미리보기는 첫 번째만 보입니다 / ","")&amp;IF(AND(C79&lt;&gt;"",COUNTIF(직원목록!$C$7:$C$306,C79)&gt;1),"사번 중복 / ","")&amp;IF(D79=0,"총지급이 0원 — 머리글 매칭 확인 / ","")&amp;IF(AND(설정!$B$17&lt;&gt;"",설정!$C$17="",OR(ISNUMBER(FIND("연장",설정!$B$17)),ISNUMBER(FIND("야간",설정!$B$17)),ISNUMBER(FIND("휴일",설정!$B$17))),INDEX(직원목록!$F$7:$F$306,MATCH(67,직원목록!$B$7:$B$306,0))&gt;0),"연장·야간·휴일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","")&amp;IF(AND(설정!$B$24&lt;&gt;"",설정!$C$24="",OR(ISNUMBER(FIND("연장",설정!$B$24)),ISNUMBER(FIND("야간",설정!$B$24)),ISNUMBER(FIND("휴일",설정!$B$24))),INDEX(직원목록!$M$7:$M$306,MATCH(67,직원목록!$B$7:$B$306,0))&gt;0),"연장·야간·휴일 수당은 시간 수도 명세서에 적어야 하니 시간 열 지정 필요 / ",""))=0,"✔",("⚠ "&amp;IF(AND(F79&lt;&gt;"",F79&lt;&gt;0),"계산 총지급과 대장 총지급이 다릅니다 / ","")&amp;IF(AND(I79&lt;&gt;"",I79&lt;&gt;0),"계산 총공제와 대장 총공제가 다릅니다 / ","")&amp;IF(J79&lt;0,"실수령액이 음수입니다 / ","")&amp;IF(COUNTIF(직원목록!$D$7:$D$306,B79)&gt;1,"같은 이름이 둘 이상 — 미리보기는 첫 번째만 보입니다 / ","")&amp;IF(AND(C79&lt;&gt;"",COUNTIF(직원목록!$C$7:$C$306,C79)&gt;1),"사번 중복 / ","")&amp;IF(D79=0,"총지급이 0원 — 머리글 매칭 확인 / ","")&amp;IF(AND(설정!$B$17&lt;&gt;"",설정!$C$17="",OR(ISNUMBER(FIND("연장",설정!$B$17)),ISNUMBER(FIND("야간",설정!$B$17)),ISNUMBER(FIND("휴일",설정!$B$17))),INDEX(직원목록!$F$7:$F$306,MATCH(67,직원목록!$B$7:$B$306,0))&gt;0),"연장·야간·휴일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","")&amp;IF(AND(설정!$B$24&lt;&gt;"",설정!$C$24="",OR(ISNUMBER(FIND("연장",설정!$B$24)),ISNUMBER(FIND("야간",설정!$B$24)),ISNUMBER(FIND("휴일",설정!$B$24))),INDEX(직원목록!$M$7:$M$306,MATCH(67,직원목록!$B$7:$B$306,0))&gt;0),"연장·야간·휴일 수당은 시간 수도 명세서에 적어야 하니 시간 열 지정 필요 / ",""))))</f>
        <v/>
      </c>
    </row>
    <row r="80">
      <c r="A80" s="26">
        <f>IF(IFERROR(MATCH(68,직원목록!$B$7:$B$306,0),0)=0,"",68)</f>
        <v/>
      </c>
      <c r="B80" s="2">
        <f>IF($A80="","",IFERROR(INDEX(직원목록!$D$7:$D$306,MATCH(68,직원목록!$B$7:$B$306,0)),""))</f>
        <v/>
      </c>
      <c r="C80" s="2">
        <f>IF($A80="","",IFERROR(INDEX(직원목록!$C$7:$C$306,MATCH(68,직원목록!$B$7:$B$306,0)),""))</f>
        <v/>
      </c>
      <c r="D80" s="27">
        <f>IF($A80="","",IFERROR(INDEX(직원목록!$V$7:$V$306,MATCH(68,직원목록!$B$7:$B$306,0)),""))</f>
        <v/>
      </c>
      <c r="E80" s="27">
        <f>IF($A80="","",IFERROR(INDEX(직원목록!$AG$7:$AG$306,MATCH(68,직원목록!$B$7:$B$306,0)),""))</f>
        <v/>
      </c>
      <c r="F80" s="27">
        <f>IF(OR($A80="",E80=""),"",D80-E80)</f>
        <v/>
      </c>
      <c r="G80" s="27">
        <f>IF($A80="","",IFERROR(INDEX(직원목록!$AE$7:$AE$306,MATCH(68,직원목록!$B$7:$B$306,0)),""))</f>
        <v/>
      </c>
      <c r="H80" s="27">
        <f>IF($A80="","",IFERROR(INDEX(직원목록!$AH$7:$AH$306,MATCH(68,직원목록!$B$7:$B$306,0)),""))</f>
        <v/>
      </c>
      <c r="I80" s="27">
        <f>IF(OR($A80="",H80=""),"",G80-H80)</f>
        <v/>
      </c>
      <c r="J80" s="27">
        <f>IF($A80="","",IFERROR(INDEX(직원목록!$AF$7:$AF$306,MATCH(68,직원목록!$B$7:$B$306,0)),""))</f>
        <v/>
      </c>
      <c r="K80" s="27">
        <f>IF($A80="","",IFERROR(INDEX(직원목록!$AI$7:$AI$306,MATCH(68,직원목록!$B$7:$B$306,0)),""))</f>
        <v/>
      </c>
      <c r="L80" s="8">
        <f>IF($A80="","",IF(LEN(IF(AND(F80&lt;&gt;"",F80&lt;&gt;0),"계산 총지급과 대장 총지급이 다릅니다 / ","")&amp;IF(AND(I80&lt;&gt;"",I80&lt;&gt;0),"계산 총공제와 대장 총공제가 다릅니다 / ","")&amp;IF(J80&lt;0,"실수령액이 음수입니다 / ","")&amp;IF(COUNTIF(직원목록!$D$7:$D$306,B80)&gt;1,"같은 이름이 둘 이상 — 미리보기는 첫 번째만 보입니다 / ","")&amp;IF(AND(C80&lt;&gt;"",COUNTIF(직원목록!$C$7:$C$306,C80)&gt;1),"사번 중복 / ","")&amp;IF(D80=0,"총지급이 0원 — 머리글 매칭 확인 / ","")&amp;IF(AND(설정!$B$17&lt;&gt;"",설정!$C$17="",OR(ISNUMBER(FIND("연장",설정!$B$17)),ISNUMBER(FIND("야간",설정!$B$17)),ISNUMBER(FIND("휴일",설정!$B$17))),INDEX(직원목록!$F$7:$F$306,MATCH(68,직원목록!$B$7:$B$306,0))&gt;0),"연장·야간·휴일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","")&amp;IF(AND(설정!$B$24&lt;&gt;"",설정!$C$24="",OR(ISNUMBER(FIND("연장",설정!$B$24)),ISNUMBER(FIND("야간",설정!$B$24)),ISNUMBER(FIND("휴일",설정!$B$24))),INDEX(직원목록!$M$7:$M$306,MATCH(68,직원목록!$B$7:$B$306,0))&gt;0),"연장·야간·휴일 수당은 시간 수도 명세서에 적어야 하니 시간 열 지정 필요 / ",""))=0,"✔",("⚠ "&amp;IF(AND(F80&lt;&gt;"",F80&lt;&gt;0),"계산 총지급과 대장 총지급이 다릅니다 / ","")&amp;IF(AND(I80&lt;&gt;"",I80&lt;&gt;0),"계산 총공제와 대장 총공제가 다릅니다 / ","")&amp;IF(J80&lt;0,"실수령액이 음수입니다 / ","")&amp;IF(COUNTIF(직원목록!$D$7:$D$306,B80)&gt;1,"같은 이름이 둘 이상 — 미리보기는 첫 번째만 보입니다 / ","")&amp;IF(AND(C80&lt;&gt;"",COUNTIF(직원목록!$C$7:$C$306,C80)&gt;1),"사번 중복 / ","")&amp;IF(D80=0,"총지급이 0원 — 머리글 매칭 확인 / ","")&amp;IF(AND(설정!$B$17&lt;&gt;"",설정!$C$17="",OR(ISNUMBER(FIND("연장",설정!$B$17)),ISNUMBER(FIND("야간",설정!$B$17)),ISNUMBER(FIND("휴일",설정!$B$17))),INDEX(직원목록!$F$7:$F$306,MATCH(68,직원목록!$B$7:$B$306,0))&gt;0),"연장·야간·휴일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","")&amp;IF(AND(설정!$B$24&lt;&gt;"",설정!$C$24="",OR(ISNUMBER(FIND("연장",설정!$B$24)),ISNUMBER(FIND("야간",설정!$B$24)),ISNUMBER(FIND("휴일",설정!$B$24))),INDEX(직원목록!$M$7:$M$306,MATCH(68,직원목록!$B$7:$B$306,0))&gt;0),"연장·야간·휴일 수당은 시간 수도 명세서에 적어야 하니 시간 열 지정 필요 / ",""))))</f>
        <v/>
      </c>
    </row>
    <row r="81">
      <c r="A81" s="26">
        <f>IF(IFERROR(MATCH(69,직원목록!$B$7:$B$306,0),0)=0,"",69)</f>
        <v/>
      </c>
      <c r="B81" s="2">
        <f>IF($A81="","",IFERROR(INDEX(직원목록!$D$7:$D$306,MATCH(69,직원목록!$B$7:$B$306,0)),""))</f>
        <v/>
      </c>
      <c r="C81" s="2">
        <f>IF($A81="","",IFERROR(INDEX(직원목록!$C$7:$C$306,MATCH(69,직원목록!$B$7:$B$306,0)),""))</f>
        <v/>
      </c>
      <c r="D81" s="27">
        <f>IF($A81="","",IFERROR(INDEX(직원목록!$V$7:$V$306,MATCH(69,직원목록!$B$7:$B$306,0)),""))</f>
        <v/>
      </c>
      <c r="E81" s="27">
        <f>IF($A81="","",IFERROR(INDEX(직원목록!$AG$7:$AG$306,MATCH(69,직원목록!$B$7:$B$306,0)),""))</f>
        <v/>
      </c>
      <c r="F81" s="27">
        <f>IF(OR($A81="",E81=""),"",D81-E81)</f>
        <v/>
      </c>
      <c r="G81" s="27">
        <f>IF($A81="","",IFERROR(INDEX(직원목록!$AE$7:$AE$306,MATCH(69,직원목록!$B$7:$B$306,0)),""))</f>
        <v/>
      </c>
      <c r="H81" s="27">
        <f>IF($A81="","",IFERROR(INDEX(직원목록!$AH$7:$AH$306,MATCH(69,직원목록!$B$7:$B$306,0)),""))</f>
        <v/>
      </c>
      <c r="I81" s="27">
        <f>IF(OR($A81="",H81=""),"",G81-H81)</f>
        <v/>
      </c>
      <c r="J81" s="27">
        <f>IF($A81="","",IFERROR(INDEX(직원목록!$AF$7:$AF$306,MATCH(69,직원목록!$B$7:$B$306,0)),""))</f>
        <v/>
      </c>
      <c r="K81" s="27">
        <f>IF($A81="","",IFERROR(INDEX(직원목록!$AI$7:$AI$306,MATCH(69,직원목록!$B$7:$B$306,0)),""))</f>
        <v/>
      </c>
      <c r="L81" s="8">
        <f>IF($A81="","",IF(LEN(IF(AND(F81&lt;&gt;"",F81&lt;&gt;0),"계산 총지급과 대장 총지급이 다릅니다 / ","")&amp;IF(AND(I81&lt;&gt;"",I81&lt;&gt;0),"계산 총공제와 대장 총공제가 다릅니다 / ","")&amp;IF(J81&lt;0,"실수령액이 음수입니다 / ","")&amp;IF(COUNTIF(직원목록!$D$7:$D$306,B81)&gt;1,"같은 이름이 둘 이상 — 미리보기는 첫 번째만 보입니다 / ","")&amp;IF(AND(C81&lt;&gt;"",COUNTIF(직원목록!$C$7:$C$306,C81)&gt;1),"사번 중복 / ","")&amp;IF(D81=0,"총지급이 0원 — 머리글 매칭 확인 / ","")&amp;IF(AND(설정!$B$17&lt;&gt;"",설정!$C$17="",OR(ISNUMBER(FIND("연장",설정!$B$17)),ISNUMBER(FIND("야간",설정!$B$17)),ISNUMBER(FIND("휴일",설정!$B$17))),INDEX(직원목록!$F$7:$F$306,MATCH(69,직원목록!$B$7:$B$306,0))&gt;0),"연장·야간·휴일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","")&amp;IF(AND(설정!$B$24&lt;&gt;"",설정!$C$24="",OR(ISNUMBER(FIND("연장",설정!$B$24)),ISNUMBER(FIND("야간",설정!$B$24)),ISNUMBER(FIND("휴일",설정!$B$24))),INDEX(직원목록!$M$7:$M$306,MATCH(69,직원목록!$B$7:$B$306,0))&gt;0),"연장·야간·휴일 수당은 시간 수도 명세서에 적어야 하니 시간 열 지정 필요 / ",""))=0,"✔",("⚠ "&amp;IF(AND(F81&lt;&gt;"",F81&lt;&gt;0),"계산 총지급과 대장 총지급이 다릅니다 / ","")&amp;IF(AND(I81&lt;&gt;"",I81&lt;&gt;0),"계산 총공제와 대장 총공제가 다릅니다 / ","")&amp;IF(J81&lt;0,"실수령액이 음수입니다 / ","")&amp;IF(COUNTIF(직원목록!$D$7:$D$306,B81)&gt;1,"같은 이름이 둘 이상 — 미리보기는 첫 번째만 보입니다 / ","")&amp;IF(AND(C81&lt;&gt;"",COUNTIF(직원목록!$C$7:$C$306,C81)&gt;1),"사번 중복 / ","")&amp;IF(D81=0,"총지급이 0원 — 머리글 매칭 확인 / ","")&amp;IF(AND(설정!$B$17&lt;&gt;"",설정!$C$17="",OR(ISNUMBER(FIND("연장",설정!$B$17)),ISNUMBER(FIND("야간",설정!$B$17)),ISNUMBER(FIND("휴일",설정!$B$17))),INDEX(직원목록!$F$7:$F$306,MATCH(69,직원목록!$B$7:$B$306,0))&gt;0),"연장·야간·휴일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","")&amp;IF(AND(설정!$B$18&lt;&gt;"",설정!$C$18="",OR(ISNUMBER(FIND("연장",설정!$B$18)),ISNUMBER(FIND("야간",설정!$B$18)),ISNUMBER(FIND("휴일",설정!$B$18))),INDEX(직원목록!$G$7:$G$306,MATCH(69,직원목록!$B$7:$B$306,0))&gt;0),"연장·야간·휴일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","")&amp;IF(AND(설정!$B$19&lt;&gt;"",설정!$C$19="",OR(ISNUMBER(FIND("연장",설정!$B$19)),ISNUMBER(FIND("야간",설정!$B$19)),ISNUMBER(FIND("휴일",설정!$B$19))),INDEX(직원목록!$H$7:$H$306,MATCH(69,직원목록!$B$7:$B$306,0))&gt;0),"연장·야간·휴일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","")&amp;IF(AND(설정!$B$20&lt;&gt;"",설정!$C$20="",OR(ISNUMBER(FIND("연장",설정!$B$20)),ISNUMBER(FIND("야간",설정!$B$20)),ISNUMBER(FIND("휴일",설정!$B$20))),INDEX(직원목록!$I$7:$I$306,MATCH(69,직원목록!$B$7:$B$306,0))&gt;0),"연장·야간·휴일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","")&amp;IF(AND(설정!$B$21&lt;&gt;"",설정!$C$21="",OR(ISNUMBER(FIND("연장",설정!$B$21)),ISNUMBER(FIND("야간",설정!$B$21)),ISNUMBER(FIND("휴일",설정!$B$21))),INDEX(직원목록!$J$7:$J$306,MATCH(69,직원목록!$B$7:$B$306,0))&gt;0),"연장·야간·휴일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","")&amp;IF(AND(설정!$B$22&lt;&gt;"",설정!$C$22="",OR(ISNUMBER(FIND("연장",설정!$B$22)),ISNUMBER(FIND("야간",설정!$B$22)),ISNUMBER(FIND("휴일",설정!$B$22))),INDEX(직원목록!$K$7:$K$306,MATCH(69,직원목록!$B$7:$B$306,0))&gt;0),"연장·야간·휴일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","")&amp;IF(AND(설정!$B$23&lt;&gt;"",설정!$C$23="",OR(ISNUMBER(FIND("연장",설정!$B$23)),ISNUMBER(FIND("야간",설정!$B$23)),ISNUMBER(FIND("휴일",설정!$B$23))),INDEX(직원목록!$L$7:$L$306,MATCH(69,직원목록!$B$7:$B$306,0))&gt;0),"연장·야간·휴일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","")&amp;IF(AND(설정!$B$24&lt;&gt;"",설정!$C$24="",OR(ISNUMBER(FIND("연장",설정!$B$24)),ISNUMBER(FIND("야간",설정!$B$24)),ISNUMBER(FIND("휴일",설정!$B$24))),INDEX(직원목록!$M$7:$M$306,MATCH(69,직원목록!$B$7:$B$306,0))&gt;0),"연장·야간·휴일 수당은 시간 수도 명세서에 적어야 하니 시간 열 지정 필요 / ",""))))</f>
        <v/>
      </c>
    </row>
    <row r="82">
      <c r="A82" s="26">
        <f>IF(IFERROR(MATCH(70,직원목록!$B$7:$B$306,0),0)=0,"",70)</f>
        <v/>
      </c>
      <c r="B82" s="2">
        <f>IF($A82="","",IFERROR(INDEX(직원목록!$D$7:$D$306,MATCH(70,직원목록!$B$7:$B$306,0)),""))</f>
        <v/>
      </c>
      <c r="C82" s="2">
        <f>IF($A82="","",IFERROR(INDEX(직원목록!$C$7:$C$306,MATCH(70,직원목록!$B$7:$B$306,0)),""))</f>
        <v/>
      </c>
      <c r="D82" s="27">
        <f>IF($A82="","",IFERROR(INDEX(직원목록!$V$7:$V$306,MATCH(70,직원목록!$B$7:$B$306,0)),""))</f>
        <v/>
      </c>
      <c r="E82" s="27">
        <f>IF($A82="","",IFERROR(INDEX(직원목록!$AG$7:$AG$306,MATCH(70,직원목록!$B$7:$B$306,0)),""))</f>
        <v/>
      </c>
      <c r="F82" s="27">
        <f>IF(OR($A82="",E82=""),"",D82-E82)</f>
        <v/>
      </c>
      <c r="G82" s="27">
        <f>IF($A82="","",IFERROR(INDEX(직원목록!$AE$7:$AE$306,MATCH(70,직원목록!$B$7:$B$306,0)),""))</f>
        <v/>
      </c>
      <c r="H82" s="27">
        <f>IF($A82="","",IFERROR(INDEX(직원목록!$AH$7:$AH$306,MATCH(70,직원목록!$B$7:$B$306,0)),""))</f>
        <v/>
      </c>
      <c r="I82" s="27">
        <f>IF(OR($A82="",H82=""),"",G82-H82)</f>
        <v/>
      </c>
      <c r="J82" s="27">
        <f>IF($A82="","",IFERROR(INDEX(직원목록!$AF$7:$AF$306,MATCH(70,직원목록!$B$7:$B$306,0)),""))</f>
        <v/>
      </c>
      <c r="K82" s="27">
        <f>IF($A82="","",IFERROR(INDEX(직원목록!$AI$7:$AI$306,MATCH(70,직원목록!$B$7:$B$306,0)),""))</f>
        <v/>
      </c>
      <c r="L82" s="8">
        <f>IF($A82="","",IF(LEN(IF(AND(F82&lt;&gt;"",F82&lt;&gt;0),"계산 총지급과 대장 총지급이 다릅니다 / ","")&amp;IF(AND(I82&lt;&gt;"",I82&lt;&gt;0),"계산 총공제와 대장 총공제가 다릅니다 / ","")&amp;IF(J82&lt;0,"실수령액이 음수입니다 / ","")&amp;IF(COUNTIF(직원목록!$D$7:$D$306,B82)&gt;1,"같은 이름이 둘 이상 — 미리보기는 첫 번째만 보입니다 / ","")&amp;IF(AND(C82&lt;&gt;"",COUNTIF(직원목록!$C$7:$C$306,C82)&gt;1),"사번 중복 / ","")&amp;IF(D82=0,"총지급이 0원 — 머리글 매칭 확인 / ","")&amp;IF(AND(설정!$B$17&lt;&gt;"",설정!$C$17="",OR(ISNUMBER(FIND("연장",설정!$B$17)),ISNUMBER(FIND("야간",설정!$B$17)),ISNUMBER(FIND("휴일",설정!$B$17))),INDEX(직원목록!$F$7:$F$306,MATCH(70,직원목록!$B$7:$B$306,0))&gt;0),"연장·야간·휴일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","")&amp;IF(AND(설정!$B$24&lt;&gt;"",설정!$C$24="",OR(ISNUMBER(FIND("연장",설정!$B$24)),ISNUMBER(FIND("야간",설정!$B$24)),ISNUMBER(FIND("휴일",설정!$B$24))),INDEX(직원목록!$M$7:$M$306,MATCH(70,직원목록!$B$7:$B$306,0))&gt;0),"연장·야간·휴일 수당은 시간 수도 명세서에 적어야 하니 시간 열 지정 필요 / ",""))=0,"✔",("⚠ "&amp;IF(AND(F82&lt;&gt;"",F82&lt;&gt;0),"계산 총지급과 대장 총지급이 다릅니다 / ","")&amp;IF(AND(I82&lt;&gt;"",I82&lt;&gt;0),"계산 총공제와 대장 총공제가 다릅니다 / ","")&amp;IF(J82&lt;0,"실수령액이 음수입니다 / ","")&amp;IF(COUNTIF(직원목록!$D$7:$D$306,B82)&gt;1,"같은 이름이 둘 이상 — 미리보기는 첫 번째만 보입니다 / ","")&amp;IF(AND(C82&lt;&gt;"",COUNTIF(직원목록!$C$7:$C$306,C82)&gt;1),"사번 중복 / ","")&amp;IF(D82=0,"총지급이 0원 — 머리글 매칭 확인 / ","")&amp;IF(AND(설정!$B$17&lt;&gt;"",설정!$C$17="",OR(ISNUMBER(FIND("연장",설정!$B$17)),ISNUMBER(FIND("야간",설정!$B$17)),ISNUMBER(FIND("휴일",설정!$B$17))),INDEX(직원목록!$F$7:$F$306,MATCH(70,직원목록!$B$7:$B$306,0))&gt;0),"연장·야간·휴일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","")&amp;IF(AND(설정!$B$24&lt;&gt;"",설정!$C$24="",OR(ISNUMBER(FIND("연장",설정!$B$24)),ISNUMBER(FIND("야간",설정!$B$24)),ISNUMBER(FIND("휴일",설정!$B$24))),INDEX(직원목록!$M$7:$M$306,MATCH(70,직원목록!$B$7:$B$306,0))&gt;0),"연장·야간·휴일 수당은 시간 수도 명세서에 적어야 하니 시간 열 지정 필요 / ",""))))</f>
        <v/>
      </c>
    </row>
    <row r="83">
      <c r="A83" s="26">
        <f>IF(IFERROR(MATCH(71,직원목록!$B$7:$B$306,0),0)=0,"",71)</f>
        <v/>
      </c>
      <c r="B83" s="2">
        <f>IF($A83="","",IFERROR(INDEX(직원목록!$D$7:$D$306,MATCH(71,직원목록!$B$7:$B$306,0)),""))</f>
        <v/>
      </c>
      <c r="C83" s="2">
        <f>IF($A83="","",IFERROR(INDEX(직원목록!$C$7:$C$306,MATCH(71,직원목록!$B$7:$B$306,0)),""))</f>
        <v/>
      </c>
      <c r="D83" s="27">
        <f>IF($A83="","",IFERROR(INDEX(직원목록!$V$7:$V$306,MATCH(71,직원목록!$B$7:$B$306,0)),""))</f>
        <v/>
      </c>
      <c r="E83" s="27">
        <f>IF($A83="","",IFERROR(INDEX(직원목록!$AG$7:$AG$306,MATCH(71,직원목록!$B$7:$B$306,0)),""))</f>
        <v/>
      </c>
      <c r="F83" s="27">
        <f>IF(OR($A83="",E83=""),"",D83-E83)</f>
        <v/>
      </c>
      <c r="G83" s="27">
        <f>IF($A83="","",IFERROR(INDEX(직원목록!$AE$7:$AE$306,MATCH(71,직원목록!$B$7:$B$306,0)),""))</f>
        <v/>
      </c>
      <c r="H83" s="27">
        <f>IF($A83="","",IFERROR(INDEX(직원목록!$AH$7:$AH$306,MATCH(71,직원목록!$B$7:$B$306,0)),""))</f>
        <v/>
      </c>
      <c r="I83" s="27">
        <f>IF(OR($A83="",H83=""),"",G83-H83)</f>
        <v/>
      </c>
      <c r="J83" s="27">
        <f>IF($A83="","",IFERROR(INDEX(직원목록!$AF$7:$AF$306,MATCH(71,직원목록!$B$7:$B$306,0)),""))</f>
        <v/>
      </c>
      <c r="K83" s="27">
        <f>IF($A83="","",IFERROR(INDEX(직원목록!$AI$7:$AI$306,MATCH(71,직원목록!$B$7:$B$306,0)),""))</f>
        <v/>
      </c>
      <c r="L83" s="8">
        <f>IF($A83="","",IF(LEN(IF(AND(F83&lt;&gt;"",F83&lt;&gt;0),"계산 총지급과 대장 총지급이 다릅니다 / ","")&amp;IF(AND(I83&lt;&gt;"",I83&lt;&gt;0),"계산 총공제와 대장 총공제가 다릅니다 / ","")&amp;IF(J83&lt;0,"실수령액이 음수입니다 / ","")&amp;IF(COUNTIF(직원목록!$D$7:$D$306,B83)&gt;1,"같은 이름이 둘 이상 — 미리보기는 첫 번째만 보입니다 / ","")&amp;IF(AND(C83&lt;&gt;"",COUNTIF(직원목록!$C$7:$C$306,C83)&gt;1),"사번 중복 / ","")&amp;IF(D83=0,"총지급이 0원 — 머리글 매칭 확인 / ","")&amp;IF(AND(설정!$B$17&lt;&gt;"",설정!$C$17="",OR(ISNUMBER(FIND("연장",설정!$B$17)),ISNUMBER(FIND("야간",설정!$B$17)),ISNUMBER(FIND("휴일",설정!$B$17))),INDEX(직원목록!$F$7:$F$306,MATCH(71,직원목록!$B$7:$B$306,0))&gt;0),"연장·야간·휴일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","")&amp;IF(AND(설정!$B$24&lt;&gt;"",설정!$C$24="",OR(ISNUMBER(FIND("연장",설정!$B$24)),ISNUMBER(FIND("야간",설정!$B$24)),ISNUMBER(FIND("휴일",설정!$B$24))),INDEX(직원목록!$M$7:$M$306,MATCH(71,직원목록!$B$7:$B$306,0))&gt;0),"연장·야간·휴일 수당은 시간 수도 명세서에 적어야 하니 시간 열 지정 필요 / ",""))=0,"✔",("⚠ "&amp;IF(AND(F83&lt;&gt;"",F83&lt;&gt;0),"계산 총지급과 대장 총지급이 다릅니다 / ","")&amp;IF(AND(I83&lt;&gt;"",I83&lt;&gt;0),"계산 총공제와 대장 총공제가 다릅니다 / ","")&amp;IF(J83&lt;0,"실수령액이 음수입니다 / ","")&amp;IF(COUNTIF(직원목록!$D$7:$D$306,B83)&gt;1,"같은 이름이 둘 이상 — 미리보기는 첫 번째만 보입니다 / ","")&amp;IF(AND(C83&lt;&gt;"",COUNTIF(직원목록!$C$7:$C$306,C83)&gt;1),"사번 중복 / ","")&amp;IF(D83=0,"총지급이 0원 — 머리글 매칭 확인 / ","")&amp;IF(AND(설정!$B$17&lt;&gt;"",설정!$C$17="",OR(ISNUMBER(FIND("연장",설정!$B$17)),ISNUMBER(FIND("야간",설정!$B$17)),ISNUMBER(FIND("휴일",설정!$B$17))),INDEX(직원목록!$F$7:$F$306,MATCH(71,직원목록!$B$7:$B$306,0))&gt;0),"연장·야간·휴일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","")&amp;IF(AND(설정!$B$24&lt;&gt;"",설정!$C$24="",OR(ISNUMBER(FIND("연장",설정!$B$24)),ISNUMBER(FIND("야간",설정!$B$24)),ISNUMBER(FIND("휴일",설정!$B$24))),INDEX(직원목록!$M$7:$M$306,MATCH(71,직원목록!$B$7:$B$306,0))&gt;0),"연장·야간·휴일 수당은 시간 수도 명세서에 적어야 하니 시간 열 지정 필요 / ",""))))</f>
        <v/>
      </c>
    </row>
    <row r="84">
      <c r="A84" s="26">
        <f>IF(IFERROR(MATCH(72,직원목록!$B$7:$B$306,0),0)=0,"",72)</f>
        <v/>
      </c>
      <c r="B84" s="2">
        <f>IF($A84="","",IFERROR(INDEX(직원목록!$D$7:$D$306,MATCH(72,직원목록!$B$7:$B$306,0)),""))</f>
        <v/>
      </c>
      <c r="C84" s="2">
        <f>IF($A84="","",IFERROR(INDEX(직원목록!$C$7:$C$306,MATCH(72,직원목록!$B$7:$B$306,0)),""))</f>
        <v/>
      </c>
      <c r="D84" s="27">
        <f>IF($A84="","",IFERROR(INDEX(직원목록!$V$7:$V$306,MATCH(72,직원목록!$B$7:$B$306,0)),""))</f>
        <v/>
      </c>
      <c r="E84" s="27">
        <f>IF($A84="","",IFERROR(INDEX(직원목록!$AG$7:$AG$306,MATCH(72,직원목록!$B$7:$B$306,0)),""))</f>
        <v/>
      </c>
      <c r="F84" s="27">
        <f>IF(OR($A84="",E84=""),"",D84-E84)</f>
        <v/>
      </c>
      <c r="G84" s="27">
        <f>IF($A84="","",IFERROR(INDEX(직원목록!$AE$7:$AE$306,MATCH(72,직원목록!$B$7:$B$306,0)),""))</f>
        <v/>
      </c>
      <c r="H84" s="27">
        <f>IF($A84="","",IFERROR(INDEX(직원목록!$AH$7:$AH$306,MATCH(72,직원목록!$B$7:$B$306,0)),""))</f>
        <v/>
      </c>
      <c r="I84" s="27">
        <f>IF(OR($A84="",H84=""),"",G84-H84)</f>
        <v/>
      </c>
      <c r="J84" s="27">
        <f>IF($A84="","",IFERROR(INDEX(직원목록!$AF$7:$AF$306,MATCH(72,직원목록!$B$7:$B$306,0)),""))</f>
        <v/>
      </c>
      <c r="K84" s="27">
        <f>IF($A84="","",IFERROR(INDEX(직원목록!$AI$7:$AI$306,MATCH(72,직원목록!$B$7:$B$306,0)),""))</f>
        <v/>
      </c>
      <c r="L84" s="8">
        <f>IF($A84="","",IF(LEN(IF(AND(F84&lt;&gt;"",F84&lt;&gt;0),"계산 총지급과 대장 총지급이 다릅니다 / ","")&amp;IF(AND(I84&lt;&gt;"",I84&lt;&gt;0),"계산 총공제와 대장 총공제가 다릅니다 / ","")&amp;IF(J84&lt;0,"실수령액이 음수입니다 / ","")&amp;IF(COUNTIF(직원목록!$D$7:$D$306,B84)&gt;1,"같은 이름이 둘 이상 — 미리보기는 첫 번째만 보입니다 / ","")&amp;IF(AND(C84&lt;&gt;"",COUNTIF(직원목록!$C$7:$C$306,C84)&gt;1),"사번 중복 / ","")&amp;IF(D84=0,"총지급이 0원 — 머리글 매칭 확인 / ","")&amp;IF(AND(설정!$B$17&lt;&gt;"",설정!$C$17="",OR(ISNUMBER(FIND("연장",설정!$B$17)),ISNUMBER(FIND("야간",설정!$B$17)),ISNUMBER(FIND("휴일",설정!$B$17))),INDEX(직원목록!$F$7:$F$306,MATCH(72,직원목록!$B$7:$B$306,0))&gt;0),"연장·야간·휴일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","")&amp;IF(AND(설정!$B$24&lt;&gt;"",설정!$C$24="",OR(ISNUMBER(FIND("연장",설정!$B$24)),ISNUMBER(FIND("야간",설정!$B$24)),ISNUMBER(FIND("휴일",설정!$B$24))),INDEX(직원목록!$M$7:$M$306,MATCH(72,직원목록!$B$7:$B$306,0))&gt;0),"연장·야간·휴일 수당은 시간 수도 명세서에 적어야 하니 시간 열 지정 필요 / ",""))=0,"✔",("⚠ "&amp;IF(AND(F84&lt;&gt;"",F84&lt;&gt;0),"계산 총지급과 대장 총지급이 다릅니다 / ","")&amp;IF(AND(I84&lt;&gt;"",I84&lt;&gt;0),"계산 총공제와 대장 총공제가 다릅니다 / ","")&amp;IF(J84&lt;0,"실수령액이 음수입니다 / ","")&amp;IF(COUNTIF(직원목록!$D$7:$D$306,B84)&gt;1,"같은 이름이 둘 이상 — 미리보기는 첫 번째만 보입니다 / ","")&amp;IF(AND(C84&lt;&gt;"",COUNTIF(직원목록!$C$7:$C$306,C84)&gt;1),"사번 중복 / ","")&amp;IF(D84=0,"총지급이 0원 — 머리글 매칭 확인 / ","")&amp;IF(AND(설정!$B$17&lt;&gt;"",설정!$C$17="",OR(ISNUMBER(FIND("연장",설정!$B$17)),ISNUMBER(FIND("야간",설정!$B$17)),ISNUMBER(FIND("휴일",설정!$B$17))),INDEX(직원목록!$F$7:$F$306,MATCH(72,직원목록!$B$7:$B$306,0))&gt;0),"연장·야간·휴일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","")&amp;IF(AND(설정!$B$24&lt;&gt;"",설정!$C$24="",OR(ISNUMBER(FIND("연장",설정!$B$24)),ISNUMBER(FIND("야간",설정!$B$24)),ISNUMBER(FIND("휴일",설정!$B$24))),INDEX(직원목록!$M$7:$M$306,MATCH(72,직원목록!$B$7:$B$306,0))&gt;0),"연장·야간·휴일 수당은 시간 수도 명세서에 적어야 하니 시간 열 지정 필요 / ",""))))</f>
        <v/>
      </c>
    </row>
    <row r="85">
      <c r="A85" s="26">
        <f>IF(IFERROR(MATCH(73,직원목록!$B$7:$B$306,0),0)=0,"",73)</f>
        <v/>
      </c>
      <c r="B85" s="2">
        <f>IF($A85="","",IFERROR(INDEX(직원목록!$D$7:$D$306,MATCH(73,직원목록!$B$7:$B$306,0)),""))</f>
        <v/>
      </c>
      <c r="C85" s="2">
        <f>IF($A85="","",IFERROR(INDEX(직원목록!$C$7:$C$306,MATCH(73,직원목록!$B$7:$B$306,0)),""))</f>
        <v/>
      </c>
      <c r="D85" s="27">
        <f>IF($A85="","",IFERROR(INDEX(직원목록!$V$7:$V$306,MATCH(73,직원목록!$B$7:$B$306,0)),""))</f>
        <v/>
      </c>
      <c r="E85" s="27">
        <f>IF($A85="","",IFERROR(INDEX(직원목록!$AG$7:$AG$306,MATCH(73,직원목록!$B$7:$B$306,0)),""))</f>
        <v/>
      </c>
      <c r="F85" s="27">
        <f>IF(OR($A85="",E85=""),"",D85-E85)</f>
        <v/>
      </c>
      <c r="G85" s="27">
        <f>IF($A85="","",IFERROR(INDEX(직원목록!$AE$7:$AE$306,MATCH(73,직원목록!$B$7:$B$306,0)),""))</f>
        <v/>
      </c>
      <c r="H85" s="27">
        <f>IF($A85="","",IFERROR(INDEX(직원목록!$AH$7:$AH$306,MATCH(73,직원목록!$B$7:$B$306,0)),""))</f>
        <v/>
      </c>
      <c r="I85" s="27">
        <f>IF(OR($A85="",H85=""),"",G85-H85)</f>
        <v/>
      </c>
      <c r="J85" s="27">
        <f>IF($A85="","",IFERROR(INDEX(직원목록!$AF$7:$AF$306,MATCH(73,직원목록!$B$7:$B$306,0)),""))</f>
        <v/>
      </c>
      <c r="K85" s="27">
        <f>IF($A85="","",IFERROR(INDEX(직원목록!$AI$7:$AI$306,MATCH(73,직원목록!$B$7:$B$306,0)),""))</f>
        <v/>
      </c>
      <c r="L85" s="8">
        <f>IF($A85="","",IF(LEN(IF(AND(F85&lt;&gt;"",F85&lt;&gt;0),"계산 총지급과 대장 총지급이 다릅니다 / ","")&amp;IF(AND(I85&lt;&gt;"",I85&lt;&gt;0),"계산 총공제와 대장 총공제가 다릅니다 / ","")&amp;IF(J85&lt;0,"실수령액이 음수입니다 / ","")&amp;IF(COUNTIF(직원목록!$D$7:$D$306,B85)&gt;1,"같은 이름이 둘 이상 — 미리보기는 첫 번째만 보입니다 / ","")&amp;IF(AND(C85&lt;&gt;"",COUNTIF(직원목록!$C$7:$C$306,C85)&gt;1),"사번 중복 / ","")&amp;IF(D85=0,"총지급이 0원 — 머리글 매칭 확인 / ","")&amp;IF(AND(설정!$B$17&lt;&gt;"",설정!$C$17="",OR(ISNUMBER(FIND("연장",설정!$B$17)),ISNUMBER(FIND("야간",설정!$B$17)),ISNUMBER(FIND("휴일",설정!$B$17))),INDEX(직원목록!$F$7:$F$306,MATCH(73,직원목록!$B$7:$B$306,0))&gt;0),"연장·야간·휴일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","")&amp;IF(AND(설정!$B$24&lt;&gt;"",설정!$C$24="",OR(ISNUMBER(FIND("연장",설정!$B$24)),ISNUMBER(FIND("야간",설정!$B$24)),ISNUMBER(FIND("휴일",설정!$B$24))),INDEX(직원목록!$M$7:$M$306,MATCH(73,직원목록!$B$7:$B$306,0))&gt;0),"연장·야간·휴일 수당은 시간 수도 명세서에 적어야 하니 시간 열 지정 필요 / ",""))=0,"✔",("⚠ "&amp;IF(AND(F85&lt;&gt;"",F85&lt;&gt;0),"계산 총지급과 대장 총지급이 다릅니다 / ","")&amp;IF(AND(I85&lt;&gt;"",I85&lt;&gt;0),"계산 총공제와 대장 총공제가 다릅니다 / ","")&amp;IF(J85&lt;0,"실수령액이 음수입니다 / ","")&amp;IF(COUNTIF(직원목록!$D$7:$D$306,B85)&gt;1,"같은 이름이 둘 이상 — 미리보기는 첫 번째만 보입니다 / ","")&amp;IF(AND(C85&lt;&gt;"",COUNTIF(직원목록!$C$7:$C$306,C85)&gt;1),"사번 중복 / ","")&amp;IF(D85=0,"총지급이 0원 — 머리글 매칭 확인 / ","")&amp;IF(AND(설정!$B$17&lt;&gt;"",설정!$C$17="",OR(ISNUMBER(FIND("연장",설정!$B$17)),ISNUMBER(FIND("야간",설정!$B$17)),ISNUMBER(FIND("휴일",설정!$B$17))),INDEX(직원목록!$F$7:$F$306,MATCH(73,직원목록!$B$7:$B$306,0))&gt;0),"연장·야간·휴일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","")&amp;IF(AND(설정!$B$24&lt;&gt;"",설정!$C$24="",OR(ISNUMBER(FIND("연장",설정!$B$24)),ISNUMBER(FIND("야간",설정!$B$24)),ISNUMBER(FIND("휴일",설정!$B$24))),INDEX(직원목록!$M$7:$M$306,MATCH(73,직원목록!$B$7:$B$306,0))&gt;0),"연장·야간·휴일 수당은 시간 수도 명세서에 적어야 하니 시간 열 지정 필요 / ",""))))</f>
        <v/>
      </c>
    </row>
    <row r="86">
      <c r="A86" s="26">
        <f>IF(IFERROR(MATCH(74,직원목록!$B$7:$B$306,0),0)=0,"",74)</f>
        <v/>
      </c>
      <c r="B86" s="2">
        <f>IF($A86="","",IFERROR(INDEX(직원목록!$D$7:$D$306,MATCH(74,직원목록!$B$7:$B$306,0)),""))</f>
        <v/>
      </c>
      <c r="C86" s="2">
        <f>IF($A86="","",IFERROR(INDEX(직원목록!$C$7:$C$306,MATCH(74,직원목록!$B$7:$B$306,0)),""))</f>
        <v/>
      </c>
      <c r="D86" s="27">
        <f>IF($A86="","",IFERROR(INDEX(직원목록!$V$7:$V$306,MATCH(74,직원목록!$B$7:$B$306,0)),""))</f>
        <v/>
      </c>
      <c r="E86" s="27">
        <f>IF($A86="","",IFERROR(INDEX(직원목록!$AG$7:$AG$306,MATCH(74,직원목록!$B$7:$B$306,0)),""))</f>
        <v/>
      </c>
      <c r="F86" s="27">
        <f>IF(OR($A86="",E86=""),"",D86-E86)</f>
        <v/>
      </c>
      <c r="G86" s="27">
        <f>IF($A86="","",IFERROR(INDEX(직원목록!$AE$7:$AE$306,MATCH(74,직원목록!$B$7:$B$306,0)),""))</f>
        <v/>
      </c>
      <c r="H86" s="27">
        <f>IF($A86="","",IFERROR(INDEX(직원목록!$AH$7:$AH$306,MATCH(74,직원목록!$B$7:$B$306,0)),""))</f>
        <v/>
      </c>
      <c r="I86" s="27">
        <f>IF(OR($A86="",H86=""),"",G86-H86)</f>
        <v/>
      </c>
      <c r="J86" s="27">
        <f>IF($A86="","",IFERROR(INDEX(직원목록!$AF$7:$AF$306,MATCH(74,직원목록!$B$7:$B$306,0)),""))</f>
        <v/>
      </c>
      <c r="K86" s="27">
        <f>IF($A86="","",IFERROR(INDEX(직원목록!$AI$7:$AI$306,MATCH(74,직원목록!$B$7:$B$306,0)),""))</f>
        <v/>
      </c>
      <c r="L86" s="8">
        <f>IF($A86="","",IF(LEN(IF(AND(F86&lt;&gt;"",F86&lt;&gt;0),"계산 총지급과 대장 총지급이 다릅니다 / ","")&amp;IF(AND(I86&lt;&gt;"",I86&lt;&gt;0),"계산 총공제와 대장 총공제가 다릅니다 / ","")&amp;IF(J86&lt;0,"실수령액이 음수입니다 / ","")&amp;IF(COUNTIF(직원목록!$D$7:$D$306,B86)&gt;1,"같은 이름이 둘 이상 — 미리보기는 첫 번째만 보입니다 / ","")&amp;IF(AND(C86&lt;&gt;"",COUNTIF(직원목록!$C$7:$C$306,C86)&gt;1),"사번 중복 / ","")&amp;IF(D86=0,"총지급이 0원 — 머리글 매칭 확인 / ","")&amp;IF(AND(설정!$B$17&lt;&gt;"",설정!$C$17="",OR(ISNUMBER(FIND("연장",설정!$B$17)),ISNUMBER(FIND("야간",설정!$B$17)),ISNUMBER(FIND("휴일",설정!$B$17))),INDEX(직원목록!$F$7:$F$306,MATCH(74,직원목록!$B$7:$B$306,0))&gt;0),"연장·야간·휴일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","")&amp;IF(AND(설정!$B$24&lt;&gt;"",설정!$C$24="",OR(ISNUMBER(FIND("연장",설정!$B$24)),ISNUMBER(FIND("야간",설정!$B$24)),ISNUMBER(FIND("휴일",설정!$B$24))),INDEX(직원목록!$M$7:$M$306,MATCH(74,직원목록!$B$7:$B$306,0))&gt;0),"연장·야간·휴일 수당은 시간 수도 명세서에 적어야 하니 시간 열 지정 필요 / ",""))=0,"✔",("⚠ "&amp;IF(AND(F86&lt;&gt;"",F86&lt;&gt;0),"계산 총지급과 대장 총지급이 다릅니다 / ","")&amp;IF(AND(I86&lt;&gt;"",I86&lt;&gt;0),"계산 총공제와 대장 총공제가 다릅니다 / ","")&amp;IF(J86&lt;0,"실수령액이 음수입니다 / ","")&amp;IF(COUNTIF(직원목록!$D$7:$D$306,B86)&gt;1,"같은 이름이 둘 이상 — 미리보기는 첫 번째만 보입니다 / ","")&amp;IF(AND(C86&lt;&gt;"",COUNTIF(직원목록!$C$7:$C$306,C86)&gt;1),"사번 중복 / ","")&amp;IF(D86=0,"총지급이 0원 — 머리글 매칭 확인 / ","")&amp;IF(AND(설정!$B$17&lt;&gt;"",설정!$C$17="",OR(ISNUMBER(FIND("연장",설정!$B$17)),ISNUMBER(FIND("야간",설정!$B$17)),ISNUMBER(FIND("휴일",설정!$B$17))),INDEX(직원목록!$F$7:$F$306,MATCH(74,직원목록!$B$7:$B$306,0))&gt;0),"연장·야간·휴일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","")&amp;IF(AND(설정!$B$24&lt;&gt;"",설정!$C$24="",OR(ISNUMBER(FIND("연장",설정!$B$24)),ISNUMBER(FIND("야간",설정!$B$24)),ISNUMBER(FIND("휴일",설정!$B$24))),INDEX(직원목록!$M$7:$M$306,MATCH(74,직원목록!$B$7:$B$306,0))&gt;0),"연장·야간·휴일 수당은 시간 수도 명세서에 적어야 하니 시간 열 지정 필요 / ",""))))</f>
        <v/>
      </c>
    </row>
    <row r="87">
      <c r="A87" s="26">
        <f>IF(IFERROR(MATCH(75,직원목록!$B$7:$B$306,0),0)=0,"",75)</f>
        <v/>
      </c>
      <c r="B87" s="2">
        <f>IF($A87="","",IFERROR(INDEX(직원목록!$D$7:$D$306,MATCH(75,직원목록!$B$7:$B$306,0)),""))</f>
        <v/>
      </c>
      <c r="C87" s="2">
        <f>IF($A87="","",IFERROR(INDEX(직원목록!$C$7:$C$306,MATCH(75,직원목록!$B$7:$B$306,0)),""))</f>
        <v/>
      </c>
      <c r="D87" s="27">
        <f>IF($A87="","",IFERROR(INDEX(직원목록!$V$7:$V$306,MATCH(75,직원목록!$B$7:$B$306,0)),""))</f>
        <v/>
      </c>
      <c r="E87" s="27">
        <f>IF($A87="","",IFERROR(INDEX(직원목록!$AG$7:$AG$306,MATCH(75,직원목록!$B$7:$B$306,0)),""))</f>
        <v/>
      </c>
      <c r="F87" s="27">
        <f>IF(OR($A87="",E87=""),"",D87-E87)</f>
        <v/>
      </c>
      <c r="G87" s="27">
        <f>IF($A87="","",IFERROR(INDEX(직원목록!$AE$7:$AE$306,MATCH(75,직원목록!$B$7:$B$306,0)),""))</f>
        <v/>
      </c>
      <c r="H87" s="27">
        <f>IF($A87="","",IFERROR(INDEX(직원목록!$AH$7:$AH$306,MATCH(75,직원목록!$B$7:$B$306,0)),""))</f>
        <v/>
      </c>
      <c r="I87" s="27">
        <f>IF(OR($A87="",H87=""),"",G87-H87)</f>
        <v/>
      </c>
      <c r="J87" s="27">
        <f>IF($A87="","",IFERROR(INDEX(직원목록!$AF$7:$AF$306,MATCH(75,직원목록!$B$7:$B$306,0)),""))</f>
        <v/>
      </c>
      <c r="K87" s="27">
        <f>IF($A87="","",IFERROR(INDEX(직원목록!$AI$7:$AI$306,MATCH(75,직원목록!$B$7:$B$306,0)),""))</f>
        <v/>
      </c>
      <c r="L87" s="8">
        <f>IF($A87="","",IF(LEN(IF(AND(F87&lt;&gt;"",F87&lt;&gt;0),"계산 총지급과 대장 총지급이 다릅니다 / ","")&amp;IF(AND(I87&lt;&gt;"",I87&lt;&gt;0),"계산 총공제와 대장 총공제가 다릅니다 / ","")&amp;IF(J87&lt;0,"실수령액이 음수입니다 / ","")&amp;IF(COUNTIF(직원목록!$D$7:$D$306,B87)&gt;1,"같은 이름이 둘 이상 — 미리보기는 첫 번째만 보입니다 / ","")&amp;IF(AND(C87&lt;&gt;"",COUNTIF(직원목록!$C$7:$C$306,C87)&gt;1),"사번 중복 / ","")&amp;IF(D87=0,"총지급이 0원 — 머리글 매칭 확인 / ","")&amp;IF(AND(설정!$B$17&lt;&gt;"",설정!$C$17="",OR(ISNUMBER(FIND("연장",설정!$B$17)),ISNUMBER(FIND("야간",설정!$B$17)),ISNUMBER(FIND("휴일",설정!$B$17))),INDEX(직원목록!$F$7:$F$306,MATCH(75,직원목록!$B$7:$B$306,0))&gt;0),"연장·야간·휴일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","")&amp;IF(AND(설정!$B$24&lt;&gt;"",설정!$C$24="",OR(ISNUMBER(FIND("연장",설정!$B$24)),ISNUMBER(FIND("야간",설정!$B$24)),ISNUMBER(FIND("휴일",설정!$B$24))),INDEX(직원목록!$M$7:$M$306,MATCH(75,직원목록!$B$7:$B$306,0))&gt;0),"연장·야간·휴일 수당은 시간 수도 명세서에 적어야 하니 시간 열 지정 필요 / ",""))=0,"✔",("⚠ "&amp;IF(AND(F87&lt;&gt;"",F87&lt;&gt;0),"계산 총지급과 대장 총지급이 다릅니다 / ","")&amp;IF(AND(I87&lt;&gt;"",I87&lt;&gt;0),"계산 총공제와 대장 총공제가 다릅니다 / ","")&amp;IF(J87&lt;0,"실수령액이 음수입니다 / ","")&amp;IF(COUNTIF(직원목록!$D$7:$D$306,B87)&gt;1,"같은 이름이 둘 이상 — 미리보기는 첫 번째만 보입니다 / ","")&amp;IF(AND(C87&lt;&gt;"",COUNTIF(직원목록!$C$7:$C$306,C87)&gt;1),"사번 중복 / ","")&amp;IF(D87=0,"총지급이 0원 — 머리글 매칭 확인 / ","")&amp;IF(AND(설정!$B$17&lt;&gt;"",설정!$C$17="",OR(ISNUMBER(FIND("연장",설정!$B$17)),ISNUMBER(FIND("야간",설정!$B$17)),ISNUMBER(FIND("휴일",설정!$B$17))),INDEX(직원목록!$F$7:$F$306,MATCH(75,직원목록!$B$7:$B$306,0))&gt;0),"연장·야간·휴일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","")&amp;IF(AND(설정!$B$24&lt;&gt;"",설정!$C$24="",OR(ISNUMBER(FIND("연장",설정!$B$24)),ISNUMBER(FIND("야간",설정!$B$24)),ISNUMBER(FIND("휴일",설정!$B$24))),INDEX(직원목록!$M$7:$M$306,MATCH(75,직원목록!$B$7:$B$306,0))&gt;0),"연장·야간·휴일 수당은 시간 수도 명세서에 적어야 하니 시간 열 지정 필요 / ",""))))</f>
        <v/>
      </c>
    </row>
    <row r="88">
      <c r="A88" s="26">
        <f>IF(IFERROR(MATCH(76,직원목록!$B$7:$B$306,0),0)=0,"",76)</f>
        <v/>
      </c>
      <c r="B88" s="2">
        <f>IF($A88="","",IFERROR(INDEX(직원목록!$D$7:$D$306,MATCH(76,직원목록!$B$7:$B$306,0)),""))</f>
        <v/>
      </c>
      <c r="C88" s="2">
        <f>IF($A88="","",IFERROR(INDEX(직원목록!$C$7:$C$306,MATCH(76,직원목록!$B$7:$B$306,0)),""))</f>
        <v/>
      </c>
      <c r="D88" s="27">
        <f>IF($A88="","",IFERROR(INDEX(직원목록!$V$7:$V$306,MATCH(76,직원목록!$B$7:$B$306,0)),""))</f>
        <v/>
      </c>
      <c r="E88" s="27">
        <f>IF($A88="","",IFERROR(INDEX(직원목록!$AG$7:$AG$306,MATCH(76,직원목록!$B$7:$B$306,0)),""))</f>
        <v/>
      </c>
      <c r="F88" s="27">
        <f>IF(OR($A88="",E88=""),"",D88-E88)</f>
        <v/>
      </c>
      <c r="G88" s="27">
        <f>IF($A88="","",IFERROR(INDEX(직원목록!$AE$7:$AE$306,MATCH(76,직원목록!$B$7:$B$306,0)),""))</f>
        <v/>
      </c>
      <c r="H88" s="27">
        <f>IF($A88="","",IFERROR(INDEX(직원목록!$AH$7:$AH$306,MATCH(76,직원목록!$B$7:$B$306,0)),""))</f>
        <v/>
      </c>
      <c r="I88" s="27">
        <f>IF(OR($A88="",H88=""),"",G88-H88)</f>
        <v/>
      </c>
      <c r="J88" s="27">
        <f>IF($A88="","",IFERROR(INDEX(직원목록!$AF$7:$AF$306,MATCH(76,직원목록!$B$7:$B$306,0)),""))</f>
        <v/>
      </c>
      <c r="K88" s="27">
        <f>IF($A88="","",IFERROR(INDEX(직원목록!$AI$7:$AI$306,MATCH(76,직원목록!$B$7:$B$306,0)),""))</f>
        <v/>
      </c>
      <c r="L88" s="8">
        <f>IF($A88="","",IF(LEN(IF(AND(F88&lt;&gt;"",F88&lt;&gt;0),"계산 총지급과 대장 총지급이 다릅니다 / ","")&amp;IF(AND(I88&lt;&gt;"",I88&lt;&gt;0),"계산 총공제와 대장 총공제가 다릅니다 / ","")&amp;IF(J88&lt;0,"실수령액이 음수입니다 / ","")&amp;IF(COUNTIF(직원목록!$D$7:$D$306,B88)&gt;1,"같은 이름이 둘 이상 — 미리보기는 첫 번째만 보입니다 / ","")&amp;IF(AND(C88&lt;&gt;"",COUNTIF(직원목록!$C$7:$C$306,C88)&gt;1),"사번 중복 / ","")&amp;IF(D88=0,"총지급이 0원 — 머리글 매칭 확인 / ","")&amp;IF(AND(설정!$B$17&lt;&gt;"",설정!$C$17="",OR(ISNUMBER(FIND("연장",설정!$B$17)),ISNUMBER(FIND("야간",설정!$B$17)),ISNUMBER(FIND("휴일",설정!$B$17))),INDEX(직원목록!$F$7:$F$306,MATCH(76,직원목록!$B$7:$B$306,0))&gt;0),"연장·야간·휴일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","")&amp;IF(AND(설정!$B$24&lt;&gt;"",설정!$C$24="",OR(ISNUMBER(FIND("연장",설정!$B$24)),ISNUMBER(FIND("야간",설정!$B$24)),ISNUMBER(FIND("휴일",설정!$B$24))),INDEX(직원목록!$M$7:$M$306,MATCH(76,직원목록!$B$7:$B$306,0))&gt;0),"연장·야간·휴일 수당은 시간 수도 명세서에 적어야 하니 시간 열 지정 필요 / ",""))=0,"✔",("⚠ "&amp;IF(AND(F88&lt;&gt;"",F88&lt;&gt;0),"계산 총지급과 대장 총지급이 다릅니다 / ","")&amp;IF(AND(I88&lt;&gt;"",I88&lt;&gt;0),"계산 총공제와 대장 총공제가 다릅니다 / ","")&amp;IF(J88&lt;0,"실수령액이 음수입니다 / ","")&amp;IF(COUNTIF(직원목록!$D$7:$D$306,B88)&gt;1,"같은 이름이 둘 이상 — 미리보기는 첫 번째만 보입니다 / ","")&amp;IF(AND(C88&lt;&gt;"",COUNTIF(직원목록!$C$7:$C$306,C88)&gt;1),"사번 중복 / ","")&amp;IF(D88=0,"총지급이 0원 — 머리글 매칭 확인 / ","")&amp;IF(AND(설정!$B$17&lt;&gt;"",설정!$C$17="",OR(ISNUMBER(FIND("연장",설정!$B$17)),ISNUMBER(FIND("야간",설정!$B$17)),ISNUMBER(FIND("휴일",설정!$B$17))),INDEX(직원목록!$F$7:$F$306,MATCH(76,직원목록!$B$7:$B$306,0))&gt;0),"연장·야간·휴일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","")&amp;IF(AND(설정!$B$24&lt;&gt;"",설정!$C$24="",OR(ISNUMBER(FIND("연장",설정!$B$24)),ISNUMBER(FIND("야간",설정!$B$24)),ISNUMBER(FIND("휴일",설정!$B$24))),INDEX(직원목록!$M$7:$M$306,MATCH(76,직원목록!$B$7:$B$306,0))&gt;0),"연장·야간·휴일 수당은 시간 수도 명세서에 적어야 하니 시간 열 지정 필요 / ",""))))</f>
        <v/>
      </c>
    </row>
    <row r="89">
      <c r="A89" s="26">
        <f>IF(IFERROR(MATCH(77,직원목록!$B$7:$B$306,0),0)=0,"",77)</f>
        <v/>
      </c>
      <c r="B89" s="2">
        <f>IF($A89="","",IFERROR(INDEX(직원목록!$D$7:$D$306,MATCH(77,직원목록!$B$7:$B$306,0)),""))</f>
        <v/>
      </c>
      <c r="C89" s="2">
        <f>IF($A89="","",IFERROR(INDEX(직원목록!$C$7:$C$306,MATCH(77,직원목록!$B$7:$B$306,0)),""))</f>
        <v/>
      </c>
      <c r="D89" s="27">
        <f>IF($A89="","",IFERROR(INDEX(직원목록!$V$7:$V$306,MATCH(77,직원목록!$B$7:$B$306,0)),""))</f>
        <v/>
      </c>
      <c r="E89" s="27">
        <f>IF($A89="","",IFERROR(INDEX(직원목록!$AG$7:$AG$306,MATCH(77,직원목록!$B$7:$B$306,0)),""))</f>
        <v/>
      </c>
      <c r="F89" s="27">
        <f>IF(OR($A89="",E89=""),"",D89-E89)</f>
        <v/>
      </c>
      <c r="G89" s="27">
        <f>IF($A89="","",IFERROR(INDEX(직원목록!$AE$7:$AE$306,MATCH(77,직원목록!$B$7:$B$306,0)),""))</f>
        <v/>
      </c>
      <c r="H89" s="27">
        <f>IF($A89="","",IFERROR(INDEX(직원목록!$AH$7:$AH$306,MATCH(77,직원목록!$B$7:$B$306,0)),""))</f>
        <v/>
      </c>
      <c r="I89" s="27">
        <f>IF(OR($A89="",H89=""),"",G89-H89)</f>
        <v/>
      </c>
      <c r="J89" s="27">
        <f>IF($A89="","",IFERROR(INDEX(직원목록!$AF$7:$AF$306,MATCH(77,직원목록!$B$7:$B$306,0)),""))</f>
        <v/>
      </c>
      <c r="K89" s="27">
        <f>IF($A89="","",IFERROR(INDEX(직원목록!$AI$7:$AI$306,MATCH(77,직원목록!$B$7:$B$306,0)),""))</f>
        <v/>
      </c>
      <c r="L89" s="8">
        <f>IF($A89="","",IF(LEN(IF(AND(F89&lt;&gt;"",F89&lt;&gt;0),"계산 총지급과 대장 총지급이 다릅니다 / ","")&amp;IF(AND(I89&lt;&gt;"",I89&lt;&gt;0),"계산 총공제와 대장 총공제가 다릅니다 / ","")&amp;IF(J89&lt;0,"실수령액이 음수입니다 / ","")&amp;IF(COUNTIF(직원목록!$D$7:$D$306,B89)&gt;1,"같은 이름이 둘 이상 — 미리보기는 첫 번째만 보입니다 / ","")&amp;IF(AND(C89&lt;&gt;"",COUNTIF(직원목록!$C$7:$C$306,C89)&gt;1),"사번 중복 / ","")&amp;IF(D89=0,"총지급이 0원 — 머리글 매칭 확인 / ","")&amp;IF(AND(설정!$B$17&lt;&gt;"",설정!$C$17="",OR(ISNUMBER(FIND("연장",설정!$B$17)),ISNUMBER(FIND("야간",설정!$B$17)),ISNUMBER(FIND("휴일",설정!$B$17))),INDEX(직원목록!$F$7:$F$306,MATCH(77,직원목록!$B$7:$B$306,0))&gt;0),"연장·야간·휴일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","")&amp;IF(AND(설정!$B$24&lt;&gt;"",설정!$C$24="",OR(ISNUMBER(FIND("연장",설정!$B$24)),ISNUMBER(FIND("야간",설정!$B$24)),ISNUMBER(FIND("휴일",설정!$B$24))),INDEX(직원목록!$M$7:$M$306,MATCH(77,직원목록!$B$7:$B$306,0))&gt;0),"연장·야간·휴일 수당은 시간 수도 명세서에 적어야 하니 시간 열 지정 필요 / ",""))=0,"✔",("⚠ "&amp;IF(AND(F89&lt;&gt;"",F89&lt;&gt;0),"계산 총지급과 대장 총지급이 다릅니다 / ","")&amp;IF(AND(I89&lt;&gt;"",I89&lt;&gt;0),"계산 총공제와 대장 총공제가 다릅니다 / ","")&amp;IF(J89&lt;0,"실수령액이 음수입니다 / ","")&amp;IF(COUNTIF(직원목록!$D$7:$D$306,B89)&gt;1,"같은 이름이 둘 이상 — 미리보기는 첫 번째만 보입니다 / ","")&amp;IF(AND(C89&lt;&gt;"",COUNTIF(직원목록!$C$7:$C$306,C89)&gt;1),"사번 중복 / ","")&amp;IF(D89=0,"총지급이 0원 — 머리글 매칭 확인 / ","")&amp;IF(AND(설정!$B$17&lt;&gt;"",설정!$C$17="",OR(ISNUMBER(FIND("연장",설정!$B$17)),ISNUMBER(FIND("야간",설정!$B$17)),ISNUMBER(FIND("휴일",설정!$B$17))),INDEX(직원목록!$F$7:$F$306,MATCH(77,직원목록!$B$7:$B$306,0))&gt;0),"연장·야간·휴일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","")&amp;IF(AND(설정!$B$24&lt;&gt;"",설정!$C$24="",OR(ISNUMBER(FIND("연장",설정!$B$24)),ISNUMBER(FIND("야간",설정!$B$24)),ISNUMBER(FIND("휴일",설정!$B$24))),INDEX(직원목록!$M$7:$M$306,MATCH(77,직원목록!$B$7:$B$306,0))&gt;0),"연장·야간·휴일 수당은 시간 수도 명세서에 적어야 하니 시간 열 지정 필요 / ",""))))</f>
        <v/>
      </c>
    </row>
    <row r="90">
      <c r="A90" s="26">
        <f>IF(IFERROR(MATCH(78,직원목록!$B$7:$B$306,0),0)=0,"",78)</f>
        <v/>
      </c>
      <c r="B90" s="2">
        <f>IF($A90="","",IFERROR(INDEX(직원목록!$D$7:$D$306,MATCH(78,직원목록!$B$7:$B$306,0)),""))</f>
        <v/>
      </c>
      <c r="C90" s="2">
        <f>IF($A90="","",IFERROR(INDEX(직원목록!$C$7:$C$306,MATCH(78,직원목록!$B$7:$B$306,0)),""))</f>
        <v/>
      </c>
      <c r="D90" s="27">
        <f>IF($A90="","",IFERROR(INDEX(직원목록!$V$7:$V$306,MATCH(78,직원목록!$B$7:$B$306,0)),""))</f>
        <v/>
      </c>
      <c r="E90" s="27">
        <f>IF($A90="","",IFERROR(INDEX(직원목록!$AG$7:$AG$306,MATCH(78,직원목록!$B$7:$B$306,0)),""))</f>
        <v/>
      </c>
      <c r="F90" s="27">
        <f>IF(OR($A90="",E90=""),"",D90-E90)</f>
        <v/>
      </c>
      <c r="G90" s="27">
        <f>IF($A90="","",IFERROR(INDEX(직원목록!$AE$7:$AE$306,MATCH(78,직원목록!$B$7:$B$306,0)),""))</f>
        <v/>
      </c>
      <c r="H90" s="27">
        <f>IF($A90="","",IFERROR(INDEX(직원목록!$AH$7:$AH$306,MATCH(78,직원목록!$B$7:$B$306,0)),""))</f>
        <v/>
      </c>
      <c r="I90" s="27">
        <f>IF(OR($A90="",H90=""),"",G90-H90)</f>
        <v/>
      </c>
      <c r="J90" s="27">
        <f>IF($A90="","",IFERROR(INDEX(직원목록!$AF$7:$AF$306,MATCH(78,직원목록!$B$7:$B$306,0)),""))</f>
        <v/>
      </c>
      <c r="K90" s="27">
        <f>IF($A90="","",IFERROR(INDEX(직원목록!$AI$7:$AI$306,MATCH(78,직원목록!$B$7:$B$306,0)),""))</f>
        <v/>
      </c>
      <c r="L90" s="8">
        <f>IF($A90="","",IF(LEN(IF(AND(F90&lt;&gt;"",F90&lt;&gt;0),"계산 총지급과 대장 총지급이 다릅니다 / ","")&amp;IF(AND(I90&lt;&gt;"",I90&lt;&gt;0),"계산 총공제와 대장 총공제가 다릅니다 / ","")&amp;IF(J90&lt;0,"실수령액이 음수입니다 / ","")&amp;IF(COUNTIF(직원목록!$D$7:$D$306,B90)&gt;1,"같은 이름이 둘 이상 — 미리보기는 첫 번째만 보입니다 / ","")&amp;IF(AND(C90&lt;&gt;"",COUNTIF(직원목록!$C$7:$C$306,C90)&gt;1),"사번 중복 / ","")&amp;IF(D90=0,"총지급이 0원 — 머리글 매칭 확인 / ","")&amp;IF(AND(설정!$B$17&lt;&gt;"",설정!$C$17="",OR(ISNUMBER(FIND("연장",설정!$B$17)),ISNUMBER(FIND("야간",설정!$B$17)),ISNUMBER(FIND("휴일",설정!$B$17))),INDEX(직원목록!$F$7:$F$306,MATCH(78,직원목록!$B$7:$B$306,0))&gt;0),"연장·야간·휴일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","")&amp;IF(AND(설정!$B$24&lt;&gt;"",설정!$C$24="",OR(ISNUMBER(FIND("연장",설정!$B$24)),ISNUMBER(FIND("야간",설정!$B$24)),ISNUMBER(FIND("휴일",설정!$B$24))),INDEX(직원목록!$M$7:$M$306,MATCH(78,직원목록!$B$7:$B$306,0))&gt;0),"연장·야간·휴일 수당은 시간 수도 명세서에 적어야 하니 시간 열 지정 필요 / ",""))=0,"✔",("⚠ "&amp;IF(AND(F90&lt;&gt;"",F90&lt;&gt;0),"계산 총지급과 대장 총지급이 다릅니다 / ","")&amp;IF(AND(I90&lt;&gt;"",I90&lt;&gt;0),"계산 총공제와 대장 총공제가 다릅니다 / ","")&amp;IF(J90&lt;0,"실수령액이 음수입니다 / ","")&amp;IF(COUNTIF(직원목록!$D$7:$D$306,B90)&gt;1,"같은 이름이 둘 이상 — 미리보기는 첫 번째만 보입니다 / ","")&amp;IF(AND(C90&lt;&gt;"",COUNTIF(직원목록!$C$7:$C$306,C90)&gt;1),"사번 중복 / ","")&amp;IF(D90=0,"총지급이 0원 — 머리글 매칭 확인 / ","")&amp;IF(AND(설정!$B$17&lt;&gt;"",설정!$C$17="",OR(ISNUMBER(FIND("연장",설정!$B$17)),ISNUMBER(FIND("야간",설정!$B$17)),ISNUMBER(FIND("휴일",설정!$B$17))),INDEX(직원목록!$F$7:$F$306,MATCH(78,직원목록!$B$7:$B$306,0))&gt;0),"연장·야간·휴일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","")&amp;IF(AND(설정!$B$24&lt;&gt;"",설정!$C$24="",OR(ISNUMBER(FIND("연장",설정!$B$24)),ISNUMBER(FIND("야간",설정!$B$24)),ISNUMBER(FIND("휴일",설정!$B$24))),INDEX(직원목록!$M$7:$M$306,MATCH(78,직원목록!$B$7:$B$306,0))&gt;0),"연장·야간·휴일 수당은 시간 수도 명세서에 적어야 하니 시간 열 지정 필요 / ",""))))</f>
        <v/>
      </c>
    </row>
    <row r="91">
      <c r="A91" s="26">
        <f>IF(IFERROR(MATCH(79,직원목록!$B$7:$B$306,0),0)=0,"",79)</f>
        <v/>
      </c>
      <c r="B91" s="2">
        <f>IF($A91="","",IFERROR(INDEX(직원목록!$D$7:$D$306,MATCH(79,직원목록!$B$7:$B$306,0)),""))</f>
        <v/>
      </c>
      <c r="C91" s="2">
        <f>IF($A91="","",IFERROR(INDEX(직원목록!$C$7:$C$306,MATCH(79,직원목록!$B$7:$B$306,0)),""))</f>
        <v/>
      </c>
      <c r="D91" s="27">
        <f>IF($A91="","",IFERROR(INDEX(직원목록!$V$7:$V$306,MATCH(79,직원목록!$B$7:$B$306,0)),""))</f>
        <v/>
      </c>
      <c r="E91" s="27">
        <f>IF($A91="","",IFERROR(INDEX(직원목록!$AG$7:$AG$306,MATCH(79,직원목록!$B$7:$B$306,0)),""))</f>
        <v/>
      </c>
      <c r="F91" s="27">
        <f>IF(OR($A91="",E91=""),"",D91-E91)</f>
        <v/>
      </c>
      <c r="G91" s="27">
        <f>IF($A91="","",IFERROR(INDEX(직원목록!$AE$7:$AE$306,MATCH(79,직원목록!$B$7:$B$306,0)),""))</f>
        <v/>
      </c>
      <c r="H91" s="27">
        <f>IF($A91="","",IFERROR(INDEX(직원목록!$AH$7:$AH$306,MATCH(79,직원목록!$B$7:$B$306,0)),""))</f>
        <v/>
      </c>
      <c r="I91" s="27">
        <f>IF(OR($A91="",H91=""),"",G91-H91)</f>
        <v/>
      </c>
      <c r="J91" s="27">
        <f>IF($A91="","",IFERROR(INDEX(직원목록!$AF$7:$AF$306,MATCH(79,직원목록!$B$7:$B$306,0)),""))</f>
        <v/>
      </c>
      <c r="K91" s="27">
        <f>IF($A91="","",IFERROR(INDEX(직원목록!$AI$7:$AI$306,MATCH(79,직원목록!$B$7:$B$306,0)),""))</f>
        <v/>
      </c>
      <c r="L91" s="8">
        <f>IF($A91="","",IF(LEN(IF(AND(F91&lt;&gt;"",F91&lt;&gt;0),"계산 총지급과 대장 총지급이 다릅니다 / ","")&amp;IF(AND(I91&lt;&gt;"",I91&lt;&gt;0),"계산 총공제와 대장 총공제가 다릅니다 / ","")&amp;IF(J91&lt;0,"실수령액이 음수입니다 / ","")&amp;IF(COUNTIF(직원목록!$D$7:$D$306,B91)&gt;1,"같은 이름이 둘 이상 — 미리보기는 첫 번째만 보입니다 / ","")&amp;IF(AND(C91&lt;&gt;"",COUNTIF(직원목록!$C$7:$C$306,C91)&gt;1),"사번 중복 / ","")&amp;IF(D91=0,"총지급이 0원 — 머리글 매칭 확인 / ","")&amp;IF(AND(설정!$B$17&lt;&gt;"",설정!$C$17="",OR(ISNUMBER(FIND("연장",설정!$B$17)),ISNUMBER(FIND("야간",설정!$B$17)),ISNUMBER(FIND("휴일",설정!$B$17))),INDEX(직원목록!$F$7:$F$306,MATCH(79,직원목록!$B$7:$B$306,0))&gt;0),"연장·야간·휴일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","")&amp;IF(AND(설정!$B$24&lt;&gt;"",설정!$C$24="",OR(ISNUMBER(FIND("연장",설정!$B$24)),ISNUMBER(FIND("야간",설정!$B$24)),ISNUMBER(FIND("휴일",설정!$B$24))),INDEX(직원목록!$M$7:$M$306,MATCH(79,직원목록!$B$7:$B$306,0))&gt;0),"연장·야간·휴일 수당은 시간 수도 명세서에 적어야 하니 시간 열 지정 필요 / ",""))=0,"✔",("⚠ "&amp;IF(AND(F91&lt;&gt;"",F91&lt;&gt;0),"계산 총지급과 대장 총지급이 다릅니다 / ","")&amp;IF(AND(I91&lt;&gt;"",I91&lt;&gt;0),"계산 총공제와 대장 총공제가 다릅니다 / ","")&amp;IF(J91&lt;0,"실수령액이 음수입니다 / ","")&amp;IF(COUNTIF(직원목록!$D$7:$D$306,B91)&gt;1,"같은 이름이 둘 이상 — 미리보기는 첫 번째만 보입니다 / ","")&amp;IF(AND(C91&lt;&gt;"",COUNTIF(직원목록!$C$7:$C$306,C91)&gt;1),"사번 중복 / ","")&amp;IF(D91=0,"총지급이 0원 — 머리글 매칭 확인 / ","")&amp;IF(AND(설정!$B$17&lt;&gt;"",설정!$C$17="",OR(ISNUMBER(FIND("연장",설정!$B$17)),ISNUMBER(FIND("야간",설정!$B$17)),ISNUMBER(FIND("휴일",설정!$B$17))),INDEX(직원목록!$F$7:$F$306,MATCH(79,직원목록!$B$7:$B$306,0))&gt;0),"연장·야간·휴일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","")&amp;IF(AND(설정!$B$18&lt;&gt;"",설정!$C$18="",OR(ISNUMBER(FIND("연장",설정!$B$18)),ISNUMBER(FIND("야간",설정!$B$18)),ISNUMBER(FIND("휴일",설정!$B$18))),INDEX(직원목록!$G$7:$G$306,MATCH(79,직원목록!$B$7:$B$306,0))&gt;0),"연장·야간·휴일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","")&amp;IF(AND(설정!$B$19&lt;&gt;"",설정!$C$19="",OR(ISNUMBER(FIND("연장",설정!$B$19)),ISNUMBER(FIND("야간",설정!$B$19)),ISNUMBER(FIND("휴일",설정!$B$19))),INDEX(직원목록!$H$7:$H$306,MATCH(79,직원목록!$B$7:$B$306,0))&gt;0),"연장·야간·휴일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","")&amp;IF(AND(설정!$B$20&lt;&gt;"",설정!$C$20="",OR(ISNUMBER(FIND("연장",설정!$B$20)),ISNUMBER(FIND("야간",설정!$B$20)),ISNUMBER(FIND("휴일",설정!$B$20))),INDEX(직원목록!$I$7:$I$306,MATCH(79,직원목록!$B$7:$B$306,0))&gt;0),"연장·야간·휴일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","")&amp;IF(AND(설정!$B$21&lt;&gt;"",설정!$C$21="",OR(ISNUMBER(FIND("연장",설정!$B$21)),ISNUMBER(FIND("야간",설정!$B$21)),ISNUMBER(FIND("휴일",설정!$B$21))),INDEX(직원목록!$J$7:$J$306,MATCH(79,직원목록!$B$7:$B$306,0))&gt;0),"연장·야간·휴일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","")&amp;IF(AND(설정!$B$22&lt;&gt;"",설정!$C$22="",OR(ISNUMBER(FIND("연장",설정!$B$22)),ISNUMBER(FIND("야간",설정!$B$22)),ISNUMBER(FIND("휴일",설정!$B$22))),INDEX(직원목록!$K$7:$K$306,MATCH(79,직원목록!$B$7:$B$306,0))&gt;0),"연장·야간·휴일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","")&amp;IF(AND(설정!$B$23&lt;&gt;"",설정!$C$23="",OR(ISNUMBER(FIND("연장",설정!$B$23)),ISNUMBER(FIND("야간",설정!$B$23)),ISNUMBER(FIND("휴일",설정!$B$23))),INDEX(직원목록!$L$7:$L$306,MATCH(79,직원목록!$B$7:$B$306,0))&gt;0),"연장·야간·휴일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","")&amp;IF(AND(설정!$B$24&lt;&gt;"",설정!$C$24="",OR(ISNUMBER(FIND("연장",설정!$B$24)),ISNUMBER(FIND("야간",설정!$B$24)),ISNUMBER(FIND("휴일",설정!$B$24))),INDEX(직원목록!$M$7:$M$306,MATCH(79,직원목록!$B$7:$B$306,0))&gt;0),"연장·야간·휴일 수당은 시간 수도 명세서에 적어야 하니 시간 열 지정 필요 / ",""))))</f>
        <v/>
      </c>
    </row>
    <row r="92">
      <c r="A92" s="26">
        <f>IF(IFERROR(MATCH(80,직원목록!$B$7:$B$306,0),0)=0,"",80)</f>
        <v/>
      </c>
      <c r="B92" s="2">
        <f>IF($A92="","",IFERROR(INDEX(직원목록!$D$7:$D$306,MATCH(80,직원목록!$B$7:$B$306,0)),""))</f>
        <v/>
      </c>
      <c r="C92" s="2">
        <f>IF($A92="","",IFERROR(INDEX(직원목록!$C$7:$C$306,MATCH(80,직원목록!$B$7:$B$306,0)),""))</f>
        <v/>
      </c>
      <c r="D92" s="27">
        <f>IF($A92="","",IFERROR(INDEX(직원목록!$V$7:$V$306,MATCH(80,직원목록!$B$7:$B$306,0)),""))</f>
        <v/>
      </c>
      <c r="E92" s="27">
        <f>IF($A92="","",IFERROR(INDEX(직원목록!$AG$7:$AG$306,MATCH(80,직원목록!$B$7:$B$306,0)),""))</f>
        <v/>
      </c>
      <c r="F92" s="27">
        <f>IF(OR($A92="",E92=""),"",D92-E92)</f>
        <v/>
      </c>
      <c r="G92" s="27">
        <f>IF($A92="","",IFERROR(INDEX(직원목록!$AE$7:$AE$306,MATCH(80,직원목록!$B$7:$B$306,0)),""))</f>
        <v/>
      </c>
      <c r="H92" s="27">
        <f>IF($A92="","",IFERROR(INDEX(직원목록!$AH$7:$AH$306,MATCH(80,직원목록!$B$7:$B$306,0)),""))</f>
        <v/>
      </c>
      <c r="I92" s="27">
        <f>IF(OR($A92="",H92=""),"",G92-H92)</f>
        <v/>
      </c>
      <c r="J92" s="27">
        <f>IF($A92="","",IFERROR(INDEX(직원목록!$AF$7:$AF$306,MATCH(80,직원목록!$B$7:$B$306,0)),""))</f>
        <v/>
      </c>
      <c r="K92" s="27">
        <f>IF($A92="","",IFERROR(INDEX(직원목록!$AI$7:$AI$306,MATCH(80,직원목록!$B$7:$B$306,0)),""))</f>
        <v/>
      </c>
      <c r="L92" s="8">
        <f>IF($A92="","",IF(LEN(IF(AND(F92&lt;&gt;"",F92&lt;&gt;0),"계산 총지급과 대장 총지급이 다릅니다 / ","")&amp;IF(AND(I92&lt;&gt;"",I92&lt;&gt;0),"계산 총공제와 대장 총공제가 다릅니다 / ","")&amp;IF(J92&lt;0,"실수령액이 음수입니다 / ","")&amp;IF(COUNTIF(직원목록!$D$7:$D$306,B92)&gt;1,"같은 이름이 둘 이상 — 미리보기는 첫 번째만 보입니다 / ","")&amp;IF(AND(C92&lt;&gt;"",COUNTIF(직원목록!$C$7:$C$306,C92)&gt;1),"사번 중복 / ","")&amp;IF(D92=0,"총지급이 0원 — 머리글 매칭 확인 / ","")&amp;IF(AND(설정!$B$17&lt;&gt;"",설정!$C$17="",OR(ISNUMBER(FIND("연장",설정!$B$17)),ISNUMBER(FIND("야간",설정!$B$17)),ISNUMBER(FIND("휴일",설정!$B$17))),INDEX(직원목록!$F$7:$F$306,MATCH(80,직원목록!$B$7:$B$306,0))&gt;0),"연장·야간·휴일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","")&amp;IF(AND(설정!$B$24&lt;&gt;"",설정!$C$24="",OR(ISNUMBER(FIND("연장",설정!$B$24)),ISNUMBER(FIND("야간",설정!$B$24)),ISNUMBER(FIND("휴일",설정!$B$24))),INDEX(직원목록!$M$7:$M$306,MATCH(80,직원목록!$B$7:$B$306,0))&gt;0),"연장·야간·휴일 수당은 시간 수도 명세서에 적어야 하니 시간 열 지정 필요 / ",""))=0,"✔",("⚠ "&amp;IF(AND(F92&lt;&gt;"",F92&lt;&gt;0),"계산 총지급과 대장 총지급이 다릅니다 / ","")&amp;IF(AND(I92&lt;&gt;"",I92&lt;&gt;0),"계산 총공제와 대장 총공제가 다릅니다 / ","")&amp;IF(J92&lt;0,"실수령액이 음수입니다 / ","")&amp;IF(COUNTIF(직원목록!$D$7:$D$306,B92)&gt;1,"같은 이름이 둘 이상 — 미리보기는 첫 번째만 보입니다 / ","")&amp;IF(AND(C92&lt;&gt;"",COUNTIF(직원목록!$C$7:$C$306,C92)&gt;1),"사번 중복 / ","")&amp;IF(D92=0,"총지급이 0원 — 머리글 매칭 확인 / ","")&amp;IF(AND(설정!$B$17&lt;&gt;"",설정!$C$17="",OR(ISNUMBER(FIND("연장",설정!$B$17)),ISNUMBER(FIND("야간",설정!$B$17)),ISNUMBER(FIND("휴일",설정!$B$17))),INDEX(직원목록!$F$7:$F$306,MATCH(80,직원목록!$B$7:$B$306,0))&gt;0),"연장·야간·휴일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","")&amp;IF(AND(설정!$B$24&lt;&gt;"",설정!$C$24="",OR(ISNUMBER(FIND("연장",설정!$B$24)),ISNUMBER(FIND("야간",설정!$B$24)),ISNUMBER(FIND("휴일",설정!$B$24))),INDEX(직원목록!$M$7:$M$306,MATCH(80,직원목록!$B$7:$B$306,0))&gt;0),"연장·야간·휴일 수당은 시간 수도 명세서에 적어야 하니 시간 열 지정 필요 / ",""))))</f>
        <v/>
      </c>
    </row>
    <row r="93">
      <c r="A93" s="26">
        <f>IF(IFERROR(MATCH(81,직원목록!$B$7:$B$306,0),0)=0,"",81)</f>
        <v/>
      </c>
      <c r="B93" s="2">
        <f>IF($A93="","",IFERROR(INDEX(직원목록!$D$7:$D$306,MATCH(81,직원목록!$B$7:$B$306,0)),""))</f>
        <v/>
      </c>
      <c r="C93" s="2">
        <f>IF($A93="","",IFERROR(INDEX(직원목록!$C$7:$C$306,MATCH(81,직원목록!$B$7:$B$306,0)),""))</f>
        <v/>
      </c>
      <c r="D93" s="27">
        <f>IF($A93="","",IFERROR(INDEX(직원목록!$V$7:$V$306,MATCH(81,직원목록!$B$7:$B$306,0)),""))</f>
        <v/>
      </c>
      <c r="E93" s="27">
        <f>IF($A93="","",IFERROR(INDEX(직원목록!$AG$7:$AG$306,MATCH(81,직원목록!$B$7:$B$306,0)),""))</f>
        <v/>
      </c>
      <c r="F93" s="27">
        <f>IF(OR($A93="",E93=""),"",D93-E93)</f>
        <v/>
      </c>
      <c r="G93" s="27">
        <f>IF($A93="","",IFERROR(INDEX(직원목록!$AE$7:$AE$306,MATCH(81,직원목록!$B$7:$B$306,0)),""))</f>
        <v/>
      </c>
      <c r="H93" s="27">
        <f>IF($A93="","",IFERROR(INDEX(직원목록!$AH$7:$AH$306,MATCH(81,직원목록!$B$7:$B$306,0)),""))</f>
        <v/>
      </c>
      <c r="I93" s="27">
        <f>IF(OR($A93="",H93=""),"",G93-H93)</f>
        <v/>
      </c>
      <c r="J93" s="27">
        <f>IF($A93="","",IFERROR(INDEX(직원목록!$AF$7:$AF$306,MATCH(81,직원목록!$B$7:$B$306,0)),""))</f>
        <v/>
      </c>
      <c r="K93" s="27">
        <f>IF($A93="","",IFERROR(INDEX(직원목록!$AI$7:$AI$306,MATCH(81,직원목록!$B$7:$B$306,0)),""))</f>
        <v/>
      </c>
      <c r="L93" s="8">
        <f>IF($A93="","",IF(LEN(IF(AND(F93&lt;&gt;"",F93&lt;&gt;0),"계산 총지급과 대장 총지급이 다릅니다 / ","")&amp;IF(AND(I93&lt;&gt;"",I93&lt;&gt;0),"계산 총공제와 대장 총공제가 다릅니다 / ","")&amp;IF(J93&lt;0,"실수령액이 음수입니다 / ","")&amp;IF(COUNTIF(직원목록!$D$7:$D$306,B93)&gt;1,"같은 이름이 둘 이상 — 미리보기는 첫 번째만 보입니다 / ","")&amp;IF(AND(C93&lt;&gt;"",COUNTIF(직원목록!$C$7:$C$306,C93)&gt;1),"사번 중복 / ","")&amp;IF(D93=0,"총지급이 0원 — 머리글 매칭 확인 / ","")&amp;IF(AND(설정!$B$17&lt;&gt;"",설정!$C$17="",OR(ISNUMBER(FIND("연장",설정!$B$17)),ISNUMBER(FIND("야간",설정!$B$17)),ISNUMBER(FIND("휴일",설정!$B$17))),INDEX(직원목록!$F$7:$F$306,MATCH(81,직원목록!$B$7:$B$306,0))&gt;0),"연장·야간·휴일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","")&amp;IF(AND(설정!$B$24&lt;&gt;"",설정!$C$24="",OR(ISNUMBER(FIND("연장",설정!$B$24)),ISNUMBER(FIND("야간",설정!$B$24)),ISNUMBER(FIND("휴일",설정!$B$24))),INDEX(직원목록!$M$7:$M$306,MATCH(81,직원목록!$B$7:$B$306,0))&gt;0),"연장·야간·휴일 수당은 시간 수도 명세서에 적어야 하니 시간 열 지정 필요 / ",""))=0,"✔",("⚠ "&amp;IF(AND(F93&lt;&gt;"",F93&lt;&gt;0),"계산 총지급과 대장 총지급이 다릅니다 / ","")&amp;IF(AND(I93&lt;&gt;"",I93&lt;&gt;0),"계산 총공제와 대장 총공제가 다릅니다 / ","")&amp;IF(J93&lt;0,"실수령액이 음수입니다 / ","")&amp;IF(COUNTIF(직원목록!$D$7:$D$306,B93)&gt;1,"같은 이름이 둘 이상 — 미리보기는 첫 번째만 보입니다 / ","")&amp;IF(AND(C93&lt;&gt;"",COUNTIF(직원목록!$C$7:$C$306,C93)&gt;1),"사번 중복 / ","")&amp;IF(D93=0,"총지급이 0원 — 머리글 매칭 확인 / ","")&amp;IF(AND(설정!$B$17&lt;&gt;"",설정!$C$17="",OR(ISNUMBER(FIND("연장",설정!$B$17)),ISNUMBER(FIND("야간",설정!$B$17)),ISNUMBER(FIND("휴일",설정!$B$17))),INDEX(직원목록!$F$7:$F$306,MATCH(81,직원목록!$B$7:$B$306,0))&gt;0),"연장·야간·휴일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","")&amp;IF(AND(설정!$B$24&lt;&gt;"",설정!$C$24="",OR(ISNUMBER(FIND("연장",설정!$B$24)),ISNUMBER(FIND("야간",설정!$B$24)),ISNUMBER(FIND("휴일",설정!$B$24))),INDEX(직원목록!$M$7:$M$306,MATCH(81,직원목록!$B$7:$B$306,0))&gt;0),"연장·야간·휴일 수당은 시간 수도 명세서에 적어야 하니 시간 열 지정 필요 / ",""))))</f>
        <v/>
      </c>
    </row>
    <row r="94">
      <c r="A94" s="26">
        <f>IF(IFERROR(MATCH(82,직원목록!$B$7:$B$306,0),0)=0,"",82)</f>
        <v/>
      </c>
      <c r="B94" s="2">
        <f>IF($A94="","",IFERROR(INDEX(직원목록!$D$7:$D$306,MATCH(82,직원목록!$B$7:$B$306,0)),""))</f>
        <v/>
      </c>
      <c r="C94" s="2">
        <f>IF($A94="","",IFERROR(INDEX(직원목록!$C$7:$C$306,MATCH(82,직원목록!$B$7:$B$306,0)),""))</f>
        <v/>
      </c>
      <c r="D94" s="27">
        <f>IF($A94="","",IFERROR(INDEX(직원목록!$V$7:$V$306,MATCH(82,직원목록!$B$7:$B$306,0)),""))</f>
        <v/>
      </c>
      <c r="E94" s="27">
        <f>IF($A94="","",IFERROR(INDEX(직원목록!$AG$7:$AG$306,MATCH(82,직원목록!$B$7:$B$306,0)),""))</f>
        <v/>
      </c>
      <c r="F94" s="27">
        <f>IF(OR($A94="",E94=""),"",D94-E94)</f>
        <v/>
      </c>
      <c r="G94" s="27">
        <f>IF($A94="","",IFERROR(INDEX(직원목록!$AE$7:$AE$306,MATCH(82,직원목록!$B$7:$B$306,0)),""))</f>
        <v/>
      </c>
      <c r="H94" s="27">
        <f>IF($A94="","",IFERROR(INDEX(직원목록!$AH$7:$AH$306,MATCH(82,직원목록!$B$7:$B$306,0)),""))</f>
        <v/>
      </c>
      <c r="I94" s="27">
        <f>IF(OR($A94="",H94=""),"",G94-H94)</f>
        <v/>
      </c>
      <c r="J94" s="27">
        <f>IF($A94="","",IFERROR(INDEX(직원목록!$AF$7:$AF$306,MATCH(82,직원목록!$B$7:$B$306,0)),""))</f>
        <v/>
      </c>
      <c r="K94" s="27">
        <f>IF($A94="","",IFERROR(INDEX(직원목록!$AI$7:$AI$306,MATCH(82,직원목록!$B$7:$B$306,0)),""))</f>
        <v/>
      </c>
      <c r="L94" s="8">
        <f>IF($A94="","",IF(LEN(IF(AND(F94&lt;&gt;"",F94&lt;&gt;0),"계산 총지급과 대장 총지급이 다릅니다 / ","")&amp;IF(AND(I94&lt;&gt;"",I94&lt;&gt;0),"계산 총공제와 대장 총공제가 다릅니다 / ","")&amp;IF(J94&lt;0,"실수령액이 음수입니다 / ","")&amp;IF(COUNTIF(직원목록!$D$7:$D$306,B94)&gt;1,"같은 이름이 둘 이상 — 미리보기는 첫 번째만 보입니다 / ","")&amp;IF(AND(C94&lt;&gt;"",COUNTIF(직원목록!$C$7:$C$306,C94)&gt;1),"사번 중복 / ","")&amp;IF(D94=0,"총지급이 0원 — 머리글 매칭 확인 / ","")&amp;IF(AND(설정!$B$17&lt;&gt;"",설정!$C$17="",OR(ISNUMBER(FIND("연장",설정!$B$17)),ISNUMBER(FIND("야간",설정!$B$17)),ISNUMBER(FIND("휴일",설정!$B$17))),INDEX(직원목록!$F$7:$F$306,MATCH(82,직원목록!$B$7:$B$306,0))&gt;0),"연장·야간·휴일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","")&amp;IF(AND(설정!$B$24&lt;&gt;"",설정!$C$24="",OR(ISNUMBER(FIND("연장",설정!$B$24)),ISNUMBER(FIND("야간",설정!$B$24)),ISNUMBER(FIND("휴일",설정!$B$24))),INDEX(직원목록!$M$7:$M$306,MATCH(82,직원목록!$B$7:$B$306,0))&gt;0),"연장·야간·휴일 수당은 시간 수도 명세서에 적어야 하니 시간 열 지정 필요 / ",""))=0,"✔",("⚠ "&amp;IF(AND(F94&lt;&gt;"",F94&lt;&gt;0),"계산 총지급과 대장 총지급이 다릅니다 / ","")&amp;IF(AND(I94&lt;&gt;"",I94&lt;&gt;0),"계산 총공제와 대장 총공제가 다릅니다 / ","")&amp;IF(J94&lt;0,"실수령액이 음수입니다 / ","")&amp;IF(COUNTIF(직원목록!$D$7:$D$306,B94)&gt;1,"같은 이름이 둘 이상 — 미리보기는 첫 번째만 보입니다 / ","")&amp;IF(AND(C94&lt;&gt;"",COUNTIF(직원목록!$C$7:$C$306,C94)&gt;1),"사번 중복 / ","")&amp;IF(D94=0,"총지급이 0원 — 머리글 매칭 확인 / ","")&amp;IF(AND(설정!$B$17&lt;&gt;"",설정!$C$17="",OR(ISNUMBER(FIND("연장",설정!$B$17)),ISNUMBER(FIND("야간",설정!$B$17)),ISNUMBER(FIND("휴일",설정!$B$17))),INDEX(직원목록!$F$7:$F$306,MATCH(82,직원목록!$B$7:$B$306,0))&gt;0),"연장·야간·휴일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","")&amp;IF(AND(설정!$B$24&lt;&gt;"",설정!$C$24="",OR(ISNUMBER(FIND("연장",설정!$B$24)),ISNUMBER(FIND("야간",설정!$B$24)),ISNUMBER(FIND("휴일",설정!$B$24))),INDEX(직원목록!$M$7:$M$306,MATCH(82,직원목록!$B$7:$B$306,0))&gt;0),"연장·야간·휴일 수당은 시간 수도 명세서에 적어야 하니 시간 열 지정 필요 / ",""))))</f>
        <v/>
      </c>
    </row>
    <row r="95">
      <c r="A95" s="26">
        <f>IF(IFERROR(MATCH(83,직원목록!$B$7:$B$306,0),0)=0,"",83)</f>
        <v/>
      </c>
      <c r="B95" s="2">
        <f>IF($A95="","",IFERROR(INDEX(직원목록!$D$7:$D$306,MATCH(83,직원목록!$B$7:$B$306,0)),""))</f>
        <v/>
      </c>
      <c r="C95" s="2">
        <f>IF($A95="","",IFERROR(INDEX(직원목록!$C$7:$C$306,MATCH(83,직원목록!$B$7:$B$306,0)),""))</f>
        <v/>
      </c>
      <c r="D95" s="27">
        <f>IF($A95="","",IFERROR(INDEX(직원목록!$V$7:$V$306,MATCH(83,직원목록!$B$7:$B$306,0)),""))</f>
        <v/>
      </c>
      <c r="E95" s="27">
        <f>IF($A95="","",IFERROR(INDEX(직원목록!$AG$7:$AG$306,MATCH(83,직원목록!$B$7:$B$306,0)),""))</f>
        <v/>
      </c>
      <c r="F95" s="27">
        <f>IF(OR($A95="",E95=""),"",D95-E95)</f>
        <v/>
      </c>
      <c r="G95" s="27">
        <f>IF($A95="","",IFERROR(INDEX(직원목록!$AE$7:$AE$306,MATCH(83,직원목록!$B$7:$B$306,0)),""))</f>
        <v/>
      </c>
      <c r="H95" s="27">
        <f>IF($A95="","",IFERROR(INDEX(직원목록!$AH$7:$AH$306,MATCH(83,직원목록!$B$7:$B$306,0)),""))</f>
        <v/>
      </c>
      <c r="I95" s="27">
        <f>IF(OR($A95="",H95=""),"",G95-H95)</f>
        <v/>
      </c>
      <c r="J95" s="27">
        <f>IF($A95="","",IFERROR(INDEX(직원목록!$AF$7:$AF$306,MATCH(83,직원목록!$B$7:$B$306,0)),""))</f>
        <v/>
      </c>
      <c r="K95" s="27">
        <f>IF($A95="","",IFERROR(INDEX(직원목록!$AI$7:$AI$306,MATCH(83,직원목록!$B$7:$B$306,0)),""))</f>
        <v/>
      </c>
      <c r="L95" s="8">
        <f>IF($A95="","",IF(LEN(IF(AND(F95&lt;&gt;"",F95&lt;&gt;0),"계산 총지급과 대장 총지급이 다릅니다 / ","")&amp;IF(AND(I95&lt;&gt;"",I95&lt;&gt;0),"계산 총공제와 대장 총공제가 다릅니다 / ","")&amp;IF(J95&lt;0,"실수령액이 음수입니다 / ","")&amp;IF(COUNTIF(직원목록!$D$7:$D$306,B95)&gt;1,"같은 이름이 둘 이상 — 미리보기는 첫 번째만 보입니다 / ","")&amp;IF(AND(C95&lt;&gt;"",COUNTIF(직원목록!$C$7:$C$306,C95)&gt;1),"사번 중복 / ","")&amp;IF(D95=0,"총지급이 0원 — 머리글 매칭 확인 / ","")&amp;IF(AND(설정!$B$17&lt;&gt;"",설정!$C$17="",OR(ISNUMBER(FIND("연장",설정!$B$17)),ISNUMBER(FIND("야간",설정!$B$17)),ISNUMBER(FIND("휴일",설정!$B$17))),INDEX(직원목록!$F$7:$F$306,MATCH(83,직원목록!$B$7:$B$306,0))&gt;0),"연장·야간·휴일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","")&amp;IF(AND(설정!$B$24&lt;&gt;"",설정!$C$24="",OR(ISNUMBER(FIND("연장",설정!$B$24)),ISNUMBER(FIND("야간",설정!$B$24)),ISNUMBER(FIND("휴일",설정!$B$24))),INDEX(직원목록!$M$7:$M$306,MATCH(83,직원목록!$B$7:$B$306,0))&gt;0),"연장·야간·휴일 수당은 시간 수도 명세서에 적어야 하니 시간 열 지정 필요 / ",""))=0,"✔",("⚠ "&amp;IF(AND(F95&lt;&gt;"",F95&lt;&gt;0),"계산 총지급과 대장 총지급이 다릅니다 / ","")&amp;IF(AND(I95&lt;&gt;"",I95&lt;&gt;0),"계산 총공제와 대장 총공제가 다릅니다 / ","")&amp;IF(J95&lt;0,"실수령액이 음수입니다 / ","")&amp;IF(COUNTIF(직원목록!$D$7:$D$306,B95)&gt;1,"같은 이름이 둘 이상 — 미리보기는 첫 번째만 보입니다 / ","")&amp;IF(AND(C95&lt;&gt;"",COUNTIF(직원목록!$C$7:$C$306,C95)&gt;1),"사번 중복 / ","")&amp;IF(D95=0,"총지급이 0원 — 머리글 매칭 확인 / ","")&amp;IF(AND(설정!$B$17&lt;&gt;"",설정!$C$17="",OR(ISNUMBER(FIND("연장",설정!$B$17)),ISNUMBER(FIND("야간",설정!$B$17)),ISNUMBER(FIND("휴일",설정!$B$17))),INDEX(직원목록!$F$7:$F$306,MATCH(83,직원목록!$B$7:$B$306,0))&gt;0),"연장·야간·휴일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","")&amp;IF(AND(설정!$B$24&lt;&gt;"",설정!$C$24="",OR(ISNUMBER(FIND("연장",설정!$B$24)),ISNUMBER(FIND("야간",설정!$B$24)),ISNUMBER(FIND("휴일",설정!$B$24))),INDEX(직원목록!$M$7:$M$306,MATCH(83,직원목록!$B$7:$B$306,0))&gt;0),"연장·야간·휴일 수당은 시간 수도 명세서에 적어야 하니 시간 열 지정 필요 / ",""))))</f>
        <v/>
      </c>
    </row>
    <row r="96">
      <c r="A96" s="26">
        <f>IF(IFERROR(MATCH(84,직원목록!$B$7:$B$306,0),0)=0,"",84)</f>
        <v/>
      </c>
      <c r="B96" s="2">
        <f>IF($A96="","",IFERROR(INDEX(직원목록!$D$7:$D$306,MATCH(84,직원목록!$B$7:$B$306,0)),""))</f>
        <v/>
      </c>
      <c r="C96" s="2">
        <f>IF($A96="","",IFERROR(INDEX(직원목록!$C$7:$C$306,MATCH(84,직원목록!$B$7:$B$306,0)),""))</f>
        <v/>
      </c>
      <c r="D96" s="27">
        <f>IF($A96="","",IFERROR(INDEX(직원목록!$V$7:$V$306,MATCH(84,직원목록!$B$7:$B$306,0)),""))</f>
        <v/>
      </c>
      <c r="E96" s="27">
        <f>IF($A96="","",IFERROR(INDEX(직원목록!$AG$7:$AG$306,MATCH(84,직원목록!$B$7:$B$306,0)),""))</f>
        <v/>
      </c>
      <c r="F96" s="27">
        <f>IF(OR($A96="",E96=""),"",D96-E96)</f>
        <v/>
      </c>
      <c r="G96" s="27">
        <f>IF($A96="","",IFERROR(INDEX(직원목록!$AE$7:$AE$306,MATCH(84,직원목록!$B$7:$B$306,0)),""))</f>
        <v/>
      </c>
      <c r="H96" s="27">
        <f>IF($A96="","",IFERROR(INDEX(직원목록!$AH$7:$AH$306,MATCH(84,직원목록!$B$7:$B$306,0)),""))</f>
        <v/>
      </c>
      <c r="I96" s="27">
        <f>IF(OR($A96="",H96=""),"",G96-H96)</f>
        <v/>
      </c>
      <c r="J96" s="27">
        <f>IF($A96="","",IFERROR(INDEX(직원목록!$AF$7:$AF$306,MATCH(84,직원목록!$B$7:$B$306,0)),""))</f>
        <v/>
      </c>
      <c r="K96" s="27">
        <f>IF($A96="","",IFERROR(INDEX(직원목록!$AI$7:$AI$306,MATCH(84,직원목록!$B$7:$B$306,0)),""))</f>
        <v/>
      </c>
      <c r="L96" s="8">
        <f>IF($A96="","",IF(LEN(IF(AND(F96&lt;&gt;"",F96&lt;&gt;0),"계산 총지급과 대장 총지급이 다릅니다 / ","")&amp;IF(AND(I96&lt;&gt;"",I96&lt;&gt;0),"계산 총공제와 대장 총공제가 다릅니다 / ","")&amp;IF(J96&lt;0,"실수령액이 음수입니다 / ","")&amp;IF(COUNTIF(직원목록!$D$7:$D$306,B96)&gt;1,"같은 이름이 둘 이상 — 미리보기는 첫 번째만 보입니다 / ","")&amp;IF(AND(C96&lt;&gt;"",COUNTIF(직원목록!$C$7:$C$306,C96)&gt;1),"사번 중복 / ","")&amp;IF(D96=0,"총지급이 0원 — 머리글 매칭 확인 / ","")&amp;IF(AND(설정!$B$17&lt;&gt;"",설정!$C$17="",OR(ISNUMBER(FIND("연장",설정!$B$17)),ISNUMBER(FIND("야간",설정!$B$17)),ISNUMBER(FIND("휴일",설정!$B$17))),INDEX(직원목록!$F$7:$F$306,MATCH(84,직원목록!$B$7:$B$306,0))&gt;0),"연장·야간·휴일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","")&amp;IF(AND(설정!$B$24&lt;&gt;"",설정!$C$24="",OR(ISNUMBER(FIND("연장",설정!$B$24)),ISNUMBER(FIND("야간",설정!$B$24)),ISNUMBER(FIND("휴일",설정!$B$24))),INDEX(직원목록!$M$7:$M$306,MATCH(84,직원목록!$B$7:$B$306,0))&gt;0),"연장·야간·휴일 수당은 시간 수도 명세서에 적어야 하니 시간 열 지정 필요 / ",""))=0,"✔",("⚠ "&amp;IF(AND(F96&lt;&gt;"",F96&lt;&gt;0),"계산 총지급과 대장 총지급이 다릅니다 / ","")&amp;IF(AND(I96&lt;&gt;"",I96&lt;&gt;0),"계산 총공제와 대장 총공제가 다릅니다 / ","")&amp;IF(J96&lt;0,"실수령액이 음수입니다 / ","")&amp;IF(COUNTIF(직원목록!$D$7:$D$306,B96)&gt;1,"같은 이름이 둘 이상 — 미리보기는 첫 번째만 보입니다 / ","")&amp;IF(AND(C96&lt;&gt;"",COUNTIF(직원목록!$C$7:$C$306,C96)&gt;1),"사번 중복 / ","")&amp;IF(D96=0,"총지급이 0원 — 머리글 매칭 확인 / ","")&amp;IF(AND(설정!$B$17&lt;&gt;"",설정!$C$17="",OR(ISNUMBER(FIND("연장",설정!$B$17)),ISNUMBER(FIND("야간",설정!$B$17)),ISNUMBER(FIND("휴일",설정!$B$17))),INDEX(직원목록!$F$7:$F$306,MATCH(84,직원목록!$B$7:$B$306,0))&gt;0),"연장·야간·휴일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","")&amp;IF(AND(설정!$B$24&lt;&gt;"",설정!$C$24="",OR(ISNUMBER(FIND("연장",설정!$B$24)),ISNUMBER(FIND("야간",설정!$B$24)),ISNUMBER(FIND("휴일",설정!$B$24))),INDEX(직원목록!$M$7:$M$306,MATCH(84,직원목록!$B$7:$B$306,0))&gt;0),"연장·야간·휴일 수당은 시간 수도 명세서에 적어야 하니 시간 열 지정 필요 / ",""))))</f>
        <v/>
      </c>
    </row>
    <row r="97">
      <c r="A97" s="26">
        <f>IF(IFERROR(MATCH(85,직원목록!$B$7:$B$306,0),0)=0,"",85)</f>
        <v/>
      </c>
      <c r="B97" s="2">
        <f>IF($A97="","",IFERROR(INDEX(직원목록!$D$7:$D$306,MATCH(85,직원목록!$B$7:$B$306,0)),""))</f>
        <v/>
      </c>
      <c r="C97" s="2">
        <f>IF($A97="","",IFERROR(INDEX(직원목록!$C$7:$C$306,MATCH(85,직원목록!$B$7:$B$306,0)),""))</f>
        <v/>
      </c>
      <c r="D97" s="27">
        <f>IF($A97="","",IFERROR(INDEX(직원목록!$V$7:$V$306,MATCH(85,직원목록!$B$7:$B$306,0)),""))</f>
        <v/>
      </c>
      <c r="E97" s="27">
        <f>IF($A97="","",IFERROR(INDEX(직원목록!$AG$7:$AG$306,MATCH(85,직원목록!$B$7:$B$306,0)),""))</f>
        <v/>
      </c>
      <c r="F97" s="27">
        <f>IF(OR($A97="",E97=""),"",D97-E97)</f>
        <v/>
      </c>
      <c r="G97" s="27">
        <f>IF($A97="","",IFERROR(INDEX(직원목록!$AE$7:$AE$306,MATCH(85,직원목록!$B$7:$B$306,0)),""))</f>
        <v/>
      </c>
      <c r="H97" s="27">
        <f>IF($A97="","",IFERROR(INDEX(직원목록!$AH$7:$AH$306,MATCH(85,직원목록!$B$7:$B$306,0)),""))</f>
        <v/>
      </c>
      <c r="I97" s="27">
        <f>IF(OR($A97="",H97=""),"",G97-H97)</f>
        <v/>
      </c>
      <c r="J97" s="27">
        <f>IF($A97="","",IFERROR(INDEX(직원목록!$AF$7:$AF$306,MATCH(85,직원목록!$B$7:$B$306,0)),""))</f>
        <v/>
      </c>
      <c r="K97" s="27">
        <f>IF($A97="","",IFERROR(INDEX(직원목록!$AI$7:$AI$306,MATCH(85,직원목록!$B$7:$B$306,0)),""))</f>
        <v/>
      </c>
      <c r="L97" s="8">
        <f>IF($A97="","",IF(LEN(IF(AND(F97&lt;&gt;"",F97&lt;&gt;0),"계산 총지급과 대장 총지급이 다릅니다 / ","")&amp;IF(AND(I97&lt;&gt;"",I97&lt;&gt;0),"계산 총공제와 대장 총공제가 다릅니다 / ","")&amp;IF(J97&lt;0,"실수령액이 음수입니다 / ","")&amp;IF(COUNTIF(직원목록!$D$7:$D$306,B97)&gt;1,"같은 이름이 둘 이상 — 미리보기는 첫 번째만 보입니다 / ","")&amp;IF(AND(C97&lt;&gt;"",COUNTIF(직원목록!$C$7:$C$306,C97)&gt;1),"사번 중복 / ","")&amp;IF(D97=0,"총지급이 0원 — 머리글 매칭 확인 / ","")&amp;IF(AND(설정!$B$17&lt;&gt;"",설정!$C$17="",OR(ISNUMBER(FIND("연장",설정!$B$17)),ISNUMBER(FIND("야간",설정!$B$17)),ISNUMBER(FIND("휴일",설정!$B$17))),INDEX(직원목록!$F$7:$F$306,MATCH(85,직원목록!$B$7:$B$306,0))&gt;0),"연장·야간·휴일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","")&amp;IF(AND(설정!$B$24&lt;&gt;"",설정!$C$24="",OR(ISNUMBER(FIND("연장",설정!$B$24)),ISNUMBER(FIND("야간",설정!$B$24)),ISNUMBER(FIND("휴일",설정!$B$24))),INDEX(직원목록!$M$7:$M$306,MATCH(85,직원목록!$B$7:$B$306,0))&gt;0),"연장·야간·휴일 수당은 시간 수도 명세서에 적어야 하니 시간 열 지정 필요 / ",""))=0,"✔",("⚠ "&amp;IF(AND(F97&lt;&gt;"",F97&lt;&gt;0),"계산 총지급과 대장 총지급이 다릅니다 / ","")&amp;IF(AND(I97&lt;&gt;"",I97&lt;&gt;0),"계산 총공제와 대장 총공제가 다릅니다 / ","")&amp;IF(J97&lt;0,"실수령액이 음수입니다 / ","")&amp;IF(COUNTIF(직원목록!$D$7:$D$306,B97)&gt;1,"같은 이름이 둘 이상 — 미리보기는 첫 번째만 보입니다 / ","")&amp;IF(AND(C97&lt;&gt;"",COUNTIF(직원목록!$C$7:$C$306,C97)&gt;1),"사번 중복 / ","")&amp;IF(D97=0,"총지급이 0원 — 머리글 매칭 확인 / ","")&amp;IF(AND(설정!$B$17&lt;&gt;"",설정!$C$17="",OR(ISNUMBER(FIND("연장",설정!$B$17)),ISNUMBER(FIND("야간",설정!$B$17)),ISNUMBER(FIND("휴일",설정!$B$17))),INDEX(직원목록!$F$7:$F$306,MATCH(85,직원목록!$B$7:$B$306,0))&gt;0),"연장·야간·휴일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","")&amp;IF(AND(설정!$B$24&lt;&gt;"",설정!$C$24="",OR(ISNUMBER(FIND("연장",설정!$B$24)),ISNUMBER(FIND("야간",설정!$B$24)),ISNUMBER(FIND("휴일",설정!$B$24))),INDEX(직원목록!$M$7:$M$306,MATCH(85,직원목록!$B$7:$B$306,0))&gt;0),"연장·야간·휴일 수당은 시간 수도 명세서에 적어야 하니 시간 열 지정 필요 / ",""))))</f>
        <v/>
      </c>
    </row>
    <row r="98">
      <c r="A98" s="26">
        <f>IF(IFERROR(MATCH(86,직원목록!$B$7:$B$306,0),0)=0,"",86)</f>
        <v/>
      </c>
      <c r="B98" s="2">
        <f>IF($A98="","",IFERROR(INDEX(직원목록!$D$7:$D$306,MATCH(86,직원목록!$B$7:$B$306,0)),""))</f>
        <v/>
      </c>
      <c r="C98" s="2">
        <f>IF($A98="","",IFERROR(INDEX(직원목록!$C$7:$C$306,MATCH(86,직원목록!$B$7:$B$306,0)),""))</f>
        <v/>
      </c>
      <c r="D98" s="27">
        <f>IF($A98="","",IFERROR(INDEX(직원목록!$V$7:$V$306,MATCH(86,직원목록!$B$7:$B$306,0)),""))</f>
        <v/>
      </c>
      <c r="E98" s="27">
        <f>IF($A98="","",IFERROR(INDEX(직원목록!$AG$7:$AG$306,MATCH(86,직원목록!$B$7:$B$306,0)),""))</f>
        <v/>
      </c>
      <c r="F98" s="27">
        <f>IF(OR($A98="",E98=""),"",D98-E98)</f>
        <v/>
      </c>
      <c r="G98" s="27">
        <f>IF($A98="","",IFERROR(INDEX(직원목록!$AE$7:$AE$306,MATCH(86,직원목록!$B$7:$B$306,0)),""))</f>
        <v/>
      </c>
      <c r="H98" s="27">
        <f>IF($A98="","",IFERROR(INDEX(직원목록!$AH$7:$AH$306,MATCH(86,직원목록!$B$7:$B$306,0)),""))</f>
        <v/>
      </c>
      <c r="I98" s="27">
        <f>IF(OR($A98="",H98=""),"",G98-H98)</f>
        <v/>
      </c>
      <c r="J98" s="27">
        <f>IF($A98="","",IFERROR(INDEX(직원목록!$AF$7:$AF$306,MATCH(86,직원목록!$B$7:$B$306,0)),""))</f>
        <v/>
      </c>
      <c r="K98" s="27">
        <f>IF($A98="","",IFERROR(INDEX(직원목록!$AI$7:$AI$306,MATCH(86,직원목록!$B$7:$B$306,0)),""))</f>
        <v/>
      </c>
      <c r="L98" s="8">
        <f>IF($A98="","",IF(LEN(IF(AND(F98&lt;&gt;"",F98&lt;&gt;0),"계산 총지급과 대장 총지급이 다릅니다 / ","")&amp;IF(AND(I98&lt;&gt;"",I98&lt;&gt;0),"계산 총공제와 대장 총공제가 다릅니다 / ","")&amp;IF(J98&lt;0,"실수령액이 음수입니다 / ","")&amp;IF(COUNTIF(직원목록!$D$7:$D$306,B98)&gt;1,"같은 이름이 둘 이상 — 미리보기는 첫 번째만 보입니다 / ","")&amp;IF(AND(C98&lt;&gt;"",COUNTIF(직원목록!$C$7:$C$306,C98)&gt;1),"사번 중복 / ","")&amp;IF(D98=0,"총지급이 0원 — 머리글 매칭 확인 / ","")&amp;IF(AND(설정!$B$17&lt;&gt;"",설정!$C$17="",OR(ISNUMBER(FIND("연장",설정!$B$17)),ISNUMBER(FIND("야간",설정!$B$17)),ISNUMBER(FIND("휴일",설정!$B$17))),INDEX(직원목록!$F$7:$F$306,MATCH(86,직원목록!$B$7:$B$306,0))&gt;0),"연장·야간·휴일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","")&amp;IF(AND(설정!$B$24&lt;&gt;"",설정!$C$24="",OR(ISNUMBER(FIND("연장",설정!$B$24)),ISNUMBER(FIND("야간",설정!$B$24)),ISNUMBER(FIND("휴일",설정!$B$24))),INDEX(직원목록!$M$7:$M$306,MATCH(86,직원목록!$B$7:$B$306,0))&gt;0),"연장·야간·휴일 수당은 시간 수도 명세서에 적어야 하니 시간 열 지정 필요 / ",""))=0,"✔",("⚠ "&amp;IF(AND(F98&lt;&gt;"",F98&lt;&gt;0),"계산 총지급과 대장 총지급이 다릅니다 / ","")&amp;IF(AND(I98&lt;&gt;"",I98&lt;&gt;0),"계산 총공제와 대장 총공제가 다릅니다 / ","")&amp;IF(J98&lt;0,"실수령액이 음수입니다 / ","")&amp;IF(COUNTIF(직원목록!$D$7:$D$306,B98)&gt;1,"같은 이름이 둘 이상 — 미리보기는 첫 번째만 보입니다 / ","")&amp;IF(AND(C98&lt;&gt;"",COUNTIF(직원목록!$C$7:$C$306,C98)&gt;1),"사번 중복 / ","")&amp;IF(D98=0,"총지급이 0원 — 머리글 매칭 확인 / ","")&amp;IF(AND(설정!$B$17&lt;&gt;"",설정!$C$17="",OR(ISNUMBER(FIND("연장",설정!$B$17)),ISNUMBER(FIND("야간",설정!$B$17)),ISNUMBER(FIND("휴일",설정!$B$17))),INDEX(직원목록!$F$7:$F$306,MATCH(86,직원목록!$B$7:$B$306,0))&gt;0),"연장·야간·휴일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","")&amp;IF(AND(설정!$B$24&lt;&gt;"",설정!$C$24="",OR(ISNUMBER(FIND("연장",설정!$B$24)),ISNUMBER(FIND("야간",설정!$B$24)),ISNUMBER(FIND("휴일",설정!$B$24))),INDEX(직원목록!$M$7:$M$306,MATCH(86,직원목록!$B$7:$B$306,0))&gt;0),"연장·야간·휴일 수당은 시간 수도 명세서에 적어야 하니 시간 열 지정 필요 / ",""))))</f>
        <v/>
      </c>
    </row>
    <row r="99">
      <c r="A99" s="26">
        <f>IF(IFERROR(MATCH(87,직원목록!$B$7:$B$306,0),0)=0,"",87)</f>
        <v/>
      </c>
      <c r="B99" s="2">
        <f>IF($A99="","",IFERROR(INDEX(직원목록!$D$7:$D$306,MATCH(87,직원목록!$B$7:$B$306,0)),""))</f>
        <v/>
      </c>
      <c r="C99" s="2">
        <f>IF($A99="","",IFERROR(INDEX(직원목록!$C$7:$C$306,MATCH(87,직원목록!$B$7:$B$306,0)),""))</f>
        <v/>
      </c>
      <c r="D99" s="27">
        <f>IF($A99="","",IFERROR(INDEX(직원목록!$V$7:$V$306,MATCH(87,직원목록!$B$7:$B$306,0)),""))</f>
        <v/>
      </c>
      <c r="E99" s="27">
        <f>IF($A99="","",IFERROR(INDEX(직원목록!$AG$7:$AG$306,MATCH(87,직원목록!$B$7:$B$306,0)),""))</f>
        <v/>
      </c>
      <c r="F99" s="27">
        <f>IF(OR($A99="",E99=""),"",D99-E99)</f>
        <v/>
      </c>
      <c r="G99" s="27">
        <f>IF($A99="","",IFERROR(INDEX(직원목록!$AE$7:$AE$306,MATCH(87,직원목록!$B$7:$B$306,0)),""))</f>
        <v/>
      </c>
      <c r="H99" s="27">
        <f>IF($A99="","",IFERROR(INDEX(직원목록!$AH$7:$AH$306,MATCH(87,직원목록!$B$7:$B$306,0)),""))</f>
        <v/>
      </c>
      <c r="I99" s="27">
        <f>IF(OR($A99="",H99=""),"",G99-H99)</f>
        <v/>
      </c>
      <c r="J99" s="27">
        <f>IF($A99="","",IFERROR(INDEX(직원목록!$AF$7:$AF$306,MATCH(87,직원목록!$B$7:$B$306,0)),""))</f>
        <v/>
      </c>
      <c r="K99" s="27">
        <f>IF($A99="","",IFERROR(INDEX(직원목록!$AI$7:$AI$306,MATCH(87,직원목록!$B$7:$B$306,0)),""))</f>
        <v/>
      </c>
      <c r="L99" s="8">
        <f>IF($A99="","",IF(LEN(IF(AND(F99&lt;&gt;"",F99&lt;&gt;0),"계산 총지급과 대장 총지급이 다릅니다 / ","")&amp;IF(AND(I99&lt;&gt;"",I99&lt;&gt;0),"계산 총공제와 대장 총공제가 다릅니다 / ","")&amp;IF(J99&lt;0,"실수령액이 음수입니다 / ","")&amp;IF(COUNTIF(직원목록!$D$7:$D$306,B99)&gt;1,"같은 이름이 둘 이상 — 미리보기는 첫 번째만 보입니다 / ","")&amp;IF(AND(C99&lt;&gt;"",COUNTIF(직원목록!$C$7:$C$306,C99)&gt;1),"사번 중복 / ","")&amp;IF(D99=0,"총지급이 0원 — 머리글 매칭 확인 / ","")&amp;IF(AND(설정!$B$17&lt;&gt;"",설정!$C$17="",OR(ISNUMBER(FIND("연장",설정!$B$17)),ISNUMBER(FIND("야간",설정!$B$17)),ISNUMBER(FIND("휴일",설정!$B$17))),INDEX(직원목록!$F$7:$F$306,MATCH(87,직원목록!$B$7:$B$306,0))&gt;0),"연장·야간·휴일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","")&amp;IF(AND(설정!$B$24&lt;&gt;"",설정!$C$24="",OR(ISNUMBER(FIND("연장",설정!$B$24)),ISNUMBER(FIND("야간",설정!$B$24)),ISNUMBER(FIND("휴일",설정!$B$24))),INDEX(직원목록!$M$7:$M$306,MATCH(87,직원목록!$B$7:$B$306,0))&gt;0),"연장·야간·휴일 수당은 시간 수도 명세서에 적어야 하니 시간 열 지정 필요 / ",""))=0,"✔",("⚠ "&amp;IF(AND(F99&lt;&gt;"",F99&lt;&gt;0),"계산 총지급과 대장 총지급이 다릅니다 / ","")&amp;IF(AND(I99&lt;&gt;"",I99&lt;&gt;0),"계산 총공제와 대장 총공제가 다릅니다 / ","")&amp;IF(J99&lt;0,"실수령액이 음수입니다 / ","")&amp;IF(COUNTIF(직원목록!$D$7:$D$306,B99)&gt;1,"같은 이름이 둘 이상 — 미리보기는 첫 번째만 보입니다 / ","")&amp;IF(AND(C99&lt;&gt;"",COUNTIF(직원목록!$C$7:$C$306,C99)&gt;1),"사번 중복 / ","")&amp;IF(D99=0,"총지급이 0원 — 머리글 매칭 확인 / ","")&amp;IF(AND(설정!$B$17&lt;&gt;"",설정!$C$17="",OR(ISNUMBER(FIND("연장",설정!$B$17)),ISNUMBER(FIND("야간",설정!$B$17)),ISNUMBER(FIND("휴일",설정!$B$17))),INDEX(직원목록!$F$7:$F$306,MATCH(87,직원목록!$B$7:$B$306,0))&gt;0),"연장·야간·휴일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","")&amp;IF(AND(설정!$B$24&lt;&gt;"",설정!$C$24="",OR(ISNUMBER(FIND("연장",설정!$B$24)),ISNUMBER(FIND("야간",설정!$B$24)),ISNUMBER(FIND("휴일",설정!$B$24))),INDEX(직원목록!$M$7:$M$306,MATCH(87,직원목록!$B$7:$B$306,0))&gt;0),"연장·야간·휴일 수당은 시간 수도 명세서에 적어야 하니 시간 열 지정 필요 / ",""))))</f>
        <v/>
      </c>
    </row>
    <row r="100">
      <c r="A100" s="26">
        <f>IF(IFERROR(MATCH(88,직원목록!$B$7:$B$306,0),0)=0,"",88)</f>
        <v/>
      </c>
      <c r="B100" s="2">
        <f>IF($A100="","",IFERROR(INDEX(직원목록!$D$7:$D$306,MATCH(88,직원목록!$B$7:$B$306,0)),""))</f>
        <v/>
      </c>
      <c r="C100" s="2">
        <f>IF($A100="","",IFERROR(INDEX(직원목록!$C$7:$C$306,MATCH(88,직원목록!$B$7:$B$306,0)),""))</f>
        <v/>
      </c>
      <c r="D100" s="27">
        <f>IF($A100="","",IFERROR(INDEX(직원목록!$V$7:$V$306,MATCH(88,직원목록!$B$7:$B$306,0)),""))</f>
        <v/>
      </c>
      <c r="E100" s="27">
        <f>IF($A100="","",IFERROR(INDEX(직원목록!$AG$7:$AG$306,MATCH(88,직원목록!$B$7:$B$306,0)),""))</f>
        <v/>
      </c>
      <c r="F100" s="27">
        <f>IF(OR($A100="",E100=""),"",D100-E100)</f>
        <v/>
      </c>
      <c r="G100" s="27">
        <f>IF($A100="","",IFERROR(INDEX(직원목록!$AE$7:$AE$306,MATCH(88,직원목록!$B$7:$B$306,0)),""))</f>
        <v/>
      </c>
      <c r="H100" s="27">
        <f>IF($A100="","",IFERROR(INDEX(직원목록!$AH$7:$AH$306,MATCH(88,직원목록!$B$7:$B$306,0)),""))</f>
        <v/>
      </c>
      <c r="I100" s="27">
        <f>IF(OR($A100="",H100=""),"",G100-H100)</f>
        <v/>
      </c>
      <c r="J100" s="27">
        <f>IF($A100="","",IFERROR(INDEX(직원목록!$AF$7:$AF$306,MATCH(88,직원목록!$B$7:$B$306,0)),""))</f>
        <v/>
      </c>
      <c r="K100" s="27">
        <f>IF($A100="","",IFERROR(INDEX(직원목록!$AI$7:$AI$306,MATCH(88,직원목록!$B$7:$B$306,0)),""))</f>
        <v/>
      </c>
      <c r="L100" s="8">
        <f>IF($A100="","",IF(LEN(IF(AND(F100&lt;&gt;"",F100&lt;&gt;0),"계산 총지급과 대장 총지급이 다릅니다 / ","")&amp;IF(AND(I100&lt;&gt;"",I100&lt;&gt;0),"계산 총공제와 대장 총공제가 다릅니다 / ","")&amp;IF(J100&lt;0,"실수령액이 음수입니다 / ","")&amp;IF(COUNTIF(직원목록!$D$7:$D$306,B100)&gt;1,"같은 이름이 둘 이상 — 미리보기는 첫 번째만 보입니다 / ","")&amp;IF(AND(C100&lt;&gt;"",COUNTIF(직원목록!$C$7:$C$306,C100)&gt;1),"사번 중복 / ","")&amp;IF(D100=0,"총지급이 0원 — 머리글 매칭 확인 / ","")&amp;IF(AND(설정!$B$17&lt;&gt;"",설정!$C$17="",OR(ISNUMBER(FIND("연장",설정!$B$17)),ISNUMBER(FIND("야간",설정!$B$17)),ISNUMBER(FIND("휴일",설정!$B$17))),INDEX(직원목록!$F$7:$F$306,MATCH(88,직원목록!$B$7:$B$306,0))&gt;0),"연장·야간·휴일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","")&amp;IF(AND(설정!$B$24&lt;&gt;"",설정!$C$24="",OR(ISNUMBER(FIND("연장",설정!$B$24)),ISNUMBER(FIND("야간",설정!$B$24)),ISNUMBER(FIND("휴일",설정!$B$24))),INDEX(직원목록!$M$7:$M$306,MATCH(88,직원목록!$B$7:$B$306,0))&gt;0),"연장·야간·휴일 수당은 시간 수도 명세서에 적어야 하니 시간 열 지정 필요 / ",""))=0,"✔",("⚠ "&amp;IF(AND(F100&lt;&gt;"",F100&lt;&gt;0),"계산 총지급과 대장 총지급이 다릅니다 / ","")&amp;IF(AND(I100&lt;&gt;"",I100&lt;&gt;0),"계산 총공제와 대장 총공제가 다릅니다 / ","")&amp;IF(J100&lt;0,"실수령액이 음수입니다 / ","")&amp;IF(COUNTIF(직원목록!$D$7:$D$306,B100)&gt;1,"같은 이름이 둘 이상 — 미리보기는 첫 번째만 보입니다 / ","")&amp;IF(AND(C100&lt;&gt;"",COUNTIF(직원목록!$C$7:$C$306,C100)&gt;1),"사번 중복 / ","")&amp;IF(D100=0,"총지급이 0원 — 머리글 매칭 확인 / ","")&amp;IF(AND(설정!$B$17&lt;&gt;"",설정!$C$17="",OR(ISNUMBER(FIND("연장",설정!$B$17)),ISNUMBER(FIND("야간",설정!$B$17)),ISNUMBER(FIND("휴일",설정!$B$17))),INDEX(직원목록!$F$7:$F$306,MATCH(88,직원목록!$B$7:$B$306,0))&gt;0),"연장·야간·휴일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","")&amp;IF(AND(설정!$B$24&lt;&gt;"",설정!$C$24="",OR(ISNUMBER(FIND("연장",설정!$B$24)),ISNUMBER(FIND("야간",설정!$B$24)),ISNUMBER(FIND("휴일",설정!$B$24))),INDEX(직원목록!$M$7:$M$306,MATCH(88,직원목록!$B$7:$B$306,0))&gt;0),"연장·야간·휴일 수당은 시간 수도 명세서에 적어야 하니 시간 열 지정 필요 / ",""))))</f>
        <v/>
      </c>
    </row>
    <row r="101">
      <c r="A101" s="26">
        <f>IF(IFERROR(MATCH(89,직원목록!$B$7:$B$306,0),0)=0,"",89)</f>
        <v/>
      </c>
      <c r="B101" s="2">
        <f>IF($A101="","",IFERROR(INDEX(직원목록!$D$7:$D$306,MATCH(89,직원목록!$B$7:$B$306,0)),""))</f>
        <v/>
      </c>
      <c r="C101" s="2">
        <f>IF($A101="","",IFERROR(INDEX(직원목록!$C$7:$C$306,MATCH(89,직원목록!$B$7:$B$306,0)),""))</f>
        <v/>
      </c>
      <c r="D101" s="27">
        <f>IF($A101="","",IFERROR(INDEX(직원목록!$V$7:$V$306,MATCH(89,직원목록!$B$7:$B$306,0)),""))</f>
        <v/>
      </c>
      <c r="E101" s="27">
        <f>IF($A101="","",IFERROR(INDEX(직원목록!$AG$7:$AG$306,MATCH(89,직원목록!$B$7:$B$306,0)),""))</f>
        <v/>
      </c>
      <c r="F101" s="27">
        <f>IF(OR($A101="",E101=""),"",D101-E101)</f>
        <v/>
      </c>
      <c r="G101" s="27">
        <f>IF($A101="","",IFERROR(INDEX(직원목록!$AE$7:$AE$306,MATCH(89,직원목록!$B$7:$B$306,0)),""))</f>
        <v/>
      </c>
      <c r="H101" s="27">
        <f>IF($A101="","",IFERROR(INDEX(직원목록!$AH$7:$AH$306,MATCH(89,직원목록!$B$7:$B$306,0)),""))</f>
        <v/>
      </c>
      <c r="I101" s="27">
        <f>IF(OR($A101="",H101=""),"",G101-H101)</f>
        <v/>
      </c>
      <c r="J101" s="27">
        <f>IF($A101="","",IFERROR(INDEX(직원목록!$AF$7:$AF$306,MATCH(89,직원목록!$B$7:$B$306,0)),""))</f>
        <v/>
      </c>
      <c r="K101" s="27">
        <f>IF($A101="","",IFERROR(INDEX(직원목록!$AI$7:$AI$306,MATCH(89,직원목록!$B$7:$B$306,0)),""))</f>
        <v/>
      </c>
      <c r="L101" s="8">
        <f>IF($A101="","",IF(LEN(IF(AND(F101&lt;&gt;"",F101&lt;&gt;0),"계산 총지급과 대장 총지급이 다릅니다 / ","")&amp;IF(AND(I101&lt;&gt;"",I101&lt;&gt;0),"계산 총공제와 대장 총공제가 다릅니다 / ","")&amp;IF(J101&lt;0,"실수령액이 음수입니다 / ","")&amp;IF(COUNTIF(직원목록!$D$7:$D$306,B101)&gt;1,"같은 이름이 둘 이상 — 미리보기는 첫 번째만 보입니다 / ","")&amp;IF(AND(C101&lt;&gt;"",COUNTIF(직원목록!$C$7:$C$306,C101)&gt;1),"사번 중복 / ","")&amp;IF(D101=0,"총지급이 0원 — 머리글 매칭 확인 / ","")&amp;IF(AND(설정!$B$17&lt;&gt;"",설정!$C$17="",OR(ISNUMBER(FIND("연장",설정!$B$17)),ISNUMBER(FIND("야간",설정!$B$17)),ISNUMBER(FIND("휴일",설정!$B$17))),INDEX(직원목록!$F$7:$F$306,MATCH(89,직원목록!$B$7:$B$306,0))&gt;0),"연장·야간·휴일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","")&amp;IF(AND(설정!$B$24&lt;&gt;"",설정!$C$24="",OR(ISNUMBER(FIND("연장",설정!$B$24)),ISNUMBER(FIND("야간",설정!$B$24)),ISNUMBER(FIND("휴일",설정!$B$24))),INDEX(직원목록!$M$7:$M$306,MATCH(89,직원목록!$B$7:$B$306,0))&gt;0),"연장·야간·휴일 수당은 시간 수도 명세서에 적어야 하니 시간 열 지정 필요 / ",""))=0,"✔",("⚠ "&amp;IF(AND(F101&lt;&gt;"",F101&lt;&gt;0),"계산 총지급과 대장 총지급이 다릅니다 / ","")&amp;IF(AND(I101&lt;&gt;"",I101&lt;&gt;0),"계산 총공제와 대장 총공제가 다릅니다 / ","")&amp;IF(J101&lt;0,"실수령액이 음수입니다 / ","")&amp;IF(COUNTIF(직원목록!$D$7:$D$306,B101)&gt;1,"같은 이름이 둘 이상 — 미리보기는 첫 번째만 보입니다 / ","")&amp;IF(AND(C101&lt;&gt;"",COUNTIF(직원목록!$C$7:$C$306,C101)&gt;1),"사번 중복 / ","")&amp;IF(D101=0,"총지급이 0원 — 머리글 매칭 확인 / ","")&amp;IF(AND(설정!$B$17&lt;&gt;"",설정!$C$17="",OR(ISNUMBER(FIND("연장",설정!$B$17)),ISNUMBER(FIND("야간",설정!$B$17)),ISNUMBER(FIND("휴일",설정!$B$17))),INDEX(직원목록!$F$7:$F$306,MATCH(89,직원목록!$B$7:$B$306,0))&gt;0),"연장·야간·휴일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","")&amp;IF(AND(설정!$B$18&lt;&gt;"",설정!$C$18="",OR(ISNUMBER(FIND("연장",설정!$B$18)),ISNUMBER(FIND("야간",설정!$B$18)),ISNUMBER(FIND("휴일",설정!$B$18))),INDEX(직원목록!$G$7:$G$306,MATCH(89,직원목록!$B$7:$B$306,0))&gt;0),"연장·야간·휴일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","")&amp;IF(AND(설정!$B$19&lt;&gt;"",설정!$C$19="",OR(ISNUMBER(FIND("연장",설정!$B$19)),ISNUMBER(FIND("야간",설정!$B$19)),ISNUMBER(FIND("휴일",설정!$B$19))),INDEX(직원목록!$H$7:$H$306,MATCH(89,직원목록!$B$7:$B$306,0))&gt;0),"연장·야간·휴일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","")&amp;IF(AND(설정!$B$20&lt;&gt;"",설정!$C$20="",OR(ISNUMBER(FIND("연장",설정!$B$20)),ISNUMBER(FIND("야간",설정!$B$20)),ISNUMBER(FIND("휴일",설정!$B$20))),INDEX(직원목록!$I$7:$I$306,MATCH(89,직원목록!$B$7:$B$306,0))&gt;0),"연장·야간·휴일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","")&amp;IF(AND(설정!$B$21&lt;&gt;"",설정!$C$21="",OR(ISNUMBER(FIND("연장",설정!$B$21)),ISNUMBER(FIND("야간",설정!$B$21)),ISNUMBER(FIND("휴일",설정!$B$21))),INDEX(직원목록!$J$7:$J$306,MATCH(89,직원목록!$B$7:$B$306,0))&gt;0),"연장·야간·휴일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","")&amp;IF(AND(설정!$B$22&lt;&gt;"",설정!$C$22="",OR(ISNUMBER(FIND("연장",설정!$B$22)),ISNUMBER(FIND("야간",설정!$B$22)),ISNUMBER(FIND("휴일",설정!$B$22))),INDEX(직원목록!$K$7:$K$306,MATCH(89,직원목록!$B$7:$B$306,0))&gt;0),"연장·야간·휴일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","")&amp;IF(AND(설정!$B$23&lt;&gt;"",설정!$C$23="",OR(ISNUMBER(FIND("연장",설정!$B$23)),ISNUMBER(FIND("야간",설정!$B$23)),ISNUMBER(FIND("휴일",설정!$B$23))),INDEX(직원목록!$L$7:$L$306,MATCH(89,직원목록!$B$7:$B$306,0))&gt;0),"연장·야간·휴일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","")&amp;IF(AND(설정!$B$24&lt;&gt;"",설정!$C$24="",OR(ISNUMBER(FIND("연장",설정!$B$24)),ISNUMBER(FIND("야간",설정!$B$24)),ISNUMBER(FIND("휴일",설정!$B$24))),INDEX(직원목록!$M$7:$M$306,MATCH(89,직원목록!$B$7:$B$306,0))&gt;0),"연장·야간·휴일 수당은 시간 수도 명세서에 적어야 하니 시간 열 지정 필요 / ",""))))</f>
        <v/>
      </c>
    </row>
    <row r="102">
      <c r="A102" s="26">
        <f>IF(IFERROR(MATCH(90,직원목록!$B$7:$B$306,0),0)=0,"",90)</f>
        <v/>
      </c>
      <c r="B102" s="2">
        <f>IF($A102="","",IFERROR(INDEX(직원목록!$D$7:$D$306,MATCH(90,직원목록!$B$7:$B$306,0)),""))</f>
        <v/>
      </c>
      <c r="C102" s="2">
        <f>IF($A102="","",IFERROR(INDEX(직원목록!$C$7:$C$306,MATCH(90,직원목록!$B$7:$B$306,0)),""))</f>
        <v/>
      </c>
      <c r="D102" s="27">
        <f>IF($A102="","",IFERROR(INDEX(직원목록!$V$7:$V$306,MATCH(90,직원목록!$B$7:$B$306,0)),""))</f>
        <v/>
      </c>
      <c r="E102" s="27">
        <f>IF($A102="","",IFERROR(INDEX(직원목록!$AG$7:$AG$306,MATCH(90,직원목록!$B$7:$B$306,0)),""))</f>
        <v/>
      </c>
      <c r="F102" s="27">
        <f>IF(OR($A102="",E102=""),"",D102-E102)</f>
        <v/>
      </c>
      <c r="G102" s="27">
        <f>IF($A102="","",IFERROR(INDEX(직원목록!$AE$7:$AE$306,MATCH(90,직원목록!$B$7:$B$306,0)),""))</f>
        <v/>
      </c>
      <c r="H102" s="27">
        <f>IF($A102="","",IFERROR(INDEX(직원목록!$AH$7:$AH$306,MATCH(90,직원목록!$B$7:$B$306,0)),""))</f>
        <v/>
      </c>
      <c r="I102" s="27">
        <f>IF(OR($A102="",H102=""),"",G102-H102)</f>
        <v/>
      </c>
      <c r="J102" s="27">
        <f>IF($A102="","",IFERROR(INDEX(직원목록!$AF$7:$AF$306,MATCH(90,직원목록!$B$7:$B$306,0)),""))</f>
        <v/>
      </c>
      <c r="K102" s="27">
        <f>IF($A102="","",IFERROR(INDEX(직원목록!$AI$7:$AI$306,MATCH(90,직원목록!$B$7:$B$306,0)),""))</f>
        <v/>
      </c>
      <c r="L102" s="8">
        <f>IF($A102="","",IF(LEN(IF(AND(F102&lt;&gt;"",F102&lt;&gt;0),"계산 총지급과 대장 총지급이 다릅니다 / ","")&amp;IF(AND(I102&lt;&gt;"",I102&lt;&gt;0),"계산 총공제와 대장 총공제가 다릅니다 / ","")&amp;IF(J102&lt;0,"실수령액이 음수입니다 / ","")&amp;IF(COUNTIF(직원목록!$D$7:$D$306,B102)&gt;1,"같은 이름이 둘 이상 — 미리보기는 첫 번째만 보입니다 / ","")&amp;IF(AND(C102&lt;&gt;"",COUNTIF(직원목록!$C$7:$C$306,C102)&gt;1),"사번 중복 / ","")&amp;IF(D102=0,"총지급이 0원 — 머리글 매칭 확인 / ","")&amp;IF(AND(설정!$B$17&lt;&gt;"",설정!$C$17="",OR(ISNUMBER(FIND("연장",설정!$B$17)),ISNUMBER(FIND("야간",설정!$B$17)),ISNUMBER(FIND("휴일",설정!$B$17))),INDEX(직원목록!$F$7:$F$306,MATCH(90,직원목록!$B$7:$B$306,0))&gt;0),"연장·야간·휴일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","")&amp;IF(AND(설정!$B$24&lt;&gt;"",설정!$C$24="",OR(ISNUMBER(FIND("연장",설정!$B$24)),ISNUMBER(FIND("야간",설정!$B$24)),ISNUMBER(FIND("휴일",설정!$B$24))),INDEX(직원목록!$M$7:$M$306,MATCH(90,직원목록!$B$7:$B$306,0))&gt;0),"연장·야간·휴일 수당은 시간 수도 명세서에 적어야 하니 시간 열 지정 필요 / ",""))=0,"✔",("⚠ "&amp;IF(AND(F102&lt;&gt;"",F102&lt;&gt;0),"계산 총지급과 대장 총지급이 다릅니다 / ","")&amp;IF(AND(I102&lt;&gt;"",I102&lt;&gt;0),"계산 총공제와 대장 총공제가 다릅니다 / ","")&amp;IF(J102&lt;0,"실수령액이 음수입니다 / ","")&amp;IF(COUNTIF(직원목록!$D$7:$D$306,B102)&gt;1,"같은 이름이 둘 이상 — 미리보기는 첫 번째만 보입니다 / ","")&amp;IF(AND(C102&lt;&gt;"",COUNTIF(직원목록!$C$7:$C$306,C102)&gt;1),"사번 중복 / ","")&amp;IF(D102=0,"총지급이 0원 — 머리글 매칭 확인 / ","")&amp;IF(AND(설정!$B$17&lt;&gt;"",설정!$C$17="",OR(ISNUMBER(FIND("연장",설정!$B$17)),ISNUMBER(FIND("야간",설정!$B$17)),ISNUMBER(FIND("휴일",설정!$B$17))),INDEX(직원목록!$F$7:$F$306,MATCH(90,직원목록!$B$7:$B$306,0))&gt;0),"연장·야간·휴일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","")&amp;IF(AND(설정!$B$24&lt;&gt;"",설정!$C$24="",OR(ISNUMBER(FIND("연장",설정!$B$24)),ISNUMBER(FIND("야간",설정!$B$24)),ISNUMBER(FIND("휴일",설정!$B$24))),INDEX(직원목록!$M$7:$M$306,MATCH(90,직원목록!$B$7:$B$306,0))&gt;0),"연장·야간·휴일 수당은 시간 수도 명세서에 적어야 하니 시간 열 지정 필요 / ",""))))</f>
        <v/>
      </c>
    </row>
    <row r="103">
      <c r="A103" s="26">
        <f>IF(IFERROR(MATCH(91,직원목록!$B$7:$B$306,0),0)=0,"",91)</f>
        <v/>
      </c>
      <c r="B103" s="2">
        <f>IF($A103="","",IFERROR(INDEX(직원목록!$D$7:$D$306,MATCH(91,직원목록!$B$7:$B$306,0)),""))</f>
        <v/>
      </c>
      <c r="C103" s="2">
        <f>IF($A103="","",IFERROR(INDEX(직원목록!$C$7:$C$306,MATCH(91,직원목록!$B$7:$B$306,0)),""))</f>
        <v/>
      </c>
      <c r="D103" s="27">
        <f>IF($A103="","",IFERROR(INDEX(직원목록!$V$7:$V$306,MATCH(91,직원목록!$B$7:$B$306,0)),""))</f>
        <v/>
      </c>
      <c r="E103" s="27">
        <f>IF($A103="","",IFERROR(INDEX(직원목록!$AG$7:$AG$306,MATCH(91,직원목록!$B$7:$B$306,0)),""))</f>
        <v/>
      </c>
      <c r="F103" s="27">
        <f>IF(OR($A103="",E103=""),"",D103-E103)</f>
        <v/>
      </c>
      <c r="G103" s="27">
        <f>IF($A103="","",IFERROR(INDEX(직원목록!$AE$7:$AE$306,MATCH(91,직원목록!$B$7:$B$306,0)),""))</f>
        <v/>
      </c>
      <c r="H103" s="27">
        <f>IF($A103="","",IFERROR(INDEX(직원목록!$AH$7:$AH$306,MATCH(91,직원목록!$B$7:$B$306,0)),""))</f>
        <v/>
      </c>
      <c r="I103" s="27">
        <f>IF(OR($A103="",H103=""),"",G103-H103)</f>
        <v/>
      </c>
      <c r="J103" s="27">
        <f>IF($A103="","",IFERROR(INDEX(직원목록!$AF$7:$AF$306,MATCH(91,직원목록!$B$7:$B$306,0)),""))</f>
        <v/>
      </c>
      <c r="K103" s="27">
        <f>IF($A103="","",IFERROR(INDEX(직원목록!$AI$7:$AI$306,MATCH(91,직원목록!$B$7:$B$306,0)),""))</f>
        <v/>
      </c>
      <c r="L103" s="8">
        <f>IF($A103="","",IF(LEN(IF(AND(F103&lt;&gt;"",F103&lt;&gt;0),"계산 총지급과 대장 총지급이 다릅니다 / ","")&amp;IF(AND(I103&lt;&gt;"",I103&lt;&gt;0),"계산 총공제와 대장 총공제가 다릅니다 / ","")&amp;IF(J103&lt;0,"실수령액이 음수입니다 / ","")&amp;IF(COUNTIF(직원목록!$D$7:$D$306,B103)&gt;1,"같은 이름이 둘 이상 — 미리보기는 첫 번째만 보입니다 / ","")&amp;IF(AND(C103&lt;&gt;"",COUNTIF(직원목록!$C$7:$C$306,C103)&gt;1),"사번 중복 / ","")&amp;IF(D103=0,"총지급이 0원 — 머리글 매칭 확인 / ","")&amp;IF(AND(설정!$B$17&lt;&gt;"",설정!$C$17="",OR(ISNUMBER(FIND("연장",설정!$B$17)),ISNUMBER(FIND("야간",설정!$B$17)),ISNUMBER(FIND("휴일",설정!$B$17))),INDEX(직원목록!$F$7:$F$306,MATCH(91,직원목록!$B$7:$B$306,0))&gt;0),"연장·야간·휴일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","")&amp;IF(AND(설정!$B$24&lt;&gt;"",설정!$C$24="",OR(ISNUMBER(FIND("연장",설정!$B$24)),ISNUMBER(FIND("야간",설정!$B$24)),ISNUMBER(FIND("휴일",설정!$B$24))),INDEX(직원목록!$M$7:$M$306,MATCH(91,직원목록!$B$7:$B$306,0))&gt;0),"연장·야간·휴일 수당은 시간 수도 명세서에 적어야 하니 시간 열 지정 필요 / ",""))=0,"✔",("⚠ "&amp;IF(AND(F103&lt;&gt;"",F103&lt;&gt;0),"계산 총지급과 대장 총지급이 다릅니다 / ","")&amp;IF(AND(I103&lt;&gt;"",I103&lt;&gt;0),"계산 총공제와 대장 총공제가 다릅니다 / ","")&amp;IF(J103&lt;0,"실수령액이 음수입니다 / ","")&amp;IF(COUNTIF(직원목록!$D$7:$D$306,B103)&gt;1,"같은 이름이 둘 이상 — 미리보기는 첫 번째만 보입니다 / ","")&amp;IF(AND(C103&lt;&gt;"",COUNTIF(직원목록!$C$7:$C$306,C103)&gt;1),"사번 중복 / ","")&amp;IF(D103=0,"총지급이 0원 — 머리글 매칭 확인 / ","")&amp;IF(AND(설정!$B$17&lt;&gt;"",설정!$C$17="",OR(ISNUMBER(FIND("연장",설정!$B$17)),ISNUMBER(FIND("야간",설정!$B$17)),ISNUMBER(FIND("휴일",설정!$B$17))),INDEX(직원목록!$F$7:$F$306,MATCH(91,직원목록!$B$7:$B$306,0))&gt;0),"연장·야간·휴일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","")&amp;IF(AND(설정!$B$24&lt;&gt;"",설정!$C$24="",OR(ISNUMBER(FIND("연장",설정!$B$24)),ISNUMBER(FIND("야간",설정!$B$24)),ISNUMBER(FIND("휴일",설정!$B$24))),INDEX(직원목록!$M$7:$M$306,MATCH(91,직원목록!$B$7:$B$306,0))&gt;0),"연장·야간·휴일 수당은 시간 수도 명세서에 적어야 하니 시간 열 지정 필요 / ",""))))</f>
        <v/>
      </c>
    </row>
    <row r="104">
      <c r="A104" s="26">
        <f>IF(IFERROR(MATCH(92,직원목록!$B$7:$B$306,0),0)=0,"",92)</f>
        <v/>
      </c>
      <c r="B104" s="2">
        <f>IF($A104="","",IFERROR(INDEX(직원목록!$D$7:$D$306,MATCH(92,직원목록!$B$7:$B$306,0)),""))</f>
        <v/>
      </c>
      <c r="C104" s="2">
        <f>IF($A104="","",IFERROR(INDEX(직원목록!$C$7:$C$306,MATCH(92,직원목록!$B$7:$B$306,0)),""))</f>
        <v/>
      </c>
      <c r="D104" s="27">
        <f>IF($A104="","",IFERROR(INDEX(직원목록!$V$7:$V$306,MATCH(92,직원목록!$B$7:$B$306,0)),""))</f>
        <v/>
      </c>
      <c r="E104" s="27">
        <f>IF($A104="","",IFERROR(INDEX(직원목록!$AG$7:$AG$306,MATCH(92,직원목록!$B$7:$B$306,0)),""))</f>
        <v/>
      </c>
      <c r="F104" s="27">
        <f>IF(OR($A104="",E104=""),"",D104-E104)</f>
        <v/>
      </c>
      <c r="G104" s="27">
        <f>IF($A104="","",IFERROR(INDEX(직원목록!$AE$7:$AE$306,MATCH(92,직원목록!$B$7:$B$306,0)),""))</f>
        <v/>
      </c>
      <c r="H104" s="27">
        <f>IF($A104="","",IFERROR(INDEX(직원목록!$AH$7:$AH$306,MATCH(92,직원목록!$B$7:$B$306,0)),""))</f>
        <v/>
      </c>
      <c r="I104" s="27">
        <f>IF(OR($A104="",H104=""),"",G104-H104)</f>
        <v/>
      </c>
      <c r="J104" s="27">
        <f>IF($A104="","",IFERROR(INDEX(직원목록!$AF$7:$AF$306,MATCH(92,직원목록!$B$7:$B$306,0)),""))</f>
        <v/>
      </c>
      <c r="K104" s="27">
        <f>IF($A104="","",IFERROR(INDEX(직원목록!$AI$7:$AI$306,MATCH(92,직원목록!$B$7:$B$306,0)),""))</f>
        <v/>
      </c>
      <c r="L104" s="8">
        <f>IF($A104="","",IF(LEN(IF(AND(F104&lt;&gt;"",F104&lt;&gt;0),"계산 총지급과 대장 총지급이 다릅니다 / ","")&amp;IF(AND(I104&lt;&gt;"",I104&lt;&gt;0),"계산 총공제와 대장 총공제가 다릅니다 / ","")&amp;IF(J104&lt;0,"실수령액이 음수입니다 / ","")&amp;IF(COUNTIF(직원목록!$D$7:$D$306,B104)&gt;1,"같은 이름이 둘 이상 — 미리보기는 첫 번째만 보입니다 / ","")&amp;IF(AND(C104&lt;&gt;"",COUNTIF(직원목록!$C$7:$C$306,C104)&gt;1),"사번 중복 / ","")&amp;IF(D104=0,"총지급이 0원 — 머리글 매칭 확인 / ","")&amp;IF(AND(설정!$B$17&lt;&gt;"",설정!$C$17="",OR(ISNUMBER(FIND("연장",설정!$B$17)),ISNUMBER(FIND("야간",설정!$B$17)),ISNUMBER(FIND("휴일",설정!$B$17))),INDEX(직원목록!$F$7:$F$306,MATCH(92,직원목록!$B$7:$B$306,0))&gt;0),"연장·야간·휴일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","")&amp;IF(AND(설정!$B$24&lt;&gt;"",설정!$C$24="",OR(ISNUMBER(FIND("연장",설정!$B$24)),ISNUMBER(FIND("야간",설정!$B$24)),ISNUMBER(FIND("휴일",설정!$B$24))),INDEX(직원목록!$M$7:$M$306,MATCH(92,직원목록!$B$7:$B$306,0))&gt;0),"연장·야간·휴일 수당은 시간 수도 명세서에 적어야 하니 시간 열 지정 필요 / ",""))=0,"✔",("⚠ "&amp;IF(AND(F104&lt;&gt;"",F104&lt;&gt;0),"계산 총지급과 대장 총지급이 다릅니다 / ","")&amp;IF(AND(I104&lt;&gt;"",I104&lt;&gt;0),"계산 총공제와 대장 총공제가 다릅니다 / ","")&amp;IF(J104&lt;0,"실수령액이 음수입니다 / ","")&amp;IF(COUNTIF(직원목록!$D$7:$D$306,B104)&gt;1,"같은 이름이 둘 이상 — 미리보기는 첫 번째만 보입니다 / ","")&amp;IF(AND(C104&lt;&gt;"",COUNTIF(직원목록!$C$7:$C$306,C104)&gt;1),"사번 중복 / ","")&amp;IF(D104=0,"총지급이 0원 — 머리글 매칭 확인 / ","")&amp;IF(AND(설정!$B$17&lt;&gt;"",설정!$C$17="",OR(ISNUMBER(FIND("연장",설정!$B$17)),ISNUMBER(FIND("야간",설정!$B$17)),ISNUMBER(FIND("휴일",설정!$B$17))),INDEX(직원목록!$F$7:$F$306,MATCH(92,직원목록!$B$7:$B$306,0))&gt;0),"연장·야간·휴일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","")&amp;IF(AND(설정!$B$24&lt;&gt;"",설정!$C$24="",OR(ISNUMBER(FIND("연장",설정!$B$24)),ISNUMBER(FIND("야간",설정!$B$24)),ISNUMBER(FIND("휴일",설정!$B$24))),INDEX(직원목록!$M$7:$M$306,MATCH(92,직원목록!$B$7:$B$306,0))&gt;0),"연장·야간·휴일 수당은 시간 수도 명세서에 적어야 하니 시간 열 지정 필요 / ",""))))</f>
        <v/>
      </c>
    </row>
    <row r="105">
      <c r="A105" s="26">
        <f>IF(IFERROR(MATCH(93,직원목록!$B$7:$B$306,0),0)=0,"",93)</f>
        <v/>
      </c>
      <c r="B105" s="2">
        <f>IF($A105="","",IFERROR(INDEX(직원목록!$D$7:$D$306,MATCH(93,직원목록!$B$7:$B$306,0)),""))</f>
        <v/>
      </c>
      <c r="C105" s="2">
        <f>IF($A105="","",IFERROR(INDEX(직원목록!$C$7:$C$306,MATCH(93,직원목록!$B$7:$B$306,0)),""))</f>
        <v/>
      </c>
      <c r="D105" s="27">
        <f>IF($A105="","",IFERROR(INDEX(직원목록!$V$7:$V$306,MATCH(93,직원목록!$B$7:$B$306,0)),""))</f>
        <v/>
      </c>
      <c r="E105" s="27">
        <f>IF($A105="","",IFERROR(INDEX(직원목록!$AG$7:$AG$306,MATCH(93,직원목록!$B$7:$B$306,0)),""))</f>
        <v/>
      </c>
      <c r="F105" s="27">
        <f>IF(OR($A105="",E105=""),"",D105-E105)</f>
        <v/>
      </c>
      <c r="G105" s="27">
        <f>IF($A105="","",IFERROR(INDEX(직원목록!$AE$7:$AE$306,MATCH(93,직원목록!$B$7:$B$306,0)),""))</f>
        <v/>
      </c>
      <c r="H105" s="27">
        <f>IF($A105="","",IFERROR(INDEX(직원목록!$AH$7:$AH$306,MATCH(93,직원목록!$B$7:$B$306,0)),""))</f>
        <v/>
      </c>
      <c r="I105" s="27">
        <f>IF(OR($A105="",H105=""),"",G105-H105)</f>
        <v/>
      </c>
      <c r="J105" s="27">
        <f>IF($A105="","",IFERROR(INDEX(직원목록!$AF$7:$AF$306,MATCH(93,직원목록!$B$7:$B$306,0)),""))</f>
        <v/>
      </c>
      <c r="K105" s="27">
        <f>IF($A105="","",IFERROR(INDEX(직원목록!$AI$7:$AI$306,MATCH(93,직원목록!$B$7:$B$306,0)),""))</f>
        <v/>
      </c>
      <c r="L105" s="8">
        <f>IF($A105="","",IF(LEN(IF(AND(F105&lt;&gt;"",F105&lt;&gt;0),"계산 총지급과 대장 총지급이 다릅니다 / ","")&amp;IF(AND(I105&lt;&gt;"",I105&lt;&gt;0),"계산 총공제와 대장 총공제가 다릅니다 / ","")&amp;IF(J105&lt;0,"실수령액이 음수입니다 / ","")&amp;IF(COUNTIF(직원목록!$D$7:$D$306,B105)&gt;1,"같은 이름이 둘 이상 — 미리보기는 첫 번째만 보입니다 / ","")&amp;IF(AND(C105&lt;&gt;"",COUNTIF(직원목록!$C$7:$C$306,C105)&gt;1),"사번 중복 / ","")&amp;IF(D105=0,"총지급이 0원 — 머리글 매칭 확인 / ","")&amp;IF(AND(설정!$B$17&lt;&gt;"",설정!$C$17="",OR(ISNUMBER(FIND("연장",설정!$B$17)),ISNUMBER(FIND("야간",설정!$B$17)),ISNUMBER(FIND("휴일",설정!$B$17))),INDEX(직원목록!$F$7:$F$306,MATCH(93,직원목록!$B$7:$B$306,0))&gt;0),"연장·야간·휴일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","")&amp;IF(AND(설정!$B$24&lt;&gt;"",설정!$C$24="",OR(ISNUMBER(FIND("연장",설정!$B$24)),ISNUMBER(FIND("야간",설정!$B$24)),ISNUMBER(FIND("휴일",설정!$B$24))),INDEX(직원목록!$M$7:$M$306,MATCH(93,직원목록!$B$7:$B$306,0))&gt;0),"연장·야간·휴일 수당은 시간 수도 명세서에 적어야 하니 시간 열 지정 필요 / ",""))=0,"✔",("⚠ "&amp;IF(AND(F105&lt;&gt;"",F105&lt;&gt;0),"계산 총지급과 대장 총지급이 다릅니다 / ","")&amp;IF(AND(I105&lt;&gt;"",I105&lt;&gt;0),"계산 총공제와 대장 총공제가 다릅니다 / ","")&amp;IF(J105&lt;0,"실수령액이 음수입니다 / ","")&amp;IF(COUNTIF(직원목록!$D$7:$D$306,B105)&gt;1,"같은 이름이 둘 이상 — 미리보기는 첫 번째만 보입니다 / ","")&amp;IF(AND(C105&lt;&gt;"",COUNTIF(직원목록!$C$7:$C$306,C105)&gt;1),"사번 중복 / ","")&amp;IF(D105=0,"총지급이 0원 — 머리글 매칭 확인 / ","")&amp;IF(AND(설정!$B$17&lt;&gt;"",설정!$C$17="",OR(ISNUMBER(FIND("연장",설정!$B$17)),ISNUMBER(FIND("야간",설정!$B$17)),ISNUMBER(FIND("휴일",설정!$B$17))),INDEX(직원목록!$F$7:$F$306,MATCH(93,직원목록!$B$7:$B$306,0))&gt;0),"연장·야간·휴일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","")&amp;IF(AND(설정!$B$24&lt;&gt;"",설정!$C$24="",OR(ISNUMBER(FIND("연장",설정!$B$24)),ISNUMBER(FIND("야간",설정!$B$24)),ISNUMBER(FIND("휴일",설정!$B$24))),INDEX(직원목록!$M$7:$M$306,MATCH(93,직원목록!$B$7:$B$306,0))&gt;0),"연장·야간·휴일 수당은 시간 수도 명세서에 적어야 하니 시간 열 지정 필요 / ",""))))</f>
        <v/>
      </c>
    </row>
    <row r="106">
      <c r="A106" s="26">
        <f>IF(IFERROR(MATCH(94,직원목록!$B$7:$B$306,0),0)=0,"",94)</f>
        <v/>
      </c>
      <c r="B106" s="2">
        <f>IF($A106="","",IFERROR(INDEX(직원목록!$D$7:$D$306,MATCH(94,직원목록!$B$7:$B$306,0)),""))</f>
        <v/>
      </c>
      <c r="C106" s="2">
        <f>IF($A106="","",IFERROR(INDEX(직원목록!$C$7:$C$306,MATCH(94,직원목록!$B$7:$B$306,0)),""))</f>
        <v/>
      </c>
      <c r="D106" s="27">
        <f>IF($A106="","",IFERROR(INDEX(직원목록!$V$7:$V$306,MATCH(94,직원목록!$B$7:$B$306,0)),""))</f>
        <v/>
      </c>
      <c r="E106" s="27">
        <f>IF($A106="","",IFERROR(INDEX(직원목록!$AG$7:$AG$306,MATCH(94,직원목록!$B$7:$B$306,0)),""))</f>
        <v/>
      </c>
      <c r="F106" s="27">
        <f>IF(OR($A106="",E106=""),"",D106-E106)</f>
        <v/>
      </c>
      <c r="G106" s="27">
        <f>IF($A106="","",IFERROR(INDEX(직원목록!$AE$7:$AE$306,MATCH(94,직원목록!$B$7:$B$306,0)),""))</f>
        <v/>
      </c>
      <c r="H106" s="27">
        <f>IF($A106="","",IFERROR(INDEX(직원목록!$AH$7:$AH$306,MATCH(94,직원목록!$B$7:$B$306,0)),""))</f>
        <v/>
      </c>
      <c r="I106" s="27">
        <f>IF(OR($A106="",H106=""),"",G106-H106)</f>
        <v/>
      </c>
      <c r="J106" s="27">
        <f>IF($A106="","",IFERROR(INDEX(직원목록!$AF$7:$AF$306,MATCH(94,직원목록!$B$7:$B$306,0)),""))</f>
        <v/>
      </c>
      <c r="K106" s="27">
        <f>IF($A106="","",IFERROR(INDEX(직원목록!$AI$7:$AI$306,MATCH(94,직원목록!$B$7:$B$306,0)),""))</f>
        <v/>
      </c>
      <c r="L106" s="8">
        <f>IF($A106="","",IF(LEN(IF(AND(F106&lt;&gt;"",F106&lt;&gt;0),"계산 총지급과 대장 총지급이 다릅니다 / ","")&amp;IF(AND(I106&lt;&gt;"",I106&lt;&gt;0),"계산 총공제와 대장 총공제가 다릅니다 / ","")&amp;IF(J106&lt;0,"실수령액이 음수입니다 / ","")&amp;IF(COUNTIF(직원목록!$D$7:$D$306,B106)&gt;1,"같은 이름이 둘 이상 — 미리보기는 첫 번째만 보입니다 / ","")&amp;IF(AND(C106&lt;&gt;"",COUNTIF(직원목록!$C$7:$C$306,C106)&gt;1),"사번 중복 / ","")&amp;IF(D106=0,"총지급이 0원 — 머리글 매칭 확인 / ","")&amp;IF(AND(설정!$B$17&lt;&gt;"",설정!$C$17="",OR(ISNUMBER(FIND("연장",설정!$B$17)),ISNUMBER(FIND("야간",설정!$B$17)),ISNUMBER(FIND("휴일",설정!$B$17))),INDEX(직원목록!$F$7:$F$306,MATCH(94,직원목록!$B$7:$B$306,0))&gt;0),"연장·야간·휴일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","")&amp;IF(AND(설정!$B$24&lt;&gt;"",설정!$C$24="",OR(ISNUMBER(FIND("연장",설정!$B$24)),ISNUMBER(FIND("야간",설정!$B$24)),ISNUMBER(FIND("휴일",설정!$B$24))),INDEX(직원목록!$M$7:$M$306,MATCH(94,직원목록!$B$7:$B$306,0))&gt;0),"연장·야간·휴일 수당은 시간 수도 명세서에 적어야 하니 시간 열 지정 필요 / ",""))=0,"✔",("⚠ "&amp;IF(AND(F106&lt;&gt;"",F106&lt;&gt;0),"계산 총지급과 대장 총지급이 다릅니다 / ","")&amp;IF(AND(I106&lt;&gt;"",I106&lt;&gt;0),"계산 총공제와 대장 총공제가 다릅니다 / ","")&amp;IF(J106&lt;0,"실수령액이 음수입니다 / ","")&amp;IF(COUNTIF(직원목록!$D$7:$D$306,B106)&gt;1,"같은 이름이 둘 이상 — 미리보기는 첫 번째만 보입니다 / ","")&amp;IF(AND(C106&lt;&gt;"",COUNTIF(직원목록!$C$7:$C$306,C106)&gt;1),"사번 중복 / ","")&amp;IF(D106=0,"총지급이 0원 — 머리글 매칭 확인 / ","")&amp;IF(AND(설정!$B$17&lt;&gt;"",설정!$C$17="",OR(ISNUMBER(FIND("연장",설정!$B$17)),ISNUMBER(FIND("야간",설정!$B$17)),ISNUMBER(FIND("휴일",설정!$B$17))),INDEX(직원목록!$F$7:$F$306,MATCH(94,직원목록!$B$7:$B$306,0))&gt;0),"연장·야간·휴일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","")&amp;IF(AND(설정!$B$24&lt;&gt;"",설정!$C$24="",OR(ISNUMBER(FIND("연장",설정!$B$24)),ISNUMBER(FIND("야간",설정!$B$24)),ISNUMBER(FIND("휴일",설정!$B$24))),INDEX(직원목록!$M$7:$M$306,MATCH(94,직원목록!$B$7:$B$306,0))&gt;0),"연장·야간·휴일 수당은 시간 수도 명세서에 적어야 하니 시간 열 지정 필요 / ",""))))</f>
        <v/>
      </c>
    </row>
    <row r="107">
      <c r="A107" s="26">
        <f>IF(IFERROR(MATCH(95,직원목록!$B$7:$B$306,0),0)=0,"",95)</f>
        <v/>
      </c>
      <c r="B107" s="2">
        <f>IF($A107="","",IFERROR(INDEX(직원목록!$D$7:$D$306,MATCH(95,직원목록!$B$7:$B$306,0)),""))</f>
        <v/>
      </c>
      <c r="C107" s="2">
        <f>IF($A107="","",IFERROR(INDEX(직원목록!$C$7:$C$306,MATCH(95,직원목록!$B$7:$B$306,0)),""))</f>
        <v/>
      </c>
      <c r="D107" s="27">
        <f>IF($A107="","",IFERROR(INDEX(직원목록!$V$7:$V$306,MATCH(95,직원목록!$B$7:$B$306,0)),""))</f>
        <v/>
      </c>
      <c r="E107" s="27">
        <f>IF($A107="","",IFERROR(INDEX(직원목록!$AG$7:$AG$306,MATCH(95,직원목록!$B$7:$B$306,0)),""))</f>
        <v/>
      </c>
      <c r="F107" s="27">
        <f>IF(OR($A107="",E107=""),"",D107-E107)</f>
        <v/>
      </c>
      <c r="G107" s="27">
        <f>IF($A107="","",IFERROR(INDEX(직원목록!$AE$7:$AE$306,MATCH(95,직원목록!$B$7:$B$306,0)),""))</f>
        <v/>
      </c>
      <c r="H107" s="27">
        <f>IF($A107="","",IFERROR(INDEX(직원목록!$AH$7:$AH$306,MATCH(95,직원목록!$B$7:$B$306,0)),""))</f>
        <v/>
      </c>
      <c r="I107" s="27">
        <f>IF(OR($A107="",H107=""),"",G107-H107)</f>
        <v/>
      </c>
      <c r="J107" s="27">
        <f>IF($A107="","",IFERROR(INDEX(직원목록!$AF$7:$AF$306,MATCH(95,직원목록!$B$7:$B$306,0)),""))</f>
        <v/>
      </c>
      <c r="K107" s="27">
        <f>IF($A107="","",IFERROR(INDEX(직원목록!$AI$7:$AI$306,MATCH(95,직원목록!$B$7:$B$306,0)),""))</f>
        <v/>
      </c>
      <c r="L107" s="8">
        <f>IF($A107="","",IF(LEN(IF(AND(F107&lt;&gt;"",F107&lt;&gt;0),"계산 총지급과 대장 총지급이 다릅니다 / ","")&amp;IF(AND(I107&lt;&gt;"",I107&lt;&gt;0),"계산 총공제와 대장 총공제가 다릅니다 / ","")&amp;IF(J107&lt;0,"실수령액이 음수입니다 / ","")&amp;IF(COUNTIF(직원목록!$D$7:$D$306,B107)&gt;1,"같은 이름이 둘 이상 — 미리보기는 첫 번째만 보입니다 / ","")&amp;IF(AND(C107&lt;&gt;"",COUNTIF(직원목록!$C$7:$C$306,C107)&gt;1),"사번 중복 / ","")&amp;IF(D107=0,"총지급이 0원 — 머리글 매칭 확인 / ","")&amp;IF(AND(설정!$B$17&lt;&gt;"",설정!$C$17="",OR(ISNUMBER(FIND("연장",설정!$B$17)),ISNUMBER(FIND("야간",설정!$B$17)),ISNUMBER(FIND("휴일",설정!$B$17))),INDEX(직원목록!$F$7:$F$306,MATCH(95,직원목록!$B$7:$B$306,0))&gt;0),"연장·야간·휴일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","")&amp;IF(AND(설정!$B$24&lt;&gt;"",설정!$C$24="",OR(ISNUMBER(FIND("연장",설정!$B$24)),ISNUMBER(FIND("야간",설정!$B$24)),ISNUMBER(FIND("휴일",설정!$B$24))),INDEX(직원목록!$M$7:$M$306,MATCH(95,직원목록!$B$7:$B$306,0))&gt;0),"연장·야간·휴일 수당은 시간 수도 명세서에 적어야 하니 시간 열 지정 필요 / ",""))=0,"✔",("⚠ "&amp;IF(AND(F107&lt;&gt;"",F107&lt;&gt;0),"계산 총지급과 대장 총지급이 다릅니다 / ","")&amp;IF(AND(I107&lt;&gt;"",I107&lt;&gt;0),"계산 총공제와 대장 총공제가 다릅니다 / ","")&amp;IF(J107&lt;0,"실수령액이 음수입니다 / ","")&amp;IF(COUNTIF(직원목록!$D$7:$D$306,B107)&gt;1,"같은 이름이 둘 이상 — 미리보기는 첫 번째만 보입니다 / ","")&amp;IF(AND(C107&lt;&gt;"",COUNTIF(직원목록!$C$7:$C$306,C107)&gt;1),"사번 중복 / ","")&amp;IF(D107=0,"총지급이 0원 — 머리글 매칭 확인 / ","")&amp;IF(AND(설정!$B$17&lt;&gt;"",설정!$C$17="",OR(ISNUMBER(FIND("연장",설정!$B$17)),ISNUMBER(FIND("야간",설정!$B$17)),ISNUMBER(FIND("휴일",설정!$B$17))),INDEX(직원목록!$F$7:$F$306,MATCH(95,직원목록!$B$7:$B$306,0))&gt;0),"연장·야간·휴일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","")&amp;IF(AND(설정!$B$24&lt;&gt;"",설정!$C$24="",OR(ISNUMBER(FIND("연장",설정!$B$24)),ISNUMBER(FIND("야간",설정!$B$24)),ISNUMBER(FIND("휴일",설정!$B$24))),INDEX(직원목록!$M$7:$M$306,MATCH(95,직원목록!$B$7:$B$306,0))&gt;0),"연장·야간·휴일 수당은 시간 수도 명세서에 적어야 하니 시간 열 지정 필요 / ",""))))</f>
        <v/>
      </c>
    </row>
    <row r="108">
      <c r="A108" s="26">
        <f>IF(IFERROR(MATCH(96,직원목록!$B$7:$B$306,0),0)=0,"",96)</f>
        <v/>
      </c>
      <c r="B108" s="2">
        <f>IF($A108="","",IFERROR(INDEX(직원목록!$D$7:$D$306,MATCH(96,직원목록!$B$7:$B$306,0)),""))</f>
        <v/>
      </c>
      <c r="C108" s="2">
        <f>IF($A108="","",IFERROR(INDEX(직원목록!$C$7:$C$306,MATCH(96,직원목록!$B$7:$B$306,0)),""))</f>
        <v/>
      </c>
      <c r="D108" s="27">
        <f>IF($A108="","",IFERROR(INDEX(직원목록!$V$7:$V$306,MATCH(96,직원목록!$B$7:$B$306,0)),""))</f>
        <v/>
      </c>
      <c r="E108" s="27">
        <f>IF($A108="","",IFERROR(INDEX(직원목록!$AG$7:$AG$306,MATCH(96,직원목록!$B$7:$B$306,0)),""))</f>
        <v/>
      </c>
      <c r="F108" s="27">
        <f>IF(OR($A108="",E108=""),"",D108-E108)</f>
        <v/>
      </c>
      <c r="G108" s="27">
        <f>IF($A108="","",IFERROR(INDEX(직원목록!$AE$7:$AE$306,MATCH(96,직원목록!$B$7:$B$306,0)),""))</f>
        <v/>
      </c>
      <c r="H108" s="27">
        <f>IF($A108="","",IFERROR(INDEX(직원목록!$AH$7:$AH$306,MATCH(96,직원목록!$B$7:$B$306,0)),""))</f>
        <v/>
      </c>
      <c r="I108" s="27">
        <f>IF(OR($A108="",H108=""),"",G108-H108)</f>
        <v/>
      </c>
      <c r="J108" s="27">
        <f>IF($A108="","",IFERROR(INDEX(직원목록!$AF$7:$AF$306,MATCH(96,직원목록!$B$7:$B$306,0)),""))</f>
        <v/>
      </c>
      <c r="K108" s="27">
        <f>IF($A108="","",IFERROR(INDEX(직원목록!$AI$7:$AI$306,MATCH(96,직원목록!$B$7:$B$306,0)),""))</f>
        <v/>
      </c>
      <c r="L108" s="8">
        <f>IF($A108="","",IF(LEN(IF(AND(F108&lt;&gt;"",F108&lt;&gt;0),"계산 총지급과 대장 총지급이 다릅니다 / ","")&amp;IF(AND(I108&lt;&gt;"",I108&lt;&gt;0),"계산 총공제와 대장 총공제가 다릅니다 / ","")&amp;IF(J108&lt;0,"실수령액이 음수입니다 / ","")&amp;IF(COUNTIF(직원목록!$D$7:$D$306,B108)&gt;1,"같은 이름이 둘 이상 — 미리보기는 첫 번째만 보입니다 / ","")&amp;IF(AND(C108&lt;&gt;"",COUNTIF(직원목록!$C$7:$C$306,C108)&gt;1),"사번 중복 / ","")&amp;IF(D108=0,"총지급이 0원 — 머리글 매칭 확인 / ","")&amp;IF(AND(설정!$B$17&lt;&gt;"",설정!$C$17="",OR(ISNUMBER(FIND("연장",설정!$B$17)),ISNUMBER(FIND("야간",설정!$B$17)),ISNUMBER(FIND("휴일",설정!$B$17))),INDEX(직원목록!$F$7:$F$306,MATCH(96,직원목록!$B$7:$B$306,0))&gt;0),"연장·야간·휴일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","")&amp;IF(AND(설정!$B$24&lt;&gt;"",설정!$C$24="",OR(ISNUMBER(FIND("연장",설정!$B$24)),ISNUMBER(FIND("야간",설정!$B$24)),ISNUMBER(FIND("휴일",설정!$B$24))),INDEX(직원목록!$M$7:$M$306,MATCH(96,직원목록!$B$7:$B$306,0))&gt;0),"연장·야간·휴일 수당은 시간 수도 명세서에 적어야 하니 시간 열 지정 필요 / ",""))=0,"✔",("⚠ "&amp;IF(AND(F108&lt;&gt;"",F108&lt;&gt;0),"계산 총지급과 대장 총지급이 다릅니다 / ","")&amp;IF(AND(I108&lt;&gt;"",I108&lt;&gt;0),"계산 총공제와 대장 총공제가 다릅니다 / ","")&amp;IF(J108&lt;0,"실수령액이 음수입니다 / ","")&amp;IF(COUNTIF(직원목록!$D$7:$D$306,B108)&gt;1,"같은 이름이 둘 이상 — 미리보기는 첫 번째만 보입니다 / ","")&amp;IF(AND(C108&lt;&gt;"",COUNTIF(직원목록!$C$7:$C$306,C108)&gt;1),"사번 중복 / ","")&amp;IF(D108=0,"총지급이 0원 — 머리글 매칭 확인 / ","")&amp;IF(AND(설정!$B$17&lt;&gt;"",설정!$C$17="",OR(ISNUMBER(FIND("연장",설정!$B$17)),ISNUMBER(FIND("야간",설정!$B$17)),ISNUMBER(FIND("휴일",설정!$B$17))),INDEX(직원목록!$F$7:$F$306,MATCH(96,직원목록!$B$7:$B$306,0))&gt;0),"연장·야간·휴일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","")&amp;IF(AND(설정!$B$24&lt;&gt;"",설정!$C$24="",OR(ISNUMBER(FIND("연장",설정!$B$24)),ISNUMBER(FIND("야간",설정!$B$24)),ISNUMBER(FIND("휴일",설정!$B$24))),INDEX(직원목록!$M$7:$M$306,MATCH(96,직원목록!$B$7:$B$306,0))&gt;0),"연장·야간·휴일 수당은 시간 수도 명세서에 적어야 하니 시간 열 지정 필요 / ",""))))</f>
        <v/>
      </c>
    </row>
    <row r="109">
      <c r="A109" s="26">
        <f>IF(IFERROR(MATCH(97,직원목록!$B$7:$B$306,0),0)=0,"",97)</f>
        <v/>
      </c>
      <c r="B109" s="2">
        <f>IF($A109="","",IFERROR(INDEX(직원목록!$D$7:$D$306,MATCH(97,직원목록!$B$7:$B$306,0)),""))</f>
        <v/>
      </c>
      <c r="C109" s="2">
        <f>IF($A109="","",IFERROR(INDEX(직원목록!$C$7:$C$306,MATCH(97,직원목록!$B$7:$B$306,0)),""))</f>
        <v/>
      </c>
      <c r="D109" s="27">
        <f>IF($A109="","",IFERROR(INDEX(직원목록!$V$7:$V$306,MATCH(97,직원목록!$B$7:$B$306,0)),""))</f>
        <v/>
      </c>
      <c r="E109" s="27">
        <f>IF($A109="","",IFERROR(INDEX(직원목록!$AG$7:$AG$306,MATCH(97,직원목록!$B$7:$B$306,0)),""))</f>
        <v/>
      </c>
      <c r="F109" s="27">
        <f>IF(OR($A109="",E109=""),"",D109-E109)</f>
        <v/>
      </c>
      <c r="G109" s="27">
        <f>IF($A109="","",IFERROR(INDEX(직원목록!$AE$7:$AE$306,MATCH(97,직원목록!$B$7:$B$306,0)),""))</f>
        <v/>
      </c>
      <c r="H109" s="27">
        <f>IF($A109="","",IFERROR(INDEX(직원목록!$AH$7:$AH$306,MATCH(97,직원목록!$B$7:$B$306,0)),""))</f>
        <v/>
      </c>
      <c r="I109" s="27">
        <f>IF(OR($A109="",H109=""),"",G109-H109)</f>
        <v/>
      </c>
      <c r="J109" s="27">
        <f>IF($A109="","",IFERROR(INDEX(직원목록!$AF$7:$AF$306,MATCH(97,직원목록!$B$7:$B$306,0)),""))</f>
        <v/>
      </c>
      <c r="K109" s="27">
        <f>IF($A109="","",IFERROR(INDEX(직원목록!$AI$7:$AI$306,MATCH(97,직원목록!$B$7:$B$306,0)),""))</f>
        <v/>
      </c>
      <c r="L109" s="8">
        <f>IF($A109="","",IF(LEN(IF(AND(F109&lt;&gt;"",F109&lt;&gt;0),"계산 총지급과 대장 총지급이 다릅니다 / ","")&amp;IF(AND(I109&lt;&gt;"",I109&lt;&gt;0),"계산 총공제와 대장 총공제가 다릅니다 / ","")&amp;IF(J109&lt;0,"실수령액이 음수입니다 / ","")&amp;IF(COUNTIF(직원목록!$D$7:$D$306,B109)&gt;1,"같은 이름이 둘 이상 — 미리보기는 첫 번째만 보입니다 / ","")&amp;IF(AND(C109&lt;&gt;"",COUNTIF(직원목록!$C$7:$C$306,C109)&gt;1),"사번 중복 / ","")&amp;IF(D109=0,"총지급이 0원 — 머리글 매칭 확인 / ","")&amp;IF(AND(설정!$B$17&lt;&gt;"",설정!$C$17="",OR(ISNUMBER(FIND("연장",설정!$B$17)),ISNUMBER(FIND("야간",설정!$B$17)),ISNUMBER(FIND("휴일",설정!$B$17))),INDEX(직원목록!$F$7:$F$306,MATCH(97,직원목록!$B$7:$B$306,0))&gt;0),"연장·야간·휴일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","")&amp;IF(AND(설정!$B$24&lt;&gt;"",설정!$C$24="",OR(ISNUMBER(FIND("연장",설정!$B$24)),ISNUMBER(FIND("야간",설정!$B$24)),ISNUMBER(FIND("휴일",설정!$B$24))),INDEX(직원목록!$M$7:$M$306,MATCH(97,직원목록!$B$7:$B$306,0))&gt;0),"연장·야간·휴일 수당은 시간 수도 명세서에 적어야 하니 시간 열 지정 필요 / ",""))=0,"✔",("⚠ "&amp;IF(AND(F109&lt;&gt;"",F109&lt;&gt;0),"계산 총지급과 대장 총지급이 다릅니다 / ","")&amp;IF(AND(I109&lt;&gt;"",I109&lt;&gt;0),"계산 총공제와 대장 총공제가 다릅니다 / ","")&amp;IF(J109&lt;0,"실수령액이 음수입니다 / ","")&amp;IF(COUNTIF(직원목록!$D$7:$D$306,B109)&gt;1,"같은 이름이 둘 이상 — 미리보기는 첫 번째만 보입니다 / ","")&amp;IF(AND(C109&lt;&gt;"",COUNTIF(직원목록!$C$7:$C$306,C109)&gt;1),"사번 중복 / ","")&amp;IF(D109=0,"총지급이 0원 — 머리글 매칭 확인 / ","")&amp;IF(AND(설정!$B$17&lt;&gt;"",설정!$C$17="",OR(ISNUMBER(FIND("연장",설정!$B$17)),ISNUMBER(FIND("야간",설정!$B$17)),ISNUMBER(FIND("휴일",설정!$B$17))),INDEX(직원목록!$F$7:$F$306,MATCH(97,직원목록!$B$7:$B$306,0))&gt;0),"연장·야간·휴일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","")&amp;IF(AND(설정!$B$24&lt;&gt;"",설정!$C$24="",OR(ISNUMBER(FIND("연장",설정!$B$24)),ISNUMBER(FIND("야간",설정!$B$24)),ISNUMBER(FIND("휴일",설정!$B$24))),INDEX(직원목록!$M$7:$M$306,MATCH(97,직원목록!$B$7:$B$306,0))&gt;0),"연장·야간·휴일 수당은 시간 수도 명세서에 적어야 하니 시간 열 지정 필요 / ",""))))</f>
        <v/>
      </c>
    </row>
    <row r="110">
      <c r="A110" s="26">
        <f>IF(IFERROR(MATCH(98,직원목록!$B$7:$B$306,0),0)=0,"",98)</f>
        <v/>
      </c>
      <c r="B110" s="2">
        <f>IF($A110="","",IFERROR(INDEX(직원목록!$D$7:$D$306,MATCH(98,직원목록!$B$7:$B$306,0)),""))</f>
        <v/>
      </c>
      <c r="C110" s="2">
        <f>IF($A110="","",IFERROR(INDEX(직원목록!$C$7:$C$306,MATCH(98,직원목록!$B$7:$B$306,0)),""))</f>
        <v/>
      </c>
      <c r="D110" s="27">
        <f>IF($A110="","",IFERROR(INDEX(직원목록!$V$7:$V$306,MATCH(98,직원목록!$B$7:$B$306,0)),""))</f>
        <v/>
      </c>
      <c r="E110" s="27">
        <f>IF($A110="","",IFERROR(INDEX(직원목록!$AG$7:$AG$306,MATCH(98,직원목록!$B$7:$B$306,0)),""))</f>
        <v/>
      </c>
      <c r="F110" s="27">
        <f>IF(OR($A110="",E110=""),"",D110-E110)</f>
        <v/>
      </c>
      <c r="G110" s="27">
        <f>IF($A110="","",IFERROR(INDEX(직원목록!$AE$7:$AE$306,MATCH(98,직원목록!$B$7:$B$306,0)),""))</f>
        <v/>
      </c>
      <c r="H110" s="27">
        <f>IF($A110="","",IFERROR(INDEX(직원목록!$AH$7:$AH$306,MATCH(98,직원목록!$B$7:$B$306,0)),""))</f>
        <v/>
      </c>
      <c r="I110" s="27">
        <f>IF(OR($A110="",H110=""),"",G110-H110)</f>
        <v/>
      </c>
      <c r="J110" s="27">
        <f>IF($A110="","",IFERROR(INDEX(직원목록!$AF$7:$AF$306,MATCH(98,직원목록!$B$7:$B$306,0)),""))</f>
        <v/>
      </c>
      <c r="K110" s="27">
        <f>IF($A110="","",IFERROR(INDEX(직원목록!$AI$7:$AI$306,MATCH(98,직원목록!$B$7:$B$306,0)),""))</f>
        <v/>
      </c>
      <c r="L110" s="8">
        <f>IF($A110="","",IF(LEN(IF(AND(F110&lt;&gt;"",F110&lt;&gt;0),"계산 총지급과 대장 총지급이 다릅니다 / ","")&amp;IF(AND(I110&lt;&gt;"",I110&lt;&gt;0),"계산 총공제와 대장 총공제가 다릅니다 / ","")&amp;IF(J110&lt;0,"실수령액이 음수입니다 / ","")&amp;IF(COUNTIF(직원목록!$D$7:$D$306,B110)&gt;1,"같은 이름이 둘 이상 — 미리보기는 첫 번째만 보입니다 / ","")&amp;IF(AND(C110&lt;&gt;"",COUNTIF(직원목록!$C$7:$C$306,C110)&gt;1),"사번 중복 / ","")&amp;IF(D110=0,"총지급이 0원 — 머리글 매칭 확인 / ","")&amp;IF(AND(설정!$B$17&lt;&gt;"",설정!$C$17="",OR(ISNUMBER(FIND("연장",설정!$B$17)),ISNUMBER(FIND("야간",설정!$B$17)),ISNUMBER(FIND("휴일",설정!$B$17))),INDEX(직원목록!$F$7:$F$306,MATCH(98,직원목록!$B$7:$B$306,0))&gt;0),"연장·야간·휴일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","")&amp;IF(AND(설정!$B$24&lt;&gt;"",설정!$C$24="",OR(ISNUMBER(FIND("연장",설정!$B$24)),ISNUMBER(FIND("야간",설정!$B$24)),ISNUMBER(FIND("휴일",설정!$B$24))),INDEX(직원목록!$M$7:$M$306,MATCH(98,직원목록!$B$7:$B$306,0))&gt;0),"연장·야간·휴일 수당은 시간 수도 명세서에 적어야 하니 시간 열 지정 필요 / ",""))=0,"✔",("⚠ "&amp;IF(AND(F110&lt;&gt;"",F110&lt;&gt;0),"계산 총지급과 대장 총지급이 다릅니다 / ","")&amp;IF(AND(I110&lt;&gt;"",I110&lt;&gt;0),"계산 총공제와 대장 총공제가 다릅니다 / ","")&amp;IF(J110&lt;0,"실수령액이 음수입니다 / ","")&amp;IF(COUNTIF(직원목록!$D$7:$D$306,B110)&gt;1,"같은 이름이 둘 이상 — 미리보기는 첫 번째만 보입니다 / ","")&amp;IF(AND(C110&lt;&gt;"",COUNTIF(직원목록!$C$7:$C$306,C110)&gt;1),"사번 중복 / ","")&amp;IF(D110=0,"총지급이 0원 — 머리글 매칭 확인 / ","")&amp;IF(AND(설정!$B$17&lt;&gt;"",설정!$C$17="",OR(ISNUMBER(FIND("연장",설정!$B$17)),ISNUMBER(FIND("야간",설정!$B$17)),ISNUMBER(FIND("휴일",설정!$B$17))),INDEX(직원목록!$F$7:$F$306,MATCH(98,직원목록!$B$7:$B$306,0))&gt;0),"연장·야간·휴일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","")&amp;IF(AND(설정!$B$24&lt;&gt;"",설정!$C$24="",OR(ISNUMBER(FIND("연장",설정!$B$24)),ISNUMBER(FIND("야간",설정!$B$24)),ISNUMBER(FIND("휴일",설정!$B$24))),INDEX(직원목록!$M$7:$M$306,MATCH(98,직원목록!$B$7:$B$306,0))&gt;0),"연장·야간·휴일 수당은 시간 수도 명세서에 적어야 하니 시간 열 지정 필요 / ",""))))</f>
        <v/>
      </c>
    </row>
    <row r="111">
      <c r="A111" s="26">
        <f>IF(IFERROR(MATCH(99,직원목록!$B$7:$B$306,0),0)=0,"",99)</f>
        <v/>
      </c>
      <c r="B111" s="2">
        <f>IF($A111="","",IFERROR(INDEX(직원목록!$D$7:$D$306,MATCH(99,직원목록!$B$7:$B$306,0)),""))</f>
        <v/>
      </c>
      <c r="C111" s="2">
        <f>IF($A111="","",IFERROR(INDEX(직원목록!$C$7:$C$306,MATCH(99,직원목록!$B$7:$B$306,0)),""))</f>
        <v/>
      </c>
      <c r="D111" s="27">
        <f>IF($A111="","",IFERROR(INDEX(직원목록!$V$7:$V$306,MATCH(99,직원목록!$B$7:$B$306,0)),""))</f>
        <v/>
      </c>
      <c r="E111" s="27">
        <f>IF($A111="","",IFERROR(INDEX(직원목록!$AG$7:$AG$306,MATCH(99,직원목록!$B$7:$B$306,0)),""))</f>
        <v/>
      </c>
      <c r="F111" s="27">
        <f>IF(OR($A111="",E111=""),"",D111-E111)</f>
        <v/>
      </c>
      <c r="G111" s="27">
        <f>IF($A111="","",IFERROR(INDEX(직원목록!$AE$7:$AE$306,MATCH(99,직원목록!$B$7:$B$306,0)),""))</f>
        <v/>
      </c>
      <c r="H111" s="27">
        <f>IF($A111="","",IFERROR(INDEX(직원목록!$AH$7:$AH$306,MATCH(99,직원목록!$B$7:$B$306,0)),""))</f>
        <v/>
      </c>
      <c r="I111" s="27">
        <f>IF(OR($A111="",H111=""),"",G111-H111)</f>
        <v/>
      </c>
      <c r="J111" s="27">
        <f>IF($A111="","",IFERROR(INDEX(직원목록!$AF$7:$AF$306,MATCH(99,직원목록!$B$7:$B$306,0)),""))</f>
        <v/>
      </c>
      <c r="K111" s="27">
        <f>IF($A111="","",IFERROR(INDEX(직원목록!$AI$7:$AI$306,MATCH(99,직원목록!$B$7:$B$306,0)),""))</f>
        <v/>
      </c>
      <c r="L111" s="8">
        <f>IF($A111="","",IF(LEN(IF(AND(F111&lt;&gt;"",F111&lt;&gt;0),"계산 총지급과 대장 총지급이 다릅니다 / ","")&amp;IF(AND(I111&lt;&gt;"",I111&lt;&gt;0),"계산 총공제와 대장 총공제가 다릅니다 / ","")&amp;IF(J111&lt;0,"실수령액이 음수입니다 / ","")&amp;IF(COUNTIF(직원목록!$D$7:$D$306,B111)&gt;1,"같은 이름이 둘 이상 — 미리보기는 첫 번째만 보입니다 / ","")&amp;IF(AND(C111&lt;&gt;"",COUNTIF(직원목록!$C$7:$C$306,C111)&gt;1),"사번 중복 / ","")&amp;IF(D111=0,"총지급이 0원 — 머리글 매칭 확인 / ","")&amp;IF(AND(설정!$B$17&lt;&gt;"",설정!$C$17="",OR(ISNUMBER(FIND("연장",설정!$B$17)),ISNUMBER(FIND("야간",설정!$B$17)),ISNUMBER(FIND("휴일",설정!$B$17))),INDEX(직원목록!$F$7:$F$306,MATCH(99,직원목록!$B$7:$B$306,0))&gt;0),"연장·야간·휴일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","")&amp;IF(AND(설정!$B$24&lt;&gt;"",설정!$C$24="",OR(ISNUMBER(FIND("연장",설정!$B$24)),ISNUMBER(FIND("야간",설정!$B$24)),ISNUMBER(FIND("휴일",설정!$B$24))),INDEX(직원목록!$M$7:$M$306,MATCH(99,직원목록!$B$7:$B$306,0))&gt;0),"연장·야간·휴일 수당은 시간 수도 명세서에 적어야 하니 시간 열 지정 필요 / ",""))=0,"✔",("⚠ "&amp;IF(AND(F111&lt;&gt;"",F111&lt;&gt;0),"계산 총지급과 대장 총지급이 다릅니다 / ","")&amp;IF(AND(I111&lt;&gt;"",I111&lt;&gt;0),"계산 총공제와 대장 총공제가 다릅니다 / ","")&amp;IF(J111&lt;0,"실수령액이 음수입니다 / ","")&amp;IF(COUNTIF(직원목록!$D$7:$D$306,B111)&gt;1,"같은 이름이 둘 이상 — 미리보기는 첫 번째만 보입니다 / ","")&amp;IF(AND(C111&lt;&gt;"",COUNTIF(직원목록!$C$7:$C$306,C111)&gt;1),"사번 중복 / ","")&amp;IF(D111=0,"총지급이 0원 — 머리글 매칭 확인 / ","")&amp;IF(AND(설정!$B$17&lt;&gt;"",설정!$C$17="",OR(ISNUMBER(FIND("연장",설정!$B$17)),ISNUMBER(FIND("야간",설정!$B$17)),ISNUMBER(FIND("휴일",설정!$B$17))),INDEX(직원목록!$F$7:$F$306,MATCH(99,직원목록!$B$7:$B$306,0))&gt;0),"연장·야간·휴일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","")&amp;IF(AND(설정!$B$18&lt;&gt;"",설정!$C$18="",OR(ISNUMBER(FIND("연장",설정!$B$18)),ISNUMBER(FIND("야간",설정!$B$18)),ISNUMBER(FIND("휴일",설정!$B$18))),INDEX(직원목록!$G$7:$G$306,MATCH(99,직원목록!$B$7:$B$306,0))&gt;0),"연장·야간·휴일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","")&amp;IF(AND(설정!$B$19&lt;&gt;"",설정!$C$19="",OR(ISNUMBER(FIND("연장",설정!$B$19)),ISNUMBER(FIND("야간",설정!$B$19)),ISNUMBER(FIND("휴일",설정!$B$19))),INDEX(직원목록!$H$7:$H$306,MATCH(99,직원목록!$B$7:$B$306,0))&gt;0),"연장·야간·휴일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","")&amp;IF(AND(설정!$B$20&lt;&gt;"",설정!$C$20="",OR(ISNUMBER(FIND("연장",설정!$B$20)),ISNUMBER(FIND("야간",설정!$B$20)),ISNUMBER(FIND("휴일",설정!$B$20))),INDEX(직원목록!$I$7:$I$306,MATCH(99,직원목록!$B$7:$B$306,0))&gt;0),"연장·야간·휴일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","")&amp;IF(AND(설정!$B$21&lt;&gt;"",설정!$C$21="",OR(ISNUMBER(FIND("연장",설정!$B$21)),ISNUMBER(FIND("야간",설정!$B$21)),ISNUMBER(FIND("휴일",설정!$B$21))),INDEX(직원목록!$J$7:$J$306,MATCH(99,직원목록!$B$7:$B$306,0))&gt;0),"연장·야간·휴일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","")&amp;IF(AND(설정!$B$22&lt;&gt;"",설정!$C$22="",OR(ISNUMBER(FIND("연장",설정!$B$22)),ISNUMBER(FIND("야간",설정!$B$22)),ISNUMBER(FIND("휴일",설정!$B$22))),INDEX(직원목록!$K$7:$K$306,MATCH(99,직원목록!$B$7:$B$306,0))&gt;0),"연장·야간·휴일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","")&amp;IF(AND(설정!$B$23&lt;&gt;"",설정!$C$23="",OR(ISNUMBER(FIND("연장",설정!$B$23)),ISNUMBER(FIND("야간",설정!$B$23)),ISNUMBER(FIND("휴일",설정!$B$23))),INDEX(직원목록!$L$7:$L$306,MATCH(99,직원목록!$B$7:$B$306,0))&gt;0),"연장·야간·휴일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","")&amp;IF(AND(설정!$B$24&lt;&gt;"",설정!$C$24="",OR(ISNUMBER(FIND("연장",설정!$B$24)),ISNUMBER(FIND("야간",설정!$B$24)),ISNUMBER(FIND("휴일",설정!$B$24))),INDEX(직원목록!$M$7:$M$306,MATCH(99,직원목록!$B$7:$B$306,0))&gt;0),"연장·야간·휴일 수당은 시간 수도 명세서에 적어야 하니 시간 열 지정 필요 / ",""))))</f>
        <v/>
      </c>
    </row>
    <row r="112">
      <c r="A112" s="26">
        <f>IF(IFERROR(MATCH(100,직원목록!$B$7:$B$306,0),0)=0,"",100)</f>
        <v/>
      </c>
      <c r="B112" s="2">
        <f>IF($A112="","",IFERROR(INDEX(직원목록!$D$7:$D$306,MATCH(100,직원목록!$B$7:$B$306,0)),""))</f>
        <v/>
      </c>
      <c r="C112" s="2">
        <f>IF($A112="","",IFERROR(INDEX(직원목록!$C$7:$C$306,MATCH(100,직원목록!$B$7:$B$306,0)),""))</f>
        <v/>
      </c>
      <c r="D112" s="27">
        <f>IF($A112="","",IFERROR(INDEX(직원목록!$V$7:$V$306,MATCH(100,직원목록!$B$7:$B$306,0)),""))</f>
        <v/>
      </c>
      <c r="E112" s="27">
        <f>IF($A112="","",IFERROR(INDEX(직원목록!$AG$7:$AG$306,MATCH(100,직원목록!$B$7:$B$306,0)),""))</f>
        <v/>
      </c>
      <c r="F112" s="27">
        <f>IF(OR($A112="",E112=""),"",D112-E112)</f>
        <v/>
      </c>
      <c r="G112" s="27">
        <f>IF($A112="","",IFERROR(INDEX(직원목록!$AE$7:$AE$306,MATCH(100,직원목록!$B$7:$B$306,0)),""))</f>
        <v/>
      </c>
      <c r="H112" s="27">
        <f>IF($A112="","",IFERROR(INDEX(직원목록!$AH$7:$AH$306,MATCH(100,직원목록!$B$7:$B$306,0)),""))</f>
        <v/>
      </c>
      <c r="I112" s="27">
        <f>IF(OR($A112="",H112=""),"",G112-H112)</f>
        <v/>
      </c>
      <c r="J112" s="27">
        <f>IF($A112="","",IFERROR(INDEX(직원목록!$AF$7:$AF$306,MATCH(100,직원목록!$B$7:$B$306,0)),""))</f>
        <v/>
      </c>
      <c r="K112" s="27">
        <f>IF($A112="","",IFERROR(INDEX(직원목록!$AI$7:$AI$306,MATCH(100,직원목록!$B$7:$B$306,0)),""))</f>
        <v/>
      </c>
      <c r="L112" s="8">
        <f>IF($A112="","",IF(LEN(IF(AND(F112&lt;&gt;"",F112&lt;&gt;0),"계산 총지급과 대장 총지급이 다릅니다 / ","")&amp;IF(AND(I112&lt;&gt;"",I112&lt;&gt;0),"계산 총공제와 대장 총공제가 다릅니다 / ","")&amp;IF(J112&lt;0,"실수령액이 음수입니다 / ","")&amp;IF(COUNTIF(직원목록!$D$7:$D$306,B112)&gt;1,"같은 이름이 둘 이상 — 미리보기는 첫 번째만 보입니다 / ","")&amp;IF(AND(C112&lt;&gt;"",COUNTIF(직원목록!$C$7:$C$306,C112)&gt;1),"사번 중복 / ","")&amp;IF(D112=0,"총지급이 0원 — 머리글 매칭 확인 / ","")&amp;IF(AND(설정!$B$17&lt;&gt;"",설정!$C$17="",OR(ISNUMBER(FIND("연장",설정!$B$17)),ISNUMBER(FIND("야간",설정!$B$17)),ISNUMBER(FIND("휴일",설정!$B$17))),INDEX(직원목록!$F$7:$F$306,MATCH(100,직원목록!$B$7:$B$306,0))&gt;0),"연장·야간·휴일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","")&amp;IF(AND(설정!$B$24&lt;&gt;"",설정!$C$24="",OR(ISNUMBER(FIND("연장",설정!$B$24)),ISNUMBER(FIND("야간",설정!$B$24)),ISNUMBER(FIND("휴일",설정!$B$24))),INDEX(직원목록!$M$7:$M$306,MATCH(100,직원목록!$B$7:$B$306,0))&gt;0),"연장·야간·휴일 수당은 시간 수도 명세서에 적어야 하니 시간 열 지정 필요 / ",""))=0,"✔",("⚠ "&amp;IF(AND(F112&lt;&gt;"",F112&lt;&gt;0),"계산 총지급과 대장 총지급이 다릅니다 / ","")&amp;IF(AND(I112&lt;&gt;"",I112&lt;&gt;0),"계산 총공제와 대장 총공제가 다릅니다 / ","")&amp;IF(J112&lt;0,"실수령액이 음수입니다 / ","")&amp;IF(COUNTIF(직원목록!$D$7:$D$306,B112)&gt;1,"같은 이름이 둘 이상 — 미리보기는 첫 번째만 보입니다 / ","")&amp;IF(AND(C112&lt;&gt;"",COUNTIF(직원목록!$C$7:$C$306,C112)&gt;1),"사번 중복 / ","")&amp;IF(D112=0,"총지급이 0원 — 머리글 매칭 확인 / ","")&amp;IF(AND(설정!$B$17&lt;&gt;"",설정!$C$17="",OR(ISNUMBER(FIND("연장",설정!$B$17)),ISNUMBER(FIND("야간",설정!$B$17)),ISNUMBER(FIND("휴일",설정!$B$17))),INDEX(직원목록!$F$7:$F$306,MATCH(100,직원목록!$B$7:$B$306,0))&gt;0),"연장·야간·휴일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","")&amp;IF(AND(설정!$B$24&lt;&gt;"",설정!$C$24="",OR(ISNUMBER(FIND("연장",설정!$B$24)),ISNUMBER(FIND("야간",설정!$B$24)),ISNUMBER(FIND("휴일",설정!$B$24))),INDEX(직원목록!$M$7:$M$306,MATCH(100,직원목록!$B$7:$B$306,0))&gt;0),"연장·야간·휴일 수당은 시간 수도 명세서에 적어야 하니 시간 열 지정 필요 / ",""))))</f>
        <v/>
      </c>
    </row>
    <row r="113">
      <c r="A113" s="26">
        <f>IF(IFERROR(MATCH(101,직원목록!$B$7:$B$306,0),0)=0,"",101)</f>
        <v/>
      </c>
      <c r="B113" s="2">
        <f>IF($A113="","",IFERROR(INDEX(직원목록!$D$7:$D$306,MATCH(101,직원목록!$B$7:$B$306,0)),""))</f>
        <v/>
      </c>
      <c r="C113" s="2">
        <f>IF($A113="","",IFERROR(INDEX(직원목록!$C$7:$C$306,MATCH(101,직원목록!$B$7:$B$306,0)),""))</f>
        <v/>
      </c>
      <c r="D113" s="27">
        <f>IF($A113="","",IFERROR(INDEX(직원목록!$V$7:$V$306,MATCH(101,직원목록!$B$7:$B$306,0)),""))</f>
        <v/>
      </c>
      <c r="E113" s="27">
        <f>IF($A113="","",IFERROR(INDEX(직원목록!$AG$7:$AG$306,MATCH(101,직원목록!$B$7:$B$306,0)),""))</f>
        <v/>
      </c>
      <c r="F113" s="27">
        <f>IF(OR($A113="",E113=""),"",D113-E113)</f>
        <v/>
      </c>
      <c r="G113" s="27">
        <f>IF($A113="","",IFERROR(INDEX(직원목록!$AE$7:$AE$306,MATCH(101,직원목록!$B$7:$B$306,0)),""))</f>
        <v/>
      </c>
      <c r="H113" s="27">
        <f>IF($A113="","",IFERROR(INDEX(직원목록!$AH$7:$AH$306,MATCH(101,직원목록!$B$7:$B$306,0)),""))</f>
        <v/>
      </c>
      <c r="I113" s="27">
        <f>IF(OR($A113="",H113=""),"",G113-H113)</f>
        <v/>
      </c>
      <c r="J113" s="27">
        <f>IF($A113="","",IFERROR(INDEX(직원목록!$AF$7:$AF$306,MATCH(101,직원목록!$B$7:$B$306,0)),""))</f>
        <v/>
      </c>
      <c r="K113" s="27">
        <f>IF($A113="","",IFERROR(INDEX(직원목록!$AI$7:$AI$306,MATCH(101,직원목록!$B$7:$B$306,0)),""))</f>
        <v/>
      </c>
      <c r="L113" s="8">
        <f>IF($A113="","",IF(LEN(IF(AND(F113&lt;&gt;"",F113&lt;&gt;0),"계산 총지급과 대장 총지급이 다릅니다 / ","")&amp;IF(AND(I113&lt;&gt;"",I113&lt;&gt;0),"계산 총공제와 대장 총공제가 다릅니다 / ","")&amp;IF(J113&lt;0,"실수령액이 음수입니다 / ","")&amp;IF(COUNTIF(직원목록!$D$7:$D$306,B113)&gt;1,"같은 이름이 둘 이상 — 미리보기는 첫 번째만 보입니다 / ","")&amp;IF(AND(C113&lt;&gt;"",COUNTIF(직원목록!$C$7:$C$306,C113)&gt;1),"사번 중복 / ","")&amp;IF(D113=0,"총지급이 0원 — 머리글 매칭 확인 / ","")&amp;IF(AND(설정!$B$17&lt;&gt;"",설정!$C$17="",OR(ISNUMBER(FIND("연장",설정!$B$17)),ISNUMBER(FIND("야간",설정!$B$17)),ISNUMBER(FIND("휴일",설정!$B$17))),INDEX(직원목록!$F$7:$F$306,MATCH(101,직원목록!$B$7:$B$306,0))&gt;0),"연장·야간·휴일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","")&amp;IF(AND(설정!$B$24&lt;&gt;"",설정!$C$24="",OR(ISNUMBER(FIND("연장",설정!$B$24)),ISNUMBER(FIND("야간",설정!$B$24)),ISNUMBER(FIND("휴일",설정!$B$24))),INDEX(직원목록!$M$7:$M$306,MATCH(101,직원목록!$B$7:$B$306,0))&gt;0),"연장·야간·휴일 수당은 시간 수도 명세서에 적어야 하니 시간 열 지정 필요 / ",""))=0,"✔",("⚠ "&amp;IF(AND(F113&lt;&gt;"",F113&lt;&gt;0),"계산 총지급과 대장 총지급이 다릅니다 / ","")&amp;IF(AND(I113&lt;&gt;"",I113&lt;&gt;0),"계산 총공제와 대장 총공제가 다릅니다 / ","")&amp;IF(J113&lt;0,"실수령액이 음수입니다 / ","")&amp;IF(COUNTIF(직원목록!$D$7:$D$306,B113)&gt;1,"같은 이름이 둘 이상 — 미리보기는 첫 번째만 보입니다 / ","")&amp;IF(AND(C113&lt;&gt;"",COUNTIF(직원목록!$C$7:$C$306,C113)&gt;1),"사번 중복 / ","")&amp;IF(D113=0,"총지급이 0원 — 머리글 매칭 확인 / ","")&amp;IF(AND(설정!$B$17&lt;&gt;"",설정!$C$17="",OR(ISNUMBER(FIND("연장",설정!$B$17)),ISNUMBER(FIND("야간",설정!$B$17)),ISNUMBER(FIND("휴일",설정!$B$17))),INDEX(직원목록!$F$7:$F$306,MATCH(101,직원목록!$B$7:$B$306,0))&gt;0),"연장·야간·휴일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","")&amp;IF(AND(설정!$B$24&lt;&gt;"",설정!$C$24="",OR(ISNUMBER(FIND("연장",설정!$B$24)),ISNUMBER(FIND("야간",설정!$B$24)),ISNUMBER(FIND("휴일",설정!$B$24))),INDEX(직원목록!$M$7:$M$306,MATCH(101,직원목록!$B$7:$B$306,0))&gt;0),"연장·야간·휴일 수당은 시간 수도 명세서에 적어야 하니 시간 열 지정 필요 / ",""))))</f>
        <v/>
      </c>
    </row>
    <row r="114">
      <c r="A114" s="26">
        <f>IF(IFERROR(MATCH(102,직원목록!$B$7:$B$306,0),0)=0,"",102)</f>
        <v/>
      </c>
      <c r="B114" s="2">
        <f>IF($A114="","",IFERROR(INDEX(직원목록!$D$7:$D$306,MATCH(102,직원목록!$B$7:$B$306,0)),""))</f>
        <v/>
      </c>
      <c r="C114" s="2">
        <f>IF($A114="","",IFERROR(INDEX(직원목록!$C$7:$C$306,MATCH(102,직원목록!$B$7:$B$306,0)),""))</f>
        <v/>
      </c>
      <c r="D114" s="27">
        <f>IF($A114="","",IFERROR(INDEX(직원목록!$V$7:$V$306,MATCH(102,직원목록!$B$7:$B$306,0)),""))</f>
        <v/>
      </c>
      <c r="E114" s="27">
        <f>IF($A114="","",IFERROR(INDEX(직원목록!$AG$7:$AG$306,MATCH(102,직원목록!$B$7:$B$306,0)),""))</f>
        <v/>
      </c>
      <c r="F114" s="27">
        <f>IF(OR($A114="",E114=""),"",D114-E114)</f>
        <v/>
      </c>
      <c r="G114" s="27">
        <f>IF($A114="","",IFERROR(INDEX(직원목록!$AE$7:$AE$306,MATCH(102,직원목록!$B$7:$B$306,0)),""))</f>
        <v/>
      </c>
      <c r="H114" s="27">
        <f>IF($A114="","",IFERROR(INDEX(직원목록!$AH$7:$AH$306,MATCH(102,직원목록!$B$7:$B$306,0)),""))</f>
        <v/>
      </c>
      <c r="I114" s="27">
        <f>IF(OR($A114="",H114=""),"",G114-H114)</f>
        <v/>
      </c>
      <c r="J114" s="27">
        <f>IF($A114="","",IFERROR(INDEX(직원목록!$AF$7:$AF$306,MATCH(102,직원목록!$B$7:$B$306,0)),""))</f>
        <v/>
      </c>
      <c r="K114" s="27">
        <f>IF($A114="","",IFERROR(INDEX(직원목록!$AI$7:$AI$306,MATCH(102,직원목록!$B$7:$B$306,0)),""))</f>
        <v/>
      </c>
      <c r="L114" s="8">
        <f>IF($A114="","",IF(LEN(IF(AND(F114&lt;&gt;"",F114&lt;&gt;0),"계산 총지급과 대장 총지급이 다릅니다 / ","")&amp;IF(AND(I114&lt;&gt;"",I114&lt;&gt;0),"계산 총공제와 대장 총공제가 다릅니다 / ","")&amp;IF(J114&lt;0,"실수령액이 음수입니다 / ","")&amp;IF(COUNTIF(직원목록!$D$7:$D$306,B114)&gt;1,"같은 이름이 둘 이상 — 미리보기는 첫 번째만 보입니다 / ","")&amp;IF(AND(C114&lt;&gt;"",COUNTIF(직원목록!$C$7:$C$306,C114)&gt;1),"사번 중복 / ","")&amp;IF(D114=0,"총지급이 0원 — 머리글 매칭 확인 / ","")&amp;IF(AND(설정!$B$17&lt;&gt;"",설정!$C$17="",OR(ISNUMBER(FIND("연장",설정!$B$17)),ISNUMBER(FIND("야간",설정!$B$17)),ISNUMBER(FIND("휴일",설정!$B$17))),INDEX(직원목록!$F$7:$F$306,MATCH(102,직원목록!$B$7:$B$306,0))&gt;0),"연장·야간·휴일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","")&amp;IF(AND(설정!$B$24&lt;&gt;"",설정!$C$24="",OR(ISNUMBER(FIND("연장",설정!$B$24)),ISNUMBER(FIND("야간",설정!$B$24)),ISNUMBER(FIND("휴일",설정!$B$24))),INDEX(직원목록!$M$7:$M$306,MATCH(102,직원목록!$B$7:$B$306,0))&gt;0),"연장·야간·휴일 수당은 시간 수도 명세서에 적어야 하니 시간 열 지정 필요 / ",""))=0,"✔",("⚠ "&amp;IF(AND(F114&lt;&gt;"",F114&lt;&gt;0),"계산 총지급과 대장 총지급이 다릅니다 / ","")&amp;IF(AND(I114&lt;&gt;"",I114&lt;&gt;0),"계산 총공제와 대장 총공제가 다릅니다 / ","")&amp;IF(J114&lt;0,"실수령액이 음수입니다 / ","")&amp;IF(COUNTIF(직원목록!$D$7:$D$306,B114)&gt;1,"같은 이름이 둘 이상 — 미리보기는 첫 번째만 보입니다 / ","")&amp;IF(AND(C114&lt;&gt;"",COUNTIF(직원목록!$C$7:$C$306,C114)&gt;1),"사번 중복 / ","")&amp;IF(D114=0,"총지급이 0원 — 머리글 매칭 확인 / ","")&amp;IF(AND(설정!$B$17&lt;&gt;"",설정!$C$17="",OR(ISNUMBER(FIND("연장",설정!$B$17)),ISNUMBER(FIND("야간",설정!$B$17)),ISNUMBER(FIND("휴일",설정!$B$17))),INDEX(직원목록!$F$7:$F$306,MATCH(102,직원목록!$B$7:$B$306,0))&gt;0),"연장·야간·휴일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","")&amp;IF(AND(설정!$B$24&lt;&gt;"",설정!$C$24="",OR(ISNUMBER(FIND("연장",설정!$B$24)),ISNUMBER(FIND("야간",설정!$B$24)),ISNUMBER(FIND("휴일",설정!$B$24))),INDEX(직원목록!$M$7:$M$306,MATCH(102,직원목록!$B$7:$B$306,0))&gt;0),"연장·야간·휴일 수당은 시간 수도 명세서에 적어야 하니 시간 열 지정 필요 / ",""))))</f>
        <v/>
      </c>
    </row>
    <row r="115">
      <c r="A115" s="26">
        <f>IF(IFERROR(MATCH(103,직원목록!$B$7:$B$306,0),0)=0,"",103)</f>
        <v/>
      </c>
      <c r="B115" s="2">
        <f>IF($A115="","",IFERROR(INDEX(직원목록!$D$7:$D$306,MATCH(103,직원목록!$B$7:$B$306,0)),""))</f>
        <v/>
      </c>
      <c r="C115" s="2">
        <f>IF($A115="","",IFERROR(INDEX(직원목록!$C$7:$C$306,MATCH(103,직원목록!$B$7:$B$306,0)),""))</f>
        <v/>
      </c>
      <c r="D115" s="27">
        <f>IF($A115="","",IFERROR(INDEX(직원목록!$V$7:$V$306,MATCH(103,직원목록!$B$7:$B$306,0)),""))</f>
        <v/>
      </c>
      <c r="E115" s="27">
        <f>IF($A115="","",IFERROR(INDEX(직원목록!$AG$7:$AG$306,MATCH(103,직원목록!$B$7:$B$306,0)),""))</f>
        <v/>
      </c>
      <c r="F115" s="27">
        <f>IF(OR($A115="",E115=""),"",D115-E115)</f>
        <v/>
      </c>
      <c r="G115" s="27">
        <f>IF($A115="","",IFERROR(INDEX(직원목록!$AE$7:$AE$306,MATCH(103,직원목록!$B$7:$B$306,0)),""))</f>
        <v/>
      </c>
      <c r="H115" s="27">
        <f>IF($A115="","",IFERROR(INDEX(직원목록!$AH$7:$AH$306,MATCH(103,직원목록!$B$7:$B$306,0)),""))</f>
        <v/>
      </c>
      <c r="I115" s="27">
        <f>IF(OR($A115="",H115=""),"",G115-H115)</f>
        <v/>
      </c>
      <c r="J115" s="27">
        <f>IF($A115="","",IFERROR(INDEX(직원목록!$AF$7:$AF$306,MATCH(103,직원목록!$B$7:$B$306,0)),""))</f>
        <v/>
      </c>
      <c r="K115" s="27">
        <f>IF($A115="","",IFERROR(INDEX(직원목록!$AI$7:$AI$306,MATCH(103,직원목록!$B$7:$B$306,0)),""))</f>
        <v/>
      </c>
      <c r="L115" s="8">
        <f>IF($A115="","",IF(LEN(IF(AND(F115&lt;&gt;"",F115&lt;&gt;0),"계산 총지급과 대장 총지급이 다릅니다 / ","")&amp;IF(AND(I115&lt;&gt;"",I115&lt;&gt;0),"계산 총공제와 대장 총공제가 다릅니다 / ","")&amp;IF(J115&lt;0,"실수령액이 음수입니다 / ","")&amp;IF(COUNTIF(직원목록!$D$7:$D$306,B115)&gt;1,"같은 이름이 둘 이상 — 미리보기는 첫 번째만 보입니다 / ","")&amp;IF(AND(C115&lt;&gt;"",COUNTIF(직원목록!$C$7:$C$306,C115)&gt;1),"사번 중복 / ","")&amp;IF(D115=0,"총지급이 0원 — 머리글 매칭 확인 / ","")&amp;IF(AND(설정!$B$17&lt;&gt;"",설정!$C$17="",OR(ISNUMBER(FIND("연장",설정!$B$17)),ISNUMBER(FIND("야간",설정!$B$17)),ISNUMBER(FIND("휴일",설정!$B$17))),INDEX(직원목록!$F$7:$F$306,MATCH(103,직원목록!$B$7:$B$306,0))&gt;0),"연장·야간·휴일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","")&amp;IF(AND(설정!$B$24&lt;&gt;"",설정!$C$24="",OR(ISNUMBER(FIND("연장",설정!$B$24)),ISNUMBER(FIND("야간",설정!$B$24)),ISNUMBER(FIND("휴일",설정!$B$24))),INDEX(직원목록!$M$7:$M$306,MATCH(103,직원목록!$B$7:$B$306,0))&gt;0),"연장·야간·휴일 수당은 시간 수도 명세서에 적어야 하니 시간 열 지정 필요 / ",""))=0,"✔",("⚠ "&amp;IF(AND(F115&lt;&gt;"",F115&lt;&gt;0),"계산 총지급과 대장 총지급이 다릅니다 / ","")&amp;IF(AND(I115&lt;&gt;"",I115&lt;&gt;0),"계산 총공제와 대장 총공제가 다릅니다 / ","")&amp;IF(J115&lt;0,"실수령액이 음수입니다 / ","")&amp;IF(COUNTIF(직원목록!$D$7:$D$306,B115)&gt;1,"같은 이름이 둘 이상 — 미리보기는 첫 번째만 보입니다 / ","")&amp;IF(AND(C115&lt;&gt;"",COUNTIF(직원목록!$C$7:$C$306,C115)&gt;1),"사번 중복 / ","")&amp;IF(D115=0,"총지급이 0원 — 머리글 매칭 확인 / ","")&amp;IF(AND(설정!$B$17&lt;&gt;"",설정!$C$17="",OR(ISNUMBER(FIND("연장",설정!$B$17)),ISNUMBER(FIND("야간",설정!$B$17)),ISNUMBER(FIND("휴일",설정!$B$17))),INDEX(직원목록!$F$7:$F$306,MATCH(103,직원목록!$B$7:$B$306,0))&gt;0),"연장·야간·휴일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","")&amp;IF(AND(설정!$B$24&lt;&gt;"",설정!$C$24="",OR(ISNUMBER(FIND("연장",설정!$B$24)),ISNUMBER(FIND("야간",설정!$B$24)),ISNUMBER(FIND("휴일",설정!$B$24))),INDEX(직원목록!$M$7:$M$306,MATCH(103,직원목록!$B$7:$B$306,0))&gt;0),"연장·야간·휴일 수당은 시간 수도 명세서에 적어야 하니 시간 열 지정 필요 / ",""))))</f>
        <v/>
      </c>
    </row>
    <row r="116">
      <c r="A116" s="26">
        <f>IF(IFERROR(MATCH(104,직원목록!$B$7:$B$306,0),0)=0,"",104)</f>
        <v/>
      </c>
      <c r="B116" s="2">
        <f>IF($A116="","",IFERROR(INDEX(직원목록!$D$7:$D$306,MATCH(104,직원목록!$B$7:$B$306,0)),""))</f>
        <v/>
      </c>
      <c r="C116" s="2">
        <f>IF($A116="","",IFERROR(INDEX(직원목록!$C$7:$C$306,MATCH(104,직원목록!$B$7:$B$306,0)),""))</f>
        <v/>
      </c>
      <c r="D116" s="27">
        <f>IF($A116="","",IFERROR(INDEX(직원목록!$V$7:$V$306,MATCH(104,직원목록!$B$7:$B$306,0)),""))</f>
        <v/>
      </c>
      <c r="E116" s="27">
        <f>IF($A116="","",IFERROR(INDEX(직원목록!$AG$7:$AG$306,MATCH(104,직원목록!$B$7:$B$306,0)),""))</f>
        <v/>
      </c>
      <c r="F116" s="27">
        <f>IF(OR($A116="",E116=""),"",D116-E116)</f>
        <v/>
      </c>
      <c r="G116" s="27">
        <f>IF($A116="","",IFERROR(INDEX(직원목록!$AE$7:$AE$306,MATCH(104,직원목록!$B$7:$B$306,0)),""))</f>
        <v/>
      </c>
      <c r="H116" s="27">
        <f>IF($A116="","",IFERROR(INDEX(직원목록!$AH$7:$AH$306,MATCH(104,직원목록!$B$7:$B$306,0)),""))</f>
        <v/>
      </c>
      <c r="I116" s="27">
        <f>IF(OR($A116="",H116=""),"",G116-H116)</f>
        <v/>
      </c>
      <c r="J116" s="27">
        <f>IF($A116="","",IFERROR(INDEX(직원목록!$AF$7:$AF$306,MATCH(104,직원목록!$B$7:$B$306,0)),""))</f>
        <v/>
      </c>
      <c r="K116" s="27">
        <f>IF($A116="","",IFERROR(INDEX(직원목록!$AI$7:$AI$306,MATCH(104,직원목록!$B$7:$B$306,0)),""))</f>
        <v/>
      </c>
      <c r="L116" s="8">
        <f>IF($A116="","",IF(LEN(IF(AND(F116&lt;&gt;"",F116&lt;&gt;0),"계산 총지급과 대장 총지급이 다릅니다 / ","")&amp;IF(AND(I116&lt;&gt;"",I116&lt;&gt;0),"계산 총공제와 대장 총공제가 다릅니다 / ","")&amp;IF(J116&lt;0,"실수령액이 음수입니다 / ","")&amp;IF(COUNTIF(직원목록!$D$7:$D$306,B116)&gt;1,"같은 이름이 둘 이상 — 미리보기는 첫 번째만 보입니다 / ","")&amp;IF(AND(C116&lt;&gt;"",COUNTIF(직원목록!$C$7:$C$306,C116)&gt;1),"사번 중복 / ","")&amp;IF(D116=0,"총지급이 0원 — 머리글 매칭 확인 / ","")&amp;IF(AND(설정!$B$17&lt;&gt;"",설정!$C$17="",OR(ISNUMBER(FIND("연장",설정!$B$17)),ISNUMBER(FIND("야간",설정!$B$17)),ISNUMBER(FIND("휴일",설정!$B$17))),INDEX(직원목록!$F$7:$F$306,MATCH(104,직원목록!$B$7:$B$306,0))&gt;0),"연장·야간·휴일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","")&amp;IF(AND(설정!$B$24&lt;&gt;"",설정!$C$24="",OR(ISNUMBER(FIND("연장",설정!$B$24)),ISNUMBER(FIND("야간",설정!$B$24)),ISNUMBER(FIND("휴일",설정!$B$24))),INDEX(직원목록!$M$7:$M$306,MATCH(104,직원목록!$B$7:$B$306,0))&gt;0),"연장·야간·휴일 수당은 시간 수도 명세서에 적어야 하니 시간 열 지정 필요 / ",""))=0,"✔",("⚠ "&amp;IF(AND(F116&lt;&gt;"",F116&lt;&gt;0),"계산 총지급과 대장 총지급이 다릅니다 / ","")&amp;IF(AND(I116&lt;&gt;"",I116&lt;&gt;0),"계산 총공제와 대장 총공제가 다릅니다 / ","")&amp;IF(J116&lt;0,"실수령액이 음수입니다 / ","")&amp;IF(COUNTIF(직원목록!$D$7:$D$306,B116)&gt;1,"같은 이름이 둘 이상 — 미리보기는 첫 번째만 보입니다 / ","")&amp;IF(AND(C116&lt;&gt;"",COUNTIF(직원목록!$C$7:$C$306,C116)&gt;1),"사번 중복 / ","")&amp;IF(D116=0,"총지급이 0원 — 머리글 매칭 확인 / ","")&amp;IF(AND(설정!$B$17&lt;&gt;"",설정!$C$17="",OR(ISNUMBER(FIND("연장",설정!$B$17)),ISNUMBER(FIND("야간",설정!$B$17)),ISNUMBER(FIND("휴일",설정!$B$17))),INDEX(직원목록!$F$7:$F$306,MATCH(104,직원목록!$B$7:$B$306,0))&gt;0),"연장·야간·휴일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","")&amp;IF(AND(설정!$B$24&lt;&gt;"",설정!$C$24="",OR(ISNUMBER(FIND("연장",설정!$B$24)),ISNUMBER(FIND("야간",설정!$B$24)),ISNUMBER(FIND("휴일",설정!$B$24))),INDEX(직원목록!$M$7:$M$306,MATCH(104,직원목록!$B$7:$B$306,0))&gt;0),"연장·야간·휴일 수당은 시간 수도 명세서에 적어야 하니 시간 열 지정 필요 / ",""))))</f>
        <v/>
      </c>
    </row>
    <row r="117">
      <c r="A117" s="26">
        <f>IF(IFERROR(MATCH(105,직원목록!$B$7:$B$306,0),0)=0,"",105)</f>
        <v/>
      </c>
      <c r="B117" s="2">
        <f>IF($A117="","",IFERROR(INDEX(직원목록!$D$7:$D$306,MATCH(105,직원목록!$B$7:$B$306,0)),""))</f>
        <v/>
      </c>
      <c r="C117" s="2">
        <f>IF($A117="","",IFERROR(INDEX(직원목록!$C$7:$C$306,MATCH(105,직원목록!$B$7:$B$306,0)),""))</f>
        <v/>
      </c>
      <c r="D117" s="27">
        <f>IF($A117="","",IFERROR(INDEX(직원목록!$V$7:$V$306,MATCH(105,직원목록!$B$7:$B$306,0)),""))</f>
        <v/>
      </c>
      <c r="E117" s="27">
        <f>IF($A117="","",IFERROR(INDEX(직원목록!$AG$7:$AG$306,MATCH(105,직원목록!$B$7:$B$306,0)),""))</f>
        <v/>
      </c>
      <c r="F117" s="27">
        <f>IF(OR($A117="",E117=""),"",D117-E117)</f>
        <v/>
      </c>
      <c r="G117" s="27">
        <f>IF($A117="","",IFERROR(INDEX(직원목록!$AE$7:$AE$306,MATCH(105,직원목록!$B$7:$B$306,0)),""))</f>
        <v/>
      </c>
      <c r="H117" s="27">
        <f>IF($A117="","",IFERROR(INDEX(직원목록!$AH$7:$AH$306,MATCH(105,직원목록!$B$7:$B$306,0)),""))</f>
        <v/>
      </c>
      <c r="I117" s="27">
        <f>IF(OR($A117="",H117=""),"",G117-H117)</f>
        <v/>
      </c>
      <c r="J117" s="27">
        <f>IF($A117="","",IFERROR(INDEX(직원목록!$AF$7:$AF$306,MATCH(105,직원목록!$B$7:$B$306,0)),""))</f>
        <v/>
      </c>
      <c r="K117" s="27">
        <f>IF($A117="","",IFERROR(INDEX(직원목록!$AI$7:$AI$306,MATCH(105,직원목록!$B$7:$B$306,0)),""))</f>
        <v/>
      </c>
      <c r="L117" s="8">
        <f>IF($A117="","",IF(LEN(IF(AND(F117&lt;&gt;"",F117&lt;&gt;0),"계산 총지급과 대장 총지급이 다릅니다 / ","")&amp;IF(AND(I117&lt;&gt;"",I117&lt;&gt;0),"계산 총공제와 대장 총공제가 다릅니다 / ","")&amp;IF(J117&lt;0,"실수령액이 음수입니다 / ","")&amp;IF(COUNTIF(직원목록!$D$7:$D$306,B117)&gt;1,"같은 이름이 둘 이상 — 미리보기는 첫 번째만 보입니다 / ","")&amp;IF(AND(C117&lt;&gt;"",COUNTIF(직원목록!$C$7:$C$306,C117)&gt;1),"사번 중복 / ","")&amp;IF(D117=0,"총지급이 0원 — 머리글 매칭 확인 / ","")&amp;IF(AND(설정!$B$17&lt;&gt;"",설정!$C$17="",OR(ISNUMBER(FIND("연장",설정!$B$17)),ISNUMBER(FIND("야간",설정!$B$17)),ISNUMBER(FIND("휴일",설정!$B$17))),INDEX(직원목록!$F$7:$F$306,MATCH(105,직원목록!$B$7:$B$306,0))&gt;0),"연장·야간·휴일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","")&amp;IF(AND(설정!$B$24&lt;&gt;"",설정!$C$24="",OR(ISNUMBER(FIND("연장",설정!$B$24)),ISNUMBER(FIND("야간",설정!$B$24)),ISNUMBER(FIND("휴일",설정!$B$24))),INDEX(직원목록!$M$7:$M$306,MATCH(105,직원목록!$B$7:$B$306,0))&gt;0),"연장·야간·휴일 수당은 시간 수도 명세서에 적어야 하니 시간 열 지정 필요 / ",""))=0,"✔",("⚠ "&amp;IF(AND(F117&lt;&gt;"",F117&lt;&gt;0),"계산 총지급과 대장 총지급이 다릅니다 / ","")&amp;IF(AND(I117&lt;&gt;"",I117&lt;&gt;0),"계산 총공제와 대장 총공제가 다릅니다 / ","")&amp;IF(J117&lt;0,"실수령액이 음수입니다 / ","")&amp;IF(COUNTIF(직원목록!$D$7:$D$306,B117)&gt;1,"같은 이름이 둘 이상 — 미리보기는 첫 번째만 보입니다 / ","")&amp;IF(AND(C117&lt;&gt;"",COUNTIF(직원목록!$C$7:$C$306,C117)&gt;1),"사번 중복 / ","")&amp;IF(D117=0,"총지급이 0원 — 머리글 매칭 확인 / ","")&amp;IF(AND(설정!$B$17&lt;&gt;"",설정!$C$17="",OR(ISNUMBER(FIND("연장",설정!$B$17)),ISNUMBER(FIND("야간",설정!$B$17)),ISNUMBER(FIND("휴일",설정!$B$17))),INDEX(직원목록!$F$7:$F$306,MATCH(105,직원목록!$B$7:$B$306,0))&gt;0),"연장·야간·휴일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","")&amp;IF(AND(설정!$B$24&lt;&gt;"",설정!$C$24="",OR(ISNUMBER(FIND("연장",설정!$B$24)),ISNUMBER(FIND("야간",설정!$B$24)),ISNUMBER(FIND("휴일",설정!$B$24))),INDEX(직원목록!$M$7:$M$306,MATCH(105,직원목록!$B$7:$B$306,0))&gt;0),"연장·야간·휴일 수당은 시간 수도 명세서에 적어야 하니 시간 열 지정 필요 / ",""))))</f>
        <v/>
      </c>
    </row>
    <row r="118">
      <c r="A118" s="26">
        <f>IF(IFERROR(MATCH(106,직원목록!$B$7:$B$306,0),0)=0,"",106)</f>
        <v/>
      </c>
      <c r="B118" s="2">
        <f>IF($A118="","",IFERROR(INDEX(직원목록!$D$7:$D$306,MATCH(106,직원목록!$B$7:$B$306,0)),""))</f>
        <v/>
      </c>
      <c r="C118" s="2">
        <f>IF($A118="","",IFERROR(INDEX(직원목록!$C$7:$C$306,MATCH(106,직원목록!$B$7:$B$306,0)),""))</f>
        <v/>
      </c>
      <c r="D118" s="27">
        <f>IF($A118="","",IFERROR(INDEX(직원목록!$V$7:$V$306,MATCH(106,직원목록!$B$7:$B$306,0)),""))</f>
        <v/>
      </c>
      <c r="E118" s="27">
        <f>IF($A118="","",IFERROR(INDEX(직원목록!$AG$7:$AG$306,MATCH(106,직원목록!$B$7:$B$306,0)),""))</f>
        <v/>
      </c>
      <c r="F118" s="27">
        <f>IF(OR($A118="",E118=""),"",D118-E118)</f>
        <v/>
      </c>
      <c r="G118" s="27">
        <f>IF($A118="","",IFERROR(INDEX(직원목록!$AE$7:$AE$306,MATCH(106,직원목록!$B$7:$B$306,0)),""))</f>
        <v/>
      </c>
      <c r="H118" s="27">
        <f>IF($A118="","",IFERROR(INDEX(직원목록!$AH$7:$AH$306,MATCH(106,직원목록!$B$7:$B$306,0)),""))</f>
        <v/>
      </c>
      <c r="I118" s="27">
        <f>IF(OR($A118="",H118=""),"",G118-H118)</f>
        <v/>
      </c>
      <c r="J118" s="27">
        <f>IF($A118="","",IFERROR(INDEX(직원목록!$AF$7:$AF$306,MATCH(106,직원목록!$B$7:$B$306,0)),""))</f>
        <v/>
      </c>
      <c r="K118" s="27">
        <f>IF($A118="","",IFERROR(INDEX(직원목록!$AI$7:$AI$306,MATCH(106,직원목록!$B$7:$B$306,0)),""))</f>
        <v/>
      </c>
      <c r="L118" s="8">
        <f>IF($A118="","",IF(LEN(IF(AND(F118&lt;&gt;"",F118&lt;&gt;0),"계산 총지급과 대장 총지급이 다릅니다 / ","")&amp;IF(AND(I118&lt;&gt;"",I118&lt;&gt;0),"계산 총공제와 대장 총공제가 다릅니다 / ","")&amp;IF(J118&lt;0,"실수령액이 음수입니다 / ","")&amp;IF(COUNTIF(직원목록!$D$7:$D$306,B118)&gt;1,"같은 이름이 둘 이상 — 미리보기는 첫 번째만 보입니다 / ","")&amp;IF(AND(C118&lt;&gt;"",COUNTIF(직원목록!$C$7:$C$306,C118)&gt;1),"사번 중복 / ","")&amp;IF(D118=0,"총지급이 0원 — 머리글 매칭 확인 / ","")&amp;IF(AND(설정!$B$17&lt;&gt;"",설정!$C$17="",OR(ISNUMBER(FIND("연장",설정!$B$17)),ISNUMBER(FIND("야간",설정!$B$17)),ISNUMBER(FIND("휴일",설정!$B$17))),INDEX(직원목록!$F$7:$F$306,MATCH(106,직원목록!$B$7:$B$306,0))&gt;0),"연장·야간·휴일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","")&amp;IF(AND(설정!$B$24&lt;&gt;"",설정!$C$24="",OR(ISNUMBER(FIND("연장",설정!$B$24)),ISNUMBER(FIND("야간",설정!$B$24)),ISNUMBER(FIND("휴일",설정!$B$24))),INDEX(직원목록!$M$7:$M$306,MATCH(106,직원목록!$B$7:$B$306,0))&gt;0),"연장·야간·휴일 수당은 시간 수도 명세서에 적어야 하니 시간 열 지정 필요 / ",""))=0,"✔",("⚠ "&amp;IF(AND(F118&lt;&gt;"",F118&lt;&gt;0),"계산 총지급과 대장 총지급이 다릅니다 / ","")&amp;IF(AND(I118&lt;&gt;"",I118&lt;&gt;0),"계산 총공제와 대장 총공제가 다릅니다 / ","")&amp;IF(J118&lt;0,"실수령액이 음수입니다 / ","")&amp;IF(COUNTIF(직원목록!$D$7:$D$306,B118)&gt;1,"같은 이름이 둘 이상 — 미리보기는 첫 번째만 보입니다 / ","")&amp;IF(AND(C118&lt;&gt;"",COUNTIF(직원목록!$C$7:$C$306,C118)&gt;1),"사번 중복 / ","")&amp;IF(D118=0,"총지급이 0원 — 머리글 매칭 확인 / ","")&amp;IF(AND(설정!$B$17&lt;&gt;"",설정!$C$17="",OR(ISNUMBER(FIND("연장",설정!$B$17)),ISNUMBER(FIND("야간",설정!$B$17)),ISNUMBER(FIND("휴일",설정!$B$17))),INDEX(직원목록!$F$7:$F$306,MATCH(106,직원목록!$B$7:$B$306,0))&gt;0),"연장·야간·휴일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","")&amp;IF(AND(설정!$B$24&lt;&gt;"",설정!$C$24="",OR(ISNUMBER(FIND("연장",설정!$B$24)),ISNUMBER(FIND("야간",설정!$B$24)),ISNUMBER(FIND("휴일",설정!$B$24))),INDEX(직원목록!$M$7:$M$306,MATCH(106,직원목록!$B$7:$B$306,0))&gt;0),"연장·야간·휴일 수당은 시간 수도 명세서에 적어야 하니 시간 열 지정 필요 / ",""))))</f>
        <v/>
      </c>
    </row>
    <row r="119">
      <c r="A119" s="26">
        <f>IF(IFERROR(MATCH(107,직원목록!$B$7:$B$306,0),0)=0,"",107)</f>
        <v/>
      </c>
      <c r="B119" s="2">
        <f>IF($A119="","",IFERROR(INDEX(직원목록!$D$7:$D$306,MATCH(107,직원목록!$B$7:$B$306,0)),""))</f>
        <v/>
      </c>
      <c r="C119" s="2">
        <f>IF($A119="","",IFERROR(INDEX(직원목록!$C$7:$C$306,MATCH(107,직원목록!$B$7:$B$306,0)),""))</f>
        <v/>
      </c>
      <c r="D119" s="27">
        <f>IF($A119="","",IFERROR(INDEX(직원목록!$V$7:$V$306,MATCH(107,직원목록!$B$7:$B$306,0)),""))</f>
        <v/>
      </c>
      <c r="E119" s="27">
        <f>IF($A119="","",IFERROR(INDEX(직원목록!$AG$7:$AG$306,MATCH(107,직원목록!$B$7:$B$306,0)),""))</f>
        <v/>
      </c>
      <c r="F119" s="27">
        <f>IF(OR($A119="",E119=""),"",D119-E119)</f>
        <v/>
      </c>
      <c r="G119" s="27">
        <f>IF($A119="","",IFERROR(INDEX(직원목록!$AE$7:$AE$306,MATCH(107,직원목록!$B$7:$B$306,0)),""))</f>
        <v/>
      </c>
      <c r="H119" s="27">
        <f>IF($A119="","",IFERROR(INDEX(직원목록!$AH$7:$AH$306,MATCH(107,직원목록!$B$7:$B$306,0)),""))</f>
        <v/>
      </c>
      <c r="I119" s="27">
        <f>IF(OR($A119="",H119=""),"",G119-H119)</f>
        <v/>
      </c>
      <c r="J119" s="27">
        <f>IF($A119="","",IFERROR(INDEX(직원목록!$AF$7:$AF$306,MATCH(107,직원목록!$B$7:$B$306,0)),""))</f>
        <v/>
      </c>
      <c r="K119" s="27">
        <f>IF($A119="","",IFERROR(INDEX(직원목록!$AI$7:$AI$306,MATCH(107,직원목록!$B$7:$B$306,0)),""))</f>
        <v/>
      </c>
      <c r="L119" s="8">
        <f>IF($A119="","",IF(LEN(IF(AND(F119&lt;&gt;"",F119&lt;&gt;0),"계산 총지급과 대장 총지급이 다릅니다 / ","")&amp;IF(AND(I119&lt;&gt;"",I119&lt;&gt;0),"계산 총공제와 대장 총공제가 다릅니다 / ","")&amp;IF(J119&lt;0,"실수령액이 음수입니다 / ","")&amp;IF(COUNTIF(직원목록!$D$7:$D$306,B119)&gt;1,"같은 이름이 둘 이상 — 미리보기는 첫 번째만 보입니다 / ","")&amp;IF(AND(C119&lt;&gt;"",COUNTIF(직원목록!$C$7:$C$306,C119)&gt;1),"사번 중복 / ","")&amp;IF(D119=0,"총지급이 0원 — 머리글 매칭 확인 / ","")&amp;IF(AND(설정!$B$17&lt;&gt;"",설정!$C$17="",OR(ISNUMBER(FIND("연장",설정!$B$17)),ISNUMBER(FIND("야간",설정!$B$17)),ISNUMBER(FIND("휴일",설정!$B$17))),INDEX(직원목록!$F$7:$F$306,MATCH(107,직원목록!$B$7:$B$306,0))&gt;0),"연장·야간·휴일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","")&amp;IF(AND(설정!$B$24&lt;&gt;"",설정!$C$24="",OR(ISNUMBER(FIND("연장",설정!$B$24)),ISNUMBER(FIND("야간",설정!$B$24)),ISNUMBER(FIND("휴일",설정!$B$24))),INDEX(직원목록!$M$7:$M$306,MATCH(107,직원목록!$B$7:$B$306,0))&gt;0),"연장·야간·휴일 수당은 시간 수도 명세서에 적어야 하니 시간 열 지정 필요 / ",""))=0,"✔",("⚠ "&amp;IF(AND(F119&lt;&gt;"",F119&lt;&gt;0),"계산 총지급과 대장 총지급이 다릅니다 / ","")&amp;IF(AND(I119&lt;&gt;"",I119&lt;&gt;0),"계산 총공제와 대장 총공제가 다릅니다 / ","")&amp;IF(J119&lt;0,"실수령액이 음수입니다 / ","")&amp;IF(COUNTIF(직원목록!$D$7:$D$306,B119)&gt;1,"같은 이름이 둘 이상 — 미리보기는 첫 번째만 보입니다 / ","")&amp;IF(AND(C119&lt;&gt;"",COUNTIF(직원목록!$C$7:$C$306,C119)&gt;1),"사번 중복 / ","")&amp;IF(D119=0,"총지급이 0원 — 머리글 매칭 확인 / ","")&amp;IF(AND(설정!$B$17&lt;&gt;"",설정!$C$17="",OR(ISNUMBER(FIND("연장",설정!$B$17)),ISNUMBER(FIND("야간",설정!$B$17)),ISNUMBER(FIND("휴일",설정!$B$17))),INDEX(직원목록!$F$7:$F$306,MATCH(107,직원목록!$B$7:$B$306,0))&gt;0),"연장·야간·휴일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","")&amp;IF(AND(설정!$B$24&lt;&gt;"",설정!$C$24="",OR(ISNUMBER(FIND("연장",설정!$B$24)),ISNUMBER(FIND("야간",설정!$B$24)),ISNUMBER(FIND("휴일",설정!$B$24))),INDEX(직원목록!$M$7:$M$306,MATCH(107,직원목록!$B$7:$B$306,0))&gt;0),"연장·야간·휴일 수당은 시간 수도 명세서에 적어야 하니 시간 열 지정 필요 / ",""))))</f>
        <v/>
      </c>
    </row>
    <row r="120">
      <c r="A120" s="26">
        <f>IF(IFERROR(MATCH(108,직원목록!$B$7:$B$306,0),0)=0,"",108)</f>
        <v/>
      </c>
      <c r="B120" s="2">
        <f>IF($A120="","",IFERROR(INDEX(직원목록!$D$7:$D$306,MATCH(108,직원목록!$B$7:$B$306,0)),""))</f>
        <v/>
      </c>
      <c r="C120" s="2">
        <f>IF($A120="","",IFERROR(INDEX(직원목록!$C$7:$C$306,MATCH(108,직원목록!$B$7:$B$306,0)),""))</f>
        <v/>
      </c>
      <c r="D120" s="27">
        <f>IF($A120="","",IFERROR(INDEX(직원목록!$V$7:$V$306,MATCH(108,직원목록!$B$7:$B$306,0)),""))</f>
        <v/>
      </c>
      <c r="E120" s="27">
        <f>IF($A120="","",IFERROR(INDEX(직원목록!$AG$7:$AG$306,MATCH(108,직원목록!$B$7:$B$306,0)),""))</f>
        <v/>
      </c>
      <c r="F120" s="27">
        <f>IF(OR($A120="",E120=""),"",D120-E120)</f>
        <v/>
      </c>
      <c r="G120" s="27">
        <f>IF($A120="","",IFERROR(INDEX(직원목록!$AE$7:$AE$306,MATCH(108,직원목록!$B$7:$B$306,0)),""))</f>
        <v/>
      </c>
      <c r="H120" s="27">
        <f>IF($A120="","",IFERROR(INDEX(직원목록!$AH$7:$AH$306,MATCH(108,직원목록!$B$7:$B$306,0)),""))</f>
        <v/>
      </c>
      <c r="I120" s="27">
        <f>IF(OR($A120="",H120=""),"",G120-H120)</f>
        <v/>
      </c>
      <c r="J120" s="27">
        <f>IF($A120="","",IFERROR(INDEX(직원목록!$AF$7:$AF$306,MATCH(108,직원목록!$B$7:$B$306,0)),""))</f>
        <v/>
      </c>
      <c r="K120" s="27">
        <f>IF($A120="","",IFERROR(INDEX(직원목록!$AI$7:$AI$306,MATCH(108,직원목록!$B$7:$B$306,0)),""))</f>
        <v/>
      </c>
      <c r="L120" s="8">
        <f>IF($A120="","",IF(LEN(IF(AND(F120&lt;&gt;"",F120&lt;&gt;0),"계산 총지급과 대장 총지급이 다릅니다 / ","")&amp;IF(AND(I120&lt;&gt;"",I120&lt;&gt;0),"계산 총공제와 대장 총공제가 다릅니다 / ","")&amp;IF(J120&lt;0,"실수령액이 음수입니다 / ","")&amp;IF(COUNTIF(직원목록!$D$7:$D$306,B120)&gt;1,"같은 이름이 둘 이상 — 미리보기는 첫 번째만 보입니다 / ","")&amp;IF(AND(C120&lt;&gt;"",COUNTIF(직원목록!$C$7:$C$306,C120)&gt;1),"사번 중복 / ","")&amp;IF(D120=0,"총지급이 0원 — 머리글 매칭 확인 / ","")&amp;IF(AND(설정!$B$17&lt;&gt;"",설정!$C$17="",OR(ISNUMBER(FIND("연장",설정!$B$17)),ISNUMBER(FIND("야간",설정!$B$17)),ISNUMBER(FIND("휴일",설정!$B$17))),INDEX(직원목록!$F$7:$F$306,MATCH(108,직원목록!$B$7:$B$306,0))&gt;0),"연장·야간·휴일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","")&amp;IF(AND(설정!$B$24&lt;&gt;"",설정!$C$24="",OR(ISNUMBER(FIND("연장",설정!$B$24)),ISNUMBER(FIND("야간",설정!$B$24)),ISNUMBER(FIND("휴일",설정!$B$24))),INDEX(직원목록!$M$7:$M$306,MATCH(108,직원목록!$B$7:$B$306,0))&gt;0),"연장·야간·휴일 수당은 시간 수도 명세서에 적어야 하니 시간 열 지정 필요 / ",""))=0,"✔",("⚠ "&amp;IF(AND(F120&lt;&gt;"",F120&lt;&gt;0),"계산 총지급과 대장 총지급이 다릅니다 / ","")&amp;IF(AND(I120&lt;&gt;"",I120&lt;&gt;0),"계산 총공제와 대장 총공제가 다릅니다 / ","")&amp;IF(J120&lt;0,"실수령액이 음수입니다 / ","")&amp;IF(COUNTIF(직원목록!$D$7:$D$306,B120)&gt;1,"같은 이름이 둘 이상 — 미리보기는 첫 번째만 보입니다 / ","")&amp;IF(AND(C120&lt;&gt;"",COUNTIF(직원목록!$C$7:$C$306,C120)&gt;1),"사번 중복 / ","")&amp;IF(D120=0,"총지급이 0원 — 머리글 매칭 확인 / ","")&amp;IF(AND(설정!$B$17&lt;&gt;"",설정!$C$17="",OR(ISNUMBER(FIND("연장",설정!$B$17)),ISNUMBER(FIND("야간",설정!$B$17)),ISNUMBER(FIND("휴일",설정!$B$17))),INDEX(직원목록!$F$7:$F$306,MATCH(108,직원목록!$B$7:$B$306,0))&gt;0),"연장·야간·휴일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","")&amp;IF(AND(설정!$B$24&lt;&gt;"",설정!$C$24="",OR(ISNUMBER(FIND("연장",설정!$B$24)),ISNUMBER(FIND("야간",설정!$B$24)),ISNUMBER(FIND("휴일",설정!$B$24))),INDEX(직원목록!$M$7:$M$306,MATCH(108,직원목록!$B$7:$B$306,0))&gt;0),"연장·야간·휴일 수당은 시간 수도 명세서에 적어야 하니 시간 열 지정 필요 / ",""))))</f>
        <v/>
      </c>
    </row>
    <row r="121">
      <c r="A121" s="26">
        <f>IF(IFERROR(MATCH(109,직원목록!$B$7:$B$306,0),0)=0,"",109)</f>
        <v/>
      </c>
      <c r="B121" s="2">
        <f>IF($A121="","",IFERROR(INDEX(직원목록!$D$7:$D$306,MATCH(109,직원목록!$B$7:$B$306,0)),""))</f>
        <v/>
      </c>
      <c r="C121" s="2">
        <f>IF($A121="","",IFERROR(INDEX(직원목록!$C$7:$C$306,MATCH(109,직원목록!$B$7:$B$306,0)),""))</f>
        <v/>
      </c>
      <c r="D121" s="27">
        <f>IF($A121="","",IFERROR(INDEX(직원목록!$V$7:$V$306,MATCH(109,직원목록!$B$7:$B$306,0)),""))</f>
        <v/>
      </c>
      <c r="E121" s="27">
        <f>IF($A121="","",IFERROR(INDEX(직원목록!$AG$7:$AG$306,MATCH(109,직원목록!$B$7:$B$306,0)),""))</f>
        <v/>
      </c>
      <c r="F121" s="27">
        <f>IF(OR($A121="",E121=""),"",D121-E121)</f>
        <v/>
      </c>
      <c r="G121" s="27">
        <f>IF($A121="","",IFERROR(INDEX(직원목록!$AE$7:$AE$306,MATCH(109,직원목록!$B$7:$B$306,0)),""))</f>
        <v/>
      </c>
      <c r="H121" s="27">
        <f>IF($A121="","",IFERROR(INDEX(직원목록!$AH$7:$AH$306,MATCH(109,직원목록!$B$7:$B$306,0)),""))</f>
        <v/>
      </c>
      <c r="I121" s="27">
        <f>IF(OR($A121="",H121=""),"",G121-H121)</f>
        <v/>
      </c>
      <c r="J121" s="27">
        <f>IF($A121="","",IFERROR(INDEX(직원목록!$AF$7:$AF$306,MATCH(109,직원목록!$B$7:$B$306,0)),""))</f>
        <v/>
      </c>
      <c r="K121" s="27">
        <f>IF($A121="","",IFERROR(INDEX(직원목록!$AI$7:$AI$306,MATCH(109,직원목록!$B$7:$B$306,0)),""))</f>
        <v/>
      </c>
      <c r="L121" s="8">
        <f>IF($A121="","",IF(LEN(IF(AND(F121&lt;&gt;"",F121&lt;&gt;0),"계산 총지급과 대장 총지급이 다릅니다 / ","")&amp;IF(AND(I121&lt;&gt;"",I121&lt;&gt;0),"계산 총공제와 대장 총공제가 다릅니다 / ","")&amp;IF(J121&lt;0,"실수령액이 음수입니다 / ","")&amp;IF(COUNTIF(직원목록!$D$7:$D$306,B121)&gt;1,"같은 이름이 둘 이상 — 미리보기는 첫 번째만 보입니다 / ","")&amp;IF(AND(C121&lt;&gt;"",COUNTIF(직원목록!$C$7:$C$306,C121)&gt;1),"사번 중복 / ","")&amp;IF(D121=0,"총지급이 0원 — 머리글 매칭 확인 / ","")&amp;IF(AND(설정!$B$17&lt;&gt;"",설정!$C$17="",OR(ISNUMBER(FIND("연장",설정!$B$17)),ISNUMBER(FIND("야간",설정!$B$17)),ISNUMBER(FIND("휴일",설정!$B$17))),INDEX(직원목록!$F$7:$F$306,MATCH(109,직원목록!$B$7:$B$306,0))&gt;0),"연장·야간·휴일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","")&amp;IF(AND(설정!$B$24&lt;&gt;"",설정!$C$24="",OR(ISNUMBER(FIND("연장",설정!$B$24)),ISNUMBER(FIND("야간",설정!$B$24)),ISNUMBER(FIND("휴일",설정!$B$24))),INDEX(직원목록!$M$7:$M$306,MATCH(109,직원목록!$B$7:$B$306,0))&gt;0),"연장·야간·휴일 수당은 시간 수도 명세서에 적어야 하니 시간 열 지정 필요 / ",""))=0,"✔",("⚠ "&amp;IF(AND(F121&lt;&gt;"",F121&lt;&gt;0),"계산 총지급과 대장 총지급이 다릅니다 / ","")&amp;IF(AND(I121&lt;&gt;"",I121&lt;&gt;0),"계산 총공제와 대장 총공제가 다릅니다 / ","")&amp;IF(J121&lt;0,"실수령액이 음수입니다 / ","")&amp;IF(COUNTIF(직원목록!$D$7:$D$306,B121)&gt;1,"같은 이름이 둘 이상 — 미리보기는 첫 번째만 보입니다 / ","")&amp;IF(AND(C121&lt;&gt;"",COUNTIF(직원목록!$C$7:$C$306,C121)&gt;1),"사번 중복 / ","")&amp;IF(D121=0,"총지급이 0원 — 머리글 매칭 확인 / ","")&amp;IF(AND(설정!$B$17&lt;&gt;"",설정!$C$17="",OR(ISNUMBER(FIND("연장",설정!$B$17)),ISNUMBER(FIND("야간",설정!$B$17)),ISNUMBER(FIND("휴일",설정!$B$17))),INDEX(직원목록!$F$7:$F$306,MATCH(109,직원목록!$B$7:$B$306,0))&gt;0),"연장·야간·휴일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","")&amp;IF(AND(설정!$B$18&lt;&gt;"",설정!$C$18="",OR(ISNUMBER(FIND("연장",설정!$B$18)),ISNUMBER(FIND("야간",설정!$B$18)),ISNUMBER(FIND("휴일",설정!$B$18))),INDEX(직원목록!$G$7:$G$306,MATCH(109,직원목록!$B$7:$B$306,0))&gt;0),"연장·야간·휴일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","")&amp;IF(AND(설정!$B$19&lt;&gt;"",설정!$C$19="",OR(ISNUMBER(FIND("연장",설정!$B$19)),ISNUMBER(FIND("야간",설정!$B$19)),ISNUMBER(FIND("휴일",설정!$B$19))),INDEX(직원목록!$H$7:$H$306,MATCH(109,직원목록!$B$7:$B$306,0))&gt;0),"연장·야간·휴일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","")&amp;IF(AND(설정!$B$20&lt;&gt;"",설정!$C$20="",OR(ISNUMBER(FIND("연장",설정!$B$20)),ISNUMBER(FIND("야간",설정!$B$20)),ISNUMBER(FIND("휴일",설정!$B$20))),INDEX(직원목록!$I$7:$I$306,MATCH(109,직원목록!$B$7:$B$306,0))&gt;0),"연장·야간·휴일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","")&amp;IF(AND(설정!$B$21&lt;&gt;"",설정!$C$21="",OR(ISNUMBER(FIND("연장",설정!$B$21)),ISNUMBER(FIND("야간",설정!$B$21)),ISNUMBER(FIND("휴일",설정!$B$21))),INDEX(직원목록!$J$7:$J$306,MATCH(109,직원목록!$B$7:$B$306,0))&gt;0),"연장·야간·휴일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","")&amp;IF(AND(설정!$B$22&lt;&gt;"",설정!$C$22="",OR(ISNUMBER(FIND("연장",설정!$B$22)),ISNUMBER(FIND("야간",설정!$B$22)),ISNUMBER(FIND("휴일",설정!$B$22))),INDEX(직원목록!$K$7:$K$306,MATCH(109,직원목록!$B$7:$B$306,0))&gt;0),"연장·야간·휴일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","")&amp;IF(AND(설정!$B$23&lt;&gt;"",설정!$C$23="",OR(ISNUMBER(FIND("연장",설정!$B$23)),ISNUMBER(FIND("야간",설정!$B$23)),ISNUMBER(FIND("휴일",설정!$B$23))),INDEX(직원목록!$L$7:$L$306,MATCH(109,직원목록!$B$7:$B$306,0))&gt;0),"연장·야간·휴일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","")&amp;IF(AND(설정!$B$24&lt;&gt;"",설정!$C$24="",OR(ISNUMBER(FIND("연장",설정!$B$24)),ISNUMBER(FIND("야간",설정!$B$24)),ISNUMBER(FIND("휴일",설정!$B$24))),INDEX(직원목록!$M$7:$M$306,MATCH(109,직원목록!$B$7:$B$306,0))&gt;0),"연장·야간·휴일 수당은 시간 수도 명세서에 적어야 하니 시간 열 지정 필요 / ",""))))</f>
        <v/>
      </c>
    </row>
    <row r="122">
      <c r="A122" s="26">
        <f>IF(IFERROR(MATCH(110,직원목록!$B$7:$B$306,0),0)=0,"",110)</f>
        <v/>
      </c>
      <c r="B122" s="2">
        <f>IF($A122="","",IFERROR(INDEX(직원목록!$D$7:$D$306,MATCH(110,직원목록!$B$7:$B$306,0)),""))</f>
        <v/>
      </c>
      <c r="C122" s="2">
        <f>IF($A122="","",IFERROR(INDEX(직원목록!$C$7:$C$306,MATCH(110,직원목록!$B$7:$B$306,0)),""))</f>
        <v/>
      </c>
      <c r="D122" s="27">
        <f>IF($A122="","",IFERROR(INDEX(직원목록!$V$7:$V$306,MATCH(110,직원목록!$B$7:$B$306,0)),""))</f>
        <v/>
      </c>
      <c r="E122" s="27">
        <f>IF($A122="","",IFERROR(INDEX(직원목록!$AG$7:$AG$306,MATCH(110,직원목록!$B$7:$B$306,0)),""))</f>
        <v/>
      </c>
      <c r="F122" s="27">
        <f>IF(OR($A122="",E122=""),"",D122-E122)</f>
        <v/>
      </c>
      <c r="G122" s="27">
        <f>IF($A122="","",IFERROR(INDEX(직원목록!$AE$7:$AE$306,MATCH(110,직원목록!$B$7:$B$306,0)),""))</f>
        <v/>
      </c>
      <c r="H122" s="27">
        <f>IF($A122="","",IFERROR(INDEX(직원목록!$AH$7:$AH$306,MATCH(110,직원목록!$B$7:$B$306,0)),""))</f>
        <v/>
      </c>
      <c r="I122" s="27">
        <f>IF(OR($A122="",H122=""),"",G122-H122)</f>
        <v/>
      </c>
      <c r="J122" s="27">
        <f>IF($A122="","",IFERROR(INDEX(직원목록!$AF$7:$AF$306,MATCH(110,직원목록!$B$7:$B$306,0)),""))</f>
        <v/>
      </c>
      <c r="K122" s="27">
        <f>IF($A122="","",IFERROR(INDEX(직원목록!$AI$7:$AI$306,MATCH(110,직원목록!$B$7:$B$306,0)),""))</f>
        <v/>
      </c>
      <c r="L122" s="8">
        <f>IF($A122="","",IF(LEN(IF(AND(F122&lt;&gt;"",F122&lt;&gt;0),"계산 총지급과 대장 총지급이 다릅니다 / ","")&amp;IF(AND(I122&lt;&gt;"",I122&lt;&gt;0),"계산 총공제와 대장 총공제가 다릅니다 / ","")&amp;IF(J122&lt;0,"실수령액이 음수입니다 / ","")&amp;IF(COUNTIF(직원목록!$D$7:$D$306,B122)&gt;1,"같은 이름이 둘 이상 — 미리보기는 첫 번째만 보입니다 / ","")&amp;IF(AND(C122&lt;&gt;"",COUNTIF(직원목록!$C$7:$C$306,C122)&gt;1),"사번 중복 / ","")&amp;IF(D122=0,"총지급이 0원 — 머리글 매칭 확인 / ","")&amp;IF(AND(설정!$B$17&lt;&gt;"",설정!$C$17="",OR(ISNUMBER(FIND("연장",설정!$B$17)),ISNUMBER(FIND("야간",설정!$B$17)),ISNUMBER(FIND("휴일",설정!$B$17))),INDEX(직원목록!$F$7:$F$306,MATCH(110,직원목록!$B$7:$B$306,0))&gt;0),"연장·야간·휴일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","")&amp;IF(AND(설정!$B$24&lt;&gt;"",설정!$C$24="",OR(ISNUMBER(FIND("연장",설정!$B$24)),ISNUMBER(FIND("야간",설정!$B$24)),ISNUMBER(FIND("휴일",설정!$B$24))),INDEX(직원목록!$M$7:$M$306,MATCH(110,직원목록!$B$7:$B$306,0))&gt;0),"연장·야간·휴일 수당은 시간 수도 명세서에 적어야 하니 시간 열 지정 필요 / ",""))=0,"✔",("⚠ "&amp;IF(AND(F122&lt;&gt;"",F122&lt;&gt;0),"계산 총지급과 대장 총지급이 다릅니다 / ","")&amp;IF(AND(I122&lt;&gt;"",I122&lt;&gt;0),"계산 총공제와 대장 총공제가 다릅니다 / ","")&amp;IF(J122&lt;0,"실수령액이 음수입니다 / ","")&amp;IF(COUNTIF(직원목록!$D$7:$D$306,B122)&gt;1,"같은 이름이 둘 이상 — 미리보기는 첫 번째만 보입니다 / ","")&amp;IF(AND(C122&lt;&gt;"",COUNTIF(직원목록!$C$7:$C$306,C122)&gt;1),"사번 중복 / ","")&amp;IF(D122=0,"총지급이 0원 — 머리글 매칭 확인 / ","")&amp;IF(AND(설정!$B$17&lt;&gt;"",설정!$C$17="",OR(ISNUMBER(FIND("연장",설정!$B$17)),ISNUMBER(FIND("야간",설정!$B$17)),ISNUMBER(FIND("휴일",설정!$B$17))),INDEX(직원목록!$F$7:$F$306,MATCH(110,직원목록!$B$7:$B$306,0))&gt;0),"연장·야간·휴일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","")&amp;IF(AND(설정!$B$24&lt;&gt;"",설정!$C$24="",OR(ISNUMBER(FIND("연장",설정!$B$24)),ISNUMBER(FIND("야간",설정!$B$24)),ISNUMBER(FIND("휴일",설정!$B$24))),INDEX(직원목록!$M$7:$M$306,MATCH(110,직원목록!$B$7:$B$306,0))&gt;0),"연장·야간·휴일 수당은 시간 수도 명세서에 적어야 하니 시간 열 지정 필요 / ",""))))</f>
        <v/>
      </c>
    </row>
    <row r="123">
      <c r="A123" s="26">
        <f>IF(IFERROR(MATCH(111,직원목록!$B$7:$B$306,0),0)=0,"",111)</f>
        <v/>
      </c>
      <c r="B123" s="2">
        <f>IF($A123="","",IFERROR(INDEX(직원목록!$D$7:$D$306,MATCH(111,직원목록!$B$7:$B$306,0)),""))</f>
        <v/>
      </c>
      <c r="C123" s="2">
        <f>IF($A123="","",IFERROR(INDEX(직원목록!$C$7:$C$306,MATCH(111,직원목록!$B$7:$B$306,0)),""))</f>
        <v/>
      </c>
      <c r="D123" s="27">
        <f>IF($A123="","",IFERROR(INDEX(직원목록!$V$7:$V$306,MATCH(111,직원목록!$B$7:$B$306,0)),""))</f>
        <v/>
      </c>
      <c r="E123" s="27">
        <f>IF($A123="","",IFERROR(INDEX(직원목록!$AG$7:$AG$306,MATCH(111,직원목록!$B$7:$B$306,0)),""))</f>
        <v/>
      </c>
      <c r="F123" s="27">
        <f>IF(OR($A123="",E123=""),"",D123-E123)</f>
        <v/>
      </c>
      <c r="G123" s="27">
        <f>IF($A123="","",IFERROR(INDEX(직원목록!$AE$7:$AE$306,MATCH(111,직원목록!$B$7:$B$306,0)),""))</f>
        <v/>
      </c>
      <c r="H123" s="27">
        <f>IF($A123="","",IFERROR(INDEX(직원목록!$AH$7:$AH$306,MATCH(111,직원목록!$B$7:$B$306,0)),""))</f>
        <v/>
      </c>
      <c r="I123" s="27">
        <f>IF(OR($A123="",H123=""),"",G123-H123)</f>
        <v/>
      </c>
      <c r="J123" s="27">
        <f>IF($A123="","",IFERROR(INDEX(직원목록!$AF$7:$AF$306,MATCH(111,직원목록!$B$7:$B$306,0)),""))</f>
        <v/>
      </c>
      <c r="K123" s="27">
        <f>IF($A123="","",IFERROR(INDEX(직원목록!$AI$7:$AI$306,MATCH(111,직원목록!$B$7:$B$306,0)),""))</f>
        <v/>
      </c>
      <c r="L123" s="8">
        <f>IF($A123="","",IF(LEN(IF(AND(F123&lt;&gt;"",F123&lt;&gt;0),"계산 총지급과 대장 총지급이 다릅니다 / ","")&amp;IF(AND(I123&lt;&gt;"",I123&lt;&gt;0),"계산 총공제와 대장 총공제가 다릅니다 / ","")&amp;IF(J123&lt;0,"실수령액이 음수입니다 / ","")&amp;IF(COUNTIF(직원목록!$D$7:$D$306,B123)&gt;1,"같은 이름이 둘 이상 — 미리보기는 첫 번째만 보입니다 / ","")&amp;IF(AND(C123&lt;&gt;"",COUNTIF(직원목록!$C$7:$C$306,C123)&gt;1),"사번 중복 / ","")&amp;IF(D123=0,"총지급이 0원 — 머리글 매칭 확인 / ","")&amp;IF(AND(설정!$B$17&lt;&gt;"",설정!$C$17="",OR(ISNUMBER(FIND("연장",설정!$B$17)),ISNUMBER(FIND("야간",설정!$B$17)),ISNUMBER(FIND("휴일",설정!$B$17))),INDEX(직원목록!$F$7:$F$306,MATCH(111,직원목록!$B$7:$B$306,0))&gt;0),"연장·야간·휴일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","")&amp;IF(AND(설정!$B$24&lt;&gt;"",설정!$C$24="",OR(ISNUMBER(FIND("연장",설정!$B$24)),ISNUMBER(FIND("야간",설정!$B$24)),ISNUMBER(FIND("휴일",설정!$B$24))),INDEX(직원목록!$M$7:$M$306,MATCH(111,직원목록!$B$7:$B$306,0))&gt;0),"연장·야간·휴일 수당은 시간 수도 명세서에 적어야 하니 시간 열 지정 필요 / ",""))=0,"✔",("⚠ "&amp;IF(AND(F123&lt;&gt;"",F123&lt;&gt;0),"계산 총지급과 대장 총지급이 다릅니다 / ","")&amp;IF(AND(I123&lt;&gt;"",I123&lt;&gt;0),"계산 총공제와 대장 총공제가 다릅니다 / ","")&amp;IF(J123&lt;0,"실수령액이 음수입니다 / ","")&amp;IF(COUNTIF(직원목록!$D$7:$D$306,B123)&gt;1,"같은 이름이 둘 이상 — 미리보기는 첫 번째만 보입니다 / ","")&amp;IF(AND(C123&lt;&gt;"",COUNTIF(직원목록!$C$7:$C$306,C123)&gt;1),"사번 중복 / ","")&amp;IF(D123=0,"총지급이 0원 — 머리글 매칭 확인 / ","")&amp;IF(AND(설정!$B$17&lt;&gt;"",설정!$C$17="",OR(ISNUMBER(FIND("연장",설정!$B$17)),ISNUMBER(FIND("야간",설정!$B$17)),ISNUMBER(FIND("휴일",설정!$B$17))),INDEX(직원목록!$F$7:$F$306,MATCH(111,직원목록!$B$7:$B$306,0))&gt;0),"연장·야간·휴일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","")&amp;IF(AND(설정!$B$24&lt;&gt;"",설정!$C$24="",OR(ISNUMBER(FIND("연장",설정!$B$24)),ISNUMBER(FIND("야간",설정!$B$24)),ISNUMBER(FIND("휴일",설정!$B$24))),INDEX(직원목록!$M$7:$M$306,MATCH(111,직원목록!$B$7:$B$306,0))&gt;0),"연장·야간·휴일 수당은 시간 수도 명세서에 적어야 하니 시간 열 지정 필요 / ",""))))</f>
        <v/>
      </c>
    </row>
    <row r="124">
      <c r="A124" s="26">
        <f>IF(IFERROR(MATCH(112,직원목록!$B$7:$B$306,0),0)=0,"",112)</f>
        <v/>
      </c>
      <c r="B124" s="2">
        <f>IF($A124="","",IFERROR(INDEX(직원목록!$D$7:$D$306,MATCH(112,직원목록!$B$7:$B$306,0)),""))</f>
        <v/>
      </c>
      <c r="C124" s="2">
        <f>IF($A124="","",IFERROR(INDEX(직원목록!$C$7:$C$306,MATCH(112,직원목록!$B$7:$B$306,0)),""))</f>
        <v/>
      </c>
      <c r="D124" s="27">
        <f>IF($A124="","",IFERROR(INDEX(직원목록!$V$7:$V$306,MATCH(112,직원목록!$B$7:$B$306,0)),""))</f>
        <v/>
      </c>
      <c r="E124" s="27">
        <f>IF($A124="","",IFERROR(INDEX(직원목록!$AG$7:$AG$306,MATCH(112,직원목록!$B$7:$B$306,0)),""))</f>
        <v/>
      </c>
      <c r="F124" s="27">
        <f>IF(OR($A124="",E124=""),"",D124-E124)</f>
        <v/>
      </c>
      <c r="G124" s="27">
        <f>IF($A124="","",IFERROR(INDEX(직원목록!$AE$7:$AE$306,MATCH(112,직원목록!$B$7:$B$306,0)),""))</f>
        <v/>
      </c>
      <c r="H124" s="27">
        <f>IF($A124="","",IFERROR(INDEX(직원목록!$AH$7:$AH$306,MATCH(112,직원목록!$B$7:$B$306,0)),""))</f>
        <v/>
      </c>
      <c r="I124" s="27">
        <f>IF(OR($A124="",H124=""),"",G124-H124)</f>
        <v/>
      </c>
      <c r="J124" s="27">
        <f>IF($A124="","",IFERROR(INDEX(직원목록!$AF$7:$AF$306,MATCH(112,직원목록!$B$7:$B$306,0)),""))</f>
        <v/>
      </c>
      <c r="K124" s="27">
        <f>IF($A124="","",IFERROR(INDEX(직원목록!$AI$7:$AI$306,MATCH(112,직원목록!$B$7:$B$306,0)),""))</f>
        <v/>
      </c>
      <c r="L124" s="8">
        <f>IF($A124="","",IF(LEN(IF(AND(F124&lt;&gt;"",F124&lt;&gt;0),"계산 총지급과 대장 총지급이 다릅니다 / ","")&amp;IF(AND(I124&lt;&gt;"",I124&lt;&gt;0),"계산 총공제와 대장 총공제가 다릅니다 / ","")&amp;IF(J124&lt;0,"실수령액이 음수입니다 / ","")&amp;IF(COUNTIF(직원목록!$D$7:$D$306,B124)&gt;1,"같은 이름이 둘 이상 — 미리보기는 첫 번째만 보입니다 / ","")&amp;IF(AND(C124&lt;&gt;"",COUNTIF(직원목록!$C$7:$C$306,C124)&gt;1),"사번 중복 / ","")&amp;IF(D124=0,"총지급이 0원 — 머리글 매칭 확인 / ","")&amp;IF(AND(설정!$B$17&lt;&gt;"",설정!$C$17="",OR(ISNUMBER(FIND("연장",설정!$B$17)),ISNUMBER(FIND("야간",설정!$B$17)),ISNUMBER(FIND("휴일",설정!$B$17))),INDEX(직원목록!$F$7:$F$306,MATCH(112,직원목록!$B$7:$B$306,0))&gt;0),"연장·야간·휴일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","")&amp;IF(AND(설정!$B$24&lt;&gt;"",설정!$C$24="",OR(ISNUMBER(FIND("연장",설정!$B$24)),ISNUMBER(FIND("야간",설정!$B$24)),ISNUMBER(FIND("휴일",설정!$B$24))),INDEX(직원목록!$M$7:$M$306,MATCH(112,직원목록!$B$7:$B$306,0))&gt;0),"연장·야간·휴일 수당은 시간 수도 명세서에 적어야 하니 시간 열 지정 필요 / ",""))=0,"✔",("⚠ "&amp;IF(AND(F124&lt;&gt;"",F124&lt;&gt;0),"계산 총지급과 대장 총지급이 다릅니다 / ","")&amp;IF(AND(I124&lt;&gt;"",I124&lt;&gt;0),"계산 총공제와 대장 총공제가 다릅니다 / ","")&amp;IF(J124&lt;0,"실수령액이 음수입니다 / ","")&amp;IF(COUNTIF(직원목록!$D$7:$D$306,B124)&gt;1,"같은 이름이 둘 이상 — 미리보기는 첫 번째만 보입니다 / ","")&amp;IF(AND(C124&lt;&gt;"",COUNTIF(직원목록!$C$7:$C$306,C124)&gt;1),"사번 중복 / ","")&amp;IF(D124=0,"총지급이 0원 — 머리글 매칭 확인 / ","")&amp;IF(AND(설정!$B$17&lt;&gt;"",설정!$C$17="",OR(ISNUMBER(FIND("연장",설정!$B$17)),ISNUMBER(FIND("야간",설정!$B$17)),ISNUMBER(FIND("휴일",설정!$B$17))),INDEX(직원목록!$F$7:$F$306,MATCH(112,직원목록!$B$7:$B$306,0))&gt;0),"연장·야간·휴일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","")&amp;IF(AND(설정!$B$24&lt;&gt;"",설정!$C$24="",OR(ISNUMBER(FIND("연장",설정!$B$24)),ISNUMBER(FIND("야간",설정!$B$24)),ISNUMBER(FIND("휴일",설정!$B$24))),INDEX(직원목록!$M$7:$M$306,MATCH(112,직원목록!$B$7:$B$306,0))&gt;0),"연장·야간·휴일 수당은 시간 수도 명세서에 적어야 하니 시간 열 지정 필요 / ",""))))</f>
        <v/>
      </c>
    </row>
    <row r="125">
      <c r="A125" s="26">
        <f>IF(IFERROR(MATCH(113,직원목록!$B$7:$B$306,0),0)=0,"",113)</f>
        <v/>
      </c>
      <c r="B125" s="2">
        <f>IF($A125="","",IFERROR(INDEX(직원목록!$D$7:$D$306,MATCH(113,직원목록!$B$7:$B$306,0)),""))</f>
        <v/>
      </c>
      <c r="C125" s="2">
        <f>IF($A125="","",IFERROR(INDEX(직원목록!$C$7:$C$306,MATCH(113,직원목록!$B$7:$B$306,0)),""))</f>
        <v/>
      </c>
      <c r="D125" s="27">
        <f>IF($A125="","",IFERROR(INDEX(직원목록!$V$7:$V$306,MATCH(113,직원목록!$B$7:$B$306,0)),""))</f>
        <v/>
      </c>
      <c r="E125" s="27">
        <f>IF($A125="","",IFERROR(INDEX(직원목록!$AG$7:$AG$306,MATCH(113,직원목록!$B$7:$B$306,0)),""))</f>
        <v/>
      </c>
      <c r="F125" s="27">
        <f>IF(OR($A125="",E125=""),"",D125-E125)</f>
        <v/>
      </c>
      <c r="G125" s="27">
        <f>IF($A125="","",IFERROR(INDEX(직원목록!$AE$7:$AE$306,MATCH(113,직원목록!$B$7:$B$306,0)),""))</f>
        <v/>
      </c>
      <c r="H125" s="27">
        <f>IF($A125="","",IFERROR(INDEX(직원목록!$AH$7:$AH$306,MATCH(113,직원목록!$B$7:$B$306,0)),""))</f>
        <v/>
      </c>
      <c r="I125" s="27">
        <f>IF(OR($A125="",H125=""),"",G125-H125)</f>
        <v/>
      </c>
      <c r="J125" s="27">
        <f>IF($A125="","",IFERROR(INDEX(직원목록!$AF$7:$AF$306,MATCH(113,직원목록!$B$7:$B$306,0)),""))</f>
        <v/>
      </c>
      <c r="K125" s="27">
        <f>IF($A125="","",IFERROR(INDEX(직원목록!$AI$7:$AI$306,MATCH(113,직원목록!$B$7:$B$306,0)),""))</f>
        <v/>
      </c>
      <c r="L125" s="8">
        <f>IF($A125="","",IF(LEN(IF(AND(F125&lt;&gt;"",F125&lt;&gt;0),"계산 총지급과 대장 총지급이 다릅니다 / ","")&amp;IF(AND(I125&lt;&gt;"",I125&lt;&gt;0),"계산 총공제와 대장 총공제가 다릅니다 / ","")&amp;IF(J125&lt;0,"실수령액이 음수입니다 / ","")&amp;IF(COUNTIF(직원목록!$D$7:$D$306,B125)&gt;1,"같은 이름이 둘 이상 — 미리보기는 첫 번째만 보입니다 / ","")&amp;IF(AND(C125&lt;&gt;"",COUNTIF(직원목록!$C$7:$C$306,C125)&gt;1),"사번 중복 / ","")&amp;IF(D125=0,"총지급이 0원 — 머리글 매칭 확인 / ","")&amp;IF(AND(설정!$B$17&lt;&gt;"",설정!$C$17="",OR(ISNUMBER(FIND("연장",설정!$B$17)),ISNUMBER(FIND("야간",설정!$B$17)),ISNUMBER(FIND("휴일",설정!$B$17))),INDEX(직원목록!$F$7:$F$306,MATCH(113,직원목록!$B$7:$B$306,0))&gt;0),"연장·야간·휴일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","")&amp;IF(AND(설정!$B$24&lt;&gt;"",설정!$C$24="",OR(ISNUMBER(FIND("연장",설정!$B$24)),ISNUMBER(FIND("야간",설정!$B$24)),ISNUMBER(FIND("휴일",설정!$B$24))),INDEX(직원목록!$M$7:$M$306,MATCH(113,직원목록!$B$7:$B$306,0))&gt;0),"연장·야간·휴일 수당은 시간 수도 명세서에 적어야 하니 시간 열 지정 필요 / ",""))=0,"✔",("⚠ "&amp;IF(AND(F125&lt;&gt;"",F125&lt;&gt;0),"계산 총지급과 대장 총지급이 다릅니다 / ","")&amp;IF(AND(I125&lt;&gt;"",I125&lt;&gt;0),"계산 총공제와 대장 총공제가 다릅니다 / ","")&amp;IF(J125&lt;0,"실수령액이 음수입니다 / ","")&amp;IF(COUNTIF(직원목록!$D$7:$D$306,B125)&gt;1,"같은 이름이 둘 이상 — 미리보기는 첫 번째만 보입니다 / ","")&amp;IF(AND(C125&lt;&gt;"",COUNTIF(직원목록!$C$7:$C$306,C125)&gt;1),"사번 중복 / ","")&amp;IF(D125=0,"총지급이 0원 — 머리글 매칭 확인 / ","")&amp;IF(AND(설정!$B$17&lt;&gt;"",설정!$C$17="",OR(ISNUMBER(FIND("연장",설정!$B$17)),ISNUMBER(FIND("야간",설정!$B$17)),ISNUMBER(FIND("휴일",설정!$B$17))),INDEX(직원목록!$F$7:$F$306,MATCH(113,직원목록!$B$7:$B$306,0))&gt;0),"연장·야간·휴일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","")&amp;IF(AND(설정!$B$24&lt;&gt;"",설정!$C$24="",OR(ISNUMBER(FIND("연장",설정!$B$24)),ISNUMBER(FIND("야간",설정!$B$24)),ISNUMBER(FIND("휴일",설정!$B$24))),INDEX(직원목록!$M$7:$M$306,MATCH(113,직원목록!$B$7:$B$306,0))&gt;0),"연장·야간·휴일 수당은 시간 수도 명세서에 적어야 하니 시간 열 지정 필요 / ",""))))</f>
        <v/>
      </c>
    </row>
    <row r="126">
      <c r="A126" s="26">
        <f>IF(IFERROR(MATCH(114,직원목록!$B$7:$B$306,0),0)=0,"",114)</f>
        <v/>
      </c>
      <c r="B126" s="2">
        <f>IF($A126="","",IFERROR(INDEX(직원목록!$D$7:$D$306,MATCH(114,직원목록!$B$7:$B$306,0)),""))</f>
        <v/>
      </c>
      <c r="C126" s="2">
        <f>IF($A126="","",IFERROR(INDEX(직원목록!$C$7:$C$306,MATCH(114,직원목록!$B$7:$B$306,0)),""))</f>
        <v/>
      </c>
      <c r="D126" s="27">
        <f>IF($A126="","",IFERROR(INDEX(직원목록!$V$7:$V$306,MATCH(114,직원목록!$B$7:$B$306,0)),""))</f>
        <v/>
      </c>
      <c r="E126" s="27">
        <f>IF($A126="","",IFERROR(INDEX(직원목록!$AG$7:$AG$306,MATCH(114,직원목록!$B$7:$B$306,0)),""))</f>
        <v/>
      </c>
      <c r="F126" s="27">
        <f>IF(OR($A126="",E126=""),"",D126-E126)</f>
        <v/>
      </c>
      <c r="G126" s="27">
        <f>IF($A126="","",IFERROR(INDEX(직원목록!$AE$7:$AE$306,MATCH(114,직원목록!$B$7:$B$306,0)),""))</f>
        <v/>
      </c>
      <c r="H126" s="27">
        <f>IF($A126="","",IFERROR(INDEX(직원목록!$AH$7:$AH$306,MATCH(114,직원목록!$B$7:$B$306,0)),""))</f>
        <v/>
      </c>
      <c r="I126" s="27">
        <f>IF(OR($A126="",H126=""),"",G126-H126)</f>
        <v/>
      </c>
      <c r="J126" s="27">
        <f>IF($A126="","",IFERROR(INDEX(직원목록!$AF$7:$AF$306,MATCH(114,직원목록!$B$7:$B$306,0)),""))</f>
        <v/>
      </c>
      <c r="K126" s="27">
        <f>IF($A126="","",IFERROR(INDEX(직원목록!$AI$7:$AI$306,MATCH(114,직원목록!$B$7:$B$306,0)),""))</f>
        <v/>
      </c>
      <c r="L126" s="8">
        <f>IF($A126="","",IF(LEN(IF(AND(F126&lt;&gt;"",F126&lt;&gt;0),"계산 총지급과 대장 총지급이 다릅니다 / ","")&amp;IF(AND(I126&lt;&gt;"",I126&lt;&gt;0),"계산 총공제와 대장 총공제가 다릅니다 / ","")&amp;IF(J126&lt;0,"실수령액이 음수입니다 / ","")&amp;IF(COUNTIF(직원목록!$D$7:$D$306,B126)&gt;1,"같은 이름이 둘 이상 — 미리보기는 첫 번째만 보입니다 / ","")&amp;IF(AND(C126&lt;&gt;"",COUNTIF(직원목록!$C$7:$C$306,C126)&gt;1),"사번 중복 / ","")&amp;IF(D126=0,"총지급이 0원 — 머리글 매칭 확인 / ","")&amp;IF(AND(설정!$B$17&lt;&gt;"",설정!$C$17="",OR(ISNUMBER(FIND("연장",설정!$B$17)),ISNUMBER(FIND("야간",설정!$B$17)),ISNUMBER(FIND("휴일",설정!$B$17))),INDEX(직원목록!$F$7:$F$306,MATCH(114,직원목록!$B$7:$B$306,0))&gt;0),"연장·야간·휴일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","")&amp;IF(AND(설정!$B$24&lt;&gt;"",설정!$C$24="",OR(ISNUMBER(FIND("연장",설정!$B$24)),ISNUMBER(FIND("야간",설정!$B$24)),ISNUMBER(FIND("휴일",설정!$B$24))),INDEX(직원목록!$M$7:$M$306,MATCH(114,직원목록!$B$7:$B$306,0))&gt;0),"연장·야간·휴일 수당은 시간 수도 명세서에 적어야 하니 시간 열 지정 필요 / ",""))=0,"✔",("⚠ "&amp;IF(AND(F126&lt;&gt;"",F126&lt;&gt;0),"계산 총지급과 대장 총지급이 다릅니다 / ","")&amp;IF(AND(I126&lt;&gt;"",I126&lt;&gt;0),"계산 총공제와 대장 총공제가 다릅니다 / ","")&amp;IF(J126&lt;0,"실수령액이 음수입니다 / ","")&amp;IF(COUNTIF(직원목록!$D$7:$D$306,B126)&gt;1,"같은 이름이 둘 이상 — 미리보기는 첫 번째만 보입니다 / ","")&amp;IF(AND(C126&lt;&gt;"",COUNTIF(직원목록!$C$7:$C$306,C126)&gt;1),"사번 중복 / ","")&amp;IF(D126=0,"총지급이 0원 — 머리글 매칭 확인 / ","")&amp;IF(AND(설정!$B$17&lt;&gt;"",설정!$C$17="",OR(ISNUMBER(FIND("연장",설정!$B$17)),ISNUMBER(FIND("야간",설정!$B$17)),ISNUMBER(FIND("휴일",설정!$B$17))),INDEX(직원목록!$F$7:$F$306,MATCH(114,직원목록!$B$7:$B$306,0))&gt;0),"연장·야간·휴일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","")&amp;IF(AND(설정!$B$24&lt;&gt;"",설정!$C$24="",OR(ISNUMBER(FIND("연장",설정!$B$24)),ISNUMBER(FIND("야간",설정!$B$24)),ISNUMBER(FIND("휴일",설정!$B$24))),INDEX(직원목록!$M$7:$M$306,MATCH(114,직원목록!$B$7:$B$306,0))&gt;0),"연장·야간·휴일 수당은 시간 수도 명세서에 적어야 하니 시간 열 지정 필요 / ",""))))</f>
        <v/>
      </c>
    </row>
    <row r="127">
      <c r="A127" s="26">
        <f>IF(IFERROR(MATCH(115,직원목록!$B$7:$B$306,0),0)=0,"",115)</f>
        <v/>
      </c>
      <c r="B127" s="2">
        <f>IF($A127="","",IFERROR(INDEX(직원목록!$D$7:$D$306,MATCH(115,직원목록!$B$7:$B$306,0)),""))</f>
        <v/>
      </c>
      <c r="C127" s="2">
        <f>IF($A127="","",IFERROR(INDEX(직원목록!$C$7:$C$306,MATCH(115,직원목록!$B$7:$B$306,0)),""))</f>
        <v/>
      </c>
      <c r="D127" s="27">
        <f>IF($A127="","",IFERROR(INDEX(직원목록!$V$7:$V$306,MATCH(115,직원목록!$B$7:$B$306,0)),""))</f>
        <v/>
      </c>
      <c r="E127" s="27">
        <f>IF($A127="","",IFERROR(INDEX(직원목록!$AG$7:$AG$306,MATCH(115,직원목록!$B$7:$B$306,0)),""))</f>
        <v/>
      </c>
      <c r="F127" s="27">
        <f>IF(OR($A127="",E127=""),"",D127-E127)</f>
        <v/>
      </c>
      <c r="G127" s="27">
        <f>IF($A127="","",IFERROR(INDEX(직원목록!$AE$7:$AE$306,MATCH(115,직원목록!$B$7:$B$306,0)),""))</f>
        <v/>
      </c>
      <c r="H127" s="27">
        <f>IF($A127="","",IFERROR(INDEX(직원목록!$AH$7:$AH$306,MATCH(115,직원목록!$B$7:$B$306,0)),""))</f>
        <v/>
      </c>
      <c r="I127" s="27">
        <f>IF(OR($A127="",H127=""),"",G127-H127)</f>
        <v/>
      </c>
      <c r="J127" s="27">
        <f>IF($A127="","",IFERROR(INDEX(직원목록!$AF$7:$AF$306,MATCH(115,직원목록!$B$7:$B$306,0)),""))</f>
        <v/>
      </c>
      <c r="K127" s="27">
        <f>IF($A127="","",IFERROR(INDEX(직원목록!$AI$7:$AI$306,MATCH(115,직원목록!$B$7:$B$306,0)),""))</f>
        <v/>
      </c>
      <c r="L127" s="8">
        <f>IF($A127="","",IF(LEN(IF(AND(F127&lt;&gt;"",F127&lt;&gt;0),"계산 총지급과 대장 총지급이 다릅니다 / ","")&amp;IF(AND(I127&lt;&gt;"",I127&lt;&gt;0),"계산 총공제와 대장 총공제가 다릅니다 / ","")&amp;IF(J127&lt;0,"실수령액이 음수입니다 / ","")&amp;IF(COUNTIF(직원목록!$D$7:$D$306,B127)&gt;1,"같은 이름이 둘 이상 — 미리보기는 첫 번째만 보입니다 / ","")&amp;IF(AND(C127&lt;&gt;"",COUNTIF(직원목록!$C$7:$C$306,C127)&gt;1),"사번 중복 / ","")&amp;IF(D127=0,"총지급이 0원 — 머리글 매칭 확인 / ","")&amp;IF(AND(설정!$B$17&lt;&gt;"",설정!$C$17="",OR(ISNUMBER(FIND("연장",설정!$B$17)),ISNUMBER(FIND("야간",설정!$B$17)),ISNUMBER(FIND("휴일",설정!$B$17))),INDEX(직원목록!$F$7:$F$306,MATCH(115,직원목록!$B$7:$B$306,0))&gt;0),"연장·야간·휴일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","")&amp;IF(AND(설정!$B$24&lt;&gt;"",설정!$C$24="",OR(ISNUMBER(FIND("연장",설정!$B$24)),ISNUMBER(FIND("야간",설정!$B$24)),ISNUMBER(FIND("휴일",설정!$B$24))),INDEX(직원목록!$M$7:$M$306,MATCH(115,직원목록!$B$7:$B$306,0))&gt;0),"연장·야간·휴일 수당은 시간 수도 명세서에 적어야 하니 시간 열 지정 필요 / ",""))=0,"✔",("⚠ "&amp;IF(AND(F127&lt;&gt;"",F127&lt;&gt;0),"계산 총지급과 대장 총지급이 다릅니다 / ","")&amp;IF(AND(I127&lt;&gt;"",I127&lt;&gt;0),"계산 총공제와 대장 총공제가 다릅니다 / ","")&amp;IF(J127&lt;0,"실수령액이 음수입니다 / ","")&amp;IF(COUNTIF(직원목록!$D$7:$D$306,B127)&gt;1,"같은 이름이 둘 이상 — 미리보기는 첫 번째만 보입니다 / ","")&amp;IF(AND(C127&lt;&gt;"",COUNTIF(직원목록!$C$7:$C$306,C127)&gt;1),"사번 중복 / ","")&amp;IF(D127=0,"총지급이 0원 — 머리글 매칭 확인 / ","")&amp;IF(AND(설정!$B$17&lt;&gt;"",설정!$C$17="",OR(ISNUMBER(FIND("연장",설정!$B$17)),ISNUMBER(FIND("야간",설정!$B$17)),ISNUMBER(FIND("휴일",설정!$B$17))),INDEX(직원목록!$F$7:$F$306,MATCH(115,직원목록!$B$7:$B$306,0))&gt;0),"연장·야간·휴일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","")&amp;IF(AND(설정!$B$24&lt;&gt;"",설정!$C$24="",OR(ISNUMBER(FIND("연장",설정!$B$24)),ISNUMBER(FIND("야간",설정!$B$24)),ISNUMBER(FIND("휴일",설정!$B$24))),INDEX(직원목록!$M$7:$M$306,MATCH(115,직원목록!$B$7:$B$306,0))&gt;0),"연장·야간·휴일 수당은 시간 수도 명세서에 적어야 하니 시간 열 지정 필요 / ",""))))</f>
        <v/>
      </c>
    </row>
    <row r="128">
      <c r="A128" s="26">
        <f>IF(IFERROR(MATCH(116,직원목록!$B$7:$B$306,0),0)=0,"",116)</f>
        <v/>
      </c>
      <c r="B128" s="2">
        <f>IF($A128="","",IFERROR(INDEX(직원목록!$D$7:$D$306,MATCH(116,직원목록!$B$7:$B$306,0)),""))</f>
        <v/>
      </c>
      <c r="C128" s="2">
        <f>IF($A128="","",IFERROR(INDEX(직원목록!$C$7:$C$306,MATCH(116,직원목록!$B$7:$B$306,0)),""))</f>
        <v/>
      </c>
      <c r="D128" s="27">
        <f>IF($A128="","",IFERROR(INDEX(직원목록!$V$7:$V$306,MATCH(116,직원목록!$B$7:$B$306,0)),""))</f>
        <v/>
      </c>
      <c r="E128" s="27">
        <f>IF($A128="","",IFERROR(INDEX(직원목록!$AG$7:$AG$306,MATCH(116,직원목록!$B$7:$B$306,0)),""))</f>
        <v/>
      </c>
      <c r="F128" s="27">
        <f>IF(OR($A128="",E128=""),"",D128-E128)</f>
        <v/>
      </c>
      <c r="G128" s="27">
        <f>IF($A128="","",IFERROR(INDEX(직원목록!$AE$7:$AE$306,MATCH(116,직원목록!$B$7:$B$306,0)),""))</f>
        <v/>
      </c>
      <c r="H128" s="27">
        <f>IF($A128="","",IFERROR(INDEX(직원목록!$AH$7:$AH$306,MATCH(116,직원목록!$B$7:$B$306,0)),""))</f>
        <v/>
      </c>
      <c r="I128" s="27">
        <f>IF(OR($A128="",H128=""),"",G128-H128)</f>
        <v/>
      </c>
      <c r="J128" s="27">
        <f>IF($A128="","",IFERROR(INDEX(직원목록!$AF$7:$AF$306,MATCH(116,직원목록!$B$7:$B$306,0)),""))</f>
        <v/>
      </c>
      <c r="K128" s="27">
        <f>IF($A128="","",IFERROR(INDEX(직원목록!$AI$7:$AI$306,MATCH(116,직원목록!$B$7:$B$306,0)),""))</f>
        <v/>
      </c>
      <c r="L128" s="8">
        <f>IF($A128="","",IF(LEN(IF(AND(F128&lt;&gt;"",F128&lt;&gt;0),"계산 총지급과 대장 총지급이 다릅니다 / ","")&amp;IF(AND(I128&lt;&gt;"",I128&lt;&gt;0),"계산 총공제와 대장 총공제가 다릅니다 / ","")&amp;IF(J128&lt;0,"실수령액이 음수입니다 / ","")&amp;IF(COUNTIF(직원목록!$D$7:$D$306,B128)&gt;1,"같은 이름이 둘 이상 — 미리보기는 첫 번째만 보입니다 / ","")&amp;IF(AND(C128&lt;&gt;"",COUNTIF(직원목록!$C$7:$C$306,C128)&gt;1),"사번 중복 / ","")&amp;IF(D128=0,"총지급이 0원 — 머리글 매칭 확인 / ","")&amp;IF(AND(설정!$B$17&lt;&gt;"",설정!$C$17="",OR(ISNUMBER(FIND("연장",설정!$B$17)),ISNUMBER(FIND("야간",설정!$B$17)),ISNUMBER(FIND("휴일",설정!$B$17))),INDEX(직원목록!$F$7:$F$306,MATCH(116,직원목록!$B$7:$B$306,0))&gt;0),"연장·야간·휴일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","")&amp;IF(AND(설정!$B$24&lt;&gt;"",설정!$C$24="",OR(ISNUMBER(FIND("연장",설정!$B$24)),ISNUMBER(FIND("야간",설정!$B$24)),ISNUMBER(FIND("휴일",설정!$B$24))),INDEX(직원목록!$M$7:$M$306,MATCH(116,직원목록!$B$7:$B$306,0))&gt;0),"연장·야간·휴일 수당은 시간 수도 명세서에 적어야 하니 시간 열 지정 필요 / ",""))=0,"✔",("⚠ "&amp;IF(AND(F128&lt;&gt;"",F128&lt;&gt;0),"계산 총지급과 대장 총지급이 다릅니다 / ","")&amp;IF(AND(I128&lt;&gt;"",I128&lt;&gt;0),"계산 총공제와 대장 총공제가 다릅니다 / ","")&amp;IF(J128&lt;0,"실수령액이 음수입니다 / ","")&amp;IF(COUNTIF(직원목록!$D$7:$D$306,B128)&gt;1,"같은 이름이 둘 이상 — 미리보기는 첫 번째만 보입니다 / ","")&amp;IF(AND(C128&lt;&gt;"",COUNTIF(직원목록!$C$7:$C$306,C128)&gt;1),"사번 중복 / ","")&amp;IF(D128=0,"총지급이 0원 — 머리글 매칭 확인 / ","")&amp;IF(AND(설정!$B$17&lt;&gt;"",설정!$C$17="",OR(ISNUMBER(FIND("연장",설정!$B$17)),ISNUMBER(FIND("야간",설정!$B$17)),ISNUMBER(FIND("휴일",설정!$B$17))),INDEX(직원목록!$F$7:$F$306,MATCH(116,직원목록!$B$7:$B$306,0))&gt;0),"연장·야간·휴일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","")&amp;IF(AND(설정!$B$24&lt;&gt;"",설정!$C$24="",OR(ISNUMBER(FIND("연장",설정!$B$24)),ISNUMBER(FIND("야간",설정!$B$24)),ISNUMBER(FIND("휴일",설정!$B$24))),INDEX(직원목록!$M$7:$M$306,MATCH(116,직원목록!$B$7:$B$306,0))&gt;0),"연장·야간·휴일 수당은 시간 수도 명세서에 적어야 하니 시간 열 지정 필요 / ",""))))</f>
        <v/>
      </c>
    </row>
    <row r="129">
      <c r="A129" s="26">
        <f>IF(IFERROR(MATCH(117,직원목록!$B$7:$B$306,0),0)=0,"",117)</f>
        <v/>
      </c>
      <c r="B129" s="2">
        <f>IF($A129="","",IFERROR(INDEX(직원목록!$D$7:$D$306,MATCH(117,직원목록!$B$7:$B$306,0)),""))</f>
        <v/>
      </c>
      <c r="C129" s="2">
        <f>IF($A129="","",IFERROR(INDEX(직원목록!$C$7:$C$306,MATCH(117,직원목록!$B$7:$B$306,0)),""))</f>
        <v/>
      </c>
      <c r="D129" s="27">
        <f>IF($A129="","",IFERROR(INDEX(직원목록!$V$7:$V$306,MATCH(117,직원목록!$B$7:$B$306,0)),""))</f>
        <v/>
      </c>
      <c r="E129" s="27">
        <f>IF($A129="","",IFERROR(INDEX(직원목록!$AG$7:$AG$306,MATCH(117,직원목록!$B$7:$B$306,0)),""))</f>
        <v/>
      </c>
      <c r="F129" s="27">
        <f>IF(OR($A129="",E129=""),"",D129-E129)</f>
        <v/>
      </c>
      <c r="G129" s="27">
        <f>IF($A129="","",IFERROR(INDEX(직원목록!$AE$7:$AE$306,MATCH(117,직원목록!$B$7:$B$306,0)),""))</f>
        <v/>
      </c>
      <c r="H129" s="27">
        <f>IF($A129="","",IFERROR(INDEX(직원목록!$AH$7:$AH$306,MATCH(117,직원목록!$B$7:$B$306,0)),""))</f>
        <v/>
      </c>
      <c r="I129" s="27">
        <f>IF(OR($A129="",H129=""),"",G129-H129)</f>
        <v/>
      </c>
      <c r="J129" s="27">
        <f>IF($A129="","",IFERROR(INDEX(직원목록!$AF$7:$AF$306,MATCH(117,직원목록!$B$7:$B$306,0)),""))</f>
        <v/>
      </c>
      <c r="K129" s="27">
        <f>IF($A129="","",IFERROR(INDEX(직원목록!$AI$7:$AI$306,MATCH(117,직원목록!$B$7:$B$306,0)),""))</f>
        <v/>
      </c>
      <c r="L129" s="8">
        <f>IF($A129="","",IF(LEN(IF(AND(F129&lt;&gt;"",F129&lt;&gt;0),"계산 총지급과 대장 총지급이 다릅니다 / ","")&amp;IF(AND(I129&lt;&gt;"",I129&lt;&gt;0),"계산 총공제와 대장 총공제가 다릅니다 / ","")&amp;IF(J129&lt;0,"실수령액이 음수입니다 / ","")&amp;IF(COUNTIF(직원목록!$D$7:$D$306,B129)&gt;1,"같은 이름이 둘 이상 — 미리보기는 첫 번째만 보입니다 / ","")&amp;IF(AND(C129&lt;&gt;"",COUNTIF(직원목록!$C$7:$C$306,C129)&gt;1),"사번 중복 / ","")&amp;IF(D129=0,"총지급이 0원 — 머리글 매칭 확인 / ","")&amp;IF(AND(설정!$B$17&lt;&gt;"",설정!$C$17="",OR(ISNUMBER(FIND("연장",설정!$B$17)),ISNUMBER(FIND("야간",설정!$B$17)),ISNUMBER(FIND("휴일",설정!$B$17))),INDEX(직원목록!$F$7:$F$306,MATCH(117,직원목록!$B$7:$B$306,0))&gt;0),"연장·야간·휴일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","")&amp;IF(AND(설정!$B$24&lt;&gt;"",설정!$C$24="",OR(ISNUMBER(FIND("연장",설정!$B$24)),ISNUMBER(FIND("야간",설정!$B$24)),ISNUMBER(FIND("휴일",설정!$B$24))),INDEX(직원목록!$M$7:$M$306,MATCH(117,직원목록!$B$7:$B$306,0))&gt;0),"연장·야간·휴일 수당은 시간 수도 명세서에 적어야 하니 시간 열 지정 필요 / ",""))=0,"✔",("⚠ "&amp;IF(AND(F129&lt;&gt;"",F129&lt;&gt;0),"계산 총지급과 대장 총지급이 다릅니다 / ","")&amp;IF(AND(I129&lt;&gt;"",I129&lt;&gt;0),"계산 총공제와 대장 총공제가 다릅니다 / ","")&amp;IF(J129&lt;0,"실수령액이 음수입니다 / ","")&amp;IF(COUNTIF(직원목록!$D$7:$D$306,B129)&gt;1,"같은 이름이 둘 이상 — 미리보기는 첫 번째만 보입니다 / ","")&amp;IF(AND(C129&lt;&gt;"",COUNTIF(직원목록!$C$7:$C$306,C129)&gt;1),"사번 중복 / ","")&amp;IF(D129=0,"총지급이 0원 — 머리글 매칭 확인 / ","")&amp;IF(AND(설정!$B$17&lt;&gt;"",설정!$C$17="",OR(ISNUMBER(FIND("연장",설정!$B$17)),ISNUMBER(FIND("야간",설정!$B$17)),ISNUMBER(FIND("휴일",설정!$B$17))),INDEX(직원목록!$F$7:$F$306,MATCH(117,직원목록!$B$7:$B$306,0))&gt;0),"연장·야간·휴일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","")&amp;IF(AND(설정!$B$24&lt;&gt;"",설정!$C$24="",OR(ISNUMBER(FIND("연장",설정!$B$24)),ISNUMBER(FIND("야간",설정!$B$24)),ISNUMBER(FIND("휴일",설정!$B$24))),INDEX(직원목록!$M$7:$M$306,MATCH(117,직원목록!$B$7:$B$306,0))&gt;0),"연장·야간·휴일 수당은 시간 수도 명세서에 적어야 하니 시간 열 지정 필요 / ",""))))</f>
        <v/>
      </c>
    </row>
    <row r="130">
      <c r="A130" s="26">
        <f>IF(IFERROR(MATCH(118,직원목록!$B$7:$B$306,0),0)=0,"",118)</f>
        <v/>
      </c>
      <c r="B130" s="2">
        <f>IF($A130="","",IFERROR(INDEX(직원목록!$D$7:$D$306,MATCH(118,직원목록!$B$7:$B$306,0)),""))</f>
        <v/>
      </c>
      <c r="C130" s="2">
        <f>IF($A130="","",IFERROR(INDEX(직원목록!$C$7:$C$306,MATCH(118,직원목록!$B$7:$B$306,0)),""))</f>
        <v/>
      </c>
      <c r="D130" s="27">
        <f>IF($A130="","",IFERROR(INDEX(직원목록!$V$7:$V$306,MATCH(118,직원목록!$B$7:$B$306,0)),""))</f>
        <v/>
      </c>
      <c r="E130" s="27">
        <f>IF($A130="","",IFERROR(INDEX(직원목록!$AG$7:$AG$306,MATCH(118,직원목록!$B$7:$B$306,0)),""))</f>
        <v/>
      </c>
      <c r="F130" s="27">
        <f>IF(OR($A130="",E130=""),"",D130-E130)</f>
        <v/>
      </c>
      <c r="G130" s="27">
        <f>IF($A130="","",IFERROR(INDEX(직원목록!$AE$7:$AE$306,MATCH(118,직원목록!$B$7:$B$306,0)),""))</f>
        <v/>
      </c>
      <c r="H130" s="27">
        <f>IF($A130="","",IFERROR(INDEX(직원목록!$AH$7:$AH$306,MATCH(118,직원목록!$B$7:$B$306,0)),""))</f>
        <v/>
      </c>
      <c r="I130" s="27">
        <f>IF(OR($A130="",H130=""),"",G130-H130)</f>
        <v/>
      </c>
      <c r="J130" s="27">
        <f>IF($A130="","",IFERROR(INDEX(직원목록!$AF$7:$AF$306,MATCH(118,직원목록!$B$7:$B$306,0)),""))</f>
        <v/>
      </c>
      <c r="K130" s="27">
        <f>IF($A130="","",IFERROR(INDEX(직원목록!$AI$7:$AI$306,MATCH(118,직원목록!$B$7:$B$306,0)),""))</f>
        <v/>
      </c>
      <c r="L130" s="8">
        <f>IF($A130="","",IF(LEN(IF(AND(F130&lt;&gt;"",F130&lt;&gt;0),"계산 총지급과 대장 총지급이 다릅니다 / ","")&amp;IF(AND(I130&lt;&gt;"",I130&lt;&gt;0),"계산 총공제와 대장 총공제가 다릅니다 / ","")&amp;IF(J130&lt;0,"실수령액이 음수입니다 / ","")&amp;IF(COUNTIF(직원목록!$D$7:$D$306,B130)&gt;1,"같은 이름이 둘 이상 — 미리보기는 첫 번째만 보입니다 / ","")&amp;IF(AND(C130&lt;&gt;"",COUNTIF(직원목록!$C$7:$C$306,C130)&gt;1),"사번 중복 / ","")&amp;IF(D130=0,"총지급이 0원 — 머리글 매칭 확인 / ","")&amp;IF(AND(설정!$B$17&lt;&gt;"",설정!$C$17="",OR(ISNUMBER(FIND("연장",설정!$B$17)),ISNUMBER(FIND("야간",설정!$B$17)),ISNUMBER(FIND("휴일",설정!$B$17))),INDEX(직원목록!$F$7:$F$306,MATCH(118,직원목록!$B$7:$B$306,0))&gt;0),"연장·야간·휴일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","")&amp;IF(AND(설정!$B$24&lt;&gt;"",설정!$C$24="",OR(ISNUMBER(FIND("연장",설정!$B$24)),ISNUMBER(FIND("야간",설정!$B$24)),ISNUMBER(FIND("휴일",설정!$B$24))),INDEX(직원목록!$M$7:$M$306,MATCH(118,직원목록!$B$7:$B$306,0))&gt;0),"연장·야간·휴일 수당은 시간 수도 명세서에 적어야 하니 시간 열 지정 필요 / ",""))=0,"✔",("⚠ "&amp;IF(AND(F130&lt;&gt;"",F130&lt;&gt;0),"계산 총지급과 대장 총지급이 다릅니다 / ","")&amp;IF(AND(I130&lt;&gt;"",I130&lt;&gt;0),"계산 총공제와 대장 총공제가 다릅니다 / ","")&amp;IF(J130&lt;0,"실수령액이 음수입니다 / ","")&amp;IF(COUNTIF(직원목록!$D$7:$D$306,B130)&gt;1,"같은 이름이 둘 이상 — 미리보기는 첫 번째만 보입니다 / ","")&amp;IF(AND(C130&lt;&gt;"",COUNTIF(직원목록!$C$7:$C$306,C130)&gt;1),"사번 중복 / ","")&amp;IF(D130=0,"총지급이 0원 — 머리글 매칭 확인 / ","")&amp;IF(AND(설정!$B$17&lt;&gt;"",설정!$C$17="",OR(ISNUMBER(FIND("연장",설정!$B$17)),ISNUMBER(FIND("야간",설정!$B$17)),ISNUMBER(FIND("휴일",설정!$B$17))),INDEX(직원목록!$F$7:$F$306,MATCH(118,직원목록!$B$7:$B$306,0))&gt;0),"연장·야간·휴일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","")&amp;IF(AND(설정!$B$24&lt;&gt;"",설정!$C$24="",OR(ISNUMBER(FIND("연장",설정!$B$24)),ISNUMBER(FIND("야간",설정!$B$24)),ISNUMBER(FIND("휴일",설정!$B$24))),INDEX(직원목록!$M$7:$M$306,MATCH(118,직원목록!$B$7:$B$306,0))&gt;0),"연장·야간·휴일 수당은 시간 수도 명세서에 적어야 하니 시간 열 지정 필요 / ",""))))</f>
        <v/>
      </c>
    </row>
    <row r="131">
      <c r="A131" s="26">
        <f>IF(IFERROR(MATCH(119,직원목록!$B$7:$B$306,0),0)=0,"",119)</f>
        <v/>
      </c>
      <c r="B131" s="2">
        <f>IF($A131="","",IFERROR(INDEX(직원목록!$D$7:$D$306,MATCH(119,직원목록!$B$7:$B$306,0)),""))</f>
        <v/>
      </c>
      <c r="C131" s="2">
        <f>IF($A131="","",IFERROR(INDEX(직원목록!$C$7:$C$306,MATCH(119,직원목록!$B$7:$B$306,0)),""))</f>
        <v/>
      </c>
      <c r="D131" s="27">
        <f>IF($A131="","",IFERROR(INDEX(직원목록!$V$7:$V$306,MATCH(119,직원목록!$B$7:$B$306,0)),""))</f>
        <v/>
      </c>
      <c r="E131" s="27">
        <f>IF($A131="","",IFERROR(INDEX(직원목록!$AG$7:$AG$306,MATCH(119,직원목록!$B$7:$B$306,0)),""))</f>
        <v/>
      </c>
      <c r="F131" s="27">
        <f>IF(OR($A131="",E131=""),"",D131-E131)</f>
        <v/>
      </c>
      <c r="G131" s="27">
        <f>IF($A131="","",IFERROR(INDEX(직원목록!$AE$7:$AE$306,MATCH(119,직원목록!$B$7:$B$306,0)),""))</f>
        <v/>
      </c>
      <c r="H131" s="27">
        <f>IF($A131="","",IFERROR(INDEX(직원목록!$AH$7:$AH$306,MATCH(119,직원목록!$B$7:$B$306,0)),""))</f>
        <v/>
      </c>
      <c r="I131" s="27">
        <f>IF(OR($A131="",H131=""),"",G131-H131)</f>
        <v/>
      </c>
      <c r="J131" s="27">
        <f>IF($A131="","",IFERROR(INDEX(직원목록!$AF$7:$AF$306,MATCH(119,직원목록!$B$7:$B$306,0)),""))</f>
        <v/>
      </c>
      <c r="K131" s="27">
        <f>IF($A131="","",IFERROR(INDEX(직원목록!$AI$7:$AI$306,MATCH(119,직원목록!$B$7:$B$306,0)),""))</f>
        <v/>
      </c>
      <c r="L131" s="8">
        <f>IF($A131="","",IF(LEN(IF(AND(F131&lt;&gt;"",F131&lt;&gt;0),"계산 총지급과 대장 총지급이 다릅니다 / ","")&amp;IF(AND(I131&lt;&gt;"",I131&lt;&gt;0),"계산 총공제와 대장 총공제가 다릅니다 / ","")&amp;IF(J131&lt;0,"실수령액이 음수입니다 / ","")&amp;IF(COUNTIF(직원목록!$D$7:$D$306,B131)&gt;1,"같은 이름이 둘 이상 — 미리보기는 첫 번째만 보입니다 / ","")&amp;IF(AND(C131&lt;&gt;"",COUNTIF(직원목록!$C$7:$C$306,C131)&gt;1),"사번 중복 / ","")&amp;IF(D131=0,"총지급이 0원 — 머리글 매칭 확인 / ","")&amp;IF(AND(설정!$B$17&lt;&gt;"",설정!$C$17="",OR(ISNUMBER(FIND("연장",설정!$B$17)),ISNUMBER(FIND("야간",설정!$B$17)),ISNUMBER(FIND("휴일",설정!$B$17))),INDEX(직원목록!$F$7:$F$306,MATCH(119,직원목록!$B$7:$B$306,0))&gt;0),"연장·야간·휴일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","")&amp;IF(AND(설정!$B$24&lt;&gt;"",설정!$C$24="",OR(ISNUMBER(FIND("연장",설정!$B$24)),ISNUMBER(FIND("야간",설정!$B$24)),ISNUMBER(FIND("휴일",설정!$B$24))),INDEX(직원목록!$M$7:$M$306,MATCH(119,직원목록!$B$7:$B$306,0))&gt;0),"연장·야간·휴일 수당은 시간 수도 명세서에 적어야 하니 시간 열 지정 필요 / ",""))=0,"✔",("⚠ "&amp;IF(AND(F131&lt;&gt;"",F131&lt;&gt;0),"계산 총지급과 대장 총지급이 다릅니다 / ","")&amp;IF(AND(I131&lt;&gt;"",I131&lt;&gt;0),"계산 총공제와 대장 총공제가 다릅니다 / ","")&amp;IF(J131&lt;0,"실수령액이 음수입니다 / ","")&amp;IF(COUNTIF(직원목록!$D$7:$D$306,B131)&gt;1,"같은 이름이 둘 이상 — 미리보기는 첫 번째만 보입니다 / ","")&amp;IF(AND(C131&lt;&gt;"",COUNTIF(직원목록!$C$7:$C$306,C131)&gt;1),"사번 중복 / ","")&amp;IF(D131=0,"총지급이 0원 — 머리글 매칭 확인 / ","")&amp;IF(AND(설정!$B$17&lt;&gt;"",설정!$C$17="",OR(ISNUMBER(FIND("연장",설정!$B$17)),ISNUMBER(FIND("야간",설정!$B$17)),ISNUMBER(FIND("휴일",설정!$B$17))),INDEX(직원목록!$F$7:$F$306,MATCH(119,직원목록!$B$7:$B$306,0))&gt;0),"연장·야간·휴일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","")&amp;IF(AND(설정!$B$18&lt;&gt;"",설정!$C$18="",OR(ISNUMBER(FIND("연장",설정!$B$18)),ISNUMBER(FIND("야간",설정!$B$18)),ISNUMBER(FIND("휴일",설정!$B$18))),INDEX(직원목록!$G$7:$G$306,MATCH(119,직원목록!$B$7:$B$306,0))&gt;0),"연장·야간·휴일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","")&amp;IF(AND(설정!$B$19&lt;&gt;"",설정!$C$19="",OR(ISNUMBER(FIND("연장",설정!$B$19)),ISNUMBER(FIND("야간",설정!$B$19)),ISNUMBER(FIND("휴일",설정!$B$19))),INDEX(직원목록!$H$7:$H$306,MATCH(119,직원목록!$B$7:$B$306,0))&gt;0),"연장·야간·휴일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","")&amp;IF(AND(설정!$B$20&lt;&gt;"",설정!$C$20="",OR(ISNUMBER(FIND("연장",설정!$B$20)),ISNUMBER(FIND("야간",설정!$B$20)),ISNUMBER(FIND("휴일",설정!$B$20))),INDEX(직원목록!$I$7:$I$306,MATCH(119,직원목록!$B$7:$B$306,0))&gt;0),"연장·야간·휴일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","")&amp;IF(AND(설정!$B$21&lt;&gt;"",설정!$C$21="",OR(ISNUMBER(FIND("연장",설정!$B$21)),ISNUMBER(FIND("야간",설정!$B$21)),ISNUMBER(FIND("휴일",설정!$B$21))),INDEX(직원목록!$J$7:$J$306,MATCH(119,직원목록!$B$7:$B$306,0))&gt;0),"연장·야간·휴일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","")&amp;IF(AND(설정!$B$22&lt;&gt;"",설정!$C$22="",OR(ISNUMBER(FIND("연장",설정!$B$22)),ISNUMBER(FIND("야간",설정!$B$22)),ISNUMBER(FIND("휴일",설정!$B$22))),INDEX(직원목록!$K$7:$K$306,MATCH(119,직원목록!$B$7:$B$306,0))&gt;0),"연장·야간·휴일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","")&amp;IF(AND(설정!$B$23&lt;&gt;"",설정!$C$23="",OR(ISNUMBER(FIND("연장",설정!$B$23)),ISNUMBER(FIND("야간",설정!$B$23)),ISNUMBER(FIND("휴일",설정!$B$23))),INDEX(직원목록!$L$7:$L$306,MATCH(119,직원목록!$B$7:$B$306,0))&gt;0),"연장·야간·휴일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","")&amp;IF(AND(설정!$B$24&lt;&gt;"",설정!$C$24="",OR(ISNUMBER(FIND("연장",설정!$B$24)),ISNUMBER(FIND("야간",설정!$B$24)),ISNUMBER(FIND("휴일",설정!$B$24))),INDEX(직원목록!$M$7:$M$306,MATCH(119,직원목록!$B$7:$B$306,0))&gt;0),"연장·야간·휴일 수당은 시간 수도 명세서에 적어야 하니 시간 열 지정 필요 / ",""))))</f>
        <v/>
      </c>
    </row>
    <row r="132">
      <c r="A132" s="26">
        <f>IF(IFERROR(MATCH(120,직원목록!$B$7:$B$306,0),0)=0,"",120)</f>
        <v/>
      </c>
      <c r="B132" s="2">
        <f>IF($A132="","",IFERROR(INDEX(직원목록!$D$7:$D$306,MATCH(120,직원목록!$B$7:$B$306,0)),""))</f>
        <v/>
      </c>
      <c r="C132" s="2">
        <f>IF($A132="","",IFERROR(INDEX(직원목록!$C$7:$C$306,MATCH(120,직원목록!$B$7:$B$306,0)),""))</f>
        <v/>
      </c>
      <c r="D132" s="27">
        <f>IF($A132="","",IFERROR(INDEX(직원목록!$V$7:$V$306,MATCH(120,직원목록!$B$7:$B$306,0)),""))</f>
        <v/>
      </c>
      <c r="E132" s="27">
        <f>IF($A132="","",IFERROR(INDEX(직원목록!$AG$7:$AG$306,MATCH(120,직원목록!$B$7:$B$306,0)),""))</f>
        <v/>
      </c>
      <c r="F132" s="27">
        <f>IF(OR($A132="",E132=""),"",D132-E132)</f>
        <v/>
      </c>
      <c r="G132" s="27">
        <f>IF($A132="","",IFERROR(INDEX(직원목록!$AE$7:$AE$306,MATCH(120,직원목록!$B$7:$B$306,0)),""))</f>
        <v/>
      </c>
      <c r="H132" s="27">
        <f>IF($A132="","",IFERROR(INDEX(직원목록!$AH$7:$AH$306,MATCH(120,직원목록!$B$7:$B$306,0)),""))</f>
        <v/>
      </c>
      <c r="I132" s="27">
        <f>IF(OR($A132="",H132=""),"",G132-H132)</f>
        <v/>
      </c>
      <c r="J132" s="27">
        <f>IF($A132="","",IFERROR(INDEX(직원목록!$AF$7:$AF$306,MATCH(120,직원목록!$B$7:$B$306,0)),""))</f>
        <v/>
      </c>
      <c r="K132" s="27">
        <f>IF($A132="","",IFERROR(INDEX(직원목록!$AI$7:$AI$306,MATCH(120,직원목록!$B$7:$B$306,0)),""))</f>
        <v/>
      </c>
      <c r="L132" s="8">
        <f>IF($A132="","",IF(LEN(IF(AND(F132&lt;&gt;"",F132&lt;&gt;0),"계산 총지급과 대장 총지급이 다릅니다 / ","")&amp;IF(AND(I132&lt;&gt;"",I132&lt;&gt;0),"계산 총공제와 대장 총공제가 다릅니다 / ","")&amp;IF(J132&lt;0,"실수령액이 음수입니다 / ","")&amp;IF(COUNTIF(직원목록!$D$7:$D$306,B132)&gt;1,"같은 이름이 둘 이상 — 미리보기는 첫 번째만 보입니다 / ","")&amp;IF(AND(C132&lt;&gt;"",COUNTIF(직원목록!$C$7:$C$306,C132)&gt;1),"사번 중복 / ","")&amp;IF(D132=0,"총지급이 0원 — 머리글 매칭 확인 / ","")&amp;IF(AND(설정!$B$17&lt;&gt;"",설정!$C$17="",OR(ISNUMBER(FIND("연장",설정!$B$17)),ISNUMBER(FIND("야간",설정!$B$17)),ISNUMBER(FIND("휴일",설정!$B$17))),INDEX(직원목록!$F$7:$F$306,MATCH(120,직원목록!$B$7:$B$306,0))&gt;0),"연장·야간·휴일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","")&amp;IF(AND(설정!$B$24&lt;&gt;"",설정!$C$24="",OR(ISNUMBER(FIND("연장",설정!$B$24)),ISNUMBER(FIND("야간",설정!$B$24)),ISNUMBER(FIND("휴일",설정!$B$24))),INDEX(직원목록!$M$7:$M$306,MATCH(120,직원목록!$B$7:$B$306,0))&gt;0),"연장·야간·휴일 수당은 시간 수도 명세서에 적어야 하니 시간 열 지정 필요 / ",""))=0,"✔",("⚠ "&amp;IF(AND(F132&lt;&gt;"",F132&lt;&gt;0),"계산 총지급과 대장 총지급이 다릅니다 / ","")&amp;IF(AND(I132&lt;&gt;"",I132&lt;&gt;0),"계산 총공제와 대장 총공제가 다릅니다 / ","")&amp;IF(J132&lt;0,"실수령액이 음수입니다 / ","")&amp;IF(COUNTIF(직원목록!$D$7:$D$306,B132)&gt;1,"같은 이름이 둘 이상 — 미리보기는 첫 번째만 보입니다 / ","")&amp;IF(AND(C132&lt;&gt;"",COUNTIF(직원목록!$C$7:$C$306,C132)&gt;1),"사번 중복 / ","")&amp;IF(D132=0,"총지급이 0원 — 머리글 매칭 확인 / ","")&amp;IF(AND(설정!$B$17&lt;&gt;"",설정!$C$17="",OR(ISNUMBER(FIND("연장",설정!$B$17)),ISNUMBER(FIND("야간",설정!$B$17)),ISNUMBER(FIND("휴일",설정!$B$17))),INDEX(직원목록!$F$7:$F$306,MATCH(120,직원목록!$B$7:$B$306,0))&gt;0),"연장·야간·휴일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","")&amp;IF(AND(설정!$B$24&lt;&gt;"",설정!$C$24="",OR(ISNUMBER(FIND("연장",설정!$B$24)),ISNUMBER(FIND("야간",설정!$B$24)),ISNUMBER(FIND("휴일",설정!$B$24))),INDEX(직원목록!$M$7:$M$306,MATCH(120,직원목록!$B$7:$B$306,0))&gt;0),"연장·야간·휴일 수당은 시간 수도 명세서에 적어야 하니 시간 열 지정 필요 / ",""))))</f>
        <v/>
      </c>
    </row>
    <row r="133">
      <c r="A133" s="26">
        <f>IF(IFERROR(MATCH(121,직원목록!$B$7:$B$306,0),0)=0,"",121)</f>
        <v/>
      </c>
      <c r="B133" s="2">
        <f>IF($A133="","",IFERROR(INDEX(직원목록!$D$7:$D$306,MATCH(121,직원목록!$B$7:$B$306,0)),""))</f>
        <v/>
      </c>
      <c r="C133" s="2">
        <f>IF($A133="","",IFERROR(INDEX(직원목록!$C$7:$C$306,MATCH(121,직원목록!$B$7:$B$306,0)),""))</f>
        <v/>
      </c>
      <c r="D133" s="27">
        <f>IF($A133="","",IFERROR(INDEX(직원목록!$V$7:$V$306,MATCH(121,직원목록!$B$7:$B$306,0)),""))</f>
        <v/>
      </c>
      <c r="E133" s="27">
        <f>IF($A133="","",IFERROR(INDEX(직원목록!$AG$7:$AG$306,MATCH(121,직원목록!$B$7:$B$306,0)),""))</f>
        <v/>
      </c>
      <c r="F133" s="27">
        <f>IF(OR($A133="",E133=""),"",D133-E133)</f>
        <v/>
      </c>
      <c r="G133" s="27">
        <f>IF($A133="","",IFERROR(INDEX(직원목록!$AE$7:$AE$306,MATCH(121,직원목록!$B$7:$B$306,0)),""))</f>
        <v/>
      </c>
      <c r="H133" s="27">
        <f>IF($A133="","",IFERROR(INDEX(직원목록!$AH$7:$AH$306,MATCH(121,직원목록!$B$7:$B$306,0)),""))</f>
        <v/>
      </c>
      <c r="I133" s="27">
        <f>IF(OR($A133="",H133=""),"",G133-H133)</f>
        <v/>
      </c>
      <c r="J133" s="27">
        <f>IF($A133="","",IFERROR(INDEX(직원목록!$AF$7:$AF$306,MATCH(121,직원목록!$B$7:$B$306,0)),""))</f>
        <v/>
      </c>
      <c r="K133" s="27">
        <f>IF($A133="","",IFERROR(INDEX(직원목록!$AI$7:$AI$306,MATCH(121,직원목록!$B$7:$B$306,0)),""))</f>
        <v/>
      </c>
      <c r="L133" s="8">
        <f>IF($A133="","",IF(LEN(IF(AND(F133&lt;&gt;"",F133&lt;&gt;0),"계산 총지급과 대장 총지급이 다릅니다 / ","")&amp;IF(AND(I133&lt;&gt;"",I133&lt;&gt;0),"계산 총공제와 대장 총공제가 다릅니다 / ","")&amp;IF(J133&lt;0,"실수령액이 음수입니다 / ","")&amp;IF(COUNTIF(직원목록!$D$7:$D$306,B133)&gt;1,"같은 이름이 둘 이상 — 미리보기는 첫 번째만 보입니다 / ","")&amp;IF(AND(C133&lt;&gt;"",COUNTIF(직원목록!$C$7:$C$306,C133)&gt;1),"사번 중복 / ","")&amp;IF(D133=0,"총지급이 0원 — 머리글 매칭 확인 / ","")&amp;IF(AND(설정!$B$17&lt;&gt;"",설정!$C$17="",OR(ISNUMBER(FIND("연장",설정!$B$17)),ISNUMBER(FIND("야간",설정!$B$17)),ISNUMBER(FIND("휴일",설정!$B$17))),INDEX(직원목록!$F$7:$F$306,MATCH(121,직원목록!$B$7:$B$306,0))&gt;0),"연장·야간·휴일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","")&amp;IF(AND(설정!$B$24&lt;&gt;"",설정!$C$24="",OR(ISNUMBER(FIND("연장",설정!$B$24)),ISNUMBER(FIND("야간",설정!$B$24)),ISNUMBER(FIND("휴일",설정!$B$24))),INDEX(직원목록!$M$7:$M$306,MATCH(121,직원목록!$B$7:$B$306,0))&gt;0),"연장·야간·휴일 수당은 시간 수도 명세서에 적어야 하니 시간 열 지정 필요 / ",""))=0,"✔",("⚠ "&amp;IF(AND(F133&lt;&gt;"",F133&lt;&gt;0),"계산 총지급과 대장 총지급이 다릅니다 / ","")&amp;IF(AND(I133&lt;&gt;"",I133&lt;&gt;0),"계산 총공제와 대장 총공제가 다릅니다 / ","")&amp;IF(J133&lt;0,"실수령액이 음수입니다 / ","")&amp;IF(COUNTIF(직원목록!$D$7:$D$306,B133)&gt;1,"같은 이름이 둘 이상 — 미리보기는 첫 번째만 보입니다 / ","")&amp;IF(AND(C133&lt;&gt;"",COUNTIF(직원목록!$C$7:$C$306,C133)&gt;1),"사번 중복 / ","")&amp;IF(D133=0,"총지급이 0원 — 머리글 매칭 확인 / ","")&amp;IF(AND(설정!$B$17&lt;&gt;"",설정!$C$17="",OR(ISNUMBER(FIND("연장",설정!$B$17)),ISNUMBER(FIND("야간",설정!$B$17)),ISNUMBER(FIND("휴일",설정!$B$17))),INDEX(직원목록!$F$7:$F$306,MATCH(121,직원목록!$B$7:$B$306,0))&gt;0),"연장·야간·휴일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","")&amp;IF(AND(설정!$B$24&lt;&gt;"",설정!$C$24="",OR(ISNUMBER(FIND("연장",설정!$B$24)),ISNUMBER(FIND("야간",설정!$B$24)),ISNUMBER(FIND("휴일",설정!$B$24))),INDEX(직원목록!$M$7:$M$306,MATCH(121,직원목록!$B$7:$B$306,0))&gt;0),"연장·야간·휴일 수당은 시간 수도 명세서에 적어야 하니 시간 열 지정 필요 / ",""))))</f>
        <v/>
      </c>
    </row>
    <row r="134">
      <c r="A134" s="26">
        <f>IF(IFERROR(MATCH(122,직원목록!$B$7:$B$306,0),0)=0,"",122)</f>
        <v/>
      </c>
      <c r="B134" s="2">
        <f>IF($A134="","",IFERROR(INDEX(직원목록!$D$7:$D$306,MATCH(122,직원목록!$B$7:$B$306,0)),""))</f>
        <v/>
      </c>
      <c r="C134" s="2">
        <f>IF($A134="","",IFERROR(INDEX(직원목록!$C$7:$C$306,MATCH(122,직원목록!$B$7:$B$306,0)),""))</f>
        <v/>
      </c>
      <c r="D134" s="27">
        <f>IF($A134="","",IFERROR(INDEX(직원목록!$V$7:$V$306,MATCH(122,직원목록!$B$7:$B$306,0)),""))</f>
        <v/>
      </c>
      <c r="E134" s="27">
        <f>IF($A134="","",IFERROR(INDEX(직원목록!$AG$7:$AG$306,MATCH(122,직원목록!$B$7:$B$306,0)),""))</f>
        <v/>
      </c>
      <c r="F134" s="27">
        <f>IF(OR($A134="",E134=""),"",D134-E134)</f>
        <v/>
      </c>
      <c r="G134" s="27">
        <f>IF($A134="","",IFERROR(INDEX(직원목록!$AE$7:$AE$306,MATCH(122,직원목록!$B$7:$B$306,0)),""))</f>
        <v/>
      </c>
      <c r="H134" s="27">
        <f>IF($A134="","",IFERROR(INDEX(직원목록!$AH$7:$AH$306,MATCH(122,직원목록!$B$7:$B$306,0)),""))</f>
        <v/>
      </c>
      <c r="I134" s="27">
        <f>IF(OR($A134="",H134=""),"",G134-H134)</f>
        <v/>
      </c>
      <c r="J134" s="27">
        <f>IF($A134="","",IFERROR(INDEX(직원목록!$AF$7:$AF$306,MATCH(122,직원목록!$B$7:$B$306,0)),""))</f>
        <v/>
      </c>
      <c r="K134" s="27">
        <f>IF($A134="","",IFERROR(INDEX(직원목록!$AI$7:$AI$306,MATCH(122,직원목록!$B$7:$B$306,0)),""))</f>
        <v/>
      </c>
      <c r="L134" s="8">
        <f>IF($A134="","",IF(LEN(IF(AND(F134&lt;&gt;"",F134&lt;&gt;0),"계산 총지급과 대장 총지급이 다릅니다 / ","")&amp;IF(AND(I134&lt;&gt;"",I134&lt;&gt;0),"계산 총공제와 대장 총공제가 다릅니다 / ","")&amp;IF(J134&lt;0,"실수령액이 음수입니다 / ","")&amp;IF(COUNTIF(직원목록!$D$7:$D$306,B134)&gt;1,"같은 이름이 둘 이상 — 미리보기는 첫 번째만 보입니다 / ","")&amp;IF(AND(C134&lt;&gt;"",COUNTIF(직원목록!$C$7:$C$306,C134)&gt;1),"사번 중복 / ","")&amp;IF(D134=0,"총지급이 0원 — 머리글 매칭 확인 / ","")&amp;IF(AND(설정!$B$17&lt;&gt;"",설정!$C$17="",OR(ISNUMBER(FIND("연장",설정!$B$17)),ISNUMBER(FIND("야간",설정!$B$17)),ISNUMBER(FIND("휴일",설정!$B$17))),INDEX(직원목록!$F$7:$F$306,MATCH(122,직원목록!$B$7:$B$306,0))&gt;0),"연장·야간·휴일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","")&amp;IF(AND(설정!$B$24&lt;&gt;"",설정!$C$24="",OR(ISNUMBER(FIND("연장",설정!$B$24)),ISNUMBER(FIND("야간",설정!$B$24)),ISNUMBER(FIND("휴일",설정!$B$24))),INDEX(직원목록!$M$7:$M$306,MATCH(122,직원목록!$B$7:$B$306,0))&gt;0),"연장·야간·휴일 수당은 시간 수도 명세서에 적어야 하니 시간 열 지정 필요 / ",""))=0,"✔",("⚠ "&amp;IF(AND(F134&lt;&gt;"",F134&lt;&gt;0),"계산 총지급과 대장 총지급이 다릅니다 / ","")&amp;IF(AND(I134&lt;&gt;"",I134&lt;&gt;0),"계산 총공제와 대장 총공제가 다릅니다 / ","")&amp;IF(J134&lt;0,"실수령액이 음수입니다 / ","")&amp;IF(COUNTIF(직원목록!$D$7:$D$306,B134)&gt;1,"같은 이름이 둘 이상 — 미리보기는 첫 번째만 보입니다 / ","")&amp;IF(AND(C134&lt;&gt;"",COUNTIF(직원목록!$C$7:$C$306,C134)&gt;1),"사번 중복 / ","")&amp;IF(D134=0,"총지급이 0원 — 머리글 매칭 확인 / ","")&amp;IF(AND(설정!$B$17&lt;&gt;"",설정!$C$17="",OR(ISNUMBER(FIND("연장",설정!$B$17)),ISNUMBER(FIND("야간",설정!$B$17)),ISNUMBER(FIND("휴일",설정!$B$17))),INDEX(직원목록!$F$7:$F$306,MATCH(122,직원목록!$B$7:$B$306,0))&gt;0),"연장·야간·휴일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","")&amp;IF(AND(설정!$B$24&lt;&gt;"",설정!$C$24="",OR(ISNUMBER(FIND("연장",설정!$B$24)),ISNUMBER(FIND("야간",설정!$B$24)),ISNUMBER(FIND("휴일",설정!$B$24))),INDEX(직원목록!$M$7:$M$306,MATCH(122,직원목록!$B$7:$B$306,0))&gt;0),"연장·야간·휴일 수당은 시간 수도 명세서에 적어야 하니 시간 열 지정 필요 / ",""))))</f>
        <v/>
      </c>
    </row>
    <row r="135">
      <c r="A135" s="26">
        <f>IF(IFERROR(MATCH(123,직원목록!$B$7:$B$306,0),0)=0,"",123)</f>
        <v/>
      </c>
      <c r="B135" s="2">
        <f>IF($A135="","",IFERROR(INDEX(직원목록!$D$7:$D$306,MATCH(123,직원목록!$B$7:$B$306,0)),""))</f>
        <v/>
      </c>
      <c r="C135" s="2">
        <f>IF($A135="","",IFERROR(INDEX(직원목록!$C$7:$C$306,MATCH(123,직원목록!$B$7:$B$306,0)),""))</f>
        <v/>
      </c>
      <c r="D135" s="27">
        <f>IF($A135="","",IFERROR(INDEX(직원목록!$V$7:$V$306,MATCH(123,직원목록!$B$7:$B$306,0)),""))</f>
        <v/>
      </c>
      <c r="E135" s="27">
        <f>IF($A135="","",IFERROR(INDEX(직원목록!$AG$7:$AG$306,MATCH(123,직원목록!$B$7:$B$306,0)),""))</f>
        <v/>
      </c>
      <c r="F135" s="27">
        <f>IF(OR($A135="",E135=""),"",D135-E135)</f>
        <v/>
      </c>
      <c r="G135" s="27">
        <f>IF($A135="","",IFERROR(INDEX(직원목록!$AE$7:$AE$306,MATCH(123,직원목록!$B$7:$B$306,0)),""))</f>
        <v/>
      </c>
      <c r="H135" s="27">
        <f>IF($A135="","",IFERROR(INDEX(직원목록!$AH$7:$AH$306,MATCH(123,직원목록!$B$7:$B$306,0)),""))</f>
        <v/>
      </c>
      <c r="I135" s="27">
        <f>IF(OR($A135="",H135=""),"",G135-H135)</f>
        <v/>
      </c>
      <c r="J135" s="27">
        <f>IF($A135="","",IFERROR(INDEX(직원목록!$AF$7:$AF$306,MATCH(123,직원목록!$B$7:$B$306,0)),""))</f>
        <v/>
      </c>
      <c r="K135" s="27">
        <f>IF($A135="","",IFERROR(INDEX(직원목록!$AI$7:$AI$306,MATCH(123,직원목록!$B$7:$B$306,0)),""))</f>
        <v/>
      </c>
      <c r="L135" s="8">
        <f>IF($A135="","",IF(LEN(IF(AND(F135&lt;&gt;"",F135&lt;&gt;0),"계산 총지급과 대장 총지급이 다릅니다 / ","")&amp;IF(AND(I135&lt;&gt;"",I135&lt;&gt;0),"계산 총공제와 대장 총공제가 다릅니다 / ","")&amp;IF(J135&lt;0,"실수령액이 음수입니다 / ","")&amp;IF(COUNTIF(직원목록!$D$7:$D$306,B135)&gt;1,"같은 이름이 둘 이상 — 미리보기는 첫 번째만 보입니다 / ","")&amp;IF(AND(C135&lt;&gt;"",COUNTIF(직원목록!$C$7:$C$306,C135)&gt;1),"사번 중복 / ","")&amp;IF(D135=0,"총지급이 0원 — 머리글 매칭 확인 / ","")&amp;IF(AND(설정!$B$17&lt;&gt;"",설정!$C$17="",OR(ISNUMBER(FIND("연장",설정!$B$17)),ISNUMBER(FIND("야간",설정!$B$17)),ISNUMBER(FIND("휴일",설정!$B$17))),INDEX(직원목록!$F$7:$F$306,MATCH(123,직원목록!$B$7:$B$306,0))&gt;0),"연장·야간·휴일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","")&amp;IF(AND(설정!$B$24&lt;&gt;"",설정!$C$24="",OR(ISNUMBER(FIND("연장",설정!$B$24)),ISNUMBER(FIND("야간",설정!$B$24)),ISNUMBER(FIND("휴일",설정!$B$24))),INDEX(직원목록!$M$7:$M$306,MATCH(123,직원목록!$B$7:$B$306,0))&gt;0),"연장·야간·휴일 수당은 시간 수도 명세서에 적어야 하니 시간 열 지정 필요 / ",""))=0,"✔",("⚠ "&amp;IF(AND(F135&lt;&gt;"",F135&lt;&gt;0),"계산 총지급과 대장 총지급이 다릅니다 / ","")&amp;IF(AND(I135&lt;&gt;"",I135&lt;&gt;0),"계산 총공제와 대장 총공제가 다릅니다 / ","")&amp;IF(J135&lt;0,"실수령액이 음수입니다 / ","")&amp;IF(COUNTIF(직원목록!$D$7:$D$306,B135)&gt;1,"같은 이름이 둘 이상 — 미리보기는 첫 번째만 보입니다 / ","")&amp;IF(AND(C135&lt;&gt;"",COUNTIF(직원목록!$C$7:$C$306,C135)&gt;1),"사번 중복 / ","")&amp;IF(D135=0,"총지급이 0원 — 머리글 매칭 확인 / ","")&amp;IF(AND(설정!$B$17&lt;&gt;"",설정!$C$17="",OR(ISNUMBER(FIND("연장",설정!$B$17)),ISNUMBER(FIND("야간",설정!$B$17)),ISNUMBER(FIND("휴일",설정!$B$17))),INDEX(직원목록!$F$7:$F$306,MATCH(123,직원목록!$B$7:$B$306,0))&gt;0),"연장·야간·휴일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","")&amp;IF(AND(설정!$B$24&lt;&gt;"",설정!$C$24="",OR(ISNUMBER(FIND("연장",설정!$B$24)),ISNUMBER(FIND("야간",설정!$B$24)),ISNUMBER(FIND("휴일",설정!$B$24))),INDEX(직원목록!$M$7:$M$306,MATCH(123,직원목록!$B$7:$B$306,0))&gt;0),"연장·야간·휴일 수당은 시간 수도 명세서에 적어야 하니 시간 열 지정 필요 / ",""))))</f>
        <v/>
      </c>
    </row>
    <row r="136">
      <c r="A136" s="26">
        <f>IF(IFERROR(MATCH(124,직원목록!$B$7:$B$306,0),0)=0,"",124)</f>
        <v/>
      </c>
      <c r="B136" s="2">
        <f>IF($A136="","",IFERROR(INDEX(직원목록!$D$7:$D$306,MATCH(124,직원목록!$B$7:$B$306,0)),""))</f>
        <v/>
      </c>
      <c r="C136" s="2">
        <f>IF($A136="","",IFERROR(INDEX(직원목록!$C$7:$C$306,MATCH(124,직원목록!$B$7:$B$306,0)),""))</f>
        <v/>
      </c>
      <c r="D136" s="27">
        <f>IF($A136="","",IFERROR(INDEX(직원목록!$V$7:$V$306,MATCH(124,직원목록!$B$7:$B$306,0)),""))</f>
        <v/>
      </c>
      <c r="E136" s="27">
        <f>IF($A136="","",IFERROR(INDEX(직원목록!$AG$7:$AG$306,MATCH(124,직원목록!$B$7:$B$306,0)),""))</f>
        <v/>
      </c>
      <c r="F136" s="27">
        <f>IF(OR($A136="",E136=""),"",D136-E136)</f>
        <v/>
      </c>
      <c r="G136" s="27">
        <f>IF($A136="","",IFERROR(INDEX(직원목록!$AE$7:$AE$306,MATCH(124,직원목록!$B$7:$B$306,0)),""))</f>
        <v/>
      </c>
      <c r="H136" s="27">
        <f>IF($A136="","",IFERROR(INDEX(직원목록!$AH$7:$AH$306,MATCH(124,직원목록!$B$7:$B$306,0)),""))</f>
        <v/>
      </c>
      <c r="I136" s="27">
        <f>IF(OR($A136="",H136=""),"",G136-H136)</f>
        <v/>
      </c>
      <c r="J136" s="27">
        <f>IF($A136="","",IFERROR(INDEX(직원목록!$AF$7:$AF$306,MATCH(124,직원목록!$B$7:$B$306,0)),""))</f>
        <v/>
      </c>
      <c r="K136" s="27">
        <f>IF($A136="","",IFERROR(INDEX(직원목록!$AI$7:$AI$306,MATCH(124,직원목록!$B$7:$B$306,0)),""))</f>
        <v/>
      </c>
      <c r="L136" s="8">
        <f>IF($A136="","",IF(LEN(IF(AND(F136&lt;&gt;"",F136&lt;&gt;0),"계산 총지급과 대장 총지급이 다릅니다 / ","")&amp;IF(AND(I136&lt;&gt;"",I136&lt;&gt;0),"계산 총공제와 대장 총공제가 다릅니다 / ","")&amp;IF(J136&lt;0,"실수령액이 음수입니다 / ","")&amp;IF(COUNTIF(직원목록!$D$7:$D$306,B136)&gt;1,"같은 이름이 둘 이상 — 미리보기는 첫 번째만 보입니다 / ","")&amp;IF(AND(C136&lt;&gt;"",COUNTIF(직원목록!$C$7:$C$306,C136)&gt;1),"사번 중복 / ","")&amp;IF(D136=0,"총지급이 0원 — 머리글 매칭 확인 / ","")&amp;IF(AND(설정!$B$17&lt;&gt;"",설정!$C$17="",OR(ISNUMBER(FIND("연장",설정!$B$17)),ISNUMBER(FIND("야간",설정!$B$17)),ISNUMBER(FIND("휴일",설정!$B$17))),INDEX(직원목록!$F$7:$F$306,MATCH(124,직원목록!$B$7:$B$306,0))&gt;0),"연장·야간·휴일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","")&amp;IF(AND(설정!$B$24&lt;&gt;"",설정!$C$24="",OR(ISNUMBER(FIND("연장",설정!$B$24)),ISNUMBER(FIND("야간",설정!$B$24)),ISNUMBER(FIND("휴일",설정!$B$24))),INDEX(직원목록!$M$7:$M$306,MATCH(124,직원목록!$B$7:$B$306,0))&gt;0),"연장·야간·휴일 수당은 시간 수도 명세서에 적어야 하니 시간 열 지정 필요 / ",""))=0,"✔",("⚠ "&amp;IF(AND(F136&lt;&gt;"",F136&lt;&gt;0),"계산 총지급과 대장 총지급이 다릅니다 / ","")&amp;IF(AND(I136&lt;&gt;"",I136&lt;&gt;0),"계산 총공제와 대장 총공제가 다릅니다 / ","")&amp;IF(J136&lt;0,"실수령액이 음수입니다 / ","")&amp;IF(COUNTIF(직원목록!$D$7:$D$306,B136)&gt;1,"같은 이름이 둘 이상 — 미리보기는 첫 번째만 보입니다 / ","")&amp;IF(AND(C136&lt;&gt;"",COUNTIF(직원목록!$C$7:$C$306,C136)&gt;1),"사번 중복 / ","")&amp;IF(D136=0,"총지급이 0원 — 머리글 매칭 확인 / ","")&amp;IF(AND(설정!$B$17&lt;&gt;"",설정!$C$17="",OR(ISNUMBER(FIND("연장",설정!$B$17)),ISNUMBER(FIND("야간",설정!$B$17)),ISNUMBER(FIND("휴일",설정!$B$17))),INDEX(직원목록!$F$7:$F$306,MATCH(124,직원목록!$B$7:$B$306,0))&gt;0),"연장·야간·휴일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","")&amp;IF(AND(설정!$B$24&lt;&gt;"",설정!$C$24="",OR(ISNUMBER(FIND("연장",설정!$B$24)),ISNUMBER(FIND("야간",설정!$B$24)),ISNUMBER(FIND("휴일",설정!$B$24))),INDEX(직원목록!$M$7:$M$306,MATCH(124,직원목록!$B$7:$B$306,0))&gt;0),"연장·야간·휴일 수당은 시간 수도 명세서에 적어야 하니 시간 열 지정 필요 / ",""))))</f>
        <v/>
      </c>
    </row>
    <row r="137">
      <c r="A137" s="26">
        <f>IF(IFERROR(MATCH(125,직원목록!$B$7:$B$306,0),0)=0,"",125)</f>
        <v/>
      </c>
      <c r="B137" s="2">
        <f>IF($A137="","",IFERROR(INDEX(직원목록!$D$7:$D$306,MATCH(125,직원목록!$B$7:$B$306,0)),""))</f>
        <v/>
      </c>
      <c r="C137" s="2">
        <f>IF($A137="","",IFERROR(INDEX(직원목록!$C$7:$C$306,MATCH(125,직원목록!$B$7:$B$306,0)),""))</f>
        <v/>
      </c>
      <c r="D137" s="27">
        <f>IF($A137="","",IFERROR(INDEX(직원목록!$V$7:$V$306,MATCH(125,직원목록!$B$7:$B$306,0)),""))</f>
        <v/>
      </c>
      <c r="E137" s="27">
        <f>IF($A137="","",IFERROR(INDEX(직원목록!$AG$7:$AG$306,MATCH(125,직원목록!$B$7:$B$306,0)),""))</f>
        <v/>
      </c>
      <c r="F137" s="27">
        <f>IF(OR($A137="",E137=""),"",D137-E137)</f>
        <v/>
      </c>
      <c r="G137" s="27">
        <f>IF($A137="","",IFERROR(INDEX(직원목록!$AE$7:$AE$306,MATCH(125,직원목록!$B$7:$B$306,0)),""))</f>
        <v/>
      </c>
      <c r="H137" s="27">
        <f>IF($A137="","",IFERROR(INDEX(직원목록!$AH$7:$AH$306,MATCH(125,직원목록!$B$7:$B$306,0)),""))</f>
        <v/>
      </c>
      <c r="I137" s="27">
        <f>IF(OR($A137="",H137=""),"",G137-H137)</f>
        <v/>
      </c>
      <c r="J137" s="27">
        <f>IF($A137="","",IFERROR(INDEX(직원목록!$AF$7:$AF$306,MATCH(125,직원목록!$B$7:$B$306,0)),""))</f>
        <v/>
      </c>
      <c r="K137" s="27">
        <f>IF($A137="","",IFERROR(INDEX(직원목록!$AI$7:$AI$306,MATCH(125,직원목록!$B$7:$B$306,0)),""))</f>
        <v/>
      </c>
      <c r="L137" s="8">
        <f>IF($A137="","",IF(LEN(IF(AND(F137&lt;&gt;"",F137&lt;&gt;0),"계산 총지급과 대장 총지급이 다릅니다 / ","")&amp;IF(AND(I137&lt;&gt;"",I137&lt;&gt;0),"계산 총공제와 대장 총공제가 다릅니다 / ","")&amp;IF(J137&lt;0,"실수령액이 음수입니다 / ","")&amp;IF(COUNTIF(직원목록!$D$7:$D$306,B137)&gt;1,"같은 이름이 둘 이상 — 미리보기는 첫 번째만 보입니다 / ","")&amp;IF(AND(C137&lt;&gt;"",COUNTIF(직원목록!$C$7:$C$306,C137)&gt;1),"사번 중복 / ","")&amp;IF(D137=0,"총지급이 0원 — 머리글 매칭 확인 / ","")&amp;IF(AND(설정!$B$17&lt;&gt;"",설정!$C$17="",OR(ISNUMBER(FIND("연장",설정!$B$17)),ISNUMBER(FIND("야간",설정!$B$17)),ISNUMBER(FIND("휴일",설정!$B$17))),INDEX(직원목록!$F$7:$F$306,MATCH(125,직원목록!$B$7:$B$306,0))&gt;0),"연장·야간·휴일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","")&amp;IF(AND(설정!$B$24&lt;&gt;"",설정!$C$24="",OR(ISNUMBER(FIND("연장",설정!$B$24)),ISNUMBER(FIND("야간",설정!$B$24)),ISNUMBER(FIND("휴일",설정!$B$24))),INDEX(직원목록!$M$7:$M$306,MATCH(125,직원목록!$B$7:$B$306,0))&gt;0),"연장·야간·휴일 수당은 시간 수도 명세서에 적어야 하니 시간 열 지정 필요 / ",""))=0,"✔",("⚠ "&amp;IF(AND(F137&lt;&gt;"",F137&lt;&gt;0),"계산 총지급과 대장 총지급이 다릅니다 / ","")&amp;IF(AND(I137&lt;&gt;"",I137&lt;&gt;0),"계산 총공제와 대장 총공제가 다릅니다 / ","")&amp;IF(J137&lt;0,"실수령액이 음수입니다 / ","")&amp;IF(COUNTIF(직원목록!$D$7:$D$306,B137)&gt;1,"같은 이름이 둘 이상 — 미리보기는 첫 번째만 보입니다 / ","")&amp;IF(AND(C137&lt;&gt;"",COUNTIF(직원목록!$C$7:$C$306,C137)&gt;1),"사번 중복 / ","")&amp;IF(D137=0,"총지급이 0원 — 머리글 매칭 확인 / ","")&amp;IF(AND(설정!$B$17&lt;&gt;"",설정!$C$17="",OR(ISNUMBER(FIND("연장",설정!$B$17)),ISNUMBER(FIND("야간",설정!$B$17)),ISNUMBER(FIND("휴일",설정!$B$17))),INDEX(직원목록!$F$7:$F$306,MATCH(125,직원목록!$B$7:$B$306,0))&gt;0),"연장·야간·휴일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","")&amp;IF(AND(설정!$B$24&lt;&gt;"",설정!$C$24="",OR(ISNUMBER(FIND("연장",설정!$B$24)),ISNUMBER(FIND("야간",설정!$B$24)),ISNUMBER(FIND("휴일",설정!$B$24))),INDEX(직원목록!$M$7:$M$306,MATCH(125,직원목록!$B$7:$B$306,0))&gt;0),"연장·야간·휴일 수당은 시간 수도 명세서에 적어야 하니 시간 열 지정 필요 / ",""))))</f>
        <v/>
      </c>
    </row>
    <row r="138">
      <c r="A138" s="26">
        <f>IF(IFERROR(MATCH(126,직원목록!$B$7:$B$306,0),0)=0,"",126)</f>
        <v/>
      </c>
      <c r="B138" s="2">
        <f>IF($A138="","",IFERROR(INDEX(직원목록!$D$7:$D$306,MATCH(126,직원목록!$B$7:$B$306,0)),""))</f>
        <v/>
      </c>
      <c r="C138" s="2">
        <f>IF($A138="","",IFERROR(INDEX(직원목록!$C$7:$C$306,MATCH(126,직원목록!$B$7:$B$306,0)),""))</f>
        <v/>
      </c>
      <c r="D138" s="27">
        <f>IF($A138="","",IFERROR(INDEX(직원목록!$V$7:$V$306,MATCH(126,직원목록!$B$7:$B$306,0)),""))</f>
        <v/>
      </c>
      <c r="E138" s="27">
        <f>IF($A138="","",IFERROR(INDEX(직원목록!$AG$7:$AG$306,MATCH(126,직원목록!$B$7:$B$306,0)),""))</f>
        <v/>
      </c>
      <c r="F138" s="27">
        <f>IF(OR($A138="",E138=""),"",D138-E138)</f>
        <v/>
      </c>
      <c r="G138" s="27">
        <f>IF($A138="","",IFERROR(INDEX(직원목록!$AE$7:$AE$306,MATCH(126,직원목록!$B$7:$B$306,0)),""))</f>
        <v/>
      </c>
      <c r="H138" s="27">
        <f>IF($A138="","",IFERROR(INDEX(직원목록!$AH$7:$AH$306,MATCH(126,직원목록!$B$7:$B$306,0)),""))</f>
        <v/>
      </c>
      <c r="I138" s="27">
        <f>IF(OR($A138="",H138=""),"",G138-H138)</f>
        <v/>
      </c>
      <c r="J138" s="27">
        <f>IF($A138="","",IFERROR(INDEX(직원목록!$AF$7:$AF$306,MATCH(126,직원목록!$B$7:$B$306,0)),""))</f>
        <v/>
      </c>
      <c r="K138" s="27">
        <f>IF($A138="","",IFERROR(INDEX(직원목록!$AI$7:$AI$306,MATCH(126,직원목록!$B$7:$B$306,0)),""))</f>
        <v/>
      </c>
      <c r="L138" s="8">
        <f>IF($A138="","",IF(LEN(IF(AND(F138&lt;&gt;"",F138&lt;&gt;0),"계산 총지급과 대장 총지급이 다릅니다 / ","")&amp;IF(AND(I138&lt;&gt;"",I138&lt;&gt;0),"계산 총공제와 대장 총공제가 다릅니다 / ","")&amp;IF(J138&lt;0,"실수령액이 음수입니다 / ","")&amp;IF(COUNTIF(직원목록!$D$7:$D$306,B138)&gt;1,"같은 이름이 둘 이상 — 미리보기는 첫 번째만 보입니다 / ","")&amp;IF(AND(C138&lt;&gt;"",COUNTIF(직원목록!$C$7:$C$306,C138)&gt;1),"사번 중복 / ","")&amp;IF(D138=0,"총지급이 0원 — 머리글 매칭 확인 / ","")&amp;IF(AND(설정!$B$17&lt;&gt;"",설정!$C$17="",OR(ISNUMBER(FIND("연장",설정!$B$17)),ISNUMBER(FIND("야간",설정!$B$17)),ISNUMBER(FIND("휴일",설정!$B$17))),INDEX(직원목록!$F$7:$F$306,MATCH(126,직원목록!$B$7:$B$306,0))&gt;0),"연장·야간·휴일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","")&amp;IF(AND(설정!$B$24&lt;&gt;"",설정!$C$24="",OR(ISNUMBER(FIND("연장",설정!$B$24)),ISNUMBER(FIND("야간",설정!$B$24)),ISNUMBER(FIND("휴일",설정!$B$24))),INDEX(직원목록!$M$7:$M$306,MATCH(126,직원목록!$B$7:$B$306,0))&gt;0),"연장·야간·휴일 수당은 시간 수도 명세서에 적어야 하니 시간 열 지정 필요 / ",""))=0,"✔",("⚠ "&amp;IF(AND(F138&lt;&gt;"",F138&lt;&gt;0),"계산 총지급과 대장 총지급이 다릅니다 / ","")&amp;IF(AND(I138&lt;&gt;"",I138&lt;&gt;0),"계산 총공제와 대장 총공제가 다릅니다 / ","")&amp;IF(J138&lt;0,"실수령액이 음수입니다 / ","")&amp;IF(COUNTIF(직원목록!$D$7:$D$306,B138)&gt;1,"같은 이름이 둘 이상 — 미리보기는 첫 번째만 보입니다 / ","")&amp;IF(AND(C138&lt;&gt;"",COUNTIF(직원목록!$C$7:$C$306,C138)&gt;1),"사번 중복 / ","")&amp;IF(D138=0,"총지급이 0원 — 머리글 매칭 확인 / ","")&amp;IF(AND(설정!$B$17&lt;&gt;"",설정!$C$17="",OR(ISNUMBER(FIND("연장",설정!$B$17)),ISNUMBER(FIND("야간",설정!$B$17)),ISNUMBER(FIND("휴일",설정!$B$17))),INDEX(직원목록!$F$7:$F$306,MATCH(126,직원목록!$B$7:$B$306,0))&gt;0),"연장·야간·휴일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","")&amp;IF(AND(설정!$B$24&lt;&gt;"",설정!$C$24="",OR(ISNUMBER(FIND("연장",설정!$B$24)),ISNUMBER(FIND("야간",설정!$B$24)),ISNUMBER(FIND("휴일",설정!$B$24))),INDEX(직원목록!$M$7:$M$306,MATCH(126,직원목록!$B$7:$B$306,0))&gt;0),"연장·야간·휴일 수당은 시간 수도 명세서에 적어야 하니 시간 열 지정 필요 / ",""))))</f>
        <v/>
      </c>
    </row>
    <row r="139">
      <c r="A139" s="26">
        <f>IF(IFERROR(MATCH(127,직원목록!$B$7:$B$306,0),0)=0,"",127)</f>
        <v/>
      </c>
      <c r="B139" s="2">
        <f>IF($A139="","",IFERROR(INDEX(직원목록!$D$7:$D$306,MATCH(127,직원목록!$B$7:$B$306,0)),""))</f>
        <v/>
      </c>
      <c r="C139" s="2">
        <f>IF($A139="","",IFERROR(INDEX(직원목록!$C$7:$C$306,MATCH(127,직원목록!$B$7:$B$306,0)),""))</f>
        <v/>
      </c>
      <c r="D139" s="27">
        <f>IF($A139="","",IFERROR(INDEX(직원목록!$V$7:$V$306,MATCH(127,직원목록!$B$7:$B$306,0)),""))</f>
        <v/>
      </c>
      <c r="E139" s="27">
        <f>IF($A139="","",IFERROR(INDEX(직원목록!$AG$7:$AG$306,MATCH(127,직원목록!$B$7:$B$306,0)),""))</f>
        <v/>
      </c>
      <c r="F139" s="27">
        <f>IF(OR($A139="",E139=""),"",D139-E139)</f>
        <v/>
      </c>
      <c r="G139" s="27">
        <f>IF($A139="","",IFERROR(INDEX(직원목록!$AE$7:$AE$306,MATCH(127,직원목록!$B$7:$B$306,0)),""))</f>
        <v/>
      </c>
      <c r="H139" s="27">
        <f>IF($A139="","",IFERROR(INDEX(직원목록!$AH$7:$AH$306,MATCH(127,직원목록!$B$7:$B$306,0)),""))</f>
        <v/>
      </c>
      <c r="I139" s="27">
        <f>IF(OR($A139="",H139=""),"",G139-H139)</f>
        <v/>
      </c>
      <c r="J139" s="27">
        <f>IF($A139="","",IFERROR(INDEX(직원목록!$AF$7:$AF$306,MATCH(127,직원목록!$B$7:$B$306,0)),""))</f>
        <v/>
      </c>
      <c r="K139" s="27">
        <f>IF($A139="","",IFERROR(INDEX(직원목록!$AI$7:$AI$306,MATCH(127,직원목록!$B$7:$B$306,0)),""))</f>
        <v/>
      </c>
      <c r="L139" s="8">
        <f>IF($A139="","",IF(LEN(IF(AND(F139&lt;&gt;"",F139&lt;&gt;0),"계산 총지급과 대장 총지급이 다릅니다 / ","")&amp;IF(AND(I139&lt;&gt;"",I139&lt;&gt;0),"계산 총공제와 대장 총공제가 다릅니다 / ","")&amp;IF(J139&lt;0,"실수령액이 음수입니다 / ","")&amp;IF(COUNTIF(직원목록!$D$7:$D$306,B139)&gt;1,"같은 이름이 둘 이상 — 미리보기는 첫 번째만 보입니다 / ","")&amp;IF(AND(C139&lt;&gt;"",COUNTIF(직원목록!$C$7:$C$306,C139)&gt;1),"사번 중복 / ","")&amp;IF(D139=0,"총지급이 0원 — 머리글 매칭 확인 / ","")&amp;IF(AND(설정!$B$17&lt;&gt;"",설정!$C$17="",OR(ISNUMBER(FIND("연장",설정!$B$17)),ISNUMBER(FIND("야간",설정!$B$17)),ISNUMBER(FIND("휴일",설정!$B$17))),INDEX(직원목록!$F$7:$F$306,MATCH(127,직원목록!$B$7:$B$306,0))&gt;0),"연장·야간·휴일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","")&amp;IF(AND(설정!$B$24&lt;&gt;"",설정!$C$24="",OR(ISNUMBER(FIND("연장",설정!$B$24)),ISNUMBER(FIND("야간",설정!$B$24)),ISNUMBER(FIND("휴일",설정!$B$24))),INDEX(직원목록!$M$7:$M$306,MATCH(127,직원목록!$B$7:$B$306,0))&gt;0),"연장·야간·휴일 수당은 시간 수도 명세서에 적어야 하니 시간 열 지정 필요 / ",""))=0,"✔",("⚠ "&amp;IF(AND(F139&lt;&gt;"",F139&lt;&gt;0),"계산 총지급과 대장 총지급이 다릅니다 / ","")&amp;IF(AND(I139&lt;&gt;"",I139&lt;&gt;0),"계산 총공제와 대장 총공제가 다릅니다 / ","")&amp;IF(J139&lt;0,"실수령액이 음수입니다 / ","")&amp;IF(COUNTIF(직원목록!$D$7:$D$306,B139)&gt;1,"같은 이름이 둘 이상 — 미리보기는 첫 번째만 보입니다 / ","")&amp;IF(AND(C139&lt;&gt;"",COUNTIF(직원목록!$C$7:$C$306,C139)&gt;1),"사번 중복 / ","")&amp;IF(D139=0,"총지급이 0원 — 머리글 매칭 확인 / ","")&amp;IF(AND(설정!$B$17&lt;&gt;"",설정!$C$17="",OR(ISNUMBER(FIND("연장",설정!$B$17)),ISNUMBER(FIND("야간",설정!$B$17)),ISNUMBER(FIND("휴일",설정!$B$17))),INDEX(직원목록!$F$7:$F$306,MATCH(127,직원목록!$B$7:$B$306,0))&gt;0),"연장·야간·휴일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","")&amp;IF(AND(설정!$B$24&lt;&gt;"",설정!$C$24="",OR(ISNUMBER(FIND("연장",설정!$B$24)),ISNUMBER(FIND("야간",설정!$B$24)),ISNUMBER(FIND("휴일",설정!$B$24))),INDEX(직원목록!$M$7:$M$306,MATCH(127,직원목록!$B$7:$B$306,0))&gt;0),"연장·야간·휴일 수당은 시간 수도 명세서에 적어야 하니 시간 열 지정 필요 / ",""))))</f>
        <v/>
      </c>
    </row>
    <row r="140">
      <c r="A140" s="26">
        <f>IF(IFERROR(MATCH(128,직원목록!$B$7:$B$306,0),0)=0,"",128)</f>
        <v/>
      </c>
      <c r="B140" s="2">
        <f>IF($A140="","",IFERROR(INDEX(직원목록!$D$7:$D$306,MATCH(128,직원목록!$B$7:$B$306,0)),""))</f>
        <v/>
      </c>
      <c r="C140" s="2">
        <f>IF($A140="","",IFERROR(INDEX(직원목록!$C$7:$C$306,MATCH(128,직원목록!$B$7:$B$306,0)),""))</f>
        <v/>
      </c>
      <c r="D140" s="27">
        <f>IF($A140="","",IFERROR(INDEX(직원목록!$V$7:$V$306,MATCH(128,직원목록!$B$7:$B$306,0)),""))</f>
        <v/>
      </c>
      <c r="E140" s="27">
        <f>IF($A140="","",IFERROR(INDEX(직원목록!$AG$7:$AG$306,MATCH(128,직원목록!$B$7:$B$306,0)),""))</f>
        <v/>
      </c>
      <c r="F140" s="27">
        <f>IF(OR($A140="",E140=""),"",D140-E140)</f>
        <v/>
      </c>
      <c r="G140" s="27">
        <f>IF($A140="","",IFERROR(INDEX(직원목록!$AE$7:$AE$306,MATCH(128,직원목록!$B$7:$B$306,0)),""))</f>
        <v/>
      </c>
      <c r="H140" s="27">
        <f>IF($A140="","",IFERROR(INDEX(직원목록!$AH$7:$AH$306,MATCH(128,직원목록!$B$7:$B$306,0)),""))</f>
        <v/>
      </c>
      <c r="I140" s="27">
        <f>IF(OR($A140="",H140=""),"",G140-H140)</f>
        <v/>
      </c>
      <c r="J140" s="27">
        <f>IF($A140="","",IFERROR(INDEX(직원목록!$AF$7:$AF$306,MATCH(128,직원목록!$B$7:$B$306,0)),""))</f>
        <v/>
      </c>
      <c r="K140" s="27">
        <f>IF($A140="","",IFERROR(INDEX(직원목록!$AI$7:$AI$306,MATCH(128,직원목록!$B$7:$B$306,0)),""))</f>
        <v/>
      </c>
      <c r="L140" s="8">
        <f>IF($A140="","",IF(LEN(IF(AND(F140&lt;&gt;"",F140&lt;&gt;0),"계산 총지급과 대장 총지급이 다릅니다 / ","")&amp;IF(AND(I140&lt;&gt;"",I140&lt;&gt;0),"계산 총공제와 대장 총공제가 다릅니다 / ","")&amp;IF(J140&lt;0,"실수령액이 음수입니다 / ","")&amp;IF(COUNTIF(직원목록!$D$7:$D$306,B140)&gt;1,"같은 이름이 둘 이상 — 미리보기는 첫 번째만 보입니다 / ","")&amp;IF(AND(C140&lt;&gt;"",COUNTIF(직원목록!$C$7:$C$306,C140)&gt;1),"사번 중복 / ","")&amp;IF(D140=0,"총지급이 0원 — 머리글 매칭 확인 / ","")&amp;IF(AND(설정!$B$17&lt;&gt;"",설정!$C$17="",OR(ISNUMBER(FIND("연장",설정!$B$17)),ISNUMBER(FIND("야간",설정!$B$17)),ISNUMBER(FIND("휴일",설정!$B$17))),INDEX(직원목록!$F$7:$F$306,MATCH(128,직원목록!$B$7:$B$306,0))&gt;0),"연장·야간·휴일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","")&amp;IF(AND(설정!$B$24&lt;&gt;"",설정!$C$24="",OR(ISNUMBER(FIND("연장",설정!$B$24)),ISNUMBER(FIND("야간",설정!$B$24)),ISNUMBER(FIND("휴일",설정!$B$24))),INDEX(직원목록!$M$7:$M$306,MATCH(128,직원목록!$B$7:$B$306,0))&gt;0),"연장·야간·휴일 수당은 시간 수도 명세서에 적어야 하니 시간 열 지정 필요 / ",""))=0,"✔",("⚠ "&amp;IF(AND(F140&lt;&gt;"",F140&lt;&gt;0),"계산 총지급과 대장 총지급이 다릅니다 / ","")&amp;IF(AND(I140&lt;&gt;"",I140&lt;&gt;0),"계산 총공제와 대장 총공제가 다릅니다 / ","")&amp;IF(J140&lt;0,"실수령액이 음수입니다 / ","")&amp;IF(COUNTIF(직원목록!$D$7:$D$306,B140)&gt;1,"같은 이름이 둘 이상 — 미리보기는 첫 번째만 보입니다 / ","")&amp;IF(AND(C140&lt;&gt;"",COUNTIF(직원목록!$C$7:$C$306,C140)&gt;1),"사번 중복 / ","")&amp;IF(D140=0,"총지급이 0원 — 머리글 매칭 확인 / ","")&amp;IF(AND(설정!$B$17&lt;&gt;"",설정!$C$17="",OR(ISNUMBER(FIND("연장",설정!$B$17)),ISNUMBER(FIND("야간",설정!$B$17)),ISNUMBER(FIND("휴일",설정!$B$17))),INDEX(직원목록!$F$7:$F$306,MATCH(128,직원목록!$B$7:$B$306,0))&gt;0),"연장·야간·휴일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","")&amp;IF(AND(설정!$B$24&lt;&gt;"",설정!$C$24="",OR(ISNUMBER(FIND("연장",설정!$B$24)),ISNUMBER(FIND("야간",설정!$B$24)),ISNUMBER(FIND("휴일",설정!$B$24))),INDEX(직원목록!$M$7:$M$306,MATCH(128,직원목록!$B$7:$B$306,0))&gt;0),"연장·야간·휴일 수당은 시간 수도 명세서에 적어야 하니 시간 열 지정 필요 / ",""))))</f>
        <v/>
      </c>
    </row>
    <row r="141">
      <c r="A141" s="26">
        <f>IF(IFERROR(MATCH(129,직원목록!$B$7:$B$306,0),0)=0,"",129)</f>
        <v/>
      </c>
      <c r="B141" s="2">
        <f>IF($A141="","",IFERROR(INDEX(직원목록!$D$7:$D$306,MATCH(129,직원목록!$B$7:$B$306,0)),""))</f>
        <v/>
      </c>
      <c r="C141" s="2">
        <f>IF($A141="","",IFERROR(INDEX(직원목록!$C$7:$C$306,MATCH(129,직원목록!$B$7:$B$306,0)),""))</f>
        <v/>
      </c>
      <c r="D141" s="27">
        <f>IF($A141="","",IFERROR(INDEX(직원목록!$V$7:$V$306,MATCH(129,직원목록!$B$7:$B$306,0)),""))</f>
        <v/>
      </c>
      <c r="E141" s="27">
        <f>IF($A141="","",IFERROR(INDEX(직원목록!$AG$7:$AG$306,MATCH(129,직원목록!$B$7:$B$306,0)),""))</f>
        <v/>
      </c>
      <c r="F141" s="27">
        <f>IF(OR($A141="",E141=""),"",D141-E141)</f>
        <v/>
      </c>
      <c r="G141" s="27">
        <f>IF($A141="","",IFERROR(INDEX(직원목록!$AE$7:$AE$306,MATCH(129,직원목록!$B$7:$B$306,0)),""))</f>
        <v/>
      </c>
      <c r="H141" s="27">
        <f>IF($A141="","",IFERROR(INDEX(직원목록!$AH$7:$AH$306,MATCH(129,직원목록!$B$7:$B$306,0)),""))</f>
        <v/>
      </c>
      <c r="I141" s="27">
        <f>IF(OR($A141="",H141=""),"",G141-H141)</f>
        <v/>
      </c>
      <c r="J141" s="27">
        <f>IF($A141="","",IFERROR(INDEX(직원목록!$AF$7:$AF$306,MATCH(129,직원목록!$B$7:$B$306,0)),""))</f>
        <v/>
      </c>
      <c r="K141" s="27">
        <f>IF($A141="","",IFERROR(INDEX(직원목록!$AI$7:$AI$306,MATCH(129,직원목록!$B$7:$B$306,0)),""))</f>
        <v/>
      </c>
      <c r="L141" s="8">
        <f>IF($A141="","",IF(LEN(IF(AND(F141&lt;&gt;"",F141&lt;&gt;0),"계산 총지급과 대장 총지급이 다릅니다 / ","")&amp;IF(AND(I141&lt;&gt;"",I141&lt;&gt;0),"계산 총공제와 대장 총공제가 다릅니다 / ","")&amp;IF(J141&lt;0,"실수령액이 음수입니다 / ","")&amp;IF(COUNTIF(직원목록!$D$7:$D$306,B141)&gt;1,"같은 이름이 둘 이상 — 미리보기는 첫 번째만 보입니다 / ","")&amp;IF(AND(C141&lt;&gt;"",COUNTIF(직원목록!$C$7:$C$306,C141)&gt;1),"사번 중복 / ","")&amp;IF(D141=0,"총지급이 0원 — 머리글 매칭 확인 / ","")&amp;IF(AND(설정!$B$17&lt;&gt;"",설정!$C$17="",OR(ISNUMBER(FIND("연장",설정!$B$17)),ISNUMBER(FIND("야간",설정!$B$17)),ISNUMBER(FIND("휴일",설정!$B$17))),INDEX(직원목록!$F$7:$F$306,MATCH(129,직원목록!$B$7:$B$306,0))&gt;0),"연장·야간·휴일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","")&amp;IF(AND(설정!$B$24&lt;&gt;"",설정!$C$24="",OR(ISNUMBER(FIND("연장",설정!$B$24)),ISNUMBER(FIND("야간",설정!$B$24)),ISNUMBER(FIND("휴일",설정!$B$24))),INDEX(직원목록!$M$7:$M$306,MATCH(129,직원목록!$B$7:$B$306,0))&gt;0),"연장·야간·휴일 수당은 시간 수도 명세서에 적어야 하니 시간 열 지정 필요 / ",""))=0,"✔",("⚠ "&amp;IF(AND(F141&lt;&gt;"",F141&lt;&gt;0),"계산 총지급과 대장 총지급이 다릅니다 / ","")&amp;IF(AND(I141&lt;&gt;"",I141&lt;&gt;0),"계산 총공제와 대장 총공제가 다릅니다 / ","")&amp;IF(J141&lt;0,"실수령액이 음수입니다 / ","")&amp;IF(COUNTIF(직원목록!$D$7:$D$306,B141)&gt;1,"같은 이름이 둘 이상 — 미리보기는 첫 번째만 보입니다 / ","")&amp;IF(AND(C141&lt;&gt;"",COUNTIF(직원목록!$C$7:$C$306,C141)&gt;1),"사번 중복 / ","")&amp;IF(D141=0,"총지급이 0원 — 머리글 매칭 확인 / ","")&amp;IF(AND(설정!$B$17&lt;&gt;"",설정!$C$17="",OR(ISNUMBER(FIND("연장",설정!$B$17)),ISNUMBER(FIND("야간",설정!$B$17)),ISNUMBER(FIND("휴일",설정!$B$17))),INDEX(직원목록!$F$7:$F$306,MATCH(129,직원목록!$B$7:$B$306,0))&gt;0),"연장·야간·휴일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","")&amp;IF(AND(설정!$B$18&lt;&gt;"",설정!$C$18="",OR(ISNUMBER(FIND("연장",설정!$B$18)),ISNUMBER(FIND("야간",설정!$B$18)),ISNUMBER(FIND("휴일",설정!$B$18))),INDEX(직원목록!$G$7:$G$306,MATCH(129,직원목록!$B$7:$B$306,0))&gt;0),"연장·야간·휴일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","")&amp;IF(AND(설정!$B$19&lt;&gt;"",설정!$C$19="",OR(ISNUMBER(FIND("연장",설정!$B$19)),ISNUMBER(FIND("야간",설정!$B$19)),ISNUMBER(FIND("휴일",설정!$B$19))),INDEX(직원목록!$H$7:$H$306,MATCH(129,직원목록!$B$7:$B$306,0))&gt;0),"연장·야간·휴일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","")&amp;IF(AND(설정!$B$20&lt;&gt;"",설정!$C$20="",OR(ISNUMBER(FIND("연장",설정!$B$20)),ISNUMBER(FIND("야간",설정!$B$20)),ISNUMBER(FIND("휴일",설정!$B$20))),INDEX(직원목록!$I$7:$I$306,MATCH(129,직원목록!$B$7:$B$306,0))&gt;0),"연장·야간·휴일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","")&amp;IF(AND(설정!$B$21&lt;&gt;"",설정!$C$21="",OR(ISNUMBER(FIND("연장",설정!$B$21)),ISNUMBER(FIND("야간",설정!$B$21)),ISNUMBER(FIND("휴일",설정!$B$21))),INDEX(직원목록!$J$7:$J$306,MATCH(129,직원목록!$B$7:$B$306,0))&gt;0),"연장·야간·휴일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","")&amp;IF(AND(설정!$B$22&lt;&gt;"",설정!$C$22="",OR(ISNUMBER(FIND("연장",설정!$B$22)),ISNUMBER(FIND("야간",설정!$B$22)),ISNUMBER(FIND("휴일",설정!$B$22))),INDEX(직원목록!$K$7:$K$306,MATCH(129,직원목록!$B$7:$B$306,0))&gt;0),"연장·야간·휴일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","")&amp;IF(AND(설정!$B$23&lt;&gt;"",설정!$C$23="",OR(ISNUMBER(FIND("연장",설정!$B$23)),ISNUMBER(FIND("야간",설정!$B$23)),ISNUMBER(FIND("휴일",설정!$B$23))),INDEX(직원목록!$L$7:$L$306,MATCH(129,직원목록!$B$7:$B$306,0))&gt;0),"연장·야간·휴일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","")&amp;IF(AND(설정!$B$24&lt;&gt;"",설정!$C$24="",OR(ISNUMBER(FIND("연장",설정!$B$24)),ISNUMBER(FIND("야간",설정!$B$24)),ISNUMBER(FIND("휴일",설정!$B$24))),INDEX(직원목록!$M$7:$M$306,MATCH(129,직원목록!$B$7:$B$306,0))&gt;0),"연장·야간·휴일 수당은 시간 수도 명세서에 적어야 하니 시간 열 지정 필요 / ",""))))</f>
        <v/>
      </c>
    </row>
    <row r="142">
      <c r="A142" s="26">
        <f>IF(IFERROR(MATCH(130,직원목록!$B$7:$B$306,0),0)=0,"",130)</f>
        <v/>
      </c>
      <c r="B142" s="2">
        <f>IF($A142="","",IFERROR(INDEX(직원목록!$D$7:$D$306,MATCH(130,직원목록!$B$7:$B$306,0)),""))</f>
        <v/>
      </c>
      <c r="C142" s="2">
        <f>IF($A142="","",IFERROR(INDEX(직원목록!$C$7:$C$306,MATCH(130,직원목록!$B$7:$B$306,0)),""))</f>
        <v/>
      </c>
      <c r="D142" s="27">
        <f>IF($A142="","",IFERROR(INDEX(직원목록!$V$7:$V$306,MATCH(130,직원목록!$B$7:$B$306,0)),""))</f>
        <v/>
      </c>
      <c r="E142" s="27">
        <f>IF($A142="","",IFERROR(INDEX(직원목록!$AG$7:$AG$306,MATCH(130,직원목록!$B$7:$B$306,0)),""))</f>
        <v/>
      </c>
      <c r="F142" s="27">
        <f>IF(OR($A142="",E142=""),"",D142-E142)</f>
        <v/>
      </c>
      <c r="G142" s="27">
        <f>IF($A142="","",IFERROR(INDEX(직원목록!$AE$7:$AE$306,MATCH(130,직원목록!$B$7:$B$306,0)),""))</f>
        <v/>
      </c>
      <c r="H142" s="27">
        <f>IF($A142="","",IFERROR(INDEX(직원목록!$AH$7:$AH$306,MATCH(130,직원목록!$B$7:$B$306,0)),""))</f>
        <v/>
      </c>
      <c r="I142" s="27">
        <f>IF(OR($A142="",H142=""),"",G142-H142)</f>
        <v/>
      </c>
      <c r="J142" s="27">
        <f>IF($A142="","",IFERROR(INDEX(직원목록!$AF$7:$AF$306,MATCH(130,직원목록!$B$7:$B$306,0)),""))</f>
        <v/>
      </c>
      <c r="K142" s="27">
        <f>IF($A142="","",IFERROR(INDEX(직원목록!$AI$7:$AI$306,MATCH(130,직원목록!$B$7:$B$306,0)),""))</f>
        <v/>
      </c>
      <c r="L142" s="8">
        <f>IF($A142="","",IF(LEN(IF(AND(F142&lt;&gt;"",F142&lt;&gt;0),"계산 총지급과 대장 총지급이 다릅니다 / ","")&amp;IF(AND(I142&lt;&gt;"",I142&lt;&gt;0),"계산 총공제와 대장 총공제가 다릅니다 / ","")&amp;IF(J142&lt;0,"실수령액이 음수입니다 / ","")&amp;IF(COUNTIF(직원목록!$D$7:$D$306,B142)&gt;1,"같은 이름이 둘 이상 — 미리보기는 첫 번째만 보입니다 / ","")&amp;IF(AND(C142&lt;&gt;"",COUNTIF(직원목록!$C$7:$C$306,C142)&gt;1),"사번 중복 / ","")&amp;IF(D142=0,"총지급이 0원 — 머리글 매칭 확인 / ","")&amp;IF(AND(설정!$B$17&lt;&gt;"",설정!$C$17="",OR(ISNUMBER(FIND("연장",설정!$B$17)),ISNUMBER(FIND("야간",설정!$B$17)),ISNUMBER(FIND("휴일",설정!$B$17))),INDEX(직원목록!$F$7:$F$306,MATCH(130,직원목록!$B$7:$B$306,0))&gt;0),"연장·야간·휴일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","")&amp;IF(AND(설정!$B$24&lt;&gt;"",설정!$C$24="",OR(ISNUMBER(FIND("연장",설정!$B$24)),ISNUMBER(FIND("야간",설정!$B$24)),ISNUMBER(FIND("휴일",설정!$B$24))),INDEX(직원목록!$M$7:$M$306,MATCH(130,직원목록!$B$7:$B$306,0))&gt;0),"연장·야간·휴일 수당은 시간 수도 명세서에 적어야 하니 시간 열 지정 필요 / ",""))=0,"✔",("⚠ "&amp;IF(AND(F142&lt;&gt;"",F142&lt;&gt;0),"계산 총지급과 대장 총지급이 다릅니다 / ","")&amp;IF(AND(I142&lt;&gt;"",I142&lt;&gt;0),"계산 총공제와 대장 총공제가 다릅니다 / ","")&amp;IF(J142&lt;0,"실수령액이 음수입니다 / ","")&amp;IF(COUNTIF(직원목록!$D$7:$D$306,B142)&gt;1,"같은 이름이 둘 이상 — 미리보기는 첫 번째만 보입니다 / ","")&amp;IF(AND(C142&lt;&gt;"",COUNTIF(직원목록!$C$7:$C$306,C142)&gt;1),"사번 중복 / ","")&amp;IF(D142=0,"총지급이 0원 — 머리글 매칭 확인 / ","")&amp;IF(AND(설정!$B$17&lt;&gt;"",설정!$C$17="",OR(ISNUMBER(FIND("연장",설정!$B$17)),ISNUMBER(FIND("야간",설정!$B$17)),ISNUMBER(FIND("휴일",설정!$B$17))),INDEX(직원목록!$F$7:$F$306,MATCH(130,직원목록!$B$7:$B$306,0))&gt;0),"연장·야간·휴일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","")&amp;IF(AND(설정!$B$24&lt;&gt;"",설정!$C$24="",OR(ISNUMBER(FIND("연장",설정!$B$24)),ISNUMBER(FIND("야간",설정!$B$24)),ISNUMBER(FIND("휴일",설정!$B$24))),INDEX(직원목록!$M$7:$M$306,MATCH(130,직원목록!$B$7:$B$306,0))&gt;0),"연장·야간·휴일 수당은 시간 수도 명세서에 적어야 하니 시간 열 지정 필요 / ",""))))</f>
        <v/>
      </c>
    </row>
    <row r="143">
      <c r="A143" s="26">
        <f>IF(IFERROR(MATCH(131,직원목록!$B$7:$B$306,0),0)=0,"",131)</f>
        <v/>
      </c>
      <c r="B143" s="2">
        <f>IF($A143="","",IFERROR(INDEX(직원목록!$D$7:$D$306,MATCH(131,직원목록!$B$7:$B$306,0)),""))</f>
        <v/>
      </c>
      <c r="C143" s="2">
        <f>IF($A143="","",IFERROR(INDEX(직원목록!$C$7:$C$306,MATCH(131,직원목록!$B$7:$B$306,0)),""))</f>
        <v/>
      </c>
      <c r="D143" s="27">
        <f>IF($A143="","",IFERROR(INDEX(직원목록!$V$7:$V$306,MATCH(131,직원목록!$B$7:$B$306,0)),""))</f>
        <v/>
      </c>
      <c r="E143" s="27">
        <f>IF($A143="","",IFERROR(INDEX(직원목록!$AG$7:$AG$306,MATCH(131,직원목록!$B$7:$B$306,0)),""))</f>
        <v/>
      </c>
      <c r="F143" s="27">
        <f>IF(OR($A143="",E143=""),"",D143-E143)</f>
        <v/>
      </c>
      <c r="G143" s="27">
        <f>IF($A143="","",IFERROR(INDEX(직원목록!$AE$7:$AE$306,MATCH(131,직원목록!$B$7:$B$306,0)),""))</f>
        <v/>
      </c>
      <c r="H143" s="27">
        <f>IF($A143="","",IFERROR(INDEX(직원목록!$AH$7:$AH$306,MATCH(131,직원목록!$B$7:$B$306,0)),""))</f>
        <v/>
      </c>
      <c r="I143" s="27">
        <f>IF(OR($A143="",H143=""),"",G143-H143)</f>
        <v/>
      </c>
      <c r="J143" s="27">
        <f>IF($A143="","",IFERROR(INDEX(직원목록!$AF$7:$AF$306,MATCH(131,직원목록!$B$7:$B$306,0)),""))</f>
        <v/>
      </c>
      <c r="K143" s="27">
        <f>IF($A143="","",IFERROR(INDEX(직원목록!$AI$7:$AI$306,MATCH(131,직원목록!$B$7:$B$306,0)),""))</f>
        <v/>
      </c>
      <c r="L143" s="8">
        <f>IF($A143="","",IF(LEN(IF(AND(F143&lt;&gt;"",F143&lt;&gt;0),"계산 총지급과 대장 총지급이 다릅니다 / ","")&amp;IF(AND(I143&lt;&gt;"",I143&lt;&gt;0),"계산 총공제와 대장 총공제가 다릅니다 / ","")&amp;IF(J143&lt;0,"실수령액이 음수입니다 / ","")&amp;IF(COUNTIF(직원목록!$D$7:$D$306,B143)&gt;1,"같은 이름이 둘 이상 — 미리보기는 첫 번째만 보입니다 / ","")&amp;IF(AND(C143&lt;&gt;"",COUNTIF(직원목록!$C$7:$C$306,C143)&gt;1),"사번 중복 / ","")&amp;IF(D143=0,"총지급이 0원 — 머리글 매칭 확인 / ","")&amp;IF(AND(설정!$B$17&lt;&gt;"",설정!$C$17="",OR(ISNUMBER(FIND("연장",설정!$B$17)),ISNUMBER(FIND("야간",설정!$B$17)),ISNUMBER(FIND("휴일",설정!$B$17))),INDEX(직원목록!$F$7:$F$306,MATCH(131,직원목록!$B$7:$B$306,0))&gt;0),"연장·야간·휴일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","")&amp;IF(AND(설정!$B$24&lt;&gt;"",설정!$C$24="",OR(ISNUMBER(FIND("연장",설정!$B$24)),ISNUMBER(FIND("야간",설정!$B$24)),ISNUMBER(FIND("휴일",설정!$B$24))),INDEX(직원목록!$M$7:$M$306,MATCH(131,직원목록!$B$7:$B$306,0))&gt;0),"연장·야간·휴일 수당은 시간 수도 명세서에 적어야 하니 시간 열 지정 필요 / ",""))=0,"✔",("⚠ "&amp;IF(AND(F143&lt;&gt;"",F143&lt;&gt;0),"계산 총지급과 대장 총지급이 다릅니다 / ","")&amp;IF(AND(I143&lt;&gt;"",I143&lt;&gt;0),"계산 총공제와 대장 총공제가 다릅니다 / ","")&amp;IF(J143&lt;0,"실수령액이 음수입니다 / ","")&amp;IF(COUNTIF(직원목록!$D$7:$D$306,B143)&gt;1,"같은 이름이 둘 이상 — 미리보기는 첫 번째만 보입니다 / ","")&amp;IF(AND(C143&lt;&gt;"",COUNTIF(직원목록!$C$7:$C$306,C143)&gt;1),"사번 중복 / ","")&amp;IF(D143=0,"총지급이 0원 — 머리글 매칭 확인 / ","")&amp;IF(AND(설정!$B$17&lt;&gt;"",설정!$C$17="",OR(ISNUMBER(FIND("연장",설정!$B$17)),ISNUMBER(FIND("야간",설정!$B$17)),ISNUMBER(FIND("휴일",설정!$B$17))),INDEX(직원목록!$F$7:$F$306,MATCH(131,직원목록!$B$7:$B$306,0))&gt;0),"연장·야간·휴일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","")&amp;IF(AND(설정!$B$24&lt;&gt;"",설정!$C$24="",OR(ISNUMBER(FIND("연장",설정!$B$24)),ISNUMBER(FIND("야간",설정!$B$24)),ISNUMBER(FIND("휴일",설정!$B$24))),INDEX(직원목록!$M$7:$M$306,MATCH(131,직원목록!$B$7:$B$306,0))&gt;0),"연장·야간·휴일 수당은 시간 수도 명세서에 적어야 하니 시간 열 지정 필요 / ",""))))</f>
        <v/>
      </c>
    </row>
    <row r="144">
      <c r="A144" s="26">
        <f>IF(IFERROR(MATCH(132,직원목록!$B$7:$B$306,0),0)=0,"",132)</f>
        <v/>
      </c>
      <c r="B144" s="2">
        <f>IF($A144="","",IFERROR(INDEX(직원목록!$D$7:$D$306,MATCH(132,직원목록!$B$7:$B$306,0)),""))</f>
        <v/>
      </c>
      <c r="C144" s="2">
        <f>IF($A144="","",IFERROR(INDEX(직원목록!$C$7:$C$306,MATCH(132,직원목록!$B$7:$B$306,0)),""))</f>
        <v/>
      </c>
      <c r="D144" s="27">
        <f>IF($A144="","",IFERROR(INDEX(직원목록!$V$7:$V$306,MATCH(132,직원목록!$B$7:$B$306,0)),""))</f>
        <v/>
      </c>
      <c r="E144" s="27">
        <f>IF($A144="","",IFERROR(INDEX(직원목록!$AG$7:$AG$306,MATCH(132,직원목록!$B$7:$B$306,0)),""))</f>
        <v/>
      </c>
      <c r="F144" s="27">
        <f>IF(OR($A144="",E144=""),"",D144-E144)</f>
        <v/>
      </c>
      <c r="G144" s="27">
        <f>IF($A144="","",IFERROR(INDEX(직원목록!$AE$7:$AE$306,MATCH(132,직원목록!$B$7:$B$306,0)),""))</f>
        <v/>
      </c>
      <c r="H144" s="27">
        <f>IF($A144="","",IFERROR(INDEX(직원목록!$AH$7:$AH$306,MATCH(132,직원목록!$B$7:$B$306,0)),""))</f>
        <v/>
      </c>
      <c r="I144" s="27">
        <f>IF(OR($A144="",H144=""),"",G144-H144)</f>
        <v/>
      </c>
      <c r="J144" s="27">
        <f>IF($A144="","",IFERROR(INDEX(직원목록!$AF$7:$AF$306,MATCH(132,직원목록!$B$7:$B$306,0)),""))</f>
        <v/>
      </c>
      <c r="K144" s="27">
        <f>IF($A144="","",IFERROR(INDEX(직원목록!$AI$7:$AI$306,MATCH(132,직원목록!$B$7:$B$306,0)),""))</f>
        <v/>
      </c>
      <c r="L144" s="8">
        <f>IF($A144="","",IF(LEN(IF(AND(F144&lt;&gt;"",F144&lt;&gt;0),"계산 총지급과 대장 총지급이 다릅니다 / ","")&amp;IF(AND(I144&lt;&gt;"",I144&lt;&gt;0),"계산 총공제와 대장 총공제가 다릅니다 / ","")&amp;IF(J144&lt;0,"실수령액이 음수입니다 / ","")&amp;IF(COUNTIF(직원목록!$D$7:$D$306,B144)&gt;1,"같은 이름이 둘 이상 — 미리보기는 첫 번째만 보입니다 / ","")&amp;IF(AND(C144&lt;&gt;"",COUNTIF(직원목록!$C$7:$C$306,C144)&gt;1),"사번 중복 / ","")&amp;IF(D144=0,"총지급이 0원 — 머리글 매칭 확인 / ","")&amp;IF(AND(설정!$B$17&lt;&gt;"",설정!$C$17="",OR(ISNUMBER(FIND("연장",설정!$B$17)),ISNUMBER(FIND("야간",설정!$B$17)),ISNUMBER(FIND("휴일",설정!$B$17))),INDEX(직원목록!$F$7:$F$306,MATCH(132,직원목록!$B$7:$B$306,0))&gt;0),"연장·야간·휴일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","")&amp;IF(AND(설정!$B$24&lt;&gt;"",설정!$C$24="",OR(ISNUMBER(FIND("연장",설정!$B$24)),ISNUMBER(FIND("야간",설정!$B$24)),ISNUMBER(FIND("휴일",설정!$B$24))),INDEX(직원목록!$M$7:$M$306,MATCH(132,직원목록!$B$7:$B$306,0))&gt;0),"연장·야간·휴일 수당은 시간 수도 명세서에 적어야 하니 시간 열 지정 필요 / ",""))=0,"✔",("⚠ "&amp;IF(AND(F144&lt;&gt;"",F144&lt;&gt;0),"계산 총지급과 대장 총지급이 다릅니다 / ","")&amp;IF(AND(I144&lt;&gt;"",I144&lt;&gt;0),"계산 총공제와 대장 총공제가 다릅니다 / ","")&amp;IF(J144&lt;0,"실수령액이 음수입니다 / ","")&amp;IF(COUNTIF(직원목록!$D$7:$D$306,B144)&gt;1,"같은 이름이 둘 이상 — 미리보기는 첫 번째만 보입니다 / ","")&amp;IF(AND(C144&lt;&gt;"",COUNTIF(직원목록!$C$7:$C$306,C144)&gt;1),"사번 중복 / ","")&amp;IF(D144=0,"총지급이 0원 — 머리글 매칭 확인 / ","")&amp;IF(AND(설정!$B$17&lt;&gt;"",설정!$C$17="",OR(ISNUMBER(FIND("연장",설정!$B$17)),ISNUMBER(FIND("야간",설정!$B$17)),ISNUMBER(FIND("휴일",설정!$B$17))),INDEX(직원목록!$F$7:$F$306,MATCH(132,직원목록!$B$7:$B$306,0))&gt;0),"연장·야간·휴일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","")&amp;IF(AND(설정!$B$24&lt;&gt;"",설정!$C$24="",OR(ISNUMBER(FIND("연장",설정!$B$24)),ISNUMBER(FIND("야간",설정!$B$24)),ISNUMBER(FIND("휴일",설정!$B$24))),INDEX(직원목록!$M$7:$M$306,MATCH(132,직원목록!$B$7:$B$306,0))&gt;0),"연장·야간·휴일 수당은 시간 수도 명세서에 적어야 하니 시간 열 지정 필요 / ",""))))</f>
        <v/>
      </c>
    </row>
    <row r="145">
      <c r="A145" s="26">
        <f>IF(IFERROR(MATCH(133,직원목록!$B$7:$B$306,0),0)=0,"",133)</f>
        <v/>
      </c>
      <c r="B145" s="2">
        <f>IF($A145="","",IFERROR(INDEX(직원목록!$D$7:$D$306,MATCH(133,직원목록!$B$7:$B$306,0)),""))</f>
        <v/>
      </c>
      <c r="C145" s="2">
        <f>IF($A145="","",IFERROR(INDEX(직원목록!$C$7:$C$306,MATCH(133,직원목록!$B$7:$B$306,0)),""))</f>
        <v/>
      </c>
      <c r="D145" s="27">
        <f>IF($A145="","",IFERROR(INDEX(직원목록!$V$7:$V$306,MATCH(133,직원목록!$B$7:$B$306,0)),""))</f>
        <v/>
      </c>
      <c r="E145" s="27">
        <f>IF($A145="","",IFERROR(INDEX(직원목록!$AG$7:$AG$306,MATCH(133,직원목록!$B$7:$B$306,0)),""))</f>
        <v/>
      </c>
      <c r="F145" s="27">
        <f>IF(OR($A145="",E145=""),"",D145-E145)</f>
        <v/>
      </c>
      <c r="G145" s="27">
        <f>IF($A145="","",IFERROR(INDEX(직원목록!$AE$7:$AE$306,MATCH(133,직원목록!$B$7:$B$306,0)),""))</f>
        <v/>
      </c>
      <c r="H145" s="27">
        <f>IF($A145="","",IFERROR(INDEX(직원목록!$AH$7:$AH$306,MATCH(133,직원목록!$B$7:$B$306,0)),""))</f>
        <v/>
      </c>
      <c r="I145" s="27">
        <f>IF(OR($A145="",H145=""),"",G145-H145)</f>
        <v/>
      </c>
      <c r="J145" s="27">
        <f>IF($A145="","",IFERROR(INDEX(직원목록!$AF$7:$AF$306,MATCH(133,직원목록!$B$7:$B$306,0)),""))</f>
        <v/>
      </c>
      <c r="K145" s="27">
        <f>IF($A145="","",IFERROR(INDEX(직원목록!$AI$7:$AI$306,MATCH(133,직원목록!$B$7:$B$306,0)),""))</f>
        <v/>
      </c>
      <c r="L145" s="8">
        <f>IF($A145="","",IF(LEN(IF(AND(F145&lt;&gt;"",F145&lt;&gt;0),"계산 총지급과 대장 총지급이 다릅니다 / ","")&amp;IF(AND(I145&lt;&gt;"",I145&lt;&gt;0),"계산 총공제와 대장 총공제가 다릅니다 / ","")&amp;IF(J145&lt;0,"실수령액이 음수입니다 / ","")&amp;IF(COUNTIF(직원목록!$D$7:$D$306,B145)&gt;1,"같은 이름이 둘 이상 — 미리보기는 첫 번째만 보입니다 / ","")&amp;IF(AND(C145&lt;&gt;"",COUNTIF(직원목록!$C$7:$C$306,C145)&gt;1),"사번 중복 / ","")&amp;IF(D145=0,"총지급이 0원 — 머리글 매칭 확인 / ","")&amp;IF(AND(설정!$B$17&lt;&gt;"",설정!$C$17="",OR(ISNUMBER(FIND("연장",설정!$B$17)),ISNUMBER(FIND("야간",설정!$B$17)),ISNUMBER(FIND("휴일",설정!$B$17))),INDEX(직원목록!$F$7:$F$306,MATCH(133,직원목록!$B$7:$B$306,0))&gt;0),"연장·야간·휴일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","")&amp;IF(AND(설정!$B$24&lt;&gt;"",설정!$C$24="",OR(ISNUMBER(FIND("연장",설정!$B$24)),ISNUMBER(FIND("야간",설정!$B$24)),ISNUMBER(FIND("휴일",설정!$B$24))),INDEX(직원목록!$M$7:$M$306,MATCH(133,직원목록!$B$7:$B$306,0))&gt;0),"연장·야간·휴일 수당은 시간 수도 명세서에 적어야 하니 시간 열 지정 필요 / ",""))=0,"✔",("⚠ "&amp;IF(AND(F145&lt;&gt;"",F145&lt;&gt;0),"계산 총지급과 대장 총지급이 다릅니다 / ","")&amp;IF(AND(I145&lt;&gt;"",I145&lt;&gt;0),"계산 총공제와 대장 총공제가 다릅니다 / ","")&amp;IF(J145&lt;0,"실수령액이 음수입니다 / ","")&amp;IF(COUNTIF(직원목록!$D$7:$D$306,B145)&gt;1,"같은 이름이 둘 이상 — 미리보기는 첫 번째만 보입니다 / ","")&amp;IF(AND(C145&lt;&gt;"",COUNTIF(직원목록!$C$7:$C$306,C145)&gt;1),"사번 중복 / ","")&amp;IF(D145=0,"총지급이 0원 — 머리글 매칭 확인 / ","")&amp;IF(AND(설정!$B$17&lt;&gt;"",설정!$C$17="",OR(ISNUMBER(FIND("연장",설정!$B$17)),ISNUMBER(FIND("야간",설정!$B$17)),ISNUMBER(FIND("휴일",설정!$B$17))),INDEX(직원목록!$F$7:$F$306,MATCH(133,직원목록!$B$7:$B$306,0))&gt;0),"연장·야간·휴일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","")&amp;IF(AND(설정!$B$24&lt;&gt;"",설정!$C$24="",OR(ISNUMBER(FIND("연장",설정!$B$24)),ISNUMBER(FIND("야간",설정!$B$24)),ISNUMBER(FIND("휴일",설정!$B$24))),INDEX(직원목록!$M$7:$M$306,MATCH(133,직원목록!$B$7:$B$306,0))&gt;0),"연장·야간·휴일 수당은 시간 수도 명세서에 적어야 하니 시간 열 지정 필요 / ",""))))</f>
        <v/>
      </c>
    </row>
    <row r="146">
      <c r="A146" s="26">
        <f>IF(IFERROR(MATCH(134,직원목록!$B$7:$B$306,0),0)=0,"",134)</f>
        <v/>
      </c>
      <c r="B146" s="2">
        <f>IF($A146="","",IFERROR(INDEX(직원목록!$D$7:$D$306,MATCH(134,직원목록!$B$7:$B$306,0)),""))</f>
        <v/>
      </c>
      <c r="C146" s="2">
        <f>IF($A146="","",IFERROR(INDEX(직원목록!$C$7:$C$306,MATCH(134,직원목록!$B$7:$B$306,0)),""))</f>
        <v/>
      </c>
      <c r="D146" s="27">
        <f>IF($A146="","",IFERROR(INDEX(직원목록!$V$7:$V$306,MATCH(134,직원목록!$B$7:$B$306,0)),""))</f>
        <v/>
      </c>
      <c r="E146" s="27">
        <f>IF($A146="","",IFERROR(INDEX(직원목록!$AG$7:$AG$306,MATCH(134,직원목록!$B$7:$B$306,0)),""))</f>
        <v/>
      </c>
      <c r="F146" s="27">
        <f>IF(OR($A146="",E146=""),"",D146-E146)</f>
        <v/>
      </c>
      <c r="G146" s="27">
        <f>IF($A146="","",IFERROR(INDEX(직원목록!$AE$7:$AE$306,MATCH(134,직원목록!$B$7:$B$306,0)),""))</f>
        <v/>
      </c>
      <c r="H146" s="27">
        <f>IF($A146="","",IFERROR(INDEX(직원목록!$AH$7:$AH$306,MATCH(134,직원목록!$B$7:$B$306,0)),""))</f>
        <v/>
      </c>
      <c r="I146" s="27">
        <f>IF(OR($A146="",H146=""),"",G146-H146)</f>
        <v/>
      </c>
      <c r="J146" s="27">
        <f>IF($A146="","",IFERROR(INDEX(직원목록!$AF$7:$AF$306,MATCH(134,직원목록!$B$7:$B$306,0)),""))</f>
        <v/>
      </c>
      <c r="K146" s="27">
        <f>IF($A146="","",IFERROR(INDEX(직원목록!$AI$7:$AI$306,MATCH(134,직원목록!$B$7:$B$306,0)),""))</f>
        <v/>
      </c>
      <c r="L146" s="8">
        <f>IF($A146="","",IF(LEN(IF(AND(F146&lt;&gt;"",F146&lt;&gt;0),"계산 총지급과 대장 총지급이 다릅니다 / ","")&amp;IF(AND(I146&lt;&gt;"",I146&lt;&gt;0),"계산 총공제와 대장 총공제가 다릅니다 / ","")&amp;IF(J146&lt;0,"실수령액이 음수입니다 / ","")&amp;IF(COUNTIF(직원목록!$D$7:$D$306,B146)&gt;1,"같은 이름이 둘 이상 — 미리보기는 첫 번째만 보입니다 / ","")&amp;IF(AND(C146&lt;&gt;"",COUNTIF(직원목록!$C$7:$C$306,C146)&gt;1),"사번 중복 / ","")&amp;IF(D146=0,"총지급이 0원 — 머리글 매칭 확인 / ","")&amp;IF(AND(설정!$B$17&lt;&gt;"",설정!$C$17="",OR(ISNUMBER(FIND("연장",설정!$B$17)),ISNUMBER(FIND("야간",설정!$B$17)),ISNUMBER(FIND("휴일",설정!$B$17))),INDEX(직원목록!$F$7:$F$306,MATCH(134,직원목록!$B$7:$B$306,0))&gt;0),"연장·야간·휴일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","")&amp;IF(AND(설정!$B$24&lt;&gt;"",설정!$C$24="",OR(ISNUMBER(FIND("연장",설정!$B$24)),ISNUMBER(FIND("야간",설정!$B$24)),ISNUMBER(FIND("휴일",설정!$B$24))),INDEX(직원목록!$M$7:$M$306,MATCH(134,직원목록!$B$7:$B$306,0))&gt;0),"연장·야간·휴일 수당은 시간 수도 명세서에 적어야 하니 시간 열 지정 필요 / ",""))=0,"✔",("⚠ "&amp;IF(AND(F146&lt;&gt;"",F146&lt;&gt;0),"계산 총지급과 대장 총지급이 다릅니다 / ","")&amp;IF(AND(I146&lt;&gt;"",I146&lt;&gt;0),"계산 총공제와 대장 총공제가 다릅니다 / ","")&amp;IF(J146&lt;0,"실수령액이 음수입니다 / ","")&amp;IF(COUNTIF(직원목록!$D$7:$D$306,B146)&gt;1,"같은 이름이 둘 이상 — 미리보기는 첫 번째만 보입니다 / ","")&amp;IF(AND(C146&lt;&gt;"",COUNTIF(직원목록!$C$7:$C$306,C146)&gt;1),"사번 중복 / ","")&amp;IF(D146=0,"총지급이 0원 — 머리글 매칭 확인 / ","")&amp;IF(AND(설정!$B$17&lt;&gt;"",설정!$C$17="",OR(ISNUMBER(FIND("연장",설정!$B$17)),ISNUMBER(FIND("야간",설정!$B$17)),ISNUMBER(FIND("휴일",설정!$B$17))),INDEX(직원목록!$F$7:$F$306,MATCH(134,직원목록!$B$7:$B$306,0))&gt;0),"연장·야간·휴일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","")&amp;IF(AND(설정!$B$24&lt;&gt;"",설정!$C$24="",OR(ISNUMBER(FIND("연장",설정!$B$24)),ISNUMBER(FIND("야간",설정!$B$24)),ISNUMBER(FIND("휴일",설정!$B$24))),INDEX(직원목록!$M$7:$M$306,MATCH(134,직원목록!$B$7:$B$306,0))&gt;0),"연장·야간·휴일 수당은 시간 수도 명세서에 적어야 하니 시간 열 지정 필요 / ",""))))</f>
        <v/>
      </c>
    </row>
    <row r="147">
      <c r="A147" s="26">
        <f>IF(IFERROR(MATCH(135,직원목록!$B$7:$B$306,0),0)=0,"",135)</f>
        <v/>
      </c>
      <c r="B147" s="2">
        <f>IF($A147="","",IFERROR(INDEX(직원목록!$D$7:$D$306,MATCH(135,직원목록!$B$7:$B$306,0)),""))</f>
        <v/>
      </c>
      <c r="C147" s="2">
        <f>IF($A147="","",IFERROR(INDEX(직원목록!$C$7:$C$306,MATCH(135,직원목록!$B$7:$B$306,0)),""))</f>
        <v/>
      </c>
      <c r="D147" s="27">
        <f>IF($A147="","",IFERROR(INDEX(직원목록!$V$7:$V$306,MATCH(135,직원목록!$B$7:$B$306,0)),""))</f>
        <v/>
      </c>
      <c r="E147" s="27">
        <f>IF($A147="","",IFERROR(INDEX(직원목록!$AG$7:$AG$306,MATCH(135,직원목록!$B$7:$B$306,0)),""))</f>
        <v/>
      </c>
      <c r="F147" s="27">
        <f>IF(OR($A147="",E147=""),"",D147-E147)</f>
        <v/>
      </c>
      <c r="G147" s="27">
        <f>IF($A147="","",IFERROR(INDEX(직원목록!$AE$7:$AE$306,MATCH(135,직원목록!$B$7:$B$306,0)),""))</f>
        <v/>
      </c>
      <c r="H147" s="27">
        <f>IF($A147="","",IFERROR(INDEX(직원목록!$AH$7:$AH$306,MATCH(135,직원목록!$B$7:$B$306,0)),""))</f>
        <v/>
      </c>
      <c r="I147" s="27">
        <f>IF(OR($A147="",H147=""),"",G147-H147)</f>
        <v/>
      </c>
      <c r="J147" s="27">
        <f>IF($A147="","",IFERROR(INDEX(직원목록!$AF$7:$AF$306,MATCH(135,직원목록!$B$7:$B$306,0)),""))</f>
        <v/>
      </c>
      <c r="K147" s="27">
        <f>IF($A147="","",IFERROR(INDEX(직원목록!$AI$7:$AI$306,MATCH(135,직원목록!$B$7:$B$306,0)),""))</f>
        <v/>
      </c>
      <c r="L147" s="8">
        <f>IF($A147="","",IF(LEN(IF(AND(F147&lt;&gt;"",F147&lt;&gt;0),"계산 총지급과 대장 총지급이 다릅니다 / ","")&amp;IF(AND(I147&lt;&gt;"",I147&lt;&gt;0),"계산 총공제와 대장 총공제가 다릅니다 / ","")&amp;IF(J147&lt;0,"실수령액이 음수입니다 / ","")&amp;IF(COUNTIF(직원목록!$D$7:$D$306,B147)&gt;1,"같은 이름이 둘 이상 — 미리보기는 첫 번째만 보입니다 / ","")&amp;IF(AND(C147&lt;&gt;"",COUNTIF(직원목록!$C$7:$C$306,C147)&gt;1),"사번 중복 / ","")&amp;IF(D147=0,"총지급이 0원 — 머리글 매칭 확인 / ","")&amp;IF(AND(설정!$B$17&lt;&gt;"",설정!$C$17="",OR(ISNUMBER(FIND("연장",설정!$B$17)),ISNUMBER(FIND("야간",설정!$B$17)),ISNUMBER(FIND("휴일",설정!$B$17))),INDEX(직원목록!$F$7:$F$306,MATCH(135,직원목록!$B$7:$B$306,0))&gt;0),"연장·야간·휴일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","")&amp;IF(AND(설정!$B$24&lt;&gt;"",설정!$C$24="",OR(ISNUMBER(FIND("연장",설정!$B$24)),ISNUMBER(FIND("야간",설정!$B$24)),ISNUMBER(FIND("휴일",설정!$B$24))),INDEX(직원목록!$M$7:$M$306,MATCH(135,직원목록!$B$7:$B$306,0))&gt;0),"연장·야간·휴일 수당은 시간 수도 명세서에 적어야 하니 시간 열 지정 필요 / ",""))=0,"✔",("⚠ "&amp;IF(AND(F147&lt;&gt;"",F147&lt;&gt;0),"계산 총지급과 대장 총지급이 다릅니다 / ","")&amp;IF(AND(I147&lt;&gt;"",I147&lt;&gt;0),"계산 총공제와 대장 총공제가 다릅니다 / ","")&amp;IF(J147&lt;0,"실수령액이 음수입니다 / ","")&amp;IF(COUNTIF(직원목록!$D$7:$D$306,B147)&gt;1,"같은 이름이 둘 이상 — 미리보기는 첫 번째만 보입니다 / ","")&amp;IF(AND(C147&lt;&gt;"",COUNTIF(직원목록!$C$7:$C$306,C147)&gt;1),"사번 중복 / ","")&amp;IF(D147=0,"총지급이 0원 — 머리글 매칭 확인 / ","")&amp;IF(AND(설정!$B$17&lt;&gt;"",설정!$C$17="",OR(ISNUMBER(FIND("연장",설정!$B$17)),ISNUMBER(FIND("야간",설정!$B$17)),ISNUMBER(FIND("휴일",설정!$B$17))),INDEX(직원목록!$F$7:$F$306,MATCH(135,직원목록!$B$7:$B$306,0))&gt;0),"연장·야간·휴일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","")&amp;IF(AND(설정!$B$24&lt;&gt;"",설정!$C$24="",OR(ISNUMBER(FIND("연장",설정!$B$24)),ISNUMBER(FIND("야간",설정!$B$24)),ISNUMBER(FIND("휴일",설정!$B$24))),INDEX(직원목록!$M$7:$M$306,MATCH(135,직원목록!$B$7:$B$306,0))&gt;0),"연장·야간·휴일 수당은 시간 수도 명세서에 적어야 하니 시간 열 지정 필요 / ",""))))</f>
        <v/>
      </c>
    </row>
    <row r="148">
      <c r="A148" s="26">
        <f>IF(IFERROR(MATCH(136,직원목록!$B$7:$B$306,0),0)=0,"",136)</f>
        <v/>
      </c>
      <c r="B148" s="2">
        <f>IF($A148="","",IFERROR(INDEX(직원목록!$D$7:$D$306,MATCH(136,직원목록!$B$7:$B$306,0)),""))</f>
        <v/>
      </c>
      <c r="C148" s="2">
        <f>IF($A148="","",IFERROR(INDEX(직원목록!$C$7:$C$306,MATCH(136,직원목록!$B$7:$B$306,0)),""))</f>
        <v/>
      </c>
      <c r="D148" s="27">
        <f>IF($A148="","",IFERROR(INDEX(직원목록!$V$7:$V$306,MATCH(136,직원목록!$B$7:$B$306,0)),""))</f>
        <v/>
      </c>
      <c r="E148" s="27">
        <f>IF($A148="","",IFERROR(INDEX(직원목록!$AG$7:$AG$306,MATCH(136,직원목록!$B$7:$B$306,0)),""))</f>
        <v/>
      </c>
      <c r="F148" s="27">
        <f>IF(OR($A148="",E148=""),"",D148-E148)</f>
        <v/>
      </c>
      <c r="G148" s="27">
        <f>IF($A148="","",IFERROR(INDEX(직원목록!$AE$7:$AE$306,MATCH(136,직원목록!$B$7:$B$306,0)),""))</f>
        <v/>
      </c>
      <c r="H148" s="27">
        <f>IF($A148="","",IFERROR(INDEX(직원목록!$AH$7:$AH$306,MATCH(136,직원목록!$B$7:$B$306,0)),""))</f>
        <v/>
      </c>
      <c r="I148" s="27">
        <f>IF(OR($A148="",H148=""),"",G148-H148)</f>
        <v/>
      </c>
      <c r="J148" s="27">
        <f>IF($A148="","",IFERROR(INDEX(직원목록!$AF$7:$AF$306,MATCH(136,직원목록!$B$7:$B$306,0)),""))</f>
        <v/>
      </c>
      <c r="K148" s="27">
        <f>IF($A148="","",IFERROR(INDEX(직원목록!$AI$7:$AI$306,MATCH(136,직원목록!$B$7:$B$306,0)),""))</f>
        <v/>
      </c>
      <c r="L148" s="8">
        <f>IF($A148="","",IF(LEN(IF(AND(F148&lt;&gt;"",F148&lt;&gt;0),"계산 총지급과 대장 총지급이 다릅니다 / ","")&amp;IF(AND(I148&lt;&gt;"",I148&lt;&gt;0),"계산 총공제와 대장 총공제가 다릅니다 / ","")&amp;IF(J148&lt;0,"실수령액이 음수입니다 / ","")&amp;IF(COUNTIF(직원목록!$D$7:$D$306,B148)&gt;1,"같은 이름이 둘 이상 — 미리보기는 첫 번째만 보입니다 / ","")&amp;IF(AND(C148&lt;&gt;"",COUNTIF(직원목록!$C$7:$C$306,C148)&gt;1),"사번 중복 / ","")&amp;IF(D148=0,"총지급이 0원 — 머리글 매칭 확인 / ","")&amp;IF(AND(설정!$B$17&lt;&gt;"",설정!$C$17="",OR(ISNUMBER(FIND("연장",설정!$B$17)),ISNUMBER(FIND("야간",설정!$B$17)),ISNUMBER(FIND("휴일",설정!$B$17))),INDEX(직원목록!$F$7:$F$306,MATCH(136,직원목록!$B$7:$B$306,0))&gt;0),"연장·야간·휴일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","")&amp;IF(AND(설정!$B$24&lt;&gt;"",설정!$C$24="",OR(ISNUMBER(FIND("연장",설정!$B$24)),ISNUMBER(FIND("야간",설정!$B$24)),ISNUMBER(FIND("휴일",설정!$B$24))),INDEX(직원목록!$M$7:$M$306,MATCH(136,직원목록!$B$7:$B$306,0))&gt;0),"연장·야간·휴일 수당은 시간 수도 명세서에 적어야 하니 시간 열 지정 필요 / ",""))=0,"✔",("⚠ "&amp;IF(AND(F148&lt;&gt;"",F148&lt;&gt;0),"계산 총지급과 대장 총지급이 다릅니다 / ","")&amp;IF(AND(I148&lt;&gt;"",I148&lt;&gt;0),"계산 총공제와 대장 총공제가 다릅니다 / ","")&amp;IF(J148&lt;0,"실수령액이 음수입니다 / ","")&amp;IF(COUNTIF(직원목록!$D$7:$D$306,B148)&gt;1,"같은 이름이 둘 이상 — 미리보기는 첫 번째만 보입니다 / ","")&amp;IF(AND(C148&lt;&gt;"",COUNTIF(직원목록!$C$7:$C$306,C148)&gt;1),"사번 중복 / ","")&amp;IF(D148=0,"총지급이 0원 — 머리글 매칭 확인 / ","")&amp;IF(AND(설정!$B$17&lt;&gt;"",설정!$C$17="",OR(ISNUMBER(FIND("연장",설정!$B$17)),ISNUMBER(FIND("야간",설정!$B$17)),ISNUMBER(FIND("휴일",설정!$B$17))),INDEX(직원목록!$F$7:$F$306,MATCH(136,직원목록!$B$7:$B$306,0))&gt;0),"연장·야간·휴일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","")&amp;IF(AND(설정!$B$24&lt;&gt;"",설정!$C$24="",OR(ISNUMBER(FIND("연장",설정!$B$24)),ISNUMBER(FIND("야간",설정!$B$24)),ISNUMBER(FIND("휴일",설정!$B$24))),INDEX(직원목록!$M$7:$M$306,MATCH(136,직원목록!$B$7:$B$306,0))&gt;0),"연장·야간·휴일 수당은 시간 수도 명세서에 적어야 하니 시간 열 지정 필요 / ",""))))</f>
        <v/>
      </c>
    </row>
    <row r="149">
      <c r="A149" s="26">
        <f>IF(IFERROR(MATCH(137,직원목록!$B$7:$B$306,0),0)=0,"",137)</f>
        <v/>
      </c>
      <c r="B149" s="2">
        <f>IF($A149="","",IFERROR(INDEX(직원목록!$D$7:$D$306,MATCH(137,직원목록!$B$7:$B$306,0)),""))</f>
        <v/>
      </c>
      <c r="C149" s="2">
        <f>IF($A149="","",IFERROR(INDEX(직원목록!$C$7:$C$306,MATCH(137,직원목록!$B$7:$B$306,0)),""))</f>
        <v/>
      </c>
      <c r="D149" s="27">
        <f>IF($A149="","",IFERROR(INDEX(직원목록!$V$7:$V$306,MATCH(137,직원목록!$B$7:$B$306,0)),""))</f>
        <v/>
      </c>
      <c r="E149" s="27">
        <f>IF($A149="","",IFERROR(INDEX(직원목록!$AG$7:$AG$306,MATCH(137,직원목록!$B$7:$B$306,0)),""))</f>
        <v/>
      </c>
      <c r="F149" s="27">
        <f>IF(OR($A149="",E149=""),"",D149-E149)</f>
        <v/>
      </c>
      <c r="G149" s="27">
        <f>IF($A149="","",IFERROR(INDEX(직원목록!$AE$7:$AE$306,MATCH(137,직원목록!$B$7:$B$306,0)),""))</f>
        <v/>
      </c>
      <c r="H149" s="27">
        <f>IF($A149="","",IFERROR(INDEX(직원목록!$AH$7:$AH$306,MATCH(137,직원목록!$B$7:$B$306,0)),""))</f>
        <v/>
      </c>
      <c r="I149" s="27">
        <f>IF(OR($A149="",H149=""),"",G149-H149)</f>
        <v/>
      </c>
      <c r="J149" s="27">
        <f>IF($A149="","",IFERROR(INDEX(직원목록!$AF$7:$AF$306,MATCH(137,직원목록!$B$7:$B$306,0)),""))</f>
        <v/>
      </c>
      <c r="K149" s="27">
        <f>IF($A149="","",IFERROR(INDEX(직원목록!$AI$7:$AI$306,MATCH(137,직원목록!$B$7:$B$306,0)),""))</f>
        <v/>
      </c>
      <c r="L149" s="8">
        <f>IF($A149="","",IF(LEN(IF(AND(F149&lt;&gt;"",F149&lt;&gt;0),"계산 총지급과 대장 총지급이 다릅니다 / ","")&amp;IF(AND(I149&lt;&gt;"",I149&lt;&gt;0),"계산 총공제와 대장 총공제가 다릅니다 / ","")&amp;IF(J149&lt;0,"실수령액이 음수입니다 / ","")&amp;IF(COUNTIF(직원목록!$D$7:$D$306,B149)&gt;1,"같은 이름이 둘 이상 — 미리보기는 첫 번째만 보입니다 / ","")&amp;IF(AND(C149&lt;&gt;"",COUNTIF(직원목록!$C$7:$C$306,C149)&gt;1),"사번 중복 / ","")&amp;IF(D149=0,"총지급이 0원 — 머리글 매칭 확인 / ","")&amp;IF(AND(설정!$B$17&lt;&gt;"",설정!$C$17="",OR(ISNUMBER(FIND("연장",설정!$B$17)),ISNUMBER(FIND("야간",설정!$B$17)),ISNUMBER(FIND("휴일",설정!$B$17))),INDEX(직원목록!$F$7:$F$306,MATCH(137,직원목록!$B$7:$B$306,0))&gt;0),"연장·야간·휴일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","")&amp;IF(AND(설정!$B$24&lt;&gt;"",설정!$C$24="",OR(ISNUMBER(FIND("연장",설정!$B$24)),ISNUMBER(FIND("야간",설정!$B$24)),ISNUMBER(FIND("휴일",설정!$B$24))),INDEX(직원목록!$M$7:$M$306,MATCH(137,직원목록!$B$7:$B$306,0))&gt;0),"연장·야간·휴일 수당은 시간 수도 명세서에 적어야 하니 시간 열 지정 필요 / ",""))=0,"✔",("⚠ "&amp;IF(AND(F149&lt;&gt;"",F149&lt;&gt;0),"계산 총지급과 대장 총지급이 다릅니다 / ","")&amp;IF(AND(I149&lt;&gt;"",I149&lt;&gt;0),"계산 총공제와 대장 총공제가 다릅니다 / ","")&amp;IF(J149&lt;0,"실수령액이 음수입니다 / ","")&amp;IF(COUNTIF(직원목록!$D$7:$D$306,B149)&gt;1,"같은 이름이 둘 이상 — 미리보기는 첫 번째만 보입니다 / ","")&amp;IF(AND(C149&lt;&gt;"",COUNTIF(직원목록!$C$7:$C$306,C149)&gt;1),"사번 중복 / ","")&amp;IF(D149=0,"총지급이 0원 — 머리글 매칭 확인 / ","")&amp;IF(AND(설정!$B$17&lt;&gt;"",설정!$C$17="",OR(ISNUMBER(FIND("연장",설정!$B$17)),ISNUMBER(FIND("야간",설정!$B$17)),ISNUMBER(FIND("휴일",설정!$B$17))),INDEX(직원목록!$F$7:$F$306,MATCH(137,직원목록!$B$7:$B$306,0))&gt;0),"연장·야간·휴일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","")&amp;IF(AND(설정!$B$24&lt;&gt;"",설정!$C$24="",OR(ISNUMBER(FIND("연장",설정!$B$24)),ISNUMBER(FIND("야간",설정!$B$24)),ISNUMBER(FIND("휴일",설정!$B$24))),INDEX(직원목록!$M$7:$M$306,MATCH(137,직원목록!$B$7:$B$306,0))&gt;0),"연장·야간·휴일 수당은 시간 수도 명세서에 적어야 하니 시간 열 지정 필요 / ",""))))</f>
        <v/>
      </c>
    </row>
    <row r="150">
      <c r="A150" s="26">
        <f>IF(IFERROR(MATCH(138,직원목록!$B$7:$B$306,0),0)=0,"",138)</f>
        <v/>
      </c>
      <c r="B150" s="2">
        <f>IF($A150="","",IFERROR(INDEX(직원목록!$D$7:$D$306,MATCH(138,직원목록!$B$7:$B$306,0)),""))</f>
        <v/>
      </c>
      <c r="C150" s="2">
        <f>IF($A150="","",IFERROR(INDEX(직원목록!$C$7:$C$306,MATCH(138,직원목록!$B$7:$B$306,0)),""))</f>
        <v/>
      </c>
      <c r="D150" s="27">
        <f>IF($A150="","",IFERROR(INDEX(직원목록!$V$7:$V$306,MATCH(138,직원목록!$B$7:$B$306,0)),""))</f>
        <v/>
      </c>
      <c r="E150" s="27">
        <f>IF($A150="","",IFERROR(INDEX(직원목록!$AG$7:$AG$306,MATCH(138,직원목록!$B$7:$B$306,0)),""))</f>
        <v/>
      </c>
      <c r="F150" s="27">
        <f>IF(OR($A150="",E150=""),"",D150-E150)</f>
        <v/>
      </c>
      <c r="G150" s="27">
        <f>IF($A150="","",IFERROR(INDEX(직원목록!$AE$7:$AE$306,MATCH(138,직원목록!$B$7:$B$306,0)),""))</f>
        <v/>
      </c>
      <c r="H150" s="27">
        <f>IF($A150="","",IFERROR(INDEX(직원목록!$AH$7:$AH$306,MATCH(138,직원목록!$B$7:$B$306,0)),""))</f>
        <v/>
      </c>
      <c r="I150" s="27">
        <f>IF(OR($A150="",H150=""),"",G150-H150)</f>
        <v/>
      </c>
      <c r="J150" s="27">
        <f>IF($A150="","",IFERROR(INDEX(직원목록!$AF$7:$AF$306,MATCH(138,직원목록!$B$7:$B$306,0)),""))</f>
        <v/>
      </c>
      <c r="K150" s="27">
        <f>IF($A150="","",IFERROR(INDEX(직원목록!$AI$7:$AI$306,MATCH(138,직원목록!$B$7:$B$306,0)),""))</f>
        <v/>
      </c>
      <c r="L150" s="8">
        <f>IF($A150="","",IF(LEN(IF(AND(F150&lt;&gt;"",F150&lt;&gt;0),"계산 총지급과 대장 총지급이 다릅니다 / ","")&amp;IF(AND(I150&lt;&gt;"",I150&lt;&gt;0),"계산 총공제와 대장 총공제가 다릅니다 / ","")&amp;IF(J150&lt;0,"실수령액이 음수입니다 / ","")&amp;IF(COUNTIF(직원목록!$D$7:$D$306,B150)&gt;1,"같은 이름이 둘 이상 — 미리보기는 첫 번째만 보입니다 / ","")&amp;IF(AND(C150&lt;&gt;"",COUNTIF(직원목록!$C$7:$C$306,C150)&gt;1),"사번 중복 / ","")&amp;IF(D150=0,"총지급이 0원 — 머리글 매칭 확인 / ","")&amp;IF(AND(설정!$B$17&lt;&gt;"",설정!$C$17="",OR(ISNUMBER(FIND("연장",설정!$B$17)),ISNUMBER(FIND("야간",설정!$B$17)),ISNUMBER(FIND("휴일",설정!$B$17))),INDEX(직원목록!$F$7:$F$306,MATCH(138,직원목록!$B$7:$B$306,0))&gt;0),"연장·야간·휴일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","")&amp;IF(AND(설정!$B$24&lt;&gt;"",설정!$C$24="",OR(ISNUMBER(FIND("연장",설정!$B$24)),ISNUMBER(FIND("야간",설정!$B$24)),ISNUMBER(FIND("휴일",설정!$B$24))),INDEX(직원목록!$M$7:$M$306,MATCH(138,직원목록!$B$7:$B$306,0))&gt;0),"연장·야간·휴일 수당은 시간 수도 명세서에 적어야 하니 시간 열 지정 필요 / ",""))=0,"✔",("⚠ "&amp;IF(AND(F150&lt;&gt;"",F150&lt;&gt;0),"계산 총지급과 대장 총지급이 다릅니다 / ","")&amp;IF(AND(I150&lt;&gt;"",I150&lt;&gt;0),"계산 총공제와 대장 총공제가 다릅니다 / ","")&amp;IF(J150&lt;0,"실수령액이 음수입니다 / ","")&amp;IF(COUNTIF(직원목록!$D$7:$D$306,B150)&gt;1,"같은 이름이 둘 이상 — 미리보기는 첫 번째만 보입니다 / ","")&amp;IF(AND(C150&lt;&gt;"",COUNTIF(직원목록!$C$7:$C$306,C150)&gt;1),"사번 중복 / ","")&amp;IF(D150=0,"총지급이 0원 — 머리글 매칭 확인 / ","")&amp;IF(AND(설정!$B$17&lt;&gt;"",설정!$C$17="",OR(ISNUMBER(FIND("연장",설정!$B$17)),ISNUMBER(FIND("야간",설정!$B$17)),ISNUMBER(FIND("휴일",설정!$B$17))),INDEX(직원목록!$F$7:$F$306,MATCH(138,직원목록!$B$7:$B$306,0))&gt;0),"연장·야간·휴일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","")&amp;IF(AND(설정!$B$24&lt;&gt;"",설정!$C$24="",OR(ISNUMBER(FIND("연장",설정!$B$24)),ISNUMBER(FIND("야간",설정!$B$24)),ISNUMBER(FIND("휴일",설정!$B$24))),INDEX(직원목록!$M$7:$M$306,MATCH(138,직원목록!$B$7:$B$306,0))&gt;0),"연장·야간·휴일 수당은 시간 수도 명세서에 적어야 하니 시간 열 지정 필요 / ",""))))</f>
        <v/>
      </c>
    </row>
    <row r="151">
      <c r="A151" s="26">
        <f>IF(IFERROR(MATCH(139,직원목록!$B$7:$B$306,0),0)=0,"",139)</f>
        <v/>
      </c>
      <c r="B151" s="2">
        <f>IF($A151="","",IFERROR(INDEX(직원목록!$D$7:$D$306,MATCH(139,직원목록!$B$7:$B$306,0)),""))</f>
        <v/>
      </c>
      <c r="C151" s="2">
        <f>IF($A151="","",IFERROR(INDEX(직원목록!$C$7:$C$306,MATCH(139,직원목록!$B$7:$B$306,0)),""))</f>
        <v/>
      </c>
      <c r="D151" s="27">
        <f>IF($A151="","",IFERROR(INDEX(직원목록!$V$7:$V$306,MATCH(139,직원목록!$B$7:$B$306,0)),""))</f>
        <v/>
      </c>
      <c r="E151" s="27">
        <f>IF($A151="","",IFERROR(INDEX(직원목록!$AG$7:$AG$306,MATCH(139,직원목록!$B$7:$B$306,0)),""))</f>
        <v/>
      </c>
      <c r="F151" s="27">
        <f>IF(OR($A151="",E151=""),"",D151-E151)</f>
        <v/>
      </c>
      <c r="G151" s="27">
        <f>IF($A151="","",IFERROR(INDEX(직원목록!$AE$7:$AE$306,MATCH(139,직원목록!$B$7:$B$306,0)),""))</f>
        <v/>
      </c>
      <c r="H151" s="27">
        <f>IF($A151="","",IFERROR(INDEX(직원목록!$AH$7:$AH$306,MATCH(139,직원목록!$B$7:$B$306,0)),""))</f>
        <v/>
      </c>
      <c r="I151" s="27">
        <f>IF(OR($A151="",H151=""),"",G151-H151)</f>
        <v/>
      </c>
      <c r="J151" s="27">
        <f>IF($A151="","",IFERROR(INDEX(직원목록!$AF$7:$AF$306,MATCH(139,직원목록!$B$7:$B$306,0)),""))</f>
        <v/>
      </c>
      <c r="K151" s="27">
        <f>IF($A151="","",IFERROR(INDEX(직원목록!$AI$7:$AI$306,MATCH(139,직원목록!$B$7:$B$306,0)),""))</f>
        <v/>
      </c>
      <c r="L151" s="8">
        <f>IF($A151="","",IF(LEN(IF(AND(F151&lt;&gt;"",F151&lt;&gt;0),"계산 총지급과 대장 총지급이 다릅니다 / ","")&amp;IF(AND(I151&lt;&gt;"",I151&lt;&gt;0),"계산 총공제와 대장 총공제가 다릅니다 / ","")&amp;IF(J151&lt;0,"실수령액이 음수입니다 / ","")&amp;IF(COUNTIF(직원목록!$D$7:$D$306,B151)&gt;1,"같은 이름이 둘 이상 — 미리보기는 첫 번째만 보입니다 / ","")&amp;IF(AND(C151&lt;&gt;"",COUNTIF(직원목록!$C$7:$C$306,C151)&gt;1),"사번 중복 / ","")&amp;IF(D151=0,"총지급이 0원 — 머리글 매칭 확인 / ","")&amp;IF(AND(설정!$B$17&lt;&gt;"",설정!$C$17="",OR(ISNUMBER(FIND("연장",설정!$B$17)),ISNUMBER(FIND("야간",설정!$B$17)),ISNUMBER(FIND("휴일",설정!$B$17))),INDEX(직원목록!$F$7:$F$306,MATCH(139,직원목록!$B$7:$B$306,0))&gt;0),"연장·야간·휴일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","")&amp;IF(AND(설정!$B$24&lt;&gt;"",설정!$C$24="",OR(ISNUMBER(FIND("연장",설정!$B$24)),ISNUMBER(FIND("야간",설정!$B$24)),ISNUMBER(FIND("휴일",설정!$B$24))),INDEX(직원목록!$M$7:$M$306,MATCH(139,직원목록!$B$7:$B$306,0))&gt;0),"연장·야간·휴일 수당은 시간 수도 명세서에 적어야 하니 시간 열 지정 필요 / ",""))=0,"✔",("⚠ "&amp;IF(AND(F151&lt;&gt;"",F151&lt;&gt;0),"계산 총지급과 대장 총지급이 다릅니다 / ","")&amp;IF(AND(I151&lt;&gt;"",I151&lt;&gt;0),"계산 총공제와 대장 총공제가 다릅니다 / ","")&amp;IF(J151&lt;0,"실수령액이 음수입니다 / ","")&amp;IF(COUNTIF(직원목록!$D$7:$D$306,B151)&gt;1,"같은 이름이 둘 이상 — 미리보기는 첫 번째만 보입니다 / ","")&amp;IF(AND(C151&lt;&gt;"",COUNTIF(직원목록!$C$7:$C$306,C151)&gt;1),"사번 중복 / ","")&amp;IF(D151=0,"총지급이 0원 — 머리글 매칭 확인 / ","")&amp;IF(AND(설정!$B$17&lt;&gt;"",설정!$C$17="",OR(ISNUMBER(FIND("연장",설정!$B$17)),ISNUMBER(FIND("야간",설정!$B$17)),ISNUMBER(FIND("휴일",설정!$B$17))),INDEX(직원목록!$F$7:$F$306,MATCH(139,직원목록!$B$7:$B$306,0))&gt;0),"연장·야간·휴일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","")&amp;IF(AND(설정!$B$18&lt;&gt;"",설정!$C$18="",OR(ISNUMBER(FIND("연장",설정!$B$18)),ISNUMBER(FIND("야간",설정!$B$18)),ISNUMBER(FIND("휴일",설정!$B$18))),INDEX(직원목록!$G$7:$G$306,MATCH(139,직원목록!$B$7:$B$306,0))&gt;0),"연장·야간·휴일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","")&amp;IF(AND(설정!$B$19&lt;&gt;"",설정!$C$19="",OR(ISNUMBER(FIND("연장",설정!$B$19)),ISNUMBER(FIND("야간",설정!$B$19)),ISNUMBER(FIND("휴일",설정!$B$19))),INDEX(직원목록!$H$7:$H$306,MATCH(139,직원목록!$B$7:$B$306,0))&gt;0),"연장·야간·휴일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","")&amp;IF(AND(설정!$B$20&lt;&gt;"",설정!$C$20="",OR(ISNUMBER(FIND("연장",설정!$B$20)),ISNUMBER(FIND("야간",설정!$B$20)),ISNUMBER(FIND("휴일",설정!$B$20))),INDEX(직원목록!$I$7:$I$306,MATCH(139,직원목록!$B$7:$B$306,0))&gt;0),"연장·야간·휴일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","")&amp;IF(AND(설정!$B$21&lt;&gt;"",설정!$C$21="",OR(ISNUMBER(FIND("연장",설정!$B$21)),ISNUMBER(FIND("야간",설정!$B$21)),ISNUMBER(FIND("휴일",설정!$B$21))),INDEX(직원목록!$J$7:$J$306,MATCH(139,직원목록!$B$7:$B$306,0))&gt;0),"연장·야간·휴일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","")&amp;IF(AND(설정!$B$22&lt;&gt;"",설정!$C$22="",OR(ISNUMBER(FIND("연장",설정!$B$22)),ISNUMBER(FIND("야간",설정!$B$22)),ISNUMBER(FIND("휴일",설정!$B$22))),INDEX(직원목록!$K$7:$K$306,MATCH(139,직원목록!$B$7:$B$306,0))&gt;0),"연장·야간·휴일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","")&amp;IF(AND(설정!$B$23&lt;&gt;"",설정!$C$23="",OR(ISNUMBER(FIND("연장",설정!$B$23)),ISNUMBER(FIND("야간",설정!$B$23)),ISNUMBER(FIND("휴일",설정!$B$23))),INDEX(직원목록!$L$7:$L$306,MATCH(139,직원목록!$B$7:$B$306,0))&gt;0),"연장·야간·휴일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","")&amp;IF(AND(설정!$B$24&lt;&gt;"",설정!$C$24="",OR(ISNUMBER(FIND("연장",설정!$B$24)),ISNUMBER(FIND("야간",설정!$B$24)),ISNUMBER(FIND("휴일",설정!$B$24))),INDEX(직원목록!$M$7:$M$306,MATCH(139,직원목록!$B$7:$B$306,0))&gt;0),"연장·야간·휴일 수당은 시간 수도 명세서에 적어야 하니 시간 열 지정 필요 / ",""))))</f>
        <v/>
      </c>
    </row>
    <row r="152">
      <c r="A152" s="26">
        <f>IF(IFERROR(MATCH(140,직원목록!$B$7:$B$306,0),0)=0,"",140)</f>
        <v/>
      </c>
      <c r="B152" s="2">
        <f>IF($A152="","",IFERROR(INDEX(직원목록!$D$7:$D$306,MATCH(140,직원목록!$B$7:$B$306,0)),""))</f>
        <v/>
      </c>
      <c r="C152" s="2">
        <f>IF($A152="","",IFERROR(INDEX(직원목록!$C$7:$C$306,MATCH(140,직원목록!$B$7:$B$306,0)),""))</f>
        <v/>
      </c>
      <c r="D152" s="27">
        <f>IF($A152="","",IFERROR(INDEX(직원목록!$V$7:$V$306,MATCH(140,직원목록!$B$7:$B$306,0)),""))</f>
        <v/>
      </c>
      <c r="E152" s="27">
        <f>IF($A152="","",IFERROR(INDEX(직원목록!$AG$7:$AG$306,MATCH(140,직원목록!$B$7:$B$306,0)),""))</f>
        <v/>
      </c>
      <c r="F152" s="27">
        <f>IF(OR($A152="",E152=""),"",D152-E152)</f>
        <v/>
      </c>
      <c r="G152" s="27">
        <f>IF($A152="","",IFERROR(INDEX(직원목록!$AE$7:$AE$306,MATCH(140,직원목록!$B$7:$B$306,0)),""))</f>
        <v/>
      </c>
      <c r="H152" s="27">
        <f>IF($A152="","",IFERROR(INDEX(직원목록!$AH$7:$AH$306,MATCH(140,직원목록!$B$7:$B$306,0)),""))</f>
        <v/>
      </c>
      <c r="I152" s="27">
        <f>IF(OR($A152="",H152=""),"",G152-H152)</f>
        <v/>
      </c>
      <c r="J152" s="27">
        <f>IF($A152="","",IFERROR(INDEX(직원목록!$AF$7:$AF$306,MATCH(140,직원목록!$B$7:$B$306,0)),""))</f>
        <v/>
      </c>
      <c r="K152" s="27">
        <f>IF($A152="","",IFERROR(INDEX(직원목록!$AI$7:$AI$306,MATCH(140,직원목록!$B$7:$B$306,0)),""))</f>
        <v/>
      </c>
      <c r="L152" s="8">
        <f>IF($A152="","",IF(LEN(IF(AND(F152&lt;&gt;"",F152&lt;&gt;0),"계산 총지급과 대장 총지급이 다릅니다 / ","")&amp;IF(AND(I152&lt;&gt;"",I152&lt;&gt;0),"계산 총공제와 대장 총공제가 다릅니다 / ","")&amp;IF(J152&lt;0,"실수령액이 음수입니다 / ","")&amp;IF(COUNTIF(직원목록!$D$7:$D$306,B152)&gt;1,"같은 이름이 둘 이상 — 미리보기는 첫 번째만 보입니다 / ","")&amp;IF(AND(C152&lt;&gt;"",COUNTIF(직원목록!$C$7:$C$306,C152)&gt;1),"사번 중복 / ","")&amp;IF(D152=0,"총지급이 0원 — 머리글 매칭 확인 / ","")&amp;IF(AND(설정!$B$17&lt;&gt;"",설정!$C$17="",OR(ISNUMBER(FIND("연장",설정!$B$17)),ISNUMBER(FIND("야간",설정!$B$17)),ISNUMBER(FIND("휴일",설정!$B$17))),INDEX(직원목록!$F$7:$F$306,MATCH(140,직원목록!$B$7:$B$306,0))&gt;0),"연장·야간·휴일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","")&amp;IF(AND(설정!$B$24&lt;&gt;"",설정!$C$24="",OR(ISNUMBER(FIND("연장",설정!$B$24)),ISNUMBER(FIND("야간",설정!$B$24)),ISNUMBER(FIND("휴일",설정!$B$24))),INDEX(직원목록!$M$7:$M$306,MATCH(140,직원목록!$B$7:$B$306,0))&gt;0),"연장·야간·휴일 수당은 시간 수도 명세서에 적어야 하니 시간 열 지정 필요 / ",""))=0,"✔",("⚠ "&amp;IF(AND(F152&lt;&gt;"",F152&lt;&gt;0),"계산 총지급과 대장 총지급이 다릅니다 / ","")&amp;IF(AND(I152&lt;&gt;"",I152&lt;&gt;0),"계산 총공제와 대장 총공제가 다릅니다 / ","")&amp;IF(J152&lt;0,"실수령액이 음수입니다 / ","")&amp;IF(COUNTIF(직원목록!$D$7:$D$306,B152)&gt;1,"같은 이름이 둘 이상 — 미리보기는 첫 번째만 보입니다 / ","")&amp;IF(AND(C152&lt;&gt;"",COUNTIF(직원목록!$C$7:$C$306,C152)&gt;1),"사번 중복 / ","")&amp;IF(D152=0,"총지급이 0원 — 머리글 매칭 확인 / ","")&amp;IF(AND(설정!$B$17&lt;&gt;"",설정!$C$17="",OR(ISNUMBER(FIND("연장",설정!$B$17)),ISNUMBER(FIND("야간",설정!$B$17)),ISNUMBER(FIND("휴일",설정!$B$17))),INDEX(직원목록!$F$7:$F$306,MATCH(140,직원목록!$B$7:$B$306,0))&gt;0),"연장·야간·휴일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","")&amp;IF(AND(설정!$B$24&lt;&gt;"",설정!$C$24="",OR(ISNUMBER(FIND("연장",설정!$B$24)),ISNUMBER(FIND("야간",설정!$B$24)),ISNUMBER(FIND("휴일",설정!$B$24))),INDEX(직원목록!$M$7:$M$306,MATCH(140,직원목록!$B$7:$B$306,0))&gt;0),"연장·야간·휴일 수당은 시간 수도 명세서에 적어야 하니 시간 열 지정 필요 / ",""))))</f>
        <v/>
      </c>
    </row>
    <row r="153">
      <c r="A153" s="26">
        <f>IF(IFERROR(MATCH(141,직원목록!$B$7:$B$306,0),0)=0,"",141)</f>
        <v/>
      </c>
      <c r="B153" s="2">
        <f>IF($A153="","",IFERROR(INDEX(직원목록!$D$7:$D$306,MATCH(141,직원목록!$B$7:$B$306,0)),""))</f>
        <v/>
      </c>
      <c r="C153" s="2">
        <f>IF($A153="","",IFERROR(INDEX(직원목록!$C$7:$C$306,MATCH(141,직원목록!$B$7:$B$306,0)),""))</f>
        <v/>
      </c>
      <c r="D153" s="27">
        <f>IF($A153="","",IFERROR(INDEX(직원목록!$V$7:$V$306,MATCH(141,직원목록!$B$7:$B$306,0)),""))</f>
        <v/>
      </c>
      <c r="E153" s="27">
        <f>IF($A153="","",IFERROR(INDEX(직원목록!$AG$7:$AG$306,MATCH(141,직원목록!$B$7:$B$306,0)),""))</f>
        <v/>
      </c>
      <c r="F153" s="27">
        <f>IF(OR($A153="",E153=""),"",D153-E153)</f>
        <v/>
      </c>
      <c r="G153" s="27">
        <f>IF($A153="","",IFERROR(INDEX(직원목록!$AE$7:$AE$306,MATCH(141,직원목록!$B$7:$B$306,0)),""))</f>
        <v/>
      </c>
      <c r="H153" s="27">
        <f>IF($A153="","",IFERROR(INDEX(직원목록!$AH$7:$AH$306,MATCH(141,직원목록!$B$7:$B$306,0)),""))</f>
        <v/>
      </c>
      <c r="I153" s="27">
        <f>IF(OR($A153="",H153=""),"",G153-H153)</f>
        <v/>
      </c>
      <c r="J153" s="27">
        <f>IF($A153="","",IFERROR(INDEX(직원목록!$AF$7:$AF$306,MATCH(141,직원목록!$B$7:$B$306,0)),""))</f>
        <v/>
      </c>
      <c r="K153" s="27">
        <f>IF($A153="","",IFERROR(INDEX(직원목록!$AI$7:$AI$306,MATCH(141,직원목록!$B$7:$B$306,0)),""))</f>
        <v/>
      </c>
      <c r="L153" s="8">
        <f>IF($A153="","",IF(LEN(IF(AND(F153&lt;&gt;"",F153&lt;&gt;0),"계산 총지급과 대장 총지급이 다릅니다 / ","")&amp;IF(AND(I153&lt;&gt;"",I153&lt;&gt;0),"계산 총공제와 대장 총공제가 다릅니다 / ","")&amp;IF(J153&lt;0,"실수령액이 음수입니다 / ","")&amp;IF(COUNTIF(직원목록!$D$7:$D$306,B153)&gt;1,"같은 이름이 둘 이상 — 미리보기는 첫 번째만 보입니다 / ","")&amp;IF(AND(C153&lt;&gt;"",COUNTIF(직원목록!$C$7:$C$306,C153)&gt;1),"사번 중복 / ","")&amp;IF(D153=0,"총지급이 0원 — 머리글 매칭 확인 / ","")&amp;IF(AND(설정!$B$17&lt;&gt;"",설정!$C$17="",OR(ISNUMBER(FIND("연장",설정!$B$17)),ISNUMBER(FIND("야간",설정!$B$17)),ISNUMBER(FIND("휴일",설정!$B$17))),INDEX(직원목록!$F$7:$F$306,MATCH(141,직원목록!$B$7:$B$306,0))&gt;0),"연장·야간·휴일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","")&amp;IF(AND(설정!$B$24&lt;&gt;"",설정!$C$24="",OR(ISNUMBER(FIND("연장",설정!$B$24)),ISNUMBER(FIND("야간",설정!$B$24)),ISNUMBER(FIND("휴일",설정!$B$24))),INDEX(직원목록!$M$7:$M$306,MATCH(141,직원목록!$B$7:$B$306,0))&gt;0),"연장·야간·휴일 수당은 시간 수도 명세서에 적어야 하니 시간 열 지정 필요 / ",""))=0,"✔",("⚠ "&amp;IF(AND(F153&lt;&gt;"",F153&lt;&gt;0),"계산 총지급과 대장 총지급이 다릅니다 / ","")&amp;IF(AND(I153&lt;&gt;"",I153&lt;&gt;0),"계산 총공제와 대장 총공제가 다릅니다 / ","")&amp;IF(J153&lt;0,"실수령액이 음수입니다 / ","")&amp;IF(COUNTIF(직원목록!$D$7:$D$306,B153)&gt;1,"같은 이름이 둘 이상 — 미리보기는 첫 번째만 보입니다 / ","")&amp;IF(AND(C153&lt;&gt;"",COUNTIF(직원목록!$C$7:$C$306,C153)&gt;1),"사번 중복 / ","")&amp;IF(D153=0,"총지급이 0원 — 머리글 매칭 확인 / ","")&amp;IF(AND(설정!$B$17&lt;&gt;"",설정!$C$17="",OR(ISNUMBER(FIND("연장",설정!$B$17)),ISNUMBER(FIND("야간",설정!$B$17)),ISNUMBER(FIND("휴일",설정!$B$17))),INDEX(직원목록!$F$7:$F$306,MATCH(141,직원목록!$B$7:$B$306,0))&gt;0),"연장·야간·휴일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","")&amp;IF(AND(설정!$B$24&lt;&gt;"",설정!$C$24="",OR(ISNUMBER(FIND("연장",설정!$B$24)),ISNUMBER(FIND("야간",설정!$B$24)),ISNUMBER(FIND("휴일",설정!$B$24))),INDEX(직원목록!$M$7:$M$306,MATCH(141,직원목록!$B$7:$B$306,0))&gt;0),"연장·야간·휴일 수당은 시간 수도 명세서에 적어야 하니 시간 열 지정 필요 / ",""))))</f>
        <v/>
      </c>
    </row>
    <row r="154">
      <c r="A154" s="26">
        <f>IF(IFERROR(MATCH(142,직원목록!$B$7:$B$306,0),0)=0,"",142)</f>
        <v/>
      </c>
      <c r="B154" s="2">
        <f>IF($A154="","",IFERROR(INDEX(직원목록!$D$7:$D$306,MATCH(142,직원목록!$B$7:$B$306,0)),""))</f>
        <v/>
      </c>
      <c r="C154" s="2">
        <f>IF($A154="","",IFERROR(INDEX(직원목록!$C$7:$C$306,MATCH(142,직원목록!$B$7:$B$306,0)),""))</f>
        <v/>
      </c>
      <c r="D154" s="27">
        <f>IF($A154="","",IFERROR(INDEX(직원목록!$V$7:$V$306,MATCH(142,직원목록!$B$7:$B$306,0)),""))</f>
        <v/>
      </c>
      <c r="E154" s="27">
        <f>IF($A154="","",IFERROR(INDEX(직원목록!$AG$7:$AG$306,MATCH(142,직원목록!$B$7:$B$306,0)),""))</f>
        <v/>
      </c>
      <c r="F154" s="27">
        <f>IF(OR($A154="",E154=""),"",D154-E154)</f>
        <v/>
      </c>
      <c r="G154" s="27">
        <f>IF($A154="","",IFERROR(INDEX(직원목록!$AE$7:$AE$306,MATCH(142,직원목록!$B$7:$B$306,0)),""))</f>
        <v/>
      </c>
      <c r="H154" s="27">
        <f>IF($A154="","",IFERROR(INDEX(직원목록!$AH$7:$AH$306,MATCH(142,직원목록!$B$7:$B$306,0)),""))</f>
        <v/>
      </c>
      <c r="I154" s="27">
        <f>IF(OR($A154="",H154=""),"",G154-H154)</f>
        <v/>
      </c>
      <c r="J154" s="27">
        <f>IF($A154="","",IFERROR(INDEX(직원목록!$AF$7:$AF$306,MATCH(142,직원목록!$B$7:$B$306,0)),""))</f>
        <v/>
      </c>
      <c r="K154" s="27">
        <f>IF($A154="","",IFERROR(INDEX(직원목록!$AI$7:$AI$306,MATCH(142,직원목록!$B$7:$B$306,0)),""))</f>
        <v/>
      </c>
      <c r="L154" s="8">
        <f>IF($A154="","",IF(LEN(IF(AND(F154&lt;&gt;"",F154&lt;&gt;0),"계산 총지급과 대장 총지급이 다릅니다 / ","")&amp;IF(AND(I154&lt;&gt;"",I154&lt;&gt;0),"계산 총공제와 대장 총공제가 다릅니다 / ","")&amp;IF(J154&lt;0,"실수령액이 음수입니다 / ","")&amp;IF(COUNTIF(직원목록!$D$7:$D$306,B154)&gt;1,"같은 이름이 둘 이상 — 미리보기는 첫 번째만 보입니다 / ","")&amp;IF(AND(C154&lt;&gt;"",COUNTIF(직원목록!$C$7:$C$306,C154)&gt;1),"사번 중복 / ","")&amp;IF(D154=0,"총지급이 0원 — 머리글 매칭 확인 / ","")&amp;IF(AND(설정!$B$17&lt;&gt;"",설정!$C$17="",OR(ISNUMBER(FIND("연장",설정!$B$17)),ISNUMBER(FIND("야간",설정!$B$17)),ISNUMBER(FIND("휴일",설정!$B$17))),INDEX(직원목록!$F$7:$F$306,MATCH(142,직원목록!$B$7:$B$306,0))&gt;0),"연장·야간·휴일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","")&amp;IF(AND(설정!$B$24&lt;&gt;"",설정!$C$24="",OR(ISNUMBER(FIND("연장",설정!$B$24)),ISNUMBER(FIND("야간",설정!$B$24)),ISNUMBER(FIND("휴일",설정!$B$24))),INDEX(직원목록!$M$7:$M$306,MATCH(142,직원목록!$B$7:$B$306,0))&gt;0),"연장·야간·휴일 수당은 시간 수도 명세서에 적어야 하니 시간 열 지정 필요 / ",""))=0,"✔",("⚠ "&amp;IF(AND(F154&lt;&gt;"",F154&lt;&gt;0),"계산 총지급과 대장 총지급이 다릅니다 / ","")&amp;IF(AND(I154&lt;&gt;"",I154&lt;&gt;0),"계산 총공제와 대장 총공제가 다릅니다 / ","")&amp;IF(J154&lt;0,"실수령액이 음수입니다 / ","")&amp;IF(COUNTIF(직원목록!$D$7:$D$306,B154)&gt;1,"같은 이름이 둘 이상 — 미리보기는 첫 번째만 보입니다 / ","")&amp;IF(AND(C154&lt;&gt;"",COUNTIF(직원목록!$C$7:$C$306,C154)&gt;1),"사번 중복 / ","")&amp;IF(D154=0,"총지급이 0원 — 머리글 매칭 확인 / ","")&amp;IF(AND(설정!$B$17&lt;&gt;"",설정!$C$17="",OR(ISNUMBER(FIND("연장",설정!$B$17)),ISNUMBER(FIND("야간",설정!$B$17)),ISNUMBER(FIND("휴일",설정!$B$17))),INDEX(직원목록!$F$7:$F$306,MATCH(142,직원목록!$B$7:$B$306,0))&gt;0),"연장·야간·휴일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","")&amp;IF(AND(설정!$B$24&lt;&gt;"",설정!$C$24="",OR(ISNUMBER(FIND("연장",설정!$B$24)),ISNUMBER(FIND("야간",설정!$B$24)),ISNUMBER(FIND("휴일",설정!$B$24))),INDEX(직원목록!$M$7:$M$306,MATCH(142,직원목록!$B$7:$B$306,0))&gt;0),"연장·야간·휴일 수당은 시간 수도 명세서에 적어야 하니 시간 열 지정 필요 / ",""))))</f>
        <v/>
      </c>
    </row>
    <row r="155">
      <c r="A155" s="26">
        <f>IF(IFERROR(MATCH(143,직원목록!$B$7:$B$306,0),0)=0,"",143)</f>
        <v/>
      </c>
      <c r="B155" s="2">
        <f>IF($A155="","",IFERROR(INDEX(직원목록!$D$7:$D$306,MATCH(143,직원목록!$B$7:$B$306,0)),""))</f>
        <v/>
      </c>
      <c r="C155" s="2">
        <f>IF($A155="","",IFERROR(INDEX(직원목록!$C$7:$C$306,MATCH(143,직원목록!$B$7:$B$306,0)),""))</f>
        <v/>
      </c>
      <c r="D155" s="27">
        <f>IF($A155="","",IFERROR(INDEX(직원목록!$V$7:$V$306,MATCH(143,직원목록!$B$7:$B$306,0)),""))</f>
        <v/>
      </c>
      <c r="E155" s="27">
        <f>IF($A155="","",IFERROR(INDEX(직원목록!$AG$7:$AG$306,MATCH(143,직원목록!$B$7:$B$306,0)),""))</f>
        <v/>
      </c>
      <c r="F155" s="27">
        <f>IF(OR($A155="",E155=""),"",D155-E155)</f>
        <v/>
      </c>
      <c r="G155" s="27">
        <f>IF($A155="","",IFERROR(INDEX(직원목록!$AE$7:$AE$306,MATCH(143,직원목록!$B$7:$B$306,0)),""))</f>
        <v/>
      </c>
      <c r="H155" s="27">
        <f>IF($A155="","",IFERROR(INDEX(직원목록!$AH$7:$AH$306,MATCH(143,직원목록!$B$7:$B$306,0)),""))</f>
        <v/>
      </c>
      <c r="I155" s="27">
        <f>IF(OR($A155="",H155=""),"",G155-H155)</f>
        <v/>
      </c>
      <c r="J155" s="27">
        <f>IF($A155="","",IFERROR(INDEX(직원목록!$AF$7:$AF$306,MATCH(143,직원목록!$B$7:$B$306,0)),""))</f>
        <v/>
      </c>
      <c r="K155" s="27">
        <f>IF($A155="","",IFERROR(INDEX(직원목록!$AI$7:$AI$306,MATCH(143,직원목록!$B$7:$B$306,0)),""))</f>
        <v/>
      </c>
      <c r="L155" s="8">
        <f>IF($A155="","",IF(LEN(IF(AND(F155&lt;&gt;"",F155&lt;&gt;0),"계산 총지급과 대장 총지급이 다릅니다 / ","")&amp;IF(AND(I155&lt;&gt;"",I155&lt;&gt;0),"계산 총공제와 대장 총공제가 다릅니다 / ","")&amp;IF(J155&lt;0,"실수령액이 음수입니다 / ","")&amp;IF(COUNTIF(직원목록!$D$7:$D$306,B155)&gt;1,"같은 이름이 둘 이상 — 미리보기는 첫 번째만 보입니다 / ","")&amp;IF(AND(C155&lt;&gt;"",COUNTIF(직원목록!$C$7:$C$306,C155)&gt;1),"사번 중복 / ","")&amp;IF(D155=0,"총지급이 0원 — 머리글 매칭 확인 / ","")&amp;IF(AND(설정!$B$17&lt;&gt;"",설정!$C$17="",OR(ISNUMBER(FIND("연장",설정!$B$17)),ISNUMBER(FIND("야간",설정!$B$17)),ISNUMBER(FIND("휴일",설정!$B$17))),INDEX(직원목록!$F$7:$F$306,MATCH(143,직원목록!$B$7:$B$306,0))&gt;0),"연장·야간·휴일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","")&amp;IF(AND(설정!$B$24&lt;&gt;"",설정!$C$24="",OR(ISNUMBER(FIND("연장",설정!$B$24)),ISNUMBER(FIND("야간",설정!$B$24)),ISNUMBER(FIND("휴일",설정!$B$24))),INDEX(직원목록!$M$7:$M$306,MATCH(143,직원목록!$B$7:$B$306,0))&gt;0),"연장·야간·휴일 수당은 시간 수도 명세서에 적어야 하니 시간 열 지정 필요 / ",""))=0,"✔",("⚠ "&amp;IF(AND(F155&lt;&gt;"",F155&lt;&gt;0),"계산 총지급과 대장 총지급이 다릅니다 / ","")&amp;IF(AND(I155&lt;&gt;"",I155&lt;&gt;0),"계산 총공제와 대장 총공제가 다릅니다 / ","")&amp;IF(J155&lt;0,"실수령액이 음수입니다 / ","")&amp;IF(COUNTIF(직원목록!$D$7:$D$306,B155)&gt;1,"같은 이름이 둘 이상 — 미리보기는 첫 번째만 보입니다 / ","")&amp;IF(AND(C155&lt;&gt;"",COUNTIF(직원목록!$C$7:$C$306,C155)&gt;1),"사번 중복 / ","")&amp;IF(D155=0,"총지급이 0원 — 머리글 매칭 확인 / ","")&amp;IF(AND(설정!$B$17&lt;&gt;"",설정!$C$17="",OR(ISNUMBER(FIND("연장",설정!$B$17)),ISNUMBER(FIND("야간",설정!$B$17)),ISNUMBER(FIND("휴일",설정!$B$17))),INDEX(직원목록!$F$7:$F$306,MATCH(143,직원목록!$B$7:$B$306,0))&gt;0),"연장·야간·휴일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","")&amp;IF(AND(설정!$B$24&lt;&gt;"",설정!$C$24="",OR(ISNUMBER(FIND("연장",설정!$B$24)),ISNUMBER(FIND("야간",설정!$B$24)),ISNUMBER(FIND("휴일",설정!$B$24))),INDEX(직원목록!$M$7:$M$306,MATCH(143,직원목록!$B$7:$B$306,0))&gt;0),"연장·야간·휴일 수당은 시간 수도 명세서에 적어야 하니 시간 열 지정 필요 / ",""))))</f>
        <v/>
      </c>
    </row>
    <row r="156">
      <c r="A156" s="26">
        <f>IF(IFERROR(MATCH(144,직원목록!$B$7:$B$306,0),0)=0,"",144)</f>
        <v/>
      </c>
      <c r="B156" s="2">
        <f>IF($A156="","",IFERROR(INDEX(직원목록!$D$7:$D$306,MATCH(144,직원목록!$B$7:$B$306,0)),""))</f>
        <v/>
      </c>
      <c r="C156" s="2">
        <f>IF($A156="","",IFERROR(INDEX(직원목록!$C$7:$C$306,MATCH(144,직원목록!$B$7:$B$306,0)),""))</f>
        <v/>
      </c>
      <c r="D156" s="27">
        <f>IF($A156="","",IFERROR(INDEX(직원목록!$V$7:$V$306,MATCH(144,직원목록!$B$7:$B$306,0)),""))</f>
        <v/>
      </c>
      <c r="E156" s="27">
        <f>IF($A156="","",IFERROR(INDEX(직원목록!$AG$7:$AG$306,MATCH(144,직원목록!$B$7:$B$306,0)),""))</f>
        <v/>
      </c>
      <c r="F156" s="27">
        <f>IF(OR($A156="",E156=""),"",D156-E156)</f>
        <v/>
      </c>
      <c r="G156" s="27">
        <f>IF($A156="","",IFERROR(INDEX(직원목록!$AE$7:$AE$306,MATCH(144,직원목록!$B$7:$B$306,0)),""))</f>
        <v/>
      </c>
      <c r="H156" s="27">
        <f>IF($A156="","",IFERROR(INDEX(직원목록!$AH$7:$AH$306,MATCH(144,직원목록!$B$7:$B$306,0)),""))</f>
        <v/>
      </c>
      <c r="I156" s="27">
        <f>IF(OR($A156="",H156=""),"",G156-H156)</f>
        <v/>
      </c>
      <c r="J156" s="27">
        <f>IF($A156="","",IFERROR(INDEX(직원목록!$AF$7:$AF$306,MATCH(144,직원목록!$B$7:$B$306,0)),""))</f>
        <v/>
      </c>
      <c r="K156" s="27">
        <f>IF($A156="","",IFERROR(INDEX(직원목록!$AI$7:$AI$306,MATCH(144,직원목록!$B$7:$B$306,0)),""))</f>
        <v/>
      </c>
      <c r="L156" s="8">
        <f>IF($A156="","",IF(LEN(IF(AND(F156&lt;&gt;"",F156&lt;&gt;0),"계산 총지급과 대장 총지급이 다릅니다 / ","")&amp;IF(AND(I156&lt;&gt;"",I156&lt;&gt;0),"계산 총공제와 대장 총공제가 다릅니다 / ","")&amp;IF(J156&lt;0,"실수령액이 음수입니다 / ","")&amp;IF(COUNTIF(직원목록!$D$7:$D$306,B156)&gt;1,"같은 이름이 둘 이상 — 미리보기는 첫 번째만 보입니다 / ","")&amp;IF(AND(C156&lt;&gt;"",COUNTIF(직원목록!$C$7:$C$306,C156)&gt;1),"사번 중복 / ","")&amp;IF(D156=0,"총지급이 0원 — 머리글 매칭 확인 / ","")&amp;IF(AND(설정!$B$17&lt;&gt;"",설정!$C$17="",OR(ISNUMBER(FIND("연장",설정!$B$17)),ISNUMBER(FIND("야간",설정!$B$17)),ISNUMBER(FIND("휴일",설정!$B$17))),INDEX(직원목록!$F$7:$F$306,MATCH(144,직원목록!$B$7:$B$306,0))&gt;0),"연장·야간·휴일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","")&amp;IF(AND(설정!$B$24&lt;&gt;"",설정!$C$24="",OR(ISNUMBER(FIND("연장",설정!$B$24)),ISNUMBER(FIND("야간",설정!$B$24)),ISNUMBER(FIND("휴일",설정!$B$24))),INDEX(직원목록!$M$7:$M$306,MATCH(144,직원목록!$B$7:$B$306,0))&gt;0),"연장·야간·휴일 수당은 시간 수도 명세서에 적어야 하니 시간 열 지정 필요 / ",""))=0,"✔",("⚠ "&amp;IF(AND(F156&lt;&gt;"",F156&lt;&gt;0),"계산 총지급과 대장 총지급이 다릅니다 / ","")&amp;IF(AND(I156&lt;&gt;"",I156&lt;&gt;0),"계산 총공제와 대장 총공제가 다릅니다 / ","")&amp;IF(J156&lt;0,"실수령액이 음수입니다 / ","")&amp;IF(COUNTIF(직원목록!$D$7:$D$306,B156)&gt;1,"같은 이름이 둘 이상 — 미리보기는 첫 번째만 보입니다 / ","")&amp;IF(AND(C156&lt;&gt;"",COUNTIF(직원목록!$C$7:$C$306,C156)&gt;1),"사번 중복 / ","")&amp;IF(D156=0,"총지급이 0원 — 머리글 매칭 확인 / ","")&amp;IF(AND(설정!$B$17&lt;&gt;"",설정!$C$17="",OR(ISNUMBER(FIND("연장",설정!$B$17)),ISNUMBER(FIND("야간",설정!$B$17)),ISNUMBER(FIND("휴일",설정!$B$17))),INDEX(직원목록!$F$7:$F$306,MATCH(144,직원목록!$B$7:$B$306,0))&gt;0),"연장·야간·휴일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","")&amp;IF(AND(설정!$B$24&lt;&gt;"",설정!$C$24="",OR(ISNUMBER(FIND("연장",설정!$B$24)),ISNUMBER(FIND("야간",설정!$B$24)),ISNUMBER(FIND("휴일",설정!$B$24))),INDEX(직원목록!$M$7:$M$306,MATCH(144,직원목록!$B$7:$B$306,0))&gt;0),"연장·야간·휴일 수당은 시간 수도 명세서에 적어야 하니 시간 열 지정 필요 / ",""))))</f>
        <v/>
      </c>
    </row>
    <row r="157">
      <c r="A157" s="26">
        <f>IF(IFERROR(MATCH(145,직원목록!$B$7:$B$306,0),0)=0,"",145)</f>
        <v/>
      </c>
      <c r="B157" s="2">
        <f>IF($A157="","",IFERROR(INDEX(직원목록!$D$7:$D$306,MATCH(145,직원목록!$B$7:$B$306,0)),""))</f>
        <v/>
      </c>
      <c r="C157" s="2">
        <f>IF($A157="","",IFERROR(INDEX(직원목록!$C$7:$C$306,MATCH(145,직원목록!$B$7:$B$306,0)),""))</f>
        <v/>
      </c>
      <c r="D157" s="27">
        <f>IF($A157="","",IFERROR(INDEX(직원목록!$V$7:$V$306,MATCH(145,직원목록!$B$7:$B$306,0)),""))</f>
        <v/>
      </c>
      <c r="E157" s="27">
        <f>IF($A157="","",IFERROR(INDEX(직원목록!$AG$7:$AG$306,MATCH(145,직원목록!$B$7:$B$306,0)),""))</f>
        <v/>
      </c>
      <c r="F157" s="27">
        <f>IF(OR($A157="",E157=""),"",D157-E157)</f>
        <v/>
      </c>
      <c r="G157" s="27">
        <f>IF($A157="","",IFERROR(INDEX(직원목록!$AE$7:$AE$306,MATCH(145,직원목록!$B$7:$B$306,0)),""))</f>
        <v/>
      </c>
      <c r="H157" s="27">
        <f>IF($A157="","",IFERROR(INDEX(직원목록!$AH$7:$AH$306,MATCH(145,직원목록!$B$7:$B$306,0)),""))</f>
        <v/>
      </c>
      <c r="I157" s="27">
        <f>IF(OR($A157="",H157=""),"",G157-H157)</f>
        <v/>
      </c>
      <c r="J157" s="27">
        <f>IF($A157="","",IFERROR(INDEX(직원목록!$AF$7:$AF$306,MATCH(145,직원목록!$B$7:$B$306,0)),""))</f>
        <v/>
      </c>
      <c r="K157" s="27">
        <f>IF($A157="","",IFERROR(INDEX(직원목록!$AI$7:$AI$306,MATCH(145,직원목록!$B$7:$B$306,0)),""))</f>
        <v/>
      </c>
      <c r="L157" s="8">
        <f>IF($A157="","",IF(LEN(IF(AND(F157&lt;&gt;"",F157&lt;&gt;0),"계산 총지급과 대장 총지급이 다릅니다 / ","")&amp;IF(AND(I157&lt;&gt;"",I157&lt;&gt;0),"계산 총공제와 대장 총공제가 다릅니다 / ","")&amp;IF(J157&lt;0,"실수령액이 음수입니다 / ","")&amp;IF(COUNTIF(직원목록!$D$7:$D$306,B157)&gt;1,"같은 이름이 둘 이상 — 미리보기는 첫 번째만 보입니다 / ","")&amp;IF(AND(C157&lt;&gt;"",COUNTIF(직원목록!$C$7:$C$306,C157)&gt;1),"사번 중복 / ","")&amp;IF(D157=0,"총지급이 0원 — 머리글 매칭 확인 / ","")&amp;IF(AND(설정!$B$17&lt;&gt;"",설정!$C$17="",OR(ISNUMBER(FIND("연장",설정!$B$17)),ISNUMBER(FIND("야간",설정!$B$17)),ISNUMBER(FIND("휴일",설정!$B$17))),INDEX(직원목록!$F$7:$F$306,MATCH(145,직원목록!$B$7:$B$306,0))&gt;0),"연장·야간·휴일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","")&amp;IF(AND(설정!$B$24&lt;&gt;"",설정!$C$24="",OR(ISNUMBER(FIND("연장",설정!$B$24)),ISNUMBER(FIND("야간",설정!$B$24)),ISNUMBER(FIND("휴일",설정!$B$24))),INDEX(직원목록!$M$7:$M$306,MATCH(145,직원목록!$B$7:$B$306,0))&gt;0),"연장·야간·휴일 수당은 시간 수도 명세서에 적어야 하니 시간 열 지정 필요 / ",""))=0,"✔",("⚠ "&amp;IF(AND(F157&lt;&gt;"",F157&lt;&gt;0),"계산 총지급과 대장 총지급이 다릅니다 / ","")&amp;IF(AND(I157&lt;&gt;"",I157&lt;&gt;0),"계산 총공제와 대장 총공제가 다릅니다 / ","")&amp;IF(J157&lt;0,"실수령액이 음수입니다 / ","")&amp;IF(COUNTIF(직원목록!$D$7:$D$306,B157)&gt;1,"같은 이름이 둘 이상 — 미리보기는 첫 번째만 보입니다 / ","")&amp;IF(AND(C157&lt;&gt;"",COUNTIF(직원목록!$C$7:$C$306,C157)&gt;1),"사번 중복 / ","")&amp;IF(D157=0,"총지급이 0원 — 머리글 매칭 확인 / ","")&amp;IF(AND(설정!$B$17&lt;&gt;"",설정!$C$17="",OR(ISNUMBER(FIND("연장",설정!$B$17)),ISNUMBER(FIND("야간",설정!$B$17)),ISNUMBER(FIND("휴일",설정!$B$17))),INDEX(직원목록!$F$7:$F$306,MATCH(145,직원목록!$B$7:$B$306,0))&gt;0),"연장·야간·휴일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","")&amp;IF(AND(설정!$B$24&lt;&gt;"",설정!$C$24="",OR(ISNUMBER(FIND("연장",설정!$B$24)),ISNUMBER(FIND("야간",설정!$B$24)),ISNUMBER(FIND("휴일",설정!$B$24))),INDEX(직원목록!$M$7:$M$306,MATCH(145,직원목록!$B$7:$B$306,0))&gt;0),"연장·야간·휴일 수당은 시간 수도 명세서에 적어야 하니 시간 열 지정 필요 / ",""))))</f>
        <v/>
      </c>
    </row>
    <row r="158">
      <c r="A158" s="26">
        <f>IF(IFERROR(MATCH(146,직원목록!$B$7:$B$306,0),0)=0,"",146)</f>
        <v/>
      </c>
      <c r="B158" s="2">
        <f>IF($A158="","",IFERROR(INDEX(직원목록!$D$7:$D$306,MATCH(146,직원목록!$B$7:$B$306,0)),""))</f>
        <v/>
      </c>
      <c r="C158" s="2">
        <f>IF($A158="","",IFERROR(INDEX(직원목록!$C$7:$C$306,MATCH(146,직원목록!$B$7:$B$306,0)),""))</f>
        <v/>
      </c>
      <c r="D158" s="27">
        <f>IF($A158="","",IFERROR(INDEX(직원목록!$V$7:$V$306,MATCH(146,직원목록!$B$7:$B$306,0)),""))</f>
        <v/>
      </c>
      <c r="E158" s="27">
        <f>IF($A158="","",IFERROR(INDEX(직원목록!$AG$7:$AG$306,MATCH(146,직원목록!$B$7:$B$306,0)),""))</f>
        <v/>
      </c>
      <c r="F158" s="27">
        <f>IF(OR($A158="",E158=""),"",D158-E158)</f>
        <v/>
      </c>
      <c r="G158" s="27">
        <f>IF($A158="","",IFERROR(INDEX(직원목록!$AE$7:$AE$306,MATCH(146,직원목록!$B$7:$B$306,0)),""))</f>
        <v/>
      </c>
      <c r="H158" s="27">
        <f>IF($A158="","",IFERROR(INDEX(직원목록!$AH$7:$AH$306,MATCH(146,직원목록!$B$7:$B$306,0)),""))</f>
        <v/>
      </c>
      <c r="I158" s="27">
        <f>IF(OR($A158="",H158=""),"",G158-H158)</f>
        <v/>
      </c>
      <c r="J158" s="27">
        <f>IF($A158="","",IFERROR(INDEX(직원목록!$AF$7:$AF$306,MATCH(146,직원목록!$B$7:$B$306,0)),""))</f>
        <v/>
      </c>
      <c r="K158" s="27">
        <f>IF($A158="","",IFERROR(INDEX(직원목록!$AI$7:$AI$306,MATCH(146,직원목록!$B$7:$B$306,0)),""))</f>
        <v/>
      </c>
      <c r="L158" s="8">
        <f>IF($A158="","",IF(LEN(IF(AND(F158&lt;&gt;"",F158&lt;&gt;0),"계산 총지급과 대장 총지급이 다릅니다 / ","")&amp;IF(AND(I158&lt;&gt;"",I158&lt;&gt;0),"계산 총공제와 대장 총공제가 다릅니다 / ","")&amp;IF(J158&lt;0,"실수령액이 음수입니다 / ","")&amp;IF(COUNTIF(직원목록!$D$7:$D$306,B158)&gt;1,"같은 이름이 둘 이상 — 미리보기는 첫 번째만 보입니다 / ","")&amp;IF(AND(C158&lt;&gt;"",COUNTIF(직원목록!$C$7:$C$306,C158)&gt;1),"사번 중복 / ","")&amp;IF(D158=0,"총지급이 0원 — 머리글 매칭 확인 / ","")&amp;IF(AND(설정!$B$17&lt;&gt;"",설정!$C$17="",OR(ISNUMBER(FIND("연장",설정!$B$17)),ISNUMBER(FIND("야간",설정!$B$17)),ISNUMBER(FIND("휴일",설정!$B$17))),INDEX(직원목록!$F$7:$F$306,MATCH(146,직원목록!$B$7:$B$306,0))&gt;0),"연장·야간·휴일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","")&amp;IF(AND(설정!$B$24&lt;&gt;"",설정!$C$24="",OR(ISNUMBER(FIND("연장",설정!$B$24)),ISNUMBER(FIND("야간",설정!$B$24)),ISNUMBER(FIND("휴일",설정!$B$24))),INDEX(직원목록!$M$7:$M$306,MATCH(146,직원목록!$B$7:$B$306,0))&gt;0),"연장·야간·휴일 수당은 시간 수도 명세서에 적어야 하니 시간 열 지정 필요 / ",""))=0,"✔",("⚠ "&amp;IF(AND(F158&lt;&gt;"",F158&lt;&gt;0),"계산 총지급과 대장 총지급이 다릅니다 / ","")&amp;IF(AND(I158&lt;&gt;"",I158&lt;&gt;0),"계산 총공제와 대장 총공제가 다릅니다 / ","")&amp;IF(J158&lt;0,"실수령액이 음수입니다 / ","")&amp;IF(COUNTIF(직원목록!$D$7:$D$306,B158)&gt;1,"같은 이름이 둘 이상 — 미리보기는 첫 번째만 보입니다 / ","")&amp;IF(AND(C158&lt;&gt;"",COUNTIF(직원목록!$C$7:$C$306,C158)&gt;1),"사번 중복 / ","")&amp;IF(D158=0,"총지급이 0원 — 머리글 매칭 확인 / ","")&amp;IF(AND(설정!$B$17&lt;&gt;"",설정!$C$17="",OR(ISNUMBER(FIND("연장",설정!$B$17)),ISNUMBER(FIND("야간",설정!$B$17)),ISNUMBER(FIND("휴일",설정!$B$17))),INDEX(직원목록!$F$7:$F$306,MATCH(146,직원목록!$B$7:$B$306,0))&gt;0),"연장·야간·휴일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","")&amp;IF(AND(설정!$B$24&lt;&gt;"",설정!$C$24="",OR(ISNUMBER(FIND("연장",설정!$B$24)),ISNUMBER(FIND("야간",설정!$B$24)),ISNUMBER(FIND("휴일",설정!$B$24))),INDEX(직원목록!$M$7:$M$306,MATCH(146,직원목록!$B$7:$B$306,0))&gt;0),"연장·야간·휴일 수당은 시간 수도 명세서에 적어야 하니 시간 열 지정 필요 / ",""))))</f>
        <v/>
      </c>
    </row>
    <row r="159">
      <c r="A159" s="26">
        <f>IF(IFERROR(MATCH(147,직원목록!$B$7:$B$306,0),0)=0,"",147)</f>
        <v/>
      </c>
      <c r="B159" s="2">
        <f>IF($A159="","",IFERROR(INDEX(직원목록!$D$7:$D$306,MATCH(147,직원목록!$B$7:$B$306,0)),""))</f>
        <v/>
      </c>
      <c r="C159" s="2">
        <f>IF($A159="","",IFERROR(INDEX(직원목록!$C$7:$C$306,MATCH(147,직원목록!$B$7:$B$306,0)),""))</f>
        <v/>
      </c>
      <c r="D159" s="27">
        <f>IF($A159="","",IFERROR(INDEX(직원목록!$V$7:$V$306,MATCH(147,직원목록!$B$7:$B$306,0)),""))</f>
        <v/>
      </c>
      <c r="E159" s="27">
        <f>IF($A159="","",IFERROR(INDEX(직원목록!$AG$7:$AG$306,MATCH(147,직원목록!$B$7:$B$306,0)),""))</f>
        <v/>
      </c>
      <c r="F159" s="27">
        <f>IF(OR($A159="",E159=""),"",D159-E159)</f>
        <v/>
      </c>
      <c r="G159" s="27">
        <f>IF($A159="","",IFERROR(INDEX(직원목록!$AE$7:$AE$306,MATCH(147,직원목록!$B$7:$B$306,0)),""))</f>
        <v/>
      </c>
      <c r="H159" s="27">
        <f>IF($A159="","",IFERROR(INDEX(직원목록!$AH$7:$AH$306,MATCH(147,직원목록!$B$7:$B$306,0)),""))</f>
        <v/>
      </c>
      <c r="I159" s="27">
        <f>IF(OR($A159="",H159=""),"",G159-H159)</f>
        <v/>
      </c>
      <c r="J159" s="27">
        <f>IF($A159="","",IFERROR(INDEX(직원목록!$AF$7:$AF$306,MATCH(147,직원목록!$B$7:$B$306,0)),""))</f>
        <v/>
      </c>
      <c r="K159" s="27">
        <f>IF($A159="","",IFERROR(INDEX(직원목록!$AI$7:$AI$306,MATCH(147,직원목록!$B$7:$B$306,0)),""))</f>
        <v/>
      </c>
      <c r="L159" s="8">
        <f>IF($A159="","",IF(LEN(IF(AND(F159&lt;&gt;"",F159&lt;&gt;0),"계산 총지급과 대장 총지급이 다릅니다 / ","")&amp;IF(AND(I159&lt;&gt;"",I159&lt;&gt;0),"계산 총공제와 대장 총공제가 다릅니다 / ","")&amp;IF(J159&lt;0,"실수령액이 음수입니다 / ","")&amp;IF(COUNTIF(직원목록!$D$7:$D$306,B159)&gt;1,"같은 이름이 둘 이상 — 미리보기는 첫 번째만 보입니다 / ","")&amp;IF(AND(C159&lt;&gt;"",COUNTIF(직원목록!$C$7:$C$306,C159)&gt;1),"사번 중복 / ","")&amp;IF(D159=0,"총지급이 0원 — 머리글 매칭 확인 / ","")&amp;IF(AND(설정!$B$17&lt;&gt;"",설정!$C$17="",OR(ISNUMBER(FIND("연장",설정!$B$17)),ISNUMBER(FIND("야간",설정!$B$17)),ISNUMBER(FIND("휴일",설정!$B$17))),INDEX(직원목록!$F$7:$F$306,MATCH(147,직원목록!$B$7:$B$306,0))&gt;0),"연장·야간·휴일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","")&amp;IF(AND(설정!$B$24&lt;&gt;"",설정!$C$24="",OR(ISNUMBER(FIND("연장",설정!$B$24)),ISNUMBER(FIND("야간",설정!$B$24)),ISNUMBER(FIND("휴일",설정!$B$24))),INDEX(직원목록!$M$7:$M$306,MATCH(147,직원목록!$B$7:$B$306,0))&gt;0),"연장·야간·휴일 수당은 시간 수도 명세서에 적어야 하니 시간 열 지정 필요 / ",""))=0,"✔",("⚠ "&amp;IF(AND(F159&lt;&gt;"",F159&lt;&gt;0),"계산 총지급과 대장 총지급이 다릅니다 / ","")&amp;IF(AND(I159&lt;&gt;"",I159&lt;&gt;0),"계산 총공제와 대장 총공제가 다릅니다 / ","")&amp;IF(J159&lt;0,"실수령액이 음수입니다 / ","")&amp;IF(COUNTIF(직원목록!$D$7:$D$306,B159)&gt;1,"같은 이름이 둘 이상 — 미리보기는 첫 번째만 보입니다 / ","")&amp;IF(AND(C159&lt;&gt;"",COUNTIF(직원목록!$C$7:$C$306,C159)&gt;1),"사번 중복 / ","")&amp;IF(D159=0,"총지급이 0원 — 머리글 매칭 확인 / ","")&amp;IF(AND(설정!$B$17&lt;&gt;"",설정!$C$17="",OR(ISNUMBER(FIND("연장",설정!$B$17)),ISNUMBER(FIND("야간",설정!$B$17)),ISNUMBER(FIND("휴일",설정!$B$17))),INDEX(직원목록!$F$7:$F$306,MATCH(147,직원목록!$B$7:$B$306,0))&gt;0),"연장·야간·휴일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","")&amp;IF(AND(설정!$B$24&lt;&gt;"",설정!$C$24="",OR(ISNUMBER(FIND("연장",설정!$B$24)),ISNUMBER(FIND("야간",설정!$B$24)),ISNUMBER(FIND("휴일",설정!$B$24))),INDEX(직원목록!$M$7:$M$306,MATCH(147,직원목록!$B$7:$B$306,0))&gt;0),"연장·야간·휴일 수당은 시간 수도 명세서에 적어야 하니 시간 열 지정 필요 / ",""))))</f>
        <v/>
      </c>
    </row>
    <row r="160">
      <c r="A160" s="26">
        <f>IF(IFERROR(MATCH(148,직원목록!$B$7:$B$306,0),0)=0,"",148)</f>
        <v/>
      </c>
      <c r="B160" s="2">
        <f>IF($A160="","",IFERROR(INDEX(직원목록!$D$7:$D$306,MATCH(148,직원목록!$B$7:$B$306,0)),""))</f>
        <v/>
      </c>
      <c r="C160" s="2">
        <f>IF($A160="","",IFERROR(INDEX(직원목록!$C$7:$C$306,MATCH(148,직원목록!$B$7:$B$306,0)),""))</f>
        <v/>
      </c>
      <c r="D160" s="27">
        <f>IF($A160="","",IFERROR(INDEX(직원목록!$V$7:$V$306,MATCH(148,직원목록!$B$7:$B$306,0)),""))</f>
        <v/>
      </c>
      <c r="E160" s="27">
        <f>IF($A160="","",IFERROR(INDEX(직원목록!$AG$7:$AG$306,MATCH(148,직원목록!$B$7:$B$306,0)),""))</f>
        <v/>
      </c>
      <c r="F160" s="27">
        <f>IF(OR($A160="",E160=""),"",D160-E160)</f>
        <v/>
      </c>
      <c r="G160" s="27">
        <f>IF($A160="","",IFERROR(INDEX(직원목록!$AE$7:$AE$306,MATCH(148,직원목록!$B$7:$B$306,0)),""))</f>
        <v/>
      </c>
      <c r="H160" s="27">
        <f>IF($A160="","",IFERROR(INDEX(직원목록!$AH$7:$AH$306,MATCH(148,직원목록!$B$7:$B$306,0)),""))</f>
        <v/>
      </c>
      <c r="I160" s="27">
        <f>IF(OR($A160="",H160=""),"",G160-H160)</f>
        <v/>
      </c>
      <c r="J160" s="27">
        <f>IF($A160="","",IFERROR(INDEX(직원목록!$AF$7:$AF$306,MATCH(148,직원목록!$B$7:$B$306,0)),""))</f>
        <v/>
      </c>
      <c r="K160" s="27">
        <f>IF($A160="","",IFERROR(INDEX(직원목록!$AI$7:$AI$306,MATCH(148,직원목록!$B$7:$B$306,0)),""))</f>
        <v/>
      </c>
      <c r="L160" s="8">
        <f>IF($A160="","",IF(LEN(IF(AND(F160&lt;&gt;"",F160&lt;&gt;0),"계산 총지급과 대장 총지급이 다릅니다 / ","")&amp;IF(AND(I160&lt;&gt;"",I160&lt;&gt;0),"계산 총공제와 대장 총공제가 다릅니다 / ","")&amp;IF(J160&lt;0,"실수령액이 음수입니다 / ","")&amp;IF(COUNTIF(직원목록!$D$7:$D$306,B160)&gt;1,"같은 이름이 둘 이상 — 미리보기는 첫 번째만 보입니다 / ","")&amp;IF(AND(C160&lt;&gt;"",COUNTIF(직원목록!$C$7:$C$306,C160)&gt;1),"사번 중복 / ","")&amp;IF(D160=0,"총지급이 0원 — 머리글 매칭 확인 / ","")&amp;IF(AND(설정!$B$17&lt;&gt;"",설정!$C$17="",OR(ISNUMBER(FIND("연장",설정!$B$17)),ISNUMBER(FIND("야간",설정!$B$17)),ISNUMBER(FIND("휴일",설정!$B$17))),INDEX(직원목록!$F$7:$F$306,MATCH(148,직원목록!$B$7:$B$306,0))&gt;0),"연장·야간·휴일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","")&amp;IF(AND(설정!$B$24&lt;&gt;"",설정!$C$24="",OR(ISNUMBER(FIND("연장",설정!$B$24)),ISNUMBER(FIND("야간",설정!$B$24)),ISNUMBER(FIND("휴일",설정!$B$24))),INDEX(직원목록!$M$7:$M$306,MATCH(148,직원목록!$B$7:$B$306,0))&gt;0),"연장·야간·휴일 수당은 시간 수도 명세서에 적어야 하니 시간 열 지정 필요 / ",""))=0,"✔",("⚠ "&amp;IF(AND(F160&lt;&gt;"",F160&lt;&gt;0),"계산 총지급과 대장 총지급이 다릅니다 / ","")&amp;IF(AND(I160&lt;&gt;"",I160&lt;&gt;0),"계산 총공제와 대장 총공제가 다릅니다 / ","")&amp;IF(J160&lt;0,"실수령액이 음수입니다 / ","")&amp;IF(COUNTIF(직원목록!$D$7:$D$306,B160)&gt;1,"같은 이름이 둘 이상 — 미리보기는 첫 번째만 보입니다 / ","")&amp;IF(AND(C160&lt;&gt;"",COUNTIF(직원목록!$C$7:$C$306,C160)&gt;1),"사번 중복 / ","")&amp;IF(D160=0,"총지급이 0원 — 머리글 매칭 확인 / ","")&amp;IF(AND(설정!$B$17&lt;&gt;"",설정!$C$17="",OR(ISNUMBER(FIND("연장",설정!$B$17)),ISNUMBER(FIND("야간",설정!$B$17)),ISNUMBER(FIND("휴일",설정!$B$17))),INDEX(직원목록!$F$7:$F$306,MATCH(148,직원목록!$B$7:$B$306,0))&gt;0),"연장·야간·휴일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","")&amp;IF(AND(설정!$B$24&lt;&gt;"",설정!$C$24="",OR(ISNUMBER(FIND("연장",설정!$B$24)),ISNUMBER(FIND("야간",설정!$B$24)),ISNUMBER(FIND("휴일",설정!$B$24))),INDEX(직원목록!$M$7:$M$306,MATCH(148,직원목록!$B$7:$B$306,0))&gt;0),"연장·야간·휴일 수당은 시간 수도 명세서에 적어야 하니 시간 열 지정 필요 / ",""))))</f>
        <v/>
      </c>
    </row>
    <row r="161">
      <c r="A161" s="26">
        <f>IF(IFERROR(MATCH(149,직원목록!$B$7:$B$306,0),0)=0,"",149)</f>
        <v/>
      </c>
      <c r="B161" s="2">
        <f>IF($A161="","",IFERROR(INDEX(직원목록!$D$7:$D$306,MATCH(149,직원목록!$B$7:$B$306,0)),""))</f>
        <v/>
      </c>
      <c r="C161" s="2">
        <f>IF($A161="","",IFERROR(INDEX(직원목록!$C$7:$C$306,MATCH(149,직원목록!$B$7:$B$306,0)),""))</f>
        <v/>
      </c>
      <c r="D161" s="27">
        <f>IF($A161="","",IFERROR(INDEX(직원목록!$V$7:$V$306,MATCH(149,직원목록!$B$7:$B$306,0)),""))</f>
        <v/>
      </c>
      <c r="E161" s="27">
        <f>IF($A161="","",IFERROR(INDEX(직원목록!$AG$7:$AG$306,MATCH(149,직원목록!$B$7:$B$306,0)),""))</f>
        <v/>
      </c>
      <c r="F161" s="27">
        <f>IF(OR($A161="",E161=""),"",D161-E161)</f>
        <v/>
      </c>
      <c r="G161" s="27">
        <f>IF($A161="","",IFERROR(INDEX(직원목록!$AE$7:$AE$306,MATCH(149,직원목록!$B$7:$B$306,0)),""))</f>
        <v/>
      </c>
      <c r="H161" s="27">
        <f>IF($A161="","",IFERROR(INDEX(직원목록!$AH$7:$AH$306,MATCH(149,직원목록!$B$7:$B$306,0)),""))</f>
        <v/>
      </c>
      <c r="I161" s="27">
        <f>IF(OR($A161="",H161=""),"",G161-H161)</f>
        <v/>
      </c>
      <c r="J161" s="27">
        <f>IF($A161="","",IFERROR(INDEX(직원목록!$AF$7:$AF$306,MATCH(149,직원목록!$B$7:$B$306,0)),""))</f>
        <v/>
      </c>
      <c r="K161" s="27">
        <f>IF($A161="","",IFERROR(INDEX(직원목록!$AI$7:$AI$306,MATCH(149,직원목록!$B$7:$B$306,0)),""))</f>
        <v/>
      </c>
      <c r="L161" s="8">
        <f>IF($A161="","",IF(LEN(IF(AND(F161&lt;&gt;"",F161&lt;&gt;0),"계산 총지급과 대장 총지급이 다릅니다 / ","")&amp;IF(AND(I161&lt;&gt;"",I161&lt;&gt;0),"계산 총공제와 대장 총공제가 다릅니다 / ","")&amp;IF(J161&lt;0,"실수령액이 음수입니다 / ","")&amp;IF(COUNTIF(직원목록!$D$7:$D$306,B161)&gt;1,"같은 이름이 둘 이상 — 미리보기는 첫 번째만 보입니다 / ","")&amp;IF(AND(C161&lt;&gt;"",COUNTIF(직원목록!$C$7:$C$306,C161)&gt;1),"사번 중복 / ","")&amp;IF(D161=0,"총지급이 0원 — 머리글 매칭 확인 / ","")&amp;IF(AND(설정!$B$17&lt;&gt;"",설정!$C$17="",OR(ISNUMBER(FIND("연장",설정!$B$17)),ISNUMBER(FIND("야간",설정!$B$17)),ISNUMBER(FIND("휴일",설정!$B$17))),INDEX(직원목록!$F$7:$F$306,MATCH(149,직원목록!$B$7:$B$306,0))&gt;0),"연장·야간·휴일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","")&amp;IF(AND(설정!$B$24&lt;&gt;"",설정!$C$24="",OR(ISNUMBER(FIND("연장",설정!$B$24)),ISNUMBER(FIND("야간",설정!$B$24)),ISNUMBER(FIND("휴일",설정!$B$24))),INDEX(직원목록!$M$7:$M$306,MATCH(149,직원목록!$B$7:$B$306,0))&gt;0),"연장·야간·휴일 수당은 시간 수도 명세서에 적어야 하니 시간 열 지정 필요 / ",""))=0,"✔",("⚠ "&amp;IF(AND(F161&lt;&gt;"",F161&lt;&gt;0),"계산 총지급과 대장 총지급이 다릅니다 / ","")&amp;IF(AND(I161&lt;&gt;"",I161&lt;&gt;0),"계산 총공제와 대장 총공제가 다릅니다 / ","")&amp;IF(J161&lt;0,"실수령액이 음수입니다 / ","")&amp;IF(COUNTIF(직원목록!$D$7:$D$306,B161)&gt;1,"같은 이름이 둘 이상 — 미리보기는 첫 번째만 보입니다 / ","")&amp;IF(AND(C161&lt;&gt;"",COUNTIF(직원목록!$C$7:$C$306,C161)&gt;1),"사번 중복 / ","")&amp;IF(D161=0,"총지급이 0원 — 머리글 매칭 확인 / ","")&amp;IF(AND(설정!$B$17&lt;&gt;"",설정!$C$17="",OR(ISNUMBER(FIND("연장",설정!$B$17)),ISNUMBER(FIND("야간",설정!$B$17)),ISNUMBER(FIND("휴일",설정!$B$17))),INDEX(직원목록!$F$7:$F$306,MATCH(149,직원목록!$B$7:$B$306,0))&gt;0),"연장·야간·휴일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","")&amp;IF(AND(설정!$B$18&lt;&gt;"",설정!$C$18="",OR(ISNUMBER(FIND("연장",설정!$B$18)),ISNUMBER(FIND("야간",설정!$B$18)),ISNUMBER(FIND("휴일",설정!$B$18))),INDEX(직원목록!$G$7:$G$306,MATCH(149,직원목록!$B$7:$B$306,0))&gt;0),"연장·야간·휴일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","")&amp;IF(AND(설정!$B$19&lt;&gt;"",설정!$C$19="",OR(ISNUMBER(FIND("연장",설정!$B$19)),ISNUMBER(FIND("야간",설정!$B$19)),ISNUMBER(FIND("휴일",설정!$B$19))),INDEX(직원목록!$H$7:$H$306,MATCH(149,직원목록!$B$7:$B$306,0))&gt;0),"연장·야간·휴일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","")&amp;IF(AND(설정!$B$20&lt;&gt;"",설정!$C$20="",OR(ISNUMBER(FIND("연장",설정!$B$20)),ISNUMBER(FIND("야간",설정!$B$20)),ISNUMBER(FIND("휴일",설정!$B$20))),INDEX(직원목록!$I$7:$I$306,MATCH(149,직원목록!$B$7:$B$306,0))&gt;0),"연장·야간·휴일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","")&amp;IF(AND(설정!$B$21&lt;&gt;"",설정!$C$21="",OR(ISNUMBER(FIND("연장",설정!$B$21)),ISNUMBER(FIND("야간",설정!$B$21)),ISNUMBER(FIND("휴일",설정!$B$21))),INDEX(직원목록!$J$7:$J$306,MATCH(149,직원목록!$B$7:$B$306,0))&gt;0),"연장·야간·휴일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","")&amp;IF(AND(설정!$B$22&lt;&gt;"",설정!$C$22="",OR(ISNUMBER(FIND("연장",설정!$B$22)),ISNUMBER(FIND("야간",설정!$B$22)),ISNUMBER(FIND("휴일",설정!$B$22))),INDEX(직원목록!$K$7:$K$306,MATCH(149,직원목록!$B$7:$B$306,0))&gt;0),"연장·야간·휴일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","")&amp;IF(AND(설정!$B$23&lt;&gt;"",설정!$C$23="",OR(ISNUMBER(FIND("연장",설정!$B$23)),ISNUMBER(FIND("야간",설정!$B$23)),ISNUMBER(FIND("휴일",설정!$B$23))),INDEX(직원목록!$L$7:$L$306,MATCH(149,직원목록!$B$7:$B$306,0))&gt;0),"연장·야간·휴일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","")&amp;IF(AND(설정!$B$24&lt;&gt;"",설정!$C$24="",OR(ISNUMBER(FIND("연장",설정!$B$24)),ISNUMBER(FIND("야간",설정!$B$24)),ISNUMBER(FIND("휴일",설정!$B$24))),INDEX(직원목록!$M$7:$M$306,MATCH(149,직원목록!$B$7:$B$306,0))&gt;0),"연장·야간·휴일 수당은 시간 수도 명세서에 적어야 하니 시간 열 지정 필요 / ",""))))</f>
        <v/>
      </c>
    </row>
    <row r="162">
      <c r="A162" s="26">
        <f>IF(IFERROR(MATCH(150,직원목록!$B$7:$B$306,0),0)=0,"",150)</f>
        <v/>
      </c>
      <c r="B162" s="2">
        <f>IF($A162="","",IFERROR(INDEX(직원목록!$D$7:$D$306,MATCH(150,직원목록!$B$7:$B$306,0)),""))</f>
        <v/>
      </c>
      <c r="C162" s="2">
        <f>IF($A162="","",IFERROR(INDEX(직원목록!$C$7:$C$306,MATCH(150,직원목록!$B$7:$B$306,0)),""))</f>
        <v/>
      </c>
      <c r="D162" s="27">
        <f>IF($A162="","",IFERROR(INDEX(직원목록!$V$7:$V$306,MATCH(150,직원목록!$B$7:$B$306,0)),""))</f>
        <v/>
      </c>
      <c r="E162" s="27">
        <f>IF($A162="","",IFERROR(INDEX(직원목록!$AG$7:$AG$306,MATCH(150,직원목록!$B$7:$B$306,0)),""))</f>
        <v/>
      </c>
      <c r="F162" s="27">
        <f>IF(OR($A162="",E162=""),"",D162-E162)</f>
        <v/>
      </c>
      <c r="G162" s="27">
        <f>IF($A162="","",IFERROR(INDEX(직원목록!$AE$7:$AE$306,MATCH(150,직원목록!$B$7:$B$306,0)),""))</f>
        <v/>
      </c>
      <c r="H162" s="27">
        <f>IF($A162="","",IFERROR(INDEX(직원목록!$AH$7:$AH$306,MATCH(150,직원목록!$B$7:$B$306,0)),""))</f>
        <v/>
      </c>
      <c r="I162" s="27">
        <f>IF(OR($A162="",H162=""),"",G162-H162)</f>
        <v/>
      </c>
      <c r="J162" s="27">
        <f>IF($A162="","",IFERROR(INDEX(직원목록!$AF$7:$AF$306,MATCH(150,직원목록!$B$7:$B$306,0)),""))</f>
        <v/>
      </c>
      <c r="K162" s="27">
        <f>IF($A162="","",IFERROR(INDEX(직원목록!$AI$7:$AI$306,MATCH(150,직원목록!$B$7:$B$306,0)),""))</f>
        <v/>
      </c>
      <c r="L162" s="8">
        <f>IF($A162="","",IF(LEN(IF(AND(F162&lt;&gt;"",F162&lt;&gt;0),"계산 총지급과 대장 총지급이 다릅니다 / ","")&amp;IF(AND(I162&lt;&gt;"",I162&lt;&gt;0),"계산 총공제와 대장 총공제가 다릅니다 / ","")&amp;IF(J162&lt;0,"실수령액이 음수입니다 / ","")&amp;IF(COUNTIF(직원목록!$D$7:$D$306,B162)&gt;1,"같은 이름이 둘 이상 — 미리보기는 첫 번째만 보입니다 / ","")&amp;IF(AND(C162&lt;&gt;"",COUNTIF(직원목록!$C$7:$C$306,C162)&gt;1),"사번 중복 / ","")&amp;IF(D162=0,"총지급이 0원 — 머리글 매칭 확인 / ","")&amp;IF(AND(설정!$B$17&lt;&gt;"",설정!$C$17="",OR(ISNUMBER(FIND("연장",설정!$B$17)),ISNUMBER(FIND("야간",설정!$B$17)),ISNUMBER(FIND("휴일",설정!$B$17))),INDEX(직원목록!$F$7:$F$306,MATCH(150,직원목록!$B$7:$B$306,0))&gt;0),"연장·야간·휴일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","")&amp;IF(AND(설정!$B$24&lt;&gt;"",설정!$C$24="",OR(ISNUMBER(FIND("연장",설정!$B$24)),ISNUMBER(FIND("야간",설정!$B$24)),ISNUMBER(FIND("휴일",설정!$B$24))),INDEX(직원목록!$M$7:$M$306,MATCH(150,직원목록!$B$7:$B$306,0))&gt;0),"연장·야간·휴일 수당은 시간 수도 명세서에 적어야 하니 시간 열 지정 필요 / ",""))=0,"✔",("⚠ "&amp;IF(AND(F162&lt;&gt;"",F162&lt;&gt;0),"계산 총지급과 대장 총지급이 다릅니다 / ","")&amp;IF(AND(I162&lt;&gt;"",I162&lt;&gt;0),"계산 총공제와 대장 총공제가 다릅니다 / ","")&amp;IF(J162&lt;0,"실수령액이 음수입니다 / ","")&amp;IF(COUNTIF(직원목록!$D$7:$D$306,B162)&gt;1,"같은 이름이 둘 이상 — 미리보기는 첫 번째만 보입니다 / ","")&amp;IF(AND(C162&lt;&gt;"",COUNTIF(직원목록!$C$7:$C$306,C162)&gt;1),"사번 중복 / ","")&amp;IF(D162=0,"총지급이 0원 — 머리글 매칭 확인 / ","")&amp;IF(AND(설정!$B$17&lt;&gt;"",설정!$C$17="",OR(ISNUMBER(FIND("연장",설정!$B$17)),ISNUMBER(FIND("야간",설정!$B$17)),ISNUMBER(FIND("휴일",설정!$B$17))),INDEX(직원목록!$F$7:$F$306,MATCH(150,직원목록!$B$7:$B$306,0))&gt;0),"연장·야간·휴일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","")&amp;IF(AND(설정!$B$24&lt;&gt;"",설정!$C$24="",OR(ISNUMBER(FIND("연장",설정!$B$24)),ISNUMBER(FIND("야간",설정!$B$24)),ISNUMBER(FIND("휴일",설정!$B$24))),INDEX(직원목록!$M$7:$M$306,MATCH(150,직원목록!$B$7:$B$306,0))&gt;0),"연장·야간·휴일 수당은 시간 수도 명세서에 적어야 하니 시간 열 지정 필요 / ",""))))</f>
        <v/>
      </c>
    </row>
    <row r="163">
      <c r="A163" s="26">
        <f>IF(IFERROR(MATCH(151,직원목록!$B$7:$B$306,0),0)=0,"",151)</f>
        <v/>
      </c>
      <c r="B163" s="2">
        <f>IF($A163="","",IFERROR(INDEX(직원목록!$D$7:$D$306,MATCH(151,직원목록!$B$7:$B$306,0)),""))</f>
        <v/>
      </c>
      <c r="C163" s="2">
        <f>IF($A163="","",IFERROR(INDEX(직원목록!$C$7:$C$306,MATCH(151,직원목록!$B$7:$B$306,0)),""))</f>
        <v/>
      </c>
      <c r="D163" s="27">
        <f>IF($A163="","",IFERROR(INDEX(직원목록!$V$7:$V$306,MATCH(151,직원목록!$B$7:$B$306,0)),""))</f>
        <v/>
      </c>
      <c r="E163" s="27">
        <f>IF($A163="","",IFERROR(INDEX(직원목록!$AG$7:$AG$306,MATCH(151,직원목록!$B$7:$B$306,0)),""))</f>
        <v/>
      </c>
      <c r="F163" s="27">
        <f>IF(OR($A163="",E163=""),"",D163-E163)</f>
        <v/>
      </c>
      <c r="G163" s="27">
        <f>IF($A163="","",IFERROR(INDEX(직원목록!$AE$7:$AE$306,MATCH(151,직원목록!$B$7:$B$306,0)),""))</f>
        <v/>
      </c>
      <c r="H163" s="27">
        <f>IF($A163="","",IFERROR(INDEX(직원목록!$AH$7:$AH$306,MATCH(151,직원목록!$B$7:$B$306,0)),""))</f>
        <v/>
      </c>
      <c r="I163" s="27">
        <f>IF(OR($A163="",H163=""),"",G163-H163)</f>
        <v/>
      </c>
      <c r="J163" s="27">
        <f>IF($A163="","",IFERROR(INDEX(직원목록!$AF$7:$AF$306,MATCH(151,직원목록!$B$7:$B$306,0)),""))</f>
        <v/>
      </c>
      <c r="K163" s="27">
        <f>IF($A163="","",IFERROR(INDEX(직원목록!$AI$7:$AI$306,MATCH(151,직원목록!$B$7:$B$306,0)),""))</f>
        <v/>
      </c>
      <c r="L163" s="8">
        <f>IF($A163="","",IF(LEN(IF(AND(F163&lt;&gt;"",F163&lt;&gt;0),"계산 총지급과 대장 총지급이 다릅니다 / ","")&amp;IF(AND(I163&lt;&gt;"",I163&lt;&gt;0),"계산 총공제와 대장 총공제가 다릅니다 / ","")&amp;IF(J163&lt;0,"실수령액이 음수입니다 / ","")&amp;IF(COUNTIF(직원목록!$D$7:$D$306,B163)&gt;1,"같은 이름이 둘 이상 — 미리보기는 첫 번째만 보입니다 / ","")&amp;IF(AND(C163&lt;&gt;"",COUNTIF(직원목록!$C$7:$C$306,C163)&gt;1),"사번 중복 / ","")&amp;IF(D163=0,"총지급이 0원 — 머리글 매칭 확인 / ","")&amp;IF(AND(설정!$B$17&lt;&gt;"",설정!$C$17="",OR(ISNUMBER(FIND("연장",설정!$B$17)),ISNUMBER(FIND("야간",설정!$B$17)),ISNUMBER(FIND("휴일",설정!$B$17))),INDEX(직원목록!$F$7:$F$306,MATCH(151,직원목록!$B$7:$B$306,0))&gt;0),"연장·야간·휴일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","")&amp;IF(AND(설정!$B$24&lt;&gt;"",설정!$C$24="",OR(ISNUMBER(FIND("연장",설정!$B$24)),ISNUMBER(FIND("야간",설정!$B$24)),ISNUMBER(FIND("휴일",설정!$B$24))),INDEX(직원목록!$M$7:$M$306,MATCH(151,직원목록!$B$7:$B$306,0))&gt;0),"연장·야간·휴일 수당은 시간 수도 명세서에 적어야 하니 시간 열 지정 필요 / ",""))=0,"✔",("⚠ "&amp;IF(AND(F163&lt;&gt;"",F163&lt;&gt;0),"계산 총지급과 대장 총지급이 다릅니다 / ","")&amp;IF(AND(I163&lt;&gt;"",I163&lt;&gt;0),"계산 총공제와 대장 총공제가 다릅니다 / ","")&amp;IF(J163&lt;0,"실수령액이 음수입니다 / ","")&amp;IF(COUNTIF(직원목록!$D$7:$D$306,B163)&gt;1,"같은 이름이 둘 이상 — 미리보기는 첫 번째만 보입니다 / ","")&amp;IF(AND(C163&lt;&gt;"",COUNTIF(직원목록!$C$7:$C$306,C163)&gt;1),"사번 중복 / ","")&amp;IF(D163=0,"총지급이 0원 — 머리글 매칭 확인 / ","")&amp;IF(AND(설정!$B$17&lt;&gt;"",설정!$C$17="",OR(ISNUMBER(FIND("연장",설정!$B$17)),ISNUMBER(FIND("야간",설정!$B$17)),ISNUMBER(FIND("휴일",설정!$B$17))),INDEX(직원목록!$F$7:$F$306,MATCH(151,직원목록!$B$7:$B$306,0))&gt;0),"연장·야간·휴일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","")&amp;IF(AND(설정!$B$24&lt;&gt;"",설정!$C$24="",OR(ISNUMBER(FIND("연장",설정!$B$24)),ISNUMBER(FIND("야간",설정!$B$24)),ISNUMBER(FIND("휴일",설정!$B$24))),INDEX(직원목록!$M$7:$M$306,MATCH(151,직원목록!$B$7:$B$306,0))&gt;0),"연장·야간·휴일 수당은 시간 수도 명세서에 적어야 하니 시간 열 지정 필요 / ",""))))</f>
        <v/>
      </c>
    </row>
    <row r="164">
      <c r="A164" s="26">
        <f>IF(IFERROR(MATCH(152,직원목록!$B$7:$B$306,0),0)=0,"",152)</f>
        <v/>
      </c>
      <c r="B164" s="2">
        <f>IF($A164="","",IFERROR(INDEX(직원목록!$D$7:$D$306,MATCH(152,직원목록!$B$7:$B$306,0)),""))</f>
        <v/>
      </c>
      <c r="C164" s="2">
        <f>IF($A164="","",IFERROR(INDEX(직원목록!$C$7:$C$306,MATCH(152,직원목록!$B$7:$B$306,0)),""))</f>
        <v/>
      </c>
      <c r="D164" s="27">
        <f>IF($A164="","",IFERROR(INDEX(직원목록!$V$7:$V$306,MATCH(152,직원목록!$B$7:$B$306,0)),""))</f>
        <v/>
      </c>
      <c r="E164" s="27">
        <f>IF($A164="","",IFERROR(INDEX(직원목록!$AG$7:$AG$306,MATCH(152,직원목록!$B$7:$B$306,0)),""))</f>
        <v/>
      </c>
      <c r="F164" s="27">
        <f>IF(OR($A164="",E164=""),"",D164-E164)</f>
        <v/>
      </c>
      <c r="G164" s="27">
        <f>IF($A164="","",IFERROR(INDEX(직원목록!$AE$7:$AE$306,MATCH(152,직원목록!$B$7:$B$306,0)),""))</f>
        <v/>
      </c>
      <c r="H164" s="27">
        <f>IF($A164="","",IFERROR(INDEX(직원목록!$AH$7:$AH$306,MATCH(152,직원목록!$B$7:$B$306,0)),""))</f>
        <v/>
      </c>
      <c r="I164" s="27">
        <f>IF(OR($A164="",H164=""),"",G164-H164)</f>
        <v/>
      </c>
      <c r="J164" s="27">
        <f>IF($A164="","",IFERROR(INDEX(직원목록!$AF$7:$AF$306,MATCH(152,직원목록!$B$7:$B$306,0)),""))</f>
        <v/>
      </c>
      <c r="K164" s="27">
        <f>IF($A164="","",IFERROR(INDEX(직원목록!$AI$7:$AI$306,MATCH(152,직원목록!$B$7:$B$306,0)),""))</f>
        <v/>
      </c>
      <c r="L164" s="8">
        <f>IF($A164="","",IF(LEN(IF(AND(F164&lt;&gt;"",F164&lt;&gt;0),"계산 총지급과 대장 총지급이 다릅니다 / ","")&amp;IF(AND(I164&lt;&gt;"",I164&lt;&gt;0),"계산 총공제와 대장 총공제가 다릅니다 / ","")&amp;IF(J164&lt;0,"실수령액이 음수입니다 / ","")&amp;IF(COUNTIF(직원목록!$D$7:$D$306,B164)&gt;1,"같은 이름이 둘 이상 — 미리보기는 첫 번째만 보입니다 / ","")&amp;IF(AND(C164&lt;&gt;"",COUNTIF(직원목록!$C$7:$C$306,C164)&gt;1),"사번 중복 / ","")&amp;IF(D164=0,"총지급이 0원 — 머리글 매칭 확인 / ","")&amp;IF(AND(설정!$B$17&lt;&gt;"",설정!$C$17="",OR(ISNUMBER(FIND("연장",설정!$B$17)),ISNUMBER(FIND("야간",설정!$B$17)),ISNUMBER(FIND("휴일",설정!$B$17))),INDEX(직원목록!$F$7:$F$306,MATCH(152,직원목록!$B$7:$B$306,0))&gt;0),"연장·야간·휴일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","")&amp;IF(AND(설정!$B$24&lt;&gt;"",설정!$C$24="",OR(ISNUMBER(FIND("연장",설정!$B$24)),ISNUMBER(FIND("야간",설정!$B$24)),ISNUMBER(FIND("휴일",설정!$B$24))),INDEX(직원목록!$M$7:$M$306,MATCH(152,직원목록!$B$7:$B$306,0))&gt;0),"연장·야간·휴일 수당은 시간 수도 명세서에 적어야 하니 시간 열 지정 필요 / ",""))=0,"✔",("⚠ "&amp;IF(AND(F164&lt;&gt;"",F164&lt;&gt;0),"계산 총지급과 대장 총지급이 다릅니다 / ","")&amp;IF(AND(I164&lt;&gt;"",I164&lt;&gt;0),"계산 총공제와 대장 총공제가 다릅니다 / ","")&amp;IF(J164&lt;0,"실수령액이 음수입니다 / ","")&amp;IF(COUNTIF(직원목록!$D$7:$D$306,B164)&gt;1,"같은 이름이 둘 이상 — 미리보기는 첫 번째만 보입니다 / ","")&amp;IF(AND(C164&lt;&gt;"",COUNTIF(직원목록!$C$7:$C$306,C164)&gt;1),"사번 중복 / ","")&amp;IF(D164=0,"총지급이 0원 — 머리글 매칭 확인 / ","")&amp;IF(AND(설정!$B$17&lt;&gt;"",설정!$C$17="",OR(ISNUMBER(FIND("연장",설정!$B$17)),ISNUMBER(FIND("야간",설정!$B$17)),ISNUMBER(FIND("휴일",설정!$B$17))),INDEX(직원목록!$F$7:$F$306,MATCH(152,직원목록!$B$7:$B$306,0))&gt;0),"연장·야간·휴일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","")&amp;IF(AND(설정!$B$24&lt;&gt;"",설정!$C$24="",OR(ISNUMBER(FIND("연장",설정!$B$24)),ISNUMBER(FIND("야간",설정!$B$24)),ISNUMBER(FIND("휴일",설정!$B$24))),INDEX(직원목록!$M$7:$M$306,MATCH(152,직원목록!$B$7:$B$306,0))&gt;0),"연장·야간·휴일 수당은 시간 수도 명세서에 적어야 하니 시간 열 지정 필요 / ",""))))</f>
        <v/>
      </c>
    </row>
    <row r="165">
      <c r="A165" s="26">
        <f>IF(IFERROR(MATCH(153,직원목록!$B$7:$B$306,0),0)=0,"",153)</f>
        <v/>
      </c>
      <c r="B165" s="2">
        <f>IF($A165="","",IFERROR(INDEX(직원목록!$D$7:$D$306,MATCH(153,직원목록!$B$7:$B$306,0)),""))</f>
        <v/>
      </c>
      <c r="C165" s="2">
        <f>IF($A165="","",IFERROR(INDEX(직원목록!$C$7:$C$306,MATCH(153,직원목록!$B$7:$B$306,0)),""))</f>
        <v/>
      </c>
      <c r="D165" s="27">
        <f>IF($A165="","",IFERROR(INDEX(직원목록!$V$7:$V$306,MATCH(153,직원목록!$B$7:$B$306,0)),""))</f>
        <v/>
      </c>
      <c r="E165" s="27">
        <f>IF($A165="","",IFERROR(INDEX(직원목록!$AG$7:$AG$306,MATCH(153,직원목록!$B$7:$B$306,0)),""))</f>
        <v/>
      </c>
      <c r="F165" s="27">
        <f>IF(OR($A165="",E165=""),"",D165-E165)</f>
        <v/>
      </c>
      <c r="G165" s="27">
        <f>IF($A165="","",IFERROR(INDEX(직원목록!$AE$7:$AE$306,MATCH(153,직원목록!$B$7:$B$306,0)),""))</f>
        <v/>
      </c>
      <c r="H165" s="27">
        <f>IF($A165="","",IFERROR(INDEX(직원목록!$AH$7:$AH$306,MATCH(153,직원목록!$B$7:$B$306,0)),""))</f>
        <v/>
      </c>
      <c r="I165" s="27">
        <f>IF(OR($A165="",H165=""),"",G165-H165)</f>
        <v/>
      </c>
      <c r="J165" s="27">
        <f>IF($A165="","",IFERROR(INDEX(직원목록!$AF$7:$AF$306,MATCH(153,직원목록!$B$7:$B$306,0)),""))</f>
        <v/>
      </c>
      <c r="K165" s="27">
        <f>IF($A165="","",IFERROR(INDEX(직원목록!$AI$7:$AI$306,MATCH(153,직원목록!$B$7:$B$306,0)),""))</f>
        <v/>
      </c>
      <c r="L165" s="8">
        <f>IF($A165="","",IF(LEN(IF(AND(F165&lt;&gt;"",F165&lt;&gt;0),"계산 총지급과 대장 총지급이 다릅니다 / ","")&amp;IF(AND(I165&lt;&gt;"",I165&lt;&gt;0),"계산 총공제와 대장 총공제가 다릅니다 / ","")&amp;IF(J165&lt;0,"실수령액이 음수입니다 / ","")&amp;IF(COUNTIF(직원목록!$D$7:$D$306,B165)&gt;1,"같은 이름이 둘 이상 — 미리보기는 첫 번째만 보입니다 / ","")&amp;IF(AND(C165&lt;&gt;"",COUNTIF(직원목록!$C$7:$C$306,C165)&gt;1),"사번 중복 / ","")&amp;IF(D165=0,"총지급이 0원 — 머리글 매칭 확인 / ","")&amp;IF(AND(설정!$B$17&lt;&gt;"",설정!$C$17="",OR(ISNUMBER(FIND("연장",설정!$B$17)),ISNUMBER(FIND("야간",설정!$B$17)),ISNUMBER(FIND("휴일",설정!$B$17))),INDEX(직원목록!$F$7:$F$306,MATCH(153,직원목록!$B$7:$B$306,0))&gt;0),"연장·야간·휴일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","")&amp;IF(AND(설정!$B$24&lt;&gt;"",설정!$C$24="",OR(ISNUMBER(FIND("연장",설정!$B$24)),ISNUMBER(FIND("야간",설정!$B$24)),ISNUMBER(FIND("휴일",설정!$B$24))),INDEX(직원목록!$M$7:$M$306,MATCH(153,직원목록!$B$7:$B$306,0))&gt;0),"연장·야간·휴일 수당은 시간 수도 명세서에 적어야 하니 시간 열 지정 필요 / ",""))=0,"✔",("⚠ "&amp;IF(AND(F165&lt;&gt;"",F165&lt;&gt;0),"계산 총지급과 대장 총지급이 다릅니다 / ","")&amp;IF(AND(I165&lt;&gt;"",I165&lt;&gt;0),"계산 총공제와 대장 총공제가 다릅니다 / ","")&amp;IF(J165&lt;0,"실수령액이 음수입니다 / ","")&amp;IF(COUNTIF(직원목록!$D$7:$D$306,B165)&gt;1,"같은 이름이 둘 이상 — 미리보기는 첫 번째만 보입니다 / ","")&amp;IF(AND(C165&lt;&gt;"",COUNTIF(직원목록!$C$7:$C$306,C165)&gt;1),"사번 중복 / ","")&amp;IF(D165=0,"총지급이 0원 — 머리글 매칭 확인 / ","")&amp;IF(AND(설정!$B$17&lt;&gt;"",설정!$C$17="",OR(ISNUMBER(FIND("연장",설정!$B$17)),ISNUMBER(FIND("야간",설정!$B$17)),ISNUMBER(FIND("휴일",설정!$B$17))),INDEX(직원목록!$F$7:$F$306,MATCH(153,직원목록!$B$7:$B$306,0))&gt;0),"연장·야간·휴일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","")&amp;IF(AND(설정!$B$24&lt;&gt;"",설정!$C$24="",OR(ISNUMBER(FIND("연장",설정!$B$24)),ISNUMBER(FIND("야간",설정!$B$24)),ISNUMBER(FIND("휴일",설정!$B$24))),INDEX(직원목록!$M$7:$M$306,MATCH(153,직원목록!$B$7:$B$306,0))&gt;0),"연장·야간·휴일 수당은 시간 수도 명세서에 적어야 하니 시간 열 지정 필요 / ",""))))</f>
        <v/>
      </c>
    </row>
    <row r="166">
      <c r="A166" s="26">
        <f>IF(IFERROR(MATCH(154,직원목록!$B$7:$B$306,0),0)=0,"",154)</f>
        <v/>
      </c>
      <c r="B166" s="2">
        <f>IF($A166="","",IFERROR(INDEX(직원목록!$D$7:$D$306,MATCH(154,직원목록!$B$7:$B$306,0)),""))</f>
        <v/>
      </c>
      <c r="C166" s="2">
        <f>IF($A166="","",IFERROR(INDEX(직원목록!$C$7:$C$306,MATCH(154,직원목록!$B$7:$B$306,0)),""))</f>
        <v/>
      </c>
      <c r="D166" s="27">
        <f>IF($A166="","",IFERROR(INDEX(직원목록!$V$7:$V$306,MATCH(154,직원목록!$B$7:$B$306,0)),""))</f>
        <v/>
      </c>
      <c r="E166" s="27">
        <f>IF($A166="","",IFERROR(INDEX(직원목록!$AG$7:$AG$306,MATCH(154,직원목록!$B$7:$B$306,0)),""))</f>
        <v/>
      </c>
      <c r="F166" s="27">
        <f>IF(OR($A166="",E166=""),"",D166-E166)</f>
        <v/>
      </c>
      <c r="G166" s="27">
        <f>IF($A166="","",IFERROR(INDEX(직원목록!$AE$7:$AE$306,MATCH(154,직원목록!$B$7:$B$306,0)),""))</f>
        <v/>
      </c>
      <c r="H166" s="27">
        <f>IF($A166="","",IFERROR(INDEX(직원목록!$AH$7:$AH$306,MATCH(154,직원목록!$B$7:$B$306,0)),""))</f>
        <v/>
      </c>
      <c r="I166" s="27">
        <f>IF(OR($A166="",H166=""),"",G166-H166)</f>
        <v/>
      </c>
      <c r="J166" s="27">
        <f>IF($A166="","",IFERROR(INDEX(직원목록!$AF$7:$AF$306,MATCH(154,직원목록!$B$7:$B$306,0)),""))</f>
        <v/>
      </c>
      <c r="K166" s="27">
        <f>IF($A166="","",IFERROR(INDEX(직원목록!$AI$7:$AI$306,MATCH(154,직원목록!$B$7:$B$306,0)),""))</f>
        <v/>
      </c>
      <c r="L166" s="8">
        <f>IF($A166="","",IF(LEN(IF(AND(F166&lt;&gt;"",F166&lt;&gt;0),"계산 총지급과 대장 총지급이 다릅니다 / ","")&amp;IF(AND(I166&lt;&gt;"",I166&lt;&gt;0),"계산 총공제와 대장 총공제가 다릅니다 / ","")&amp;IF(J166&lt;0,"실수령액이 음수입니다 / ","")&amp;IF(COUNTIF(직원목록!$D$7:$D$306,B166)&gt;1,"같은 이름이 둘 이상 — 미리보기는 첫 번째만 보입니다 / ","")&amp;IF(AND(C166&lt;&gt;"",COUNTIF(직원목록!$C$7:$C$306,C166)&gt;1),"사번 중복 / ","")&amp;IF(D166=0,"총지급이 0원 — 머리글 매칭 확인 / ","")&amp;IF(AND(설정!$B$17&lt;&gt;"",설정!$C$17="",OR(ISNUMBER(FIND("연장",설정!$B$17)),ISNUMBER(FIND("야간",설정!$B$17)),ISNUMBER(FIND("휴일",설정!$B$17))),INDEX(직원목록!$F$7:$F$306,MATCH(154,직원목록!$B$7:$B$306,0))&gt;0),"연장·야간·휴일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","")&amp;IF(AND(설정!$B$24&lt;&gt;"",설정!$C$24="",OR(ISNUMBER(FIND("연장",설정!$B$24)),ISNUMBER(FIND("야간",설정!$B$24)),ISNUMBER(FIND("휴일",설정!$B$24))),INDEX(직원목록!$M$7:$M$306,MATCH(154,직원목록!$B$7:$B$306,0))&gt;0),"연장·야간·휴일 수당은 시간 수도 명세서에 적어야 하니 시간 열 지정 필요 / ",""))=0,"✔",("⚠ "&amp;IF(AND(F166&lt;&gt;"",F166&lt;&gt;0),"계산 총지급과 대장 총지급이 다릅니다 / ","")&amp;IF(AND(I166&lt;&gt;"",I166&lt;&gt;0),"계산 총공제와 대장 총공제가 다릅니다 / ","")&amp;IF(J166&lt;0,"실수령액이 음수입니다 / ","")&amp;IF(COUNTIF(직원목록!$D$7:$D$306,B166)&gt;1,"같은 이름이 둘 이상 — 미리보기는 첫 번째만 보입니다 / ","")&amp;IF(AND(C166&lt;&gt;"",COUNTIF(직원목록!$C$7:$C$306,C166)&gt;1),"사번 중복 / ","")&amp;IF(D166=0,"총지급이 0원 — 머리글 매칭 확인 / ","")&amp;IF(AND(설정!$B$17&lt;&gt;"",설정!$C$17="",OR(ISNUMBER(FIND("연장",설정!$B$17)),ISNUMBER(FIND("야간",설정!$B$17)),ISNUMBER(FIND("휴일",설정!$B$17))),INDEX(직원목록!$F$7:$F$306,MATCH(154,직원목록!$B$7:$B$306,0))&gt;0),"연장·야간·휴일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","")&amp;IF(AND(설정!$B$24&lt;&gt;"",설정!$C$24="",OR(ISNUMBER(FIND("연장",설정!$B$24)),ISNUMBER(FIND("야간",설정!$B$24)),ISNUMBER(FIND("휴일",설정!$B$24))),INDEX(직원목록!$M$7:$M$306,MATCH(154,직원목록!$B$7:$B$306,0))&gt;0),"연장·야간·휴일 수당은 시간 수도 명세서에 적어야 하니 시간 열 지정 필요 / ",""))))</f>
        <v/>
      </c>
    </row>
    <row r="167">
      <c r="A167" s="26">
        <f>IF(IFERROR(MATCH(155,직원목록!$B$7:$B$306,0),0)=0,"",155)</f>
        <v/>
      </c>
      <c r="B167" s="2">
        <f>IF($A167="","",IFERROR(INDEX(직원목록!$D$7:$D$306,MATCH(155,직원목록!$B$7:$B$306,0)),""))</f>
        <v/>
      </c>
      <c r="C167" s="2">
        <f>IF($A167="","",IFERROR(INDEX(직원목록!$C$7:$C$306,MATCH(155,직원목록!$B$7:$B$306,0)),""))</f>
        <v/>
      </c>
      <c r="D167" s="27">
        <f>IF($A167="","",IFERROR(INDEX(직원목록!$V$7:$V$306,MATCH(155,직원목록!$B$7:$B$306,0)),""))</f>
        <v/>
      </c>
      <c r="E167" s="27">
        <f>IF($A167="","",IFERROR(INDEX(직원목록!$AG$7:$AG$306,MATCH(155,직원목록!$B$7:$B$306,0)),""))</f>
        <v/>
      </c>
      <c r="F167" s="27">
        <f>IF(OR($A167="",E167=""),"",D167-E167)</f>
        <v/>
      </c>
      <c r="G167" s="27">
        <f>IF($A167="","",IFERROR(INDEX(직원목록!$AE$7:$AE$306,MATCH(155,직원목록!$B$7:$B$306,0)),""))</f>
        <v/>
      </c>
      <c r="H167" s="27">
        <f>IF($A167="","",IFERROR(INDEX(직원목록!$AH$7:$AH$306,MATCH(155,직원목록!$B$7:$B$306,0)),""))</f>
        <v/>
      </c>
      <c r="I167" s="27">
        <f>IF(OR($A167="",H167=""),"",G167-H167)</f>
        <v/>
      </c>
      <c r="J167" s="27">
        <f>IF($A167="","",IFERROR(INDEX(직원목록!$AF$7:$AF$306,MATCH(155,직원목록!$B$7:$B$306,0)),""))</f>
        <v/>
      </c>
      <c r="K167" s="27">
        <f>IF($A167="","",IFERROR(INDEX(직원목록!$AI$7:$AI$306,MATCH(155,직원목록!$B$7:$B$306,0)),""))</f>
        <v/>
      </c>
      <c r="L167" s="8">
        <f>IF($A167="","",IF(LEN(IF(AND(F167&lt;&gt;"",F167&lt;&gt;0),"계산 총지급과 대장 총지급이 다릅니다 / ","")&amp;IF(AND(I167&lt;&gt;"",I167&lt;&gt;0),"계산 총공제와 대장 총공제가 다릅니다 / ","")&amp;IF(J167&lt;0,"실수령액이 음수입니다 / ","")&amp;IF(COUNTIF(직원목록!$D$7:$D$306,B167)&gt;1,"같은 이름이 둘 이상 — 미리보기는 첫 번째만 보입니다 / ","")&amp;IF(AND(C167&lt;&gt;"",COUNTIF(직원목록!$C$7:$C$306,C167)&gt;1),"사번 중복 / ","")&amp;IF(D167=0,"총지급이 0원 — 머리글 매칭 확인 / ","")&amp;IF(AND(설정!$B$17&lt;&gt;"",설정!$C$17="",OR(ISNUMBER(FIND("연장",설정!$B$17)),ISNUMBER(FIND("야간",설정!$B$17)),ISNUMBER(FIND("휴일",설정!$B$17))),INDEX(직원목록!$F$7:$F$306,MATCH(155,직원목록!$B$7:$B$306,0))&gt;0),"연장·야간·휴일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","")&amp;IF(AND(설정!$B$24&lt;&gt;"",설정!$C$24="",OR(ISNUMBER(FIND("연장",설정!$B$24)),ISNUMBER(FIND("야간",설정!$B$24)),ISNUMBER(FIND("휴일",설정!$B$24))),INDEX(직원목록!$M$7:$M$306,MATCH(155,직원목록!$B$7:$B$306,0))&gt;0),"연장·야간·휴일 수당은 시간 수도 명세서에 적어야 하니 시간 열 지정 필요 / ",""))=0,"✔",("⚠ "&amp;IF(AND(F167&lt;&gt;"",F167&lt;&gt;0),"계산 총지급과 대장 총지급이 다릅니다 / ","")&amp;IF(AND(I167&lt;&gt;"",I167&lt;&gt;0),"계산 총공제와 대장 총공제가 다릅니다 / ","")&amp;IF(J167&lt;0,"실수령액이 음수입니다 / ","")&amp;IF(COUNTIF(직원목록!$D$7:$D$306,B167)&gt;1,"같은 이름이 둘 이상 — 미리보기는 첫 번째만 보입니다 / ","")&amp;IF(AND(C167&lt;&gt;"",COUNTIF(직원목록!$C$7:$C$306,C167)&gt;1),"사번 중복 / ","")&amp;IF(D167=0,"총지급이 0원 — 머리글 매칭 확인 / ","")&amp;IF(AND(설정!$B$17&lt;&gt;"",설정!$C$17="",OR(ISNUMBER(FIND("연장",설정!$B$17)),ISNUMBER(FIND("야간",설정!$B$17)),ISNUMBER(FIND("휴일",설정!$B$17))),INDEX(직원목록!$F$7:$F$306,MATCH(155,직원목록!$B$7:$B$306,0))&gt;0),"연장·야간·휴일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","")&amp;IF(AND(설정!$B$24&lt;&gt;"",설정!$C$24="",OR(ISNUMBER(FIND("연장",설정!$B$24)),ISNUMBER(FIND("야간",설정!$B$24)),ISNUMBER(FIND("휴일",설정!$B$24))),INDEX(직원목록!$M$7:$M$306,MATCH(155,직원목록!$B$7:$B$306,0))&gt;0),"연장·야간·휴일 수당은 시간 수도 명세서에 적어야 하니 시간 열 지정 필요 / ",""))))</f>
        <v/>
      </c>
    </row>
    <row r="168">
      <c r="A168" s="26">
        <f>IF(IFERROR(MATCH(156,직원목록!$B$7:$B$306,0),0)=0,"",156)</f>
        <v/>
      </c>
      <c r="B168" s="2">
        <f>IF($A168="","",IFERROR(INDEX(직원목록!$D$7:$D$306,MATCH(156,직원목록!$B$7:$B$306,0)),""))</f>
        <v/>
      </c>
      <c r="C168" s="2">
        <f>IF($A168="","",IFERROR(INDEX(직원목록!$C$7:$C$306,MATCH(156,직원목록!$B$7:$B$306,0)),""))</f>
        <v/>
      </c>
      <c r="D168" s="27">
        <f>IF($A168="","",IFERROR(INDEX(직원목록!$V$7:$V$306,MATCH(156,직원목록!$B$7:$B$306,0)),""))</f>
        <v/>
      </c>
      <c r="E168" s="27">
        <f>IF($A168="","",IFERROR(INDEX(직원목록!$AG$7:$AG$306,MATCH(156,직원목록!$B$7:$B$306,0)),""))</f>
        <v/>
      </c>
      <c r="F168" s="27">
        <f>IF(OR($A168="",E168=""),"",D168-E168)</f>
        <v/>
      </c>
      <c r="G168" s="27">
        <f>IF($A168="","",IFERROR(INDEX(직원목록!$AE$7:$AE$306,MATCH(156,직원목록!$B$7:$B$306,0)),""))</f>
        <v/>
      </c>
      <c r="H168" s="27">
        <f>IF($A168="","",IFERROR(INDEX(직원목록!$AH$7:$AH$306,MATCH(156,직원목록!$B$7:$B$306,0)),""))</f>
        <v/>
      </c>
      <c r="I168" s="27">
        <f>IF(OR($A168="",H168=""),"",G168-H168)</f>
        <v/>
      </c>
      <c r="J168" s="27">
        <f>IF($A168="","",IFERROR(INDEX(직원목록!$AF$7:$AF$306,MATCH(156,직원목록!$B$7:$B$306,0)),""))</f>
        <v/>
      </c>
      <c r="K168" s="27">
        <f>IF($A168="","",IFERROR(INDEX(직원목록!$AI$7:$AI$306,MATCH(156,직원목록!$B$7:$B$306,0)),""))</f>
        <v/>
      </c>
      <c r="L168" s="8">
        <f>IF($A168="","",IF(LEN(IF(AND(F168&lt;&gt;"",F168&lt;&gt;0),"계산 총지급과 대장 총지급이 다릅니다 / ","")&amp;IF(AND(I168&lt;&gt;"",I168&lt;&gt;0),"계산 총공제와 대장 총공제가 다릅니다 / ","")&amp;IF(J168&lt;0,"실수령액이 음수입니다 / ","")&amp;IF(COUNTIF(직원목록!$D$7:$D$306,B168)&gt;1,"같은 이름이 둘 이상 — 미리보기는 첫 번째만 보입니다 / ","")&amp;IF(AND(C168&lt;&gt;"",COUNTIF(직원목록!$C$7:$C$306,C168)&gt;1),"사번 중복 / ","")&amp;IF(D168=0,"총지급이 0원 — 머리글 매칭 확인 / ","")&amp;IF(AND(설정!$B$17&lt;&gt;"",설정!$C$17="",OR(ISNUMBER(FIND("연장",설정!$B$17)),ISNUMBER(FIND("야간",설정!$B$17)),ISNUMBER(FIND("휴일",설정!$B$17))),INDEX(직원목록!$F$7:$F$306,MATCH(156,직원목록!$B$7:$B$306,0))&gt;0),"연장·야간·휴일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","")&amp;IF(AND(설정!$B$24&lt;&gt;"",설정!$C$24="",OR(ISNUMBER(FIND("연장",설정!$B$24)),ISNUMBER(FIND("야간",설정!$B$24)),ISNUMBER(FIND("휴일",설정!$B$24))),INDEX(직원목록!$M$7:$M$306,MATCH(156,직원목록!$B$7:$B$306,0))&gt;0),"연장·야간·휴일 수당은 시간 수도 명세서에 적어야 하니 시간 열 지정 필요 / ",""))=0,"✔",("⚠ "&amp;IF(AND(F168&lt;&gt;"",F168&lt;&gt;0),"계산 총지급과 대장 총지급이 다릅니다 / ","")&amp;IF(AND(I168&lt;&gt;"",I168&lt;&gt;0),"계산 총공제와 대장 총공제가 다릅니다 / ","")&amp;IF(J168&lt;0,"실수령액이 음수입니다 / ","")&amp;IF(COUNTIF(직원목록!$D$7:$D$306,B168)&gt;1,"같은 이름이 둘 이상 — 미리보기는 첫 번째만 보입니다 / ","")&amp;IF(AND(C168&lt;&gt;"",COUNTIF(직원목록!$C$7:$C$306,C168)&gt;1),"사번 중복 / ","")&amp;IF(D168=0,"총지급이 0원 — 머리글 매칭 확인 / ","")&amp;IF(AND(설정!$B$17&lt;&gt;"",설정!$C$17="",OR(ISNUMBER(FIND("연장",설정!$B$17)),ISNUMBER(FIND("야간",설정!$B$17)),ISNUMBER(FIND("휴일",설정!$B$17))),INDEX(직원목록!$F$7:$F$306,MATCH(156,직원목록!$B$7:$B$306,0))&gt;0),"연장·야간·휴일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","")&amp;IF(AND(설정!$B$24&lt;&gt;"",설정!$C$24="",OR(ISNUMBER(FIND("연장",설정!$B$24)),ISNUMBER(FIND("야간",설정!$B$24)),ISNUMBER(FIND("휴일",설정!$B$24))),INDEX(직원목록!$M$7:$M$306,MATCH(156,직원목록!$B$7:$B$306,0))&gt;0),"연장·야간·휴일 수당은 시간 수도 명세서에 적어야 하니 시간 열 지정 필요 / ",""))))</f>
        <v/>
      </c>
    </row>
    <row r="169">
      <c r="A169" s="26">
        <f>IF(IFERROR(MATCH(157,직원목록!$B$7:$B$306,0),0)=0,"",157)</f>
        <v/>
      </c>
      <c r="B169" s="2">
        <f>IF($A169="","",IFERROR(INDEX(직원목록!$D$7:$D$306,MATCH(157,직원목록!$B$7:$B$306,0)),""))</f>
        <v/>
      </c>
      <c r="C169" s="2">
        <f>IF($A169="","",IFERROR(INDEX(직원목록!$C$7:$C$306,MATCH(157,직원목록!$B$7:$B$306,0)),""))</f>
        <v/>
      </c>
      <c r="D169" s="27">
        <f>IF($A169="","",IFERROR(INDEX(직원목록!$V$7:$V$306,MATCH(157,직원목록!$B$7:$B$306,0)),""))</f>
        <v/>
      </c>
      <c r="E169" s="27">
        <f>IF($A169="","",IFERROR(INDEX(직원목록!$AG$7:$AG$306,MATCH(157,직원목록!$B$7:$B$306,0)),""))</f>
        <v/>
      </c>
      <c r="F169" s="27">
        <f>IF(OR($A169="",E169=""),"",D169-E169)</f>
        <v/>
      </c>
      <c r="G169" s="27">
        <f>IF($A169="","",IFERROR(INDEX(직원목록!$AE$7:$AE$306,MATCH(157,직원목록!$B$7:$B$306,0)),""))</f>
        <v/>
      </c>
      <c r="H169" s="27">
        <f>IF($A169="","",IFERROR(INDEX(직원목록!$AH$7:$AH$306,MATCH(157,직원목록!$B$7:$B$306,0)),""))</f>
        <v/>
      </c>
      <c r="I169" s="27">
        <f>IF(OR($A169="",H169=""),"",G169-H169)</f>
        <v/>
      </c>
      <c r="J169" s="27">
        <f>IF($A169="","",IFERROR(INDEX(직원목록!$AF$7:$AF$306,MATCH(157,직원목록!$B$7:$B$306,0)),""))</f>
        <v/>
      </c>
      <c r="K169" s="27">
        <f>IF($A169="","",IFERROR(INDEX(직원목록!$AI$7:$AI$306,MATCH(157,직원목록!$B$7:$B$306,0)),""))</f>
        <v/>
      </c>
      <c r="L169" s="8">
        <f>IF($A169="","",IF(LEN(IF(AND(F169&lt;&gt;"",F169&lt;&gt;0),"계산 총지급과 대장 총지급이 다릅니다 / ","")&amp;IF(AND(I169&lt;&gt;"",I169&lt;&gt;0),"계산 총공제와 대장 총공제가 다릅니다 / ","")&amp;IF(J169&lt;0,"실수령액이 음수입니다 / ","")&amp;IF(COUNTIF(직원목록!$D$7:$D$306,B169)&gt;1,"같은 이름이 둘 이상 — 미리보기는 첫 번째만 보입니다 / ","")&amp;IF(AND(C169&lt;&gt;"",COUNTIF(직원목록!$C$7:$C$306,C169)&gt;1),"사번 중복 / ","")&amp;IF(D169=0,"총지급이 0원 — 머리글 매칭 확인 / ","")&amp;IF(AND(설정!$B$17&lt;&gt;"",설정!$C$17="",OR(ISNUMBER(FIND("연장",설정!$B$17)),ISNUMBER(FIND("야간",설정!$B$17)),ISNUMBER(FIND("휴일",설정!$B$17))),INDEX(직원목록!$F$7:$F$306,MATCH(157,직원목록!$B$7:$B$306,0))&gt;0),"연장·야간·휴일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","")&amp;IF(AND(설정!$B$24&lt;&gt;"",설정!$C$24="",OR(ISNUMBER(FIND("연장",설정!$B$24)),ISNUMBER(FIND("야간",설정!$B$24)),ISNUMBER(FIND("휴일",설정!$B$24))),INDEX(직원목록!$M$7:$M$306,MATCH(157,직원목록!$B$7:$B$306,0))&gt;0),"연장·야간·휴일 수당은 시간 수도 명세서에 적어야 하니 시간 열 지정 필요 / ",""))=0,"✔",("⚠ "&amp;IF(AND(F169&lt;&gt;"",F169&lt;&gt;0),"계산 총지급과 대장 총지급이 다릅니다 / ","")&amp;IF(AND(I169&lt;&gt;"",I169&lt;&gt;0),"계산 총공제와 대장 총공제가 다릅니다 / ","")&amp;IF(J169&lt;0,"실수령액이 음수입니다 / ","")&amp;IF(COUNTIF(직원목록!$D$7:$D$306,B169)&gt;1,"같은 이름이 둘 이상 — 미리보기는 첫 번째만 보입니다 / ","")&amp;IF(AND(C169&lt;&gt;"",COUNTIF(직원목록!$C$7:$C$306,C169)&gt;1),"사번 중복 / ","")&amp;IF(D169=0,"총지급이 0원 — 머리글 매칭 확인 / ","")&amp;IF(AND(설정!$B$17&lt;&gt;"",설정!$C$17="",OR(ISNUMBER(FIND("연장",설정!$B$17)),ISNUMBER(FIND("야간",설정!$B$17)),ISNUMBER(FIND("휴일",설정!$B$17))),INDEX(직원목록!$F$7:$F$306,MATCH(157,직원목록!$B$7:$B$306,0))&gt;0),"연장·야간·휴일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","")&amp;IF(AND(설정!$B$24&lt;&gt;"",설정!$C$24="",OR(ISNUMBER(FIND("연장",설정!$B$24)),ISNUMBER(FIND("야간",설정!$B$24)),ISNUMBER(FIND("휴일",설정!$B$24))),INDEX(직원목록!$M$7:$M$306,MATCH(157,직원목록!$B$7:$B$306,0))&gt;0),"연장·야간·휴일 수당은 시간 수도 명세서에 적어야 하니 시간 열 지정 필요 / ",""))))</f>
        <v/>
      </c>
    </row>
    <row r="170">
      <c r="A170" s="26">
        <f>IF(IFERROR(MATCH(158,직원목록!$B$7:$B$306,0),0)=0,"",158)</f>
        <v/>
      </c>
      <c r="B170" s="2">
        <f>IF($A170="","",IFERROR(INDEX(직원목록!$D$7:$D$306,MATCH(158,직원목록!$B$7:$B$306,0)),""))</f>
        <v/>
      </c>
      <c r="C170" s="2">
        <f>IF($A170="","",IFERROR(INDEX(직원목록!$C$7:$C$306,MATCH(158,직원목록!$B$7:$B$306,0)),""))</f>
        <v/>
      </c>
      <c r="D170" s="27">
        <f>IF($A170="","",IFERROR(INDEX(직원목록!$V$7:$V$306,MATCH(158,직원목록!$B$7:$B$306,0)),""))</f>
        <v/>
      </c>
      <c r="E170" s="27">
        <f>IF($A170="","",IFERROR(INDEX(직원목록!$AG$7:$AG$306,MATCH(158,직원목록!$B$7:$B$306,0)),""))</f>
        <v/>
      </c>
      <c r="F170" s="27">
        <f>IF(OR($A170="",E170=""),"",D170-E170)</f>
        <v/>
      </c>
      <c r="G170" s="27">
        <f>IF($A170="","",IFERROR(INDEX(직원목록!$AE$7:$AE$306,MATCH(158,직원목록!$B$7:$B$306,0)),""))</f>
        <v/>
      </c>
      <c r="H170" s="27">
        <f>IF($A170="","",IFERROR(INDEX(직원목록!$AH$7:$AH$306,MATCH(158,직원목록!$B$7:$B$306,0)),""))</f>
        <v/>
      </c>
      <c r="I170" s="27">
        <f>IF(OR($A170="",H170=""),"",G170-H170)</f>
        <v/>
      </c>
      <c r="J170" s="27">
        <f>IF($A170="","",IFERROR(INDEX(직원목록!$AF$7:$AF$306,MATCH(158,직원목록!$B$7:$B$306,0)),""))</f>
        <v/>
      </c>
      <c r="K170" s="27">
        <f>IF($A170="","",IFERROR(INDEX(직원목록!$AI$7:$AI$306,MATCH(158,직원목록!$B$7:$B$306,0)),""))</f>
        <v/>
      </c>
      <c r="L170" s="8">
        <f>IF($A170="","",IF(LEN(IF(AND(F170&lt;&gt;"",F170&lt;&gt;0),"계산 총지급과 대장 총지급이 다릅니다 / ","")&amp;IF(AND(I170&lt;&gt;"",I170&lt;&gt;0),"계산 총공제와 대장 총공제가 다릅니다 / ","")&amp;IF(J170&lt;0,"실수령액이 음수입니다 / ","")&amp;IF(COUNTIF(직원목록!$D$7:$D$306,B170)&gt;1,"같은 이름이 둘 이상 — 미리보기는 첫 번째만 보입니다 / ","")&amp;IF(AND(C170&lt;&gt;"",COUNTIF(직원목록!$C$7:$C$306,C170)&gt;1),"사번 중복 / ","")&amp;IF(D170=0,"총지급이 0원 — 머리글 매칭 확인 / ","")&amp;IF(AND(설정!$B$17&lt;&gt;"",설정!$C$17="",OR(ISNUMBER(FIND("연장",설정!$B$17)),ISNUMBER(FIND("야간",설정!$B$17)),ISNUMBER(FIND("휴일",설정!$B$17))),INDEX(직원목록!$F$7:$F$306,MATCH(158,직원목록!$B$7:$B$306,0))&gt;0),"연장·야간·휴일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","")&amp;IF(AND(설정!$B$24&lt;&gt;"",설정!$C$24="",OR(ISNUMBER(FIND("연장",설정!$B$24)),ISNUMBER(FIND("야간",설정!$B$24)),ISNUMBER(FIND("휴일",설정!$B$24))),INDEX(직원목록!$M$7:$M$306,MATCH(158,직원목록!$B$7:$B$306,0))&gt;0),"연장·야간·휴일 수당은 시간 수도 명세서에 적어야 하니 시간 열 지정 필요 / ",""))=0,"✔",("⚠ "&amp;IF(AND(F170&lt;&gt;"",F170&lt;&gt;0),"계산 총지급과 대장 총지급이 다릅니다 / ","")&amp;IF(AND(I170&lt;&gt;"",I170&lt;&gt;0),"계산 총공제와 대장 총공제가 다릅니다 / ","")&amp;IF(J170&lt;0,"실수령액이 음수입니다 / ","")&amp;IF(COUNTIF(직원목록!$D$7:$D$306,B170)&gt;1,"같은 이름이 둘 이상 — 미리보기는 첫 번째만 보입니다 / ","")&amp;IF(AND(C170&lt;&gt;"",COUNTIF(직원목록!$C$7:$C$306,C170)&gt;1),"사번 중복 / ","")&amp;IF(D170=0,"총지급이 0원 — 머리글 매칭 확인 / ","")&amp;IF(AND(설정!$B$17&lt;&gt;"",설정!$C$17="",OR(ISNUMBER(FIND("연장",설정!$B$17)),ISNUMBER(FIND("야간",설정!$B$17)),ISNUMBER(FIND("휴일",설정!$B$17))),INDEX(직원목록!$F$7:$F$306,MATCH(158,직원목록!$B$7:$B$306,0))&gt;0),"연장·야간·휴일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","")&amp;IF(AND(설정!$B$24&lt;&gt;"",설정!$C$24="",OR(ISNUMBER(FIND("연장",설정!$B$24)),ISNUMBER(FIND("야간",설정!$B$24)),ISNUMBER(FIND("휴일",설정!$B$24))),INDEX(직원목록!$M$7:$M$306,MATCH(158,직원목록!$B$7:$B$306,0))&gt;0),"연장·야간·휴일 수당은 시간 수도 명세서에 적어야 하니 시간 열 지정 필요 / ",""))))</f>
        <v/>
      </c>
    </row>
    <row r="171">
      <c r="A171" s="26">
        <f>IF(IFERROR(MATCH(159,직원목록!$B$7:$B$306,0),0)=0,"",159)</f>
        <v/>
      </c>
      <c r="B171" s="2">
        <f>IF($A171="","",IFERROR(INDEX(직원목록!$D$7:$D$306,MATCH(159,직원목록!$B$7:$B$306,0)),""))</f>
        <v/>
      </c>
      <c r="C171" s="2">
        <f>IF($A171="","",IFERROR(INDEX(직원목록!$C$7:$C$306,MATCH(159,직원목록!$B$7:$B$306,0)),""))</f>
        <v/>
      </c>
      <c r="D171" s="27">
        <f>IF($A171="","",IFERROR(INDEX(직원목록!$V$7:$V$306,MATCH(159,직원목록!$B$7:$B$306,0)),""))</f>
        <v/>
      </c>
      <c r="E171" s="27">
        <f>IF($A171="","",IFERROR(INDEX(직원목록!$AG$7:$AG$306,MATCH(159,직원목록!$B$7:$B$306,0)),""))</f>
        <v/>
      </c>
      <c r="F171" s="27">
        <f>IF(OR($A171="",E171=""),"",D171-E171)</f>
        <v/>
      </c>
      <c r="G171" s="27">
        <f>IF($A171="","",IFERROR(INDEX(직원목록!$AE$7:$AE$306,MATCH(159,직원목록!$B$7:$B$306,0)),""))</f>
        <v/>
      </c>
      <c r="H171" s="27">
        <f>IF($A171="","",IFERROR(INDEX(직원목록!$AH$7:$AH$306,MATCH(159,직원목록!$B$7:$B$306,0)),""))</f>
        <v/>
      </c>
      <c r="I171" s="27">
        <f>IF(OR($A171="",H171=""),"",G171-H171)</f>
        <v/>
      </c>
      <c r="J171" s="27">
        <f>IF($A171="","",IFERROR(INDEX(직원목록!$AF$7:$AF$306,MATCH(159,직원목록!$B$7:$B$306,0)),""))</f>
        <v/>
      </c>
      <c r="K171" s="27">
        <f>IF($A171="","",IFERROR(INDEX(직원목록!$AI$7:$AI$306,MATCH(159,직원목록!$B$7:$B$306,0)),""))</f>
        <v/>
      </c>
      <c r="L171" s="8">
        <f>IF($A171="","",IF(LEN(IF(AND(F171&lt;&gt;"",F171&lt;&gt;0),"계산 총지급과 대장 총지급이 다릅니다 / ","")&amp;IF(AND(I171&lt;&gt;"",I171&lt;&gt;0),"계산 총공제와 대장 총공제가 다릅니다 / ","")&amp;IF(J171&lt;0,"실수령액이 음수입니다 / ","")&amp;IF(COUNTIF(직원목록!$D$7:$D$306,B171)&gt;1,"같은 이름이 둘 이상 — 미리보기는 첫 번째만 보입니다 / ","")&amp;IF(AND(C171&lt;&gt;"",COUNTIF(직원목록!$C$7:$C$306,C171)&gt;1),"사번 중복 / ","")&amp;IF(D171=0,"총지급이 0원 — 머리글 매칭 확인 / ","")&amp;IF(AND(설정!$B$17&lt;&gt;"",설정!$C$17="",OR(ISNUMBER(FIND("연장",설정!$B$17)),ISNUMBER(FIND("야간",설정!$B$17)),ISNUMBER(FIND("휴일",설정!$B$17))),INDEX(직원목록!$F$7:$F$306,MATCH(159,직원목록!$B$7:$B$306,0))&gt;0),"연장·야간·휴일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","")&amp;IF(AND(설정!$B$24&lt;&gt;"",설정!$C$24="",OR(ISNUMBER(FIND("연장",설정!$B$24)),ISNUMBER(FIND("야간",설정!$B$24)),ISNUMBER(FIND("휴일",설정!$B$24))),INDEX(직원목록!$M$7:$M$306,MATCH(159,직원목록!$B$7:$B$306,0))&gt;0),"연장·야간·휴일 수당은 시간 수도 명세서에 적어야 하니 시간 열 지정 필요 / ",""))=0,"✔",("⚠ "&amp;IF(AND(F171&lt;&gt;"",F171&lt;&gt;0),"계산 총지급과 대장 총지급이 다릅니다 / ","")&amp;IF(AND(I171&lt;&gt;"",I171&lt;&gt;0),"계산 총공제와 대장 총공제가 다릅니다 / ","")&amp;IF(J171&lt;0,"실수령액이 음수입니다 / ","")&amp;IF(COUNTIF(직원목록!$D$7:$D$306,B171)&gt;1,"같은 이름이 둘 이상 — 미리보기는 첫 번째만 보입니다 / ","")&amp;IF(AND(C171&lt;&gt;"",COUNTIF(직원목록!$C$7:$C$306,C171)&gt;1),"사번 중복 / ","")&amp;IF(D171=0,"총지급이 0원 — 머리글 매칭 확인 / ","")&amp;IF(AND(설정!$B$17&lt;&gt;"",설정!$C$17="",OR(ISNUMBER(FIND("연장",설정!$B$17)),ISNUMBER(FIND("야간",설정!$B$17)),ISNUMBER(FIND("휴일",설정!$B$17))),INDEX(직원목록!$F$7:$F$306,MATCH(159,직원목록!$B$7:$B$306,0))&gt;0),"연장·야간·휴일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","")&amp;IF(AND(설정!$B$18&lt;&gt;"",설정!$C$18="",OR(ISNUMBER(FIND("연장",설정!$B$18)),ISNUMBER(FIND("야간",설정!$B$18)),ISNUMBER(FIND("휴일",설정!$B$18))),INDEX(직원목록!$G$7:$G$306,MATCH(159,직원목록!$B$7:$B$306,0))&gt;0),"연장·야간·휴일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","")&amp;IF(AND(설정!$B$19&lt;&gt;"",설정!$C$19="",OR(ISNUMBER(FIND("연장",설정!$B$19)),ISNUMBER(FIND("야간",설정!$B$19)),ISNUMBER(FIND("휴일",설정!$B$19))),INDEX(직원목록!$H$7:$H$306,MATCH(159,직원목록!$B$7:$B$306,0))&gt;0),"연장·야간·휴일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","")&amp;IF(AND(설정!$B$20&lt;&gt;"",설정!$C$20="",OR(ISNUMBER(FIND("연장",설정!$B$20)),ISNUMBER(FIND("야간",설정!$B$20)),ISNUMBER(FIND("휴일",설정!$B$20))),INDEX(직원목록!$I$7:$I$306,MATCH(159,직원목록!$B$7:$B$306,0))&gt;0),"연장·야간·휴일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","")&amp;IF(AND(설정!$B$21&lt;&gt;"",설정!$C$21="",OR(ISNUMBER(FIND("연장",설정!$B$21)),ISNUMBER(FIND("야간",설정!$B$21)),ISNUMBER(FIND("휴일",설정!$B$21))),INDEX(직원목록!$J$7:$J$306,MATCH(159,직원목록!$B$7:$B$306,0))&gt;0),"연장·야간·휴일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","")&amp;IF(AND(설정!$B$22&lt;&gt;"",설정!$C$22="",OR(ISNUMBER(FIND("연장",설정!$B$22)),ISNUMBER(FIND("야간",설정!$B$22)),ISNUMBER(FIND("휴일",설정!$B$22))),INDEX(직원목록!$K$7:$K$306,MATCH(159,직원목록!$B$7:$B$306,0))&gt;0),"연장·야간·휴일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","")&amp;IF(AND(설정!$B$23&lt;&gt;"",설정!$C$23="",OR(ISNUMBER(FIND("연장",설정!$B$23)),ISNUMBER(FIND("야간",설정!$B$23)),ISNUMBER(FIND("휴일",설정!$B$23))),INDEX(직원목록!$L$7:$L$306,MATCH(159,직원목록!$B$7:$B$306,0))&gt;0),"연장·야간·휴일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","")&amp;IF(AND(설정!$B$24&lt;&gt;"",설정!$C$24="",OR(ISNUMBER(FIND("연장",설정!$B$24)),ISNUMBER(FIND("야간",설정!$B$24)),ISNUMBER(FIND("휴일",설정!$B$24))),INDEX(직원목록!$M$7:$M$306,MATCH(159,직원목록!$B$7:$B$306,0))&gt;0),"연장·야간·휴일 수당은 시간 수도 명세서에 적어야 하니 시간 열 지정 필요 / ",""))))</f>
        <v/>
      </c>
    </row>
    <row r="172">
      <c r="A172" s="26">
        <f>IF(IFERROR(MATCH(160,직원목록!$B$7:$B$306,0),0)=0,"",160)</f>
        <v/>
      </c>
      <c r="B172" s="2">
        <f>IF($A172="","",IFERROR(INDEX(직원목록!$D$7:$D$306,MATCH(160,직원목록!$B$7:$B$306,0)),""))</f>
        <v/>
      </c>
      <c r="C172" s="2">
        <f>IF($A172="","",IFERROR(INDEX(직원목록!$C$7:$C$306,MATCH(160,직원목록!$B$7:$B$306,0)),""))</f>
        <v/>
      </c>
      <c r="D172" s="27">
        <f>IF($A172="","",IFERROR(INDEX(직원목록!$V$7:$V$306,MATCH(160,직원목록!$B$7:$B$306,0)),""))</f>
        <v/>
      </c>
      <c r="E172" s="27">
        <f>IF($A172="","",IFERROR(INDEX(직원목록!$AG$7:$AG$306,MATCH(160,직원목록!$B$7:$B$306,0)),""))</f>
        <v/>
      </c>
      <c r="F172" s="27">
        <f>IF(OR($A172="",E172=""),"",D172-E172)</f>
        <v/>
      </c>
      <c r="G172" s="27">
        <f>IF($A172="","",IFERROR(INDEX(직원목록!$AE$7:$AE$306,MATCH(160,직원목록!$B$7:$B$306,0)),""))</f>
        <v/>
      </c>
      <c r="H172" s="27">
        <f>IF($A172="","",IFERROR(INDEX(직원목록!$AH$7:$AH$306,MATCH(160,직원목록!$B$7:$B$306,0)),""))</f>
        <v/>
      </c>
      <c r="I172" s="27">
        <f>IF(OR($A172="",H172=""),"",G172-H172)</f>
        <v/>
      </c>
      <c r="J172" s="27">
        <f>IF($A172="","",IFERROR(INDEX(직원목록!$AF$7:$AF$306,MATCH(160,직원목록!$B$7:$B$306,0)),""))</f>
        <v/>
      </c>
      <c r="K172" s="27">
        <f>IF($A172="","",IFERROR(INDEX(직원목록!$AI$7:$AI$306,MATCH(160,직원목록!$B$7:$B$306,0)),""))</f>
        <v/>
      </c>
      <c r="L172" s="8">
        <f>IF($A172="","",IF(LEN(IF(AND(F172&lt;&gt;"",F172&lt;&gt;0),"계산 총지급과 대장 총지급이 다릅니다 / ","")&amp;IF(AND(I172&lt;&gt;"",I172&lt;&gt;0),"계산 총공제와 대장 총공제가 다릅니다 / ","")&amp;IF(J172&lt;0,"실수령액이 음수입니다 / ","")&amp;IF(COUNTIF(직원목록!$D$7:$D$306,B172)&gt;1,"같은 이름이 둘 이상 — 미리보기는 첫 번째만 보입니다 / ","")&amp;IF(AND(C172&lt;&gt;"",COUNTIF(직원목록!$C$7:$C$306,C172)&gt;1),"사번 중복 / ","")&amp;IF(D172=0,"총지급이 0원 — 머리글 매칭 확인 / ","")&amp;IF(AND(설정!$B$17&lt;&gt;"",설정!$C$17="",OR(ISNUMBER(FIND("연장",설정!$B$17)),ISNUMBER(FIND("야간",설정!$B$17)),ISNUMBER(FIND("휴일",설정!$B$17))),INDEX(직원목록!$F$7:$F$306,MATCH(160,직원목록!$B$7:$B$306,0))&gt;0),"연장·야간·휴일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","")&amp;IF(AND(설정!$B$24&lt;&gt;"",설정!$C$24="",OR(ISNUMBER(FIND("연장",설정!$B$24)),ISNUMBER(FIND("야간",설정!$B$24)),ISNUMBER(FIND("휴일",설정!$B$24))),INDEX(직원목록!$M$7:$M$306,MATCH(160,직원목록!$B$7:$B$306,0))&gt;0),"연장·야간·휴일 수당은 시간 수도 명세서에 적어야 하니 시간 열 지정 필요 / ",""))=0,"✔",("⚠ "&amp;IF(AND(F172&lt;&gt;"",F172&lt;&gt;0),"계산 총지급과 대장 총지급이 다릅니다 / ","")&amp;IF(AND(I172&lt;&gt;"",I172&lt;&gt;0),"계산 총공제와 대장 총공제가 다릅니다 / ","")&amp;IF(J172&lt;0,"실수령액이 음수입니다 / ","")&amp;IF(COUNTIF(직원목록!$D$7:$D$306,B172)&gt;1,"같은 이름이 둘 이상 — 미리보기는 첫 번째만 보입니다 / ","")&amp;IF(AND(C172&lt;&gt;"",COUNTIF(직원목록!$C$7:$C$306,C172)&gt;1),"사번 중복 / ","")&amp;IF(D172=0,"총지급이 0원 — 머리글 매칭 확인 / ","")&amp;IF(AND(설정!$B$17&lt;&gt;"",설정!$C$17="",OR(ISNUMBER(FIND("연장",설정!$B$17)),ISNUMBER(FIND("야간",설정!$B$17)),ISNUMBER(FIND("휴일",설정!$B$17))),INDEX(직원목록!$F$7:$F$306,MATCH(160,직원목록!$B$7:$B$306,0))&gt;0),"연장·야간·휴일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","")&amp;IF(AND(설정!$B$24&lt;&gt;"",설정!$C$24="",OR(ISNUMBER(FIND("연장",설정!$B$24)),ISNUMBER(FIND("야간",설정!$B$24)),ISNUMBER(FIND("휴일",설정!$B$24))),INDEX(직원목록!$M$7:$M$306,MATCH(160,직원목록!$B$7:$B$306,0))&gt;0),"연장·야간·휴일 수당은 시간 수도 명세서에 적어야 하니 시간 열 지정 필요 / ",""))))</f>
        <v/>
      </c>
    </row>
    <row r="173">
      <c r="A173" s="26">
        <f>IF(IFERROR(MATCH(161,직원목록!$B$7:$B$306,0),0)=0,"",161)</f>
        <v/>
      </c>
      <c r="B173" s="2">
        <f>IF($A173="","",IFERROR(INDEX(직원목록!$D$7:$D$306,MATCH(161,직원목록!$B$7:$B$306,0)),""))</f>
        <v/>
      </c>
      <c r="C173" s="2">
        <f>IF($A173="","",IFERROR(INDEX(직원목록!$C$7:$C$306,MATCH(161,직원목록!$B$7:$B$306,0)),""))</f>
        <v/>
      </c>
      <c r="D173" s="27">
        <f>IF($A173="","",IFERROR(INDEX(직원목록!$V$7:$V$306,MATCH(161,직원목록!$B$7:$B$306,0)),""))</f>
        <v/>
      </c>
      <c r="E173" s="27">
        <f>IF($A173="","",IFERROR(INDEX(직원목록!$AG$7:$AG$306,MATCH(161,직원목록!$B$7:$B$306,0)),""))</f>
        <v/>
      </c>
      <c r="F173" s="27">
        <f>IF(OR($A173="",E173=""),"",D173-E173)</f>
        <v/>
      </c>
      <c r="G173" s="27">
        <f>IF($A173="","",IFERROR(INDEX(직원목록!$AE$7:$AE$306,MATCH(161,직원목록!$B$7:$B$306,0)),""))</f>
        <v/>
      </c>
      <c r="H173" s="27">
        <f>IF($A173="","",IFERROR(INDEX(직원목록!$AH$7:$AH$306,MATCH(161,직원목록!$B$7:$B$306,0)),""))</f>
        <v/>
      </c>
      <c r="I173" s="27">
        <f>IF(OR($A173="",H173=""),"",G173-H173)</f>
        <v/>
      </c>
      <c r="J173" s="27">
        <f>IF($A173="","",IFERROR(INDEX(직원목록!$AF$7:$AF$306,MATCH(161,직원목록!$B$7:$B$306,0)),""))</f>
        <v/>
      </c>
      <c r="K173" s="27">
        <f>IF($A173="","",IFERROR(INDEX(직원목록!$AI$7:$AI$306,MATCH(161,직원목록!$B$7:$B$306,0)),""))</f>
        <v/>
      </c>
      <c r="L173" s="8">
        <f>IF($A173="","",IF(LEN(IF(AND(F173&lt;&gt;"",F173&lt;&gt;0),"계산 총지급과 대장 총지급이 다릅니다 / ","")&amp;IF(AND(I173&lt;&gt;"",I173&lt;&gt;0),"계산 총공제와 대장 총공제가 다릅니다 / ","")&amp;IF(J173&lt;0,"실수령액이 음수입니다 / ","")&amp;IF(COUNTIF(직원목록!$D$7:$D$306,B173)&gt;1,"같은 이름이 둘 이상 — 미리보기는 첫 번째만 보입니다 / ","")&amp;IF(AND(C173&lt;&gt;"",COUNTIF(직원목록!$C$7:$C$306,C173)&gt;1),"사번 중복 / ","")&amp;IF(D173=0,"총지급이 0원 — 머리글 매칭 확인 / ","")&amp;IF(AND(설정!$B$17&lt;&gt;"",설정!$C$17="",OR(ISNUMBER(FIND("연장",설정!$B$17)),ISNUMBER(FIND("야간",설정!$B$17)),ISNUMBER(FIND("휴일",설정!$B$17))),INDEX(직원목록!$F$7:$F$306,MATCH(161,직원목록!$B$7:$B$306,0))&gt;0),"연장·야간·휴일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","")&amp;IF(AND(설정!$B$24&lt;&gt;"",설정!$C$24="",OR(ISNUMBER(FIND("연장",설정!$B$24)),ISNUMBER(FIND("야간",설정!$B$24)),ISNUMBER(FIND("휴일",설정!$B$24))),INDEX(직원목록!$M$7:$M$306,MATCH(161,직원목록!$B$7:$B$306,0))&gt;0),"연장·야간·휴일 수당은 시간 수도 명세서에 적어야 하니 시간 열 지정 필요 / ",""))=0,"✔",("⚠ "&amp;IF(AND(F173&lt;&gt;"",F173&lt;&gt;0),"계산 총지급과 대장 총지급이 다릅니다 / ","")&amp;IF(AND(I173&lt;&gt;"",I173&lt;&gt;0),"계산 총공제와 대장 총공제가 다릅니다 / ","")&amp;IF(J173&lt;0,"실수령액이 음수입니다 / ","")&amp;IF(COUNTIF(직원목록!$D$7:$D$306,B173)&gt;1,"같은 이름이 둘 이상 — 미리보기는 첫 번째만 보입니다 / ","")&amp;IF(AND(C173&lt;&gt;"",COUNTIF(직원목록!$C$7:$C$306,C173)&gt;1),"사번 중복 / ","")&amp;IF(D173=0,"총지급이 0원 — 머리글 매칭 확인 / ","")&amp;IF(AND(설정!$B$17&lt;&gt;"",설정!$C$17="",OR(ISNUMBER(FIND("연장",설정!$B$17)),ISNUMBER(FIND("야간",설정!$B$17)),ISNUMBER(FIND("휴일",설정!$B$17))),INDEX(직원목록!$F$7:$F$306,MATCH(161,직원목록!$B$7:$B$306,0))&gt;0),"연장·야간·휴일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","")&amp;IF(AND(설정!$B$24&lt;&gt;"",설정!$C$24="",OR(ISNUMBER(FIND("연장",설정!$B$24)),ISNUMBER(FIND("야간",설정!$B$24)),ISNUMBER(FIND("휴일",설정!$B$24))),INDEX(직원목록!$M$7:$M$306,MATCH(161,직원목록!$B$7:$B$306,0))&gt;0),"연장·야간·휴일 수당은 시간 수도 명세서에 적어야 하니 시간 열 지정 필요 / ",""))))</f>
        <v/>
      </c>
    </row>
    <row r="174">
      <c r="A174" s="26">
        <f>IF(IFERROR(MATCH(162,직원목록!$B$7:$B$306,0),0)=0,"",162)</f>
        <v/>
      </c>
      <c r="B174" s="2">
        <f>IF($A174="","",IFERROR(INDEX(직원목록!$D$7:$D$306,MATCH(162,직원목록!$B$7:$B$306,0)),""))</f>
        <v/>
      </c>
      <c r="C174" s="2">
        <f>IF($A174="","",IFERROR(INDEX(직원목록!$C$7:$C$306,MATCH(162,직원목록!$B$7:$B$306,0)),""))</f>
        <v/>
      </c>
      <c r="D174" s="27">
        <f>IF($A174="","",IFERROR(INDEX(직원목록!$V$7:$V$306,MATCH(162,직원목록!$B$7:$B$306,0)),""))</f>
        <v/>
      </c>
      <c r="E174" s="27">
        <f>IF($A174="","",IFERROR(INDEX(직원목록!$AG$7:$AG$306,MATCH(162,직원목록!$B$7:$B$306,0)),""))</f>
        <v/>
      </c>
      <c r="F174" s="27">
        <f>IF(OR($A174="",E174=""),"",D174-E174)</f>
        <v/>
      </c>
      <c r="G174" s="27">
        <f>IF($A174="","",IFERROR(INDEX(직원목록!$AE$7:$AE$306,MATCH(162,직원목록!$B$7:$B$306,0)),""))</f>
        <v/>
      </c>
      <c r="H174" s="27">
        <f>IF($A174="","",IFERROR(INDEX(직원목록!$AH$7:$AH$306,MATCH(162,직원목록!$B$7:$B$306,0)),""))</f>
        <v/>
      </c>
      <c r="I174" s="27">
        <f>IF(OR($A174="",H174=""),"",G174-H174)</f>
        <v/>
      </c>
      <c r="J174" s="27">
        <f>IF($A174="","",IFERROR(INDEX(직원목록!$AF$7:$AF$306,MATCH(162,직원목록!$B$7:$B$306,0)),""))</f>
        <v/>
      </c>
      <c r="K174" s="27">
        <f>IF($A174="","",IFERROR(INDEX(직원목록!$AI$7:$AI$306,MATCH(162,직원목록!$B$7:$B$306,0)),""))</f>
        <v/>
      </c>
      <c r="L174" s="8">
        <f>IF($A174="","",IF(LEN(IF(AND(F174&lt;&gt;"",F174&lt;&gt;0),"계산 총지급과 대장 총지급이 다릅니다 / ","")&amp;IF(AND(I174&lt;&gt;"",I174&lt;&gt;0),"계산 총공제와 대장 총공제가 다릅니다 / ","")&amp;IF(J174&lt;0,"실수령액이 음수입니다 / ","")&amp;IF(COUNTIF(직원목록!$D$7:$D$306,B174)&gt;1,"같은 이름이 둘 이상 — 미리보기는 첫 번째만 보입니다 / ","")&amp;IF(AND(C174&lt;&gt;"",COUNTIF(직원목록!$C$7:$C$306,C174)&gt;1),"사번 중복 / ","")&amp;IF(D174=0,"총지급이 0원 — 머리글 매칭 확인 / ","")&amp;IF(AND(설정!$B$17&lt;&gt;"",설정!$C$17="",OR(ISNUMBER(FIND("연장",설정!$B$17)),ISNUMBER(FIND("야간",설정!$B$17)),ISNUMBER(FIND("휴일",설정!$B$17))),INDEX(직원목록!$F$7:$F$306,MATCH(162,직원목록!$B$7:$B$306,0))&gt;0),"연장·야간·휴일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","")&amp;IF(AND(설정!$B$24&lt;&gt;"",설정!$C$24="",OR(ISNUMBER(FIND("연장",설정!$B$24)),ISNUMBER(FIND("야간",설정!$B$24)),ISNUMBER(FIND("휴일",설정!$B$24))),INDEX(직원목록!$M$7:$M$306,MATCH(162,직원목록!$B$7:$B$306,0))&gt;0),"연장·야간·휴일 수당은 시간 수도 명세서에 적어야 하니 시간 열 지정 필요 / ",""))=0,"✔",("⚠ "&amp;IF(AND(F174&lt;&gt;"",F174&lt;&gt;0),"계산 총지급과 대장 총지급이 다릅니다 / ","")&amp;IF(AND(I174&lt;&gt;"",I174&lt;&gt;0),"계산 총공제와 대장 총공제가 다릅니다 / ","")&amp;IF(J174&lt;0,"실수령액이 음수입니다 / ","")&amp;IF(COUNTIF(직원목록!$D$7:$D$306,B174)&gt;1,"같은 이름이 둘 이상 — 미리보기는 첫 번째만 보입니다 / ","")&amp;IF(AND(C174&lt;&gt;"",COUNTIF(직원목록!$C$7:$C$306,C174)&gt;1),"사번 중복 / ","")&amp;IF(D174=0,"총지급이 0원 — 머리글 매칭 확인 / ","")&amp;IF(AND(설정!$B$17&lt;&gt;"",설정!$C$17="",OR(ISNUMBER(FIND("연장",설정!$B$17)),ISNUMBER(FIND("야간",설정!$B$17)),ISNUMBER(FIND("휴일",설정!$B$17))),INDEX(직원목록!$F$7:$F$306,MATCH(162,직원목록!$B$7:$B$306,0))&gt;0),"연장·야간·휴일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","")&amp;IF(AND(설정!$B$24&lt;&gt;"",설정!$C$24="",OR(ISNUMBER(FIND("연장",설정!$B$24)),ISNUMBER(FIND("야간",설정!$B$24)),ISNUMBER(FIND("휴일",설정!$B$24))),INDEX(직원목록!$M$7:$M$306,MATCH(162,직원목록!$B$7:$B$306,0))&gt;0),"연장·야간·휴일 수당은 시간 수도 명세서에 적어야 하니 시간 열 지정 필요 / ",""))))</f>
        <v/>
      </c>
    </row>
    <row r="175">
      <c r="A175" s="26">
        <f>IF(IFERROR(MATCH(163,직원목록!$B$7:$B$306,0),0)=0,"",163)</f>
        <v/>
      </c>
      <c r="B175" s="2">
        <f>IF($A175="","",IFERROR(INDEX(직원목록!$D$7:$D$306,MATCH(163,직원목록!$B$7:$B$306,0)),""))</f>
        <v/>
      </c>
      <c r="C175" s="2">
        <f>IF($A175="","",IFERROR(INDEX(직원목록!$C$7:$C$306,MATCH(163,직원목록!$B$7:$B$306,0)),""))</f>
        <v/>
      </c>
      <c r="D175" s="27">
        <f>IF($A175="","",IFERROR(INDEX(직원목록!$V$7:$V$306,MATCH(163,직원목록!$B$7:$B$306,0)),""))</f>
        <v/>
      </c>
      <c r="E175" s="27">
        <f>IF($A175="","",IFERROR(INDEX(직원목록!$AG$7:$AG$306,MATCH(163,직원목록!$B$7:$B$306,0)),""))</f>
        <v/>
      </c>
      <c r="F175" s="27">
        <f>IF(OR($A175="",E175=""),"",D175-E175)</f>
        <v/>
      </c>
      <c r="G175" s="27">
        <f>IF($A175="","",IFERROR(INDEX(직원목록!$AE$7:$AE$306,MATCH(163,직원목록!$B$7:$B$306,0)),""))</f>
        <v/>
      </c>
      <c r="H175" s="27">
        <f>IF($A175="","",IFERROR(INDEX(직원목록!$AH$7:$AH$306,MATCH(163,직원목록!$B$7:$B$306,0)),""))</f>
        <v/>
      </c>
      <c r="I175" s="27">
        <f>IF(OR($A175="",H175=""),"",G175-H175)</f>
        <v/>
      </c>
      <c r="J175" s="27">
        <f>IF($A175="","",IFERROR(INDEX(직원목록!$AF$7:$AF$306,MATCH(163,직원목록!$B$7:$B$306,0)),""))</f>
        <v/>
      </c>
      <c r="K175" s="27">
        <f>IF($A175="","",IFERROR(INDEX(직원목록!$AI$7:$AI$306,MATCH(163,직원목록!$B$7:$B$306,0)),""))</f>
        <v/>
      </c>
      <c r="L175" s="8">
        <f>IF($A175="","",IF(LEN(IF(AND(F175&lt;&gt;"",F175&lt;&gt;0),"계산 총지급과 대장 총지급이 다릅니다 / ","")&amp;IF(AND(I175&lt;&gt;"",I175&lt;&gt;0),"계산 총공제와 대장 총공제가 다릅니다 / ","")&amp;IF(J175&lt;0,"실수령액이 음수입니다 / ","")&amp;IF(COUNTIF(직원목록!$D$7:$D$306,B175)&gt;1,"같은 이름이 둘 이상 — 미리보기는 첫 번째만 보입니다 / ","")&amp;IF(AND(C175&lt;&gt;"",COUNTIF(직원목록!$C$7:$C$306,C175)&gt;1),"사번 중복 / ","")&amp;IF(D175=0,"총지급이 0원 — 머리글 매칭 확인 / ","")&amp;IF(AND(설정!$B$17&lt;&gt;"",설정!$C$17="",OR(ISNUMBER(FIND("연장",설정!$B$17)),ISNUMBER(FIND("야간",설정!$B$17)),ISNUMBER(FIND("휴일",설정!$B$17))),INDEX(직원목록!$F$7:$F$306,MATCH(163,직원목록!$B$7:$B$306,0))&gt;0),"연장·야간·휴일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","")&amp;IF(AND(설정!$B$24&lt;&gt;"",설정!$C$24="",OR(ISNUMBER(FIND("연장",설정!$B$24)),ISNUMBER(FIND("야간",설정!$B$24)),ISNUMBER(FIND("휴일",설정!$B$24))),INDEX(직원목록!$M$7:$M$306,MATCH(163,직원목록!$B$7:$B$306,0))&gt;0),"연장·야간·휴일 수당은 시간 수도 명세서에 적어야 하니 시간 열 지정 필요 / ",""))=0,"✔",("⚠ "&amp;IF(AND(F175&lt;&gt;"",F175&lt;&gt;0),"계산 총지급과 대장 총지급이 다릅니다 / ","")&amp;IF(AND(I175&lt;&gt;"",I175&lt;&gt;0),"계산 총공제와 대장 총공제가 다릅니다 / ","")&amp;IF(J175&lt;0,"실수령액이 음수입니다 / ","")&amp;IF(COUNTIF(직원목록!$D$7:$D$306,B175)&gt;1,"같은 이름이 둘 이상 — 미리보기는 첫 번째만 보입니다 / ","")&amp;IF(AND(C175&lt;&gt;"",COUNTIF(직원목록!$C$7:$C$306,C175)&gt;1),"사번 중복 / ","")&amp;IF(D175=0,"총지급이 0원 — 머리글 매칭 확인 / ","")&amp;IF(AND(설정!$B$17&lt;&gt;"",설정!$C$17="",OR(ISNUMBER(FIND("연장",설정!$B$17)),ISNUMBER(FIND("야간",설정!$B$17)),ISNUMBER(FIND("휴일",설정!$B$17))),INDEX(직원목록!$F$7:$F$306,MATCH(163,직원목록!$B$7:$B$306,0))&gt;0),"연장·야간·휴일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","")&amp;IF(AND(설정!$B$24&lt;&gt;"",설정!$C$24="",OR(ISNUMBER(FIND("연장",설정!$B$24)),ISNUMBER(FIND("야간",설정!$B$24)),ISNUMBER(FIND("휴일",설정!$B$24))),INDEX(직원목록!$M$7:$M$306,MATCH(163,직원목록!$B$7:$B$306,0))&gt;0),"연장·야간·휴일 수당은 시간 수도 명세서에 적어야 하니 시간 열 지정 필요 / ",""))))</f>
        <v/>
      </c>
    </row>
    <row r="176">
      <c r="A176" s="26">
        <f>IF(IFERROR(MATCH(164,직원목록!$B$7:$B$306,0),0)=0,"",164)</f>
        <v/>
      </c>
      <c r="B176" s="2">
        <f>IF($A176="","",IFERROR(INDEX(직원목록!$D$7:$D$306,MATCH(164,직원목록!$B$7:$B$306,0)),""))</f>
        <v/>
      </c>
      <c r="C176" s="2">
        <f>IF($A176="","",IFERROR(INDEX(직원목록!$C$7:$C$306,MATCH(164,직원목록!$B$7:$B$306,0)),""))</f>
        <v/>
      </c>
      <c r="D176" s="27">
        <f>IF($A176="","",IFERROR(INDEX(직원목록!$V$7:$V$306,MATCH(164,직원목록!$B$7:$B$306,0)),""))</f>
        <v/>
      </c>
      <c r="E176" s="27">
        <f>IF($A176="","",IFERROR(INDEX(직원목록!$AG$7:$AG$306,MATCH(164,직원목록!$B$7:$B$306,0)),""))</f>
        <v/>
      </c>
      <c r="F176" s="27">
        <f>IF(OR($A176="",E176=""),"",D176-E176)</f>
        <v/>
      </c>
      <c r="G176" s="27">
        <f>IF($A176="","",IFERROR(INDEX(직원목록!$AE$7:$AE$306,MATCH(164,직원목록!$B$7:$B$306,0)),""))</f>
        <v/>
      </c>
      <c r="H176" s="27">
        <f>IF($A176="","",IFERROR(INDEX(직원목록!$AH$7:$AH$306,MATCH(164,직원목록!$B$7:$B$306,0)),""))</f>
        <v/>
      </c>
      <c r="I176" s="27">
        <f>IF(OR($A176="",H176=""),"",G176-H176)</f>
        <v/>
      </c>
      <c r="J176" s="27">
        <f>IF($A176="","",IFERROR(INDEX(직원목록!$AF$7:$AF$306,MATCH(164,직원목록!$B$7:$B$306,0)),""))</f>
        <v/>
      </c>
      <c r="K176" s="27">
        <f>IF($A176="","",IFERROR(INDEX(직원목록!$AI$7:$AI$306,MATCH(164,직원목록!$B$7:$B$306,0)),""))</f>
        <v/>
      </c>
      <c r="L176" s="8">
        <f>IF($A176="","",IF(LEN(IF(AND(F176&lt;&gt;"",F176&lt;&gt;0),"계산 총지급과 대장 총지급이 다릅니다 / ","")&amp;IF(AND(I176&lt;&gt;"",I176&lt;&gt;0),"계산 총공제와 대장 총공제가 다릅니다 / ","")&amp;IF(J176&lt;0,"실수령액이 음수입니다 / ","")&amp;IF(COUNTIF(직원목록!$D$7:$D$306,B176)&gt;1,"같은 이름이 둘 이상 — 미리보기는 첫 번째만 보입니다 / ","")&amp;IF(AND(C176&lt;&gt;"",COUNTIF(직원목록!$C$7:$C$306,C176)&gt;1),"사번 중복 / ","")&amp;IF(D176=0,"총지급이 0원 — 머리글 매칭 확인 / ","")&amp;IF(AND(설정!$B$17&lt;&gt;"",설정!$C$17="",OR(ISNUMBER(FIND("연장",설정!$B$17)),ISNUMBER(FIND("야간",설정!$B$17)),ISNUMBER(FIND("휴일",설정!$B$17))),INDEX(직원목록!$F$7:$F$306,MATCH(164,직원목록!$B$7:$B$306,0))&gt;0),"연장·야간·휴일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","")&amp;IF(AND(설정!$B$24&lt;&gt;"",설정!$C$24="",OR(ISNUMBER(FIND("연장",설정!$B$24)),ISNUMBER(FIND("야간",설정!$B$24)),ISNUMBER(FIND("휴일",설정!$B$24))),INDEX(직원목록!$M$7:$M$306,MATCH(164,직원목록!$B$7:$B$306,0))&gt;0),"연장·야간·휴일 수당은 시간 수도 명세서에 적어야 하니 시간 열 지정 필요 / ",""))=0,"✔",("⚠ "&amp;IF(AND(F176&lt;&gt;"",F176&lt;&gt;0),"계산 총지급과 대장 총지급이 다릅니다 / ","")&amp;IF(AND(I176&lt;&gt;"",I176&lt;&gt;0),"계산 총공제와 대장 총공제가 다릅니다 / ","")&amp;IF(J176&lt;0,"실수령액이 음수입니다 / ","")&amp;IF(COUNTIF(직원목록!$D$7:$D$306,B176)&gt;1,"같은 이름이 둘 이상 — 미리보기는 첫 번째만 보입니다 / ","")&amp;IF(AND(C176&lt;&gt;"",COUNTIF(직원목록!$C$7:$C$306,C176)&gt;1),"사번 중복 / ","")&amp;IF(D176=0,"총지급이 0원 — 머리글 매칭 확인 / ","")&amp;IF(AND(설정!$B$17&lt;&gt;"",설정!$C$17="",OR(ISNUMBER(FIND("연장",설정!$B$17)),ISNUMBER(FIND("야간",설정!$B$17)),ISNUMBER(FIND("휴일",설정!$B$17))),INDEX(직원목록!$F$7:$F$306,MATCH(164,직원목록!$B$7:$B$306,0))&gt;0),"연장·야간·휴일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","")&amp;IF(AND(설정!$B$24&lt;&gt;"",설정!$C$24="",OR(ISNUMBER(FIND("연장",설정!$B$24)),ISNUMBER(FIND("야간",설정!$B$24)),ISNUMBER(FIND("휴일",설정!$B$24))),INDEX(직원목록!$M$7:$M$306,MATCH(164,직원목록!$B$7:$B$306,0))&gt;0),"연장·야간·휴일 수당은 시간 수도 명세서에 적어야 하니 시간 열 지정 필요 / ",""))))</f>
        <v/>
      </c>
    </row>
    <row r="177">
      <c r="A177" s="26">
        <f>IF(IFERROR(MATCH(165,직원목록!$B$7:$B$306,0),0)=0,"",165)</f>
        <v/>
      </c>
      <c r="B177" s="2">
        <f>IF($A177="","",IFERROR(INDEX(직원목록!$D$7:$D$306,MATCH(165,직원목록!$B$7:$B$306,0)),""))</f>
        <v/>
      </c>
      <c r="C177" s="2">
        <f>IF($A177="","",IFERROR(INDEX(직원목록!$C$7:$C$306,MATCH(165,직원목록!$B$7:$B$306,0)),""))</f>
        <v/>
      </c>
      <c r="D177" s="27">
        <f>IF($A177="","",IFERROR(INDEX(직원목록!$V$7:$V$306,MATCH(165,직원목록!$B$7:$B$306,0)),""))</f>
        <v/>
      </c>
      <c r="E177" s="27">
        <f>IF($A177="","",IFERROR(INDEX(직원목록!$AG$7:$AG$306,MATCH(165,직원목록!$B$7:$B$306,0)),""))</f>
        <v/>
      </c>
      <c r="F177" s="27">
        <f>IF(OR($A177="",E177=""),"",D177-E177)</f>
        <v/>
      </c>
      <c r="G177" s="27">
        <f>IF($A177="","",IFERROR(INDEX(직원목록!$AE$7:$AE$306,MATCH(165,직원목록!$B$7:$B$306,0)),""))</f>
        <v/>
      </c>
      <c r="H177" s="27">
        <f>IF($A177="","",IFERROR(INDEX(직원목록!$AH$7:$AH$306,MATCH(165,직원목록!$B$7:$B$306,0)),""))</f>
        <v/>
      </c>
      <c r="I177" s="27">
        <f>IF(OR($A177="",H177=""),"",G177-H177)</f>
        <v/>
      </c>
      <c r="J177" s="27">
        <f>IF($A177="","",IFERROR(INDEX(직원목록!$AF$7:$AF$306,MATCH(165,직원목록!$B$7:$B$306,0)),""))</f>
        <v/>
      </c>
      <c r="K177" s="27">
        <f>IF($A177="","",IFERROR(INDEX(직원목록!$AI$7:$AI$306,MATCH(165,직원목록!$B$7:$B$306,0)),""))</f>
        <v/>
      </c>
      <c r="L177" s="8">
        <f>IF($A177="","",IF(LEN(IF(AND(F177&lt;&gt;"",F177&lt;&gt;0),"계산 총지급과 대장 총지급이 다릅니다 / ","")&amp;IF(AND(I177&lt;&gt;"",I177&lt;&gt;0),"계산 총공제와 대장 총공제가 다릅니다 / ","")&amp;IF(J177&lt;0,"실수령액이 음수입니다 / ","")&amp;IF(COUNTIF(직원목록!$D$7:$D$306,B177)&gt;1,"같은 이름이 둘 이상 — 미리보기는 첫 번째만 보입니다 / ","")&amp;IF(AND(C177&lt;&gt;"",COUNTIF(직원목록!$C$7:$C$306,C177)&gt;1),"사번 중복 / ","")&amp;IF(D177=0,"총지급이 0원 — 머리글 매칭 확인 / ","")&amp;IF(AND(설정!$B$17&lt;&gt;"",설정!$C$17="",OR(ISNUMBER(FIND("연장",설정!$B$17)),ISNUMBER(FIND("야간",설정!$B$17)),ISNUMBER(FIND("휴일",설정!$B$17))),INDEX(직원목록!$F$7:$F$306,MATCH(165,직원목록!$B$7:$B$306,0))&gt;0),"연장·야간·휴일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","")&amp;IF(AND(설정!$B$24&lt;&gt;"",설정!$C$24="",OR(ISNUMBER(FIND("연장",설정!$B$24)),ISNUMBER(FIND("야간",설정!$B$24)),ISNUMBER(FIND("휴일",설정!$B$24))),INDEX(직원목록!$M$7:$M$306,MATCH(165,직원목록!$B$7:$B$306,0))&gt;0),"연장·야간·휴일 수당은 시간 수도 명세서에 적어야 하니 시간 열 지정 필요 / ",""))=0,"✔",("⚠ "&amp;IF(AND(F177&lt;&gt;"",F177&lt;&gt;0),"계산 총지급과 대장 총지급이 다릅니다 / ","")&amp;IF(AND(I177&lt;&gt;"",I177&lt;&gt;0),"계산 총공제와 대장 총공제가 다릅니다 / ","")&amp;IF(J177&lt;0,"실수령액이 음수입니다 / ","")&amp;IF(COUNTIF(직원목록!$D$7:$D$306,B177)&gt;1,"같은 이름이 둘 이상 — 미리보기는 첫 번째만 보입니다 / ","")&amp;IF(AND(C177&lt;&gt;"",COUNTIF(직원목록!$C$7:$C$306,C177)&gt;1),"사번 중복 / ","")&amp;IF(D177=0,"총지급이 0원 — 머리글 매칭 확인 / ","")&amp;IF(AND(설정!$B$17&lt;&gt;"",설정!$C$17="",OR(ISNUMBER(FIND("연장",설정!$B$17)),ISNUMBER(FIND("야간",설정!$B$17)),ISNUMBER(FIND("휴일",설정!$B$17))),INDEX(직원목록!$F$7:$F$306,MATCH(165,직원목록!$B$7:$B$306,0))&gt;0),"연장·야간·휴일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","")&amp;IF(AND(설정!$B$24&lt;&gt;"",설정!$C$24="",OR(ISNUMBER(FIND("연장",설정!$B$24)),ISNUMBER(FIND("야간",설정!$B$24)),ISNUMBER(FIND("휴일",설정!$B$24))),INDEX(직원목록!$M$7:$M$306,MATCH(165,직원목록!$B$7:$B$306,0))&gt;0),"연장·야간·휴일 수당은 시간 수도 명세서에 적어야 하니 시간 열 지정 필요 / ",""))))</f>
        <v/>
      </c>
    </row>
    <row r="178">
      <c r="A178" s="26">
        <f>IF(IFERROR(MATCH(166,직원목록!$B$7:$B$306,0),0)=0,"",166)</f>
        <v/>
      </c>
      <c r="B178" s="2">
        <f>IF($A178="","",IFERROR(INDEX(직원목록!$D$7:$D$306,MATCH(166,직원목록!$B$7:$B$306,0)),""))</f>
        <v/>
      </c>
      <c r="C178" s="2">
        <f>IF($A178="","",IFERROR(INDEX(직원목록!$C$7:$C$306,MATCH(166,직원목록!$B$7:$B$306,0)),""))</f>
        <v/>
      </c>
      <c r="D178" s="27">
        <f>IF($A178="","",IFERROR(INDEX(직원목록!$V$7:$V$306,MATCH(166,직원목록!$B$7:$B$306,0)),""))</f>
        <v/>
      </c>
      <c r="E178" s="27">
        <f>IF($A178="","",IFERROR(INDEX(직원목록!$AG$7:$AG$306,MATCH(166,직원목록!$B$7:$B$306,0)),""))</f>
        <v/>
      </c>
      <c r="F178" s="27">
        <f>IF(OR($A178="",E178=""),"",D178-E178)</f>
        <v/>
      </c>
      <c r="G178" s="27">
        <f>IF($A178="","",IFERROR(INDEX(직원목록!$AE$7:$AE$306,MATCH(166,직원목록!$B$7:$B$306,0)),""))</f>
        <v/>
      </c>
      <c r="H178" s="27">
        <f>IF($A178="","",IFERROR(INDEX(직원목록!$AH$7:$AH$306,MATCH(166,직원목록!$B$7:$B$306,0)),""))</f>
        <v/>
      </c>
      <c r="I178" s="27">
        <f>IF(OR($A178="",H178=""),"",G178-H178)</f>
        <v/>
      </c>
      <c r="J178" s="27">
        <f>IF($A178="","",IFERROR(INDEX(직원목록!$AF$7:$AF$306,MATCH(166,직원목록!$B$7:$B$306,0)),""))</f>
        <v/>
      </c>
      <c r="K178" s="27">
        <f>IF($A178="","",IFERROR(INDEX(직원목록!$AI$7:$AI$306,MATCH(166,직원목록!$B$7:$B$306,0)),""))</f>
        <v/>
      </c>
      <c r="L178" s="8">
        <f>IF($A178="","",IF(LEN(IF(AND(F178&lt;&gt;"",F178&lt;&gt;0),"계산 총지급과 대장 총지급이 다릅니다 / ","")&amp;IF(AND(I178&lt;&gt;"",I178&lt;&gt;0),"계산 총공제와 대장 총공제가 다릅니다 / ","")&amp;IF(J178&lt;0,"실수령액이 음수입니다 / ","")&amp;IF(COUNTIF(직원목록!$D$7:$D$306,B178)&gt;1,"같은 이름이 둘 이상 — 미리보기는 첫 번째만 보입니다 / ","")&amp;IF(AND(C178&lt;&gt;"",COUNTIF(직원목록!$C$7:$C$306,C178)&gt;1),"사번 중복 / ","")&amp;IF(D178=0,"총지급이 0원 — 머리글 매칭 확인 / ","")&amp;IF(AND(설정!$B$17&lt;&gt;"",설정!$C$17="",OR(ISNUMBER(FIND("연장",설정!$B$17)),ISNUMBER(FIND("야간",설정!$B$17)),ISNUMBER(FIND("휴일",설정!$B$17))),INDEX(직원목록!$F$7:$F$306,MATCH(166,직원목록!$B$7:$B$306,0))&gt;0),"연장·야간·휴일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","")&amp;IF(AND(설정!$B$24&lt;&gt;"",설정!$C$24="",OR(ISNUMBER(FIND("연장",설정!$B$24)),ISNUMBER(FIND("야간",설정!$B$24)),ISNUMBER(FIND("휴일",설정!$B$24))),INDEX(직원목록!$M$7:$M$306,MATCH(166,직원목록!$B$7:$B$306,0))&gt;0),"연장·야간·휴일 수당은 시간 수도 명세서에 적어야 하니 시간 열 지정 필요 / ",""))=0,"✔",("⚠ "&amp;IF(AND(F178&lt;&gt;"",F178&lt;&gt;0),"계산 총지급과 대장 총지급이 다릅니다 / ","")&amp;IF(AND(I178&lt;&gt;"",I178&lt;&gt;0),"계산 총공제와 대장 총공제가 다릅니다 / ","")&amp;IF(J178&lt;0,"실수령액이 음수입니다 / ","")&amp;IF(COUNTIF(직원목록!$D$7:$D$306,B178)&gt;1,"같은 이름이 둘 이상 — 미리보기는 첫 번째만 보입니다 / ","")&amp;IF(AND(C178&lt;&gt;"",COUNTIF(직원목록!$C$7:$C$306,C178)&gt;1),"사번 중복 / ","")&amp;IF(D178=0,"총지급이 0원 — 머리글 매칭 확인 / ","")&amp;IF(AND(설정!$B$17&lt;&gt;"",설정!$C$17="",OR(ISNUMBER(FIND("연장",설정!$B$17)),ISNUMBER(FIND("야간",설정!$B$17)),ISNUMBER(FIND("휴일",설정!$B$17))),INDEX(직원목록!$F$7:$F$306,MATCH(166,직원목록!$B$7:$B$306,0))&gt;0),"연장·야간·휴일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","")&amp;IF(AND(설정!$B$24&lt;&gt;"",설정!$C$24="",OR(ISNUMBER(FIND("연장",설정!$B$24)),ISNUMBER(FIND("야간",설정!$B$24)),ISNUMBER(FIND("휴일",설정!$B$24))),INDEX(직원목록!$M$7:$M$306,MATCH(166,직원목록!$B$7:$B$306,0))&gt;0),"연장·야간·휴일 수당은 시간 수도 명세서에 적어야 하니 시간 열 지정 필요 / ",""))))</f>
        <v/>
      </c>
    </row>
    <row r="179">
      <c r="A179" s="26">
        <f>IF(IFERROR(MATCH(167,직원목록!$B$7:$B$306,0),0)=0,"",167)</f>
        <v/>
      </c>
      <c r="B179" s="2">
        <f>IF($A179="","",IFERROR(INDEX(직원목록!$D$7:$D$306,MATCH(167,직원목록!$B$7:$B$306,0)),""))</f>
        <v/>
      </c>
      <c r="C179" s="2">
        <f>IF($A179="","",IFERROR(INDEX(직원목록!$C$7:$C$306,MATCH(167,직원목록!$B$7:$B$306,0)),""))</f>
        <v/>
      </c>
      <c r="D179" s="27">
        <f>IF($A179="","",IFERROR(INDEX(직원목록!$V$7:$V$306,MATCH(167,직원목록!$B$7:$B$306,0)),""))</f>
        <v/>
      </c>
      <c r="E179" s="27">
        <f>IF($A179="","",IFERROR(INDEX(직원목록!$AG$7:$AG$306,MATCH(167,직원목록!$B$7:$B$306,0)),""))</f>
        <v/>
      </c>
      <c r="F179" s="27">
        <f>IF(OR($A179="",E179=""),"",D179-E179)</f>
        <v/>
      </c>
      <c r="G179" s="27">
        <f>IF($A179="","",IFERROR(INDEX(직원목록!$AE$7:$AE$306,MATCH(167,직원목록!$B$7:$B$306,0)),""))</f>
        <v/>
      </c>
      <c r="H179" s="27">
        <f>IF($A179="","",IFERROR(INDEX(직원목록!$AH$7:$AH$306,MATCH(167,직원목록!$B$7:$B$306,0)),""))</f>
        <v/>
      </c>
      <c r="I179" s="27">
        <f>IF(OR($A179="",H179=""),"",G179-H179)</f>
        <v/>
      </c>
      <c r="J179" s="27">
        <f>IF($A179="","",IFERROR(INDEX(직원목록!$AF$7:$AF$306,MATCH(167,직원목록!$B$7:$B$306,0)),""))</f>
        <v/>
      </c>
      <c r="K179" s="27">
        <f>IF($A179="","",IFERROR(INDEX(직원목록!$AI$7:$AI$306,MATCH(167,직원목록!$B$7:$B$306,0)),""))</f>
        <v/>
      </c>
      <c r="L179" s="8">
        <f>IF($A179="","",IF(LEN(IF(AND(F179&lt;&gt;"",F179&lt;&gt;0),"계산 총지급과 대장 총지급이 다릅니다 / ","")&amp;IF(AND(I179&lt;&gt;"",I179&lt;&gt;0),"계산 총공제와 대장 총공제가 다릅니다 / ","")&amp;IF(J179&lt;0,"실수령액이 음수입니다 / ","")&amp;IF(COUNTIF(직원목록!$D$7:$D$306,B179)&gt;1,"같은 이름이 둘 이상 — 미리보기는 첫 번째만 보입니다 / ","")&amp;IF(AND(C179&lt;&gt;"",COUNTIF(직원목록!$C$7:$C$306,C179)&gt;1),"사번 중복 / ","")&amp;IF(D179=0,"총지급이 0원 — 머리글 매칭 확인 / ","")&amp;IF(AND(설정!$B$17&lt;&gt;"",설정!$C$17="",OR(ISNUMBER(FIND("연장",설정!$B$17)),ISNUMBER(FIND("야간",설정!$B$17)),ISNUMBER(FIND("휴일",설정!$B$17))),INDEX(직원목록!$F$7:$F$306,MATCH(167,직원목록!$B$7:$B$306,0))&gt;0),"연장·야간·휴일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","")&amp;IF(AND(설정!$B$24&lt;&gt;"",설정!$C$24="",OR(ISNUMBER(FIND("연장",설정!$B$24)),ISNUMBER(FIND("야간",설정!$B$24)),ISNUMBER(FIND("휴일",설정!$B$24))),INDEX(직원목록!$M$7:$M$306,MATCH(167,직원목록!$B$7:$B$306,0))&gt;0),"연장·야간·휴일 수당은 시간 수도 명세서에 적어야 하니 시간 열 지정 필요 / ",""))=0,"✔",("⚠ "&amp;IF(AND(F179&lt;&gt;"",F179&lt;&gt;0),"계산 총지급과 대장 총지급이 다릅니다 / ","")&amp;IF(AND(I179&lt;&gt;"",I179&lt;&gt;0),"계산 총공제와 대장 총공제가 다릅니다 / ","")&amp;IF(J179&lt;0,"실수령액이 음수입니다 / ","")&amp;IF(COUNTIF(직원목록!$D$7:$D$306,B179)&gt;1,"같은 이름이 둘 이상 — 미리보기는 첫 번째만 보입니다 / ","")&amp;IF(AND(C179&lt;&gt;"",COUNTIF(직원목록!$C$7:$C$306,C179)&gt;1),"사번 중복 / ","")&amp;IF(D179=0,"총지급이 0원 — 머리글 매칭 확인 / ","")&amp;IF(AND(설정!$B$17&lt;&gt;"",설정!$C$17="",OR(ISNUMBER(FIND("연장",설정!$B$17)),ISNUMBER(FIND("야간",설정!$B$17)),ISNUMBER(FIND("휴일",설정!$B$17))),INDEX(직원목록!$F$7:$F$306,MATCH(167,직원목록!$B$7:$B$306,0))&gt;0),"연장·야간·휴일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","")&amp;IF(AND(설정!$B$24&lt;&gt;"",설정!$C$24="",OR(ISNUMBER(FIND("연장",설정!$B$24)),ISNUMBER(FIND("야간",설정!$B$24)),ISNUMBER(FIND("휴일",설정!$B$24))),INDEX(직원목록!$M$7:$M$306,MATCH(167,직원목록!$B$7:$B$306,0))&gt;0),"연장·야간·휴일 수당은 시간 수도 명세서에 적어야 하니 시간 열 지정 필요 / ",""))))</f>
        <v/>
      </c>
    </row>
    <row r="180">
      <c r="A180" s="26">
        <f>IF(IFERROR(MATCH(168,직원목록!$B$7:$B$306,0),0)=0,"",168)</f>
        <v/>
      </c>
      <c r="B180" s="2">
        <f>IF($A180="","",IFERROR(INDEX(직원목록!$D$7:$D$306,MATCH(168,직원목록!$B$7:$B$306,0)),""))</f>
        <v/>
      </c>
      <c r="C180" s="2">
        <f>IF($A180="","",IFERROR(INDEX(직원목록!$C$7:$C$306,MATCH(168,직원목록!$B$7:$B$306,0)),""))</f>
        <v/>
      </c>
      <c r="D180" s="27">
        <f>IF($A180="","",IFERROR(INDEX(직원목록!$V$7:$V$306,MATCH(168,직원목록!$B$7:$B$306,0)),""))</f>
        <v/>
      </c>
      <c r="E180" s="27">
        <f>IF($A180="","",IFERROR(INDEX(직원목록!$AG$7:$AG$306,MATCH(168,직원목록!$B$7:$B$306,0)),""))</f>
        <v/>
      </c>
      <c r="F180" s="27">
        <f>IF(OR($A180="",E180=""),"",D180-E180)</f>
        <v/>
      </c>
      <c r="G180" s="27">
        <f>IF($A180="","",IFERROR(INDEX(직원목록!$AE$7:$AE$306,MATCH(168,직원목록!$B$7:$B$306,0)),""))</f>
        <v/>
      </c>
      <c r="H180" s="27">
        <f>IF($A180="","",IFERROR(INDEX(직원목록!$AH$7:$AH$306,MATCH(168,직원목록!$B$7:$B$306,0)),""))</f>
        <v/>
      </c>
      <c r="I180" s="27">
        <f>IF(OR($A180="",H180=""),"",G180-H180)</f>
        <v/>
      </c>
      <c r="J180" s="27">
        <f>IF($A180="","",IFERROR(INDEX(직원목록!$AF$7:$AF$306,MATCH(168,직원목록!$B$7:$B$306,0)),""))</f>
        <v/>
      </c>
      <c r="K180" s="27">
        <f>IF($A180="","",IFERROR(INDEX(직원목록!$AI$7:$AI$306,MATCH(168,직원목록!$B$7:$B$306,0)),""))</f>
        <v/>
      </c>
      <c r="L180" s="8">
        <f>IF($A180="","",IF(LEN(IF(AND(F180&lt;&gt;"",F180&lt;&gt;0),"계산 총지급과 대장 총지급이 다릅니다 / ","")&amp;IF(AND(I180&lt;&gt;"",I180&lt;&gt;0),"계산 총공제와 대장 총공제가 다릅니다 / ","")&amp;IF(J180&lt;0,"실수령액이 음수입니다 / ","")&amp;IF(COUNTIF(직원목록!$D$7:$D$306,B180)&gt;1,"같은 이름이 둘 이상 — 미리보기는 첫 번째만 보입니다 / ","")&amp;IF(AND(C180&lt;&gt;"",COUNTIF(직원목록!$C$7:$C$306,C180)&gt;1),"사번 중복 / ","")&amp;IF(D180=0,"총지급이 0원 — 머리글 매칭 확인 / ","")&amp;IF(AND(설정!$B$17&lt;&gt;"",설정!$C$17="",OR(ISNUMBER(FIND("연장",설정!$B$17)),ISNUMBER(FIND("야간",설정!$B$17)),ISNUMBER(FIND("휴일",설정!$B$17))),INDEX(직원목록!$F$7:$F$306,MATCH(168,직원목록!$B$7:$B$306,0))&gt;0),"연장·야간·휴일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","")&amp;IF(AND(설정!$B$24&lt;&gt;"",설정!$C$24="",OR(ISNUMBER(FIND("연장",설정!$B$24)),ISNUMBER(FIND("야간",설정!$B$24)),ISNUMBER(FIND("휴일",설정!$B$24))),INDEX(직원목록!$M$7:$M$306,MATCH(168,직원목록!$B$7:$B$306,0))&gt;0),"연장·야간·휴일 수당은 시간 수도 명세서에 적어야 하니 시간 열 지정 필요 / ",""))=0,"✔",("⚠ "&amp;IF(AND(F180&lt;&gt;"",F180&lt;&gt;0),"계산 총지급과 대장 총지급이 다릅니다 / ","")&amp;IF(AND(I180&lt;&gt;"",I180&lt;&gt;0),"계산 총공제와 대장 총공제가 다릅니다 / ","")&amp;IF(J180&lt;0,"실수령액이 음수입니다 / ","")&amp;IF(COUNTIF(직원목록!$D$7:$D$306,B180)&gt;1,"같은 이름이 둘 이상 — 미리보기는 첫 번째만 보입니다 / ","")&amp;IF(AND(C180&lt;&gt;"",COUNTIF(직원목록!$C$7:$C$306,C180)&gt;1),"사번 중복 / ","")&amp;IF(D180=0,"총지급이 0원 — 머리글 매칭 확인 / ","")&amp;IF(AND(설정!$B$17&lt;&gt;"",설정!$C$17="",OR(ISNUMBER(FIND("연장",설정!$B$17)),ISNUMBER(FIND("야간",설정!$B$17)),ISNUMBER(FIND("휴일",설정!$B$17))),INDEX(직원목록!$F$7:$F$306,MATCH(168,직원목록!$B$7:$B$306,0))&gt;0),"연장·야간·휴일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","")&amp;IF(AND(설정!$B$24&lt;&gt;"",설정!$C$24="",OR(ISNUMBER(FIND("연장",설정!$B$24)),ISNUMBER(FIND("야간",설정!$B$24)),ISNUMBER(FIND("휴일",설정!$B$24))),INDEX(직원목록!$M$7:$M$306,MATCH(168,직원목록!$B$7:$B$306,0))&gt;0),"연장·야간·휴일 수당은 시간 수도 명세서에 적어야 하니 시간 열 지정 필요 / ",""))))</f>
        <v/>
      </c>
    </row>
    <row r="181">
      <c r="A181" s="26">
        <f>IF(IFERROR(MATCH(169,직원목록!$B$7:$B$306,0),0)=0,"",169)</f>
        <v/>
      </c>
      <c r="B181" s="2">
        <f>IF($A181="","",IFERROR(INDEX(직원목록!$D$7:$D$306,MATCH(169,직원목록!$B$7:$B$306,0)),""))</f>
        <v/>
      </c>
      <c r="C181" s="2">
        <f>IF($A181="","",IFERROR(INDEX(직원목록!$C$7:$C$306,MATCH(169,직원목록!$B$7:$B$306,0)),""))</f>
        <v/>
      </c>
      <c r="D181" s="27">
        <f>IF($A181="","",IFERROR(INDEX(직원목록!$V$7:$V$306,MATCH(169,직원목록!$B$7:$B$306,0)),""))</f>
        <v/>
      </c>
      <c r="E181" s="27">
        <f>IF($A181="","",IFERROR(INDEX(직원목록!$AG$7:$AG$306,MATCH(169,직원목록!$B$7:$B$306,0)),""))</f>
        <v/>
      </c>
      <c r="F181" s="27">
        <f>IF(OR($A181="",E181=""),"",D181-E181)</f>
        <v/>
      </c>
      <c r="G181" s="27">
        <f>IF($A181="","",IFERROR(INDEX(직원목록!$AE$7:$AE$306,MATCH(169,직원목록!$B$7:$B$306,0)),""))</f>
        <v/>
      </c>
      <c r="H181" s="27">
        <f>IF($A181="","",IFERROR(INDEX(직원목록!$AH$7:$AH$306,MATCH(169,직원목록!$B$7:$B$306,0)),""))</f>
        <v/>
      </c>
      <c r="I181" s="27">
        <f>IF(OR($A181="",H181=""),"",G181-H181)</f>
        <v/>
      </c>
      <c r="J181" s="27">
        <f>IF($A181="","",IFERROR(INDEX(직원목록!$AF$7:$AF$306,MATCH(169,직원목록!$B$7:$B$306,0)),""))</f>
        <v/>
      </c>
      <c r="K181" s="27">
        <f>IF($A181="","",IFERROR(INDEX(직원목록!$AI$7:$AI$306,MATCH(169,직원목록!$B$7:$B$306,0)),""))</f>
        <v/>
      </c>
      <c r="L181" s="8">
        <f>IF($A181="","",IF(LEN(IF(AND(F181&lt;&gt;"",F181&lt;&gt;0),"계산 총지급과 대장 총지급이 다릅니다 / ","")&amp;IF(AND(I181&lt;&gt;"",I181&lt;&gt;0),"계산 총공제와 대장 총공제가 다릅니다 / ","")&amp;IF(J181&lt;0,"실수령액이 음수입니다 / ","")&amp;IF(COUNTIF(직원목록!$D$7:$D$306,B181)&gt;1,"같은 이름이 둘 이상 — 미리보기는 첫 번째만 보입니다 / ","")&amp;IF(AND(C181&lt;&gt;"",COUNTIF(직원목록!$C$7:$C$306,C181)&gt;1),"사번 중복 / ","")&amp;IF(D181=0,"총지급이 0원 — 머리글 매칭 확인 / ","")&amp;IF(AND(설정!$B$17&lt;&gt;"",설정!$C$17="",OR(ISNUMBER(FIND("연장",설정!$B$17)),ISNUMBER(FIND("야간",설정!$B$17)),ISNUMBER(FIND("휴일",설정!$B$17))),INDEX(직원목록!$F$7:$F$306,MATCH(169,직원목록!$B$7:$B$306,0))&gt;0),"연장·야간·휴일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","")&amp;IF(AND(설정!$B$24&lt;&gt;"",설정!$C$24="",OR(ISNUMBER(FIND("연장",설정!$B$24)),ISNUMBER(FIND("야간",설정!$B$24)),ISNUMBER(FIND("휴일",설정!$B$24))),INDEX(직원목록!$M$7:$M$306,MATCH(169,직원목록!$B$7:$B$306,0))&gt;0),"연장·야간·휴일 수당은 시간 수도 명세서에 적어야 하니 시간 열 지정 필요 / ",""))=0,"✔",("⚠ "&amp;IF(AND(F181&lt;&gt;"",F181&lt;&gt;0),"계산 총지급과 대장 총지급이 다릅니다 / ","")&amp;IF(AND(I181&lt;&gt;"",I181&lt;&gt;0),"계산 총공제와 대장 총공제가 다릅니다 / ","")&amp;IF(J181&lt;0,"실수령액이 음수입니다 / ","")&amp;IF(COUNTIF(직원목록!$D$7:$D$306,B181)&gt;1,"같은 이름이 둘 이상 — 미리보기는 첫 번째만 보입니다 / ","")&amp;IF(AND(C181&lt;&gt;"",COUNTIF(직원목록!$C$7:$C$306,C181)&gt;1),"사번 중복 / ","")&amp;IF(D181=0,"총지급이 0원 — 머리글 매칭 확인 / ","")&amp;IF(AND(설정!$B$17&lt;&gt;"",설정!$C$17="",OR(ISNUMBER(FIND("연장",설정!$B$17)),ISNUMBER(FIND("야간",설정!$B$17)),ISNUMBER(FIND("휴일",설정!$B$17))),INDEX(직원목록!$F$7:$F$306,MATCH(169,직원목록!$B$7:$B$306,0))&gt;0),"연장·야간·휴일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","")&amp;IF(AND(설정!$B$18&lt;&gt;"",설정!$C$18="",OR(ISNUMBER(FIND("연장",설정!$B$18)),ISNUMBER(FIND("야간",설정!$B$18)),ISNUMBER(FIND("휴일",설정!$B$18))),INDEX(직원목록!$G$7:$G$306,MATCH(169,직원목록!$B$7:$B$306,0))&gt;0),"연장·야간·휴일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","")&amp;IF(AND(설정!$B$19&lt;&gt;"",설정!$C$19="",OR(ISNUMBER(FIND("연장",설정!$B$19)),ISNUMBER(FIND("야간",설정!$B$19)),ISNUMBER(FIND("휴일",설정!$B$19))),INDEX(직원목록!$H$7:$H$306,MATCH(169,직원목록!$B$7:$B$306,0))&gt;0),"연장·야간·휴일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","")&amp;IF(AND(설정!$B$20&lt;&gt;"",설정!$C$20="",OR(ISNUMBER(FIND("연장",설정!$B$20)),ISNUMBER(FIND("야간",설정!$B$20)),ISNUMBER(FIND("휴일",설정!$B$20))),INDEX(직원목록!$I$7:$I$306,MATCH(169,직원목록!$B$7:$B$306,0))&gt;0),"연장·야간·휴일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","")&amp;IF(AND(설정!$B$21&lt;&gt;"",설정!$C$21="",OR(ISNUMBER(FIND("연장",설정!$B$21)),ISNUMBER(FIND("야간",설정!$B$21)),ISNUMBER(FIND("휴일",설정!$B$21))),INDEX(직원목록!$J$7:$J$306,MATCH(169,직원목록!$B$7:$B$306,0))&gt;0),"연장·야간·휴일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","")&amp;IF(AND(설정!$B$22&lt;&gt;"",설정!$C$22="",OR(ISNUMBER(FIND("연장",설정!$B$22)),ISNUMBER(FIND("야간",설정!$B$22)),ISNUMBER(FIND("휴일",설정!$B$22))),INDEX(직원목록!$K$7:$K$306,MATCH(169,직원목록!$B$7:$B$306,0))&gt;0),"연장·야간·휴일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","")&amp;IF(AND(설정!$B$23&lt;&gt;"",설정!$C$23="",OR(ISNUMBER(FIND("연장",설정!$B$23)),ISNUMBER(FIND("야간",설정!$B$23)),ISNUMBER(FIND("휴일",설정!$B$23))),INDEX(직원목록!$L$7:$L$306,MATCH(169,직원목록!$B$7:$B$306,0))&gt;0),"연장·야간·휴일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","")&amp;IF(AND(설정!$B$24&lt;&gt;"",설정!$C$24="",OR(ISNUMBER(FIND("연장",설정!$B$24)),ISNUMBER(FIND("야간",설정!$B$24)),ISNUMBER(FIND("휴일",설정!$B$24))),INDEX(직원목록!$M$7:$M$306,MATCH(169,직원목록!$B$7:$B$306,0))&gt;0),"연장·야간·휴일 수당은 시간 수도 명세서에 적어야 하니 시간 열 지정 필요 / ",""))))</f>
        <v/>
      </c>
    </row>
    <row r="182">
      <c r="A182" s="26">
        <f>IF(IFERROR(MATCH(170,직원목록!$B$7:$B$306,0),0)=0,"",170)</f>
        <v/>
      </c>
      <c r="B182" s="2">
        <f>IF($A182="","",IFERROR(INDEX(직원목록!$D$7:$D$306,MATCH(170,직원목록!$B$7:$B$306,0)),""))</f>
        <v/>
      </c>
      <c r="C182" s="2">
        <f>IF($A182="","",IFERROR(INDEX(직원목록!$C$7:$C$306,MATCH(170,직원목록!$B$7:$B$306,0)),""))</f>
        <v/>
      </c>
      <c r="D182" s="27">
        <f>IF($A182="","",IFERROR(INDEX(직원목록!$V$7:$V$306,MATCH(170,직원목록!$B$7:$B$306,0)),""))</f>
        <v/>
      </c>
      <c r="E182" s="27">
        <f>IF($A182="","",IFERROR(INDEX(직원목록!$AG$7:$AG$306,MATCH(170,직원목록!$B$7:$B$306,0)),""))</f>
        <v/>
      </c>
      <c r="F182" s="27">
        <f>IF(OR($A182="",E182=""),"",D182-E182)</f>
        <v/>
      </c>
      <c r="G182" s="27">
        <f>IF($A182="","",IFERROR(INDEX(직원목록!$AE$7:$AE$306,MATCH(170,직원목록!$B$7:$B$306,0)),""))</f>
        <v/>
      </c>
      <c r="H182" s="27">
        <f>IF($A182="","",IFERROR(INDEX(직원목록!$AH$7:$AH$306,MATCH(170,직원목록!$B$7:$B$306,0)),""))</f>
        <v/>
      </c>
      <c r="I182" s="27">
        <f>IF(OR($A182="",H182=""),"",G182-H182)</f>
        <v/>
      </c>
      <c r="J182" s="27">
        <f>IF($A182="","",IFERROR(INDEX(직원목록!$AF$7:$AF$306,MATCH(170,직원목록!$B$7:$B$306,0)),""))</f>
        <v/>
      </c>
      <c r="K182" s="27">
        <f>IF($A182="","",IFERROR(INDEX(직원목록!$AI$7:$AI$306,MATCH(170,직원목록!$B$7:$B$306,0)),""))</f>
        <v/>
      </c>
      <c r="L182" s="8">
        <f>IF($A182="","",IF(LEN(IF(AND(F182&lt;&gt;"",F182&lt;&gt;0),"계산 총지급과 대장 총지급이 다릅니다 / ","")&amp;IF(AND(I182&lt;&gt;"",I182&lt;&gt;0),"계산 총공제와 대장 총공제가 다릅니다 / ","")&amp;IF(J182&lt;0,"실수령액이 음수입니다 / ","")&amp;IF(COUNTIF(직원목록!$D$7:$D$306,B182)&gt;1,"같은 이름이 둘 이상 — 미리보기는 첫 번째만 보입니다 / ","")&amp;IF(AND(C182&lt;&gt;"",COUNTIF(직원목록!$C$7:$C$306,C182)&gt;1),"사번 중복 / ","")&amp;IF(D182=0,"총지급이 0원 — 머리글 매칭 확인 / ","")&amp;IF(AND(설정!$B$17&lt;&gt;"",설정!$C$17="",OR(ISNUMBER(FIND("연장",설정!$B$17)),ISNUMBER(FIND("야간",설정!$B$17)),ISNUMBER(FIND("휴일",설정!$B$17))),INDEX(직원목록!$F$7:$F$306,MATCH(170,직원목록!$B$7:$B$306,0))&gt;0),"연장·야간·휴일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","")&amp;IF(AND(설정!$B$24&lt;&gt;"",설정!$C$24="",OR(ISNUMBER(FIND("연장",설정!$B$24)),ISNUMBER(FIND("야간",설정!$B$24)),ISNUMBER(FIND("휴일",설정!$B$24))),INDEX(직원목록!$M$7:$M$306,MATCH(170,직원목록!$B$7:$B$306,0))&gt;0),"연장·야간·휴일 수당은 시간 수도 명세서에 적어야 하니 시간 열 지정 필요 / ",""))=0,"✔",("⚠ "&amp;IF(AND(F182&lt;&gt;"",F182&lt;&gt;0),"계산 총지급과 대장 총지급이 다릅니다 / ","")&amp;IF(AND(I182&lt;&gt;"",I182&lt;&gt;0),"계산 총공제와 대장 총공제가 다릅니다 / ","")&amp;IF(J182&lt;0,"실수령액이 음수입니다 / ","")&amp;IF(COUNTIF(직원목록!$D$7:$D$306,B182)&gt;1,"같은 이름이 둘 이상 — 미리보기는 첫 번째만 보입니다 / ","")&amp;IF(AND(C182&lt;&gt;"",COUNTIF(직원목록!$C$7:$C$306,C182)&gt;1),"사번 중복 / ","")&amp;IF(D182=0,"총지급이 0원 — 머리글 매칭 확인 / ","")&amp;IF(AND(설정!$B$17&lt;&gt;"",설정!$C$17="",OR(ISNUMBER(FIND("연장",설정!$B$17)),ISNUMBER(FIND("야간",설정!$B$17)),ISNUMBER(FIND("휴일",설정!$B$17))),INDEX(직원목록!$F$7:$F$306,MATCH(170,직원목록!$B$7:$B$306,0))&gt;0),"연장·야간·휴일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","")&amp;IF(AND(설정!$B$24&lt;&gt;"",설정!$C$24="",OR(ISNUMBER(FIND("연장",설정!$B$24)),ISNUMBER(FIND("야간",설정!$B$24)),ISNUMBER(FIND("휴일",설정!$B$24))),INDEX(직원목록!$M$7:$M$306,MATCH(170,직원목록!$B$7:$B$306,0))&gt;0),"연장·야간·휴일 수당은 시간 수도 명세서에 적어야 하니 시간 열 지정 필요 / ",""))))</f>
        <v/>
      </c>
    </row>
    <row r="183">
      <c r="A183" s="26">
        <f>IF(IFERROR(MATCH(171,직원목록!$B$7:$B$306,0),0)=0,"",171)</f>
        <v/>
      </c>
      <c r="B183" s="2">
        <f>IF($A183="","",IFERROR(INDEX(직원목록!$D$7:$D$306,MATCH(171,직원목록!$B$7:$B$306,0)),""))</f>
        <v/>
      </c>
      <c r="C183" s="2">
        <f>IF($A183="","",IFERROR(INDEX(직원목록!$C$7:$C$306,MATCH(171,직원목록!$B$7:$B$306,0)),""))</f>
        <v/>
      </c>
      <c r="D183" s="27">
        <f>IF($A183="","",IFERROR(INDEX(직원목록!$V$7:$V$306,MATCH(171,직원목록!$B$7:$B$306,0)),""))</f>
        <v/>
      </c>
      <c r="E183" s="27">
        <f>IF($A183="","",IFERROR(INDEX(직원목록!$AG$7:$AG$306,MATCH(171,직원목록!$B$7:$B$306,0)),""))</f>
        <v/>
      </c>
      <c r="F183" s="27">
        <f>IF(OR($A183="",E183=""),"",D183-E183)</f>
        <v/>
      </c>
      <c r="G183" s="27">
        <f>IF($A183="","",IFERROR(INDEX(직원목록!$AE$7:$AE$306,MATCH(171,직원목록!$B$7:$B$306,0)),""))</f>
        <v/>
      </c>
      <c r="H183" s="27">
        <f>IF($A183="","",IFERROR(INDEX(직원목록!$AH$7:$AH$306,MATCH(171,직원목록!$B$7:$B$306,0)),""))</f>
        <v/>
      </c>
      <c r="I183" s="27">
        <f>IF(OR($A183="",H183=""),"",G183-H183)</f>
        <v/>
      </c>
      <c r="J183" s="27">
        <f>IF($A183="","",IFERROR(INDEX(직원목록!$AF$7:$AF$306,MATCH(171,직원목록!$B$7:$B$306,0)),""))</f>
        <v/>
      </c>
      <c r="K183" s="27">
        <f>IF($A183="","",IFERROR(INDEX(직원목록!$AI$7:$AI$306,MATCH(171,직원목록!$B$7:$B$306,0)),""))</f>
        <v/>
      </c>
      <c r="L183" s="8">
        <f>IF($A183="","",IF(LEN(IF(AND(F183&lt;&gt;"",F183&lt;&gt;0),"계산 총지급과 대장 총지급이 다릅니다 / ","")&amp;IF(AND(I183&lt;&gt;"",I183&lt;&gt;0),"계산 총공제와 대장 총공제가 다릅니다 / ","")&amp;IF(J183&lt;0,"실수령액이 음수입니다 / ","")&amp;IF(COUNTIF(직원목록!$D$7:$D$306,B183)&gt;1,"같은 이름이 둘 이상 — 미리보기는 첫 번째만 보입니다 / ","")&amp;IF(AND(C183&lt;&gt;"",COUNTIF(직원목록!$C$7:$C$306,C183)&gt;1),"사번 중복 / ","")&amp;IF(D183=0,"총지급이 0원 — 머리글 매칭 확인 / ","")&amp;IF(AND(설정!$B$17&lt;&gt;"",설정!$C$17="",OR(ISNUMBER(FIND("연장",설정!$B$17)),ISNUMBER(FIND("야간",설정!$B$17)),ISNUMBER(FIND("휴일",설정!$B$17))),INDEX(직원목록!$F$7:$F$306,MATCH(171,직원목록!$B$7:$B$306,0))&gt;0),"연장·야간·휴일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","")&amp;IF(AND(설정!$B$24&lt;&gt;"",설정!$C$24="",OR(ISNUMBER(FIND("연장",설정!$B$24)),ISNUMBER(FIND("야간",설정!$B$24)),ISNUMBER(FIND("휴일",설정!$B$24))),INDEX(직원목록!$M$7:$M$306,MATCH(171,직원목록!$B$7:$B$306,0))&gt;0),"연장·야간·휴일 수당은 시간 수도 명세서에 적어야 하니 시간 열 지정 필요 / ",""))=0,"✔",("⚠ "&amp;IF(AND(F183&lt;&gt;"",F183&lt;&gt;0),"계산 총지급과 대장 총지급이 다릅니다 / ","")&amp;IF(AND(I183&lt;&gt;"",I183&lt;&gt;0),"계산 총공제와 대장 총공제가 다릅니다 / ","")&amp;IF(J183&lt;0,"실수령액이 음수입니다 / ","")&amp;IF(COUNTIF(직원목록!$D$7:$D$306,B183)&gt;1,"같은 이름이 둘 이상 — 미리보기는 첫 번째만 보입니다 / ","")&amp;IF(AND(C183&lt;&gt;"",COUNTIF(직원목록!$C$7:$C$306,C183)&gt;1),"사번 중복 / ","")&amp;IF(D183=0,"총지급이 0원 — 머리글 매칭 확인 / ","")&amp;IF(AND(설정!$B$17&lt;&gt;"",설정!$C$17="",OR(ISNUMBER(FIND("연장",설정!$B$17)),ISNUMBER(FIND("야간",설정!$B$17)),ISNUMBER(FIND("휴일",설정!$B$17))),INDEX(직원목록!$F$7:$F$306,MATCH(171,직원목록!$B$7:$B$306,0))&gt;0),"연장·야간·휴일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","")&amp;IF(AND(설정!$B$24&lt;&gt;"",설정!$C$24="",OR(ISNUMBER(FIND("연장",설정!$B$24)),ISNUMBER(FIND("야간",설정!$B$24)),ISNUMBER(FIND("휴일",설정!$B$24))),INDEX(직원목록!$M$7:$M$306,MATCH(171,직원목록!$B$7:$B$306,0))&gt;0),"연장·야간·휴일 수당은 시간 수도 명세서에 적어야 하니 시간 열 지정 필요 / ",""))))</f>
        <v/>
      </c>
    </row>
    <row r="184">
      <c r="A184" s="26">
        <f>IF(IFERROR(MATCH(172,직원목록!$B$7:$B$306,0),0)=0,"",172)</f>
        <v/>
      </c>
      <c r="B184" s="2">
        <f>IF($A184="","",IFERROR(INDEX(직원목록!$D$7:$D$306,MATCH(172,직원목록!$B$7:$B$306,0)),""))</f>
        <v/>
      </c>
      <c r="C184" s="2">
        <f>IF($A184="","",IFERROR(INDEX(직원목록!$C$7:$C$306,MATCH(172,직원목록!$B$7:$B$306,0)),""))</f>
        <v/>
      </c>
      <c r="D184" s="27">
        <f>IF($A184="","",IFERROR(INDEX(직원목록!$V$7:$V$306,MATCH(172,직원목록!$B$7:$B$306,0)),""))</f>
        <v/>
      </c>
      <c r="E184" s="27">
        <f>IF($A184="","",IFERROR(INDEX(직원목록!$AG$7:$AG$306,MATCH(172,직원목록!$B$7:$B$306,0)),""))</f>
        <v/>
      </c>
      <c r="F184" s="27">
        <f>IF(OR($A184="",E184=""),"",D184-E184)</f>
        <v/>
      </c>
      <c r="G184" s="27">
        <f>IF($A184="","",IFERROR(INDEX(직원목록!$AE$7:$AE$306,MATCH(172,직원목록!$B$7:$B$306,0)),""))</f>
        <v/>
      </c>
      <c r="H184" s="27">
        <f>IF($A184="","",IFERROR(INDEX(직원목록!$AH$7:$AH$306,MATCH(172,직원목록!$B$7:$B$306,0)),""))</f>
        <v/>
      </c>
      <c r="I184" s="27">
        <f>IF(OR($A184="",H184=""),"",G184-H184)</f>
        <v/>
      </c>
      <c r="J184" s="27">
        <f>IF($A184="","",IFERROR(INDEX(직원목록!$AF$7:$AF$306,MATCH(172,직원목록!$B$7:$B$306,0)),""))</f>
        <v/>
      </c>
      <c r="K184" s="27">
        <f>IF($A184="","",IFERROR(INDEX(직원목록!$AI$7:$AI$306,MATCH(172,직원목록!$B$7:$B$306,0)),""))</f>
        <v/>
      </c>
      <c r="L184" s="8">
        <f>IF($A184="","",IF(LEN(IF(AND(F184&lt;&gt;"",F184&lt;&gt;0),"계산 총지급과 대장 총지급이 다릅니다 / ","")&amp;IF(AND(I184&lt;&gt;"",I184&lt;&gt;0),"계산 총공제와 대장 총공제가 다릅니다 / ","")&amp;IF(J184&lt;0,"실수령액이 음수입니다 / ","")&amp;IF(COUNTIF(직원목록!$D$7:$D$306,B184)&gt;1,"같은 이름이 둘 이상 — 미리보기는 첫 번째만 보입니다 / ","")&amp;IF(AND(C184&lt;&gt;"",COUNTIF(직원목록!$C$7:$C$306,C184)&gt;1),"사번 중복 / ","")&amp;IF(D184=0,"총지급이 0원 — 머리글 매칭 확인 / ","")&amp;IF(AND(설정!$B$17&lt;&gt;"",설정!$C$17="",OR(ISNUMBER(FIND("연장",설정!$B$17)),ISNUMBER(FIND("야간",설정!$B$17)),ISNUMBER(FIND("휴일",설정!$B$17))),INDEX(직원목록!$F$7:$F$306,MATCH(172,직원목록!$B$7:$B$306,0))&gt;0),"연장·야간·휴일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","")&amp;IF(AND(설정!$B$24&lt;&gt;"",설정!$C$24="",OR(ISNUMBER(FIND("연장",설정!$B$24)),ISNUMBER(FIND("야간",설정!$B$24)),ISNUMBER(FIND("휴일",설정!$B$24))),INDEX(직원목록!$M$7:$M$306,MATCH(172,직원목록!$B$7:$B$306,0))&gt;0),"연장·야간·휴일 수당은 시간 수도 명세서에 적어야 하니 시간 열 지정 필요 / ",""))=0,"✔",("⚠ "&amp;IF(AND(F184&lt;&gt;"",F184&lt;&gt;0),"계산 총지급과 대장 총지급이 다릅니다 / ","")&amp;IF(AND(I184&lt;&gt;"",I184&lt;&gt;0),"계산 총공제와 대장 총공제가 다릅니다 / ","")&amp;IF(J184&lt;0,"실수령액이 음수입니다 / ","")&amp;IF(COUNTIF(직원목록!$D$7:$D$306,B184)&gt;1,"같은 이름이 둘 이상 — 미리보기는 첫 번째만 보입니다 / ","")&amp;IF(AND(C184&lt;&gt;"",COUNTIF(직원목록!$C$7:$C$306,C184)&gt;1),"사번 중복 / ","")&amp;IF(D184=0,"총지급이 0원 — 머리글 매칭 확인 / ","")&amp;IF(AND(설정!$B$17&lt;&gt;"",설정!$C$17="",OR(ISNUMBER(FIND("연장",설정!$B$17)),ISNUMBER(FIND("야간",설정!$B$17)),ISNUMBER(FIND("휴일",설정!$B$17))),INDEX(직원목록!$F$7:$F$306,MATCH(172,직원목록!$B$7:$B$306,0))&gt;0),"연장·야간·휴일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","")&amp;IF(AND(설정!$B$24&lt;&gt;"",설정!$C$24="",OR(ISNUMBER(FIND("연장",설정!$B$24)),ISNUMBER(FIND("야간",설정!$B$24)),ISNUMBER(FIND("휴일",설정!$B$24))),INDEX(직원목록!$M$7:$M$306,MATCH(172,직원목록!$B$7:$B$306,0))&gt;0),"연장·야간·휴일 수당은 시간 수도 명세서에 적어야 하니 시간 열 지정 필요 / ",""))))</f>
        <v/>
      </c>
    </row>
    <row r="185">
      <c r="A185" s="26">
        <f>IF(IFERROR(MATCH(173,직원목록!$B$7:$B$306,0),0)=0,"",173)</f>
        <v/>
      </c>
      <c r="B185" s="2">
        <f>IF($A185="","",IFERROR(INDEX(직원목록!$D$7:$D$306,MATCH(173,직원목록!$B$7:$B$306,0)),""))</f>
        <v/>
      </c>
      <c r="C185" s="2">
        <f>IF($A185="","",IFERROR(INDEX(직원목록!$C$7:$C$306,MATCH(173,직원목록!$B$7:$B$306,0)),""))</f>
        <v/>
      </c>
      <c r="D185" s="27">
        <f>IF($A185="","",IFERROR(INDEX(직원목록!$V$7:$V$306,MATCH(173,직원목록!$B$7:$B$306,0)),""))</f>
        <v/>
      </c>
      <c r="E185" s="27">
        <f>IF($A185="","",IFERROR(INDEX(직원목록!$AG$7:$AG$306,MATCH(173,직원목록!$B$7:$B$306,0)),""))</f>
        <v/>
      </c>
      <c r="F185" s="27">
        <f>IF(OR($A185="",E185=""),"",D185-E185)</f>
        <v/>
      </c>
      <c r="G185" s="27">
        <f>IF($A185="","",IFERROR(INDEX(직원목록!$AE$7:$AE$306,MATCH(173,직원목록!$B$7:$B$306,0)),""))</f>
        <v/>
      </c>
      <c r="H185" s="27">
        <f>IF($A185="","",IFERROR(INDEX(직원목록!$AH$7:$AH$306,MATCH(173,직원목록!$B$7:$B$306,0)),""))</f>
        <v/>
      </c>
      <c r="I185" s="27">
        <f>IF(OR($A185="",H185=""),"",G185-H185)</f>
        <v/>
      </c>
      <c r="J185" s="27">
        <f>IF($A185="","",IFERROR(INDEX(직원목록!$AF$7:$AF$306,MATCH(173,직원목록!$B$7:$B$306,0)),""))</f>
        <v/>
      </c>
      <c r="K185" s="27">
        <f>IF($A185="","",IFERROR(INDEX(직원목록!$AI$7:$AI$306,MATCH(173,직원목록!$B$7:$B$306,0)),""))</f>
        <v/>
      </c>
      <c r="L185" s="8">
        <f>IF($A185="","",IF(LEN(IF(AND(F185&lt;&gt;"",F185&lt;&gt;0),"계산 총지급과 대장 총지급이 다릅니다 / ","")&amp;IF(AND(I185&lt;&gt;"",I185&lt;&gt;0),"계산 총공제와 대장 총공제가 다릅니다 / ","")&amp;IF(J185&lt;0,"실수령액이 음수입니다 / ","")&amp;IF(COUNTIF(직원목록!$D$7:$D$306,B185)&gt;1,"같은 이름이 둘 이상 — 미리보기는 첫 번째만 보입니다 / ","")&amp;IF(AND(C185&lt;&gt;"",COUNTIF(직원목록!$C$7:$C$306,C185)&gt;1),"사번 중복 / ","")&amp;IF(D185=0,"총지급이 0원 — 머리글 매칭 확인 / ","")&amp;IF(AND(설정!$B$17&lt;&gt;"",설정!$C$17="",OR(ISNUMBER(FIND("연장",설정!$B$17)),ISNUMBER(FIND("야간",설정!$B$17)),ISNUMBER(FIND("휴일",설정!$B$17))),INDEX(직원목록!$F$7:$F$306,MATCH(173,직원목록!$B$7:$B$306,0))&gt;0),"연장·야간·휴일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","")&amp;IF(AND(설정!$B$24&lt;&gt;"",설정!$C$24="",OR(ISNUMBER(FIND("연장",설정!$B$24)),ISNUMBER(FIND("야간",설정!$B$24)),ISNUMBER(FIND("휴일",설정!$B$24))),INDEX(직원목록!$M$7:$M$306,MATCH(173,직원목록!$B$7:$B$306,0))&gt;0),"연장·야간·휴일 수당은 시간 수도 명세서에 적어야 하니 시간 열 지정 필요 / ",""))=0,"✔",("⚠ "&amp;IF(AND(F185&lt;&gt;"",F185&lt;&gt;0),"계산 총지급과 대장 총지급이 다릅니다 / ","")&amp;IF(AND(I185&lt;&gt;"",I185&lt;&gt;0),"계산 총공제와 대장 총공제가 다릅니다 / ","")&amp;IF(J185&lt;0,"실수령액이 음수입니다 / ","")&amp;IF(COUNTIF(직원목록!$D$7:$D$306,B185)&gt;1,"같은 이름이 둘 이상 — 미리보기는 첫 번째만 보입니다 / ","")&amp;IF(AND(C185&lt;&gt;"",COUNTIF(직원목록!$C$7:$C$306,C185)&gt;1),"사번 중복 / ","")&amp;IF(D185=0,"총지급이 0원 — 머리글 매칭 확인 / ","")&amp;IF(AND(설정!$B$17&lt;&gt;"",설정!$C$17="",OR(ISNUMBER(FIND("연장",설정!$B$17)),ISNUMBER(FIND("야간",설정!$B$17)),ISNUMBER(FIND("휴일",설정!$B$17))),INDEX(직원목록!$F$7:$F$306,MATCH(173,직원목록!$B$7:$B$306,0))&gt;0),"연장·야간·휴일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","")&amp;IF(AND(설정!$B$24&lt;&gt;"",설정!$C$24="",OR(ISNUMBER(FIND("연장",설정!$B$24)),ISNUMBER(FIND("야간",설정!$B$24)),ISNUMBER(FIND("휴일",설정!$B$24))),INDEX(직원목록!$M$7:$M$306,MATCH(173,직원목록!$B$7:$B$306,0))&gt;0),"연장·야간·휴일 수당은 시간 수도 명세서에 적어야 하니 시간 열 지정 필요 / ",""))))</f>
        <v/>
      </c>
    </row>
    <row r="186">
      <c r="A186" s="26">
        <f>IF(IFERROR(MATCH(174,직원목록!$B$7:$B$306,0),0)=0,"",174)</f>
        <v/>
      </c>
      <c r="B186" s="2">
        <f>IF($A186="","",IFERROR(INDEX(직원목록!$D$7:$D$306,MATCH(174,직원목록!$B$7:$B$306,0)),""))</f>
        <v/>
      </c>
      <c r="C186" s="2">
        <f>IF($A186="","",IFERROR(INDEX(직원목록!$C$7:$C$306,MATCH(174,직원목록!$B$7:$B$306,0)),""))</f>
        <v/>
      </c>
      <c r="D186" s="27">
        <f>IF($A186="","",IFERROR(INDEX(직원목록!$V$7:$V$306,MATCH(174,직원목록!$B$7:$B$306,0)),""))</f>
        <v/>
      </c>
      <c r="E186" s="27">
        <f>IF($A186="","",IFERROR(INDEX(직원목록!$AG$7:$AG$306,MATCH(174,직원목록!$B$7:$B$306,0)),""))</f>
        <v/>
      </c>
      <c r="F186" s="27">
        <f>IF(OR($A186="",E186=""),"",D186-E186)</f>
        <v/>
      </c>
      <c r="G186" s="27">
        <f>IF($A186="","",IFERROR(INDEX(직원목록!$AE$7:$AE$306,MATCH(174,직원목록!$B$7:$B$306,0)),""))</f>
        <v/>
      </c>
      <c r="H186" s="27">
        <f>IF($A186="","",IFERROR(INDEX(직원목록!$AH$7:$AH$306,MATCH(174,직원목록!$B$7:$B$306,0)),""))</f>
        <v/>
      </c>
      <c r="I186" s="27">
        <f>IF(OR($A186="",H186=""),"",G186-H186)</f>
        <v/>
      </c>
      <c r="J186" s="27">
        <f>IF($A186="","",IFERROR(INDEX(직원목록!$AF$7:$AF$306,MATCH(174,직원목록!$B$7:$B$306,0)),""))</f>
        <v/>
      </c>
      <c r="K186" s="27">
        <f>IF($A186="","",IFERROR(INDEX(직원목록!$AI$7:$AI$306,MATCH(174,직원목록!$B$7:$B$306,0)),""))</f>
        <v/>
      </c>
      <c r="L186" s="8">
        <f>IF($A186="","",IF(LEN(IF(AND(F186&lt;&gt;"",F186&lt;&gt;0),"계산 총지급과 대장 총지급이 다릅니다 / ","")&amp;IF(AND(I186&lt;&gt;"",I186&lt;&gt;0),"계산 총공제와 대장 총공제가 다릅니다 / ","")&amp;IF(J186&lt;0,"실수령액이 음수입니다 / ","")&amp;IF(COUNTIF(직원목록!$D$7:$D$306,B186)&gt;1,"같은 이름이 둘 이상 — 미리보기는 첫 번째만 보입니다 / ","")&amp;IF(AND(C186&lt;&gt;"",COUNTIF(직원목록!$C$7:$C$306,C186)&gt;1),"사번 중복 / ","")&amp;IF(D186=0,"총지급이 0원 — 머리글 매칭 확인 / ","")&amp;IF(AND(설정!$B$17&lt;&gt;"",설정!$C$17="",OR(ISNUMBER(FIND("연장",설정!$B$17)),ISNUMBER(FIND("야간",설정!$B$17)),ISNUMBER(FIND("휴일",설정!$B$17))),INDEX(직원목록!$F$7:$F$306,MATCH(174,직원목록!$B$7:$B$306,0))&gt;0),"연장·야간·휴일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","")&amp;IF(AND(설정!$B$24&lt;&gt;"",설정!$C$24="",OR(ISNUMBER(FIND("연장",설정!$B$24)),ISNUMBER(FIND("야간",설정!$B$24)),ISNUMBER(FIND("휴일",설정!$B$24))),INDEX(직원목록!$M$7:$M$306,MATCH(174,직원목록!$B$7:$B$306,0))&gt;0),"연장·야간·휴일 수당은 시간 수도 명세서에 적어야 하니 시간 열 지정 필요 / ",""))=0,"✔",("⚠ "&amp;IF(AND(F186&lt;&gt;"",F186&lt;&gt;0),"계산 총지급과 대장 총지급이 다릅니다 / ","")&amp;IF(AND(I186&lt;&gt;"",I186&lt;&gt;0),"계산 총공제와 대장 총공제가 다릅니다 / ","")&amp;IF(J186&lt;0,"실수령액이 음수입니다 / ","")&amp;IF(COUNTIF(직원목록!$D$7:$D$306,B186)&gt;1,"같은 이름이 둘 이상 — 미리보기는 첫 번째만 보입니다 / ","")&amp;IF(AND(C186&lt;&gt;"",COUNTIF(직원목록!$C$7:$C$306,C186)&gt;1),"사번 중복 / ","")&amp;IF(D186=0,"총지급이 0원 — 머리글 매칭 확인 / ","")&amp;IF(AND(설정!$B$17&lt;&gt;"",설정!$C$17="",OR(ISNUMBER(FIND("연장",설정!$B$17)),ISNUMBER(FIND("야간",설정!$B$17)),ISNUMBER(FIND("휴일",설정!$B$17))),INDEX(직원목록!$F$7:$F$306,MATCH(174,직원목록!$B$7:$B$306,0))&gt;0),"연장·야간·휴일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","")&amp;IF(AND(설정!$B$24&lt;&gt;"",설정!$C$24="",OR(ISNUMBER(FIND("연장",설정!$B$24)),ISNUMBER(FIND("야간",설정!$B$24)),ISNUMBER(FIND("휴일",설정!$B$24))),INDEX(직원목록!$M$7:$M$306,MATCH(174,직원목록!$B$7:$B$306,0))&gt;0),"연장·야간·휴일 수당은 시간 수도 명세서에 적어야 하니 시간 열 지정 필요 / ",""))))</f>
        <v/>
      </c>
    </row>
    <row r="187">
      <c r="A187" s="26">
        <f>IF(IFERROR(MATCH(175,직원목록!$B$7:$B$306,0),0)=0,"",175)</f>
        <v/>
      </c>
      <c r="B187" s="2">
        <f>IF($A187="","",IFERROR(INDEX(직원목록!$D$7:$D$306,MATCH(175,직원목록!$B$7:$B$306,0)),""))</f>
        <v/>
      </c>
      <c r="C187" s="2">
        <f>IF($A187="","",IFERROR(INDEX(직원목록!$C$7:$C$306,MATCH(175,직원목록!$B$7:$B$306,0)),""))</f>
        <v/>
      </c>
      <c r="D187" s="27">
        <f>IF($A187="","",IFERROR(INDEX(직원목록!$V$7:$V$306,MATCH(175,직원목록!$B$7:$B$306,0)),""))</f>
        <v/>
      </c>
      <c r="E187" s="27">
        <f>IF($A187="","",IFERROR(INDEX(직원목록!$AG$7:$AG$306,MATCH(175,직원목록!$B$7:$B$306,0)),""))</f>
        <v/>
      </c>
      <c r="F187" s="27">
        <f>IF(OR($A187="",E187=""),"",D187-E187)</f>
        <v/>
      </c>
      <c r="G187" s="27">
        <f>IF($A187="","",IFERROR(INDEX(직원목록!$AE$7:$AE$306,MATCH(175,직원목록!$B$7:$B$306,0)),""))</f>
        <v/>
      </c>
      <c r="H187" s="27">
        <f>IF($A187="","",IFERROR(INDEX(직원목록!$AH$7:$AH$306,MATCH(175,직원목록!$B$7:$B$306,0)),""))</f>
        <v/>
      </c>
      <c r="I187" s="27">
        <f>IF(OR($A187="",H187=""),"",G187-H187)</f>
        <v/>
      </c>
      <c r="J187" s="27">
        <f>IF($A187="","",IFERROR(INDEX(직원목록!$AF$7:$AF$306,MATCH(175,직원목록!$B$7:$B$306,0)),""))</f>
        <v/>
      </c>
      <c r="K187" s="27">
        <f>IF($A187="","",IFERROR(INDEX(직원목록!$AI$7:$AI$306,MATCH(175,직원목록!$B$7:$B$306,0)),""))</f>
        <v/>
      </c>
      <c r="L187" s="8">
        <f>IF($A187="","",IF(LEN(IF(AND(F187&lt;&gt;"",F187&lt;&gt;0),"계산 총지급과 대장 총지급이 다릅니다 / ","")&amp;IF(AND(I187&lt;&gt;"",I187&lt;&gt;0),"계산 총공제와 대장 총공제가 다릅니다 / ","")&amp;IF(J187&lt;0,"실수령액이 음수입니다 / ","")&amp;IF(COUNTIF(직원목록!$D$7:$D$306,B187)&gt;1,"같은 이름이 둘 이상 — 미리보기는 첫 번째만 보입니다 / ","")&amp;IF(AND(C187&lt;&gt;"",COUNTIF(직원목록!$C$7:$C$306,C187)&gt;1),"사번 중복 / ","")&amp;IF(D187=0,"총지급이 0원 — 머리글 매칭 확인 / ","")&amp;IF(AND(설정!$B$17&lt;&gt;"",설정!$C$17="",OR(ISNUMBER(FIND("연장",설정!$B$17)),ISNUMBER(FIND("야간",설정!$B$17)),ISNUMBER(FIND("휴일",설정!$B$17))),INDEX(직원목록!$F$7:$F$306,MATCH(175,직원목록!$B$7:$B$306,0))&gt;0),"연장·야간·휴일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","")&amp;IF(AND(설정!$B$24&lt;&gt;"",설정!$C$24="",OR(ISNUMBER(FIND("연장",설정!$B$24)),ISNUMBER(FIND("야간",설정!$B$24)),ISNUMBER(FIND("휴일",설정!$B$24))),INDEX(직원목록!$M$7:$M$306,MATCH(175,직원목록!$B$7:$B$306,0))&gt;0),"연장·야간·휴일 수당은 시간 수도 명세서에 적어야 하니 시간 열 지정 필요 / ",""))=0,"✔",("⚠ "&amp;IF(AND(F187&lt;&gt;"",F187&lt;&gt;0),"계산 총지급과 대장 총지급이 다릅니다 / ","")&amp;IF(AND(I187&lt;&gt;"",I187&lt;&gt;0),"계산 총공제와 대장 총공제가 다릅니다 / ","")&amp;IF(J187&lt;0,"실수령액이 음수입니다 / ","")&amp;IF(COUNTIF(직원목록!$D$7:$D$306,B187)&gt;1,"같은 이름이 둘 이상 — 미리보기는 첫 번째만 보입니다 / ","")&amp;IF(AND(C187&lt;&gt;"",COUNTIF(직원목록!$C$7:$C$306,C187)&gt;1),"사번 중복 / ","")&amp;IF(D187=0,"총지급이 0원 — 머리글 매칭 확인 / ","")&amp;IF(AND(설정!$B$17&lt;&gt;"",설정!$C$17="",OR(ISNUMBER(FIND("연장",설정!$B$17)),ISNUMBER(FIND("야간",설정!$B$17)),ISNUMBER(FIND("휴일",설정!$B$17))),INDEX(직원목록!$F$7:$F$306,MATCH(175,직원목록!$B$7:$B$306,0))&gt;0),"연장·야간·휴일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","")&amp;IF(AND(설정!$B$24&lt;&gt;"",설정!$C$24="",OR(ISNUMBER(FIND("연장",설정!$B$24)),ISNUMBER(FIND("야간",설정!$B$24)),ISNUMBER(FIND("휴일",설정!$B$24))),INDEX(직원목록!$M$7:$M$306,MATCH(175,직원목록!$B$7:$B$306,0))&gt;0),"연장·야간·휴일 수당은 시간 수도 명세서에 적어야 하니 시간 열 지정 필요 / ",""))))</f>
        <v/>
      </c>
    </row>
    <row r="188">
      <c r="A188" s="26">
        <f>IF(IFERROR(MATCH(176,직원목록!$B$7:$B$306,0),0)=0,"",176)</f>
        <v/>
      </c>
      <c r="B188" s="2">
        <f>IF($A188="","",IFERROR(INDEX(직원목록!$D$7:$D$306,MATCH(176,직원목록!$B$7:$B$306,0)),""))</f>
        <v/>
      </c>
      <c r="C188" s="2">
        <f>IF($A188="","",IFERROR(INDEX(직원목록!$C$7:$C$306,MATCH(176,직원목록!$B$7:$B$306,0)),""))</f>
        <v/>
      </c>
      <c r="D188" s="27">
        <f>IF($A188="","",IFERROR(INDEX(직원목록!$V$7:$V$306,MATCH(176,직원목록!$B$7:$B$306,0)),""))</f>
        <v/>
      </c>
      <c r="E188" s="27">
        <f>IF($A188="","",IFERROR(INDEX(직원목록!$AG$7:$AG$306,MATCH(176,직원목록!$B$7:$B$306,0)),""))</f>
        <v/>
      </c>
      <c r="F188" s="27">
        <f>IF(OR($A188="",E188=""),"",D188-E188)</f>
        <v/>
      </c>
      <c r="G188" s="27">
        <f>IF($A188="","",IFERROR(INDEX(직원목록!$AE$7:$AE$306,MATCH(176,직원목록!$B$7:$B$306,0)),""))</f>
        <v/>
      </c>
      <c r="H188" s="27">
        <f>IF($A188="","",IFERROR(INDEX(직원목록!$AH$7:$AH$306,MATCH(176,직원목록!$B$7:$B$306,0)),""))</f>
        <v/>
      </c>
      <c r="I188" s="27">
        <f>IF(OR($A188="",H188=""),"",G188-H188)</f>
        <v/>
      </c>
      <c r="J188" s="27">
        <f>IF($A188="","",IFERROR(INDEX(직원목록!$AF$7:$AF$306,MATCH(176,직원목록!$B$7:$B$306,0)),""))</f>
        <v/>
      </c>
      <c r="K188" s="27">
        <f>IF($A188="","",IFERROR(INDEX(직원목록!$AI$7:$AI$306,MATCH(176,직원목록!$B$7:$B$306,0)),""))</f>
        <v/>
      </c>
      <c r="L188" s="8">
        <f>IF($A188="","",IF(LEN(IF(AND(F188&lt;&gt;"",F188&lt;&gt;0),"계산 총지급과 대장 총지급이 다릅니다 / ","")&amp;IF(AND(I188&lt;&gt;"",I188&lt;&gt;0),"계산 총공제와 대장 총공제가 다릅니다 / ","")&amp;IF(J188&lt;0,"실수령액이 음수입니다 / ","")&amp;IF(COUNTIF(직원목록!$D$7:$D$306,B188)&gt;1,"같은 이름이 둘 이상 — 미리보기는 첫 번째만 보입니다 / ","")&amp;IF(AND(C188&lt;&gt;"",COUNTIF(직원목록!$C$7:$C$306,C188)&gt;1),"사번 중복 / ","")&amp;IF(D188=0,"총지급이 0원 — 머리글 매칭 확인 / ","")&amp;IF(AND(설정!$B$17&lt;&gt;"",설정!$C$17="",OR(ISNUMBER(FIND("연장",설정!$B$17)),ISNUMBER(FIND("야간",설정!$B$17)),ISNUMBER(FIND("휴일",설정!$B$17))),INDEX(직원목록!$F$7:$F$306,MATCH(176,직원목록!$B$7:$B$306,0))&gt;0),"연장·야간·휴일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","")&amp;IF(AND(설정!$B$24&lt;&gt;"",설정!$C$24="",OR(ISNUMBER(FIND("연장",설정!$B$24)),ISNUMBER(FIND("야간",설정!$B$24)),ISNUMBER(FIND("휴일",설정!$B$24))),INDEX(직원목록!$M$7:$M$306,MATCH(176,직원목록!$B$7:$B$306,0))&gt;0),"연장·야간·휴일 수당은 시간 수도 명세서에 적어야 하니 시간 열 지정 필요 / ",""))=0,"✔",("⚠ "&amp;IF(AND(F188&lt;&gt;"",F188&lt;&gt;0),"계산 총지급과 대장 총지급이 다릅니다 / ","")&amp;IF(AND(I188&lt;&gt;"",I188&lt;&gt;0),"계산 총공제와 대장 총공제가 다릅니다 / ","")&amp;IF(J188&lt;0,"실수령액이 음수입니다 / ","")&amp;IF(COUNTIF(직원목록!$D$7:$D$306,B188)&gt;1,"같은 이름이 둘 이상 — 미리보기는 첫 번째만 보입니다 / ","")&amp;IF(AND(C188&lt;&gt;"",COUNTIF(직원목록!$C$7:$C$306,C188)&gt;1),"사번 중복 / ","")&amp;IF(D188=0,"총지급이 0원 — 머리글 매칭 확인 / ","")&amp;IF(AND(설정!$B$17&lt;&gt;"",설정!$C$17="",OR(ISNUMBER(FIND("연장",설정!$B$17)),ISNUMBER(FIND("야간",설정!$B$17)),ISNUMBER(FIND("휴일",설정!$B$17))),INDEX(직원목록!$F$7:$F$306,MATCH(176,직원목록!$B$7:$B$306,0))&gt;0),"연장·야간·휴일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","")&amp;IF(AND(설정!$B$24&lt;&gt;"",설정!$C$24="",OR(ISNUMBER(FIND("연장",설정!$B$24)),ISNUMBER(FIND("야간",설정!$B$24)),ISNUMBER(FIND("휴일",설정!$B$24))),INDEX(직원목록!$M$7:$M$306,MATCH(176,직원목록!$B$7:$B$306,0))&gt;0),"연장·야간·휴일 수당은 시간 수도 명세서에 적어야 하니 시간 열 지정 필요 / ",""))))</f>
        <v/>
      </c>
    </row>
    <row r="189">
      <c r="A189" s="26">
        <f>IF(IFERROR(MATCH(177,직원목록!$B$7:$B$306,0),0)=0,"",177)</f>
        <v/>
      </c>
      <c r="B189" s="2">
        <f>IF($A189="","",IFERROR(INDEX(직원목록!$D$7:$D$306,MATCH(177,직원목록!$B$7:$B$306,0)),""))</f>
        <v/>
      </c>
      <c r="C189" s="2">
        <f>IF($A189="","",IFERROR(INDEX(직원목록!$C$7:$C$306,MATCH(177,직원목록!$B$7:$B$306,0)),""))</f>
        <v/>
      </c>
      <c r="D189" s="27">
        <f>IF($A189="","",IFERROR(INDEX(직원목록!$V$7:$V$306,MATCH(177,직원목록!$B$7:$B$306,0)),""))</f>
        <v/>
      </c>
      <c r="E189" s="27">
        <f>IF($A189="","",IFERROR(INDEX(직원목록!$AG$7:$AG$306,MATCH(177,직원목록!$B$7:$B$306,0)),""))</f>
        <v/>
      </c>
      <c r="F189" s="27">
        <f>IF(OR($A189="",E189=""),"",D189-E189)</f>
        <v/>
      </c>
      <c r="G189" s="27">
        <f>IF($A189="","",IFERROR(INDEX(직원목록!$AE$7:$AE$306,MATCH(177,직원목록!$B$7:$B$306,0)),""))</f>
        <v/>
      </c>
      <c r="H189" s="27">
        <f>IF($A189="","",IFERROR(INDEX(직원목록!$AH$7:$AH$306,MATCH(177,직원목록!$B$7:$B$306,0)),""))</f>
        <v/>
      </c>
      <c r="I189" s="27">
        <f>IF(OR($A189="",H189=""),"",G189-H189)</f>
        <v/>
      </c>
      <c r="J189" s="27">
        <f>IF($A189="","",IFERROR(INDEX(직원목록!$AF$7:$AF$306,MATCH(177,직원목록!$B$7:$B$306,0)),""))</f>
        <v/>
      </c>
      <c r="K189" s="27">
        <f>IF($A189="","",IFERROR(INDEX(직원목록!$AI$7:$AI$306,MATCH(177,직원목록!$B$7:$B$306,0)),""))</f>
        <v/>
      </c>
      <c r="L189" s="8">
        <f>IF($A189="","",IF(LEN(IF(AND(F189&lt;&gt;"",F189&lt;&gt;0),"계산 총지급과 대장 총지급이 다릅니다 / ","")&amp;IF(AND(I189&lt;&gt;"",I189&lt;&gt;0),"계산 총공제와 대장 총공제가 다릅니다 / ","")&amp;IF(J189&lt;0,"실수령액이 음수입니다 / ","")&amp;IF(COUNTIF(직원목록!$D$7:$D$306,B189)&gt;1,"같은 이름이 둘 이상 — 미리보기는 첫 번째만 보입니다 / ","")&amp;IF(AND(C189&lt;&gt;"",COUNTIF(직원목록!$C$7:$C$306,C189)&gt;1),"사번 중복 / ","")&amp;IF(D189=0,"총지급이 0원 — 머리글 매칭 확인 / ","")&amp;IF(AND(설정!$B$17&lt;&gt;"",설정!$C$17="",OR(ISNUMBER(FIND("연장",설정!$B$17)),ISNUMBER(FIND("야간",설정!$B$17)),ISNUMBER(FIND("휴일",설정!$B$17))),INDEX(직원목록!$F$7:$F$306,MATCH(177,직원목록!$B$7:$B$306,0))&gt;0),"연장·야간·휴일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","")&amp;IF(AND(설정!$B$24&lt;&gt;"",설정!$C$24="",OR(ISNUMBER(FIND("연장",설정!$B$24)),ISNUMBER(FIND("야간",설정!$B$24)),ISNUMBER(FIND("휴일",설정!$B$24))),INDEX(직원목록!$M$7:$M$306,MATCH(177,직원목록!$B$7:$B$306,0))&gt;0),"연장·야간·휴일 수당은 시간 수도 명세서에 적어야 하니 시간 열 지정 필요 / ",""))=0,"✔",("⚠ "&amp;IF(AND(F189&lt;&gt;"",F189&lt;&gt;0),"계산 총지급과 대장 총지급이 다릅니다 / ","")&amp;IF(AND(I189&lt;&gt;"",I189&lt;&gt;0),"계산 총공제와 대장 총공제가 다릅니다 / ","")&amp;IF(J189&lt;0,"실수령액이 음수입니다 / ","")&amp;IF(COUNTIF(직원목록!$D$7:$D$306,B189)&gt;1,"같은 이름이 둘 이상 — 미리보기는 첫 번째만 보입니다 / ","")&amp;IF(AND(C189&lt;&gt;"",COUNTIF(직원목록!$C$7:$C$306,C189)&gt;1),"사번 중복 / ","")&amp;IF(D189=0,"총지급이 0원 — 머리글 매칭 확인 / ","")&amp;IF(AND(설정!$B$17&lt;&gt;"",설정!$C$17="",OR(ISNUMBER(FIND("연장",설정!$B$17)),ISNUMBER(FIND("야간",설정!$B$17)),ISNUMBER(FIND("휴일",설정!$B$17))),INDEX(직원목록!$F$7:$F$306,MATCH(177,직원목록!$B$7:$B$306,0))&gt;0),"연장·야간·휴일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","")&amp;IF(AND(설정!$B$24&lt;&gt;"",설정!$C$24="",OR(ISNUMBER(FIND("연장",설정!$B$24)),ISNUMBER(FIND("야간",설정!$B$24)),ISNUMBER(FIND("휴일",설정!$B$24))),INDEX(직원목록!$M$7:$M$306,MATCH(177,직원목록!$B$7:$B$306,0))&gt;0),"연장·야간·휴일 수당은 시간 수도 명세서에 적어야 하니 시간 열 지정 필요 / ",""))))</f>
        <v/>
      </c>
    </row>
    <row r="190">
      <c r="A190" s="26">
        <f>IF(IFERROR(MATCH(178,직원목록!$B$7:$B$306,0),0)=0,"",178)</f>
        <v/>
      </c>
      <c r="B190" s="2">
        <f>IF($A190="","",IFERROR(INDEX(직원목록!$D$7:$D$306,MATCH(178,직원목록!$B$7:$B$306,0)),""))</f>
        <v/>
      </c>
      <c r="C190" s="2">
        <f>IF($A190="","",IFERROR(INDEX(직원목록!$C$7:$C$306,MATCH(178,직원목록!$B$7:$B$306,0)),""))</f>
        <v/>
      </c>
      <c r="D190" s="27">
        <f>IF($A190="","",IFERROR(INDEX(직원목록!$V$7:$V$306,MATCH(178,직원목록!$B$7:$B$306,0)),""))</f>
        <v/>
      </c>
      <c r="E190" s="27">
        <f>IF($A190="","",IFERROR(INDEX(직원목록!$AG$7:$AG$306,MATCH(178,직원목록!$B$7:$B$306,0)),""))</f>
        <v/>
      </c>
      <c r="F190" s="27">
        <f>IF(OR($A190="",E190=""),"",D190-E190)</f>
        <v/>
      </c>
      <c r="G190" s="27">
        <f>IF($A190="","",IFERROR(INDEX(직원목록!$AE$7:$AE$306,MATCH(178,직원목록!$B$7:$B$306,0)),""))</f>
        <v/>
      </c>
      <c r="H190" s="27">
        <f>IF($A190="","",IFERROR(INDEX(직원목록!$AH$7:$AH$306,MATCH(178,직원목록!$B$7:$B$306,0)),""))</f>
        <v/>
      </c>
      <c r="I190" s="27">
        <f>IF(OR($A190="",H190=""),"",G190-H190)</f>
        <v/>
      </c>
      <c r="J190" s="27">
        <f>IF($A190="","",IFERROR(INDEX(직원목록!$AF$7:$AF$306,MATCH(178,직원목록!$B$7:$B$306,0)),""))</f>
        <v/>
      </c>
      <c r="K190" s="27">
        <f>IF($A190="","",IFERROR(INDEX(직원목록!$AI$7:$AI$306,MATCH(178,직원목록!$B$7:$B$306,0)),""))</f>
        <v/>
      </c>
      <c r="L190" s="8">
        <f>IF($A190="","",IF(LEN(IF(AND(F190&lt;&gt;"",F190&lt;&gt;0),"계산 총지급과 대장 총지급이 다릅니다 / ","")&amp;IF(AND(I190&lt;&gt;"",I190&lt;&gt;0),"계산 총공제와 대장 총공제가 다릅니다 / ","")&amp;IF(J190&lt;0,"실수령액이 음수입니다 / ","")&amp;IF(COUNTIF(직원목록!$D$7:$D$306,B190)&gt;1,"같은 이름이 둘 이상 — 미리보기는 첫 번째만 보입니다 / ","")&amp;IF(AND(C190&lt;&gt;"",COUNTIF(직원목록!$C$7:$C$306,C190)&gt;1),"사번 중복 / ","")&amp;IF(D190=0,"총지급이 0원 — 머리글 매칭 확인 / ","")&amp;IF(AND(설정!$B$17&lt;&gt;"",설정!$C$17="",OR(ISNUMBER(FIND("연장",설정!$B$17)),ISNUMBER(FIND("야간",설정!$B$17)),ISNUMBER(FIND("휴일",설정!$B$17))),INDEX(직원목록!$F$7:$F$306,MATCH(178,직원목록!$B$7:$B$306,0))&gt;0),"연장·야간·휴일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","")&amp;IF(AND(설정!$B$24&lt;&gt;"",설정!$C$24="",OR(ISNUMBER(FIND("연장",설정!$B$24)),ISNUMBER(FIND("야간",설정!$B$24)),ISNUMBER(FIND("휴일",설정!$B$24))),INDEX(직원목록!$M$7:$M$306,MATCH(178,직원목록!$B$7:$B$306,0))&gt;0),"연장·야간·휴일 수당은 시간 수도 명세서에 적어야 하니 시간 열 지정 필요 / ",""))=0,"✔",("⚠ "&amp;IF(AND(F190&lt;&gt;"",F190&lt;&gt;0),"계산 총지급과 대장 총지급이 다릅니다 / ","")&amp;IF(AND(I190&lt;&gt;"",I190&lt;&gt;0),"계산 총공제와 대장 총공제가 다릅니다 / ","")&amp;IF(J190&lt;0,"실수령액이 음수입니다 / ","")&amp;IF(COUNTIF(직원목록!$D$7:$D$306,B190)&gt;1,"같은 이름이 둘 이상 — 미리보기는 첫 번째만 보입니다 / ","")&amp;IF(AND(C190&lt;&gt;"",COUNTIF(직원목록!$C$7:$C$306,C190)&gt;1),"사번 중복 / ","")&amp;IF(D190=0,"총지급이 0원 — 머리글 매칭 확인 / ","")&amp;IF(AND(설정!$B$17&lt;&gt;"",설정!$C$17="",OR(ISNUMBER(FIND("연장",설정!$B$17)),ISNUMBER(FIND("야간",설정!$B$17)),ISNUMBER(FIND("휴일",설정!$B$17))),INDEX(직원목록!$F$7:$F$306,MATCH(178,직원목록!$B$7:$B$306,0))&gt;0),"연장·야간·휴일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","")&amp;IF(AND(설정!$B$24&lt;&gt;"",설정!$C$24="",OR(ISNUMBER(FIND("연장",설정!$B$24)),ISNUMBER(FIND("야간",설정!$B$24)),ISNUMBER(FIND("휴일",설정!$B$24))),INDEX(직원목록!$M$7:$M$306,MATCH(178,직원목록!$B$7:$B$306,0))&gt;0),"연장·야간·휴일 수당은 시간 수도 명세서에 적어야 하니 시간 열 지정 필요 / ",""))))</f>
        <v/>
      </c>
    </row>
    <row r="191">
      <c r="A191" s="26">
        <f>IF(IFERROR(MATCH(179,직원목록!$B$7:$B$306,0),0)=0,"",179)</f>
        <v/>
      </c>
      <c r="B191" s="2">
        <f>IF($A191="","",IFERROR(INDEX(직원목록!$D$7:$D$306,MATCH(179,직원목록!$B$7:$B$306,0)),""))</f>
        <v/>
      </c>
      <c r="C191" s="2">
        <f>IF($A191="","",IFERROR(INDEX(직원목록!$C$7:$C$306,MATCH(179,직원목록!$B$7:$B$306,0)),""))</f>
        <v/>
      </c>
      <c r="D191" s="27">
        <f>IF($A191="","",IFERROR(INDEX(직원목록!$V$7:$V$306,MATCH(179,직원목록!$B$7:$B$306,0)),""))</f>
        <v/>
      </c>
      <c r="E191" s="27">
        <f>IF($A191="","",IFERROR(INDEX(직원목록!$AG$7:$AG$306,MATCH(179,직원목록!$B$7:$B$306,0)),""))</f>
        <v/>
      </c>
      <c r="F191" s="27">
        <f>IF(OR($A191="",E191=""),"",D191-E191)</f>
        <v/>
      </c>
      <c r="G191" s="27">
        <f>IF($A191="","",IFERROR(INDEX(직원목록!$AE$7:$AE$306,MATCH(179,직원목록!$B$7:$B$306,0)),""))</f>
        <v/>
      </c>
      <c r="H191" s="27">
        <f>IF($A191="","",IFERROR(INDEX(직원목록!$AH$7:$AH$306,MATCH(179,직원목록!$B$7:$B$306,0)),""))</f>
        <v/>
      </c>
      <c r="I191" s="27">
        <f>IF(OR($A191="",H191=""),"",G191-H191)</f>
        <v/>
      </c>
      <c r="J191" s="27">
        <f>IF($A191="","",IFERROR(INDEX(직원목록!$AF$7:$AF$306,MATCH(179,직원목록!$B$7:$B$306,0)),""))</f>
        <v/>
      </c>
      <c r="K191" s="27">
        <f>IF($A191="","",IFERROR(INDEX(직원목록!$AI$7:$AI$306,MATCH(179,직원목록!$B$7:$B$306,0)),""))</f>
        <v/>
      </c>
      <c r="L191" s="8">
        <f>IF($A191="","",IF(LEN(IF(AND(F191&lt;&gt;"",F191&lt;&gt;0),"계산 총지급과 대장 총지급이 다릅니다 / ","")&amp;IF(AND(I191&lt;&gt;"",I191&lt;&gt;0),"계산 총공제와 대장 총공제가 다릅니다 / ","")&amp;IF(J191&lt;0,"실수령액이 음수입니다 / ","")&amp;IF(COUNTIF(직원목록!$D$7:$D$306,B191)&gt;1,"같은 이름이 둘 이상 — 미리보기는 첫 번째만 보입니다 / ","")&amp;IF(AND(C191&lt;&gt;"",COUNTIF(직원목록!$C$7:$C$306,C191)&gt;1),"사번 중복 / ","")&amp;IF(D191=0,"총지급이 0원 — 머리글 매칭 확인 / ","")&amp;IF(AND(설정!$B$17&lt;&gt;"",설정!$C$17="",OR(ISNUMBER(FIND("연장",설정!$B$17)),ISNUMBER(FIND("야간",설정!$B$17)),ISNUMBER(FIND("휴일",설정!$B$17))),INDEX(직원목록!$F$7:$F$306,MATCH(179,직원목록!$B$7:$B$306,0))&gt;0),"연장·야간·휴일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","")&amp;IF(AND(설정!$B$24&lt;&gt;"",설정!$C$24="",OR(ISNUMBER(FIND("연장",설정!$B$24)),ISNUMBER(FIND("야간",설정!$B$24)),ISNUMBER(FIND("휴일",설정!$B$24))),INDEX(직원목록!$M$7:$M$306,MATCH(179,직원목록!$B$7:$B$306,0))&gt;0),"연장·야간·휴일 수당은 시간 수도 명세서에 적어야 하니 시간 열 지정 필요 / ",""))=0,"✔",("⚠ "&amp;IF(AND(F191&lt;&gt;"",F191&lt;&gt;0),"계산 총지급과 대장 총지급이 다릅니다 / ","")&amp;IF(AND(I191&lt;&gt;"",I191&lt;&gt;0),"계산 총공제와 대장 총공제가 다릅니다 / ","")&amp;IF(J191&lt;0,"실수령액이 음수입니다 / ","")&amp;IF(COUNTIF(직원목록!$D$7:$D$306,B191)&gt;1,"같은 이름이 둘 이상 — 미리보기는 첫 번째만 보입니다 / ","")&amp;IF(AND(C191&lt;&gt;"",COUNTIF(직원목록!$C$7:$C$306,C191)&gt;1),"사번 중복 / ","")&amp;IF(D191=0,"총지급이 0원 — 머리글 매칭 확인 / ","")&amp;IF(AND(설정!$B$17&lt;&gt;"",설정!$C$17="",OR(ISNUMBER(FIND("연장",설정!$B$17)),ISNUMBER(FIND("야간",설정!$B$17)),ISNUMBER(FIND("휴일",설정!$B$17))),INDEX(직원목록!$F$7:$F$306,MATCH(179,직원목록!$B$7:$B$306,0))&gt;0),"연장·야간·휴일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","")&amp;IF(AND(설정!$B$18&lt;&gt;"",설정!$C$18="",OR(ISNUMBER(FIND("연장",설정!$B$18)),ISNUMBER(FIND("야간",설정!$B$18)),ISNUMBER(FIND("휴일",설정!$B$18))),INDEX(직원목록!$G$7:$G$306,MATCH(179,직원목록!$B$7:$B$306,0))&gt;0),"연장·야간·휴일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","")&amp;IF(AND(설정!$B$19&lt;&gt;"",설정!$C$19="",OR(ISNUMBER(FIND("연장",설정!$B$19)),ISNUMBER(FIND("야간",설정!$B$19)),ISNUMBER(FIND("휴일",설정!$B$19))),INDEX(직원목록!$H$7:$H$306,MATCH(179,직원목록!$B$7:$B$306,0))&gt;0),"연장·야간·휴일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","")&amp;IF(AND(설정!$B$20&lt;&gt;"",설정!$C$20="",OR(ISNUMBER(FIND("연장",설정!$B$20)),ISNUMBER(FIND("야간",설정!$B$20)),ISNUMBER(FIND("휴일",설정!$B$20))),INDEX(직원목록!$I$7:$I$306,MATCH(179,직원목록!$B$7:$B$306,0))&gt;0),"연장·야간·휴일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","")&amp;IF(AND(설정!$B$21&lt;&gt;"",설정!$C$21="",OR(ISNUMBER(FIND("연장",설정!$B$21)),ISNUMBER(FIND("야간",설정!$B$21)),ISNUMBER(FIND("휴일",설정!$B$21))),INDEX(직원목록!$J$7:$J$306,MATCH(179,직원목록!$B$7:$B$306,0))&gt;0),"연장·야간·휴일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","")&amp;IF(AND(설정!$B$22&lt;&gt;"",설정!$C$22="",OR(ISNUMBER(FIND("연장",설정!$B$22)),ISNUMBER(FIND("야간",설정!$B$22)),ISNUMBER(FIND("휴일",설정!$B$22))),INDEX(직원목록!$K$7:$K$306,MATCH(179,직원목록!$B$7:$B$306,0))&gt;0),"연장·야간·휴일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","")&amp;IF(AND(설정!$B$23&lt;&gt;"",설정!$C$23="",OR(ISNUMBER(FIND("연장",설정!$B$23)),ISNUMBER(FIND("야간",설정!$B$23)),ISNUMBER(FIND("휴일",설정!$B$23))),INDEX(직원목록!$L$7:$L$306,MATCH(179,직원목록!$B$7:$B$306,0))&gt;0),"연장·야간·휴일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","")&amp;IF(AND(설정!$B$24&lt;&gt;"",설정!$C$24="",OR(ISNUMBER(FIND("연장",설정!$B$24)),ISNUMBER(FIND("야간",설정!$B$24)),ISNUMBER(FIND("휴일",설정!$B$24))),INDEX(직원목록!$M$7:$M$306,MATCH(179,직원목록!$B$7:$B$306,0))&gt;0),"연장·야간·휴일 수당은 시간 수도 명세서에 적어야 하니 시간 열 지정 필요 / ",""))))</f>
        <v/>
      </c>
    </row>
    <row r="192">
      <c r="A192" s="26">
        <f>IF(IFERROR(MATCH(180,직원목록!$B$7:$B$306,0),0)=0,"",180)</f>
        <v/>
      </c>
      <c r="B192" s="2">
        <f>IF($A192="","",IFERROR(INDEX(직원목록!$D$7:$D$306,MATCH(180,직원목록!$B$7:$B$306,0)),""))</f>
        <v/>
      </c>
      <c r="C192" s="2">
        <f>IF($A192="","",IFERROR(INDEX(직원목록!$C$7:$C$306,MATCH(180,직원목록!$B$7:$B$306,0)),""))</f>
        <v/>
      </c>
      <c r="D192" s="27">
        <f>IF($A192="","",IFERROR(INDEX(직원목록!$V$7:$V$306,MATCH(180,직원목록!$B$7:$B$306,0)),""))</f>
        <v/>
      </c>
      <c r="E192" s="27">
        <f>IF($A192="","",IFERROR(INDEX(직원목록!$AG$7:$AG$306,MATCH(180,직원목록!$B$7:$B$306,0)),""))</f>
        <v/>
      </c>
      <c r="F192" s="27">
        <f>IF(OR($A192="",E192=""),"",D192-E192)</f>
        <v/>
      </c>
      <c r="G192" s="27">
        <f>IF($A192="","",IFERROR(INDEX(직원목록!$AE$7:$AE$306,MATCH(180,직원목록!$B$7:$B$306,0)),""))</f>
        <v/>
      </c>
      <c r="H192" s="27">
        <f>IF($A192="","",IFERROR(INDEX(직원목록!$AH$7:$AH$306,MATCH(180,직원목록!$B$7:$B$306,0)),""))</f>
        <v/>
      </c>
      <c r="I192" s="27">
        <f>IF(OR($A192="",H192=""),"",G192-H192)</f>
        <v/>
      </c>
      <c r="J192" s="27">
        <f>IF($A192="","",IFERROR(INDEX(직원목록!$AF$7:$AF$306,MATCH(180,직원목록!$B$7:$B$306,0)),""))</f>
        <v/>
      </c>
      <c r="K192" s="27">
        <f>IF($A192="","",IFERROR(INDEX(직원목록!$AI$7:$AI$306,MATCH(180,직원목록!$B$7:$B$306,0)),""))</f>
        <v/>
      </c>
      <c r="L192" s="8">
        <f>IF($A192="","",IF(LEN(IF(AND(F192&lt;&gt;"",F192&lt;&gt;0),"계산 총지급과 대장 총지급이 다릅니다 / ","")&amp;IF(AND(I192&lt;&gt;"",I192&lt;&gt;0),"계산 총공제와 대장 총공제가 다릅니다 / ","")&amp;IF(J192&lt;0,"실수령액이 음수입니다 / ","")&amp;IF(COUNTIF(직원목록!$D$7:$D$306,B192)&gt;1,"같은 이름이 둘 이상 — 미리보기는 첫 번째만 보입니다 / ","")&amp;IF(AND(C192&lt;&gt;"",COUNTIF(직원목록!$C$7:$C$306,C192)&gt;1),"사번 중복 / ","")&amp;IF(D192=0,"총지급이 0원 — 머리글 매칭 확인 / ","")&amp;IF(AND(설정!$B$17&lt;&gt;"",설정!$C$17="",OR(ISNUMBER(FIND("연장",설정!$B$17)),ISNUMBER(FIND("야간",설정!$B$17)),ISNUMBER(FIND("휴일",설정!$B$17))),INDEX(직원목록!$F$7:$F$306,MATCH(180,직원목록!$B$7:$B$306,0))&gt;0),"연장·야간·휴일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","")&amp;IF(AND(설정!$B$24&lt;&gt;"",설정!$C$24="",OR(ISNUMBER(FIND("연장",설정!$B$24)),ISNUMBER(FIND("야간",설정!$B$24)),ISNUMBER(FIND("휴일",설정!$B$24))),INDEX(직원목록!$M$7:$M$306,MATCH(180,직원목록!$B$7:$B$306,0))&gt;0),"연장·야간·휴일 수당은 시간 수도 명세서에 적어야 하니 시간 열 지정 필요 / ",""))=0,"✔",("⚠ "&amp;IF(AND(F192&lt;&gt;"",F192&lt;&gt;0),"계산 총지급과 대장 총지급이 다릅니다 / ","")&amp;IF(AND(I192&lt;&gt;"",I192&lt;&gt;0),"계산 총공제와 대장 총공제가 다릅니다 / ","")&amp;IF(J192&lt;0,"실수령액이 음수입니다 / ","")&amp;IF(COUNTIF(직원목록!$D$7:$D$306,B192)&gt;1,"같은 이름이 둘 이상 — 미리보기는 첫 번째만 보입니다 / ","")&amp;IF(AND(C192&lt;&gt;"",COUNTIF(직원목록!$C$7:$C$306,C192)&gt;1),"사번 중복 / ","")&amp;IF(D192=0,"총지급이 0원 — 머리글 매칭 확인 / ","")&amp;IF(AND(설정!$B$17&lt;&gt;"",설정!$C$17="",OR(ISNUMBER(FIND("연장",설정!$B$17)),ISNUMBER(FIND("야간",설정!$B$17)),ISNUMBER(FIND("휴일",설정!$B$17))),INDEX(직원목록!$F$7:$F$306,MATCH(180,직원목록!$B$7:$B$306,0))&gt;0),"연장·야간·휴일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","")&amp;IF(AND(설정!$B$24&lt;&gt;"",설정!$C$24="",OR(ISNUMBER(FIND("연장",설정!$B$24)),ISNUMBER(FIND("야간",설정!$B$24)),ISNUMBER(FIND("휴일",설정!$B$24))),INDEX(직원목록!$M$7:$M$306,MATCH(180,직원목록!$B$7:$B$306,0))&gt;0),"연장·야간·휴일 수당은 시간 수도 명세서에 적어야 하니 시간 열 지정 필요 / ",""))))</f>
        <v/>
      </c>
    </row>
    <row r="193">
      <c r="A193" s="26">
        <f>IF(IFERROR(MATCH(181,직원목록!$B$7:$B$306,0),0)=0,"",181)</f>
        <v/>
      </c>
      <c r="B193" s="2">
        <f>IF($A193="","",IFERROR(INDEX(직원목록!$D$7:$D$306,MATCH(181,직원목록!$B$7:$B$306,0)),""))</f>
        <v/>
      </c>
      <c r="C193" s="2">
        <f>IF($A193="","",IFERROR(INDEX(직원목록!$C$7:$C$306,MATCH(181,직원목록!$B$7:$B$306,0)),""))</f>
        <v/>
      </c>
      <c r="D193" s="27">
        <f>IF($A193="","",IFERROR(INDEX(직원목록!$V$7:$V$306,MATCH(181,직원목록!$B$7:$B$306,0)),""))</f>
        <v/>
      </c>
      <c r="E193" s="27">
        <f>IF($A193="","",IFERROR(INDEX(직원목록!$AG$7:$AG$306,MATCH(181,직원목록!$B$7:$B$306,0)),""))</f>
        <v/>
      </c>
      <c r="F193" s="27">
        <f>IF(OR($A193="",E193=""),"",D193-E193)</f>
        <v/>
      </c>
      <c r="G193" s="27">
        <f>IF($A193="","",IFERROR(INDEX(직원목록!$AE$7:$AE$306,MATCH(181,직원목록!$B$7:$B$306,0)),""))</f>
        <v/>
      </c>
      <c r="H193" s="27">
        <f>IF($A193="","",IFERROR(INDEX(직원목록!$AH$7:$AH$306,MATCH(181,직원목록!$B$7:$B$306,0)),""))</f>
        <v/>
      </c>
      <c r="I193" s="27">
        <f>IF(OR($A193="",H193=""),"",G193-H193)</f>
        <v/>
      </c>
      <c r="J193" s="27">
        <f>IF($A193="","",IFERROR(INDEX(직원목록!$AF$7:$AF$306,MATCH(181,직원목록!$B$7:$B$306,0)),""))</f>
        <v/>
      </c>
      <c r="K193" s="27">
        <f>IF($A193="","",IFERROR(INDEX(직원목록!$AI$7:$AI$306,MATCH(181,직원목록!$B$7:$B$306,0)),""))</f>
        <v/>
      </c>
      <c r="L193" s="8">
        <f>IF($A193="","",IF(LEN(IF(AND(F193&lt;&gt;"",F193&lt;&gt;0),"계산 총지급과 대장 총지급이 다릅니다 / ","")&amp;IF(AND(I193&lt;&gt;"",I193&lt;&gt;0),"계산 총공제와 대장 총공제가 다릅니다 / ","")&amp;IF(J193&lt;0,"실수령액이 음수입니다 / ","")&amp;IF(COUNTIF(직원목록!$D$7:$D$306,B193)&gt;1,"같은 이름이 둘 이상 — 미리보기는 첫 번째만 보입니다 / ","")&amp;IF(AND(C193&lt;&gt;"",COUNTIF(직원목록!$C$7:$C$306,C193)&gt;1),"사번 중복 / ","")&amp;IF(D193=0,"총지급이 0원 — 머리글 매칭 확인 / ","")&amp;IF(AND(설정!$B$17&lt;&gt;"",설정!$C$17="",OR(ISNUMBER(FIND("연장",설정!$B$17)),ISNUMBER(FIND("야간",설정!$B$17)),ISNUMBER(FIND("휴일",설정!$B$17))),INDEX(직원목록!$F$7:$F$306,MATCH(181,직원목록!$B$7:$B$306,0))&gt;0),"연장·야간·휴일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","")&amp;IF(AND(설정!$B$24&lt;&gt;"",설정!$C$24="",OR(ISNUMBER(FIND("연장",설정!$B$24)),ISNUMBER(FIND("야간",설정!$B$24)),ISNUMBER(FIND("휴일",설정!$B$24))),INDEX(직원목록!$M$7:$M$306,MATCH(181,직원목록!$B$7:$B$306,0))&gt;0),"연장·야간·휴일 수당은 시간 수도 명세서에 적어야 하니 시간 열 지정 필요 / ",""))=0,"✔",("⚠ "&amp;IF(AND(F193&lt;&gt;"",F193&lt;&gt;0),"계산 총지급과 대장 총지급이 다릅니다 / ","")&amp;IF(AND(I193&lt;&gt;"",I193&lt;&gt;0),"계산 총공제와 대장 총공제가 다릅니다 / ","")&amp;IF(J193&lt;0,"실수령액이 음수입니다 / ","")&amp;IF(COUNTIF(직원목록!$D$7:$D$306,B193)&gt;1,"같은 이름이 둘 이상 — 미리보기는 첫 번째만 보입니다 / ","")&amp;IF(AND(C193&lt;&gt;"",COUNTIF(직원목록!$C$7:$C$306,C193)&gt;1),"사번 중복 / ","")&amp;IF(D193=0,"총지급이 0원 — 머리글 매칭 확인 / ","")&amp;IF(AND(설정!$B$17&lt;&gt;"",설정!$C$17="",OR(ISNUMBER(FIND("연장",설정!$B$17)),ISNUMBER(FIND("야간",설정!$B$17)),ISNUMBER(FIND("휴일",설정!$B$17))),INDEX(직원목록!$F$7:$F$306,MATCH(181,직원목록!$B$7:$B$306,0))&gt;0),"연장·야간·휴일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","")&amp;IF(AND(설정!$B$24&lt;&gt;"",설정!$C$24="",OR(ISNUMBER(FIND("연장",설정!$B$24)),ISNUMBER(FIND("야간",설정!$B$24)),ISNUMBER(FIND("휴일",설정!$B$24))),INDEX(직원목록!$M$7:$M$306,MATCH(181,직원목록!$B$7:$B$306,0))&gt;0),"연장·야간·휴일 수당은 시간 수도 명세서에 적어야 하니 시간 열 지정 필요 / ",""))))</f>
        <v/>
      </c>
    </row>
    <row r="194">
      <c r="A194" s="26">
        <f>IF(IFERROR(MATCH(182,직원목록!$B$7:$B$306,0),0)=0,"",182)</f>
        <v/>
      </c>
      <c r="B194" s="2">
        <f>IF($A194="","",IFERROR(INDEX(직원목록!$D$7:$D$306,MATCH(182,직원목록!$B$7:$B$306,0)),""))</f>
        <v/>
      </c>
      <c r="C194" s="2">
        <f>IF($A194="","",IFERROR(INDEX(직원목록!$C$7:$C$306,MATCH(182,직원목록!$B$7:$B$306,0)),""))</f>
        <v/>
      </c>
      <c r="D194" s="27">
        <f>IF($A194="","",IFERROR(INDEX(직원목록!$V$7:$V$306,MATCH(182,직원목록!$B$7:$B$306,0)),""))</f>
        <v/>
      </c>
      <c r="E194" s="27">
        <f>IF($A194="","",IFERROR(INDEX(직원목록!$AG$7:$AG$306,MATCH(182,직원목록!$B$7:$B$306,0)),""))</f>
        <v/>
      </c>
      <c r="F194" s="27">
        <f>IF(OR($A194="",E194=""),"",D194-E194)</f>
        <v/>
      </c>
      <c r="G194" s="27">
        <f>IF($A194="","",IFERROR(INDEX(직원목록!$AE$7:$AE$306,MATCH(182,직원목록!$B$7:$B$306,0)),""))</f>
        <v/>
      </c>
      <c r="H194" s="27">
        <f>IF($A194="","",IFERROR(INDEX(직원목록!$AH$7:$AH$306,MATCH(182,직원목록!$B$7:$B$306,0)),""))</f>
        <v/>
      </c>
      <c r="I194" s="27">
        <f>IF(OR($A194="",H194=""),"",G194-H194)</f>
        <v/>
      </c>
      <c r="J194" s="27">
        <f>IF($A194="","",IFERROR(INDEX(직원목록!$AF$7:$AF$306,MATCH(182,직원목록!$B$7:$B$306,0)),""))</f>
        <v/>
      </c>
      <c r="K194" s="27">
        <f>IF($A194="","",IFERROR(INDEX(직원목록!$AI$7:$AI$306,MATCH(182,직원목록!$B$7:$B$306,0)),""))</f>
        <v/>
      </c>
      <c r="L194" s="8">
        <f>IF($A194="","",IF(LEN(IF(AND(F194&lt;&gt;"",F194&lt;&gt;0),"계산 총지급과 대장 총지급이 다릅니다 / ","")&amp;IF(AND(I194&lt;&gt;"",I194&lt;&gt;0),"계산 총공제와 대장 총공제가 다릅니다 / ","")&amp;IF(J194&lt;0,"실수령액이 음수입니다 / ","")&amp;IF(COUNTIF(직원목록!$D$7:$D$306,B194)&gt;1,"같은 이름이 둘 이상 — 미리보기는 첫 번째만 보입니다 / ","")&amp;IF(AND(C194&lt;&gt;"",COUNTIF(직원목록!$C$7:$C$306,C194)&gt;1),"사번 중복 / ","")&amp;IF(D194=0,"총지급이 0원 — 머리글 매칭 확인 / ","")&amp;IF(AND(설정!$B$17&lt;&gt;"",설정!$C$17="",OR(ISNUMBER(FIND("연장",설정!$B$17)),ISNUMBER(FIND("야간",설정!$B$17)),ISNUMBER(FIND("휴일",설정!$B$17))),INDEX(직원목록!$F$7:$F$306,MATCH(182,직원목록!$B$7:$B$306,0))&gt;0),"연장·야간·휴일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","")&amp;IF(AND(설정!$B$24&lt;&gt;"",설정!$C$24="",OR(ISNUMBER(FIND("연장",설정!$B$24)),ISNUMBER(FIND("야간",설정!$B$24)),ISNUMBER(FIND("휴일",설정!$B$24))),INDEX(직원목록!$M$7:$M$306,MATCH(182,직원목록!$B$7:$B$306,0))&gt;0),"연장·야간·휴일 수당은 시간 수도 명세서에 적어야 하니 시간 열 지정 필요 / ",""))=0,"✔",("⚠ "&amp;IF(AND(F194&lt;&gt;"",F194&lt;&gt;0),"계산 총지급과 대장 총지급이 다릅니다 / ","")&amp;IF(AND(I194&lt;&gt;"",I194&lt;&gt;0),"계산 총공제와 대장 총공제가 다릅니다 / ","")&amp;IF(J194&lt;0,"실수령액이 음수입니다 / ","")&amp;IF(COUNTIF(직원목록!$D$7:$D$306,B194)&gt;1,"같은 이름이 둘 이상 — 미리보기는 첫 번째만 보입니다 / ","")&amp;IF(AND(C194&lt;&gt;"",COUNTIF(직원목록!$C$7:$C$306,C194)&gt;1),"사번 중복 / ","")&amp;IF(D194=0,"총지급이 0원 — 머리글 매칭 확인 / ","")&amp;IF(AND(설정!$B$17&lt;&gt;"",설정!$C$17="",OR(ISNUMBER(FIND("연장",설정!$B$17)),ISNUMBER(FIND("야간",설정!$B$17)),ISNUMBER(FIND("휴일",설정!$B$17))),INDEX(직원목록!$F$7:$F$306,MATCH(182,직원목록!$B$7:$B$306,0))&gt;0),"연장·야간·휴일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","")&amp;IF(AND(설정!$B$24&lt;&gt;"",설정!$C$24="",OR(ISNUMBER(FIND("연장",설정!$B$24)),ISNUMBER(FIND("야간",설정!$B$24)),ISNUMBER(FIND("휴일",설정!$B$24))),INDEX(직원목록!$M$7:$M$306,MATCH(182,직원목록!$B$7:$B$306,0))&gt;0),"연장·야간·휴일 수당은 시간 수도 명세서에 적어야 하니 시간 열 지정 필요 / ",""))))</f>
        <v/>
      </c>
    </row>
    <row r="195">
      <c r="A195" s="26">
        <f>IF(IFERROR(MATCH(183,직원목록!$B$7:$B$306,0),0)=0,"",183)</f>
        <v/>
      </c>
      <c r="B195" s="2">
        <f>IF($A195="","",IFERROR(INDEX(직원목록!$D$7:$D$306,MATCH(183,직원목록!$B$7:$B$306,0)),""))</f>
        <v/>
      </c>
      <c r="C195" s="2">
        <f>IF($A195="","",IFERROR(INDEX(직원목록!$C$7:$C$306,MATCH(183,직원목록!$B$7:$B$306,0)),""))</f>
        <v/>
      </c>
      <c r="D195" s="27">
        <f>IF($A195="","",IFERROR(INDEX(직원목록!$V$7:$V$306,MATCH(183,직원목록!$B$7:$B$306,0)),""))</f>
        <v/>
      </c>
      <c r="E195" s="27">
        <f>IF($A195="","",IFERROR(INDEX(직원목록!$AG$7:$AG$306,MATCH(183,직원목록!$B$7:$B$306,0)),""))</f>
        <v/>
      </c>
      <c r="F195" s="27">
        <f>IF(OR($A195="",E195=""),"",D195-E195)</f>
        <v/>
      </c>
      <c r="G195" s="27">
        <f>IF($A195="","",IFERROR(INDEX(직원목록!$AE$7:$AE$306,MATCH(183,직원목록!$B$7:$B$306,0)),""))</f>
        <v/>
      </c>
      <c r="H195" s="27">
        <f>IF($A195="","",IFERROR(INDEX(직원목록!$AH$7:$AH$306,MATCH(183,직원목록!$B$7:$B$306,0)),""))</f>
        <v/>
      </c>
      <c r="I195" s="27">
        <f>IF(OR($A195="",H195=""),"",G195-H195)</f>
        <v/>
      </c>
      <c r="J195" s="27">
        <f>IF($A195="","",IFERROR(INDEX(직원목록!$AF$7:$AF$306,MATCH(183,직원목록!$B$7:$B$306,0)),""))</f>
        <v/>
      </c>
      <c r="K195" s="27">
        <f>IF($A195="","",IFERROR(INDEX(직원목록!$AI$7:$AI$306,MATCH(183,직원목록!$B$7:$B$306,0)),""))</f>
        <v/>
      </c>
      <c r="L195" s="8">
        <f>IF($A195="","",IF(LEN(IF(AND(F195&lt;&gt;"",F195&lt;&gt;0),"계산 총지급과 대장 총지급이 다릅니다 / ","")&amp;IF(AND(I195&lt;&gt;"",I195&lt;&gt;0),"계산 총공제와 대장 총공제가 다릅니다 / ","")&amp;IF(J195&lt;0,"실수령액이 음수입니다 / ","")&amp;IF(COUNTIF(직원목록!$D$7:$D$306,B195)&gt;1,"같은 이름이 둘 이상 — 미리보기는 첫 번째만 보입니다 / ","")&amp;IF(AND(C195&lt;&gt;"",COUNTIF(직원목록!$C$7:$C$306,C195)&gt;1),"사번 중복 / ","")&amp;IF(D195=0,"총지급이 0원 — 머리글 매칭 확인 / ","")&amp;IF(AND(설정!$B$17&lt;&gt;"",설정!$C$17="",OR(ISNUMBER(FIND("연장",설정!$B$17)),ISNUMBER(FIND("야간",설정!$B$17)),ISNUMBER(FIND("휴일",설정!$B$17))),INDEX(직원목록!$F$7:$F$306,MATCH(183,직원목록!$B$7:$B$306,0))&gt;0),"연장·야간·휴일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","")&amp;IF(AND(설정!$B$24&lt;&gt;"",설정!$C$24="",OR(ISNUMBER(FIND("연장",설정!$B$24)),ISNUMBER(FIND("야간",설정!$B$24)),ISNUMBER(FIND("휴일",설정!$B$24))),INDEX(직원목록!$M$7:$M$306,MATCH(183,직원목록!$B$7:$B$306,0))&gt;0),"연장·야간·휴일 수당은 시간 수도 명세서에 적어야 하니 시간 열 지정 필요 / ",""))=0,"✔",("⚠ "&amp;IF(AND(F195&lt;&gt;"",F195&lt;&gt;0),"계산 총지급과 대장 총지급이 다릅니다 / ","")&amp;IF(AND(I195&lt;&gt;"",I195&lt;&gt;0),"계산 총공제와 대장 총공제가 다릅니다 / ","")&amp;IF(J195&lt;0,"실수령액이 음수입니다 / ","")&amp;IF(COUNTIF(직원목록!$D$7:$D$306,B195)&gt;1,"같은 이름이 둘 이상 — 미리보기는 첫 번째만 보입니다 / ","")&amp;IF(AND(C195&lt;&gt;"",COUNTIF(직원목록!$C$7:$C$306,C195)&gt;1),"사번 중복 / ","")&amp;IF(D195=0,"총지급이 0원 — 머리글 매칭 확인 / ","")&amp;IF(AND(설정!$B$17&lt;&gt;"",설정!$C$17="",OR(ISNUMBER(FIND("연장",설정!$B$17)),ISNUMBER(FIND("야간",설정!$B$17)),ISNUMBER(FIND("휴일",설정!$B$17))),INDEX(직원목록!$F$7:$F$306,MATCH(183,직원목록!$B$7:$B$306,0))&gt;0),"연장·야간·휴일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","")&amp;IF(AND(설정!$B$24&lt;&gt;"",설정!$C$24="",OR(ISNUMBER(FIND("연장",설정!$B$24)),ISNUMBER(FIND("야간",설정!$B$24)),ISNUMBER(FIND("휴일",설정!$B$24))),INDEX(직원목록!$M$7:$M$306,MATCH(183,직원목록!$B$7:$B$306,0))&gt;0),"연장·야간·휴일 수당은 시간 수도 명세서에 적어야 하니 시간 열 지정 필요 / ",""))))</f>
        <v/>
      </c>
    </row>
    <row r="196">
      <c r="A196" s="26">
        <f>IF(IFERROR(MATCH(184,직원목록!$B$7:$B$306,0),0)=0,"",184)</f>
        <v/>
      </c>
      <c r="B196" s="2">
        <f>IF($A196="","",IFERROR(INDEX(직원목록!$D$7:$D$306,MATCH(184,직원목록!$B$7:$B$306,0)),""))</f>
        <v/>
      </c>
      <c r="C196" s="2">
        <f>IF($A196="","",IFERROR(INDEX(직원목록!$C$7:$C$306,MATCH(184,직원목록!$B$7:$B$306,0)),""))</f>
        <v/>
      </c>
      <c r="D196" s="27">
        <f>IF($A196="","",IFERROR(INDEX(직원목록!$V$7:$V$306,MATCH(184,직원목록!$B$7:$B$306,0)),""))</f>
        <v/>
      </c>
      <c r="E196" s="27">
        <f>IF($A196="","",IFERROR(INDEX(직원목록!$AG$7:$AG$306,MATCH(184,직원목록!$B$7:$B$306,0)),""))</f>
        <v/>
      </c>
      <c r="F196" s="27">
        <f>IF(OR($A196="",E196=""),"",D196-E196)</f>
        <v/>
      </c>
      <c r="G196" s="27">
        <f>IF($A196="","",IFERROR(INDEX(직원목록!$AE$7:$AE$306,MATCH(184,직원목록!$B$7:$B$306,0)),""))</f>
        <v/>
      </c>
      <c r="H196" s="27">
        <f>IF($A196="","",IFERROR(INDEX(직원목록!$AH$7:$AH$306,MATCH(184,직원목록!$B$7:$B$306,0)),""))</f>
        <v/>
      </c>
      <c r="I196" s="27">
        <f>IF(OR($A196="",H196=""),"",G196-H196)</f>
        <v/>
      </c>
      <c r="J196" s="27">
        <f>IF($A196="","",IFERROR(INDEX(직원목록!$AF$7:$AF$306,MATCH(184,직원목록!$B$7:$B$306,0)),""))</f>
        <v/>
      </c>
      <c r="K196" s="27">
        <f>IF($A196="","",IFERROR(INDEX(직원목록!$AI$7:$AI$306,MATCH(184,직원목록!$B$7:$B$306,0)),""))</f>
        <v/>
      </c>
      <c r="L196" s="8">
        <f>IF($A196="","",IF(LEN(IF(AND(F196&lt;&gt;"",F196&lt;&gt;0),"계산 총지급과 대장 총지급이 다릅니다 / ","")&amp;IF(AND(I196&lt;&gt;"",I196&lt;&gt;0),"계산 총공제와 대장 총공제가 다릅니다 / ","")&amp;IF(J196&lt;0,"실수령액이 음수입니다 / ","")&amp;IF(COUNTIF(직원목록!$D$7:$D$306,B196)&gt;1,"같은 이름이 둘 이상 — 미리보기는 첫 번째만 보입니다 / ","")&amp;IF(AND(C196&lt;&gt;"",COUNTIF(직원목록!$C$7:$C$306,C196)&gt;1),"사번 중복 / ","")&amp;IF(D196=0,"총지급이 0원 — 머리글 매칭 확인 / ","")&amp;IF(AND(설정!$B$17&lt;&gt;"",설정!$C$17="",OR(ISNUMBER(FIND("연장",설정!$B$17)),ISNUMBER(FIND("야간",설정!$B$17)),ISNUMBER(FIND("휴일",설정!$B$17))),INDEX(직원목록!$F$7:$F$306,MATCH(184,직원목록!$B$7:$B$306,0))&gt;0),"연장·야간·휴일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","")&amp;IF(AND(설정!$B$24&lt;&gt;"",설정!$C$24="",OR(ISNUMBER(FIND("연장",설정!$B$24)),ISNUMBER(FIND("야간",설정!$B$24)),ISNUMBER(FIND("휴일",설정!$B$24))),INDEX(직원목록!$M$7:$M$306,MATCH(184,직원목록!$B$7:$B$306,0))&gt;0),"연장·야간·휴일 수당은 시간 수도 명세서에 적어야 하니 시간 열 지정 필요 / ",""))=0,"✔",("⚠ "&amp;IF(AND(F196&lt;&gt;"",F196&lt;&gt;0),"계산 총지급과 대장 총지급이 다릅니다 / ","")&amp;IF(AND(I196&lt;&gt;"",I196&lt;&gt;0),"계산 총공제와 대장 총공제가 다릅니다 / ","")&amp;IF(J196&lt;0,"실수령액이 음수입니다 / ","")&amp;IF(COUNTIF(직원목록!$D$7:$D$306,B196)&gt;1,"같은 이름이 둘 이상 — 미리보기는 첫 번째만 보입니다 / ","")&amp;IF(AND(C196&lt;&gt;"",COUNTIF(직원목록!$C$7:$C$306,C196)&gt;1),"사번 중복 / ","")&amp;IF(D196=0,"총지급이 0원 — 머리글 매칭 확인 / ","")&amp;IF(AND(설정!$B$17&lt;&gt;"",설정!$C$17="",OR(ISNUMBER(FIND("연장",설정!$B$17)),ISNUMBER(FIND("야간",설정!$B$17)),ISNUMBER(FIND("휴일",설정!$B$17))),INDEX(직원목록!$F$7:$F$306,MATCH(184,직원목록!$B$7:$B$306,0))&gt;0),"연장·야간·휴일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","")&amp;IF(AND(설정!$B$24&lt;&gt;"",설정!$C$24="",OR(ISNUMBER(FIND("연장",설정!$B$24)),ISNUMBER(FIND("야간",설정!$B$24)),ISNUMBER(FIND("휴일",설정!$B$24))),INDEX(직원목록!$M$7:$M$306,MATCH(184,직원목록!$B$7:$B$306,0))&gt;0),"연장·야간·휴일 수당은 시간 수도 명세서에 적어야 하니 시간 열 지정 필요 / ",""))))</f>
        <v/>
      </c>
    </row>
    <row r="197">
      <c r="A197" s="26">
        <f>IF(IFERROR(MATCH(185,직원목록!$B$7:$B$306,0),0)=0,"",185)</f>
        <v/>
      </c>
      <c r="B197" s="2">
        <f>IF($A197="","",IFERROR(INDEX(직원목록!$D$7:$D$306,MATCH(185,직원목록!$B$7:$B$306,0)),""))</f>
        <v/>
      </c>
      <c r="C197" s="2">
        <f>IF($A197="","",IFERROR(INDEX(직원목록!$C$7:$C$306,MATCH(185,직원목록!$B$7:$B$306,0)),""))</f>
        <v/>
      </c>
      <c r="D197" s="27">
        <f>IF($A197="","",IFERROR(INDEX(직원목록!$V$7:$V$306,MATCH(185,직원목록!$B$7:$B$306,0)),""))</f>
        <v/>
      </c>
      <c r="E197" s="27">
        <f>IF($A197="","",IFERROR(INDEX(직원목록!$AG$7:$AG$306,MATCH(185,직원목록!$B$7:$B$306,0)),""))</f>
        <v/>
      </c>
      <c r="F197" s="27">
        <f>IF(OR($A197="",E197=""),"",D197-E197)</f>
        <v/>
      </c>
      <c r="G197" s="27">
        <f>IF($A197="","",IFERROR(INDEX(직원목록!$AE$7:$AE$306,MATCH(185,직원목록!$B$7:$B$306,0)),""))</f>
        <v/>
      </c>
      <c r="H197" s="27">
        <f>IF($A197="","",IFERROR(INDEX(직원목록!$AH$7:$AH$306,MATCH(185,직원목록!$B$7:$B$306,0)),""))</f>
        <v/>
      </c>
      <c r="I197" s="27">
        <f>IF(OR($A197="",H197=""),"",G197-H197)</f>
        <v/>
      </c>
      <c r="J197" s="27">
        <f>IF($A197="","",IFERROR(INDEX(직원목록!$AF$7:$AF$306,MATCH(185,직원목록!$B$7:$B$306,0)),""))</f>
        <v/>
      </c>
      <c r="K197" s="27">
        <f>IF($A197="","",IFERROR(INDEX(직원목록!$AI$7:$AI$306,MATCH(185,직원목록!$B$7:$B$306,0)),""))</f>
        <v/>
      </c>
      <c r="L197" s="8">
        <f>IF($A197="","",IF(LEN(IF(AND(F197&lt;&gt;"",F197&lt;&gt;0),"계산 총지급과 대장 총지급이 다릅니다 / ","")&amp;IF(AND(I197&lt;&gt;"",I197&lt;&gt;0),"계산 총공제와 대장 총공제가 다릅니다 / ","")&amp;IF(J197&lt;0,"실수령액이 음수입니다 / ","")&amp;IF(COUNTIF(직원목록!$D$7:$D$306,B197)&gt;1,"같은 이름이 둘 이상 — 미리보기는 첫 번째만 보입니다 / ","")&amp;IF(AND(C197&lt;&gt;"",COUNTIF(직원목록!$C$7:$C$306,C197)&gt;1),"사번 중복 / ","")&amp;IF(D197=0,"총지급이 0원 — 머리글 매칭 확인 / ","")&amp;IF(AND(설정!$B$17&lt;&gt;"",설정!$C$17="",OR(ISNUMBER(FIND("연장",설정!$B$17)),ISNUMBER(FIND("야간",설정!$B$17)),ISNUMBER(FIND("휴일",설정!$B$17))),INDEX(직원목록!$F$7:$F$306,MATCH(185,직원목록!$B$7:$B$306,0))&gt;0),"연장·야간·휴일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","")&amp;IF(AND(설정!$B$24&lt;&gt;"",설정!$C$24="",OR(ISNUMBER(FIND("연장",설정!$B$24)),ISNUMBER(FIND("야간",설정!$B$24)),ISNUMBER(FIND("휴일",설정!$B$24))),INDEX(직원목록!$M$7:$M$306,MATCH(185,직원목록!$B$7:$B$306,0))&gt;0),"연장·야간·휴일 수당은 시간 수도 명세서에 적어야 하니 시간 열 지정 필요 / ",""))=0,"✔",("⚠ "&amp;IF(AND(F197&lt;&gt;"",F197&lt;&gt;0),"계산 총지급과 대장 총지급이 다릅니다 / ","")&amp;IF(AND(I197&lt;&gt;"",I197&lt;&gt;0),"계산 총공제와 대장 총공제가 다릅니다 / ","")&amp;IF(J197&lt;0,"실수령액이 음수입니다 / ","")&amp;IF(COUNTIF(직원목록!$D$7:$D$306,B197)&gt;1,"같은 이름이 둘 이상 — 미리보기는 첫 번째만 보입니다 / ","")&amp;IF(AND(C197&lt;&gt;"",COUNTIF(직원목록!$C$7:$C$306,C197)&gt;1),"사번 중복 / ","")&amp;IF(D197=0,"총지급이 0원 — 머리글 매칭 확인 / ","")&amp;IF(AND(설정!$B$17&lt;&gt;"",설정!$C$17="",OR(ISNUMBER(FIND("연장",설정!$B$17)),ISNUMBER(FIND("야간",설정!$B$17)),ISNUMBER(FIND("휴일",설정!$B$17))),INDEX(직원목록!$F$7:$F$306,MATCH(185,직원목록!$B$7:$B$306,0))&gt;0),"연장·야간·휴일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","")&amp;IF(AND(설정!$B$24&lt;&gt;"",설정!$C$24="",OR(ISNUMBER(FIND("연장",설정!$B$24)),ISNUMBER(FIND("야간",설정!$B$24)),ISNUMBER(FIND("휴일",설정!$B$24))),INDEX(직원목록!$M$7:$M$306,MATCH(185,직원목록!$B$7:$B$306,0))&gt;0),"연장·야간·휴일 수당은 시간 수도 명세서에 적어야 하니 시간 열 지정 필요 / ",""))))</f>
        <v/>
      </c>
    </row>
    <row r="198">
      <c r="A198" s="26">
        <f>IF(IFERROR(MATCH(186,직원목록!$B$7:$B$306,0),0)=0,"",186)</f>
        <v/>
      </c>
      <c r="B198" s="2">
        <f>IF($A198="","",IFERROR(INDEX(직원목록!$D$7:$D$306,MATCH(186,직원목록!$B$7:$B$306,0)),""))</f>
        <v/>
      </c>
      <c r="C198" s="2">
        <f>IF($A198="","",IFERROR(INDEX(직원목록!$C$7:$C$306,MATCH(186,직원목록!$B$7:$B$306,0)),""))</f>
        <v/>
      </c>
      <c r="D198" s="27">
        <f>IF($A198="","",IFERROR(INDEX(직원목록!$V$7:$V$306,MATCH(186,직원목록!$B$7:$B$306,0)),""))</f>
        <v/>
      </c>
      <c r="E198" s="27">
        <f>IF($A198="","",IFERROR(INDEX(직원목록!$AG$7:$AG$306,MATCH(186,직원목록!$B$7:$B$306,0)),""))</f>
        <v/>
      </c>
      <c r="F198" s="27">
        <f>IF(OR($A198="",E198=""),"",D198-E198)</f>
        <v/>
      </c>
      <c r="G198" s="27">
        <f>IF($A198="","",IFERROR(INDEX(직원목록!$AE$7:$AE$306,MATCH(186,직원목록!$B$7:$B$306,0)),""))</f>
        <v/>
      </c>
      <c r="H198" s="27">
        <f>IF($A198="","",IFERROR(INDEX(직원목록!$AH$7:$AH$306,MATCH(186,직원목록!$B$7:$B$306,0)),""))</f>
        <v/>
      </c>
      <c r="I198" s="27">
        <f>IF(OR($A198="",H198=""),"",G198-H198)</f>
        <v/>
      </c>
      <c r="J198" s="27">
        <f>IF($A198="","",IFERROR(INDEX(직원목록!$AF$7:$AF$306,MATCH(186,직원목록!$B$7:$B$306,0)),""))</f>
        <v/>
      </c>
      <c r="K198" s="27">
        <f>IF($A198="","",IFERROR(INDEX(직원목록!$AI$7:$AI$306,MATCH(186,직원목록!$B$7:$B$306,0)),""))</f>
        <v/>
      </c>
      <c r="L198" s="8">
        <f>IF($A198="","",IF(LEN(IF(AND(F198&lt;&gt;"",F198&lt;&gt;0),"계산 총지급과 대장 총지급이 다릅니다 / ","")&amp;IF(AND(I198&lt;&gt;"",I198&lt;&gt;0),"계산 총공제와 대장 총공제가 다릅니다 / ","")&amp;IF(J198&lt;0,"실수령액이 음수입니다 / ","")&amp;IF(COUNTIF(직원목록!$D$7:$D$306,B198)&gt;1,"같은 이름이 둘 이상 — 미리보기는 첫 번째만 보입니다 / ","")&amp;IF(AND(C198&lt;&gt;"",COUNTIF(직원목록!$C$7:$C$306,C198)&gt;1),"사번 중복 / ","")&amp;IF(D198=0,"총지급이 0원 — 머리글 매칭 확인 / ","")&amp;IF(AND(설정!$B$17&lt;&gt;"",설정!$C$17="",OR(ISNUMBER(FIND("연장",설정!$B$17)),ISNUMBER(FIND("야간",설정!$B$17)),ISNUMBER(FIND("휴일",설정!$B$17))),INDEX(직원목록!$F$7:$F$306,MATCH(186,직원목록!$B$7:$B$306,0))&gt;0),"연장·야간·휴일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","")&amp;IF(AND(설정!$B$24&lt;&gt;"",설정!$C$24="",OR(ISNUMBER(FIND("연장",설정!$B$24)),ISNUMBER(FIND("야간",설정!$B$24)),ISNUMBER(FIND("휴일",설정!$B$24))),INDEX(직원목록!$M$7:$M$306,MATCH(186,직원목록!$B$7:$B$306,0))&gt;0),"연장·야간·휴일 수당은 시간 수도 명세서에 적어야 하니 시간 열 지정 필요 / ",""))=0,"✔",("⚠ "&amp;IF(AND(F198&lt;&gt;"",F198&lt;&gt;0),"계산 총지급과 대장 총지급이 다릅니다 / ","")&amp;IF(AND(I198&lt;&gt;"",I198&lt;&gt;0),"계산 총공제와 대장 총공제가 다릅니다 / ","")&amp;IF(J198&lt;0,"실수령액이 음수입니다 / ","")&amp;IF(COUNTIF(직원목록!$D$7:$D$306,B198)&gt;1,"같은 이름이 둘 이상 — 미리보기는 첫 번째만 보입니다 / ","")&amp;IF(AND(C198&lt;&gt;"",COUNTIF(직원목록!$C$7:$C$306,C198)&gt;1),"사번 중복 / ","")&amp;IF(D198=0,"총지급이 0원 — 머리글 매칭 확인 / ","")&amp;IF(AND(설정!$B$17&lt;&gt;"",설정!$C$17="",OR(ISNUMBER(FIND("연장",설정!$B$17)),ISNUMBER(FIND("야간",설정!$B$17)),ISNUMBER(FIND("휴일",설정!$B$17))),INDEX(직원목록!$F$7:$F$306,MATCH(186,직원목록!$B$7:$B$306,0))&gt;0),"연장·야간·휴일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","")&amp;IF(AND(설정!$B$24&lt;&gt;"",설정!$C$24="",OR(ISNUMBER(FIND("연장",설정!$B$24)),ISNUMBER(FIND("야간",설정!$B$24)),ISNUMBER(FIND("휴일",설정!$B$24))),INDEX(직원목록!$M$7:$M$306,MATCH(186,직원목록!$B$7:$B$306,0))&gt;0),"연장·야간·휴일 수당은 시간 수도 명세서에 적어야 하니 시간 열 지정 필요 / ",""))))</f>
        <v/>
      </c>
    </row>
    <row r="199">
      <c r="A199" s="26">
        <f>IF(IFERROR(MATCH(187,직원목록!$B$7:$B$306,0),0)=0,"",187)</f>
        <v/>
      </c>
      <c r="B199" s="2">
        <f>IF($A199="","",IFERROR(INDEX(직원목록!$D$7:$D$306,MATCH(187,직원목록!$B$7:$B$306,0)),""))</f>
        <v/>
      </c>
      <c r="C199" s="2">
        <f>IF($A199="","",IFERROR(INDEX(직원목록!$C$7:$C$306,MATCH(187,직원목록!$B$7:$B$306,0)),""))</f>
        <v/>
      </c>
      <c r="D199" s="27">
        <f>IF($A199="","",IFERROR(INDEX(직원목록!$V$7:$V$306,MATCH(187,직원목록!$B$7:$B$306,0)),""))</f>
        <v/>
      </c>
      <c r="E199" s="27">
        <f>IF($A199="","",IFERROR(INDEX(직원목록!$AG$7:$AG$306,MATCH(187,직원목록!$B$7:$B$306,0)),""))</f>
        <v/>
      </c>
      <c r="F199" s="27">
        <f>IF(OR($A199="",E199=""),"",D199-E199)</f>
        <v/>
      </c>
      <c r="G199" s="27">
        <f>IF($A199="","",IFERROR(INDEX(직원목록!$AE$7:$AE$306,MATCH(187,직원목록!$B$7:$B$306,0)),""))</f>
        <v/>
      </c>
      <c r="H199" s="27">
        <f>IF($A199="","",IFERROR(INDEX(직원목록!$AH$7:$AH$306,MATCH(187,직원목록!$B$7:$B$306,0)),""))</f>
        <v/>
      </c>
      <c r="I199" s="27">
        <f>IF(OR($A199="",H199=""),"",G199-H199)</f>
        <v/>
      </c>
      <c r="J199" s="27">
        <f>IF($A199="","",IFERROR(INDEX(직원목록!$AF$7:$AF$306,MATCH(187,직원목록!$B$7:$B$306,0)),""))</f>
        <v/>
      </c>
      <c r="K199" s="27">
        <f>IF($A199="","",IFERROR(INDEX(직원목록!$AI$7:$AI$306,MATCH(187,직원목록!$B$7:$B$306,0)),""))</f>
        <v/>
      </c>
      <c r="L199" s="8">
        <f>IF($A199="","",IF(LEN(IF(AND(F199&lt;&gt;"",F199&lt;&gt;0),"계산 총지급과 대장 총지급이 다릅니다 / ","")&amp;IF(AND(I199&lt;&gt;"",I199&lt;&gt;0),"계산 총공제와 대장 총공제가 다릅니다 / ","")&amp;IF(J199&lt;0,"실수령액이 음수입니다 / ","")&amp;IF(COUNTIF(직원목록!$D$7:$D$306,B199)&gt;1,"같은 이름이 둘 이상 — 미리보기는 첫 번째만 보입니다 / ","")&amp;IF(AND(C199&lt;&gt;"",COUNTIF(직원목록!$C$7:$C$306,C199)&gt;1),"사번 중복 / ","")&amp;IF(D199=0,"총지급이 0원 — 머리글 매칭 확인 / ","")&amp;IF(AND(설정!$B$17&lt;&gt;"",설정!$C$17="",OR(ISNUMBER(FIND("연장",설정!$B$17)),ISNUMBER(FIND("야간",설정!$B$17)),ISNUMBER(FIND("휴일",설정!$B$17))),INDEX(직원목록!$F$7:$F$306,MATCH(187,직원목록!$B$7:$B$306,0))&gt;0),"연장·야간·휴일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","")&amp;IF(AND(설정!$B$24&lt;&gt;"",설정!$C$24="",OR(ISNUMBER(FIND("연장",설정!$B$24)),ISNUMBER(FIND("야간",설정!$B$24)),ISNUMBER(FIND("휴일",설정!$B$24))),INDEX(직원목록!$M$7:$M$306,MATCH(187,직원목록!$B$7:$B$306,0))&gt;0),"연장·야간·휴일 수당은 시간 수도 명세서에 적어야 하니 시간 열 지정 필요 / ",""))=0,"✔",("⚠ "&amp;IF(AND(F199&lt;&gt;"",F199&lt;&gt;0),"계산 총지급과 대장 총지급이 다릅니다 / ","")&amp;IF(AND(I199&lt;&gt;"",I199&lt;&gt;0),"계산 총공제와 대장 총공제가 다릅니다 / ","")&amp;IF(J199&lt;0,"실수령액이 음수입니다 / ","")&amp;IF(COUNTIF(직원목록!$D$7:$D$306,B199)&gt;1,"같은 이름이 둘 이상 — 미리보기는 첫 번째만 보입니다 / ","")&amp;IF(AND(C199&lt;&gt;"",COUNTIF(직원목록!$C$7:$C$306,C199)&gt;1),"사번 중복 / ","")&amp;IF(D199=0,"총지급이 0원 — 머리글 매칭 확인 / ","")&amp;IF(AND(설정!$B$17&lt;&gt;"",설정!$C$17="",OR(ISNUMBER(FIND("연장",설정!$B$17)),ISNUMBER(FIND("야간",설정!$B$17)),ISNUMBER(FIND("휴일",설정!$B$17))),INDEX(직원목록!$F$7:$F$306,MATCH(187,직원목록!$B$7:$B$306,0))&gt;0),"연장·야간·휴일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","")&amp;IF(AND(설정!$B$24&lt;&gt;"",설정!$C$24="",OR(ISNUMBER(FIND("연장",설정!$B$24)),ISNUMBER(FIND("야간",설정!$B$24)),ISNUMBER(FIND("휴일",설정!$B$24))),INDEX(직원목록!$M$7:$M$306,MATCH(187,직원목록!$B$7:$B$306,0))&gt;0),"연장·야간·휴일 수당은 시간 수도 명세서에 적어야 하니 시간 열 지정 필요 / ",""))))</f>
        <v/>
      </c>
    </row>
    <row r="200">
      <c r="A200" s="26">
        <f>IF(IFERROR(MATCH(188,직원목록!$B$7:$B$306,0),0)=0,"",188)</f>
        <v/>
      </c>
      <c r="B200" s="2">
        <f>IF($A200="","",IFERROR(INDEX(직원목록!$D$7:$D$306,MATCH(188,직원목록!$B$7:$B$306,0)),""))</f>
        <v/>
      </c>
      <c r="C200" s="2">
        <f>IF($A200="","",IFERROR(INDEX(직원목록!$C$7:$C$306,MATCH(188,직원목록!$B$7:$B$306,0)),""))</f>
        <v/>
      </c>
      <c r="D200" s="27">
        <f>IF($A200="","",IFERROR(INDEX(직원목록!$V$7:$V$306,MATCH(188,직원목록!$B$7:$B$306,0)),""))</f>
        <v/>
      </c>
      <c r="E200" s="27">
        <f>IF($A200="","",IFERROR(INDEX(직원목록!$AG$7:$AG$306,MATCH(188,직원목록!$B$7:$B$306,0)),""))</f>
        <v/>
      </c>
      <c r="F200" s="27">
        <f>IF(OR($A200="",E200=""),"",D200-E200)</f>
        <v/>
      </c>
      <c r="G200" s="27">
        <f>IF($A200="","",IFERROR(INDEX(직원목록!$AE$7:$AE$306,MATCH(188,직원목록!$B$7:$B$306,0)),""))</f>
        <v/>
      </c>
      <c r="H200" s="27">
        <f>IF($A200="","",IFERROR(INDEX(직원목록!$AH$7:$AH$306,MATCH(188,직원목록!$B$7:$B$306,0)),""))</f>
        <v/>
      </c>
      <c r="I200" s="27">
        <f>IF(OR($A200="",H200=""),"",G200-H200)</f>
        <v/>
      </c>
      <c r="J200" s="27">
        <f>IF($A200="","",IFERROR(INDEX(직원목록!$AF$7:$AF$306,MATCH(188,직원목록!$B$7:$B$306,0)),""))</f>
        <v/>
      </c>
      <c r="K200" s="27">
        <f>IF($A200="","",IFERROR(INDEX(직원목록!$AI$7:$AI$306,MATCH(188,직원목록!$B$7:$B$306,0)),""))</f>
        <v/>
      </c>
      <c r="L200" s="8">
        <f>IF($A200="","",IF(LEN(IF(AND(F200&lt;&gt;"",F200&lt;&gt;0),"계산 총지급과 대장 총지급이 다릅니다 / ","")&amp;IF(AND(I200&lt;&gt;"",I200&lt;&gt;0),"계산 총공제와 대장 총공제가 다릅니다 / ","")&amp;IF(J200&lt;0,"실수령액이 음수입니다 / ","")&amp;IF(COUNTIF(직원목록!$D$7:$D$306,B200)&gt;1,"같은 이름이 둘 이상 — 미리보기는 첫 번째만 보입니다 / ","")&amp;IF(AND(C200&lt;&gt;"",COUNTIF(직원목록!$C$7:$C$306,C200)&gt;1),"사번 중복 / ","")&amp;IF(D200=0,"총지급이 0원 — 머리글 매칭 확인 / ","")&amp;IF(AND(설정!$B$17&lt;&gt;"",설정!$C$17="",OR(ISNUMBER(FIND("연장",설정!$B$17)),ISNUMBER(FIND("야간",설정!$B$17)),ISNUMBER(FIND("휴일",설정!$B$17))),INDEX(직원목록!$F$7:$F$306,MATCH(188,직원목록!$B$7:$B$306,0))&gt;0),"연장·야간·휴일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","")&amp;IF(AND(설정!$B$24&lt;&gt;"",설정!$C$24="",OR(ISNUMBER(FIND("연장",설정!$B$24)),ISNUMBER(FIND("야간",설정!$B$24)),ISNUMBER(FIND("휴일",설정!$B$24))),INDEX(직원목록!$M$7:$M$306,MATCH(188,직원목록!$B$7:$B$306,0))&gt;0),"연장·야간·휴일 수당은 시간 수도 명세서에 적어야 하니 시간 열 지정 필요 / ",""))=0,"✔",("⚠ "&amp;IF(AND(F200&lt;&gt;"",F200&lt;&gt;0),"계산 총지급과 대장 총지급이 다릅니다 / ","")&amp;IF(AND(I200&lt;&gt;"",I200&lt;&gt;0),"계산 총공제와 대장 총공제가 다릅니다 / ","")&amp;IF(J200&lt;0,"실수령액이 음수입니다 / ","")&amp;IF(COUNTIF(직원목록!$D$7:$D$306,B200)&gt;1,"같은 이름이 둘 이상 — 미리보기는 첫 번째만 보입니다 / ","")&amp;IF(AND(C200&lt;&gt;"",COUNTIF(직원목록!$C$7:$C$306,C200)&gt;1),"사번 중복 / ","")&amp;IF(D200=0,"총지급이 0원 — 머리글 매칭 확인 / ","")&amp;IF(AND(설정!$B$17&lt;&gt;"",설정!$C$17="",OR(ISNUMBER(FIND("연장",설정!$B$17)),ISNUMBER(FIND("야간",설정!$B$17)),ISNUMBER(FIND("휴일",설정!$B$17))),INDEX(직원목록!$F$7:$F$306,MATCH(188,직원목록!$B$7:$B$306,0))&gt;0),"연장·야간·휴일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","")&amp;IF(AND(설정!$B$24&lt;&gt;"",설정!$C$24="",OR(ISNUMBER(FIND("연장",설정!$B$24)),ISNUMBER(FIND("야간",설정!$B$24)),ISNUMBER(FIND("휴일",설정!$B$24))),INDEX(직원목록!$M$7:$M$306,MATCH(188,직원목록!$B$7:$B$306,0))&gt;0),"연장·야간·휴일 수당은 시간 수도 명세서에 적어야 하니 시간 열 지정 필요 / ",""))))</f>
        <v/>
      </c>
    </row>
    <row r="201">
      <c r="A201" s="26">
        <f>IF(IFERROR(MATCH(189,직원목록!$B$7:$B$306,0),0)=0,"",189)</f>
        <v/>
      </c>
      <c r="B201" s="2">
        <f>IF($A201="","",IFERROR(INDEX(직원목록!$D$7:$D$306,MATCH(189,직원목록!$B$7:$B$306,0)),""))</f>
        <v/>
      </c>
      <c r="C201" s="2">
        <f>IF($A201="","",IFERROR(INDEX(직원목록!$C$7:$C$306,MATCH(189,직원목록!$B$7:$B$306,0)),""))</f>
        <v/>
      </c>
      <c r="D201" s="27">
        <f>IF($A201="","",IFERROR(INDEX(직원목록!$V$7:$V$306,MATCH(189,직원목록!$B$7:$B$306,0)),""))</f>
        <v/>
      </c>
      <c r="E201" s="27">
        <f>IF($A201="","",IFERROR(INDEX(직원목록!$AG$7:$AG$306,MATCH(189,직원목록!$B$7:$B$306,0)),""))</f>
        <v/>
      </c>
      <c r="F201" s="27">
        <f>IF(OR($A201="",E201=""),"",D201-E201)</f>
        <v/>
      </c>
      <c r="G201" s="27">
        <f>IF($A201="","",IFERROR(INDEX(직원목록!$AE$7:$AE$306,MATCH(189,직원목록!$B$7:$B$306,0)),""))</f>
        <v/>
      </c>
      <c r="H201" s="27">
        <f>IF($A201="","",IFERROR(INDEX(직원목록!$AH$7:$AH$306,MATCH(189,직원목록!$B$7:$B$306,0)),""))</f>
        <v/>
      </c>
      <c r="I201" s="27">
        <f>IF(OR($A201="",H201=""),"",G201-H201)</f>
        <v/>
      </c>
      <c r="J201" s="27">
        <f>IF($A201="","",IFERROR(INDEX(직원목록!$AF$7:$AF$306,MATCH(189,직원목록!$B$7:$B$306,0)),""))</f>
        <v/>
      </c>
      <c r="K201" s="27">
        <f>IF($A201="","",IFERROR(INDEX(직원목록!$AI$7:$AI$306,MATCH(189,직원목록!$B$7:$B$306,0)),""))</f>
        <v/>
      </c>
      <c r="L201" s="8">
        <f>IF($A201="","",IF(LEN(IF(AND(F201&lt;&gt;"",F201&lt;&gt;0),"계산 총지급과 대장 총지급이 다릅니다 / ","")&amp;IF(AND(I201&lt;&gt;"",I201&lt;&gt;0),"계산 총공제와 대장 총공제가 다릅니다 / ","")&amp;IF(J201&lt;0,"실수령액이 음수입니다 / ","")&amp;IF(COUNTIF(직원목록!$D$7:$D$306,B201)&gt;1,"같은 이름이 둘 이상 — 미리보기는 첫 번째만 보입니다 / ","")&amp;IF(AND(C201&lt;&gt;"",COUNTIF(직원목록!$C$7:$C$306,C201)&gt;1),"사번 중복 / ","")&amp;IF(D201=0,"총지급이 0원 — 머리글 매칭 확인 / ","")&amp;IF(AND(설정!$B$17&lt;&gt;"",설정!$C$17="",OR(ISNUMBER(FIND("연장",설정!$B$17)),ISNUMBER(FIND("야간",설정!$B$17)),ISNUMBER(FIND("휴일",설정!$B$17))),INDEX(직원목록!$F$7:$F$306,MATCH(189,직원목록!$B$7:$B$306,0))&gt;0),"연장·야간·휴일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","")&amp;IF(AND(설정!$B$24&lt;&gt;"",설정!$C$24="",OR(ISNUMBER(FIND("연장",설정!$B$24)),ISNUMBER(FIND("야간",설정!$B$24)),ISNUMBER(FIND("휴일",설정!$B$24))),INDEX(직원목록!$M$7:$M$306,MATCH(189,직원목록!$B$7:$B$306,0))&gt;0),"연장·야간·휴일 수당은 시간 수도 명세서에 적어야 하니 시간 열 지정 필요 / ",""))=0,"✔",("⚠ "&amp;IF(AND(F201&lt;&gt;"",F201&lt;&gt;0),"계산 총지급과 대장 총지급이 다릅니다 / ","")&amp;IF(AND(I201&lt;&gt;"",I201&lt;&gt;0),"계산 총공제와 대장 총공제가 다릅니다 / ","")&amp;IF(J201&lt;0,"실수령액이 음수입니다 / ","")&amp;IF(COUNTIF(직원목록!$D$7:$D$306,B201)&gt;1,"같은 이름이 둘 이상 — 미리보기는 첫 번째만 보입니다 / ","")&amp;IF(AND(C201&lt;&gt;"",COUNTIF(직원목록!$C$7:$C$306,C201)&gt;1),"사번 중복 / ","")&amp;IF(D201=0,"총지급이 0원 — 머리글 매칭 확인 / ","")&amp;IF(AND(설정!$B$17&lt;&gt;"",설정!$C$17="",OR(ISNUMBER(FIND("연장",설정!$B$17)),ISNUMBER(FIND("야간",설정!$B$17)),ISNUMBER(FIND("휴일",설정!$B$17))),INDEX(직원목록!$F$7:$F$306,MATCH(189,직원목록!$B$7:$B$306,0))&gt;0),"연장·야간·휴일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","")&amp;IF(AND(설정!$B$18&lt;&gt;"",설정!$C$18="",OR(ISNUMBER(FIND("연장",설정!$B$18)),ISNUMBER(FIND("야간",설정!$B$18)),ISNUMBER(FIND("휴일",설정!$B$18))),INDEX(직원목록!$G$7:$G$306,MATCH(189,직원목록!$B$7:$B$306,0))&gt;0),"연장·야간·휴일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","")&amp;IF(AND(설정!$B$19&lt;&gt;"",설정!$C$19="",OR(ISNUMBER(FIND("연장",설정!$B$19)),ISNUMBER(FIND("야간",설정!$B$19)),ISNUMBER(FIND("휴일",설정!$B$19))),INDEX(직원목록!$H$7:$H$306,MATCH(189,직원목록!$B$7:$B$306,0))&gt;0),"연장·야간·휴일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","")&amp;IF(AND(설정!$B$20&lt;&gt;"",설정!$C$20="",OR(ISNUMBER(FIND("연장",설정!$B$20)),ISNUMBER(FIND("야간",설정!$B$20)),ISNUMBER(FIND("휴일",설정!$B$20))),INDEX(직원목록!$I$7:$I$306,MATCH(189,직원목록!$B$7:$B$306,0))&gt;0),"연장·야간·휴일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","")&amp;IF(AND(설정!$B$21&lt;&gt;"",설정!$C$21="",OR(ISNUMBER(FIND("연장",설정!$B$21)),ISNUMBER(FIND("야간",설정!$B$21)),ISNUMBER(FIND("휴일",설정!$B$21))),INDEX(직원목록!$J$7:$J$306,MATCH(189,직원목록!$B$7:$B$306,0))&gt;0),"연장·야간·휴일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","")&amp;IF(AND(설정!$B$22&lt;&gt;"",설정!$C$22="",OR(ISNUMBER(FIND("연장",설정!$B$22)),ISNUMBER(FIND("야간",설정!$B$22)),ISNUMBER(FIND("휴일",설정!$B$22))),INDEX(직원목록!$K$7:$K$306,MATCH(189,직원목록!$B$7:$B$306,0))&gt;0),"연장·야간·휴일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","")&amp;IF(AND(설정!$B$23&lt;&gt;"",설정!$C$23="",OR(ISNUMBER(FIND("연장",설정!$B$23)),ISNUMBER(FIND("야간",설정!$B$23)),ISNUMBER(FIND("휴일",설정!$B$23))),INDEX(직원목록!$L$7:$L$306,MATCH(189,직원목록!$B$7:$B$306,0))&gt;0),"연장·야간·휴일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","")&amp;IF(AND(설정!$B$24&lt;&gt;"",설정!$C$24="",OR(ISNUMBER(FIND("연장",설정!$B$24)),ISNUMBER(FIND("야간",설정!$B$24)),ISNUMBER(FIND("휴일",설정!$B$24))),INDEX(직원목록!$M$7:$M$306,MATCH(189,직원목록!$B$7:$B$306,0))&gt;0),"연장·야간·휴일 수당은 시간 수도 명세서에 적어야 하니 시간 열 지정 필요 / ",""))))</f>
        <v/>
      </c>
    </row>
    <row r="202">
      <c r="A202" s="26">
        <f>IF(IFERROR(MATCH(190,직원목록!$B$7:$B$306,0),0)=0,"",190)</f>
        <v/>
      </c>
      <c r="B202" s="2">
        <f>IF($A202="","",IFERROR(INDEX(직원목록!$D$7:$D$306,MATCH(190,직원목록!$B$7:$B$306,0)),""))</f>
        <v/>
      </c>
      <c r="C202" s="2">
        <f>IF($A202="","",IFERROR(INDEX(직원목록!$C$7:$C$306,MATCH(190,직원목록!$B$7:$B$306,0)),""))</f>
        <v/>
      </c>
      <c r="D202" s="27">
        <f>IF($A202="","",IFERROR(INDEX(직원목록!$V$7:$V$306,MATCH(190,직원목록!$B$7:$B$306,0)),""))</f>
        <v/>
      </c>
      <c r="E202" s="27">
        <f>IF($A202="","",IFERROR(INDEX(직원목록!$AG$7:$AG$306,MATCH(190,직원목록!$B$7:$B$306,0)),""))</f>
        <v/>
      </c>
      <c r="F202" s="27">
        <f>IF(OR($A202="",E202=""),"",D202-E202)</f>
        <v/>
      </c>
      <c r="G202" s="27">
        <f>IF($A202="","",IFERROR(INDEX(직원목록!$AE$7:$AE$306,MATCH(190,직원목록!$B$7:$B$306,0)),""))</f>
        <v/>
      </c>
      <c r="H202" s="27">
        <f>IF($A202="","",IFERROR(INDEX(직원목록!$AH$7:$AH$306,MATCH(190,직원목록!$B$7:$B$306,0)),""))</f>
        <v/>
      </c>
      <c r="I202" s="27">
        <f>IF(OR($A202="",H202=""),"",G202-H202)</f>
        <v/>
      </c>
      <c r="J202" s="27">
        <f>IF($A202="","",IFERROR(INDEX(직원목록!$AF$7:$AF$306,MATCH(190,직원목록!$B$7:$B$306,0)),""))</f>
        <v/>
      </c>
      <c r="K202" s="27">
        <f>IF($A202="","",IFERROR(INDEX(직원목록!$AI$7:$AI$306,MATCH(190,직원목록!$B$7:$B$306,0)),""))</f>
        <v/>
      </c>
      <c r="L202" s="8">
        <f>IF($A202="","",IF(LEN(IF(AND(F202&lt;&gt;"",F202&lt;&gt;0),"계산 총지급과 대장 총지급이 다릅니다 / ","")&amp;IF(AND(I202&lt;&gt;"",I202&lt;&gt;0),"계산 총공제와 대장 총공제가 다릅니다 / ","")&amp;IF(J202&lt;0,"실수령액이 음수입니다 / ","")&amp;IF(COUNTIF(직원목록!$D$7:$D$306,B202)&gt;1,"같은 이름이 둘 이상 — 미리보기는 첫 번째만 보입니다 / ","")&amp;IF(AND(C202&lt;&gt;"",COUNTIF(직원목록!$C$7:$C$306,C202)&gt;1),"사번 중복 / ","")&amp;IF(D202=0,"총지급이 0원 — 머리글 매칭 확인 / ","")&amp;IF(AND(설정!$B$17&lt;&gt;"",설정!$C$17="",OR(ISNUMBER(FIND("연장",설정!$B$17)),ISNUMBER(FIND("야간",설정!$B$17)),ISNUMBER(FIND("휴일",설정!$B$17))),INDEX(직원목록!$F$7:$F$306,MATCH(190,직원목록!$B$7:$B$306,0))&gt;0),"연장·야간·휴일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","")&amp;IF(AND(설정!$B$24&lt;&gt;"",설정!$C$24="",OR(ISNUMBER(FIND("연장",설정!$B$24)),ISNUMBER(FIND("야간",설정!$B$24)),ISNUMBER(FIND("휴일",설정!$B$24))),INDEX(직원목록!$M$7:$M$306,MATCH(190,직원목록!$B$7:$B$306,0))&gt;0),"연장·야간·휴일 수당은 시간 수도 명세서에 적어야 하니 시간 열 지정 필요 / ",""))=0,"✔",("⚠ "&amp;IF(AND(F202&lt;&gt;"",F202&lt;&gt;0),"계산 총지급과 대장 총지급이 다릅니다 / ","")&amp;IF(AND(I202&lt;&gt;"",I202&lt;&gt;0),"계산 총공제와 대장 총공제가 다릅니다 / ","")&amp;IF(J202&lt;0,"실수령액이 음수입니다 / ","")&amp;IF(COUNTIF(직원목록!$D$7:$D$306,B202)&gt;1,"같은 이름이 둘 이상 — 미리보기는 첫 번째만 보입니다 / ","")&amp;IF(AND(C202&lt;&gt;"",COUNTIF(직원목록!$C$7:$C$306,C202)&gt;1),"사번 중복 / ","")&amp;IF(D202=0,"총지급이 0원 — 머리글 매칭 확인 / ","")&amp;IF(AND(설정!$B$17&lt;&gt;"",설정!$C$17="",OR(ISNUMBER(FIND("연장",설정!$B$17)),ISNUMBER(FIND("야간",설정!$B$17)),ISNUMBER(FIND("휴일",설정!$B$17))),INDEX(직원목록!$F$7:$F$306,MATCH(190,직원목록!$B$7:$B$306,0))&gt;0),"연장·야간·휴일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","")&amp;IF(AND(설정!$B$24&lt;&gt;"",설정!$C$24="",OR(ISNUMBER(FIND("연장",설정!$B$24)),ISNUMBER(FIND("야간",설정!$B$24)),ISNUMBER(FIND("휴일",설정!$B$24))),INDEX(직원목록!$M$7:$M$306,MATCH(190,직원목록!$B$7:$B$306,0))&gt;0),"연장·야간·휴일 수당은 시간 수도 명세서에 적어야 하니 시간 열 지정 필요 / ",""))))</f>
        <v/>
      </c>
    </row>
    <row r="203">
      <c r="A203" s="26">
        <f>IF(IFERROR(MATCH(191,직원목록!$B$7:$B$306,0),0)=0,"",191)</f>
        <v/>
      </c>
      <c r="B203" s="2">
        <f>IF($A203="","",IFERROR(INDEX(직원목록!$D$7:$D$306,MATCH(191,직원목록!$B$7:$B$306,0)),""))</f>
        <v/>
      </c>
      <c r="C203" s="2">
        <f>IF($A203="","",IFERROR(INDEX(직원목록!$C$7:$C$306,MATCH(191,직원목록!$B$7:$B$306,0)),""))</f>
        <v/>
      </c>
      <c r="D203" s="27">
        <f>IF($A203="","",IFERROR(INDEX(직원목록!$V$7:$V$306,MATCH(191,직원목록!$B$7:$B$306,0)),""))</f>
        <v/>
      </c>
      <c r="E203" s="27">
        <f>IF($A203="","",IFERROR(INDEX(직원목록!$AG$7:$AG$306,MATCH(191,직원목록!$B$7:$B$306,0)),""))</f>
        <v/>
      </c>
      <c r="F203" s="27">
        <f>IF(OR($A203="",E203=""),"",D203-E203)</f>
        <v/>
      </c>
      <c r="G203" s="27">
        <f>IF($A203="","",IFERROR(INDEX(직원목록!$AE$7:$AE$306,MATCH(191,직원목록!$B$7:$B$306,0)),""))</f>
        <v/>
      </c>
      <c r="H203" s="27">
        <f>IF($A203="","",IFERROR(INDEX(직원목록!$AH$7:$AH$306,MATCH(191,직원목록!$B$7:$B$306,0)),""))</f>
        <v/>
      </c>
      <c r="I203" s="27">
        <f>IF(OR($A203="",H203=""),"",G203-H203)</f>
        <v/>
      </c>
      <c r="J203" s="27">
        <f>IF($A203="","",IFERROR(INDEX(직원목록!$AF$7:$AF$306,MATCH(191,직원목록!$B$7:$B$306,0)),""))</f>
        <v/>
      </c>
      <c r="K203" s="27">
        <f>IF($A203="","",IFERROR(INDEX(직원목록!$AI$7:$AI$306,MATCH(191,직원목록!$B$7:$B$306,0)),""))</f>
        <v/>
      </c>
      <c r="L203" s="8">
        <f>IF($A203="","",IF(LEN(IF(AND(F203&lt;&gt;"",F203&lt;&gt;0),"계산 총지급과 대장 총지급이 다릅니다 / ","")&amp;IF(AND(I203&lt;&gt;"",I203&lt;&gt;0),"계산 총공제와 대장 총공제가 다릅니다 / ","")&amp;IF(J203&lt;0,"실수령액이 음수입니다 / ","")&amp;IF(COUNTIF(직원목록!$D$7:$D$306,B203)&gt;1,"같은 이름이 둘 이상 — 미리보기는 첫 번째만 보입니다 / ","")&amp;IF(AND(C203&lt;&gt;"",COUNTIF(직원목록!$C$7:$C$306,C203)&gt;1),"사번 중복 / ","")&amp;IF(D203=0,"총지급이 0원 — 머리글 매칭 확인 / ","")&amp;IF(AND(설정!$B$17&lt;&gt;"",설정!$C$17="",OR(ISNUMBER(FIND("연장",설정!$B$17)),ISNUMBER(FIND("야간",설정!$B$17)),ISNUMBER(FIND("휴일",설정!$B$17))),INDEX(직원목록!$F$7:$F$306,MATCH(191,직원목록!$B$7:$B$306,0))&gt;0),"연장·야간·휴일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","")&amp;IF(AND(설정!$B$24&lt;&gt;"",설정!$C$24="",OR(ISNUMBER(FIND("연장",설정!$B$24)),ISNUMBER(FIND("야간",설정!$B$24)),ISNUMBER(FIND("휴일",설정!$B$24))),INDEX(직원목록!$M$7:$M$306,MATCH(191,직원목록!$B$7:$B$306,0))&gt;0),"연장·야간·휴일 수당은 시간 수도 명세서에 적어야 하니 시간 열 지정 필요 / ",""))=0,"✔",("⚠ "&amp;IF(AND(F203&lt;&gt;"",F203&lt;&gt;0),"계산 총지급과 대장 총지급이 다릅니다 / ","")&amp;IF(AND(I203&lt;&gt;"",I203&lt;&gt;0),"계산 총공제와 대장 총공제가 다릅니다 / ","")&amp;IF(J203&lt;0,"실수령액이 음수입니다 / ","")&amp;IF(COUNTIF(직원목록!$D$7:$D$306,B203)&gt;1,"같은 이름이 둘 이상 — 미리보기는 첫 번째만 보입니다 / ","")&amp;IF(AND(C203&lt;&gt;"",COUNTIF(직원목록!$C$7:$C$306,C203)&gt;1),"사번 중복 / ","")&amp;IF(D203=0,"총지급이 0원 — 머리글 매칭 확인 / ","")&amp;IF(AND(설정!$B$17&lt;&gt;"",설정!$C$17="",OR(ISNUMBER(FIND("연장",설정!$B$17)),ISNUMBER(FIND("야간",설정!$B$17)),ISNUMBER(FIND("휴일",설정!$B$17))),INDEX(직원목록!$F$7:$F$306,MATCH(191,직원목록!$B$7:$B$306,0))&gt;0),"연장·야간·휴일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","")&amp;IF(AND(설정!$B$24&lt;&gt;"",설정!$C$24="",OR(ISNUMBER(FIND("연장",설정!$B$24)),ISNUMBER(FIND("야간",설정!$B$24)),ISNUMBER(FIND("휴일",설정!$B$24))),INDEX(직원목록!$M$7:$M$306,MATCH(191,직원목록!$B$7:$B$306,0))&gt;0),"연장·야간·휴일 수당은 시간 수도 명세서에 적어야 하니 시간 열 지정 필요 / ",""))))</f>
        <v/>
      </c>
    </row>
    <row r="204">
      <c r="A204" s="26">
        <f>IF(IFERROR(MATCH(192,직원목록!$B$7:$B$306,0),0)=0,"",192)</f>
        <v/>
      </c>
      <c r="B204" s="2">
        <f>IF($A204="","",IFERROR(INDEX(직원목록!$D$7:$D$306,MATCH(192,직원목록!$B$7:$B$306,0)),""))</f>
        <v/>
      </c>
      <c r="C204" s="2">
        <f>IF($A204="","",IFERROR(INDEX(직원목록!$C$7:$C$306,MATCH(192,직원목록!$B$7:$B$306,0)),""))</f>
        <v/>
      </c>
      <c r="D204" s="27">
        <f>IF($A204="","",IFERROR(INDEX(직원목록!$V$7:$V$306,MATCH(192,직원목록!$B$7:$B$306,0)),""))</f>
        <v/>
      </c>
      <c r="E204" s="27">
        <f>IF($A204="","",IFERROR(INDEX(직원목록!$AG$7:$AG$306,MATCH(192,직원목록!$B$7:$B$306,0)),""))</f>
        <v/>
      </c>
      <c r="F204" s="27">
        <f>IF(OR($A204="",E204=""),"",D204-E204)</f>
        <v/>
      </c>
      <c r="G204" s="27">
        <f>IF($A204="","",IFERROR(INDEX(직원목록!$AE$7:$AE$306,MATCH(192,직원목록!$B$7:$B$306,0)),""))</f>
        <v/>
      </c>
      <c r="H204" s="27">
        <f>IF($A204="","",IFERROR(INDEX(직원목록!$AH$7:$AH$306,MATCH(192,직원목록!$B$7:$B$306,0)),""))</f>
        <v/>
      </c>
      <c r="I204" s="27">
        <f>IF(OR($A204="",H204=""),"",G204-H204)</f>
        <v/>
      </c>
      <c r="J204" s="27">
        <f>IF($A204="","",IFERROR(INDEX(직원목록!$AF$7:$AF$306,MATCH(192,직원목록!$B$7:$B$306,0)),""))</f>
        <v/>
      </c>
      <c r="K204" s="27">
        <f>IF($A204="","",IFERROR(INDEX(직원목록!$AI$7:$AI$306,MATCH(192,직원목록!$B$7:$B$306,0)),""))</f>
        <v/>
      </c>
      <c r="L204" s="8">
        <f>IF($A204="","",IF(LEN(IF(AND(F204&lt;&gt;"",F204&lt;&gt;0),"계산 총지급과 대장 총지급이 다릅니다 / ","")&amp;IF(AND(I204&lt;&gt;"",I204&lt;&gt;0),"계산 총공제와 대장 총공제가 다릅니다 / ","")&amp;IF(J204&lt;0,"실수령액이 음수입니다 / ","")&amp;IF(COUNTIF(직원목록!$D$7:$D$306,B204)&gt;1,"같은 이름이 둘 이상 — 미리보기는 첫 번째만 보입니다 / ","")&amp;IF(AND(C204&lt;&gt;"",COUNTIF(직원목록!$C$7:$C$306,C204)&gt;1),"사번 중복 / ","")&amp;IF(D204=0,"총지급이 0원 — 머리글 매칭 확인 / ","")&amp;IF(AND(설정!$B$17&lt;&gt;"",설정!$C$17="",OR(ISNUMBER(FIND("연장",설정!$B$17)),ISNUMBER(FIND("야간",설정!$B$17)),ISNUMBER(FIND("휴일",설정!$B$17))),INDEX(직원목록!$F$7:$F$306,MATCH(192,직원목록!$B$7:$B$306,0))&gt;0),"연장·야간·휴일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","")&amp;IF(AND(설정!$B$24&lt;&gt;"",설정!$C$24="",OR(ISNUMBER(FIND("연장",설정!$B$24)),ISNUMBER(FIND("야간",설정!$B$24)),ISNUMBER(FIND("휴일",설정!$B$24))),INDEX(직원목록!$M$7:$M$306,MATCH(192,직원목록!$B$7:$B$306,0))&gt;0),"연장·야간·휴일 수당은 시간 수도 명세서에 적어야 하니 시간 열 지정 필요 / ",""))=0,"✔",("⚠ "&amp;IF(AND(F204&lt;&gt;"",F204&lt;&gt;0),"계산 총지급과 대장 총지급이 다릅니다 / ","")&amp;IF(AND(I204&lt;&gt;"",I204&lt;&gt;0),"계산 총공제와 대장 총공제가 다릅니다 / ","")&amp;IF(J204&lt;0,"실수령액이 음수입니다 / ","")&amp;IF(COUNTIF(직원목록!$D$7:$D$306,B204)&gt;1,"같은 이름이 둘 이상 — 미리보기는 첫 번째만 보입니다 / ","")&amp;IF(AND(C204&lt;&gt;"",COUNTIF(직원목록!$C$7:$C$306,C204)&gt;1),"사번 중복 / ","")&amp;IF(D204=0,"총지급이 0원 — 머리글 매칭 확인 / ","")&amp;IF(AND(설정!$B$17&lt;&gt;"",설정!$C$17="",OR(ISNUMBER(FIND("연장",설정!$B$17)),ISNUMBER(FIND("야간",설정!$B$17)),ISNUMBER(FIND("휴일",설정!$B$17))),INDEX(직원목록!$F$7:$F$306,MATCH(192,직원목록!$B$7:$B$306,0))&gt;0),"연장·야간·휴일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","")&amp;IF(AND(설정!$B$24&lt;&gt;"",설정!$C$24="",OR(ISNUMBER(FIND("연장",설정!$B$24)),ISNUMBER(FIND("야간",설정!$B$24)),ISNUMBER(FIND("휴일",설정!$B$24))),INDEX(직원목록!$M$7:$M$306,MATCH(192,직원목록!$B$7:$B$306,0))&gt;0),"연장·야간·휴일 수당은 시간 수도 명세서에 적어야 하니 시간 열 지정 필요 / ",""))))</f>
        <v/>
      </c>
    </row>
    <row r="205">
      <c r="A205" s="26">
        <f>IF(IFERROR(MATCH(193,직원목록!$B$7:$B$306,0),0)=0,"",193)</f>
        <v/>
      </c>
      <c r="B205" s="2">
        <f>IF($A205="","",IFERROR(INDEX(직원목록!$D$7:$D$306,MATCH(193,직원목록!$B$7:$B$306,0)),""))</f>
        <v/>
      </c>
      <c r="C205" s="2">
        <f>IF($A205="","",IFERROR(INDEX(직원목록!$C$7:$C$306,MATCH(193,직원목록!$B$7:$B$306,0)),""))</f>
        <v/>
      </c>
      <c r="D205" s="27">
        <f>IF($A205="","",IFERROR(INDEX(직원목록!$V$7:$V$306,MATCH(193,직원목록!$B$7:$B$306,0)),""))</f>
        <v/>
      </c>
      <c r="E205" s="27">
        <f>IF($A205="","",IFERROR(INDEX(직원목록!$AG$7:$AG$306,MATCH(193,직원목록!$B$7:$B$306,0)),""))</f>
        <v/>
      </c>
      <c r="F205" s="27">
        <f>IF(OR($A205="",E205=""),"",D205-E205)</f>
        <v/>
      </c>
      <c r="G205" s="27">
        <f>IF($A205="","",IFERROR(INDEX(직원목록!$AE$7:$AE$306,MATCH(193,직원목록!$B$7:$B$306,0)),""))</f>
        <v/>
      </c>
      <c r="H205" s="27">
        <f>IF($A205="","",IFERROR(INDEX(직원목록!$AH$7:$AH$306,MATCH(193,직원목록!$B$7:$B$306,0)),""))</f>
        <v/>
      </c>
      <c r="I205" s="27">
        <f>IF(OR($A205="",H205=""),"",G205-H205)</f>
        <v/>
      </c>
      <c r="J205" s="27">
        <f>IF($A205="","",IFERROR(INDEX(직원목록!$AF$7:$AF$306,MATCH(193,직원목록!$B$7:$B$306,0)),""))</f>
        <v/>
      </c>
      <c r="K205" s="27">
        <f>IF($A205="","",IFERROR(INDEX(직원목록!$AI$7:$AI$306,MATCH(193,직원목록!$B$7:$B$306,0)),""))</f>
        <v/>
      </c>
      <c r="L205" s="8">
        <f>IF($A205="","",IF(LEN(IF(AND(F205&lt;&gt;"",F205&lt;&gt;0),"계산 총지급과 대장 총지급이 다릅니다 / ","")&amp;IF(AND(I205&lt;&gt;"",I205&lt;&gt;0),"계산 총공제와 대장 총공제가 다릅니다 / ","")&amp;IF(J205&lt;0,"실수령액이 음수입니다 / ","")&amp;IF(COUNTIF(직원목록!$D$7:$D$306,B205)&gt;1,"같은 이름이 둘 이상 — 미리보기는 첫 번째만 보입니다 / ","")&amp;IF(AND(C205&lt;&gt;"",COUNTIF(직원목록!$C$7:$C$306,C205)&gt;1),"사번 중복 / ","")&amp;IF(D205=0,"총지급이 0원 — 머리글 매칭 확인 / ","")&amp;IF(AND(설정!$B$17&lt;&gt;"",설정!$C$17="",OR(ISNUMBER(FIND("연장",설정!$B$17)),ISNUMBER(FIND("야간",설정!$B$17)),ISNUMBER(FIND("휴일",설정!$B$17))),INDEX(직원목록!$F$7:$F$306,MATCH(193,직원목록!$B$7:$B$306,0))&gt;0),"연장·야간·휴일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","")&amp;IF(AND(설정!$B$24&lt;&gt;"",설정!$C$24="",OR(ISNUMBER(FIND("연장",설정!$B$24)),ISNUMBER(FIND("야간",설정!$B$24)),ISNUMBER(FIND("휴일",설정!$B$24))),INDEX(직원목록!$M$7:$M$306,MATCH(193,직원목록!$B$7:$B$306,0))&gt;0),"연장·야간·휴일 수당은 시간 수도 명세서에 적어야 하니 시간 열 지정 필요 / ",""))=0,"✔",("⚠ "&amp;IF(AND(F205&lt;&gt;"",F205&lt;&gt;0),"계산 총지급과 대장 총지급이 다릅니다 / ","")&amp;IF(AND(I205&lt;&gt;"",I205&lt;&gt;0),"계산 총공제와 대장 총공제가 다릅니다 / ","")&amp;IF(J205&lt;0,"실수령액이 음수입니다 / ","")&amp;IF(COUNTIF(직원목록!$D$7:$D$306,B205)&gt;1,"같은 이름이 둘 이상 — 미리보기는 첫 번째만 보입니다 / ","")&amp;IF(AND(C205&lt;&gt;"",COUNTIF(직원목록!$C$7:$C$306,C205)&gt;1),"사번 중복 / ","")&amp;IF(D205=0,"총지급이 0원 — 머리글 매칭 확인 / ","")&amp;IF(AND(설정!$B$17&lt;&gt;"",설정!$C$17="",OR(ISNUMBER(FIND("연장",설정!$B$17)),ISNUMBER(FIND("야간",설정!$B$17)),ISNUMBER(FIND("휴일",설정!$B$17))),INDEX(직원목록!$F$7:$F$306,MATCH(193,직원목록!$B$7:$B$306,0))&gt;0),"연장·야간·휴일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","")&amp;IF(AND(설정!$B$24&lt;&gt;"",설정!$C$24="",OR(ISNUMBER(FIND("연장",설정!$B$24)),ISNUMBER(FIND("야간",설정!$B$24)),ISNUMBER(FIND("휴일",설정!$B$24))),INDEX(직원목록!$M$7:$M$306,MATCH(193,직원목록!$B$7:$B$306,0))&gt;0),"연장·야간·휴일 수당은 시간 수도 명세서에 적어야 하니 시간 열 지정 필요 / ",""))))</f>
        <v/>
      </c>
    </row>
    <row r="206">
      <c r="A206" s="26">
        <f>IF(IFERROR(MATCH(194,직원목록!$B$7:$B$306,0),0)=0,"",194)</f>
        <v/>
      </c>
      <c r="B206" s="2">
        <f>IF($A206="","",IFERROR(INDEX(직원목록!$D$7:$D$306,MATCH(194,직원목록!$B$7:$B$306,0)),""))</f>
        <v/>
      </c>
      <c r="C206" s="2">
        <f>IF($A206="","",IFERROR(INDEX(직원목록!$C$7:$C$306,MATCH(194,직원목록!$B$7:$B$306,0)),""))</f>
        <v/>
      </c>
      <c r="D206" s="27">
        <f>IF($A206="","",IFERROR(INDEX(직원목록!$V$7:$V$306,MATCH(194,직원목록!$B$7:$B$306,0)),""))</f>
        <v/>
      </c>
      <c r="E206" s="27">
        <f>IF($A206="","",IFERROR(INDEX(직원목록!$AG$7:$AG$306,MATCH(194,직원목록!$B$7:$B$306,0)),""))</f>
        <v/>
      </c>
      <c r="F206" s="27">
        <f>IF(OR($A206="",E206=""),"",D206-E206)</f>
        <v/>
      </c>
      <c r="G206" s="27">
        <f>IF($A206="","",IFERROR(INDEX(직원목록!$AE$7:$AE$306,MATCH(194,직원목록!$B$7:$B$306,0)),""))</f>
        <v/>
      </c>
      <c r="H206" s="27">
        <f>IF($A206="","",IFERROR(INDEX(직원목록!$AH$7:$AH$306,MATCH(194,직원목록!$B$7:$B$306,0)),""))</f>
        <v/>
      </c>
      <c r="I206" s="27">
        <f>IF(OR($A206="",H206=""),"",G206-H206)</f>
        <v/>
      </c>
      <c r="J206" s="27">
        <f>IF($A206="","",IFERROR(INDEX(직원목록!$AF$7:$AF$306,MATCH(194,직원목록!$B$7:$B$306,0)),""))</f>
        <v/>
      </c>
      <c r="K206" s="27">
        <f>IF($A206="","",IFERROR(INDEX(직원목록!$AI$7:$AI$306,MATCH(194,직원목록!$B$7:$B$306,0)),""))</f>
        <v/>
      </c>
      <c r="L206" s="8">
        <f>IF($A206="","",IF(LEN(IF(AND(F206&lt;&gt;"",F206&lt;&gt;0),"계산 총지급과 대장 총지급이 다릅니다 / ","")&amp;IF(AND(I206&lt;&gt;"",I206&lt;&gt;0),"계산 총공제와 대장 총공제가 다릅니다 / ","")&amp;IF(J206&lt;0,"실수령액이 음수입니다 / ","")&amp;IF(COUNTIF(직원목록!$D$7:$D$306,B206)&gt;1,"같은 이름이 둘 이상 — 미리보기는 첫 번째만 보입니다 / ","")&amp;IF(AND(C206&lt;&gt;"",COUNTIF(직원목록!$C$7:$C$306,C206)&gt;1),"사번 중복 / ","")&amp;IF(D206=0,"총지급이 0원 — 머리글 매칭 확인 / ","")&amp;IF(AND(설정!$B$17&lt;&gt;"",설정!$C$17="",OR(ISNUMBER(FIND("연장",설정!$B$17)),ISNUMBER(FIND("야간",설정!$B$17)),ISNUMBER(FIND("휴일",설정!$B$17))),INDEX(직원목록!$F$7:$F$306,MATCH(194,직원목록!$B$7:$B$306,0))&gt;0),"연장·야간·휴일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","")&amp;IF(AND(설정!$B$24&lt;&gt;"",설정!$C$24="",OR(ISNUMBER(FIND("연장",설정!$B$24)),ISNUMBER(FIND("야간",설정!$B$24)),ISNUMBER(FIND("휴일",설정!$B$24))),INDEX(직원목록!$M$7:$M$306,MATCH(194,직원목록!$B$7:$B$306,0))&gt;0),"연장·야간·휴일 수당은 시간 수도 명세서에 적어야 하니 시간 열 지정 필요 / ",""))=0,"✔",("⚠ "&amp;IF(AND(F206&lt;&gt;"",F206&lt;&gt;0),"계산 총지급과 대장 총지급이 다릅니다 / ","")&amp;IF(AND(I206&lt;&gt;"",I206&lt;&gt;0),"계산 총공제와 대장 총공제가 다릅니다 / ","")&amp;IF(J206&lt;0,"실수령액이 음수입니다 / ","")&amp;IF(COUNTIF(직원목록!$D$7:$D$306,B206)&gt;1,"같은 이름이 둘 이상 — 미리보기는 첫 번째만 보입니다 / ","")&amp;IF(AND(C206&lt;&gt;"",COUNTIF(직원목록!$C$7:$C$306,C206)&gt;1),"사번 중복 / ","")&amp;IF(D206=0,"총지급이 0원 — 머리글 매칭 확인 / ","")&amp;IF(AND(설정!$B$17&lt;&gt;"",설정!$C$17="",OR(ISNUMBER(FIND("연장",설정!$B$17)),ISNUMBER(FIND("야간",설정!$B$17)),ISNUMBER(FIND("휴일",설정!$B$17))),INDEX(직원목록!$F$7:$F$306,MATCH(194,직원목록!$B$7:$B$306,0))&gt;0),"연장·야간·휴일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","")&amp;IF(AND(설정!$B$24&lt;&gt;"",설정!$C$24="",OR(ISNUMBER(FIND("연장",설정!$B$24)),ISNUMBER(FIND("야간",설정!$B$24)),ISNUMBER(FIND("휴일",설정!$B$24))),INDEX(직원목록!$M$7:$M$306,MATCH(194,직원목록!$B$7:$B$306,0))&gt;0),"연장·야간·휴일 수당은 시간 수도 명세서에 적어야 하니 시간 열 지정 필요 / ",""))))</f>
        <v/>
      </c>
    </row>
    <row r="207">
      <c r="A207" s="26">
        <f>IF(IFERROR(MATCH(195,직원목록!$B$7:$B$306,0),0)=0,"",195)</f>
        <v/>
      </c>
      <c r="B207" s="2">
        <f>IF($A207="","",IFERROR(INDEX(직원목록!$D$7:$D$306,MATCH(195,직원목록!$B$7:$B$306,0)),""))</f>
        <v/>
      </c>
      <c r="C207" s="2">
        <f>IF($A207="","",IFERROR(INDEX(직원목록!$C$7:$C$306,MATCH(195,직원목록!$B$7:$B$306,0)),""))</f>
        <v/>
      </c>
      <c r="D207" s="27">
        <f>IF($A207="","",IFERROR(INDEX(직원목록!$V$7:$V$306,MATCH(195,직원목록!$B$7:$B$306,0)),""))</f>
        <v/>
      </c>
      <c r="E207" s="27">
        <f>IF($A207="","",IFERROR(INDEX(직원목록!$AG$7:$AG$306,MATCH(195,직원목록!$B$7:$B$306,0)),""))</f>
        <v/>
      </c>
      <c r="F207" s="27">
        <f>IF(OR($A207="",E207=""),"",D207-E207)</f>
        <v/>
      </c>
      <c r="G207" s="27">
        <f>IF($A207="","",IFERROR(INDEX(직원목록!$AE$7:$AE$306,MATCH(195,직원목록!$B$7:$B$306,0)),""))</f>
        <v/>
      </c>
      <c r="H207" s="27">
        <f>IF($A207="","",IFERROR(INDEX(직원목록!$AH$7:$AH$306,MATCH(195,직원목록!$B$7:$B$306,0)),""))</f>
        <v/>
      </c>
      <c r="I207" s="27">
        <f>IF(OR($A207="",H207=""),"",G207-H207)</f>
        <v/>
      </c>
      <c r="J207" s="27">
        <f>IF($A207="","",IFERROR(INDEX(직원목록!$AF$7:$AF$306,MATCH(195,직원목록!$B$7:$B$306,0)),""))</f>
        <v/>
      </c>
      <c r="K207" s="27">
        <f>IF($A207="","",IFERROR(INDEX(직원목록!$AI$7:$AI$306,MATCH(195,직원목록!$B$7:$B$306,0)),""))</f>
        <v/>
      </c>
      <c r="L207" s="8">
        <f>IF($A207="","",IF(LEN(IF(AND(F207&lt;&gt;"",F207&lt;&gt;0),"계산 총지급과 대장 총지급이 다릅니다 / ","")&amp;IF(AND(I207&lt;&gt;"",I207&lt;&gt;0),"계산 총공제와 대장 총공제가 다릅니다 / ","")&amp;IF(J207&lt;0,"실수령액이 음수입니다 / ","")&amp;IF(COUNTIF(직원목록!$D$7:$D$306,B207)&gt;1,"같은 이름이 둘 이상 — 미리보기는 첫 번째만 보입니다 / ","")&amp;IF(AND(C207&lt;&gt;"",COUNTIF(직원목록!$C$7:$C$306,C207)&gt;1),"사번 중복 / ","")&amp;IF(D207=0,"총지급이 0원 — 머리글 매칭 확인 / ","")&amp;IF(AND(설정!$B$17&lt;&gt;"",설정!$C$17="",OR(ISNUMBER(FIND("연장",설정!$B$17)),ISNUMBER(FIND("야간",설정!$B$17)),ISNUMBER(FIND("휴일",설정!$B$17))),INDEX(직원목록!$F$7:$F$306,MATCH(195,직원목록!$B$7:$B$306,0))&gt;0),"연장·야간·휴일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","")&amp;IF(AND(설정!$B$24&lt;&gt;"",설정!$C$24="",OR(ISNUMBER(FIND("연장",설정!$B$24)),ISNUMBER(FIND("야간",설정!$B$24)),ISNUMBER(FIND("휴일",설정!$B$24))),INDEX(직원목록!$M$7:$M$306,MATCH(195,직원목록!$B$7:$B$306,0))&gt;0),"연장·야간·휴일 수당은 시간 수도 명세서에 적어야 하니 시간 열 지정 필요 / ",""))=0,"✔",("⚠ "&amp;IF(AND(F207&lt;&gt;"",F207&lt;&gt;0),"계산 총지급과 대장 총지급이 다릅니다 / ","")&amp;IF(AND(I207&lt;&gt;"",I207&lt;&gt;0),"계산 총공제와 대장 총공제가 다릅니다 / ","")&amp;IF(J207&lt;0,"실수령액이 음수입니다 / ","")&amp;IF(COUNTIF(직원목록!$D$7:$D$306,B207)&gt;1,"같은 이름이 둘 이상 — 미리보기는 첫 번째만 보입니다 / ","")&amp;IF(AND(C207&lt;&gt;"",COUNTIF(직원목록!$C$7:$C$306,C207)&gt;1),"사번 중복 / ","")&amp;IF(D207=0,"총지급이 0원 — 머리글 매칭 확인 / ","")&amp;IF(AND(설정!$B$17&lt;&gt;"",설정!$C$17="",OR(ISNUMBER(FIND("연장",설정!$B$17)),ISNUMBER(FIND("야간",설정!$B$17)),ISNUMBER(FIND("휴일",설정!$B$17))),INDEX(직원목록!$F$7:$F$306,MATCH(195,직원목록!$B$7:$B$306,0))&gt;0),"연장·야간·휴일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","")&amp;IF(AND(설정!$B$24&lt;&gt;"",설정!$C$24="",OR(ISNUMBER(FIND("연장",설정!$B$24)),ISNUMBER(FIND("야간",설정!$B$24)),ISNUMBER(FIND("휴일",설정!$B$24))),INDEX(직원목록!$M$7:$M$306,MATCH(195,직원목록!$B$7:$B$306,0))&gt;0),"연장·야간·휴일 수당은 시간 수도 명세서에 적어야 하니 시간 열 지정 필요 / ",""))))</f>
        <v/>
      </c>
    </row>
    <row r="208">
      <c r="A208" s="26">
        <f>IF(IFERROR(MATCH(196,직원목록!$B$7:$B$306,0),0)=0,"",196)</f>
        <v/>
      </c>
      <c r="B208" s="2">
        <f>IF($A208="","",IFERROR(INDEX(직원목록!$D$7:$D$306,MATCH(196,직원목록!$B$7:$B$306,0)),""))</f>
        <v/>
      </c>
      <c r="C208" s="2">
        <f>IF($A208="","",IFERROR(INDEX(직원목록!$C$7:$C$306,MATCH(196,직원목록!$B$7:$B$306,0)),""))</f>
        <v/>
      </c>
      <c r="D208" s="27">
        <f>IF($A208="","",IFERROR(INDEX(직원목록!$V$7:$V$306,MATCH(196,직원목록!$B$7:$B$306,0)),""))</f>
        <v/>
      </c>
      <c r="E208" s="27">
        <f>IF($A208="","",IFERROR(INDEX(직원목록!$AG$7:$AG$306,MATCH(196,직원목록!$B$7:$B$306,0)),""))</f>
        <v/>
      </c>
      <c r="F208" s="27">
        <f>IF(OR($A208="",E208=""),"",D208-E208)</f>
        <v/>
      </c>
      <c r="G208" s="27">
        <f>IF($A208="","",IFERROR(INDEX(직원목록!$AE$7:$AE$306,MATCH(196,직원목록!$B$7:$B$306,0)),""))</f>
        <v/>
      </c>
      <c r="H208" s="27">
        <f>IF($A208="","",IFERROR(INDEX(직원목록!$AH$7:$AH$306,MATCH(196,직원목록!$B$7:$B$306,0)),""))</f>
        <v/>
      </c>
      <c r="I208" s="27">
        <f>IF(OR($A208="",H208=""),"",G208-H208)</f>
        <v/>
      </c>
      <c r="J208" s="27">
        <f>IF($A208="","",IFERROR(INDEX(직원목록!$AF$7:$AF$306,MATCH(196,직원목록!$B$7:$B$306,0)),""))</f>
        <v/>
      </c>
      <c r="K208" s="27">
        <f>IF($A208="","",IFERROR(INDEX(직원목록!$AI$7:$AI$306,MATCH(196,직원목록!$B$7:$B$306,0)),""))</f>
        <v/>
      </c>
      <c r="L208" s="8">
        <f>IF($A208="","",IF(LEN(IF(AND(F208&lt;&gt;"",F208&lt;&gt;0),"계산 총지급과 대장 총지급이 다릅니다 / ","")&amp;IF(AND(I208&lt;&gt;"",I208&lt;&gt;0),"계산 총공제와 대장 총공제가 다릅니다 / ","")&amp;IF(J208&lt;0,"실수령액이 음수입니다 / ","")&amp;IF(COUNTIF(직원목록!$D$7:$D$306,B208)&gt;1,"같은 이름이 둘 이상 — 미리보기는 첫 번째만 보입니다 / ","")&amp;IF(AND(C208&lt;&gt;"",COUNTIF(직원목록!$C$7:$C$306,C208)&gt;1),"사번 중복 / ","")&amp;IF(D208=0,"총지급이 0원 — 머리글 매칭 확인 / ","")&amp;IF(AND(설정!$B$17&lt;&gt;"",설정!$C$17="",OR(ISNUMBER(FIND("연장",설정!$B$17)),ISNUMBER(FIND("야간",설정!$B$17)),ISNUMBER(FIND("휴일",설정!$B$17))),INDEX(직원목록!$F$7:$F$306,MATCH(196,직원목록!$B$7:$B$306,0))&gt;0),"연장·야간·휴일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","")&amp;IF(AND(설정!$B$24&lt;&gt;"",설정!$C$24="",OR(ISNUMBER(FIND("연장",설정!$B$24)),ISNUMBER(FIND("야간",설정!$B$24)),ISNUMBER(FIND("휴일",설정!$B$24))),INDEX(직원목록!$M$7:$M$306,MATCH(196,직원목록!$B$7:$B$306,0))&gt;0),"연장·야간·휴일 수당은 시간 수도 명세서에 적어야 하니 시간 열 지정 필요 / ",""))=0,"✔",("⚠ "&amp;IF(AND(F208&lt;&gt;"",F208&lt;&gt;0),"계산 총지급과 대장 총지급이 다릅니다 / ","")&amp;IF(AND(I208&lt;&gt;"",I208&lt;&gt;0),"계산 총공제와 대장 총공제가 다릅니다 / ","")&amp;IF(J208&lt;0,"실수령액이 음수입니다 / ","")&amp;IF(COUNTIF(직원목록!$D$7:$D$306,B208)&gt;1,"같은 이름이 둘 이상 — 미리보기는 첫 번째만 보입니다 / ","")&amp;IF(AND(C208&lt;&gt;"",COUNTIF(직원목록!$C$7:$C$306,C208)&gt;1),"사번 중복 / ","")&amp;IF(D208=0,"총지급이 0원 — 머리글 매칭 확인 / ","")&amp;IF(AND(설정!$B$17&lt;&gt;"",설정!$C$17="",OR(ISNUMBER(FIND("연장",설정!$B$17)),ISNUMBER(FIND("야간",설정!$B$17)),ISNUMBER(FIND("휴일",설정!$B$17))),INDEX(직원목록!$F$7:$F$306,MATCH(196,직원목록!$B$7:$B$306,0))&gt;0),"연장·야간·휴일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","")&amp;IF(AND(설정!$B$24&lt;&gt;"",설정!$C$24="",OR(ISNUMBER(FIND("연장",설정!$B$24)),ISNUMBER(FIND("야간",설정!$B$24)),ISNUMBER(FIND("휴일",설정!$B$24))),INDEX(직원목록!$M$7:$M$306,MATCH(196,직원목록!$B$7:$B$306,0))&gt;0),"연장·야간·휴일 수당은 시간 수도 명세서에 적어야 하니 시간 열 지정 필요 / ",""))))</f>
        <v/>
      </c>
    </row>
    <row r="209">
      <c r="A209" s="26">
        <f>IF(IFERROR(MATCH(197,직원목록!$B$7:$B$306,0),0)=0,"",197)</f>
        <v/>
      </c>
      <c r="B209" s="2">
        <f>IF($A209="","",IFERROR(INDEX(직원목록!$D$7:$D$306,MATCH(197,직원목록!$B$7:$B$306,0)),""))</f>
        <v/>
      </c>
      <c r="C209" s="2">
        <f>IF($A209="","",IFERROR(INDEX(직원목록!$C$7:$C$306,MATCH(197,직원목록!$B$7:$B$306,0)),""))</f>
        <v/>
      </c>
      <c r="D209" s="27">
        <f>IF($A209="","",IFERROR(INDEX(직원목록!$V$7:$V$306,MATCH(197,직원목록!$B$7:$B$306,0)),""))</f>
        <v/>
      </c>
      <c r="E209" s="27">
        <f>IF($A209="","",IFERROR(INDEX(직원목록!$AG$7:$AG$306,MATCH(197,직원목록!$B$7:$B$306,0)),""))</f>
        <v/>
      </c>
      <c r="F209" s="27">
        <f>IF(OR($A209="",E209=""),"",D209-E209)</f>
        <v/>
      </c>
      <c r="G209" s="27">
        <f>IF($A209="","",IFERROR(INDEX(직원목록!$AE$7:$AE$306,MATCH(197,직원목록!$B$7:$B$306,0)),""))</f>
        <v/>
      </c>
      <c r="H209" s="27">
        <f>IF($A209="","",IFERROR(INDEX(직원목록!$AH$7:$AH$306,MATCH(197,직원목록!$B$7:$B$306,0)),""))</f>
        <v/>
      </c>
      <c r="I209" s="27">
        <f>IF(OR($A209="",H209=""),"",G209-H209)</f>
        <v/>
      </c>
      <c r="J209" s="27">
        <f>IF($A209="","",IFERROR(INDEX(직원목록!$AF$7:$AF$306,MATCH(197,직원목록!$B$7:$B$306,0)),""))</f>
        <v/>
      </c>
      <c r="K209" s="27">
        <f>IF($A209="","",IFERROR(INDEX(직원목록!$AI$7:$AI$306,MATCH(197,직원목록!$B$7:$B$306,0)),""))</f>
        <v/>
      </c>
      <c r="L209" s="8">
        <f>IF($A209="","",IF(LEN(IF(AND(F209&lt;&gt;"",F209&lt;&gt;0),"계산 총지급과 대장 총지급이 다릅니다 / ","")&amp;IF(AND(I209&lt;&gt;"",I209&lt;&gt;0),"계산 총공제와 대장 총공제가 다릅니다 / ","")&amp;IF(J209&lt;0,"실수령액이 음수입니다 / ","")&amp;IF(COUNTIF(직원목록!$D$7:$D$306,B209)&gt;1,"같은 이름이 둘 이상 — 미리보기는 첫 번째만 보입니다 / ","")&amp;IF(AND(C209&lt;&gt;"",COUNTIF(직원목록!$C$7:$C$306,C209)&gt;1),"사번 중복 / ","")&amp;IF(D209=0,"총지급이 0원 — 머리글 매칭 확인 / ","")&amp;IF(AND(설정!$B$17&lt;&gt;"",설정!$C$17="",OR(ISNUMBER(FIND("연장",설정!$B$17)),ISNUMBER(FIND("야간",설정!$B$17)),ISNUMBER(FIND("휴일",설정!$B$17))),INDEX(직원목록!$F$7:$F$306,MATCH(197,직원목록!$B$7:$B$306,0))&gt;0),"연장·야간·휴일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","")&amp;IF(AND(설정!$B$24&lt;&gt;"",설정!$C$24="",OR(ISNUMBER(FIND("연장",설정!$B$24)),ISNUMBER(FIND("야간",설정!$B$24)),ISNUMBER(FIND("휴일",설정!$B$24))),INDEX(직원목록!$M$7:$M$306,MATCH(197,직원목록!$B$7:$B$306,0))&gt;0),"연장·야간·휴일 수당은 시간 수도 명세서에 적어야 하니 시간 열 지정 필요 / ",""))=0,"✔",("⚠ "&amp;IF(AND(F209&lt;&gt;"",F209&lt;&gt;0),"계산 총지급과 대장 총지급이 다릅니다 / ","")&amp;IF(AND(I209&lt;&gt;"",I209&lt;&gt;0),"계산 총공제와 대장 총공제가 다릅니다 / ","")&amp;IF(J209&lt;0,"실수령액이 음수입니다 / ","")&amp;IF(COUNTIF(직원목록!$D$7:$D$306,B209)&gt;1,"같은 이름이 둘 이상 — 미리보기는 첫 번째만 보입니다 / ","")&amp;IF(AND(C209&lt;&gt;"",COUNTIF(직원목록!$C$7:$C$306,C209)&gt;1),"사번 중복 / ","")&amp;IF(D209=0,"총지급이 0원 — 머리글 매칭 확인 / ","")&amp;IF(AND(설정!$B$17&lt;&gt;"",설정!$C$17="",OR(ISNUMBER(FIND("연장",설정!$B$17)),ISNUMBER(FIND("야간",설정!$B$17)),ISNUMBER(FIND("휴일",설정!$B$17))),INDEX(직원목록!$F$7:$F$306,MATCH(197,직원목록!$B$7:$B$306,0))&gt;0),"연장·야간·휴일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","")&amp;IF(AND(설정!$B$24&lt;&gt;"",설정!$C$24="",OR(ISNUMBER(FIND("연장",설정!$B$24)),ISNUMBER(FIND("야간",설정!$B$24)),ISNUMBER(FIND("휴일",설정!$B$24))),INDEX(직원목록!$M$7:$M$306,MATCH(197,직원목록!$B$7:$B$306,0))&gt;0),"연장·야간·휴일 수당은 시간 수도 명세서에 적어야 하니 시간 열 지정 필요 / ",""))))</f>
        <v/>
      </c>
    </row>
    <row r="210">
      <c r="A210" s="26">
        <f>IF(IFERROR(MATCH(198,직원목록!$B$7:$B$306,0),0)=0,"",198)</f>
        <v/>
      </c>
      <c r="B210" s="2">
        <f>IF($A210="","",IFERROR(INDEX(직원목록!$D$7:$D$306,MATCH(198,직원목록!$B$7:$B$306,0)),""))</f>
        <v/>
      </c>
      <c r="C210" s="2">
        <f>IF($A210="","",IFERROR(INDEX(직원목록!$C$7:$C$306,MATCH(198,직원목록!$B$7:$B$306,0)),""))</f>
        <v/>
      </c>
      <c r="D210" s="27">
        <f>IF($A210="","",IFERROR(INDEX(직원목록!$V$7:$V$306,MATCH(198,직원목록!$B$7:$B$306,0)),""))</f>
        <v/>
      </c>
      <c r="E210" s="27">
        <f>IF($A210="","",IFERROR(INDEX(직원목록!$AG$7:$AG$306,MATCH(198,직원목록!$B$7:$B$306,0)),""))</f>
        <v/>
      </c>
      <c r="F210" s="27">
        <f>IF(OR($A210="",E210=""),"",D210-E210)</f>
        <v/>
      </c>
      <c r="G210" s="27">
        <f>IF($A210="","",IFERROR(INDEX(직원목록!$AE$7:$AE$306,MATCH(198,직원목록!$B$7:$B$306,0)),""))</f>
        <v/>
      </c>
      <c r="H210" s="27">
        <f>IF($A210="","",IFERROR(INDEX(직원목록!$AH$7:$AH$306,MATCH(198,직원목록!$B$7:$B$306,0)),""))</f>
        <v/>
      </c>
      <c r="I210" s="27">
        <f>IF(OR($A210="",H210=""),"",G210-H210)</f>
        <v/>
      </c>
      <c r="J210" s="27">
        <f>IF($A210="","",IFERROR(INDEX(직원목록!$AF$7:$AF$306,MATCH(198,직원목록!$B$7:$B$306,0)),""))</f>
        <v/>
      </c>
      <c r="K210" s="27">
        <f>IF($A210="","",IFERROR(INDEX(직원목록!$AI$7:$AI$306,MATCH(198,직원목록!$B$7:$B$306,0)),""))</f>
        <v/>
      </c>
      <c r="L210" s="8">
        <f>IF($A210="","",IF(LEN(IF(AND(F210&lt;&gt;"",F210&lt;&gt;0),"계산 총지급과 대장 총지급이 다릅니다 / ","")&amp;IF(AND(I210&lt;&gt;"",I210&lt;&gt;0),"계산 총공제와 대장 총공제가 다릅니다 / ","")&amp;IF(J210&lt;0,"실수령액이 음수입니다 / ","")&amp;IF(COUNTIF(직원목록!$D$7:$D$306,B210)&gt;1,"같은 이름이 둘 이상 — 미리보기는 첫 번째만 보입니다 / ","")&amp;IF(AND(C210&lt;&gt;"",COUNTIF(직원목록!$C$7:$C$306,C210)&gt;1),"사번 중복 / ","")&amp;IF(D210=0,"총지급이 0원 — 머리글 매칭 확인 / ","")&amp;IF(AND(설정!$B$17&lt;&gt;"",설정!$C$17="",OR(ISNUMBER(FIND("연장",설정!$B$17)),ISNUMBER(FIND("야간",설정!$B$17)),ISNUMBER(FIND("휴일",설정!$B$17))),INDEX(직원목록!$F$7:$F$306,MATCH(198,직원목록!$B$7:$B$306,0))&gt;0),"연장·야간·휴일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","")&amp;IF(AND(설정!$B$24&lt;&gt;"",설정!$C$24="",OR(ISNUMBER(FIND("연장",설정!$B$24)),ISNUMBER(FIND("야간",설정!$B$24)),ISNUMBER(FIND("휴일",설정!$B$24))),INDEX(직원목록!$M$7:$M$306,MATCH(198,직원목록!$B$7:$B$306,0))&gt;0),"연장·야간·휴일 수당은 시간 수도 명세서에 적어야 하니 시간 열 지정 필요 / ",""))=0,"✔",("⚠ "&amp;IF(AND(F210&lt;&gt;"",F210&lt;&gt;0),"계산 총지급과 대장 총지급이 다릅니다 / ","")&amp;IF(AND(I210&lt;&gt;"",I210&lt;&gt;0),"계산 총공제와 대장 총공제가 다릅니다 / ","")&amp;IF(J210&lt;0,"실수령액이 음수입니다 / ","")&amp;IF(COUNTIF(직원목록!$D$7:$D$306,B210)&gt;1,"같은 이름이 둘 이상 — 미리보기는 첫 번째만 보입니다 / ","")&amp;IF(AND(C210&lt;&gt;"",COUNTIF(직원목록!$C$7:$C$306,C210)&gt;1),"사번 중복 / ","")&amp;IF(D210=0,"총지급이 0원 — 머리글 매칭 확인 / ","")&amp;IF(AND(설정!$B$17&lt;&gt;"",설정!$C$17="",OR(ISNUMBER(FIND("연장",설정!$B$17)),ISNUMBER(FIND("야간",설정!$B$17)),ISNUMBER(FIND("휴일",설정!$B$17))),INDEX(직원목록!$F$7:$F$306,MATCH(198,직원목록!$B$7:$B$306,0))&gt;0),"연장·야간·휴일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","")&amp;IF(AND(설정!$B$24&lt;&gt;"",설정!$C$24="",OR(ISNUMBER(FIND("연장",설정!$B$24)),ISNUMBER(FIND("야간",설정!$B$24)),ISNUMBER(FIND("휴일",설정!$B$24))),INDEX(직원목록!$M$7:$M$306,MATCH(198,직원목록!$B$7:$B$306,0))&gt;0),"연장·야간·휴일 수당은 시간 수도 명세서에 적어야 하니 시간 열 지정 필요 / ",""))))</f>
        <v/>
      </c>
    </row>
    <row r="211">
      <c r="A211" s="26">
        <f>IF(IFERROR(MATCH(199,직원목록!$B$7:$B$306,0),0)=0,"",199)</f>
        <v/>
      </c>
      <c r="B211" s="2">
        <f>IF($A211="","",IFERROR(INDEX(직원목록!$D$7:$D$306,MATCH(199,직원목록!$B$7:$B$306,0)),""))</f>
        <v/>
      </c>
      <c r="C211" s="2">
        <f>IF($A211="","",IFERROR(INDEX(직원목록!$C$7:$C$306,MATCH(199,직원목록!$B$7:$B$306,0)),""))</f>
        <v/>
      </c>
      <c r="D211" s="27">
        <f>IF($A211="","",IFERROR(INDEX(직원목록!$V$7:$V$306,MATCH(199,직원목록!$B$7:$B$306,0)),""))</f>
        <v/>
      </c>
      <c r="E211" s="27">
        <f>IF($A211="","",IFERROR(INDEX(직원목록!$AG$7:$AG$306,MATCH(199,직원목록!$B$7:$B$306,0)),""))</f>
        <v/>
      </c>
      <c r="F211" s="27">
        <f>IF(OR($A211="",E211=""),"",D211-E211)</f>
        <v/>
      </c>
      <c r="G211" s="27">
        <f>IF($A211="","",IFERROR(INDEX(직원목록!$AE$7:$AE$306,MATCH(199,직원목록!$B$7:$B$306,0)),""))</f>
        <v/>
      </c>
      <c r="H211" s="27">
        <f>IF($A211="","",IFERROR(INDEX(직원목록!$AH$7:$AH$306,MATCH(199,직원목록!$B$7:$B$306,0)),""))</f>
        <v/>
      </c>
      <c r="I211" s="27">
        <f>IF(OR($A211="",H211=""),"",G211-H211)</f>
        <v/>
      </c>
      <c r="J211" s="27">
        <f>IF($A211="","",IFERROR(INDEX(직원목록!$AF$7:$AF$306,MATCH(199,직원목록!$B$7:$B$306,0)),""))</f>
        <v/>
      </c>
      <c r="K211" s="27">
        <f>IF($A211="","",IFERROR(INDEX(직원목록!$AI$7:$AI$306,MATCH(199,직원목록!$B$7:$B$306,0)),""))</f>
        <v/>
      </c>
      <c r="L211" s="8">
        <f>IF($A211="","",IF(LEN(IF(AND(F211&lt;&gt;"",F211&lt;&gt;0),"계산 총지급과 대장 총지급이 다릅니다 / ","")&amp;IF(AND(I211&lt;&gt;"",I211&lt;&gt;0),"계산 총공제와 대장 총공제가 다릅니다 / ","")&amp;IF(J211&lt;0,"실수령액이 음수입니다 / ","")&amp;IF(COUNTIF(직원목록!$D$7:$D$306,B211)&gt;1,"같은 이름이 둘 이상 — 미리보기는 첫 번째만 보입니다 / ","")&amp;IF(AND(C211&lt;&gt;"",COUNTIF(직원목록!$C$7:$C$306,C211)&gt;1),"사번 중복 / ","")&amp;IF(D211=0,"총지급이 0원 — 머리글 매칭 확인 / ","")&amp;IF(AND(설정!$B$17&lt;&gt;"",설정!$C$17="",OR(ISNUMBER(FIND("연장",설정!$B$17)),ISNUMBER(FIND("야간",설정!$B$17)),ISNUMBER(FIND("휴일",설정!$B$17))),INDEX(직원목록!$F$7:$F$306,MATCH(199,직원목록!$B$7:$B$306,0))&gt;0),"연장·야간·휴일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","")&amp;IF(AND(설정!$B$24&lt;&gt;"",설정!$C$24="",OR(ISNUMBER(FIND("연장",설정!$B$24)),ISNUMBER(FIND("야간",설정!$B$24)),ISNUMBER(FIND("휴일",설정!$B$24))),INDEX(직원목록!$M$7:$M$306,MATCH(199,직원목록!$B$7:$B$306,0))&gt;0),"연장·야간·휴일 수당은 시간 수도 명세서에 적어야 하니 시간 열 지정 필요 / ",""))=0,"✔",("⚠ "&amp;IF(AND(F211&lt;&gt;"",F211&lt;&gt;0),"계산 총지급과 대장 총지급이 다릅니다 / ","")&amp;IF(AND(I211&lt;&gt;"",I211&lt;&gt;0),"계산 총공제와 대장 총공제가 다릅니다 / ","")&amp;IF(J211&lt;0,"실수령액이 음수입니다 / ","")&amp;IF(COUNTIF(직원목록!$D$7:$D$306,B211)&gt;1,"같은 이름이 둘 이상 — 미리보기는 첫 번째만 보입니다 / ","")&amp;IF(AND(C211&lt;&gt;"",COUNTIF(직원목록!$C$7:$C$306,C211)&gt;1),"사번 중복 / ","")&amp;IF(D211=0,"총지급이 0원 — 머리글 매칭 확인 / ","")&amp;IF(AND(설정!$B$17&lt;&gt;"",설정!$C$17="",OR(ISNUMBER(FIND("연장",설정!$B$17)),ISNUMBER(FIND("야간",설정!$B$17)),ISNUMBER(FIND("휴일",설정!$B$17))),INDEX(직원목록!$F$7:$F$306,MATCH(199,직원목록!$B$7:$B$306,0))&gt;0),"연장·야간·휴일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","")&amp;IF(AND(설정!$B$18&lt;&gt;"",설정!$C$18="",OR(ISNUMBER(FIND("연장",설정!$B$18)),ISNUMBER(FIND("야간",설정!$B$18)),ISNUMBER(FIND("휴일",설정!$B$18))),INDEX(직원목록!$G$7:$G$306,MATCH(199,직원목록!$B$7:$B$306,0))&gt;0),"연장·야간·휴일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","")&amp;IF(AND(설정!$B$19&lt;&gt;"",설정!$C$19="",OR(ISNUMBER(FIND("연장",설정!$B$19)),ISNUMBER(FIND("야간",설정!$B$19)),ISNUMBER(FIND("휴일",설정!$B$19))),INDEX(직원목록!$H$7:$H$306,MATCH(199,직원목록!$B$7:$B$306,0))&gt;0),"연장·야간·휴일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","")&amp;IF(AND(설정!$B$20&lt;&gt;"",설정!$C$20="",OR(ISNUMBER(FIND("연장",설정!$B$20)),ISNUMBER(FIND("야간",설정!$B$20)),ISNUMBER(FIND("휴일",설정!$B$20))),INDEX(직원목록!$I$7:$I$306,MATCH(199,직원목록!$B$7:$B$306,0))&gt;0),"연장·야간·휴일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","")&amp;IF(AND(설정!$B$21&lt;&gt;"",설정!$C$21="",OR(ISNUMBER(FIND("연장",설정!$B$21)),ISNUMBER(FIND("야간",설정!$B$21)),ISNUMBER(FIND("휴일",설정!$B$21))),INDEX(직원목록!$J$7:$J$306,MATCH(199,직원목록!$B$7:$B$306,0))&gt;0),"연장·야간·휴일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","")&amp;IF(AND(설정!$B$22&lt;&gt;"",설정!$C$22="",OR(ISNUMBER(FIND("연장",설정!$B$22)),ISNUMBER(FIND("야간",설정!$B$22)),ISNUMBER(FIND("휴일",설정!$B$22))),INDEX(직원목록!$K$7:$K$306,MATCH(199,직원목록!$B$7:$B$306,0))&gt;0),"연장·야간·휴일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","")&amp;IF(AND(설정!$B$23&lt;&gt;"",설정!$C$23="",OR(ISNUMBER(FIND("연장",설정!$B$23)),ISNUMBER(FIND("야간",설정!$B$23)),ISNUMBER(FIND("휴일",설정!$B$23))),INDEX(직원목록!$L$7:$L$306,MATCH(199,직원목록!$B$7:$B$306,0))&gt;0),"연장·야간·휴일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","")&amp;IF(AND(설정!$B$24&lt;&gt;"",설정!$C$24="",OR(ISNUMBER(FIND("연장",설정!$B$24)),ISNUMBER(FIND("야간",설정!$B$24)),ISNUMBER(FIND("휴일",설정!$B$24))),INDEX(직원목록!$M$7:$M$306,MATCH(199,직원목록!$B$7:$B$306,0))&gt;0),"연장·야간·휴일 수당은 시간 수도 명세서에 적어야 하니 시간 열 지정 필요 / ",""))))</f>
        <v/>
      </c>
    </row>
    <row r="212">
      <c r="A212" s="26">
        <f>IF(IFERROR(MATCH(200,직원목록!$B$7:$B$306,0),0)=0,"",200)</f>
        <v/>
      </c>
      <c r="B212" s="2">
        <f>IF($A212="","",IFERROR(INDEX(직원목록!$D$7:$D$306,MATCH(200,직원목록!$B$7:$B$306,0)),""))</f>
        <v/>
      </c>
      <c r="C212" s="2">
        <f>IF($A212="","",IFERROR(INDEX(직원목록!$C$7:$C$306,MATCH(200,직원목록!$B$7:$B$306,0)),""))</f>
        <v/>
      </c>
      <c r="D212" s="27">
        <f>IF($A212="","",IFERROR(INDEX(직원목록!$V$7:$V$306,MATCH(200,직원목록!$B$7:$B$306,0)),""))</f>
        <v/>
      </c>
      <c r="E212" s="27">
        <f>IF($A212="","",IFERROR(INDEX(직원목록!$AG$7:$AG$306,MATCH(200,직원목록!$B$7:$B$306,0)),""))</f>
        <v/>
      </c>
      <c r="F212" s="27">
        <f>IF(OR($A212="",E212=""),"",D212-E212)</f>
        <v/>
      </c>
      <c r="G212" s="27">
        <f>IF($A212="","",IFERROR(INDEX(직원목록!$AE$7:$AE$306,MATCH(200,직원목록!$B$7:$B$306,0)),""))</f>
        <v/>
      </c>
      <c r="H212" s="27">
        <f>IF($A212="","",IFERROR(INDEX(직원목록!$AH$7:$AH$306,MATCH(200,직원목록!$B$7:$B$306,0)),""))</f>
        <v/>
      </c>
      <c r="I212" s="27">
        <f>IF(OR($A212="",H212=""),"",G212-H212)</f>
        <v/>
      </c>
      <c r="J212" s="27">
        <f>IF($A212="","",IFERROR(INDEX(직원목록!$AF$7:$AF$306,MATCH(200,직원목록!$B$7:$B$306,0)),""))</f>
        <v/>
      </c>
      <c r="K212" s="27">
        <f>IF($A212="","",IFERROR(INDEX(직원목록!$AI$7:$AI$306,MATCH(200,직원목록!$B$7:$B$306,0)),""))</f>
        <v/>
      </c>
      <c r="L212" s="8">
        <f>IF($A212="","",IF(LEN(IF(AND(F212&lt;&gt;"",F212&lt;&gt;0),"계산 총지급과 대장 총지급이 다릅니다 / ","")&amp;IF(AND(I212&lt;&gt;"",I212&lt;&gt;0),"계산 총공제와 대장 총공제가 다릅니다 / ","")&amp;IF(J212&lt;0,"실수령액이 음수입니다 / ","")&amp;IF(COUNTIF(직원목록!$D$7:$D$306,B212)&gt;1,"같은 이름이 둘 이상 — 미리보기는 첫 번째만 보입니다 / ","")&amp;IF(AND(C212&lt;&gt;"",COUNTIF(직원목록!$C$7:$C$306,C212)&gt;1),"사번 중복 / ","")&amp;IF(D212=0,"총지급이 0원 — 머리글 매칭 확인 / ","")&amp;IF(AND(설정!$B$17&lt;&gt;"",설정!$C$17="",OR(ISNUMBER(FIND("연장",설정!$B$17)),ISNUMBER(FIND("야간",설정!$B$17)),ISNUMBER(FIND("휴일",설정!$B$17))),INDEX(직원목록!$F$7:$F$306,MATCH(200,직원목록!$B$7:$B$306,0))&gt;0),"연장·야간·휴일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","")&amp;IF(AND(설정!$B$24&lt;&gt;"",설정!$C$24="",OR(ISNUMBER(FIND("연장",설정!$B$24)),ISNUMBER(FIND("야간",설정!$B$24)),ISNUMBER(FIND("휴일",설정!$B$24))),INDEX(직원목록!$M$7:$M$306,MATCH(200,직원목록!$B$7:$B$306,0))&gt;0),"연장·야간·휴일 수당은 시간 수도 명세서에 적어야 하니 시간 열 지정 필요 / ",""))=0,"✔",("⚠ "&amp;IF(AND(F212&lt;&gt;"",F212&lt;&gt;0),"계산 총지급과 대장 총지급이 다릅니다 / ","")&amp;IF(AND(I212&lt;&gt;"",I212&lt;&gt;0),"계산 총공제와 대장 총공제가 다릅니다 / ","")&amp;IF(J212&lt;0,"실수령액이 음수입니다 / ","")&amp;IF(COUNTIF(직원목록!$D$7:$D$306,B212)&gt;1,"같은 이름이 둘 이상 — 미리보기는 첫 번째만 보입니다 / ","")&amp;IF(AND(C212&lt;&gt;"",COUNTIF(직원목록!$C$7:$C$306,C212)&gt;1),"사번 중복 / ","")&amp;IF(D212=0,"총지급이 0원 — 머리글 매칭 확인 / ","")&amp;IF(AND(설정!$B$17&lt;&gt;"",설정!$C$17="",OR(ISNUMBER(FIND("연장",설정!$B$17)),ISNUMBER(FIND("야간",설정!$B$17)),ISNUMBER(FIND("휴일",설정!$B$17))),INDEX(직원목록!$F$7:$F$306,MATCH(200,직원목록!$B$7:$B$306,0))&gt;0),"연장·야간·휴일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","")&amp;IF(AND(설정!$B$24&lt;&gt;"",설정!$C$24="",OR(ISNUMBER(FIND("연장",설정!$B$24)),ISNUMBER(FIND("야간",설정!$B$24)),ISNUMBER(FIND("휴일",설정!$B$24))),INDEX(직원목록!$M$7:$M$306,MATCH(200,직원목록!$B$7:$B$306,0))&gt;0),"연장·야간·휴일 수당은 시간 수도 명세서에 적어야 하니 시간 열 지정 필요 / ",""))))</f>
        <v/>
      </c>
    </row>
    <row r="213">
      <c r="A213" s="26">
        <f>IF(IFERROR(MATCH(201,직원목록!$B$7:$B$306,0),0)=0,"",201)</f>
        <v/>
      </c>
      <c r="B213" s="2">
        <f>IF($A213="","",IFERROR(INDEX(직원목록!$D$7:$D$306,MATCH(201,직원목록!$B$7:$B$306,0)),""))</f>
        <v/>
      </c>
      <c r="C213" s="2">
        <f>IF($A213="","",IFERROR(INDEX(직원목록!$C$7:$C$306,MATCH(201,직원목록!$B$7:$B$306,0)),""))</f>
        <v/>
      </c>
      <c r="D213" s="27">
        <f>IF($A213="","",IFERROR(INDEX(직원목록!$V$7:$V$306,MATCH(201,직원목록!$B$7:$B$306,0)),""))</f>
        <v/>
      </c>
      <c r="E213" s="27">
        <f>IF($A213="","",IFERROR(INDEX(직원목록!$AG$7:$AG$306,MATCH(201,직원목록!$B$7:$B$306,0)),""))</f>
        <v/>
      </c>
      <c r="F213" s="27">
        <f>IF(OR($A213="",E213=""),"",D213-E213)</f>
        <v/>
      </c>
      <c r="G213" s="27">
        <f>IF($A213="","",IFERROR(INDEX(직원목록!$AE$7:$AE$306,MATCH(201,직원목록!$B$7:$B$306,0)),""))</f>
        <v/>
      </c>
      <c r="H213" s="27">
        <f>IF($A213="","",IFERROR(INDEX(직원목록!$AH$7:$AH$306,MATCH(201,직원목록!$B$7:$B$306,0)),""))</f>
        <v/>
      </c>
      <c r="I213" s="27">
        <f>IF(OR($A213="",H213=""),"",G213-H213)</f>
        <v/>
      </c>
      <c r="J213" s="27">
        <f>IF($A213="","",IFERROR(INDEX(직원목록!$AF$7:$AF$306,MATCH(201,직원목록!$B$7:$B$306,0)),""))</f>
        <v/>
      </c>
      <c r="K213" s="27">
        <f>IF($A213="","",IFERROR(INDEX(직원목록!$AI$7:$AI$306,MATCH(201,직원목록!$B$7:$B$306,0)),""))</f>
        <v/>
      </c>
      <c r="L213" s="8">
        <f>IF($A213="","",IF(LEN(IF(AND(F213&lt;&gt;"",F213&lt;&gt;0),"계산 총지급과 대장 총지급이 다릅니다 / ","")&amp;IF(AND(I213&lt;&gt;"",I213&lt;&gt;0),"계산 총공제와 대장 총공제가 다릅니다 / ","")&amp;IF(J213&lt;0,"실수령액이 음수입니다 / ","")&amp;IF(COUNTIF(직원목록!$D$7:$D$306,B213)&gt;1,"같은 이름이 둘 이상 — 미리보기는 첫 번째만 보입니다 / ","")&amp;IF(AND(C213&lt;&gt;"",COUNTIF(직원목록!$C$7:$C$306,C213)&gt;1),"사번 중복 / ","")&amp;IF(D213=0,"총지급이 0원 — 머리글 매칭 확인 / ","")&amp;IF(AND(설정!$B$17&lt;&gt;"",설정!$C$17="",OR(ISNUMBER(FIND("연장",설정!$B$17)),ISNUMBER(FIND("야간",설정!$B$17)),ISNUMBER(FIND("휴일",설정!$B$17))),INDEX(직원목록!$F$7:$F$306,MATCH(201,직원목록!$B$7:$B$306,0))&gt;0),"연장·야간·휴일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","")&amp;IF(AND(설정!$B$24&lt;&gt;"",설정!$C$24="",OR(ISNUMBER(FIND("연장",설정!$B$24)),ISNUMBER(FIND("야간",설정!$B$24)),ISNUMBER(FIND("휴일",설정!$B$24))),INDEX(직원목록!$M$7:$M$306,MATCH(201,직원목록!$B$7:$B$306,0))&gt;0),"연장·야간·휴일 수당은 시간 수도 명세서에 적어야 하니 시간 열 지정 필요 / ",""))=0,"✔",("⚠ "&amp;IF(AND(F213&lt;&gt;"",F213&lt;&gt;0),"계산 총지급과 대장 총지급이 다릅니다 / ","")&amp;IF(AND(I213&lt;&gt;"",I213&lt;&gt;0),"계산 총공제와 대장 총공제가 다릅니다 / ","")&amp;IF(J213&lt;0,"실수령액이 음수입니다 / ","")&amp;IF(COUNTIF(직원목록!$D$7:$D$306,B213)&gt;1,"같은 이름이 둘 이상 — 미리보기는 첫 번째만 보입니다 / ","")&amp;IF(AND(C213&lt;&gt;"",COUNTIF(직원목록!$C$7:$C$306,C213)&gt;1),"사번 중복 / ","")&amp;IF(D213=0,"총지급이 0원 — 머리글 매칭 확인 / ","")&amp;IF(AND(설정!$B$17&lt;&gt;"",설정!$C$17="",OR(ISNUMBER(FIND("연장",설정!$B$17)),ISNUMBER(FIND("야간",설정!$B$17)),ISNUMBER(FIND("휴일",설정!$B$17))),INDEX(직원목록!$F$7:$F$306,MATCH(201,직원목록!$B$7:$B$306,0))&gt;0),"연장·야간·휴일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","")&amp;IF(AND(설정!$B$24&lt;&gt;"",설정!$C$24="",OR(ISNUMBER(FIND("연장",설정!$B$24)),ISNUMBER(FIND("야간",설정!$B$24)),ISNUMBER(FIND("휴일",설정!$B$24))),INDEX(직원목록!$M$7:$M$306,MATCH(201,직원목록!$B$7:$B$306,0))&gt;0),"연장·야간·휴일 수당은 시간 수도 명세서에 적어야 하니 시간 열 지정 필요 / ",""))))</f>
        <v/>
      </c>
    </row>
    <row r="214">
      <c r="A214" s="26">
        <f>IF(IFERROR(MATCH(202,직원목록!$B$7:$B$306,0),0)=0,"",202)</f>
        <v/>
      </c>
      <c r="B214" s="2">
        <f>IF($A214="","",IFERROR(INDEX(직원목록!$D$7:$D$306,MATCH(202,직원목록!$B$7:$B$306,0)),""))</f>
        <v/>
      </c>
      <c r="C214" s="2">
        <f>IF($A214="","",IFERROR(INDEX(직원목록!$C$7:$C$306,MATCH(202,직원목록!$B$7:$B$306,0)),""))</f>
        <v/>
      </c>
      <c r="D214" s="27">
        <f>IF($A214="","",IFERROR(INDEX(직원목록!$V$7:$V$306,MATCH(202,직원목록!$B$7:$B$306,0)),""))</f>
        <v/>
      </c>
      <c r="E214" s="27">
        <f>IF($A214="","",IFERROR(INDEX(직원목록!$AG$7:$AG$306,MATCH(202,직원목록!$B$7:$B$306,0)),""))</f>
        <v/>
      </c>
      <c r="F214" s="27">
        <f>IF(OR($A214="",E214=""),"",D214-E214)</f>
        <v/>
      </c>
      <c r="G214" s="27">
        <f>IF($A214="","",IFERROR(INDEX(직원목록!$AE$7:$AE$306,MATCH(202,직원목록!$B$7:$B$306,0)),""))</f>
        <v/>
      </c>
      <c r="H214" s="27">
        <f>IF($A214="","",IFERROR(INDEX(직원목록!$AH$7:$AH$306,MATCH(202,직원목록!$B$7:$B$306,0)),""))</f>
        <v/>
      </c>
      <c r="I214" s="27">
        <f>IF(OR($A214="",H214=""),"",G214-H214)</f>
        <v/>
      </c>
      <c r="J214" s="27">
        <f>IF($A214="","",IFERROR(INDEX(직원목록!$AF$7:$AF$306,MATCH(202,직원목록!$B$7:$B$306,0)),""))</f>
        <v/>
      </c>
      <c r="K214" s="27">
        <f>IF($A214="","",IFERROR(INDEX(직원목록!$AI$7:$AI$306,MATCH(202,직원목록!$B$7:$B$306,0)),""))</f>
        <v/>
      </c>
      <c r="L214" s="8">
        <f>IF($A214="","",IF(LEN(IF(AND(F214&lt;&gt;"",F214&lt;&gt;0),"계산 총지급과 대장 총지급이 다릅니다 / ","")&amp;IF(AND(I214&lt;&gt;"",I214&lt;&gt;0),"계산 총공제와 대장 총공제가 다릅니다 / ","")&amp;IF(J214&lt;0,"실수령액이 음수입니다 / ","")&amp;IF(COUNTIF(직원목록!$D$7:$D$306,B214)&gt;1,"같은 이름이 둘 이상 — 미리보기는 첫 번째만 보입니다 / ","")&amp;IF(AND(C214&lt;&gt;"",COUNTIF(직원목록!$C$7:$C$306,C214)&gt;1),"사번 중복 / ","")&amp;IF(D214=0,"총지급이 0원 — 머리글 매칭 확인 / ","")&amp;IF(AND(설정!$B$17&lt;&gt;"",설정!$C$17="",OR(ISNUMBER(FIND("연장",설정!$B$17)),ISNUMBER(FIND("야간",설정!$B$17)),ISNUMBER(FIND("휴일",설정!$B$17))),INDEX(직원목록!$F$7:$F$306,MATCH(202,직원목록!$B$7:$B$306,0))&gt;0),"연장·야간·휴일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","")&amp;IF(AND(설정!$B$24&lt;&gt;"",설정!$C$24="",OR(ISNUMBER(FIND("연장",설정!$B$24)),ISNUMBER(FIND("야간",설정!$B$24)),ISNUMBER(FIND("휴일",설정!$B$24))),INDEX(직원목록!$M$7:$M$306,MATCH(202,직원목록!$B$7:$B$306,0))&gt;0),"연장·야간·휴일 수당은 시간 수도 명세서에 적어야 하니 시간 열 지정 필요 / ",""))=0,"✔",("⚠ "&amp;IF(AND(F214&lt;&gt;"",F214&lt;&gt;0),"계산 총지급과 대장 총지급이 다릅니다 / ","")&amp;IF(AND(I214&lt;&gt;"",I214&lt;&gt;0),"계산 총공제와 대장 총공제가 다릅니다 / ","")&amp;IF(J214&lt;0,"실수령액이 음수입니다 / ","")&amp;IF(COUNTIF(직원목록!$D$7:$D$306,B214)&gt;1,"같은 이름이 둘 이상 — 미리보기는 첫 번째만 보입니다 / ","")&amp;IF(AND(C214&lt;&gt;"",COUNTIF(직원목록!$C$7:$C$306,C214)&gt;1),"사번 중복 / ","")&amp;IF(D214=0,"총지급이 0원 — 머리글 매칭 확인 / ","")&amp;IF(AND(설정!$B$17&lt;&gt;"",설정!$C$17="",OR(ISNUMBER(FIND("연장",설정!$B$17)),ISNUMBER(FIND("야간",설정!$B$17)),ISNUMBER(FIND("휴일",설정!$B$17))),INDEX(직원목록!$F$7:$F$306,MATCH(202,직원목록!$B$7:$B$306,0))&gt;0),"연장·야간·휴일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","")&amp;IF(AND(설정!$B$24&lt;&gt;"",설정!$C$24="",OR(ISNUMBER(FIND("연장",설정!$B$24)),ISNUMBER(FIND("야간",설정!$B$24)),ISNUMBER(FIND("휴일",설정!$B$24))),INDEX(직원목록!$M$7:$M$306,MATCH(202,직원목록!$B$7:$B$306,0))&gt;0),"연장·야간·휴일 수당은 시간 수도 명세서에 적어야 하니 시간 열 지정 필요 / ",""))))</f>
        <v/>
      </c>
    </row>
    <row r="215">
      <c r="A215" s="26">
        <f>IF(IFERROR(MATCH(203,직원목록!$B$7:$B$306,0),0)=0,"",203)</f>
        <v/>
      </c>
      <c r="B215" s="2">
        <f>IF($A215="","",IFERROR(INDEX(직원목록!$D$7:$D$306,MATCH(203,직원목록!$B$7:$B$306,0)),""))</f>
        <v/>
      </c>
      <c r="C215" s="2">
        <f>IF($A215="","",IFERROR(INDEX(직원목록!$C$7:$C$306,MATCH(203,직원목록!$B$7:$B$306,0)),""))</f>
        <v/>
      </c>
      <c r="D215" s="27">
        <f>IF($A215="","",IFERROR(INDEX(직원목록!$V$7:$V$306,MATCH(203,직원목록!$B$7:$B$306,0)),""))</f>
        <v/>
      </c>
      <c r="E215" s="27">
        <f>IF($A215="","",IFERROR(INDEX(직원목록!$AG$7:$AG$306,MATCH(203,직원목록!$B$7:$B$306,0)),""))</f>
        <v/>
      </c>
      <c r="F215" s="27">
        <f>IF(OR($A215="",E215=""),"",D215-E215)</f>
        <v/>
      </c>
      <c r="G215" s="27">
        <f>IF($A215="","",IFERROR(INDEX(직원목록!$AE$7:$AE$306,MATCH(203,직원목록!$B$7:$B$306,0)),""))</f>
        <v/>
      </c>
      <c r="H215" s="27">
        <f>IF($A215="","",IFERROR(INDEX(직원목록!$AH$7:$AH$306,MATCH(203,직원목록!$B$7:$B$306,0)),""))</f>
        <v/>
      </c>
      <c r="I215" s="27">
        <f>IF(OR($A215="",H215=""),"",G215-H215)</f>
        <v/>
      </c>
      <c r="J215" s="27">
        <f>IF($A215="","",IFERROR(INDEX(직원목록!$AF$7:$AF$306,MATCH(203,직원목록!$B$7:$B$306,0)),""))</f>
        <v/>
      </c>
      <c r="K215" s="27">
        <f>IF($A215="","",IFERROR(INDEX(직원목록!$AI$7:$AI$306,MATCH(203,직원목록!$B$7:$B$306,0)),""))</f>
        <v/>
      </c>
      <c r="L215" s="8">
        <f>IF($A215="","",IF(LEN(IF(AND(F215&lt;&gt;"",F215&lt;&gt;0),"계산 총지급과 대장 총지급이 다릅니다 / ","")&amp;IF(AND(I215&lt;&gt;"",I215&lt;&gt;0),"계산 총공제와 대장 총공제가 다릅니다 / ","")&amp;IF(J215&lt;0,"실수령액이 음수입니다 / ","")&amp;IF(COUNTIF(직원목록!$D$7:$D$306,B215)&gt;1,"같은 이름이 둘 이상 — 미리보기는 첫 번째만 보입니다 / ","")&amp;IF(AND(C215&lt;&gt;"",COUNTIF(직원목록!$C$7:$C$306,C215)&gt;1),"사번 중복 / ","")&amp;IF(D215=0,"총지급이 0원 — 머리글 매칭 확인 / ","")&amp;IF(AND(설정!$B$17&lt;&gt;"",설정!$C$17="",OR(ISNUMBER(FIND("연장",설정!$B$17)),ISNUMBER(FIND("야간",설정!$B$17)),ISNUMBER(FIND("휴일",설정!$B$17))),INDEX(직원목록!$F$7:$F$306,MATCH(203,직원목록!$B$7:$B$306,0))&gt;0),"연장·야간·휴일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","")&amp;IF(AND(설정!$B$24&lt;&gt;"",설정!$C$24="",OR(ISNUMBER(FIND("연장",설정!$B$24)),ISNUMBER(FIND("야간",설정!$B$24)),ISNUMBER(FIND("휴일",설정!$B$24))),INDEX(직원목록!$M$7:$M$306,MATCH(203,직원목록!$B$7:$B$306,0))&gt;0),"연장·야간·휴일 수당은 시간 수도 명세서에 적어야 하니 시간 열 지정 필요 / ",""))=0,"✔",("⚠ "&amp;IF(AND(F215&lt;&gt;"",F215&lt;&gt;0),"계산 총지급과 대장 총지급이 다릅니다 / ","")&amp;IF(AND(I215&lt;&gt;"",I215&lt;&gt;0),"계산 총공제와 대장 총공제가 다릅니다 / ","")&amp;IF(J215&lt;0,"실수령액이 음수입니다 / ","")&amp;IF(COUNTIF(직원목록!$D$7:$D$306,B215)&gt;1,"같은 이름이 둘 이상 — 미리보기는 첫 번째만 보입니다 / ","")&amp;IF(AND(C215&lt;&gt;"",COUNTIF(직원목록!$C$7:$C$306,C215)&gt;1),"사번 중복 / ","")&amp;IF(D215=0,"총지급이 0원 — 머리글 매칭 확인 / ","")&amp;IF(AND(설정!$B$17&lt;&gt;"",설정!$C$17="",OR(ISNUMBER(FIND("연장",설정!$B$17)),ISNUMBER(FIND("야간",설정!$B$17)),ISNUMBER(FIND("휴일",설정!$B$17))),INDEX(직원목록!$F$7:$F$306,MATCH(203,직원목록!$B$7:$B$306,0))&gt;0),"연장·야간·휴일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","")&amp;IF(AND(설정!$B$24&lt;&gt;"",설정!$C$24="",OR(ISNUMBER(FIND("연장",설정!$B$24)),ISNUMBER(FIND("야간",설정!$B$24)),ISNUMBER(FIND("휴일",설정!$B$24))),INDEX(직원목록!$M$7:$M$306,MATCH(203,직원목록!$B$7:$B$306,0))&gt;0),"연장·야간·휴일 수당은 시간 수도 명세서에 적어야 하니 시간 열 지정 필요 / ",""))))</f>
        <v/>
      </c>
    </row>
    <row r="216">
      <c r="A216" s="26">
        <f>IF(IFERROR(MATCH(204,직원목록!$B$7:$B$306,0),0)=0,"",204)</f>
        <v/>
      </c>
      <c r="B216" s="2">
        <f>IF($A216="","",IFERROR(INDEX(직원목록!$D$7:$D$306,MATCH(204,직원목록!$B$7:$B$306,0)),""))</f>
        <v/>
      </c>
      <c r="C216" s="2">
        <f>IF($A216="","",IFERROR(INDEX(직원목록!$C$7:$C$306,MATCH(204,직원목록!$B$7:$B$306,0)),""))</f>
        <v/>
      </c>
      <c r="D216" s="27">
        <f>IF($A216="","",IFERROR(INDEX(직원목록!$V$7:$V$306,MATCH(204,직원목록!$B$7:$B$306,0)),""))</f>
        <v/>
      </c>
      <c r="E216" s="27">
        <f>IF($A216="","",IFERROR(INDEX(직원목록!$AG$7:$AG$306,MATCH(204,직원목록!$B$7:$B$306,0)),""))</f>
        <v/>
      </c>
      <c r="F216" s="27">
        <f>IF(OR($A216="",E216=""),"",D216-E216)</f>
        <v/>
      </c>
      <c r="G216" s="27">
        <f>IF($A216="","",IFERROR(INDEX(직원목록!$AE$7:$AE$306,MATCH(204,직원목록!$B$7:$B$306,0)),""))</f>
        <v/>
      </c>
      <c r="H216" s="27">
        <f>IF($A216="","",IFERROR(INDEX(직원목록!$AH$7:$AH$306,MATCH(204,직원목록!$B$7:$B$306,0)),""))</f>
        <v/>
      </c>
      <c r="I216" s="27">
        <f>IF(OR($A216="",H216=""),"",G216-H216)</f>
        <v/>
      </c>
      <c r="J216" s="27">
        <f>IF($A216="","",IFERROR(INDEX(직원목록!$AF$7:$AF$306,MATCH(204,직원목록!$B$7:$B$306,0)),""))</f>
        <v/>
      </c>
      <c r="K216" s="27">
        <f>IF($A216="","",IFERROR(INDEX(직원목록!$AI$7:$AI$306,MATCH(204,직원목록!$B$7:$B$306,0)),""))</f>
        <v/>
      </c>
      <c r="L216" s="8">
        <f>IF($A216="","",IF(LEN(IF(AND(F216&lt;&gt;"",F216&lt;&gt;0),"계산 총지급과 대장 총지급이 다릅니다 / ","")&amp;IF(AND(I216&lt;&gt;"",I216&lt;&gt;0),"계산 총공제와 대장 총공제가 다릅니다 / ","")&amp;IF(J216&lt;0,"실수령액이 음수입니다 / ","")&amp;IF(COUNTIF(직원목록!$D$7:$D$306,B216)&gt;1,"같은 이름이 둘 이상 — 미리보기는 첫 번째만 보입니다 / ","")&amp;IF(AND(C216&lt;&gt;"",COUNTIF(직원목록!$C$7:$C$306,C216)&gt;1),"사번 중복 / ","")&amp;IF(D216=0,"총지급이 0원 — 머리글 매칭 확인 / ","")&amp;IF(AND(설정!$B$17&lt;&gt;"",설정!$C$17="",OR(ISNUMBER(FIND("연장",설정!$B$17)),ISNUMBER(FIND("야간",설정!$B$17)),ISNUMBER(FIND("휴일",설정!$B$17))),INDEX(직원목록!$F$7:$F$306,MATCH(204,직원목록!$B$7:$B$306,0))&gt;0),"연장·야간·휴일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","")&amp;IF(AND(설정!$B$24&lt;&gt;"",설정!$C$24="",OR(ISNUMBER(FIND("연장",설정!$B$24)),ISNUMBER(FIND("야간",설정!$B$24)),ISNUMBER(FIND("휴일",설정!$B$24))),INDEX(직원목록!$M$7:$M$306,MATCH(204,직원목록!$B$7:$B$306,0))&gt;0),"연장·야간·휴일 수당은 시간 수도 명세서에 적어야 하니 시간 열 지정 필요 / ",""))=0,"✔",("⚠ "&amp;IF(AND(F216&lt;&gt;"",F216&lt;&gt;0),"계산 총지급과 대장 총지급이 다릅니다 / ","")&amp;IF(AND(I216&lt;&gt;"",I216&lt;&gt;0),"계산 총공제와 대장 총공제가 다릅니다 / ","")&amp;IF(J216&lt;0,"실수령액이 음수입니다 / ","")&amp;IF(COUNTIF(직원목록!$D$7:$D$306,B216)&gt;1,"같은 이름이 둘 이상 — 미리보기는 첫 번째만 보입니다 / ","")&amp;IF(AND(C216&lt;&gt;"",COUNTIF(직원목록!$C$7:$C$306,C216)&gt;1),"사번 중복 / ","")&amp;IF(D216=0,"총지급이 0원 — 머리글 매칭 확인 / ","")&amp;IF(AND(설정!$B$17&lt;&gt;"",설정!$C$17="",OR(ISNUMBER(FIND("연장",설정!$B$17)),ISNUMBER(FIND("야간",설정!$B$17)),ISNUMBER(FIND("휴일",설정!$B$17))),INDEX(직원목록!$F$7:$F$306,MATCH(204,직원목록!$B$7:$B$306,0))&gt;0),"연장·야간·휴일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","")&amp;IF(AND(설정!$B$24&lt;&gt;"",설정!$C$24="",OR(ISNUMBER(FIND("연장",설정!$B$24)),ISNUMBER(FIND("야간",설정!$B$24)),ISNUMBER(FIND("휴일",설정!$B$24))),INDEX(직원목록!$M$7:$M$306,MATCH(204,직원목록!$B$7:$B$306,0))&gt;0),"연장·야간·휴일 수당은 시간 수도 명세서에 적어야 하니 시간 열 지정 필요 / ",""))))</f>
        <v/>
      </c>
    </row>
    <row r="217">
      <c r="A217" s="26">
        <f>IF(IFERROR(MATCH(205,직원목록!$B$7:$B$306,0),0)=0,"",205)</f>
        <v/>
      </c>
      <c r="B217" s="2">
        <f>IF($A217="","",IFERROR(INDEX(직원목록!$D$7:$D$306,MATCH(205,직원목록!$B$7:$B$306,0)),""))</f>
        <v/>
      </c>
      <c r="C217" s="2">
        <f>IF($A217="","",IFERROR(INDEX(직원목록!$C$7:$C$306,MATCH(205,직원목록!$B$7:$B$306,0)),""))</f>
        <v/>
      </c>
      <c r="D217" s="27">
        <f>IF($A217="","",IFERROR(INDEX(직원목록!$V$7:$V$306,MATCH(205,직원목록!$B$7:$B$306,0)),""))</f>
        <v/>
      </c>
      <c r="E217" s="27">
        <f>IF($A217="","",IFERROR(INDEX(직원목록!$AG$7:$AG$306,MATCH(205,직원목록!$B$7:$B$306,0)),""))</f>
        <v/>
      </c>
      <c r="F217" s="27">
        <f>IF(OR($A217="",E217=""),"",D217-E217)</f>
        <v/>
      </c>
      <c r="G217" s="27">
        <f>IF($A217="","",IFERROR(INDEX(직원목록!$AE$7:$AE$306,MATCH(205,직원목록!$B$7:$B$306,0)),""))</f>
        <v/>
      </c>
      <c r="H217" s="27">
        <f>IF($A217="","",IFERROR(INDEX(직원목록!$AH$7:$AH$306,MATCH(205,직원목록!$B$7:$B$306,0)),""))</f>
        <v/>
      </c>
      <c r="I217" s="27">
        <f>IF(OR($A217="",H217=""),"",G217-H217)</f>
        <v/>
      </c>
      <c r="J217" s="27">
        <f>IF($A217="","",IFERROR(INDEX(직원목록!$AF$7:$AF$306,MATCH(205,직원목록!$B$7:$B$306,0)),""))</f>
        <v/>
      </c>
      <c r="K217" s="27">
        <f>IF($A217="","",IFERROR(INDEX(직원목록!$AI$7:$AI$306,MATCH(205,직원목록!$B$7:$B$306,0)),""))</f>
        <v/>
      </c>
      <c r="L217" s="8">
        <f>IF($A217="","",IF(LEN(IF(AND(F217&lt;&gt;"",F217&lt;&gt;0),"계산 총지급과 대장 총지급이 다릅니다 / ","")&amp;IF(AND(I217&lt;&gt;"",I217&lt;&gt;0),"계산 총공제와 대장 총공제가 다릅니다 / ","")&amp;IF(J217&lt;0,"실수령액이 음수입니다 / ","")&amp;IF(COUNTIF(직원목록!$D$7:$D$306,B217)&gt;1,"같은 이름이 둘 이상 — 미리보기는 첫 번째만 보입니다 / ","")&amp;IF(AND(C217&lt;&gt;"",COUNTIF(직원목록!$C$7:$C$306,C217)&gt;1),"사번 중복 / ","")&amp;IF(D217=0,"총지급이 0원 — 머리글 매칭 확인 / ","")&amp;IF(AND(설정!$B$17&lt;&gt;"",설정!$C$17="",OR(ISNUMBER(FIND("연장",설정!$B$17)),ISNUMBER(FIND("야간",설정!$B$17)),ISNUMBER(FIND("휴일",설정!$B$17))),INDEX(직원목록!$F$7:$F$306,MATCH(205,직원목록!$B$7:$B$306,0))&gt;0),"연장·야간·휴일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","")&amp;IF(AND(설정!$B$24&lt;&gt;"",설정!$C$24="",OR(ISNUMBER(FIND("연장",설정!$B$24)),ISNUMBER(FIND("야간",설정!$B$24)),ISNUMBER(FIND("휴일",설정!$B$24))),INDEX(직원목록!$M$7:$M$306,MATCH(205,직원목록!$B$7:$B$306,0))&gt;0),"연장·야간·휴일 수당은 시간 수도 명세서에 적어야 하니 시간 열 지정 필요 / ",""))=0,"✔",("⚠ "&amp;IF(AND(F217&lt;&gt;"",F217&lt;&gt;0),"계산 총지급과 대장 총지급이 다릅니다 / ","")&amp;IF(AND(I217&lt;&gt;"",I217&lt;&gt;0),"계산 총공제와 대장 총공제가 다릅니다 / ","")&amp;IF(J217&lt;0,"실수령액이 음수입니다 / ","")&amp;IF(COUNTIF(직원목록!$D$7:$D$306,B217)&gt;1,"같은 이름이 둘 이상 — 미리보기는 첫 번째만 보입니다 / ","")&amp;IF(AND(C217&lt;&gt;"",COUNTIF(직원목록!$C$7:$C$306,C217)&gt;1),"사번 중복 / ","")&amp;IF(D217=0,"총지급이 0원 — 머리글 매칭 확인 / ","")&amp;IF(AND(설정!$B$17&lt;&gt;"",설정!$C$17="",OR(ISNUMBER(FIND("연장",설정!$B$17)),ISNUMBER(FIND("야간",설정!$B$17)),ISNUMBER(FIND("휴일",설정!$B$17))),INDEX(직원목록!$F$7:$F$306,MATCH(205,직원목록!$B$7:$B$306,0))&gt;0),"연장·야간·휴일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","")&amp;IF(AND(설정!$B$24&lt;&gt;"",설정!$C$24="",OR(ISNUMBER(FIND("연장",설정!$B$24)),ISNUMBER(FIND("야간",설정!$B$24)),ISNUMBER(FIND("휴일",설정!$B$24))),INDEX(직원목록!$M$7:$M$306,MATCH(205,직원목록!$B$7:$B$306,0))&gt;0),"연장·야간·휴일 수당은 시간 수도 명세서에 적어야 하니 시간 열 지정 필요 / ",""))))</f>
        <v/>
      </c>
    </row>
    <row r="218">
      <c r="A218" s="26">
        <f>IF(IFERROR(MATCH(206,직원목록!$B$7:$B$306,0),0)=0,"",206)</f>
        <v/>
      </c>
      <c r="B218" s="2">
        <f>IF($A218="","",IFERROR(INDEX(직원목록!$D$7:$D$306,MATCH(206,직원목록!$B$7:$B$306,0)),""))</f>
        <v/>
      </c>
      <c r="C218" s="2">
        <f>IF($A218="","",IFERROR(INDEX(직원목록!$C$7:$C$306,MATCH(206,직원목록!$B$7:$B$306,0)),""))</f>
        <v/>
      </c>
      <c r="D218" s="27">
        <f>IF($A218="","",IFERROR(INDEX(직원목록!$V$7:$V$306,MATCH(206,직원목록!$B$7:$B$306,0)),""))</f>
        <v/>
      </c>
      <c r="E218" s="27">
        <f>IF($A218="","",IFERROR(INDEX(직원목록!$AG$7:$AG$306,MATCH(206,직원목록!$B$7:$B$306,0)),""))</f>
        <v/>
      </c>
      <c r="F218" s="27">
        <f>IF(OR($A218="",E218=""),"",D218-E218)</f>
        <v/>
      </c>
      <c r="G218" s="27">
        <f>IF($A218="","",IFERROR(INDEX(직원목록!$AE$7:$AE$306,MATCH(206,직원목록!$B$7:$B$306,0)),""))</f>
        <v/>
      </c>
      <c r="H218" s="27">
        <f>IF($A218="","",IFERROR(INDEX(직원목록!$AH$7:$AH$306,MATCH(206,직원목록!$B$7:$B$306,0)),""))</f>
        <v/>
      </c>
      <c r="I218" s="27">
        <f>IF(OR($A218="",H218=""),"",G218-H218)</f>
        <v/>
      </c>
      <c r="J218" s="27">
        <f>IF($A218="","",IFERROR(INDEX(직원목록!$AF$7:$AF$306,MATCH(206,직원목록!$B$7:$B$306,0)),""))</f>
        <v/>
      </c>
      <c r="K218" s="27">
        <f>IF($A218="","",IFERROR(INDEX(직원목록!$AI$7:$AI$306,MATCH(206,직원목록!$B$7:$B$306,0)),""))</f>
        <v/>
      </c>
      <c r="L218" s="8">
        <f>IF($A218="","",IF(LEN(IF(AND(F218&lt;&gt;"",F218&lt;&gt;0),"계산 총지급과 대장 총지급이 다릅니다 / ","")&amp;IF(AND(I218&lt;&gt;"",I218&lt;&gt;0),"계산 총공제와 대장 총공제가 다릅니다 / ","")&amp;IF(J218&lt;0,"실수령액이 음수입니다 / ","")&amp;IF(COUNTIF(직원목록!$D$7:$D$306,B218)&gt;1,"같은 이름이 둘 이상 — 미리보기는 첫 번째만 보입니다 / ","")&amp;IF(AND(C218&lt;&gt;"",COUNTIF(직원목록!$C$7:$C$306,C218)&gt;1),"사번 중복 / ","")&amp;IF(D218=0,"총지급이 0원 — 머리글 매칭 확인 / ","")&amp;IF(AND(설정!$B$17&lt;&gt;"",설정!$C$17="",OR(ISNUMBER(FIND("연장",설정!$B$17)),ISNUMBER(FIND("야간",설정!$B$17)),ISNUMBER(FIND("휴일",설정!$B$17))),INDEX(직원목록!$F$7:$F$306,MATCH(206,직원목록!$B$7:$B$306,0))&gt;0),"연장·야간·휴일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","")&amp;IF(AND(설정!$B$24&lt;&gt;"",설정!$C$24="",OR(ISNUMBER(FIND("연장",설정!$B$24)),ISNUMBER(FIND("야간",설정!$B$24)),ISNUMBER(FIND("휴일",설정!$B$24))),INDEX(직원목록!$M$7:$M$306,MATCH(206,직원목록!$B$7:$B$306,0))&gt;0),"연장·야간·휴일 수당은 시간 수도 명세서에 적어야 하니 시간 열 지정 필요 / ",""))=0,"✔",("⚠ "&amp;IF(AND(F218&lt;&gt;"",F218&lt;&gt;0),"계산 총지급과 대장 총지급이 다릅니다 / ","")&amp;IF(AND(I218&lt;&gt;"",I218&lt;&gt;0),"계산 총공제와 대장 총공제가 다릅니다 / ","")&amp;IF(J218&lt;0,"실수령액이 음수입니다 / ","")&amp;IF(COUNTIF(직원목록!$D$7:$D$306,B218)&gt;1,"같은 이름이 둘 이상 — 미리보기는 첫 번째만 보입니다 / ","")&amp;IF(AND(C218&lt;&gt;"",COUNTIF(직원목록!$C$7:$C$306,C218)&gt;1),"사번 중복 / ","")&amp;IF(D218=0,"총지급이 0원 — 머리글 매칭 확인 / ","")&amp;IF(AND(설정!$B$17&lt;&gt;"",설정!$C$17="",OR(ISNUMBER(FIND("연장",설정!$B$17)),ISNUMBER(FIND("야간",설정!$B$17)),ISNUMBER(FIND("휴일",설정!$B$17))),INDEX(직원목록!$F$7:$F$306,MATCH(206,직원목록!$B$7:$B$306,0))&gt;0),"연장·야간·휴일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","")&amp;IF(AND(설정!$B$24&lt;&gt;"",설정!$C$24="",OR(ISNUMBER(FIND("연장",설정!$B$24)),ISNUMBER(FIND("야간",설정!$B$24)),ISNUMBER(FIND("휴일",설정!$B$24))),INDEX(직원목록!$M$7:$M$306,MATCH(206,직원목록!$B$7:$B$306,0))&gt;0),"연장·야간·휴일 수당은 시간 수도 명세서에 적어야 하니 시간 열 지정 필요 / ",""))))</f>
        <v/>
      </c>
    </row>
    <row r="219">
      <c r="A219" s="26">
        <f>IF(IFERROR(MATCH(207,직원목록!$B$7:$B$306,0),0)=0,"",207)</f>
        <v/>
      </c>
      <c r="B219" s="2">
        <f>IF($A219="","",IFERROR(INDEX(직원목록!$D$7:$D$306,MATCH(207,직원목록!$B$7:$B$306,0)),""))</f>
        <v/>
      </c>
      <c r="C219" s="2">
        <f>IF($A219="","",IFERROR(INDEX(직원목록!$C$7:$C$306,MATCH(207,직원목록!$B$7:$B$306,0)),""))</f>
        <v/>
      </c>
      <c r="D219" s="27">
        <f>IF($A219="","",IFERROR(INDEX(직원목록!$V$7:$V$306,MATCH(207,직원목록!$B$7:$B$306,0)),""))</f>
        <v/>
      </c>
      <c r="E219" s="27">
        <f>IF($A219="","",IFERROR(INDEX(직원목록!$AG$7:$AG$306,MATCH(207,직원목록!$B$7:$B$306,0)),""))</f>
        <v/>
      </c>
      <c r="F219" s="27">
        <f>IF(OR($A219="",E219=""),"",D219-E219)</f>
        <v/>
      </c>
      <c r="G219" s="27">
        <f>IF($A219="","",IFERROR(INDEX(직원목록!$AE$7:$AE$306,MATCH(207,직원목록!$B$7:$B$306,0)),""))</f>
        <v/>
      </c>
      <c r="H219" s="27">
        <f>IF($A219="","",IFERROR(INDEX(직원목록!$AH$7:$AH$306,MATCH(207,직원목록!$B$7:$B$306,0)),""))</f>
        <v/>
      </c>
      <c r="I219" s="27">
        <f>IF(OR($A219="",H219=""),"",G219-H219)</f>
        <v/>
      </c>
      <c r="J219" s="27">
        <f>IF($A219="","",IFERROR(INDEX(직원목록!$AF$7:$AF$306,MATCH(207,직원목록!$B$7:$B$306,0)),""))</f>
        <v/>
      </c>
      <c r="K219" s="27">
        <f>IF($A219="","",IFERROR(INDEX(직원목록!$AI$7:$AI$306,MATCH(207,직원목록!$B$7:$B$306,0)),""))</f>
        <v/>
      </c>
      <c r="L219" s="8">
        <f>IF($A219="","",IF(LEN(IF(AND(F219&lt;&gt;"",F219&lt;&gt;0),"계산 총지급과 대장 총지급이 다릅니다 / ","")&amp;IF(AND(I219&lt;&gt;"",I219&lt;&gt;0),"계산 총공제와 대장 총공제가 다릅니다 / ","")&amp;IF(J219&lt;0,"실수령액이 음수입니다 / ","")&amp;IF(COUNTIF(직원목록!$D$7:$D$306,B219)&gt;1,"같은 이름이 둘 이상 — 미리보기는 첫 번째만 보입니다 / ","")&amp;IF(AND(C219&lt;&gt;"",COUNTIF(직원목록!$C$7:$C$306,C219)&gt;1),"사번 중복 / ","")&amp;IF(D219=0,"총지급이 0원 — 머리글 매칭 확인 / ","")&amp;IF(AND(설정!$B$17&lt;&gt;"",설정!$C$17="",OR(ISNUMBER(FIND("연장",설정!$B$17)),ISNUMBER(FIND("야간",설정!$B$17)),ISNUMBER(FIND("휴일",설정!$B$17))),INDEX(직원목록!$F$7:$F$306,MATCH(207,직원목록!$B$7:$B$306,0))&gt;0),"연장·야간·휴일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","")&amp;IF(AND(설정!$B$24&lt;&gt;"",설정!$C$24="",OR(ISNUMBER(FIND("연장",설정!$B$24)),ISNUMBER(FIND("야간",설정!$B$24)),ISNUMBER(FIND("휴일",설정!$B$24))),INDEX(직원목록!$M$7:$M$306,MATCH(207,직원목록!$B$7:$B$306,0))&gt;0),"연장·야간·휴일 수당은 시간 수도 명세서에 적어야 하니 시간 열 지정 필요 / ",""))=0,"✔",("⚠ "&amp;IF(AND(F219&lt;&gt;"",F219&lt;&gt;0),"계산 총지급과 대장 총지급이 다릅니다 / ","")&amp;IF(AND(I219&lt;&gt;"",I219&lt;&gt;0),"계산 총공제와 대장 총공제가 다릅니다 / ","")&amp;IF(J219&lt;0,"실수령액이 음수입니다 / ","")&amp;IF(COUNTIF(직원목록!$D$7:$D$306,B219)&gt;1,"같은 이름이 둘 이상 — 미리보기는 첫 번째만 보입니다 / ","")&amp;IF(AND(C219&lt;&gt;"",COUNTIF(직원목록!$C$7:$C$306,C219)&gt;1),"사번 중복 / ","")&amp;IF(D219=0,"총지급이 0원 — 머리글 매칭 확인 / ","")&amp;IF(AND(설정!$B$17&lt;&gt;"",설정!$C$17="",OR(ISNUMBER(FIND("연장",설정!$B$17)),ISNUMBER(FIND("야간",설정!$B$17)),ISNUMBER(FIND("휴일",설정!$B$17))),INDEX(직원목록!$F$7:$F$306,MATCH(207,직원목록!$B$7:$B$306,0))&gt;0),"연장·야간·휴일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","")&amp;IF(AND(설정!$B$24&lt;&gt;"",설정!$C$24="",OR(ISNUMBER(FIND("연장",설정!$B$24)),ISNUMBER(FIND("야간",설정!$B$24)),ISNUMBER(FIND("휴일",설정!$B$24))),INDEX(직원목록!$M$7:$M$306,MATCH(207,직원목록!$B$7:$B$306,0))&gt;0),"연장·야간·휴일 수당은 시간 수도 명세서에 적어야 하니 시간 열 지정 필요 / ",""))))</f>
        <v/>
      </c>
    </row>
    <row r="220">
      <c r="A220" s="26">
        <f>IF(IFERROR(MATCH(208,직원목록!$B$7:$B$306,0),0)=0,"",208)</f>
        <v/>
      </c>
      <c r="B220" s="2">
        <f>IF($A220="","",IFERROR(INDEX(직원목록!$D$7:$D$306,MATCH(208,직원목록!$B$7:$B$306,0)),""))</f>
        <v/>
      </c>
      <c r="C220" s="2">
        <f>IF($A220="","",IFERROR(INDEX(직원목록!$C$7:$C$306,MATCH(208,직원목록!$B$7:$B$306,0)),""))</f>
        <v/>
      </c>
      <c r="D220" s="27">
        <f>IF($A220="","",IFERROR(INDEX(직원목록!$V$7:$V$306,MATCH(208,직원목록!$B$7:$B$306,0)),""))</f>
        <v/>
      </c>
      <c r="E220" s="27">
        <f>IF($A220="","",IFERROR(INDEX(직원목록!$AG$7:$AG$306,MATCH(208,직원목록!$B$7:$B$306,0)),""))</f>
        <v/>
      </c>
      <c r="F220" s="27">
        <f>IF(OR($A220="",E220=""),"",D220-E220)</f>
        <v/>
      </c>
      <c r="G220" s="27">
        <f>IF($A220="","",IFERROR(INDEX(직원목록!$AE$7:$AE$306,MATCH(208,직원목록!$B$7:$B$306,0)),""))</f>
        <v/>
      </c>
      <c r="H220" s="27">
        <f>IF($A220="","",IFERROR(INDEX(직원목록!$AH$7:$AH$306,MATCH(208,직원목록!$B$7:$B$306,0)),""))</f>
        <v/>
      </c>
      <c r="I220" s="27">
        <f>IF(OR($A220="",H220=""),"",G220-H220)</f>
        <v/>
      </c>
      <c r="J220" s="27">
        <f>IF($A220="","",IFERROR(INDEX(직원목록!$AF$7:$AF$306,MATCH(208,직원목록!$B$7:$B$306,0)),""))</f>
        <v/>
      </c>
      <c r="K220" s="27">
        <f>IF($A220="","",IFERROR(INDEX(직원목록!$AI$7:$AI$306,MATCH(208,직원목록!$B$7:$B$306,0)),""))</f>
        <v/>
      </c>
      <c r="L220" s="8">
        <f>IF($A220="","",IF(LEN(IF(AND(F220&lt;&gt;"",F220&lt;&gt;0),"계산 총지급과 대장 총지급이 다릅니다 / ","")&amp;IF(AND(I220&lt;&gt;"",I220&lt;&gt;0),"계산 총공제와 대장 총공제가 다릅니다 / ","")&amp;IF(J220&lt;0,"실수령액이 음수입니다 / ","")&amp;IF(COUNTIF(직원목록!$D$7:$D$306,B220)&gt;1,"같은 이름이 둘 이상 — 미리보기는 첫 번째만 보입니다 / ","")&amp;IF(AND(C220&lt;&gt;"",COUNTIF(직원목록!$C$7:$C$306,C220)&gt;1),"사번 중복 / ","")&amp;IF(D220=0,"총지급이 0원 — 머리글 매칭 확인 / ","")&amp;IF(AND(설정!$B$17&lt;&gt;"",설정!$C$17="",OR(ISNUMBER(FIND("연장",설정!$B$17)),ISNUMBER(FIND("야간",설정!$B$17)),ISNUMBER(FIND("휴일",설정!$B$17))),INDEX(직원목록!$F$7:$F$306,MATCH(208,직원목록!$B$7:$B$306,0))&gt;0),"연장·야간·휴일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","")&amp;IF(AND(설정!$B$24&lt;&gt;"",설정!$C$24="",OR(ISNUMBER(FIND("연장",설정!$B$24)),ISNUMBER(FIND("야간",설정!$B$24)),ISNUMBER(FIND("휴일",설정!$B$24))),INDEX(직원목록!$M$7:$M$306,MATCH(208,직원목록!$B$7:$B$306,0))&gt;0),"연장·야간·휴일 수당은 시간 수도 명세서에 적어야 하니 시간 열 지정 필요 / ",""))=0,"✔",("⚠ "&amp;IF(AND(F220&lt;&gt;"",F220&lt;&gt;0),"계산 총지급과 대장 총지급이 다릅니다 / ","")&amp;IF(AND(I220&lt;&gt;"",I220&lt;&gt;0),"계산 총공제와 대장 총공제가 다릅니다 / ","")&amp;IF(J220&lt;0,"실수령액이 음수입니다 / ","")&amp;IF(COUNTIF(직원목록!$D$7:$D$306,B220)&gt;1,"같은 이름이 둘 이상 — 미리보기는 첫 번째만 보입니다 / ","")&amp;IF(AND(C220&lt;&gt;"",COUNTIF(직원목록!$C$7:$C$306,C220)&gt;1),"사번 중복 / ","")&amp;IF(D220=0,"총지급이 0원 — 머리글 매칭 확인 / ","")&amp;IF(AND(설정!$B$17&lt;&gt;"",설정!$C$17="",OR(ISNUMBER(FIND("연장",설정!$B$17)),ISNUMBER(FIND("야간",설정!$B$17)),ISNUMBER(FIND("휴일",설정!$B$17))),INDEX(직원목록!$F$7:$F$306,MATCH(208,직원목록!$B$7:$B$306,0))&gt;0),"연장·야간·휴일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","")&amp;IF(AND(설정!$B$24&lt;&gt;"",설정!$C$24="",OR(ISNUMBER(FIND("연장",설정!$B$24)),ISNUMBER(FIND("야간",설정!$B$24)),ISNUMBER(FIND("휴일",설정!$B$24))),INDEX(직원목록!$M$7:$M$306,MATCH(208,직원목록!$B$7:$B$306,0))&gt;0),"연장·야간·휴일 수당은 시간 수도 명세서에 적어야 하니 시간 열 지정 필요 / ",""))))</f>
        <v/>
      </c>
    </row>
    <row r="221">
      <c r="A221" s="26">
        <f>IF(IFERROR(MATCH(209,직원목록!$B$7:$B$306,0),0)=0,"",209)</f>
        <v/>
      </c>
      <c r="B221" s="2">
        <f>IF($A221="","",IFERROR(INDEX(직원목록!$D$7:$D$306,MATCH(209,직원목록!$B$7:$B$306,0)),""))</f>
        <v/>
      </c>
      <c r="C221" s="2">
        <f>IF($A221="","",IFERROR(INDEX(직원목록!$C$7:$C$306,MATCH(209,직원목록!$B$7:$B$306,0)),""))</f>
        <v/>
      </c>
      <c r="D221" s="27">
        <f>IF($A221="","",IFERROR(INDEX(직원목록!$V$7:$V$306,MATCH(209,직원목록!$B$7:$B$306,0)),""))</f>
        <v/>
      </c>
      <c r="E221" s="27">
        <f>IF($A221="","",IFERROR(INDEX(직원목록!$AG$7:$AG$306,MATCH(209,직원목록!$B$7:$B$306,0)),""))</f>
        <v/>
      </c>
      <c r="F221" s="27">
        <f>IF(OR($A221="",E221=""),"",D221-E221)</f>
        <v/>
      </c>
      <c r="G221" s="27">
        <f>IF($A221="","",IFERROR(INDEX(직원목록!$AE$7:$AE$306,MATCH(209,직원목록!$B$7:$B$306,0)),""))</f>
        <v/>
      </c>
      <c r="H221" s="27">
        <f>IF($A221="","",IFERROR(INDEX(직원목록!$AH$7:$AH$306,MATCH(209,직원목록!$B$7:$B$306,0)),""))</f>
        <v/>
      </c>
      <c r="I221" s="27">
        <f>IF(OR($A221="",H221=""),"",G221-H221)</f>
        <v/>
      </c>
      <c r="J221" s="27">
        <f>IF($A221="","",IFERROR(INDEX(직원목록!$AF$7:$AF$306,MATCH(209,직원목록!$B$7:$B$306,0)),""))</f>
        <v/>
      </c>
      <c r="K221" s="27">
        <f>IF($A221="","",IFERROR(INDEX(직원목록!$AI$7:$AI$306,MATCH(209,직원목록!$B$7:$B$306,0)),""))</f>
        <v/>
      </c>
      <c r="L221" s="8">
        <f>IF($A221="","",IF(LEN(IF(AND(F221&lt;&gt;"",F221&lt;&gt;0),"계산 총지급과 대장 총지급이 다릅니다 / ","")&amp;IF(AND(I221&lt;&gt;"",I221&lt;&gt;0),"계산 총공제와 대장 총공제가 다릅니다 / ","")&amp;IF(J221&lt;0,"실수령액이 음수입니다 / ","")&amp;IF(COUNTIF(직원목록!$D$7:$D$306,B221)&gt;1,"같은 이름이 둘 이상 — 미리보기는 첫 번째만 보입니다 / ","")&amp;IF(AND(C221&lt;&gt;"",COUNTIF(직원목록!$C$7:$C$306,C221)&gt;1),"사번 중복 / ","")&amp;IF(D221=0,"총지급이 0원 — 머리글 매칭 확인 / ","")&amp;IF(AND(설정!$B$17&lt;&gt;"",설정!$C$17="",OR(ISNUMBER(FIND("연장",설정!$B$17)),ISNUMBER(FIND("야간",설정!$B$17)),ISNUMBER(FIND("휴일",설정!$B$17))),INDEX(직원목록!$F$7:$F$306,MATCH(209,직원목록!$B$7:$B$306,0))&gt;0),"연장·야간·휴일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","")&amp;IF(AND(설정!$B$24&lt;&gt;"",설정!$C$24="",OR(ISNUMBER(FIND("연장",설정!$B$24)),ISNUMBER(FIND("야간",설정!$B$24)),ISNUMBER(FIND("휴일",설정!$B$24))),INDEX(직원목록!$M$7:$M$306,MATCH(209,직원목록!$B$7:$B$306,0))&gt;0),"연장·야간·휴일 수당은 시간 수도 명세서에 적어야 하니 시간 열 지정 필요 / ",""))=0,"✔",("⚠ "&amp;IF(AND(F221&lt;&gt;"",F221&lt;&gt;0),"계산 총지급과 대장 총지급이 다릅니다 / ","")&amp;IF(AND(I221&lt;&gt;"",I221&lt;&gt;0),"계산 총공제와 대장 총공제가 다릅니다 / ","")&amp;IF(J221&lt;0,"실수령액이 음수입니다 / ","")&amp;IF(COUNTIF(직원목록!$D$7:$D$306,B221)&gt;1,"같은 이름이 둘 이상 — 미리보기는 첫 번째만 보입니다 / ","")&amp;IF(AND(C221&lt;&gt;"",COUNTIF(직원목록!$C$7:$C$306,C221)&gt;1),"사번 중복 / ","")&amp;IF(D221=0,"총지급이 0원 — 머리글 매칭 확인 / ","")&amp;IF(AND(설정!$B$17&lt;&gt;"",설정!$C$17="",OR(ISNUMBER(FIND("연장",설정!$B$17)),ISNUMBER(FIND("야간",설정!$B$17)),ISNUMBER(FIND("휴일",설정!$B$17))),INDEX(직원목록!$F$7:$F$306,MATCH(209,직원목록!$B$7:$B$306,0))&gt;0),"연장·야간·휴일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","")&amp;IF(AND(설정!$B$18&lt;&gt;"",설정!$C$18="",OR(ISNUMBER(FIND("연장",설정!$B$18)),ISNUMBER(FIND("야간",설정!$B$18)),ISNUMBER(FIND("휴일",설정!$B$18))),INDEX(직원목록!$G$7:$G$306,MATCH(209,직원목록!$B$7:$B$306,0))&gt;0),"연장·야간·휴일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","")&amp;IF(AND(설정!$B$19&lt;&gt;"",설정!$C$19="",OR(ISNUMBER(FIND("연장",설정!$B$19)),ISNUMBER(FIND("야간",설정!$B$19)),ISNUMBER(FIND("휴일",설정!$B$19))),INDEX(직원목록!$H$7:$H$306,MATCH(209,직원목록!$B$7:$B$306,0))&gt;0),"연장·야간·휴일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","")&amp;IF(AND(설정!$B$20&lt;&gt;"",설정!$C$20="",OR(ISNUMBER(FIND("연장",설정!$B$20)),ISNUMBER(FIND("야간",설정!$B$20)),ISNUMBER(FIND("휴일",설정!$B$20))),INDEX(직원목록!$I$7:$I$306,MATCH(209,직원목록!$B$7:$B$306,0))&gt;0),"연장·야간·휴일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","")&amp;IF(AND(설정!$B$21&lt;&gt;"",설정!$C$21="",OR(ISNUMBER(FIND("연장",설정!$B$21)),ISNUMBER(FIND("야간",설정!$B$21)),ISNUMBER(FIND("휴일",설정!$B$21))),INDEX(직원목록!$J$7:$J$306,MATCH(209,직원목록!$B$7:$B$306,0))&gt;0),"연장·야간·휴일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","")&amp;IF(AND(설정!$B$22&lt;&gt;"",설정!$C$22="",OR(ISNUMBER(FIND("연장",설정!$B$22)),ISNUMBER(FIND("야간",설정!$B$22)),ISNUMBER(FIND("휴일",설정!$B$22))),INDEX(직원목록!$K$7:$K$306,MATCH(209,직원목록!$B$7:$B$306,0))&gt;0),"연장·야간·휴일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","")&amp;IF(AND(설정!$B$23&lt;&gt;"",설정!$C$23="",OR(ISNUMBER(FIND("연장",설정!$B$23)),ISNUMBER(FIND("야간",설정!$B$23)),ISNUMBER(FIND("휴일",설정!$B$23))),INDEX(직원목록!$L$7:$L$306,MATCH(209,직원목록!$B$7:$B$306,0))&gt;0),"연장·야간·휴일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","")&amp;IF(AND(설정!$B$24&lt;&gt;"",설정!$C$24="",OR(ISNUMBER(FIND("연장",설정!$B$24)),ISNUMBER(FIND("야간",설정!$B$24)),ISNUMBER(FIND("휴일",설정!$B$24))),INDEX(직원목록!$M$7:$M$306,MATCH(209,직원목록!$B$7:$B$306,0))&gt;0),"연장·야간·휴일 수당은 시간 수도 명세서에 적어야 하니 시간 열 지정 필요 / ",""))))</f>
        <v/>
      </c>
    </row>
    <row r="222">
      <c r="A222" s="26">
        <f>IF(IFERROR(MATCH(210,직원목록!$B$7:$B$306,0),0)=0,"",210)</f>
        <v/>
      </c>
      <c r="B222" s="2">
        <f>IF($A222="","",IFERROR(INDEX(직원목록!$D$7:$D$306,MATCH(210,직원목록!$B$7:$B$306,0)),""))</f>
        <v/>
      </c>
      <c r="C222" s="2">
        <f>IF($A222="","",IFERROR(INDEX(직원목록!$C$7:$C$306,MATCH(210,직원목록!$B$7:$B$306,0)),""))</f>
        <v/>
      </c>
      <c r="D222" s="27">
        <f>IF($A222="","",IFERROR(INDEX(직원목록!$V$7:$V$306,MATCH(210,직원목록!$B$7:$B$306,0)),""))</f>
        <v/>
      </c>
      <c r="E222" s="27">
        <f>IF($A222="","",IFERROR(INDEX(직원목록!$AG$7:$AG$306,MATCH(210,직원목록!$B$7:$B$306,0)),""))</f>
        <v/>
      </c>
      <c r="F222" s="27">
        <f>IF(OR($A222="",E222=""),"",D222-E222)</f>
        <v/>
      </c>
      <c r="G222" s="27">
        <f>IF($A222="","",IFERROR(INDEX(직원목록!$AE$7:$AE$306,MATCH(210,직원목록!$B$7:$B$306,0)),""))</f>
        <v/>
      </c>
      <c r="H222" s="27">
        <f>IF($A222="","",IFERROR(INDEX(직원목록!$AH$7:$AH$306,MATCH(210,직원목록!$B$7:$B$306,0)),""))</f>
        <v/>
      </c>
      <c r="I222" s="27">
        <f>IF(OR($A222="",H222=""),"",G222-H222)</f>
        <v/>
      </c>
      <c r="J222" s="27">
        <f>IF($A222="","",IFERROR(INDEX(직원목록!$AF$7:$AF$306,MATCH(210,직원목록!$B$7:$B$306,0)),""))</f>
        <v/>
      </c>
      <c r="K222" s="27">
        <f>IF($A222="","",IFERROR(INDEX(직원목록!$AI$7:$AI$306,MATCH(210,직원목록!$B$7:$B$306,0)),""))</f>
        <v/>
      </c>
      <c r="L222" s="8">
        <f>IF($A222="","",IF(LEN(IF(AND(F222&lt;&gt;"",F222&lt;&gt;0),"계산 총지급과 대장 총지급이 다릅니다 / ","")&amp;IF(AND(I222&lt;&gt;"",I222&lt;&gt;0),"계산 총공제와 대장 총공제가 다릅니다 / ","")&amp;IF(J222&lt;0,"실수령액이 음수입니다 / ","")&amp;IF(COUNTIF(직원목록!$D$7:$D$306,B222)&gt;1,"같은 이름이 둘 이상 — 미리보기는 첫 번째만 보입니다 / ","")&amp;IF(AND(C222&lt;&gt;"",COUNTIF(직원목록!$C$7:$C$306,C222)&gt;1),"사번 중복 / ","")&amp;IF(D222=0,"총지급이 0원 — 머리글 매칭 확인 / ","")&amp;IF(AND(설정!$B$17&lt;&gt;"",설정!$C$17="",OR(ISNUMBER(FIND("연장",설정!$B$17)),ISNUMBER(FIND("야간",설정!$B$17)),ISNUMBER(FIND("휴일",설정!$B$17))),INDEX(직원목록!$F$7:$F$306,MATCH(210,직원목록!$B$7:$B$306,0))&gt;0),"연장·야간·휴일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","")&amp;IF(AND(설정!$B$24&lt;&gt;"",설정!$C$24="",OR(ISNUMBER(FIND("연장",설정!$B$24)),ISNUMBER(FIND("야간",설정!$B$24)),ISNUMBER(FIND("휴일",설정!$B$24))),INDEX(직원목록!$M$7:$M$306,MATCH(210,직원목록!$B$7:$B$306,0))&gt;0),"연장·야간·휴일 수당은 시간 수도 명세서에 적어야 하니 시간 열 지정 필요 / ",""))=0,"✔",("⚠ "&amp;IF(AND(F222&lt;&gt;"",F222&lt;&gt;0),"계산 총지급과 대장 총지급이 다릅니다 / ","")&amp;IF(AND(I222&lt;&gt;"",I222&lt;&gt;0),"계산 총공제와 대장 총공제가 다릅니다 / ","")&amp;IF(J222&lt;0,"실수령액이 음수입니다 / ","")&amp;IF(COUNTIF(직원목록!$D$7:$D$306,B222)&gt;1,"같은 이름이 둘 이상 — 미리보기는 첫 번째만 보입니다 / ","")&amp;IF(AND(C222&lt;&gt;"",COUNTIF(직원목록!$C$7:$C$306,C222)&gt;1),"사번 중복 / ","")&amp;IF(D222=0,"총지급이 0원 — 머리글 매칭 확인 / ","")&amp;IF(AND(설정!$B$17&lt;&gt;"",설정!$C$17="",OR(ISNUMBER(FIND("연장",설정!$B$17)),ISNUMBER(FIND("야간",설정!$B$17)),ISNUMBER(FIND("휴일",설정!$B$17))),INDEX(직원목록!$F$7:$F$306,MATCH(210,직원목록!$B$7:$B$306,0))&gt;0),"연장·야간·휴일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","")&amp;IF(AND(설정!$B$24&lt;&gt;"",설정!$C$24="",OR(ISNUMBER(FIND("연장",설정!$B$24)),ISNUMBER(FIND("야간",설정!$B$24)),ISNUMBER(FIND("휴일",설정!$B$24))),INDEX(직원목록!$M$7:$M$306,MATCH(210,직원목록!$B$7:$B$306,0))&gt;0),"연장·야간·휴일 수당은 시간 수도 명세서에 적어야 하니 시간 열 지정 필요 / ",""))))</f>
        <v/>
      </c>
    </row>
    <row r="223">
      <c r="A223" s="26">
        <f>IF(IFERROR(MATCH(211,직원목록!$B$7:$B$306,0),0)=0,"",211)</f>
        <v/>
      </c>
      <c r="B223" s="2">
        <f>IF($A223="","",IFERROR(INDEX(직원목록!$D$7:$D$306,MATCH(211,직원목록!$B$7:$B$306,0)),""))</f>
        <v/>
      </c>
      <c r="C223" s="2">
        <f>IF($A223="","",IFERROR(INDEX(직원목록!$C$7:$C$306,MATCH(211,직원목록!$B$7:$B$306,0)),""))</f>
        <v/>
      </c>
      <c r="D223" s="27">
        <f>IF($A223="","",IFERROR(INDEX(직원목록!$V$7:$V$306,MATCH(211,직원목록!$B$7:$B$306,0)),""))</f>
        <v/>
      </c>
      <c r="E223" s="27">
        <f>IF($A223="","",IFERROR(INDEX(직원목록!$AG$7:$AG$306,MATCH(211,직원목록!$B$7:$B$306,0)),""))</f>
        <v/>
      </c>
      <c r="F223" s="27">
        <f>IF(OR($A223="",E223=""),"",D223-E223)</f>
        <v/>
      </c>
      <c r="G223" s="27">
        <f>IF($A223="","",IFERROR(INDEX(직원목록!$AE$7:$AE$306,MATCH(211,직원목록!$B$7:$B$306,0)),""))</f>
        <v/>
      </c>
      <c r="H223" s="27">
        <f>IF($A223="","",IFERROR(INDEX(직원목록!$AH$7:$AH$306,MATCH(211,직원목록!$B$7:$B$306,0)),""))</f>
        <v/>
      </c>
      <c r="I223" s="27">
        <f>IF(OR($A223="",H223=""),"",G223-H223)</f>
        <v/>
      </c>
      <c r="J223" s="27">
        <f>IF($A223="","",IFERROR(INDEX(직원목록!$AF$7:$AF$306,MATCH(211,직원목록!$B$7:$B$306,0)),""))</f>
        <v/>
      </c>
      <c r="K223" s="27">
        <f>IF($A223="","",IFERROR(INDEX(직원목록!$AI$7:$AI$306,MATCH(211,직원목록!$B$7:$B$306,0)),""))</f>
        <v/>
      </c>
      <c r="L223" s="8">
        <f>IF($A223="","",IF(LEN(IF(AND(F223&lt;&gt;"",F223&lt;&gt;0),"계산 총지급과 대장 총지급이 다릅니다 / ","")&amp;IF(AND(I223&lt;&gt;"",I223&lt;&gt;0),"계산 총공제와 대장 총공제가 다릅니다 / ","")&amp;IF(J223&lt;0,"실수령액이 음수입니다 / ","")&amp;IF(COUNTIF(직원목록!$D$7:$D$306,B223)&gt;1,"같은 이름이 둘 이상 — 미리보기는 첫 번째만 보입니다 / ","")&amp;IF(AND(C223&lt;&gt;"",COUNTIF(직원목록!$C$7:$C$306,C223)&gt;1),"사번 중복 / ","")&amp;IF(D223=0,"총지급이 0원 — 머리글 매칭 확인 / ","")&amp;IF(AND(설정!$B$17&lt;&gt;"",설정!$C$17="",OR(ISNUMBER(FIND("연장",설정!$B$17)),ISNUMBER(FIND("야간",설정!$B$17)),ISNUMBER(FIND("휴일",설정!$B$17))),INDEX(직원목록!$F$7:$F$306,MATCH(211,직원목록!$B$7:$B$306,0))&gt;0),"연장·야간·휴일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","")&amp;IF(AND(설정!$B$24&lt;&gt;"",설정!$C$24="",OR(ISNUMBER(FIND("연장",설정!$B$24)),ISNUMBER(FIND("야간",설정!$B$24)),ISNUMBER(FIND("휴일",설정!$B$24))),INDEX(직원목록!$M$7:$M$306,MATCH(211,직원목록!$B$7:$B$306,0))&gt;0),"연장·야간·휴일 수당은 시간 수도 명세서에 적어야 하니 시간 열 지정 필요 / ",""))=0,"✔",("⚠ "&amp;IF(AND(F223&lt;&gt;"",F223&lt;&gt;0),"계산 총지급과 대장 총지급이 다릅니다 / ","")&amp;IF(AND(I223&lt;&gt;"",I223&lt;&gt;0),"계산 총공제와 대장 총공제가 다릅니다 / ","")&amp;IF(J223&lt;0,"실수령액이 음수입니다 / ","")&amp;IF(COUNTIF(직원목록!$D$7:$D$306,B223)&gt;1,"같은 이름이 둘 이상 — 미리보기는 첫 번째만 보입니다 / ","")&amp;IF(AND(C223&lt;&gt;"",COUNTIF(직원목록!$C$7:$C$306,C223)&gt;1),"사번 중복 / ","")&amp;IF(D223=0,"총지급이 0원 — 머리글 매칭 확인 / ","")&amp;IF(AND(설정!$B$17&lt;&gt;"",설정!$C$17="",OR(ISNUMBER(FIND("연장",설정!$B$17)),ISNUMBER(FIND("야간",설정!$B$17)),ISNUMBER(FIND("휴일",설정!$B$17))),INDEX(직원목록!$F$7:$F$306,MATCH(211,직원목록!$B$7:$B$306,0))&gt;0),"연장·야간·휴일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","")&amp;IF(AND(설정!$B$24&lt;&gt;"",설정!$C$24="",OR(ISNUMBER(FIND("연장",설정!$B$24)),ISNUMBER(FIND("야간",설정!$B$24)),ISNUMBER(FIND("휴일",설정!$B$24))),INDEX(직원목록!$M$7:$M$306,MATCH(211,직원목록!$B$7:$B$306,0))&gt;0),"연장·야간·휴일 수당은 시간 수도 명세서에 적어야 하니 시간 열 지정 필요 / ",""))))</f>
        <v/>
      </c>
    </row>
    <row r="224">
      <c r="A224" s="26">
        <f>IF(IFERROR(MATCH(212,직원목록!$B$7:$B$306,0),0)=0,"",212)</f>
        <v/>
      </c>
      <c r="B224" s="2">
        <f>IF($A224="","",IFERROR(INDEX(직원목록!$D$7:$D$306,MATCH(212,직원목록!$B$7:$B$306,0)),""))</f>
        <v/>
      </c>
      <c r="C224" s="2">
        <f>IF($A224="","",IFERROR(INDEX(직원목록!$C$7:$C$306,MATCH(212,직원목록!$B$7:$B$306,0)),""))</f>
        <v/>
      </c>
      <c r="D224" s="27">
        <f>IF($A224="","",IFERROR(INDEX(직원목록!$V$7:$V$306,MATCH(212,직원목록!$B$7:$B$306,0)),""))</f>
        <v/>
      </c>
      <c r="E224" s="27">
        <f>IF($A224="","",IFERROR(INDEX(직원목록!$AG$7:$AG$306,MATCH(212,직원목록!$B$7:$B$306,0)),""))</f>
        <v/>
      </c>
      <c r="F224" s="27">
        <f>IF(OR($A224="",E224=""),"",D224-E224)</f>
        <v/>
      </c>
      <c r="G224" s="27">
        <f>IF($A224="","",IFERROR(INDEX(직원목록!$AE$7:$AE$306,MATCH(212,직원목록!$B$7:$B$306,0)),""))</f>
        <v/>
      </c>
      <c r="H224" s="27">
        <f>IF($A224="","",IFERROR(INDEX(직원목록!$AH$7:$AH$306,MATCH(212,직원목록!$B$7:$B$306,0)),""))</f>
        <v/>
      </c>
      <c r="I224" s="27">
        <f>IF(OR($A224="",H224=""),"",G224-H224)</f>
        <v/>
      </c>
      <c r="J224" s="27">
        <f>IF($A224="","",IFERROR(INDEX(직원목록!$AF$7:$AF$306,MATCH(212,직원목록!$B$7:$B$306,0)),""))</f>
        <v/>
      </c>
      <c r="K224" s="27">
        <f>IF($A224="","",IFERROR(INDEX(직원목록!$AI$7:$AI$306,MATCH(212,직원목록!$B$7:$B$306,0)),""))</f>
        <v/>
      </c>
      <c r="L224" s="8">
        <f>IF($A224="","",IF(LEN(IF(AND(F224&lt;&gt;"",F224&lt;&gt;0),"계산 총지급과 대장 총지급이 다릅니다 / ","")&amp;IF(AND(I224&lt;&gt;"",I224&lt;&gt;0),"계산 총공제와 대장 총공제가 다릅니다 / ","")&amp;IF(J224&lt;0,"실수령액이 음수입니다 / ","")&amp;IF(COUNTIF(직원목록!$D$7:$D$306,B224)&gt;1,"같은 이름이 둘 이상 — 미리보기는 첫 번째만 보입니다 / ","")&amp;IF(AND(C224&lt;&gt;"",COUNTIF(직원목록!$C$7:$C$306,C224)&gt;1),"사번 중복 / ","")&amp;IF(D224=0,"총지급이 0원 — 머리글 매칭 확인 / ","")&amp;IF(AND(설정!$B$17&lt;&gt;"",설정!$C$17="",OR(ISNUMBER(FIND("연장",설정!$B$17)),ISNUMBER(FIND("야간",설정!$B$17)),ISNUMBER(FIND("휴일",설정!$B$17))),INDEX(직원목록!$F$7:$F$306,MATCH(212,직원목록!$B$7:$B$306,0))&gt;0),"연장·야간·휴일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","")&amp;IF(AND(설정!$B$24&lt;&gt;"",설정!$C$24="",OR(ISNUMBER(FIND("연장",설정!$B$24)),ISNUMBER(FIND("야간",설정!$B$24)),ISNUMBER(FIND("휴일",설정!$B$24))),INDEX(직원목록!$M$7:$M$306,MATCH(212,직원목록!$B$7:$B$306,0))&gt;0),"연장·야간·휴일 수당은 시간 수도 명세서에 적어야 하니 시간 열 지정 필요 / ",""))=0,"✔",("⚠ "&amp;IF(AND(F224&lt;&gt;"",F224&lt;&gt;0),"계산 총지급과 대장 총지급이 다릅니다 / ","")&amp;IF(AND(I224&lt;&gt;"",I224&lt;&gt;0),"계산 총공제와 대장 총공제가 다릅니다 / ","")&amp;IF(J224&lt;0,"실수령액이 음수입니다 / ","")&amp;IF(COUNTIF(직원목록!$D$7:$D$306,B224)&gt;1,"같은 이름이 둘 이상 — 미리보기는 첫 번째만 보입니다 / ","")&amp;IF(AND(C224&lt;&gt;"",COUNTIF(직원목록!$C$7:$C$306,C224)&gt;1),"사번 중복 / ","")&amp;IF(D224=0,"총지급이 0원 — 머리글 매칭 확인 / ","")&amp;IF(AND(설정!$B$17&lt;&gt;"",설정!$C$17="",OR(ISNUMBER(FIND("연장",설정!$B$17)),ISNUMBER(FIND("야간",설정!$B$17)),ISNUMBER(FIND("휴일",설정!$B$17))),INDEX(직원목록!$F$7:$F$306,MATCH(212,직원목록!$B$7:$B$306,0))&gt;0),"연장·야간·휴일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","")&amp;IF(AND(설정!$B$24&lt;&gt;"",설정!$C$24="",OR(ISNUMBER(FIND("연장",설정!$B$24)),ISNUMBER(FIND("야간",설정!$B$24)),ISNUMBER(FIND("휴일",설정!$B$24))),INDEX(직원목록!$M$7:$M$306,MATCH(212,직원목록!$B$7:$B$306,0))&gt;0),"연장·야간·휴일 수당은 시간 수도 명세서에 적어야 하니 시간 열 지정 필요 / ",""))))</f>
        <v/>
      </c>
    </row>
    <row r="225">
      <c r="A225" s="26">
        <f>IF(IFERROR(MATCH(213,직원목록!$B$7:$B$306,0),0)=0,"",213)</f>
        <v/>
      </c>
      <c r="B225" s="2">
        <f>IF($A225="","",IFERROR(INDEX(직원목록!$D$7:$D$306,MATCH(213,직원목록!$B$7:$B$306,0)),""))</f>
        <v/>
      </c>
      <c r="C225" s="2">
        <f>IF($A225="","",IFERROR(INDEX(직원목록!$C$7:$C$306,MATCH(213,직원목록!$B$7:$B$306,0)),""))</f>
        <v/>
      </c>
      <c r="D225" s="27">
        <f>IF($A225="","",IFERROR(INDEX(직원목록!$V$7:$V$306,MATCH(213,직원목록!$B$7:$B$306,0)),""))</f>
        <v/>
      </c>
      <c r="E225" s="27">
        <f>IF($A225="","",IFERROR(INDEX(직원목록!$AG$7:$AG$306,MATCH(213,직원목록!$B$7:$B$306,0)),""))</f>
        <v/>
      </c>
      <c r="F225" s="27">
        <f>IF(OR($A225="",E225=""),"",D225-E225)</f>
        <v/>
      </c>
      <c r="G225" s="27">
        <f>IF($A225="","",IFERROR(INDEX(직원목록!$AE$7:$AE$306,MATCH(213,직원목록!$B$7:$B$306,0)),""))</f>
        <v/>
      </c>
      <c r="H225" s="27">
        <f>IF($A225="","",IFERROR(INDEX(직원목록!$AH$7:$AH$306,MATCH(213,직원목록!$B$7:$B$306,0)),""))</f>
        <v/>
      </c>
      <c r="I225" s="27">
        <f>IF(OR($A225="",H225=""),"",G225-H225)</f>
        <v/>
      </c>
      <c r="J225" s="27">
        <f>IF($A225="","",IFERROR(INDEX(직원목록!$AF$7:$AF$306,MATCH(213,직원목록!$B$7:$B$306,0)),""))</f>
        <v/>
      </c>
      <c r="K225" s="27">
        <f>IF($A225="","",IFERROR(INDEX(직원목록!$AI$7:$AI$306,MATCH(213,직원목록!$B$7:$B$306,0)),""))</f>
        <v/>
      </c>
      <c r="L225" s="8">
        <f>IF($A225="","",IF(LEN(IF(AND(F225&lt;&gt;"",F225&lt;&gt;0),"계산 총지급과 대장 총지급이 다릅니다 / ","")&amp;IF(AND(I225&lt;&gt;"",I225&lt;&gt;0),"계산 총공제와 대장 총공제가 다릅니다 / ","")&amp;IF(J225&lt;0,"실수령액이 음수입니다 / ","")&amp;IF(COUNTIF(직원목록!$D$7:$D$306,B225)&gt;1,"같은 이름이 둘 이상 — 미리보기는 첫 번째만 보입니다 / ","")&amp;IF(AND(C225&lt;&gt;"",COUNTIF(직원목록!$C$7:$C$306,C225)&gt;1),"사번 중복 / ","")&amp;IF(D225=0,"총지급이 0원 — 머리글 매칭 확인 / ","")&amp;IF(AND(설정!$B$17&lt;&gt;"",설정!$C$17="",OR(ISNUMBER(FIND("연장",설정!$B$17)),ISNUMBER(FIND("야간",설정!$B$17)),ISNUMBER(FIND("휴일",설정!$B$17))),INDEX(직원목록!$F$7:$F$306,MATCH(213,직원목록!$B$7:$B$306,0))&gt;0),"연장·야간·휴일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","")&amp;IF(AND(설정!$B$24&lt;&gt;"",설정!$C$24="",OR(ISNUMBER(FIND("연장",설정!$B$24)),ISNUMBER(FIND("야간",설정!$B$24)),ISNUMBER(FIND("휴일",설정!$B$24))),INDEX(직원목록!$M$7:$M$306,MATCH(213,직원목록!$B$7:$B$306,0))&gt;0),"연장·야간·휴일 수당은 시간 수도 명세서에 적어야 하니 시간 열 지정 필요 / ",""))=0,"✔",("⚠ "&amp;IF(AND(F225&lt;&gt;"",F225&lt;&gt;0),"계산 총지급과 대장 총지급이 다릅니다 / ","")&amp;IF(AND(I225&lt;&gt;"",I225&lt;&gt;0),"계산 총공제와 대장 총공제가 다릅니다 / ","")&amp;IF(J225&lt;0,"실수령액이 음수입니다 / ","")&amp;IF(COUNTIF(직원목록!$D$7:$D$306,B225)&gt;1,"같은 이름이 둘 이상 — 미리보기는 첫 번째만 보입니다 / ","")&amp;IF(AND(C225&lt;&gt;"",COUNTIF(직원목록!$C$7:$C$306,C225)&gt;1),"사번 중복 / ","")&amp;IF(D225=0,"총지급이 0원 — 머리글 매칭 확인 / ","")&amp;IF(AND(설정!$B$17&lt;&gt;"",설정!$C$17="",OR(ISNUMBER(FIND("연장",설정!$B$17)),ISNUMBER(FIND("야간",설정!$B$17)),ISNUMBER(FIND("휴일",설정!$B$17))),INDEX(직원목록!$F$7:$F$306,MATCH(213,직원목록!$B$7:$B$306,0))&gt;0),"연장·야간·휴일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","")&amp;IF(AND(설정!$B$24&lt;&gt;"",설정!$C$24="",OR(ISNUMBER(FIND("연장",설정!$B$24)),ISNUMBER(FIND("야간",설정!$B$24)),ISNUMBER(FIND("휴일",설정!$B$24))),INDEX(직원목록!$M$7:$M$306,MATCH(213,직원목록!$B$7:$B$306,0))&gt;0),"연장·야간·휴일 수당은 시간 수도 명세서에 적어야 하니 시간 열 지정 필요 / ",""))))</f>
        <v/>
      </c>
    </row>
    <row r="226">
      <c r="A226" s="26">
        <f>IF(IFERROR(MATCH(214,직원목록!$B$7:$B$306,0),0)=0,"",214)</f>
        <v/>
      </c>
      <c r="B226" s="2">
        <f>IF($A226="","",IFERROR(INDEX(직원목록!$D$7:$D$306,MATCH(214,직원목록!$B$7:$B$306,0)),""))</f>
        <v/>
      </c>
      <c r="C226" s="2">
        <f>IF($A226="","",IFERROR(INDEX(직원목록!$C$7:$C$306,MATCH(214,직원목록!$B$7:$B$306,0)),""))</f>
        <v/>
      </c>
      <c r="D226" s="27">
        <f>IF($A226="","",IFERROR(INDEX(직원목록!$V$7:$V$306,MATCH(214,직원목록!$B$7:$B$306,0)),""))</f>
        <v/>
      </c>
      <c r="E226" s="27">
        <f>IF($A226="","",IFERROR(INDEX(직원목록!$AG$7:$AG$306,MATCH(214,직원목록!$B$7:$B$306,0)),""))</f>
        <v/>
      </c>
      <c r="F226" s="27">
        <f>IF(OR($A226="",E226=""),"",D226-E226)</f>
        <v/>
      </c>
      <c r="G226" s="27">
        <f>IF($A226="","",IFERROR(INDEX(직원목록!$AE$7:$AE$306,MATCH(214,직원목록!$B$7:$B$306,0)),""))</f>
        <v/>
      </c>
      <c r="H226" s="27">
        <f>IF($A226="","",IFERROR(INDEX(직원목록!$AH$7:$AH$306,MATCH(214,직원목록!$B$7:$B$306,0)),""))</f>
        <v/>
      </c>
      <c r="I226" s="27">
        <f>IF(OR($A226="",H226=""),"",G226-H226)</f>
        <v/>
      </c>
      <c r="J226" s="27">
        <f>IF($A226="","",IFERROR(INDEX(직원목록!$AF$7:$AF$306,MATCH(214,직원목록!$B$7:$B$306,0)),""))</f>
        <v/>
      </c>
      <c r="K226" s="27">
        <f>IF($A226="","",IFERROR(INDEX(직원목록!$AI$7:$AI$306,MATCH(214,직원목록!$B$7:$B$306,0)),""))</f>
        <v/>
      </c>
      <c r="L226" s="8">
        <f>IF($A226="","",IF(LEN(IF(AND(F226&lt;&gt;"",F226&lt;&gt;0),"계산 총지급과 대장 총지급이 다릅니다 / ","")&amp;IF(AND(I226&lt;&gt;"",I226&lt;&gt;0),"계산 총공제와 대장 총공제가 다릅니다 / ","")&amp;IF(J226&lt;0,"실수령액이 음수입니다 / ","")&amp;IF(COUNTIF(직원목록!$D$7:$D$306,B226)&gt;1,"같은 이름이 둘 이상 — 미리보기는 첫 번째만 보입니다 / ","")&amp;IF(AND(C226&lt;&gt;"",COUNTIF(직원목록!$C$7:$C$306,C226)&gt;1),"사번 중복 / ","")&amp;IF(D226=0,"총지급이 0원 — 머리글 매칭 확인 / ","")&amp;IF(AND(설정!$B$17&lt;&gt;"",설정!$C$17="",OR(ISNUMBER(FIND("연장",설정!$B$17)),ISNUMBER(FIND("야간",설정!$B$17)),ISNUMBER(FIND("휴일",설정!$B$17))),INDEX(직원목록!$F$7:$F$306,MATCH(214,직원목록!$B$7:$B$306,0))&gt;0),"연장·야간·휴일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","")&amp;IF(AND(설정!$B$24&lt;&gt;"",설정!$C$24="",OR(ISNUMBER(FIND("연장",설정!$B$24)),ISNUMBER(FIND("야간",설정!$B$24)),ISNUMBER(FIND("휴일",설정!$B$24))),INDEX(직원목록!$M$7:$M$306,MATCH(214,직원목록!$B$7:$B$306,0))&gt;0),"연장·야간·휴일 수당은 시간 수도 명세서에 적어야 하니 시간 열 지정 필요 / ",""))=0,"✔",("⚠ "&amp;IF(AND(F226&lt;&gt;"",F226&lt;&gt;0),"계산 총지급과 대장 총지급이 다릅니다 / ","")&amp;IF(AND(I226&lt;&gt;"",I226&lt;&gt;0),"계산 총공제와 대장 총공제가 다릅니다 / ","")&amp;IF(J226&lt;0,"실수령액이 음수입니다 / ","")&amp;IF(COUNTIF(직원목록!$D$7:$D$306,B226)&gt;1,"같은 이름이 둘 이상 — 미리보기는 첫 번째만 보입니다 / ","")&amp;IF(AND(C226&lt;&gt;"",COUNTIF(직원목록!$C$7:$C$306,C226)&gt;1),"사번 중복 / ","")&amp;IF(D226=0,"총지급이 0원 — 머리글 매칭 확인 / ","")&amp;IF(AND(설정!$B$17&lt;&gt;"",설정!$C$17="",OR(ISNUMBER(FIND("연장",설정!$B$17)),ISNUMBER(FIND("야간",설정!$B$17)),ISNUMBER(FIND("휴일",설정!$B$17))),INDEX(직원목록!$F$7:$F$306,MATCH(214,직원목록!$B$7:$B$306,0))&gt;0),"연장·야간·휴일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","")&amp;IF(AND(설정!$B$24&lt;&gt;"",설정!$C$24="",OR(ISNUMBER(FIND("연장",설정!$B$24)),ISNUMBER(FIND("야간",설정!$B$24)),ISNUMBER(FIND("휴일",설정!$B$24))),INDEX(직원목록!$M$7:$M$306,MATCH(214,직원목록!$B$7:$B$306,0))&gt;0),"연장·야간·휴일 수당은 시간 수도 명세서에 적어야 하니 시간 열 지정 필요 / ",""))))</f>
        <v/>
      </c>
    </row>
    <row r="227">
      <c r="A227" s="26">
        <f>IF(IFERROR(MATCH(215,직원목록!$B$7:$B$306,0),0)=0,"",215)</f>
        <v/>
      </c>
      <c r="B227" s="2">
        <f>IF($A227="","",IFERROR(INDEX(직원목록!$D$7:$D$306,MATCH(215,직원목록!$B$7:$B$306,0)),""))</f>
        <v/>
      </c>
      <c r="C227" s="2">
        <f>IF($A227="","",IFERROR(INDEX(직원목록!$C$7:$C$306,MATCH(215,직원목록!$B$7:$B$306,0)),""))</f>
        <v/>
      </c>
      <c r="D227" s="27">
        <f>IF($A227="","",IFERROR(INDEX(직원목록!$V$7:$V$306,MATCH(215,직원목록!$B$7:$B$306,0)),""))</f>
        <v/>
      </c>
      <c r="E227" s="27">
        <f>IF($A227="","",IFERROR(INDEX(직원목록!$AG$7:$AG$306,MATCH(215,직원목록!$B$7:$B$306,0)),""))</f>
        <v/>
      </c>
      <c r="F227" s="27">
        <f>IF(OR($A227="",E227=""),"",D227-E227)</f>
        <v/>
      </c>
      <c r="G227" s="27">
        <f>IF($A227="","",IFERROR(INDEX(직원목록!$AE$7:$AE$306,MATCH(215,직원목록!$B$7:$B$306,0)),""))</f>
        <v/>
      </c>
      <c r="H227" s="27">
        <f>IF($A227="","",IFERROR(INDEX(직원목록!$AH$7:$AH$306,MATCH(215,직원목록!$B$7:$B$306,0)),""))</f>
        <v/>
      </c>
      <c r="I227" s="27">
        <f>IF(OR($A227="",H227=""),"",G227-H227)</f>
        <v/>
      </c>
      <c r="J227" s="27">
        <f>IF($A227="","",IFERROR(INDEX(직원목록!$AF$7:$AF$306,MATCH(215,직원목록!$B$7:$B$306,0)),""))</f>
        <v/>
      </c>
      <c r="K227" s="27">
        <f>IF($A227="","",IFERROR(INDEX(직원목록!$AI$7:$AI$306,MATCH(215,직원목록!$B$7:$B$306,0)),""))</f>
        <v/>
      </c>
      <c r="L227" s="8">
        <f>IF($A227="","",IF(LEN(IF(AND(F227&lt;&gt;"",F227&lt;&gt;0),"계산 총지급과 대장 총지급이 다릅니다 / ","")&amp;IF(AND(I227&lt;&gt;"",I227&lt;&gt;0),"계산 총공제와 대장 총공제가 다릅니다 / ","")&amp;IF(J227&lt;0,"실수령액이 음수입니다 / ","")&amp;IF(COUNTIF(직원목록!$D$7:$D$306,B227)&gt;1,"같은 이름이 둘 이상 — 미리보기는 첫 번째만 보입니다 / ","")&amp;IF(AND(C227&lt;&gt;"",COUNTIF(직원목록!$C$7:$C$306,C227)&gt;1),"사번 중복 / ","")&amp;IF(D227=0,"총지급이 0원 — 머리글 매칭 확인 / ","")&amp;IF(AND(설정!$B$17&lt;&gt;"",설정!$C$17="",OR(ISNUMBER(FIND("연장",설정!$B$17)),ISNUMBER(FIND("야간",설정!$B$17)),ISNUMBER(FIND("휴일",설정!$B$17))),INDEX(직원목록!$F$7:$F$306,MATCH(215,직원목록!$B$7:$B$306,0))&gt;0),"연장·야간·휴일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","")&amp;IF(AND(설정!$B$24&lt;&gt;"",설정!$C$24="",OR(ISNUMBER(FIND("연장",설정!$B$24)),ISNUMBER(FIND("야간",설정!$B$24)),ISNUMBER(FIND("휴일",설정!$B$24))),INDEX(직원목록!$M$7:$M$306,MATCH(215,직원목록!$B$7:$B$306,0))&gt;0),"연장·야간·휴일 수당은 시간 수도 명세서에 적어야 하니 시간 열 지정 필요 / ",""))=0,"✔",("⚠ "&amp;IF(AND(F227&lt;&gt;"",F227&lt;&gt;0),"계산 총지급과 대장 총지급이 다릅니다 / ","")&amp;IF(AND(I227&lt;&gt;"",I227&lt;&gt;0),"계산 총공제와 대장 총공제가 다릅니다 / ","")&amp;IF(J227&lt;0,"실수령액이 음수입니다 / ","")&amp;IF(COUNTIF(직원목록!$D$7:$D$306,B227)&gt;1,"같은 이름이 둘 이상 — 미리보기는 첫 번째만 보입니다 / ","")&amp;IF(AND(C227&lt;&gt;"",COUNTIF(직원목록!$C$7:$C$306,C227)&gt;1),"사번 중복 / ","")&amp;IF(D227=0,"총지급이 0원 — 머리글 매칭 확인 / ","")&amp;IF(AND(설정!$B$17&lt;&gt;"",설정!$C$17="",OR(ISNUMBER(FIND("연장",설정!$B$17)),ISNUMBER(FIND("야간",설정!$B$17)),ISNUMBER(FIND("휴일",설정!$B$17))),INDEX(직원목록!$F$7:$F$306,MATCH(215,직원목록!$B$7:$B$306,0))&gt;0),"연장·야간·휴일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","")&amp;IF(AND(설정!$B$24&lt;&gt;"",설정!$C$24="",OR(ISNUMBER(FIND("연장",설정!$B$24)),ISNUMBER(FIND("야간",설정!$B$24)),ISNUMBER(FIND("휴일",설정!$B$24))),INDEX(직원목록!$M$7:$M$306,MATCH(215,직원목록!$B$7:$B$306,0))&gt;0),"연장·야간·휴일 수당은 시간 수도 명세서에 적어야 하니 시간 열 지정 필요 / ",""))))</f>
        <v/>
      </c>
    </row>
    <row r="228">
      <c r="A228" s="26">
        <f>IF(IFERROR(MATCH(216,직원목록!$B$7:$B$306,0),0)=0,"",216)</f>
        <v/>
      </c>
      <c r="B228" s="2">
        <f>IF($A228="","",IFERROR(INDEX(직원목록!$D$7:$D$306,MATCH(216,직원목록!$B$7:$B$306,0)),""))</f>
        <v/>
      </c>
      <c r="C228" s="2">
        <f>IF($A228="","",IFERROR(INDEX(직원목록!$C$7:$C$306,MATCH(216,직원목록!$B$7:$B$306,0)),""))</f>
        <v/>
      </c>
      <c r="D228" s="27">
        <f>IF($A228="","",IFERROR(INDEX(직원목록!$V$7:$V$306,MATCH(216,직원목록!$B$7:$B$306,0)),""))</f>
        <v/>
      </c>
      <c r="E228" s="27">
        <f>IF($A228="","",IFERROR(INDEX(직원목록!$AG$7:$AG$306,MATCH(216,직원목록!$B$7:$B$306,0)),""))</f>
        <v/>
      </c>
      <c r="F228" s="27">
        <f>IF(OR($A228="",E228=""),"",D228-E228)</f>
        <v/>
      </c>
      <c r="G228" s="27">
        <f>IF($A228="","",IFERROR(INDEX(직원목록!$AE$7:$AE$306,MATCH(216,직원목록!$B$7:$B$306,0)),""))</f>
        <v/>
      </c>
      <c r="H228" s="27">
        <f>IF($A228="","",IFERROR(INDEX(직원목록!$AH$7:$AH$306,MATCH(216,직원목록!$B$7:$B$306,0)),""))</f>
        <v/>
      </c>
      <c r="I228" s="27">
        <f>IF(OR($A228="",H228=""),"",G228-H228)</f>
        <v/>
      </c>
      <c r="J228" s="27">
        <f>IF($A228="","",IFERROR(INDEX(직원목록!$AF$7:$AF$306,MATCH(216,직원목록!$B$7:$B$306,0)),""))</f>
        <v/>
      </c>
      <c r="K228" s="27">
        <f>IF($A228="","",IFERROR(INDEX(직원목록!$AI$7:$AI$306,MATCH(216,직원목록!$B$7:$B$306,0)),""))</f>
        <v/>
      </c>
      <c r="L228" s="8">
        <f>IF($A228="","",IF(LEN(IF(AND(F228&lt;&gt;"",F228&lt;&gt;0),"계산 총지급과 대장 총지급이 다릅니다 / ","")&amp;IF(AND(I228&lt;&gt;"",I228&lt;&gt;0),"계산 총공제와 대장 총공제가 다릅니다 / ","")&amp;IF(J228&lt;0,"실수령액이 음수입니다 / ","")&amp;IF(COUNTIF(직원목록!$D$7:$D$306,B228)&gt;1,"같은 이름이 둘 이상 — 미리보기는 첫 번째만 보입니다 / ","")&amp;IF(AND(C228&lt;&gt;"",COUNTIF(직원목록!$C$7:$C$306,C228)&gt;1),"사번 중복 / ","")&amp;IF(D228=0,"총지급이 0원 — 머리글 매칭 확인 / ","")&amp;IF(AND(설정!$B$17&lt;&gt;"",설정!$C$17="",OR(ISNUMBER(FIND("연장",설정!$B$17)),ISNUMBER(FIND("야간",설정!$B$17)),ISNUMBER(FIND("휴일",설정!$B$17))),INDEX(직원목록!$F$7:$F$306,MATCH(216,직원목록!$B$7:$B$306,0))&gt;0),"연장·야간·휴일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","")&amp;IF(AND(설정!$B$24&lt;&gt;"",설정!$C$24="",OR(ISNUMBER(FIND("연장",설정!$B$24)),ISNUMBER(FIND("야간",설정!$B$24)),ISNUMBER(FIND("휴일",설정!$B$24))),INDEX(직원목록!$M$7:$M$306,MATCH(216,직원목록!$B$7:$B$306,0))&gt;0),"연장·야간·휴일 수당은 시간 수도 명세서에 적어야 하니 시간 열 지정 필요 / ",""))=0,"✔",("⚠ "&amp;IF(AND(F228&lt;&gt;"",F228&lt;&gt;0),"계산 총지급과 대장 총지급이 다릅니다 / ","")&amp;IF(AND(I228&lt;&gt;"",I228&lt;&gt;0),"계산 총공제와 대장 총공제가 다릅니다 / ","")&amp;IF(J228&lt;0,"실수령액이 음수입니다 / ","")&amp;IF(COUNTIF(직원목록!$D$7:$D$306,B228)&gt;1,"같은 이름이 둘 이상 — 미리보기는 첫 번째만 보입니다 / ","")&amp;IF(AND(C228&lt;&gt;"",COUNTIF(직원목록!$C$7:$C$306,C228)&gt;1),"사번 중복 / ","")&amp;IF(D228=0,"총지급이 0원 — 머리글 매칭 확인 / ","")&amp;IF(AND(설정!$B$17&lt;&gt;"",설정!$C$17="",OR(ISNUMBER(FIND("연장",설정!$B$17)),ISNUMBER(FIND("야간",설정!$B$17)),ISNUMBER(FIND("휴일",설정!$B$17))),INDEX(직원목록!$F$7:$F$306,MATCH(216,직원목록!$B$7:$B$306,0))&gt;0),"연장·야간·휴일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","")&amp;IF(AND(설정!$B$24&lt;&gt;"",설정!$C$24="",OR(ISNUMBER(FIND("연장",설정!$B$24)),ISNUMBER(FIND("야간",설정!$B$24)),ISNUMBER(FIND("휴일",설정!$B$24))),INDEX(직원목록!$M$7:$M$306,MATCH(216,직원목록!$B$7:$B$306,0))&gt;0),"연장·야간·휴일 수당은 시간 수도 명세서에 적어야 하니 시간 열 지정 필요 / ",""))))</f>
        <v/>
      </c>
    </row>
    <row r="229">
      <c r="A229" s="26">
        <f>IF(IFERROR(MATCH(217,직원목록!$B$7:$B$306,0),0)=0,"",217)</f>
        <v/>
      </c>
      <c r="B229" s="2">
        <f>IF($A229="","",IFERROR(INDEX(직원목록!$D$7:$D$306,MATCH(217,직원목록!$B$7:$B$306,0)),""))</f>
        <v/>
      </c>
      <c r="C229" s="2">
        <f>IF($A229="","",IFERROR(INDEX(직원목록!$C$7:$C$306,MATCH(217,직원목록!$B$7:$B$306,0)),""))</f>
        <v/>
      </c>
      <c r="D229" s="27">
        <f>IF($A229="","",IFERROR(INDEX(직원목록!$V$7:$V$306,MATCH(217,직원목록!$B$7:$B$306,0)),""))</f>
        <v/>
      </c>
      <c r="E229" s="27">
        <f>IF($A229="","",IFERROR(INDEX(직원목록!$AG$7:$AG$306,MATCH(217,직원목록!$B$7:$B$306,0)),""))</f>
        <v/>
      </c>
      <c r="F229" s="27">
        <f>IF(OR($A229="",E229=""),"",D229-E229)</f>
        <v/>
      </c>
      <c r="G229" s="27">
        <f>IF($A229="","",IFERROR(INDEX(직원목록!$AE$7:$AE$306,MATCH(217,직원목록!$B$7:$B$306,0)),""))</f>
        <v/>
      </c>
      <c r="H229" s="27">
        <f>IF($A229="","",IFERROR(INDEX(직원목록!$AH$7:$AH$306,MATCH(217,직원목록!$B$7:$B$306,0)),""))</f>
        <v/>
      </c>
      <c r="I229" s="27">
        <f>IF(OR($A229="",H229=""),"",G229-H229)</f>
        <v/>
      </c>
      <c r="J229" s="27">
        <f>IF($A229="","",IFERROR(INDEX(직원목록!$AF$7:$AF$306,MATCH(217,직원목록!$B$7:$B$306,0)),""))</f>
        <v/>
      </c>
      <c r="K229" s="27">
        <f>IF($A229="","",IFERROR(INDEX(직원목록!$AI$7:$AI$306,MATCH(217,직원목록!$B$7:$B$306,0)),""))</f>
        <v/>
      </c>
      <c r="L229" s="8">
        <f>IF($A229="","",IF(LEN(IF(AND(F229&lt;&gt;"",F229&lt;&gt;0),"계산 총지급과 대장 총지급이 다릅니다 / ","")&amp;IF(AND(I229&lt;&gt;"",I229&lt;&gt;0),"계산 총공제와 대장 총공제가 다릅니다 / ","")&amp;IF(J229&lt;0,"실수령액이 음수입니다 / ","")&amp;IF(COUNTIF(직원목록!$D$7:$D$306,B229)&gt;1,"같은 이름이 둘 이상 — 미리보기는 첫 번째만 보입니다 / ","")&amp;IF(AND(C229&lt;&gt;"",COUNTIF(직원목록!$C$7:$C$306,C229)&gt;1),"사번 중복 / ","")&amp;IF(D229=0,"총지급이 0원 — 머리글 매칭 확인 / ","")&amp;IF(AND(설정!$B$17&lt;&gt;"",설정!$C$17="",OR(ISNUMBER(FIND("연장",설정!$B$17)),ISNUMBER(FIND("야간",설정!$B$17)),ISNUMBER(FIND("휴일",설정!$B$17))),INDEX(직원목록!$F$7:$F$306,MATCH(217,직원목록!$B$7:$B$306,0))&gt;0),"연장·야간·휴일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","")&amp;IF(AND(설정!$B$24&lt;&gt;"",설정!$C$24="",OR(ISNUMBER(FIND("연장",설정!$B$24)),ISNUMBER(FIND("야간",설정!$B$24)),ISNUMBER(FIND("휴일",설정!$B$24))),INDEX(직원목록!$M$7:$M$306,MATCH(217,직원목록!$B$7:$B$306,0))&gt;0),"연장·야간·휴일 수당은 시간 수도 명세서에 적어야 하니 시간 열 지정 필요 / ",""))=0,"✔",("⚠ "&amp;IF(AND(F229&lt;&gt;"",F229&lt;&gt;0),"계산 총지급과 대장 총지급이 다릅니다 / ","")&amp;IF(AND(I229&lt;&gt;"",I229&lt;&gt;0),"계산 총공제와 대장 총공제가 다릅니다 / ","")&amp;IF(J229&lt;0,"실수령액이 음수입니다 / ","")&amp;IF(COUNTIF(직원목록!$D$7:$D$306,B229)&gt;1,"같은 이름이 둘 이상 — 미리보기는 첫 번째만 보입니다 / ","")&amp;IF(AND(C229&lt;&gt;"",COUNTIF(직원목록!$C$7:$C$306,C229)&gt;1),"사번 중복 / ","")&amp;IF(D229=0,"총지급이 0원 — 머리글 매칭 확인 / ","")&amp;IF(AND(설정!$B$17&lt;&gt;"",설정!$C$17="",OR(ISNUMBER(FIND("연장",설정!$B$17)),ISNUMBER(FIND("야간",설정!$B$17)),ISNUMBER(FIND("휴일",설정!$B$17))),INDEX(직원목록!$F$7:$F$306,MATCH(217,직원목록!$B$7:$B$306,0))&gt;0),"연장·야간·휴일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","")&amp;IF(AND(설정!$B$24&lt;&gt;"",설정!$C$24="",OR(ISNUMBER(FIND("연장",설정!$B$24)),ISNUMBER(FIND("야간",설정!$B$24)),ISNUMBER(FIND("휴일",설정!$B$24))),INDEX(직원목록!$M$7:$M$306,MATCH(217,직원목록!$B$7:$B$306,0))&gt;0),"연장·야간·휴일 수당은 시간 수도 명세서에 적어야 하니 시간 열 지정 필요 / ",""))))</f>
        <v/>
      </c>
    </row>
    <row r="230">
      <c r="A230" s="26">
        <f>IF(IFERROR(MATCH(218,직원목록!$B$7:$B$306,0),0)=0,"",218)</f>
        <v/>
      </c>
      <c r="B230" s="2">
        <f>IF($A230="","",IFERROR(INDEX(직원목록!$D$7:$D$306,MATCH(218,직원목록!$B$7:$B$306,0)),""))</f>
        <v/>
      </c>
      <c r="C230" s="2">
        <f>IF($A230="","",IFERROR(INDEX(직원목록!$C$7:$C$306,MATCH(218,직원목록!$B$7:$B$306,0)),""))</f>
        <v/>
      </c>
      <c r="D230" s="27">
        <f>IF($A230="","",IFERROR(INDEX(직원목록!$V$7:$V$306,MATCH(218,직원목록!$B$7:$B$306,0)),""))</f>
        <v/>
      </c>
      <c r="E230" s="27">
        <f>IF($A230="","",IFERROR(INDEX(직원목록!$AG$7:$AG$306,MATCH(218,직원목록!$B$7:$B$306,0)),""))</f>
        <v/>
      </c>
      <c r="F230" s="27">
        <f>IF(OR($A230="",E230=""),"",D230-E230)</f>
        <v/>
      </c>
      <c r="G230" s="27">
        <f>IF($A230="","",IFERROR(INDEX(직원목록!$AE$7:$AE$306,MATCH(218,직원목록!$B$7:$B$306,0)),""))</f>
        <v/>
      </c>
      <c r="H230" s="27">
        <f>IF($A230="","",IFERROR(INDEX(직원목록!$AH$7:$AH$306,MATCH(218,직원목록!$B$7:$B$306,0)),""))</f>
        <v/>
      </c>
      <c r="I230" s="27">
        <f>IF(OR($A230="",H230=""),"",G230-H230)</f>
        <v/>
      </c>
      <c r="J230" s="27">
        <f>IF($A230="","",IFERROR(INDEX(직원목록!$AF$7:$AF$306,MATCH(218,직원목록!$B$7:$B$306,0)),""))</f>
        <v/>
      </c>
      <c r="K230" s="27">
        <f>IF($A230="","",IFERROR(INDEX(직원목록!$AI$7:$AI$306,MATCH(218,직원목록!$B$7:$B$306,0)),""))</f>
        <v/>
      </c>
      <c r="L230" s="8">
        <f>IF($A230="","",IF(LEN(IF(AND(F230&lt;&gt;"",F230&lt;&gt;0),"계산 총지급과 대장 총지급이 다릅니다 / ","")&amp;IF(AND(I230&lt;&gt;"",I230&lt;&gt;0),"계산 총공제와 대장 총공제가 다릅니다 / ","")&amp;IF(J230&lt;0,"실수령액이 음수입니다 / ","")&amp;IF(COUNTIF(직원목록!$D$7:$D$306,B230)&gt;1,"같은 이름이 둘 이상 — 미리보기는 첫 번째만 보입니다 / ","")&amp;IF(AND(C230&lt;&gt;"",COUNTIF(직원목록!$C$7:$C$306,C230)&gt;1),"사번 중복 / ","")&amp;IF(D230=0,"총지급이 0원 — 머리글 매칭 확인 / ","")&amp;IF(AND(설정!$B$17&lt;&gt;"",설정!$C$17="",OR(ISNUMBER(FIND("연장",설정!$B$17)),ISNUMBER(FIND("야간",설정!$B$17)),ISNUMBER(FIND("휴일",설정!$B$17))),INDEX(직원목록!$F$7:$F$306,MATCH(218,직원목록!$B$7:$B$306,0))&gt;0),"연장·야간·휴일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","")&amp;IF(AND(설정!$B$24&lt;&gt;"",설정!$C$24="",OR(ISNUMBER(FIND("연장",설정!$B$24)),ISNUMBER(FIND("야간",설정!$B$24)),ISNUMBER(FIND("휴일",설정!$B$24))),INDEX(직원목록!$M$7:$M$306,MATCH(218,직원목록!$B$7:$B$306,0))&gt;0),"연장·야간·휴일 수당은 시간 수도 명세서에 적어야 하니 시간 열 지정 필요 / ",""))=0,"✔",("⚠ "&amp;IF(AND(F230&lt;&gt;"",F230&lt;&gt;0),"계산 총지급과 대장 총지급이 다릅니다 / ","")&amp;IF(AND(I230&lt;&gt;"",I230&lt;&gt;0),"계산 총공제와 대장 총공제가 다릅니다 / ","")&amp;IF(J230&lt;0,"실수령액이 음수입니다 / ","")&amp;IF(COUNTIF(직원목록!$D$7:$D$306,B230)&gt;1,"같은 이름이 둘 이상 — 미리보기는 첫 번째만 보입니다 / ","")&amp;IF(AND(C230&lt;&gt;"",COUNTIF(직원목록!$C$7:$C$306,C230)&gt;1),"사번 중복 / ","")&amp;IF(D230=0,"총지급이 0원 — 머리글 매칭 확인 / ","")&amp;IF(AND(설정!$B$17&lt;&gt;"",설정!$C$17="",OR(ISNUMBER(FIND("연장",설정!$B$17)),ISNUMBER(FIND("야간",설정!$B$17)),ISNUMBER(FIND("휴일",설정!$B$17))),INDEX(직원목록!$F$7:$F$306,MATCH(218,직원목록!$B$7:$B$306,0))&gt;0),"연장·야간·휴일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","")&amp;IF(AND(설정!$B$24&lt;&gt;"",설정!$C$24="",OR(ISNUMBER(FIND("연장",설정!$B$24)),ISNUMBER(FIND("야간",설정!$B$24)),ISNUMBER(FIND("휴일",설정!$B$24))),INDEX(직원목록!$M$7:$M$306,MATCH(218,직원목록!$B$7:$B$306,0))&gt;0),"연장·야간·휴일 수당은 시간 수도 명세서에 적어야 하니 시간 열 지정 필요 / ",""))))</f>
        <v/>
      </c>
    </row>
    <row r="231">
      <c r="A231" s="26">
        <f>IF(IFERROR(MATCH(219,직원목록!$B$7:$B$306,0),0)=0,"",219)</f>
        <v/>
      </c>
      <c r="B231" s="2">
        <f>IF($A231="","",IFERROR(INDEX(직원목록!$D$7:$D$306,MATCH(219,직원목록!$B$7:$B$306,0)),""))</f>
        <v/>
      </c>
      <c r="C231" s="2">
        <f>IF($A231="","",IFERROR(INDEX(직원목록!$C$7:$C$306,MATCH(219,직원목록!$B$7:$B$306,0)),""))</f>
        <v/>
      </c>
      <c r="D231" s="27">
        <f>IF($A231="","",IFERROR(INDEX(직원목록!$V$7:$V$306,MATCH(219,직원목록!$B$7:$B$306,0)),""))</f>
        <v/>
      </c>
      <c r="E231" s="27">
        <f>IF($A231="","",IFERROR(INDEX(직원목록!$AG$7:$AG$306,MATCH(219,직원목록!$B$7:$B$306,0)),""))</f>
        <v/>
      </c>
      <c r="F231" s="27">
        <f>IF(OR($A231="",E231=""),"",D231-E231)</f>
        <v/>
      </c>
      <c r="G231" s="27">
        <f>IF($A231="","",IFERROR(INDEX(직원목록!$AE$7:$AE$306,MATCH(219,직원목록!$B$7:$B$306,0)),""))</f>
        <v/>
      </c>
      <c r="H231" s="27">
        <f>IF($A231="","",IFERROR(INDEX(직원목록!$AH$7:$AH$306,MATCH(219,직원목록!$B$7:$B$306,0)),""))</f>
        <v/>
      </c>
      <c r="I231" s="27">
        <f>IF(OR($A231="",H231=""),"",G231-H231)</f>
        <v/>
      </c>
      <c r="J231" s="27">
        <f>IF($A231="","",IFERROR(INDEX(직원목록!$AF$7:$AF$306,MATCH(219,직원목록!$B$7:$B$306,0)),""))</f>
        <v/>
      </c>
      <c r="K231" s="27">
        <f>IF($A231="","",IFERROR(INDEX(직원목록!$AI$7:$AI$306,MATCH(219,직원목록!$B$7:$B$306,0)),""))</f>
        <v/>
      </c>
      <c r="L231" s="8">
        <f>IF($A231="","",IF(LEN(IF(AND(F231&lt;&gt;"",F231&lt;&gt;0),"계산 총지급과 대장 총지급이 다릅니다 / ","")&amp;IF(AND(I231&lt;&gt;"",I231&lt;&gt;0),"계산 총공제와 대장 총공제가 다릅니다 / ","")&amp;IF(J231&lt;0,"실수령액이 음수입니다 / ","")&amp;IF(COUNTIF(직원목록!$D$7:$D$306,B231)&gt;1,"같은 이름이 둘 이상 — 미리보기는 첫 번째만 보입니다 / ","")&amp;IF(AND(C231&lt;&gt;"",COUNTIF(직원목록!$C$7:$C$306,C231)&gt;1),"사번 중복 / ","")&amp;IF(D231=0,"총지급이 0원 — 머리글 매칭 확인 / ","")&amp;IF(AND(설정!$B$17&lt;&gt;"",설정!$C$17="",OR(ISNUMBER(FIND("연장",설정!$B$17)),ISNUMBER(FIND("야간",설정!$B$17)),ISNUMBER(FIND("휴일",설정!$B$17))),INDEX(직원목록!$F$7:$F$306,MATCH(219,직원목록!$B$7:$B$306,0))&gt;0),"연장·야간·휴일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","")&amp;IF(AND(설정!$B$24&lt;&gt;"",설정!$C$24="",OR(ISNUMBER(FIND("연장",설정!$B$24)),ISNUMBER(FIND("야간",설정!$B$24)),ISNUMBER(FIND("휴일",설정!$B$24))),INDEX(직원목록!$M$7:$M$306,MATCH(219,직원목록!$B$7:$B$306,0))&gt;0),"연장·야간·휴일 수당은 시간 수도 명세서에 적어야 하니 시간 열 지정 필요 / ",""))=0,"✔",("⚠ "&amp;IF(AND(F231&lt;&gt;"",F231&lt;&gt;0),"계산 총지급과 대장 총지급이 다릅니다 / ","")&amp;IF(AND(I231&lt;&gt;"",I231&lt;&gt;0),"계산 총공제와 대장 총공제가 다릅니다 / ","")&amp;IF(J231&lt;0,"실수령액이 음수입니다 / ","")&amp;IF(COUNTIF(직원목록!$D$7:$D$306,B231)&gt;1,"같은 이름이 둘 이상 — 미리보기는 첫 번째만 보입니다 / ","")&amp;IF(AND(C231&lt;&gt;"",COUNTIF(직원목록!$C$7:$C$306,C231)&gt;1),"사번 중복 / ","")&amp;IF(D231=0,"총지급이 0원 — 머리글 매칭 확인 / ","")&amp;IF(AND(설정!$B$17&lt;&gt;"",설정!$C$17="",OR(ISNUMBER(FIND("연장",설정!$B$17)),ISNUMBER(FIND("야간",설정!$B$17)),ISNUMBER(FIND("휴일",설정!$B$17))),INDEX(직원목록!$F$7:$F$306,MATCH(219,직원목록!$B$7:$B$306,0))&gt;0),"연장·야간·휴일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","")&amp;IF(AND(설정!$B$18&lt;&gt;"",설정!$C$18="",OR(ISNUMBER(FIND("연장",설정!$B$18)),ISNUMBER(FIND("야간",설정!$B$18)),ISNUMBER(FIND("휴일",설정!$B$18))),INDEX(직원목록!$G$7:$G$306,MATCH(219,직원목록!$B$7:$B$306,0))&gt;0),"연장·야간·휴일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","")&amp;IF(AND(설정!$B$19&lt;&gt;"",설정!$C$19="",OR(ISNUMBER(FIND("연장",설정!$B$19)),ISNUMBER(FIND("야간",설정!$B$19)),ISNUMBER(FIND("휴일",설정!$B$19))),INDEX(직원목록!$H$7:$H$306,MATCH(219,직원목록!$B$7:$B$306,0))&gt;0),"연장·야간·휴일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","")&amp;IF(AND(설정!$B$20&lt;&gt;"",설정!$C$20="",OR(ISNUMBER(FIND("연장",설정!$B$20)),ISNUMBER(FIND("야간",설정!$B$20)),ISNUMBER(FIND("휴일",설정!$B$20))),INDEX(직원목록!$I$7:$I$306,MATCH(219,직원목록!$B$7:$B$306,0))&gt;0),"연장·야간·휴일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","")&amp;IF(AND(설정!$B$21&lt;&gt;"",설정!$C$21="",OR(ISNUMBER(FIND("연장",설정!$B$21)),ISNUMBER(FIND("야간",설정!$B$21)),ISNUMBER(FIND("휴일",설정!$B$21))),INDEX(직원목록!$J$7:$J$306,MATCH(219,직원목록!$B$7:$B$306,0))&gt;0),"연장·야간·휴일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","")&amp;IF(AND(설정!$B$22&lt;&gt;"",설정!$C$22="",OR(ISNUMBER(FIND("연장",설정!$B$22)),ISNUMBER(FIND("야간",설정!$B$22)),ISNUMBER(FIND("휴일",설정!$B$22))),INDEX(직원목록!$K$7:$K$306,MATCH(219,직원목록!$B$7:$B$306,0))&gt;0),"연장·야간·휴일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","")&amp;IF(AND(설정!$B$23&lt;&gt;"",설정!$C$23="",OR(ISNUMBER(FIND("연장",설정!$B$23)),ISNUMBER(FIND("야간",설정!$B$23)),ISNUMBER(FIND("휴일",설정!$B$23))),INDEX(직원목록!$L$7:$L$306,MATCH(219,직원목록!$B$7:$B$306,0))&gt;0),"연장·야간·휴일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","")&amp;IF(AND(설정!$B$24&lt;&gt;"",설정!$C$24="",OR(ISNUMBER(FIND("연장",설정!$B$24)),ISNUMBER(FIND("야간",설정!$B$24)),ISNUMBER(FIND("휴일",설정!$B$24))),INDEX(직원목록!$M$7:$M$306,MATCH(219,직원목록!$B$7:$B$306,0))&gt;0),"연장·야간·휴일 수당은 시간 수도 명세서에 적어야 하니 시간 열 지정 필요 / ",""))))</f>
        <v/>
      </c>
    </row>
    <row r="232">
      <c r="A232" s="26">
        <f>IF(IFERROR(MATCH(220,직원목록!$B$7:$B$306,0),0)=0,"",220)</f>
        <v/>
      </c>
      <c r="B232" s="2">
        <f>IF($A232="","",IFERROR(INDEX(직원목록!$D$7:$D$306,MATCH(220,직원목록!$B$7:$B$306,0)),""))</f>
        <v/>
      </c>
      <c r="C232" s="2">
        <f>IF($A232="","",IFERROR(INDEX(직원목록!$C$7:$C$306,MATCH(220,직원목록!$B$7:$B$306,0)),""))</f>
        <v/>
      </c>
      <c r="D232" s="27">
        <f>IF($A232="","",IFERROR(INDEX(직원목록!$V$7:$V$306,MATCH(220,직원목록!$B$7:$B$306,0)),""))</f>
        <v/>
      </c>
      <c r="E232" s="27">
        <f>IF($A232="","",IFERROR(INDEX(직원목록!$AG$7:$AG$306,MATCH(220,직원목록!$B$7:$B$306,0)),""))</f>
        <v/>
      </c>
      <c r="F232" s="27">
        <f>IF(OR($A232="",E232=""),"",D232-E232)</f>
        <v/>
      </c>
      <c r="G232" s="27">
        <f>IF($A232="","",IFERROR(INDEX(직원목록!$AE$7:$AE$306,MATCH(220,직원목록!$B$7:$B$306,0)),""))</f>
        <v/>
      </c>
      <c r="H232" s="27">
        <f>IF($A232="","",IFERROR(INDEX(직원목록!$AH$7:$AH$306,MATCH(220,직원목록!$B$7:$B$306,0)),""))</f>
        <v/>
      </c>
      <c r="I232" s="27">
        <f>IF(OR($A232="",H232=""),"",G232-H232)</f>
        <v/>
      </c>
      <c r="J232" s="27">
        <f>IF($A232="","",IFERROR(INDEX(직원목록!$AF$7:$AF$306,MATCH(220,직원목록!$B$7:$B$306,0)),""))</f>
        <v/>
      </c>
      <c r="K232" s="27">
        <f>IF($A232="","",IFERROR(INDEX(직원목록!$AI$7:$AI$306,MATCH(220,직원목록!$B$7:$B$306,0)),""))</f>
        <v/>
      </c>
      <c r="L232" s="8">
        <f>IF($A232="","",IF(LEN(IF(AND(F232&lt;&gt;"",F232&lt;&gt;0),"계산 총지급과 대장 총지급이 다릅니다 / ","")&amp;IF(AND(I232&lt;&gt;"",I232&lt;&gt;0),"계산 총공제와 대장 총공제가 다릅니다 / ","")&amp;IF(J232&lt;0,"실수령액이 음수입니다 / ","")&amp;IF(COUNTIF(직원목록!$D$7:$D$306,B232)&gt;1,"같은 이름이 둘 이상 — 미리보기는 첫 번째만 보입니다 / ","")&amp;IF(AND(C232&lt;&gt;"",COUNTIF(직원목록!$C$7:$C$306,C232)&gt;1),"사번 중복 / ","")&amp;IF(D232=0,"총지급이 0원 — 머리글 매칭 확인 / ","")&amp;IF(AND(설정!$B$17&lt;&gt;"",설정!$C$17="",OR(ISNUMBER(FIND("연장",설정!$B$17)),ISNUMBER(FIND("야간",설정!$B$17)),ISNUMBER(FIND("휴일",설정!$B$17))),INDEX(직원목록!$F$7:$F$306,MATCH(220,직원목록!$B$7:$B$306,0))&gt;0),"연장·야간·휴일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","")&amp;IF(AND(설정!$B$24&lt;&gt;"",설정!$C$24="",OR(ISNUMBER(FIND("연장",설정!$B$24)),ISNUMBER(FIND("야간",설정!$B$24)),ISNUMBER(FIND("휴일",설정!$B$24))),INDEX(직원목록!$M$7:$M$306,MATCH(220,직원목록!$B$7:$B$306,0))&gt;0),"연장·야간·휴일 수당은 시간 수도 명세서에 적어야 하니 시간 열 지정 필요 / ",""))=0,"✔",("⚠ "&amp;IF(AND(F232&lt;&gt;"",F232&lt;&gt;0),"계산 총지급과 대장 총지급이 다릅니다 / ","")&amp;IF(AND(I232&lt;&gt;"",I232&lt;&gt;0),"계산 총공제와 대장 총공제가 다릅니다 / ","")&amp;IF(J232&lt;0,"실수령액이 음수입니다 / ","")&amp;IF(COUNTIF(직원목록!$D$7:$D$306,B232)&gt;1,"같은 이름이 둘 이상 — 미리보기는 첫 번째만 보입니다 / ","")&amp;IF(AND(C232&lt;&gt;"",COUNTIF(직원목록!$C$7:$C$306,C232)&gt;1),"사번 중복 / ","")&amp;IF(D232=0,"총지급이 0원 — 머리글 매칭 확인 / ","")&amp;IF(AND(설정!$B$17&lt;&gt;"",설정!$C$17="",OR(ISNUMBER(FIND("연장",설정!$B$17)),ISNUMBER(FIND("야간",설정!$B$17)),ISNUMBER(FIND("휴일",설정!$B$17))),INDEX(직원목록!$F$7:$F$306,MATCH(220,직원목록!$B$7:$B$306,0))&gt;0),"연장·야간·휴일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","")&amp;IF(AND(설정!$B$24&lt;&gt;"",설정!$C$24="",OR(ISNUMBER(FIND("연장",설정!$B$24)),ISNUMBER(FIND("야간",설정!$B$24)),ISNUMBER(FIND("휴일",설정!$B$24))),INDEX(직원목록!$M$7:$M$306,MATCH(220,직원목록!$B$7:$B$306,0))&gt;0),"연장·야간·휴일 수당은 시간 수도 명세서에 적어야 하니 시간 열 지정 필요 / ",""))))</f>
        <v/>
      </c>
    </row>
    <row r="233">
      <c r="A233" s="26">
        <f>IF(IFERROR(MATCH(221,직원목록!$B$7:$B$306,0),0)=0,"",221)</f>
        <v/>
      </c>
      <c r="B233" s="2">
        <f>IF($A233="","",IFERROR(INDEX(직원목록!$D$7:$D$306,MATCH(221,직원목록!$B$7:$B$306,0)),""))</f>
        <v/>
      </c>
      <c r="C233" s="2">
        <f>IF($A233="","",IFERROR(INDEX(직원목록!$C$7:$C$306,MATCH(221,직원목록!$B$7:$B$306,0)),""))</f>
        <v/>
      </c>
      <c r="D233" s="27">
        <f>IF($A233="","",IFERROR(INDEX(직원목록!$V$7:$V$306,MATCH(221,직원목록!$B$7:$B$306,0)),""))</f>
        <v/>
      </c>
      <c r="E233" s="27">
        <f>IF($A233="","",IFERROR(INDEX(직원목록!$AG$7:$AG$306,MATCH(221,직원목록!$B$7:$B$306,0)),""))</f>
        <v/>
      </c>
      <c r="F233" s="27">
        <f>IF(OR($A233="",E233=""),"",D233-E233)</f>
        <v/>
      </c>
      <c r="G233" s="27">
        <f>IF($A233="","",IFERROR(INDEX(직원목록!$AE$7:$AE$306,MATCH(221,직원목록!$B$7:$B$306,0)),""))</f>
        <v/>
      </c>
      <c r="H233" s="27">
        <f>IF($A233="","",IFERROR(INDEX(직원목록!$AH$7:$AH$306,MATCH(221,직원목록!$B$7:$B$306,0)),""))</f>
        <v/>
      </c>
      <c r="I233" s="27">
        <f>IF(OR($A233="",H233=""),"",G233-H233)</f>
        <v/>
      </c>
      <c r="J233" s="27">
        <f>IF($A233="","",IFERROR(INDEX(직원목록!$AF$7:$AF$306,MATCH(221,직원목록!$B$7:$B$306,0)),""))</f>
        <v/>
      </c>
      <c r="K233" s="27">
        <f>IF($A233="","",IFERROR(INDEX(직원목록!$AI$7:$AI$306,MATCH(221,직원목록!$B$7:$B$306,0)),""))</f>
        <v/>
      </c>
      <c r="L233" s="8">
        <f>IF($A233="","",IF(LEN(IF(AND(F233&lt;&gt;"",F233&lt;&gt;0),"계산 총지급과 대장 총지급이 다릅니다 / ","")&amp;IF(AND(I233&lt;&gt;"",I233&lt;&gt;0),"계산 총공제와 대장 총공제가 다릅니다 / ","")&amp;IF(J233&lt;0,"실수령액이 음수입니다 / ","")&amp;IF(COUNTIF(직원목록!$D$7:$D$306,B233)&gt;1,"같은 이름이 둘 이상 — 미리보기는 첫 번째만 보입니다 / ","")&amp;IF(AND(C233&lt;&gt;"",COUNTIF(직원목록!$C$7:$C$306,C233)&gt;1),"사번 중복 / ","")&amp;IF(D233=0,"총지급이 0원 — 머리글 매칭 확인 / ","")&amp;IF(AND(설정!$B$17&lt;&gt;"",설정!$C$17="",OR(ISNUMBER(FIND("연장",설정!$B$17)),ISNUMBER(FIND("야간",설정!$B$17)),ISNUMBER(FIND("휴일",설정!$B$17))),INDEX(직원목록!$F$7:$F$306,MATCH(221,직원목록!$B$7:$B$306,0))&gt;0),"연장·야간·휴일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","")&amp;IF(AND(설정!$B$24&lt;&gt;"",설정!$C$24="",OR(ISNUMBER(FIND("연장",설정!$B$24)),ISNUMBER(FIND("야간",설정!$B$24)),ISNUMBER(FIND("휴일",설정!$B$24))),INDEX(직원목록!$M$7:$M$306,MATCH(221,직원목록!$B$7:$B$306,0))&gt;0),"연장·야간·휴일 수당은 시간 수도 명세서에 적어야 하니 시간 열 지정 필요 / ",""))=0,"✔",("⚠ "&amp;IF(AND(F233&lt;&gt;"",F233&lt;&gt;0),"계산 총지급과 대장 총지급이 다릅니다 / ","")&amp;IF(AND(I233&lt;&gt;"",I233&lt;&gt;0),"계산 총공제와 대장 총공제가 다릅니다 / ","")&amp;IF(J233&lt;0,"실수령액이 음수입니다 / ","")&amp;IF(COUNTIF(직원목록!$D$7:$D$306,B233)&gt;1,"같은 이름이 둘 이상 — 미리보기는 첫 번째만 보입니다 / ","")&amp;IF(AND(C233&lt;&gt;"",COUNTIF(직원목록!$C$7:$C$306,C233)&gt;1),"사번 중복 / ","")&amp;IF(D233=0,"총지급이 0원 — 머리글 매칭 확인 / ","")&amp;IF(AND(설정!$B$17&lt;&gt;"",설정!$C$17="",OR(ISNUMBER(FIND("연장",설정!$B$17)),ISNUMBER(FIND("야간",설정!$B$17)),ISNUMBER(FIND("휴일",설정!$B$17))),INDEX(직원목록!$F$7:$F$306,MATCH(221,직원목록!$B$7:$B$306,0))&gt;0),"연장·야간·휴일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","")&amp;IF(AND(설정!$B$24&lt;&gt;"",설정!$C$24="",OR(ISNUMBER(FIND("연장",설정!$B$24)),ISNUMBER(FIND("야간",설정!$B$24)),ISNUMBER(FIND("휴일",설정!$B$24))),INDEX(직원목록!$M$7:$M$306,MATCH(221,직원목록!$B$7:$B$306,0))&gt;0),"연장·야간·휴일 수당은 시간 수도 명세서에 적어야 하니 시간 열 지정 필요 / ",""))))</f>
        <v/>
      </c>
    </row>
    <row r="234">
      <c r="A234" s="26">
        <f>IF(IFERROR(MATCH(222,직원목록!$B$7:$B$306,0),0)=0,"",222)</f>
        <v/>
      </c>
      <c r="B234" s="2">
        <f>IF($A234="","",IFERROR(INDEX(직원목록!$D$7:$D$306,MATCH(222,직원목록!$B$7:$B$306,0)),""))</f>
        <v/>
      </c>
      <c r="C234" s="2">
        <f>IF($A234="","",IFERROR(INDEX(직원목록!$C$7:$C$306,MATCH(222,직원목록!$B$7:$B$306,0)),""))</f>
        <v/>
      </c>
      <c r="D234" s="27">
        <f>IF($A234="","",IFERROR(INDEX(직원목록!$V$7:$V$306,MATCH(222,직원목록!$B$7:$B$306,0)),""))</f>
        <v/>
      </c>
      <c r="E234" s="27">
        <f>IF($A234="","",IFERROR(INDEX(직원목록!$AG$7:$AG$306,MATCH(222,직원목록!$B$7:$B$306,0)),""))</f>
        <v/>
      </c>
      <c r="F234" s="27">
        <f>IF(OR($A234="",E234=""),"",D234-E234)</f>
        <v/>
      </c>
      <c r="G234" s="27">
        <f>IF($A234="","",IFERROR(INDEX(직원목록!$AE$7:$AE$306,MATCH(222,직원목록!$B$7:$B$306,0)),""))</f>
        <v/>
      </c>
      <c r="H234" s="27">
        <f>IF($A234="","",IFERROR(INDEX(직원목록!$AH$7:$AH$306,MATCH(222,직원목록!$B$7:$B$306,0)),""))</f>
        <v/>
      </c>
      <c r="I234" s="27">
        <f>IF(OR($A234="",H234=""),"",G234-H234)</f>
        <v/>
      </c>
      <c r="J234" s="27">
        <f>IF($A234="","",IFERROR(INDEX(직원목록!$AF$7:$AF$306,MATCH(222,직원목록!$B$7:$B$306,0)),""))</f>
        <v/>
      </c>
      <c r="K234" s="27">
        <f>IF($A234="","",IFERROR(INDEX(직원목록!$AI$7:$AI$306,MATCH(222,직원목록!$B$7:$B$306,0)),""))</f>
        <v/>
      </c>
      <c r="L234" s="8">
        <f>IF($A234="","",IF(LEN(IF(AND(F234&lt;&gt;"",F234&lt;&gt;0),"계산 총지급과 대장 총지급이 다릅니다 / ","")&amp;IF(AND(I234&lt;&gt;"",I234&lt;&gt;0),"계산 총공제와 대장 총공제가 다릅니다 / ","")&amp;IF(J234&lt;0,"실수령액이 음수입니다 / ","")&amp;IF(COUNTIF(직원목록!$D$7:$D$306,B234)&gt;1,"같은 이름이 둘 이상 — 미리보기는 첫 번째만 보입니다 / ","")&amp;IF(AND(C234&lt;&gt;"",COUNTIF(직원목록!$C$7:$C$306,C234)&gt;1),"사번 중복 / ","")&amp;IF(D234=0,"총지급이 0원 — 머리글 매칭 확인 / ","")&amp;IF(AND(설정!$B$17&lt;&gt;"",설정!$C$17="",OR(ISNUMBER(FIND("연장",설정!$B$17)),ISNUMBER(FIND("야간",설정!$B$17)),ISNUMBER(FIND("휴일",설정!$B$17))),INDEX(직원목록!$F$7:$F$306,MATCH(222,직원목록!$B$7:$B$306,0))&gt;0),"연장·야간·휴일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","")&amp;IF(AND(설정!$B$24&lt;&gt;"",설정!$C$24="",OR(ISNUMBER(FIND("연장",설정!$B$24)),ISNUMBER(FIND("야간",설정!$B$24)),ISNUMBER(FIND("휴일",설정!$B$24))),INDEX(직원목록!$M$7:$M$306,MATCH(222,직원목록!$B$7:$B$306,0))&gt;0),"연장·야간·휴일 수당은 시간 수도 명세서에 적어야 하니 시간 열 지정 필요 / ",""))=0,"✔",("⚠ "&amp;IF(AND(F234&lt;&gt;"",F234&lt;&gt;0),"계산 총지급과 대장 총지급이 다릅니다 / ","")&amp;IF(AND(I234&lt;&gt;"",I234&lt;&gt;0),"계산 총공제와 대장 총공제가 다릅니다 / ","")&amp;IF(J234&lt;0,"실수령액이 음수입니다 / ","")&amp;IF(COUNTIF(직원목록!$D$7:$D$306,B234)&gt;1,"같은 이름이 둘 이상 — 미리보기는 첫 번째만 보입니다 / ","")&amp;IF(AND(C234&lt;&gt;"",COUNTIF(직원목록!$C$7:$C$306,C234)&gt;1),"사번 중복 / ","")&amp;IF(D234=0,"총지급이 0원 — 머리글 매칭 확인 / ","")&amp;IF(AND(설정!$B$17&lt;&gt;"",설정!$C$17="",OR(ISNUMBER(FIND("연장",설정!$B$17)),ISNUMBER(FIND("야간",설정!$B$17)),ISNUMBER(FIND("휴일",설정!$B$17))),INDEX(직원목록!$F$7:$F$306,MATCH(222,직원목록!$B$7:$B$306,0))&gt;0),"연장·야간·휴일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","")&amp;IF(AND(설정!$B$24&lt;&gt;"",설정!$C$24="",OR(ISNUMBER(FIND("연장",설정!$B$24)),ISNUMBER(FIND("야간",설정!$B$24)),ISNUMBER(FIND("휴일",설정!$B$24))),INDEX(직원목록!$M$7:$M$306,MATCH(222,직원목록!$B$7:$B$306,0))&gt;0),"연장·야간·휴일 수당은 시간 수도 명세서에 적어야 하니 시간 열 지정 필요 / ",""))))</f>
        <v/>
      </c>
    </row>
    <row r="235">
      <c r="A235" s="26">
        <f>IF(IFERROR(MATCH(223,직원목록!$B$7:$B$306,0),0)=0,"",223)</f>
        <v/>
      </c>
      <c r="B235" s="2">
        <f>IF($A235="","",IFERROR(INDEX(직원목록!$D$7:$D$306,MATCH(223,직원목록!$B$7:$B$306,0)),""))</f>
        <v/>
      </c>
      <c r="C235" s="2">
        <f>IF($A235="","",IFERROR(INDEX(직원목록!$C$7:$C$306,MATCH(223,직원목록!$B$7:$B$306,0)),""))</f>
        <v/>
      </c>
      <c r="D235" s="27">
        <f>IF($A235="","",IFERROR(INDEX(직원목록!$V$7:$V$306,MATCH(223,직원목록!$B$7:$B$306,0)),""))</f>
        <v/>
      </c>
      <c r="E235" s="27">
        <f>IF($A235="","",IFERROR(INDEX(직원목록!$AG$7:$AG$306,MATCH(223,직원목록!$B$7:$B$306,0)),""))</f>
        <v/>
      </c>
      <c r="F235" s="27">
        <f>IF(OR($A235="",E235=""),"",D235-E235)</f>
        <v/>
      </c>
      <c r="G235" s="27">
        <f>IF($A235="","",IFERROR(INDEX(직원목록!$AE$7:$AE$306,MATCH(223,직원목록!$B$7:$B$306,0)),""))</f>
        <v/>
      </c>
      <c r="H235" s="27">
        <f>IF($A235="","",IFERROR(INDEX(직원목록!$AH$7:$AH$306,MATCH(223,직원목록!$B$7:$B$306,0)),""))</f>
        <v/>
      </c>
      <c r="I235" s="27">
        <f>IF(OR($A235="",H235=""),"",G235-H235)</f>
        <v/>
      </c>
      <c r="J235" s="27">
        <f>IF($A235="","",IFERROR(INDEX(직원목록!$AF$7:$AF$306,MATCH(223,직원목록!$B$7:$B$306,0)),""))</f>
        <v/>
      </c>
      <c r="K235" s="27">
        <f>IF($A235="","",IFERROR(INDEX(직원목록!$AI$7:$AI$306,MATCH(223,직원목록!$B$7:$B$306,0)),""))</f>
        <v/>
      </c>
      <c r="L235" s="8">
        <f>IF($A235="","",IF(LEN(IF(AND(F235&lt;&gt;"",F235&lt;&gt;0),"계산 총지급과 대장 총지급이 다릅니다 / ","")&amp;IF(AND(I235&lt;&gt;"",I235&lt;&gt;0),"계산 총공제와 대장 총공제가 다릅니다 / ","")&amp;IF(J235&lt;0,"실수령액이 음수입니다 / ","")&amp;IF(COUNTIF(직원목록!$D$7:$D$306,B235)&gt;1,"같은 이름이 둘 이상 — 미리보기는 첫 번째만 보입니다 / ","")&amp;IF(AND(C235&lt;&gt;"",COUNTIF(직원목록!$C$7:$C$306,C235)&gt;1),"사번 중복 / ","")&amp;IF(D235=0,"총지급이 0원 — 머리글 매칭 확인 / ","")&amp;IF(AND(설정!$B$17&lt;&gt;"",설정!$C$17="",OR(ISNUMBER(FIND("연장",설정!$B$17)),ISNUMBER(FIND("야간",설정!$B$17)),ISNUMBER(FIND("휴일",설정!$B$17))),INDEX(직원목록!$F$7:$F$306,MATCH(223,직원목록!$B$7:$B$306,0))&gt;0),"연장·야간·휴일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","")&amp;IF(AND(설정!$B$24&lt;&gt;"",설정!$C$24="",OR(ISNUMBER(FIND("연장",설정!$B$24)),ISNUMBER(FIND("야간",설정!$B$24)),ISNUMBER(FIND("휴일",설정!$B$24))),INDEX(직원목록!$M$7:$M$306,MATCH(223,직원목록!$B$7:$B$306,0))&gt;0),"연장·야간·휴일 수당은 시간 수도 명세서에 적어야 하니 시간 열 지정 필요 / ",""))=0,"✔",("⚠ "&amp;IF(AND(F235&lt;&gt;"",F235&lt;&gt;0),"계산 총지급과 대장 총지급이 다릅니다 / ","")&amp;IF(AND(I235&lt;&gt;"",I235&lt;&gt;0),"계산 총공제와 대장 총공제가 다릅니다 / ","")&amp;IF(J235&lt;0,"실수령액이 음수입니다 / ","")&amp;IF(COUNTIF(직원목록!$D$7:$D$306,B235)&gt;1,"같은 이름이 둘 이상 — 미리보기는 첫 번째만 보입니다 / ","")&amp;IF(AND(C235&lt;&gt;"",COUNTIF(직원목록!$C$7:$C$306,C235)&gt;1),"사번 중복 / ","")&amp;IF(D235=0,"총지급이 0원 — 머리글 매칭 확인 / ","")&amp;IF(AND(설정!$B$17&lt;&gt;"",설정!$C$17="",OR(ISNUMBER(FIND("연장",설정!$B$17)),ISNUMBER(FIND("야간",설정!$B$17)),ISNUMBER(FIND("휴일",설정!$B$17))),INDEX(직원목록!$F$7:$F$306,MATCH(223,직원목록!$B$7:$B$306,0))&gt;0),"연장·야간·휴일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","")&amp;IF(AND(설정!$B$24&lt;&gt;"",설정!$C$24="",OR(ISNUMBER(FIND("연장",설정!$B$24)),ISNUMBER(FIND("야간",설정!$B$24)),ISNUMBER(FIND("휴일",설정!$B$24))),INDEX(직원목록!$M$7:$M$306,MATCH(223,직원목록!$B$7:$B$306,0))&gt;0),"연장·야간·휴일 수당은 시간 수도 명세서에 적어야 하니 시간 열 지정 필요 / ",""))))</f>
        <v/>
      </c>
    </row>
    <row r="236">
      <c r="A236" s="26">
        <f>IF(IFERROR(MATCH(224,직원목록!$B$7:$B$306,0),0)=0,"",224)</f>
        <v/>
      </c>
      <c r="B236" s="2">
        <f>IF($A236="","",IFERROR(INDEX(직원목록!$D$7:$D$306,MATCH(224,직원목록!$B$7:$B$306,0)),""))</f>
        <v/>
      </c>
      <c r="C236" s="2">
        <f>IF($A236="","",IFERROR(INDEX(직원목록!$C$7:$C$306,MATCH(224,직원목록!$B$7:$B$306,0)),""))</f>
        <v/>
      </c>
      <c r="D236" s="27">
        <f>IF($A236="","",IFERROR(INDEX(직원목록!$V$7:$V$306,MATCH(224,직원목록!$B$7:$B$306,0)),""))</f>
        <v/>
      </c>
      <c r="E236" s="27">
        <f>IF($A236="","",IFERROR(INDEX(직원목록!$AG$7:$AG$306,MATCH(224,직원목록!$B$7:$B$306,0)),""))</f>
        <v/>
      </c>
      <c r="F236" s="27">
        <f>IF(OR($A236="",E236=""),"",D236-E236)</f>
        <v/>
      </c>
      <c r="G236" s="27">
        <f>IF($A236="","",IFERROR(INDEX(직원목록!$AE$7:$AE$306,MATCH(224,직원목록!$B$7:$B$306,0)),""))</f>
        <v/>
      </c>
      <c r="H236" s="27">
        <f>IF($A236="","",IFERROR(INDEX(직원목록!$AH$7:$AH$306,MATCH(224,직원목록!$B$7:$B$306,0)),""))</f>
        <v/>
      </c>
      <c r="I236" s="27">
        <f>IF(OR($A236="",H236=""),"",G236-H236)</f>
        <v/>
      </c>
      <c r="J236" s="27">
        <f>IF($A236="","",IFERROR(INDEX(직원목록!$AF$7:$AF$306,MATCH(224,직원목록!$B$7:$B$306,0)),""))</f>
        <v/>
      </c>
      <c r="K236" s="27">
        <f>IF($A236="","",IFERROR(INDEX(직원목록!$AI$7:$AI$306,MATCH(224,직원목록!$B$7:$B$306,0)),""))</f>
        <v/>
      </c>
      <c r="L236" s="8">
        <f>IF($A236="","",IF(LEN(IF(AND(F236&lt;&gt;"",F236&lt;&gt;0),"계산 총지급과 대장 총지급이 다릅니다 / ","")&amp;IF(AND(I236&lt;&gt;"",I236&lt;&gt;0),"계산 총공제와 대장 총공제가 다릅니다 / ","")&amp;IF(J236&lt;0,"실수령액이 음수입니다 / ","")&amp;IF(COUNTIF(직원목록!$D$7:$D$306,B236)&gt;1,"같은 이름이 둘 이상 — 미리보기는 첫 번째만 보입니다 / ","")&amp;IF(AND(C236&lt;&gt;"",COUNTIF(직원목록!$C$7:$C$306,C236)&gt;1),"사번 중복 / ","")&amp;IF(D236=0,"총지급이 0원 — 머리글 매칭 확인 / ","")&amp;IF(AND(설정!$B$17&lt;&gt;"",설정!$C$17="",OR(ISNUMBER(FIND("연장",설정!$B$17)),ISNUMBER(FIND("야간",설정!$B$17)),ISNUMBER(FIND("휴일",설정!$B$17))),INDEX(직원목록!$F$7:$F$306,MATCH(224,직원목록!$B$7:$B$306,0))&gt;0),"연장·야간·휴일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","")&amp;IF(AND(설정!$B$24&lt;&gt;"",설정!$C$24="",OR(ISNUMBER(FIND("연장",설정!$B$24)),ISNUMBER(FIND("야간",설정!$B$24)),ISNUMBER(FIND("휴일",설정!$B$24))),INDEX(직원목록!$M$7:$M$306,MATCH(224,직원목록!$B$7:$B$306,0))&gt;0),"연장·야간·휴일 수당은 시간 수도 명세서에 적어야 하니 시간 열 지정 필요 / ",""))=0,"✔",("⚠ "&amp;IF(AND(F236&lt;&gt;"",F236&lt;&gt;0),"계산 총지급과 대장 총지급이 다릅니다 / ","")&amp;IF(AND(I236&lt;&gt;"",I236&lt;&gt;0),"계산 총공제와 대장 총공제가 다릅니다 / ","")&amp;IF(J236&lt;0,"실수령액이 음수입니다 / ","")&amp;IF(COUNTIF(직원목록!$D$7:$D$306,B236)&gt;1,"같은 이름이 둘 이상 — 미리보기는 첫 번째만 보입니다 / ","")&amp;IF(AND(C236&lt;&gt;"",COUNTIF(직원목록!$C$7:$C$306,C236)&gt;1),"사번 중복 / ","")&amp;IF(D236=0,"총지급이 0원 — 머리글 매칭 확인 / ","")&amp;IF(AND(설정!$B$17&lt;&gt;"",설정!$C$17="",OR(ISNUMBER(FIND("연장",설정!$B$17)),ISNUMBER(FIND("야간",설정!$B$17)),ISNUMBER(FIND("휴일",설정!$B$17))),INDEX(직원목록!$F$7:$F$306,MATCH(224,직원목록!$B$7:$B$306,0))&gt;0),"연장·야간·휴일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","")&amp;IF(AND(설정!$B$24&lt;&gt;"",설정!$C$24="",OR(ISNUMBER(FIND("연장",설정!$B$24)),ISNUMBER(FIND("야간",설정!$B$24)),ISNUMBER(FIND("휴일",설정!$B$24))),INDEX(직원목록!$M$7:$M$306,MATCH(224,직원목록!$B$7:$B$306,0))&gt;0),"연장·야간·휴일 수당은 시간 수도 명세서에 적어야 하니 시간 열 지정 필요 / ",""))))</f>
        <v/>
      </c>
    </row>
    <row r="237">
      <c r="A237" s="26">
        <f>IF(IFERROR(MATCH(225,직원목록!$B$7:$B$306,0),0)=0,"",225)</f>
        <v/>
      </c>
      <c r="B237" s="2">
        <f>IF($A237="","",IFERROR(INDEX(직원목록!$D$7:$D$306,MATCH(225,직원목록!$B$7:$B$306,0)),""))</f>
        <v/>
      </c>
      <c r="C237" s="2">
        <f>IF($A237="","",IFERROR(INDEX(직원목록!$C$7:$C$306,MATCH(225,직원목록!$B$7:$B$306,0)),""))</f>
        <v/>
      </c>
      <c r="D237" s="27">
        <f>IF($A237="","",IFERROR(INDEX(직원목록!$V$7:$V$306,MATCH(225,직원목록!$B$7:$B$306,0)),""))</f>
        <v/>
      </c>
      <c r="E237" s="27">
        <f>IF($A237="","",IFERROR(INDEX(직원목록!$AG$7:$AG$306,MATCH(225,직원목록!$B$7:$B$306,0)),""))</f>
        <v/>
      </c>
      <c r="F237" s="27">
        <f>IF(OR($A237="",E237=""),"",D237-E237)</f>
        <v/>
      </c>
      <c r="G237" s="27">
        <f>IF($A237="","",IFERROR(INDEX(직원목록!$AE$7:$AE$306,MATCH(225,직원목록!$B$7:$B$306,0)),""))</f>
        <v/>
      </c>
      <c r="H237" s="27">
        <f>IF($A237="","",IFERROR(INDEX(직원목록!$AH$7:$AH$306,MATCH(225,직원목록!$B$7:$B$306,0)),""))</f>
        <v/>
      </c>
      <c r="I237" s="27">
        <f>IF(OR($A237="",H237=""),"",G237-H237)</f>
        <v/>
      </c>
      <c r="J237" s="27">
        <f>IF($A237="","",IFERROR(INDEX(직원목록!$AF$7:$AF$306,MATCH(225,직원목록!$B$7:$B$306,0)),""))</f>
        <v/>
      </c>
      <c r="K237" s="27">
        <f>IF($A237="","",IFERROR(INDEX(직원목록!$AI$7:$AI$306,MATCH(225,직원목록!$B$7:$B$306,0)),""))</f>
        <v/>
      </c>
      <c r="L237" s="8">
        <f>IF($A237="","",IF(LEN(IF(AND(F237&lt;&gt;"",F237&lt;&gt;0),"계산 총지급과 대장 총지급이 다릅니다 / ","")&amp;IF(AND(I237&lt;&gt;"",I237&lt;&gt;0),"계산 총공제와 대장 총공제가 다릅니다 / ","")&amp;IF(J237&lt;0,"실수령액이 음수입니다 / ","")&amp;IF(COUNTIF(직원목록!$D$7:$D$306,B237)&gt;1,"같은 이름이 둘 이상 — 미리보기는 첫 번째만 보입니다 / ","")&amp;IF(AND(C237&lt;&gt;"",COUNTIF(직원목록!$C$7:$C$306,C237)&gt;1),"사번 중복 / ","")&amp;IF(D237=0,"총지급이 0원 — 머리글 매칭 확인 / ","")&amp;IF(AND(설정!$B$17&lt;&gt;"",설정!$C$17="",OR(ISNUMBER(FIND("연장",설정!$B$17)),ISNUMBER(FIND("야간",설정!$B$17)),ISNUMBER(FIND("휴일",설정!$B$17))),INDEX(직원목록!$F$7:$F$306,MATCH(225,직원목록!$B$7:$B$306,0))&gt;0),"연장·야간·휴일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","")&amp;IF(AND(설정!$B$24&lt;&gt;"",설정!$C$24="",OR(ISNUMBER(FIND("연장",설정!$B$24)),ISNUMBER(FIND("야간",설정!$B$24)),ISNUMBER(FIND("휴일",설정!$B$24))),INDEX(직원목록!$M$7:$M$306,MATCH(225,직원목록!$B$7:$B$306,0))&gt;0),"연장·야간·휴일 수당은 시간 수도 명세서에 적어야 하니 시간 열 지정 필요 / ",""))=0,"✔",("⚠ "&amp;IF(AND(F237&lt;&gt;"",F237&lt;&gt;0),"계산 총지급과 대장 총지급이 다릅니다 / ","")&amp;IF(AND(I237&lt;&gt;"",I237&lt;&gt;0),"계산 총공제와 대장 총공제가 다릅니다 / ","")&amp;IF(J237&lt;0,"실수령액이 음수입니다 / ","")&amp;IF(COUNTIF(직원목록!$D$7:$D$306,B237)&gt;1,"같은 이름이 둘 이상 — 미리보기는 첫 번째만 보입니다 / ","")&amp;IF(AND(C237&lt;&gt;"",COUNTIF(직원목록!$C$7:$C$306,C237)&gt;1),"사번 중복 / ","")&amp;IF(D237=0,"총지급이 0원 — 머리글 매칭 확인 / ","")&amp;IF(AND(설정!$B$17&lt;&gt;"",설정!$C$17="",OR(ISNUMBER(FIND("연장",설정!$B$17)),ISNUMBER(FIND("야간",설정!$B$17)),ISNUMBER(FIND("휴일",설정!$B$17))),INDEX(직원목록!$F$7:$F$306,MATCH(225,직원목록!$B$7:$B$306,0))&gt;0),"연장·야간·휴일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","")&amp;IF(AND(설정!$B$24&lt;&gt;"",설정!$C$24="",OR(ISNUMBER(FIND("연장",설정!$B$24)),ISNUMBER(FIND("야간",설정!$B$24)),ISNUMBER(FIND("휴일",설정!$B$24))),INDEX(직원목록!$M$7:$M$306,MATCH(225,직원목록!$B$7:$B$306,0))&gt;0),"연장·야간·휴일 수당은 시간 수도 명세서에 적어야 하니 시간 열 지정 필요 / ",""))))</f>
        <v/>
      </c>
    </row>
    <row r="238">
      <c r="A238" s="26">
        <f>IF(IFERROR(MATCH(226,직원목록!$B$7:$B$306,0),0)=0,"",226)</f>
        <v/>
      </c>
      <c r="B238" s="2">
        <f>IF($A238="","",IFERROR(INDEX(직원목록!$D$7:$D$306,MATCH(226,직원목록!$B$7:$B$306,0)),""))</f>
        <v/>
      </c>
      <c r="C238" s="2">
        <f>IF($A238="","",IFERROR(INDEX(직원목록!$C$7:$C$306,MATCH(226,직원목록!$B$7:$B$306,0)),""))</f>
        <v/>
      </c>
      <c r="D238" s="27">
        <f>IF($A238="","",IFERROR(INDEX(직원목록!$V$7:$V$306,MATCH(226,직원목록!$B$7:$B$306,0)),""))</f>
        <v/>
      </c>
      <c r="E238" s="27">
        <f>IF($A238="","",IFERROR(INDEX(직원목록!$AG$7:$AG$306,MATCH(226,직원목록!$B$7:$B$306,0)),""))</f>
        <v/>
      </c>
      <c r="F238" s="27">
        <f>IF(OR($A238="",E238=""),"",D238-E238)</f>
        <v/>
      </c>
      <c r="G238" s="27">
        <f>IF($A238="","",IFERROR(INDEX(직원목록!$AE$7:$AE$306,MATCH(226,직원목록!$B$7:$B$306,0)),""))</f>
        <v/>
      </c>
      <c r="H238" s="27">
        <f>IF($A238="","",IFERROR(INDEX(직원목록!$AH$7:$AH$306,MATCH(226,직원목록!$B$7:$B$306,0)),""))</f>
        <v/>
      </c>
      <c r="I238" s="27">
        <f>IF(OR($A238="",H238=""),"",G238-H238)</f>
        <v/>
      </c>
      <c r="J238" s="27">
        <f>IF($A238="","",IFERROR(INDEX(직원목록!$AF$7:$AF$306,MATCH(226,직원목록!$B$7:$B$306,0)),""))</f>
        <v/>
      </c>
      <c r="K238" s="27">
        <f>IF($A238="","",IFERROR(INDEX(직원목록!$AI$7:$AI$306,MATCH(226,직원목록!$B$7:$B$306,0)),""))</f>
        <v/>
      </c>
      <c r="L238" s="8">
        <f>IF($A238="","",IF(LEN(IF(AND(F238&lt;&gt;"",F238&lt;&gt;0),"계산 총지급과 대장 총지급이 다릅니다 / ","")&amp;IF(AND(I238&lt;&gt;"",I238&lt;&gt;0),"계산 총공제와 대장 총공제가 다릅니다 / ","")&amp;IF(J238&lt;0,"실수령액이 음수입니다 / ","")&amp;IF(COUNTIF(직원목록!$D$7:$D$306,B238)&gt;1,"같은 이름이 둘 이상 — 미리보기는 첫 번째만 보입니다 / ","")&amp;IF(AND(C238&lt;&gt;"",COUNTIF(직원목록!$C$7:$C$306,C238)&gt;1),"사번 중복 / ","")&amp;IF(D238=0,"총지급이 0원 — 머리글 매칭 확인 / ","")&amp;IF(AND(설정!$B$17&lt;&gt;"",설정!$C$17="",OR(ISNUMBER(FIND("연장",설정!$B$17)),ISNUMBER(FIND("야간",설정!$B$17)),ISNUMBER(FIND("휴일",설정!$B$17))),INDEX(직원목록!$F$7:$F$306,MATCH(226,직원목록!$B$7:$B$306,0))&gt;0),"연장·야간·휴일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","")&amp;IF(AND(설정!$B$24&lt;&gt;"",설정!$C$24="",OR(ISNUMBER(FIND("연장",설정!$B$24)),ISNUMBER(FIND("야간",설정!$B$24)),ISNUMBER(FIND("휴일",설정!$B$24))),INDEX(직원목록!$M$7:$M$306,MATCH(226,직원목록!$B$7:$B$306,0))&gt;0),"연장·야간·휴일 수당은 시간 수도 명세서에 적어야 하니 시간 열 지정 필요 / ",""))=0,"✔",("⚠ "&amp;IF(AND(F238&lt;&gt;"",F238&lt;&gt;0),"계산 총지급과 대장 총지급이 다릅니다 / ","")&amp;IF(AND(I238&lt;&gt;"",I238&lt;&gt;0),"계산 총공제와 대장 총공제가 다릅니다 / ","")&amp;IF(J238&lt;0,"실수령액이 음수입니다 / ","")&amp;IF(COUNTIF(직원목록!$D$7:$D$306,B238)&gt;1,"같은 이름이 둘 이상 — 미리보기는 첫 번째만 보입니다 / ","")&amp;IF(AND(C238&lt;&gt;"",COUNTIF(직원목록!$C$7:$C$306,C238)&gt;1),"사번 중복 / ","")&amp;IF(D238=0,"총지급이 0원 — 머리글 매칭 확인 / ","")&amp;IF(AND(설정!$B$17&lt;&gt;"",설정!$C$17="",OR(ISNUMBER(FIND("연장",설정!$B$17)),ISNUMBER(FIND("야간",설정!$B$17)),ISNUMBER(FIND("휴일",설정!$B$17))),INDEX(직원목록!$F$7:$F$306,MATCH(226,직원목록!$B$7:$B$306,0))&gt;0),"연장·야간·휴일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","")&amp;IF(AND(설정!$B$24&lt;&gt;"",설정!$C$24="",OR(ISNUMBER(FIND("연장",설정!$B$24)),ISNUMBER(FIND("야간",설정!$B$24)),ISNUMBER(FIND("휴일",설정!$B$24))),INDEX(직원목록!$M$7:$M$306,MATCH(226,직원목록!$B$7:$B$306,0))&gt;0),"연장·야간·휴일 수당은 시간 수도 명세서에 적어야 하니 시간 열 지정 필요 / ",""))))</f>
        <v/>
      </c>
    </row>
    <row r="239">
      <c r="A239" s="26">
        <f>IF(IFERROR(MATCH(227,직원목록!$B$7:$B$306,0),0)=0,"",227)</f>
        <v/>
      </c>
      <c r="B239" s="2">
        <f>IF($A239="","",IFERROR(INDEX(직원목록!$D$7:$D$306,MATCH(227,직원목록!$B$7:$B$306,0)),""))</f>
        <v/>
      </c>
      <c r="C239" s="2">
        <f>IF($A239="","",IFERROR(INDEX(직원목록!$C$7:$C$306,MATCH(227,직원목록!$B$7:$B$306,0)),""))</f>
        <v/>
      </c>
      <c r="D239" s="27">
        <f>IF($A239="","",IFERROR(INDEX(직원목록!$V$7:$V$306,MATCH(227,직원목록!$B$7:$B$306,0)),""))</f>
        <v/>
      </c>
      <c r="E239" s="27">
        <f>IF($A239="","",IFERROR(INDEX(직원목록!$AG$7:$AG$306,MATCH(227,직원목록!$B$7:$B$306,0)),""))</f>
        <v/>
      </c>
      <c r="F239" s="27">
        <f>IF(OR($A239="",E239=""),"",D239-E239)</f>
        <v/>
      </c>
      <c r="G239" s="27">
        <f>IF($A239="","",IFERROR(INDEX(직원목록!$AE$7:$AE$306,MATCH(227,직원목록!$B$7:$B$306,0)),""))</f>
        <v/>
      </c>
      <c r="H239" s="27">
        <f>IF($A239="","",IFERROR(INDEX(직원목록!$AH$7:$AH$306,MATCH(227,직원목록!$B$7:$B$306,0)),""))</f>
        <v/>
      </c>
      <c r="I239" s="27">
        <f>IF(OR($A239="",H239=""),"",G239-H239)</f>
        <v/>
      </c>
      <c r="J239" s="27">
        <f>IF($A239="","",IFERROR(INDEX(직원목록!$AF$7:$AF$306,MATCH(227,직원목록!$B$7:$B$306,0)),""))</f>
        <v/>
      </c>
      <c r="K239" s="27">
        <f>IF($A239="","",IFERROR(INDEX(직원목록!$AI$7:$AI$306,MATCH(227,직원목록!$B$7:$B$306,0)),""))</f>
        <v/>
      </c>
      <c r="L239" s="8">
        <f>IF($A239="","",IF(LEN(IF(AND(F239&lt;&gt;"",F239&lt;&gt;0),"계산 총지급과 대장 총지급이 다릅니다 / ","")&amp;IF(AND(I239&lt;&gt;"",I239&lt;&gt;0),"계산 총공제와 대장 총공제가 다릅니다 / ","")&amp;IF(J239&lt;0,"실수령액이 음수입니다 / ","")&amp;IF(COUNTIF(직원목록!$D$7:$D$306,B239)&gt;1,"같은 이름이 둘 이상 — 미리보기는 첫 번째만 보입니다 / ","")&amp;IF(AND(C239&lt;&gt;"",COUNTIF(직원목록!$C$7:$C$306,C239)&gt;1),"사번 중복 / ","")&amp;IF(D239=0,"총지급이 0원 — 머리글 매칭 확인 / ","")&amp;IF(AND(설정!$B$17&lt;&gt;"",설정!$C$17="",OR(ISNUMBER(FIND("연장",설정!$B$17)),ISNUMBER(FIND("야간",설정!$B$17)),ISNUMBER(FIND("휴일",설정!$B$17))),INDEX(직원목록!$F$7:$F$306,MATCH(227,직원목록!$B$7:$B$306,0))&gt;0),"연장·야간·휴일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","")&amp;IF(AND(설정!$B$24&lt;&gt;"",설정!$C$24="",OR(ISNUMBER(FIND("연장",설정!$B$24)),ISNUMBER(FIND("야간",설정!$B$24)),ISNUMBER(FIND("휴일",설정!$B$24))),INDEX(직원목록!$M$7:$M$306,MATCH(227,직원목록!$B$7:$B$306,0))&gt;0),"연장·야간·휴일 수당은 시간 수도 명세서에 적어야 하니 시간 열 지정 필요 / ",""))=0,"✔",("⚠ "&amp;IF(AND(F239&lt;&gt;"",F239&lt;&gt;0),"계산 총지급과 대장 총지급이 다릅니다 / ","")&amp;IF(AND(I239&lt;&gt;"",I239&lt;&gt;0),"계산 총공제와 대장 총공제가 다릅니다 / ","")&amp;IF(J239&lt;0,"실수령액이 음수입니다 / ","")&amp;IF(COUNTIF(직원목록!$D$7:$D$306,B239)&gt;1,"같은 이름이 둘 이상 — 미리보기는 첫 번째만 보입니다 / ","")&amp;IF(AND(C239&lt;&gt;"",COUNTIF(직원목록!$C$7:$C$306,C239)&gt;1),"사번 중복 / ","")&amp;IF(D239=0,"총지급이 0원 — 머리글 매칭 확인 / ","")&amp;IF(AND(설정!$B$17&lt;&gt;"",설정!$C$17="",OR(ISNUMBER(FIND("연장",설정!$B$17)),ISNUMBER(FIND("야간",설정!$B$17)),ISNUMBER(FIND("휴일",설정!$B$17))),INDEX(직원목록!$F$7:$F$306,MATCH(227,직원목록!$B$7:$B$306,0))&gt;0),"연장·야간·휴일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","")&amp;IF(AND(설정!$B$24&lt;&gt;"",설정!$C$24="",OR(ISNUMBER(FIND("연장",설정!$B$24)),ISNUMBER(FIND("야간",설정!$B$24)),ISNUMBER(FIND("휴일",설정!$B$24))),INDEX(직원목록!$M$7:$M$306,MATCH(227,직원목록!$B$7:$B$306,0))&gt;0),"연장·야간·휴일 수당은 시간 수도 명세서에 적어야 하니 시간 열 지정 필요 / ",""))))</f>
        <v/>
      </c>
    </row>
    <row r="240">
      <c r="A240" s="26">
        <f>IF(IFERROR(MATCH(228,직원목록!$B$7:$B$306,0),0)=0,"",228)</f>
        <v/>
      </c>
      <c r="B240" s="2">
        <f>IF($A240="","",IFERROR(INDEX(직원목록!$D$7:$D$306,MATCH(228,직원목록!$B$7:$B$306,0)),""))</f>
        <v/>
      </c>
      <c r="C240" s="2">
        <f>IF($A240="","",IFERROR(INDEX(직원목록!$C$7:$C$306,MATCH(228,직원목록!$B$7:$B$306,0)),""))</f>
        <v/>
      </c>
      <c r="D240" s="27">
        <f>IF($A240="","",IFERROR(INDEX(직원목록!$V$7:$V$306,MATCH(228,직원목록!$B$7:$B$306,0)),""))</f>
        <v/>
      </c>
      <c r="E240" s="27">
        <f>IF($A240="","",IFERROR(INDEX(직원목록!$AG$7:$AG$306,MATCH(228,직원목록!$B$7:$B$306,0)),""))</f>
        <v/>
      </c>
      <c r="F240" s="27">
        <f>IF(OR($A240="",E240=""),"",D240-E240)</f>
        <v/>
      </c>
      <c r="G240" s="27">
        <f>IF($A240="","",IFERROR(INDEX(직원목록!$AE$7:$AE$306,MATCH(228,직원목록!$B$7:$B$306,0)),""))</f>
        <v/>
      </c>
      <c r="H240" s="27">
        <f>IF($A240="","",IFERROR(INDEX(직원목록!$AH$7:$AH$306,MATCH(228,직원목록!$B$7:$B$306,0)),""))</f>
        <v/>
      </c>
      <c r="I240" s="27">
        <f>IF(OR($A240="",H240=""),"",G240-H240)</f>
        <v/>
      </c>
      <c r="J240" s="27">
        <f>IF($A240="","",IFERROR(INDEX(직원목록!$AF$7:$AF$306,MATCH(228,직원목록!$B$7:$B$306,0)),""))</f>
        <v/>
      </c>
      <c r="K240" s="27">
        <f>IF($A240="","",IFERROR(INDEX(직원목록!$AI$7:$AI$306,MATCH(228,직원목록!$B$7:$B$306,0)),""))</f>
        <v/>
      </c>
      <c r="L240" s="8">
        <f>IF($A240="","",IF(LEN(IF(AND(F240&lt;&gt;"",F240&lt;&gt;0),"계산 총지급과 대장 총지급이 다릅니다 / ","")&amp;IF(AND(I240&lt;&gt;"",I240&lt;&gt;0),"계산 총공제와 대장 총공제가 다릅니다 / ","")&amp;IF(J240&lt;0,"실수령액이 음수입니다 / ","")&amp;IF(COUNTIF(직원목록!$D$7:$D$306,B240)&gt;1,"같은 이름이 둘 이상 — 미리보기는 첫 번째만 보입니다 / ","")&amp;IF(AND(C240&lt;&gt;"",COUNTIF(직원목록!$C$7:$C$306,C240)&gt;1),"사번 중복 / ","")&amp;IF(D240=0,"총지급이 0원 — 머리글 매칭 확인 / ","")&amp;IF(AND(설정!$B$17&lt;&gt;"",설정!$C$17="",OR(ISNUMBER(FIND("연장",설정!$B$17)),ISNUMBER(FIND("야간",설정!$B$17)),ISNUMBER(FIND("휴일",설정!$B$17))),INDEX(직원목록!$F$7:$F$306,MATCH(228,직원목록!$B$7:$B$306,0))&gt;0),"연장·야간·휴일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","")&amp;IF(AND(설정!$B$24&lt;&gt;"",설정!$C$24="",OR(ISNUMBER(FIND("연장",설정!$B$24)),ISNUMBER(FIND("야간",설정!$B$24)),ISNUMBER(FIND("휴일",설정!$B$24))),INDEX(직원목록!$M$7:$M$306,MATCH(228,직원목록!$B$7:$B$306,0))&gt;0),"연장·야간·휴일 수당은 시간 수도 명세서에 적어야 하니 시간 열 지정 필요 / ",""))=0,"✔",("⚠ "&amp;IF(AND(F240&lt;&gt;"",F240&lt;&gt;0),"계산 총지급과 대장 총지급이 다릅니다 / ","")&amp;IF(AND(I240&lt;&gt;"",I240&lt;&gt;0),"계산 총공제와 대장 총공제가 다릅니다 / ","")&amp;IF(J240&lt;0,"실수령액이 음수입니다 / ","")&amp;IF(COUNTIF(직원목록!$D$7:$D$306,B240)&gt;1,"같은 이름이 둘 이상 — 미리보기는 첫 번째만 보입니다 / ","")&amp;IF(AND(C240&lt;&gt;"",COUNTIF(직원목록!$C$7:$C$306,C240)&gt;1),"사번 중복 / ","")&amp;IF(D240=0,"총지급이 0원 — 머리글 매칭 확인 / ","")&amp;IF(AND(설정!$B$17&lt;&gt;"",설정!$C$17="",OR(ISNUMBER(FIND("연장",설정!$B$17)),ISNUMBER(FIND("야간",설정!$B$17)),ISNUMBER(FIND("휴일",설정!$B$17))),INDEX(직원목록!$F$7:$F$306,MATCH(228,직원목록!$B$7:$B$306,0))&gt;0),"연장·야간·휴일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","")&amp;IF(AND(설정!$B$24&lt;&gt;"",설정!$C$24="",OR(ISNUMBER(FIND("연장",설정!$B$24)),ISNUMBER(FIND("야간",설정!$B$24)),ISNUMBER(FIND("휴일",설정!$B$24))),INDEX(직원목록!$M$7:$M$306,MATCH(228,직원목록!$B$7:$B$306,0))&gt;0),"연장·야간·휴일 수당은 시간 수도 명세서에 적어야 하니 시간 열 지정 필요 / ",""))))</f>
        <v/>
      </c>
    </row>
    <row r="241">
      <c r="A241" s="26">
        <f>IF(IFERROR(MATCH(229,직원목록!$B$7:$B$306,0),0)=0,"",229)</f>
        <v/>
      </c>
      <c r="B241" s="2">
        <f>IF($A241="","",IFERROR(INDEX(직원목록!$D$7:$D$306,MATCH(229,직원목록!$B$7:$B$306,0)),""))</f>
        <v/>
      </c>
      <c r="C241" s="2">
        <f>IF($A241="","",IFERROR(INDEX(직원목록!$C$7:$C$306,MATCH(229,직원목록!$B$7:$B$306,0)),""))</f>
        <v/>
      </c>
      <c r="D241" s="27">
        <f>IF($A241="","",IFERROR(INDEX(직원목록!$V$7:$V$306,MATCH(229,직원목록!$B$7:$B$306,0)),""))</f>
        <v/>
      </c>
      <c r="E241" s="27">
        <f>IF($A241="","",IFERROR(INDEX(직원목록!$AG$7:$AG$306,MATCH(229,직원목록!$B$7:$B$306,0)),""))</f>
        <v/>
      </c>
      <c r="F241" s="27">
        <f>IF(OR($A241="",E241=""),"",D241-E241)</f>
        <v/>
      </c>
      <c r="G241" s="27">
        <f>IF($A241="","",IFERROR(INDEX(직원목록!$AE$7:$AE$306,MATCH(229,직원목록!$B$7:$B$306,0)),""))</f>
        <v/>
      </c>
      <c r="H241" s="27">
        <f>IF($A241="","",IFERROR(INDEX(직원목록!$AH$7:$AH$306,MATCH(229,직원목록!$B$7:$B$306,0)),""))</f>
        <v/>
      </c>
      <c r="I241" s="27">
        <f>IF(OR($A241="",H241=""),"",G241-H241)</f>
        <v/>
      </c>
      <c r="J241" s="27">
        <f>IF($A241="","",IFERROR(INDEX(직원목록!$AF$7:$AF$306,MATCH(229,직원목록!$B$7:$B$306,0)),""))</f>
        <v/>
      </c>
      <c r="K241" s="27">
        <f>IF($A241="","",IFERROR(INDEX(직원목록!$AI$7:$AI$306,MATCH(229,직원목록!$B$7:$B$306,0)),""))</f>
        <v/>
      </c>
      <c r="L241" s="8">
        <f>IF($A241="","",IF(LEN(IF(AND(F241&lt;&gt;"",F241&lt;&gt;0),"계산 총지급과 대장 총지급이 다릅니다 / ","")&amp;IF(AND(I241&lt;&gt;"",I241&lt;&gt;0),"계산 총공제와 대장 총공제가 다릅니다 / ","")&amp;IF(J241&lt;0,"실수령액이 음수입니다 / ","")&amp;IF(COUNTIF(직원목록!$D$7:$D$306,B241)&gt;1,"같은 이름이 둘 이상 — 미리보기는 첫 번째만 보입니다 / ","")&amp;IF(AND(C241&lt;&gt;"",COUNTIF(직원목록!$C$7:$C$306,C241)&gt;1),"사번 중복 / ","")&amp;IF(D241=0,"총지급이 0원 — 머리글 매칭 확인 / ","")&amp;IF(AND(설정!$B$17&lt;&gt;"",설정!$C$17="",OR(ISNUMBER(FIND("연장",설정!$B$17)),ISNUMBER(FIND("야간",설정!$B$17)),ISNUMBER(FIND("휴일",설정!$B$17))),INDEX(직원목록!$F$7:$F$306,MATCH(229,직원목록!$B$7:$B$306,0))&gt;0),"연장·야간·휴일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","")&amp;IF(AND(설정!$B$24&lt;&gt;"",설정!$C$24="",OR(ISNUMBER(FIND("연장",설정!$B$24)),ISNUMBER(FIND("야간",설정!$B$24)),ISNUMBER(FIND("휴일",설정!$B$24))),INDEX(직원목록!$M$7:$M$306,MATCH(229,직원목록!$B$7:$B$306,0))&gt;0),"연장·야간·휴일 수당은 시간 수도 명세서에 적어야 하니 시간 열 지정 필요 / ",""))=0,"✔",("⚠ "&amp;IF(AND(F241&lt;&gt;"",F241&lt;&gt;0),"계산 총지급과 대장 총지급이 다릅니다 / ","")&amp;IF(AND(I241&lt;&gt;"",I241&lt;&gt;0),"계산 총공제와 대장 총공제가 다릅니다 / ","")&amp;IF(J241&lt;0,"실수령액이 음수입니다 / ","")&amp;IF(COUNTIF(직원목록!$D$7:$D$306,B241)&gt;1,"같은 이름이 둘 이상 — 미리보기는 첫 번째만 보입니다 / ","")&amp;IF(AND(C241&lt;&gt;"",COUNTIF(직원목록!$C$7:$C$306,C241)&gt;1),"사번 중복 / ","")&amp;IF(D241=0,"총지급이 0원 — 머리글 매칭 확인 / ","")&amp;IF(AND(설정!$B$17&lt;&gt;"",설정!$C$17="",OR(ISNUMBER(FIND("연장",설정!$B$17)),ISNUMBER(FIND("야간",설정!$B$17)),ISNUMBER(FIND("휴일",설정!$B$17))),INDEX(직원목록!$F$7:$F$306,MATCH(229,직원목록!$B$7:$B$306,0))&gt;0),"연장·야간·휴일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","")&amp;IF(AND(설정!$B$18&lt;&gt;"",설정!$C$18="",OR(ISNUMBER(FIND("연장",설정!$B$18)),ISNUMBER(FIND("야간",설정!$B$18)),ISNUMBER(FIND("휴일",설정!$B$18))),INDEX(직원목록!$G$7:$G$306,MATCH(229,직원목록!$B$7:$B$306,0))&gt;0),"연장·야간·휴일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","")&amp;IF(AND(설정!$B$19&lt;&gt;"",설정!$C$19="",OR(ISNUMBER(FIND("연장",설정!$B$19)),ISNUMBER(FIND("야간",설정!$B$19)),ISNUMBER(FIND("휴일",설정!$B$19))),INDEX(직원목록!$H$7:$H$306,MATCH(229,직원목록!$B$7:$B$306,0))&gt;0),"연장·야간·휴일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","")&amp;IF(AND(설정!$B$20&lt;&gt;"",설정!$C$20="",OR(ISNUMBER(FIND("연장",설정!$B$20)),ISNUMBER(FIND("야간",설정!$B$20)),ISNUMBER(FIND("휴일",설정!$B$20))),INDEX(직원목록!$I$7:$I$306,MATCH(229,직원목록!$B$7:$B$306,0))&gt;0),"연장·야간·휴일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","")&amp;IF(AND(설정!$B$21&lt;&gt;"",설정!$C$21="",OR(ISNUMBER(FIND("연장",설정!$B$21)),ISNUMBER(FIND("야간",설정!$B$21)),ISNUMBER(FIND("휴일",설정!$B$21))),INDEX(직원목록!$J$7:$J$306,MATCH(229,직원목록!$B$7:$B$306,0))&gt;0),"연장·야간·휴일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","")&amp;IF(AND(설정!$B$22&lt;&gt;"",설정!$C$22="",OR(ISNUMBER(FIND("연장",설정!$B$22)),ISNUMBER(FIND("야간",설정!$B$22)),ISNUMBER(FIND("휴일",설정!$B$22))),INDEX(직원목록!$K$7:$K$306,MATCH(229,직원목록!$B$7:$B$306,0))&gt;0),"연장·야간·휴일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","")&amp;IF(AND(설정!$B$23&lt;&gt;"",설정!$C$23="",OR(ISNUMBER(FIND("연장",설정!$B$23)),ISNUMBER(FIND("야간",설정!$B$23)),ISNUMBER(FIND("휴일",설정!$B$23))),INDEX(직원목록!$L$7:$L$306,MATCH(229,직원목록!$B$7:$B$306,0))&gt;0),"연장·야간·휴일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","")&amp;IF(AND(설정!$B$24&lt;&gt;"",설정!$C$24="",OR(ISNUMBER(FIND("연장",설정!$B$24)),ISNUMBER(FIND("야간",설정!$B$24)),ISNUMBER(FIND("휴일",설정!$B$24))),INDEX(직원목록!$M$7:$M$306,MATCH(229,직원목록!$B$7:$B$306,0))&gt;0),"연장·야간·휴일 수당은 시간 수도 명세서에 적어야 하니 시간 열 지정 필요 / ",""))))</f>
        <v/>
      </c>
    </row>
    <row r="242">
      <c r="A242" s="26">
        <f>IF(IFERROR(MATCH(230,직원목록!$B$7:$B$306,0),0)=0,"",230)</f>
        <v/>
      </c>
      <c r="B242" s="2">
        <f>IF($A242="","",IFERROR(INDEX(직원목록!$D$7:$D$306,MATCH(230,직원목록!$B$7:$B$306,0)),""))</f>
        <v/>
      </c>
      <c r="C242" s="2">
        <f>IF($A242="","",IFERROR(INDEX(직원목록!$C$7:$C$306,MATCH(230,직원목록!$B$7:$B$306,0)),""))</f>
        <v/>
      </c>
      <c r="D242" s="27">
        <f>IF($A242="","",IFERROR(INDEX(직원목록!$V$7:$V$306,MATCH(230,직원목록!$B$7:$B$306,0)),""))</f>
        <v/>
      </c>
      <c r="E242" s="27">
        <f>IF($A242="","",IFERROR(INDEX(직원목록!$AG$7:$AG$306,MATCH(230,직원목록!$B$7:$B$306,0)),""))</f>
        <v/>
      </c>
      <c r="F242" s="27">
        <f>IF(OR($A242="",E242=""),"",D242-E242)</f>
        <v/>
      </c>
      <c r="G242" s="27">
        <f>IF($A242="","",IFERROR(INDEX(직원목록!$AE$7:$AE$306,MATCH(230,직원목록!$B$7:$B$306,0)),""))</f>
        <v/>
      </c>
      <c r="H242" s="27">
        <f>IF($A242="","",IFERROR(INDEX(직원목록!$AH$7:$AH$306,MATCH(230,직원목록!$B$7:$B$306,0)),""))</f>
        <v/>
      </c>
      <c r="I242" s="27">
        <f>IF(OR($A242="",H242=""),"",G242-H242)</f>
        <v/>
      </c>
      <c r="J242" s="27">
        <f>IF($A242="","",IFERROR(INDEX(직원목록!$AF$7:$AF$306,MATCH(230,직원목록!$B$7:$B$306,0)),""))</f>
        <v/>
      </c>
      <c r="K242" s="27">
        <f>IF($A242="","",IFERROR(INDEX(직원목록!$AI$7:$AI$306,MATCH(230,직원목록!$B$7:$B$306,0)),""))</f>
        <v/>
      </c>
      <c r="L242" s="8">
        <f>IF($A242="","",IF(LEN(IF(AND(F242&lt;&gt;"",F242&lt;&gt;0),"계산 총지급과 대장 총지급이 다릅니다 / ","")&amp;IF(AND(I242&lt;&gt;"",I242&lt;&gt;0),"계산 총공제와 대장 총공제가 다릅니다 / ","")&amp;IF(J242&lt;0,"실수령액이 음수입니다 / ","")&amp;IF(COUNTIF(직원목록!$D$7:$D$306,B242)&gt;1,"같은 이름이 둘 이상 — 미리보기는 첫 번째만 보입니다 / ","")&amp;IF(AND(C242&lt;&gt;"",COUNTIF(직원목록!$C$7:$C$306,C242)&gt;1),"사번 중복 / ","")&amp;IF(D242=0,"총지급이 0원 — 머리글 매칭 확인 / ","")&amp;IF(AND(설정!$B$17&lt;&gt;"",설정!$C$17="",OR(ISNUMBER(FIND("연장",설정!$B$17)),ISNUMBER(FIND("야간",설정!$B$17)),ISNUMBER(FIND("휴일",설정!$B$17))),INDEX(직원목록!$F$7:$F$306,MATCH(230,직원목록!$B$7:$B$306,0))&gt;0),"연장·야간·휴일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","")&amp;IF(AND(설정!$B$24&lt;&gt;"",설정!$C$24="",OR(ISNUMBER(FIND("연장",설정!$B$24)),ISNUMBER(FIND("야간",설정!$B$24)),ISNUMBER(FIND("휴일",설정!$B$24))),INDEX(직원목록!$M$7:$M$306,MATCH(230,직원목록!$B$7:$B$306,0))&gt;0),"연장·야간·휴일 수당은 시간 수도 명세서에 적어야 하니 시간 열 지정 필요 / ",""))=0,"✔",("⚠ "&amp;IF(AND(F242&lt;&gt;"",F242&lt;&gt;0),"계산 총지급과 대장 총지급이 다릅니다 / ","")&amp;IF(AND(I242&lt;&gt;"",I242&lt;&gt;0),"계산 총공제와 대장 총공제가 다릅니다 / ","")&amp;IF(J242&lt;0,"실수령액이 음수입니다 / ","")&amp;IF(COUNTIF(직원목록!$D$7:$D$306,B242)&gt;1,"같은 이름이 둘 이상 — 미리보기는 첫 번째만 보입니다 / ","")&amp;IF(AND(C242&lt;&gt;"",COUNTIF(직원목록!$C$7:$C$306,C242)&gt;1),"사번 중복 / ","")&amp;IF(D242=0,"총지급이 0원 — 머리글 매칭 확인 / ","")&amp;IF(AND(설정!$B$17&lt;&gt;"",설정!$C$17="",OR(ISNUMBER(FIND("연장",설정!$B$17)),ISNUMBER(FIND("야간",설정!$B$17)),ISNUMBER(FIND("휴일",설정!$B$17))),INDEX(직원목록!$F$7:$F$306,MATCH(230,직원목록!$B$7:$B$306,0))&gt;0),"연장·야간·휴일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","")&amp;IF(AND(설정!$B$24&lt;&gt;"",설정!$C$24="",OR(ISNUMBER(FIND("연장",설정!$B$24)),ISNUMBER(FIND("야간",설정!$B$24)),ISNUMBER(FIND("휴일",설정!$B$24))),INDEX(직원목록!$M$7:$M$306,MATCH(230,직원목록!$B$7:$B$306,0))&gt;0),"연장·야간·휴일 수당은 시간 수도 명세서에 적어야 하니 시간 열 지정 필요 / ",""))))</f>
        <v/>
      </c>
    </row>
    <row r="243">
      <c r="A243" s="26">
        <f>IF(IFERROR(MATCH(231,직원목록!$B$7:$B$306,0),0)=0,"",231)</f>
        <v/>
      </c>
      <c r="B243" s="2">
        <f>IF($A243="","",IFERROR(INDEX(직원목록!$D$7:$D$306,MATCH(231,직원목록!$B$7:$B$306,0)),""))</f>
        <v/>
      </c>
      <c r="C243" s="2">
        <f>IF($A243="","",IFERROR(INDEX(직원목록!$C$7:$C$306,MATCH(231,직원목록!$B$7:$B$306,0)),""))</f>
        <v/>
      </c>
      <c r="D243" s="27">
        <f>IF($A243="","",IFERROR(INDEX(직원목록!$V$7:$V$306,MATCH(231,직원목록!$B$7:$B$306,0)),""))</f>
        <v/>
      </c>
      <c r="E243" s="27">
        <f>IF($A243="","",IFERROR(INDEX(직원목록!$AG$7:$AG$306,MATCH(231,직원목록!$B$7:$B$306,0)),""))</f>
        <v/>
      </c>
      <c r="F243" s="27">
        <f>IF(OR($A243="",E243=""),"",D243-E243)</f>
        <v/>
      </c>
      <c r="G243" s="27">
        <f>IF($A243="","",IFERROR(INDEX(직원목록!$AE$7:$AE$306,MATCH(231,직원목록!$B$7:$B$306,0)),""))</f>
        <v/>
      </c>
      <c r="H243" s="27">
        <f>IF($A243="","",IFERROR(INDEX(직원목록!$AH$7:$AH$306,MATCH(231,직원목록!$B$7:$B$306,0)),""))</f>
        <v/>
      </c>
      <c r="I243" s="27">
        <f>IF(OR($A243="",H243=""),"",G243-H243)</f>
        <v/>
      </c>
      <c r="J243" s="27">
        <f>IF($A243="","",IFERROR(INDEX(직원목록!$AF$7:$AF$306,MATCH(231,직원목록!$B$7:$B$306,0)),""))</f>
        <v/>
      </c>
      <c r="K243" s="27">
        <f>IF($A243="","",IFERROR(INDEX(직원목록!$AI$7:$AI$306,MATCH(231,직원목록!$B$7:$B$306,0)),""))</f>
        <v/>
      </c>
      <c r="L243" s="8">
        <f>IF($A243="","",IF(LEN(IF(AND(F243&lt;&gt;"",F243&lt;&gt;0),"계산 총지급과 대장 총지급이 다릅니다 / ","")&amp;IF(AND(I243&lt;&gt;"",I243&lt;&gt;0),"계산 총공제와 대장 총공제가 다릅니다 / ","")&amp;IF(J243&lt;0,"실수령액이 음수입니다 / ","")&amp;IF(COUNTIF(직원목록!$D$7:$D$306,B243)&gt;1,"같은 이름이 둘 이상 — 미리보기는 첫 번째만 보입니다 / ","")&amp;IF(AND(C243&lt;&gt;"",COUNTIF(직원목록!$C$7:$C$306,C243)&gt;1),"사번 중복 / ","")&amp;IF(D243=0,"총지급이 0원 — 머리글 매칭 확인 / ","")&amp;IF(AND(설정!$B$17&lt;&gt;"",설정!$C$17="",OR(ISNUMBER(FIND("연장",설정!$B$17)),ISNUMBER(FIND("야간",설정!$B$17)),ISNUMBER(FIND("휴일",설정!$B$17))),INDEX(직원목록!$F$7:$F$306,MATCH(231,직원목록!$B$7:$B$306,0))&gt;0),"연장·야간·휴일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","")&amp;IF(AND(설정!$B$24&lt;&gt;"",설정!$C$24="",OR(ISNUMBER(FIND("연장",설정!$B$24)),ISNUMBER(FIND("야간",설정!$B$24)),ISNUMBER(FIND("휴일",설정!$B$24))),INDEX(직원목록!$M$7:$M$306,MATCH(231,직원목록!$B$7:$B$306,0))&gt;0),"연장·야간·휴일 수당은 시간 수도 명세서에 적어야 하니 시간 열 지정 필요 / ",""))=0,"✔",("⚠ "&amp;IF(AND(F243&lt;&gt;"",F243&lt;&gt;0),"계산 총지급과 대장 총지급이 다릅니다 / ","")&amp;IF(AND(I243&lt;&gt;"",I243&lt;&gt;0),"계산 총공제와 대장 총공제가 다릅니다 / ","")&amp;IF(J243&lt;0,"실수령액이 음수입니다 / ","")&amp;IF(COUNTIF(직원목록!$D$7:$D$306,B243)&gt;1,"같은 이름이 둘 이상 — 미리보기는 첫 번째만 보입니다 / ","")&amp;IF(AND(C243&lt;&gt;"",COUNTIF(직원목록!$C$7:$C$306,C243)&gt;1),"사번 중복 / ","")&amp;IF(D243=0,"총지급이 0원 — 머리글 매칭 확인 / ","")&amp;IF(AND(설정!$B$17&lt;&gt;"",설정!$C$17="",OR(ISNUMBER(FIND("연장",설정!$B$17)),ISNUMBER(FIND("야간",설정!$B$17)),ISNUMBER(FIND("휴일",설정!$B$17))),INDEX(직원목록!$F$7:$F$306,MATCH(231,직원목록!$B$7:$B$306,0))&gt;0),"연장·야간·휴일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","")&amp;IF(AND(설정!$B$24&lt;&gt;"",설정!$C$24="",OR(ISNUMBER(FIND("연장",설정!$B$24)),ISNUMBER(FIND("야간",설정!$B$24)),ISNUMBER(FIND("휴일",설정!$B$24))),INDEX(직원목록!$M$7:$M$306,MATCH(231,직원목록!$B$7:$B$306,0))&gt;0),"연장·야간·휴일 수당은 시간 수도 명세서에 적어야 하니 시간 열 지정 필요 / ",""))))</f>
        <v/>
      </c>
    </row>
    <row r="244">
      <c r="A244" s="26">
        <f>IF(IFERROR(MATCH(232,직원목록!$B$7:$B$306,0),0)=0,"",232)</f>
        <v/>
      </c>
      <c r="B244" s="2">
        <f>IF($A244="","",IFERROR(INDEX(직원목록!$D$7:$D$306,MATCH(232,직원목록!$B$7:$B$306,0)),""))</f>
        <v/>
      </c>
      <c r="C244" s="2">
        <f>IF($A244="","",IFERROR(INDEX(직원목록!$C$7:$C$306,MATCH(232,직원목록!$B$7:$B$306,0)),""))</f>
        <v/>
      </c>
      <c r="D244" s="27">
        <f>IF($A244="","",IFERROR(INDEX(직원목록!$V$7:$V$306,MATCH(232,직원목록!$B$7:$B$306,0)),""))</f>
        <v/>
      </c>
      <c r="E244" s="27">
        <f>IF($A244="","",IFERROR(INDEX(직원목록!$AG$7:$AG$306,MATCH(232,직원목록!$B$7:$B$306,0)),""))</f>
        <v/>
      </c>
      <c r="F244" s="27">
        <f>IF(OR($A244="",E244=""),"",D244-E244)</f>
        <v/>
      </c>
      <c r="G244" s="27">
        <f>IF($A244="","",IFERROR(INDEX(직원목록!$AE$7:$AE$306,MATCH(232,직원목록!$B$7:$B$306,0)),""))</f>
        <v/>
      </c>
      <c r="H244" s="27">
        <f>IF($A244="","",IFERROR(INDEX(직원목록!$AH$7:$AH$306,MATCH(232,직원목록!$B$7:$B$306,0)),""))</f>
        <v/>
      </c>
      <c r="I244" s="27">
        <f>IF(OR($A244="",H244=""),"",G244-H244)</f>
        <v/>
      </c>
      <c r="J244" s="27">
        <f>IF($A244="","",IFERROR(INDEX(직원목록!$AF$7:$AF$306,MATCH(232,직원목록!$B$7:$B$306,0)),""))</f>
        <v/>
      </c>
      <c r="K244" s="27">
        <f>IF($A244="","",IFERROR(INDEX(직원목록!$AI$7:$AI$306,MATCH(232,직원목록!$B$7:$B$306,0)),""))</f>
        <v/>
      </c>
      <c r="L244" s="8">
        <f>IF($A244="","",IF(LEN(IF(AND(F244&lt;&gt;"",F244&lt;&gt;0),"계산 총지급과 대장 총지급이 다릅니다 / ","")&amp;IF(AND(I244&lt;&gt;"",I244&lt;&gt;0),"계산 총공제와 대장 총공제가 다릅니다 / ","")&amp;IF(J244&lt;0,"실수령액이 음수입니다 / ","")&amp;IF(COUNTIF(직원목록!$D$7:$D$306,B244)&gt;1,"같은 이름이 둘 이상 — 미리보기는 첫 번째만 보입니다 / ","")&amp;IF(AND(C244&lt;&gt;"",COUNTIF(직원목록!$C$7:$C$306,C244)&gt;1),"사번 중복 / ","")&amp;IF(D244=0,"총지급이 0원 — 머리글 매칭 확인 / ","")&amp;IF(AND(설정!$B$17&lt;&gt;"",설정!$C$17="",OR(ISNUMBER(FIND("연장",설정!$B$17)),ISNUMBER(FIND("야간",설정!$B$17)),ISNUMBER(FIND("휴일",설정!$B$17))),INDEX(직원목록!$F$7:$F$306,MATCH(232,직원목록!$B$7:$B$306,0))&gt;0),"연장·야간·휴일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","")&amp;IF(AND(설정!$B$24&lt;&gt;"",설정!$C$24="",OR(ISNUMBER(FIND("연장",설정!$B$24)),ISNUMBER(FIND("야간",설정!$B$24)),ISNUMBER(FIND("휴일",설정!$B$24))),INDEX(직원목록!$M$7:$M$306,MATCH(232,직원목록!$B$7:$B$306,0))&gt;0),"연장·야간·휴일 수당은 시간 수도 명세서에 적어야 하니 시간 열 지정 필요 / ",""))=0,"✔",("⚠ "&amp;IF(AND(F244&lt;&gt;"",F244&lt;&gt;0),"계산 총지급과 대장 총지급이 다릅니다 / ","")&amp;IF(AND(I244&lt;&gt;"",I244&lt;&gt;0),"계산 총공제와 대장 총공제가 다릅니다 / ","")&amp;IF(J244&lt;0,"실수령액이 음수입니다 / ","")&amp;IF(COUNTIF(직원목록!$D$7:$D$306,B244)&gt;1,"같은 이름이 둘 이상 — 미리보기는 첫 번째만 보입니다 / ","")&amp;IF(AND(C244&lt;&gt;"",COUNTIF(직원목록!$C$7:$C$306,C244)&gt;1),"사번 중복 / ","")&amp;IF(D244=0,"총지급이 0원 — 머리글 매칭 확인 / ","")&amp;IF(AND(설정!$B$17&lt;&gt;"",설정!$C$17="",OR(ISNUMBER(FIND("연장",설정!$B$17)),ISNUMBER(FIND("야간",설정!$B$17)),ISNUMBER(FIND("휴일",설정!$B$17))),INDEX(직원목록!$F$7:$F$306,MATCH(232,직원목록!$B$7:$B$306,0))&gt;0),"연장·야간·휴일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","")&amp;IF(AND(설정!$B$24&lt;&gt;"",설정!$C$24="",OR(ISNUMBER(FIND("연장",설정!$B$24)),ISNUMBER(FIND("야간",설정!$B$24)),ISNUMBER(FIND("휴일",설정!$B$24))),INDEX(직원목록!$M$7:$M$306,MATCH(232,직원목록!$B$7:$B$306,0))&gt;0),"연장·야간·휴일 수당은 시간 수도 명세서에 적어야 하니 시간 열 지정 필요 / ",""))))</f>
        <v/>
      </c>
    </row>
    <row r="245">
      <c r="A245" s="26">
        <f>IF(IFERROR(MATCH(233,직원목록!$B$7:$B$306,0),0)=0,"",233)</f>
        <v/>
      </c>
      <c r="B245" s="2">
        <f>IF($A245="","",IFERROR(INDEX(직원목록!$D$7:$D$306,MATCH(233,직원목록!$B$7:$B$306,0)),""))</f>
        <v/>
      </c>
      <c r="C245" s="2">
        <f>IF($A245="","",IFERROR(INDEX(직원목록!$C$7:$C$306,MATCH(233,직원목록!$B$7:$B$306,0)),""))</f>
        <v/>
      </c>
      <c r="D245" s="27">
        <f>IF($A245="","",IFERROR(INDEX(직원목록!$V$7:$V$306,MATCH(233,직원목록!$B$7:$B$306,0)),""))</f>
        <v/>
      </c>
      <c r="E245" s="27">
        <f>IF($A245="","",IFERROR(INDEX(직원목록!$AG$7:$AG$306,MATCH(233,직원목록!$B$7:$B$306,0)),""))</f>
        <v/>
      </c>
      <c r="F245" s="27">
        <f>IF(OR($A245="",E245=""),"",D245-E245)</f>
        <v/>
      </c>
      <c r="G245" s="27">
        <f>IF($A245="","",IFERROR(INDEX(직원목록!$AE$7:$AE$306,MATCH(233,직원목록!$B$7:$B$306,0)),""))</f>
        <v/>
      </c>
      <c r="H245" s="27">
        <f>IF($A245="","",IFERROR(INDEX(직원목록!$AH$7:$AH$306,MATCH(233,직원목록!$B$7:$B$306,0)),""))</f>
        <v/>
      </c>
      <c r="I245" s="27">
        <f>IF(OR($A245="",H245=""),"",G245-H245)</f>
        <v/>
      </c>
      <c r="J245" s="27">
        <f>IF($A245="","",IFERROR(INDEX(직원목록!$AF$7:$AF$306,MATCH(233,직원목록!$B$7:$B$306,0)),""))</f>
        <v/>
      </c>
      <c r="K245" s="27">
        <f>IF($A245="","",IFERROR(INDEX(직원목록!$AI$7:$AI$306,MATCH(233,직원목록!$B$7:$B$306,0)),""))</f>
        <v/>
      </c>
      <c r="L245" s="8">
        <f>IF($A245="","",IF(LEN(IF(AND(F245&lt;&gt;"",F245&lt;&gt;0),"계산 총지급과 대장 총지급이 다릅니다 / ","")&amp;IF(AND(I245&lt;&gt;"",I245&lt;&gt;0),"계산 총공제와 대장 총공제가 다릅니다 / ","")&amp;IF(J245&lt;0,"실수령액이 음수입니다 / ","")&amp;IF(COUNTIF(직원목록!$D$7:$D$306,B245)&gt;1,"같은 이름이 둘 이상 — 미리보기는 첫 번째만 보입니다 / ","")&amp;IF(AND(C245&lt;&gt;"",COUNTIF(직원목록!$C$7:$C$306,C245)&gt;1),"사번 중복 / ","")&amp;IF(D245=0,"총지급이 0원 — 머리글 매칭 확인 / ","")&amp;IF(AND(설정!$B$17&lt;&gt;"",설정!$C$17="",OR(ISNUMBER(FIND("연장",설정!$B$17)),ISNUMBER(FIND("야간",설정!$B$17)),ISNUMBER(FIND("휴일",설정!$B$17))),INDEX(직원목록!$F$7:$F$306,MATCH(233,직원목록!$B$7:$B$306,0))&gt;0),"연장·야간·휴일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","")&amp;IF(AND(설정!$B$24&lt;&gt;"",설정!$C$24="",OR(ISNUMBER(FIND("연장",설정!$B$24)),ISNUMBER(FIND("야간",설정!$B$24)),ISNUMBER(FIND("휴일",설정!$B$24))),INDEX(직원목록!$M$7:$M$306,MATCH(233,직원목록!$B$7:$B$306,0))&gt;0),"연장·야간·휴일 수당은 시간 수도 명세서에 적어야 하니 시간 열 지정 필요 / ",""))=0,"✔",("⚠ "&amp;IF(AND(F245&lt;&gt;"",F245&lt;&gt;0),"계산 총지급과 대장 총지급이 다릅니다 / ","")&amp;IF(AND(I245&lt;&gt;"",I245&lt;&gt;0),"계산 총공제와 대장 총공제가 다릅니다 / ","")&amp;IF(J245&lt;0,"실수령액이 음수입니다 / ","")&amp;IF(COUNTIF(직원목록!$D$7:$D$306,B245)&gt;1,"같은 이름이 둘 이상 — 미리보기는 첫 번째만 보입니다 / ","")&amp;IF(AND(C245&lt;&gt;"",COUNTIF(직원목록!$C$7:$C$306,C245)&gt;1),"사번 중복 / ","")&amp;IF(D245=0,"총지급이 0원 — 머리글 매칭 확인 / ","")&amp;IF(AND(설정!$B$17&lt;&gt;"",설정!$C$17="",OR(ISNUMBER(FIND("연장",설정!$B$17)),ISNUMBER(FIND("야간",설정!$B$17)),ISNUMBER(FIND("휴일",설정!$B$17))),INDEX(직원목록!$F$7:$F$306,MATCH(233,직원목록!$B$7:$B$306,0))&gt;0),"연장·야간·휴일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","")&amp;IF(AND(설정!$B$24&lt;&gt;"",설정!$C$24="",OR(ISNUMBER(FIND("연장",설정!$B$24)),ISNUMBER(FIND("야간",설정!$B$24)),ISNUMBER(FIND("휴일",설정!$B$24))),INDEX(직원목록!$M$7:$M$306,MATCH(233,직원목록!$B$7:$B$306,0))&gt;0),"연장·야간·휴일 수당은 시간 수도 명세서에 적어야 하니 시간 열 지정 필요 / ",""))))</f>
        <v/>
      </c>
    </row>
    <row r="246">
      <c r="A246" s="26">
        <f>IF(IFERROR(MATCH(234,직원목록!$B$7:$B$306,0),0)=0,"",234)</f>
        <v/>
      </c>
      <c r="B246" s="2">
        <f>IF($A246="","",IFERROR(INDEX(직원목록!$D$7:$D$306,MATCH(234,직원목록!$B$7:$B$306,0)),""))</f>
        <v/>
      </c>
      <c r="C246" s="2">
        <f>IF($A246="","",IFERROR(INDEX(직원목록!$C$7:$C$306,MATCH(234,직원목록!$B$7:$B$306,0)),""))</f>
        <v/>
      </c>
      <c r="D246" s="27">
        <f>IF($A246="","",IFERROR(INDEX(직원목록!$V$7:$V$306,MATCH(234,직원목록!$B$7:$B$306,0)),""))</f>
        <v/>
      </c>
      <c r="E246" s="27">
        <f>IF($A246="","",IFERROR(INDEX(직원목록!$AG$7:$AG$306,MATCH(234,직원목록!$B$7:$B$306,0)),""))</f>
        <v/>
      </c>
      <c r="F246" s="27">
        <f>IF(OR($A246="",E246=""),"",D246-E246)</f>
        <v/>
      </c>
      <c r="G246" s="27">
        <f>IF($A246="","",IFERROR(INDEX(직원목록!$AE$7:$AE$306,MATCH(234,직원목록!$B$7:$B$306,0)),""))</f>
        <v/>
      </c>
      <c r="H246" s="27">
        <f>IF($A246="","",IFERROR(INDEX(직원목록!$AH$7:$AH$306,MATCH(234,직원목록!$B$7:$B$306,0)),""))</f>
        <v/>
      </c>
      <c r="I246" s="27">
        <f>IF(OR($A246="",H246=""),"",G246-H246)</f>
        <v/>
      </c>
      <c r="J246" s="27">
        <f>IF($A246="","",IFERROR(INDEX(직원목록!$AF$7:$AF$306,MATCH(234,직원목록!$B$7:$B$306,0)),""))</f>
        <v/>
      </c>
      <c r="K246" s="27">
        <f>IF($A246="","",IFERROR(INDEX(직원목록!$AI$7:$AI$306,MATCH(234,직원목록!$B$7:$B$306,0)),""))</f>
        <v/>
      </c>
      <c r="L246" s="8">
        <f>IF($A246="","",IF(LEN(IF(AND(F246&lt;&gt;"",F246&lt;&gt;0),"계산 총지급과 대장 총지급이 다릅니다 / ","")&amp;IF(AND(I246&lt;&gt;"",I246&lt;&gt;0),"계산 총공제와 대장 총공제가 다릅니다 / ","")&amp;IF(J246&lt;0,"실수령액이 음수입니다 / ","")&amp;IF(COUNTIF(직원목록!$D$7:$D$306,B246)&gt;1,"같은 이름이 둘 이상 — 미리보기는 첫 번째만 보입니다 / ","")&amp;IF(AND(C246&lt;&gt;"",COUNTIF(직원목록!$C$7:$C$306,C246)&gt;1),"사번 중복 / ","")&amp;IF(D246=0,"총지급이 0원 — 머리글 매칭 확인 / ","")&amp;IF(AND(설정!$B$17&lt;&gt;"",설정!$C$17="",OR(ISNUMBER(FIND("연장",설정!$B$17)),ISNUMBER(FIND("야간",설정!$B$17)),ISNUMBER(FIND("휴일",설정!$B$17))),INDEX(직원목록!$F$7:$F$306,MATCH(234,직원목록!$B$7:$B$306,0))&gt;0),"연장·야간·휴일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","")&amp;IF(AND(설정!$B$24&lt;&gt;"",설정!$C$24="",OR(ISNUMBER(FIND("연장",설정!$B$24)),ISNUMBER(FIND("야간",설정!$B$24)),ISNUMBER(FIND("휴일",설정!$B$24))),INDEX(직원목록!$M$7:$M$306,MATCH(234,직원목록!$B$7:$B$306,0))&gt;0),"연장·야간·휴일 수당은 시간 수도 명세서에 적어야 하니 시간 열 지정 필요 / ",""))=0,"✔",("⚠ "&amp;IF(AND(F246&lt;&gt;"",F246&lt;&gt;0),"계산 총지급과 대장 총지급이 다릅니다 / ","")&amp;IF(AND(I246&lt;&gt;"",I246&lt;&gt;0),"계산 총공제와 대장 총공제가 다릅니다 / ","")&amp;IF(J246&lt;0,"실수령액이 음수입니다 / ","")&amp;IF(COUNTIF(직원목록!$D$7:$D$306,B246)&gt;1,"같은 이름이 둘 이상 — 미리보기는 첫 번째만 보입니다 / ","")&amp;IF(AND(C246&lt;&gt;"",COUNTIF(직원목록!$C$7:$C$306,C246)&gt;1),"사번 중복 / ","")&amp;IF(D246=0,"총지급이 0원 — 머리글 매칭 확인 / ","")&amp;IF(AND(설정!$B$17&lt;&gt;"",설정!$C$17="",OR(ISNUMBER(FIND("연장",설정!$B$17)),ISNUMBER(FIND("야간",설정!$B$17)),ISNUMBER(FIND("휴일",설정!$B$17))),INDEX(직원목록!$F$7:$F$306,MATCH(234,직원목록!$B$7:$B$306,0))&gt;0),"연장·야간·휴일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","")&amp;IF(AND(설정!$B$24&lt;&gt;"",설정!$C$24="",OR(ISNUMBER(FIND("연장",설정!$B$24)),ISNUMBER(FIND("야간",설정!$B$24)),ISNUMBER(FIND("휴일",설정!$B$24))),INDEX(직원목록!$M$7:$M$306,MATCH(234,직원목록!$B$7:$B$306,0))&gt;0),"연장·야간·휴일 수당은 시간 수도 명세서에 적어야 하니 시간 열 지정 필요 / ",""))))</f>
        <v/>
      </c>
    </row>
    <row r="247">
      <c r="A247" s="26">
        <f>IF(IFERROR(MATCH(235,직원목록!$B$7:$B$306,0),0)=0,"",235)</f>
        <v/>
      </c>
      <c r="B247" s="2">
        <f>IF($A247="","",IFERROR(INDEX(직원목록!$D$7:$D$306,MATCH(235,직원목록!$B$7:$B$306,0)),""))</f>
        <v/>
      </c>
      <c r="C247" s="2">
        <f>IF($A247="","",IFERROR(INDEX(직원목록!$C$7:$C$306,MATCH(235,직원목록!$B$7:$B$306,0)),""))</f>
        <v/>
      </c>
      <c r="D247" s="27">
        <f>IF($A247="","",IFERROR(INDEX(직원목록!$V$7:$V$306,MATCH(235,직원목록!$B$7:$B$306,0)),""))</f>
        <v/>
      </c>
      <c r="E247" s="27">
        <f>IF($A247="","",IFERROR(INDEX(직원목록!$AG$7:$AG$306,MATCH(235,직원목록!$B$7:$B$306,0)),""))</f>
        <v/>
      </c>
      <c r="F247" s="27">
        <f>IF(OR($A247="",E247=""),"",D247-E247)</f>
        <v/>
      </c>
      <c r="G247" s="27">
        <f>IF($A247="","",IFERROR(INDEX(직원목록!$AE$7:$AE$306,MATCH(235,직원목록!$B$7:$B$306,0)),""))</f>
        <v/>
      </c>
      <c r="H247" s="27">
        <f>IF($A247="","",IFERROR(INDEX(직원목록!$AH$7:$AH$306,MATCH(235,직원목록!$B$7:$B$306,0)),""))</f>
        <v/>
      </c>
      <c r="I247" s="27">
        <f>IF(OR($A247="",H247=""),"",G247-H247)</f>
        <v/>
      </c>
      <c r="J247" s="27">
        <f>IF($A247="","",IFERROR(INDEX(직원목록!$AF$7:$AF$306,MATCH(235,직원목록!$B$7:$B$306,0)),""))</f>
        <v/>
      </c>
      <c r="K247" s="27">
        <f>IF($A247="","",IFERROR(INDEX(직원목록!$AI$7:$AI$306,MATCH(235,직원목록!$B$7:$B$306,0)),""))</f>
        <v/>
      </c>
      <c r="L247" s="8">
        <f>IF($A247="","",IF(LEN(IF(AND(F247&lt;&gt;"",F247&lt;&gt;0),"계산 총지급과 대장 총지급이 다릅니다 / ","")&amp;IF(AND(I247&lt;&gt;"",I247&lt;&gt;0),"계산 총공제와 대장 총공제가 다릅니다 / ","")&amp;IF(J247&lt;0,"실수령액이 음수입니다 / ","")&amp;IF(COUNTIF(직원목록!$D$7:$D$306,B247)&gt;1,"같은 이름이 둘 이상 — 미리보기는 첫 번째만 보입니다 / ","")&amp;IF(AND(C247&lt;&gt;"",COUNTIF(직원목록!$C$7:$C$306,C247)&gt;1),"사번 중복 / ","")&amp;IF(D247=0,"총지급이 0원 — 머리글 매칭 확인 / ","")&amp;IF(AND(설정!$B$17&lt;&gt;"",설정!$C$17="",OR(ISNUMBER(FIND("연장",설정!$B$17)),ISNUMBER(FIND("야간",설정!$B$17)),ISNUMBER(FIND("휴일",설정!$B$17))),INDEX(직원목록!$F$7:$F$306,MATCH(235,직원목록!$B$7:$B$306,0))&gt;0),"연장·야간·휴일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","")&amp;IF(AND(설정!$B$24&lt;&gt;"",설정!$C$24="",OR(ISNUMBER(FIND("연장",설정!$B$24)),ISNUMBER(FIND("야간",설정!$B$24)),ISNUMBER(FIND("휴일",설정!$B$24))),INDEX(직원목록!$M$7:$M$306,MATCH(235,직원목록!$B$7:$B$306,0))&gt;0),"연장·야간·휴일 수당은 시간 수도 명세서에 적어야 하니 시간 열 지정 필요 / ",""))=0,"✔",("⚠ "&amp;IF(AND(F247&lt;&gt;"",F247&lt;&gt;0),"계산 총지급과 대장 총지급이 다릅니다 / ","")&amp;IF(AND(I247&lt;&gt;"",I247&lt;&gt;0),"계산 총공제와 대장 총공제가 다릅니다 / ","")&amp;IF(J247&lt;0,"실수령액이 음수입니다 / ","")&amp;IF(COUNTIF(직원목록!$D$7:$D$306,B247)&gt;1,"같은 이름이 둘 이상 — 미리보기는 첫 번째만 보입니다 / ","")&amp;IF(AND(C247&lt;&gt;"",COUNTIF(직원목록!$C$7:$C$306,C247)&gt;1),"사번 중복 / ","")&amp;IF(D247=0,"총지급이 0원 — 머리글 매칭 확인 / ","")&amp;IF(AND(설정!$B$17&lt;&gt;"",설정!$C$17="",OR(ISNUMBER(FIND("연장",설정!$B$17)),ISNUMBER(FIND("야간",설정!$B$17)),ISNUMBER(FIND("휴일",설정!$B$17))),INDEX(직원목록!$F$7:$F$306,MATCH(235,직원목록!$B$7:$B$306,0))&gt;0),"연장·야간·휴일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","")&amp;IF(AND(설정!$B$24&lt;&gt;"",설정!$C$24="",OR(ISNUMBER(FIND("연장",설정!$B$24)),ISNUMBER(FIND("야간",설정!$B$24)),ISNUMBER(FIND("휴일",설정!$B$24))),INDEX(직원목록!$M$7:$M$306,MATCH(235,직원목록!$B$7:$B$306,0))&gt;0),"연장·야간·휴일 수당은 시간 수도 명세서에 적어야 하니 시간 열 지정 필요 / ",""))))</f>
        <v/>
      </c>
    </row>
    <row r="248">
      <c r="A248" s="26">
        <f>IF(IFERROR(MATCH(236,직원목록!$B$7:$B$306,0),0)=0,"",236)</f>
        <v/>
      </c>
      <c r="B248" s="2">
        <f>IF($A248="","",IFERROR(INDEX(직원목록!$D$7:$D$306,MATCH(236,직원목록!$B$7:$B$306,0)),""))</f>
        <v/>
      </c>
      <c r="C248" s="2">
        <f>IF($A248="","",IFERROR(INDEX(직원목록!$C$7:$C$306,MATCH(236,직원목록!$B$7:$B$306,0)),""))</f>
        <v/>
      </c>
      <c r="D248" s="27">
        <f>IF($A248="","",IFERROR(INDEX(직원목록!$V$7:$V$306,MATCH(236,직원목록!$B$7:$B$306,0)),""))</f>
        <v/>
      </c>
      <c r="E248" s="27">
        <f>IF($A248="","",IFERROR(INDEX(직원목록!$AG$7:$AG$306,MATCH(236,직원목록!$B$7:$B$306,0)),""))</f>
        <v/>
      </c>
      <c r="F248" s="27">
        <f>IF(OR($A248="",E248=""),"",D248-E248)</f>
        <v/>
      </c>
      <c r="G248" s="27">
        <f>IF($A248="","",IFERROR(INDEX(직원목록!$AE$7:$AE$306,MATCH(236,직원목록!$B$7:$B$306,0)),""))</f>
        <v/>
      </c>
      <c r="H248" s="27">
        <f>IF($A248="","",IFERROR(INDEX(직원목록!$AH$7:$AH$306,MATCH(236,직원목록!$B$7:$B$306,0)),""))</f>
        <v/>
      </c>
      <c r="I248" s="27">
        <f>IF(OR($A248="",H248=""),"",G248-H248)</f>
        <v/>
      </c>
      <c r="J248" s="27">
        <f>IF($A248="","",IFERROR(INDEX(직원목록!$AF$7:$AF$306,MATCH(236,직원목록!$B$7:$B$306,0)),""))</f>
        <v/>
      </c>
      <c r="K248" s="27">
        <f>IF($A248="","",IFERROR(INDEX(직원목록!$AI$7:$AI$306,MATCH(236,직원목록!$B$7:$B$306,0)),""))</f>
        <v/>
      </c>
      <c r="L248" s="8">
        <f>IF($A248="","",IF(LEN(IF(AND(F248&lt;&gt;"",F248&lt;&gt;0),"계산 총지급과 대장 총지급이 다릅니다 / ","")&amp;IF(AND(I248&lt;&gt;"",I248&lt;&gt;0),"계산 총공제와 대장 총공제가 다릅니다 / ","")&amp;IF(J248&lt;0,"실수령액이 음수입니다 / ","")&amp;IF(COUNTIF(직원목록!$D$7:$D$306,B248)&gt;1,"같은 이름이 둘 이상 — 미리보기는 첫 번째만 보입니다 / ","")&amp;IF(AND(C248&lt;&gt;"",COUNTIF(직원목록!$C$7:$C$306,C248)&gt;1),"사번 중복 / ","")&amp;IF(D248=0,"총지급이 0원 — 머리글 매칭 확인 / ","")&amp;IF(AND(설정!$B$17&lt;&gt;"",설정!$C$17="",OR(ISNUMBER(FIND("연장",설정!$B$17)),ISNUMBER(FIND("야간",설정!$B$17)),ISNUMBER(FIND("휴일",설정!$B$17))),INDEX(직원목록!$F$7:$F$306,MATCH(236,직원목록!$B$7:$B$306,0))&gt;0),"연장·야간·휴일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","")&amp;IF(AND(설정!$B$24&lt;&gt;"",설정!$C$24="",OR(ISNUMBER(FIND("연장",설정!$B$24)),ISNUMBER(FIND("야간",설정!$B$24)),ISNUMBER(FIND("휴일",설정!$B$24))),INDEX(직원목록!$M$7:$M$306,MATCH(236,직원목록!$B$7:$B$306,0))&gt;0),"연장·야간·휴일 수당은 시간 수도 명세서에 적어야 하니 시간 열 지정 필요 / ",""))=0,"✔",("⚠ "&amp;IF(AND(F248&lt;&gt;"",F248&lt;&gt;0),"계산 총지급과 대장 총지급이 다릅니다 / ","")&amp;IF(AND(I248&lt;&gt;"",I248&lt;&gt;0),"계산 총공제와 대장 총공제가 다릅니다 / ","")&amp;IF(J248&lt;0,"실수령액이 음수입니다 / ","")&amp;IF(COUNTIF(직원목록!$D$7:$D$306,B248)&gt;1,"같은 이름이 둘 이상 — 미리보기는 첫 번째만 보입니다 / ","")&amp;IF(AND(C248&lt;&gt;"",COUNTIF(직원목록!$C$7:$C$306,C248)&gt;1),"사번 중복 / ","")&amp;IF(D248=0,"총지급이 0원 — 머리글 매칭 확인 / ","")&amp;IF(AND(설정!$B$17&lt;&gt;"",설정!$C$17="",OR(ISNUMBER(FIND("연장",설정!$B$17)),ISNUMBER(FIND("야간",설정!$B$17)),ISNUMBER(FIND("휴일",설정!$B$17))),INDEX(직원목록!$F$7:$F$306,MATCH(236,직원목록!$B$7:$B$306,0))&gt;0),"연장·야간·휴일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","")&amp;IF(AND(설정!$B$24&lt;&gt;"",설정!$C$24="",OR(ISNUMBER(FIND("연장",설정!$B$24)),ISNUMBER(FIND("야간",설정!$B$24)),ISNUMBER(FIND("휴일",설정!$B$24))),INDEX(직원목록!$M$7:$M$306,MATCH(236,직원목록!$B$7:$B$306,0))&gt;0),"연장·야간·휴일 수당은 시간 수도 명세서에 적어야 하니 시간 열 지정 필요 / ",""))))</f>
        <v/>
      </c>
    </row>
    <row r="249">
      <c r="A249" s="26">
        <f>IF(IFERROR(MATCH(237,직원목록!$B$7:$B$306,0),0)=0,"",237)</f>
        <v/>
      </c>
      <c r="B249" s="2">
        <f>IF($A249="","",IFERROR(INDEX(직원목록!$D$7:$D$306,MATCH(237,직원목록!$B$7:$B$306,0)),""))</f>
        <v/>
      </c>
      <c r="C249" s="2">
        <f>IF($A249="","",IFERROR(INDEX(직원목록!$C$7:$C$306,MATCH(237,직원목록!$B$7:$B$306,0)),""))</f>
        <v/>
      </c>
      <c r="D249" s="27">
        <f>IF($A249="","",IFERROR(INDEX(직원목록!$V$7:$V$306,MATCH(237,직원목록!$B$7:$B$306,0)),""))</f>
        <v/>
      </c>
      <c r="E249" s="27">
        <f>IF($A249="","",IFERROR(INDEX(직원목록!$AG$7:$AG$306,MATCH(237,직원목록!$B$7:$B$306,0)),""))</f>
        <v/>
      </c>
      <c r="F249" s="27">
        <f>IF(OR($A249="",E249=""),"",D249-E249)</f>
        <v/>
      </c>
      <c r="G249" s="27">
        <f>IF($A249="","",IFERROR(INDEX(직원목록!$AE$7:$AE$306,MATCH(237,직원목록!$B$7:$B$306,0)),""))</f>
        <v/>
      </c>
      <c r="H249" s="27">
        <f>IF($A249="","",IFERROR(INDEX(직원목록!$AH$7:$AH$306,MATCH(237,직원목록!$B$7:$B$306,0)),""))</f>
        <v/>
      </c>
      <c r="I249" s="27">
        <f>IF(OR($A249="",H249=""),"",G249-H249)</f>
        <v/>
      </c>
      <c r="J249" s="27">
        <f>IF($A249="","",IFERROR(INDEX(직원목록!$AF$7:$AF$306,MATCH(237,직원목록!$B$7:$B$306,0)),""))</f>
        <v/>
      </c>
      <c r="K249" s="27">
        <f>IF($A249="","",IFERROR(INDEX(직원목록!$AI$7:$AI$306,MATCH(237,직원목록!$B$7:$B$306,0)),""))</f>
        <v/>
      </c>
      <c r="L249" s="8">
        <f>IF($A249="","",IF(LEN(IF(AND(F249&lt;&gt;"",F249&lt;&gt;0),"계산 총지급과 대장 총지급이 다릅니다 / ","")&amp;IF(AND(I249&lt;&gt;"",I249&lt;&gt;0),"계산 총공제와 대장 총공제가 다릅니다 / ","")&amp;IF(J249&lt;0,"실수령액이 음수입니다 / ","")&amp;IF(COUNTIF(직원목록!$D$7:$D$306,B249)&gt;1,"같은 이름이 둘 이상 — 미리보기는 첫 번째만 보입니다 / ","")&amp;IF(AND(C249&lt;&gt;"",COUNTIF(직원목록!$C$7:$C$306,C249)&gt;1),"사번 중복 / ","")&amp;IF(D249=0,"총지급이 0원 — 머리글 매칭 확인 / ","")&amp;IF(AND(설정!$B$17&lt;&gt;"",설정!$C$17="",OR(ISNUMBER(FIND("연장",설정!$B$17)),ISNUMBER(FIND("야간",설정!$B$17)),ISNUMBER(FIND("휴일",설정!$B$17))),INDEX(직원목록!$F$7:$F$306,MATCH(237,직원목록!$B$7:$B$306,0))&gt;0),"연장·야간·휴일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","")&amp;IF(AND(설정!$B$24&lt;&gt;"",설정!$C$24="",OR(ISNUMBER(FIND("연장",설정!$B$24)),ISNUMBER(FIND("야간",설정!$B$24)),ISNUMBER(FIND("휴일",설정!$B$24))),INDEX(직원목록!$M$7:$M$306,MATCH(237,직원목록!$B$7:$B$306,0))&gt;0),"연장·야간·휴일 수당은 시간 수도 명세서에 적어야 하니 시간 열 지정 필요 / ",""))=0,"✔",("⚠ "&amp;IF(AND(F249&lt;&gt;"",F249&lt;&gt;0),"계산 총지급과 대장 총지급이 다릅니다 / ","")&amp;IF(AND(I249&lt;&gt;"",I249&lt;&gt;0),"계산 총공제와 대장 총공제가 다릅니다 / ","")&amp;IF(J249&lt;0,"실수령액이 음수입니다 / ","")&amp;IF(COUNTIF(직원목록!$D$7:$D$306,B249)&gt;1,"같은 이름이 둘 이상 — 미리보기는 첫 번째만 보입니다 / ","")&amp;IF(AND(C249&lt;&gt;"",COUNTIF(직원목록!$C$7:$C$306,C249)&gt;1),"사번 중복 / ","")&amp;IF(D249=0,"총지급이 0원 — 머리글 매칭 확인 / ","")&amp;IF(AND(설정!$B$17&lt;&gt;"",설정!$C$17="",OR(ISNUMBER(FIND("연장",설정!$B$17)),ISNUMBER(FIND("야간",설정!$B$17)),ISNUMBER(FIND("휴일",설정!$B$17))),INDEX(직원목록!$F$7:$F$306,MATCH(237,직원목록!$B$7:$B$306,0))&gt;0),"연장·야간·휴일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","")&amp;IF(AND(설정!$B$24&lt;&gt;"",설정!$C$24="",OR(ISNUMBER(FIND("연장",설정!$B$24)),ISNUMBER(FIND("야간",설정!$B$24)),ISNUMBER(FIND("휴일",설정!$B$24))),INDEX(직원목록!$M$7:$M$306,MATCH(237,직원목록!$B$7:$B$306,0))&gt;0),"연장·야간·휴일 수당은 시간 수도 명세서에 적어야 하니 시간 열 지정 필요 / ",""))))</f>
        <v/>
      </c>
    </row>
    <row r="250">
      <c r="A250" s="26">
        <f>IF(IFERROR(MATCH(238,직원목록!$B$7:$B$306,0),0)=0,"",238)</f>
        <v/>
      </c>
      <c r="B250" s="2">
        <f>IF($A250="","",IFERROR(INDEX(직원목록!$D$7:$D$306,MATCH(238,직원목록!$B$7:$B$306,0)),""))</f>
        <v/>
      </c>
      <c r="C250" s="2">
        <f>IF($A250="","",IFERROR(INDEX(직원목록!$C$7:$C$306,MATCH(238,직원목록!$B$7:$B$306,0)),""))</f>
        <v/>
      </c>
      <c r="D250" s="27">
        <f>IF($A250="","",IFERROR(INDEX(직원목록!$V$7:$V$306,MATCH(238,직원목록!$B$7:$B$306,0)),""))</f>
        <v/>
      </c>
      <c r="E250" s="27">
        <f>IF($A250="","",IFERROR(INDEX(직원목록!$AG$7:$AG$306,MATCH(238,직원목록!$B$7:$B$306,0)),""))</f>
        <v/>
      </c>
      <c r="F250" s="27">
        <f>IF(OR($A250="",E250=""),"",D250-E250)</f>
        <v/>
      </c>
      <c r="G250" s="27">
        <f>IF($A250="","",IFERROR(INDEX(직원목록!$AE$7:$AE$306,MATCH(238,직원목록!$B$7:$B$306,0)),""))</f>
        <v/>
      </c>
      <c r="H250" s="27">
        <f>IF($A250="","",IFERROR(INDEX(직원목록!$AH$7:$AH$306,MATCH(238,직원목록!$B$7:$B$306,0)),""))</f>
        <v/>
      </c>
      <c r="I250" s="27">
        <f>IF(OR($A250="",H250=""),"",G250-H250)</f>
        <v/>
      </c>
      <c r="J250" s="27">
        <f>IF($A250="","",IFERROR(INDEX(직원목록!$AF$7:$AF$306,MATCH(238,직원목록!$B$7:$B$306,0)),""))</f>
        <v/>
      </c>
      <c r="K250" s="27">
        <f>IF($A250="","",IFERROR(INDEX(직원목록!$AI$7:$AI$306,MATCH(238,직원목록!$B$7:$B$306,0)),""))</f>
        <v/>
      </c>
      <c r="L250" s="8">
        <f>IF($A250="","",IF(LEN(IF(AND(F250&lt;&gt;"",F250&lt;&gt;0),"계산 총지급과 대장 총지급이 다릅니다 / ","")&amp;IF(AND(I250&lt;&gt;"",I250&lt;&gt;0),"계산 총공제와 대장 총공제가 다릅니다 / ","")&amp;IF(J250&lt;0,"실수령액이 음수입니다 / ","")&amp;IF(COUNTIF(직원목록!$D$7:$D$306,B250)&gt;1,"같은 이름이 둘 이상 — 미리보기는 첫 번째만 보입니다 / ","")&amp;IF(AND(C250&lt;&gt;"",COUNTIF(직원목록!$C$7:$C$306,C250)&gt;1),"사번 중복 / ","")&amp;IF(D250=0,"총지급이 0원 — 머리글 매칭 확인 / ","")&amp;IF(AND(설정!$B$17&lt;&gt;"",설정!$C$17="",OR(ISNUMBER(FIND("연장",설정!$B$17)),ISNUMBER(FIND("야간",설정!$B$17)),ISNUMBER(FIND("휴일",설정!$B$17))),INDEX(직원목록!$F$7:$F$306,MATCH(238,직원목록!$B$7:$B$306,0))&gt;0),"연장·야간·휴일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","")&amp;IF(AND(설정!$B$24&lt;&gt;"",설정!$C$24="",OR(ISNUMBER(FIND("연장",설정!$B$24)),ISNUMBER(FIND("야간",설정!$B$24)),ISNUMBER(FIND("휴일",설정!$B$24))),INDEX(직원목록!$M$7:$M$306,MATCH(238,직원목록!$B$7:$B$306,0))&gt;0),"연장·야간·휴일 수당은 시간 수도 명세서에 적어야 하니 시간 열 지정 필요 / ",""))=0,"✔",("⚠ "&amp;IF(AND(F250&lt;&gt;"",F250&lt;&gt;0),"계산 총지급과 대장 총지급이 다릅니다 / ","")&amp;IF(AND(I250&lt;&gt;"",I250&lt;&gt;0),"계산 총공제와 대장 총공제가 다릅니다 / ","")&amp;IF(J250&lt;0,"실수령액이 음수입니다 / ","")&amp;IF(COUNTIF(직원목록!$D$7:$D$306,B250)&gt;1,"같은 이름이 둘 이상 — 미리보기는 첫 번째만 보입니다 / ","")&amp;IF(AND(C250&lt;&gt;"",COUNTIF(직원목록!$C$7:$C$306,C250)&gt;1),"사번 중복 / ","")&amp;IF(D250=0,"총지급이 0원 — 머리글 매칭 확인 / ","")&amp;IF(AND(설정!$B$17&lt;&gt;"",설정!$C$17="",OR(ISNUMBER(FIND("연장",설정!$B$17)),ISNUMBER(FIND("야간",설정!$B$17)),ISNUMBER(FIND("휴일",설정!$B$17))),INDEX(직원목록!$F$7:$F$306,MATCH(238,직원목록!$B$7:$B$306,0))&gt;0),"연장·야간·휴일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","")&amp;IF(AND(설정!$B$24&lt;&gt;"",설정!$C$24="",OR(ISNUMBER(FIND("연장",설정!$B$24)),ISNUMBER(FIND("야간",설정!$B$24)),ISNUMBER(FIND("휴일",설정!$B$24))),INDEX(직원목록!$M$7:$M$306,MATCH(238,직원목록!$B$7:$B$306,0))&gt;0),"연장·야간·휴일 수당은 시간 수도 명세서에 적어야 하니 시간 열 지정 필요 / ",""))))</f>
        <v/>
      </c>
    </row>
    <row r="251">
      <c r="A251" s="26">
        <f>IF(IFERROR(MATCH(239,직원목록!$B$7:$B$306,0),0)=0,"",239)</f>
        <v/>
      </c>
      <c r="B251" s="2">
        <f>IF($A251="","",IFERROR(INDEX(직원목록!$D$7:$D$306,MATCH(239,직원목록!$B$7:$B$306,0)),""))</f>
        <v/>
      </c>
      <c r="C251" s="2">
        <f>IF($A251="","",IFERROR(INDEX(직원목록!$C$7:$C$306,MATCH(239,직원목록!$B$7:$B$306,0)),""))</f>
        <v/>
      </c>
      <c r="D251" s="27">
        <f>IF($A251="","",IFERROR(INDEX(직원목록!$V$7:$V$306,MATCH(239,직원목록!$B$7:$B$306,0)),""))</f>
        <v/>
      </c>
      <c r="E251" s="27">
        <f>IF($A251="","",IFERROR(INDEX(직원목록!$AG$7:$AG$306,MATCH(239,직원목록!$B$7:$B$306,0)),""))</f>
        <v/>
      </c>
      <c r="F251" s="27">
        <f>IF(OR($A251="",E251=""),"",D251-E251)</f>
        <v/>
      </c>
      <c r="G251" s="27">
        <f>IF($A251="","",IFERROR(INDEX(직원목록!$AE$7:$AE$306,MATCH(239,직원목록!$B$7:$B$306,0)),""))</f>
        <v/>
      </c>
      <c r="H251" s="27">
        <f>IF($A251="","",IFERROR(INDEX(직원목록!$AH$7:$AH$306,MATCH(239,직원목록!$B$7:$B$306,0)),""))</f>
        <v/>
      </c>
      <c r="I251" s="27">
        <f>IF(OR($A251="",H251=""),"",G251-H251)</f>
        <v/>
      </c>
      <c r="J251" s="27">
        <f>IF($A251="","",IFERROR(INDEX(직원목록!$AF$7:$AF$306,MATCH(239,직원목록!$B$7:$B$306,0)),""))</f>
        <v/>
      </c>
      <c r="K251" s="27">
        <f>IF($A251="","",IFERROR(INDEX(직원목록!$AI$7:$AI$306,MATCH(239,직원목록!$B$7:$B$306,0)),""))</f>
        <v/>
      </c>
      <c r="L251" s="8">
        <f>IF($A251="","",IF(LEN(IF(AND(F251&lt;&gt;"",F251&lt;&gt;0),"계산 총지급과 대장 총지급이 다릅니다 / ","")&amp;IF(AND(I251&lt;&gt;"",I251&lt;&gt;0),"계산 총공제와 대장 총공제가 다릅니다 / ","")&amp;IF(J251&lt;0,"실수령액이 음수입니다 / ","")&amp;IF(COUNTIF(직원목록!$D$7:$D$306,B251)&gt;1,"같은 이름이 둘 이상 — 미리보기는 첫 번째만 보입니다 / ","")&amp;IF(AND(C251&lt;&gt;"",COUNTIF(직원목록!$C$7:$C$306,C251)&gt;1),"사번 중복 / ","")&amp;IF(D251=0,"총지급이 0원 — 머리글 매칭 확인 / ","")&amp;IF(AND(설정!$B$17&lt;&gt;"",설정!$C$17="",OR(ISNUMBER(FIND("연장",설정!$B$17)),ISNUMBER(FIND("야간",설정!$B$17)),ISNUMBER(FIND("휴일",설정!$B$17))),INDEX(직원목록!$F$7:$F$306,MATCH(239,직원목록!$B$7:$B$306,0))&gt;0),"연장·야간·휴일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","")&amp;IF(AND(설정!$B$24&lt;&gt;"",설정!$C$24="",OR(ISNUMBER(FIND("연장",설정!$B$24)),ISNUMBER(FIND("야간",설정!$B$24)),ISNUMBER(FIND("휴일",설정!$B$24))),INDEX(직원목록!$M$7:$M$306,MATCH(239,직원목록!$B$7:$B$306,0))&gt;0),"연장·야간·휴일 수당은 시간 수도 명세서에 적어야 하니 시간 열 지정 필요 / ",""))=0,"✔",("⚠ "&amp;IF(AND(F251&lt;&gt;"",F251&lt;&gt;0),"계산 총지급과 대장 총지급이 다릅니다 / ","")&amp;IF(AND(I251&lt;&gt;"",I251&lt;&gt;0),"계산 총공제와 대장 총공제가 다릅니다 / ","")&amp;IF(J251&lt;0,"실수령액이 음수입니다 / ","")&amp;IF(COUNTIF(직원목록!$D$7:$D$306,B251)&gt;1,"같은 이름이 둘 이상 — 미리보기는 첫 번째만 보입니다 / ","")&amp;IF(AND(C251&lt;&gt;"",COUNTIF(직원목록!$C$7:$C$306,C251)&gt;1),"사번 중복 / ","")&amp;IF(D251=0,"총지급이 0원 — 머리글 매칭 확인 / ","")&amp;IF(AND(설정!$B$17&lt;&gt;"",설정!$C$17="",OR(ISNUMBER(FIND("연장",설정!$B$17)),ISNUMBER(FIND("야간",설정!$B$17)),ISNUMBER(FIND("휴일",설정!$B$17))),INDEX(직원목록!$F$7:$F$306,MATCH(239,직원목록!$B$7:$B$306,0))&gt;0),"연장·야간·휴일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","")&amp;IF(AND(설정!$B$18&lt;&gt;"",설정!$C$18="",OR(ISNUMBER(FIND("연장",설정!$B$18)),ISNUMBER(FIND("야간",설정!$B$18)),ISNUMBER(FIND("휴일",설정!$B$18))),INDEX(직원목록!$G$7:$G$306,MATCH(239,직원목록!$B$7:$B$306,0))&gt;0),"연장·야간·휴일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","")&amp;IF(AND(설정!$B$19&lt;&gt;"",설정!$C$19="",OR(ISNUMBER(FIND("연장",설정!$B$19)),ISNUMBER(FIND("야간",설정!$B$19)),ISNUMBER(FIND("휴일",설정!$B$19))),INDEX(직원목록!$H$7:$H$306,MATCH(239,직원목록!$B$7:$B$306,0))&gt;0),"연장·야간·휴일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","")&amp;IF(AND(설정!$B$20&lt;&gt;"",설정!$C$20="",OR(ISNUMBER(FIND("연장",설정!$B$20)),ISNUMBER(FIND("야간",설정!$B$20)),ISNUMBER(FIND("휴일",설정!$B$20))),INDEX(직원목록!$I$7:$I$306,MATCH(239,직원목록!$B$7:$B$306,0))&gt;0),"연장·야간·휴일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","")&amp;IF(AND(설정!$B$21&lt;&gt;"",설정!$C$21="",OR(ISNUMBER(FIND("연장",설정!$B$21)),ISNUMBER(FIND("야간",설정!$B$21)),ISNUMBER(FIND("휴일",설정!$B$21))),INDEX(직원목록!$J$7:$J$306,MATCH(239,직원목록!$B$7:$B$306,0))&gt;0),"연장·야간·휴일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","")&amp;IF(AND(설정!$B$22&lt;&gt;"",설정!$C$22="",OR(ISNUMBER(FIND("연장",설정!$B$22)),ISNUMBER(FIND("야간",설정!$B$22)),ISNUMBER(FIND("휴일",설정!$B$22))),INDEX(직원목록!$K$7:$K$306,MATCH(239,직원목록!$B$7:$B$306,0))&gt;0),"연장·야간·휴일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","")&amp;IF(AND(설정!$B$23&lt;&gt;"",설정!$C$23="",OR(ISNUMBER(FIND("연장",설정!$B$23)),ISNUMBER(FIND("야간",설정!$B$23)),ISNUMBER(FIND("휴일",설정!$B$23))),INDEX(직원목록!$L$7:$L$306,MATCH(239,직원목록!$B$7:$B$306,0))&gt;0),"연장·야간·휴일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","")&amp;IF(AND(설정!$B$24&lt;&gt;"",설정!$C$24="",OR(ISNUMBER(FIND("연장",설정!$B$24)),ISNUMBER(FIND("야간",설정!$B$24)),ISNUMBER(FIND("휴일",설정!$B$24))),INDEX(직원목록!$M$7:$M$306,MATCH(239,직원목록!$B$7:$B$306,0))&gt;0),"연장·야간·휴일 수당은 시간 수도 명세서에 적어야 하니 시간 열 지정 필요 / ",""))))</f>
        <v/>
      </c>
    </row>
    <row r="252">
      <c r="A252" s="26">
        <f>IF(IFERROR(MATCH(240,직원목록!$B$7:$B$306,0),0)=0,"",240)</f>
        <v/>
      </c>
      <c r="B252" s="2">
        <f>IF($A252="","",IFERROR(INDEX(직원목록!$D$7:$D$306,MATCH(240,직원목록!$B$7:$B$306,0)),""))</f>
        <v/>
      </c>
      <c r="C252" s="2">
        <f>IF($A252="","",IFERROR(INDEX(직원목록!$C$7:$C$306,MATCH(240,직원목록!$B$7:$B$306,0)),""))</f>
        <v/>
      </c>
      <c r="D252" s="27">
        <f>IF($A252="","",IFERROR(INDEX(직원목록!$V$7:$V$306,MATCH(240,직원목록!$B$7:$B$306,0)),""))</f>
        <v/>
      </c>
      <c r="E252" s="27">
        <f>IF($A252="","",IFERROR(INDEX(직원목록!$AG$7:$AG$306,MATCH(240,직원목록!$B$7:$B$306,0)),""))</f>
        <v/>
      </c>
      <c r="F252" s="27">
        <f>IF(OR($A252="",E252=""),"",D252-E252)</f>
        <v/>
      </c>
      <c r="G252" s="27">
        <f>IF($A252="","",IFERROR(INDEX(직원목록!$AE$7:$AE$306,MATCH(240,직원목록!$B$7:$B$306,0)),""))</f>
        <v/>
      </c>
      <c r="H252" s="27">
        <f>IF($A252="","",IFERROR(INDEX(직원목록!$AH$7:$AH$306,MATCH(240,직원목록!$B$7:$B$306,0)),""))</f>
        <v/>
      </c>
      <c r="I252" s="27">
        <f>IF(OR($A252="",H252=""),"",G252-H252)</f>
        <v/>
      </c>
      <c r="J252" s="27">
        <f>IF($A252="","",IFERROR(INDEX(직원목록!$AF$7:$AF$306,MATCH(240,직원목록!$B$7:$B$306,0)),""))</f>
        <v/>
      </c>
      <c r="K252" s="27">
        <f>IF($A252="","",IFERROR(INDEX(직원목록!$AI$7:$AI$306,MATCH(240,직원목록!$B$7:$B$306,0)),""))</f>
        <v/>
      </c>
      <c r="L252" s="8">
        <f>IF($A252="","",IF(LEN(IF(AND(F252&lt;&gt;"",F252&lt;&gt;0),"계산 총지급과 대장 총지급이 다릅니다 / ","")&amp;IF(AND(I252&lt;&gt;"",I252&lt;&gt;0),"계산 총공제와 대장 총공제가 다릅니다 / ","")&amp;IF(J252&lt;0,"실수령액이 음수입니다 / ","")&amp;IF(COUNTIF(직원목록!$D$7:$D$306,B252)&gt;1,"같은 이름이 둘 이상 — 미리보기는 첫 번째만 보입니다 / ","")&amp;IF(AND(C252&lt;&gt;"",COUNTIF(직원목록!$C$7:$C$306,C252)&gt;1),"사번 중복 / ","")&amp;IF(D252=0,"총지급이 0원 — 머리글 매칭 확인 / ","")&amp;IF(AND(설정!$B$17&lt;&gt;"",설정!$C$17="",OR(ISNUMBER(FIND("연장",설정!$B$17)),ISNUMBER(FIND("야간",설정!$B$17)),ISNUMBER(FIND("휴일",설정!$B$17))),INDEX(직원목록!$F$7:$F$306,MATCH(240,직원목록!$B$7:$B$306,0))&gt;0),"연장·야간·휴일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","")&amp;IF(AND(설정!$B$24&lt;&gt;"",설정!$C$24="",OR(ISNUMBER(FIND("연장",설정!$B$24)),ISNUMBER(FIND("야간",설정!$B$24)),ISNUMBER(FIND("휴일",설정!$B$24))),INDEX(직원목록!$M$7:$M$306,MATCH(240,직원목록!$B$7:$B$306,0))&gt;0),"연장·야간·휴일 수당은 시간 수도 명세서에 적어야 하니 시간 열 지정 필요 / ",""))=0,"✔",("⚠ "&amp;IF(AND(F252&lt;&gt;"",F252&lt;&gt;0),"계산 총지급과 대장 총지급이 다릅니다 / ","")&amp;IF(AND(I252&lt;&gt;"",I252&lt;&gt;0),"계산 총공제와 대장 총공제가 다릅니다 / ","")&amp;IF(J252&lt;0,"실수령액이 음수입니다 / ","")&amp;IF(COUNTIF(직원목록!$D$7:$D$306,B252)&gt;1,"같은 이름이 둘 이상 — 미리보기는 첫 번째만 보입니다 / ","")&amp;IF(AND(C252&lt;&gt;"",COUNTIF(직원목록!$C$7:$C$306,C252)&gt;1),"사번 중복 / ","")&amp;IF(D252=0,"총지급이 0원 — 머리글 매칭 확인 / ","")&amp;IF(AND(설정!$B$17&lt;&gt;"",설정!$C$17="",OR(ISNUMBER(FIND("연장",설정!$B$17)),ISNUMBER(FIND("야간",설정!$B$17)),ISNUMBER(FIND("휴일",설정!$B$17))),INDEX(직원목록!$F$7:$F$306,MATCH(240,직원목록!$B$7:$B$306,0))&gt;0),"연장·야간·휴일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","")&amp;IF(AND(설정!$B$24&lt;&gt;"",설정!$C$24="",OR(ISNUMBER(FIND("연장",설정!$B$24)),ISNUMBER(FIND("야간",설정!$B$24)),ISNUMBER(FIND("휴일",설정!$B$24))),INDEX(직원목록!$M$7:$M$306,MATCH(240,직원목록!$B$7:$B$306,0))&gt;0),"연장·야간·휴일 수당은 시간 수도 명세서에 적어야 하니 시간 열 지정 필요 / ",""))))</f>
        <v/>
      </c>
    </row>
    <row r="253">
      <c r="A253" s="26">
        <f>IF(IFERROR(MATCH(241,직원목록!$B$7:$B$306,0),0)=0,"",241)</f>
        <v/>
      </c>
      <c r="B253" s="2">
        <f>IF($A253="","",IFERROR(INDEX(직원목록!$D$7:$D$306,MATCH(241,직원목록!$B$7:$B$306,0)),""))</f>
        <v/>
      </c>
      <c r="C253" s="2">
        <f>IF($A253="","",IFERROR(INDEX(직원목록!$C$7:$C$306,MATCH(241,직원목록!$B$7:$B$306,0)),""))</f>
        <v/>
      </c>
      <c r="D253" s="27">
        <f>IF($A253="","",IFERROR(INDEX(직원목록!$V$7:$V$306,MATCH(241,직원목록!$B$7:$B$306,0)),""))</f>
        <v/>
      </c>
      <c r="E253" s="27">
        <f>IF($A253="","",IFERROR(INDEX(직원목록!$AG$7:$AG$306,MATCH(241,직원목록!$B$7:$B$306,0)),""))</f>
        <v/>
      </c>
      <c r="F253" s="27">
        <f>IF(OR($A253="",E253=""),"",D253-E253)</f>
        <v/>
      </c>
      <c r="G253" s="27">
        <f>IF($A253="","",IFERROR(INDEX(직원목록!$AE$7:$AE$306,MATCH(241,직원목록!$B$7:$B$306,0)),""))</f>
        <v/>
      </c>
      <c r="H253" s="27">
        <f>IF($A253="","",IFERROR(INDEX(직원목록!$AH$7:$AH$306,MATCH(241,직원목록!$B$7:$B$306,0)),""))</f>
        <v/>
      </c>
      <c r="I253" s="27">
        <f>IF(OR($A253="",H253=""),"",G253-H253)</f>
        <v/>
      </c>
      <c r="J253" s="27">
        <f>IF($A253="","",IFERROR(INDEX(직원목록!$AF$7:$AF$306,MATCH(241,직원목록!$B$7:$B$306,0)),""))</f>
        <v/>
      </c>
      <c r="K253" s="27">
        <f>IF($A253="","",IFERROR(INDEX(직원목록!$AI$7:$AI$306,MATCH(241,직원목록!$B$7:$B$306,0)),""))</f>
        <v/>
      </c>
      <c r="L253" s="8">
        <f>IF($A253="","",IF(LEN(IF(AND(F253&lt;&gt;"",F253&lt;&gt;0),"계산 총지급과 대장 총지급이 다릅니다 / ","")&amp;IF(AND(I253&lt;&gt;"",I253&lt;&gt;0),"계산 총공제와 대장 총공제가 다릅니다 / ","")&amp;IF(J253&lt;0,"실수령액이 음수입니다 / ","")&amp;IF(COUNTIF(직원목록!$D$7:$D$306,B253)&gt;1,"같은 이름이 둘 이상 — 미리보기는 첫 번째만 보입니다 / ","")&amp;IF(AND(C253&lt;&gt;"",COUNTIF(직원목록!$C$7:$C$306,C253)&gt;1),"사번 중복 / ","")&amp;IF(D253=0,"총지급이 0원 — 머리글 매칭 확인 / ","")&amp;IF(AND(설정!$B$17&lt;&gt;"",설정!$C$17="",OR(ISNUMBER(FIND("연장",설정!$B$17)),ISNUMBER(FIND("야간",설정!$B$17)),ISNUMBER(FIND("휴일",설정!$B$17))),INDEX(직원목록!$F$7:$F$306,MATCH(241,직원목록!$B$7:$B$306,0))&gt;0),"연장·야간·휴일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","")&amp;IF(AND(설정!$B$24&lt;&gt;"",설정!$C$24="",OR(ISNUMBER(FIND("연장",설정!$B$24)),ISNUMBER(FIND("야간",설정!$B$24)),ISNUMBER(FIND("휴일",설정!$B$24))),INDEX(직원목록!$M$7:$M$306,MATCH(241,직원목록!$B$7:$B$306,0))&gt;0),"연장·야간·휴일 수당은 시간 수도 명세서에 적어야 하니 시간 열 지정 필요 / ",""))=0,"✔",("⚠ "&amp;IF(AND(F253&lt;&gt;"",F253&lt;&gt;0),"계산 총지급과 대장 총지급이 다릅니다 / ","")&amp;IF(AND(I253&lt;&gt;"",I253&lt;&gt;0),"계산 총공제와 대장 총공제가 다릅니다 / ","")&amp;IF(J253&lt;0,"실수령액이 음수입니다 / ","")&amp;IF(COUNTIF(직원목록!$D$7:$D$306,B253)&gt;1,"같은 이름이 둘 이상 — 미리보기는 첫 번째만 보입니다 / ","")&amp;IF(AND(C253&lt;&gt;"",COUNTIF(직원목록!$C$7:$C$306,C253)&gt;1),"사번 중복 / ","")&amp;IF(D253=0,"총지급이 0원 — 머리글 매칭 확인 / ","")&amp;IF(AND(설정!$B$17&lt;&gt;"",설정!$C$17="",OR(ISNUMBER(FIND("연장",설정!$B$17)),ISNUMBER(FIND("야간",설정!$B$17)),ISNUMBER(FIND("휴일",설정!$B$17))),INDEX(직원목록!$F$7:$F$306,MATCH(241,직원목록!$B$7:$B$306,0))&gt;0),"연장·야간·휴일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","")&amp;IF(AND(설정!$B$24&lt;&gt;"",설정!$C$24="",OR(ISNUMBER(FIND("연장",설정!$B$24)),ISNUMBER(FIND("야간",설정!$B$24)),ISNUMBER(FIND("휴일",설정!$B$24))),INDEX(직원목록!$M$7:$M$306,MATCH(241,직원목록!$B$7:$B$306,0))&gt;0),"연장·야간·휴일 수당은 시간 수도 명세서에 적어야 하니 시간 열 지정 필요 / ",""))))</f>
        <v/>
      </c>
    </row>
    <row r="254">
      <c r="A254" s="26">
        <f>IF(IFERROR(MATCH(242,직원목록!$B$7:$B$306,0),0)=0,"",242)</f>
        <v/>
      </c>
      <c r="B254" s="2">
        <f>IF($A254="","",IFERROR(INDEX(직원목록!$D$7:$D$306,MATCH(242,직원목록!$B$7:$B$306,0)),""))</f>
        <v/>
      </c>
      <c r="C254" s="2">
        <f>IF($A254="","",IFERROR(INDEX(직원목록!$C$7:$C$306,MATCH(242,직원목록!$B$7:$B$306,0)),""))</f>
        <v/>
      </c>
      <c r="D254" s="27">
        <f>IF($A254="","",IFERROR(INDEX(직원목록!$V$7:$V$306,MATCH(242,직원목록!$B$7:$B$306,0)),""))</f>
        <v/>
      </c>
      <c r="E254" s="27">
        <f>IF($A254="","",IFERROR(INDEX(직원목록!$AG$7:$AG$306,MATCH(242,직원목록!$B$7:$B$306,0)),""))</f>
        <v/>
      </c>
      <c r="F254" s="27">
        <f>IF(OR($A254="",E254=""),"",D254-E254)</f>
        <v/>
      </c>
      <c r="G254" s="27">
        <f>IF($A254="","",IFERROR(INDEX(직원목록!$AE$7:$AE$306,MATCH(242,직원목록!$B$7:$B$306,0)),""))</f>
        <v/>
      </c>
      <c r="H254" s="27">
        <f>IF($A254="","",IFERROR(INDEX(직원목록!$AH$7:$AH$306,MATCH(242,직원목록!$B$7:$B$306,0)),""))</f>
        <v/>
      </c>
      <c r="I254" s="27">
        <f>IF(OR($A254="",H254=""),"",G254-H254)</f>
        <v/>
      </c>
      <c r="J254" s="27">
        <f>IF($A254="","",IFERROR(INDEX(직원목록!$AF$7:$AF$306,MATCH(242,직원목록!$B$7:$B$306,0)),""))</f>
        <v/>
      </c>
      <c r="K254" s="27">
        <f>IF($A254="","",IFERROR(INDEX(직원목록!$AI$7:$AI$306,MATCH(242,직원목록!$B$7:$B$306,0)),""))</f>
        <v/>
      </c>
      <c r="L254" s="8">
        <f>IF($A254="","",IF(LEN(IF(AND(F254&lt;&gt;"",F254&lt;&gt;0),"계산 총지급과 대장 총지급이 다릅니다 / ","")&amp;IF(AND(I254&lt;&gt;"",I254&lt;&gt;0),"계산 총공제와 대장 총공제가 다릅니다 / ","")&amp;IF(J254&lt;0,"실수령액이 음수입니다 / ","")&amp;IF(COUNTIF(직원목록!$D$7:$D$306,B254)&gt;1,"같은 이름이 둘 이상 — 미리보기는 첫 번째만 보입니다 / ","")&amp;IF(AND(C254&lt;&gt;"",COUNTIF(직원목록!$C$7:$C$306,C254)&gt;1),"사번 중복 / ","")&amp;IF(D254=0,"총지급이 0원 — 머리글 매칭 확인 / ","")&amp;IF(AND(설정!$B$17&lt;&gt;"",설정!$C$17="",OR(ISNUMBER(FIND("연장",설정!$B$17)),ISNUMBER(FIND("야간",설정!$B$17)),ISNUMBER(FIND("휴일",설정!$B$17))),INDEX(직원목록!$F$7:$F$306,MATCH(242,직원목록!$B$7:$B$306,0))&gt;0),"연장·야간·휴일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","")&amp;IF(AND(설정!$B$24&lt;&gt;"",설정!$C$24="",OR(ISNUMBER(FIND("연장",설정!$B$24)),ISNUMBER(FIND("야간",설정!$B$24)),ISNUMBER(FIND("휴일",설정!$B$24))),INDEX(직원목록!$M$7:$M$306,MATCH(242,직원목록!$B$7:$B$306,0))&gt;0),"연장·야간·휴일 수당은 시간 수도 명세서에 적어야 하니 시간 열 지정 필요 / ",""))=0,"✔",("⚠ "&amp;IF(AND(F254&lt;&gt;"",F254&lt;&gt;0),"계산 총지급과 대장 총지급이 다릅니다 / ","")&amp;IF(AND(I254&lt;&gt;"",I254&lt;&gt;0),"계산 총공제와 대장 총공제가 다릅니다 / ","")&amp;IF(J254&lt;0,"실수령액이 음수입니다 / ","")&amp;IF(COUNTIF(직원목록!$D$7:$D$306,B254)&gt;1,"같은 이름이 둘 이상 — 미리보기는 첫 번째만 보입니다 / ","")&amp;IF(AND(C254&lt;&gt;"",COUNTIF(직원목록!$C$7:$C$306,C254)&gt;1),"사번 중복 / ","")&amp;IF(D254=0,"총지급이 0원 — 머리글 매칭 확인 / ","")&amp;IF(AND(설정!$B$17&lt;&gt;"",설정!$C$17="",OR(ISNUMBER(FIND("연장",설정!$B$17)),ISNUMBER(FIND("야간",설정!$B$17)),ISNUMBER(FIND("휴일",설정!$B$17))),INDEX(직원목록!$F$7:$F$306,MATCH(242,직원목록!$B$7:$B$306,0))&gt;0),"연장·야간·휴일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","")&amp;IF(AND(설정!$B$24&lt;&gt;"",설정!$C$24="",OR(ISNUMBER(FIND("연장",설정!$B$24)),ISNUMBER(FIND("야간",설정!$B$24)),ISNUMBER(FIND("휴일",설정!$B$24))),INDEX(직원목록!$M$7:$M$306,MATCH(242,직원목록!$B$7:$B$306,0))&gt;0),"연장·야간·휴일 수당은 시간 수도 명세서에 적어야 하니 시간 열 지정 필요 / ",""))))</f>
        <v/>
      </c>
    </row>
    <row r="255">
      <c r="A255" s="26">
        <f>IF(IFERROR(MATCH(243,직원목록!$B$7:$B$306,0),0)=0,"",243)</f>
        <v/>
      </c>
      <c r="B255" s="2">
        <f>IF($A255="","",IFERROR(INDEX(직원목록!$D$7:$D$306,MATCH(243,직원목록!$B$7:$B$306,0)),""))</f>
        <v/>
      </c>
      <c r="C255" s="2">
        <f>IF($A255="","",IFERROR(INDEX(직원목록!$C$7:$C$306,MATCH(243,직원목록!$B$7:$B$306,0)),""))</f>
        <v/>
      </c>
      <c r="D255" s="27">
        <f>IF($A255="","",IFERROR(INDEX(직원목록!$V$7:$V$306,MATCH(243,직원목록!$B$7:$B$306,0)),""))</f>
        <v/>
      </c>
      <c r="E255" s="27">
        <f>IF($A255="","",IFERROR(INDEX(직원목록!$AG$7:$AG$306,MATCH(243,직원목록!$B$7:$B$306,0)),""))</f>
        <v/>
      </c>
      <c r="F255" s="27">
        <f>IF(OR($A255="",E255=""),"",D255-E255)</f>
        <v/>
      </c>
      <c r="G255" s="27">
        <f>IF($A255="","",IFERROR(INDEX(직원목록!$AE$7:$AE$306,MATCH(243,직원목록!$B$7:$B$306,0)),""))</f>
        <v/>
      </c>
      <c r="H255" s="27">
        <f>IF($A255="","",IFERROR(INDEX(직원목록!$AH$7:$AH$306,MATCH(243,직원목록!$B$7:$B$306,0)),""))</f>
        <v/>
      </c>
      <c r="I255" s="27">
        <f>IF(OR($A255="",H255=""),"",G255-H255)</f>
        <v/>
      </c>
      <c r="J255" s="27">
        <f>IF($A255="","",IFERROR(INDEX(직원목록!$AF$7:$AF$306,MATCH(243,직원목록!$B$7:$B$306,0)),""))</f>
        <v/>
      </c>
      <c r="K255" s="27">
        <f>IF($A255="","",IFERROR(INDEX(직원목록!$AI$7:$AI$306,MATCH(243,직원목록!$B$7:$B$306,0)),""))</f>
        <v/>
      </c>
      <c r="L255" s="8">
        <f>IF($A255="","",IF(LEN(IF(AND(F255&lt;&gt;"",F255&lt;&gt;0),"계산 총지급과 대장 총지급이 다릅니다 / ","")&amp;IF(AND(I255&lt;&gt;"",I255&lt;&gt;0),"계산 총공제와 대장 총공제가 다릅니다 / ","")&amp;IF(J255&lt;0,"실수령액이 음수입니다 / ","")&amp;IF(COUNTIF(직원목록!$D$7:$D$306,B255)&gt;1,"같은 이름이 둘 이상 — 미리보기는 첫 번째만 보입니다 / ","")&amp;IF(AND(C255&lt;&gt;"",COUNTIF(직원목록!$C$7:$C$306,C255)&gt;1),"사번 중복 / ","")&amp;IF(D255=0,"총지급이 0원 — 머리글 매칭 확인 / ","")&amp;IF(AND(설정!$B$17&lt;&gt;"",설정!$C$17="",OR(ISNUMBER(FIND("연장",설정!$B$17)),ISNUMBER(FIND("야간",설정!$B$17)),ISNUMBER(FIND("휴일",설정!$B$17))),INDEX(직원목록!$F$7:$F$306,MATCH(243,직원목록!$B$7:$B$306,0))&gt;0),"연장·야간·휴일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","")&amp;IF(AND(설정!$B$24&lt;&gt;"",설정!$C$24="",OR(ISNUMBER(FIND("연장",설정!$B$24)),ISNUMBER(FIND("야간",설정!$B$24)),ISNUMBER(FIND("휴일",설정!$B$24))),INDEX(직원목록!$M$7:$M$306,MATCH(243,직원목록!$B$7:$B$306,0))&gt;0),"연장·야간·휴일 수당은 시간 수도 명세서에 적어야 하니 시간 열 지정 필요 / ",""))=0,"✔",("⚠ "&amp;IF(AND(F255&lt;&gt;"",F255&lt;&gt;0),"계산 총지급과 대장 총지급이 다릅니다 / ","")&amp;IF(AND(I255&lt;&gt;"",I255&lt;&gt;0),"계산 총공제와 대장 총공제가 다릅니다 / ","")&amp;IF(J255&lt;0,"실수령액이 음수입니다 / ","")&amp;IF(COUNTIF(직원목록!$D$7:$D$306,B255)&gt;1,"같은 이름이 둘 이상 — 미리보기는 첫 번째만 보입니다 / ","")&amp;IF(AND(C255&lt;&gt;"",COUNTIF(직원목록!$C$7:$C$306,C255)&gt;1),"사번 중복 / ","")&amp;IF(D255=0,"총지급이 0원 — 머리글 매칭 확인 / ","")&amp;IF(AND(설정!$B$17&lt;&gt;"",설정!$C$17="",OR(ISNUMBER(FIND("연장",설정!$B$17)),ISNUMBER(FIND("야간",설정!$B$17)),ISNUMBER(FIND("휴일",설정!$B$17))),INDEX(직원목록!$F$7:$F$306,MATCH(243,직원목록!$B$7:$B$306,0))&gt;0),"연장·야간·휴일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","")&amp;IF(AND(설정!$B$24&lt;&gt;"",설정!$C$24="",OR(ISNUMBER(FIND("연장",설정!$B$24)),ISNUMBER(FIND("야간",설정!$B$24)),ISNUMBER(FIND("휴일",설정!$B$24))),INDEX(직원목록!$M$7:$M$306,MATCH(243,직원목록!$B$7:$B$306,0))&gt;0),"연장·야간·휴일 수당은 시간 수도 명세서에 적어야 하니 시간 열 지정 필요 / ",""))))</f>
        <v/>
      </c>
    </row>
    <row r="256">
      <c r="A256" s="26">
        <f>IF(IFERROR(MATCH(244,직원목록!$B$7:$B$306,0),0)=0,"",244)</f>
        <v/>
      </c>
      <c r="B256" s="2">
        <f>IF($A256="","",IFERROR(INDEX(직원목록!$D$7:$D$306,MATCH(244,직원목록!$B$7:$B$306,0)),""))</f>
        <v/>
      </c>
      <c r="C256" s="2">
        <f>IF($A256="","",IFERROR(INDEX(직원목록!$C$7:$C$306,MATCH(244,직원목록!$B$7:$B$306,0)),""))</f>
        <v/>
      </c>
      <c r="D256" s="27">
        <f>IF($A256="","",IFERROR(INDEX(직원목록!$V$7:$V$306,MATCH(244,직원목록!$B$7:$B$306,0)),""))</f>
        <v/>
      </c>
      <c r="E256" s="27">
        <f>IF($A256="","",IFERROR(INDEX(직원목록!$AG$7:$AG$306,MATCH(244,직원목록!$B$7:$B$306,0)),""))</f>
        <v/>
      </c>
      <c r="F256" s="27">
        <f>IF(OR($A256="",E256=""),"",D256-E256)</f>
        <v/>
      </c>
      <c r="G256" s="27">
        <f>IF($A256="","",IFERROR(INDEX(직원목록!$AE$7:$AE$306,MATCH(244,직원목록!$B$7:$B$306,0)),""))</f>
        <v/>
      </c>
      <c r="H256" s="27">
        <f>IF($A256="","",IFERROR(INDEX(직원목록!$AH$7:$AH$306,MATCH(244,직원목록!$B$7:$B$306,0)),""))</f>
        <v/>
      </c>
      <c r="I256" s="27">
        <f>IF(OR($A256="",H256=""),"",G256-H256)</f>
        <v/>
      </c>
      <c r="J256" s="27">
        <f>IF($A256="","",IFERROR(INDEX(직원목록!$AF$7:$AF$306,MATCH(244,직원목록!$B$7:$B$306,0)),""))</f>
        <v/>
      </c>
      <c r="K256" s="27">
        <f>IF($A256="","",IFERROR(INDEX(직원목록!$AI$7:$AI$306,MATCH(244,직원목록!$B$7:$B$306,0)),""))</f>
        <v/>
      </c>
      <c r="L256" s="8">
        <f>IF($A256="","",IF(LEN(IF(AND(F256&lt;&gt;"",F256&lt;&gt;0),"계산 총지급과 대장 총지급이 다릅니다 / ","")&amp;IF(AND(I256&lt;&gt;"",I256&lt;&gt;0),"계산 총공제와 대장 총공제가 다릅니다 / ","")&amp;IF(J256&lt;0,"실수령액이 음수입니다 / ","")&amp;IF(COUNTIF(직원목록!$D$7:$D$306,B256)&gt;1,"같은 이름이 둘 이상 — 미리보기는 첫 번째만 보입니다 / ","")&amp;IF(AND(C256&lt;&gt;"",COUNTIF(직원목록!$C$7:$C$306,C256)&gt;1),"사번 중복 / ","")&amp;IF(D256=0,"총지급이 0원 — 머리글 매칭 확인 / ","")&amp;IF(AND(설정!$B$17&lt;&gt;"",설정!$C$17="",OR(ISNUMBER(FIND("연장",설정!$B$17)),ISNUMBER(FIND("야간",설정!$B$17)),ISNUMBER(FIND("휴일",설정!$B$17))),INDEX(직원목록!$F$7:$F$306,MATCH(244,직원목록!$B$7:$B$306,0))&gt;0),"연장·야간·휴일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","")&amp;IF(AND(설정!$B$24&lt;&gt;"",설정!$C$24="",OR(ISNUMBER(FIND("연장",설정!$B$24)),ISNUMBER(FIND("야간",설정!$B$24)),ISNUMBER(FIND("휴일",설정!$B$24))),INDEX(직원목록!$M$7:$M$306,MATCH(244,직원목록!$B$7:$B$306,0))&gt;0),"연장·야간·휴일 수당은 시간 수도 명세서에 적어야 하니 시간 열 지정 필요 / ",""))=0,"✔",("⚠ "&amp;IF(AND(F256&lt;&gt;"",F256&lt;&gt;0),"계산 총지급과 대장 총지급이 다릅니다 / ","")&amp;IF(AND(I256&lt;&gt;"",I256&lt;&gt;0),"계산 총공제와 대장 총공제가 다릅니다 / ","")&amp;IF(J256&lt;0,"실수령액이 음수입니다 / ","")&amp;IF(COUNTIF(직원목록!$D$7:$D$306,B256)&gt;1,"같은 이름이 둘 이상 — 미리보기는 첫 번째만 보입니다 / ","")&amp;IF(AND(C256&lt;&gt;"",COUNTIF(직원목록!$C$7:$C$306,C256)&gt;1),"사번 중복 / ","")&amp;IF(D256=0,"총지급이 0원 — 머리글 매칭 확인 / ","")&amp;IF(AND(설정!$B$17&lt;&gt;"",설정!$C$17="",OR(ISNUMBER(FIND("연장",설정!$B$17)),ISNUMBER(FIND("야간",설정!$B$17)),ISNUMBER(FIND("휴일",설정!$B$17))),INDEX(직원목록!$F$7:$F$306,MATCH(244,직원목록!$B$7:$B$306,0))&gt;0),"연장·야간·휴일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","")&amp;IF(AND(설정!$B$24&lt;&gt;"",설정!$C$24="",OR(ISNUMBER(FIND("연장",설정!$B$24)),ISNUMBER(FIND("야간",설정!$B$24)),ISNUMBER(FIND("휴일",설정!$B$24))),INDEX(직원목록!$M$7:$M$306,MATCH(244,직원목록!$B$7:$B$306,0))&gt;0),"연장·야간·휴일 수당은 시간 수도 명세서에 적어야 하니 시간 열 지정 필요 / ",""))))</f>
        <v/>
      </c>
    </row>
    <row r="257">
      <c r="A257" s="26">
        <f>IF(IFERROR(MATCH(245,직원목록!$B$7:$B$306,0),0)=0,"",245)</f>
        <v/>
      </c>
      <c r="B257" s="2">
        <f>IF($A257="","",IFERROR(INDEX(직원목록!$D$7:$D$306,MATCH(245,직원목록!$B$7:$B$306,0)),""))</f>
        <v/>
      </c>
      <c r="C257" s="2">
        <f>IF($A257="","",IFERROR(INDEX(직원목록!$C$7:$C$306,MATCH(245,직원목록!$B$7:$B$306,0)),""))</f>
        <v/>
      </c>
      <c r="D257" s="27">
        <f>IF($A257="","",IFERROR(INDEX(직원목록!$V$7:$V$306,MATCH(245,직원목록!$B$7:$B$306,0)),""))</f>
        <v/>
      </c>
      <c r="E257" s="27">
        <f>IF($A257="","",IFERROR(INDEX(직원목록!$AG$7:$AG$306,MATCH(245,직원목록!$B$7:$B$306,0)),""))</f>
        <v/>
      </c>
      <c r="F257" s="27">
        <f>IF(OR($A257="",E257=""),"",D257-E257)</f>
        <v/>
      </c>
      <c r="G257" s="27">
        <f>IF($A257="","",IFERROR(INDEX(직원목록!$AE$7:$AE$306,MATCH(245,직원목록!$B$7:$B$306,0)),""))</f>
        <v/>
      </c>
      <c r="H257" s="27">
        <f>IF($A257="","",IFERROR(INDEX(직원목록!$AH$7:$AH$306,MATCH(245,직원목록!$B$7:$B$306,0)),""))</f>
        <v/>
      </c>
      <c r="I257" s="27">
        <f>IF(OR($A257="",H257=""),"",G257-H257)</f>
        <v/>
      </c>
      <c r="J257" s="27">
        <f>IF($A257="","",IFERROR(INDEX(직원목록!$AF$7:$AF$306,MATCH(245,직원목록!$B$7:$B$306,0)),""))</f>
        <v/>
      </c>
      <c r="K257" s="27">
        <f>IF($A257="","",IFERROR(INDEX(직원목록!$AI$7:$AI$306,MATCH(245,직원목록!$B$7:$B$306,0)),""))</f>
        <v/>
      </c>
      <c r="L257" s="8">
        <f>IF($A257="","",IF(LEN(IF(AND(F257&lt;&gt;"",F257&lt;&gt;0),"계산 총지급과 대장 총지급이 다릅니다 / ","")&amp;IF(AND(I257&lt;&gt;"",I257&lt;&gt;0),"계산 총공제와 대장 총공제가 다릅니다 / ","")&amp;IF(J257&lt;0,"실수령액이 음수입니다 / ","")&amp;IF(COUNTIF(직원목록!$D$7:$D$306,B257)&gt;1,"같은 이름이 둘 이상 — 미리보기는 첫 번째만 보입니다 / ","")&amp;IF(AND(C257&lt;&gt;"",COUNTIF(직원목록!$C$7:$C$306,C257)&gt;1),"사번 중복 / ","")&amp;IF(D257=0,"총지급이 0원 — 머리글 매칭 확인 / ","")&amp;IF(AND(설정!$B$17&lt;&gt;"",설정!$C$17="",OR(ISNUMBER(FIND("연장",설정!$B$17)),ISNUMBER(FIND("야간",설정!$B$17)),ISNUMBER(FIND("휴일",설정!$B$17))),INDEX(직원목록!$F$7:$F$306,MATCH(245,직원목록!$B$7:$B$306,0))&gt;0),"연장·야간·휴일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","")&amp;IF(AND(설정!$B$24&lt;&gt;"",설정!$C$24="",OR(ISNUMBER(FIND("연장",설정!$B$24)),ISNUMBER(FIND("야간",설정!$B$24)),ISNUMBER(FIND("휴일",설정!$B$24))),INDEX(직원목록!$M$7:$M$306,MATCH(245,직원목록!$B$7:$B$306,0))&gt;0),"연장·야간·휴일 수당은 시간 수도 명세서에 적어야 하니 시간 열 지정 필요 / ",""))=0,"✔",("⚠ "&amp;IF(AND(F257&lt;&gt;"",F257&lt;&gt;0),"계산 총지급과 대장 총지급이 다릅니다 / ","")&amp;IF(AND(I257&lt;&gt;"",I257&lt;&gt;0),"계산 총공제와 대장 총공제가 다릅니다 / ","")&amp;IF(J257&lt;0,"실수령액이 음수입니다 / ","")&amp;IF(COUNTIF(직원목록!$D$7:$D$306,B257)&gt;1,"같은 이름이 둘 이상 — 미리보기는 첫 번째만 보입니다 / ","")&amp;IF(AND(C257&lt;&gt;"",COUNTIF(직원목록!$C$7:$C$306,C257)&gt;1),"사번 중복 / ","")&amp;IF(D257=0,"총지급이 0원 — 머리글 매칭 확인 / ","")&amp;IF(AND(설정!$B$17&lt;&gt;"",설정!$C$17="",OR(ISNUMBER(FIND("연장",설정!$B$17)),ISNUMBER(FIND("야간",설정!$B$17)),ISNUMBER(FIND("휴일",설정!$B$17))),INDEX(직원목록!$F$7:$F$306,MATCH(245,직원목록!$B$7:$B$306,0))&gt;0),"연장·야간·휴일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","")&amp;IF(AND(설정!$B$24&lt;&gt;"",설정!$C$24="",OR(ISNUMBER(FIND("연장",설정!$B$24)),ISNUMBER(FIND("야간",설정!$B$24)),ISNUMBER(FIND("휴일",설정!$B$24))),INDEX(직원목록!$M$7:$M$306,MATCH(245,직원목록!$B$7:$B$306,0))&gt;0),"연장·야간·휴일 수당은 시간 수도 명세서에 적어야 하니 시간 열 지정 필요 / ",""))))</f>
        <v/>
      </c>
    </row>
    <row r="258">
      <c r="A258" s="26">
        <f>IF(IFERROR(MATCH(246,직원목록!$B$7:$B$306,0),0)=0,"",246)</f>
        <v/>
      </c>
      <c r="B258" s="2">
        <f>IF($A258="","",IFERROR(INDEX(직원목록!$D$7:$D$306,MATCH(246,직원목록!$B$7:$B$306,0)),""))</f>
        <v/>
      </c>
      <c r="C258" s="2">
        <f>IF($A258="","",IFERROR(INDEX(직원목록!$C$7:$C$306,MATCH(246,직원목록!$B$7:$B$306,0)),""))</f>
        <v/>
      </c>
      <c r="D258" s="27">
        <f>IF($A258="","",IFERROR(INDEX(직원목록!$V$7:$V$306,MATCH(246,직원목록!$B$7:$B$306,0)),""))</f>
        <v/>
      </c>
      <c r="E258" s="27">
        <f>IF($A258="","",IFERROR(INDEX(직원목록!$AG$7:$AG$306,MATCH(246,직원목록!$B$7:$B$306,0)),""))</f>
        <v/>
      </c>
      <c r="F258" s="27">
        <f>IF(OR($A258="",E258=""),"",D258-E258)</f>
        <v/>
      </c>
      <c r="G258" s="27">
        <f>IF($A258="","",IFERROR(INDEX(직원목록!$AE$7:$AE$306,MATCH(246,직원목록!$B$7:$B$306,0)),""))</f>
        <v/>
      </c>
      <c r="H258" s="27">
        <f>IF($A258="","",IFERROR(INDEX(직원목록!$AH$7:$AH$306,MATCH(246,직원목록!$B$7:$B$306,0)),""))</f>
        <v/>
      </c>
      <c r="I258" s="27">
        <f>IF(OR($A258="",H258=""),"",G258-H258)</f>
        <v/>
      </c>
      <c r="J258" s="27">
        <f>IF($A258="","",IFERROR(INDEX(직원목록!$AF$7:$AF$306,MATCH(246,직원목록!$B$7:$B$306,0)),""))</f>
        <v/>
      </c>
      <c r="K258" s="27">
        <f>IF($A258="","",IFERROR(INDEX(직원목록!$AI$7:$AI$306,MATCH(246,직원목록!$B$7:$B$306,0)),""))</f>
        <v/>
      </c>
      <c r="L258" s="8">
        <f>IF($A258="","",IF(LEN(IF(AND(F258&lt;&gt;"",F258&lt;&gt;0),"계산 총지급과 대장 총지급이 다릅니다 / ","")&amp;IF(AND(I258&lt;&gt;"",I258&lt;&gt;0),"계산 총공제와 대장 총공제가 다릅니다 / ","")&amp;IF(J258&lt;0,"실수령액이 음수입니다 / ","")&amp;IF(COUNTIF(직원목록!$D$7:$D$306,B258)&gt;1,"같은 이름이 둘 이상 — 미리보기는 첫 번째만 보입니다 / ","")&amp;IF(AND(C258&lt;&gt;"",COUNTIF(직원목록!$C$7:$C$306,C258)&gt;1),"사번 중복 / ","")&amp;IF(D258=0,"총지급이 0원 — 머리글 매칭 확인 / ","")&amp;IF(AND(설정!$B$17&lt;&gt;"",설정!$C$17="",OR(ISNUMBER(FIND("연장",설정!$B$17)),ISNUMBER(FIND("야간",설정!$B$17)),ISNUMBER(FIND("휴일",설정!$B$17))),INDEX(직원목록!$F$7:$F$306,MATCH(246,직원목록!$B$7:$B$306,0))&gt;0),"연장·야간·휴일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","")&amp;IF(AND(설정!$B$24&lt;&gt;"",설정!$C$24="",OR(ISNUMBER(FIND("연장",설정!$B$24)),ISNUMBER(FIND("야간",설정!$B$24)),ISNUMBER(FIND("휴일",설정!$B$24))),INDEX(직원목록!$M$7:$M$306,MATCH(246,직원목록!$B$7:$B$306,0))&gt;0),"연장·야간·휴일 수당은 시간 수도 명세서에 적어야 하니 시간 열 지정 필요 / ",""))=0,"✔",("⚠ "&amp;IF(AND(F258&lt;&gt;"",F258&lt;&gt;0),"계산 총지급과 대장 총지급이 다릅니다 / ","")&amp;IF(AND(I258&lt;&gt;"",I258&lt;&gt;0),"계산 총공제와 대장 총공제가 다릅니다 / ","")&amp;IF(J258&lt;0,"실수령액이 음수입니다 / ","")&amp;IF(COUNTIF(직원목록!$D$7:$D$306,B258)&gt;1,"같은 이름이 둘 이상 — 미리보기는 첫 번째만 보입니다 / ","")&amp;IF(AND(C258&lt;&gt;"",COUNTIF(직원목록!$C$7:$C$306,C258)&gt;1),"사번 중복 / ","")&amp;IF(D258=0,"총지급이 0원 — 머리글 매칭 확인 / ","")&amp;IF(AND(설정!$B$17&lt;&gt;"",설정!$C$17="",OR(ISNUMBER(FIND("연장",설정!$B$17)),ISNUMBER(FIND("야간",설정!$B$17)),ISNUMBER(FIND("휴일",설정!$B$17))),INDEX(직원목록!$F$7:$F$306,MATCH(246,직원목록!$B$7:$B$306,0))&gt;0),"연장·야간·휴일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","")&amp;IF(AND(설정!$B$24&lt;&gt;"",설정!$C$24="",OR(ISNUMBER(FIND("연장",설정!$B$24)),ISNUMBER(FIND("야간",설정!$B$24)),ISNUMBER(FIND("휴일",설정!$B$24))),INDEX(직원목록!$M$7:$M$306,MATCH(246,직원목록!$B$7:$B$306,0))&gt;0),"연장·야간·휴일 수당은 시간 수도 명세서에 적어야 하니 시간 열 지정 필요 / ",""))))</f>
        <v/>
      </c>
    </row>
    <row r="259">
      <c r="A259" s="26">
        <f>IF(IFERROR(MATCH(247,직원목록!$B$7:$B$306,0),0)=0,"",247)</f>
        <v/>
      </c>
      <c r="B259" s="2">
        <f>IF($A259="","",IFERROR(INDEX(직원목록!$D$7:$D$306,MATCH(247,직원목록!$B$7:$B$306,0)),""))</f>
        <v/>
      </c>
      <c r="C259" s="2">
        <f>IF($A259="","",IFERROR(INDEX(직원목록!$C$7:$C$306,MATCH(247,직원목록!$B$7:$B$306,0)),""))</f>
        <v/>
      </c>
      <c r="D259" s="27">
        <f>IF($A259="","",IFERROR(INDEX(직원목록!$V$7:$V$306,MATCH(247,직원목록!$B$7:$B$306,0)),""))</f>
        <v/>
      </c>
      <c r="E259" s="27">
        <f>IF($A259="","",IFERROR(INDEX(직원목록!$AG$7:$AG$306,MATCH(247,직원목록!$B$7:$B$306,0)),""))</f>
        <v/>
      </c>
      <c r="F259" s="27">
        <f>IF(OR($A259="",E259=""),"",D259-E259)</f>
        <v/>
      </c>
      <c r="G259" s="27">
        <f>IF($A259="","",IFERROR(INDEX(직원목록!$AE$7:$AE$306,MATCH(247,직원목록!$B$7:$B$306,0)),""))</f>
        <v/>
      </c>
      <c r="H259" s="27">
        <f>IF($A259="","",IFERROR(INDEX(직원목록!$AH$7:$AH$306,MATCH(247,직원목록!$B$7:$B$306,0)),""))</f>
        <v/>
      </c>
      <c r="I259" s="27">
        <f>IF(OR($A259="",H259=""),"",G259-H259)</f>
        <v/>
      </c>
      <c r="J259" s="27">
        <f>IF($A259="","",IFERROR(INDEX(직원목록!$AF$7:$AF$306,MATCH(247,직원목록!$B$7:$B$306,0)),""))</f>
        <v/>
      </c>
      <c r="K259" s="27">
        <f>IF($A259="","",IFERROR(INDEX(직원목록!$AI$7:$AI$306,MATCH(247,직원목록!$B$7:$B$306,0)),""))</f>
        <v/>
      </c>
      <c r="L259" s="8">
        <f>IF($A259="","",IF(LEN(IF(AND(F259&lt;&gt;"",F259&lt;&gt;0),"계산 총지급과 대장 총지급이 다릅니다 / ","")&amp;IF(AND(I259&lt;&gt;"",I259&lt;&gt;0),"계산 총공제와 대장 총공제가 다릅니다 / ","")&amp;IF(J259&lt;0,"실수령액이 음수입니다 / ","")&amp;IF(COUNTIF(직원목록!$D$7:$D$306,B259)&gt;1,"같은 이름이 둘 이상 — 미리보기는 첫 번째만 보입니다 / ","")&amp;IF(AND(C259&lt;&gt;"",COUNTIF(직원목록!$C$7:$C$306,C259)&gt;1),"사번 중복 / ","")&amp;IF(D259=0,"총지급이 0원 — 머리글 매칭 확인 / ","")&amp;IF(AND(설정!$B$17&lt;&gt;"",설정!$C$17="",OR(ISNUMBER(FIND("연장",설정!$B$17)),ISNUMBER(FIND("야간",설정!$B$17)),ISNUMBER(FIND("휴일",설정!$B$17))),INDEX(직원목록!$F$7:$F$306,MATCH(247,직원목록!$B$7:$B$306,0))&gt;0),"연장·야간·휴일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","")&amp;IF(AND(설정!$B$24&lt;&gt;"",설정!$C$24="",OR(ISNUMBER(FIND("연장",설정!$B$24)),ISNUMBER(FIND("야간",설정!$B$24)),ISNUMBER(FIND("휴일",설정!$B$24))),INDEX(직원목록!$M$7:$M$306,MATCH(247,직원목록!$B$7:$B$306,0))&gt;0),"연장·야간·휴일 수당은 시간 수도 명세서에 적어야 하니 시간 열 지정 필요 / ",""))=0,"✔",("⚠ "&amp;IF(AND(F259&lt;&gt;"",F259&lt;&gt;0),"계산 총지급과 대장 총지급이 다릅니다 / ","")&amp;IF(AND(I259&lt;&gt;"",I259&lt;&gt;0),"계산 총공제와 대장 총공제가 다릅니다 / ","")&amp;IF(J259&lt;0,"실수령액이 음수입니다 / ","")&amp;IF(COUNTIF(직원목록!$D$7:$D$306,B259)&gt;1,"같은 이름이 둘 이상 — 미리보기는 첫 번째만 보입니다 / ","")&amp;IF(AND(C259&lt;&gt;"",COUNTIF(직원목록!$C$7:$C$306,C259)&gt;1),"사번 중복 / ","")&amp;IF(D259=0,"총지급이 0원 — 머리글 매칭 확인 / ","")&amp;IF(AND(설정!$B$17&lt;&gt;"",설정!$C$17="",OR(ISNUMBER(FIND("연장",설정!$B$17)),ISNUMBER(FIND("야간",설정!$B$17)),ISNUMBER(FIND("휴일",설정!$B$17))),INDEX(직원목록!$F$7:$F$306,MATCH(247,직원목록!$B$7:$B$306,0))&gt;0),"연장·야간·휴일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","")&amp;IF(AND(설정!$B$24&lt;&gt;"",설정!$C$24="",OR(ISNUMBER(FIND("연장",설정!$B$24)),ISNUMBER(FIND("야간",설정!$B$24)),ISNUMBER(FIND("휴일",설정!$B$24))),INDEX(직원목록!$M$7:$M$306,MATCH(247,직원목록!$B$7:$B$306,0))&gt;0),"연장·야간·휴일 수당은 시간 수도 명세서에 적어야 하니 시간 열 지정 필요 / ",""))))</f>
        <v/>
      </c>
    </row>
    <row r="260">
      <c r="A260" s="26">
        <f>IF(IFERROR(MATCH(248,직원목록!$B$7:$B$306,0),0)=0,"",248)</f>
        <v/>
      </c>
      <c r="B260" s="2">
        <f>IF($A260="","",IFERROR(INDEX(직원목록!$D$7:$D$306,MATCH(248,직원목록!$B$7:$B$306,0)),""))</f>
        <v/>
      </c>
      <c r="C260" s="2">
        <f>IF($A260="","",IFERROR(INDEX(직원목록!$C$7:$C$306,MATCH(248,직원목록!$B$7:$B$306,0)),""))</f>
        <v/>
      </c>
      <c r="D260" s="27">
        <f>IF($A260="","",IFERROR(INDEX(직원목록!$V$7:$V$306,MATCH(248,직원목록!$B$7:$B$306,0)),""))</f>
        <v/>
      </c>
      <c r="E260" s="27">
        <f>IF($A260="","",IFERROR(INDEX(직원목록!$AG$7:$AG$306,MATCH(248,직원목록!$B$7:$B$306,0)),""))</f>
        <v/>
      </c>
      <c r="F260" s="27">
        <f>IF(OR($A260="",E260=""),"",D260-E260)</f>
        <v/>
      </c>
      <c r="G260" s="27">
        <f>IF($A260="","",IFERROR(INDEX(직원목록!$AE$7:$AE$306,MATCH(248,직원목록!$B$7:$B$306,0)),""))</f>
        <v/>
      </c>
      <c r="H260" s="27">
        <f>IF($A260="","",IFERROR(INDEX(직원목록!$AH$7:$AH$306,MATCH(248,직원목록!$B$7:$B$306,0)),""))</f>
        <v/>
      </c>
      <c r="I260" s="27">
        <f>IF(OR($A260="",H260=""),"",G260-H260)</f>
        <v/>
      </c>
      <c r="J260" s="27">
        <f>IF($A260="","",IFERROR(INDEX(직원목록!$AF$7:$AF$306,MATCH(248,직원목록!$B$7:$B$306,0)),""))</f>
        <v/>
      </c>
      <c r="K260" s="27">
        <f>IF($A260="","",IFERROR(INDEX(직원목록!$AI$7:$AI$306,MATCH(248,직원목록!$B$7:$B$306,0)),""))</f>
        <v/>
      </c>
      <c r="L260" s="8">
        <f>IF($A260="","",IF(LEN(IF(AND(F260&lt;&gt;"",F260&lt;&gt;0),"계산 총지급과 대장 총지급이 다릅니다 / ","")&amp;IF(AND(I260&lt;&gt;"",I260&lt;&gt;0),"계산 총공제와 대장 총공제가 다릅니다 / ","")&amp;IF(J260&lt;0,"실수령액이 음수입니다 / ","")&amp;IF(COUNTIF(직원목록!$D$7:$D$306,B260)&gt;1,"같은 이름이 둘 이상 — 미리보기는 첫 번째만 보입니다 / ","")&amp;IF(AND(C260&lt;&gt;"",COUNTIF(직원목록!$C$7:$C$306,C260)&gt;1),"사번 중복 / ","")&amp;IF(D260=0,"총지급이 0원 — 머리글 매칭 확인 / ","")&amp;IF(AND(설정!$B$17&lt;&gt;"",설정!$C$17="",OR(ISNUMBER(FIND("연장",설정!$B$17)),ISNUMBER(FIND("야간",설정!$B$17)),ISNUMBER(FIND("휴일",설정!$B$17))),INDEX(직원목록!$F$7:$F$306,MATCH(248,직원목록!$B$7:$B$306,0))&gt;0),"연장·야간·휴일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","")&amp;IF(AND(설정!$B$24&lt;&gt;"",설정!$C$24="",OR(ISNUMBER(FIND("연장",설정!$B$24)),ISNUMBER(FIND("야간",설정!$B$24)),ISNUMBER(FIND("휴일",설정!$B$24))),INDEX(직원목록!$M$7:$M$306,MATCH(248,직원목록!$B$7:$B$306,0))&gt;0),"연장·야간·휴일 수당은 시간 수도 명세서에 적어야 하니 시간 열 지정 필요 / ",""))=0,"✔",("⚠ "&amp;IF(AND(F260&lt;&gt;"",F260&lt;&gt;0),"계산 총지급과 대장 총지급이 다릅니다 / ","")&amp;IF(AND(I260&lt;&gt;"",I260&lt;&gt;0),"계산 총공제와 대장 총공제가 다릅니다 / ","")&amp;IF(J260&lt;0,"실수령액이 음수입니다 / ","")&amp;IF(COUNTIF(직원목록!$D$7:$D$306,B260)&gt;1,"같은 이름이 둘 이상 — 미리보기는 첫 번째만 보입니다 / ","")&amp;IF(AND(C260&lt;&gt;"",COUNTIF(직원목록!$C$7:$C$306,C260)&gt;1),"사번 중복 / ","")&amp;IF(D260=0,"총지급이 0원 — 머리글 매칭 확인 / ","")&amp;IF(AND(설정!$B$17&lt;&gt;"",설정!$C$17="",OR(ISNUMBER(FIND("연장",설정!$B$17)),ISNUMBER(FIND("야간",설정!$B$17)),ISNUMBER(FIND("휴일",설정!$B$17))),INDEX(직원목록!$F$7:$F$306,MATCH(248,직원목록!$B$7:$B$306,0))&gt;0),"연장·야간·휴일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","")&amp;IF(AND(설정!$B$24&lt;&gt;"",설정!$C$24="",OR(ISNUMBER(FIND("연장",설정!$B$24)),ISNUMBER(FIND("야간",설정!$B$24)),ISNUMBER(FIND("휴일",설정!$B$24))),INDEX(직원목록!$M$7:$M$306,MATCH(248,직원목록!$B$7:$B$306,0))&gt;0),"연장·야간·휴일 수당은 시간 수도 명세서에 적어야 하니 시간 열 지정 필요 / ",""))))</f>
        <v/>
      </c>
    </row>
    <row r="261">
      <c r="A261" s="26">
        <f>IF(IFERROR(MATCH(249,직원목록!$B$7:$B$306,0),0)=0,"",249)</f>
        <v/>
      </c>
      <c r="B261" s="2">
        <f>IF($A261="","",IFERROR(INDEX(직원목록!$D$7:$D$306,MATCH(249,직원목록!$B$7:$B$306,0)),""))</f>
        <v/>
      </c>
      <c r="C261" s="2">
        <f>IF($A261="","",IFERROR(INDEX(직원목록!$C$7:$C$306,MATCH(249,직원목록!$B$7:$B$306,0)),""))</f>
        <v/>
      </c>
      <c r="D261" s="27">
        <f>IF($A261="","",IFERROR(INDEX(직원목록!$V$7:$V$306,MATCH(249,직원목록!$B$7:$B$306,0)),""))</f>
        <v/>
      </c>
      <c r="E261" s="27">
        <f>IF($A261="","",IFERROR(INDEX(직원목록!$AG$7:$AG$306,MATCH(249,직원목록!$B$7:$B$306,0)),""))</f>
        <v/>
      </c>
      <c r="F261" s="27">
        <f>IF(OR($A261="",E261=""),"",D261-E261)</f>
        <v/>
      </c>
      <c r="G261" s="27">
        <f>IF($A261="","",IFERROR(INDEX(직원목록!$AE$7:$AE$306,MATCH(249,직원목록!$B$7:$B$306,0)),""))</f>
        <v/>
      </c>
      <c r="H261" s="27">
        <f>IF($A261="","",IFERROR(INDEX(직원목록!$AH$7:$AH$306,MATCH(249,직원목록!$B$7:$B$306,0)),""))</f>
        <v/>
      </c>
      <c r="I261" s="27">
        <f>IF(OR($A261="",H261=""),"",G261-H261)</f>
        <v/>
      </c>
      <c r="J261" s="27">
        <f>IF($A261="","",IFERROR(INDEX(직원목록!$AF$7:$AF$306,MATCH(249,직원목록!$B$7:$B$306,0)),""))</f>
        <v/>
      </c>
      <c r="K261" s="27">
        <f>IF($A261="","",IFERROR(INDEX(직원목록!$AI$7:$AI$306,MATCH(249,직원목록!$B$7:$B$306,0)),""))</f>
        <v/>
      </c>
      <c r="L261" s="8">
        <f>IF($A261="","",IF(LEN(IF(AND(F261&lt;&gt;"",F261&lt;&gt;0),"계산 총지급과 대장 총지급이 다릅니다 / ","")&amp;IF(AND(I261&lt;&gt;"",I261&lt;&gt;0),"계산 총공제와 대장 총공제가 다릅니다 / ","")&amp;IF(J261&lt;0,"실수령액이 음수입니다 / ","")&amp;IF(COUNTIF(직원목록!$D$7:$D$306,B261)&gt;1,"같은 이름이 둘 이상 — 미리보기는 첫 번째만 보입니다 / ","")&amp;IF(AND(C261&lt;&gt;"",COUNTIF(직원목록!$C$7:$C$306,C261)&gt;1),"사번 중복 / ","")&amp;IF(D261=0,"총지급이 0원 — 머리글 매칭 확인 / ","")&amp;IF(AND(설정!$B$17&lt;&gt;"",설정!$C$17="",OR(ISNUMBER(FIND("연장",설정!$B$17)),ISNUMBER(FIND("야간",설정!$B$17)),ISNUMBER(FIND("휴일",설정!$B$17))),INDEX(직원목록!$F$7:$F$306,MATCH(249,직원목록!$B$7:$B$306,0))&gt;0),"연장·야간·휴일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","")&amp;IF(AND(설정!$B$24&lt;&gt;"",설정!$C$24="",OR(ISNUMBER(FIND("연장",설정!$B$24)),ISNUMBER(FIND("야간",설정!$B$24)),ISNUMBER(FIND("휴일",설정!$B$24))),INDEX(직원목록!$M$7:$M$306,MATCH(249,직원목록!$B$7:$B$306,0))&gt;0),"연장·야간·휴일 수당은 시간 수도 명세서에 적어야 하니 시간 열 지정 필요 / ",""))=0,"✔",("⚠ "&amp;IF(AND(F261&lt;&gt;"",F261&lt;&gt;0),"계산 총지급과 대장 총지급이 다릅니다 / ","")&amp;IF(AND(I261&lt;&gt;"",I261&lt;&gt;0),"계산 총공제와 대장 총공제가 다릅니다 / ","")&amp;IF(J261&lt;0,"실수령액이 음수입니다 / ","")&amp;IF(COUNTIF(직원목록!$D$7:$D$306,B261)&gt;1,"같은 이름이 둘 이상 — 미리보기는 첫 번째만 보입니다 / ","")&amp;IF(AND(C261&lt;&gt;"",COUNTIF(직원목록!$C$7:$C$306,C261)&gt;1),"사번 중복 / ","")&amp;IF(D261=0,"총지급이 0원 — 머리글 매칭 확인 / ","")&amp;IF(AND(설정!$B$17&lt;&gt;"",설정!$C$17="",OR(ISNUMBER(FIND("연장",설정!$B$17)),ISNUMBER(FIND("야간",설정!$B$17)),ISNUMBER(FIND("휴일",설정!$B$17))),INDEX(직원목록!$F$7:$F$306,MATCH(249,직원목록!$B$7:$B$306,0))&gt;0),"연장·야간·휴일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","")&amp;IF(AND(설정!$B$18&lt;&gt;"",설정!$C$18="",OR(ISNUMBER(FIND("연장",설정!$B$18)),ISNUMBER(FIND("야간",설정!$B$18)),ISNUMBER(FIND("휴일",설정!$B$18))),INDEX(직원목록!$G$7:$G$306,MATCH(249,직원목록!$B$7:$B$306,0))&gt;0),"연장·야간·휴일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","")&amp;IF(AND(설정!$B$19&lt;&gt;"",설정!$C$19="",OR(ISNUMBER(FIND("연장",설정!$B$19)),ISNUMBER(FIND("야간",설정!$B$19)),ISNUMBER(FIND("휴일",설정!$B$19))),INDEX(직원목록!$H$7:$H$306,MATCH(249,직원목록!$B$7:$B$306,0))&gt;0),"연장·야간·휴일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","")&amp;IF(AND(설정!$B$20&lt;&gt;"",설정!$C$20="",OR(ISNUMBER(FIND("연장",설정!$B$20)),ISNUMBER(FIND("야간",설정!$B$20)),ISNUMBER(FIND("휴일",설정!$B$20))),INDEX(직원목록!$I$7:$I$306,MATCH(249,직원목록!$B$7:$B$306,0))&gt;0),"연장·야간·휴일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","")&amp;IF(AND(설정!$B$21&lt;&gt;"",설정!$C$21="",OR(ISNUMBER(FIND("연장",설정!$B$21)),ISNUMBER(FIND("야간",설정!$B$21)),ISNUMBER(FIND("휴일",설정!$B$21))),INDEX(직원목록!$J$7:$J$306,MATCH(249,직원목록!$B$7:$B$306,0))&gt;0),"연장·야간·휴일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","")&amp;IF(AND(설정!$B$22&lt;&gt;"",설정!$C$22="",OR(ISNUMBER(FIND("연장",설정!$B$22)),ISNUMBER(FIND("야간",설정!$B$22)),ISNUMBER(FIND("휴일",설정!$B$22))),INDEX(직원목록!$K$7:$K$306,MATCH(249,직원목록!$B$7:$B$306,0))&gt;0),"연장·야간·휴일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","")&amp;IF(AND(설정!$B$23&lt;&gt;"",설정!$C$23="",OR(ISNUMBER(FIND("연장",설정!$B$23)),ISNUMBER(FIND("야간",설정!$B$23)),ISNUMBER(FIND("휴일",설정!$B$23))),INDEX(직원목록!$L$7:$L$306,MATCH(249,직원목록!$B$7:$B$306,0))&gt;0),"연장·야간·휴일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","")&amp;IF(AND(설정!$B$24&lt;&gt;"",설정!$C$24="",OR(ISNUMBER(FIND("연장",설정!$B$24)),ISNUMBER(FIND("야간",설정!$B$24)),ISNUMBER(FIND("휴일",설정!$B$24))),INDEX(직원목록!$M$7:$M$306,MATCH(249,직원목록!$B$7:$B$306,0))&gt;0),"연장·야간·휴일 수당은 시간 수도 명세서에 적어야 하니 시간 열 지정 필요 / ",""))))</f>
        <v/>
      </c>
    </row>
    <row r="262">
      <c r="A262" s="26">
        <f>IF(IFERROR(MATCH(250,직원목록!$B$7:$B$306,0),0)=0,"",250)</f>
        <v/>
      </c>
      <c r="B262" s="2">
        <f>IF($A262="","",IFERROR(INDEX(직원목록!$D$7:$D$306,MATCH(250,직원목록!$B$7:$B$306,0)),""))</f>
        <v/>
      </c>
      <c r="C262" s="2">
        <f>IF($A262="","",IFERROR(INDEX(직원목록!$C$7:$C$306,MATCH(250,직원목록!$B$7:$B$306,0)),""))</f>
        <v/>
      </c>
      <c r="D262" s="27">
        <f>IF($A262="","",IFERROR(INDEX(직원목록!$V$7:$V$306,MATCH(250,직원목록!$B$7:$B$306,0)),""))</f>
        <v/>
      </c>
      <c r="E262" s="27">
        <f>IF($A262="","",IFERROR(INDEX(직원목록!$AG$7:$AG$306,MATCH(250,직원목록!$B$7:$B$306,0)),""))</f>
        <v/>
      </c>
      <c r="F262" s="27">
        <f>IF(OR($A262="",E262=""),"",D262-E262)</f>
        <v/>
      </c>
      <c r="G262" s="27">
        <f>IF($A262="","",IFERROR(INDEX(직원목록!$AE$7:$AE$306,MATCH(250,직원목록!$B$7:$B$306,0)),""))</f>
        <v/>
      </c>
      <c r="H262" s="27">
        <f>IF($A262="","",IFERROR(INDEX(직원목록!$AH$7:$AH$306,MATCH(250,직원목록!$B$7:$B$306,0)),""))</f>
        <v/>
      </c>
      <c r="I262" s="27">
        <f>IF(OR($A262="",H262=""),"",G262-H262)</f>
        <v/>
      </c>
      <c r="J262" s="27">
        <f>IF($A262="","",IFERROR(INDEX(직원목록!$AF$7:$AF$306,MATCH(250,직원목록!$B$7:$B$306,0)),""))</f>
        <v/>
      </c>
      <c r="K262" s="27">
        <f>IF($A262="","",IFERROR(INDEX(직원목록!$AI$7:$AI$306,MATCH(250,직원목록!$B$7:$B$306,0)),""))</f>
        <v/>
      </c>
      <c r="L262" s="8">
        <f>IF($A262="","",IF(LEN(IF(AND(F262&lt;&gt;"",F262&lt;&gt;0),"계산 총지급과 대장 총지급이 다릅니다 / ","")&amp;IF(AND(I262&lt;&gt;"",I262&lt;&gt;0),"계산 총공제와 대장 총공제가 다릅니다 / ","")&amp;IF(J262&lt;0,"실수령액이 음수입니다 / ","")&amp;IF(COUNTIF(직원목록!$D$7:$D$306,B262)&gt;1,"같은 이름이 둘 이상 — 미리보기는 첫 번째만 보입니다 / ","")&amp;IF(AND(C262&lt;&gt;"",COUNTIF(직원목록!$C$7:$C$306,C262)&gt;1),"사번 중복 / ","")&amp;IF(D262=0,"총지급이 0원 — 머리글 매칭 확인 / ","")&amp;IF(AND(설정!$B$17&lt;&gt;"",설정!$C$17="",OR(ISNUMBER(FIND("연장",설정!$B$17)),ISNUMBER(FIND("야간",설정!$B$17)),ISNUMBER(FIND("휴일",설정!$B$17))),INDEX(직원목록!$F$7:$F$306,MATCH(250,직원목록!$B$7:$B$306,0))&gt;0),"연장·야간·휴일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","")&amp;IF(AND(설정!$B$24&lt;&gt;"",설정!$C$24="",OR(ISNUMBER(FIND("연장",설정!$B$24)),ISNUMBER(FIND("야간",설정!$B$24)),ISNUMBER(FIND("휴일",설정!$B$24))),INDEX(직원목록!$M$7:$M$306,MATCH(250,직원목록!$B$7:$B$306,0))&gt;0),"연장·야간·휴일 수당은 시간 수도 명세서에 적어야 하니 시간 열 지정 필요 / ",""))=0,"✔",("⚠ "&amp;IF(AND(F262&lt;&gt;"",F262&lt;&gt;0),"계산 총지급과 대장 총지급이 다릅니다 / ","")&amp;IF(AND(I262&lt;&gt;"",I262&lt;&gt;0),"계산 총공제와 대장 총공제가 다릅니다 / ","")&amp;IF(J262&lt;0,"실수령액이 음수입니다 / ","")&amp;IF(COUNTIF(직원목록!$D$7:$D$306,B262)&gt;1,"같은 이름이 둘 이상 — 미리보기는 첫 번째만 보입니다 / ","")&amp;IF(AND(C262&lt;&gt;"",COUNTIF(직원목록!$C$7:$C$306,C262)&gt;1),"사번 중복 / ","")&amp;IF(D262=0,"총지급이 0원 — 머리글 매칭 확인 / ","")&amp;IF(AND(설정!$B$17&lt;&gt;"",설정!$C$17="",OR(ISNUMBER(FIND("연장",설정!$B$17)),ISNUMBER(FIND("야간",설정!$B$17)),ISNUMBER(FIND("휴일",설정!$B$17))),INDEX(직원목록!$F$7:$F$306,MATCH(250,직원목록!$B$7:$B$306,0))&gt;0),"연장·야간·휴일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","")&amp;IF(AND(설정!$B$24&lt;&gt;"",설정!$C$24="",OR(ISNUMBER(FIND("연장",설정!$B$24)),ISNUMBER(FIND("야간",설정!$B$24)),ISNUMBER(FIND("휴일",설정!$B$24))),INDEX(직원목록!$M$7:$M$306,MATCH(250,직원목록!$B$7:$B$306,0))&gt;0),"연장·야간·휴일 수당은 시간 수도 명세서에 적어야 하니 시간 열 지정 필요 / ",""))))</f>
        <v/>
      </c>
    </row>
    <row r="263">
      <c r="A263" s="26">
        <f>IF(IFERROR(MATCH(251,직원목록!$B$7:$B$306,0),0)=0,"",251)</f>
        <v/>
      </c>
      <c r="B263" s="2">
        <f>IF($A263="","",IFERROR(INDEX(직원목록!$D$7:$D$306,MATCH(251,직원목록!$B$7:$B$306,0)),""))</f>
        <v/>
      </c>
      <c r="C263" s="2">
        <f>IF($A263="","",IFERROR(INDEX(직원목록!$C$7:$C$306,MATCH(251,직원목록!$B$7:$B$306,0)),""))</f>
        <v/>
      </c>
      <c r="D263" s="27">
        <f>IF($A263="","",IFERROR(INDEX(직원목록!$V$7:$V$306,MATCH(251,직원목록!$B$7:$B$306,0)),""))</f>
        <v/>
      </c>
      <c r="E263" s="27">
        <f>IF($A263="","",IFERROR(INDEX(직원목록!$AG$7:$AG$306,MATCH(251,직원목록!$B$7:$B$306,0)),""))</f>
        <v/>
      </c>
      <c r="F263" s="27">
        <f>IF(OR($A263="",E263=""),"",D263-E263)</f>
        <v/>
      </c>
      <c r="G263" s="27">
        <f>IF($A263="","",IFERROR(INDEX(직원목록!$AE$7:$AE$306,MATCH(251,직원목록!$B$7:$B$306,0)),""))</f>
        <v/>
      </c>
      <c r="H263" s="27">
        <f>IF($A263="","",IFERROR(INDEX(직원목록!$AH$7:$AH$306,MATCH(251,직원목록!$B$7:$B$306,0)),""))</f>
        <v/>
      </c>
      <c r="I263" s="27">
        <f>IF(OR($A263="",H263=""),"",G263-H263)</f>
        <v/>
      </c>
      <c r="J263" s="27">
        <f>IF($A263="","",IFERROR(INDEX(직원목록!$AF$7:$AF$306,MATCH(251,직원목록!$B$7:$B$306,0)),""))</f>
        <v/>
      </c>
      <c r="K263" s="27">
        <f>IF($A263="","",IFERROR(INDEX(직원목록!$AI$7:$AI$306,MATCH(251,직원목록!$B$7:$B$306,0)),""))</f>
        <v/>
      </c>
      <c r="L263" s="8">
        <f>IF($A263="","",IF(LEN(IF(AND(F263&lt;&gt;"",F263&lt;&gt;0),"계산 총지급과 대장 총지급이 다릅니다 / ","")&amp;IF(AND(I263&lt;&gt;"",I263&lt;&gt;0),"계산 총공제와 대장 총공제가 다릅니다 / ","")&amp;IF(J263&lt;0,"실수령액이 음수입니다 / ","")&amp;IF(COUNTIF(직원목록!$D$7:$D$306,B263)&gt;1,"같은 이름이 둘 이상 — 미리보기는 첫 번째만 보입니다 / ","")&amp;IF(AND(C263&lt;&gt;"",COUNTIF(직원목록!$C$7:$C$306,C263)&gt;1),"사번 중복 / ","")&amp;IF(D263=0,"총지급이 0원 — 머리글 매칭 확인 / ","")&amp;IF(AND(설정!$B$17&lt;&gt;"",설정!$C$17="",OR(ISNUMBER(FIND("연장",설정!$B$17)),ISNUMBER(FIND("야간",설정!$B$17)),ISNUMBER(FIND("휴일",설정!$B$17))),INDEX(직원목록!$F$7:$F$306,MATCH(251,직원목록!$B$7:$B$306,0))&gt;0),"연장·야간·휴일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","")&amp;IF(AND(설정!$B$24&lt;&gt;"",설정!$C$24="",OR(ISNUMBER(FIND("연장",설정!$B$24)),ISNUMBER(FIND("야간",설정!$B$24)),ISNUMBER(FIND("휴일",설정!$B$24))),INDEX(직원목록!$M$7:$M$306,MATCH(251,직원목록!$B$7:$B$306,0))&gt;0),"연장·야간·휴일 수당은 시간 수도 명세서에 적어야 하니 시간 열 지정 필요 / ",""))=0,"✔",("⚠ "&amp;IF(AND(F263&lt;&gt;"",F263&lt;&gt;0),"계산 총지급과 대장 총지급이 다릅니다 / ","")&amp;IF(AND(I263&lt;&gt;"",I263&lt;&gt;0),"계산 총공제와 대장 총공제가 다릅니다 / ","")&amp;IF(J263&lt;0,"실수령액이 음수입니다 / ","")&amp;IF(COUNTIF(직원목록!$D$7:$D$306,B263)&gt;1,"같은 이름이 둘 이상 — 미리보기는 첫 번째만 보입니다 / ","")&amp;IF(AND(C263&lt;&gt;"",COUNTIF(직원목록!$C$7:$C$306,C263)&gt;1),"사번 중복 / ","")&amp;IF(D263=0,"총지급이 0원 — 머리글 매칭 확인 / ","")&amp;IF(AND(설정!$B$17&lt;&gt;"",설정!$C$17="",OR(ISNUMBER(FIND("연장",설정!$B$17)),ISNUMBER(FIND("야간",설정!$B$17)),ISNUMBER(FIND("휴일",설정!$B$17))),INDEX(직원목록!$F$7:$F$306,MATCH(251,직원목록!$B$7:$B$306,0))&gt;0),"연장·야간·휴일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","")&amp;IF(AND(설정!$B$24&lt;&gt;"",설정!$C$24="",OR(ISNUMBER(FIND("연장",설정!$B$24)),ISNUMBER(FIND("야간",설정!$B$24)),ISNUMBER(FIND("휴일",설정!$B$24))),INDEX(직원목록!$M$7:$M$306,MATCH(251,직원목록!$B$7:$B$306,0))&gt;0),"연장·야간·휴일 수당은 시간 수도 명세서에 적어야 하니 시간 열 지정 필요 / ",""))))</f>
        <v/>
      </c>
    </row>
    <row r="264">
      <c r="A264" s="26">
        <f>IF(IFERROR(MATCH(252,직원목록!$B$7:$B$306,0),0)=0,"",252)</f>
        <v/>
      </c>
      <c r="B264" s="2">
        <f>IF($A264="","",IFERROR(INDEX(직원목록!$D$7:$D$306,MATCH(252,직원목록!$B$7:$B$306,0)),""))</f>
        <v/>
      </c>
      <c r="C264" s="2">
        <f>IF($A264="","",IFERROR(INDEX(직원목록!$C$7:$C$306,MATCH(252,직원목록!$B$7:$B$306,0)),""))</f>
        <v/>
      </c>
      <c r="D264" s="27">
        <f>IF($A264="","",IFERROR(INDEX(직원목록!$V$7:$V$306,MATCH(252,직원목록!$B$7:$B$306,0)),""))</f>
        <v/>
      </c>
      <c r="E264" s="27">
        <f>IF($A264="","",IFERROR(INDEX(직원목록!$AG$7:$AG$306,MATCH(252,직원목록!$B$7:$B$306,0)),""))</f>
        <v/>
      </c>
      <c r="F264" s="27">
        <f>IF(OR($A264="",E264=""),"",D264-E264)</f>
        <v/>
      </c>
      <c r="G264" s="27">
        <f>IF($A264="","",IFERROR(INDEX(직원목록!$AE$7:$AE$306,MATCH(252,직원목록!$B$7:$B$306,0)),""))</f>
        <v/>
      </c>
      <c r="H264" s="27">
        <f>IF($A264="","",IFERROR(INDEX(직원목록!$AH$7:$AH$306,MATCH(252,직원목록!$B$7:$B$306,0)),""))</f>
        <v/>
      </c>
      <c r="I264" s="27">
        <f>IF(OR($A264="",H264=""),"",G264-H264)</f>
        <v/>
      </c>
      <c r="J264" s="27">
        <f>IF($A264="","",IFERROR(INDEX(직원목록!$AF$7:$AF$306,MATCH(252,직원목록!$B$7:$B$306,0)),""))</f>
        <v/>
      </c>
      <c r="K264" s="27">
        <f>IF($A264="","",IFERROR(INDEX(직원목록!$AI$7:$AI$306,MATCH(252,직원목록!$B$7:$B$306,0)),""))</f>
        <v/>
      </c>
      <c r="L264" s="8">
        <f>IF($A264="","",IF(LEN(IF(AND(F264&lt;&gt;"",F264&lt;&gt;0),"계산 총지급과 대장 총지급이 다릅니다 / ","")&amp;IF(AND(I264&lt;&gt;"",I264&lt;&gt;0),"계산 총공제와 대장 총공제가 다릅니다 / ","")&amp;IF(J264&lt;0,"실수령액이 음수입니다 / ","")&amp;IF(COUNTIF(직원목록!$D$7:$D$306,B264)&gt;1,"같은 이름이 둘 이상 — 미리보기는 첫 번째만 보입니다 / ","")&amp;IF(AND(C264&lt;&gt;"",COUNTIF(직원목록!$C$7:$C$306,C264)&gt;1),"사번 중복 / ","")&amp;IF(D264=0,"총지급이 0원 — 머리글 매칭 확인 / ","")&amp;IF(AND(설정!$B$17&lt;&gt;"",설정!$C$17="",OR(ISNUMBER(FIND("연장",설정!$B$17)),ISNUMBER(FIND("야간",설정!$B$17)),ISNUMBER(FIND("휴일",설정!$B$17))),INDEX(직원목록!$F$7:$F$306,MATCH(252,직원목록!$B$7:$B$306,0))&gt;0),"연장·야간·휴일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","")&amp;IF(AND(설정!$B$24&lt;&gt;"",설정!$C$24="",OR(ISNUMBER(FIND("연장",설정!$B$24)),ISNUMBER(FIND("야간",설정!$B$24)),ISNUMBER(FIND("휴일",설정!$B$24))),INDEX(직원목록!$M$7:$M$306,MATCH(252,직원목록!$B$7:$B$306,0))&gt;0),"연장·야간·휴일 수당은 시간 수도 명세서에 적어야 하니 시간 열 지정 필요 / ",""))=0,"✔",("⚠ "&amp;IF(AND(F264&lt;&gt;"",F264&lt;&gt;0),"계산 총지급과 대장 총지급이 다릅니다 / ","")&amp;IF(AND(I264&lt;&gt;"",I264&lt;&gt;0),"계산 총공제와 대장 총공제가 다릅니다 / ","")&amp;IF(J264&lt;0,"실수령액이 음수입니다 / ","")&amp;IF(COUNTIF(직원목록!$D$7:$D$306,B264)&gt;1,"같은 이름이 둘 이상 — 미리보기는 첫 번째만 보입니다 / ","")&amp;IF(AND(C264&lt;&gt;"",COUNTIF(직원목록!$C$7:$C$306,C264)&gt;1),"사번 중복 / ","")&amp;IF(D264=0,"총지급이 0원 — 머리글 매칭 확인 / ","")&amp;IF(AND(설정!$B$17&lt;&gt;"",설정!$C$17="",OR(ISNUMBER(FIND("연장",설정!$B$17)),ISNUMBER(FIND("야간",설정!$B$17)),ISNUMBER(FIND("휴일",설정!$B$17))),INDEX(직원목록!$F$7:$F$306,MATCH(252,직원목록!$B$7:$B$306,0))&gt;0),"연장·야간·휴일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","")&amp;IF(AND(설정!$B$24&lt;&gt;"",설정!$C$24="",OR(ISNUMBER(FIND("연장",설정!$B$24)),ISNUMBER(FIND("야간",설정!$B$24)),ISNUMBER(FIND("휴일",설정!$B$24))),INDEX(직원목록!$M$7:$M$306,MATCH(252,직원목록!$B$7:$B$306,0))&gt;0),"연장·야간·휴일 수당은 시간 수도 명세서에 적어야 하니 시간 열 지정 필요 / ",""))))</f>
        <v/>
      </c>
    </row>
    <row r="265">
      <c r="A265" s="26">
        <f>IF(IFERROR(MATCH(253,직원목록!$B$7:$B$306,0),0)=0,"",253)</f>
        <v/>
      </c>
      <c r="B265" s="2">
        <f>IF($A265="","",IFERROR(INDEX(직원목록!$D$7:$D$306,MATCH(253,직원목록!$B$7:$B$306,0)),""))</f>
        <v/>
      </c>
      <c r="C265" s="2">
        <f>IF($A265="","",IFERROR(INDEX(직원목록!$C$7:$C$306,MATCH(253,직원목록!$B$7:$B$306,0)),""))</f>
        <v/>
      </c>
      <c r="D265" s="27">
        <f>IF($A265="","",IFERROR(INDEX(직원목록!$V$7:$V$306,MATCH(253,직원목록!$B$7:$B$306,0)),""))</f>
        <v/>
      </c>
      <c r="E265" s="27">
        <f>IF($A265="","",IFERROR(INDEX(직원목록!$AG$7:$AG$306,MATCH(253,직원목록!$B$7:$B$306,0)),""))</f>
        <v/>
      </c>
      <c r="F265" s="27">
        <f>IF(OR($A265="",E265=""),"",D265-E265)</f>
        <v/>
      </c>
      <c r="G265" s="27">
        <f>IF($A265="","",IFERROR(INDEX(직원목록!$AE$7:$AE$306,MATCH(253,직원목록!$B$7:$B$306,0)),""))</f>
        <v/>
      </c>
      <c r="H265" s="27">
        <f>IF($A265="","",IFERROR(INDEX(직원목록!$AH$7:$AH$306,MATCH(253,직원목록!$B$7:$B$306,0)),""))</f>
        <v/>
      </c>
      <c r="I265" s="27">
        <f>IF(OR($A265="",H265=""),"",G265-H265)</f>
        <v/>
      </c>
      <c r="J265" s="27">
        <f>IF($A265="","",IFERROR(INDEX(직원목록!$AF$7:$AF$306,MATCH(253,직원목록!$B$7:$B$306,0)),""))</f>
        <v/>
      </c>
      <c r="K265" s="27">
        <f>IF($A265="","",IFERROR(INDEX(직원목록!$AI$7:$AI$306,MATCH(253,직원목록!$B$7:$B$306,0)),""))</f>
        <v/>
      </c>
      <c r="L265" s="8">
        <f>IF($A265="","",IF(LEN(IF(AND(F265&lt;&gt;"",F265&lt;&gt;0),"계산 총지급과 대장 총지급이 다릅니다 / ","")&amp;IF(AND(I265&lt;&gt;"",I265&lt;&gt;0),"계산 총공제와 대장 총공제가 다릅니다 / ","")&amp;IF(J265&lt;0,"실수령액이 음수입니다 / ","")&amp;IF(COUNTIF(직원목록!$D$7:$D$306,B265)&gt;1,"같은 이름이 둘 이상 — 미리보기는 첫 번째만 보입니다 / ","")&amp;IF(AND(C265&lt;&gt;"",COUNTIF(직원목록!$C$7:$C$306,C265)&gt;1),"사번 중복 / ","")&amp;IF(D265=0,"총지급이 0원 — 머리글 매칭 확인 / ","")&amp;IF(AND(설정!$B$17&lt;&gt;"",설정!$C$17="",OR(ISNUMBER(FIND("연장",설정!$B$17)),ISNUMBER(FIND("야간",설정!$B$17)),ISNUMBER(FIND("휴일",설정!$B$17))),INDEX(직원목록!$F$7:$F$306,MATCH(253,직원목록!$B$7:$B$306,0))&gt;0),"연장·야간·휴일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","")&amp;IF(AND(설정!$B$24&lt;&gt;"",설정!$C$24="",OR(ISNUMBER(FIND("연장",설정!$B$24)),ISNUMBER(FIND("야간",설정!$B$24)),ISNUMBER(FIND("휴일",설정!$B$24))),INDEX(직원목록!$M$7:$M$306,MATCH(253,직원목록!$B$7:$B$306,0))&gt;0),"연장·야간·휴일 수당은 시간 수도 명세서에 적어야 하니 시간 열 지정 필요 / ",""))=0,"✔",("⚠ "&amp;IF(AND(F265&lt;&gt;"",F265&lt;&gt;0),"계산 총지급과 대장 총지급이 다릅니다 / ","")&amp;IF(AND(I265&lt;&gt;"",I265&lt;&gt;0),"계산 총공제와 대장 총공제가 다릅니다 / ","")&amp;IF(J265&lt;0,"실수령액이 음수입니다 / ","")&amp;IF(COUNTIF(직원목록!$D$7:$D$306,B265)&gt;1,"같은 이름이 둘 이상 — 미리보기는 첫 번째만 보입니다 / ","")&amp;IF(AND(C265&lt;&gt;"",COUNTIF(직원목록!$C$7:$C$306,C265)&gt;1),"사번 중복 / ","")&amp;IF(D265=0,"총지급이 0원 — 머리글 매칭 확인 / ","")&amp;IF(AND(설정!$B$17&lt;&gt;"",설정!$C$17="",OR(ISNUMBER(FIND("연장",설정!$B$17)),ISNUMBER(FIND("야간",설정!$B$17)),ISNUMBER(FIND("휴일",설정!$B$17))),INDEX(직원목록!$F$7:$F$306,MATCH(253,직원목록!$B$7:$B$306,0))&gt;0),"연장·야간·휴일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","")&amp;IF(AND(설정!$B$24&lt;&gt;"",설정!$C$24="",OR(ISNUMBER(FIND("연장",설정!$B$24)),ISNUMBER(FIND("야간",설정!$B$24)),ISNUMBER(FIND("휴일",설정!$B$24))),INDEX(직원목록!$M$7:$M$306,MATCH(253,직원목록!$B$7:$B$306,0))&gt;0),"연장·야간·휴일 수당은 시간 수도 명세서에 적어야 하니 시간 열 지정 필요 / ",""))))</f>
        <v/>
      </c>
    </row>
    <row r="266">
      <c r="A266" s="26">
        <f>IF(IFERROR(MATCH(254,직원목록!$B$7:$B$306,0),0)=0,"",254)</f>
        <v/>
      </c>
      <c r="B266" s="2">
        <f>IF($A266="","",IFERROR(INDEX(직원목록!$D$7:$D$306,MATCH(254,직원목록!$B$7:$B$306,0)),""))</f>
        <v/>
      </c>
      <c r="C266" s="2">
        <f>IF($A266="","",IFERROR(INDEX(직원목록!$C$7:$C$306,MATCH(254,직원목록!$B$7:$B$306,0)),""))</f>
        <v/>
      </c>
      <c r="D266" s="27">
        <f>IF($A266="","",IFERROR(INDEX(직원목록!$V$7:$V$306,MATCH(254,직원목록!$B$7:$B$306,0)),""))</f>
        <v/>
      </c>
      <c r="E266" s="27">
        <f>IF($A266="","",IFERROR(INDEX(직원목록!$AG$7:$AG$306,MATCH(254,직원목록!$B$7:$B$306,0)),""))</f>
        <v/>
      </c>
      <c r="F266" s="27">
        <f>IF(OR($A266="",E266=""),"",D266-E266)</f>
        <v/>
      </c>
      <c r="G266" s="27">
        <f>IF($A266="","",IFERROR(INDEX(직원목록!$AE$7:$AE$306,MATCH(254,직원목록!$B$7:$B$306,0)),""))</f>
        <v/>
      </c>
      <c r="H266" s="27">
        <f>IF($A266="","",IFERROR(INDEX(직원목록!$AH$7:$AH$306,MATCH(254,직원목록!$B$7:$B$306,0)),""))</f>
        <v/>
      </c>
      <c r="I266" s="27">
        <f>IF(OR($A266="",H266=""),"",G266-H266)</f>
        <v/>
      </c>
      <c r="J266" s="27">
        <f>IF($A266="","",IFERROR(INDEX(직원목록!$AF$7:$AF$306,MATCH(254,직원목록!$B$7:$B$306,0)),""))</f>
        <v/>
      </c>
      <c r="K266" s="27">
        <f>IF($A266="","",IFERROR(INDEX(직원목록!$AI$7:$AI$306,MATCH(254,직원목록!$B$7:$B$306,0)),""))</f>
        <v/>
      </c>
      <c r="L266" s="8">
        <f>IF($A266="","",IF(LEN(IF(AND(F266&lt;&gt;"",F266&lt;&gt;0),"계산 총지급과 대장 총지급이 다릅니다 / ","")&amp;IF(AND(I266&lt;&gt;"",I266&lt;&gt;0),"계산 총공제와 대장 총공제가 다릅니다 / ","")&amp;IF(J266&lt;0,"실수령액이 음수입니다 / ","")&amp;IF(COUNTIF(직원목록!$D$7:$D$306,B266)&gt;1,"같은 이름이 둘 이상 — 미리보기는 첫 번째만 보입니다 / ","")&amp;IF(AND(C266&lt;&gt;"",COUNTIF(직원목록!$C$7:$C$306,C266)&gt;1),"사번 중복 / ","")&amp;IF(D266=0,"총지급이 0원 — 머리글 매칭 확인 / ","")&amp;IF(AND(설정!$B$17&lt;&gt;"",설정!$C$17="",OR(ISNUMBER(FIND("연장",설정!$B$17)),ISNUMBER(FIND("야간",설정!$B$17)),ISNUMBER(FIND("휴일",설정!$B$17))),INDEX(직원목록!$F$7:$F$306,MATCH(254,직원목록!$B$7:$B$306,0))&gt;0),"연장·야간·휴일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","")&amp;IF(AND(설정!$B$24&lt;&gt;"",설정!$C$24="",OR(ISNUMBER(FIND("연장",설정!$B$24)),ISNUMBER(FIND("야간",설정!$B$24)),ISNUMBER(FIND("휴일",설정!$B$24))),INDEX(직원목록!$M$7:$M$306,MATCH(254,직원목록!$B$7:$B$306,0))&gt;0),"연장·야간·휴일 수당은 시간 수도 명세서에 적어야 하니 시간 열 지정 필요 / ",""))=0,"✔",("⚠ "&amp;IF(AND(F266&lt;&gt;"",F266&lt;&gt;0),"계산 총지급과 대장 총지급이 다릅니다 / ","")&amp;IF(AND(I266&lt;&gt;"",I266&lt;&gt;0),"계산 총공제와 대장 총공제가 다릅니다 / ","")&amp;IF(J266&lt;0,"실수령액이 음수입니다 / ","")&amp;IF(COUNTIF(직원목록!$D$7:$D$306,B266)&gt;1,"같은 이름이 둘 이상 — 미리보기는 첫 번째만 보입니다 / ","")&amp;IF(AND(C266&lt;&gt;"",COUNTIF(직원목록!$C$7:$C$306,C266)&gt;1),"사번 중복 / ","")&amp;IF(D266=0,"총지급이 0원 — 머리글 매칭 확인 / ","")&amp;IF(AND(설정!$B$17&lt;&gt;"",설정!$C$17="",OR(ISNUMBER(FIND("연장",설정!$B$17)),ISNUMBER(FIND("야간",설정!$B$17)),ISNUMBER(FIND("휴일",설정!$B$17))),INDEX(직원목록!$F$7:$F$306,MATCH(254,직원목록!$B$7:$B$306,0))&gt;0),"연장·야간·휴일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","")&amp;IF(AND(설정!$B$24&lt;&gt;"",설정!$C$24="",OR(ISNUMBER(FIND("연장",설정!$B$24)),ISNUMBER(FIND("야간",설정!$B$24)),ISNUMBER(FIND("휴일",설정!$B$24))),INDEX(직원목록!$M$7:$M$306,MATCH(254,직원목록!$B$7:$B$306,0))&gt;0),"연장·야간·휴일 수당은 시간 수도 명세서에 적어야 하니 시간 열 지정 필요 / ",""))))</f>
        <v/>
      </c>
    </row>
    <row r="267">
      <c r="A267" s="26">
        <f>IF(IFERROR(MATCH(255,직원목록!$B$7:$B$306,0),0)=0,"",255)</f>
        <v/>
      </c>
      <c r="B267" s="2">
        <f>IF($A267="","",IFERROR(INDEX(직원목록!$D$7:$D$306,MATCH(255,직원목록!$B$7:$B$306,0)),""))</f>
        <v/>
      </c>
      <c r="C267" s="2">
        <f>IF($A267="","",IFERROR(INDEX(직원목록!$C$7:$C$306,MATCH(255,직원목록!$B$7:$B$306,0)),""))</f>
        <v/>
      </c>
      <c r="D267" s="27">
        <f>IF($A267="","",IFERROR(INDEX(직원목록!$V$7:$V$306,MATCH(255,직원목록!$B$7:$B$306,0)),""))</f>
        <v/>
      </c>
      <c r="E267" s="27">
        <f>IF($A267="","",IFERROR(INDEX(직원목록!$AG$7:$AG$306,MATCH(255,직원목록!$B$7:$B$306,0)),""))</f>
        <v/>
      </c>
      <c r="F267" s="27">
        <f>IF(OR($A267="",E267=""),"",D267-E267)</f>
        <v/>
      </c>
      <c r="G267" s="27">
        <f>IF($A267="","",IFERROR(INDEX(직원목록!$AE$7:$AE$306,MATCH(255,직원목록!$B$7:$B$306,0)),""))</f>
        <v/>
      </c>
      <c r="H267" s="27">
        <f>IF($A267="","",IFERROR(INDEX(직원목록!$AH$7:$AH$306,MATCH(255,직원목록!$B$7:$B$306,0)),""))</f>
        <v/>
      </c>
      <c r="I267" s="27">
        <f>IF(OR($A267="",H267=""),"",G267-H267)</f>
        <v/>
      </c>
      <c r="J267" s="27">
        <f>IF($A267="","",IFERROR(INDEX(직원목록!$AF$7:$AF$306,MATCH(255,직원목록!$B$7:$B$306,0)),""))</f>
        <v/>
      </c>
      <c r="K267" s="27">
        <f>IF($A267="","",IFERROR(INDEX(직원목록!$AI$7:$AI$306,MATCH(255,직원목록!$B$7:$B$306,0)),""))</f>
        <v/>
      </c>
      <c r="L267" s="8">
        <f>IF($A267="","",IF(LEN(IF(AND(F267&lt;&gt;"",F267&lt;&gt;0),"계산 총지급과 대장 총지급이 다릅니다 / ","")&amp;IF(AND(I267&lt;&gt;"",I267&lt;&gt;0),"계산 총공제와 대장 총공제가 다릅니다 / ","")&amp;IF(J267&lt;0,"실수령액이 음수입니다 / ","")&amp;IF(COUNTIF(직원목록!$D$7:$D$306,B267)&gt;1,"같은 이름이 둘 이상 — 미리보기는 첫 번째만 보입니다 / ","")&amp;IF(AND(C267&lt;&gt;"",COUNTIF(직원목록!$C$7:$C$306,C267)&gt;1),"사번 중복 / ","")&amp;IF(D267=0,"총지급이 0원 — 머리글 매칭 확인 / ","")&amp;IF(AND(설정!$B$17&lt;&gt;"",설정!$C$17="",OR(ISNUMBER(FIND("연장",설정!$B$17)),ISNUMBER(FIND("야간",설정!$B$17)),ISNUMBER(FIND("휴일",설정!$B$17))),INDEX(직원목록!$F$7:$F$306,MATCH(255,직원목록!$B$7:$B$306,0))&gt;0),"연장·야간·휴일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","")&amp;IF(AND(설정!$B$24&lt;&gt;"",설정!$C$24="",OR(ISNUMBER(FIND("연장",설정!$B$24)),ISNUMBER(FIND("야간",설정!$B$24)),ISNUMBER(FIND("휴일",설정!$B$24))),INDEX(직원목록!$M$7:$M$306,MATCH(255,직원목록!$B$7:$B$306,0))&gt;0),"연장·야간·휴일 수당은 시간 수도 명세서에 적어야 하니 시간 열 지정 필요 / ",""))=0,"✔",("⚠ "&amp;IF(AND(F267&lt;&gt;"",F267&lt;&gt;0),"계산 총지급과 대장 총지급이 다릅니다 / ","")&amp;IF(AND(I267&lt;&gt;"",I267&lt;&gt;0),"계산 총공제와 대장 총공제가 다릅니다 / ","")&amp;IF(J267&lt;0,"실수령액이 음수입니다 / ","")&amp;IF(COUNTIF(직원목록!$D$7:$D$306,B267)&gt;1,"같은 이름이 둘 이상 — 미리보기는 첫 번째만 보입니다 / ","")&amp;IF(AND(C267&lt;&gt;"",COUNTIF(직원목록!$C$7:$C$306,C267)&gt;1),"사번 중복 / ","")&amp;IF(D267=0,"총지급이 0원 — 머리글 매칭 확인 / ","")&amp;IF(AND(설정!$B$17&lt;&gt;"",설정!$C$17="",OR(ISNUMBER(FIND("연장",설정!$B$17)),ISNUMBER(FIND("야간",설정!$B$17)),ISNUMBER(FIND("휴일",설정!$B$17))),INDEX(직원목록!$F$7:$F$306,MATCH(255,직원목록!$B$7:$B$306,0))&gt;0),"연장·야간·휴일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","")&amp;IF(AND(설정!$B$24&lt;&gt;"",설정!$C$24="",OR(ISNUMBER(FIND("연장",설정!$B$24)),ISNUMBER(FIND("야간",설정!$B$24)),ISNUMBER(FIND("휴일",설정!$B$24))),INDEX(직원목록!$M$7:$M$306,MATCH(255,직원목록!$B$7:$B$306,0))&gt;0),"연장·야간·휴일 수당은 시간 수도 명세서에 적어야 하니 시간 열 지정 필요 / ",""))))</f>
        <v/>
      </c>
    </row>
    <row r="268">
      <c r="A268" s="26">
        <f>IF(IFERROR(MATCH(256,직원목록!$B$7:$B$306,0),0)=0,"",256)</f>
        <v/>
      </c>
      <c r="B268" s="2">
        <f>IF($A268="","",IFERROR(INDEX(직원목록!$D$7:$D$306,MATCH(256,직원목록!$B$7:$B$306,0)),""))</f>
        <v/>
      </c>
      <c r="C268" s="2">
        <f>IF($A268="","",IFERROR(INDEX(직원목록!$C$7:$C$306,MATCH(256,직원목록!$B$7:$B$306,0)),""))</f>
        <v/>
      </c>
      <c r="D268" s="27">
        <f>IF($A268="","",IFERROR(INDEX(직원목록!$V$7:$V$306,MATCH(256,직원목록!$B$7:$B$306,0)),""))</f>
        <v/>
      </c>
      <c r="E268" s="27">
        <f>IF($A268="","",IFERROR(INDEX(직원목록!$AG$7:$AG$306,MATCH(256,직원목록!$B$7:$B$306,0)),""))</f>
        <v/>
      </c>
      <c r="F268" s="27">
        <f>IF(OR($A268="",E268=""),"",D268-E268)</f>
        <v/>
      </c>
      <c r="G268" s="27">
        <f>IF($A268="","",IFERROR(INDEX(직원목록!$AE$7:$AE$306,MATCH(256,직원목록!$B$7:$B$306,0)),""))</f>
        <v/>
      </c>
      <c r="H268" s="27">
        <f>IF($A268="","",IFERROR(INDEX(직원목록!$AH$7:$AH$306,MATCH(256,직원목록!$B$7:$B$306,0)),""))</f>
        <v/>
      </c>
      <c r="I268" s="27">
        <f>IF(OR($A268="",H268=""),"",G268-H268)</f>
        <v/>
      </c>
      <c r="J268" s="27">
        <f>IF($A268="","",IFERROR(INDEX(직원목록!$AF$7:$AF$306,MATCH(256,직원목록!$B$7:$B$306,0)),""))</f>
        <v/>
      </c>
      <c r="K268" s="27">
        <f>IF($A268="","",IFERROR(INDEX(직원목록!$AI$7:$AI$306,MATCH(256,직원목록!$B$7:$B$306,0)),""))</f>
        <v/>
      </c>
      <c r="L268" s="8">
        <f>IF($A268="","",IF(LEN(IF(AND(F268&lt;&gt;"",F268&lt;&gt;0),"계산 총지급과 대장 총지급이 다릅니다 / ","")&amp;IF(AND(I268&lt;&gt;"",I268&lt;&gt;0),"계산 총공제와 대장 총공제가 다릅니다 / ","")&amp;IF(J268&lt;0,"실수령액이 음수입니다 / ","")&amp;IF(COUNTIF(직원목록!$D$7:$D$306,B268)&gt;1,"같은 이름이 둘 이상 — 미리보기는 첫 번째만 보입니다 / ","")&amp;IF(AND(C268&lt;&gt;"",COUNTIF(직원목록!$C$7:$C$306,C268)&gt;1),"사번 중복 / ","")&amp;IF(D268=0,"총지급이 0원 — 머리글 매칭 확인 / ","")&amp;IF(AND(설정!$B$17&lt;&gt;"",설정!$C$17="",OR(ISNUMBER(FIND("연장",설정!$B$17)),ISNUMBER(FIND("야간",설정!$B$17)),ISNUMBER(FIND("휴일",설정!$B$17))),INDEX(직원목록!$F$7:$F$306,MATCH(256,직원목록!$B$7:$B$306,0))&gt;0),"연장·야간·휴일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","")&amp;IF(AND(설정!$B$24&lt;&gt;"",설정!$C$24="",OR(ISNUMBER(FIND("연장",설정!$B$24)),ISNUMBER(FIND("야간",설정!$B$24)),ISNUMBER(FIND("휴일",설정!$B$24))),INDEX(직원목록!$M$7:$M$306,MATCH(256,직원목록!$B$7:$B$306,0))&gt;0),"연장·야간·휴일 수당은 시간 수도 명세서에 적어야 하니 시간 열 지정 필요 / ",""))=0,"✔",("⚠ "&amp;IF(AND(F268&lt;&gt;"",F268&lt;&gt;0),"계산 총지급과 대장 총지급이 다릅니다 / ","")&amp;IF(AND(I268&lt;&gt;"",I268&lt;&gt;0),"계산 총공제와 대장 총공제가 다릅니다 / ","")&amp;IF(J268&lt;0,"실수령액이 음수입니다 / ","")&amp;IF(COUNTIF(직원목록!$D$7:$D$306,B268)&gt;1,"같은 이름이 둘 이상 — 미리보기는 첫 번째만 보입니다 / ","")&amp;IF(AND(C268&lt;&gt;"",COUNTIF(직원목록!$C$7:$C$306,C268)&gt;1),"사번 중복 / ","")&amp;IF(D268=0,"총지급이 0원 — 머리글 매칭 확인 / ","")&amp;IF(AND(설정!$B$17&lt;&gt;"",설정!$C$17="",OR(ISNUMBER(FIND("연장",설정!$B$17)),ISNUMBER(FIND("야간",설정!$B$17)),ISNUMBER(FIND("휴일",설정!$B$17))),INDEX(직원목록!$F$7:$F$306,MATCH(256,직원목록!$B$7:$B$306,0))&gt;0),"연장·야간·휴일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","")&amp;IF(AND(설정!$B$24&lt;&gt;"",설정!$C$24="",OR(ISNUMBER(FIND("연장",설정!$B$24)),ISNUMBER(FIND("야간",설정!$B$24)),ISNUMBER(FIND("휴일",설정!$B$24))),INDEX(직원목록!$M$7:$M$306,MATCH(256,직원목록!$B$7:$B$306,0))&gt;0),"연장·야간·휴일 수당은 시간 수도 명세서에 적어야 하니 시간 열 지정 필요 / ",""))))</f>
        <v/>
      </c>
    </row>
    <row r="269">
      <c r="A269" s="26">
        <f>IF(IFERROR(MATCH(257,직원목록!$B$7:$B$306,0),0)=0,"",257)</f>
        <v/>
      </c>
      <c r="B269" s="2">
        <f>IF($A269="","",IFERROR(INDEX(직원목록!$D$7:$D$306,MATCH(257,직원목록!$B$7:$B$306,0)),""))</f>
        <v/>
      </c>
      <c r="C269" s="2">
        <f>IF($A269="","",IFERROR(INDEX(직원목록!$C$7:$C$306,MATCH(257,직원목록!$B$7:$B$306,0)),""))</f>
        <v/>
      </c>
      <c r="D269" s="27">
        <f>IF($A269="","",IFERROR(INDEX(직원목록!$V$7:$V$306,MATCH(257,직원목록!$B$7:$B$306,0)),""))</f>
        <v/>
      </c>
      <c r="E269" s="27">
        <f>IF($A269="","",IFERROR(INDEX(직원목록!$AG$7:$AG$306,MATCH(257,직원목록!$B$7:$B$306,0)),""))</f>
        <v/>
      </c>
      <c r="F269" s="27">
        <f>IF(OR($A269="",E269=""),"",D269-E269)</f>
        <v/>
      </c>
      <c r="G269" s="27">
        <f>IF($A269="","",IFERROR(INDEX(직원목록!$AE$7:$AE$306,MATCH(257,직원목록!$B$7:$B$306,0)),""))</f>
        <v/>
      </c>
      <c r="H269" s="27">
        <f>IF($A269="","",IFERROR(INDEX(직원목록!$AH$7:$AH$306,MATCH(257,직원목록!$B$7:$B$306,0)),""))</f>
        <v/>
      </c>
      <c r="I269" s="27">
        <f>IF(OR($A269="",H269=""),"",G269-H269)</f>
        <v/>
      </c>
      <c r="J269" s="27">
        <f>IF($A269="","",IFERROR(INDEX(직원목록!$AF$7:$AF$306,MATCH(257,직원목록!$B$7:$B$306,0)),""))</f>
        <v/>
      </c>
      <c r="K269" s="27">
        <f>IF($A269="","",IFERROR(INDEX(직원목록!$AI$7:$AI$306,MATCH(257,직원목록!$B$7:$B$306,0)),""))</f>
        <v/>
      </c>
      <c r="L269" s="8">
        <f>IF($A269="","",IF(LEN(IF(AND(F269&lt;&gt;"",F269&lt;&gt;0),"계산 총지급과 대장 총지급이 다릅니다 / ","")&amp;IF(AND(I269&lt;&gt;"",I269&lt;&gt;0),"계산 총공제와 대장 총공제가 다릅니다 / ","")&amp;IF(J269&lt;0,"실수령액이 음수입니다 / ","")&amp;IF(COUNTIF(직원목록!$D$7:$D$306,B269)&gt;1,"같은 이름이 둘 이상 — 미리보기는 첫 번째만 보입니다 / ","")&amp;IF(AND(C269&lt;&gt;"",COUNTIF(직원목록!$C$7:$C$306,C269)&gt;1),"사번 중복 / ","")&amp;IF(D269=0,"총지급이 0원 — 머리글 매칭 확인 / ","")&amp;IF(AND(설정!$B$17&lt;&gt;"",설정!$C$17="",OR(ISNUMBER(FIND("연장",설정!$B$17)),ISNUMBER(FIND("야간",설정!$B$17)),ISNUMBER(FIND("휴일",설정!$B$17))),INDEX(직원목록!$F$7:$F$306,MATCH(257,직원목록!$B$7:$B$306,0))&gt;0),"연장·야간·휴일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","")&amp;IF(AND(설정!$B$24&lt;&gt;"",설정!$C$24="",OR(ISNUMBER(FIND("연장",설정!$B$24)),ISNUMBER(FIND("야간",설정!$B$24)),ISNUMBER(FIND("휴일",설정!$B$24))),INDEX(직원목록!$M$7:$M$306,MATCH(257,직원목록!$B$7:$B$306,0))&gt;0),"연장·야간·휴일 수당은 시간 수도 명세서에 적어야 하니 시간 열 지정 필요 / ",""))=0,"✔",("⚠ "&amp;IF(AND(F269&lt;&gt;"",F269&lt;&gt;0),"계산 총지급과 대장 총지급이 다릅니다 / ","")&amp;IF(AND(I269&lt;&gt;"",I269&lt;&gt;0),"계산 총공제와 대장 총공제가 다릅니다 / ","")&amp;IF(J269&lt;0,"실수령액이 음수입니다 / ","")&amp;IF(COUNTIF(직원목록!$D$7:$D$306,B269)&gt;1,"같은 이름이 둘 이상 — 미리보기는 첫 번째만 보입니다 / ","")&amp;IF(AND(C269&lt;&gt;"",COUNTIF(직원목록!$C$7:$C$306,C269)&gt;1),"사번 중복 / ","")&amp;IF(D269=0,"총지급이 0원 — 머리글 매칭 확인 / ","")&amp;IF(AND(설정!$B$17&lt;&gt;"",설정!$C$17="",OR(ISNUMBER(FIND("연장",설정!$B$17)),ISNUMBER(FIND("야간",설정!$B$17)),ISNUMBER(FIND("휴일",설정!$B$17))),INDEX(직원목록!$F$7:$F$306,MATCH(257,직원목록!$B$7:$B$306,0))&gt;0),"연장·야간·휴일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","")&amp;IF(AND(설정!$B$24&lt;&gt;"",설정!$C$24="",OR(ISNUMBER(FIND("연장",설정!$B$24)),ISNUMBER(FIND("야간",설정!$B$24)),ISNUMBER(FIND("휴일",설정!$B$24))),INDEX(직원목록!$M$7:$M$306,MATCH(257,직원목록!$B$7:$B$306,0))&gt;0),"연장·야간·휴일 수당은 시간 수도 명세서에 적어야 하니 시간 열 지정 필요 / ",""))))</f>
        <v/>
      </c>
    </row>
    <row r="270">
      <c r="A270" s="26">
        <f>IF(IFERROR(MATCH(258,직원목록!$B$7:$B$306,0),0)=0,"",258)</f>
        <v/>
      </c>
      <c r="B270" s="2">
        <f>IF($A270="","",IFERROR(INDEX(직원목록!$D$7:$D$306,MATCH(258,직원목록!$B$7:$B$306,0)),""))</f>
        <v/>
      </c>
      <c r="C270" s="2">
        <f>IF($A270="","",IFERROR(INDEX(직원목록!$C$7:$C$306,MATCH(258,직원목록!$B$7:$B$306,0)),""))</f>
        <v/>
      </c>
      <c r="D270" s="27">
        <f>IF($A270="","",IFERROR(INDEX(직원목록!$V$7:$V$306,MATCH(258,직원목록!$B$7:$B$306,0)),""))</f>
        <v/>
      </c>
      <c r="E270" s="27">
        <f>IF($A270="","",IFERROR(INDEX(직원목록!$AG$7:$AG$306,MATCH(258,직원목록!$B$7:$B$306,0)),""))</f>
        <v/>
      </c>
      <c r="F270" s="27">
        <f>IF(OR($A270="",E270=""),"",D270-E270)</f>
        <v/>
      </c>
      <c r="G270" s="27">
        <f>IF($A270="","",IFERROR(INDEX(직원목록!$AE$7:$AE$306,MATCH(258,직원목록!$B$7:$B$306,0)),""))</f>
        <v/>
      </c>
      <c r="H270" s="27">
        <f>IF($A270="","",IFERROR(INDEX(직원목록!$AH$7:$AH$306,MATCH(258,직원목록!$B$7:$B$306,0)),""))</f>
        <v/>
      </c>
      <c r="I270" s="27">
        <f>IF(OR($A270="",H270=""),"",G270-H270)</f>
        <v/>
      </c>
      <c r="J270" s="27">
        <f>IF($A270="","",IFERROR(INDEX(직원목록!$AF$7:$AF$306,MATCH(258,직원목록!$B$7:$B$306,0)),""))</f>
        <v/>
      </c>
      <c r="K270" s="27">
        <f>IF($A270="","",IFERROR(INDEX(직원목록!$AI$7:$AI$306,MATCH(258,직원목록!$B$7:$B$306,0)),""))</f>
        <v/>
      </c>
      <c r="L270" s="8">
        <f>IF($A270="","",IF(LEN(IF(AND(F270&lt;&gt;"",F270&lt;&gt;0),"계산 총지급과 대장 총지급이 다릅니다 / ","")&amp;IF(AND(I270&lt;&gt;"",I270&lt;&gt;0),"계산 총공제와 대장 총공제가 다릅니다 / ","")&amp;IF(J270&lt;0,"실수령액이 음수입니다 / ","")&amp;IF(COUNTIF(직원목록!$D$7:$D$306,B270)&gt;1,"같은 이름이 둘 이상 — 미리보기는 첫 번째만 보입니다 / ","")&amp;IF(AND(C270&lt;&gt;"",COUNTIF(직원목록!$C$7:$C$306,C270)&gt;1),"사번 중복 / ","")&amp;IF(D270=0,"총지급이 0원 — 머리글 매칭 확인 / ","")&amp;IF(AND(설정!$B$17&lt;&gt;"",설정!$C$17="",OR(ISNUMBER(FIND("연장",설정!$B$17)),ISNUMBER(FIND("야간",설정!$B$17)),ISNUMBER(FIND("휴일",설정!$B$17))),INDEX(직원목록!$F$7:$F$306,MATCH(258,직원목록!$B$7:$B$306,0))&gt;0),"연장·야간·휴일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","")&amp;IF(AND(설정!$B$24&lt;&gt;"",설정!$C$24="",OR(ISNUMBER(FIND("연장",설정!$B$24)),ISNUMBER(FIND("야간",설정!$B$24)),ISNUMBER(FIND("휴일",설정!$B$24))),INDEX(직원목록!$M$7:$M$306,MATCH(258,직원목록!$B$7:$B$306,0))&gt;0),"연장·야간·휴일 수당은 시간 수도 명세서에 적어야 하니 시간 열 지정 필요 / ",""))=0,"✔",("⚠ "&amp;IF(AND(F270&lt;&gt;"",F270&lt;&gt;0),"계산 총지급과 대장 총지급이 다릅니다 / ","")&amp;IF(AND(I270&lt;&gt;"",I270&lt;&gt;0),"계산 총공제와 대장 총공제가 다릅니다 / ","")&amp;IF(J270&lt;0,"실수령액이 음수입니다 / ","")&amp;IF(COUNTIF(직원목록!$D$7:$D$306,B270)&gt;1,"같은 이름이 둘 이상 — 미리보기는 첫 번째만 보입니다 / ","")&amp;IF(AND(C270&lt;&gt;"",COUNTIF(직원목록!$C$7:$C$306,C270)&gt;1),"사번 중복 / ","")&amp;IF(D270=0,"총지급이 0원 — 머리글 매칭 확인 / ","")&amp;IF(AND(설정!$B$17&lt;&gt;"",설정!$C$17="",OR(ISNUMBER(FIND("연장",설정!$B$17)),ISNUMBER(FIND("야간",설정!$B$17)),ISNUMBER(FIND("휴일",설정!$B$17))),INDEX(직원목록!$F$7:$F$306,MATCH(258,직원목록!$B$7:$B$306,0))&gt;0),"연장·야간·휴일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","")&amp;IF(AND(설정!$B$24&lt;&gt;"",설정!$C$24="",OR(ISNUMBER(FIND("연장",설정!$B$24)),ISNUMBER(FIND("야간",설정!$B$24)),ISNUMBER(FIND("휴일",설정!$B$24))),INDEX(직원목록!$M$7:$M$306,MATCH(258,직원목록!$B$7:$B$306,0))&gt;0),"연장·야간·휴일 수당은 시간 수도 명세서에 적어야 하니 시간 열 지정 필요 / ",""))))</f>
        <v/>
      </c>
    </row>
    <row r="271">
      <c r="A271" s="26">
        <f>IF(IFERROR(MATCH(259,직원목록!$B$7:$B$306,0),0)=0,"",259)</f>
        <v/>
      </c>
      <c r="B271" s="2">
        <f>IF($A271="","",IFERROR(INDEX(직원목록!$D$7:$D$306,MATCH(259,직원목록!$B$7:$B$306,0)),""))</f>
        <v/>
      </c>
      <c r="C271" s="2">
        <f>IF($A271="","",IFERROR(INDEX(직원목록!$C$7:$C$306,MATCH(259,직원목록!$B$7:$B$306,0)),""))</f>
        <v/>
      </c>
      <c r="D271" s="27">
        <f>IF($A271="","",IFERROR(INDEX(직원목록!$V$7:$V$306,MATCH(259,직원목록!$B$7:$B$306,0)),""))</f>
        <v/>
      </c>
      <c r="E271" s="27">
        <f>IF($A271="","",IFERROR(INDEX(직원목록!$AG$7:$AG$306,MATCH(259,직원목록!$B$7:$B$306,0)),""))</f>
        <v/>
      </c>
      <c r="F271" s="27">
        <f>IF(OR($A271="",E271=""),"",D271-E271)</f>
        <v/>
      </c>
      <c r="G271" s="27">
        <f>IF($A271="","",IFERROR(INDEX(직원목록!$AE$7:$AE$306,MATCH(259,직원목록!$B$7:$B$306,0)),""))</f>
        <v/>
      </c>
      <c r="H271" s="27">
        <f>IF($A271="","",IFERROR(INDEX(직원목록!$AH$7:$AH$306,MATCH(259,직원목록!$B$7:$B$306,0)),""))</f>
        <v/>
      </c>
      <c r="I271" s="27">
        <f>IF(OR($A271="",H271=""),"",G271-H271)</f>
        <v/>
      </c>
      <c r="J271" s="27">
        <f>IF($A271="","",IFERROR(INDEX(직원목록!$AF$7:$AF$306,MATCH(259,직원목록!$B$7:$B$306,0)),""))</f>
        <v/>
      </c>
      <c r="K271" s="27">
        <f>IF($A271="","",IFERROR(INDEX(직원목록!$AI$7:$AI$306,MATCH(259,직원목록!$B$7:$B$306,0)),""))</f>
        <v/>
      </c>
      <c r="L271" s="8">
        <f>IF($A271="","",IF(LEN(IF(AND(F271&lt;&gt;"",F271&lt;&gt;0),"계산 총지급과 대장 총지급이 다릅니다 / ","")&amp;IF(AND(I271&lt;&gt;"",I271&lt;&gt;0),"계산 총공제와 대장 총공제가 다릅니다 / ","")&amp;IF(J271&lt;0,"실수령액이 음수입니다 / ","")&amp;IF(COUNTIF(직원목록!$D$7:$D$306,B271)&gt;1,"같은 이름이 둘 이상 — 미리보기는 첫 번째만 보입니다 / ","")&amp;IF(AND(C271&lt;&gt;"",COUNTIF(직원목록!$C$7:$C$306,C271)&gt;1),"사번 중복 / ","")&amp;IF(D271=0,"총지급이 0원 — 머리글 매칭 확인 / ","")&amp;IF(AND(설정!$B$17&lt;&gt;"",설정!$C$17="",OR(ISNUMBER(FIND("연장",설정!$B$17)),ISNUMBER(FIND("야간",설정!$B$17)),ISNUMBER(FIND("휴일",설정!$B$17))),INDEX(직원목록!$F$7:$F$306,MATCH(259,직원목록!$B$7:$B$306,0))&gt;0),"연장·야간·휴일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","")&amp;IF(AND(설정!$B$24&lt;&gt;"",설정!$C$24="",OR(ISNUMBER(FIND("연장",설정!$B$24)),ISNUMBER(FIND("야간",설정!$B$24)),ISNUMBER(FIND("휴일",설정!$B$24))),INDEX(직원목록!$M$7:$M$306,MATCH(259,직원목록!$B$7:$B$306,0))&gt;0),"연장·야간·휴일 수당은 시간 수도 명세서에 적어야 하니 시간 열 지정 필요 / ",""))=0,"✔",("⚠ "&amp;IF(AND(F271&lt;&gt;"",F271&lt;&gt;0),"계산 총지급과 대장 총지급이 다릅니다 / ","")&amp;IF(AND(I271&lt;&gt;"",I271&lt;&gt;0),"계산 총공제와 대장 총공제가 다릅니다 / ","")&amp;IF(J271&lt;0,"실수령액이 음수입니다 / ","")&amp;IF(COUNTIF(직원목록!$D$7:$D$306,B271)&gt;1,"같은 이름이 둘 이상 — 미리보기는 첫 번째만 보입니다 / ","")&amp;IF(AND(C271&lt;&gt;"",COUNTIF(직원목록!$C$7:$C$306,C271)&gt;1),"사번 중복 / ","")&amp;IF(D271=0,"총지급이 0원 — 머리글 매칭 확인 / ","")&amp;IF(AND(설정!$B$17&lt;&gt;"",설정!$C$17="",OR(ISNUMBER(FIND("연장",설정!$B$17)),ISNUMBER(FIND("야간",설정!$B$17)),ISNUMBER(FIND("휴일",설정!$B$17))),INDEX(직원목록!$F$7:$F$306,MATCH(259,직원목록!$B$7:$B$306,0))&gt;0),"연장·야간·휴일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","")&amp;IF(AND(설정!$B$18&lt;&gt;"",설정!$C$18="",OR(ISNUMBER(FIND("연장",설정!$B$18)),ISNUMBER(FIND("야간",설정!$B$18)),ISNUMBER(FIND("휴일",설정!$B$18))),INDEX(직원목록!$G$7:$G$306,MATCH(259,직원목록!$B$7:$B$306,0))&gt;0),"연장·야간·휴일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","")&amp;IF(AND(설정!$B$19&lt;&gt;"",설정!$C$19="",OR(ISNUMBER(FIND("연장",설정!$B$19)),ISNUMBER(FIND("야간",설정!$B$19)),ISNUMBER(FIND("휴일",설정!$B$19))),INDEX(직원목록!$H$7:$H$306,MATCH(259,직원목록!$B$7:$B$306,0))&gt;0),"연장·야간·휴일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","")&amp;IF(AND(설정!$B$20&lt;&gt;"",설정!$C$20="",OR(ISNUMBER(FIND("연장",설정!$B$20)),ISNUMBER(FIND("야간",설정!$B$20)),ISNUMBER(FIND("휴일",설정!$B$20))),INDEX(직원목록!$I$7:$I$306,MATCH(259,직원목록!$B$7:$B$306,0))&gt;0),"연장·야간·휴일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","")&amp;IF(AND(설정!$B$21&lt;&gt;"",설정!$C$21="",OR(ISNUMBER(FIND("연장",설정!$B$21)),ISNUMBER(FIND("야간",설정!$B$21)),ISNUMBER(FIND("휴일",설정!$B$21))),INDEX(직원목록!$J$7:$J$306,MATCH(259,직원목록!$B$7:$B$306,0))&gt;0),"연장·야간·휴일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","")&amp;IF(AND(설정!$B$22&lt;&gt;"",설정!$C$22="",OR(ISNUMBER(FIND("연장",설정!$B$22)),ISNUMBER(FIND("야간",설정!$B$22)),ISNUMBER(FIND("휴일",설정!$B$22))),INDEX(직원목록!$K$7:$K$306,MATCH(259,직원목록!$B$7:$B$306,0))&gt;0),"연장·야간·휴일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","")&amp;IF(AND(설정!$B$23&lt;&gt;"",설정!$C$23="",OR(ISNUMBER(FIND("연장",설정!$B$23)),ISNUMBER(FIND("야간",설정!$B$23)),ISNUMBER(FIND("휴일",설정!$B$23))),INDEX(직원목록!$L$7:$L$306,MATCH(259,직원목록!$B$7:$B$306,0))&gt;0),"연장·야간·휴일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","")&amp;IF(AND(설정!$B$24&lt;&gt;"",설정!$C$24="",OR(ISNUMBER(FIND("연장",설정!$B$24)),ISNUMBER(FIND("야간",설정!$B$24)),ISNUMBER(FIND("휴일",설정!$B$24))),INDEX(직원목록!$M$7:$M$306,MATCH(259,직원목록!$B$7:$B$306,0))&gt;0),"연장·야간·휴일 수당은 시간 수도 명세서에 적어야 하니 시간 열 지정 필요 / ",""))))</f>
        <v/>
      </c>
    </row>
    <row r="272">
      <c r="A272" s="26">
        <f>IF(IFERROR(MATCH(260,직원목록!$B$7:$B$306,0),0)=0,"",260)</f>
        <v/>
      </c>
      <c r="B272" s="2">
        <f>IF($A272="","",IFERROR(INDEX(직원목록!$D$7:$D$306,MATCH(260,직원목록!$B$7:$B$306,0)),""))</f>
        <v/>
      </c>
      <c r="C272" s="2">
        <f>IF($A272="","",IFERROR(INDEX(직원목록!$C$7:$C$306,MATCH(260,직원목록!$B$7:$B$306,0)),""))</f>
        <v/>
      </c>
      <c r="D272" s="27">
        <f>IF($A272="","",IFERROR(INDEX(직원목록!$V$7:$V$306,MATCH(260,직원목록!$B$7:$B$306,0)),""))</f>
        <v/>
      </c>
      <c r="E272" s="27">
        <f>IF($A272="","",IFERROR(INDEX(직원목록!$AG$7:$AG$306,MATCH(260,직원목록!$B$7:$B$306,0)),""))</f>
        <v/>
      </c>
      <c r="F272" s="27">
        <f>IF(OR($A272="",E272=""),"",D272-E272)</f>
        <v/>
      </c>
      <c r="G272" s="27">
        <f>IF($A272="","",IFERROR(INDEX(직원목록!$AE$7:$AE$306,MATCH(260,직원목록!$B$7:$B$306,0)),""))</f>
        <v/>
      </c>
      <c r="H272" s="27">
        <f>IF($A272="","",IFERROR(INDEX(직원목록!$AH$7:$AH$306,MATCH(260,직원목록!$B$7:$B$306,0)),""))</f>
        <v/>
      </c>
      <c r="I272" s="27">
        <f>IF(OR($A272="",H272=""),"",G272-H272)</f>
        <v/>
      </c>
      <c r="J272" s="27">
        <f>IF($A272="","",IFERROR(INDEX(직원목록!$AF$7:$AF$306,MATCH(260,직원목록!$B$7:$B$306,0)),""))</f>
        <v/>
      </c>
      <c r="K272" s="27">
        <f>IF($A272="","",IFERROR(INDEX(직원목록!$AI$7:$AI$306,MATCH(260,직원목록!$B$7:$B$306,0)),""))</f>
        <v/>
      </c>
      <c r="L272" s="8">
        <f>IF($A272="","",IF(LEN(IF(AND(F272&lt;&gt;"",F272&lt;&gt;0),"계산 총지급과 대장 총지급이 다릅니다 / ","")&amp;IF(AND(I272&lt;&gt;"",I272&lt;&gt;0),"계산 총공제와 대장 총공제가 다릅니다 / ","")&amp;IF(J272&lt;0,"실수령액이 음수입니다 / ","")&amp;IF(COUNTIF(직원목록!$D$7:$D$306,B272)&gt;1,"같은 이름이 둘 이상 — 미리보기는 첫 번째만 보입니다 / ","")&amp;IF(AND(C272&lt;&gt;"",COUNTIF(직원목록!$C$7:$C$306,C272)&gt;1),"사번 중복 / ","")&amp;IF(D272=0,"총지급이 0원 — 머리글 매칭 확인 / ","")&amp;IF(AND(설정!$B$17&lt;&gt;"",설정!$C$17="",OR(ISNUMBER(FIND("연장",설정!$B$17)),ISNUMBER(FIND("야간",설정!$B$17)),ISNUMBER(FIND("휴일",설정!$B$17))),INDEX(직원목록!$F$7:$F$306,MATCH(260,직원목록!$B$7:$B$306,0))&gt;0),"연장·야간·휴일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","")&amp;IF(AND(설정!$B$24&lt;&gt;"",설정!$C$24="",OR(ISNUMBER(FIND("연장",설정!$B$24)),ISNUMBER(FIND("야간",설정!$B$24)),ISNUMBER(FIND("휴일",설정!$B$24))),INDEX(직원목록!$M$7:$M$306,MATCH(260,직원목록!$B$7:$B$306,0))&gt;0),"연장·야간·휴일 수당은 시간 수도 명세서에 적어야 하니 시간 열 지정 필요 / ",""))=0,"✔",("⚠ "&amp;IF(AND(F272&lt;&gt;"",F272&lt;&gt;0),"계산 총지급과 대장 총지급이 다릅니다 / ","")&amp;IF(AND(I272&lt;&gt;"",I272&lt;&gt;0),"계산 총공제와 대장 총공제가 다릅니다 / ","")&amp;IF(J272&lt;0,"실수령액이 음수입니다 / ","")&amp;IF(COUNTIF(직원목록!$D$7:$D$306,B272)&gt;1,"같은 이름이 둘 이상 — 미리보기는 첫 번째만 보입니다 / ","")&amp;IF(AND(C272&lt;&gt;"",COUNTIF(직원목록!$C$7:$C$306,C272)&gt;1),"사번 중복 / ","")&amp;IF(D272=0,"총지급이 0원 — 머리글 매칭 확인 / ","")&amp;IF(AND(설정!$B$17&lt;&gt;"",설정!$C$17="",OR(ISNUMBER(FIND("연장",설정!$B$17)),ISNUMBER(FIND("야간",설정!$B$17)),ISNUMBER(FIND("휴일",설정!$B$17))),INDEX(직원목록!$F$7:$F$306,MATCH(260,직원목록!$B$7:$B$306,0))&gt;0),"연장·야간·휴일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","")&amp;IF(AND(설정!$B$24&lt;&gt;"",설정!$C$24="",OR(ISNUMBER(FIND("연장",설정!$B$24)),ISNUMBER(FIND("야간",설정!$B$24)),ISNUMBER(FIND("휴일",설정!$B$24))),INDEX(직원목록!$M$7:$M$306,MATCH(260,직원목록!$B$7:$B$306,0))&gt;0),"연장·야간·휴일 수당은 시간 수도 명세서에 적어야 하니 시간 열 지정 필요 / ",""))))</f>
        <v/>
      </c>
    </row>
    <row r="273">
      <c r="A273" s="26">
        <f>IF(IFERROR(MATCH(261,직원목록!$B$7:$B$306,0),0)=0,"",261)</f>
        <v/>
      </c>
      <c r="B273" s="2">
        <f>IF($A273="","",IFERROR(INDEX(직원목록!$D$7:$D$306,MATCH(261,직원목록!$B$7:$B$306,0)),""))</f>
        <v/>
      </c>
      <c r="C273" s="2">
        <f>IF($A273="","",IFERROR(INDEX(직원목록!$C$7:$C$306,MATCH(261,직원목록!$B$7:$B$306,0)),""))</f>
        <v/>
      </c>
      <c r="D273" s="27">
        <f>IF($A273="","",IFERROR(INDEX(직원목록!$V$7:$V$306,MATCH(261,직원목록!$B$7:$B$306,0)),""))</f>
        <v/>
      </c>
      <c r="E273" s="27">
        <f>IF($A273="","",IFERROR(INDEX(직원목록!$AG$7:$AG$306,MATCH(261,직원목록!$B$7:$B$306,0)),""))</f>
        <v/>
      </c>
      <c r="F273" s="27">
        <f>IF(OR($A273="",E273=""),"",D273-E273)</f>
        <v/>
      </c>
      <c r="G273" s="27">
        <f>IF($A273="","",IFERROR(INDEX(직원목록!$AE$7:$AE$306,MATCH(261,직원목록!$B$7:$B$306,0)),""))</f>
        <v/>
      </c>
      <c r="H273" s="27">
        <f>IF($A273="","",IFERROR(INDEX(직원목록!$AH$7:$AH$306,MATCH(261,직원목록!$B$7:$B$306,0)),""))</f>
        <v/>
      </c>
      <c r="I273" s="27">
        <f>IF(OR($A273="",H273=""),"",G273-H273)</f>
        <v/>
      </c>
      <c r="J273" s="27">
        <f>IF($A273="","",IFERROR(INDEX(직원목록!$AF$7:$AF$306,MATCH(261,직원목록!$B$7:$B$306,0)),""))</f>
        <v/>
      </c>
      <c r="K273" s="27">
        <f>IF($A273="","",IFERROR(INDEX(직원목록!$AI$7:$AI$306,MATCH(261,직원목록!$B$7:$B$306,0)),""))</f>
        <v/>
      </c>
      <c r="L273" s="8">
        <f>IF($A273="","",IF(LEN(IF(AND(F273&lt;&gt;"",F273&lt;&gt;0),"계산 총지급과 대장 총지급이 다릅니다 / ","")&amp;IF(AND(I273&lt;&gt;"",I273&lt;&gt;0),"계산 총공제와 대장 총공제가 다릅니다 / ","")&amp;IF(J273&lt;0,"실수령액이 음수입니다 / ","")&amp;IF(COUNTIF(직원목록!$D$7:$D$306,B273)&gt;1,"같은 이름이 둘 이상 — 미리보기는 첫 번째만 보입니다 / ","")&amp;IF(AND(C273&lt;&gt;"",COUNTIF(직원목록!$C$7:$C$306,C273)&gt;1),"사번 중복 / ","")&amp;IF(D273=0,"총지급이 0원 — 머리글 매칭 확인 / ","")&amp;IF(AND(설정!$B$17&lt;&gt;"",설정!$C$17="",OR(ISNUMBER(FIND("연장",설정!$B$17)),ISNUMBER(FIND("야간",설정!$B$17)),ISNUMBER(FIND("휴일",설정!$B$17))),INDEX(직원목록!$F$7:$F$306,MATCH(261,직원목록!$B$7:$B$306,0))&gt;0),"연장·야간·휴일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","")&amp;IF(AND(설정!$B$24&lt;&gt;"",설정!$C$24="",OR(ISNUMBER(FIND("연장",설정!$B$24)),ISNUMBER(FIND("야간",설정!$B$24)),ISNUMBER(FIND("휴일",설정!$B$24))),INDEX(직원목록!$M$7:$M$306,MATCH(261,직원목록!$B$7:$B$306,0))&gt;0),"연장·야간·휴일 수당은 시간 수도 명세서에 적어야 하니 시간 열 지정 필요 / ",""))=0,"✔",("⚠ "&amp;IF(AND(F273&lt;&gt;"",F273&lt;&gt;0),"계산 총지급과 대장 총지급이 다릅니다 / ","")&amp;IF(AND(I273&lt;&gt;"",I273&lt;&gt;0),"계산 총공제와 대장 총공제가 다릅니다 / ","")&amp;IF(J273&lt;0,"실수령액이 음수입니다 / ","")&amp;IF(COUNTIF(직원목록!$D$7:$D$306,B273)&gt;1,"같은 이름이 둘 이상 — 미리보기는 첫 번째만 보입니다 / ","")&amp;IF(AND(C273&lt;&gt;"",COUNTIF(직원목록!$C$7:$C$306,C273)&gt;1),"사번 중복 / ","")&amp;IF(D273=0,"총지급이 0원 — 머리글 매칭 확인 / ","")&amp;IF(AND(설정!$B$17&lt;&gt;"",설정!$C$17="",OR(ISNUMBER(FIND("연장",설정!$B$17)),ISNUMBER(FIND("야간",설정!$B$17)),ISNUMBER(FIND("휴일",설정!$B$17))),INDEX(직원목록!$F$7:$F$306,MATCH(261,직원목록!$B$7:$B$306,0))&gt;0),"연장·야간·휴일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","")&amp;IF(AND(설정!$B$24&lt;&gt;"",설정!$C$24="",OR(ISNUMBER(FIND("연장",설정!$B$24)),ISNUMBER(FIND("야간",설정!$B$24)),ISNUMBER(FIND("휴일",설정!$B$24))),INDEX(직원목록!$M$7:$M$306,MATCH(261,직원목록!$B$7:$B$306,0))&gt;0),"연장·야간·휴일 수당은 시간 수도 명세서에 적어야 하니 시간 열 지정 필요 / ",""))))</f>
        <v/>
      </c>
    </row>
    <row r="274">
      <c r="A274" s="26">
        <f>IF(IFERROR(MATCH(262,직원목록!$B$7:$B$306,0),0)=0,"",262)</f>
        <v/>
      </c>
      <c r="B274" s="2">
        <f>IF($A274="","",IFERROR(INDEX(직원목록!$D$7:$D$306,MATCH(262,직원목록!$B$7:$B$306,0)),""))</f>
        <v/>
      </c>
      <c r="C274" s="2">
        <f>IF($A274="","",IFERROR(INDEX(직원목록!$C$7:$C$306,MATCH(262,직원목록!$B$7:$B$306,0)),""))</f>
        <v/>
      </c>
      <c r="D274" s="27">
        <f>IF($A274="","",IFERROR(INDEX(직원목록!$V$7:$V$306,MATCH(262,직원목록!$B$7:$B$306,0)),""))</f>
        <v/>
      </c>
      <c r="E274" s="27">
        <f>IF($A274="","",IFERROR(INDEX(직원목록!$AG$7:$AG$306,MATCH(262,직원목록!$B$7:$B$306,0)),""))</f>
        <v/>
      </c>
      <c r="F274" s="27">
        <f>IF(OR($A274="",E274=""),"",D274-E274)</f>
        <v/>
      </c>
      <c r="G274" s="27">
        <f>IF($A274="","",IFERROR(INDEX(직원목록!$AE$7:$AE$306,MATCH(262,직원목록!$B$7:$B$306,0)),""))</f>
        <v/>
      </c>
      <c r="H274" s="27">
        <f>IF($A274="","",IFERROR(INDEX(직원목록!$AH$7:$AH$306,MATCH(262,직원목록!$B$7:$B$306,0)),""))</f>
        <v/>
      </c>
      <c r="I274" s="27">
        <f>IF(OR($A274="",H274=""),"",G274-H274)</f>
        <v/>
      </c>
      <c r="J274" s="27">
        <f>IF($A274="","",IFERROR(INDEX(직원목록!$AF$7:$AF$306,MATCH(262,직원목록!$B$7:$B$306,0)),""))</f>
        <v/>
      </c>
      <c r="K274" s="27">
        <f>IF($A274="","",IFERROR(INDEX(직원목록!$AI$7:$AI$306,MATCH(262,직원목록!$B$7:$B$306,0)),""))</f>
        <v/>
      </c>
      <c r="L274" s="8">
        <f>IF($A274="","",IF(LEN(IF(AND(F274&lt;&gt;"",F274&lt;&gt;0),"계산 총지급과 대장 총지급이 다릅니다 / ","")&amp;IF(AND(I274&lt;&gt;"",I274&lt;&gt;0),"계산 총공제와 대장 총공제가 다릅니다 / ","")&amp;IF(J274&lt;0,"실수령액이 음수입니다 / ","")&amp;IF(COUNTIF(직원목록!$D$7:$D$306,B274)&gt;1,"같은 이름이 둘 이상 — 미리보기는 첫 번째만 보입니다 / ","")&amp;IF(AND(C274&lt;&gt;"",COUNTIF(직원목록!$C$7:$C$306,C274)&gt;1),"사번 중복 / ","")&amp;IF(D274=0,"총지급이 0원 — 머리글 매칭 확인 / ","")&amp;IF(AND(설정!$B$17&lt;&gt;"",설정!$C$17="",OR(ISNUMBER(FIND("연장",설정!$B$17)),ISNUMBER(FIND("야간",설정!$B$17)),ISNUMBER(FIND("휴일",설정!$B$17))),INDEX(직원목록!$F$7:$F$306,MATCH(262,직원목록!$B$7:$B$306,0))&gt;0),"연장·야간·휴일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","")&amp;IF(AND(설정!$B$24&lt;&gt;"",설정!$C$24="",OR(ISNUMBER(FIND("연장",설정!$B$24)),ISNUMBER(FIND("야간",설정!$B$24)),ISNUMBER(FIND("휴일",설정!$B$24))),INDEX(직원목록!$M$7:$M$306,MATCH(262,직원목록!$B$7:$B$306,0))&gt;0),"연장·야간·휴일 수당은 시간 수도 명세서에 적어야 하니 시간 열 지정 필요 / ",""))=0,"✔",("⚠ "&amp;IF(AND(F274&lt;&gt;"",F274&lt;&gt;0),"계산 총지급과 대장 총지급이 다릅니다 / ","")&amp;IF(AND(I274&lt;&gt;"",I274&lt;&gt;0),"계산 총공제와 대장 총공제가 다릅니다 / ","")&amp;IF(J274&lt;0,"실수령액이 음수입니다 / ","")&amp;IF(COUNTIF(직원목록!$D$7:$D$306,B274)&gt;1,"같은 이름이 둘 이상 — 미리보기는 첫 번째만 보입니다 / ","")&amp;IF(AND(C274&lt;&gt;"",COUNTIF(직원목록!$C$7:$C$306,C274)&gt;1),"사번 중복 / ","")&amp;IF(D274=0,"총지급이 0원 — 머리글 매칭 확인 / ","")&amp;IF(AND(설정!$B$17&lt;&gt;"",설정!$C$17="",OR(ISNUMBER(FIND("연장",설정!$B$17)),ISNUMBER(FIND("야간",설정!$B$17)),ISNUMBER(FIND("휴일",설정!$B$17))),INDEX(직원목록!$F$7:$F$306,MATCH(262,직원목록!$B$7:$B$306,0))&gt;0),"연장·야간·휴일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","")&amp;IF(AND(설정!$B$24&lt;&gt;"",설정!$C$24="",OR(ISNUMBER(FIND("연장",설정!$B$24)),ISNUMBER(FIND("야간",설정!$B$24)),ISNUMBER(FIND("휴일",설정!$B$24))),INDEX(직원목록!$M$7:$M$306,MATCH(262,직원목록!$B$7:$B$306,0))&gt;0),"연장·야간·휴일 수당은 시간 수도 명세서에 적어야 하니 시간 열 지정 필요 / ",""))))</f>
        <v/>
      </c>
    </row>
    <row r="275">
      <c r="A275" s="26">
        <f>IF(IFERROR(MATCH(263,직원목록!$B$7:$B$306,0),0)=0,"",263)</f>
        <v/>
      </c>
      <c r="B275" s="2">
        <f>IF($A275="","",IFERROR(INDEX(직원목록!$D$7:$D$306,MATCH(263,직원목록!$B$7:$B$306,0)),""))</f>
        <v/>
      </c>
      <c r="C275" s="2">
        <f>IF($A275="","",IFERROR(INDEX(직원목록!$C$7:$C$306,MATCH(263,직원목록!$B$7:$B$306,0)),""))</f>
        <v/>
      </c>
      <c r="D275" s="27">
        <f>IF($A275="","",IFERROR(INDEX(직원목록!$V$7:$V$306,MATCH(263,직원목록!$B$7:$B$306,0)),""))</f>
        <v/>
      </c>
      <c r="E275" s="27">
        <f>IF($A275="","",IFERROR(INDEX(직원목록!$AG$7:$AG$306,MATCH(263,직원목록!$B$7:$B$306,0)),""))</f>
        <v/>
      </c>
      <c r="F275" s="27">
        <f>IF(OR($A275="",E275=""),"",D275-E275)</f>
        <v/>
      </c>
      <c r="G275" s="27">
        <f>IF($A275="","",IFERROR(INDEX(직원목록!$AE$7:$AE$306,MATCH(263,직원목록!$B$7:$B$306,0)),""))</f>
        <v/>
      </c>
      <c r="H275" s="27">
        <f>IF($A275="","",IFERROR(INDEX(직원목록!$AH$7:$AH$306,MATCH(263,직원목록!$B$7:$B$306,0)),""))</f>
        <v/>
      </c>
      <c r="I275" s="27">
        <f>IF(OR($A275="",H275=""),"",G275-H275)</f>
        <v/>
      </c>
      <c r="J275" s="27">
        <f>IF($A275="","",IFERROR(INDEX(직원목록!$AF$7:$AF$306,MATCH(263,직원목록!$B$7:$B$306,0)),""))</f>
        <v/>
      </c>
      <c r="K275" s="27">
        <f>IF($A275="","",IFERROR(INDEX(직원목록!$AI$7:$AI$306,MATCH(263,직원목록!$B$7:$B$306,0)),""))</f>
        <v/>
      </c>
      <c r="L275" s="8">
        <f>IF($A275="","",IF(LEN(IF(AND(F275&lt;&gt;"",F275&lt;&gt;0),"계산 총지급과 대장 총지급이 다릅니다 / ","")&amp;IF(AND(I275&lt;&gt;"",I275&lt;&gt;0),"계산 총공제와 대장 총공제가 다릅니다 / ","")&amp;IF(J275&lt;0,"실수령액이 음수입니다 / ","")&amp;IF(COUNTIF(직원목록!$D$7:$D$306,B275)&gt;1,"같은 이름이 둘 이상 — 미리보기는 첫 번째만 보입니다 / ","")&amp;IF(AND(C275&lt;&gt;"",COUNTIF(직원목록!$C$7:$C$306,C275)&gt;1),"사번 중복 / ","")&amp;IF(D275=0,"총지급이 0원 — 머리글 매칭 확인 / ","")&amp;IF(AND(설정!$B$17&lt;&gt;"",설정!$C$17="",OR(ISNUMBER(FIND("연장",설정!$B$17)),ISNUMBER(FIND("야간",설정!$B$17)),ISNUMBER(FIND("휴일",설정!$B$17))),INDEX(직원목록!$F$7:$F$306,MATCH(263,직원목록!$B$7:$B$306,0))&gt;0),"연장·야간·휴일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","")&amp;IF(AND(설정!$B$24&lt;&gt;"",설정!$C$24="",OR(ISNUMBER(FIND("연장",설정!$B$24)),ISNUMBER(FIND("야간",설정!$B$24)),ISNUMBER(FIND("휴일",설정!$B$24))),INDEX(직원목록!$M$7:$M$306,MATCH(263,직원목록!$B$7:$B$306,0))&gt;0),"연장·야간·휴일 수당은 시간 수도 명세서에 적어야 하니 시간 열 지정 필요 / ",""))=0,"✔",("⚠ "&amp;IF(AND(F275&lt;&gt;"",F275&lt;&gt;0),"계산 총지급과 대장 총지급이 다릅니다 / ","")&amp;IF(AND(I275&lt;&gt;"",I275&lt;&gt;0),"계산 총공제와 대장 총공제가 다릅니다 / ","")&amp;IF(J275&lt;0,"실수령액이 음수입니다 / ","")&amp;IF(COUNTIF(직원목록!$D$7:$D$306,B275)&gt;1,"같은 이름이 둘 이상 — 미리보기는 첫 번째만 보입니다 / ","")&amp;IF(AND(C275&lt;&gt;"",COUNTIF(직원목록!$C$7:$C$306,C275)&gt;1),"사번 중복 / ","")&amp;IF(D275=0,"총지급이 0원 — 머리글 매칭 확인 / ","")&amp;IF(AND(설정!$B$17&lt;&gt;"",설정!$C$17="",OR(ISNUMBER(FIND("연장",설정!$B$17)),ISNUMBER(FIND("야간",설정!$B$17)),ISNUMBER(FIND("휴일",설정!$B$17))),INDEX(직원목록!$F$7:$F$306,MATCH(263,직원목록!$B$7:$B$306,0))&gt;0),"연장·야간·휴일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","")&amp;IF(AND(설정!$B$24&lt;&gt;"",설정!$C$24="",OR(ISNUMBER(FIND("연장",설정!$B$24)),ISNUMBER(FIND("야간",설정!$B$24)),ISNUMBER(FIND("휴일",설정!$B$24))),INDEX(직원목록!$M$7:$M$306,MATCH(263,직원목록!$B$7:$B$306,0))&gt;0),"연장·야간·휴일 수당은 시간 수도 명세서에 적어야 하니 시간 열 지정 필요 / ",""))))</f>
        <v/>
      </c>
    </row>
    <row r="276">
      <c r="A276" s="26">
        <f>IF(IFERROR(MATCH(264,직원목록!$B$7:$B$306,0),0)=0,"",264)</f>
        <v/>
      </c>
      <c r="B276" s="2">
        <f>IF($A276="","",IFERROR(INDEX(직원목록!$D$7:$D$306,MATCH(264,직원목록!$B$7:$B$306,0)),""))</f>
        <v/>
      </c>
      <c r="C276" s="2">
        <f>IF($A276="","",IFERROR(INDEX(직원목록!$C$7:$C$306,MATCH(264,직원목록!$B$7:$B$306,0)),""))</f>
        <v/>
      </c>
      <c r="D276" s="27">
        <f>IF($A276="","",IFERROR(INDEX(직원목록!$V$7:$V$306,MATCH(264,직원목록!$B$7:$B$306,0)),""))</f>
        <v/>
      </c>
      <c r="E276" s="27">
        <f>IF($A276="","",IFERROR(INDEX(직원목록!$AG$7:$AG$306,MATCH(264,직원목록!$B$7:$B$306,0)),""))</f>
        <v/>
      </c>
      <c r="F276" s="27">
        <f>IF(OR($A276="",E276=""),"",D276-E276)</f>
        <v/>
      </c>
      <c r="G276" s="27">
        <f>IF($A276="","",IFERROR(INDEX(직원목록!$AE$7:$AE$306,MATCH(264,직원목록!$B$7:$B$306,0)),""))</f>
        <v/>
      </c>
      <c r="H276" s="27">
        <f>IF($A276="","",IFERROR(INDEX(직원목록!$AH$7:$AH$306,MATCH(264,직원목록!$B$7:$B$306,0)),""))</f>
        <v/>
      </c>
      <c r="I276" s="27">
        <f>IF(OR($A276="",H276=""),"",G276-H276)</f>
        <v/>
      </c>
      <c r="J276" s="27">
        <f>IF($A276="","",IFERROR(INDEX(직원목록!$AF$7:$AF$306,MATCH(264,직원목록!$B$7:$B$306,0)),""))</f>
        <v/>
      </c>
      <c r="K276" s="27">
        <f>IF($A276="","",IFERROR(INDEX(직원목록!$AI$7:$AI$306,MATCH(264,직원목록!$B$7:$B$306,0)),""))</f>
        <v/>
      </c>
      <c r="L276" s="8">
        <f>IF($A276="","",IF(LEN(IF(AND(F276&lt;&gt;"",F276&lt;&gt;0),"계산 총지급과 대장 총지급이 다릅니다 / ","")&amp;IF(AND(I276&lt;&gt;"",I276&lt;&gt;0),"계산 총공제와 대장 총공제가 다릅니다 / ","")&amp;IF(J276&lt;0,"실수령액이 음수입니다 / ","")&amp;IF(COUNTIF(직원목록!$D$7:$D$306,B276)&gt;1,"같은 이름이 둘 이상 — 미리보기는 첫 번째만 보입니다 / ","")&amp;IF(AND(C276&lt;&gt;"",COUNTIF(직원목록!$C$7:$C$306,C276)&gt;1),"사번 중복 / ","")&amp;IF(D276=0,"총지급이 0원 — 머리글 매칭 확인 / ","")&amp;IF(AND(설정!$B$17&lt;&gt;"",설정!$C$17="",OR(ISNUMBER(FIND("연장",설정!$B$17)),ISNUMBER(FIND("야간",설정!$B$17)),ISNUMBER(FIND("휴일",설정!$B$17))),INDEX(직원목록!$F$7:$F$306,MATCH(264,직원목록!$B$7:$B$306,0))&gt;0),"연장·야간·휴일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","")&amp;IF(AND(설정!$B$24&lt;&gt;"",설정!$C$24="",OR(ISNUMBER(FIND("연장",설정!$B$24)),ISNUMBER(FIND("야간",설정!$B$24)),ISNUMBER(FIND("휴일",설정!$B$24))),INDEX(직원목록!$M$7:$M$306,MATCH(264,직원목록!$B$7:$B$306,0))&gt;0),"연장·야간·휴일 수당은 시간 수도 명세서에 적어야 하니 시간 열 지정 필요 / ",""))=0,"✔",("⚠ "&amp;IF(AND(F276&lt;&gt;"",F276&lt;&gt;0),"계산 총지급과 대장 총지급이 다릅니다 / ","")&amp;IF(AND(I276&lt;&gt;"",I276&lt;&gt;0),"계산 총공제와 대장 총공제가 다릅니다 / ","")&amp;IF(J276&lt;0,"실수령액이 음수입니다 / ","")&amp;IF(COUNTIF(직원목록!$D$7:$D$306,B276)&gt;1,"같은 이름이 둘 이상 — 미리보기는 첫 번째만 보입니다 / ","")&amp;IF(AND(C276&lt;&gt;"",COUNTIF(직원목록!$C$7:$C$306,C276)&gt;1),"사번 중복 / ","")&amp;IF(D276=0,"총지급이 0원 — 머리글 매칭 확인 / ","")&amp;IF(AND(설정!$B$17&lt;&gt;"",설정!$C$17="",OR(ISNUMBER(FIND("연장",설정!$B$17)),ISNUMBER(FIND("야간",설정!$B$17)),ISNUMBER(FIND("휴일",설정!$B$17))),INDEX(직원목록!$F$7:$F$306,MATCH(264,직원목록!$B$7:$B$306,0))&gt;0),"연장·야간·휴일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","")&amp;IF(AND(설정!$B$24&lt;&gt;"",설정!$C$24="",OR(ISNUMBER(FIND("연장",설정!$B$24)),ISNUMBER(FIND("야간",설정!$B$24)),ISNUMBER(FIND("휴일",설정!$B$24))),INDEX(직원목록!$M$7:$M$306,MATCH(264,직원목록!$B$7:$B$306,0))&gt;0),"연장·야간·휴일 수당은 시간 수도 명세서에 적어야 하니 시간 열 지정 필요 / ",""))))</f>
        <v/>
      </c>
    </row>
    <row r="277">
      <c r="A277" s="26">
        <f>IF(IFERROR(MATCH(265,직원목록!$B$7:$B$306,0),0)=0,"",265)</f>
        <v/>
      </c>
      <c r="B277" s="2">
        <f>IF($A277="","",IFERROR(INDEX(직원목록!$D$7:$D$306,MATCH(265,직원목록!$B$7:$B$306,0)),""))</f>
        <v/>
      </c>
      <c r="C277" s="2">
        <f>IF($A277="","",IFERROR(INDEX(직원목록!$C$7:$C$306,MATCH(265,직원목록!$B$7:$B$306,0)),""))</f>
        <v/>
      </c>
      <c r="D277" s="27">
        <f>IF($A277="","",IFERROR(INDEX(직원목록!$V$7:$V$306,MATCH(265,직원목록!$B$7:$B$306,0)),""))</f>
        <v/>
      </c>
      <c r="E277" s="27">
        <f>IF($A277="","",IFERROR(INDEX(직원목록!$AG$7:$AG$306,MATCH(265,직원목록!$B$7:$B$306,0)),""))</f>
        <v/>
      </c>
      <c r="F277" s="27">
        <f>IF(OR($A277="",E277=""),"",D277-E277)</f>
        <v/>
      </c>
      <c r="G277" s="27">
        <f>IF($A277="","",IFERROR(INDEX(직원목록!$AE$7:$AE$306,MATCH(265,직원목록!$B$7:$B$306,0)),""))</f>
        <v/>
      </c>
      <c r="H277" s="27">
        <f>IF($A277="","",IFERROR(INDEX(직원목록!$AH$7:$AH$306,MATCH(265,직원목록!$B$7:$B$306,0)),""))</f>
        <v/>
      </c>
      <c r="I277" s="27">
        <f>IF(OR($A277="",H277=""),"",G277-H277)</f>
        <v/>
      </c>
      <c r="J277" s="27">
        <f>IF($A277="","",IFERROR(INDEX(직원목록!$AF$7:$AF$306,MATCH(265,직원목록!$B$7:$B$306,0)),""))</f>
        <v/>
      </c>
      <c r="K277" s="27">
        <f>IF($A277="","",IFERROR(INDEX(직원목록!$AI$7:$AI$306,MATCH(265,직원목록!$B$7:$B$306,0)),""))</f>
        <v/>
      </c>
      <c r="L277" s="8">
        <f>IF($A277="","",IF(LEN(IF(AND(F277&lt;&gt;"",F277&lt;&gt;0),"계산 총지급과 대장 총지급이 다릅니다 / ","")&amp;IF(AND(I277&lt;&gt;"",I277&lt;&gt;0),"계산 총공제와 대장 총공제가 다릅니다 / ","")&amp;IF(J277&lt;0,"실수령액이 음수입니다 / ","")&amp;IF(COUNTIF(직원목록!$D$7:$D$306,B277)&gt;1,"같은 이름이 둘 이상 — 미리보기는 첫 번째만 보입니다 / ","")&amp;IF(AND(C277&lt;&gt;"",COUNTIF(직원목록!$C$7:$C$306,C277)&gt;1),"사번 중복 / ","")&amp;IF(D277=0,"총지급이 0원 — 머리글 매칭 확인 / ","")&amp;IF(AND(설정!$B$17&lt;&gt;"",설정!$C$17="",OR(ISNUMBER(FIND("연장",설정!$B$17)),ISNUMBER(FIND("야간",설정!$B$17)),ISNUMBER(FIND("휴일",설정!$B$17))),INDEX(직원목록!$F$7:$F$306,MATCH(265,직원목록!$B$7:$B$306,0))&gt;0),"연장·야간·휴일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","")&amp;IF(AND(설정!$B$24&lt;&gt;"",설정!$C$24="",OR(ISNUMBER(FIND("연장",설정!$B$24)),ISNUMBER(FIND("야간",설정!$B$24)),ISNUMBER(FIND("휴일",설정!$B$24))),INDEX(직원목록!$M$7:$M$306,MATCH(265,직원목록!$B$7:$B$306,0))&gt;0),"연장·야간·휴일 수당은 시간 수도 명세서에 적어야 하니 시간 열 지정 필요 / ",""))=0,"✔",("⚠ "&amp;IF(AND(F277&lt;&gt;"",F277&lt;&gt;0),"계산 총지급과 대장 총지급이 다릅니다 / ","")&amp;IF(AND(I277&lt;&gt;"",I277&lt;&gt;0),"계산 총공제와 대장 총공제가 다릅니다 / ","")&amp;IF(J277&lt;0,"실수령액이 음수입니다 / ","")&amp;IF(COUNTIF(직원목록!$D$7:$D$306,B277)&gt;1,"같은 이름이 둘 이상 — 미리보기는 첫 번째만 보입니다 / ","")&amp;IF(AND(C277&lt;&gt;"",COUNTIF(직원목록!$C$7:$C$306,C277)&gt;1),"사번 중복 / ","")&amp;IF(D277=0,"총지급이 0원 — 머리글 매칭 확인 / ","")&amp;IF(AND(설정!$B$17&lt;&gt;"",설정!$C$17="",OR(ISNUMBER(FIND("연장",설정!$B$17)),ISNUMBER(FIND("야간",설정!$B$17)),ISNUMBER(FIND("휴일",설정!$B$17))),INDEX(직원목록!$F$7:$F$306,MATCH(265,직원목록!$B$7:$B$306,0))&gt;0),"연장·야간·휴일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","")&amp;IF(AND(설정!$B$24&lt;&gt;"",설정!$C$24="",OR(ISNUMBER(FIND("연장",설정!$B$24)),ISNUMBER(FIND("야간",설정!$B$24)),ISNUMBER(FIND("휴일",설정!$B$24))),INDEX(직원목록!$M$7:$M$306,MATCH(265,직원목록!$B$7:$B$306,0))&gt;0),"연장·야간·휴일 수당은 시간 수도 명세서에 적어야 하니 시간 열 지정 필요 / ",""))))</f>
        <v/>
      </c>
    </row>
    <row r="278">
      <c r="A278" s="26">
        <f>IF(IFERROR(MATCH(266,직원목록!$B$7:$B$306,0),0)=0,"",266)</f>
        <v/>
      </c>
      <c r="B278" s="2">
        <f>IF($A278="","",IFERROR(INDEX(직원목록!$D$7:$D$306,MATCH(266,직원목록!$B$7:$B$306,0)),""))</f>
        <v/>
      </c>
      <c r="C278" s="2">
        <f>IF($A278="","",IFERROR(INDEX(직원목록!$C$7:$C$306,MATCH(266,직원목록!$B$7:$B$306,0)),""))</f>
        <v/>
      </c>
      <c r="D278" s="27">
        <f>IF($A278="","",IFERROR(INDEX(직원목록!$V$7:$V$306,MATCH(266,직원목록!$B$7:$B$306,0)),""))</f>
        <v/>
      </c>
      <c r="E278" s="27">
        <f>IF($A278="","",IFERROR(INDEX(직원목록!$AG$7:$AG$306,MATCH(266,직원목록!$B$7:$B$306,0)),""))</f>
        <v/>
      </c>
      <c r="F278" s="27">
        <f>IF(OR($A278="",E278=""),"",D278-E278)</f>
        <v/>
      </c>
      <c r="G278" s="27">
        <f>IF($A278="","",IFERROR(INDEX(직원목록!$AE$7:$AE$306,MATCH(266,직원목록!$B$7:$B$306,0)),""))</f>
        <v/>
      </c>
      <c r="H278" s="27">
        <f>IF($A278="","",IFERROR(INDEX(직원목록!$AH$7:$AH$306,MATCH(266,직원목록!$B$7:$B$306,0)),""))</f>
        <v/>
      </c>
      <c r="I278" s="27">
        <f>IF(OR($A278="",H278=""),"",G278-H278)</f>
        <v/>
      </c>
      <c r="J278" s="27">
        <f>IF($A278="","",IFERROR(INDEX(직원목록!$AF$7:$AF$306,MATCH(266,직원목록!$B$7:$B$306,0)),""))</f>
        <v/>
      </c>
      <c r="K278" s="27">
        <f>IF($A278="","",IFERROR(INDEX(직원목록!$AI$7:$AI$306,MATCH(266,직원목록!$B$7:$B$306,0)),""))</f>
        <v/>
      </c>
      <c r="L278" s="8">
        <f>IF($A278="","",IF(LEN(IF(AND(F278&lt;&gt;"",F278&lt;&gt;0),"계산 총지급과 대장 총지급이 다릅니다 / ","")&amp;IF(AND(I278&lt;&gt;"",I278&lt;&gt;0),"계산 총공제와 대장 총공제가 다릅니다 / ","")&amp;IF(J278&lt;0,"실수령액이 음수입니다 / ","")&amp;IF(COUNTIF(직원목록!$D$7:$D$306,B278)&gt;1,"같은 이름이 둘 이상 — 미리보기는 첫 번째만 보입니다 / ","")&amp;IF(AND(C278&lt;&gt;"",COUNTIF(직원목록!$C$7:$C$306,C278)&gt;1),"사번 중복 / ","")&amp;IF(D278=0,"총지급이 0원 — 머리글 매칭 확인 / ","")&amp;IF(AND(설정!$B$17&lt;&gt;"",설정!$C$17="",OR(ISNUMBER(FIND("연장",설정!$B$17)),ISNUMBER(FIND("야간",설정!$B$17)),ISNUMBER(FIND("휴일",설정!$B$17))),INDEX(직원목록!$F$7:$F$306,MATCH(266,직원목록!$B$7:$B$306,0))&gt;0),"연장·야간·휴일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","")&amp;IF(AND(설정!$B$24&lt;&gt;"",설정!$C$24="",OR(ISNUMBER(FIND("연장",설정!$B$24)),ISNUMBER(FIND("야간",설정!$B$24)),ISNUMBER(FIND("휴일",설정!$B$24))),INDEX(직원목록!$M$7:$M$306,MATCH(266,직원목록!$B$7:$B$306,0))&gt;0),"연장·야간·휴일 수당은 시간 수도 명세서에 적어야 하니 시간 열 지정 필요 / ",""))=0,"✔",("⚠ "&amp;IF(AND(F278&lt;&gt;"",F278&lt;&gt;0),"계산 총지급과 대장 총지급이 다릅니다 / ","")&amp;IF(AND(I278&lt;&gt;"",I278&lt;&gt;0),"계산 총공제와 대장 총공제가 다릅니다 / ","")&amp;IF(J278&lt;0,"실수령액이 음수입니다 / ","")&amp;IF(COUNTIF(직원목록!$D$7:$D$306,B278)&gt;1,"같은 이름이 둘 이상 — 미리보기는 첫 번째만 보입니다 / ","")&amp;IF(AND(C278&lt;&gt;"",COUNTIF(직원목록!$C$7:$C$306,C278)&gt;1),"사번 중복 / ","")&amp;IF(D278=0,"총지급이 0원 — 머리글 매칭 확인 / ","")&amp;IF(AND(설정!$B$17&lt;&gt;"",설정!$C$17="",OR(ISNUMBER(FIND("연장",설정!$B$17)),ISNUMBER(FIND("야간",설정!$B$17)),ISNUMBER(FIND("휴일",설정!$B$17))),INDEX(직원목록!$F$7:$F$306,MATCH(266,직원목록!$B$7:$B$306,0))&gt;0),"연장·야간·휴일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","")&amp;IF(AND(설정!$B$24&lt;&gt;"",설정!$C$24="",OR(ISNUMBER(FIND("연장",설정!$B$24)),ISNUMBER(FIND("야간",설정!$B$24)),ISNUMBER(FIND("휴일",설정!$B$24))),INDEX(직원목록!$M$7:$M$306,MATCH(266,직원목록!$B$7:$B$306,0))&gt;0),"연장·야간·휴일 수당은 시간 수도 명세서에 적어야 하니 시간 열 지정 필요 / ",""))))</f>
        <v/>
      </c>
    </row>
    <row r="279">
      <c r="A279" s="26">
        <f>IF(IFERROR(MATCH(267,직원목록!$B$7:$B$306,0),0)=0,"",267)</f>
        <v/>
      </c>
      <c r="B279" s="2">
        <f>IF($A279="","",IFERROR(INDEX(직원목록!$D$7:$D$306,MATCH(267,직원목록!$B$7:$B$306,0)),""))</f>
        <v/>
      </c>
      <c r="C279" s="2">
        <f>IF($A279="","",IFERROR(INDEX(직원목록!$C$7:$C$306,MATCH(267,직원목록!$B$7:$B$306,0)),""))</f>
        <v/>
      </c>
      <c r="D279" s="27">
        <f>IF($A279="","",IFERROR(INDEX(직원목록!$V$7:$V$306,MATCH(267,직원목록!$B$7:$B$306,0)),""))</f>
        <v/>
      </c>
      <c r="E279" s="27">
        <f>IF($A279="","",IFERROR(INDEX(직원목록!$AG$7:$AG$306,MATCH(267,직원목록!$B$7:$B$306,0)),""))</f>
        <v/>
      </c>
      <c r="F279" s="27">
        <f>IF(OR($A279="",E279=""),"",D279-E279)</f>
        <v/>
      </c>
      <c r="G279" s="27">
        <f>IF($A279="","",IFERROR(INDEX(직원목록!$AE$7:$AE$306,MATCH(267,직원목록!$B$7:$B$306,0)),""))</f>
        <v/>
      </c>
      <c r="H279" s="27">
        <f>IF($A279="","",IFERROR(INDEX(직원목록!$AH$7:$AH$306,MATCH(267,직원목록!$B$7:$B$306,0)),""))</f>
        <v/>
      </c>
      <c r="I279" s="27">
        <f>IF(OR($A279="",H279=""),"",G279-H279)</f>
        <v/>
      </c>
      <c r="J279" s="27">
        <f>IF($A279="","",IFERROR(INDEX(직원목록!$AF$7:$AF$306,MATCH(267,직원목록!$B$7:$B$306,0)),""))</f>
        <v/>
      </c>
      <c r="K279" s="27">
        <f>IF($A279="","",IFERROR(INDEX(직원목록!$AI$7:$AI$306,MATCH(267,직원목록!$B$7:$B$306,0)),""))</f>
        <v/>
      </c>
      <c r="L279" s="8">
        <f>IF($A279="","",IF(LEN(IF(AND(F279&lt;&gt;"",F279&lt;&gt;0),"계산 총지급과 대장 총지급이 다릅니다 / ","")&amp;IF(AND(I279&lt;&gt;"",I279&lt;&gt;0),"계산 총공제와 대장 총공제가 다릅니다 / ","")&amp;IF(J279&lt;0,"실수령액이 음수입니다 / ","")&amp;IF(COUNTIF(직원목록!$D$7:$D$306,B279)&gt;1,"같은 이름이 둘 이상 — 미리보기는 첫 번째만 보입니다 / ","")&amp;IF(AND(C279&lt;&gt;"",COUNTIF(직원목록!$C$7:$C$306,C279)&gt;1),"사번 중복 / ","")&amp;IF(D279=0,"총지급이 0원 — 머리글 매칭 확인 / ","")&amp;IF(AND(설정!$B$17&lt;&gt;"",설정!$C$17="",OR(ISNUMBER(FIND("연장",설정!$B$17)),ISNUMBER(FIND("야간",설정!$B$17)),ISNUMBER(FIND("휴일",설정!$B$17))),INDEX(직원목록!$F$7:$F$306,MATCH(267,직원목록!$B$7:$B$306,0))&gt;0),"연장·야간·휴일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","")&amp;IF(AND(설정!$B$24&lt;&gt;"",설정!$C$24="",OR(ISNUMBER(FIND("연장",설정!$B$24)),ISNUMBER(FIND("야간",설정!$B$24)),ISNUMBER(FIND("휴일",설정!$B$24))),INDEX(직원목록!$M$7:$M$306,MATCH(267,직원목록!$B$7:$B$306,0))&gt;0),"연장·야간·휴일 수당은 시간 수도 명세서에 적어야 하니 시간 열 지정 필요 / ",""))=0,"✔",("⚠ "&amp;IF(AND(F279&lt;&gt;"",F279&lt;&gt;0),"계산 총지급과 대장 총지급이 다릅니다 / ","")&amp;IF(AND(I279&lt;&gt;"",I279&lt;&gt;0),"계산 총공제와 대장 총공제가 다릅니다 / ","")&amp;IF(J279&lt;0,"실수령액이 음수입니다 / ","")&amp;IF(COUNTIF(직원목록!$D$7:$D$306,B279)&gt;1,"같은 이름이 둘 이상 — 미리보기는 첫 번째만 보입니다 / ","")&amp;IF(AND(C279&lt;&gt;"",COUNTIF(직원목록!$C$7:$C$306,C279)&gt;1),"사번 중복 / ","")&amp;IF(D279=0,"총지급이 0원 — 머리글 매칭 확인 / ","")&amp;IF(AND(설정!$B$17&lt;&gt;"",설정!$C$17="",OR(ISNUMBER(FIND("연장",설정!$B$17)),ISNUMBER(FIND("야간",설정!$B$17)),ISNUMBER(FIND("휴일",설정!$B$17))),INDEX(직원목록!$F$7:$F$306,MATCH(267,직원목록!$B$7:$B$306,0))&gt;0),"연장·야간·휴일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","")&amp;IF(AND(설정!$B$24&lt;&gt;"",설정!$C$24="",OR(ISNUMBER(FIND("연장",설정!$B$24)),ISNUMBER(FIND("야간",설정!$B$24)),ISNUMBER(FIND("휴일",설정!$B$24))),INDEX(직원목록!$M$7:$M$306,MATCH(267,직원목록!$B$7:$B$306,0))&gt;0),"연장·야간·휴일 수당은 시간 수도 명세서에 적어야 하니 시간 열 지정 필요 / ",""))))</f>
        <v/>
      </c>
    </row>
    <row r="280">
      <c r="A280" s="26">
        <f>IF(IFERROR(MATCH(268,직원목록!$B$7:$B$306,0),0)=0,"",268)</f>
        <v/>
      </c>
      <c r="B280" s="2">
        <f>IF($A280="","",IFERROR(INDEX(직원목록!$D$7:$D$306,MATCH(268,직원목록!$B$7:$B$306,0)),""))</f>
        <v/>
      </c>
      <c r="C280" s="2">
        <f>IF($A280="","",IFERROR(INDEX(직원목록!$C$7:$C$306,MATCH(268,직원목록!$B$7:$B$306,0)),""))</f>
        <v/>
      </c>
      <c r="D280" s="27">
        <f>IF($A280="","",IFERROR(INDEX(직원목록!$V$7:$V$306,MATCH(268,직원목록!$B$7:$B$306,0)),""))</f>
        <v/>
      </c>
      <c r="E280" s="27">
        <f>IF($A280="","",IFERROR(INDEX(직원목록!$AG$7:$AG$306,MATCH(268,직원목록!$B$7:$B$306,0)),""))</f>
        <v/>
      </c>
      <c r="F280" s="27">
        <f>IF(OR($A280="",E280=""),"",D280-E280)</f>
        <v/>
      </c>
      <c r="G280" s="27">
        <f>IF($A280="","",IFERROR(INDEX(직원목록!$AE$7:$AE$306,MATCH(268,직원목록!$B$7:$B$306,0)),""))</f>
        <v/>
      </c>
      <c r="H280" s="27">
        <f>IF($A280="","",IFERROR(INDEX(직원목록!$AH$7:$AH$306,MATCH(268,직원목록!$B$7:$B$306,0)),""))</f>
        <v/>
      </c>
      <c r="I280" s="27">
        <f>IF(OR($A280="",H280=""),"",G280-H280)</f>
        <v/>
      </c>
      <c r="J280" s="27">
        <f>IF($A280="","",IFERROR(INDEX(직원목록!$AF$7:$AF$306,MATCH(268,직원목록!$B$7:$B$306,0)),""))</f>
        <v/>
      </c>
      <c r="K280" s="27">
        <f>IF($A280="","",IFERROR(INDEX(직원목록!$AI$7:$AI$306,MATCH(268,직원목록!$B$7:$B$306,0)),""))</f>
        <v/>
      </c>
      <c r="L280" s="8">
        <f>IF($A280="","",IF(LEN(IF(AND(F280&lt;&gt;"",F280&lt;&gt;0),"계산 총지급과 대장 총지급이 다릅니다 / ","")&amp;IF(AND(I280&lt;&gt;"",I280&lt;&gt;0),"계산 총공제와 대장 총공제가 다릅니다 / ","")&amp;IF(J280&lt;0,"실수령액이 음수입니다 / ","")&amp;IF(COUNTIF(직원목록!$D$7:$D$306,B280)&gt;1,"같은 이름이 둘 이상 — 미리보기는 첫 번째만 보입니다 / ","")&amp;IF(AND(C280&lt;&gt;"",COUNTIF(직원목록!$C$7:$C$306,C280)&gt;1),"사번 중복 / ","")&amp;IF(D280=0,"총지급이 0원 — 머리글 매칭 확인 / ","")&amp;IF(AND(설정!$B$17&lt;&gt;"",설정!$C$17="",OR(ISNUMBER(FIND("연장",설정!$B$17)),ISNUMBER(FIND("야간",설정!$B$17)),ISNUMBER(FIND("휴일",설정!$B$17))),INDEX(직원목록!$F$7:$F$306,MATCH(268,직원목록!$B$7:$B$306,0))&gt;0),"연장·야간·휴일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","")&amp;IF(AND(설정!$B$24&lt;&gt;"",설정!$C$24="",OR(ISNUMBER(FIND("연장",설정!$B$24)),ISNUMBER(FIND("야간",설정!$B$24)),ISNUMBER(FIND("휴일",설정!$B$24))),INDEX(직원목록!$M$7:$M$306,MATCH(268,직원목록!$B$7:$B$306,0))&gt;0),"연장·야간·휴일 수당은 시간 수도 명세서에 적어야 하니 시간 열 지정 필요 / ",""))=0,"✔",("⚠ "&amp;IF(AND(F280&lt;&gt;"",F280&lt;&gt;0),"계산 총지급과 대장 총지급이 다릅니다 / ","")&amp;IF(AND(I280&lt;&gt;"",I280&lt;&gt;0),"계산 총공제와 대장 총공제가 다릅니다 / ","")&amp;IF(J280&lt;0,"실수령액이 음수입니다 / ","")&amp;IF(COUNTIF(직원목록!$D$7:$D$306,B280)&gt;1,"같은 이름이 둘 이상 — 미리보기는 첫 번째만 보입니다 / ","")&amp;IF(AND(C280&lt;&gt;"",COUNTIF(직원목록!$C$7:$C$306,C280)&gt;1),"사번 중복 / ","")&amp;IF(D280=0,"총지급이 0원 — 머리글 매칭 확인 / ","")&amp;IF(AND(설정!$B$17&lt;&gt;"",설정!$C$17="",OR(ISNUMBER(FIND("연장",설정!$B$17)),ISNUMBER(FIND("야간",설정!$B$17)),ISNUMBER(FIND("휴일",설정!$B$17))),INDEX(직원목록!$F$7:$F$306,MATCH(268,직원목록!$B$7:$B$306,0))&gt;0),"연장·야간·휴일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","")&amp;IF(AND(설정!$B$24&lt;&gt;"",설정!$C$24="",OR(ISNUMBER(FIND("연장",설정!$B$24)),ISNUMBER(FIND("야간",설정!$B$24)),ISNUMBER(FIND("휴일",설정!$B$24))),INDEX(직원목록!$M$7:$M$306,MATCH(268,직원목록!$B$7:$B$306,0))&gt;0),"연장·야간·휴일 수당은 시간 수도 명세서에 적어야 하니 시간 열 지정 필요 / ",""))))</f>
        <v/>
      </c>
    </row>
    <row r="281">
      <c r="A281" s="26">
        <f>IF(IFERROR(MATCH(269,직원목록!$B$7:$B$306,0),0)=0,"",269)</f>
        <v/>
      </c>
      <c r="B281" s="2">
        <f>IF($A281="","",IFERROR(INDEX(직원목록!$D$7:$D$306,MATCH(269,직원목록!$B$7:$B$306,0)),""))</f>
        <v/>
      </c>
      <c r="C281" s="2">
        <f>IF($A281="","",IFERROR(INDEX(직원목록!$C$7:$C$306,MATCH(269,직원목록!$B$7:$B$306,0)),""))</f>
        <v/>
      </c>
      <c r="D281" s="27">
        <f>IF($A281="","",IFERROR(INDEX(직원목록!$V$7:$V$306,MATCH(269,직원목록!$B$7:$B$306,0)),""))</f>
        <v/>
      </c>
      <c r="E281" s="27">
        <f>IF($A281="","",IFERROR(INDEX(직원목록!$AG$7:$AG$306,MATCH(269,직원목록!$B$7:$B$306,0)),""))</f>
        <v/>
      </c>
      <c r="F281" s="27">
        <f>IF(OR($A281="",E281=""),"",D281-E281)</f>
        <v/>
      </c>
      <c r="G281" s="27">
        <f>IF($A281="","",IFERROR(INDEX(직원목록!$AE$7:$AE$306,MATCH(269,직원목록!$B$7:$B$306,0)),""))</f>
        <v/>
      </c>
      <c r="H281" s="27">
        <f>IF($A281="","",IFERROR(INDEX(직원목록!$AH$7:$AH$306,MATCH(269,직원목록!$B$7:$B$306,0)),""))</f>
        <v/>
      </c>
      <c r="I281" s="27">
        <f>IF(OR($A281="",H281=""),"",G281-H281)</f>
        <v/>
      </c>
      <c r="J281" s="27">
        <f>IF($A281="","",IFERROR(INDEX(직원목록!$AF$7:$AF$306,MATCH(269,직원목록!$B$7:$B$306,0)),""))</f>
        <v/>
      </c>
      <c r="K281" s="27">
        <f>IF($A281="","",IFERROR(INDEX(직원목록!$AI$7:$AI$306,MATCH(269,직원목록!$B$7:$B$306,0)),""))</f>
        <v/>
      </c>
      <c r="L281" s="8">
        <f>IF($A281="","",IF(LEN(IF(AND(F281&lt;&gt;"",F281&lt;&gt;0),"계산 총지급과 대장 총지급이 다릅니다 / ","")&amp;IF(AND(I281&lt;&gt;"",I281&lt;&gt;0),"계산 총공제와 대장 총공제가 다릅니다 / ","")&amp;IF(J281&lt;0,"실수령액이 음수입니다 / ","")&amp;IF(COUNTIF(직원목록!$D$7:$D$306,B281)&gt;1,"같은 이름이 둘 이상 — 미리보기는 첫 번째만 보입니다 / ","")&amp;IF(AND(C281&lt;&gt;"",COUNTIF(직원목록!$C$7:$C$306,C281)&gt;1),"사번 중복 / ","")&amp;IF(D281=0,"총지급이 0원 — 머리글 매칭 확인 / ","")&amp;IF(AND(설정!$B$17&lt;&gt;"",설정!$C$17="",OR(ISNUMBER(FIND("연장",설정!$B$17)),ISNUMBER(FIND("야간",설정!$B$17)),ISNUMBER(FIND("휴일",설정!$B$17))),INDEX(직원목록!$F$7:$F$306,MATCH(269,직원목록!$B$7:$B$306,0))&gt;0),"연장·야간·휴일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","")&amp;IF(AND(설정!$B$24&lt;&gt;"",설정!$C$24="",OR(ISNUMBER(FIND("연장",설정!$B$24)),ISNUMBER(FIND("야간",설정!$B$24)),ISNUMBER(FIND("휴일",설정!$B$24))),INDEX(직원목록!$M$7:$M$306,MATCH(269,직원목록!$B$7:$B$306,0))&gt;0),"연장·야간·휴일 수당은 시간 수도 명세서에 적어야 하니 시간 열 지정 필요 / ",""))=0,"✔",("⚠ "&amp;IF(AND(F281&lt;&gt;"",F281&lt;&gt;0),"계산 총지급과 대장 총지급이 다릅니다 / ","")&amp;IF(AND(I281&lt;&gt;"",I281&lt;&gt;0),"계산 총공제와 대장 총공제가 다릅니다 / ","")&amp;IF(J281&lt;0,"실수령액이 음수입니다 / ","")&amp;IF(COUNTIF(직원목록!$D$7:$D$306,B281)&gt;1,"같은 이름이 둘 이상 — 미리보기는 첫 번째만 보입니다 / ","")&amp;IF(AND(C281&lt;&gt;"",COUNTIF(직원목록!$C$7:$C$306,C281)&gt;1),"사번 중복 / ","")&amp;IF(D281=0,"총지급이 0원 — 머리글 매칭 확인 / ","")&amp;IF(AND(설정!$B$17&lt;&gt;"",설정!$C$17="",OR(ISNUMBER(FIND("연장",설정!$B$17)),ISNUMBER(FIND("야간",설정!$B$17)),ISNUMBER(FIND("휴일",설정!$B$17))),INDEX(직원목록!$F$7:$F$306,MATCH(269,직원목록!$B$7:$B$306,0))&gt;0),"연장·야간·휴일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","")&amp;IF(AND(설정!$B$18&lt;&gt;"",설정!$C$18="",OR(ISNUMBER(FIND("연장",설정!$B$18)),ISNUMBER(FIND("야간",설정!$B$18)),ISNUMBER(FIND("휴일",설정!$B$18))),INDEX(직원목록!$G$7:$G$306,MATCH(269,직원목록!$B$7:$B$306,0))&gt;0),"연장·야간·휴일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","")&amp;IF(AND(설정!$B$19&lt;&gt;"",설정!$C$19="",OR(ISNUMBER(FIND("연장",설정!$B$19)),ISNUMBER(FIND("야간",설정!$B$19)),ISNUMBER(FIND("휴일",설정!$B$19))),INDEX(직원목록!$H$7:$H$306,MATCH(269,직원목록!$B$7:$B$306,0))&gt;0),"연장·야간·휴일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","")&amp;IF(AND(설정!$B$20&lt;&gt;"",설정!$C$20="",OR(ISNUMBER(FIND("연장",설정!$B$20)),ISNUMBER(FIND("야간",설정!$B$20)),ISNUMBER(FIND("휴일",설정!$B$20))),INDEX(직원목록!$I$7:$I$306,MATCH(269,직원목록!$B$7:$B$306,0))&gt;0),"연장·야간·휴일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","")&amp;IF(AND(설정!$B$21&lt;&gt;"",설정!$C$21="",OR(ISNUMBER(FIND("연장",설정!$B$21)),ISNUMBER(FIND("야간",설정!$B$21)),ISNUMBER(FIND("휴일",설정!$B$21))),INDEX(직원목록!$J$7:$J$306,MATCH(269,직원목록!$B$7:$B$306,0))&gt;0),"연장·야간·휴일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","")&amp;IF(AND(설정!$B$22&lt;&gt;"",설정!$C$22="",OR(ISNUMBER(FIND("연장",설정!$B$22)),ISNUMBER(FIND("야간",설정!$B$22)),ISNUMBER(FIND("휴일",설정!$B$22))),INDEX(직원목록!$K$7:$K$306,MATCH(269,직원목록!$B$7:$B$306,0))&gt;0),"연장·야간·휴일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","")&amp;IF(AND(설정!$B$23&lt;&gt;"",설정!$C$23="",OR(ISNUMBER(FIND("연장",설정!$B$23)),ISNUMBER(FIND("야간",설정!$B$23)),ISNUMBER(FIND("휴일",설정!$B$23))),INDEX(직원목록!$L$7:$L$306,MATCH(269,직원목록!$B$7:$B$306,0))&gt;0),"연장·야간·휴일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","")&amp;IF(AND(설정!$B$24&lt;&gt;"",설정!$C$24="",OR(ISNUMBER(FIND("연장",설정!$B$24)),ISNUMBER(FIND("야간",설정!$B$24)),ISNUMBER(FIND("휴일",설정!$B$24))),INDEX(직원목록!$M$7:$M$306,MATCH(269,직원목록!$B$7:$B$306,0))&gt;0),"연장·야간·휴일 수당은 시간 수도 명세서에 적어야 하니 시간 열 지정 필요 / ",""))))</f>
        <v/>
      </c>
    </row>
    <row r="282">
      <c r="A282" s="26">
        <f>IF(IFERROR(MATCH(270,직원목록!$B$7:$B$306,0),0)=0,"",270)</f>
        <v/>
      </c>
      <c r="B282" s="2">
        <f>IF($A282="","",IFERROR(INDEX(직원목록!$D$7:$D$306,MATCH(270,직원목록!$B$7:$B$306,0)),""))</f>
        <v/>
      </c>
      <c r="C282" s="2">
        <f>IF($A282="","",IFERROR(INDEX(직원목록!$C$7:$C$306,MATCH(270,직원목록!$B$7:$B$306,0)),""))</f>
        <v/>
      </c>
      <c r="D282" s="27">
        <f>IF($A282="","",IFERROR(INDEX(직원목록!$V$7:$V$306,MATCH(270,직원목록!$B$7:$B$306,0)),""))</f>
        <v/>
      </c>
      <c r="E282" s="27">
        <f>IF($A282="","",IFERROR(INDEX(직원목록!$AG$7:$AG$306,MATCH(270,직원목록!$B$7:$B$306,0)),""))</f>
        <v/>
      </c>
      <c r="F282" s="27">
        <f>IF(OR($A282="",E282=""),"",D282-E282)</f>
        <v/>
      </c>
      <c r="G282" s="27">
        <f>IF($A282="","",IFERROR(INDEX(직원목록!$AE$7:$AE$306,MATCH(270,직원목록!$B$7:$B$306,0)),""))</f>
        <v/>
      </c>
      <c r="H282" s="27">
        <f>IF($A282="","",IFERROR(INDEX(직원목록!$AH$7:$AH$306,MATCH(270,직원목록!$B$7:$B$306,0)),""))</f>
        <v/>
      </c>
      <c r="I282" s="27">
        <f>IF(OR($A282="",H282=""),"",G282-H282)</f>
        <v/>
      </c>
      <c r="J282" s="27">
        <f>IF($A282="","",IFERROR(INDEX(직원목록!$AF$7:$AF$306,MATCH(270,직원목록!$B$7:$B$306,0)),""))</f>
        <v/>
      </c>
      <c r="K282" s="27">
        <f>IF($A282="","",IFERROR(INDEX(직원목록!$AI$7:$AI$306,MATCH(270,직원목록!$B$7:$B$306,0)),""))</f>
        <v/>
      </c>
      <c r="L282" s="8">
        <f>IF($A282="","",IF(LEN(IF(AND(F282&lt;&gt;"",F282&lt;&gt;0),"계산 총지급과 대장 총지급이 다릅니다 / ","")&amp;IF(AND(I282&lt;&gt;"",I282&lt;&gt;0),"계산 총공제와 대장 총공제가 다릅니다 / ","")&amp;IF(J282&lt;0,"실수령액이 음수입니다 / ","")&amp;IF(COUNTIF(직원목록!$D$7:$D$306,B282)&gt;1,"같은 이름이 둘 이상 — 미리보기는 첫 번째만 보입니다 / ","")&amp;IF(AND(C282&lt;&gt;"",COUNTIF(직원목록!$C$7:$C$306,C282)&gt;1),"사번 중복 / ","")&amp;IF(D282=0,"총지급이 0원 — 머리글 매칭 확인 / ","")&amp;IF(AND(설정!$B$17&lt;&gt;"",설정!$C$17="",OR(ISNUMBER(FIND("연장",설정!$B$17)),ISNUMBER(FIND("야간",설정!$B$17)),ISNUMBER(FIND("휴일",설정!$B$17))),INDEX(직원목록!$F$7:$F$306,MATCH(270,직원목록!$B$7:$B$306,0))&gt;0),"연장·야간·휴일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","")&amp;IF(AND(설정!$B$24&lt;&gt;"",설정!$C$24="",OR(ISNUMBER(FIND("연장",설정!$B$24)),ISNUMBER(FIND("야간",설정!$B$24)),ISNUMBER(FIND("휴일",설정!$B$24))),INDEX(직원목록!$M$7:$M$306,MATCH(270,직원목록!$B$7:$B$306,0))&gt;0),"연장·야간·휴일 수당은 시간 수도 명세서에 적어야 하니 시간 열 지정 필요 / ",""))=0,"✔",("⚠ "&amp;IF(AND(F282&lt;&gt;"",F282&lt;&gt;0),"계산 총지급과 대장 총지급이 다릅니다 / ","")&amp;IF(AND(I282&lt;&gt;"",I282&lt;&gt;0),"계산 총공제와 대장 총공제가 다릅니다 / ","")&amp;IF(J282&lt;0,"실수령액이 음수입니다 / ","")&amp;IF(COUNTIF(직원목록!$D$7:$D$306,B282)&gt;1,"같은 이름이 둘 이상 — 미리보기는 첫 번째만 보입니다 / ","")&amp;IF(AND(C282&lt;&gt;"",COUNTIF(직원목록!$C$7:$C$306,C282)&gt;1),"사번 중복 / ","")&amp;IF(D282=0,"총지급이 0원 — 머리글 매칭 확인 / ","")&amp;IF(AND(설정!$B$17&lt;&gt;"",설정!$C$17="",OR(ISNUMBER(FIND("연장",설정!$B$17)),ISNUMBER(FIND("야간",설정!$B$17)),ISNUMBER(FIND("휴일",설정!$B$17))),INDEX(직원목록!$F$7:$F$306,MATCH(270,직원목록!$B$7:$B$306,0))&gt;0),"연장·야간·휴일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","")&amp;IF(AND(설정!$B$24&lt;&gt;"",설정!$C$24="",OR(ISNUMBER(FIND("연장",설정!$B$24)),ISNUMBER(FIND("야간",설정!$B$24)),ISNUMBER(FIND("휴일",설정!$B$24))),INDEX(직원목록!$M$7:$M$306,MATCH(270,직원목록!$B$7:$B$306,0))&gt;0),"연장·야간·휴일 수당은 시간 수도 명세서에 적어야 하니 시간 열 지정 필요 / ",""))))</f>
        <v/>
      </c>
    </row>
    <row r="283">
      <c r="A283" s="26">
        <f>IF(IFERROR(MATCH(271,직원목록!$B$7:$B$306,0),0)=0,"",271)</f>
        <v/>
      </c>
      <c r="B283" s="2">
        <f>IF($A283="","",IFERROR(INDEX(직원목록!$D$7:$D$306,MATCH(271,직원목록!$B$7:$B$306,0)),""))</f>
        <v/>
      </c>
      <c r="C283" s="2">
        <f>IF($A283="","",IFERROR(INDEX(직원목록!$C$7:$C$306,MATCH(271,직원목록!$B$7:$B$306,0)),""))</f>
        <v/>
      </c>
      <c r="D283" s="27">
        <f>IF($A283="","",IFERROR(INDEX(직원목록!$V$7:$V$306,MATCH(271,직원목록!$B$7:$B$306,0)),""))</f>
        <v/>
      </c>
      <c r="E283" s="27">
        <f>IF($A283="","",IFERROR(INDEX(직원목록!$AG$7:$AG$306,MATCH(271,직원목록!$B$7:$B$306,0)),""))</f>
        <v/>
      </c>
      <c r="F283" s="27">
        <f>IF(OR($A283="",E283=""),"",D283-E283)</f>
        <v/>
      </c>
      <c r="G283" s="27">
        <f>IF($A283="","",IFERROR(INDEX(직원목록!$AE$7:$AE$306,MATCH(271,직원목록!$B$7:$B$306,0)),""))</f>
        <v/>
      </c>
      <c r="H283" s="27">
        <f>IF($A283="","",IFERROR(INDEX(직원목록!$AH$7:$AH$306,MATCH(271,직원목록!$B$7:$B$306,0)),""))</f>
        <v/>
      </c>
      <c r="I283" s="27">
        <f>IF(OR($A283="",H283=""),"",G283-H283)</f>
        <v/>
      </c>
      <c r="J283" s="27">
        <f>IF($A283="","",IFERROR(INDEX(직원목록!$AF$7:$AF$306,MATCH(271,직원목록!$B$7:$B$306,0)),""))</f>
        <v/>
      </c>
      <c r="K283" s="27">
        <f>IF($A283="","",IFERROR(INDEX(직원목록!$AI$7:$AI$306,MATCH(271,직원목록!$B$7:$B$306,0)),""))</f>
        <v/>
      </c>
      <c r="L283" s="8">
        <f>IF($A283="","",IF(LEN(IF(AND(F283&lt;&gt;"",F283&lt;&gt;0),"계산 총지급과 대장 총지급이 다릅니다 / ","")&amp;IF(AND(I283&lt;&gt;"",I283&lt;&gt;0),"계산 총공제와 대장 총공제가 다릅니다 / ","")&amp;IF(J283&lt;0,"실수령액이 음수입니다 / ","")&amp;IF(COUNTIF(직원목록!$D$7:$D$306,B283)&gt;1,"같은 이름이 둘 이상 — 미리보기는 첫 번째만 보입니다 / ","")&amp;IF(AND(C283&lt;&gt;"",COUNTIF(직원목록!$C$7:$C$306,C283)&gt;1),"사번 중복 / ","")&amp;IF(D283=0,"총지급이 0원 — 머리글 매칭 확인 / ","")&amp;IF(AND(설정!$B$17&lt;&gt;"",설정!$C$17="",OR(ISNUMBER(FIND("연장",설정!$B$17)),ISNUMBER(FIND("야간",설정!$B$17)),ISNUMBER(FIND("휴일",설정!$B$17))),INDEX(직원목록!$F$7:$F$306,MATCH(271,직원목록!$B$7:$B$306,0))&gt;0),"연장·야간·휴일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","")&amp;IF(AND(설정!$B$24&lt;&gt;"",설정!$C$24="",OR(ISNUMBER(FIND("연장",설정!$B$24)),ISNUMBER(FIND("야간",설정!$B$24)),ISNUMBER(FIND("휴일",설정!$B$24))),INDEX(직원목록!$M$7:$M$306,MATCH(271,직원목록!$B$7:$B$306,0))&gt;0),"연장·야간·휴일 수당은 시간 수도 명세서에 적어야 하니 시간 열 지정 필요 / ",""))=0,"✔",("⚠ "&amp;IF(AND(F283&lt;&gt;"",F283&lt;&gt;0),"계산 총지급과 대장 총지급이 다릅니다 / ","")&amp;IF(AND(I283&lt;&gt;"",I283&lt;&gt;0),"계산 총공제와 대장 총공제가 다릅니다 / ","")&amp;IF(J283&lt;0,"실수령액이 음수입니다 / ","")&amp;IF(COUNTIF(직원목록!$D$7:$D$306,B283)&gt;1,"같은 이름이 둘 이상 — 미리보기는 첫 번째만 보입니다 / ","")&amp;IF(AND(C283&lt;&gt;"",COUNTIF(직원목록!$C$7:$C$306,C283)&gt;1),"사번 중복 / ","")&amp;IF(D283=0,"총지급이 0원 — 머리글 매칭 확인 / ","")&amp;IF(AND(설정!$B$17&lt;&gt;"",설정!$C$17="",OR(ISNUMBER(FIND("연장",설정!$B$17)),ISNUMBER(FIND("야간",설정!$B$17)),ISNUMBER(FIND("휴일",설정!$B$17))),INDEX(직원목록!$F$7:$F$306,MATCH(271,직원목록!$B$7:$B$306,0))&gt;0),"연장·야간·휴일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","")&amp;IF(AND(설정!$B$24&lt;&gt;"",설정!$C$24="",OR(ISNUMBER(FIND("연장",설정!$B$24)),ISNUMBER(FIND("야간",설정!$B$24)),ISNUMBER(FIND("휴일",설정!$B$24))),INDEX(직원목록!$M$7:$M$306,MATCH(271,직원목록!$B$7:$B$306,0))&gt;0),"연장·야간·휴일 수당은 시간 수도 명세서에 적어야 하니 시간 열 지정 필요 / ",""))))</f>
        <v/>
      </c>
    </row>
    <row r="284">
      <c r="A284" s="26">
        <f>IF(IFERROR(MATCH(272,직원목록!$B$7:$B$306,0),0)=0,"",272)</f>
        <v/>
      </c>
      <c r="B284" s="2">
        <f>IF($A284="","",IFERROR(INDEX(직원목록!$D$7:$D$306,MATCH(272,직원목록!$B$7:$B$306,0)),""))</f>
        <v/>
      </c>
      <c r="C284" s="2">
        <f>IF($A284="","",IFERROR(INDEX(직원목록!$C$7:$C$306,MATCH(272,직원목록!$B$7:$B$306,0)),""))</f>
        <v/>
      </c>
      <c r="D284" s="27">
        <f>IF($A284="","",IFERROR(INDEX(직원목록!$V$7:$V$306,MATCH(272,직원목록!$B$7:$B$306,0)),""))</f>
        <v/>
      </c>
      <c r="E284" s="27">
        <f>IF($A284="","",IFERROR(INDEX(직원목록!$AG$7:$AG$306,MATCH(272,직원목록!$B$7:$B$306,0)),""))</f>
        <v/>
      </c>
      <c r="F284" s="27">
        <f>IF(OR($A284="",E284=""),"",D284-E284)</f>
        <v/>
      </c>
      <c r="G284" s="27">
        <f>IF($A284="","",IFERROR(INDEX(직원목록!$AE$7:$AE$306,MATCH(272,직원목록!$B$7:$B$306,0)),""))</f>
        <v/>
      </c>
      <c r="H284" s="27">
        <f>IF($A284="","",IFERROR(INDEX(직원목록!$AH$7:$AH$306,MATCH(272,직원목록!$B$7:$B$306,0)),""))</f>
        <v/>
      </c>
      <c r="I284" s="27">
        <f>IF(OR($A284="",H284=""),"",G284-H284)</f>
        <v/>
      </c>
      <c r="J284" s="27">
        <f>IF($A284="","",IFERROR(INDEX(직원목록!$AF$7:$AF$306,MATCH(272,직원목록!$B$7:$B$306,0)),""))</f>
        <v/>
      </c>
      <c r="K284" s="27">
        <f>IF($A284="","",IFERROR(INDEX(직원목록!$AI$7:$AI$306,MATCH(272,직원목록!$B$7:$B$306,0)),""))</f>
        <v/>
      </c>
      <c r="L284" s="8">
        <f>IF($A284="","",IF(LEN(IF(AND(F284&lt;&gt;"",F284&lt;&gt;0),"계산 총지급과 대장 총지급이 다릅니다 / ","")&amp;IF(AND(I284&lt;&gt;"",I284&lt;&gt;0),"계산 총공제와 대장 총공제가 다릅니다 / ","")&amp;IF(J284&lt;0,"실수령액이 음수입니다 / ","")&amp;IF(COUNTIF(직원목록!$D$7:$D$306,B284)&gt;1,"같은 이름이 둘 이상 — 미리보기는 첫 번째만 보입니다 / ","")&amp;IF(AND(C284&lt;&gt;"",COUNTIF(직원목록!$C$7:$C$306,C284)&gt;1),"사번 중복 / ","")&amp;IF(D284=0,"총지급이 0원 — 머리글 매칭 확인 / ","")&amp;IF(AND(설정!$B$17&lt;&gt;"",설정!$C$17="",OR(ISNUMBER(FIND("연장",설정!$B$17)),ISNUMBER(FIND("야간",설정!$B$17)),ISNUMBER(FIND("휴일",설정!$B$17))),INDEX(직원목록!$F$7:$F$306,MATCH(272,직원목록!$B$7:$B$306,0))&gt;0),"연장·야간·휴일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","")&amp;IF(AND(설정!$B$24&lt;&gt;"",설정!$C$24="",OR(ISNUMBER(FIND("연장",설정!$B$24)),ISNUMBER(FIND("야간",설정!$B$24)),ISNUMBER(FIND("휴일",설정!$B$24))),INDEX(직원목록!$M$7:$M$306,MATCH(272,직원목록!$B$7:$B$306,0))&gt;0),"연장·야간·휴일 수당은 시간 수도 명세서에 적어야 하니 시간 열 지정 필요 / ",""))=0,"✔",("⚠ "&amp;IF(AND(F284&lt;&gt;"",F284&lt;&gt;0),"계산 총지급과 대장 총지급이 다릅니다 / ","")&amp;IF(AND(I284&lt;&gt;"",I284&lt;&gt;0),"계산 총공제와 대장 총공제가 다릅니다 / ","")&amp;IF(J284&lt;0,"실수령액이 음수입니다 / ","")&amp;IF(COUNTIF(직원목록!$D$7:$D$306,B284)&gt;1,"같은 이름이 둘 이상 — 미리보기는 첫 번째만 보입니다 / ","")&amp;IF(AND(C284&lt;&gt;"",COUNTIF(직원목록!$C$7:$C$306,C284)&gt;1),"사번 중복 / ","")&amp;IF(D284=0,"총지급이 0원 — 머리글 매칭 확인 / ","")&amp;IF(AND(설정!$B$17&lt;&gt;"",설정!$C$17="",OR(ISNUMBER(FIND("연장",설정!$B$17)),ISNUMBER(FIND("야간",설정!$B$17)),ISNUMBER(FIND("휴일",설정!$B$17))),INDEX(직원목록!$F$7:$F$306,MATCH(272,직원목록!$B$7:$B$306,0))&gt;0),"연장·야간·휴일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","")&amp;IF(AND(설정!$B$24&lt;&gt;"",설정!$C$24="",OR(ISNUMBER(FIND("연장",설정!$B$24)),ISNUMBER(FIND("야간",설정!$B$24)),ISNUMBER(FIND("휴일",설정!$B$24))),INDEX(직원목록!$M$7:$M$306,MATCH(272,직원목록!$B$7:$B$306,0))&gt;0),"연장·야간·휴일 수당은 시간 수도 명세서에 적어야 하니 시간 열 지정 필요 / ",""))))</f>
        <v/>
      </c>
    </row>
    <row r="285">
      <c r="A285" s="26">
        <f>IF(IFERROR(MATCH(273,직원목록!$B$7:$B$306,0),0)=0,"",273)</f>
        <v/>
      </c>
      <c r="B285" s="2">
        <f>IF($A285="","",IFERROR(INDEX(직원목록!$D$7:$D$306,MATCH(273,직원목록!$B$7:$B$306,0)),""))</f>
        <v/>
      </c>
      <c r="C285" s="2">
        <f>IF($A285="","",IFERROR(INDEX(직원목록!$C$7:$C$306,MATCH(273,직원목록!$B$7:$B$306,0)),""))</f>
        <v/>
      </c>
      <c r="D285" s="27">
        <f>IF($A285="","",IFERROR(INDEX(직원목록!$V$7:$V$306,MATCH(273,직원목록!$B$7:$B$306,0)),""))</f>
        <v/>
      </c>
      <c r="E285" s="27">
        <f>IF($A285="","",IFERROR(INDEX(직원목록!$AG$7:$AG$306,MATCH(273,직원목록!$B$7:$B$306,0)),""))</f>
        <v/>
      </c>
      <c r="F285" s="27">
        <f>IF(OR($A285="",E285=""),"",D285-E285)</f>
        <v/>
      </c>
      <c r="G285" s="27">
        <f>IF($A285="","",IFERROR(INDEX(직원목록!$AE$7:$AE$306,MATCH(273,직원목록!$B$7:$B$306,0)),""))</f>
        <v/>
      </c>
      <c r="H285" s="27">
        <f>IF($A285="","",IFERROR(INDEX(직원목록!$AH$7:$AH$306,MATCH(273,직원목록!$B$7:$B$306,0)),""))</f>
        <v/>
      </c>
      <c r="I285" s="27">
        <f>IF(OR($A285="",H285=""),"",G285-H285)</f>
        <v/>
      </c>
      <c r="J285" s="27">
        <f>IF($A285="","",IFERROR(INDEX(직원목록!$AF$7:$AF$306,MATCH(273,직원목록!$B$7:$B$306,0)),""))</f>
        <v/>
      </c>
      <c r="K285" s="27">
        <f>IF($A285="","",IFERROR(INDEX(직원목록!$AI$7:$AI$306,MATCH(273,직원목록!$B$7:$B$306,0)),""))</f>
        <v/>
      </c>
      <c r="L285" s="8">
        <f>IF($A285="","",IF(LEN(IF(AND(F285&lt;&gt;"",F285&lt;&gt;0),"계산 총지급과 대장 총지급이 다릅니다 / ","")&amp;IF(AND(I285&lt;&gt;"",I285&lt;&gt;0),"계산 총공제와 대장 총공제가 다릅니다 / ","")&amp;IF(J285&lt;0,"실수령액이 음수입니다 / ","")&amp;IF(COUNTIF(직원목록!$D$7:$D$306,B285)&gt;1,"같은 이름이 둘 이상 — 미리보기는 첫 번째만 보입니다 / ","")&amp;IF(AND(C285&lt;&gt;"",COUNTIF(직원목록!$C$7:$C$306,C285)&gt;1),"사번 중복 / ","")&amp;IF(D285=0,"총지급이 0원 — 머리글 매칭 확인 / ","")&amp;IF(AND(설정!$B$17&lt;&gt;"",설정!$C$17="",OR(ISNUMBER(FIND("연장",설정!$B$17)),ISNUMBER(FIND("야간",설정!$B$17)),ISNUMBER(FIND("휴일",설정!$B$17))),INDEX(직원목록!$F$7:$F$306,MATCH(273,직원목록!$B$7:$B$306,0))&gt;0),"연장·야간·휴일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","")&amp;IF(AND(설정!$B$24&lt;&gt;"",설정!$C$24="",OR(ISNUMBER(FIND("연장",설정!$B$24)),ISNUMBER(FIND("야간",설정!$B$24)),ISNUMBER(FIND("휴일",설정!$B$24))),INDEX(직원목록!$M$7:$M$306,MATCH(273,직원목록!$B$7:$B$306,0))&gt;0),"연장·야간·휴일 수당은 시간 수도 명세서에 적어야 하니 시간 열 지정 필요 / ",""))=0,"✔",("⚠ "&amp;IF(AND(F285&lt;&gt;"",F285&lt;&gt;0),"계산 총지급과 대장 총지급이 다릅니다 / ","")&amp;IF(AND(I285&lt;&gt;"",I285&lt;&gt;0),"계산 총공제와 대장 총공제가 다릅니다 / ","")&amp;IF(J285&lt;0,"실수령액이 음수입니다 / ","")&amp;IF(COUNTIF(직원목록!$D$7:$D$306,B285)&gt;1,"같은 이름이 둘 이상 — 미리보기는 첫 번째만 보입니다 / ","")&amp;IF(AND(C285&lt;&gt;"",COUNTIF(직원목록!$C$7:$C$306,C285)&gt;1),"사번 중복 / ","")&amp;IF(D285=0,"총지급이 0원 — 머리글 매칭 확인 / ","")&amp;IF(AND(설정!$B$17&lt;&gt;"",설정!$C$17="",OR(ISNUMBER(FIND("연장",설정!$B$17)),ISNUMBER(FIND("야간",설정!$B$17)),ISNUMBER(FIND("휴일",설정!$B$17))),INDEX(직원목록!$F$7:$F$306,MATCH(273,직원목록!$B$7:$B$306,0))&gt;0),"연장·야간·휴일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","")&amp;IF(AND(설정!$B$24&lt;&gt;"",설정!$C$24="",OR(ISNUMBER(FIND("연장",설정!$B$24)),ISNUMBER(FIND("야간",설정!$B$24)),ISNUMBER(FIND("휴일",설정!$B$24))),INDEX(직원목록!$M$7:$M$306,MATCH(273,직원목록!$B$7:$B$306,0))&gt;0),"연장·야간·휴일 수당은 시간 수도 명세서에 적어야 하니 시간 열 지정 필요 / ",""))))</f>
        <v/>
      </c>
    </row>
    <row r="286">
      <c r="A286" s="26">
        <f>IF(IFERROR(MATCH(274,직원목록!$B$7:$B$306,0),0)=0,"",274)</f>
        <v/>
      </c>
      <c r="B286" s="2">
        <f>IF($A286="","",IFERROR(INDEX(직원목록!$D$7:$D$306,MATCH(274,직원목록!$B$7:$B$306,0)),""))</f>
        <v/>
      </c>
      <c r="C286" s="2">
        <f>IF($A286="","",IFERROR(INDEX(직원목록!$C$7:$C$306,MATCH(274,직원목록!$B$7:$B$306,0)),""))</f>
        <v/>
      </c>
      <c r="D286" s="27">
        <f>IF($A286="","",IFERROR(INDEX(직원목록!$V$7:$V$306,MATCH(274,직원목록!$B$7:$B$306,0)),""))</f>
        <v/>
      </c>
      <c r="E286" s="27">
        <f>IF($A286="","",IFERROR(INDEX(직원목록!$AG$7:$AG$306,MATCH(274,직원목록!$B$7:$B$306,0)),""))</f>
        <v/>
      </c>
      <c r="F286" s="27">
        <f>IF(OR($A286="",E286=""),"",D286-E286)</f>
        <v/>
      </c>
      <c r="G286" s="27">
        <f>IF($A286="","",IFERROR(INDEX(직원목록!$AE$7:$AE$306,MATCH(274,직원목록!$B$7:$B$306,0)),""))</f>
        <v/>
      </c>
      <c r="H286" s="27">
        <f>IF($A286="","",IFERROR(INDEX(직원목록!$AH$7:$AH$306,MATCH(274,직원목록!$B$7:$B$306,0)),""))</f>
        <v/>
      </c>
      <c r="I286" s="27">
        <f>IF(OR($A286="",H286=""),"",G286-H286)</f>
        <v/>
      </c>
      <c r="J286" s="27">
        <f>IF($A286="","",IFERROR(INDEX(직원목록!$AF$7:$AF$306,MATCH(274,직원목록!$B$7:$B$306,0)),""))</f>
        <v/>
      </c>
      <c r="K286" s="27">
        <f>IF($A286="","",IFERROR(INDEX(직원목록!$AI$7:$AI$306,MATCH(274,직원목록!$B$7:$B$306,0)),""))</f>
        <v/>
      </c>
      <c r="L286" s="8">
        <f>IF($A286="","",IF(LEN(IF(AND(F286&lt;&gt;"",F286&lt;&gt;0),"계산 총지급과 대장 총지급이 다릅니다 / ","")&amp;IF(AND(I286&lt;&gt;"",I286&lt;&gt;0),"계산 총공제와 대장 총공제가 다릅니다 / ","")&amp;IF(J286&lt;0,"실수령액이 음수입니다 / ","")&amp;IF(COUNTIF(직원목록!$D$7:$D$306,B286)&gt;1,"같은 이름이 둘 이상 — 미리보기는 첫 번째만 보입니다 / ","")&amp;IF(AND(C286&lt;&gt;"",COUNTIF(직원목록!$C$7:$C$306,C286)&gt;1),"사번 중복 / ","")&amp;IF(D286=0,"총지급이 0원 — 머리글 매칭 확인 / ","")&amp;IF(AND(설정!$B$17&lt;&gt;"",설정!$C$17="",OR(ISNUMBER(FIND("연장",설정!$B$17)),ISNUMBER(FIND("야간",설정!$B$17)),ISNUMBER(FIND("휴일",설정!$B$17))),INDEX(직원목록!$F$7:$F$306,MATCH(274,직원목록!$B$7:$B$306,0))&gt;0),"연장·야간·휴일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","")&amp;IF(AND(설정!$B$24&lt;&gt;"",설정!$C$24="",OR(ISNUMBER(FIND("연장",설정!$B$24)),ISNUMBER(FIND("야간",설정!$B$24)),ISNUMBER(FIND("휴일",설정!$B$24))),INDEX(직원목록!$M$7:$M$306,MATCH(274,직원목록!$B$7:$B$306,0))&gt;0),"연장·야간·휴일 수당은 시간 수도 명세서에 적어야 하니 시간 열 지정 필요 / ",""))=0,"✔",("⚠ "&amp;IF(AND(F286&lt;&gt;"",F286&lt;&gt;0),"계산 총지급과 대장 총지급이 다릅니다 / ","")&amp;IF(AND(I286&lt;&gt;"",I286&lt;&gt;0),"계산 총공제와 대장 총공제가 다릅니다 / ","")&amp;IF(J286&lt;0,"실수령액이 음수입니다 / ","")&amp;IF(COUNTIF(직원목록!$D$7:$D$306,B286)&gt;1,"같은 이름이 둘 이상 — 미리보기는 첫 번째만 보입니다 / ","")&amp;IF(AND(C286&lt;&gt;"",COUNTIF(직원목록!$C$7:$C$306,C286)&gt;1),"사번 중복 / ","")&amp;IF(D286=0,"총지급이 0원 — 머리글 매칭 확인 / ","")&amp;IF(AND(설정!$B$17&lt;&gt;"",설정!$C$17="",OR(ISNUMBER(FIND("연장",설정!$B$17)),ISNUMBER(FIND("야간",설정!$B$17)),ISNUMBER(FIND("휴일",설정!$B$17))),INDEX(직원목록!$F$7:$F$306,MATCH(274,직원목록!$B$7:$B$306,0))&gt;0),"연장·야간·휴일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","")&amp;IF(AND(설정!$B$24&lt;&gt;"",설정!$C$24="",OR(ISNUMBER(FIND("연장",설정!$B$24)),ISNUMBER(FIND("야간",설정!$B$24)),ISNUMBER(FIND("휴일",설정!$B$24))),INDEX(직원목록!$M$7:$M$306,MATCH(274,직원목록!$B$7:$B$306,0))&gt;0),"연장·야간·휴일 수당은 시간 수도 명세서에 적어야 하니 시간 열 지정 필요 / ",""))))</f>
        <v/>
      </c>
    </row>
    <row r="287">
      <c r="A287" s="26">
        <f>IF(IFERROR(MATCH(275,직원목록!$B$7:$B$306,0),0)=0,"",275)</f>
        <v/>
      </c>
      <c r="B287" s="2">
        <f>IF($A287="","",IFERROR(INDEX(직원목록!$D$7:$D$306,MATCH(275,직원목록!$B$7:$B$306,0)),""))</f>
        <v/>
      </c>
      <c r="C287" s="2">
        <f>IF($A287="","",IFERROR(INDEX(직원목록!$C$7:$C$306,MATCH(275,직원목록!$B$7:$B$306,0)),""))</f>
        <v/>
      </c>
      <c r="D287" s="27">
        <f>IF($A287="","",IFERROR(INDEX(직원목록!$V$7:$V$306,MATCH(275,직원목록!$B$7:$B$306,0)),""))</f>
        <v/>
      </c>
      <c r="E287" s="27">
        <f>IF($A287="","",IFERROR(INDEX(직원목록!$AG$7:$AG$306,MATCH(275,직원목록!$B$7:$B$306,0)),""))</f>
        <v/>
      </c>
      <c r="F287" s="27">
        <f>IF(OR($A287="",E287=""),"",D287-E287)</f>
        <v/>
      </c>
      <c r="G287" s="27">
        <f>IF($A287="","",IFERROR(INDEX(직원목록!$AE$7:$AE$306,MATCH(275,직원목록!$B$7:$B$306,0)),""))</f>
        <v/>
      </c>
      <c r="H287" s="27">
        <f>IF($A287="","",IFERROR(INDEX(직원목록!$AH$7:$AH$306,MATCH(275,직원목록!$B$7:$B$306,0)),""))</f>
        <v/>
      </c>
      <c r="I287" s="27">
        <f>IF(OR($A287="",H287=""),"",G287-H287)</f>
        <v/>
      </c>
      <c r="J287" s="27">
        <f>IF($A287="","",IFERROR(INDEX(직원목록!$AF$7:$AF$306,MATCH(275,직원목록!$B$7:$B$306,0)),""))</f>
        <v/>
      </c>
      <c r="K287" s="27">
        <f>IF($A287="","",IFERROR(INDEX(직원목록!$AI$7:$AI$306,MATCH(275,직원목록!$B$7:$B$306,0)),""))</f>
        <v/>
      </c>
      <c r="L287" s="8">
        <f>IF($A287="","",IF(LEN(IF(AND(F287&lt;&gt;"",F287&lt;&gt;0),"계산 총지급과 대장 총지급이 다릅니다 / ","")&amp;IF(AND(I287&lt;&gt;"",I287&lt;&gt;0),"계산 총공제와 대장 총공제가 다릅니다 / ","")&amp;IF(J287&lt;0,"실수령액이 음수입니다 / ","")&amp;IF(COUNTIF(직원목록!$D$7:$D$306,B287)&gt;1,"같은 이름이 둘 이상 — 미리보기는 첫 번째만 보입니다 / ","")&amp;IF(AND(C287&lt;&gt;"",COUNTIF(직원목록!$C$7:$C$306,C287)&gt;1),"사번 중복 / ","")&amp;IF(D287=0,"총지급이 0원 — 머리글 매칭 확인 / ","")&amp;IF(AND(설정!$B$17&lt;&gt;"",설정!$C$17="",OR(ISNUMBER(FIND("연장",설정!$B$17)),ISNUMBER(FIND("야간",설정!$B$17)),ISNUMBER(FIND("휴일",설정!$B$17))),INDEX(직원목록!$F$7:$F$306,MATCH(275,직원목록!$B$7:$B$306,0))&gt;0),"연장·야간·휴일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","")&amp;IF(AND(설정!$B$24&lt;&gt;"",설정!$C$24="",OR(ISNUMBER(FIND("연장",설정!$B$24)),ISNUMBER(FIND("야간",설정!$B$24)),ISNUMBER(FIND("휴일",설정!$B$24))),INDEX(직원목록!$M$7:$M$306,MATCH(275,직원목록!$B$7:$B$306,0))&gt;0),"연장·야간·휴일 수당은 시간 수도 명세서에 적어야 하니 시간 열 지정 필요 / ",""))=0,"✔",("⚠ "&amp;IF(AND(F287&lt;&gt;"",F287&lt;&gt;0),"계산 총지급과 대장 총지급이 다릅니다 / ","")&amp;IF(AND(I287&lt;&gt;"",I287&lt;&gt;0),"계산 총공제와 대장 총공제가 다릅니다 / ","")&amp;IF(J287&lt;0,"실수령액이 음수입니다 / ","")&amp;IF(COUNTIF(직원목록!$D$7:$D$306,B287)&gt;1,"같은 이름이 둘 이상 — 미리보기는 첫 번째만 보입니다 / ","")&amp;IF(AND(C287&lt;&gt;"",COUNTIF(직원목록!$C$7:$C$306,C287)&gt;1),"사번 중복 / ","")&amp;IF(D287=0,"총지급이 0원 — 머리글 매칭 확인 / ","")&amp;IF(AND(설정!$B$17&lt;&gt;"",설정!$C$17="",OR(ISNUMBER(FIND("연장",설정!$B$17)),ISNUMBER(FIND("야간",설정!$B$17)),ISNUMBER(FIND("휴일",설정!$B$17))),INDEX(직원목록!$F$7:$F$306,MATCH(275,직원목록!$B$7:$B$306,0))&gt;0),"연장·야간·휴일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","")&amp;IF(AND(설정!$B$24&lt;&gt;"",설정!$C$24="",OR(ISNUMBER(FIND("연장",설정!$B$24)),ISNUMBER(FIND("야간",설정!$B$24)),ISNUMBER(FIND("휴일",설정!$B$24))),INDEX(직원목록!$M$7:$M$306,MATCH(275,직원목록!$B$7:$B$306,0))&gt;0),"연장·야간·휴일 수당은 시간 수도 명세서에 적어야 하니 시간 열 지정 필요 / ",""))))</f>
        <v/>
      </c>
    </row>
    <row r="288">
      <c r="A288" s="26">
        <f>IF(IFERROR(MATCH(276,직원목록!$B$7:$B$306,0),0)=0,"",276)</f>
        <v/>
      </c>
      <c r="B288" s="2">
        <f>IF($A288="","",IFERROR(INDEX(직원목록!$D$7:$D$306,MATCH(276,직원목록!$B$7:$B$306,0)),""))</f>
        <v/>
      </c>
      <c r="C288" s="2">
        <f>IF($A288="","",IFERROR(INDEX(직원목록!$C$7:$C$306,MATCH(276,직원목록!$B$7:$B$306,0)),""))</f>
        <v/>
      </c>
      <c r="D288" s="27">
        <f>IF($A288="","",IFERROR(INDEX(직원목록!$V$7:$V$306,MATCH(276,직원목록!$B$7:$B$306,0)),""))</f>
        <v/>
      </c>
      <c r="E288" s="27">
        <f>IF($A288="","",IFERROR(INDEX(직원목록!$AG$7:$AG$306,MATCH(276,직원목록!$B$7:$B$306,0)),""))</f>
        <v/>
      </c>
      <c r="F288" s="27">
        <f>IF(OR($A288="",E288=""),"",D288-E288)</f>
        <v/>
      </c>
      <c r="G288" s="27">
        <f>IF($A288="","",IFERROR(INDEX(직원목록!$AE$7:$AE$306,MATCH(276,직원목록!$B$7:$B$306,0)),""))</f>
        <v/>
      </c>
      <c r="H288" s="27">
        <f>IF($A288="","",IFERROR(INDEX(직원목록!$AH$7:$AH$306,MATCH(276,직원목록!$B$7:$B$306,0)),""))</f>
        <v/>
      </c>
      <c r="I288" s="27">
        <f>IF(OR($A288="",H288=""),"",G288-H288)</f>
        <v/>
      </c>
      <c r="J288" s="27">
        <f>IF($A288="","",IFERROR(INDEX(직원목록!$AF$7:$AF$306,MATCH(276,직원목록!$B$7:$B$306,0)),""))</f>
        <v/>
      </c>
      <c r="K288" s="27">
        <f>IF($A288="","",IFERROR(INDEX(직원목록!$AI$7:$AI$306,MATCH(276,직원목록!$B$7:$B$306,0)),""))</f>
        <v/>
      </c>
      <c r="L288" s="8">
        <f>IF($A288="","",IF(LEN(IF(AND(F288&lt;&gt;"",F288&lt;&gt;0),"계산 총지급과 대장 총지급이 다릅니다 / ","")&amp;IF(AND(I288&lt;&gt;"",I288&lt;&gt;0),"계산 총공제와 대장 총공제가 다릅니다 / ","")&amp;IF(J288&lt;0,"실수령액이 음수입니다 / ","")&amp;IF(COUNTIF(직원목록!$D$7:$D$306,B288)&gt;1,"같은 이름이 둘 이상 — 미리보기는 첫 번째만 보입니다 / ","")&amp;IF(AND(C288&lt;&gt;"",COUNTIF(직원목록!$C$7:$C$306,C288)&gt;1),"사번 중복 / ","")&amp;IF(D288=0,"총지급이 0원 — 머리글 매칭 확인 / ","")&amp;IF(AND(설정!$B$17&lt;&gt;"",설정!$C$17="",OR(ISNUMBER(FIND("연장",설정!$B$17)),ISNUMBER(FIND("야간",설정!$B$17)),ISNUMBER(FIND("휴일",설정!$B$17))),INDEX(직원목록!$F$7:$F$306,MATCH(276,직원목록!$B$7:$B$306,0))&gt;0),"연장·야간·휴일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","")&amp;IF(AND(설정!$B$24&lt;&gt;"",설정!$C$24="",OR(ISNUMBER(FIND("연장",설정!$B$24)),ISNUMBER(FIND("야간",설정!$B$24)),ISNUMBER(FIND("휴일",설정!$B$24))),INDEX(직원목록!$M$7:$M$306,MATCH(276,직원목록!$B$7:$B$306,0))&gt;0),"연장·야간·휴일 수당은 시간 수도 명세서에 적어야 하니 시간 열 지정 필요 / ",""))=0,"✔",("⚠ "&amp;IF(AND(F288&lt;&gt;"",F288&lt;&gt;0),"계산 총지급과 대장 총지급이 다릅니다 / ","")&amp;IF(AND(I288&lt;&gt;"",I288&lt;&gt;0),"계산 총공제와 대장 총공제가 다릅니다 / ","")&amp;IF(J288&lt;0,"실수령액이 음수입니다 / ","")&amp;IF(COUNTIF(직원목록!$D$7:$D$306,B288)&gt;1,"같은 이름이 둘 이상 — 미리보기는 첫 번째만 보입니다 / ","")&amp;IF(AND(C288&lt;&gt;"",COUNTIF(직원목록!$C$7:$C$306,C288)&gt;1),"사번 중복 / ","")&amp;IF(D288=0,"총지급이 0원 — 머리글 매칭 확인 / ","")&amp;IF(AND(설정!$B$17&lt;&gt;"",설정!$C$17="",OR(ISNUMBER(FIND("연장",설정!$B$17)),ISNUMBER(FIND("야간",설정!$B$17)),ISNUMBER(FIND("휴일",설정!$B$17))),INDEX(직원목록!$F$7:$F$306,MATCH(276,직원목록!$B$7:$B$306,0))&gt;0),"연장·야간·휴일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","")&amp;IF(AND(설정!$B$24&lt;&gt;"",설정!$C$24="",OR(ISNUMBER(FIND("연장",설정!$B$24)),ISNUMBER(FIND("야간",설정!$B$24)),ISNUMBER(FIND("휴일",설정!$B$24))),INDEX(직원목록!$M$7:$M$306,MATCH(276,직원목록!$B$7:$B$306,0))&gt;0),"연장·야간·휴일 수당은 시간 수도 명세서에 적어야 하니 시간 열 지정 필요 / ",""))))</f>
        <v/>
      </c>
    </row>
    <row r="289">
      <c r="A289" s="26">
        <f>IF(IFERROR(MATCH(277,직원목록!$B$7:$B$306,0),0)=0,"",277)</f>
        <v/>
      </c>
      <c r="B289" s="2">
        <f>IF($A289="","",IFERROR(INDEX(직원목록!$D$7:$D$306,MATCH(277,직원목록!$B$7:$B$306,0)),""))</f>
        <v/>
      </c>
      <c r="C289" s="2">
        <f>IF($A289="","",IFERROR(INDEX(직원목록!$C$7:$C$306,MATCH(277,직원목록!$B$7:$B$306,0)),""))</f>
        <v/>
      </c>
      <c r="D289" s="27">
        <f>IF($A289="","",IFERROR(INDEX(직원목록!$V$7:$V$306,MATCH(277,직원목록!$B$7:$B$306,0)),""))</f>
        <v/>
      </c>
      <c r="E289" s="27">
        <f>IF($A289="","",IFERROR(INDEX(직원목록!$AG$7:$AG$306,MATCH(277,직원목록!$B$7:$B$306,0)),""))</f>
        <v/>
      </c>
      <c r="F289" s="27">
        <f>IF(OR($A289="",E289=""),"",D289-E289)</f>
        <v/>
      </c>
      <c r="G289" s="27">
        <f>IF($A289="","",IFERROR(INDEX(직원목록!$AE$7:$AE$306,MATCH(277,직원목록!$B$7:$B$306,0)),""))</f>
        <v/>
      </c>
      <c r="H289" s="27">
        <f>IF($A289="","",IFERROR(INDEX(직원목록!$AH$7:$AH$306,MATCH(277,직원목록!$B$7:$B$306,0)),""))</f>
        <v/>
      </c>
      <c r="I289" s="27">
        <f>IF(OR($A289="",H289=""),"",G289-H289)</f>
        <v/>
      </c>
      <c r="J289" s="27">
        <f>IF($A289="","",IFERROR(INDEX(직원목록!$AF$7:$AF$306,MATCH(277,직원목록!$B$7:$B$306,0)),""))</f>
        <v/>
      </c>
      <c r="K289" s="27">
        <f>IF($A289="","",IFERROR(INDEX(직원목록!$AI$7:$AI$306,MATCH(277,직원목록!$B$7:$B$306,0)),""))</f>
        <v/>
      </c>
      <c r="L289" s="8">
        <f>IF($A289="","",IF(LEN(IF(AND(F289&lt;&gt;"",F289&lt;&gt;0),"계산 총지급과 대장 총지급이 다릅니다 / ","")&amp;IF(AND(I289&lt;&gt;"",I289&lt;&gt;0),"계산 총공제와 대장 총공제가 다릅니다 / ","")&amp;IF(J289&lt;0,"실수령액이 음수입니다 / ","")&amp;IF(COUNTIF(직원목록!$D$7:$D$306,B289)&gt;1,"같은 이름이 둘 이상 — 미리보기는 첫 번째만 보입니다 / ","")&amp;IF(AND(C289&lt;&gt;"",COUNTIF(직원목록!$C$7:$C$306,C289)&gt;1),"사번 중복 / ","")&amp;IF(D289=0,"총지급이 0원 — 머리글 매칭 확인 / ","")&amp;IF(AND(설정!$B$17&lt;&gt;"",설정!$C$17="",OR(ISNUMBER(FIND("연장",설정!$B$17)),ISNUMBER(FIND("야간",설정!$B$17)),ISNUMBER(FIND("휴일",설정!$B$17))),INDEX(직원목록!$F$7:$F$306,MATCH(277,직원목록!$B$7:$B$306,0))&gt;0),"연장·야간·휴일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","")&amp;IF(AND(설정!$B$24&lt;&gt;"",설정!$C$24="",OR(ISNUMBER(FIND("연장",설정!$B$24)),ISNUMBER(FIND("야간",설정!$B$24)),ISNUMBER(FIND("휴일",설정!$B$24))),INDEX(직원목록!$M$7:$M$306,MATCH(277,직원목록!$B$7:$B$306,0))&gt;0),"연장·야간·휴일 수당은 시간 수도 명세서에 적어야 하니 시간 열 지정 필요 / ",""))=0,"✔",("⚠ "&amp;IF(AND(F289&lt;&gt;"",F289&lt;&gt;0),"계산 총지급과 대장 총지급이 다릅니다 / ","")&amp;IF(AND(I289&lt;&gt;"",I289&lt;&gt;0),"계산 총공제와 대장 총공제가 다릅니다 / ","")&amp;IF(J289&lt;0,"실수령액이 음수입니다 / ","")&amp;IF(COUNTIF(직원목록!$D$7:$D$306,B289)&gt;1,"같은 이름이 둘 이상 — 미리보기는 첫 번째만 보입니다 / ","")&amp;IF(AND(C289&lt;&gt;"",COUNTIF(직원목록!$C$7:$C$306,C289)&gt;1),"사번 중복 / ","")&amp;IF(D289=0,"총지급이 0원 — 머리글 매칭 확인 / ","")&amp;IF(AND(설정!$B$17&lt;&gt;"",설정!$C$17="",OR(ISNUMBER(FIND("연장",설정!$B$17)),ISNUMBER(FIND("야간",설정!$B$17)),ISNUMBER(FIND("휴일",설정!$B$17))),INDEX(직원목록!$F$7:$F$306,MATCH(277,직원목록!$B$7:$B$306,0))&gt;0),"연장·야간·휴일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","")&amp;IF(AND(설정!$B$24&lt;&gt;"",설정!$C$24="",OR(ISNUMBER(FIND("연장",설정!$B$24)),ISNUMBER(FIND("야간",설정!$B$24)),ISNUMBER(FIND("휴일",설정!$B$24))),INDEX(직원목록!$M$7:$M$306,MATCH(277,직원목록!$B$7:$B$306,0))&gt;0),"연장·야간·휴일 수당은 시간 수도 명세서에 적어야 하니 시간 열 지정 필요 / ",""))))</f>
        <v/>
      </c>
    </row>
    <row r="290">
      <c r="A290" s="26">
        <f>IF(IFERROR(MATCH(278,직원목록!$B$7:$B$306,0),0)=0,"",278)</f>
        <v/>
      </c>
      <c r="B290" s="2">
        <f>IF($A290="","",IFERROR(INDEX(직원목록!$D$7:$D$306,MATCH(278,직원목록!$B$7:$B$306,0)),""))</f>
        <v/>
      </c>
      <c r="C290" s="2">
        <f>IF($A290="","",IFERROR(INDEX(직원목록!$C$7:$C$306,MATCH(278,직원목록!$B$7:$B$306,0)),""))</f>
        <v/>
      </c>
      <c r="D290" s="27">
        <f>IF($A290="","",IFERROR(INDEX(직원목록!$V$7:$V$306,MATCH(278,직원목록!$B$7:$B$306,0)),""))</f>
        <v/>
      </c>
      <c r="E290" s="27">
        <f>IF($A290="","",IFERROR(INDEX(직원목록!$AG$7:$AG$306,MATCH(278,직원목록!$B$7:$B$306,0)),""))</f>
        <v/>
      </c>
      <c r="F290" s="27">
        <f>IF(OR($A290="",E290=""),"",D290-E290)</f>
        <v/>
      </c>
      <c r="G290" s="27">
        <f>IF($A290="","",IFERROR(INDEX(직원목록!$AE$7:$AE$306,MATCH(278,직원목록!$B$7:$B$306,0)),""))</f>
        <v/>
      </c>
      <c r="H290" s="27">
        <f>IF($A290="","",IFERROR(INDEX(직원목록!$AH$7:$AH$306,MATCH(278,직원목록!$B$7:$B$306,0)),""))</f>
        <v/>
      </c>
      <c r="I290" s="27">
        <f>IF(OR($A290="",H290=""),"",G290-H290)</f>
        <v/>
      </c>
      <c r="J290" s="27">
        <f>IF($A290="","",IFERROR(INDEX(직원목록!$AF$7:$AF$306,MATCH(278,직원목록!$B$7:$B$306,0)),""))</f>
        <v/>
      </c>
      <c r="K290" s="27">
        <f>IF($A290="","",IFERROR(INDEX(직원목록!$AI$7:$AI$306,MATCH(278,직원목록!$B$7:$B$306,0)),""))</f>
        <v/>
      </c>
      <c r="L290" s="8">
        <f>IF($A290="","",IF(LEN(IF(AND(F290&lt;&gt;"",F290&lt;&gt;0),"계산 총지급과 대장 총지급이 다릅니다 / ","")&amp;IF(AND(I290&lt;&gt;"",I290&lt;&gt;0),"계산 총공제와 대장 총공제가 다릅니다 / ","")&amp;IF(J290&lt;0,"실수령액이 음수입니다 / ","")&amp;IF(COUNTIF(직원목록!$D$7:$D$306,B290)&gt;1,"같은 이름이 둘 이상 — 미리보기는 첫 번째만 보입니다 / ","")&amp;IF(AND(C290&lt;&gt;"",COUNTIF(직원목록!$C$7:$C$306,C290)&gt;1),"사번 중복 / ","")&amp;IF(D290=0,"총지급이 0원 — 머리글 매칭 확인 / ","")&amp;IF(AND(설정!$B$17&lt;&gt;"",설정!$C$17="",OR(ISNUMBER(FIND("연장",설정!$B$17)),ISNUMBER(FIND("야간",설정!$B$17)),ISNUMBER(FIND("휴일",설정!$B$17))),INDEX(직원목록!$F$7:$F$306,MATCH(278,직원목록!$B$7:$B$306,0))&gt;0),"연장·야간·휴일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","")&amp;IF(AND(설정!$B$24&lt;&gt;"",설정!$C$24="",OR(ISNUMBER(FIND("연장",설정!$B$24)),ISNUMBER(FIND("야간",설정!$B$24)),ISNUMBER(FIND("휴일",설정!$B$24))),INDEX(직원목록!$M$7:$M$306,MATCH(278,직원목록!$B$7:$B$306,0))&gt;0),"연장·야간·휴일 수당은 시간 수도 명세서에 적어야 하니 시간 열 지정 필요 / ",""))=0,"✔",("⚠ "&amp;IF(AND(F290&lt;&gt;"",F290&lt;&gt;0),"계산 총지급과 대장 총지급이 다릅니다 / ","")&amp;IF(AND(I290&lt;&gt;"",I290&lt;&gt;0),"계산 총공제와 대장 총공제가 다릅니다 / ","")&amp;IF(J290&lt;0,"실수령액이 음수입니다 / ","")&amp;IF(COUNTIF(직원목록!$D$7:$D$306,B290)&gt;1,"같은 이름이 둘 이상 — 미리보기는 첫 번째만 보입니다 / ","")&amp;IF(AND(C290&lt;&gt;"",COUNTIF(직원목록!$C$7:$C$306,C290)&gt;1),"사번 중복 / ","")&amp;IF(D290=0,"총지급이 0원 — 머리글 매칭 확인 / ","")&amp;IF(AND(설정!$B$17&lt;&gt;"",설정!$C$17="",OR(ISNUMBER(FIND("연장",설정!$B$17)),ISNUMBER(FIND("야간",설정!$B$17)),ISNUMBER(FIND("휴일",설정!$B$17))),INDEX(직원목록!$F$7:$F$306,MATCH(278,직원목록!$B$7:$B$306,0))&gt;0),"연장·야간·휴일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","")&amp;IF(AND(설정!$B$24&lt;&gt;"",설정!$C$24="",OR(ISNUMBER(FIND("연장",설정!$B$24)),ISNUMBER(FIND("야간",설정!$B$24)),ISNUMBER(FIND("휴일",설정!$B$24))),INDEX(직원목록!$M$7:$M$306,MATCH(278,직원목록!$B$7:$B$306,0))&gt;0),"연장·야간·휴일 수당은 시간 수도 명세서에 적어야 하니 시간 열 지정 필요 / ",""))))</f>
        <v/>
      </c>
    </row>
    <row r="291">
      <c r="A291" s="26">
        <f>IF(IFERROR(MATCH(279,직원목록!$B$7:$B$306,0),0)=0,"",279)</f>
        <v/>
      </c>
      <c r="B291" s="2">
        <f>IF($A291="","",IFERROR(INDEX(직원목록!$D$7:$D$306,MATCH(279,직원목록!$B$7:$B$306,0)),""))</f>
        <v/>
      </c>
      <c r="C291" s="2">
        <f>IF($A291="","",IFERROR(INDEX(직원목록!$C$7:$C$306,MATCH(279,직원목록!$B$7:$B$306,0)),""))</f>
        <v/>
      </c>
      <c r="D291" s="27">
        <f>IF($A291="","",IFERROR(INDEX(직원목록!$V$7:$V$306,MATCH(279,직원목록!$B$7:$B$306,0)),""))</f>
        <v/>
      </c>
      <c r="E291" s="27">
        <f>IF($A291="","",IFERROR(INDEX(직원목록!$AG$7:$AG$306,MATCH(279,직원목록!$B$7:$B$306,0)),""))</f>
        <v/>
      </c>
      <c r="F291" s="27">
        <f>IF(OR($A291="",E291=""),"",D291-E291)</f>
        <v/>
      </c>
      <c r="G291" s="27">
        <f>IF($A291="","",IFERROR(INDEX(직원목록!$AE$7:$AE$306,MATCH(279,직원목록!$B$7:$B$306,0)),""))</f>
        <v/>
      </c>
      <c r="H291" s="27">
        <f>IF($A291="","",IFERROR(INDEX(직원목록!$AH$7:$AH$306,MATCH(279,직원목록!$B$7:$B$306,0)),""))</f>
        <v/>
      </c>
      <c r="I291" s="27">
        <f>IF(OR($A291="",H291=""),"",G291-H291)</f>
        <v/>
      </c>
      <c r="J291" s="27">
        <f>IF($A291="","",IFERROR(INDEX(직원목록!$AF$7:$AF$306,MATCH(279,직원목록!$B$7:$B$306,0)),""))</f>
        <v/>
      </c>
      <c r="K291" s="27">
        <f>IF($A291="","",IFERROR(INDEX(직원목록!$AI$7:$AI$306,MATCH(279,직원목록!$B$7:$B$306,0)),""))</f>
        <v/>
      </c>
      <c r="L291" s="8">
        <f>IF($A291="","",IF(LEN(IF(AND(F291&lt;&gt;"",F291&lt;&gt;0),"계산 총지급과 대장 총지급이 다릅니다 / ","")&amp;IF(AND(I291&lt;&gt;"",I291&lt;&gt;0),"계산 총공제와 대장 총공제가 다릅니다 / ","")&amp;IF(J291&lt;0,"실수령액이 음수입니다 / ","")&amp;IF(COUNTIF(직원목록!$D$7:$D$306,B291)&gt;1,"같은 이름이 둘 이상 — 미리보기는 첫 번째만 보입니다 / ","")&amp;IF(AND(C291&lt;&gt;"",COUNTIF(직원목록!$C$7:$C$306,C291)&gt;1),"사번 중복 / ","")&amp;IF(D291=0,"총지급이 0원 — 머리글 매칭 확인 / ","")&amp;IF(AND(설정!$B$17&lt;&gt;"",설정!$C$17="",OR(ISNUMBER(FIND("연장",설정!$B$17)),ISNUMBER(FIND("야간",설정!$B$17)),ISNUMBER(FIND("휴일",설정!$B$17))),INDEX(직원목록!$F$7:$F$306,MATCH(279,직원목록!$B$7:$B$306,0))&gt;0),"연장·야간·휴일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","")&amp;IF(AND(설정!$B$24&lt;&gt;"",설정!$C$24="",OR(ISNUMBER(FIND("연장",설정!$B$24)),ISNUMBER(FIND("야간",설정!$B$24)),ISNUMBER(FIND("휴일",설정!$B$24))),INDEX(직원목록!$M$7:$M$306,MATCH(279,직원목록!$B$7:$B$306,0))&gt;0),"연장·야간·휴일 수당은 시간 수도 명세서에 적어야 하니 시간 열 지정 필요 / ",""))=0,"✔",("⚠ "&amp;IF(AND(F291&lt;&gt;"",F291&lt;&gt;0),"계산 총지급과 대장 총지급이 다릅니다 / ","")&amp;IF(AND(I291&lt;&gt;"",I291&lt;&gt;0),"계산 총공제와 대장 총공제가 다릅니다 / ","")&amp;IF(J291&lt;0,"실수령액이 음수입니다 / ","")&amp;IF(COUNTIF(직원목록!$D$7:$D$306,B291)&gt;1,"같은 이름이 둘 이상 — 미리보기는 첫 번째만 보입니다 / ","")&amp;IF(AND(C291&lt;&gt;"",COUNTIF(직원목록!$C$7:$C$306,C291)&gt;1),"사번 중복 / ","")&amp;IF(D291=0,"총지급이 0원 — 머리글 매칭 확인 / ","")&amp;IF(AND(설정!$B$17&lt;&gt;"",설정!$C$17="",OR(ISNUMBER(FIND("연장",설정!$B$17)),ISNUMBER(FIND("야간",설정!$B$17)),ISNUMBER(FIND("휴일",설정!$B$17))),INDEX(직원목록!$F$7:$F$306,MATCH(279,직원목록!$B$7:$B$306,0))&gt;0),"연장·야간·휴일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","")&amp;IF(AND(설정!$B$18&lt;&gt;"",설정!$C$18="",OR(ISNUMBER(FIND("연장",설정!$B$18)),ISNUMBER(FIND("야간",설정!$B$18)),ISNUMBER(FIND("휴일",설정!$B$18))),INDEX(직원목록!$G$7:$G$306,MATCH(279,직원목록!$B$7:$B$306,0))&gt;0),"연장·야간·휴일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","")&amp;IF(AND(설정!$B$19&lt;&gt;"",설정!$C$19="",OR(ISNUMBER(FIND("연장",설정!$B$19)),ISNUMBER(FIND("야간",설정!$B$19)),ISNUMBER(FIND("휴일",설정!$B$19))),INDEX(직원목록!$H$7:$H$306,MATCH(279,직원목록!$B$7:$B$306,0))&gt;0),"연장·야간·휴일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","")&amp;IF(AND(설정!$B$20&lt;&gt;"",설정!$C$20="",OR(ISNUMBER(FIND("연장",설정!$B$20)),ISNUMBER(FIND("야간",설정!$B$20)),ISNUMBER(FIND("휴일",설정!$B$20))),INDEX(직원목록!$I$7:$I$306,MATCH(279,직원목록!$B$7:$B$306,0))&gt;0),"연장·야간·휴일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","")&amp;IF(AND(설정!$B$21&lt;&gt;"",설정!$C$21="",OR(ISNUMBER(FIND("연장",설정!$B$21)),ISNUMBER(FIND("야간",설정!$B$21)),ISNUMBER(FIND("휴일",설정!$B$21))),INDEX(직원목록!$J$7:$J$306,MATCH(279,직원목록!$B$7:$B$306,0))&gt;0),"연장·야간·휴일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","")&amp;IF(AND(설정!$B$22&lt;&gt;"",설정!$C$22="",OR(ISNUMBER(FIND("연장",설정!$B$22)),ISNUMBER(FIND("야간",설정!$B$22)),ISNUMBER(FIND("휴일",설정!$B$22))),INDEX(직원목록!$K$7:$K$306,MATCH(279,직원목록!$B$7:$B$306,0))&gt;0),"연장·야간·휴일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","")&amp;IF(AND(설정!$B$23&lt;&gt;"",설정!$C$23="",OR(ISNUMBER(FIND("연장",설정!$B$23)),ISNUMBER(FIND("야간",설정!$B$23)),ISNUMBER(FIND("휴일",설정!$B$23))),INDEX(직원목록!$L$7:$L$306,MATCH(279,직원목록!$B$7:$B$306,0))&gt;0),"연장·야간·휴일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","")&amp;IF(AND(설정!$B$24&lt;&gt;"",설정!$C$24="",OR(ISNUMBER(FIND("연장",설정!$B$24)),ISNUMBER(FIND("야간",설정!$B$24)),ISNUMBER(FIND("휴일",설정!$B$24))),INDEX(직원목록!$M$7:$M$306,MATCH(279,직원목록!$B$7:$B$306,0))&gt;0),"연장·야간·휴일 수당은 시간 수도 명세서에 적어야 하니 시간 열 지정 필요 / ",""))))</f>
        <v/>
      </c>
    </row>
    <row r="292">
      <c r="A292" s="26">
        <f>IF(IFERROR(MATCH(280,직원목록!$B$7:$B$306,0),0)=0,"",280)</f>
        <v/>
      </c>
      <c r="B292" s="2">
        <f>IF($A292="","",IFERROR(INDEX(직원목록!$D$7:$D$306,MATCH(280,직원목록!$B$7:$B$306,0)),""))</f>
        <v/>
      </c>
      <c r="C292" s="2">
        <f>IF($A292="","",IFERROR(INDEX(직원목록!$C$7:$C$306,MATCH(280,직원목록!$B$7:$B$306,0)),""))</f>
        <v/>
      </c>
      <c r="D292" s="27">
        <f>IF($A292="","",IFERROR(INDEX(직원목록!$V$7:$V$306,MATCH(280,직원목록!$B$7:$B$306,0)),""))</f>
        <v/>
      </c>
      <c r="E292" s="27">
        <f>IF($A292="","",IFERROR(INDEX(직원목록!$AG$7:$AG$306,MATCH(280,직원목록!$B$7:$B$306,0)),""))</f>
        <v/>
      </c>
      <c r="F292" s="27">
        <f>IF(OR($A292="",E292=""),"",D292-E292)</f>
        <v/>
      </c>
      <c r="G292" s="27">
        <f>IF($A292="","",IFERROR(INDEX(직원목록!$AE$7:$AE$306,MATCH(280,직원목록!$B$7:$B$306,0)),""))</f>
        <v/>
      </c>
      <c r="H292" s="27">
        <f>IF($A292="","",IFERROR(INDEX(직원목록!$AH$7:$AH$306,MATCH(280,직원목록!$B$7:$B$306,0)),""))</f>
        <v/>
      </c>
      <c r="I292" s="27">
        <f>IF(OR($A292="",H292=""),"",G292-H292)</f>
        <v/>
      </c>
      <c r="J292" s="27">
        <f>IF($A292="","",IFERROR(INDEX(직원목록!$AF$7:$AF$306,MATCH(280,직원목록!$B$7:$B$306,0)),""))</f>
        <v/>
      </c>
      <c r="K292" s="27">
        <f>IF($A292="","",IFERROR(INDEX(직원목록!$AI$7:$AI$306,MATCH(280,직원목록!$B$7:$B$306,0)),""))</f>
        <v/>
      </c>
      <c r="L292" s="8">
        <f>IF($A292="","",IF(LEN(IF(AND(F292&lt;&gt;"",F292&lt;&gt;0),"계산 총지급과 대장 총지급이 다릅니다 / ","")&amp;IF(AND(I292&lt;&gt;"",I292&lt;&gt;0),"계산 총공제와 대장 총공제가 다릅니다 / ","")&amp;IF(J292&lt;0,"실수령액이 음수입니다 / ","")&amp;IF(COUNTIF(직원목록!$D$7:$D$306,B292)&gt;1,"같은 이름이 둘 이상 — 미리보기는 첫 번째만 보입니다 / ","")&amp;IF(AND(C292&lt;&gt;"",COUNTIF(직원목록!$C$7:$C$306,C292)&gt;1),"사번 중복 / ","")&amp;IF(D292=0,"총지급이 0원 — 머리글 매칭 확인 / ","")&amp;IF(AND(설정!$B$17&lt;&gt;"",설정!$C$17="",OR(ISNUMBER(FIND("연장",설정!$B$17)),ISNUMBER(FIND("야간",설정!$B$17)),ISNUMBER(FIND("휴일",설정!$B$17))),INDEX(직원목록!$F$7:$F$306,MATCH(280,직원목록!$B$7:$B$306,0))&gt;0),"연장·야간·휴일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","")&amp;IF(AND(설정!$B$24&lt;&gt;"",설정!$C$24="",OR(ISNUMBER(FIND("연장",설정!$B$24)),ISNUMBER(FIND("야간",설정!$B$24)),ISNUMBER(FIND("휴일",설정!$B$24))),INDEX(직원목록!$M$7:$M$306,MATCH(280,직원목록!$B$7:$B$306,0))&gt;0),"연장·야간·휴일 수당은 시간 수도 명세서에 적어야 하니 시간 열 지정 필요 / ",""))=0,"✔",("⚠ "&amp;IF(AND(F292&lt;&gt;"",F292&lt;&gt;0),"계산 총지급과 대장 총지급이 다릅니다 / ","")&amp;IF(AND(I292&lt;&gt;"",I292&lt;&gt;0),"계산 총공제와 대장 총공제가 다릅니다 / ","")&amp;IF(J292&lt;0,"실수령액이 음수입니다 / ","")&amp;IF(COUNTIF(직원목록!$D$7:$D$306,B292)&gt;1,"같은 이름이 둘 이상 — 미리보기는 첫 번째만 보입니다 / ","")&amp;IF(AND(C292&lt;&gt;"",COUNTIF(직원목록!$C$7:$C$306,C292)&gt;1),"사번 중복 / ","")&amp;IF(D292=0,"총지급이 0원 — 머리글 매칭 확인 / ","")&amp;IF(AND(설정!$B$17&lt;&gt;"",설정!$C$17="",OR(ISNUMBER(FIND("연장",설정!$B$17)),ISNUMBER(FIND("야간",설정!$B$17)),ISNUMBER(FIND("휴일",설정!$B$17))),INDEX(직원목록!$F$7:$F$306,MATCH(280,직원목록!$B$7:$B$306,0))&gt;0),"연장·야간·휴일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","")&amp;IF(AND(설정!$B$24&lt;&gt;"",설정!$C$24="",OR(ISNUMBER(FIND("연장",설정!$B$24)),ISNUMBER(FIND("야간",설정!$B$24)),ISNUMBER(FIND("휴일",설정!$B$24))),INDEX(직원목록!$M$7:$M$306,MATCH(280,직원목록!$B$7:$B$306,0))&gt;0),"연장·야간·휴일 수당은 시간 수도 명세서에 적어야 하니 시간 열 지정 필요 / ",""))))</f>
        <v/>
      </c>
    </row>
    <row r="293">
      <c r="A293" s="26">
        <f>IF(IFERROR(MATCH(281,직원목록!$B$7:$B$306,0),0)=0,"",281)</f>
        <v/>
      </c>
      <c r="B293" s="2">
        <f>IF($A293="","",IFERROR(INDEX(직원목록!$D$7:$D$306,MATCH(281,직원목록!$B$7:$B$306,0)),""))</f>
        <v/>
      </c>
      <c r="C293" s="2">
        <f>IF($A293="","",IFERROR(INDEX(직원목록!$C$7:$C$306,MATCH(281,직원목록!$B$7:$B$306,0)),""))</f>
        <v/>
      </c>
      <c r="D293" s="27">
        <f>IF($A293="","",IFERROR(INDEX(직원목록!$V$7:$V$306,MATCH(281,직원목록!$B$7:$B$306,0)),""))</f>
        <v/>
      </c>
      <c r="E293" s="27">
        <f>IF($A293="","",IFERROR(INDEX(직원목록!$AG$7:$AG$306,MATCH(281,직원목록!$B$7:$B$306,0)),""))</f>
        <v/>
      </c>
      <c r="F293" s="27">
        <f>IF(OR($A293="",E293=""),"",D293-E293)</f>
        <v/>
      </c>
      <c r="G293" s="27">
        <f>IF($A293="","",IFERROR(INDEX(직원목록!$AE$7:$AE$306,MATCH(281,직원목록!$B$7:$B$306,0)),""))</f>
        <v/>
      </c>
      <c r="H293" s="27">
        <f>IF($A293="","",IFERROR(INDEX(직원목록!$AH$7:$AH$306,MATCH(281,직원목록!$B$7:$B$306,0)),""))</f>
        <v/>
      </c>
      <c r="I293" s="27">
        <f>IF(OR($A293="",H293=""),"",G293-H293)</f>
        <v/>
      </c>
      <c r="J293" s="27">
        <f>IF($A293="","",IFERROR(INDEX(직원목록!$AF$7:$AF$306,MATCH(281,직원목록!$B$7:$B$306,0)),""))</f>
        <v/>
      </c>
      <c r="K293" s="27">
        <f>IF($A293="","",IFERROR(INDEX(직원목록!$AI$7:$AI$306,MATCH(281,직원목록!$B$7:$B$306,0)),""))</f>
        <v/>
      </c>
      <c r="L293" s="8">
        <f>IF($A293="","",IF(LEN(IF(AND(F293&lt;&gt;"",F293&lt;&gt;0),"계산 총지급과 대장 총지급이 다릅니다 / ","")&amp;IF(AND(I293&lt;&gt;"",I293&lt;&gt;0),"계산 총공제와 대장 총공제가 다릅니다 / ","")&amp;IF(J293&lt;0,"실수령액이 음수입니다 / ","")&amp;IF(COUNTIF(직원목록!$D$7:$D$306,B293)&gt;1,"같은 이름이 둘 이상 — 미리보기는 첫 번째만 보입니다 / ","")&amp;IF(AND(C293&lt;&gt;"",COUNTIF(직원목록!$C$7:$C$306,C293)&gt;1),"사번 중복 / ","")&amp;IF(D293=0,"총지급이 0원 — 머리글 매칭 확인 / ","")&amp;IF(AND(설정!$B$17&lt;&gt;"",설정!$C$17="",OR(ISNUMBER(FIND("연장",설정!$B$17)),ISNUMBER(FIND("야간",설정!$B$17)),ISNUMBER(FIND("휴일",설정!$B$17))),INDEX(직원목록!$F$7:$F$306,MATCH(281,직원목록!$B$7:$B$306,0))&gt;0),"연장·야간·휴일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","")&amp;IF(AND(설정!$B$24&lt;&gt;"",설정!$C$24="",OR(ISNUMBER(FIND("연장",설정!$B$24)),ISNUMBER(FIND("야간",설정!$B$24)),ISNUMBER(FIND("휴일",설정!$B$24))),INDEX(직원목록!$M$7:$M$306,MATCH(281,직원목록!$B$7:$B$306,0))&gt;0),"연장·야간·휴일 수당은 시간 수도 명세서에 적어야 하니 시간 열 지정 필요 / ",""))=0,"✔",("⚠ "&amp;IF(AND(F293&lt;&gt;"",F293&lt;&gt;0),"계산 총지급과 대장 총지급이 다릅니다 / ","")&amp;IF(AND(I293&lt;&gt;"",I293&lt;&gt;0),"계산 총공제와 대장 총공제가 다릅니다 / ","")&amp;IF(J293&lt;0,"실수령액이 음수입니다 / ","")&amp;IF(COUNTIF(직원목록!$D$7:$D$306,B293)&gt;1,"같은 이름이 둘 이상 — 미리보기는 첫 번째만 보입니다 / ","")&amp;IF(AND(C293&lt;&gt;"",COUNTIF(직원목록!$C$7:$C$306,C293)&gt;1),"사번 중복 / ","")&amp;IF(D293=0,"총지급이 0원 — 머리글 매칭 확인 / ","")&amp;IF(AND(설정!$B$17&lt;&gt;"",설정!$C$17="",OR(ISNUMBER(FIND("연장",설정!$B$17)),ISNUMBER(FIND("야간",설정!$B$17)),ISNUMBER(FIND("휴일",설정!$B$17))),INDEX(직원목록!$F$7:$F$306,MATCH(281,직원목록!$B$7:$B$306,0))&gt;0),"연장·야간·휴일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","")&amp;IF(AND(설정!$B$24&lt;&gt;"",설정!$C$24="",OR(ISNUMBER(FIND("연장",설정!$B$24)),ISNUMBER(FIND("야간",설정!$B$24)),ISNUMBER(FIND("휴일",설정!$B$24))),INDEX(직원목록!$M$7:$M$306,MATCH(281,직원목록!$B$7:$B$306,0))&gt;0),"연장·야간·휴일 수당은 시간 수도 명세서에 적어야 하니 시간 열 지정 필요 / ",""))))</f>
        <v/>
      </c>
    </row>
    <row r="294">
      <c r="A294" s="26">
        <f>IF(IFERROR(MATCH(282,직원목록!$B$7:$B$306,0),0)=0,"",282)</f>
        <v/>
      </c>
      <c r="B294" s="2">
        <f>IF($A294="","",IFERROR(INDEX(직원목록!$D$7:$D$306,MATCH(282,직원목록!$B$7:$B$306,0)),""))</f>
        <v/>
      </c>
      <c r="C294" s="2">
        <f>IF($A294="","",IFERROR(INDEX(직원목록!$C$7:$C$306,MATCH(282,직원목록!$B$7:$B$306,0)),""))</f>
        <v/>
      </c>
      <c r="D294" s="27">
        <f>IF($A294="","",IFERROR(INDEX(직원목록!$V$7:$V$306,MATCH(282,직원목록!$B$7:$B$306,0)),""))</f>
        <v/>
      </c>
      <c r="E294" s="27">
        <f>IF($A294="","",IFERROR(INDEX(직원목록!$AG$7:$AG$306,MATCH(282,직원목록!$B$7:$B$306,0)),""))</f>
        <v/>
      </c>
      <c r="F294" s="27">
        <f>IF(OR($A294="",E294=""),"",D294-E294)</f>
        <v/>
      </c>
      <c r="G294" s="27">
        <f>IF($A294="","",IFERROR(INDEX(직원목록!$AE$7:$AE$306,MATCH(282,직원목록!$B$7:$B$306,0)),""))</f>
        <v/>
      </c>
      <c r="H294" s="27">
        <f>IF($A294="","",IFERROR(INDEX(직원목록!$AH$7:$AH$306,MATCH(282,직원목록!$B$7:$B$306,0)),""))</f>
        <v/>
      </c>
      <c r="I294" s="27">
        <f>IF(OR($A294="",H294=""),"",G294-H294)</f>
        <v/>
      </c>
      <c r="J294" s="27">
        <f>IF($A294="","",IFERROR(INDEX(직원목록!$AF$7:$AF$306,MATCH(282,직원목록!$B$7:$B$306,0)),""))</f>
        <v/>
      </c>
      <c r="K294" s="27">
        <f>IF($A294="","",IFERROR(INDEX(직원목록!$AI$7:$AI$306,MATCH(282,직원목록!$B$7:$B$306,0)),""))</f>
        <v/>
      </c>
      <c r="L294" s="8">
        <f>IF($A294="","",IF(LEN(IF(AND(F294&lt;&gt;"",F294&lt;&gt;0),"계산 총지급과 대장 총지급이 다릅니다 / ","")&amp;IF(AND(I294&lt;&gt;"",I294&lt;&gt;0),"계산 총공제와 대장 총공제가 다릅니다 / ","")&amp;IF(J294&lt;0,"실수령액이 음수입니다 / ","")&amp;IF(COUNTIF(직원목록!$D$7:$D$306,B294)&gt;1,"같은 이름이 둘 이상 — 미리보기는 첫 번째만 보입니다 / ","")&amp;IF(AND(C294&lt;&gt;"",COUNTIF(직원목록!$C$7:$C$306,C294)&gt;1),"사번 중복 / ","")&amp;IF(D294=0,"총지급이 0원 — 머리글 매칭 확인 / ","")&amp;IF(AND(설정!$B$17&lt;&gt;"",설정!$C$17="",OR(ISNUMBER(FIND("연장",설정!$B$17)),ISNUMBER(FIND("야간",설정!$B$17)),ISNUMBER(FIND("휴일",설정!$B$17))),INDEX(직원목록!$F$7:$F$306,MATCH(282,직원목록!$B$7:$B$306,0))&gt;0),"연장·야간·휴일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","")&amp;IF(AND(설정!$B$24&lt;&gt;"",설정!$C$24="",OR(ISNUMBER(FIND("연장",설정!$B$24)),ISNUMBER(FIND("야간",설정!$B$24)),ISNUMBER(FIND("휴일",설정!$B$24))),INDEX(직원목록!$M$7:$M$306,MATCH(282,직원목록!$B$7:$B$306,0))&gt;0),"연장·야간·휴일 수당은 시간 수도 명세서에 적어야 하니 시간 열 지정 필요 / ",""))=0,"✔",("⚠ "&amp;IF(AND(F294&lt;&gt;"",F294&lt;&gt;0),"계산 총지급과 대장 총지급이 다릅니다 / ","")&amp;IF(AND(I294&lt;&gt;"",I294&lt;&gt;0),"계산 총공제와 대장 총공제가 다릅니다 / ","")&amp;IF(J294&lt;0,"실수령액이 음수입니다 / ","")&amp;IF(COUNTIF(직원목록!$D$7:$D$306,B294)&gt;1,"같은 이름이 둘 이상 — 미리보기는 첫 번째만 보입니다 / ","")&amp;IF(AND(C294&lt;&gt;"",COUNTIF(직원목록!$C$7:$C$306,C294)&gt;1),"사번 중복 / ","")&amp;IF(D294=0,"총지급이 0원 — 머리글 매칭 확인 / ","")&amp;IF(AND(설정!$B$17&lt;&gt;"",설정!$C$17="",OR(ISNUMBER(FIND("연장",설정!$B$17)),ISNUMBER(FIND("야간",설정!$B$17)),ISNUMBER(FIND("휴일",설정!$B$17))),INDEX(직원목록!$F$7:$F$306,MATCH(282,직원목록!$B$7:$B$306,0))&gt;0),"연장·야간·휴일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","")&amp;IF(AND(설정!$B$24&lt;&gt;"",설정!$C$24="",OR(ISNUMBER(FIND("연장",설정!$B$24)),ISNUMBER(FIND("야간",설정!$B$24)),ISNUMBER(FIND("휴일",설정!$B$24))),INDEX(직원목록!$M$7:$M$306,MATCH(282,직원목록!$B$7:$B$306,0))&gt;0),"연장·야간·휴일 수당은 시간 수도 명세서에 적어야 하니 시간 열 지정 필요 / ",""))))</f>
        <v/>
      </c>
    </row>
    <row r="295">
      <c r="A295" s="26">
        <f>IF(IFERROR(MATCH(283,직원목록!$B$7:$B$306,0),0)=0,"",283)</f>
        <v/>
      </c>
      <c r="B295" s="2">
        <f>IF($A295="","",IFERROR(INDEX(직원목록!$D$7:$D$306,MATCH(283,직원목록!$B$7:$B$306,0)),""))</f>
        <v/>
      </c>
      <c r="C295" s="2">
        <f>IF($A295="","",IFERROR(INDEX(직원목록!$C$7:$C$306,MATCH(283,직원목록!$B$7:$B$306,0)),""))</f>
        <v/>
      </c>
      <c r="D295" s="27">
        <f>IF($A295="","",IFERROR(INDEX(직원목록!$V$7:$V$306,MATCH(283,직원목록!$B$7:$B$306,0)),""))</f>
        <v/>
      </c>
      <c r="E295" s="27">
        <f>IF($A295="","",IFERROR(INDEX(직원목록!$AG$7:$AG$306,MATCH(283,직원목록!$B$7:$B$306,0)),""))</f>
        <v/>
      </c>
      <c r="F295" s="27">
        <f>IF(OR($A295="",E295=""),"",D295-E295)</f>
        <v/>
      </c>
      <c r="G295" s="27">
        <f>IF($A295="","",IFERROR(INDEX(직원목록!$AE$7:$AE$306,MATCH(283,직원목록!$B$7:$B$306,0)),""))</f>
        <v/>
      </c>
      <c r="H295" s="27">
        <f>IF($A295="","",IFERROR(INDEX(직원목록!$AH$7:$AH$306,MATCH(283,직원목록!$B$7:$B$306,0)),""))</f>
        <v/>
      </c>
      <c r="I295" s="27">
        <f>IF(OR($A295="",H295=""),"",G295-H295)</f>
        <v/>
      </c>
      <c r="J295" s="27">
        <f>IF($A295="","",IFERROR(INDEX(직원목록!$AF$7:$AF$306,MATCH(283,직원목록!$B$7:$B$306,0)),""))</f>
        <v/>
      </c>
      <c r="K295" s="27">
        <f>IF($A295="","",IFERROR(INDEX(직원목록!$AI$7:$AI$306,MATCH(283,직원목록!$B$7:$B$306,0)),""))</f>
        <v/>
      </c>
      <c r="L295" s="8">
        <f>IF($A295="","",IF(LEN(IF(AND(F295&lt;&gt;"",F295&lt;&gt;0),"계산 총지급과 대장 총지급이 다릅니다 / ","")&amp;IF(AND(I295&lt;&gt;"",I295&lt;&gt;0),"계산 총공제와 대장 총공제가 다릅니다 / ","")&amp;IF(J295&lt;0,"실수령액이 음수입니다 / ","")&amp;IF(COUNTIF(직원목록!$D$7:$D$306,B295)&gt;1,"같은 이름이 둘 이상 — 미리보기는 첫 번째만 보입니다 / ","")&amp;IF(AND(C295&lt;&gt;"",COUNTIF(직원목록!$C$7:$C$306,C295)&gt;1),"사번 중복 / ","")&amp;IF(D295=0,"총지급이 0원 — 머리글 매칭 확인 / ","")&amp;IF(AND(설정!$B$17&lt;&gt;"",설정!$C$17="",OR(ISNUMBER(FIND("연장",설정!$B$17)),ISNUMBER(FIND("야간",설정!$B$17)),ISNUMBER(FIND("휴일",설정!$B$17))),INDEX(직원목록!$F$7:$F$306,MATCH(283,직원목록!$B$7:$B$306,0))&gt;0),"연장·야간·휴일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","")&amp;IF(AND(설정!$B$24&lt;&gt;"",설정!$C$24="",OR(ISNUMBER(FIND("연장",설정!$B$24)),ISNUMBER(FIND("야간",설정!$B$24)),ISNUMBER(FIND("휴일",설정!$B$24))),INDEX(직원목록!$M$7:$M$306,MATCH(283,직원목록!$B$7:$B$306,0))&gt;0),"연장·야간·휴일 수당은 시간 수도 명세서에 적어야 하니 시간 열 지정 필요 / ",""))=0,"✔",("⚠ "&amp;IF(AND(F295&lt;&gt;"",F295&lt;&gt;0),"계산 총지급과 대장 총지급이 다릅니다 / ","")&amp;IF(AND(I295&lt;&gt;"",I295&lt;&gt;0),"계산 총공제와 대장 총공제가 다릅니다 / ","")&amp;IF(J295&lt;0,"실수령액이 음수입니다 / ","")&amp;IF(COUNTIF(직원목록!$D$7:$D$306,B295)&gt;1,"같은 이름이 둘 이상 — 미리보기는 첫 번째만 보입니다 / ","")&amp;IF(AND(C295&lt;&gt;"",COUNTIF(직원목록!$C$7:$C$306,C295)&gt;1),"사번 중복 / ","")&amp;IF(D295=0,"총지급이 0원 — 머리글 매칭 확인 / ","")&amp;IF(AND(설정!$B$17&lt;&gt;"",설정!$C$17="",OR(ISNUMBER(FIND("연장",설정!$B$17)),ISNUMBER(FIND("야간",설정!$B$17)),ISNUMBER(FIND("휴일",설정!$B$17))),INDEX(직원목록!$F$7:$F$306,MATCH(283,직원목록!$B$7:$B$306,0))&gt;0),"연장·야간·휴일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","")&amp;IF(AND(설정!$B$24&lt;&gt;"",설정!$C$24="",OR(ISNUMBER(FIND("연장",설정!$B$24)),ISNUMBER(FIND("야간",설정!$B$24)),ISNUMBER(FIND("휴일",설정!$B$24))),INDEX(직원목록!$M$7:$M$306,MATCH(283,직원목록!$B$7:$B$306,0))&gt;0),"연장·야간·휴일 수당은 시간 수도 명세서에 적어야 하니 시간 열 지정 필요 / ",""))))</f>
        <v/>
      </c>
    </row>
    <row r="296">
      <c r="A296" s="26">
        <f>IF(IFERROR(MATCH(284,직원목록!$B$7:$B$306,0),0)=0,"",284)</f>
        <v/>
      </c>
      <c r="B296" s="2">
        <f>IF($A296="","",IFERROR(INDEX(직원목록!$D$7:$D$306,MATCH(284,직원목록!$B$7:$B$306,0)),""))</f>
        <v/>
      </c>
      <c r="C296" s="2">
        <f>IF($A296="","",IFERROR(INDEX(직원목록!$C$7:$C$306,MATCH(284,직원목록!$B$7:$B$306,0)),""))</f>
        <v/>
      </c>
      <c r="D296" s="27">
        <f>IF($A296="","",IFERROR(INDEX(직원목록!$V$7:$V$306,MATCH(284,직원목록!$B$7:$B$306,0)),""))</f>
        <v/>
      </c>
      <c r="E296" s="27">
        <f>IF($A296="","",IFERROR(INDEX(직원목록!$AG$7:$AG$306,MATCH(284,직원목록!$B$7:$B$306,0)),""))</f>
        <v/>
      </c>
      <c r="F296" s="27">
        <f>IF(OR($A296="",E296=""),"",D296-E296)</f>
        <v/>
      </c>
      <c r="G296" s="27">
        <f>IF($A296="","",IFERROR(INDEX(직원목록!$AE$7:$AE$306,MATCH(284,직원목록!$B$7:$B$306,0)),""))</f>
        <v/>
      </c>
      <c r="H296" s="27">
        <f>IF($A296="","",IFERROR(INDEX(직원목록!$AH$7:$AH$306,MATCH(284,직원목록!$B$7:$B$306,0)),""))</f>
        <v/>
      </c>
      <c r="I296" s="27">
        <f>IF(OR($A296="",H296=""),"",G296-H296)</f>
        <v/>
      </c>
      <c r="J296" s="27">
        <f>IF($A296="","",IFERROR(INDEX(직원목록!$AF$7:$AF$306,MATCH(284,직원목록!$B$7:$B$306,0)),""))</f>
        <v/>
      </c>
      <c r="K296" s="27">
        <f>IF($A296="","",IFERROR(INDEX(직원목록!$AI$7:$AI$306,MATCH(284,직원목록!$B$7:$B$306,0)),""))</f>
        <v/>
      </c>
      <c r="L296" s="8">
        <f>IF($A296="","",IF(LEN(IF(AND(F296&lt;&gt;"",F296&lt;&gt;0),"계산 총지급과 대장 총지급이 다릅니다 / ","")&amp;IF(AND(I296&lt;&gt;"",I296&lt;&gt;0),"계산 총공제와 대장 총공제가 다릅니다 / ","")&amp;IF(J296&lt;0,"실수령액이 음수입니다 / ","")&amp;IF(COUNTIF(직원목록!$D$7:$D$306,B296)&gt;1,"같은 이름이 둘 이상 — 미리보기는 첫 번째만 보입니다 / ","")&amp;IF(AND(C296&lt;&gt;"",COUNTIF(직원목록!$C$7:$C$306,C296)&gt;1),"사번 중복 / ","")&amp;IF(D296=0,"총지급이 0원 — 머리글 매칭 확인 / ","")&amp;IF(AND(설정!$B$17&lt;&gt;"",설정!$C$17="",OR(ISNUMBER(FIND("연장",설정!$B$17)),ISNUMBER(FIND("야간",설정!$B$17)),ISNUMBER(FIND("휴일",설정!$B$17))),INDEX(직원목록!$F$7:$F$306,MATCH(284,직원목록!$B$7:$B$306,0))&gt;0),"연장·야간·휴일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","")&amp;IF(AND(설정!$B$24&lt;&gt;"",설정!$C$24="",OR(ISNUMBER(FIND("연장",설정!$B$24)),ISNUMBER(FIND("야간",설정!$B$24)),ISNUMBER(FIND("휴일",설정!$B$24))),INDEX(직원목록!$M$7:$M$306,MATCH(284,직원목록!$B$7:$B$306,0))&gt;0),"연장·야간·휴일 수당은 시간 수도 명세서에 적어야 하니 시간 열 지정 필요 / ",""))=0,"✔",("⚠ "&amp;IF(AND(F296&lt;&gt;"",F296&lt;&gt;0),"계산 총지급과 대장 총지급이 다릅니다 / ","")&amp;IF(AND(I296&lt;&gt;"",I296&lt;&gt;0),"계산 총공제와 대장 총공제가 다릅니다 / ","")&amp;IF(J296&lt;0,"실수령액이 음수입니다 / ","")&amp;IF(COUNTIF(직원목록!$D$7:$D$306,B296)&gt;1,"같은 이름이 둘 이상 — 미리보기는 첫 번째만 보입니다 / ","")&amp;IF(AND(C296&lt;&gt;"",COUNTIF(직원목록!$C$7:$C$306,C296)&gt;1),"사번 중복 / ","")&amp;IF(D296=0,"총지급이 0원 — 머리글 매칭 확인 / ","")&amp;IF(AND(설정!$B$17&lt;&gt;"",설정!$C$17="",OR(ISNUMBER(FIND("연장",설정!$B$17)),ISNUMBER(FIND("야간",설정!$B$17)),ISNUMBER(FIND("휴일",설정!$B$17))),INDEX(직원목록!$F$7:$F$306,MATCH(284,직원목록!$B$7:$B$306,0))&gt;0),"연장·야간·휴일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","")&amp;IF(AND(설정!$B$24&lt;&gt;"",설정!$C$24="",OR(ISNUMBER(FIND("연장",설정!$B$24)),ISNUMBER(FIND("야간",설정!$B$24)),ISNUMBER(FIND("휴일",설정!$B$24))),INDEX(직원목록!$M$7:$M$306,MATCH(284,직원목록!$B$7:$B$306,0))&gt;0),"연장·야간·휴일 수당은 시간 수도 명세서에 적어야 하니 시간 열 지정 필요 / ",""))))</f>
        <v/>
      </c>
    </row>
    <row r="297">
      <c r="A297" s="26">
        <f>IF(IFERROR(MATCH(285,직원목록!$B$7:$B$306,0),0)=0,"",285)</f>
        <v/>
      </c>
      <c r="B297" s="2">
        <f>IF($A297="","",IFERROR(INDEX(직원목록!$D$7:$D$306,MATCH(285,직원목록!$B$7:$B$306,0)),""))</f>
        <v/>
      </c>
      <c r="C297" s="2">
        <f>IF($A297="","",IFERROR(INDEX(직원목록!$C$7:$C$306,MATCH(285,직원목록!$B$7:$B$306,0)),""))</f>
        <v/>
      </c>
      <c r="D297" s="27">
        <f>IF($A297="","",IFERROR(INDEX(직원목록!$V$7:$V$306,MATCH(285,직원목록!$B$7:$B$306,0)),""))</f>
        <v/>
      </c>
      <c r="E297" s="27">
        <f>IF($A297="","",IFERROR(INDEX(직원목록!$AG$7:$AG$306,MATCH(285,직원목록!$B$7:$B$306,0)),""))</f>
        <v/>
      </c>
      <c r="F297" s="27">
        <f>IF(OR($A297="",E297=""),"",D297-E297)</f>
        <v/>
      </c>
      <c r="G297" s="27">
        <f>IF($A297="","",IFERROR(INDEX(직원목록!$AE$7:$AE$306,MATCH(285,직원목록!$B$7:$B$306,0)),""))</f>
        <v/>
      </c>
      <c r="H297" s="27">
        <f>IF($A297="","",IFERROR(INDEX(직원목록!$AH$7:$AH$306,MATCH(285,직원목록!$B$7:$B$306,0)),""))</f>
        <v/>
      </c>
      <c r="I297" s="27">
        <f>IF(OR($A297="",H297=""),"",G297-H297)</f>
        <v/>
      </c>
      <c r="J297" s="27">
        <f>IF($A297="","",IFERROR(INDEX(직원목록!$AF$7:$AF$306,MATCH(285,직원목록!$B$7:$B$306,0)),""))</f>
        <v/>
      </c>
      <c r="K297" s="27">
        <f>IF($A297="","",IFERROR(INDEX(직원목록!$AI$7:$AI$306,MATCH(285,직원목록!$B$7:$B$306,0)),""))</f>
        <v/>
      </c>
      <c r="L297" s="8">
        <f>IF($A297="","",IF(LEN(IF(AND(F297&lt;&gt;"",F297&lt;&gt;0),"계산 총지급과 대장 총지급이 다릅니다 / ","")&amp;IF(AND(I297&lt;&gt;"",I297&lt;&gt;0),"계산 총공제와 대장 총공제가 다릅니다 / ","")&amp;IF(J297&lt;0,"실수령액이 음수입니다 / ","")&amp;IF(COUNTIF(직원목록!$D$7:$D$306,B297)&gt;1,"같은 이름이 둘 이상 — 미리보기는 첫 번째만 보입니다 / ","")&amp;IF(AND(C297&lt;&gt;"",COUNTIF(직원목록!$C$7:$C$306,C297)&gt;1),"사번 중복 / ","")&amp;IF(D297=0,"총지급이 0원 — 머리글 매칭 확인 / ","")&amp;IF(AND(설정!$B$17&lt;&gt;"",설정!$C$17="",OR(ISNUMBER(FIND("연장",설정!$B$17)),ISNUMBER(FIND("야간",설정!$B$17)),ISNUMBER(FIND("휴일",설정!$B$17))),INDEX(직원목록!$F$7:$F$306,MATCH(285,직원목록!$B$7:$B$306,0))&gt;0),"연장·야간·휴일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","")&amp;IF(AND(설정!$B$24&lt;&gt;"",설정!$C$24="",OR(ISNUMBER(FIND("연장",설정!$B$24)),ISNUMBER(FIND("야간",설정!$B$24)),ISNUMBER(FIND("휴일",설정!$B$24))),INDEX(직원목록!$M$7:$M$306,MATCH(285,직원목록!$B$7:$B$306,0))&gt;0),"연장·야간·휴일 수당은 시간 수도 명세서에 적어야 하니 시간 열 지정 필요 / ",""))=0,"✔",("⚠ "&amp;IF(AND(F297&lt;&gt;"",F297&lt;&gt;0),"계산 총지급과 대장 총지급이 다릅니다 / ","")&amp;IF(AND(I297&lt;&gt;"",I297&lt;&gt;0),"계산 총공제와 대장 총공제가 다릅니다 / ","")&amp;IF(J297&lt;0,"실수령액이 음수입니다 / ","")&amp;IF(COUNTIF(직원목록!$D$7:$D$306,B297)&gt;1,"같은 이름이 둘 이상 — 미리보기는 첫 번째만 보입니다 / ","")&amp;IF(AND(C297&lt;&gt;"",COUNTIF(직원목록!$C$7:$C$306,C297)&gt;1),"사번 중복 / ","")&amp;IF(D297=0,"총지급이 0원 — 머리글 매칭 확인 / ","")&amp;IF(AND(설정!$B$17&lt;&gt;"",설정!$C$17="",OR(ISNUMBER(FIND("연장",설정!$B$17)),ISNUMBER(FIND("야간",설정!$B$17)),ISNUMBER(FIND("휴일",설정!$B$17))),INDEX(직원목록!$F$7:$F$306,MATCH(285,직원목록!$B$7:$B$306,0))&gt;0),"연장·야간·휴일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","")&amp;IF(AND(설정!$B$24&lt;&gt;"",설정!$C$24="",OR(ISNUMBER(FIND("연장",설정!$B$24)),ISNUMBER(FIND("야간",설정!$B$24)),ISNUMBER(FIND("휴일",설정!$B$24))),INDEX(직원목록!$M$7:$M$306,MATCH(285,직원목록!$B$7:$B$306,0))&gt;0),"연장·야간·휴일 수당은 시간 수도 명세서에 적어야 하니 시간 열 지정 필요 / ",""))))</f>
        <v/>
      </c>
    </row>
    <row r="298">
      <c r="A298" s="26">
        <f>IF(IFERROR(MATCH(286,직원목록!$B$7:$B$306,0),0)=0,"",286)</f>
        <v/>
      </c>
      <c r="B298" s="2">
        <f>IF($A298="","",IFERROR(INDEX(직원목록!$D$7:$D$306,MATCH(286,직원목록!$B$7:$B$306,0)),""))</f>
        <v/>
      </c>
      <c r="C298" s="2">
        <f>IF($A298="","",IFERROR(INDEX(직원목록!$C$7:$C$306,MATCH(286,직원목록!$B$7:$B$306,0)),""))</f>
        <v/>
      </c>
      <c r="D298" s="27">
        <f>IF($A298="","",IFERROR(INDEX(직원목록!$V$7:$V$306,MATCH(286,직원목록!$B$7:$B$306,0)),""))</f>
        <v/>
      </c>
      <c r="E298" s="27">
        <f>IF($A298="","",IFERROR(INDEX(직원목록!$AG$7:$AG$306,MATCH(286,직원목록!$B$7:$B$306,0)),""))</f>
        <v/>
      </c>
      <c r="F298" s="27">
        <f>IF(OR($A298="",E298=""),"",D298-E298)</f>
        <v/>
      </c>
      <c r="G298" s="27">
        <f>IF($A298="","",IFERROR(INDEX(직원목록!$AE$7:$AE$306,MATCH(286,직원목록!$B$7:$B$306,0)),""))</f>
        <v/>
      </c>
      <c r="H298" s="27">
        <f>IF($A298="","",IFERROR(INDEX(직원목록!$AH$7:$AH$306,MATCH(286,직원목록!$B$7:$B$306,0)),""))</f>
        <v/>
      </c>
      <c r="I298" s="27">
        <f>IF(OR($A298="",H298=""),"",G298-H298)</f>
        <v/>
      </c>
      <c r="J298" s="27">
        <f>IF($A298="","",IFERROR(INDEX(직원목록!$AF$7:$AF$306,MATCH(286,직원목록!$B$7:$B$306,0)),""))</f>
        <v/>
      </c>
      <c r="K298" s="27">
        <f>IF($A298="","",IFERROR(INDEX(직원목록!$AI$7:$AI$306,MATCH(286,직원목록!$B$7:$B$306,0)),""))</f>
        <v/>
      </c>
      <c r="L298" s="8">
        <f>IF($A298="","",IF(LEN(IF(AND(F298&lt;&gt;"",F298&lt;&gt;0),"계산 총지급과 대장 총지급이 다릅니다 / ","")&amp;IF(AND(I298&lt;&gt;"",I298&lt;&gt;0),"계산 총공제와 대장 총공제가 다릅니다 / ","")&amp;IF(J298&lt;0,"실수령액이 음수입니다 / ","")&amp;IF(COUNTIF(직원목록!$D$7:$D$306,B298)&gt;1,"같은 이름이 둘 이상 — 미리보기는 첫 번째만 보입니다 / ","")&amp;IF(AND(C298&lt;&gt;"",COUNTIF(직원목록!$C$7:$C$306,C298)&gt;1),"사번 중복 / ","")&amp;IF(D298=0,"총지급이 0원 — 머리글 매칭 확인 / ","")&amp;IF(AND(설정!$B$17&lt;&gt;"",설정!$C$17="",OR(ISNUMBER(FIND("연장",설정!$B$17)),ISNUMBER(FIND("야간",설정!$B$17)),ISNUMBER(FIND("휴일",설정!$B$17))),INDEX(직원목록!$F$7:$F$306,MATCH(286,직원목록!$B$7:$B$306,0))&gt;0),"연장·야간·휴일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","")&amp;IF(AND(설정!$B$24&lt;&gt;"",설정!$C$24="",OR(ISNUMBER(FIND("연장",설정!$B$24)),ISNUMBER(FIND("야간",설정!$B$24)),ISNUMBER(FIND("휴일",설정!$B$24))),INDEX(직원목록!$M$7:$M$306,MATCH(286,직원목록!$B$7:$B$306,0))&gt;0),"연장·야간·휴일 수당은 시간 수도 명세서에 적어야 하니 시간 열 지정 필요 / ",""))=0,"✔",("⚠ "&amp;IF(AND(F298&lt;&gt;"",F298&lt;&gt;0),"계산 총지급과 대장 총지급이 다릅니다 / ","")&amp;IF(AND(I298&lt;&gt;"",I298&lt;&gt;0),"계산 총공제와 대장 총공제가 다릅니다 / ","")&amp;IF(J298&lt;0,"실수령액이 음수입니다 / ","")&amp;IF(COUNTIF(직원목록!$D$7:$D$306,B298)&gt;1,"같은 이름이 둘 이상 — 미리보기는 첫 번째만 보입니다 / ","")&amp;IF(AND(C298&lt;&gt;"",COUNTIF(직원목록!$C$7:$C$306,C298)&gt;1),"사번 중복 / ","")&amp;IF(D298=0,"총지급이 0원 — 머리글 매칭 확인 / ","")&amp;IF(AND(설정!$B$17&lt;&gt;"",설정!$C$17="",OR(ISNUMBER(FIND("연장",설정!$B$17)),ISNUMBER(FIND("야간",설정!$B$17)),ISNUMBER(FIND("휴일",설정!$B$17))),INDEX(직원목록!$F$7:$F$306,MATCH(286,직원목록!$B$7:$B$306,0))&gt;0),"연장·야간·휴일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","")&amp;IF(AND(설정!$B$24&lt;&gt;"",설정!$C$24="",OR(ISNUMBER(FIND("연장",설정!$B$24)),ISNUMBER(FIND("야간",설정!$B$24)),ISNUMBER(FIND("휴일",설정!$B$24))),INDEX(직원목록!$M$7:$M$306,MATCH(286,직원목록!$B$7:$B$306,0))&gt;0),"연장·야간·휴일 수당은 시간 수도 명세서에 적어야 하니 시간 열 지정 필요 / ",""))))</f>
        <v/>
      </c>
    </row>
    <row r="299">
      <c r="A299" s="26">
        <f>IF(IFERROR(MATCH(287,직원목록!$B$7:$B$306,0),0)=0,"",287)</f>
        <v/>
      </c>
      <c r="B299" s="2">
        <f>IF($A299="","",IFERROR(INDEX(직원목록!$D$7:$D$306,MATCH(287,직원목록!$B$7:$B$306,0)),""))</f>
        <v/>
      </c>
      <c r="C299" s="2">
        <f>IF($A299="","",IFERROR(INDEX(직원목록!$C$7:$C$306,MATCH(287,직원목록!$B$7:$B$306,0)),""))</f>
        <v/>
      </c>
      <c r="D299" s="27">
        <f>IF($A299="","",IFERROR(INDEX(직원목록!$V$7:$V$306,MATCH(287,직원목록!$B$7:$B$306,0)),""))</f>
        <v/>
      </c>
      <c r="E299" s="27">
        <f>IF($A299="","",IFERROR(INDEX(직원목록!$AG$7:$AG$306,MATCH(287,직원목록!$B$7:$B$306,0)),""))</f>
        <v/>
      </c>
      <c r="F299" s="27">
        <f>IF(OR($A299="",E299=""),"",D299-E299)</f>
        <v/>
      </c>
      <c r="G299" s="27">
        <f>IF($A299="","",IFERROR(INDEX(직원목록!$AE$7:$AE$306,MATCH(287,직원목록!$B$7:$B$306,0)),""))</f>
        <v/>
      </c>
      <c r="H299" s="27">
        <f>IF($A299="","",IFERROR(INDEX(직원목록!$AH$7:$AH$306,MATCH(287,직원목록!$B$7:$B$306,0)),""))</f>
        <v/>
      </c>
      <c r="I299" s="27">
        <f>IF(OR($A299="",H299=""),"",G299-H299)</f>
        <v/>
      </c>
      <c r="J299" s="27">
        <f>IF($A299="","",IFERROR(INDEX(직원목록!$AF$7:$AF$306,MATCH(287,직원목록!$B$7:$B$306,0)),""))</f>
        <v/>
      </c>
      <c r="K299" s="27">
        <f>IF($A299="","",IFERROR(INDEX(직원목록!$AI$7:$AI$306,MATCH(287,직원목록!$B$7:$B$306,0)),""))</f>
        <v/>
      </c>
      <c r="L299" s="8">
        <f>IF($A299="","",IF(LEN(IF(AND(F299&lt;&gt;"",F299&lt;&gt;0),"계산 총지급과 대장 총지급이 다릅니다 / ","")&amp;IF(AND(I299&lt;&gt;"",I299&lt;&gt;0),"계산 총공제와 대장 총공제가 다릅니다 / ","")&amp;IF(J299&lt;0,"실수령액이 음수입니다 / ","")&amp;IF(COUNTIF(직원목록!$D$7:$D$306,B299)&gt;1,"같은 이름이 둘 이상 — 미리보기는 첫 번째만 보입니다 / ","")&amp;IF(AND(C299&lt;&gt;"",COUNTIF(직원목록!$C$7:$C$306,C299)&gt;1),"사번 중복 / ","")&amp;IF(D299=0,"총지급이 0원 — 머리글 매칭 확인 / ","")&amp;IF(AND(설정!$B$17&lt;&gt;"",설정!$C$17="",OR(ISNUMBER(FIND("연장",설정!$B$17)),ISNUMBER(FIND("야간",설정!$B$17)),ISNUMBER(FIND("휴일",설정!$B$17))),INDEX(직원목록!$F$7:$F$306,MATCH(287,직원목록!$B$7:$B$306,0))&gt;0),"연장·야간·휴일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","")&amp;IF(AND(설정!$B$24&lt;&gt;"",설정!$C$24="",OR(ISNUMBER(FIND("연장",설정!$B$24)),ISNUMBER(FIND("야간",설정!$B$24)),ISNUMBER(FIND("휴일",설정!$B$24))),INDEX(직원목록!$M$7:$M$306,MATCH(287,직원목록!$B$7:$B$306,0))&gt;0),"연장·야간·휴일 수당은 시간 수도 명세서에 적어야 하니 시간 열 지정 필요 / ",""))=0,"✔",("⚠ "&amp;IF(AND(F299&lt;&gt;"",F299&lt;&gt;0),"계산 총지급과 대장 총지급이 다릅니다 / ","")&amp;IF(AND(I299&lt;&gt;"",I299&lt;&gt;0),"계산 총공제와 대장 총공제가 다릅니다 / ","")&amp;IF(J299&lt;0,"실수령액이 음수입니다 / ","")&amp;IF(COUNTIF(직원목록!$D$7:$D$306,B299)&gt;1,"같은 이름이 둘 이상 — 미리보기는 첫 번째만 보입니다 / ","")&amp;IF(AND(C299&lt;&gt;"",COUNTIF(직원목록!$C$7:$C$306,C299)&gt;1),"사번 중복 / ","")&amp;IF(D299=0,"총지급이 0원 — 머리글 매칭 확인 / ","")&amp;IF(AND(설정!$B$17&lt;&gt;"",설정!$C$17="",OR(ISNUMBER(FIND("연장",설정!$B$17)),ISNUMBER(FIND("야간",설정!$B$17)),ISNUMBER(FIND("휴일",설정!$B$17))),INDEX(직원목록!$F$7:$F$306,MATCH(287,직원목록!$B$7:$B$306,0))&gt;0),"연장·야간·휴일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","")&amp;IF(AND(설정!$B$24&lt;&gt;"",설정!$C$24="",OR(ISNUMBER(FIND("연장",설정!$B$24)),ISNUMBER(FIND("야간",설정!$B$24)),ISNUMBER(FIND("휴일",설정!$B$24))),INDEX(직원목록!$M$7:$M$306,MATCH(287,직원목록!$B$7:$B$306,0))&gt;0),"연장·야간·휴일 수당은 시간 수도 명세서에 적어야 하니 시간 열 지정 필요 / ",""))))</f>
        <v/>
      </c>
    </row>
    <row r="300">
      <c r="A300" s="26">
        <f>IF(IFERROR(MATCH(288,직원목록!$B$7:$B$306,0),0)=0,"",288)</f>
        <v/>
      </c>
      <c r="B300" s="2">
        <f>IF($A300="","",IFERROR(INDEX(직원목록!$D$7:$D$306,MATCH(288,직원목록!$B$7:$B$306,0)),""))</f>
        <v/>
      </c>
      <c r="C300" s="2">
        <f>IF($A300="","",IFERROR(INDEX(직원목록!$C$7:$C$306,MATCH(288,직원목록!$B$7:$B$306,0)),""))</f>
        <v/>
      </c>
      <c r="D300" s="27">
        <f>IF($A300="","",IFERROR(INDEX(직원목록!$V$7:$V$306,MATCH(288,직원목록!$B$7:$B$306,0)),""))</f>
        <v/>
      </c>
      <c r="E300" s="27">
        <f>IF($A300="","",IFERROR(INDEX(직원목록!$AG$7:$AG$306,MATCH(288,직원목록!$B$7:$B$306,0)),""))</f>
        <v/>
      </c>
      <c r="F300" s="27">
        <f>IF(OR($A300="",E300=""),"",D300-E300)</f>
        <v/>
      </c>
      <c r="G300" s="27">
        <f>IF($A300="","",IFERROR(INDEX(직원목록!$AE$7:$AE$306,MATCH(288,직원목록!$B$7:$B$306,0)),""))</f>
        <v/>
      </c>
      <c r="H300" s="27">
        <f>IF($A300="","",IFERROR(INDEX(직원목록!$AH$7:$AH$306,MATCH(288,직원목록!$B$7:$B$306,0)),""))</f>
        <v/>
      </c>
      <c r="I300" s="27">
        <f>IF(OR($A300="",H300=""),"",G300-H300)</f>
        <v/>
      </c>
      <c r="J300" s="27">
        <f>IF($A300="","",IFERROR(INDEX(직원목록!$AF$7:$AF$306,MATCH(288,직원목록!$B$7:$B$306,0)),""))</f>
        <v/>
      </c>
      <c r="K300" s="27">
        <f>IF($A300="","",IFERROR(INDEX(직원목록!$AI$7:$AI$306,MATCH(288,직원목록!$B$7:$B$306,0)),""))</f>
        <v/>
      </c>
      <c r="L300" s="8">
        <f>IF($A300="","",IF(LEN(IF(AND(F300&lt;&gt;"",F300&lt;&gt;0),"계산 총지급과 대장 총지급이 다릅니다 / ","")&amp;IF(AND(I300&lt;&gt;"",I300&lt;&gt;0),"계산 총공제와 대장 총공제가 다릅니다 / ","")&amp;IF(J300&lt;0,"실수령액이 음수입니다 / ","")&amp;IF(COUNTIF(직원목록!$D$7:$D$306,B300)&gt;1,"같은 이름이 둘 이상 — 미리보기는 첫 번째만 보입니다 / ","")&amp;IF(AND(C300&lt;&gt;"",COUNTIF(직원목록!$C$7:$C$306,C300)&gt;1),"사번 중복 / ","")&amp;IF(D300=0,"총지급이 0원 — 머리글 매칭 확인 / ","")&amp;IF(AND(설정!$B$17&lt;&gt;"",설정!$C$17="",OR(ISNUMBER(FIND("연장",설정!$B$17)),ISNUMBER(FIND("야간",설정!$B$17)),ISNUMBER(FIND("휴일",설정!$B$17))),INDEX(직원목록!$F$7:$F$306,MATCH(288,직원목록!$B$7:$B$306,0))&gt;0),"연장·야간·휴일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","")&amp;IF(AND(설정!$B$24&lt;&gt;"",설정!$C$24="",OR(ISNUMBER(FIND("연장",설정!$B$24)),ISNUMBER(FIND("야간",설정!$B$24)),ISNUMBER(FIND("휴일",설정!$B$24))),INDEX(직원목록!$M$7:$M$306,MATCH(288,직원목록!$B$7:$B$306,0))&gt;0),"연장·야간·휴일 수당은 시간 수도 명세서에 적어야 하니 시간 열 지정 필요 / ",""))=0,"✔",("⚠ "&amp;IF(AND(F300&lt;&gt;"",F300&lt;&gt;0),"계산 총지급과 대장 총지급이 다릅니다 / ","")&amp;IF(AND(I300&lt;&gt;"",I300&lt;&gt;0),"계산 총공제와 대장 총공제가 다릅니다 / ","")&amp;IF(J300&lt;0,"실수령액이 음수입니다 / ","")&amp;IF(COUNTIF(직원목록!$D$7:$D$306,B300)&gt;1,"같은 이름이 둘 이상 — 미리보기는 첫 번째만 보입니다 / ","")&amp;IF(AND(C300&lt;&gt;"",COUNTIF(직원목록!$C$7:$C$306,C300)&gt;1),"사번 중복 / ","")&amp;IF(D300=0,"총지급이 0원 — 머리글 매칭 확인 / ","")&amp;IF(AND(설정!$B$17&lt;&gt;"",설정!$C$17="",OR(ISNUMBER(FIND("연장",설정!$B$17)),ISNUMBER(FIND("야간",설정!$B$17)),ISNUMBER(FIND("휴일",설정!$B$17))),INDEX(직원목록!$F$7:$F$306,MATCH(288,직원목록!$B$7:$B$306,0))&gt;0),"연장·야간·휴일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","")&amp;IF(AND(설정!$B$24&lt;&gt;"",설정!$C$24="",OR(ISNUMBER(FIND("연장",설정!$B$24)),ISNUMBER(FIND("야간",설정!$B$24)),ISNUMBER(FIND("휴일",설정!$B$24))),INDEX(직원목록!$M$7:$M$306,MATCH(288,직원목록!$B$7:$B$306,0))&gt;0),"연장·야간·휴일 수당은 시간 수도 명세서에 적어야 하니 시간 열 지정 필요 / ",""))))</f>
        <v/>
      </c>
    </row>
    <row r="301">
      <c r="A301" s="26">
        <f>IF(IFERROR(MATCH(289,직원목록!$B$7:$B$306,0),0)=0,"",289)</f>
        <v/>
      </c>
      <c r="B301" s="2">
        <f>IF($A301="","",IFERROR(INDEX(직원목록!$D$7:$D$306,MATCH(289,직원목록!$B$7:$B$306,0)),""))</f>
        <v/>
      </c>
      <c r="C301" s="2">
        <f>IF($A301="","",IFERROR(INDEX(직원목록!$C$7:$C$306,MATCH(289,직원목록!$B$7:$B$306,0)),""))</f>
        <v/>
      </c>
      <c r="D301" s="27">
        <f>IF($A301="","",IFERROR(INDEX(직원목록!$V$7:$V$306,MATCH(289,직원목록!$B$7:$B$306,0)),""))</f>
        <v/>
      </c>
      <c r="E301" s="27">
        <f>IF($A301="","",IFERROR(INDEX(직원목록!$AG$7:$AG$306,MATCH(289,직원목록!$B$7:$B$306,0)),""))</f>
        <v/>
      </c>
      <c r="F301" s="27">
        <f>IF(OR($A301="",E301=""),"",D301-E301)</f>
        <v/>
      </c>
      <c r="G301" s="27">
        <f>IF($A301="","",IFERROR(INDEX(직원목록!$AE$7:$AE$306,MATCH(289,직원목록!$B$7:$B$306,0)),""))</f>
        <v/>
      </c>
      <c r="H301" s="27">
        <f>IF($A301="","",IFERROR(INDEX(직원목록!$AH$7:$AH$306,MATCH(289,직원목록!$B$7:$B$306,0)),""))</f>
        <v/>
      </c>
      <c r="I301" s="27">
        <f>IF(OR($A301="",H301=""),"",G301-H301)</f>
        <v/>
      </c>
      <c r="J301" s="27">
        <f>IF($A301="","",IFERROR(INDEX(직원목록!$AF$7:$AF$306,MATCH(289,직원목록!$B$7:$B$306,0)),""))</f>
        <v/>
      </c>
      <c r="K301" s="27">
        <f>IF($A301="","",IFERROR(INDEX(직원목록!$AI$7:$AI$306,MATCH(289,직원목록!$B$7:$B$306,0)),""))</f>
        <v/>
      </c>
      <c r="L301" s="8">
        <f>IF($A301="","",IF(LEN(IF(AND(F301&lt;&gt;"",F301&lt;&gt;0),"계산 총지급과 대장 총지급이 다릅니다 / ","")&amp;IF(AND(I301&lt;&gt;"",I301&lt;&gt;0),"계산 총공제와 대장 총공제가 다릅니다 / ","")&amp;IF(J301&lt;0,"실수령액이 음수입니다 / ","")&amp;IF(COUNTIF(직원목록!$D$7:$D$306,B301)&gt;1,"같은 이름이 둘 이상 — 미리보기는 첫 번째만 보입니다 / ","")&amp;IF(AND(C301&lt;&gt;"",COUNTIF(직원목록!$C$7:$C$306,C301)&gt;1),"사번 중복 / ","")&amp;IF(D301=0,"총지급이 0원 — 머리글 매칭 확인 / ","")&amp;IF(AND(설정!$B$17&lt;&gt;"",설정!$C$17="",OR(ISNUMBER(FIND("연장",설정!$B$17)),ISNUMBER(FIND("야간",설정!$B$17)),ISNUMBER(FIND("휴일",설정!$B$17))),INDEX(직원목록!$F$7:$F$306,MATCH(289,직원목록!$B$7:$B$306,0))&gt;0),"연장·야간·휴일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","")&amp;IF(AND(설정!$B$24&lt;&gt;"",설정!$C$24="",OR(ISNUMBER(FIND("연장",설정!$B$24)),ISNUMBER(FIND("야간",설정!$B$24)),ISNUMBER(FIND("휴일",설정!$B$24))),INDEX(직원목록!$M$7:$M$306,MATCH(289,직원목록!$B$7:$B$306,0))&gt;0),"연장·야간·휴일 수당은 시간 수도 명세서에 적어야 하니 시간 열 지정 필요 / ",""))=0,"✔",("⚠ "&amp;IF(AND(F301&lt;&gt;"",F301&lt;&gt;0),"계산 총지급과 대장 총지급이 다릅니다 / ","")&amp;IF(AND(I301&lt;&gt;"",I301&lt;&gt;0),"계산 총공제와 대장 총공제가 다릅니다 / ","")&amp;IF(J301&lt;0,"실수령액이 음수입니다 / ","")&amp;IF(COUNTIF(직원목록!$D$7:$D$306,B301)&gt;1,"같은 이름이 둘 이상 — 미리보기는 첫 번째만 보입니다 / ","")&amp;IF(AND(C301&lt;&gt;"",COUNTIF(직원목록!$C$7:$C$306,C301)&gt;1),"사번 중복 / ","")&amp;IF(D301=0,"총지급이 0원 — 머리글 매칭 확인 / ","")&amp;IF(AND(설정!$B$17&lt;&gt;"",설정!$C$17="",OR(ISNUMBER(FIND("연장",설정!$B$17)),ISNUMBER(FIND("야간",설정!$B$17)),ISNUMBER(FIND("휴일",설정!$B$17))),INDEX(직원목록!$F$7:$F$306,MATCH(289,직원목록!$B$7:$B$306,0))&gt;0),"연장·야간·휴일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","")&amp;IF(AND(설정!$B$18&lt;&gt;"",설정!$C$18="",OR(ISNUMBER(FIND("연장",설정!$B$18)),ISNUMBER(FIND("야간",설정!$B$18)),ISNUMBER(FIND("휴일",설정!$B$18))),INDEX(직원목록!$G$7:$G$306,MATCH(289,직원목록!$B$7:$B$306,0))&gt;0),"연장·야간·휴일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","")&amp;IF(AND(설정!$B$19&lt;&gt;"",설정!$C$19="",OR(ISNUMBER(FIND("연장",설정!$B$19)),ISNUMBER(FIND("야간",설정!$B$19)),ISNUMBER(FIND("휴일",설정!$B$19))),INDEX(직원목록!$H$7:$H$306,MATCH(289,직원목록!$B$7:$B$306,0))&gt;0),"연장·야간·휴일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","")&amp;IF(AND(설정!$B$20&lt;&gt;"",설정!$C$20="",OR(ISNUMBER(FIND("연장",설정!$B$20)),ISNUMBER(FIND("야간",설정!$B$20)),ISNUMBER(FIND("휴일",설정!$B$20))),INDEX(직원목록!$I$7:$I$306,MATCH(289,직원목록!$B$7:$B$306,0))&gt;0),"연장·야간·휴일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","")&amp;IF(AND(설정!$B$21&lt;&gt;"",설정!$C$21="",OR(ISNUMBER(FIND("연장",설정!$B$21)),ISNUMBER(FIND("야간",설정!$B$21)),ISNUMBER(FIND("휴일",설정!$B$21))),INDEX(직원목록!$J$7:$J$306,MATCH(289,직원목록!$B$7:$B$306,0))&gt;0),"연장·야간·휴일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","")&amp;IF(AND(설정!$B$22&lt;&gt;"",설정!$C$22="",OR(ISNUMBER(FIND("연장",설정!$B$22)),ISNUMBER(FIND("야간",설정!$B$22)),ISNUMBER(FIND("휴일",설정!$B$22))),INDEX(직원목록!$K$7:$K$306,MATCH(289,직원목록!$B$7:$B$306,0))&gt;0),"연장·야간·휴일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","")&amp;IF(AND(설정!$B$23&lt;&gt;"",설정!$C$23="",OR(ISNUMBER(FIND("연장",설정!$B$23)),ISNUMBER(FIND("야간",설정!$B$23)),ISNUMBER(FIND("휴일",설정!$B$23))),INDEX(직원목록!$L$7:$L$306,MATCH(289,직원목록!$B$7:$B$306,0))&gt;0),"연장·야간·휴일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","")&amp;IF(AND(설정!$B$24&lt;&gt;"",설정!$C$24="",OR(ISNUMBER(FIND("연장",설정!$B$24)),ISNUMBER(FIND("야간",설정!$B$24)),ISNUMBER(FIND("휴일",설정!$B$24))),INDEX(직원목록!$M$7:$M$306,MATCH(289,직원목록!$B$7:$B$306,0))&gt;0),"연장·야간·휴일 수당은 시간 수도 명세서에 적어야 하니 시간 열 지정 필요 / ",""))))</f>
        <v/>
      </c>
    </row>
    <row r="302">
      <c r="A302" s="26">
        <f>IF(IFERROR(MATCH(290,직원목록!$B$7:$B$306,0),0)=0,"",290)</f>
        <v/>
      </c>
      <c r="B302" s="2">
        <f>IF($A302="","",IFERROR(INDEX(직원목록!$D$7:$D$306,MATCH(290,직원목록!$B$7:$B$306,0)),""))</f>
        <v/>
      </c>
      <c r="C302" s="2">
        <f>IF($A302="","",IFERROR(INDEX(직원목록!$C$7:$C$306,MATCH(290,직원목록!$B$7:$B$306,0)),""))</f>
        <v/>
      </c>
      <c r="D302" s="27">
        <f>IF($A302="","",IFERROR(INDEX(직원목록!$V$7:$V$306,MATCH(290,직원목록!$B$7:$B$306,0)),""))</f>
        <v/>
      </c>
      <c r="E302" s="27">
        <f>IF($A302="","",IFERROR(INDEX(직원목록!$AG$7:$AG$306,MATCH(290,직원목록!$B$7:$B$306,0)),""))</f>
        <v/>
      </c>
      <c r="F302" s="27">
        <f>IF(OR($A302="",E302=""),"",D302-E302)</f>
        <v/>
      </c>
      <c r="G302" s="27">
        <f>IF($A302="","",IFERROR(INDEX(직원목록!$AE$7:$AE$306,MATCH(290,직원목록!$B$7:$B$306,0)),""))</f>
        <v/>
      </c>
      <c r="H302" s="27">
        <f>IF($A302="","",IFERROR(INDEX(직원목록!$AH$7:$AH$306,MATCH(290,직원목록!$B$7:$B$306,0)),""))</f>
        <v/>
      </c>
      <c r="I302" s="27">
        <f>IF(OR($A302="",H302=""),"",G302-H302)</f>
        <v/>
      </c>
      <c r="J302" s="27">
        <f>IF($A302="","",IFERROR(INDEX(직원목록!$AF$7:$AF$306,MATCH(290,직원목록!$B$7:$B$306,0)),""))</f>
        <v/>
      </c>
      <c r="K302" s="27">
        <f>IF($A302="","",IFERROR(INDEX(직원목록!$AI$7:$AI$306,MATCH(290,직원목록!$B$7:$B$306,0)),""))</f>
        <v/>
      </c>
      <c r="L302" s="8">
        <f>IF($A302="","",IF(LEN(IF(AND(F302&lt;&gt;"",F302&lt;&gt;0),"계산 총지급과 대장 총지급이 다릅니다 / ","")&amp;IF(AND(I302&lt;&gt;"",I302&lt;&gt;0),"계산 총공제와 대장 총공제가 다릅니다 / ","")&amp;IF(J302&lt;0,"실수령액이 음수입니다 / ","")&amp;IF(COUNTIF(직원목록!$D$7:$D$306,B302)&gt;1,"같은 이름이 둘 이상 — 미리보기는 첫 번째만 보입니다 / ","")&amp;IF(AND(C302&lt;&gt;"",COUNTIF(직원목록!$C$7:$C$306,C302)&gt;1),"사번 중복 / ","")&amp;IF(D302=0,"총지급이 0원 — 머리글 매칭 확인 / ","")&amp;IF(AND(설정!$B$17&lt;&gt;"",설정!$C$17="",OR(ISNUMBER(FIND("연장",설정!$B$17)),ISNUMBER(FIND("야간",설정!$B$17)),ISNUMBER(FIND("휴일",설정!$B$17))),INDEX(직원목록!$F$7:$F$306,MATCH(290,직원목록!$B$7:$B$306,0))&gt;0),"연장·야간·휴일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","")&amp;IF(AND(설정!$B$24&lt;&gt;"",설정!$C$24="",OR(ISNUMBER(FIND("연장",설정!$B$24)),ISNUMBER(FIND("야간",설정!$B$24)),ISNUMBER(FIND("휴일",설정!$B$24))),INDEX(직원목록!$M$7:$M$306,MATCH(290,직원목록!$B$7:$B$306,0))&gt;0),"연장·야간·휴일 수당은 시간 수도 명세서에 적어야 하니 시간 열 지정 필요 / ",""))=0,"✔",("⚠ "&amp;IF(AND(F302&lt;&gt;"",F302&lt;&gt;0),"계산 총지급과 대장 총지급이 다릅니다 / ","")&amp;IF(AND(I302&lt;&gt;"",I302&lt;&gt;0),"계산 총공제와 대장 총공제가 다릅니다 / ","")&amp;IF(J302&lt;0,"실수령액이 음수입니다 / ","")&amp;IF(COUNTIF(직원목록!$D$7:$D$306,B302)&gt;1,"같은 이름이 둘 이상 — 미리보기는 첫 번째만 보입니다 / ","")&amp;IF(AND(C302&lt;&gt;"",COUNTIF(직원목록!$C$7:$C$306,C302)&gt;1),"사번 중복 / ","")&amp;IF(D302=0,"총지급이 0원 — 머리글 매칭 확인 / ","")&amp;IF(AND(설정!$B$17&lt;&gt;"",설정!$C$17="",OR(ISNUMBER(FIND("연장",설정!$B$17)),ISNUMBER(FIND("야간",설정!$B$17)),ISNUMBER(FIND("휴일",설정!$B$17))),INDEX(직원목록!$F$7:$F$306,MATCH(290,직원목록!$B$7:$B$306,0))&gt;0),"연장·야간·휴일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","")&amp;IF(AND(설정!$B$24&lt;&gt;"",설정!$C$24="",OR(ISNUMBER(FIND("연장",설정!$B$24)),ISNUMBER(FIND("야간",설정!$B$24)),ISNUMBER(FIND("휴일",설정!$B$24))),INDEX(직원목록!$M$7:$M$306,MATCH(290,직원목록!$B$7:$B$306,0))&gt;0),"연장·야간·휴일 수당은 시간 수도 명세서에 적어야 하니 시간 열 지정 필요 / ",""))))</f>
        <v/>
      </c>
    </row>
    <row r="303">
      <c r="A303" s="26">
        <f>IF(IFERROR(MATCH(291,직원목록!$B$7:$B$306,0),0)=0,"",291)</f>
        <v/>
      </c>
      <c r="B303" s="2">
        <f>IF($A303="","",IFERROR(INDEX(직원목록!$D$7:$D$306,MATCH(291,직원목록!$B$7:$B$306,0)),""))</f>
        <v/>
      </c>
      <c r="C303" s="2">
        <f>IF($A303="","",IFERROR(INDEX(직원목록!$C$7:$C$306,MATCH(291,직원목록!$B$7:$B$306,0)),""))</f>
        <v/>
      </c>
      <c r="D303" s="27">
        <f>IF($A303="","",IFERROR(INDEX(직원목록!$V$7:$V$306,MATCH(291,직원목록!$B$7:$B$306,0)),""))</f>
        <v/>
      </c>
      <c r="E303" s="27">
        <f>IF($A303="","",IFERROR(INDEX(직원목록!$AG$7:$AG$306,MATCH(291,직원목록!$B$7:$B$306,0)),""))</f>
        <v/>
      </c>
      <c r="F303" s="27">
        <f>IF(OR($A303="",E303=""),"",D303-E303)</f>
        <v/>
      </c>
      <c r="G303" s="27">
        <f>IF($A303="","",IFERROR(INDEX(직원목록!$AE$7:$AE$306,MATCH(291,직원목록!$B$7:$B$306,0)),""))</f>
        <v/>
      </c>
      <c r="H303" s="27">
        <f>IF($A303="","",IFERROR(INDEX(직원목록!$AH$7:$AH$306,MATCH(291,직원목록!$B$7:$B$306,0)),""))</f>
        <v/>
      </c>
      <c r="I303" s="27">
        <f>IF(OR($A303="",H303=""),"",G303-H303)</f>
        <v/>
      </c>
      <c r="J303" s="27">
        <f>IF($A303="","",IFERROR(INDEX(직원목록!$AF$7:$AF$306,MATCH(291,직원목록!$B$7:$B$306,0)),""))</f>
        <v/>
      </c>
      <c r="K303" s="27">
        <f>IF($A303="","",IFERROR(INDEX(직원목록!$AI$7:$AI$306,MATCH(291,직원목록!$B$7:$B$306,0)),""))</f>
        <v/>
      </c>
      <c r="L303" s="8">
        <f>IF($A303="","",IF(LEN(IF(AND(F303&lt;&gt;"",F303&lt;&gt;0),"계산 총지급과 대장 총지급이 다릅니다 / ","")&amp;IF(AND(I303&lt;&gt;"",I303&lt;&gt;0),"계산 총공제와 대장 총공제가 다릅니다 / ","")&amp;IF(J303&lt;0,"실수령액이 음수입니다 / ","")&amp;IF(COUNTIF(직원목록!$D$7:$D$306,B303)&gt;1,"같은 이름이 둘 이상 — 미리보기는 첫 번째만 보입니다 / ","")&amp;IF(AND(C303&lt;&gt;"",COUNTIF(직원목록!$C$7:$C$306,C303)&gt;1),"사번 중복 / ","")&amp;IF(D303=0,"총지급이 0원 — 머리글 매칭 확인 / ","")&amp;IF(AND(설정!$B$17&lt;&gt;"",설정!$C$17="",OR(ISNUMBER(FIND("연장",설정!$B$17)),ISNUMBER(FIND("야간",설정!$B$17)),ISNUMBER(FIND("휴일",설정!$B$17))),INDEX(직원목록!$F$7:$F$306,MATCH(291,직원목록!$B$7:$B$306,0))&gt;0),"연장·야간·휴일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","")&amp;IF(AND(설정!$B$24&lt;&gt;"",설정!$C$24="",OR(ISNUMBER(FIND("연장",설정!$B$24)),ISNUMBER(FIND("야간",설정!$B$24)),ISNUMBER(FIND("휴일",설정!$B$24))),INDEX(직원목록!$M$7:$M$306,MATCH(291,직원목록!$B$7:$B$306,0))&gt;0),"연장·야간·휴일 수당은 시간 수도 명세서에 적어야 하니 시간 열 지정 필요 / ",""))=0,"✔",("⚠ "&amp;IF(AND(F303&lt;&gt;"",F303&lt;&gt;0),"계산 총지급과 대장 총지급이 다릅니다 / ","")&amp;IF(AND(I303&lt;&gt;"",I303&lt;&gt;0),"계산 총공제와 대장 총공제가 다릅니다 / ","")&amp;IF(J303&lt;0,"실수령액이 음수입니다 / ","")&amp;IF(COUNTIF(직원목록!$D$7:$D$306,B303)&gt;1,"같은 이름이 둘 이상 — 미리보기는 첫 번째만 보입니다 / ","")&amp;IF(AND(C303&lt;&gt;"",COUNTIF(직원목록!$C$7:$C$306,C303)&gt;1),"사번 중복 / ","")&amp;IF(D303=0,"총지급이 0원 — 머리글 매칭 확인 / ","")&amp;IF(AND(설정!$B$17&lt;&gt;"",설정!$C$17="",OR(ISNUMBER(FIND("연장",설정!$B$17)),ISNUMBER(FIND("야간",설정!$B$17)),ISNUMBER(FIND("휴일",설정!$B$17))),INDEX(직원목록!$F$7:$F$306,MATCH(291,직원목록!$B$7:$B$306,0))&gt;0),"연장·야간·휴일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","")&amp;IF(AND(설정!$B$18&lt;&gt;"",설정!$C$18="",OR(ISNUMBER(FIND("연장",설정!$B$18)),ISNUMBER(FIND("야간",설정!$B$18)),ISNUMBER(FIND("휴일",설정!$B$18))),INDEX(직원목록!$G$7:$G$306,MATCH(291,직원목록!$B$7:$B$306,0))&gt;0),"연장·야간·휴일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","")&amp;IF(AND(설정!$B$19&lt;&gt;"",설정!$C$19="",OR(ISNUMBER(FIND("연장",설정!$B$19)),ISNUMBER(FIND("야간",설정!$B$19)),ISNUMBER(FIND("휴일",설정!$B$19))),INDEX(직원목록!$H$7:$H$306,MATCH(291,직원목록!$B$7:$B$306,0))&gt;0),"연장·야간·휴일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","")&amp;IF(AND(설정!$B$20&lt;&gt;"",설정!$C$20="",OR(ISNUMBER(FIND("연장",설정!$B$20)),ISNUMBER(FIND("야간",설정!$B$20)),ISNUMBER(FIND("휴일",설정!$B$20))),INDEX(직원목록!$I$7:$I$306,MATCH(291,직원목록!$B$7:$B$306,0))&gt;0),"연장·야간·휴일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","")&amp;IF(AND(설정!$B$21&lt;&gt;"",설정!$C$21="",OR(ISNUMBER(FIND("연장",설정!$B$21)),ISNUMBER(FIND("야간",설정!$B$21)),ISNUMBER(FIND("휴일",설정!$B$21))),INDEX(직원목록!$J$7:$J$306,MATCH(291,직원목록!$B$7:$B$306,0))&gt;0),"연장·야간·휴일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","")&amp;IF(AND(설정!$B$22&lt;&gt;"",설정!$C$22="",OR(ISNUMBER(FIND("연장",설정!$B$22)),ISNUMBER(FIND("야간",설정!$B$22)),ISNUMBER(FIND("휴일",설정!$B$22))),INDEX(직원목록!$K$7:$K$306,MATCH(291,직원목록!$B$7:$B$306,0))&gt;0),"연장·야간·휴일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","")&amp;IF(AND(설정!$B$23&lt;&gt;"",설정!$C$23="",OR(ISNUMBER(FIND("연장",설정!$B$23)),ISNUMBER(FIND("야간",설정!$B$23)),ISNUMBER(FIND("휴일",설정!$B$23))),INDEX(직원목록!$L$7:$L$306,MATCH(291,직원목록!$B$7:$B$306,0))&gt;0),"연장·야간·휴일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","")&amp;IF(AND(설정!$B$24&lt;&gt;"",설정!$C$24="",OR(ISNUMBER(FIND("연장",설정!$B$24)),ISNUMBER(FIND("야간",설정!$B$24)),ISNUMBER(FIND("휴일",설정!$B$24))),INDEX(직원목록!$M$7:$M$306,MATCH(291,직원목록!$B$7:$B$306,0))&gt;0),"연장·야간·휴일 수당은 시간 수도 명세서에 적어야 하니 시간 열 지정 필요 / ",""))))</f>
        <v/>
      </c>
    </row>
    <row r="304">
      <c r="A304" s="26">
        <f>IF(IFERROR(MATCH(292,직원목록!$B$7:$B$306,0),0)=0,"",292)</f>
        <v/>
      </c>
      <c r="B304" s="2">
        <f>IF($A304="","",IFERROR(INDEX(직원목록!$D$7:$D$306,MATCH(292,직원목록!$B$7:$B$306,0)),""))</f>
        <v/>
      </c>
      <c r="C304" s="2">
        <f>IF($A304="","",IFERROR(INDEX(직원목록!$C$7:$C$306,MATCH(292,직원목록!$B$7:$B$306,0)),""))</f>
        <v/>
      </c>
      <c r="D304" s="27">
        <f>IF($A304="","",IFERROR(INDEX(직원목록!$V$7:$V$306,MATCH(292,직원목록!$B$7:$B$306,0)),""))</f>
        <v/>
      </c>
      <c r="E304" s="27">
        <f>IF($A304="","",IFERROR(INDEX(직원목록!$AG$7:$AG$306,MATCH(292,직원목록!$B$7:$B$306,0)),""))</f>
        <v/>
      </c>
      <c r="F304" s="27">
        <f>IF(OR($A304="",E304=""),"",D304-E304)</f>
        <v/>
      </c>
      <c r="G304" s="27">
        <f>IF($A304="","",IFERROR(INDEX(직원목록!$AE$7:$AE$306,MATCH(292,직원목록!$B$7:$B$306,0)),""))</f>
        <v/>
      </c>
      <c r="H304" s="27">
        <f>IF($A304="","",IFERROR(INDEX(직원목록!$AH$7:$AH$306,MATCH(292,직원목록!$B$7:$B$306,0)),""))</f>
        <v/>
      </c>
      <c r="I304" s="27">
        <f>IF(OR($A304="",H304=""),"",G304-H304)</f>
        <v/>
      </c>
      <c r="J304" s="27">
        <f>IF($A304="","",IFERROR(INDEX(직원목록!$AF$7:$AF$306,MATCH(292,직원목록!$B$7:$B$306,0)),""))</f>
        <v/>
      </c>
      <c r="K304" s="27">
        <f>IF($A304="","",IFERROR(INDEX(직원목록!$AI$7:$AI$306,MATCH(292,직원목록!$B$7:$B$306,0)),""))</f>
        <v/>
      </c>
      <c r="L304" s="8">
        <f>IF($A304="","",IF(LEN(IF(AND(F304&lt;&gt;"",F304&lt;&gt;0),"계산 총지급과 대장 총지급이 다릅니다 / ","")&amp;IF(AND(I304&lt;&gt;"",I304&lt;&gt;0),"계산 총공제와 대장 총공제가 다릅니다 / ","")&amp;IF(J304&lt;0,"실수령액이 음수입니다 / ","")&amp;IF(COUNTIF(직원목록!$D$7:$D$306,B304)&gt;1,"같은 이름이 둘 이상 — 미리보기는 첫 번째만 보입니다 / ","")&amp;IF(AND(C304&lt;&gt;"",COUNTIF(직원목록!$C$7:$C$306,C304)&gt;1),"사번 중복 / ","")&amp;IF(D304=0,"총지급이 0원 — 머리글 매칭 확인 / ","")&amp;IF(AND(설정!$B$17&lt;&gt;"",설정!$C$17="",OR(ISNUMBER(FIND("연장",설정!$B$17)),ISNUMBER(FIND("야간",설정!$B$17)),ISNUMBER(FIND("휴일",설정!$B$17))),INDEX(직원목록!$F$7:$F$306,MATCH(292,직원목록!$B$7:$B$306,0))&gt;0),"연장·야간·휴일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","")&amp;IF(AND(설정!$B$24&lt;&gt;"",설정!$C$24="",OR(ISNUMBER(FIND("연장",설정!$B$24)),ISNUMBER(FIND("야간",설정!$B$24)),ISNUMBER(FIND("휴일",설정!$B$24))),INDEX(직원목록!$M$7:$M$306,MATCH(292,직원목록!$B$7:$B$306,0))&gt;0),"연장·야간·휴일 수당은 시간 수도 명세서에 적어야 하니 시간 열 지정 필요 / ",""))=0,"✔",("⚠ "&amp;IF(AND(F304&lt;&gt;"",F304&lt;&gt;0),"계산 총지급과 대장 총지급이 다릅니다 / ","")&amp;IF(AND(I304&lt;&gt;"",I304&lt;&gt;0),"계산 총공제와 대장 총공제가 다릅니다 / ","")&amp;IF(J304&lt;0,"실수령액이 음수입니다 / ","")&amp;IF(COUNTIF(직원목록!$D$7:$D$306,B304)&gt;1,"같은 이름이 둘 이상 — 미리보기는 첫 번째만 보입니다 / ","")&amp;IF(AND(C304&lt;&gt;"",COUNTIF(직원목록!$C$7:$C$306,C304)&gt;1),"사번 중복 / ","")&amp;IF(D304=0,"총지급이 0원 — 머리글 매칭 확인 / ","")&amp;IF(AND(설정!$B$17&lt;&gt;"",설정!$C$17="",OR(ISNUMBER(FIND("연장",설정!$B$17)),ISNUMBER(FIND("야간",설정!$B$17)),ISNUMBER(FIND("휴일",설정!$B$17))),INDEX(직원목록!$F$7:$F$306,MATCH(292,직원목록!$B$7:$B$306,0))&gt;0),"연장·야간·휴일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","")&amp;IF(AND(설정!$B$18&lt;&gt;"",설정!$C$18="",OR(ISNUMBER(FIND("연장",설정!$B$18)),ISNUMBER(FIND("야간",설정!$B$18)),ISNUMBER(FIND("휴일",설정!$B$18))),INDEX(직원목록!$G$7:$G$306,MATCH(292,직원목록!$B$7:$B$306,0))&gt;0),"연장·야간·휴일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","")&amp;IF(AND(설정!$B$19&lt;&gt;"",설정!$C$19="",OR(ISNUMBER(FIND("연장",설정!$B$19)),ISNUMBER(FIND("야간",설정!$B$19)),ISNUMBER(FIND("휴일",설정!$B$19))),INDEX(직원목록!$H$7:$H$306,MATCH(292,직원목록!$B$7:$B$306,0))&gt;0),"연장·야간·휴일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","")&amp;IF(AND(설정!$B$20&lt;&gt;"",설정!$C$20="",OR(ISNUMBER(FIND("연장",설정!$B$20)),ISNUMBER(FIND("야간",설정!$B$20)),ISNUMBER(FIND("휴일",설정!$B$20))),INDEX(직원목록!$I$7:$I$306,MATCH(292,직원목록!$B$7:$B$306,0))&gt;0),"연장·야간·휴일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","")&amp;IF(AND(설정!$B$21&lt;&gt;"",설정!$C$21="",OR(ISNUMBER(FIND("연장",설정!$B$21)),ISNUMBER(FIND("야간",설정!$B$21)),ISNUMBER(FIND("휴일",설정!$B$21))),INDEX(직원목록!$J$7:$J$306,MATCH(292,직원목록!$B$7:$B$306,0))&gt;0),"연장·야간·휴일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","")&amp;IF(AND(설정!$B$22&lt;&gt;"",설정!$C$22="",OR(ISNUMBER(FIND("연장",설정!$B$22)),ISNUMBER(FIND("야간",설정!$B$22)),ISNUMBER(FIND("휴일",설정!$B$22))),INDEX(직원목록!$K$7:$K$306,MATCH(292,직원목록!$B$7:$B$306,0))&gt;0),"연장·야간·휴일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","")&amp;IF(AND(설정!$B$23&lt;&gt;"",설정!$C$23="",OR(ISNUMBER(FIND("연장",설정!$B$23)),ISNUMBER(FIND("야간",설정!$B$23)),ISNUMBER(FIND("휴일",설정!$B$23))),INDEX(직원목록!$L$7:$L$306,MATCH(292,직원목록!$B$7:$B$306,0))&gt;0),"연장·야간·휴일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","")&amp;IF(AND(설정!$B$24&lt;&gt;"",설정!$C$24="",OR(ISNUMBER(FIND("연장",설정!$B$24)),ISNUMBER(FIND("야간",설정!$B$24)),ISNUMBER(FIND("휴일",설정!$B$24))),INDEX(직원목록!$M$7:$M$306,MATCH(292,직원목록!$B$7:$B$306,0))&gt;0),"연장·야간·휴일 수당은 시간 수도 명세서에 적어야 하니 시간 열 지정 필요 / ",""))))</f>
        <v/>
      </c>
    </row>
    <row r="305">
      <c r="A305" s="26">
        <f>IF(IFERROR(MATCH(293,직원목록!$B$7:$B$306,0),0)=0,"",293)</f>
        <v/>
      </c>
      <c r="B305" s="2">
        <f>IF($A305="","",IFERROR(INDEX(직원목록!$D$7:$D$306,MATCH(293,직원목록!$B$7:$B$306,0)),""))</f>
        <v/>
      </c>
      <c r="C305" s="2">
        <f>IF($A305="","",IFERROR(INDEX(직원목록!$C$7:$C$306,MATCH(293,직원목록!$B$7:$B$306,0)),""))</f>
        <v/>
      </c>
      <c r="D305" s="27">
        <f>IF($A305="","",IFERROR(INDEX(직원목록!$V$7:$V$306,MATCH(293,직원목록!$B$7:$B$306,0)),""))</f>
        <v/>
      </c>
      <c r="E305" s="27">
        <f>IF($A305="","",IFERROR(INDEX(직원목록!$AG$7:$AG$306,MATCH(293,직원목록!$B$7:$B$306,0)),""))</f>
        <v/>
      </c>
      <c r="F305" s="27">
        <f>IF(OR($A305="",E305=""),"",D305-E305)</f>
        <v/>
      </c>
      <c r="G305" s="27">
        <f>IF($A305="","",IFERROR(INDEX(직원목록!$AE$7:$AE$306,MATCH(293,직원목록!$B$7:$B$306,0)),""))</f>
        <v/>
      </c>
      <c r="H305" s="27">
        <f>IF($A305="","",IFERROR(INDEX(직원목록!$AH$7:$AH$306,MATCH(293,직원목록!$B$7:$B$306,0)),""))</f>
        <v/>
      </c>
      <c r="I305" s="27">
        <f>IF(OR($A305="",H305=""),"",G305-H305)</f>
        <v/>
      </c>
      <c r="J305" s="27">
        <f>IF($A305="","",IFERROR(INDEX(직원목록!$AF$7:$AF$306,MATCH(293,직원목록!$B$7:$B$306,0)),""))</f>
        <v/>
      </c>
      <c r="K305" s="27">
        <f>IF($A305="","",IFERROR(INDEX(직원목록!$AI$7:$AI$306,MATCH(293,직원목록!$B$7:$B$306,0)),""))</f>
        <v/>
      </c>
      <c r="L305" s="8">
        <f>IF($A305="","",IF(LEN(IF(AND(F305&lt;&gt;"",F305&lt;&gt;0),"계산 총지급과 대장 총지급이 다릅니다 / ","")&amp;IF(AND(I305&lt;&gt;"",I305&lt;&gt;0),"계산 총공제와 대장 총공제가 다릅니다 / ","")&amp;IF(J305&lt;0,"실수령액이 음수입니다 / ","")&amp;IF(COUNTIF(직원목록!$D$7:$D$306,B305)&gt;1,"같은 이름이 둘 이상 — 미리보기는 첫 번째만 보입니다 / ","")&amp;IF(AND(C305&lt;&gt;"",COUNTIF(직원목록!$C$7:$C$306,C305)&gt;1),"사번 중복 / ","")&amp;IF(D305=0,"총지급이 0원 — 머리글 매칭 확인 / ","")&amp;IF(AND(설정!$B$17&lt;&gt;"",설정!$C$17="",OR(ISNUMBER(FIND("연장",설정!$B$17)),ISNUMBER(FIND("야간",설정!$B$17)),ISNUMBER(FIND("휴일",설정!$B$17))),INDEX(직원목록!$F$7:$F$306,MATCH(293,직원목록!$B$7:$B$306,0))&gt;0),"연장·야간·휴일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","")&amp;IF(AND(설정!$B$24&lt;&gt;"",설정!$C$24="",OR(ISNUMBER(FIND("연장",설정!$B$24)),ISNUMBER(FIND("야간",설정!$B$24)),ISNUMBER(FIND("휴일",설정!$B$24))),INDEX(직원목록!$M$7:$M$306,MATCH(293,직원목록!$B$7:$B$306,0))&gt;0),"연장·야간·휴일 수당은 시간 수도 명세서에 적어야 하니 시간 열 지정 필요 / ",""))=0,"✔",("⚠ "&amp;IF(AND(F305&lt;&gt;"",F305&lt;&gt;0),"계산 총지급과 대장 총지급이 다릅니다 / ","")&amp;IF(AND(I305&lt;&gt;"",I305&lt;&gt;0),"계산 총공제와 대장 총공제가 다릅니다 / ","")&amp;IF(J305&lt;0,"실수령액이 음수입니다 / ","")&amp;IF(COUNTIF(직원목록!$D$7:$D$306,B305)&gt;1,"같은 이름이 둘 이상 — 미리보기는 첫 번째만 보입니다 / ","")&amp;IF(AND(C305&lt;&gt;"",COUNTIF(직원목록!$C$7:$C$306,C305)&gt;1),"사번 중복 / ","")&amp;IF(D305=0,"총지급이 0원 — 머리글 매칭 확인 / ","")&amp;IF(AND(설정!$B$17&lt;&gt;"",설정!$C$17="",OR(ISNUMBER(FIND("연장",설정!$B$17)),ISNUMBER(FIND("야간",설정!$B$17)),ISNUMBER(FIND("휴일",설정!$B$17))),INDEX(직원목록!$F$7:$F$306,MATCH(293,직원목록!$B$7:$B$306,0))&gt;0),"연장·야간·휴일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","")&amp;IF(AND(설정!$B$18&lt;&gt;"",설정!$C$18="",OR(ISNUMBER(FIND("연장",설정!$B$18)),ISNUMBER(FIND("야간",설정!$B$18)),ISNUMBER(FIND("휴일",설정!$B$18))),INDEX(직원목록!$G$7:$G$306,MATCH(293,직원목록!$B$7:$B$306,0))&gt;0),"연장·야간·휴일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","")&amp;IF(AND(설정!$B$19&lt;&gt;"",설정!$C$19="",OR(ISNUMBER(FIND("연장",설정!$B$19)),ISNUMBER(FIND("야간",설정!$B$19)),ISNUMBER(FIND("휴일",설정!$B$19))),INDEX(직원목록!$H$7:$H$306,MATCH(293,직원목록!$B$7:$B$306,0))&gt;0),"연장·야간·휴일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","")&amp;IF(AND(설정!$B$20&lt;&gt;"",설정!$C$20="",OR(ISNUMBER(FIND("연장",설정!$B$20)),ISNUMBER(FIND("야간",설정!$B$20)),ISNUMBER(FIND("휴일",설정!$B$20))),INDEX(직원목록!$I$7:$I$306,MATCH(293,직원목록!$B$7:$B$306,0))&gt;0),"연장·야간·휴일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","")&amp;IF(AND(설정!$B$21&lt;&gt;"",설정!$C$21="",OR(ISNUMBER(FIND("연장",설정!$B$21)),ISNUMBER(FIND("야간",설정!$B$21)),ISNUMBER(FIND("휴일",설정!$B$21))),INDEX(직원목록!$J$7:$J$306,MATCH(293,직원목록!$B$7:$B$306,0))&gt;0),"연장·야간·휴일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","")&amp;IF(AND(설정!$B$22&lt;&gt;"",설정!$C$22="",OR(ISNUMBER(FIND("연장",설정!$B$22)),ISNUMBER(FIND("야간",설정!$B$22)),ISNUMBER(FIND("휴일",설정!$B$22))),INDEX(직원목록!$K$7:$K$306,MATCH(293,직원목록!$B$7:$B$306,0))&gt;0),"연장·야간·휴일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","")&amp;IF(AND(설정!$B$23&lt;&gt;"",설정!$C$23="",OR(ISNUMBER(FIND("연장",설정!$B$23)),ISNUMBER(FIND("야간",설정!$B$23)),ISNUMBER(FIND("휴일",설정!$B$23))),INDEX(직원목록!$L$7:$L$306,MATCH(293,직원목록!$B$7:$B$306,0))&gt;0),"연장·야간·휴일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","")&amp;IF(AND(설정!$B$24&lt;&gt;"",설정!$C$24="",OR(ISNUMBER(FIND("연장",설정!$B$24)),ISNUMBER(FIND("야간",설정!$B$24)),ISNUMBER(FIND("휴일",설정!$B$24))),INDEX(직원목록!$M$7:$M$306,MATCH(293,직원목록!$B$7:$B$306,0))&gt;0),"연장·야간·휴일 수당은 시간 수도 명세서에 적어야 하니 시간 열 지정 필요 / ",""))))</f>
        <v/>
      </c>
    </row>
    <row r="306">
      <c r="A306" s="26">
        <f>IF(IFERROR(MATCH(294,직원목록!$B$7:$B$306,0),0)=0,"",294)</f>
        <v/>
      </c>
      <c r="B306" s="2">
        <f>IF($A306="","",IFERROR(INDEX(직원목록!$D$7:$D$306,MATCH(294,직원목록!$B$7:$B$306,0)),""))</f>
        <v/>
      </c>
      <c r="C306" s="2">
        <f>IF($A306="","",IFERROR(INDEX(직원목록!$C$7:$C$306,MATCH(294,직원목록!$B$7:$B$306,0)),""))</f>
        <v/>
      </c>
      <c r="D306" s="27">
        <f>IF($A306="","",IFERROR(INDEX(직원목록!$V$7:$V$306,MATCH(294,직원목록!$B$7:$B$306,0)),""))</f>
        <v/>
      </c>
      <c r="E306" s="27">
        <f>IF($A306="","",IFERROR(INDEX(직원목록!$AG$7:$AG$306,MATCH(294,직원목록!$B$7:$B$306,0)),""))</f>
        <v/>
      </c>
      <c r="F306" s="27">
        <f>IF(OR($A306="",E306=""),"",D306-E306)</f>
        <v/>
      </c>
      <c r="G306" s="27">
        <f>IF($A306="","",IFERROR(INDEX(직원목록!$AE$7:$AE$306,MATCH(294,직원목록!$B$7:$B$306,0)),""))</f>
        <v/>
      </c>
      <c r="H306" s="27">
        <f>IF($A306="","",IFERROR(INDEX(직원목록!$AH$7:$AH$306,MATCH(294,직원목록!$B$7:$B$306,0)),""))</f>
        <v/>
      </c>
      <c r="I306" s="27">
        <f>IF(OR($A306="",H306=""),"",G306-H306)</f>
        <v/>
      </c>
      <c r="J306" s="27">
        <f>IF($A306="","",IFERROR(INDEX(직원목록!$AF$7:$AF$306,MATCH(294,직원목록!$B$7:$B$306,0)),""))</f>
        <v/>
      </c>
      <c r="K306" s="27">
        <f>IF($A306="","",IFERROR(INDEX(직원목록!$AI$7:$AI$306,MATCH(294,직원목록!$B$7:$B$306,0)),""))</f>
        <v/>
      </c>
      <c r="L306" s="8">
        <f>IF($A306="","",IF(LEN(IF(AND(F306&lt;&gt;"",F306&lt;&gt;0),"계산 총지급과 대장 총지급이 다릅니다 / ","")&amp;IF(AND(I306&lt;&gt;"",I306&lt;&gt;0),"계산 총공제와 대장 총공제가 다릅니다 / ","")&amp;IF(J306&lt;0,"실수령액이 음수입니다 / ","")&amp;IF(COUNTIF(직원목록!$D$7:$D$306,B306)&gt;1,"같은 이름이 둘 이상 — 미리보기는 첫 번째만 보입니다 / ","")&amp;IF(AND(C306&lt;&gt;"",COUNTIF(직원목록!$C$7:$C$306,C306)&gt;1),"사번 중복 / ","")&amp;IF(D306=0,"총지급이 0원 — 머리글 매칭 확인 / ","")&amp;IF(AND(설정!$B$17&lt;&gt;"",설정!$C$17="",OR(ISNUMBER(FIND("연장",설정!$B$17)),ISNUMBER(FIND("야간",설정!$B$17)),ISNUMBER(FIND("휴일",설정!$B$17))),INDEX(직원목록!$F$7:$F$306,MATCH(294,직원목록!$B$7:$B$306,0))&gt;0),"연장·야간·휴일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","")&amp;IF(AND(설정!$B$24&lt;&gt;"",설정!$C$24="",OR(ISNUMBER(FIND("연장",설정!$B$24)),ISNUMBER(FIND("야간",설정!$B$24)),ISNUMBER(FIND("휴일",설정!$B$24))),INDEX(직원목록!$M$7:$M$306,MATCH(294,직원목록!$B$7:$B$306,0))&gt;0),"연장·야간·휴일 수당은 시간 수도 명세서에 적어야 하니 시간 열 지정 필요 / ",""))=0,"✔",("⚠ "&amp;IF(AND(F306&lt;&gt;"",F306&lt;&gt;0),"계산 총지급과 대장 총지급이 다릅니다 / ","")&amp;IF(AND(I306&lt;&gt;"",I306&lt;&gt;0),"계산 총공제와 대장 총공제가 다릅니다 / ","")&amp;IF(J306&lt;0,"실수령액이 음수입니다 / ","")&amp;IF(COUNTIF(직원목록!$D$7:$D$306,B306)&gt;1,"같은 이름이 둘 이상 — 미리보기는 첫 번째만 보입니다 / ","")&amp;IF(AND(C306&lt;&gt;"",COUNTIF(직원목록!$C$7:$C$306,C306)&gt;1),"사번 중복 / ","")&amp;IF(D306=0,"총지급이 0원 — 머리글 매칭 확인 / ","")&amp;IF(AND(설정!$B$17&lt;&gt;"",설정!$C$17="",OR(ISNUMBER(FIND("연장",설정!$B$17)),ISNUMBER(FIND("야간",설정!$B$17)),ISNUMBER(FIND("휴일",설정!$B$17))),INDEX(직원목록!$F$7:$F$306,MATCH(294,직원목록!$B$7:$B$306,0))&gt;0),"연장·야간·휴일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","")&amp;IF(AND(설정!$B$18&lt;&gt;"",설정!$C$18="",OR(ISNUMBER(FIND("연장",설정!$B$18)),ISNUMBER(FIND("야간",설정!$B$18)),ISNUMBER(FIND("휴일",설정!$B$18))),INDEX(직원목록!$G$7:$G$306,MATCH(294,직원목록!$B$7:$B$306,0))&gt;0),"연장·야간·휴일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","")&amp;IF(AND(설정!$B$19&lt;&gt;"",설정!$C$19="",OR(ISNUMBER(FIND("연장",설정!$B$19)),ISNUMBER(FIND("야간",설정!$B$19)),ISNUMBER(FIND("휴일",설정!$B$19))),INDEX(직원목록!$H$7:$H$306,MATCH(294,직원목록!$B$7:$B$306,0))&gt;0),"연장·야간·휴일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","")&amp;IF(AND(설정!$B$20&lt;&gt;"",설정!$C$20="",OR(ISNUMBER(FIND("연장",설정!$B$20)),ISNUMBER(FIND("야간",설정!$B$20)),ISNUMBER(FIND("휴일",설정!$B$20))),INDEX(직원목록!$I$7:$I$306,MATCH(294,직원목록!$B$7:$B$306,0))&gt;0),"연장·야간·휴일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","")&amp;IF(AND(설정!$B$21&lt;&gt;"",설정!$C$21="",OR(ISNUMBER(FIND("연장",설정!$B$21)),ISNUMBER(FIND("야간",설정!$B$21)),ISNUMBER(FIND("휴일",설정!$B$21))),INDEX(직원목록!$J$7:$J$306,MATCH(294,직원목록!$B$7:$B$306,0))&gt;0),"연장·야간·휴일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","")&amp;IF(AND(설정!$B$22&lt;&gt;"",설정!$C$22="",OR(ISNUMBER(FIND("연장",설정!$B$22)),ISNUMBER(FIND("야간",설정!$B$22)),ISNUMBER(FIND("휴일",설정!$B$22))),INDEX(직원목록!$K$7:$K$306,MATCH(294,직원목록!$B$7:$B$306,0))&gt;0),"연장·야간·휴일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","")&amp;IF(AND(설정!$B$23&lt;&gt;"",설정!$C$23="",OR(ISNUMBER(FIND("연장",설정!$B$23)),ISNUMBER(FIND("야간",설정!$B$23)),ISNUMBER(FIND("휴일",설정!$B$23))),INDEX(직원목록!$L$7:$L$306,MATCH(294,직원목록!$B$7:$B$306,0))&gt;0),"연장·야간·휴일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","")&amp;IF(AND(설정!$B$24&lt;&gt;"",설정!$C$24="",OR(ISNUMBER(FIND("연장",설정!$B$24)),ISNUMBER(FIND("야간",설정!$B$24)),ISNUMBER(FIND("휴일",설정!$B$24))),INDEX(직원목록!$M$7:$M$306,MATCH(294,직원목록!$B$7:$B$306,0))&gt;0),"연장·야간·휴일 수당은 시간 수도 명세서에 적어야 하니 시간 열 지정 필요 / ",""))))</f>
        <v/>
      </c>
    </row>
    <row r="307">
      <c r="A307" s="26">
        <f>IF(IFERROR(MATCH(295,직원목록!$B$7:$B$306,0),0)=0,"",295)</f>
        <v/>
      </c>
      <c r="B307" s="2">
        <f>IF($A307="","",IFERROR(INDEX(직원목록!$D$7:$D$306,MATCH(295,직원목록!$B$7:$B$306,0)),""))</f>
        <v/>
      </c>
      <c r="C307" s="2">
        <f>IF($A307="","",IFERROR(INDEX(직원목록!$C$7:$C$306,MATCH(295,직원목록!$B$7:$B$306,0)),""))</f>
        <v/>
      </c>
      <c r="D307" s="27">
        <f>IF($A307="","",IFERROR(INDEX(직원목록!$V$7:$V$306,MATCH(295,직원목록!$B$7:$B$306,0)),""))</f>
        <v/>
      </c>
      <c r="E307" s="27">
        <f>IF($A307="","",IFERROR(INDEX(직원목록!$AG$7:$AG$306,MATCH(295,직원목록!$B$7:$B$306,0)),""))</f>
        <v/>
      </c>
      <c r="F307" s="27">
        <f>IF(OR($A307="",E307=""),"",D307-E307)</f>
        <v/>
      </c>
      <c r="G307" s="27">
        <f>IF($A307="","",IFERROR(INDEX(직원목록!$AE$7:$AE$306,MATCH(295,직원목록!$B$7:$B$306,0)),""))</f>
        <v/>
      </c>
      <c r="H307" s="27">
        <f>IF($A307="","",IFERROR(INDEX(직원목록!$AH$7:$AH$306,MATCH(295,직원목록!$B$7:$B$306,0)),""))</f>
        <v/>
      </c>
      <c r="I307" s="27">
        <f>IF(OR($A307="",H307=""),"",G307-H307)</f>
        <v/>
      </c>
      <c r="J307" s="27">
        <f>IF($A307="","",IFERROR(INDEX(직원목록!$AF$7:$AF$306,MATCH(295,직원목록!$B$7:$B$306,0)),""))</f>
        <v/>
      </c>
      <c r="K307" s="27">
        <f>IF($A307="","",IFERROR(INDEX(직원목록!$AI$7:$AI$306,MATCH(295,직원목록!$B$7:$B$306,0)),""))</f>
        <v/>
      </c>
      <c r="L307" s="8">
        <f>IF($A307="","",IF(LEN(IF(AND(F307&lt;&gt;"",F307&lt;&gt;0),"계산 총지급과 대장 총지급이 다릅니다 / ","")&amp;IF(AND(I307&lt;&gt;"",I307&lt;&gt;0),"계산 총공제와 대장 총공제가 다릅니다 / ","")&amp;IF(J307&lt;0,"실수령액이 음수입니다 / ","")&amp;IF(COUNTIF(직원목록!$D$7:$D$306,B307)&gt;1,"같은 이름이 둘 이상 — 미리보기는 첫 번째만 보입니다 / ","")&amp;IF(AND(C307&lt;&gt;"",COUNTIF(직원목록!$C$7:$C$306,C307)&gt;1),"사번 중복 / ","")&amp;IF(D307=0,"총지급이 0원 — 머리글 매칭 확인 / ","")&amp;IF(AND(설정!$B$17&lt;&gt;"",설정!$C$17="",OR(ISNUMBER(FIND("연장",설정!$B$17)),ISNUMBER(FIND("야간",설정!$B$17)),ISNUMBER(FIND("휴일",설정!$B$17))),INDEX(직원목록!$F$7:$F$306,MATCH(295,직원목록!$B$7:$B$306,0))&gt;0),"연장·야간·휴일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","")&amp;IF(AND(설정!$B$24&lt;&gt;"",설정!$C$24="",OR(ISNUMBER(FIND("연장",설정!$B$24)),ISNUMBER(FIND("야간",설정!$B$24)),ISNUMBER(FIND("휴일",설정!$B$24))),INDEX(직원목록!$M$7:$M$306,MATCH(295,직원목록!$B$7:$B$306,0))&gt;0),"연장·야간·휴일 수당은 시간 수도 명세서에 적어야 하니 시간 열 지정 필요 / ",""))=0,"✔",("⚠ "&amp;IF(AND(F307&lt;&gt;"",F307&lt;&gt;0),"계산 총지급과 대장 총지급이 다릅니다 / ","")&amp;IF(AND(I307&lt;&gt;"",I307&lt;&gt;0),"계산 총공제와 대장 총공제가 다릅니다 / ","")&amp;IF(J307&lt;0,"실수령액이 음수입니다 / ","")&amp;IF(COUNTIF(직원목록!$D$7:$D$306,B307)&gt;1,"같은 이름이 둘 이상 — 미리보기는 첫 번째만 보입니다 / ","")&amp;IF(AND(C307&lt;&gt;"",COUNTIF(직원목록!$C$7:$C$306,C307)&gt;1),"사번 중복 / ","")&amp;IF(D307=0,"총지급이 0원 — 머리글 매칭 확인 / ","")&amp;IF(AND(설정!$B$17&lt;&gt;"",설정!$C$17="",OR(ISNUMBER(FIND("연장",설정!$B$17)),ISNUMBER(FIND("야간",설정!$B$17)),ISNUMBER(FIND("휴일",설정!$B$17))),INDEX(직원목록!$F$7:$F$306,MATCH(295,직원목록!$B$7:$B$306,0))&gt;0),"연장·야간·휴일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","")&amp;IF(AND(설정!$B$18&lt;&gt;"",설정!$C$18="",OR(ISNUMBER(FIND("연장",설정!$B$18)),ISNUMBER(FIND("야간",설정!$B$18)),ISNUMBER(FIND("휴일",설정!$B$18))),INDEX(직원목록!$G$7:$G$306,MATCH(295,직원목록!$B$7:$B$306,0))&gt;0),"연장·야간·휴일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","")&amp;IF(AND(설정!$B$19&lt;&gt;"",설정!$C$19="",OR(ISNUMBER(FIND("연장",설정!$B$19)),ISNUMBER(FIND("야간",설정!$B$19)),ISNUMBER(FIND("휴일",설정!$B$19))),INDEX(직원목록!$H$7:$H$306,MATCH(295,직원목록!$B$7:$B$306,0))&gt;0),"연장·야간·휴일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","")&amp;IF(AND(설정!$B$20&lt;&gt;"",설정!$C$20="",OR(ISNUMBER(FIND("연장",설정!$B$20)),ISNUMBER(FIND("야간",설정!$B$20)),ISNUMBER(FIND("휴일",설정!$B$20))),INDEX(직원목록!$I$7:$I$306,MATCH(295,직원목록!$B$7:$B$306,0))&gt;0),"연장·야간·휴일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","")&amp;IF(AND(설정!$B$21&lt;&gt;"",설정!$C$21="",OR(ISNUMBER(FIND("연장",설정!$B$21)),ISNUMBER(FIND("야간",설정!$B$21)),ISNUMBER(FIND("휴일",설정!$B$21))),INDEX(직원목록!$J$7:$J$306,MATCH(295,직원목록!$B$7:$B$306,0))&gt;0),"연장·야간·휴일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","")&amp;IF(AND(설정!$B$22&lt;&gt;"",설정!$C$22="",OR(ISNUMBER(FIND("연장",설정!$B$22)),ISNUMBER(FIND("야간",설정!$B$22)),ISNUMBER(FIND("휴일",설정!$B$22))),INDEX(직원목록!$K$7:$K$306,MATCH(295,직원목록!$B$7:$B$306,0))&gt;0),"연장·야간·휴일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","")&amp;IF(AND(설정!$B$23&lt;&gt;"",설정!$C$23="",OR(ISNUMBER(FIND("연장",설정!$B$23)),ISNUMBER(FIND("야간",설정!$B$23)),ISNUMBER(FIND("휴일",설정!$B$23))),INDEX(직원목록!$L$7:$L$306,MATCH(295,직원목록!$B$7:$B$306,0))&gt;0),"연장·야간·휴일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","")&amp;IF(AND(설정!$B$24&lt;&gt;"",설정!$C$24="",OR(ISNUMBER(FIND("연장",설정!$B$24)),ISNUMBER(FIND("야간",설정!$B$24)),ISNUMBER(FIND("휴일",설정!$B$24))),INDEX(직원목록!$M$7:$M$306,MATCH(295,직원목록!$B$7:$B$306,0))&gt;0),"연장·야간·휴일 수당은 시간 수도 명세서에 적어야 하니 시간 열 지정 필요 / ",""))))</f>
        <v/>
      </c>
    </row>
    <row r="308">
      <c r="A308" s="26">
        <f>IF(IFERROR(MATCH(296,직원목록!$B$7:$B$306,0),0)=0,"",296)</f>
        <v/>
      </c>
      <c r="B308" s="2">
        <f>IF($A308="","",IFERROR(INDEX(직원목록!$D$7:$D$306,MATCH(296,직원목록!$B$7:$B$306,0)),""))</f>
        <v/>
      </c>
      <c r="C308" s="2">
        <f>IF($A308="","",IFERROR(INDEX(직원목록!$C$7:$C$306,MATCH(296,직원목록!$B$7:$B$306,0)),""))</f>
        <v/>
      </c>
      <c r="D308" s="27">
        <f>IF($A308="","",IFERROR(INDEX(직원목록!$V$7:$V$306,MATCH(296,직원목록!$B$7:$B$306,0)),""))</f>
        <v/>
      </c>
      <c r="E308" s="27">
        <f>IF($A308="","",IFERROR(INDEX(직원목록!$AG$7:$AG$306,MATCH(296,직원목록!$B$7:$B$306,0)),""))</f>
        <v/>
      </c>
      <c r="F308" s="27">
        <f>IF(OR($A308="",E308=""),"",D308-E308)</f>
        <v/>
      </c>
      <c r="G308" s="27">
        <f>IF($A308="","",IFERROR(INDEX(직원목록!$AE$7:$AE$306,MATCH(296,직원목록!$B$7:$B$306,0)),""))</f>
        <v/>
      </c>
      <c r="H308" s="27">
        <f>IF($A308="","",IFERROR(INDEX(직원목록!$AH$7:$AH$306,MATCH(296,직원목록!$B$7:$B$306,0)),""))</f>
        <v/>
      </c>
      <c r="I308" s="27">
        <f>IF(OR($A308="",H308=""),"",G308-H308)</f>
        <v/>
      </c>
      <c r="J308" s="27">
        <f>IF($A308="","",IFERROR(INDEX(직원목록!$AF$7:$AF$306,MATCH(296,직원목록!$B$7:$B$306,0)),""))</f>
        <v/>
      </c>
      <c r="K308" s="27">
        <f>IF($A308="","",IFERROR(INDEX(직원목록!$AI$7:$AI$306,MATCH(296,직원목록!$B$7:$B$306,0)),""))</f>
        <v/>
      </c>
      <c r="L308" s="8">
        <f>IF($A308="","",IF(LEN(IF(AND(F308&lt;&gt;"",F308&lt;&gt;0),"계산 총지급과 대장 총지급이 다릅니다 / ","")&amp;IF(AND(I308&lt;&gt;"",I308&lt;&gt;0),"계산 총공제와 대장 총공제가 다릅니다 / ","")&amp;IF(J308&lt;0,"실수령액이 음수입니다 / ","")&amp;IF(COUNTIF(직원목록!$D$7:$D$306,B308)&gt;1,"같은 이름이 둘 이상 — 미리보기는 첫 번째만 보입니다 / ","")&amp;IF(AND(C308&lt;&gt;"",COUNTIF(직원목록!$C$7:$C$306,C308)&gt;1),"사번 중복 / ","")&amp;IF(D308=0,"총지급이 0원 — 머리글 매칭 확인 / ","")&amp;IF(AND(설정!$B$17&lt;&gt;"",설정!$C$17="",OR(ISNUMBER(FIND("연장",설정!$B$17)),ISNUMBER(FIND("야간",설정!$B$17)),ISNUMBER(FIND("휴일",설정!$B$17))),INDEX(직원목록!$F$7:$F$306,MATCH(296,직원목록!$B$7:$B$306,0))&gt;0),"연장·야간·휴일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","")&amp;IF(AND(설정!$B$24&lt;&gt;"",설정!$C$24="",OR(ISNUMBER(FIND("연장",설정!$B$24)),ISNUMBER(FIND("야간",설정!$B$24)),ISNUMBER(FIND("휴일",설정!$B$24))),INDEX(직원목록!$M$7:$M$306,MATCH(296,직원목록!$B$7:$B$306,0))&gt;0),"연장·야간·휴일 수당은 시간 수도 명세서에 적어야 하니 시간 열 지정 필요 / ",""))=0,"✔",("⚠ "&amp;IF(AND(F308&lt;&gt;"",F308&lt;&gt;0),"계산 총지급과 대장 총지급이 다릅니다 / ","")&amp;IF(AND(I308&lt;&gt;"",I308&lt;&gt;0),"계산 총공제와 대장 총공제가 다릅니다 / ","")&amp;IF(J308&lt;0,"실수령액이 음수입니다 / ","")&amp;IF(COUNTIF(직원목록!$D$7:$D$306,B308)&gt;1,"같은 이름이 둘 이상 — 미리보기는 첫 번째만 보입니다 / ","")&amp;IF(AND(C308&lt;&gt;"",COUNTIF(직원목록!$C$7:$C$306,C308)&gt;1),"사번 중복 / ","")&amp;IF(D308=0,"총지급이 0원 — 머리글 매칭 확인 / ","")&amp;IF(AND(설정!$B$17&lt;&gt;"",설정!$C$17="",OR(ISNUMBER(FIND("연장",설정!$B$17)),ISNUMBER(FIND("야간",설정!$B$17)),ISNUMBER(FIND("휴일",설정!$B$17))),INDEX(직원목록!$F$7:$F$306,MATCH(296,직원목록!$B$7:$B$306,0))&gt;0),"연장·야간·휴일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","")&amp;IF(AND(설정!$B$18&lt;&gt;"",설정!$C$18="",OR(ISNUMBER(FIND("연장",설정!$B$18)),ISNUMBER(FIND("야간",설정!$B$18)),ISNUMBER(FIND("휴일",설정!$B$18))),INDEX(직원목록!$G$7:$G$306,MATCH(296,직원목록!$B$7:$B$306,0))&gt;0),"연장·야간·휴일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","")&amp;IF(AND(설정!$B$19&lt;&gt;"",설정!$C$19="",OR(ISNUMBER(FIND("연장",설정!$B$19)),ISNUMBER(FIND("야간",설정!$B$19)),ISNUMBER(FIND("휴일",설정!$B$19))),INDEX(직원목록!$H$7:$H$306,MATCH(296,직원목록!$B$7:$B$306,0))&gt;0),"연장·야간·휴일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","")&amp;IF(AND(설정!$B$20&lt;&gt;"",설정!$C$20="",OR(ISNUMBER(FIND("연장",설정!$B$20)),ISNUMBER(FIND("야간",설정!$B$20)),ISNUMBER(FIND("휴일",설정!$B$20))),INDEX(직원목록!$I$7:$I$306,MATCH(296,직원목록!$B$7:$B$306,0))&gt;0),"연장·야간·휴일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","")&amp;IF(AND(설정!$B$21&lt;&gt;"",설정!$C$21="",OR(ISNUMBER(FIND("연장",설정!$B$21)),ISNUMBER(FIND("야간",설정!$B$21)),ISNUMBER(FIND("휴일",설정!$B$21))),INDEX(직원목록!$J$7:$J$306,MATCH(296,직원목록!$B$7:$B$306,0))&gt;0),"연장·야간·휴일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","")&amp;IF(AND(설정!$B$22&lt;&gt;"",설정!$C$22="",OR(ISNUMBER(FIND("연장",설정!$B$22)),ISNUMBER(FIND("야간",설정!$B$22)),ISNUMBER(FIND("휴일",설정!$B$22))),INDEX(직원목록!$K$7:$K$306,MATCH(296,직원목록!$B$7:$B$306,0))&gt;0),"연장·야간·휴일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","")&amp;IF(AND(설정!$B$23&lt;&gt;"",설정!$C$23="",OR(ISNUMBER(FIND("연장",설정!$B$23)),ISNUMBER(FIND("야간",설정!$B$23)),ISNUMBER(FIND("휴일",설정!$B$23))),INDEX(직원목록!$L$7:$L$306,MATCH(296,직원목록!$B$7:$B$306,0))&gt;0),"연장·야간·휴일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","")&amp;IF(AND(설정!$B$24&lt;&gt;"",설정!$C$24="",OR(ISNUMBER(FIND("연장",설정!$B$24)),ISNUMBER(FIND("야간",설정!$B$24)),ISNUMBER(FIND("휴일",설정!$B$24))),INDEX(직원목록!$M$7:$M$306,MATCH(296,직원목록!$B$7:$B$306,0))&gt;0),"연장·야간·휴일 수당은 시간 수도 명세서에 적어야 하니 시간 열 지정 필요 / ",""))))</f>
        <v/>
      </c>
    </row>
    <row r="309">
      <c r="A309" s="26">
        <f>IF(IFERROR(MATCH(297,직원목록!$B$7:$B$306,0),0)=0,"",297)</f>
        <v/>
      </c>
      <c r="B309" s="2">
        <f>IF($A309="","",IFERROR(INDEX(직원목록!$D$7:$D$306,MATCH(297,직원목록!$B$7:$B$306,0)),""))</f>
        <v/>
      </c>
      <c r="C309" s="2">
        <f>IF($A309="","",IFERROR(INDEX(직원목록!$C$7:$C$306,MATCH(297,직원목록!$B$7:$B$306,0)),""))</f>
        <v/>
      </c>
      <c r="D309" s="27">
        <f>IF($A309="","",IFERROR(INDEX(직원목록!$V$7:$V$306,MATCH(297,직원목록!$B$7:$B$306,0)),""))</f>
        <v/>
      </c>
      <c r="E309" s="27">
        <f>IF($A309="","",IFERROR(INDEX(직원목록!$AG$7:$AG$306,MATCH(297,직원목록!$B$7:$B$306,0)),""))</f>
        <v/>
      </c>
      <c r="F309" s="27">
        <f>IF(OR($A309="",E309=""),"",D309-E309)</f>
        <v/>
      </c>
      <c r="G309" s="27">
        <f>IF($A309="","",IFERROR(INDEX(직원목록!$AE$7:$AE$306,MATCH(297,직원목록!$B$7:$B$306,0)),""))</f>
        <v/>
      </c>
      <c r="H309" s="27">
        <f>IF($A309="","",IFERROR(INDEX(직원목록!$AH$7:$AH$306,MATCH(297,직원목록!$B$7:$B$306,0)),""))</f>
        <v/>
      </c>
      <c r="I309" s="27">
        <f>IF(OR($A309="",H309=""),"",G309-H309)</f>
        <v/>
      </c>
      <c r="J309" s="27">
        <f>IF($A309="","",IFERROR(INDEX(직원목록!$AF$7:$AF$306,MATCH(297,직원목록!$B$7:$B$306,0)),""))</f>
        <v/>
      </c>
      <c r="K309" s="27">
        <f>IF($A309="","",IFERROR(INDEX(직원목록!$AI$7:$AI$306,MATCH(297,직원목록!$B$7:$B$306,0)),""))</f>
        <v/>
      </c>
      <c r="L309" s="8">
        <f>IF($A309="","",IF(LEN(IF(AND(F309&lt;&gt;"",F309&lt;&gt;0),"계산 총지급과 대장 총지급이 다릅니다 / ","")&amp;IF(AND(I309&lt;&gt;"",I309&lt;&gt;0),"계산 총공제와 대장 총공제가 다릅니다 / ","")&amp;IF(J309&lt;0,"실수령액이 음수입니다 / ","")&amp;IF(COUNTIF(직원목록!$D$7:$D$306,B309)&gt;1,"같은 이름이 둘 이상 — 미리보기는 첫 번째만 보입니다 / ","")&amp;IF(AND(C309&lt;&gt;"",COUNTIF(직원목록!$C$7:$C$306,C309)&gt;1),"사번 중복 / ","")&amp;IF(D309=0,"총지급이 0원 — 머리글 매칭 확인 / ","")&amp;IF(AND(설정!$B$17&lt;&gt;"",설정!$C$17="",OR(ISNUMBER(FIND("연장",설정!$B$17)),ISNUMBER(FIND("야간",설정!$B$17)),ISNUMBER(FIND("휴일",설정!$B$17))),INDEX(직원목록!$F$7:$F$306,MATCH(297,직원목록!$B$7:$B$306,0))&gt;0),"연장·야간·휴일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","")&amp;IF(AND(설정!$B$24&lt;&gt;"",설정!$C$24="",OR(ISNUMBER(FIND("연장",설정!$B$24)),ISNUMBER(FIND("야간",설정!$B$24)),ISNUMBER(FIND("휴일",설정!$B$24))),INDEX(직원목록!$M$7:$M$306,MATCH(297,직원목록!$B$7:$B$306,0))&gt;0),"연장·야간·휴일 수당은 시간 수도 명세서에 적어야 하니 시간 열 지정 필요 / ",""))=0,"✔",("⚠ "&amp;IF(AND(F309&lt;&gt;"",F309&lt;&gt;0),"계산 총지급과 대장 총지급이 다릅니다 / ","")&amp;IF(AND(I309&lt;&gt;"",I309&lt;&gt;0),"계산 총공제와 대장 총공제가 다릅니다 / ","")&amp;IF(J309&lt;0,"실수령액이 음수입니다 / ","")&amp;IF(COUNTIF(직원목록!$D$7:$D$306,B309)&gt;1,"같은 이름이 둘 이상 — 미리보기는 첫 번째만 보입니다 / ","")&amp;IF(AND(C309&lt;&gt;"",COUNTIF(직원목록!$C$7:$C$306,C309)&gt;1),"사번 중복 / ","")&amp;IF(D309=0,"총지급이 0원 — 머리글 매칭 확인 / ","")&amp;IF(AND(설정!$B$17&lt;&gt;"",설정!$C$17="",OR(ISNUMBER(FIND("연장",설정!$B$17)),ISNUMBER(FIND("야간",설정!$B$17)),ISNUMBER(FIND("휴일",설정!$B$17))),INDEX(직원목록!$F$7:$F$306,MATCH(297,직원목록!$B$7:$B$306,0))&gt;0),"연장·야간·휴일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","")&amp;IF(AND(설정!$B$18&lt;&gt;"",설정!$C$18="",OR(ISNUMBER(FIND("연장",설정!$B$18)),ISNUMBER(FIND("야간",설정!$B$18)),ISNUMBER(FIND("휴일",설정!$B$18))),INDEX(직원목록!$G$7:$G$306,MATCH(297,직원목록!$B$7:$B$306,0))&gt;0),"연장·야간·휴일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","")&amp;IF(AND(설정!$B$19&lt;&gt;"",설정!$C$19="",OR(ISNUMBER(FIND("연장",설정!$B$19)),ISNUMBER(FIND("야간",설정!$B$19)),ISNUMBER(FIND("휴일",설정!$B$19))),INDEX(직원목록!$H$7:$H$306,MATCH(297,직원목록!$B$7:$B$306,0))&gt;0),"연장·야간·휴일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","")&amp;IF(AND(설정!$B$20&lt;&gt;"",설정!$C$20="",OR(ISNUMBER(FIND("연장",설정!$B$20)),ISNUMBER(FIND("야간",설정!$B$20)),ISNUMBER(FIND("휴일",설정!$B$20))),INDEX(직원목록!$I$7:$I$306,MATCH(297,직원목록!$B$7:$B$306,0))&gt;0),"연장·야간·휴일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","")&amp;IF(AND(설정!$B$21&lt;&gt;"",설정!$C$21="",OR(ISNUMBER(FIND("연장",설정!$B$21)),ISNUMBER(FIND("야간",설정!$B$21)),ISNUMBER(FIND("휴일",설정!$B$21))),INDEX(직원목록!$J$7:$J$306,MATCH(297,직원목록!$B$7:$B$306,0))&gt;0),"연장·야간·휴일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","")&amp;IF(AND(설정!$B$22&lt;&gt;"",설정!$C$22="",OR(ISNUMBER(FIND("연장",설정!$B$22)),ISNUMBER(FIND("야간",설정!$B$22)),ISNUMBER(FIND("휴일",설정!$B$22))),INDEX(직원목록!$K$7:$K$306,MATCH(297,직원목록!$B$7:$B$306,0))&gt;0),"연장·야간·휴일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","")&amp;IF(AND(설정!$B$23&lt;&gt;"",설정!$C$23="",OR(ISNUMBER(FIND("연장",설정!$B$23)),ISNUMBER(FIND("야간",설정!$B$23)),ISNUMBER(FIND("휴일",설정!$B$23))),INDEX(직원목록!$L$7:$L$306,MATCH(297,직원목록!$B$7:$B$306,0))&gt;0),"연장·야간·휴일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","")&amp;IF(AND(설정!$B$24&lt;&gt;"",설정!$C$24="",OR(ISNUMBER(FIND("연장",설정!$B$24)),ISNUMBER(FIND("야간",설정!$B$24)),ISNUMBER(FIND("휴일",설정!$B$24))),INDEX(직원목록!$M$7:$M$306,MATCH(297,직원목록!$B$7:$B$306,0))&gt;0),"연장·야간·휴일 수당은 시간 수도 명세서에 적어야 하니 시간 열 지정 필요 / ",""))))</f>
        <v/>
      </c>
    </row>
    <row r="310">
      <c r="A310" s="26">
        <f>IF(IFERROR(MATCH(298,직원목록!$B$7:$B$306,0),0)=0,"",298)</f>
        <v/>
      </c>
      <c r="B310" s="2">
        <f>IF($A310="","",IFERROR(INDEX(직원목록!$D$7:$D$306,MATCH(298,직원목록!$B$7:$B$306,0)),""))</f>
        <v/>
      </c>
      <c r="C310" s="2">
        <f>IF($A310="","",IFERROR(INDEX(직원목록!$C$7:$C$306,MATCH(298,직원목록!$B$7:$B$306,0)),""))</f>
        <v/>
      </c>
      <c r="D310" s="27">
        <f>IF($A310="","",IFERROR(INDEX(직원목록!$V$7:$V$306,MATCH(298,직원목록!$B$7:$B$306,0)),""))</f>
        <v/>
      </c>
      <c r="E310" s="27">
        <f>IF($A310="","",IFERROR(INDEX(직원목록!$AG$7:$AG$306,MATCH(298,직원목록!$B$7:$B$306,0)),""))</f>
        <v/>
      </c>
      <c r="F310" s="27">
        <f>IF(OR($A310="",E310=""),"",D310-E310)</f>
        <v/>
      </c>
      <c r="G310" s="27">
        <f>IF($A310="","",IFERROR(INDEX(직원목록!$AE$7:$AE$306,MATCH(298,직원목록!$B$7:$B$306,0)),""))</f>
        <v/>
      </c>
      <c r="H310" s="27">
        <f>IF($A310="","",IFERROR(INDEX(직원목록!$AH$7:$AH$306,MATCH(298,직원목록!$B$7:$B$306,0)),""))</f>
        <v/>
      </c>
      <c r="I310" s="27">
        <f>IF(OR($A310="",H310=""),"",G310-H310)</f>
        <v/>
      </c>
      <c r="J310" s="27">
        <f>IF($A310="","",IFERROR(INDEX(직원목록!$AF$7:$AF$306,MATCH(298,직원목록!$B$7:$B$306,0)),""))</f>
        <v/>
      </c>
      <c r="K310" s="27">
        <f>IF($A310="","",IFERROR(INDEX(직원목록!$AI$7:$AI$306,MATCH(298,직원목록!$B$7:$B$306,0)),""))</f>
        <v/>
      </c>
      <c r="L310" s="8">
        <f>IF($A310="","",IF(LEN(IF(AND(F310&lt;&gt;"",F310&lt;&gt;0),"계산 총지급과 대장 총지급이 다릅니다 / ","")&amp;IF(AND(I310&lt;&gt;"",I310&lt;&gt;0),"계산 총공제와 대장 총공제가 다릅니다 / ","")&amp;IF(J310&lt;0,"실수령액이 음수입니다 / ","")&amp;IF(COUNTIF(직원목록!$D$7:$D$306,B310)&gt;1,"같은 이름이 둘 이상 — 미리보기는 첫 번째만 보입니다 / ","")&amp;IF(AND(C310&lt;&gt;"",COUNTIF(직원목록!$C$7:$C$306,C310)&gt;1),"사번 중복 / ","")&amp;IF(D310=0,"총지급이 0원 — 머리글 매칭 확인 / ","")&amp;IF(AND(설정!$B$17&lt;&gt;"",설정!$C$17="",OR(ISNUMBER(FIND("연장",설정!$B$17)),ISNUMBER(FIND("야간",설정!$B$17)),ISNUMBER(FIND("휴일",설정!$B$17))),INDEX(직원목록!$F$7:$F$306,MATCH(298,직원목록!$B$7:$B$306,0))&gt;0),"연장·야간·휴일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","")&amp;IF(AND(설정!$B$24&lt;&gt;"",설정!$C$24="",OR(ISNUMBER(FIND("연장",설정!$B$24)),ISNUMBER(FIND("야간",설정!$B$24)),ISNUMBER(FIND("휴일",설정!$B$24))),INDEX(직원목록!$M$7:$M$306,MATCH(298,직원목록!$B$7:$B$306,0))&gt;0),"연장·야간·휴일 수당은 시간 수도 명세서에 적어야 하니 시간 열 지정 필요 / ",""))=0,"✔",("⚠ "&amp;IF(AND(F310&lt;&gt;"",F310&lt;&gt;0),"계산 총지급과 대장 총지급이 다릅니다 / ","")&amp;IF(AND(I310&lt;&gt;"",I310&lt;&gt;0),"계산 총공제와 대장 총공제가 다릅니다 / ","")&amp;IF(J310&lt;0,"실수령액이 음수입니다 / ","")&amp;IF(COUNTIF(직원목록!$D$7:$D$306,B310)&gt;1,"같은 이름이 둘 이상 — 미리보기는 첫 번째만 보입니다 / ","")&amp;IF(AND(C310&lt;&gt;"",COUNTIF(직원목록!$C$7:$C$306,C310)&gt;1),"사번 중복 / ","")&amp;IF(D310=0,"총지급이 0원 — 머리글 매칭 확인 / ","")&amp;IF(AND(설정!$B$17&lt;&gt;"",설정!$C$17="",OR(ISNUMBER(FIND("연장",설정!$B$17)),ISNUMBER(FIND("야간",설정!$B$17)),ISNUMBER(FIND("휴일",설정!$B$17))),INDEX(직원목록!$F$7:$F$306,MATCH(298,직원목록!$B$7:$B$306,0))&gt;0),"연장·야간·휴일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","")&amp;IF(AND(설정!$B$18&lt;&gt;"",설정!$C$18="",OR(ISNUMBER(FIND("연장",설정!$B$18)),ISNUMBER(FIND("야간",설정!$B$18)),ISNUMBER(FIND("휴일",설정!$B$18))),INDEX(직원목록!$G$7:$G$306,MATCH(298,직원목록!$B$7:$B$306,0))&gt;0),"연장·야간·휴일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","")&amp;IF(AND(설정!$B$19&lt;&gt;"",설정!$C$19="",OR(ISNUMBER(FIND("연장",설정!$B$19)),ISNUMBER(FIND("야간",설정!$B$19)),ISNUMBER(FIND("휴일",설정!$B$19))),INDEX(직원목록!$H$7:$H$306,MATCH(298,직원목록!$B$7:$B$306,0))&gt;0),"연장·야간·휴일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","")&amp;IF(AND(설정!$B$20&lt;&gt;"",설정!$C$20="",OR(ISNUMBER(FIND("연장",설정!$B$20)),ISNUMBER(FIND("야간",설정!$B$20)),ISNUMBER(FIND("휴일",설정!$B$20))),INDEX(직원목록!$I$7:$I$306,MATCH(298,직원목록!$B$7:$B$306,0))&gt;0),"연장·야간·휴일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","")&amp;IF(AND(설정!$B$21&lt;&gt;"",설정!$C$21="",OR(ISNUMBER(FIND("연장",설정!$B$21)),ISNUMBER(FIND("야간",설정!$B$21)),ISNUMBER(FIND("휴일",설정!$B$21))),INDEX(직원목록!$J$7:$J$306,MATCH(298,직원목록!$B$7:$B$306,0))&gt;0),"연장·야간·휴일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","")&amp;IF(AND(설정!$B$22&lt;&gt;"",설정!$C$22="",OR(ISNUMBER(FIND("연장",설정!$B$22)),ISNUMBER(FIND("야간",설정!$B$22)),ISNUMBER(FIND("휴일",설정!$B$22))),INDEX(직원목록!$K$7:$K$306,MATCH(298,직원목록!$B$7:$B$306,0))&gt;0),"연장·야간·휴일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","")&amp;IF(AND(설정!$B$23&lt;&gt;"",설정!$C$23="",OR(ISNUMBER(FIND("연장",설정!$B$23)),ISNUMBER(FIND("야간",설정!$B$23)),ISNUMBER(FIND("휴일",설정!$B$23))),INDEX(직원목록!$L$7:$L$306,MATCH(298,직원목록!$B$7:$B$306,0))&gt;0),"연장·야간·휴일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","")&amp;IF(AND(설정!$B$24&lt;&gt;"",설정!$C$24="",OR(ISNUMBER(FIND("연장",설정!$B$24)),ISNUMBER(FIND("야간",설정!$B$24)),ISNUMBER(FIND("휴일",설정!$B$24))),INDEX(직원목록!$M$7:$M$306,MATCH(298,직원목록!$B$7:$B$306,0))&gt;0),"연장·야간·휴일 수당은 시간 수도 명세서에 적어야 하니 시간 열 지정 필요 / ",""))))</f>
        <v/>
      </c>
    </row>
    <row r="311">
      <c r="A311" s="26">
        <f>IF(IFERROR(MATCH(299,직원목록!$B$7:$B$306,0),0)=0,"",299)</f>
        <v/>
      </c>
      <c r="B311" s="2">
        <f>IF($A311="","",IFERROR(INDEX(직원목록!$D$7:$D$306,MATCH(299,직원목록!$B$7:$B$306,0)),""))</f>
        <v/>
      </c>
      <c r="C311" s="2">
        <f>IF($A311="","",IFERROR(INDEX(직원목록!$C$7:$C$306,MATCH(299,직원목록!$B$7:$B$306,0)),""))</f>
        <v/>
      </c>
      <c r="D311" s="27">
        <f>IF($A311="","",IFERROR(INDEX(직원목록!$V$7:$V$306,MATCH(299,직원목록!$B$7:$B$306,0)),""))</f>
        <v/>
      </c>
      <c r="E311" s="27">
        <f>IF($A311="","",IFERROR(INDEX(직원목록!$AG$7:$AG$306,MATCH(299,직원목록!$B$7:$B$306,0)),""))</f>
        <v/>
      </c>
      <c r="F311" s="27">
        <f>IF(OR($A311="",E311=""),"",D311-E311)</f>
        <v/>
      </c>
      <c r="G311" s="27">
        <f>IF($A311="","",IFERROR(INDEX(직원목록!$AE$7:$AE$306,MATCH(299,직원목록!$B$7:$B$306,0)),""))</f>
        <v/>
      </c>
      <c r="H311" s="27">
        <f>IF($A311="","",IFERROR(INDEX(직원목록!$AH$7:$AH$306,MATCH(299,직원목록!$B$7:$B$306,0)),""))</f>
        <v/>
      </c>
      <c r="I311" s="27">
        <f>IF(OR($A311="",H311=""),"",G311-H311)</f>
        <v/>
      </c>
      <c r="J311" s="27">
        <f>IF($A311="","",IFERROR(INDEX(직원목록!$AF$7:$AF$306,MATCH(299,직원목록!$B$7:$B$306,0)),""))</f>
        <v/>
      </c>
      <c r="K311" s="27">
        <f>IF($A311="","",IFERROR(INDEX(직원목록!$AI$7:$AI$306,MATCH(299,직원목록!$B$7:$B$306,0)),""))</f>
        <v/>
      </c>
      <c r="L311" s="8">
        <f>IF($A311="","",IF(LEN(IF(AND(F311&lt;&gt;"",F311&lt;&gt;0),"계산 총지급과 대장 총지급이 다릅니다 / ","")&amp;IF(AND(I311&lt;&gt;"",I311&lt;&gt;0),"계산 총공제와 대장 총공제가 다릅니다 / ","")&amp;IF(J311&lt;0,"실수령액이 음수입니다 / ","")&amp;IF(COUNTIF(직원목록!$D$7:$D$306,B311)&gt;1,"같은 이름이 둘 이상 — 미리보기는 첫 번째만 보입니다 / ","")&amp;IF(AND(C311&lt;&gt;"",COUNTIF(직원목록!$C$7:$C$306,C311)&gt;1),"사번 중복 / ","")&amp;IF(D311=0,"총지급이 0원 — 머리글 매칭 확인 / ","")&amp;IF(AND(설정!$B$17&lt;&gt;"",설정!$C$17="",OR(ISNUMBER(FIND("연장",설정!$B$17)),ISNUMBER(FIND("야간",설정!$B$17)),ISNUMBER(FIND("휴일",설정!$B$17))),INDEX(직원목록!$F$7:$F$306,MATCH(299,직원목록!$B$7:$B$306,0))&gt;0),"연장·야간·휴일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","")&amp;IF(AND(설정!$B$24&lt;&gt;"",설정!$C$24="",OR(ISNUMBER(FIND("연장",설정!$B$24)),ISNUMBER(FIND("야간",설정!$B$24)),ISNUMBER(FIND("휴일",설정!$B$24))),INDEX(직원목록!$M$7:$M$306,MATCH(299,직원목록!$B$7:$B$306,0))&gt;0),"연장·야간·휴일 수당은 시간 수도 명세서에 적어야 하니 시간 열 지정 필요 / ",""))=0,"✔",("⚠ "&amp;IF(AND(F311&lt;&gt;"",F311&lt;&gt;0),"계산 총지급과 대장 총지급이 다릅니다 / ","")&amp;IF(AND(I311&lt;&gt;"",I311&lt;&gt;0),"계산 총공제와 대장 총공제가 다릅니다 / ","")&amp;IF(J311&lt;0,"실수령액이 음수입니다 / ","")&amp;IF(COUNTIF(직원목록!$D$7:$D$306,B311)&gt;1,"같은 이름이 둘 이상 — 미리보기는 첫 번째만 보입니다 / ","")&amp;IF(AND(C311&lt;&gt;"",COUNTIF(직원목록!$C$7:$C$306,C311)&gt;1),"사번 중복 / ","")&amp;IF(D311=0,"총지급이 0원 — 머리글 매칭 확인 / ","")&amp;IF(AND(설정!$B$17&lt;&gt;"",설정!$C$17="",OR(ISNUMBER(FIND("연장",설정!$B$17)),ISNUMBER(FIND("야간",설정!$B$17)),ISNUMBER(FIND("휴일",설정!$B$17))),INDEX(직원목록!$F$7:$F$306,MATCH(299,직원목록!$B$7:$B$306,0))&gt;0),"연장·야간·휴일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","")&amp;IF(AND(설정!$B$18&lt;&gt;"",설정!$C$18="",OR(ISNUMBER(FIND("연장",설정!$B$18)),ISNUMBER(FIND("야간",설정!$B$18)),ISNUMBER(FIND("휴일",설정!$B$18))),INDEX(직원목록!$G$7:$G$306,MATCH(299,직원목록!$B$7:$B$306,0))&gt;0),"연장·야간·휴일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","")&amp;IF(AND(설정!$B$19&lt;&gt;"",설정!$C$19="",OR(ISNUMBER(FIND("연장",설정!$B$19)),ISNUMBER(FIND("야간",설정!$B$19)),ISNUMBER(FIND("휴일",설정!$B$19))),INDEX(직원목록!$H$7:$H$306,MATCH(299,직원목록!$B$7:$B$306,0))&gt;0),"연장·야간·휴일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","")&amp;IF(AND(설정!$B$20&lt;&gt;"",설정!$C$20="",OR(ISNUMBER(FIND("연장",설정!$B$20)),ISNUMBER(FIND("야간",설정!$B$20)),ISNUMBER(FIND("휴일",설정!$B$20))),INDEX(직원목록!$I$7:$I$306,MATCH(299,직원목록!$B$7:$B$306,0))&gt;0),"연장·야간·휴일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","")&amp;IF(AND(설정!$B$21&lt;&gt;"",설정!$C$21="",OR(ISNUMBER(FIND("연장",설정!$B$21)),ISNUMBER(FIND("야간",설정!$B$21)),ISNUMBER(FIND("휴일",설정!$B$21))),INDEX(직원목록!$J$7:$J$306,MATCH(299,직원목록!$B$7:$B$306,0))&gt;0),"연장·야간·휴일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","")&amp;IF(AND(설정!$B$22&lt;&gt;"",설정!$C$22="",OR(ISNUMBER(FIND("연장",설정!$B$22)),ISNUMBER(FIND("야간",설정!$B$22)),ISNUMBER(FIND("휴일",설정!$B$22))),INDEX(직원목록!$K$7:$K$306,MATCH(299,직원목록!$B$7:$B$306,0))&gt;0),"연장·야간·휴일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","")&amp;IF(AND(설정!$B$23&lt;&gt;"",설정!$C$23="",OR(ISNUMBER(FIND("연장",설정!$B$23)),ISNUMBER(FIND("야간",설정!$B$23)),ISNUMBER(FIND("휴일",설정!$B$23))),INDEX(직원목록!$L$7:$L$306,MATCH(299,직원목록!$B$7:$B$306,0))&gt;0),"연장·야간·휴일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","")&amp;IF(AND(설정!$B$24&lt;&gt;"",설정!$C$24="",OR(ISNUMBER(FIND("연장",설정!$B$24)),ISNUMBER(FIND("야간",설정!$B$24)),ISNUMBER(FIND("휴일",설정!$B$24))),INDEX(직원목록!$M$7:$M$306,MATCH(299,직원목록!$B$7:$B$306,0))&gt;0),"연장·야간·휴일 수당은 시간 수도 명세서에 적어야 하니 시간 열 지정 필요 / ",""))))</f>
        <v/>
      </c>
    </row>
    <row r="312">
      <c r="A312" s="26">
        <f>IF(IFERROR(MATCH(300,직원목록!$B$7:$B$306,0),0)=0,"",300)</f>
        <v/>
      </c>
      <c r="B312" s="2">
        <f>IF($A312="","",IFERROR(INDEX(직원목록!$D$7:$D$306,MATCH(300,직원목록!$B$7:$B$306,0)),""))</f>
        <v/>
      </c>
      <c r="C312" s="2">
        <f>IF($A312="","",IFERROR(INDEX(직원목록!$C$7:$C$306,MATCH(300,직원목록!$B$7:$B$306,0)),""))</f>
        <v/>
      </c>
      <c r="D312" s="27">
        <f>IF($A312="","",IFERROR(INDEX(직원목록!$V$7:$V$306,MATCH(300,직원목록!$B$7:$B$306,0)),""))</f>
        <v/>
      </c>
      <c r="E312" s="27">
        <f>IF($A312="","",IFERROR(INDEX(직원목록!$AG$7:$AG$306,MATCH(300,직원목록!$B$7:$B$306,0)),""))</f>
        <v/>
      </c>
      <c r="F312" s="27">
        <f>IF(OR($A312="",E312=""),"",D312-E312)</f>
        <v/>
      </c>
      <c r="G312" s="27">
        <f>IF($A312="","",IFERROR(INDEX(직원목록!$AE$7:$AE$306,MATCH(300,직원목록!$B$7:$B$306,0)),""))</f>
        <v/>
      </c>
      <c r="H312" s="27">
        <f>IF($A312="","",IFERROR(INDEX(직원목록!$AH$7:$AH$306,MATCH(300,직원목록!$B$7:$B$306,0)),""))</f>
        <v/>
      </c>
      <c r="I312" s="27">
        <f>IF(OR($A312="",H312=""),"",G312-H312)</f>
        <v/>
      </c>
      <c r="J312" s="27">
        <f>IF($A312="","",IFERROR(INDEX(직원목록!$AF$7:$AF$306,MATCH(300,직원목록!$B$7:$B$306,0)),""))</f>
        <v/>
      </c>
      <c r="K312" s="27">
        <f>IF($A312="","",IFERROR(INDEX(직원목록!$AI$7:$AI$306,MATCH(300,직원목록!$B$7:$B$306,0)),""))</f>
        <v/>
      </c>
      <c r="L312" s="8">
        <f>IF($A312="","",IF(LEN(IF(AND(F312&lt;&gt;"",F312&lt;&gt;0),"계산 총지급과 대장 총지급이 다릅니다 / ","")&amp;IF(AND(I312&lt;&gt;"",I312&lt;&gt;0),"계산 총공제와 대장 총공제가 다릅니다 / ","")&amp;IF(J312&lt;0,"실수령액이 음수입니다 / ","")&amp;IF(COUNTIF(직원목록!$D$7:$D$306,B312)&gt;1,"같은 이름이 둘 이상 — 미리보기는 첫 번째만 보입니다 / ","")&amp;IF(AND(C312&lt;&gt;"",COUNTIF(직원목록!$C$7:$C$306,C312)&gt;1),"사번 중복 / ","")&amp;IF(D312=0,"총지급이 0원 — 머리글 매칭 확인 / ","")&amp;IF(AND(설정!$B$17&lt;&gt;"",설정!$C$17="",OR(ISNUMBER(FIND("연장",설정!$B$17)),ISNUMBER(FIND("야간",설정!$B$17)),ISNUMBER(FIND("휴일",설정!$B$17))),INDEX(직원목록!$F$7:$F$306,MATCH(300,직원목록!$B$7:$B$306,0))&gt;0),"연장·야간·휴일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","")&amp;IF(AND(설정!$B$18&lt;&gt;"",설정!$C$18="",OR(ISNUMBER(FIND("연장",설정!$B$18)),ISNUMBER(FIND("야간",설정!$B$18)),ISNUMBER(FIND("휴일",설정!$B$18))),INDEX(직원목록!$G$7:$G$306,MATCH(300,직원목록!$B$7:$B$306,0))&gt;0),"연장·야간·휴일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","")&amp;IF(AND(설정!$B$19&lt;&gt;"",설정!$C$19="",OR(ISNUMBER(FIND("연장",설정!$B$19)),ISNUMBER(FIND("야간",설정!$B$19)),ISNUMBER(FIND("휴일",설정!$B$19))),INDEX(직원목록!$H$7:$H$306,MATCH(300,직원목록!$B$7:$B$306,0))&gt;0),"연장·야간·휴일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","")&amp;IF(AND(설정!$B$20&lt;&gt;"",설정!$C$20="",OR(ISNUMBER(FIND("연장",설정!$B$20)),ISNUMBER(FIND("야간",설정!$B$20)),ISNUMBER(FIND("휴일",설정!$B$20))),INDEX(직원목록!$I$7:$I$306,MATCH(300,직원목록!$B$7:$B$306,0))&gt;0),"연장·야간·휴일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","")&amp;IF(AND(설정!$B$21&lt;&gt;"",설정!$C$21="",OR(ISNUMBER(FIND("연장",설정!$B$21)),ISNUMBER(FIND("야간",설정!$B$21)),ISNUMBER(FIND("휴일",설정!$B$21))),INDEX(직원목록!$J$7:$J$306,MATCH(300,직원목록!$B$7:$B$306,0))&gt;0),"연장·야간·휴일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","")&amp;IF(AND(설정!$B$22&lt;&gt;"",설정!$C$22="",OR(ISNUMBER(FIND("연장",설정!$B$22)),ISNUMBER(FIND("야간",설정!$B$22)),ISNUMBER(FIND("휴일",설정!$B$22))),INDEX(직원목록!$K$7:$K$306,MATCH(300,직원목록!$B$7:$B$306,0))&gt;0),"연장·야간·휴일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","")&amp;IF(AND(설정!$B$23&lt;&gt;"",설정!$C$23="",OR(ISNUMBER(FIND("연장",설정!$B$23)),ISNUMBER(FIND("야간",설정!$B$23)),ISNUMBER(FIND("휴일",설정!$B$23))),INDEX(직원목록!$L$7:$L$306,MATCH(300,직원목록!$B$7:$B$306,0))&gt;0),"연장·야간·휴일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","")&amp;IF(AND(설정!$B$24&lt;&gt;"",설정!$C$24="",OR(ISNUMBER(FIND("연장",설정!$B$24)),ISNUMBER(FIND("야간",설정!$B$24)),ISNUMBER(FIND("휴일",설정!$B$24))),INDEX(직원목록!$M$7:$M$306,MATCH(300,직원목록!$B$7:$B$306,0))&gt;0),"연장·야간·휴일 수당은 시간 수도 명세서에 적어야 하니 시간 열 지정 필요 / ",""))=0,"✔",("⚠ "&amp;IF(AND(F312&lt;&gt;"",F312&lt;&gt;0),"계산 총지급과 대장 총지급이 다릅니다 / ","")&amp;IF(AND(I312&lt;&gt;"",I312&lt;&gt;0),"계산 총공제와 대장 총공제가 다릅니다 / ","")&amp;IF(J312&lt;0,"실수령액이 음수입니다 / ","")&amp;IF(COUNTIF(직원목록!$D$7:$D$306,B312)&gt;1,"같은 이름이 둘 이상 — 미리보기는 첫 번째만 보입니다 / ","")&amp;IF(AND(C312&lt;&gt;"",COUNTIF(직원목록!$C$7:$C$306,C312)&gt;1),"사번 중복 / ","")&amp;IF(D312=0,"총지급이 0원 — 머리글 매칭 확인 / ","")&amp;IF(AND(설정!$B$17&lt;&gt;"",설정!$C$17="",OR(ISNUMBER(FIND("연장",설정!$B$17)),ISNUMBER(FIND("야간",설정!$B$17)),ISNUMBER(FIND("휴일",설정!$B$17))),INDEX(직원목록!$F$7:$F$306,MATCH(300,직원목록!$B$7:$B$306,0))&gt;0),"연장·야간·휴일 수당은 시간 수도 명세서에 적어야 하니 시간 열 지정 필요 / ","")&amp;IF(AND(설정!$B$18&lt;&gt;"",설정!$C$18="",OR(ISNUMBER(FIND("연장",설정!$B$18)),ISNUMBER(FIND("야간",설정!$B$18)),ISNUMBER(FIND("휴일",설정!$B$18))),INDEX(직원목록!$G$7:$G$306,MATCH(300,직원목록!$B$7:$B$306,0))&gt;0),"연장·야간·휴일 수당은 시간 수도 명세서에 적어야 하니 시간 열 지정 필요 / ","")&amp;IF(AND(설정!$B$19&lt;&gt;"",설정!$C$19="",OR(ISNUMBER(FIND("연장",설정!$B$19)),ISNUMBER(FIND("야간",설정!$B$19)),ISNUMBER(FIND("휴일",설정!$B$19))),INDEX(직원목록!$H$7:$H$306,MATCH(300,직원목록!$B$7:$B$306,0))&gt;0),"연장·야간·휴일 수당은 시간 수도 명세서에 적어야 하니 시간 열 지정 필요 / ","")&amp;IF(AND(설정!$B$20&lt;&gt;"",설정!$C$20="",OR(ISNUMBER(FIND("연장",설정!$B$20)),ISNUMBER(FIND("야간",설정!$B$20)),ISNUMBER(FIND("휴일",설정!$B$20))),INDEX(직원목록!$I$7:$I$306,MATCH(300,직원목록!$B$7:$B$306,0))&gt;0),"연장·야간·휴일 수당은 시간 수도 명세서에 적어야 하니 시간 열 지정 필요 / ","")&amp;IF(AND(설정!$B$21&lt;&gt;"",설정!$C$21="",OR(ISNUMBER(FIND("연장",설정!$B$21)),ISNUMBER(FIND("야간",설정!$B$21)),ISNUMBER(FIND("휴일",설정!$B$21))),INDEX(직원목록!$J$7:$J$306,MATCH(300,직원목록!$B$7:$B$306,0))&gt;0),"연장·야간·휴일 수당은 시간 수도 명세서에 적어야 하니 시간 열 지정 필요 / ","")&amp;IF(AND(설정!$B$22&lt;&gt;"",설정!$C$22="",OR(ISNUMBER(FIND("연장",설정!$B$22)),ISNUMBER(FIND("야간",설정!$B$22)),ISNUMBER(FIND("휴일",설정!$B$22))),INDEX(직원목록!$K$7:$K$306,MATCH(300,직원목록!$B$7:$B$306,0))&gt;0),"연장·야간·휴일 수당은 시간 수도 명세서에 적어야 하니 시간 열 지정 필요 / ","")&amp;IF(AND(설정!$B$23&lt;&gt;"",설정!$C$23="",OR(ISNUMBER(FIND("연장",설정!$B$23)),ISNUMBER(FIND("야간",설정!$B$23)),ISNUMBER(FIND("휴일",설정!$B$23))),INDEX(직원목록!$L$7:$L$306,MATCH(300,직원목록!$B$7:$B$306,0))&gt;0),"연장·야간·휴일 수당은 시간 수도 명세서에 적어야 하니 시간 열 지정 필요 / ","")&amp;IF(AND(설정!$B$24&lt;&gt;"",설정!$C$24="",OR(ISNUMBER(FIND("연장",설정!$B$24)),ISNUMBER(FIND("야간",설정!$B$24)),ISNUMBER(FIND("휴일",설정!$B$24))),INDEX(직원목록!$M$7:$M$306,MATCH(300,직원목록!$B$7:$B$306,0))&gt;0),"연장·야간·휴일 수당은 시간 수도 명세서에 적어야 하니 시간 열 지정 필요 / ",""))))</f>
        <v/>
      </c>
    </row>
  </sheetData>
  <mergeCells count="1">
    <mergeCell ref="C6:D6"/>
  </mergeCells>
  <conditionalFormatting sqref="I6:I8">
    <cfRule type="expression" priority="1" dxfId="0">
      <formula>LEFT(I6,1)="✖"</formula>
    </cfRule>
    <cfRule type="expression" priority="2" dxfId="1">
      <formula>LEFT(I6,1)="✔"</formula>
    </cfRule>
  </conditionalFormatting>
  <conditionalFormatting sqref="L13:L312">
    <cfRule type="expression" priority="3" dxfId="2">
      <formula>LEFT(L13,1)="⚠"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8" customWidth="1" min="10" max="10"/>
  </cols>
  <sheetData>
    <row r="2" ht="30" customHeight="1">
      <c r="B2" s="28">
        <f>IF($J$8="","","임금명세서  ("&amp;설정!$B$5&amp;")")</f>
        <v/>
      </c>
      <c r="J2" s="6" t="inlineStr">
        <is>
          <t>▼ 직원 선택</t>
        </is>
      </c>
    </row>
    <row r="3">
      <c r="B3" s="7" t="inlineStr">
        <is>
          <t>회사명</t>
        </is>
      </c>
      <c r="C3" s="21">
        <f>IF($J$8="","",설정!$B$4)</f>
        <v/>
      </c>
      <c r="D3" s="29" t="n"/>
      <c r="E3" s="19" t="n"/>
      <c r="F3" s="7" t="inlineStr">
        <is>
          <t>임금 지급일</t>
        </is>
      </c>
      <c r="G3" s="21">
        <f>IF($J$8="","",TEXT(설정!$B$6,"yyyy-mm-dd"))</f>
        <v/>
      </c>
      <c r="H3" s="29" t="n"/>
      <c r="J3" s="15" t="inlineStr">
        <is>
          <t>가상직원03</t>
        </is>
      </c>
    </row>
    <row r="4">
      <c r="B4" s="7" t="inlineStr">
        <is>
          <t>성명</t>
        </is>
      </c>
      <c r="C4" s="22">
        <f>IF($J$8="","",INDEX(직원목록!$D$7:$D$306,$J$8))</f>
        <v/>
      </c>
      <c r="D4" s="7" t="inlineStr">
        <is>
          <t>사번</t>
        </is>
      </c>
      <c r="E4" s="21">
        <f>IF($J$8="","",INDEX(직원목록!$C$7:$C$306,$J$8))</f>
        <v/>
      </c>
      <c r="F4" s="7" t="inlineStr">
        <is>
          <t>부서</t>
        </is>
      </c>
      <c r="G4" s="21">
        <f>IF($J$8="","",INDEX(직원목록!$E$7:$E$306,$J$8))</f>
        <v/>
      </c>
      <c r="H4" s="29" t="n"/>
      <c r="J4" s="30" t="inlineStr">
        <is>
          <t>이름을 고르면 왼쪽 명세서가 바뀝니다. 인쇄는 이 시트에서도 됩니다.</t>
        </is>
      </c>
    </row>
    <row r="5">
      <c r="B5" s="12" t="inlineStr">
        <is>
          <t>지급 항목</t>
        </is>
      </c>
      <c r="C5" s="12" t="inlineStr">
        <is>
          <t>금액(원)</t>
        </is>
      </c>
      <c r="D5" s="12" t="inlineStr">
        <is>
          <t>계산 근거</t>
        </is>
      </c>
      <c r="E5" s="2" t="n"/>
      <c r="F5" s="12" t="inlineStr">
        <is>
          <t>공제 항목</t>
        </is>
      </c>
      <c r="G5" s="12" t="inlineStr">
        <is>
          <t>금액(원)</t>
        </is>
      </c>
      <c r="H5" s="12" t="n"/>
    </row>
    <row r="6">
      <c r="B6" s="4">
        <f>IF($J$8="","",IF(설정!$B$17="","",설정!$B$17))</f>
        <v/>
      </c>
      <c r="C6" s="31">
        <f>IF(OR($J$8="",설정!$B$17=""),"",INDEX(직원목록!$F$7:$F$306,$J$8))</f>
        <v/>
      </c>
      <c r="D6" s="32">
        <f>IF(OR($J$8="",설정!$B$17=""),"",IF(N(INDEX(직원목록!$N$7:$N$306,$J$8))=0,"",INDEX(직원목록!$N$7:$N$306,$J$8)&amp;"시간"))</f>
        <v/>
      </c>
      <c r="F6" s="4">
        <f>IF($J$8="","",IF(설정!$B$26="","",설정!$B$26))</f>
        <v/>
      </c>
      <c r="G6" s="31">
        <f>IF(OR($J$8="",설정!$B$26=""),"",INDEX(직원목록!$W$7:$W$306,$J$8))</f>
        <v/>
      </c>
      <c r="H6" s="19" t="n"/>
    </row>
    <row r="7">
      <c r="B7" s="4">
        <f>IF($J$8="","",IF(설정!$B$18="","",설정!$B$18))</f>
        <v/>
      </c>
      <c r="C7" s="31">
        <f>IF(OR($J$8="",설정!$B$18=""),"",INDEX(직원목록!$G$7:$G$306,$J$8))</f>
        <v/>
      </c>
      <c r="D7" s="32">
        <f>IF(OR($J$8="",설정!$B$18=""),"",IF(N(INDEX(직원목록!$O$7:$O$306,$J$8))=0,"",INDEX(직원목록!$O$7:$O$306,$J$8)&amp;"시간"))</f>
        <v/>
      </c>
      <c r="F7" s="4">
        <f>IF($J$8="","",IF(설정!$B$27="","",설정!$B$27))</f>
        <v/>
      </c>
      <c r="G7" s="31">
        <f>IF(OR($J$8="",설정!$B$27=""),"",INDEX(직원목록!$X$7:$X$306,$J$8))</f>
        <v/>
      </c>
      <c r="H7" s="19" t="n"/>
    </row>
    <row r="8">
      <c r="B8" s="4">
        <f>IF($J$8="","",IF(설정!$B$19="","",설정!$B$19))</f>
        <v/>
      </c>
      <c r="C8" s="31">
        <f>IF(OR($J$8="",설정!$B$19=""),"",INDEX(직원목록!$H$7:$H$306,$J$8))</f>
        <v/>
      </c>
      <c r="D8" s="32">
        <f>IF(OR($J$8="",설정!$B$19=""),"",IF(N(INDEX(직원목록!$P$7:$P$306,$J$8))=0,"",INDEX(직원목록!$P$7:$P$306,$J$8)&amp;"시간"))</f>
        <v/>
      </c>
      <c r="F8" s="4">
        <f>IF($J$8="","",IF(설정!$B$28="","",설정!$B$28))</f>
        <v/>
      </c>
      <c r="G8" s="31">
        <f>IF(OR($J$8="",설정!$B$28=""),"",INDEX(직원목록!$Y$7:$Y$306,$J$8))</f>
        <v/>
      </c>
      <c r="H8" s="19" t="n"/>
      <c r="J8" s="33">
        <f>IFERROR(MATCH(J3,직원목록!$AJ$7:$AJ$306,0),"")</f>
        <v/>
      </c>
      <c r="K8" s="34" t="inlineStr">
        <is>
          <t>(계산용)</t>
        </is>
      </c>
    </row>
    <row r="9">
      <c r="B9" s="4">
        <f>IF($J$8="","",IF(설정!$B$20="","",설정!$B$20))</f>
        <v/>
      </c>
      <c r="C9" s="31">
        <f>IF(OR($J$8="",설정!$B$20=""),"",INDEX(직원목록!$I$7:$I$306,$J$8))</f>
        <v/>
      </c>
      <c r="D9" s="32">
        <f>IF(OR($J$8="",설정!$B$20=""),"",IF(N(INDEX(직원목록!$Q$7:$Q$306,$J$8))=0,"",INDEX(직원목록!$Q$7:$Q$306,$J$8)&amp;"시간"))</f>
        <v/>
      </c>
      <c r="F9" s="4">
        <f>IF($J$8="","",IF(설정!$B$29="","",설정!$B$29))</f>
        <v/>
      </c>
      <c r="G9" s="31">
        <f>IF(OR($J$8="",설정!$B$29=""),"",INDEX(직원목록!$Z$7:$Z$306,$J$8))</f>
        <v/>
      </c>
      <c r="H9" s="19" t="n"/>
    </row>
    <row r="10">
      <c r="B10" s="4">
        <f>IF($J$8="","",IF(설정!$B$21="","",설정!$B$21))</f>
        <v/>
      </c>
      <c r="C10" s="31">
        <f>IF(OR($J$8="",설정!$B$21=""),"",INDEX(직원목록!$J$7:$J$306,$J$8))</f>
        <v/>
      </c>
      <c r="D10" s="32">
        <f>IF(OR($J$8="",설정!$B$21=""),"",IF(N(INDEX(직원목록!$R$7:$R$306,$J$8))=0,"",INDEX(직원목록!$R$7:$R$306,$J$8)&amp;"시간"))</f>
        <v/>
      </c>
      <c r="F10" s="4">
        <f>IF($J$8="","",IF(설정!$B$30="","",설정!$B$30))</f>
        <v/>
      </c>
      <c r="G10" s="31">
        <f>IF(OR($J$8="",설정!$B$30=""),"",INDEX(직원목록!$AA$7:$AA$306,$J$8))</f>
        <v/>
      </c>
      <c r="H10" s="19" t="n"/>
    </row>
    <row r="11">
      <c r="B11" s="4">
        <f>IF($J$8="","",IF(설정!$B$22="","",설정!$B$22))</f>
        <v/>
      </c>
      <c r="C11" s="31">
        <f>IF(OR($J$8="",설정!$B$22=""),"",INDEX(직원목록!$K$7:$K$306,$J$8))</f>
        <v/>
      </c>
      <c r="D11" s="32">
        <f>IF(OR($J$8="",설정!$B$22=""),"",IF(N(INDEX(직원목록!$S$7:$S$306,$J$8))=0,"",INDEX(직원목록!$S$7:$S$306,$J$8)&amp;"시간"))</f>
        <v/>
      </c>
      <c r="F11" s="4">
        <f>IF($J$8="","",IF(설정!$B$31="","",설정!$B$31))</f>
        <v/>
      </c>
      <c r="G11" s="31">
        <f>IF(OR($J$8="",설정!$B$31=""),"",INDEX(직원목록!$AB$7:$AB$306,$J$8))</f>
        <v/>
      </c>
      <c r="H11" s="19" t="n"/>
    </row>
    <row r="12">
      <c r="B12" s="4">
        <f>IF($J$8="","",IF(설정!$B$23="","",설정!$B$23))</f>
        <v/>
      </c>
      <c r="C12" s="31">
        <f>IF(OR($J$8="",설정!$B$23=""),"",INDEX(직원목록!$L$7:$L$306,$J$8))</f>
        <v/>
      </c>
      <c r="D12" s="32">
        <f>IF(OR($J$8="",설정!$B$23=""),"",IF(N(INDEX(직원목록!$T$7:$T$306,$J$8))=0,"",INDEX(직원목록!$T$7:$T$306,$J$8)&amp;"시간"))</f>
        <v/>
      </c>
      <c r="F12" s="4">
        <f>IF($J$8="","",IF(설정!$B$32="","",설정!$B$32))</f>
        <v/>
      </c>
      <c r="G12" s="31">
        <f>IF(OR($J$8="",설정!$B$32=""),"",INDEX(직원목록!$AC$7:$AC$306,$J$8))</f>
        <v/>
      </c>
      <c r="H12" s="19" t="n"/>
    </row>
    <row r="13">
      <c r="B13" s="4">
        <f>IF($J$8="","",IF(설정!$B$24="","",설정!$B$24))</f>
        <v/>
      </c>
      <c r="C13" s="31">
        <f>IF(OR($J$8="",설정!$B$24=""),"",INDEX(직원목록!$M$7:$M$306,$J$8))</f>
        <v/>
      </c>
      <c r="D13" s="32">
        <f>IF(OR($J$8="",설정!$B$24=""),"",IF(N(INDEX(직원목록!$U$7:$U$306,$J$8))=0,"",INDEX(직원목록!$U$7:$U$306,$J$8)&amp;"시간"))</f>
        <v/>
      </c>
      <c r="F13" s="4">
        <f>IF($J$8="","",IF(설정!$B$33="","",설정!$B$33))</f>
        <v/>
      </c>
      <c r="G13" s="31">
        <f>IF(OR($J$8="",설정!$B$33=""),"",INDEX(직원목록!$AD$7:$AD$306,$J$8))</f>
        <v/>
      </c>
      <c r="H13" s="19" t="n"/>
    </row>
    <row r="14">
      <c r="B14" s="3" t="inlineStr">
        <is>
          <t>지급 합계</t>
        </is>
      </c>
      <c r="C14" s="35">
        <f>IF($J$8="","",INDEX(직원목록!$V$7:$V$306,$J$8))</f>
        <v/>
      </c>
      <c r="D14" s="36" t="n"/>
      <c r="F14" s="3" t="inlineStr">
        <is>
          <t>공제 합계</t>
        </is>
      </c>
      <c r="G14" s="35">
        <f>IF($J$8="","",INDEX(직원목록!$AE$7:$AE$306,$J$8))</f>
        <v/>
      </c>
      <c r="H14" s="36" t="n"/>
    </row>
    <row r="15" ht="28" customHeight="1">
      <c r="B15" s="37" t="inlineStr">
        <is>
          <t>실 수령액 (지급 합계 − 공제 합계)</t>
        </is>
      </c>
      <c r="C15" s="29" t="n"/>
      <c r="D15" s="29" t="n"/>
      <c r="E15" s="38">
        <f>IF($J$8="","",INDEX(직원목록!$AF$7:$AF$306,$J$8))</f>
        <v/>
      </c>
      <c r="F15" s="29" t="n"/>
      <c r="G15" s="29" t="n"/>
      <c r="H15" s="29" t="n"/>
    </row>
    <row r="16">
      <c r="B16" s="39">
        <f>IF($J$8="","",설정!$B$7)</f>
        <v/>
      </c>
    </row>
  </sheetData>
  <mergeCells count="8">
    <mergeCell ref="G4:H4"/>
    <mergeCell ref="J4:L6"/>
    <mergeCell ref="B2:H2"/>
    <mergeCell ref="E15:H15"/>
    <mergeCell ref="B16:H16"/>
    <mergeCell ref="B15:D15"/>
    <mergeCell ref="C3:D3"/>
    <mergeCell ref="G3:H3"/>
  </mergeCells>
  <dataValidations count="1">
    <dataValidation sqref="J3" showDropDown="0" showInputMessage="0" showErrorMessage="0" allowBlank="1" type="list">
      <formula1>=직원목록!$AJ$7:$AJ$306</formula1>
    </dataValidation>
  </dataValidation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298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3" customWidth="1" min="9" max="9"/>
    <col width="6" customWidth="1" min="11" max="11"/>
  </cols>
  <sheetData>
    <row r="1">
      <c r="K1" s="2" t="n"/>
    </row>
    <row r="2" ht="30" customHeight="1">
      <c r="B2" s="28">
        <f>IF($K$2="","","임금명세서  ("&amp;설정!$B$5&amp;")")</f>
        <v/>
      </c>
      <c r="K2" s="34">
        <f>IFERROR(MATCH(1,직원목록!$B$7:$B$306,0),"")</f>
        <v/>
      </c>
    </row>
    <row r="3">
      <c r="B3" s="7" t="inlineStr">
        <is>
          <t>회사명</t>
        </is>
      </c>
      <c r="C3" s="21">
        <f>IF($K$2="","",설정!$B$4)</f>
        <v/>
      </c>
      <c r="D3" s="29" t="n"/>
      <c r="E3" s="19" t="n"/>
      <c r="F3" s="7" t="inlineStr">
        <is>
          <t>임금 지급일</t>
        </is>
      </c>
      <c r="G3" s="21">
        <f>IF($K$2="","",TEXT(설정!$B$6,"yyyy-mm-dd"))</f>
        <v/>
      </c>
      <c r="H3" s="29" t="n"/>
    </row>
    <row r="4">
      <c r="B4" s="7" t="inlineStr">
        <is>
          <t>성명</t>
        </is>
      </c>
      <c r="C4" s="22">
        <f>IF($K$2="","",INDEX(직원목록!$D$7:$D$306,$K$2))</f>
        <v/>
      </c>
      <c r="D4" s="7" t="inlineStr">
        <is>
          <t>사번</t>
        </is>
      </c>
      <c r="E4" s="21">
        <f>IF($K$2="","",INDEX(직원목록!$C$7:$C$306,$K$2))</f>
        <v/>
      </c>
      <c r="F4" s="7" t="inlineStr">
        <is>
          <t>부서</t>
        </is>
      </c>
      <c r="G4" s="21">
        <f>IF($K$2="","",INDEX(직원목록!$E$7:$E$306,$K$2))</f>
        <v/>
      </c>
      <c r="H4" s="29" t="n"/>
    </row>
    <row r="5">
      <c r="B5" s="12" t="inlineStr">
        <is>
          <t>지급 항목</t>
        </is>
      </c>
      <c r="C5" s="12" t="inlineStr">
        <is>
          <t>금액(원)</t>
        </is>
      </c>
      <c r="D5" s="12" t="inlineStr">
        <is>
          <t>계산 근거</t>
        </is>
      </c>
      <c r="E5" s="2" t="n"/>
      <c r="F5" s="12" t="inlineStr">
        <is>
          <t>공제 항목</t>
        </is>
      </c>
      <c r="G5" s="12" t="inlineStr">
        <is>
          <t>금액(원)</t>
        </is>
      </c>
      <c r="H5" s="12" t="n"/>
    </row>
    <row r="6">
      <c r="B6" s="4">
        <f>IF($K$2="","",IF(설정!$B$17="","",설정!$B$17))</f>
        <v/>
      </c>
      <c r="C6" s="31">
        <f>IF(OR($K$2="",설정!$B$17=""),"",INDEX(직원목록!$F$7:$F$306,$K$2))</f>
        <v/>
      </c>
      <c r="D6" s="32">
        <f>IF(OR($K$2="",설정!$B$17=""),"",IF(N(INDEX(직원목록!$N$7:$N$306,$K$2))=0,"",INDEX(직원목록!$N$7:$N$306,$K$2)&amp;"시간"))</f>
        <v/>
      </c>
      <c r="F6" s="4">
        <f>IF($K$2="","",IF(설정!$B$26="","",설정!$B$26))</f>
        <v/>
      </c>
      <c r="G6" s="31">
        <f>IF(OR($K$2="",설정!$B$26=""),"",INDEX(직원목록!$W$7:$W$306,$K$2))</f>
        <v/>
      </c>
      <c r="H6" s="19" t="n"/>
    </row>
    <row r="7">
      <c r="B7" s="4">
        <f>IF($K$2="","",IF(설정!$B$18="","",설정!$B$18))</f>
        <v/>
      </c>
      <c r="C7" s="31">
        <f>IF(OR($K$2="",설정!$B$18=""),"",INDEX(직원목록!$G$7:$G$306,$K$2))</f>
        <v/>
      </c>
      <c r="D7" s="32">
        <f>IF(OR($K$2="",설정!$B$18=""),"",IF(N(INDEX(직원목록!$O$7:$O$306,$K$2))=0,"",INDEX(직원목록!$O$7:$O$306,$K$2)&amp;"시간"))</f>
        <v/>
      </c>
      <c r="F7" s="4">
        <f>IF($K$2="","",IF(설정!$B$27="","",설정!$B$27))</f>
        <v/>
      </c>
      <c r="G7" s="31">
        <f>IF(OR($K$2="",설정!$B$27=""),"",INDEX(직원목록!$X$7:$X$306,$K$2))</f>
        <v/>
      </c>
      <c r="H7" s="19" t="n"/>
    </row>
    <row r="8">
      <c r="B8" s="4">
        <f>IF($K$2="","",IF(설정!$B$19="","",설정!$B$19))</f>
        <v/>
      </c>
      <c r="C8" s="31">
        <f>IF(OR($K$2="",설정!$B$19=""),"",INDEX(직원목록!$H$7:$H$306,$K$2))</f>
        <v/>
      </c>
      <c r="D8" s="32">
        <f>IF(OR($K$2="",설정!$B$19=""),"",IF(N(INDEX(직원목록!$P$7:$P$306,$K$2))=0,"",INDEX(직원목록!$P$7:$P$306,$K$2)&amp;"시간"))</f>
        <v/>
      </c>
      <c r="F8" s="4">
        <f>IF($K$2="","",IF(설정!$B$28="","",설정!$B$28))</f>
        <v/>
      </c>
      <c r="G8" s="31">
        <f>IF(OR($K$2="",설정!$B$28=""),"",INDEX(직원목록!$Y$7:$Y$306,$K$2))</f>
        <v/>
      </c>
      <c r="H8" s="19" t="n"/>
    </row>
    <row r="9">
      <c r="B9" s="4">
        <f>IF($K$2="","",IF(설정!$B$20="","",설정!$B$20))</f>
        <v/>
      </c>
      <c r="C9" s="31">
        <f>IF(OR($K$2="",설정!$B$20=""),"",INDEX(직원목록!$I$7:$I$306,$K$2))</f>
        <v/>
      </c>
      <c r="D9" s="32">
        <f>IF(OR($K$2="",설정!$B$20=""),"",IF(N(INDEX(직원목록!$Q$7:$Q$306,$K$2))=0,"",INDEX(직원목록!$Q$7:$Q$306,$K$2)&amp;"시간"))</f>
        <v/>
      </c>
      <c r="F9" s="4">
        <f>IF($K$2="","",IF(설정!$B$29="","",설정!$B$29))</f>
        <v/>
      </c>
      <c r="G9" s="31">
        <f>IF(OR($K$2="",설정!$B$29=""),"",INDEX(직원목록!$Z$7:$Z$306,$K$2))</f>
        <v/>
      </c>
      <c r="H9" s="19" t="n"/>
    </row>
    <row r="10">
      <c r="B10" s="4">
        <f>IF($K$2="","",IF(설정!$B$21="","",설정!$B$21))</f>
        <v/>
      </c>
      <c r="C10" s="31">
        <f>IF(OR($K$2="",설정!$B$21=""),"",INDEX(직원목록!$J$7:$J$306,$K$2))</f>
        <v/>
      </c>
      <c r="D10" s="32">
        <f>IF(OR($K$2="",설정!$B$21=""),"",IF(N(INDEX(직원목록!$R$7:$R$306,$K$2))=0,"",INDEX(직원목록!$R$7:$R$306,$K$2)&amp;"시간"))</f>
        <v/>
      </c>
      <c r="F10" s="4">
        <f>IF($K$2="","",IF(설정!$B$30="","",설정!$B$30))</f>
        <v/>
      </c>
      <c r="G10" s="31">
        <f>IF(OR($K$2="",설정!$B$30=""),"",INDEX(직원목록!$AA$7:$AA$306,$K$2))</f>
        <v/>
      </c>
      <c r="H10" s="19" t="n"/>
    </row>
    <row r="11">
      <c r="B11" s="4">
        <f>IF($K$2="","",IF(설정!$B$22="","",설정!$B$22))</f>
        <v/>
      </c>
      <c r="C11" s="31">
        <f>IF(OR($K$2="",설정!$B$22=""),"",INDEX(직원목록!$K$7:$K$306,$K$2))</f>
        <v/>
      </c>
      <c r="D11" s="32">
        <f>IF(OR($K$2="",설정!$B$22=""),"",IF(N(INDEX(직원목록!$S$7:$S$306,$K$2))=0,"",INDEX(직원목록!$S$7:$S$306,$K$2)&amp;"시간"))</f>
        <v/>
      </c>
      <c r="F11" s="4">
        <f>IF($K$2="","",IF(설정!$B$31="","",설정!$B$31))</f>
        <v/>
      </c>
      <c r="G11" s="31">
        <f>IF(OR($K$2="",설정!$B$31=""),"",INDEX(직원목록!$AB$7:$AB$306,$K$2))</f>
        <v/>
      </c>
      <c r="H11" s="19" t="n"/>
    </row>
    <row r="12">
      <c r="B12" s="4">
        <f>IF($K$2="","",IF(설정!$B$23="","",설정!$B$23))</f>
        <v/>
      </c>
      <c r="C12" s="31">
        <f>IF(OR($K$2="",설정!$B$23=""),"",INDEX(직원목록!$L$7:$L$306,$K$2))</f>
        <v/>
      </c>
      <c r="D12" s="32">
        <f>IF(OR($K$2="",설정!$B$23=""),"",IF(N(INDEX(직원목록!$T$7:$T$306,$K$2))=0,"",INDEX(직원목록!$T$7:$T$306,$K$2)&amp;"시간"))</f>
        <v/>
      </c>
      <c r="F12" s="4">
        <f>IF($K$2="","",IF(설정!$B$32="","",설정!$B$32))</f>
        <v/>
      </c>
      <c r="G12" s="31">
        <f>IF(OR($K$2="",설정!$B$32=""),"",INDEX(직원목록!$AC$7:$AC$306,$K$2))</f>
        <v/>
      </c>
      <c r="H12" s="19" t="n"/>
    </row>
    <row r="13">
      <c r="B13" s="4">
        <f>IF($K$2="","",IF(설정!$B$24="","",설정!$B$24))</f>
        <v/>
      </c>
      <c r="C13" s="31">
        <f>IF(OR($K$2="",설정!$B$24=""),"",INDEX(직원목록!$M$7:$M$306,$K$2))</f>
        <v/>
      </c>
      <c r="D13" s="32">
        <f>IF(OR($K$2="",설정!$B$24=""),"",IF(N(INDEX(직원목록!$U$7:$U$306,$K$2))=0,"",INDEX(직원목록!$U$7:$U$306,$K$2)&amp;"시간"))</f>
        <v/>
      </c>
      <c r="F13" s="4">
        <f>IF($K$2="","",IF(설정!$B$33="","",설정!$B$33))</f>
        <v/>
      </c>
      <c r="G13" s="31">
        <f>IF(OR($K$2="",설정!$B$33=""),"",INDEX(직원목록!$AD$7:$AD$306,$K$2))</f>
        <v/>
      </c>
      <c r="H13" s="19" t="n"/>
    </row>
    <row r="14">
      <c r="B14" s="3" t="inlineStr">
        <is>
          <t>지급 합계</t>
        </is>
      </c>
      <c r="C14" s="35">
        <f>IF($K$2="","",INDEX(직원목록!$V$7:$V$306,$K$2))</f>
        <v/>
      </c>
      <c r="D14" s="36" t="n"/>
      <c r="F14" s="3" t="inlineStr">
        <is>
          <t>공제 합계</t>
        </is>
      </c>
      <c r="G14" s="35">
        <f>IF($K$2="","",INDEX(직원목록!$AE$7:$AE$306,$K$2))</f>
        <v/>
      </c>
      <c r="H14" s="36" t="n"/>
    </row>
    <row r="15" ht="28" customHeight="1">
      <c r="B15" s="37" t="inlineStr">
        <is>
          <t>실 수령액 (지급 합계 − 공제 합계)</t>
        </is>
      </c>
      <c r="C15" s="29" t="n"/>
      <c r="D15" s="29" t="n"/>
      <c r="E15" s="38">
        <f>IF($K$2="","",INDEX(직원목록!$AF$7:$AF$306,$K$2))</f>
        <v/>
      </c>
      <c r="F15" s="29" t="n"/>
      <c r="G15" s="29" t="n"/>
      <c r="H15" s="29" t="n"/>
    </row>
    <row r="16">
      <c r="B16" s="39">
        <f>IF($K$2="","",설정!$B$7)</f>
        <v/>
      </c>
    </row>
    <row r="32" ht="30" customHeight="1">
      <c r="B32" s="28">
        <f>IF($K$32="","","임금명세서  ("&amp;설정!$B$5&amp;")")</f>
        <v/>
      </c>
      <c r="K32" s="34">
        <f>IFERROR(MATCH(2,직원목록!$B$7:$B$306,0),"")</f>
        <v/>
      </c>
    </row>
    <row r="33">
      <c r="B33" s="7" t="inlineStr">
        <is>
          <t>회사명</t>
        </is>
      </c>
      <c r="C33" s="21">
        <f>IF($K$32="","",설정!$B$4)</f>
        <v/>
      </c>
      <c r="D33" s="29" t="n"/>
      <c r="E33" s="19" t="n"/>
      <c r="F33" s="7" t="inlineStr">
        <is>
          <t>임금 지급일</t>
        </is>
      </c>
      <c r="G33" s="21">
        <f>IF($K$32="","",TEXT(설정!$B$6,"yyyy-mm-dd"))</f>
        <v/>
      </c>
      <c r="H33" s="29" t="n"/>
    </row>
    <row r="34">
      <c r="B34" s="7" t="inlineStr">
        <is>
          <t>성명</t>
        </is>
      </c>
      <c r="C34" s="22">
        <f>IF($K$32="","",INDEX(직원목록!$D$7:$D$306,$K$32))</f>
        <v/>
      </c>
      <c r="D34" s="7" t="inlineStr">
        <is>
          <t>사번</t>
        </is>
      </c>
      <c r="E34" s="21">
        <f>IF($K$32="","",INDEX(직원목록!$C$7:$C$306,$K$32))</f>
        <v/>
      </c>
      <c r="F34" s="7" t="inlineStr">
        <is>
          <t>부서</t>
        </is>
      </c>
      <c r="G34" s="21">
        <f>IF($K$32="","",INDEX(직원목록!$E$7:$E$306,$K$32))</f>
        <v/>
      </c>
      <c r="H34" s="29" t="n"/>
    </row>
    <row r="35">
      <c r="B35" s="12" t="inlineStr">
        <is>
          <t>지급 항목</t>
        </is>
      </c>
      <c r="C35" s="12" t="inlineStr">
        <is>
          <t>금액(원)</t>
        </is>
      </c>
      <c r="D35" s="12" t="inlineStr">
        <is>
          <t>계산 근거</t>
        </is>
      </c>
      <c r="E35" s="2" t="n"/>
      <c r="F35" s="12" t="inlineStr">
        <is>
          <t>공제 항목</t>
        </is>
      </c>
      <c r="G35" s="12" t="inlineStr">
        <is>
          <t>금액(원)</t>
        </is>
      </c>
      <c r="H35" s="12" t="n"/>
    </row>
    <row r="36">
      <c r="B36" s="4">
        <f>IF($K$32="","",IF(설정!$B$17="","",설정!$B$17))</f>
        <v/>
      </c>
      <c r="C36" s="31">
        <f>IF(OR($K$32="",설정!$B$17=""),"",INDEX(직원목록!$F$7:$F$306,$K$32))</f>
        <v/>
      </c>
      <c r="D36" s="32">
        <f>IF(OR($K$32="",설정!$B$17=""),"",IF(N(INDEX(직원목록!$N$7:$N$306,$K$32))=0,"",INDEX(직원목록!$N$7:$N$306,$K$32)&amp;"시간"))</f>
        <v/>
      </c>
      <c r="F36" s="4">
        <f>IF($K$32="","",IF(설정!$B$26="","",설정!$B$26))</f>
        <v/>
      </c>
      <c r="G36" s="31">
        <f>IF(OR($K$32="",설정!$B$26=""),"",INDEX(직원목록!$W$7:$W$306,$K$32))</f>
        <v/>
      </c>
      <c r="H36" s="19" t="n"/>
    </row>
    <row r="37">
      <c r="B37" s="4">
        <f>IF($K$32="","",IF(설정!$B$18="","",설정!$B$18))</f>
        <v/>
      </c>
      <c r="C37" s="31">
        <f>IF(OR($K$32="",설정!$B$18=""),"",INDEX(직원목록!$G$7:$G$306,$K$32))</f>
        <v/>
      </c>
      <c r="D37" s="32">
        <f>IF(OR($K$32="",설정!$B$18=""),"",IF(N(INDEX(직원목록!$O$7:$O$306,$K$32))=0,"",INDEX(직원목록!$O$7:$O$306,$K$32)&amp;"시간"))</f>
        <v/>
      </c>
      <c r="F37" s="4">
        <f>IF($K$32="","",IF(설정!$B$27="","",설정!$B$27))</f>
        <v/>
      </c>
      <c r="G37" s="31">
        <f>IF(OR($K$32="",설정!$B$27=""),"",INDEX(직원목록!$X$7:$X$306,$K$32))</f>
        <v/>
      </c>
      <c r="H37" s="19" t="n"/>
    </row>
    <row r="38">
      <c r="B38" s="4">
        <f>IF($K$32="","",IF(설정!$B$19="","",설정!$B$19))</f>
        <v/>
      </c>
      <c r="C38" s="31">
        <f>IF(OR($K$32="",설정!$B$19=""),"",INDEX(직원목록!$H$7:$H$306,$K$32))</f>
        <v/>
      </c>
      <c r="D38" s="32">
        <f>IF(OR($K$32="",설정!$B$19=""),"",IF(N(INDEX(직원목록!$P$7:$P$306,$K$32))=0,"",INDEX(직원목록!$P$7:$P$306,$K$32)&amp;"시간"))</f>
        <v/>
      </c>
      <c r="F38" s="4">
        <f>IF($K$32="","",IF(설정!$B$28="","",설정!$B$28))</f>
        <v/>
      </c>
      <c r="G38" s="31">
        <f>IF(OR($K$32="",설정!$B$28=""),"",INDEX(직원목록!$Y$7:$Y$306,$K$32))</f>
        <v/>
      </c>
      <c r="H38" s="19" t="n"/>
    </row>
    <row r="39">
      <c r="B39" s="4">
        <f>IF($K$32="","",IF(설정!$B$20="","",설정!$B$20))</f>
        <v/>
      </c>
      <c r="C39" s="31">
        <f>IF(OR($K$32="",설정!$B$20=""),"",INDEX(직원목록!$I$7:$I$306,$K$32))</f>
        <v/>
      </c>
      <c r="D39" s="32">
        <f>IF(OR($K$32="",설정!$B$20=""),"",IF(N(INDEX(직원목록!$Q$7:$Q$306,$K$32))=0,"",INDEX(직원목록!$Q$7:$Q$306,$K$32)&amp;"시간"))</f>
        <v/>
      </c>
      <c r="F39" s="4">
        <f>IF($K$32="","",IF(설정!$B$29="","",설정!$B$29))</f>
        <v/>
      </c>
      <c r="G39" s="31">
        <f>IF(OR($K$32="",설정!$B$29=""),"",INDEX(직원목록!$Z$7:$Z$306,$K$32))</f>
        <v/>
      </c>
      <c r="H39" s="19" t="n"/>
    </row>
    <row r="40">
      <c r="B40" s="4">
        <f>IF($K$32="","",IF(설정!$B$21="","",설정!$B$21))</f>
        <v/>
      </c>
      <c r="C40" s="31">
        <f>IF(OR($K$32="",설정!$B$21=""),"",INDEX(직원목록!$J$7:$J$306,$K$32))</f>
        <v/>
      </c>
      <c r="D40" s="32">
        <f>IF(OR($K$32="",설정!$B$21=""),"",IF(N(INDEX(직원목록!$R$7:$R$306,$K$32))=0,"",INDEX(직원목록!$R$7:$R$306,$K$32)&amp;"시간"))</f>
        <v/>
      </c>
      <c r="F40" s="4">
        <f>IF($K$32="","",IF(설정!$B$30="","",설정!$B$30))</f>
        <v/>
      </c>
      <c r="G40" s="31">
        <f>IF(OR($K$32="",설정!$B$30=""),"",INDEX(직원목록!$AA$7:$AA$306,$K$32))</f>
        <v/>
      </c>
      <c r="H40" s="19" t="n"/>
    </row>
    <row r="41">
      <c r="B41" s="4">
        <f>IF($K$32="","",IF(설정!$B$22="","",설정!$B$22))</f>
        <v/>
      </c>
      <c r="C41" s="31">
        <f>IF(OR($K$32="",설정!$B$22=""),"",INDEX(직원목록!$K$7:$K$306,$K$32))</f>
        <v/>
      </c>
      <c r="D41" s="32">
        <f>IF(OR($K$32="",설정!$B$22=""),"",IF(N(INDEX(직원목록!$S$7:$S$306,$K$32))=0,"",INDEX(직원목록!$S$7:$S$306,$K$32)&amp;"시간"))</f>
        <v/>
      </c>
      <c r="F41" s="4">
        <f>IF($K$32="","",IF(설정!$B$31="","",설정!$B$31))</f>
        <v/>
      </c>
      <c r="G41" s="31">
        <f>IF(OR($K$32="",설정!$B$31=""),"",INDEX(직원목록!$AB$7:$AB$306,$K$32))</f>
        <v/>
      </c>
      <c r="H41" s="19" t="n"/>
    </row>
    <row r="42">
      <c r="B42" s="4">
        <f>IF($K$32="","",IF(설정!$B$23="","",설정!$B$23))</f>
        <v/>
      </c>
      <c r="C42" s="31">
        <f>IF(OR($K$32="",설정!$B$23=""),"",INDEX(직원목록!$L$7:$L$306,$K$32))</f>
        <v/>
      </c>
      <c r="D42" s="32">
        <f>IF(OR($K$32="",설정!$B$23=""),"",IF(N(INDEX(직원목록!$T$7:$T$306,$K$32))=0,"",INDEX(직원목록!$T$7:$T$306,$K$32)&amp;"시간"))</f>
        <v/>
      </c>
      <c r="F42" s="4">
        <f>IF($K$32="","",IF(설정!$B$32="","",설정!$B$32))</f>
        <v/>
      </c>
      <c r="G42" s="31">
        <f>IF(OR($K$32="",설정!$B$32=""),"",INDEX(직원목록!$AC$7:$AC$306,$K$32))</f>
        <v/>
      </c>
      <c r="H42" s="19" t="n"/>
    </row>
    <row r="43">
      <c r="B43" s="4">
        <f>IF($K$32="","",IF(설정!$B$24="","",설정!$B$24))</f>
        <v/>
      </c>
      <c r="C43" s="31">
        <f>IF(OR($K$32="",설정!$B$24=""),"",INDEX(직원목록!$M$7:$M$306,$K$32))</f>
        <v/>
      </c>
      <c r="D43" s="32">
        <f>IF(OR($K$32="",설정!$B$24=""),"",IF(N(INDEX(직원목록!$U$7:$U$306,$K$32))=0,"",INDEX(직원목록!$U$7:$U$306,$K$32)&amp;"시간"))</f>
        <v/>
      </c>
      <c r="F43" s="4">
        <f>IF($K$32="","",IF(설정!$B$33="","",설정!$B$33))</f>
        <v/>
      </c>
      <c r="G43" s="31">
        <f>IF(OR($K$32="",설정!$B$33=""),"",INDEX(직원목록!$AD$7:$AD$306,$K$32))</f>
        <v/>
      </c>
      <c r="H43" s="19" t="n"/>
    </row>
    <row r="44">
      <c r="B44" s="3" t="inlineStr">
        <is>
          <t>지급 합계</t>
        </is>
      </c>
      <c r="C44" s="35">
        <f>IF($K$32="","",INDEX(직원목록!$V$7:$V$306,$K$32))</f>
        <v/>
      </c>
      <c r="D44" s="36" t="n"/>
      <c r="F44" s="3" t="inlineStr">
        <is>
          <t>공제 합계</t>
        </is>
      </c>
      <c r="G44" s="35">
        <f>IF($K$32="","",INDEX(직원목록!$AE$7:$AE$306,$K$32))</f>
        <v/>
      </c>
      <c r="H44" s="36" t="n"/>
    </row>
    <row r="45" ht="28" customHeight="1">
      <c r="B45" s="37" t="inlineStr">
        <is>
          <t>실 수령액 (지급 합계 − 공제 합계)</t>
        </is>
      </c>
      <c r="C45" s="29" t="n"/>
      <c r="D45" s="29" t="n"/>
      <c r="E45" s="38">
        <f>IF($K$32="","",INDEX(직원목록!$AF$7:$AF$306,$K$32))</f>
        <v/>
      </c>
      <c r="F45" s="29" t="n"/>
      <c r="G45" s="29" t="n"/>
      <c r="H45" s="29" t="n"/>
    </row>
    <row r="46">
      <c r="B46" s="39">
        <f>IF($K$32="","",설정!$B$7)</f>
        <v/>
      </c>
    </row>
    <row r="62" ht="30" customHeight="1">
      <c r="B62" s="28">
        <f>IF($K$62="","","임금명세서  ("&amp;설정!$B$5&amp;")")</f>
        <v/>
      </c>
      <c r="K62" s="34">
        <f>IFERROR(MATCH(3,직원목록!$B$7:$B$306,0),"")</f>
        <v/>
      </c>
    </row>
    <row r="63">
      <c r="B63" s="7" t="inlineStr">
        <is>
          <t>회사명</t>
        </is>
      </c>
      <c r="C63" s="21">
        <f>IF($K$62="","",설정!$B$4)</f>
        <v/>
      </c>
      <c r="D63" s="29" t="n"/>
      <c r="E63" s="19" t="n"/>
      <c r="F63" s="7" t="inlineStr">
        <is>
          <t>임금 지급일</t>
        </is>
      </c>
      <c r="G63" s="21">
        <f>IF($K$62="","",TEXT(설정!$B$6,"yyyy-mm-dd"))</f>
        <v/>
      </c>
      <c r="H63" s="29" t="n"/>
    </row>
    <row r="64">
      <c r="B64" s="7" t="inlineStr">
        <is>
          <t>성명</t>
        </is>
      </c>
      <c r="C64" s="22">
        <f>IF($K$62="","",INDEX(직원목록!$D$7:$D$306,$K$62))</f>
        <v/>
      </c>
      <c r="D64" s="7" t="inlineStr">
        <is>
          <t>사번</t>
        </is>
      </c>
      <c r="E64" s="21">
        <f>IF($K$62="","",INDEX(직원목록!$C$7:$C$306,$K$62))</f>
        <v/>
      </c>
      <c r="F64" s="7" t="inlineStr">
        <is>
          <t>부서</t>
        </is>
      </c>
      <c r="G64" s="21">
        <f>IF($K$62="","",INDEX(직원목록!$E$7:$E$306,$K$62))</f>
        <v/>
      </c>
      <c r="H64" s="29" t="n"/>
    </row>
    <row r="65">
      <c r="B65" s="12" t="inlineStr">
        <is>
          <t>지급 항목</t>
        </is>
      </c>
      <c r="C65" s="12" t="inlineStr">
        <is>
          <t>금액(원)</t>
        </is>
      </c>
      <c r="D65" s="12" t="inlineStr">
        <is>
          <t>계산 근거</t>
        </is>
      </c>
      <c r="E65" s="2" t="n"/>
      <c r="F65" s="12" t="inlineStr">
        <is>
          <t>공제 항목</t>
        </is>
      </c>
      <c r="G65" s="12" t="inlineStr">
        <is>
          <t>금액(원)</t>
        </is>
      </c>
      <c r="H65" s="12" t="n"/>
    </row>
    <row r="66">
      <c r="B66" s="4">
        <f>IF($K$62="","",IF(설정!$B$17="","",설정!$B$17))</f>
        <v/>
      </c>
      <c r="C66" s="31">
        <f>IF(OR($K$62="",설정!$B$17=""),"",INDEX(직원목록!$F$7:$F$306,$K$62))</f>
        <v/>
      </c>
      <c r="D66" s="32">
        <f>IF(OR($K$62="",설정!$B$17=""),"",IF(N(INDEX(직원목록!$N$7:$N$306,$K$62))=0,"",INDEX(직원목록!$N$7:$N$306,$K$62)&amp;"시간"))</f>
        <v/>
      </c>
      <c r="F66" s="4">
        <f>IF($K$62="","",IF(설정!$B$26="","",설정!$B$26))</f>
        <v/>
      </c>
      <c r="G66" s="31">
        <f>IF(OR($K$62="",설정!$B$26=""),"",INDEX(직원목록!$W$7:$W$306,$K$62))</f>
        <v/>
      </c>
      <c r="H66" s="19" t="n"/>
    </row>
    <row r="67">
      <c r="B67" s="4">
        <f>IF($K$62="","",IF(설정!$B$18="","",설정!$B$18))</f>
        <v/>
      </c>
      <c r="C67" s="31">
        <f>IF(OR($K$62="",설정!$B$18=""),"",INDEX(직원목록!$G$7:$G$306,$K$62))</f>
        <v/>
      </c>
      <c r="D67" s="32">
        <f>IF(OR($K$62="",설정!$B$18=""),"",IF(N(INDEX(직원목록!$O$7:$O$306,$K$62))=0,"",INDEX(직원목록!$O$7:$O$306,$K$62)&amp;"시간"))</f>
        <v/>
      </c>
      <c r="F67" s="4">
        <f>IF($K$62="","",IF(설정!$B$27="","",설정!$B$27))</f>
        <v/>
      </c>
      <c r="G67" s="31">
        <f>IF(OR($K$62="",설정!$B$27=""),"",INDEX(직원목록!$X$7:$X$306,$K$62))</f>
        <v/>
      </c>
      <c r="H67" s="19" t="n"/>
    </row>
    <row r="68">
      <c r="B68" s="4">
        <f>IF($K$62="","",IF(설정!$B$19="","",설정!$B$19))</f>
        <v/>
      </c>
      <c r="C68" s="31">
        <f>IF(OR($K$62="",설정!$B$19=""),"",INDEX(직원목록!$H$7:$H$306,$K$62))</f>
        <v/>
      </c>
      <c r="D68" s="32">
        <f>IF(OR($K$62="",설정!$B$19=""),"",IF(N(INDEX(직원목록!$P$7:$P$306,$K$62))=0,"",INDEX(직원목록!$P$7:$P$306,$K$62)&amp;"시간"))</f>
        <v/>
      </c>
      <c r="F68" s="4">
        <f>IF($K$62="","",IF(설정!$B$28="","",설정!$B$28))</f>
        <v/>
      </c>
      <c r="G68" s="31">
        <f>IF(OR($K$62="",설정!$B$28=""),"",INDEX(직원목록!$Y$7:$Y$306,$K$62))</f>
        <v/>
      </c>
      <c r="H68" s="19" t="n"/>
    </row>
    <row r="69">
      <c r="B69" s="4">
        <f>IF($K$62="","",IF(설정!$B$20="","",설정!$B$20))</f>
        <v/>
      </c>
      <c r="C69" s="31">
        <f>IF(OR($K$62="",설정!$B$20=""),"",INDEX(직원목록!$I$7:$I$306,$K$62))</f>
        <v/>
      </c>
      <c r="D69" s="32">
        <f>IF(OR($K$62="",설정!$B$20=""),"",IF(N(INDEX(직원목록!$Q$7:$Q$306,$K$62))=0,"",INDEX(직원목록!$Q$7:$Q$306,$K$62)&amp;"시간"))</f>
        <v/>
      </c>
      <c r="F69" s="4">
        <f>IF($K$62="","",IF(설정!$B$29="","",설정!$B$29))</f>
        <v/>
      </c>
      <c r="G69" s="31">
        <f>IF(OR($K$62="",설정!$B$29=""),"",INDEX(직원목록!$Z$7:$Z$306,$K$62))</f>
        <v/>
      </c>
      <c r="H69" s="19" t="n"/>
    </row>
    <row r="70">
      <c r="B70" s="4">
        <f>IF($K$62="","",IF(설정!$B$21="","",설정!$B$21))</f>
        <v/>
      </c>
      <c r="C70" s="31">
        <f>IF(OR($K$62="",설정!$B$21=""),"",INDEX(직원목록!$J$7:$J$306,$K$62))</f>
        <v/>
      </c>
      <c r="D70" s="32">
        <f>IF(OR($K$62="",설정!$B$21=""),"",IF(N(INDEX(직원목록!$R$7:$R$306,$K$62))=0,"",INDEX(직원목록!$R$7:$R$306,$K$62)&amp;"시간"))</f>
        <v/>
      </c>
      <c r="F70" s="4">
        <f>IF($K$62="","",IF(설정!$B$30="","",설정!$B$30))</f>
        <v/>
      </c>
      <c r="G70" s="31">
        <f>IF(OR($K$62="",설정!$B$30=""),"",INDEX(직원목록!$AA$7:$AA$306,$K$62))</f>
        <v/>
      </c>
      <c r="H70" s="19" t="n"/>
    </row>
    <row r="71">
      <c r="B71" s="4">
        <f>IF($K$62="","",IF(설정!$B$22="","",설정!$B$22))</f>
        <v/>
      </c>
      <c r="C71" s="31">
        <f>IF(OR($K$62="",설정!$B$22=""),"",INDEX(직원목록!$K$7:$K$306,$K$62))</f>
        <v/>
      </c>
      <c r="D71" s="32">
        <f>IF(OR($K$62="",설정!$B$22=""),"",IF(N(INDEX(직원목록!$S$7:$S$306,$K$62))=0,"",INDEX(직원목록!$S$7:$S$306,$K$62)&amp;"시간"))</f>
        <v/>
      </c>
      <c r="F71" s="4">
        <f>IF($K$62="","",IF(설정!$B$31="","",설정!$B$31))</f>
        <v/>
      </c>
      <c r="G71" s="31">
        <f>IF(OR($K$62="",설정!$B$31=""),"",INDEX(직원목록!$AB$7:$AB$306,$K$62))</f>
        <v/>
      </c>
      <c r="H71" s="19" t="n"/>
    </row>
    <row r="72">
      <c r="B72" s="4">
        <f>IF($K$62="","",IF(설정!$B$23="","",설정!$B$23))</f>
        <v/>
      </c>
      <c r="C72" s="31">
        <f>IF(OR($K$62="",설정!$B$23=""),"",INDEX(직원목록!$L$7:$L$306,$K$62))</f>
        <v/>
      </c>
      <c r="D72" s="32">
        <f>IF(OR($K$62="",설정!$B$23=""),"",IF(N(INDEX(직원목록!$T$7:$T$306,$K$62))=0,"",INDEX(직원목록!$T$7:$T$306,$K$62)&amp;"시간"))</f>
        <v/>
      </c>
      <c r="F72" s="4">
        <f>IF($K$62="","",IF(설정!$B$32="","",설정!$B$32))</f>
        <v/>
      </c>
      <c r="G72" s="31">
        <f>IF(OR($K$62="",설정!$B$32=""),"",INDEX(직원목록!$AC$7:$AC$306,$K$62))</f>
        <v/>
      </c>
      <c r="H72" s="19" t="n"/>
    </row>
    <row r="73">
      <c r="B73" s="4">
        <f>IF($K$62="","",IF(설정!$B$24="","",설정!$B$24))</f>
        <v/>
      </c>
      <c r="C73" s="31">
        <f>IF(OR($K$62="",설정!$B$24=""),"",INDEX(직원목록!$M$7:$M$306,$K$62))</f>
        <v/>
      </c>
      <c r="D73" s="32">
        <f>IF(OR($K$62="",설정!$B$24=""),"",IF(N(INDEX(직원목록!$U$7:$U$306,$K$62))=0,"",INDEX(직원목록!$U$7:$U$306,$K$62)&amp;"시간"))</f>
        <v/>
      </c>
      <c r="F73" s="4">
        <f>IF($K$62="","",IF(설정!$B$33="","",설정!$B$33))</f>
        <v/>
      </c>
      <c r="G73" s="31">
        <f>IF(OR($K$62="",설정!$B$33=""),"",INDEX(직원목록!$AD$7:$AD$306,$K$62))</f>
        <v/>
      </c>
      <c r="H73" s="19" t="n"/>
    </row>
    <row r="74">
      <c r="B74" s="3" t="inlineStr">
        <is>
          <t>지급 합계</t>
        </is>
      </c>
      <c r="C74" s="35">
        <f>IF($K$62="","",INDEX(직원목록!$V$7:$V$306,$K$62))</f>
        <v/>
      </c>
      <c r="D74" s="36" t="n"/>
      <c r="F74" s="3" t="inlineStr">
        <is>
          <t>공제 합계</t>
        </is>
      </c>
      <c r="G74" s="35">
        <f>IF($K$62="","",INDEX(직원목록!$AE$7:$AE$306,$K$62))</f>
        <v/>
      </c>
      <c r="H74" s="36" t="n"/>
    </row>
    <row r="75" ht="28" customHeight="1">
      <c r="B75" s="37" t="inlineStr">
        <is>
          <t>실 수령액 (지급 합계 − 공제 합계)</t>
        </is>
      </c>
      <c r="C75" s="29" t="n"/>
      <c r="D75" s="29" t="n"/>
      <c r="E75" s="38">
        <f>IF($K$62="","",INDEX(직원목록!$AF$7:$AF$306,$K$62))</f>
        <v/>
      </c>
      <c r="F75" s="29" t="n"/>
      <c r="G75" s="29" t="n"/>
      <c r="H75" s="29" t="n"/>
    </row>
    <row r="76">
      <c r="B76" s="39">
        <f>IF($K$62="","",설정!$B$7)</f>
        <v/>
      </c>
    </row>
    <row r="92" ht="30" customHeight="1">
      <c r="B92" s="28">
        <f>IF($K$92="","","임금명세서  ("&amp;설정!$B$5&amp;")")</f>
        <v/>
      </c>
      <c r="K92" s="34">
        <f>IFERROR(MATCH(4,직원목록!$B$7:$B$306,0),"")</f>
        <v/>
      </c>
    </row>
    <row r="93">
      <c r="B93" s="7" t="inlineStr">
        <is>
          <t>회사명</t>
        </is>
      </c>
      <c r="C93" s="21">
        <f>IF($K$92="","",설정!$B$4)</f>
        <v/>
      </c>
      <c r="D93" s="29" t="n"/>
      <c r="E93" s="19" t="n"/>
      <c r="F93" s="7" t="inlineStr">
        <is>
          <t>임금 지급일</t>
        </is>
      </c>
      <c r="G93" s="21">
        <f>IF($K$92="","",TEXT(설정!$B$6,"yyyy-mm-dd"))</f>
        <v/>
      </c>
      <c r="H93" s="29" t="n"/>
    </row>
    <row r="94">
      <c r="B94" s="7" t="inlineStr">
        <is>
          <t>성명</t>
        </is>
      </c>
      <c r="C94" s="22">
        <f>IF($K$92="","",INDEX(직원목록!$D$7:$D$306,$K$92))</f>
        <v/>
      </c>
      <c r="D94" s="7" t="inlineStr">
        <is>
          <t>사번</t>
        </is>
      </c>
      <c r="E94" s="21">
        <f>IF($K$92="","",INDEX(직원목록!$C$7:$C$306,$K$92))</f>
        <v/>
      </c>
      <c r="F94" s="7" t="inlineStr">
        <is>
          <t>부서</t>
        </is>
      </c>
      <c r="G94" s="21">
        <f>IF($K$92="","",INDEX(직원목록!$E$7:$E$306,$K$92))</f>
        <v/>
      </c>
      <c r="H94" s="29" t="n"/>
    </row>
    <row r="95">
      <c r="B95" s="12" t="inlineStr">
        <is>
          <t>지급 항목</t>
        </is>
      </c>
      <c r="C95" s="12" t="inlineStr">
        <is>
          <t>금액(원)</t>
        </is>
      </c>
      <c r="D95" s="12" t="inlineStr">
        <is>
          <t>계산 근거</t>
        </is>
      </c>
      <c r="E95" s="2" t="n"/>
      <c r="F95" s="12" t="inlineStr">
        <is>
          <t>공제 항목</t>
        </is>
      </c>
      <c r="G95" s="12" t="inlineStr">
        <is>
          <t>금액(원)</t>
        </is>
      </c>
      <c r="H95" s="12" t="n"/>
    </row>
    <row r="96">
      <c r="B96" s="4">
        <f>IF($K$92="","",IF(설정!$B$17="","",설정!$B$17))</f>
        <v/>
      </c>
      <c r="C96" s="31">
        <f>IF(OR($K$92="",설정!$B$17=""),"",INDEX(직원목록!$F$7:$F$306,$K$92))</f>
        <v/>
      </c>
      <c r="D96" s="32">
        <f>IF(OR($K$92="",설정!$B$17=""),"",IF(N(INDEX(직원목록!$N$7:$N$306,$K$92))=0,"",INDEX(직원목록!$N$7:$N$306,$K$92)&amp;"시간"))</f>
        <v/>
      </c>
      <c r="F96" s="4">
        <f>IF($K$92="","",IF(설정!$B$26="","",설정!$B$26))</f>
        <v/>
      </c>
      <c r="G96" s="31">
        <f>IF(OR($K$92="",설정!$B$26=""),"",INDEX(직원목록!$W$7:$W$306,$K$92))</f>
        <v/>
      </c>
      <c r="H96" s="19" t="n"/>
    </row>
    <row r="97">
      <c r="B97" s="4">
        <f>IF($K$92="","",IF(설정!$B$18="","",설정!$B$18))</f>
        <v/>
      </c>
      <c r="C97" s="31">
        <f>IF(OR($K$92="",설정!$B$18=""),"",INDEX(직원목록!$G$7:$G$306,$K$92))</f>
        <v/>
      </c>
      <c r="D97" s="32">
        <f>IF(OR($K$92="",설정!$B$18=""),"",IF(N(INDEX(직원목록!$O$7:$O$306,$K$92))=0,"",INDEX(직원목록!$O$7:$O$306,$K$92)&amp;"시간"))</f>
        <v/>
      </c>
      <c r="F97" s="4">
        <f>IF($K$92="","",IF(설정!$B$27="","",설정!$B$27))</f>
        <v/>
      </c>
      <c r="G97" s="31">
        <f>IF(OR($K$92="",설정!$B$27=""),"",INDEX(직원목록!$X$7:$X$306,$K$92))</f>
        <v/>
      </c>
      <c r="H97" s="19" t="n"/>
    </row>
    <row r="98">
      <c r="B98" s="4">
        <f>IF($K$92="","",IF(설정!$B$19="","",설정!$B$19))</f>
        <v/>
      </c>
      <c r="C98" s="31">
        <f>IF(OR($K$92="",설정!$B$19=""),"",INDEX(직원목록!$H$7:$H$306,$K$92))</f>
        <v/>
      </c>
      <c r="D98" s="32">
        <f>IF(OR($K$92="",설정!$B$19=""),"",IF(N(INDEX(직원목록!$P$7:$P$306,$K$92))=0,"",INDEX(직원목록!$P$7:$P$306,$K$92)&amp;"시간"))</f>
        <v/>
      </c>
      <c r="F98" s="4">
        <f>IF($K$92="","",IF(설정!$B$28="","",설정!$B$28))</f>
        <v/>
      </c>
      <c r="G98" s="31">
        <f>IF(OR($K$92="",설정!$B$28=""),"",INDEX(직원목록!$Y$7:$Y$306,$K$92))</f>
        <v/>
      </c>
      <c r="H98" s="19" t="n"/>
    </row>
    <row r="99">
      <c r="B99" s="4">
        <f>IF($K$92="","",IF(설정!$B$20="","",설정!$B$20))</f>
        <v/>
      </c>
      <c r="C99" s="31">
        <f>IF(OR($K$92="",설정!$B$20=""),"",INDEX(직원목록!$I$7:$I$306,$K$92))</f>
        <v/>
      </c>
      <c r="D99" s="32">
        <f>IF(OR($K$92="",설정!$B$20=""),"",IF(N(INDEX(직원목록!$Q$7:$Q$306,$K$92))=0,"",INDEX(직원목록!$Q$7:$Q$306,$K$92)&amp;"시간"))</f>
        <v/>
      </c>
      <c r="F99" s="4">
        <f>IF($K$92="","",IF(설정!$B$29="","",설정!$B$29))</f>
        <v/>
      </c>
      <c r="G99" s="31">
        <f>IF(OR($K$92="",설정!$B$29=""),"",INDEX(직원목록!$Z$7:$Z$306,$K$92))</f>
        <v/>
      </c>
      <c r="H99" s="19" t="n"/>
    </row>
    <row r="100">
      <c r="B100" s="4">
        <f>IF($K$92="","",IF(설정!$B$21="","",설정!$B$21))</f>
        <v/>
      </c>
      <c r="C100" s="31">
        <f>IF(OR($K$92="",설정!$B$21=""),"",INDEX(직원목록!$J$7:$J$306,$K$92))</f>
        <v/>
      </c>
      <c r="D100" s="32">
        <f>IF(OR($K$92="",설정!$B$21=""),"",IF(N(INDEX(직원목록!$R$7:$R$306,$K$92))=0,"",INDEX(직원목록!$R$7:$R$306,$K$92)&amp;"시간"))</f>
        <v/>
      </c>
      <c r="F100" s="4">
        <f>IF($K$92="","",IF(설정!$B$30="","",설정!$B$30))</f>
        <v/>
      </c>
      <c r="G100" s="31">
        <f>IF(OR($K$92="",설정!$B$30=""),"",INDEX(직원목록!$AA$7:$AA$306,$K$92))</f>
        <v/>
      </c>
      <c r="H100" s="19" t="n"/>
    </row>
    <row r="101">
      <c r="B101" s="4">
        <f>IF($K$92="","",IF(설정!$B$22="","",설정!$B$22))</f>
        <v/>
      </c>
      <c r="C101" s="31">
        <f>IF(OR($K$92="",설정!$B$22=""),"",INDEX(직원목록!$K$7:$K$306,$K$92))</f>
        <v/>
      </c>
      <c r="D101" s="32">
        <f>IF(OR($K$92="",설정!$B$22=""),"",IF(N(INDEX(직원목록!$S$7:$S$306,$K$92))=0,"",INDEX(직원목록!$S$7:$S$306,$K$92)&amp;"시간"))</f>
        <v/>
      </c>
      <c r="F101" s="4">
        <f>IF($K$92="","",IF(설정!$B$31="","",설정!$B$31))</f>
        <v/>
      </c>
      <c r="G101" s="31">
        <f>IF(OR($K$92="",설정!$B$31=""),"",INDEX(직원목록!$AB$7:$AB$306,$K$92))</f>
        <v/>
      </c>
      <c r="H101" s="19" t="n"/>
    </row>
    <row r="102">
      <c r="B102" s="4">
        <f>IF($K$92="","",IF(설정!$B$23="","",설정!$B$23))</f>
        <v/>
      </c>
      <c r="C102" s="31">
        <f>IF(OR($K$92="",설정!$B$23=""),"",INDEX(직원목록!$L$7:$L$306,$K$92))</f>
        <v/>
      </c>
      <c r="D102" s="32">
        <f>IF(OR($K$92="",설정!$B$23=""),"",IF(N(INDEX(직원목록!$T$7:$T$306,$K$92))=0,"",INDEX(직원목록!$T$7:$T$306,$K$92)&amp;"시간"))</f>
        <v/>
      </c>
      <c r="F102" s="4">
        <f>IF($K$92="","",IF(설정!$B$32="","",설정!$B$32))</f>
        <v/>
      </c>
      <c r="G102" s="31">
        <f>IF(OR($K$92="",설정!$B$32=""),"",INDEX(직원목록!$AC$7:$AC$306,$K$92))</f>
        <v/>
      </c>
      <c r="H102" s="19" t="n"/>
    </row>
    <row r="103">
      <c r="B103" s="4">
        <f>IF($K$92="","",IF(설정!$B$24="","",설정!$B$24))</f>
        <v/>
      </c>
      <c r="C103" s="31">
        <f>IF(OR($K$92="",설정!$B$24=""),"",INDEX(직원목록!$M$7:$M$306,$K$92))</f>
        <v/>
      </c>
      <c r="D103" s="32">
        <f>IF(OR($K$92="",설정!$B$24=""),"",IF(N(INDEX(직원목록!$U$7:$U$306,$K$92))=0,"",INDEX(직원목록!$U$7:$U$306,$K$92)&amp;"시간"))</f>
        <v/>
      </c>
      <c r="F103" s="4">
        <f>IF($K$92="","",IF(설정!$B$33="","",설정!$B$33))</f>
        <v/>
      </c>
      <c r="G103" s="31">
        <f>IF(OR($K$92="",설정!$B$33=""),"",INDEX(직원목록!$AD$7:$AD$306,$K$92))</f>
        <v/>
      </c>
      <c r="H103" s="19" t="n"/>
    </row>
    <row r="104">
      <c r="B104" s="3" t="inlineStr">
        <is>
          <t>지급 합계</t>
        </is>
      </c>
      <c r="C104" s="35">
        <f>IF($K$92="","",INDEX(직원목록!$V$7:$V$306,$K$92))</f>
        <v/>
      </c>
      <c r="D104" s="36" t="n"/>
      <c r="F104" s="3" t="inlineStr">
        <is>
          <t>공제 합계</t>
        </is>
      </c>
      <c r="G104" s="35">
        <f>IF($K$92="","",INDEX(직원목록!$AE$7:$AE$306,$K$92))</f>
        <v/>
      </c>
      <c r="H104" s="36" t="n"/>
    </row>
    <row r="105" ht="28" customHeight="1">
      <c r="B105" s="37" t="inlineStr">
        <is>
          <t>실 수령액 (지급 합계 − 공제 합계)</t>
        </is>
      </c>
      <c r="C105" s="29" t="n"/>
      <c r="D105" s="29" t="n"/>
      <c r="E105" s="38">
        <f>IF($K$92="","",INDEX(직원목록!$AF$7:$AF$306,$K$92))</f>
        <v/>
      </c>
      <c r="F105" s="29" t="n"/>
      <c r="G105" s="29" t="n"/>
      <c r="H105" s="29" t="n"/>
    </row>
    <row r="106">
      <c r="B106" s="39">
        <f>IF($K$92="","",설정!$B$7)</f>
        <v/>
      </c>
    </row>
    <row r="122" ht="30" customHeight="1">
      <c r="B122" s="28">
        <f>IF($K$122="","","임금명세서  ("&amp;설정!$B$5&amp;")")</f>
        <v/>
      </c>
      <c r="K122" s="34">
        <f>IFERROR(MATCH(5,직원목록!$B$7:$B$306,0),"")</f>
        <v/>
      </c>
    </row>
    <row r="123">
      <c r="B123" s="7" t="inlineStr">
        <is>
          <t>회사명</t>
        </is>
      </c>
      <c r="C123" s="21">
        <f>IF($K$122="","",설정!$B$4)</f>
        <v/>
      </c>
      <c r="D123" s="29" t="n"/>
      <c r="E123" s="19" t="n"/>
      <c r="F123" s="7" t="inlineStr">
        <is>
          <t>임금 지급일</t>
        </is>
      </c>
      <c r="G123" s="21">
        <f>IF($K$122="","",TEXT(설정!$B$6,"yyyy-mm-dd"))</f>
        <v/>
      </c>
      <c r="H123" s="29" t="n"/>
    </row>
    <row r="124">
      <c r="B124" s="7" t="inlineStr">
        <is>
          <t>성명</t>
        </is>
      </c>
      <c r="C124" s="22">
        <f>IF($K$122="","",INDEX(직원목록!$D$7:$D$306,$K$122))</f>
        <v/>
      </c>
      <c r="D124" s="7" t="inlineStr">
        <is>
          <t>사번</t>
        </is>
      </c>
      <c r="E124" s="21">
        <f>IF($K$122="","",INDEX(직원목록!$C$7:$C$306,$K$122))</f>
        <v/>
      </c>
      <c r="F124" s="7" t="inlineStr">
        <is>
          <t>부서</t>
        </is>
      </c>
      <c r="G124" s="21">
        <f>IF($K$122="","",INDEX(직원목록!$E$7:$E$306,$K$122))</f>
        <v/>
      </c>
      <c r="H124" s="29" t="n"/>
    </row>
    <row r="125">
      <c r="B125" s="12" t="inlineStr">
        <is>
          <t>지급 항목</t>
        </is>
      </c>
      <c r="C125" s="12" t="inlineStr">
        <is>
          <t>금액(원)</t>
        </is>
      </c>
      <c r="D125" s="12" t="inlineStr">
        <is>
          <t>계산 근거</t>
        </is>
      </c>
      <c r="E125" s="2" t="n"/>
      <c r="F125" s="12" t="inlineStr">
        <is>
          <t>공제 항목</t>
        </is>
      </c>
      <c r="G125" s="12" t="inlineStr">
        <is>
          <t>금액(원)</t>
        </is>
      </c>
      <c r="H125" s="12" t="n"/>
    </row>
    <row r="126">
      <c r="B126" s="4">
        <f>IF($K$122="","",IF(설정!$B$17="","",설정!$B$17))</f>
        <v/>
      </c>
      <c r="C126" s="31">
        <f>IF(OR($K$122="",설정!$B$17=""),"",INDEX(직원목록!$F$7:$F$306,$K$122))</f>
        <v/>
      </c>
      <c r="D126" s="32">
        <f>IF(OR($K$122="",설정!$B$17=""),"",IF(N(INDEX(직원목록!$N$7:$N$306,$K$122))=0,"",INDEX(직원목록!$N$7:$N$306,$K$122)&amp;"시간"))</f>
        <v/>
      </c>
      <c r="F126" s="4">
        <f>IF($K$122="","",IF(설정!$B$26="","",설정!$B$26))</f>
        <v/>
      </c>
      <c r="G126" s="31">
        <f>IF(OR($K$122="",설정!$B$26=""),"",INDEX(직원목록!$W$7:$W$306,$K$122))</f>
        <v/>
      </c>
      <c r="H126" s="19" t="n"/>
    </row>
    <row r="127">
      <c r="B127" s="4">
        <f>IF($K$122="","",IF(설정!$B$18="","",설정!$B$18))</f>
        <v/>
      </c>
      <c r="C127" s="31">
        <f>IF(OR($K$122="",설정!$B$18=""),"",INDEX(직원목록!$G$7:$G$306,$K$122))</f>
        <v/>
      </c>
      <c r="D127" s="32">
        <f>IF(OR($K$122="",설정!$B$18=""),"",IF(N(INDEX(직원목록!$O$7:$O$306,$K$122))=0,"",INDEX(직원목록!$O$7:$O$306,$K$122)&amp;"시간"))</f>
        <v/>
      </c>
      <c r="F127" s="4">
        <f>IF($K$122="","",IF(설정!$B$27="","",설정!$B$27))</f>
        <v/>
      </c>
      <c r="G127" s="31">
        <f>IF(OR($K$122="",설정!$B$27=""),"",INDEX(직원목록!$X$7:$X$306,$K$122))</f>
        <v/>
      </c>
      <c r="H127" s="19" t="n"/>
    </row>
    <row r="128">
      <c r="B128" s="4">
        <f>IF($K$122="","",IF(설정!$B$19="","",설정!$B$19))</f>
        <v/>
      </c>
      <c r="C128" s="31">
        <f>IF(OR($K$122="",설정!$B$19=""),"",INDEX(직원목록!$H$7:$H$306,$K$122))</f>
        <v/>
      </c>
      <c r="D128" s="32">
        <f>IF(OR($K$122="",설정!$B$19=""),"",IF(N(INDEX(직원목록!$P$7:$P$306,$K$122))=0,"",INDEX(직원목록!$P$7:$P$306,$K$122)&amp;"시간"))</f>
        <v/>
      </c>
      <c r="F128" s="4">
        <f>IF($K$122="","",IF(설정!$B$28="","",설정!$B$28))</f>
        <v/>
      </c>
      <c r="G128" s="31">
        <f>IF(OR($K$122="",설정!$B$28=""),"",INDEX(직원목록!$Y$7:$Y$306,$K$122))</f>
        <v/>
      </c>
      <c r="H128" s="19" t="n"/>
    </row>
    <row r="129">
      <c r="B129" s="4">
        <f>IF($K$122="","",IF(설정!$B$20="","",설정!$B$20))</f>
        <v/>
      </c>
      <c r="C129" s="31">
        <f>IF(OR($K$122="",설정!$B$20=""),"",INDEX(직원목록!$I$7:$I$306,$K$122))</f>
        <v/>
      </c>
      <c r="D129" s="32">
        <f>IF(OR($K$122="",설정!$B$20=""),"",IF(N(INDEX(직원목록!$Q$7:$Q$306,$K$122))=0,"",INDEX(직원목록!$Q$7:$Q$306,$K$122)&amp;"시간"))</f>
        <v/>
      </c>
      <c r="F129" s="4">
        <f>IF($K$122="","",IF(설정!$B$29="","",설정!$B$29))</f>
        <v/>
      </c>
      <c r="G129" s="31">
        <f>IF(OR($K$122="",설정!$B$29=""),"",INDEX(직원목록!$Z$7:$Z$306,$K$122))</f>
        <v/>
      </c>
      <c r="H129" s="19" t="n"/>
    </row>
    <row r="130">
      <c r="B130" s="4">
        <f>IF($K$122="","",IF(설정!$B$21="","",설정!$B$21))</f>
        <v/>
      </c>
      <c r="C130" s="31">
        <f>IF(OR($K$122="",설정!$B$21=""),"",INDEX(직원목록!$J$7:$J$306,$K$122))</f>
        <v/>
      </c>
      <c r="D130" s="32">
        <f>IF(OR($K$122="",설정!$B$21=""),"",IF(N(INDEX(직원목록!$R$7:$R$306,$K$122))=0,"",INDEX(직원목록!$R$7:$R$306,$K$122)&amp;"시간"))</f>
        <v/>
      </c>
      <c r="F130" s="4">
        <f>IF($K$122="","",IF(설정!$B$30="","",설정!$B$30))</f>
        <v/>
      </c>
      <c r="G130" s="31">
        <f>IF(OR($K$122="",설정!$B$30=""),"",INDEX(직원목록!$AA$7:$AA$306,$K$122))</f>
        <v/>
      </c>
      <c r="H130" s="19" t="n"/>
    </row>
    <row r="131">
      <c r="B131" s="4">
        <f>IF($K$122="","",IF(설정!$B$22="","",설정!$B$22))</f>
        <v/>
      </c>
      <c r="C131" s="31">
        <f>IF(OR($K$122="",설정!$B$22=""),"",INDEX(직원목록!$K$7:$K$306,$K$122))</f>
        <v/>
      </c>
      <c r="D131" s="32">
        <f>IF(OR($K$122="",설정!$B$22=""),"",IF(N(INDEX(직원목록!$S$7:$S$306,$K$122))=0,"",INDEX(직원목록!$S$7:$S$306,$K$122)&amp;"시간"))</f>
        <v/>
      </c>
      <c r="F131" s="4">
        <f>IF($K$122="","",IF(설정!$B$31="","",설정!$B$31))</f>
        <v/>
      </c>
      <c r="G131" s="31">
        <f>IF(OR($K$122="",설정!$B$31=""),"",INDEX(직원목록!$AB$7:$AB$306,$K$122))</f>
        <v/>
      </c>
      <c r="H131" s="19" t="n"/>
    </row>
    <row r="132">
      <c r="B132" s="4">
        <f>IF($K$122="","",IF(설정!$B$23="","",설정!$B$23))</f>
        <v/>
      </c>
      <c r="C132" s="31">
        <f>IF(OR($K$122="",설정!$B$23=""),"",INDEX(직원목록!$L$7:$L$306,$K$122))</f>
        <v/>
      </c>
      <c r="D132" s="32">
        <f>IF(OR($K$122="",설정!$B$23=""),"",IF(N(INDEX(직원목록!$T$7:$T$306,$K$122))=0,"",INDEX(직원목록!$T$7:$T$306,$K$122)&amp;"시간"))</f>
        <v/>
      </c>
      <c r="F132" s="4">
        <f>IF($K$122="","",IF(설정!$B$32="","",설정!$B$32))</f>
        <v/>
      </c>
      <c r="G132" s="31">
        <f>IF(OR($K$122="",설정!$B$32=""),"",INDEX(직원목록!$AC$7:$AC$306,$K$122))</f>
        <v/>
      </c>
      <c r="H132" s="19" t="n"/>
    </row>
    <row r="133">
      <c r="B133" s="4">
        <f>IF($K$122="","",IF(설정!$B$24="","",설정!$B$24))</f>
        <v/>
      </c>
      <c r="C133" s="31">
        <f>IF(OR($K$122="",설정!$B$24=""),"",INDEX(직원목록!$M$7:$M$306,$K$122))</f>
        <v/>
      </c>
      <c r="D133" s="32">
        <f>IF(OR($K$122="",설정!$B$24=""),"",IF(N(INDEX(직원목록!$U$7:$U$306,$K$122))=0,"",INDEX(직원목록!$U$7:$U$306,$K$122)&amp;"시간"))</f>
        <v/>
      </c>
      <c r="F133" s="4">
        <f>IF($K$122="","",IF(설정!$B$33="","",설정!$B$33))</f>
        <v/>
      </c>
      <c r="G133" s="31">
        <f>IF(OR($K$122="",설정!$B$33=""),"",INDEX(직원목록!$AD$7:$AD$306,$K$122))</f>
        <v/>
      </c>
      <c r="H133" s="19" t="n"/>
    </row>
    <row r="134">
      <c r="B134" s="3" t="inlineStr">
        <is>
          <t>지급 합계</t>
        </is>
      </c>
      <c r="C134" s="35">
        <f>IF($K$122="","",INDEX(직원목록!$V$7:$V$306,$K$122))</f>
        <v/>
      </c>
      <c r="D134" s="36" t="n"/>
      <c r="F134" s="3" t="inlineStr">
        <is>
          <t>공제 합계</t>
        </is>
      </c>
      <c r="G134" s="35">
        <f>IF($K$122="","",INDEX(직원목록!$AE$7:$AE$306,$K$122))</f>
        <v/>
      </c>
      <c r="H134" s="36" t="n"/>
    </row>
    <row r="135" ht="28" customHeight="1">
      <c r="B135" s="37" t="inlineStr">
        <is>
          <t>실 수령액 (지급 합계 − 공제 합계)</t>
        </is>
      </c>
      <c r="C135" s="29" t="n"/>
      <c r="D135" s="29" t="n"/>
      <c r="E135" s="38">
        <f>IF($K$122="","",INDEX(직원목록!$AF$7:$AF$306,$K$122))</f>
        <v/>
      </c>
      <c r="F135" s="29" t="n"/>
      <c r="G135" s="29" t="n"/>
      <c r="H135" s="29" t="n"/>
    </row>
    <row r="136">
      <c r="B136" s="39">
        <f>IF($K$122="","",설정!$B$7)</f>
        <v/>
      </c>
    </row>
    <row r="152" ht="30" customHeight="1">
      <c r="B152" s="28">
        <f>IF($K$152="","","임금명세서  ("&amp;설정!$B$5&amp;")")</f>
        <v/>
      </c>
      <c r="K152" s="34">
        <f>IFERROR(MATCH(6,직원목록!$B$7:$B$306,0),"")</f>
        <v/>
      </c>
    </row>
    <row r="153">
      <c r="B153" s="7" t="inlineStr">
        <is>
          <t>회사명</t>
        </is>
      </c>
      <c r="C153" s="21">
        <f>IF($K$152="","",설정!$B$4)</f>
        <v/>
      </c>
      <c r="D153" s="29" t="n"/>
      <c r="E153" s="19" t="n"/>
      <c r="F153" s="7" t="inlineStr">
        <is>
          <t>임금 지급일</t>
        </is>
      </c>
      <c r="G153" s="21">
        <f>IF($K$152="","",TEXT(설정!$B$6,"yyyy-mm-dd"))</f>
        <v/>
      </c>
      <c r="H153" s="29" t="n"/>
    </row>
    <row r="154">
      <c r="B154" s="7" t="inlineStr">
        <is>
          <t>성명</t>
        </is>
      </c>
      <c r="C154" s="22">
        <f>IF($K$152="","",INDEX(직원목록!$D$7:$D$306,$K$152))</f>
        <v/>
      </c>
      <c r="D154" s="7" t="inlineStr">
        <is>
          <t>사번</t>
        </is>
      </c>
      <c r="E154" s="21">
        <f>IF($K$152="","",INDEX(직원목록!$C$7:$C$306,$K$152))</f>
        <v/>
      </c>
      <c r="F154" s="7" t="inlineStr">
        <is>
          <t>부서</t>
        </is>
      </c>
      <c r="G154" s="21">
        <f>IF($K$152="","",INDEX(직원목록!$E$7:$E$306,$K$152))</f>
        <v/>
      </c>
      <c r="H154" s="29" t="n"/>
    </row>
    <row r="155">
      <c r="B155" s="12" t="inlineStr">
        <is>
          <t>지급 항목</t>
        </is>
      </c>
      <c r="C155" s="12" t="inlineStr">
        <is>
          <t>금액(원)</t>
        </is>
      </c>
      <c r="D155" s="12" t="inlineStr">
        <is>
          <t>계산 근거</t>
        </is>
      </c>
      <c r="E155" s="2" t="n"/>
      <c r="F155" s="12" t="inlineStr">
        <is>
          <t>공제 항목</t>
        </is>
      </c>
      <c r="G155" s="12" t="inlineStr">
        <is>
          <t>금액(원)</t>
        </is>
      </c>
      <c r="H155" s="12" t="n"/>
    </row>
    <row r="156">
      <c r="B156" s="4">
        <f>IF($K$152="","",IF(설정!$B$17="","",설정!$B$17))</f>
        <v/>
      </c>
      <c r="C156" s="31">
        <f>IF(OR($K$152="",설정!$B$17=""),"",INDEX(직원목록!$F$7:$F$306,$K$152))</f>
        <v/>
      </c>
      <c r="D156" s="32">
        <f>IF(OR($K$152="",설정!$B$17=""),"",IF(N(INDEX(직원목록!$N$7:$N$306,$K$152))=0,"",INDEX(직원목록!$N$7:$N$306,$K$152)&amp;"시간"))</f>
        <v/>
      </c>
      <c r="F156" s="4">
        <f>IF($K$152="","",IF(설정!$B$26="","",설정!$B$26))</f>
        <v/>
      </c>
      <c r="G156" s="31">
        <f>IF(OR($K$152="",설정!$B$26=""),"",INDEX(직원목록!$W$7:$W$306,$K$152))</f>
        <v/>
      </c>
      <c r="H156" s="19" t="n"/>
    </row>
    <row r="157">
      <c r="B157" s="4">
        <f>IF($K$152="","",IF(설정!$B$18="","",설정!$B$18))</f>
        <v/>
      </c>
      <c r="C157" s="31">
        <f>IF(OR($K$152="",설정!$B$18=""),"",INDEX(직원목록!$G$7:$G$306,$K$152))</f>
        <v/>
      </c>
      <c r="D157" s="32">
        <f>IF(OR($K$152="",설정!$B$18=""),"",IF(N(INDEX(직원목록!$O$7:$O$306,$K$152))=0,"",INDEX(직원목록!$O$7:$O$306,$K$152)&amp;"시간"))</f>
        <v/>
      </c>
      <c r="F157" s="4">
        <f>IF($K$152="","",IF(설정!$B$27="","",설정!$B$27))</f>
        <v/>
      </c>
      <c r="G157" s="31">
        <f>IF(OR($K$152="",설정!$B$27=""),"",INDEX(직원목록!$X$7:$X$306,$K$152))</f>
        <v/>
      </c>
      <c r="H157" s="19" t="n"/>
    </row>
    <row r="158">
      <c r="B158" s="4">
        <f>IF($K$152="","",IF(설정!$B$19="","",설정!$B$19))</f>
        <v/>
      </c>
      <c r="C158" s="31">
        <f>IF(OR($K$152="",설정!$B$19=""),"",INDEX(직원목록!$H$7:$H$306,$K$152))</f>
        <v/>
      </c>
      <c r="D158" s="32">
        <f>IF(OR($K$152="",설정!$B$19=""),"",IF(N(INDEX(직원목록!$P$7:$P$306,$K$152))=0,"",INDEX(직원목록!$P$7:$P$306,$K$152)&amp;"시간"))</f>
        <v/>
      </c>
      <c r="F158" s="4">
        <f>IF($K$152="","",IF(설정!$B$28="","",설정!$B$28))</f>
        <v/>
      </c>
      <c r="G158" s="31">
        <f>IF(OR($K$152="",설정!$B$28=""),"",INDEX(직원목록!$Y$7:$Y$306,$K$152))</f>
        <v/>
      </c>
      <c r="H158" s="19" t="n"/>
    </row>
    <row r="159">
      <c r="B159" s="4">
        <f>IF($K$152="","",IF(설정!$B$20="","",설정!$B$20))</f>
        <v/>
      </c>
      <c r="C159" s="31">
        <f>IF(OR($K$152="",설정!$B$20=""),"",INDEX(직원목록!$I$7:$I$306,$K$152))</f>
        <v/>
      </c>
      <c r="D159" s="32">
        <f>IF(OR($K$152="",설정!$B$20=""),"",IF(N(INDEX(직원목록!$Q$7:$Q$306,$K$152))=0,"",INDEX(직원목록!$Q$7:$Q$306,$K$152)&amp;"시간"))</f>
        <v/>
      </c>
      <c r="F159" s="4">
        <f>IF($K$152="","",IF(설정!$B$29="","",설정!$B$29))</f>
        <v/>
      </c>
      <c r="G159" s="31">
        <f>IF(OR($K$152="",설정!$B$29=""),"",INDEX(직원목록!$Z$7:$Z$306,$K$152))</f>
        <v/>
      </c>
      <c r="H159" s="19" t="n"/>
    </row>
    <row r="160">
      <c r="B160" s="4">
        <f>IF($K$152="","",IF(설정!$B$21="","",설정!$B$21))</f>
        <v/>
      </c>
      <c r="C160" s="31">
        <f>IF(OR($K$152="",설정!$B$21=""),"",INDEX(직원목록!$J$7:$J$306,$K$152))</f>
        <v/>
      </c>
      <c r="D160" s="32">
        <f>IF(OR($K$152="",설정!$B$21=""),"",IF(N(INDEX(직원목록!$R$7:$R$306,$K$152))=0,"",INDEX(직원목록!$R$7:$R$306,$K$152)&amp;"시간"))</f>
        <v/>
      </c>
      <c r="F160" s="4">
        <f>IF($K$152="","",IF(설정!$B$30="","",설정!$B$30))</f>
        <v/>
      </c>
      <c r="G160" s="31">
        <f>IF(OR($K$152="",설정!$B$30=""),"",INDEX(직원목록!$AA$7:$AA$306,$K$152))</f>
        <v/>
      </c>
      <c r="H160" s="19" t="n"/>
    </row>
    <row r="161">
      <c r="B161" s="4">
        <f>IF($K$152="","",IF(설정!$B$22="","",설정!$B$22))</f>
        <v/>
      </c>
      <c r="C161" s="31">
        <f>IF(OR($K$152="",설정!$B$22=""),"",INDEX(직원목록!$K$7:$K$306,$K$152))</f>
        <v/>
      </c>
      <c r="D161" s="32">
        <f>IF(OR($K$152="",설정!$B$22=""),"",IF(N(INDEX(직원목록!$S$7:$S$306,$K$152))=0,"",INDEX(직원목록!$S$7:$S$306,$K$152)&amp;"시간"))</f>
        <v/>
      </c>
      <c r="F161" s="4">
        <f>IF($K$152="","",IF(설정!$B$31="","",설정!$B$31))</f>
        <v/>
      </c>
      <c r="G161" s="31">
        <f>IF(OR($K$152="",설정!$B$31=""),"",INDEX(직원목록!$AB$7:$AB$306,$K$152))</f>
        <v/>
      </c>
      <c r="H161" s="19" t="n"/>
    </row>
    <row r="162">
      <c r="B162" s="4">
        <f>IF($K$152="","",IF(설정!$B$23="","",설정!$B$23))</f>
        <v/>
      </c>
      <c r="C162" s="31">
        <f>IF(OR($K$152="",설정!$B$23=""),"",INDEX(직원목록!$L$7:$L$306,$K$152))</f>
        <v/>
      </c>
      <c r="D162" s="32">
        <f>IF(OR($K$152="",설정!$B$23=""),"",IF(N(INDEX(직원목록!$T$7:$T$306,$K$152))=0,"",INDEX(직원목록!$T$7:$T$306,$K$152)&amp;"시간"))</f>
        <v/>
      </c>
      <c r="F162" s="4">
        <f>IF($K$152="","",IF(설정!$B$32="","",설정!$B$32))</f>
        <v/>
      </c>
      <c r="G162" s="31">
        <f>IF(OR($K$152="",설정!$B$32=""),"",INDEX(직원목록!$AC$7:$AC$306,$K$152))</f>
        <v/>
      </c>
      <c r="H162" s="19" t="n"/>
    </row>
    <row r="163">
      <c r="B163" s="4">
        <f>IF($K$152="","",IF(설정!$B$24="","",설정!$B$24))</f>
        <v/>
      </c>
      <c r="C163" s="31">
        <f>IF(OR($K$152="",설정!$B$24=""),"",INDEX(직원목록!$M$7:$M$306,$K$152))</f>
        <v/>
      </c>
      <c r="D163" s="32">
        <f>IF(OR($K$152="",설정!$B$24=""),"",IF(N(INDEX(직원목록!$U$7:$U$306,$K$152))=0,"",INDEX(직원목록!$U$7:$U$306,$K$152)&amp;"시간"))</f>
        <v/>
      </c>
      <c r="F163" s="4">
        <f>IF($K$152="","",IF(설정!$B$33="","",설정!$B$33))</f>
        <v/>
      </c>
      <c r="G163" s="31">
        <f>IF(OR($K$152="",설정!$B$33=""),"",INDEX(직원목록!$AD$7:$AD$306,$K$152))</f>
        <v/>
      </c>
      <c r="H163" s="19" t="n"/>
    </row>
    <row r="164">
      <c r="B164" s="3" t="inlineStr">
        <is>
          <t>지급 합계</t>
        </is>
      </c>
      <c r="C164" s="35">
        <f>IF($K$152="","",INDEX(직원목록!$V$7:$V$306,$K$152))</f>
        <v/>
      </c>
      <c r="D164" s="36" t="n"/>
      <c r="F164" s="3" t="inlineStr">
        <is>
          <t>공제 합계</t>
        </is>
      </c>
      <c r="G164" s="35">
        <f>IF($K$152="","",INDEX(직원목록!$AE$7:$AE$306,$K$152))</f>
        <v/>
      </c>
      <c r="H164" s="36" t="n"/>
    </row>
    <row r="165" ht="28" customHeight="1">
      <c r="B165" s="37" t="inlineStr">
        <is>
          <t>실 수령액 (지급 합계 − 공제 합계)</t>
        </is>
      </c>
      <c r="C165" s="29" t="n"/>
      <c r="D165" s="29" t="n"/>
      <c r="E165" s="38">
        <f>IF($K$152="","",INDEX(직원목록!$AF$7:$AF$306,$K$152))</f>
        <v/>
      </c>
      <c r="F165" s="29" t="n"/>
      <c r="G165" s="29" t="n"/>
      <c r="H165" s="29" t="n"/>
    </row>
    <row r="166">
      <c r="B166" s="39">
        <f>IF($K$152="","",설정!$B$7)</f>
        <v/>
      </c>
    </row>
    <row r="182" ht="30" customHeight="1">
      <c r="B182" s="28">
        <f>IF($K$182="","","임금명세서  ("&amp;설정!$B$5&amp;")")</f>
        <v/>
      </c>
      <c r="K182" s="34">
        <f>IFERROR(MATCH(7,직원목록!$B$7:$B$306,0),"")</f>
        <v/>
      </c>
    </row>
    <row r="183">
      <c r="B183" s="7" t="inlineStr">
        <is>
          <t>회사명</t>
        </is>
      </c>
      <c r="C183" s="21">
        <f>IF($K$182="","",설정!$B$4)</f>
        <v/>
      </c>
      <c r="D183" s="29" t="n"/>
      <c r="E183" s="19" t="n"/>
      <c r="F183" s="7" t="inlineStr">
        <is>
          <t>임금 지급일</t>
        </is>
      </c>
      <c r="G183" s="21">
        <f>IF($K$182="","",TEXT(설정!$B$6,"yyyy-mm-dd"))</f>
        <v/>
      </c>
      <c r="H183" s="29" t="n"/>
    </row>
    <row r="184">
      <c r="B184" s="7" t="inlineStr">
        <is>
          <t>성명</t>
        </is>
      </c>
      <c r="C184" s="22">
        <f>IF($K$182="","",INDEX(직원목록!$D$7:$D$306,$K$182))</f>
        <v/>
      </c>
      <c r="D184" s="7" t="inlineStr">
        <is>
          <t>사번</t>
        </is>
      </c>
      <c r="E184" s="21">
        <f>IF($K$182="","",INDEX(직원목록!$C$7:$C$306,$K$182))</f>
        <v/>
      </c>
      <c r="F184" s="7" t="inlineStr">
        <is>
          <t>부서</t>
        </is>
      </c>
      <c r="G184" s="21">
        <f>IF($K$182="","",INDEX(직원목록!$E$7:$E$306,$K$182))</f>
        <v/>
      </c>
      <c r="H184" s="29" t="n"/>
    </row>
    <row r="185">
      <c r="B185" s="12" t="inlineStr">
        <is>
          <t>지급 항목</t>
        </is>
      </c>
      <c r="C185" s="12" t="inlineStr">
        <is>
          <t>금액(원)</t>
        </is>
      </c>
      <c r="D185" s="12" t="inlineStr">
        <is>
          <t>계산 근거</t>
        </is>
      </c>
      <c r="E185" s="2" t="n"/>
      <c r="F185" s="12" t="inlineStr">
        <is>
          <t>공제 항목</t>
        </is>
      </c>
      <c r="G185" s="12" t="inlineStr">
        <is>
          <t>금액(원)</t>
        </is>
      </c>
      <c r="H185" s="12" t="n"/>
    </row>
    <row r="186">
      <c r="B186" s="4">
        <f>IF($K$182="","",IF(설정!$B$17="","",설정!$B$17))</f>
        <v/>
      </c>
      <c r="C186" s="31">
        <f>IF(OR($K$182="",설정!$B$17=""),"",INDEX(직원목록!$F$7:$F$306,$K$182))</f>
        <v/>
      </c>
      <c r="D186" s="32">
        <f>IF(OR($K$182="",설정!$B$17=""),"",IF(N(INDEX(직원목록!$N$7:$N$306,$K$182))=0,"",INDEX(직원목록!$N$7:$N$306,$K$182)&amp;"시간"))</f>
        <v/>
      </c>
      <c r="F186" s="4">
        <f>IF($K$182="","",IF(설정!$B$26="","",설정!$B$26))</f>
        <v/>
      </c>
      <c r="G186" s="31">
        <f>IF(OR($K$182="",설정!$B$26=""),"",INDEX(직원목록!$W$7:$W$306,$K$182))</f>
        <v/>
      </c>
      <c r="H186" s="19" t="n"/>
    </row>
    <row r="187">
      <c r="B187" s="4">
        <f>IF($K$182="","",IF(설정!$B$18="","",설정!$B$18))</f>
        <v/>
      </c>
      <c r="C187" s="31">
        <f>IF(OR($K$182="",설정!$B$18=""),"",INDEX(직원목록!$G$7:$G$306,$K$182))</f>
        <v/>
      </c>
      <c r="D187" s="32">
        <f>IF(OR($K$182="",설정!$B$18=""),"",IF(N(INDEX(직원목록!$O$7:$O$306,$K$182))=0,"",INDEX(직원목록!$O$7:$O$306,$K$182)&amp;"시간"))</f>
        <v/>
      </c>
      <c r="F187" s="4">
        <f>IF($K$182="","",IF(설정!$B$27="","",설정!$B$27))</f>
        <v/>
      </c>
      <c r="G187" s="31">
        <f>IF(OR($K$182="",설정!$B$27=""),"",INDEX(직원목록!$X$7:$X$306,$K$182))</f>
        <v/>
      </c>
      <c r="H187" s="19" t="n"/>
    </row>
    <row r="188">
      <c r="B188" s="4">
        <f>IF($K$182="","",IF(설정!$B$19="","",설정!$B$19))</f>
        <v/>
      </c>
      <c r="C188" s="31">
        <f>IF(OR($K$182="",설정!$B$19=""),"",INDEX(직원목록!$H$7:$H$306,$K$182))</f>
        <v/>
      </c>
      <c r="D188" s="32">
        <f>IF(OR($K$182="",설정!$B$19=""),"",IF(N(INDEX(직원목록!$P$7:$P$306,$K$182))=0,"",INDEX(직원목록!$P$7:$P$306,$K$182)&amp;"시간"))</f>
        <v/>
      </c>
      <c r="F188" s="4">
        <f>IF($K$182="","",IF(설정!$B$28="","",설정!$B$28))</f>
        <v/>
      </c>
      <c r="G188" s="31">
        <f>IF(OR($K$182="",설정!$B$28=""),"",INDEX(직원목록!$Y$7:$Y$306,$K$182))</f>
        <v/>
      </c>
      <c r="H188" s="19" t="n"/>
    </row>
    <row r="189">
      <c r="B189" s="4">
        <f>IF($K$182="","",IF(설정!$B$20="","",설정!$B$20))</f>
        <v/>
      </c>
      <c r="C189" s="31">
        <f>IF(OR($K$182="",설정!$B$20=""),"",INDEX(직원목록!$I$7:$I$306,$K$182))</f>
        <v/>
      </c>
      <c r="D189" s="32">
        <f>IF(OR($K$182="",설정!$B$20=""),"",IF(N(INDEX(직원목록!$Q$7:$Q$306,$K$182))=0,"",INDEX(직원목록!$Q$7:$Q$306,$K$182)&amp;"시간"))</f>
        <v/>
      </c>
      <c r="F189" s="4">
        <f>IF($K$182="","",IF(설정!$B$29="","",설정!$B$29))</f>
        <v/>
      </c>
      <c r="G189" s="31">
        <f>IF(OR($K$182="",설정!$B$29=""),"",INDEX(직원목록!$Z$7:$Z$306,$K$182))</f>
        <v/>
      </c>
      <c r="H189" s="19" t="n"/>
    </row>
    <row r="190">
      <c r="B190" s="4">
        <f>IF($K$182="","",IF(설정!$B$21="","",설정!$B$21))</f>
        <v/>
      </c>
      <c r="C190" s="31">
        <f>IF(OR($K$182="",설정!$B$21=""),"",INDEX(직원목록!$J$7:$J$306,$K$182))</f>
        <v/>
      </c>
      <c r="D190" s="32">
        <f>IF(OR($K$182="",설정!$B$21=""),"",IF(N(INDEX(직원목록!$R$7:$R$306,$K$182))=0,"",INDEX(직원목록!$R$7:$R$306,$K$182)&amp;"시간"))</f>
        <v/>
      </c>
      <c r="F190" s="4">
        <f>IF($K$182="","",IF(설정!$B$30="","",설정!$B$30))</f>
        <v/>
      </c>
      <c r="G190" s="31">
        <f>IF(OR($K$182="",설정!$B$30=""),"",INDEX(직원목록!$AA$7:$AA$306,$K$182))</f>
        <v/>
      </c>
      <c r="H190" s="19" t="n"/>
    </row>
    <row r="191">
      <c r="B191" s="4">
        <f>IF($K$182="","",IF(설정!$B$22="","",설정!$B$22))</f>
        <v/>
      </c>
      <c r="C191" s="31">
        <f>IF(OR($K$182="",설정!$B$22=""),"",INDEX(직원목록!$K$7:$K$306,$K$182))</f>
        <v/>
      </c>
      <c r="D191" s="32">
        <f>IF(OR($K$182="",설정!$B$22=""),"",IF(N(INDEX(직원목록!$S$7:$S$306,$K$182))=0,"",INDEX(직원목록!$S$7:$S$306,$K$182)&amp;"시간"))</f>
        <v/>
      </c>
      <c r="F191" s="4">
        <f>IF($K$182="","",IF(설정!$B$31="","",설정!$B$31))</f>
        <v/>
      </c>
      <c r="G191" s="31">
        <f>IF(OR($K$182="",설정!$B$31=""),"",INDEX(직원목록!$AB$7:$AB$306,$K$182))</f>
        <v/>
      </c>
      <c r="H191" s="19" t="n"/>
    </row>
    <row r="192">
      <c r="B192" s="4">
        <f>IF($K$182="","",IF(설정!$B$23="","",설정!$B$23))</f>
        <v/>
      </c>
      <c r="C192" s="31">
        <f>IF(OR($K$182="",설정!$B$23=""),"",INDEX(직원목록!$L$7:$L$306,$K$182))</f>
        <v/>
      </c>
      <c r="D192" s="32">
        <f>IF(OR($K$182="",설정!$B$23=""),"",IF(N(INDEX(직원목록!$T$7:$T$306,$K$182))=0,"",INDEX(직원목록!$T$7:$T$306,$K$182)&amp;"시간"))</f>
        <v/>
      </c>
      <c r="F192" s="4">
        <f>IF($K$182="","",IF(설정!$B$32="","",설정!$B$32))</f>
        <v/>
      </c>
      <c r="G192" s="31">
        <f>IF(OR($K$182="",설정!$B$32=""),"",INDEX(직원목록!$AC$7:$AC$306,$K$182))</f>
        <v/>
      </c>
      <c r="H192" s="19" t="n"/>
    </row>
    <row r="193">
      <c r="B193" s="4">
        <f>IF($K$182="","",IF(설정!$B$24="","",설정!$B$24))</f>
        <v/>
      </c>
      <c r="C193" s="31">
        <f>IF(OR($K$182="",설정!$B$24=""),"",INDEX(직원목록!$M$7:$M$306,$K$182))</f>
        <v/>
      </c>
      <c r="D193" s="32">
        <f>IF(OR($K$182="",설정!$B$24=""),"",IF(N(INDEX(직원목록!$U$7:$U$306,$K$182))=0,"",INDEX(직원목록!$U$7:$U$306,$K$182)&amp;"시간"))</f>
        <v/>
      </c>
      <c r="F193" s="4">
        <f>IF($K$182="","",IF(설정!$B$33="","",설정!$B$33))</f>
        <v/>
      </c>
      <c r="G193" s="31">
        <f>IF(OR($K$182="",설정!$B$33=""),"",INDEX(직원목록!$AD$7:$AD$306,$K$182))</f>
        <v/>
      </c>
      <c r="H193" s="19" t="n"/>
    </row>
    <row r="194">
      <c r="B194" s="3" t="inlineStr">
        <is>
          <t>지급 합계</t>
        </is>
      </c>
      <c r="C194" s="35">
        <f>IF($K$182="","",INDEX(직원목록!$V$7:$V$306,$K$182))</f>
        <v/>
      </c>
      <c r="D194" s="36" t="n"/>
      <c r="F194" s="3" t="inlineStr">
        <is>
          <t>공제 합계</t>
        </is>
      </c>
      <c r="G194" s="35">
        <f>IF($K$182="","",INDEX(직원목록!$AE$7:$AE$306,$K$182))</f>
        <v/>
      </c>
      <c r="H194" s="36" t="n"/>
    </row>
    <row r="195" ht="28" customHeight="1">
      <c r="B195" s="37" t="inlineStr">
        <is>
          <t>실 수령액 (지급 합계 − 공제 합계)</t>
        </is>
      </c>
      <c r="C195" s="29" t="n"/>
      <c r="D195" s="29" t="n"/>
      <c r="E195" s="38">
        <f>IF($K$182="","",INDEX(직원목록!$AF$7:$AF$306,$K$182))</f>
        <v/>
      </c>
      <c r="F195" s="29" t="n"/>
      <c r="G195" s="29" t="n"/>
      <c r="H195" s="29" t="n"/>
    </row>
    <row r="196">
      <c r="B196" s="39">
        <f>IF($K$182="","",설정!$B$7)</f>
        <v/>
      </c>
    </row>
    <row r="212" ht="30" customHeight="1">
      <c r="B212" s="28">
        <f>IF($K$212="","","임금명세서  ("&amp;설정!$B$5&amp;")")</f>
        <v/>
      </c>
      <c r="K212" s="34">
        <f>IFERROR(MATCH(8,직원목록!$B$7:$B$306,0),"")</f>
        <v/>
      </c>
    </row>
    <row r="213">
      <c r="B213" s="7" t="inlineStr">
        <is>
          <t>회사명</t>
        </is>
      </c>
      <c r="C213" s="21">
        <f>IF($K$212="","",설정!$B$4)</f>
        <v/>
      </c>
      <c r="D213" s="29" t="n"/>
      <c r="E213" s="19" t="n"/>
      <c r="F213" s="7" t="inlineStr">
        <is>
          <t>임금 지급일</t>
        </is>
      </c>
      <c r="G213" s="21">
        <f>IF($K$212="","",TEXT(설정!$B$6,"yyyy-mm-dd"))</f>
        <v/>
      </c>
      <c r="H213" s="29" t="n"/>
    </row>
    <row r="214">
      <c r="B214" s="7" t="inlineStr">
        <is>
          <t>성명</t>
        </is>
      </c>
      <c r="C214" s="22">
        <f>IF($K$212="","",INDEX(직원목록!$D$7:$D$306,$K$212))</f>
        <v/>
      </c>
      <c r="D214" s="7" t="inlineStr">
        <is>
          <t>사번</t>
        </is>
      </c>
      <c r="E214" s="21">
        <f>IF($K$212="","",INDEX(직원목록!$C$7:$C$306,$K$212))</f>
        <v/>
      </c>
      <c r="F214" s="7" t="inlineStr">
        <is>
          <t>부서</t>
        </is>
      </c>
      <c r="G214" s="21">
        <f>IF($K$212="","",INDEX(직원목록!$E$7:$E$306,$K$212))</f>
        <v/>
      </c>
      <c r="H214" s="29" t="n"/>
    </row>
    <row r="215">
      <c r="B215" s="12" t="inlineStr">
        <is>
          <t>지급 항목</t>
        </is>
      </c>
      <c r="C215" s="12" t="inlineStr">
        <is>
          <t>금액(원)</t>
        </is>
      </c>
      <c r="D215" s="12" t="inlineStr">
        <is>
          <t>계산 근거</t>
        </is>
      </c>
      <c r="E215" s="2" t="n"/>
      <c r="F215" s="12" t="inlineStr">
        <is>
          <t>공제 항목</t>
        </is>
      </c>
      <c r="G215" s="12" t="inlineStr">
        <is>
          <t>금액(원)</t>
        </is>
      </c>
      <c r="H215" s="12" t="n"/>
    </row>
    <row r="216">
      <c r="B216" s="4">
        <f>IF($K$212="","",IF(설정!$B$17="","",설정!$B$17))</f>
        <v/>
      </c>
      <c r="C216" s="31">
        <f>IF(OR($K$212="",설정!$B$17=""),"",INDEX(직원목록!$F$7:$F$306,$K$212))</f>
        <v/>
      </c>
      <c r="D216" s="32">
        <f>IF(OR($K$212="",설정!$B$17=""),"",IF(N(INDEX(직원목록!$N$7:$N$306,$K$212))=0,"",INDEX(직원목록!$N$7:$N$306,$K$212)&amp;"시간"))</f>
        <v/>
      </c>
      <c r="F216" s="4">
        <f>IF($K$212="","",IF(설정!$B$26="","",설정!$B$26))</f>
        <v/>
      </c>
      <c r="G216" s="31">
        <f>IF(OR($K$212="",설정!$B$26=""),"",INDEX(직원목록!$W$7:$W$306,$K$212))</f>
        <v/>
      </c>
      <c r="H216" s="19" t="n"/>
    </row>
    <row r="217">
      <c r="B217" s="4">
        <f>IF($K$212="","",IF(설정!$B$18="","",설정!$B$18))</f>
        <v/>
      </c>
      <c r="C217" s="31">
        <f>IF(OR($K$212="",설정!$B$18=""),"",INDEX(직원목록!$G$7:$G$306,$K$212))</f>
        <v/>
      </c>
      <c r="D217" s="32">
        <f>IF(OR($K$212="",설정!$B$18=""),"",IF(N(INDEX(직원목록!$O$7:$O$306,$K$212))=0,"",INDEX(직원목록!$O$7:$O$306,$K$212)&amp;"시간"))</f>
        <v/>
      </c>
      <c r="F217" s="4">
        <f>IF($K$212="","",IF(설정!$B$27="","",설정!$B$27))</f>
        <v/>
      </c>
      <c r="G217" s="31">
        <f>IF(OR($K$212="",설정!$B$27=""),"",INDEX(직원목록!$X$7:$X$306,$K$212))</f>
        <v/>
      </c>
      <c r="H217" s="19" t="n"/>
    </row>
    <row r="218">
      <c r="B218" s="4">
        <f>IF($K$212="","",IF(설정!$B$19="","",설정!$B$19))</f>
        <v/>
      </c>
      <c r="C218" s="31">
        <f>IF(OR($K$212="",설정!$B$19=""),"",INDEX(직원목록!$H$7:$H$306,$K$212))</f>
        <v/>
      </c>
      <c r="D218" s="32">
        <f>IF(OR($K$212="",설정!$B$19=""),"",IF(N(INDEX(직원목록!$P$7:$P$306,$K$212))=0,"",INDEX(직원목록!$P$7:$P$306,$K$212)&amp;"시간"))</f>
        <v/>
      </c>
      <c r="F218" s="4">
        <f>IF($K$212="","",IF(설정!$B$28="","",설정!$B$28))</f>
        <v/>
      </c>
      <c r="G218" s="31">
        <f>IF(OR($K$212="",설정!$B$28=""),"",INDEX(직원목록!$Y$7:$Y$306,$K$212))</f>
        <v/>
      </c>
      <c r="H218" s="19" t="n"/>
    </row>
    <row r="219">
      <c r="B219" s="4">
        <f>IF($K$212="","",IF(설정!$B$20="","",설정!$B$20))</f>
        <v/>
      </c>
      <c r="C219" s="31">
        <f>IF(OR($K$212="",설정!$B$20=""),"",INDEX(직원목록!$I$7:$I$306,$K$212))</f>
        <v/>
      </c>
      <c r="D219" s="32">
        <f>IF(OR($K$212="",설정!$B$20=""),"",IF(N(INDEX(직원목록!$Q$7:$Q$306,$K$212))=0,"",INDEX(직원목록!$Q$7:$Q$306,$K$212)&amp;"시간"))</f>
        <v/>
      </c>
      <c r="F219" s="4">
        <f>IF($K$212="","",IF(설정!$B$29="","",설정!$B$29))</f>
        <v/>
      </c>
      <c r="G219" s="31">
        <f>IF(OR($K$212="",설정!$B$29=""),"",INDEX(직원목록!$Z$7:$Z$306,$K$212))</f>
        <v/>
      </c>
      <c r="H219" s="19" t="n"/>
    </row>
    <row r="220">
      <c r="B220" s="4">
        <f>IF($K$212="","",IF(설정!$B$21="","",설정!$B$21))</f>
        <v/>
      </c>
      <c r="C220" s="31">
        <f>IF(OR($K$212="",설정!$B$21=""),"",INDEX(직원목록!$J$7:$J$306,$K$212))</f>
        <v/>
      </c>
      <c r="D220" s="32">
        <f>IF(OR($K$212="",설정!$B$21=""),"",IF(N(INDEX(직원목록!$R$7:$R$306,$K$212))=0,"",INDEX(직원목록!$R$7:$R$306,$K$212)&amp;"시간"))</f>
        <v/>
      </c>
      <c r="F220" s="4">
        <f>IF($K$212="","",IF(설정!$B$30="","",설정!$B$30))</f>
        <v/>
      </c>
      <c r="G220" s="31">
        <f>IF(OR($K$212="",설정!$B$30=""),"",INDEX(직원목록!$AA$7:$AA$306,$K$212))</f>
        <v/>
      </c>
      <c r="H220" s="19" t="n"/>
    </row>
    <row r="221">
      <c r="B221" s="4">
        <f>IF($K$212="","",IF(설정!$B$22="","",설정!$B$22))</f>
        <v/>
      </c>
      <c r="C221" s="31">
        <f>IF(OR($K$212="",설정!$B$22=""),"",INDEX(직원목록!$K$7:$K$306,$K$212))</f>
        <v/>
      </c>
      <c r="D221" s="32">
        <f>IF(OR($K$212="",설정!$B$22=""),"",IF(N(INDEX(직원목록!$S$7:$S$306,$K$212))=0,"",INDEX(직원목록!$S$7:$S$306,$K$212)&amp;"시간"))</f>
        <v/>
      </c>
      <c r="F221" s="4">
        <f>IF($K$212="","",IF(설정!$B$31="","",설정!$B$31))</f>
        <v/>
      </c>
      <c r="G221" s="31">
        <f>IF(OR($K$212="",설정!$B$31=""),"",INDEX(직원목록!$AB$7:$AB$306,$K$212))</f>
        <v/>
      </c>
      <c r="H221" s="19" t="n"/>
    </row>
    <row r="222">
      <c r="B222" s="4">
        <f>IF($K$212="","",IF(설정!$B$23="","",설정!$B$23))</f>
        <v/>
      </c>
      <c r="C222" s="31">
        <f>IF(OR($K$212="",설정!$B$23=""),"",INDEX(직원목록!$L$7:$L$306,$K$212))</f>
        <v/>
      </c>
      <c r="D222" s="32">
        <f>IF(OR($K$212="",설정!$B$23=""),"",IF(N(INDEX(직원목록!$T$7:$T$306,$K$212))=0,"",INDEX(직원목록!$T$7:$T$306,$K$212)&amp;"시간"))</f>
        <v/>
      </c>
      <c r="F222" s="4">
        <f>IF($K$212="","",IF(설정!$B$32="","",설정!$B$32))</f>
        <v/>
      </c>
      <c r="G222" s="31">
        <f>IF(OR($K$212="",설정!$B$32=""),"",INDEX(직원목록!$AC$7:$AC$306,$K$212))</f>
        <v/>
      </c>
      <c r="H222" s="19" t="n"/>
    </row>
    <row r="223">
      <c r="B223" s="4">
        <f>IF($K$212="","",IF(설정!$B$24="","",설정!$B$24))</f>
        <v/>
      </c>
      <c r="C223" s="31">
        <f>IF(OR($K$212="",설정!$B$24=""),"",INDEX(직원목록!$M$7:$M$306,$K$212))</f>
        <v/>
      </c>
      <c r="D223" s="32">
        <f>IF(OR($K$212="",설정!$B$24=""),"",IF(N(INDEX(직원목록!$U$7:$U$306,$K$212))=0,"",INDEX(직원목록!$U$7:$U$306,$K$212)&amp;"시간"))</f>
        <v/>
      </c>
      <c r="F223" s="4">
        <f>IF($K$212="","",IF(설정!$B$33="","",설정!$B$33))</f>
        <v/>
      </c>
      <c r="G223" s="31">
        <f>IF(OR($K$212="",설정!$B$33=""),"",INDEX(직원목록!$AD$7:$AD$306,$K$212))</f>
        <v/>
      </c>
      <c r="H223" s="19" t="n"/>
    </row>
    <row r="224">
      <c r="B224" s="3" t="inlineStr">
        <is>
          <t>지급 합계</t>
        </is>
      </c>
      <c r="C224" s="35">
        <f>IF($K$212="","",INDEX(직원목록!$V$7:$V$306,$K$212))</f>
        <v/>
      </c>
      <c r="D224" s="36" t="n"/>
      <c r="F224" s="3" t="inlineStr">
        <is>
          <t>공제 합계</t>
        </is>
      </c>
      <c r="G224" s="35">
        <f>IF($K$212="","",INDEX(직원목록!$AE$7:$AE$306,$K$212))</f>
        <v/>
      </c>
      <c r="H224" s="36" t="n"/>
    </row>
    <row r="225" ht="28" customHeight="1">
      <c r="B225" s="37" t="inlineStr">
        <is>
          <t>실 수령액 (지급 합계 − 공제 합계)</t>
        </is>
      </c>
      <c r="C225" s="29" t="n"/>
      <c r="D225" s="29" t="n"/>
      <c r="E225" s="38">
        <f>IF($K$212="","",INDEX(직원목록!$AF$7:$AF$306,$K$212))</f>
        <v/>
      </c>
      <c r="F225" s="29" t="n"/>
      <c r="G225" s="29" t="n"/>
      <c r="H225" s="29" t="n"/>
    </row>
    <row r="226">
      <c r="B226" s="39">
        <f>IF($K$212="","",설정!$B$7)</f>
        <v/>
      </c>
    </row>
    <row r="242" ht="30" customHeight="1">
      <c r="B242" s="28">
        <f>IF($K$242="","","임금명세서  ("&amp;설정!$B$5&amp;")")</f>
        <v/>
      </c>
      <c r="K242" s="34">
        <f>IFERROR(MATCH(9,직원목록!$B$7:$B$306,0),"")</f>
        <v/>
      </c>
    </row>
    <row r="243">
      <c r="B243" s="7" t="inlineStr">
        <is>
          <t>회사명</t>
        </is>
      </c>
      <c r="C243" s="21">
        <f>IF($K$242="","",설정!$B$4)</f>
        <v/>
      </c>
      <c r="D243" s="29" t="n"/>
      <c r="E243" s="19" t="n"/>
      <c r="F243" s="7" t="inlineStr">
        <is>
          <t>임금 지급일</t>
        </is>
      </c>
      <c r="G243" s="21">
        <f>IF($K$242="","",TEXT(설정!$B$6,"yyyy-mm-dd"))</f>
        <v/>
      </c>
      <c r="H243" s="29" t="n"/>
    </row>
    <row r="244">
      <c r="B244" s="7" t="inlineStr">
        <is>
          <t>성명</t>
        </is>
      </c>
      <c r="C244" s="22">
        <f>IF($K$242="","",INDEX(직원목록!$D$7:$D$306,$K$242))</f>
        <v/>
      </c>
      <c r="D244" s="7" t="inlineStr">
        <is>
          <t>사번</t>
        </is>
      </c>
      <c r="E244" s="21">
        <f>IF($K$242="","",INDEX(직원목록!$C$7:$C$306,$K$242))</f>
        <v/>
      </c>
      <c r="F244" s="7" t="inlineStr">
        <is>
          <t>부서</t>
        </is>
      </c>
      <c r="G244" s="21">
        <f>IF($K$242="","",INDEX(직원목록!$E$7:$E$306,$K$242))</f>
        <v/>
      </c>
      <c r="H244" s="29" t="n"/>
    </row>
    <row r="245">
      <c r="B245" s="12" t="inlineStr">
        <is>
          <t>지급 항목</t>
        </is>
      </c>
      <c r="C245" s="12" t="inlineStr">
        <is>
          <t>금액(원)</t>
        </is>
      </c>
      <c r="D245" s="12" t="inlineStr">
        <is>
          <t>계산 근거</t>
        </is>
      </c>
      <c r="E245" s="2" t="n"/>
      <c r="F245" s="12" t="inlineStr">
        <is>
          <t>공제 항목</t>
        </is>
      </c>
      <c r="G245" s="12" t="inlineStr">
        <is>
          <t>금액(원)</t>
        </is>
      </c>
      <c r="H245" s="12" t="n"/>
    </row>
    <row r="246">
      <c r="B246" s="4">
        <f>IF($K$242="","",IF(설정!$B$17="","",설정!$B$17))</f>
        <v/>
      </c>
      <c r="C246" s="31">
        <f>IF(OR($K$242="",설정!$B$17=""),"",INDEX(직원목록!$F$7:$F$306,$K$242))</f>
        <v/>
      </c>
      <c r="D246" s="32">
        <f>IF(OR($K$242="",설정!$B$17=""),"",IF(N(INDEX(직원목록!$N$7:$N$306,$K$242))=0,"",INDEX(직원목록!$N$7:$N$306,$K$242)&amp;"시간"))</f>
        <v/>
      </c>
      <c r="F246" s="4">
        <f>IF($K$242="","",IF(설정!$B$26="","",설정!$B$26))</f>
        <v/>
      </c>
      <c r="G246" s="31">
        <f>IF(OR($K$242="",설정!$B$26=""),"",INDEX(직원목록!$W$7:$W$306,$K$242))</f>
        <v/>
      </c>
      <c r="H246" s="19" t="n"/>
    </row>
    <row r="247">
      <c r="B247" s="4">
        <f>IF($K$242="","",IF(설정!$B$18="","",설정!$B$18))</f>
        <v/>
      </c>
      <c r="C247" s="31">
        <f>IF(OR($K$242="",설정!$B$18=""),"",INDEX(직원목록!$G$7:$G$306,$K$242))</f>
        <v/>
      </c>
      <c r="D247" s="32">
        <f>IF(OR($K$242="",설정!$B$18=""),"",IF(N(INDEX(직원목록!$O$7:$O$306,$K$242))=0,"",INDEX(직원목록!$O$7:$O$306,$K$242)&amp;"시간"))</f>
        <v/>
      </c>
      <c r="F247" s="4">
        <f>IF($K$242="","",IF(설정!$B$27="","",설정!$B$27))</f>
        <v/>
      </c>
      <c r="G247" s="31">
        <f>IF(OR($K$242="",설정!$B$27=""),"",INDEX(직원목록!$X$7:$X$306,$K$242))</f>
        <v/>
      </c>
      <c r="H247" s="19" t="n"/>
    </row>
    <row r="248">
      <c r="B248" s="4">
        <f>IF($K$242="","",IF(설정!$B$19="","",설정!$B$19))</f>
        <v/>
      </c>
      <c r="C248" s="31">
        <f>IF(OR($K$242="",설정!$B$19=""),"",INDEX(직원목록!$H$7:$H$306,$K$242))</f>
        <v/>
      </c>
      <c r="D248" s="32">
        <f>IF(OR($K$242="",설정!$B$19=""),"",IF(N(INDEX(직원목록!$P$7:$P$306,$K$242))=0,"",INDEX(직원목록!$P$7:$P$306,$K$242)&amp;"시간"))</f>
        <v/>
      </c>
      <c r="F248" s="4">
        <f>IF($K$242="","",IF(설정!$B$28="","",설정!$B$28))</f>
        <v/>
      </c>
      <c r="G248" s="31">
        <f>IF(OR($K$242="",설정!$B$28=""),"",INDEX(직원목록!$Y$7:$Y$306,$K$242))</f>
        <v/>
      </c>
      <c r="H248" s="19" t="n"/>
    </row>
    <row r="249">
      <c r="B249" s="4">
        <f>IF($K$242="","",IF(설정!$B$20="","",설정!$B$20))</f>
        <v/>
      </c>
      <c r="C249" s="31">
        <f>IF(OR($K$242="",설정!$B$20=""),"",INDEX(직원목록!$I$7:$I$306,$K$242))</f>
        <v/>
      </c>
      <c r="D249" s="32">
        <f>IF(OR($K$242="",설정!$B$20=""),"",IF(N(INDEX(직원목록!$Q$7:$Q$306,$K$242))=0,"",INDEX(직원목록!$Q$7:$Q$306,$K$242)&amp;"시간"))</f>
        <v/>
      </c>
      <c r="F249" s="4">
        <f>IF($K$242="","",IF(설정!$B$29="","",설정!$B$29))</f>
        <v/>
      </c>
      <c r="G249" s="31">
        <f>IF(OR($K$242="",설정!$B$29=""),"",INDEX(직원목록!$Z$7:$Z$306,$K$242))</f>
        <v/>
      </c>
      <c r="H249" s="19" t="n"/>
    </row>
    <row r="250">
      <c r="B250" s="4">
        <f>IF($K$242="","",IF(설정!$B$21="","",설정!$B$21))</f>
        <v/>
      </c>
      <c r="C250" s="31">
        <f>IF(OR($K$242="",설정!$B$21=""),"",INDEX(직원목록!$J$7:$J$306,$K$242))</f>
        <v/>
      </c>
      <c r="D250" s="32">
        <f>IF(OR($K$242="",설정!$B$21=""),"",IF(N(INDEX(직원목록!$R$7:$R$306,$K$242))=0,"",INDEX(직원목록!$R$7:$R$306,$K$242)&amp;"시간"))</f>
        <v/>
      </c>
      <c r="F250" s="4">
        <f>IF($K$242="","",IF(설정!$B$30="","",설정!$B$30))</f>
        <v/>
      </c>
      <c r="G250" s="31">
        <f>IF(OR($K$242="",설정!$B$30=""),"",INDEX(직원목록!$AA$7:$AA$306,$K$242))</f>
        <v/>
      </c>
      <c r="H250" s="19" t="n"/>
    </row>
    <row r="251">
      <c r="B251" s="4">
        <f>IF($K$242="","",IF(설정!$B$22="","",설정!$B$22))</f>
        <v/>
      </c>
      <c r="C251" s="31">
        <f>IF(OR($K$242="",설정!$B$22=""),"",INDEX(직원목록!$K$7:$K$306,$K$242))</f>
        <v/>
      </c>
      <c r="D251" s="32">
        <f>IF(OR($K$242="",설정!$B$22=""),"",IF(N(INDEX(직원목록!$S$7:$S$306,$K$242))=0,"",INDEX(직원목록!$S$7:$S$306,$K$242)&amp;"시간"))</f>
        <v/>
      </c>
      <c r="F251" s="4">
        <f>IF($K$242="","",IF(설정!$B$31="","",설정!$B$31))</f>
        <v/>
      </c>
      <c r="G251" s="31">
        <f>IF(OR($K$242="",설정!$B$31=""),"",INDEX(직원목록!$AB$7:$AB$306,$K$242))</f>
        <v/>
      </c>
      <c r="H251" s="19" t="n"/>
    </row>
    <row r="252">
      <c r="B252" s="4">
        <f>IF($K$242="","",IF(설정!$B$23="","",설정!$B$23))</f>
        <v/>
      </c>
      <c r="C252" s="31">
        <f>IF(OR($K$242="",설정!$B$23=""),"",INDEX(직원목록!$L$7:$L$306,$K$242))</f>
        <v/>
      </c>
      <c r="D252" s="32">
        <f>IF(OR($K$242="",설정!$B$23=""),"",IF(N(INDEX(직원목록!$T$7:$T$306,$K$242))=0,"",INDEX(직원목록!$T$7:$T$306,$K$242)&amp;"시간"))</f>
        <v/>
      </c>
      <c r="F252" s="4">
        <f>IF($K$242="","",IF(설정!$B$32="","",설정!$B$32))</f>
        <v/>
      </c>
      <c r="G252" s="31">
        <f>IF(OR($K$242="",설정!$B$32=""),"",INDEX(직원목록!$AC$7:$AC$306,$K$242))</f>
        <v/>
      </c>
      <c r="H252" s="19" t="n"/>
    </row>
    <row r="253">
      <c r="B253" s="4">
        <f>IF($K$242="","",IF(설정!$B$24="","",설정!$B$24))</f>
        <v/>
      </c>
      <c r="C253" s="31">
        <f>IF(OR($K$242="",설정!$B$24=""),"",INDEX(직원목록!$M$7:$M$306,$K$242))</f>
        <v/>
      </c>
      <c r="D253" s="32">
        <f>IF(OR($K$242="",설정!$B$24=""),"",IF(N(INDEX(직원목록!$U$7:$U$306,$K$242))=0,"",INDEX(직원목록!$U$7:$U$306,$K$242)&amp;"시간"))</f>
        <v/>
      </c>
      <c r="F253" s="4">
        <f>IF($K$242="","",IF(설정!$B$33="","",설정!$B$33))</f>
        <v/>
      </c>
      <c r="G253" s="31">
        <f>IF(OR($K$242="",설정!$B$33=""),"",INDEX(직원목록!$AD$7:$AD$306,$K$242))</f>
        <v/>
      </c>
      <c r="H253" s="19" t="n"/>
    </row>
    <row r="254">
      <c r="B254" s="3" t="inlineStr">
        <is>
          <t>지급 합계</t>
        </is>
      </c>
      <c r="C254" s="35">
        <f>IF($K$242="","",INDEX(직원목록!$V$7:$V$306,$K$242))</f>
        <v/>
      </c>
      <c r="D254" s="36" t="n"/>
      <c r="F254" s="3" t="inlineStr">
        <is>
          <t>공제 합계</t>
        </is>
      </c>
      <c r="G254" s="35">
        <f>IF($K$242="","",INDEX(직원목록!$AE$7:$AE$306,$K$242))</f>
        <v/>
      </c>
      <c r="H254" s="36" t="n"/>
    </row>
    <row r="255" ht="28" customHeight="1">
      <c r="B255" s="37" t="inlineStr">
        <is>
          <t>실 수령액 (지급 합계 − 공제 합계)</t>
        </is>
      </c>
      <c r="C255" s="29" t="n"/>
      <c r="D255" s="29" t="n"/>
      <c r="E255" s="38">
        <f>IF($K$242="","",INDEX(직원목록!$AF$7:$AF$306,$K$242))</f>
        <v/>
      </c>
      <c r="F255" s="29" t="n"/>
      <c r="G255" s="29" t="n"/>
      <c r="H255" s="29" t="n"/>
    </row>
    <row r="256">
      <c r="B256" s="39">
        <f>IF($K$242="","",설정!$B$7)</f>
        <v/>
      </c>
    </row>
    <row r="272" ht="30" customHeight="1">
      <c r="B272" s="28">
        <f>IF($K$272="","","임금명세서  ("&amp;설정!$B$5&amp;")")</f>
        <v/>
      </c>
      <c r="K272" s="34">
        <f>IFERROR(MATCH(10,직원목록!$B$7:$B$306,0),"")</f>
        <v/>
      </c>
    </row>
    <row r="273">
      <c r="B273" s="7" t="inlineStr">
        <is>
          <t>회사명</t>
        </is>
      </c>
      <c r="C273" s="21">
        <f>IF($K$272="","",설정!$B$4)</f>
        <v/>
      </c>
      <c r="D273" s="29" t="n"/>
      <c r="E273" s="19" t="n"/>
      <c r="F273" s="7" t="inlineStr">
        <is>
          <t>임금 지급일</t>
        </is>
      </c>
      <c r="G273" s="21">
        <f>IF($K$272="","",TEXT(설정!$B$6,"yyyy-mm-dd"))</f>
        <v/>
      </c>
      <c r="H273" s="29" t="n"/>
    </row>
    <row r="274">
      <c r="B274" s="7" t="inlineStr">
        <is>
          <t>성명</t>
        </is>
      </c>
      <c r="C274" s="22">
        <f>IF($K$272="","",INDEX(직원목록!$D$7:$D$306,$K$272))</f>
        <v/>
      </c>
      <c r="D274" s="7" t="inlineStr">
        <is>
          <t>사번</t>
        </is>
      </c>
      <c r="E274" s="21">
        <f>IF($K$272="","",INDEX(직원목록!$C$7:$C$306,$K$272))</f>
        <v/>
      </c>
      <c r="F274" s="7" t="inlineStr">
        <is>
          <t>부서</t>
        </is>
      </c>
      <c r="G274" s="21">
        <f>IF($K$272="","",INDEX(직원목록!$E$7:$E$306,$K$272))</f>
        <v/>
      </c>
      <c r="H274" s="29" t="n"/>
    </row>
    <row r="275">
      <c r="B275" s="12" t="inlineStr">
        <is>
          <t>지급 항목</t>
        </is>
      </c>
      <c r="C275" s="12" t="inlineStr">
        <is>
          <t>금액(원)</t>
        </is>
      </c>
      <c r="D275" s="12" t="inlineStr">
        <is>
          <t>계산 근거</t>
        </is>
      </c>
      <c r="E275" s="2" t="n"/>
      <c r="F275" s="12" t="inlineStr">
        <is>
          <t>공제 항목</t>
        </is>
      </c>
      <c r="G275" s="12" t="inlineStr">
        <is>
          <t>금액(원)</t>
        </is>
      </c>
      <c r="H275" s="12" t="n"/>
    </row>
    <row r="276">
      <c r="B276" s="4">
        <f>IF($K$272="","",IF(설정!$B$17="","",설정!$B$17))</f>
        <v/>
      </c>
      <c r="C276" s="31">
        <f>IF(OR($K$272="",설정!$B$17=""),"",INDEX(직원목록!$F$7:$F$306,$K$272))</f>
        <v/>
      </c>
      <c r="D276" s="32">
        <f>IF(OR($K$272="",설정!$B$17=""),"",IF(N(INDEX(직원목록!$N$7:$N$306,$K$272))=0,"",INDEX(직원목록!$N$7:$N$306,$K$272)&amp;"시간"))</f>
        <v/>
      </c>
      <c r="F276" s="4">
        <f>IF($K$272="","",IF(설정!$B$26="","",설정!$B$26))</f>
        <v/>
      </c>
      <c r="G276" s="31">
        <f>IF(OR($K$272="",설정!$B$26=""),"",INDEX(직원목록!$W$7:$W$306,$K$272))</f>
        <v/>
      </c>
      <c r="H276" s="19" t="n"/>
    </row>
    <row r="277">
      <c r="B277" s="4">
        <f>IF($K$272="","",IF(설정!$B$18="","",설정!$B$18))</f>
        <v/>
      </c>
      <c r="C277" s="31">
        <f>IF(OR($K$272="",설정!$B$18=""),"",INDEX(직원목록!$G$7:$G$306,$K$272))</f>
        <v/>
      </c>
      <c r="D277" s="32">
        <f>IF(OR($K$272="",설정!$B$18=""),"",IF(N(INDEX(직원목록!$O$7:$O$306,$K$272))=0,"",INDEX(직원목록!$O$7:$O$306,$K$272)&amp;"시간"))</f>
        <v/>
      </c>
      <c r="F277" s="4">
        <f>IF($K$272="","",IF(설정!$B$27="","",설정!$B$27))</f>
        <v/>
      </c>
      <c r="G277" s="31">
        <f>IF(OR($K$272="",설정!$B$27=""),"",INDEX(직원목록!$X$7:$X$306,$K$272))</f>
        <v/>
      </c>
      <c r="H277" s="19" t="n"/>
    </row>
    <row r="278">
      <c r="B278" s="4">
        <f>IF($K$272="","",IF(설정!$B$19="","",설정!$B$19))</f>
        <v/>
      </c>
      <c r="C278" s="31">
        <f>IF(OR($K$272="",설정!$B$19=""),"",INDEX(직원목록!$H$7:$H$306,$K$272))</f>
        <v/>
      </c>
      <c r="D278" s="32">
        <f>IF(OR($K$272="",설정!$B$19=""),"",IF(N(INDEX(직원목록!$P$7:$P$306,$K$272))=0,"",INDEX(직원목록!$P$7:$P$306,$K$272)&amp;"시간"))</f>
        <v/>
      </c>
      <c r="F278" s="4">
        <f>IF($K$272="","",IF(설정!$B$28="","",설정!$B$28))</f>
        <v/>
      </c>
      <c r="G278" s="31">
        <f>IF(OR($K$272="",설정!$B$28=""),"",INDEX(직원목록!$Y$7:$Y$306,$K$272))</f>
        <v/>
      </c>
      <c r="H278" s="19" t="n"/>
    </row>
    <row r="279">
      <c r="B279" s="4">
        <f>IF($K$272="","",IF(설정!$B$20="","",설정!$B$20))</f>
        <v/>
      </c>
      <c r="C279" s="31">
        <f>IF(OR($K$272="",설정!$B$20=""),"",INDEX(직원목록!$I$7:$I$306,$K$272))</f>
        <v/>
      </c>
      <c r="D279" s="32">
        <f>IF(OR($K$272="",설정!$B$20=""),"",IF(N(INDEX(직원목록!$Q$7:$Q$306,$K$272))=0,"",INDEX(직원목록!$Q$7:$Q$306,$K$272)&amp;"시간"))</f>
        <v/>
      </c>
      <c r="F279" s="4">
        <f>IF($K$272="","",IF(설정!$B$29="","",설정!$B$29))</f>
        <v/>
      </c>
      <c r="G279" s="31">
        <f>IF(OR($K$272="",설정!$B$29=""),"",INDEX(직원목록!$Z$7:$Z$306,$K$272))</f>
        <v/>
      </c>
      <c r="H279" s="19" t="n"/>
    </row>
    <row r="280">
      <c r="B280" s="4">
        <f>IF($K$272="","",IF(설정!$B$21="","",설정!$B$21))</f>
        <v/>
      </c>
      <c r="C280" s="31">
        <f>IF(OR($K$272="",설정!$B$21=""),"",INDEX(직원목록!$J$7:$J$306,$K$272))</f>
        <v/>
      </c>
      <c r="D280" s="32">
        <f>IF(OR($K$272="",설정!$B$21=""),"",IF(N(INDEX(직원목록!$R$7:$R$306,$K$272))=0,"",INDEX(직원목록!$R$7:$R$306,$K$272)&amp;"시간"))</f>
        <v/>
      </c>
      <c r="F280" s="4">
        <f>IF($K$272="","",IF(설정!$B$30="","",설정!$B$30))</f>
        <v/>
      </c>
      <c r="G280" s="31">
        <f>IF(OR($K$272="",설정!$B$30=""),"",INDEX(직원목록!$AA$7:$AA$306,$K$272))</f>
        <v/>
      </c>
      <c r="H280" s="19" t="n"/>
    </row>
    <row r="281">
      <c r="B281" s="4">
        <f>IF($K$272="","",IF(설정!$B$22="","",설정!$B$22))</f>
        <v/>
      </c>
      <c r="C281" s="31">
        <f>IF(OR($K$272="",설정!$B$22=""),"",INDEX(직원목록!$K$7:$K$306,$K$272))</f>
        <v/>
      </c>
      <c r="D281" s="32">
        <f>IF(OR($K$272="",설정!$B$22=""),"",IF(N(INDEX(직원목록!$S$7:$S$306,$K$272))=0,"",INDEX(직원목록!$S$7:$S$306,$K$272)&amp;"시간"))</f>
        <v/>
      </c>
      <c r="F281" s="4">
        <f>IF($K$272="","",IF(설정!$B$31="","",설정!$B$31))</f>
        <v/>
      </c>
      <c r="G281" s="31">
        <f>IF(OR($K$272="",설정!$B$31=""),"",INDEX(직원목록!$AB$7:$AB$306,$K$272))</f>
        <v/>
      </c>
      <c r="H281" s="19" t="n"/>
    </row>
    <row r="282">
      <c r="B282" s="4">
        <f>IF($K$272="","",IF(설정!$B$23="","",설정!$B$23))</f>
        <v/>
      </c>
      <c r="C282" s="31">
        <f>IF(OR($K$272="",설정!$B$23=""),"",INDEX(직원목록!$L$7:$L$306,$K$272))</f>
        <v/>
      </c>
      <c r="D282" s="32">
        <f>IF(OR($K$272="",설정!$B$23=""),"",IF(N(INDEX(직원목록!$T$7:$T$306,$K$272))=0,"",INDEX(직원목록!$T$7:$T$306,$K$272)&amp;"시간"))</f>
        <v/>
      </c>
      <c r="F282" s="4">
        <f>IF($K$272="","",IF(설정!$B$32="","",설정!$B$32))</f>
        <v/>
      </c>
      <c r="G282" s="31">
        <f>IF(OR($K$272="",설정!$B$32=""),"",INDEX(직원목록!$AC$7:$AC$306,$K$272))</f>
        <v/>
      </c>
      <c r="H282" s="19" t="n"/>
    </row>
    <row r="283">
      <c r="B283" s="4">
        <f>IF($K$272="","",IF(설정!$B$24="","",설정!$B$24))</f>
        <v/>
      </c>
      <c r="C283" s="31">
        <f>IF(OR($K$272="",설정!$B$24=""),"",INDEX(직원목록!$M$7:$M$306,$K$272))</f>
        <v/>
      </c>
      <c r="D283" s="32">
        <f>IF(OR($K$272="",설정!$B$24=""),"",IF(N(INDEX(직원목록!$U$7:$U$306,$K$272))=0,"",INDEX(직원목록!$U$7:$U$306,$K$272)&amp;"시간"))</f>
        <v/>
      </c>
      <c r="F283" s="4">
        <f>IF($K$272="","",IF(설정!$B$33="","",설정!$B$33))</f>
        <v/>
      </c>
      <c r="G283" s="31">
        <f>IF(OR($K$272="",설정!$B$33=""),"",INDEX(직원목록!$AD$7:$AD$306,$K$272))</f>
        <v/>
      </c>
      <c r="H283" s="19" t="n"/>
    </row>
    <row r="284">
      <c r="B284" s="3" t="inlineStr">
        <is>
          <t>지급 합계</t>
        </is>
      </c>
      <c r="C284" s="35">
        <f>IF($K$272="","",INDEX(직원목록!$V$7:$V$306,$K$272))</f>
        <v/>
      </c>
      <c r="D284" s="36" t="n"/>
      <c r="F284" s="3" t="inlineStr">
        <is>
          <t>공제 합계</t>
        </is>
      </c>
      <c r="G284" s="35">
        <f>IF($K$272="","",INDEX(직원목록!$AE$7:$AE$306,$K$272))</f>
        <v/>
      </c>
      <c r="H284" s="36" t="n"/>
    </row>
    <row r="285" ht="28" customHeight="1">
      <c r="B285" s="37" t="inlineStr">
        <is>
          <t>실 수령액 (지급 합계 − 공제 합계)</t>
        </is>
      </c>
      <c r="C285" s="29" t="n"/>
      <c r="D285" s="29" t="n"/>
      <c r="E285" s="38">
        <f>IF($K$272="","",INDEX(직원목록!$AF$7:$AF$306,$K$272))</f>
        <v/>
      </c>
      <c r="F285" s="29" t="n"/>
      <c r="G285" s="29" t="n"/>
      <c r="H285" s="29" t="n"/>
    </row>
    <row r="286">
      <c r="B286" s="39">
        <f>IF($K$272="","",설정!$B$7)</f>
        <v/>
      </c>
    </row>
    <row r="302" ht="30" customHeight="1">
      <c r="B302" s="28">
        <f>IF($K$302="","","임금명세서  ("&amp;설정!$B$5&amp;")")</f>
        <v/>
      </c>
      <c r="K302" s="34">
        <f>IFERROR(MATCH(11,직원목록!$B$7:$B$306,0),"")</f>
        <v/>
      </c>
    </row>
    <row r="303">
      <c r="B303" s="7" t="inlineStr">
        <is>
          <t>회사명</t>
        </is>
      </c>
      <c r="C303" s="21">
        <f>IF($K$302="","",설정!$B$4)</f>
        <v/>
      </c>
      <c r="D303" s="29" t="n"/>
      <c r="E303" s="19" t="n"/>
      <c r="F303" s="7" t="inlineStr">
        <is>
          <t>임금 지급일</t>
        </is>
      </c>
      <c r="G303" s="21">
        <f>IF($K$302="","",TEXT(설정!$B$6,"yyyy-mm-dd"))</f>
        <v/>
      </c>
      <c r="H303" s="29" t="n"/>
    </row>
    <row r="304">
      <c r="B304" s="7" t="inlineStr">
        <is>
          <t>성명</t>
        </is>
      </c>
      <c r="C304" s="22">
        <f>IF($K$302="","",INDEX(직원목록!$D$7:$D$306,$K$302))</f>
        <v/>
      </c>
      <c r="D304" s="7" t="inlineStr">
        <is>
          <t>사번</t>
        </is>
      </c>
      <c r="E304" s="21">
        <f>IF($K$302="","",INDEX(직원목록!$C$7:$C$306,$K$302))</f>
        <v/>
      </c>
      <c r="F304" s="7" t="inlineStr">
        <is>
          <t>부서</t>
        </is>
      </c>
      <c r="G304" s="21">
        <f>IF($K$302="","",INDEX(직원목록!$E$7:$E$306,$K$302))</f>
        <v/>
      </c>
      <c r="H304" s="29" t="n"/>
    </row>
    <row r="305">
      <c r="B305" s="12" t="inlineStr">
        <is>
          <t>지급 항목</t>
        </is>
      </c>
      <c r="C305" s="12" t="inlineStr">
        <is>
          <t>금액(원)</t>
        </is>
      </c>
      <c r="D305" s="12" t="inlineStr">
        <is>
          <t>계산 근거</t>
        </is>
      </c>
      <c r="E305" s="2" t="n"/>
      <c r="F305" s="12" t="inlineStr">
        <is>
          <t>공제 항목</t>
        </is>
      </c>
      <c r="G305" s="12" t="inlineStr">
        <is>
          <t>금액(원)</t>
        </is>
      </c>
      <c r="H305" s="12" t="n"/>
    </row>
    <row r="306">
      <c r="B306" s="4">
        <f>IF($K$302="","",IF(설정!$B$17="","",설정!$B$17))</f>
        <v/>
      </c>
      <c r="C306" s="31">
        <f>IF(OR($K$302="",설정!$B$17=""),"",INDEX(직원목록!$F$7:$F$306,$K$302))</f>
        <v/>
      </c>
      <c r="D306" s="32">
        <f>IF(OR($K$302="",설정!$B$17=""),"",IF(N(INDEX(직원목록!$N$7:$N$306,$K$302))=0,"",INDEX(직원목록!$N$7:$N$306,$K$302)&amp;"시간"))</f>
        <v/>
      </c>
      <c r="F306" s="4">
        <f>IF($K$302="","",IF(설정!$B$26="","",설정!$B$26))</f>
        <v/>
      </c>
      <c r="G306" s="31">
        <f>IF(OR($K$302="",설정!$B$26=""),"",INDEX(직원목록!$W$7:$W$306,$K$302))</f>
        <v/>
      </c>
      <c r="H306" s="19" t="n"/>
    </row>
    <row r="307">
      <c r="B307" s="4">
        <f>IF($K$302="","",IF(설정!$B$18="","",설정!$B$18))</f>
        <v/>
      </c>
      <c r="C307" s="31">
        <f>IF(OR($K$302="",설정!$B$18=""),"",INDEX(직원목록!$G$7:$G$306,$K$302))</f>
        <v/>
      </c>
      <c r="D307" s="32">
        <f>IF(OR($K$302="",설정!$B$18=""),"",IF(N(INDEX(직원목록!$O$7:$O$306,$K$302))=0,"",INDEX(직원목록!$O$7:$O$306,$K$302)&amp;"시간"))</f>
        <v/>
      </c>
      <c r="F307" s="4">
        <f>IF($K$302="","",IF(설정!$B$27="","",설정!$B$27))</f>
        <v/>
      </c>
      <c r="G307" s="31">
        <f>IF(OR($K$302="",설정!$B$27=""),"",INDEX(직원목록!$X$7:$X$306,$K$302))</f>
        <v/>
      </c>
      <c r="H307" s="19" t="n"/>
    </row>
    <row r="308">
      <c r="B308" s="4">
        <f>IF($K$302="","",IF(설정!$B$19="","",설정!$B$19))</f>
        <v/>
      </c>
      <c r="C308" s="31">
        <f>IF(OR($K$302="",설정!$B$19=""),"",INDEX(직원목록!$H$7:$H$306,$K$302))</f>
        <v/>
      </c>
      <c r="D308" s="32">
        <f>IF(OR($K$302="",설정!$B$19=""),"",IF(N(INDEX(직원목록!$P$7:$P$306,$K$302))=0,"",INDEX(직원목록!$P$7:$P$306,$K$302)&amp;"시간"))</f>
        <v/>
      </c>
      <c r="F308" s="4">
        <f>IF($K$302="","",IF(설정!$B$28="","",설정!$B$28))</f>
        <v/>
      </c>
      <c r="G308" s="31">
        <f>IF(OR($K$302="",설정!$B$28=""),"",INDEX(직원목록!$Y$7:$Y$306,$K$302))</f>
        <v/>
      </c>
      <c r="H308" s="19" t="n"/>
    </row>
    <row r="309">
      <c r="B309" s="4">
        <f>IF($K$302="","",IF(설정!$B$20="","",설정!$B$20))</f>
        <v/>
      </c>
      <c r="C309" s="31">
        <f>IF(OR($K$302="",설정!$B$20=""),"",INDEX(직원목록!$I$7:$I$306,$K$302))</f>
        <v/>
      </c>
      <c r="D309" s="32">
        <f>IF(OR($K$302="",설정!$B$20=""),"",IF(N(INDEX(직원목록!$Q$7:$Q$306,$K$302))=0,"",INDEX(직원목록!$Q$7:$Q$306,$K$302)&amp;"시간"))</f>
        <v/>
      </c>
      <c r="F309" s="4">
        <f>IF($K$302="","",IF(설정!$B$29="","",설정!$B$29))</f>
        <v/>
      </c>
      <c r="G309" s="31">
        <f>IF(OR($K$302="",설정!$B$29=""),"",INDEX(직원목록!$Z$7:$Z$306,$K$302))</f>
        <v/>
      </c>
      <c r="H309" s="19" t="n"/>
    </row>
    <row r="310">
      <c r="B310" s="4">
        <f>IF($K$302="","",IF(설정!$B$21="","",설정!$B$21))</f>
        <v/>
      </c>
      <c r="C310" s="31">
        <f>IF(OR($K$302="",설정!$B$21=""),"",INDEX(직원목록!$J$7:$J$306,$K$302))</f>
        <v/>
      </c>
      <c r="D310" s="32">
        <f>IF(OR($K$302="",설정!$B$21=""),"",IF(N(INDEX(직원목록!$R$7:$R$306,$K$302))=0,"",INDEX(직원목록!$R$7:$R$306,$K$302)&amp;"시간"))</f>
        <v/>
      </c>
      <c r="F310" s="4">
        <f>IF($K$302="","",IF(설정!$B$30="","",설정!$B$30))</f>
        <v/>
      </c>
      <c r="G310" s="31">
        <f>IF(OR($K$302="",설정!$B$30=""),"",INDEX(직원목록!$AA$7:$AA$306,$K$302))</f>
        <v/>
      </c>
      <c r="H310" s="19" t="n"/>
    </row>
    <row r="311">
      <c r="B311" s="4">
        <f>IF($K$302="","",IF(설정!$B$22="","",설정!$B$22))</f>
        <v/>
      </c>
      <c r="C311" s="31">
        <f>IF(OR($K$302="",설정!$B$22=""),"",INDEX(직원목록!$K$7:$K$306,$K$302))</f>
        <v/>
      </c>
      <c r="D311" s="32">
        <f>IF(OR($K$302="",설정!$B$22=""),"",IF(N(INDEX(직원목록!$S$7:$S$306,$K$302))=0,"",INDEX(직원목록!$S$7:$S$306,$K$302)&amp;"시간"))</f>
        <v/>
      </c>
      <c r="F311" s="4">
        <f>IF($K$302="","",IF(설정!$B$31="","",설정!$B$31))</f>
        <v/>
      </c>
      <c r="G311" s="31">
        <f>IF(OR($K$302="",설정!$B$31=""),"",INDEX(직원목록!$AB$7:$AB$306,$K$302))</f>
        <v/>
      </c>
      <c r="H311" s="19" t="n"/>
    </row>
    <row r="312">
      <c r="B312" s="4">
        <f>IF($K$302="","",IF(설정!$B$23="","",설정!$B$23))</f>
        <v/>
      </c>
      <c r="C312" s="31">
        <f>IF(OR($K$302="",설정!$B$23=""),"",INDEX(직원목록!$L$7:$L$306,$K$302))</f>
        <v/>
      </c>
      <c r="D312" s="32">
        <f>IF(OR($K$302="",설정!$B$23=""),"",IF(N(INDEX(직원목록!$T$7:$T$306,$K$302))=0,"",INDEX(직원목록!$T$7:$T$306,$K$302)&amp;"시간"))</f>
        <v/>
      </c>
      <c r="F312" s="4">
        <f>IF($K$302="","",IF(설정!$B$32="","",설정!$B$32))</f>
        <v/>
      </c>
      <c r="G312" s="31">
        <f>IF(OR($K$302="",설정!$B$32=""),"",INDEX(직원목록!$AC$7:$AC$306,$K$302))</f>
        <v/>
      </c>
      <c r="H312" s="19" t="n"/>
    </row>
    <row r="313">
      <c r="B313" s="4">
        <f>IF($K$302="","",IF(설정!$B$24="","",설정!$B$24))</f>
        <v/>
      </c>
      <c r="C313" s="31">
        <f>IF(OR($K$302="",설정!$B$24=""),"",INDEX(직원목록!$M$7:$M$306,$K$302))</f>
        <v/>
      </c>
      <c r="D313" s="32">
        <f>IF(OR($K$302="",설정!$B$24=""),"",IF(N(INDEX(직원목록!$U$7:$U$306,$K$302))=0,"",INDEX(직원목록!$U$7:$U$306,$K$302)&amp;"시간"))</f>
        <v/>
      </c>
      <c r="F313" s="4">
        <f>IF($K$302="","",IF(설정!$B$33="","",설정!$B$33))</f>
        <v/>
      </c>
      <c r="G313" s="31">
        <f>IF(OR($K$302="",설정!$B$33=""),"",INDEX(직원목록!$AD$7:$AD$306,$K$302))</f>
        <v/>
      </c>
      <c r="H313" s="19" t="n"/>
    </row>
    <row r="314">
      <c r="B314" s="3" t="inlineStr">
        <is>
          <t>지급 합계</t>
        </is>
      </c>
      <c r="C314" s="35">
        <f>IF($K$302="","",INDEX(직원목록!$V$7:$V$306,$K$302))</f>
        <v/>
      </c>
      <c r="D314" s="36" t="n"/>
      <c r="F314" s="3" t="inlineStr">
        <is>
          <t>공제 합계</t>
        </is>
      </c>
      <c r="G314" s="35">
        <f>IF($K$302="","",INDEX(직원목록!$AE$7:$AE$306,$K$302))</f>
        <v/>
      </c>
      <c r="H314" s="36" t="n"/>
    </row>
    <row r="315" ht="28" customHeight="1">
      <c r="B315" s="37" t="inlineStr">
        <is>
          <t>실 수령액 (지급 합계 − 공제 합계)</t>
        </is>
      </c>
      <c r="C315" s="29" t="n"/>
      <c r="D315" s="29" t="n"/>
      <c r="E315" s="38">
        <f>IF($K$302="","",INDEX(직원목록!$AF$7:$AF$306,$K$302))</f>
        <v/>
      </c>
      <c r="F315" s="29" t="n"/>
      <c r="G315" s="29" t="n"/>
      <c r="H315" s="29" t="n"/>
    </row>
    <row r="316">
      <c r="B316" s="39">
        <f>IF($K$302="","",설정!$B$7)</f>
        <v/>
      </c>
    </row>
    <row r="332" ht="30" customHeight="1">
      <c r="B332" s="28">
        <f>IF($K$332="","","임금명세서  ("&amp;설정!$B$5&amp;")")</f>
        <v/>
      </c>
      <c r="K332" s="34">
        <f>IFERROR(MATCH(12,직원목록!$B$7:$B$306,0),"")</f>
        <v/>
      </c>
    </row>
    <row r="333">
      <c r="B333" s="7" t="inlineStr">
        <is>
          <t>회사명</t>
        </is>
      </c>
      <c r="C333" s="21">
        <f>IF($K$332="","",설정!$B$4)</f>
        <v/>
      </c>
      <c r="D333" s="29" t="n"/>
      <c r="E333" s="19" t="n"/>
      <c r="F333" s="7" t="inlineStr">
        <is>
          <t>임금 지급일</t>
        </is>
      </c>
      <c r="G333" s="21">
        <f>IF($K$332="","",TEXT(설정!$B$6,"yyyy-mm-dd"))</f>
        <v/>
      </c>
      <c r="H333" s="29" t="n"/>
    </row>
    <row r="334">
      <c r="B334" s="7" t="inlineStr">
        <is>
          <t>성명</t>
        </is>
      </c>
      <c r="C334" s="22">
        <f>IF($K$332="","",INDEX(직원목록!$D$7:$D$306,$K$332))</f>
        <v/>
      </c>
      <c r="D334" s="7" t="inlineStr">
        <is>
          <t>사번</t>
        </is>
      </c>
      <c r="E334" s="21">
        <f>IF($K$332="","",INDEX(직원목록!$C$7:$C$306,$K$332))</f>
        <v/>
      </c>
      <c r="F334" s="7" t="inlineStr">
        <is>
          <t>부서</t>
        </is>
      </c>
      <c r="G334" s="21">
        <f>IF($K$332="","",INDEX(직원목록!$E$7:$E$306,$K$332))</f>
        <v/>
      </c>
      <c r="H334" s="29" t="n"/>
    </row>
    <row r="335">
      <c r="B335" s="12" t="inlineStr">
        <is>
          <t>지급 항목</t>
        </is>
      </c>
      <c r="C335" s="12" t="inlineStr">
        <is>
          <t>금액(원)</t>
        </is>
      </c>
      <c r="D335" s="12" t="inlineStr">
        <is>
          <t>계산 근거</t>
        </is>
      </c>
      <c r="E335" s="2" t="n"/>
      <c r="F335" s="12" t="inlineStr">
        <is>
          <t>공제 항목</t>
        </is>
      </c>
      <c r="G335" s="12" t="inlineStr">
        <is>
          <t>금액(원)</t>
        </is>
      </c>
      <c r="H335" s="12" t="n"/>
    </row>
    <row r="336">
      <c r="B336" s="4">
        <f>IF($K$332="","",IF(설정!$B$17="","",설정!$B$17))</f>
        <v/>
      </c>
      <c r="C336" s="31">
        <f>IF(OR($K$332="",설정!$B$17=""),"",INDEX(직원목록!$F$7:$F$306,$K$332))</f>
        <v/>
      </c>
      <c r="D336" s="32">
        <f>IF(OR($K$332="",설정!$B$17=""),"",IF(N(INDEX(직원목록!$N$7:$N$306,$K$332))=0,"",INDEX(직원목록!$N$7:$N$306,$K$332)&amp;"시간"))</f>
        <v/>
      </c>
      <c r="F336" s="4">
        <f>IF($K$332="","",IF(설정!$B$26="","",설정!$B$26))</f>
        <v/>
      </c>
      <c r="G336" s="31">
        <f>IF(OR($K$332="",설정!$B$26=""),"",INDEX(직원목록!$W$7:$W$306,$K$332))</f>
        <v/>
      </c>
      <c r="H336" s="19" t="n"/>
    </row>
    <row r="337">
      <c r="B337" s="4">
        <f>IF($K$332="","",IF(설정!$B$18="","",설정!$B$18))</f>
        <v/>
      </c>
      <c r="C337" s="31">
        <f>IF(OR($K$332="",설정!$B$18=""),"",INDEX(직원목록!$G$7:$G$306,$K$332))</f>
        <v/>
      </c>
      <c r="D337" s="32">
        <f>IF(OR($K$332="",설정!$B$18=""),"",IF(N(INDEX(직원목록!$O$7:$O$306,$K$332))=0,"",INDEX(직원목록!$O$7:$O$306,$K$332)&amp;"시간"))</f>
        <v/>
      </c>
      <c r="F337" s="4">
        <f>IF($K$332="","",IF(설정!$B$27="","",설정!$B$27))</f>
        <v/>
      </c>
      <c r="G337" s="31">
        <f>IF(OR($K$332="",설정!$B$27=""),"",INDEX(직원목록!$X$7:$X$306,$K$332))</f>
        <v/>
      </c>
      <c r="H337" s="19" t="n"/>
    </row>
    <row r="338">
      <c r="B338" s="4">
        <f>IF($K$332="","",IF(설정!$B$19="","",설정!$B$19))</f>
        <v/>
      </c>
      <c r="C338" s="31">
        <f>IF(OR($K$332="",설정!$B$19=""),"",INDEX(직원목록!$H$7:$H$306,$K$332))</f>
        <v/>
      </c>
      <c r="D338" s="32">
        <f>IF(OR($K$332="",설정!$B$19=""),"",IF(N(INDEX(직원목록!$P$7:$P$306,$K$332))=0,"",INDEX(직원목록!$P$7:$P$306,$K$332)&amp;"시간"))</f>
        <v/>
      </c>
      <c r="F338" s="4">
        <f>IF($K$332="","",IF(설정!$B$28="","",설정!$B$28))</f>
        <v/>
      </c>
      <c r="G338" s="31">
        <f>IF(OR($K$332="",설정!$B$28=""),"",INDEX(직원목록!$Y$7:$Y$306,$K$332))</f>
        <v/>
      </c>
      <c r="H338" s="19" t="n"/>
    </row>
    <row r="339">
      <c r="B339" s="4">
        <f>IF($K$332="","",IF(설정!$B$20="","",설정!$B$20))</f>
        <v/>
      </c>
      <c r="C339" s="31">
        <f>IF(OR($K$332="",설정!$B$20=""),"",INDEX(직원목록!$I$7:$I$306,$K$332))</f>
        <v/>
      </c>
      <c r="D339" s="32">
        <f>IF(OR($K$332="",설정!$B$20=""),"",IF(N(INDEX(직원목록!$Q$7:$Q$306,$K$332))=0,"",INDEX(직원목록!$Q$7:$Q$306,$K$332)&amp;"시간"))</f>
        <v/>
      </c>
      <c r="F339" s="4">
        <f>IF($K$332="","",IF(설정!$B$29="","",설정!$B$29))</f>
        <v/>
      </c>
      <c r="G339" s="31">
        <f>IF(OR($K$332="",설정!$B$29=""),"",INDEX(직원목록!$Z$7:$Z$306,$K$332))</f>
        <v/>
      </c>
      <c r="H339" s="19" t="n"/>
    </row>
    <row r="340">
      <c r="B340" s="4">
        <f>IF($K$332="","",IF(설정!$B$21="","",설정!$B$21))</f>
        <v/>
      </c>
      <c r="C340" s="31">
        <f>IF(OR($K$332="",설정!$B$21=""),"",INDEX(직원목록!$J$7:$J$306,$K$332))</f>
        <v/>
      </c>
      <c r="D340" s="32">
        <f>IF(OR($K$332="",설정!$B$21=""),"",IF(N(INDEX(직원목록!$R$7:$R$306,$K$332))=0,"",INDEX(직원목록!$R$7:$R$306,$K$332)&amp;"시간"))</f>
        <v/>
      </c>
      <c r="F340" s="4">
        <f>IF($K$332="","",IF(설정!$B$30="","",설정!$B$30))</f>
        <v/>
      </c>
      <c r="G340" s="31">
        <f>IF(OR($K$332="",설정!$B$30=""),"",INDEX(직원목록!$AA$7:$AA$306,$K$332))</f>
        <v/>
      </c>
      <c r="H340" s="19" t="n"/>
    </row>
    <row r="341">
      <c r="B341" s="4">
        <f>IF($K$332="","",IF(설정!$B$22="","",설정!$B$22))</f>
        <v/>
      </c>
      <c r="C341" s="31">
        <f>IF(OR($K$332="",설정!$B$22=""),"",INDEX(직원목록!$K$7:$K$306,$K$332))</f>
        <v/>
      </c>
      <c r="D341" s="32">
        <f>IF(OR($K$332="",설정!$B$22=""),"",IF(N(INDEX(직원목록!$S$7:$S$306,$K$332))=0,"",INDEX(직원목록!$S$7:$S$306,$K$332)&amp;"시간"))</f>
        <v/>
      </c>
      <c r="F341" s="4">
        <f>IF($K$332="","",IF(설정!$B$31="","",설정!$B$31))</f>
        <v/>
      </c>
      <c r="G341" s="31">
        <f>IF(OR($K$332="",설정!$B$31=""),"",INDEX(직원목록!$AB$7:$AB$306,$K$332))</f>
        <v/>
      </c>
      <c r="H341" s="19" t="n"/>
    </row>
    <row r="342">
      <c r="B342" s="4">
        <f>IF($K$332="","",IF(설정!$B$23="","",설정!$B$23))</f>
        <v/>
      </c>
      <c r="C342" s="31">
        <f>IF(OR($K$332="",설정!$B$23=""),"",INDEX(직원목록!$L$7:$L$306,$K$332))</f>
        <v/>
      </c>
      <c r="D342" s="32">
        <f>IF(OR($K$332="",설정!$B$23=""),"",IF(N(INDEX(직원목록!$T$7:$T$306,$K$332))=0,"",INDEX(직원목록!$T$7:$T$306,$K$332)&amp;"시간"))</f>
        <v/>
      </c>
      <c r="F342" s="4">
        <f>IF($K$332="","",IF(설정!$B$32="","",설정!$B$32))</f>
        <v/>
      </c>
      <c r="G342" s="31">
        <f>IF(OR($K$332="",설정!$B$32=""),"",INDEX(직원목록!$AC$7:$AC$306,$K$332))</f>
        <v/>
      </c>
      <c r="H342" s="19" t="n"/>
    </row>
    <row r="343">
      <c r="B343" s="4">
        <f>IF($K$332="","",IF(설정!$B$24="","",설정!$B$24))</f>
        <v/>
      </c>
      <c r="C343" s="31">
        <f>IF(OR($K$332="",설정!$B$24=""),"",INDEX(직원목록!$M$7:$M$306,$K$332))</f>
        <v/>
      </c>
      <c r="D343" s="32">
        <f>IF(OR($K$332="",설정!$B$24=""),"",IF(N(INDEX(직원목록!$U$7:$U$306,$K$332))=0,"",INDEX(직원목록!$U$7:$U$306,$K$332)&amp;"시간"))</f>
        <v/>
      </c>
      <c r="F343" s="4">
        <f>IF($K$332="","",IF(설정!$B$33="","",설정!$B$33))</f>
        <v/>
      </c>
      <c r="G343" s="31">
        <f>IF(OR($K$332="",설정!$B$33=""),"",INDEX(직원목록!$AD$7:$AD$306,$K$332))</f>
        <v/>
      </c>
      <c r="H343" s="19" t="n"/>
    </row>
    <row r="344">
      <c r="B344" s="3" t="inlineStr">
        <is>
          <t>지급 합계</t>
        </is>
      </c>
      <c r="C344" s="35">
        <f>IF($K$332="","",INDEX(직원목록!$V$7:$V$306,$K$332))</f>
        <v/>
      </c>
      <c r="D344" s="36" t="n"/>
      <c r="F344" s="3" t="inlineStr">
        <is>
          <t>공제 합계</t>
        </is>
      </c>
      <c r="G344" s="35">
        <f>IF($K$332="","",INDEX(직원목록!$AE$7:$AE$306,$K$332))</f>
        <v/>
      </c>
      <c r="H344" s="36" t="n"/>
    </row>
    <row r="345" ht="28" customHeight="1">
      <c r="B345" s="37" t="inlineStr">
        <is>
          <t>실 수령액 (지급 합계 − 공제 합계)</t>
        </is>
      </c>
      <c r="C345" s="29" t="n"/>
      <c r="D345" s="29" t="n"/>
      <c r="E345" s="38">
        <f>IF($K$332="","",INDEX(직원목록!$AF$7:$AF$306,$K$332))</f>
        <v/>
      </c>
      <c r="F345" s="29" t="n"/>
      <c r="G345" s="29" t="n"/>
      <c r="H345" s="29" t="n"/>
    </row>
    <row r="346">
      <c r="B346" s="39">
        <f>IF($K$332="","",설정!$B$7)</f>
        <v/>
      </c>
    </row>
    <row r="362" ht="30" customHeight="1">
      <c r="B362" s="28">
        <f>IF($K$362="","","임금명세서  ("&amp;설정!$B$5&amp;")")</f>
        <v/>
      </c>
      <c r="K362" s="34">
        <f>IFERROR(MATCH(13,직원목록!$B$7:$B$306,0),"")</f>
        <v/>
      </c>
    </row>
    <row r="363">
      <c r="B363" s="7" t="inlineStr">
        <is>
          <t>회사명</t>
        </is>
      </c>
      <c r="C363" s="21">
        <f>IF($K$362="","",설정!$B$4)</f>
        <v/>
      </c>
      <c r="D363" s="29" t="n"/>
      <c r="E363" s="19" t="n"/>
      <c r="F363" s="7" t="inlineStr">
        <is>
          <t>임금 지급일</t>
        </is>
      </c>
      <c r="G363" s="21">
        <f>IF($K$362="","",TEXT(설정!$B$6,"yyyy-mm-dd"))</f>
        <v/>
      </c>
      <c r="H363" s="29" t="n"/>
    </row>
    <row r="364">
      <c r="B364" s="7" t="inlineStr">
        <is>
          <t>성명</t>
        </is>
      </c>
      <c r="C364" s="22">
        <f>IF($K$362="","",INDEX(직원목록!$D$7:$D$306,$K$362))</f>
        <v/>
      </c>
      <c r="D364" s="7" t="inlineStr">
        <is>
          <t>사번</t>
        </is>
      </c>
      <c r="E364" s="21">
        <f>IF($K$362="","",INDEX(직원목록!$C$7:$C$306,$K$362))</f>
        <v/>
      </c>
      <c r="F364" s="7" t="inlineStr">
        <is>
          <t>부서</t>
        </is>
      </c>
      <c r="G364" s="21">
        <f>IF($K$362="","",INDEX(직원목록!$E$7:$E$306,$K$362))</f>
        <v/>
      </c>
      <c r="H364" s="29" t="n"/>
    </row>
    <row r="365">
      <c r="B365" s="12" t="inlineStr">
        <is>
          <t>지급 항목</t>
        </is>
      </c>
      <c r="C365" s="12" t="inlineStr">
        <is>
          <t>금액(원)</t>
        </is>
      </c>
      <c r="D365" s="12" t="inlineStr">
        <is>
          <t>계산 근거</t>
        </is>
      </c>
      <c r="E365" s="2" t="n"/>
      <c r="F365" s="12" t="inlineStr">
        <is>
          <t>공제 항목</t>
        </is>
      </c>
      <c r="G365" s="12" t="inlineStr">
        <is>
          <t>금액(원)</t>
        </is>
      </c>
      <c r="H365" s="12" t="n"/>
    </row>
    <row r="366">
      <c r="B366" s="4">
        <f>IF($K$362="","",IF(설정!$B$17="","",설정!$B$17))</f>
        <v/>
      </c>
      <c r="C366" s="31">
        <f>IF(OR($K$362="",설정!$B$17=""),"",INDEX(직원목록!$F$7:$F$306,$K$362))</f>
        <v/>
      </c>
      <c r="D366" s="32">
        <f>IF(OR($K$362="",설정!$B$17=""),"",IF(N(INDEX(직원목록!$N$7:$N$306,$K$362))=0,"",INDEX(직원목록!$N$7:$N$306,$K$362)&amp;"시간"))</f>
        <v/>
      </c>
      <c r="F366" s="4">
        <f>IF($K$362="","",IF(설정!$B$26="","",설정!$B$26))</f>
        <v/>
      </c>
      <c r="G366" s="31">
        <f>IF(OR($K$362="",설정!$B$26=""),"",INDEX(직원목록!$W$7:$W$306,$K$362))</f>
        <v/>
      </c>
      <c r="H366" s="19" t="n"/>
    </row>
    <row r="367">
      <c r="B367" s="4">
        <f>IF($K$362="","",IF(설정!$B$18="","",설정!$B$18))</f>
        <v/>
      </c>
      <c r="C367" s="31">
        <f>IF(OR($K$362="",설정!$B$18=""),"",INDEX(직원목록!$G$7:$G$306,$K$362))</f>
        <v/>
      </c>
      <c r="D367" s="32">
        <f>IF(OR($K$362="",설정!$B$18=""),"",IF(N(INDEX(직원목록!$O$7:$O$306,$K$362))=0,"",INDEX(직원목록!$O$7:$O$306,$K$362)&amp;"시간"))</f>
        <v/>
      </c>
      <c r="F367" s="4">
        <f>IF($K$362="","",IF(설정!$B$27="","",설정!$B$27))</f>
        <v/>
      </c>
      <c r="G367" s="31">
        <f>IF(OR($K$362="",설정!$B$27=""),"",INDEX(직원목록!$X$7:$X$306,$K$362))</f>
        <v/>
      </c>
      <c r="H367" s="19" t="n"/>
    </row>
    <row r="368">
      <c r="B368" s="4">
        <f>IF($K$362="","",IF(설정!$B$19="","",설정!$B$19))</f>
        <v/>
      </c>
      <c r="C368" s="31">
        <f>IF(OR($K$362="",설정!$B$19=""),"",INDEX(직원목록!$H$7:$H$306,$K$362))</f>
        <v/>
      </c>
      <c r="D368" s="32">
        <f>IF(OR($K$362="",설정!$B$19=""),"",IF(N(INDEX(직원목록!$P$7:$P$306,$K$362))=0,"",INDEX(직원목록!$P$7:$P$306,$K$362)&amp;"시간"))</f>
        <v/>
      </c>
      <c r="F368" s="4">
        <f>IF($K$362="","",IF(설정!$B$28="","",설정!$B$28))</f>
        <v/>
      </c>
      <c r="G368" s="31">
        <f>IF(OR($K$362="",설정!$B$28=""),"",INDEX(직원목록!$Y$7:$Y$306,$K$362))</f>
        <v/>
      </c>
      <c r="H368" s="19" t="n"/>
    </row>
    <row r="369">
      <c r="B369" s="4">
        <f>IF($K$362="","",IF(설정!$B$20="","",설정!$B$20))</f>
        <v/>
      </c>
      <c r="C369" s="31">
        <f>IF(OR($K$362="",설정!$B$20=""),"",INDEX(직원목록!$I$7:$I$306,$K$362))</f>
        <v/>
      </c>
      <c r="D369" s="32">
        <f>IF(OR($K$362="",설정!$B$20=""),"",IF(N(INDEX(직원목록!$Q$7:$Q$306,$K$362))=0,"",INDEX(직원목록!$Q$7:$Q$306,$K$362)&amp;"시간"))</f>
        <v/>
      </c>
      <c r="F369" s="4">
        <f>IF($K$362="","",IF(설정!$B$29="","",설정!$B$29))</f>
        <v/>
      </c>
      <c r="G369" s="31">
        <f>IF(OR($K$362="",설정!$B$29=""),"",INDEX(직원목록!$Z$7:$Z$306,$K$362))</f>
        <v/>
      </c>
      <c r="H369" s="19" t="n"/>
    </row>
    <row r="370">
      <c r="B370" s="4">
        <f>IF($K$362="","",IF(설정!$B$21="","",설정!$B$21))</f>
        <v/>
      </c>
      <c r="C370" s="31">
        <f>IF(OR($K$362="",설정!$B$21=""),"",INDEX(직원목록!$J$7:$J$306,$K$362))</f>
        <v/>
      </c>
      <c r="D370" s="32">
        <f>IF(OR($K$362="",설정!$B$21=""),"",IF(N(INDEX(직원목록!$R$7:$R$306,$K$362))=0,"",INDEX(직원목록!$R$7:$R$306,$K$362)&amp;"시간"))</f>
        <v/>
      </c>
      <c r="F370" s="4">
        <f>IF($K$362="","",IF(설정!$B$30="","",설정!$B$30))</f>
        <v/>
      </c>
      <c r="G370" s="31">
        <f>IF(OR($K$362="",설정!$B$30=""),"",INDEX(직원목록!$AA$7:$AA$306,$K$362))</f>
        <v/>
      </c>
      <c r="H370" s="19" t="n"/>
    </row>
    <row r="371">
      <c r="B371" s="4">
        <f>IF($K$362="","",IF(설정!$B$22="","",설정!$B$22))</f>
        <v/>
      </c>
      <c r="C371" s="31">
        <f>IF(OR($K$362="",설정!$B$22=""),"",INDEX(직원목록!$K$7:$K$306,$K$362))</f>
        <v/>
      </c>
      <c r="D371" s="32">
        <f>IF(OR($K$362="",설정!$B$22=""),"",IF(N(INDEX(직원목록!$S$7:$S$306,$K$362))=0,"",INDEX(직원목록!$S$7:$S$306,$K$362)&amp;"시간"))</f>
        <v/>
      </c>
      <c r="F371" s="4">
        <f>IF($K$362="","",IF(설정!$B$31="","",설정!$B$31))</f>
        <v/>
      </c>
      <c r="G371" s="31">
        <f>IF(OR($K$362="",설정!$B$31=""),"",INDEX(직원목록!$AB$7:$AB$306,$K$362))</f>
        <v/>
      </c>
      <c r="H371" s="19" t="n"/>
    </row>
    <row r="372">
      <c r="B372" s="4">
        <f>IF($K$362="","",IF(설정!$B$23="","",설정!$B$23))</f>
        <v/>
      </c>
      <c r="C372" s="31">
        <f>IF(OR($K$362="",설정!$B$23=""),"",INDEX(직원목록!$L$7:$L$306,$K$362))</f>
        <v/>
      </c>
      <c r="D372" s="32">
        <f>IF(OR($K$362="",설정!$B$23=""),"",IF(N(INDEX(직원목록!$T$7:$T$306,$K$362))=0,"",INDEX(직원목록!$T$7:$T$306,$K$362)&amp;"시간"))</f>
        <v/>
      </c>
      <c r="F372" s="4">
        <f>IF($K$362="","",IF(설정!$B$32="","",설정!$B$32))</f>
        <v/>
      </c>
      <c r="G372" s="31">
        <f>IF(OR($K$362="",설정!$B$32=""),"",INDEX(직원목록!$AC$7:$AC$306,$K$362))</f>
        <v/>
      </c>
      <c r="H372" s="19" t="n"/>
    </row>
    <row r="373">
      <c r="B373" s="4">
        <f>IF($K$362="","",IF(설정!$B$24="","",설정!$B$24))</f>
        <v/>
      </c>
      <c r="C373" s="31">
        <f>IF(OR($K$362="",설정!$B$24=""),"",INDEX(직원목록!$M$7:$M$306,$K$362))</f>
        <v/>
      </c>
      <c r="D373" s="32">
        <f>IF(OR($K$362="",설정!$B$24=""),"",IF(N(INDEX(직원목록!$U$7:$U$306,$K$362))=0,"",INDEX(직원목록!$U$7:$U$306,$K$362)&amp;"시간"))</f>
        <v/>
      </c>
      <c r="F373" s="4">
        <f>IF($K$362="","",IF(설정!$B$33="","",설정!$B$33))</f>
        <v/>
      </c>
      <c r="G373" s="31">
        <f>IF(OR($K$362="",설정!$B$33=""),"",INDEX(직원목록!$AD$7:$AD$306,$K$362))</f>
        <v/>
      </c>
      <c r="H373" s="19" t="n"/>
    </row>
    <row r="374">
      <c r="B374" s="3" t="inlineStr">
        <is>
          <t>지급 합계</t>
        </is>
      </c>
      <c r="C374" s="35">
        <f>IF($K$362="","",INDEX(직원목록!$V$7:$V$306,$K$362))</f>
        <v/>
      </c>
      <c r="D374" s="36" t="n"/>
      <c r="F374" s="3" t="inlineStr">
        <is>
          <t>공제 합계</t>
        </is>
      </c>
      <c r="G374" s="35">
        <f>IF($K$362="","",INDEX(직원목록!$AE$7:$AE$306,$K$362))</f>
        <v/>
      </c>
      <c r="H374" s="36" t="n"/>
    </row>
    <row r="375" ht="28" customHeight="1">
      <c r="B375" s="37" t="inlineStr">
        <is>
          <t>실 수령액 (지급 합계 − 공제 합계)</t>
        </is>
      </c>
      <c r="C375" s="29" t="n"/>
      <c r="D375" s="29" t="n"/>
      <c r="E375" s="38">
        <f>IF($K$362="","",INDEX(직원목록!$AF$7:$AF$306,$K$362))</f>
        <v/>
      </c>
      <c r="F375" s="29" t="n"/>
      <c r="G375" s="29" t="n"/>
      <c r="H375" s="29" t="n"/>
    </row>
    <row r="376">
      <c r="B376" s="39">
        <f>IF($K$362="","",설정!$B$7)</f>
        <v/>
      </c>
    </row>
    <row r="392" ht="30" customHeight="1">
      <c r="B392" s="28">
        <f>IF($K$392="","","임금명세서  ("&amp;설정!$B$5&amp;")")</f>
        <v/>
      </c>
      <c r="K392" s="34">
        <f>IFERROR(MATCH(14,직원목록!$B$7:$B$306,0),"")</f>
        <v/>
      </c>
    </row>
    <row r="393">
      <c r="B393" s="7" t="inlineStr">
        <is>
          <t>회사명</t>
        </is>
      </c>
      <c r="C393" s="21">
        <f>IF($K$392="","",설정!$B$4)</f>
        <v/>
      </c>
      <c r="D393" s="29" t="n"/>
      <c r="E393" s="19" t="n"/>
      <c r="F393" s="7" t="inlineStr">
        <is>
          <t>임금 지급일</t>
        </is>
      </c>
      <c r="G393" s="21">
        <f>IF($K$392="","",TEXT(설정!$B$6,"yyyy-mm-dd"))</f>
        <v/>
      </c>
      <c r="H393" s="29" t="n"/>
    </row>
    <row r="394">
      <c r="B394" s="7" t="inlineStr">
        <is>
          <t>성명</t>
        </is>
      </c>
      <c r="C394" s="22">
        <f>IF($K$392="","",INDEX(직원목록!$D$7:$D$306,$K$392))</f>
        <v/>
      </c>
      <c r="D394" s="7" t="inlineStr">
        <is>
          <t>사번</t>
        </is>
      </c>
      <c r="E394" s="21">
        <f>IF($K$392="","",INDEX(직원목록!$C$7:$C$306,$K$392))</f>
        <v/>
      </c>
      <c r="F394" s="7" t="inlineStr">
        <is>
          <t>부서</t>
        </is>
      </c>
      <c r="G394" s="21">
        <f>IF($K$392="","",INDEX(직원목록!$E$7:$E$306,$K$392))</f>
        <v/>
      </c>
      <c r="H394" s="29" t="n"/>
    </row>
    <row r="395">
      <c r="B395" s="12" t="inlineStr">
        <is>
          <t>지급 항목</t>
        </is>
      </c>
      <c r="C395" s="12" t="inlineStr">
        <is>
          <t>금액(원)</t>
        </is>
      </c>
      <c r="D395" s="12" t="inlineStr">
        <is>
          <t>계산 근거</t>
        </is>
      </c>
      <c r="E395" s="2" t="n"/>
      <c r="F395" s="12" t="inlineStr">
        <is>
          <t>공제 항목</t>
        </is>
      </c>
      <c r="G395" s="12" t="inlineStr">
        <is>
          <t>금액(원)</t>
        </is>
      </c>
      <c r="H395" s="12" t="n"/>
    </row>
    <row r="396">
      <c r="B396" s="4">
        <f>IF($K$392="","",IF(설정!$B$17="","",설정!$B$17))</f>
        <v/>
      </c>
      <c r="C396" s="31">
        <f>IF(OR($K$392="",설정!$B$17=""),"",INDEX(직원목록!$F$7:$F$306,$K$392))</f>
        <v/>
      </c>
      <c r="D396" s="32">
        <f>IF(OR($K$392="",설정!$B$17=""),"",IF(N(INDEX(직원목록!$N$7:$N$306,$K$392))=0,"",INDEX(직원목록!$N$7:$N$306,$K$392)&amp;"시간"))</f>
        <v/>
      </c>
      <c r="F396" s="4">
        <f>IF($K$392="","",IF(설정!$B$26="","",설정!$B$26))</f>
        <v/>
      </c>
      <c r="G396" s="31">
        <f>IF(OR($K$392="",설정!$B$26=""),"",INDEX(직원목록!$W$7:$W$306,$K$392))</f>
        <v/>
      </c>
      <c r="H396" s="19" t="n"/>
    </row>
    <row r="397">
      <c r="B397" s="4">
        <f>IF($K$392="","",IF(설정!$B$18="","",설정!$B$18))</f>
        <v/>
      </c>
      <c r="C397" s="31">
        <f>IF(OR($K$392="",설정!$B$18=""),"",INDEX(직원목록!$G$7:$G$306,$K$392))</f>
        <v/>
      </c>
      <c r="D397" s="32">
        <f>IF(OR($K$392="",설정!$B$18=""),"",IF(N(INDEX(직원목록!$O$7:$O$306,$K$392))=0,"",INDEX(직원목록!$O$7:$O$306,$K$392)&amp;"시간"))</f>
        <v/>
      </c>
      <c r="F397" s="4">
        <f>IF($K$392="","",IF(설정!$B$27="","",설정!$B$27))</f>
        <v/>
      </c>
      <c r="G397" s="31">
        <f>IF(OR($K$392="",설정!$B$27=""),"",INDEX(직원목록!$X$7:$X$306,$K$392))</f>
        <v/>
      </c>
      <c r="H397" s="19" t="n"/>
    </row>
    <row r="398">
      <c r="B398" s="4">
        <f>IF($K$392="","",IF(설정!$B$19="","",설정!$B$19))</f>
        <v/>
      </c>
      <c r="C398" s="31">
        <f>IF(OR($K$392="",설정!$B$19=""),"",INDEX(직원목록!$H$7:$H$306,$K$392))</f>
        <v/>
      </c>
      <c r="D398" s="32">
        <f>IF(OR($K$392="",설정!$B$19=""),"",IF(N(INDEX(직원목록!$P$7:$P$306,$K$392))=0,"",INDEX(직원목록!$P$7:$P$306,$K$392)&amp;"시간"))</f>
        <v/>
      </c>
      <c r="F398" s="4">
        <f>IF($K$392="","",IF(설정!$B$28="","",설정!$B$28))</f>
        <v/>
      </c>
      <c r="G398" s="31">
        <f>IF(OR($K$392="",설정!$B$28=""),"",INDEX(직원목록!$Y$7:$Y$306,$K$392))</f>
        <v/>
      </c>
      <c r="H398" s="19" t="n"/>
    </row>
    <row r="399">
      <c r="B399" s="4">
        <f>IF($K$392="","",IF(설정!$B$20="","",설정!$B$20))</f>
        <v/>
      </c>
      <c r="C399" s="31">
        <f>IF(OR($K$392="",설정!$B$20=""),"",INDEX(직원목록!$I$7:$I$306,$K$392))</f>
        <v/>
      </c>
      <c r="D399" s="32">
        <f>IF(OR($K$392="",설정!$B$20=""),"",IF(N(INDEX(직원목록!$Q$7:$Q$306,$K$392))=0,"",INDEX(직원목록!$Q$7:$Q$306,$K$392)&amp;"시간"))</f>
        <v/>
      </c>
      <c r="F399" s="4">
        <f>IF($K$392="","",IF(설정!$B$29="","",설정!$B$29))</f>
        <v/>
      </c>
      <c r="G399" s="31">
        <f>IF(OR($K$392="",설정!$B$29=""),"",INDEX(직원목록!$Z$7:$Z$306,$K$392))</f>
        <v/>
      </c>
      <c r="H399" s="19" t="n"/>
    </row>
    <row r="400">
      <c r="B400" s="4">
        <f>IF($K$392="","",IF(설정!$B$21="","",설정!$B$21))</f>
        <v/>
      </c>
      <c r="C400" s="31">
        <f>IF(OR($K$392="",설정!$B$21=""),"",INDEX(직원목록!$J$7:$J$306,$K$392))</f>
        <v/>
      </c>
      <c r="D400" s="32">
        <f>IF(OR($K$392="",설정!$B$21=""),"",IF(N(INDEX(직원목록!$R$7:$R$306,$K$392))=0,"",INDEX(직원목록!$R$7:$R$306,$K$392)&amp;"시간"))</f>
        <v/>
      </c>
      <c r="F400" s="4">
        <f>IF($K$392="","",IF(설정!$B$30="","",설정!$B$30))</f>
        <v/>
      </c>
      <c r="G400" s="31">
        <f>IF(OR($K$392="",설정!$B$30=""),"",INDEX(직원목록!$AA$7:$AA$306,$K$392))</f>
        <v/>
      </c>
      <c r="H400" s="19" t="n"/>
    </row>
    <row r="401">
      <c r="B401" s="4">
        <f>IF($K$392="","",IF(설정!$B$22="","",설정!$B$22))</f>
        <v/>
      </c>
      <c r="C401" s="31">
        <f>IF(OR($K$392="",설정!$B$22=""),"",INDEX(직원목록!$K$7:$K$306,$K$392))</f>
        <v/>
      </c>
      <c r="D401" s="32">
        <f>IF(OR($K$392="",설정!$B$22=""),"",IF(N(INDEX(직원목록!$S$7:$S$306,$K$392))=0,"",INDEX(직원목록!$S$7:$S$306,$K$392)&amp;"시간"))</f>
        <v/>
      </c>
      <c r="F401" s="4">
        <f>IF($K$392="","",IF(설정!$B$31="","",설정!$B$31))</f>
        <v/>
      </c>
      <c r="G401" s="31">
        <f>IF(OR($K$392="",설정!$B$31=""),"",INDEX(직원목록!$AB$7:$AB$306,$K$392))</f>
        <v/>
      </c>
      <c r="H401" s="19" t="n"/>
    </row>
    <row r="402">
      <c r="B402" s="4">
        <f>IF($K$392="","",IF(설정!$B$23="","",설정!$B$23))</f>
        <v/>
      </c>
      <c r="C402" s="31">
        <f>IF(OR($K$392="",설정!$B$23=""),"",INDEX(직원목록!$L$7:$L$306,$K$392))</f>
        <v/>
      </c>
      <c r="D402" s="32">
        <f>IF(OR($K$392="",설정!$B$23=""),"",IF(N(INDEX(직원목록!$T$7:$T$306,$K$392))=0,"",INDEX(직원목록!$T$7:$T$306,$K$392)&amp;"시간"))</f>
        <v/>
      </c>
      <c r="F402" s="4">
        <f>IF($K$392="","",IF(설정!$B$32="","",설정!$B$32))</f>
        <v/>
      </c>
      <c r="G402" s="31">
        <f>IF(OR($K$392="",설정!$B$32=""),"",INDEX(직원목록!$AC$7:$AC$306,$K$392))</f>
        <v/>
      </c>
      <c r="H402" s="19" t="n"/>
    </row>
    <row r="403">
      <c r="B403" s="4">
        <f>IF($K$392="","",IF(설정!$B$24="","",설정!$B$24))</f>
        <v/>
      </c>
      <c r="C403" s="31">
        <f>IF(OR($K$392="",설정!$B$24=""),"",INDEX(직원목록!$M$7:$M$306,$K$392))</f>
        <v/>
      </c>
      <c r="D403" s="32">
        <f>IF(OR($K$392="",설정!$B$24=""),"",IF(N(INDEX(직원목록!$U$7:$U$306,$K$392))=0,"",INDEX(직원목록!$U$7:$U$306,$K$392)&amp;"시간"))</f>
        <v/>
      </c>
      <c r="F403" s="4">
        <f>IF($K$392="","",IF(설정!$B$33="","",설정!$B$33))</f>
        <v/>
      </c>
      <c r="G403" s="31">
        <f>IF(OR($K$392="",설정!$B$33=""),"",INDEX(직원목록!$AD$7:$AD$306,$K$392))</f>
        <v/>
      </c>
      <c r="H403" s="19" t="n"/>
    </row>
    <row r="404">
      <c r="B404" s="3" t="inlineStr">
        <is>
          <t>지급 합계</t>
        </is>
      </c>
      <c r="C404" s="35">
        <f>IF($K$392="","",INDEX(직원목록!$V$7:$V$306,$K$392))</f>
        <v/>
      </c>
      <c r="D404" s="36" t="n"/>
      <c r="F404" s="3" t="inlineStr">
        <is>
          <t>공제 합계</t>
        </is>
      </c>
      <c r="G404" s="35">
        <f>IF($K$392="","",INDEX(직원목록!$AE$7:$AE$306,$K$392))</f>
        <v/>
      </c>
      <c r="H404" s="36" t="n"/>
    </row>
    <row r="405" ht="28" customHeight="1">
      <c r="B405" s="37" t="inlineStr">
        <is>
          <t>실 수령액 (지급 합계 − 공제 합계)</t>
        </is>
      </c>
      <c r="C405" s="29" t="n"/>
      <c r="D405" s="29" t="n"/>
      <c r="E405" s="38">
        <f>IF($K$392="","",INDEX(직원목록!$AF$7:$AF$306,$K$392))</f>
        <v/>
      </c>
      <c r="F405" s="29" t="n"/>
      <c r="G405" s="29" t="n"/>
      <c r="H405" s="29" t="n"/>
    </row>
    <row r="406">
      <c r="B406" s="39">
        <f>IF($K$392="","",설정!$B$7)</f>
        <v/>
      </c>
    </row>
    <row r="422" ht="30" customHeight="1">
      <c r="B422" s="28">
        <f>IF($K$422="","","임금명세서  ("&amp;설정!$B$5&amp;")")</f>
        <v/>
      </c>
      <c r="K422" s="34">
        <f>IFERROR(MATCH(15,직원목록!$B$7:$B$306,0),"")</f>
        <v/>
      </c>
    </row>
    <row r="423">
      <c r="B423" s="7" t="inlineStr">
        <is>
          <t>회사명</t>
        </is>
      </c>
      <c r="C423" s="21">
        <f>IF($K$422="","",설정!$B$4)</f>
        <v/>
      </c>
      <c r="D423" s="29" t="n"/>
      <c r="E423" s="19" t="n"/>
      <c r="F423" s="7" t="inlineStr">
        <is>
          <t>임금 지급일</t>
        </is>
      </c>
      <c r="G423" s="21">
        <f>IF($K$422="","",TEXT(설정!$B$6,"yyyy-mm-dd"))</f>
        <v/>
      </c>
      <c r="H423" s="29" t="n"/>
    </row>
    <row r="424">
      <c r="B424" s="7" t="inlineStr">
        <is>
          <t>성명</t>
        </is>
      </c>
      <c r="C424" s="22">
        <f>IF($K$422="","",INDEX(직원목록!$D$7:$D$306,$K$422))</f>
        <v/>
      </c>
      <c r="D424" s="7" t="inlineStr">
        <is>
          <t>사번</t>
        </is>
      </c>
      <c r="E424" s="21">
        <f>IF($K$422="","",INDEX(직원목록!$C$7:$C$306,$K$422))</f>
        <v/>
      </c>
      <c r="F424" s="7" t="inlineStr">
        <is>
          <t>부서</t>
        </is>
      </c>
      <c r="G424" s="21">
        <f>IF($K$422="","",INDEX(직원목록!$E$7:$E$306,$K$422))</f>
        <v/>
      </c>
      <c r="H424" s="29" t="n"/>
    </row>
    <row r="425">
      <c r="B425" s="12" t="inlineStr">
        <is>
          <t>지급 항목</t>
        </is>
      </c>
      <c r="C425" s="12" t="inlineStr">
        <is>
          <t>금액(원)</t>
        </is>
      </c>
      <c r="D425" s="12" t="inlineStr">
        <is>
          <t>계산 근거</t>
        </is>
      </c>
      <c r="E425" s="2" t="n"/>
      <c r="F425" s="12" t="inlineStr">
        <is>
          <t>공제 항목</t>
        </is>
      </c>
      <c r="G425" s="12" t="inlineStr">
        <is>
          <t>금액(원)</t>
        </is>
      </c>
      <c r="H425" s="12" t="n"/>
    </row>
    <row r="426">
      <c r="B426" s="4">
        <f>IF($K$422="","",IF(설정!$B$17="","",설정!$B$17))</f>
        <v/>
      </c>
      <c r="C426" s="31">
        <f>IF(OR($K$422="",설정!$B$17=""),"",INDEX(직원목록!$F$7:$F$306,$K$422))</f>
        <v/>
      </c>
      <c r="D426" s="32">
        <f>IF(OR($K$422="",설정!$B$17=""),"",IF(N(INDEX(직원목록!$N$7:$N$306,$K$422))=0,"",INDEX(직원목록!$N$7:$N$306,$K$422)&amp;"시간"))</f>
        <v/>
      </c>
      <c r="F426" s="4">
        <f>IF($K$422="","",IF(설정!$B$26="","",설정!$B$26))</f>
        <v/>
      </c>
      <c r="G426" s="31">
        <f>IF(OR($K$422="",설정!$B$26=""),"",INDEX(직원목록!$W$7:$W$306,$K$422))</f>
        <v/>
      </c>
      <c r="H426" s="19" t="n"/>
    </row>
    <row r="427">
      <c r="B427" s="4">
        <f>IF($K$422="","",IF(설정!$B$18="","",설정!$B$18))</f>
        <v/>
      </c>
      <c r="C427" s="31">
        <f>IF(OR($K$422="",설정!$B$18=""),"",INDEX(직원목록!$G$7:$G$306,$K$422))</f>
        <v/>
      </c>
      <c r="D427" s="32">
        <f>IF(OR($K$422="",설정!$B$18=""),"",IF(N(INDEX(직원목록!$O$7:$O$306,$K$422))=0,"",INDEX(직원목록!$O$7:$O$306,$K$422)&amp;"시간"))</f>
        <v/>
      </c>
      <c r="F427" s="4">
        <f>IF($K$422="","",IF(설정!$B$27="","",설정!$B$27))</f>
        <v/>
      </c>
      <c r="G427" s="31">
        <f>IF(OR($K$422="",설정!$B$27=""),"",INDEX(직원목록!$X$7:$X$306,$K$422))</f>
        <v/>
      </c>
      <c r="H427" s="19" t="n"/>
    </row>
    <row r="428">
      <c r="B428" s="4">
        <f>IF($K$422="","",IF(설정!$B$19="","",설정!$B$19))</f>
        <v/>
      </c>
      <c r="C428" s="31">
        <f>IF(OR($K$422="",설정!$B$19=""),"",INDEX(직원목록!$H$7:$H$306,$K$422))</f>
        <v/>
      </c>
      <c r="D428" s="32">
        <f>IF(OR($K$422="",설정!$B$19=""),"",IF(N(INDEX(직원목록!$P$7:$P$306,$K$422))=0,"",INDEX(직원목록!$P$7:$P$306,$K$422)&amp;"시간"))</f>
        <v/>
      </c>
      <c r="F428" s="4">
        <f>IF($K$422="","",IF(설정!$B$28="","",설정!$B$28))</f>
        <v/>
      </c>
      <c r="G428" s="31">
        <f>IF(OR($K$422="",설정!$B$28=""),"",INDEX(직원목록!$Y$7:$Y$306,$K$422))</f>
        <v/>
      </c>
      <c r="H428" s="19" t="n"/>
    </row>
    <row r="429">
      <c r="B429" s="4">
        <f>IF($K$422="","",IF(설정!$B$20="","",설정!$B$20))</f>
        <v/>
      </c>
      <c r="C429" s="31">
        <f>IF(OR($K$422="",설정!$B$20=""),"",INDEX(직원목록!$I$7:$I$306,$K$422))</f>
        <v/>
      </c>
      <c r="D429" s="32">
        <f>IF(OR($K$422="",설정!$B$20=""),"",IF(N(INDEX(직원목록!$Q$7:$Q$306,$K$422))=0,"",INDEX(직원목록!$Q$7:$Q$306,$K$422)&amp;"시간"))</f>
        <v/>
      </c>
      <c r="F429" s="4">
        <f>IF($K$422="","",IF(설정!$B$29="","",설정!$B$29))</f>
        <v/>
      </c>
      <c r="G429" s="31">
        <f>IF(OR($K$422="",설정!$B$29=""),"",INDEX(직원목록!$Z$7:$Z$306,$K$422))</f>
        <v/>
      </c>
      <c r="H429" s="19" t="n"/>
    </row>
    <row r="430">
      <c r="B430" s="4">
        <f>IF($K$422="","",IF(설정!$B$21="","",설정!$B$21))</f>
        <v/>
      </c>
      <c r="C430" s="31">
        <f>IF(OR($K$422="",설정!$B$21=""),"",INDEX(직원목록!$J$7:$J$306,$K$422))</f>
        <v/>
      </c>
      <c r="D430" s="32">
        <f>IF(OR($K$422="",설정!$B$21=""),"",IF(N(INDEX(직원목록!$R$7:$R$306,$K$422))=0,"",INDEX(직원목록!$R$7:$R$306,$K$422)&amp;"시간"))</f>
        <v/>
      </c>
      <c r="F430" s="4">
        <f>IF($K$422="","",IF(설정!$B$30="","",설정!$B$30))</f>
        <v/>
      </c>
      <c r="G430" s="31">
        <f>IF(OR($K$422="",설정!$B$30=""),"",INDEX(직원목록!$AA$7:$AA$306,$K$422))</f>
        <v/>
      </c>
      <c r="H430" s="19" t="n"/>
    </row>
    <row r="431">
      <c r="B431" s="4">
        <f>IF($K$422="","",IF(설정!$B$22="","",설정!$B$22))</f>
        <v/>
      </c>
      <c r="C431" s="31">
        <f>IF(OR($K$422="",설정!$B$22=""),"",INDEX(직원목록!$K$7:$K$306,$K$422))</f>
        <v/>
      </c>
      <c r="D431" s="32">
        <f>IF(OR($K$422="",설정!$B$22=""),"",IF(N(INDEX(직원목록!$S$7:$S$306,$K$422))=0,"",INDEX(직원목록!$S$7:$S$306,$K$422)&amp;"시간"))</f>
        <v/>
      </c>
      <c r="F431" s="4">
        <f>IF($K$422="","",IF(설정!$B$31="","",설정!$B$31))</f>
        <v/>
      </c>
      <c r="G431" s="31">
        <f>IF(OR($K$422="",설정!$B$31=""),"",INDEX(직원목록!$AB$7:$AB$306,$K$422))</f>
        <v/>
      </c>
      <c r="H431" s="19" t="n"/>
    </row>
    <row r="432">
      <c r="B432" s="4">
        <f>IF($K$422="","",IF(설정!$B$23="","",설정!$B$23))</f>
        <v/>
      </c>
      <c r="C432" s="31">
        <f>IF(OR($K$422="",설정!$B$23=""),"",INDEX(직원목록!$L$7:$L$306,$K$422))</f>
        <v/>
      </c>
      <c r="D432" s="32">
        <f>IF(OR($K$422="",설정!$B$23=""),"",IF(N(INDEX(직원목록!$T$7:$T$306,$K$422))=0,"",INDEX(직원목록!$T$7:$T$306,$K$422)&amp;"시간"))</f>
        <v/>
      </c>
      <c r="F432" s="4">
        <f>IF($K$422="","",IF(설정!$B$32="","",설정!$B$32))</f>
        <v/>
      </c>
      <c r="G432" s="31">
        <f>IF(OR($K$422="",설정!$B$32=""),"",INDEX(직원목록!$AC$7:$AC$306,$K$422))</f>
        <v/>
      </c>
      <c r="H432" s="19" t="n"/>
    </row>
    <row r="433">
      <c r="B433" s="4">
        <f>IF($K$422="","",IF(설정!$B$24="","",설정!$B$24))</f>
        <v/>
      </c>
      <c r="C433" s="31">
        <f>IF(OR($K$422="",설정!$B$24=""),"",INDEX(직원목록!$M$7:$M$306,$K$422))</f>
        <v/>
      </c>
      <c r="D433" s="32">
        <f>IF(OR($K$422="",설정!$B$24=""),"",IF(N(INDEX(직원목록!$U$7:$U$306,$K$422))=0,"",INDEX(직원목록!$U$7:$U$306,$K$422)&amp;"시간"))</f>
        <v/>
      </c>
      <c r="F433" s="4">
        <f>IF($K$422="","",IF(설정!$B$33="","",설정!$B$33))</f>
        <v/>
      </c>
      <c r="G433" s="31">
        <f>IF(OR($K$422="",설정!$B$33=""),"",INDEX(직원목록!$AD$7:$AD$306,$K$422))</f>
        <v/>
      </c>
      <c r="H433" s="19" t="n"/>
    </row>
    <row r="434">
      <c r="B434" s="3" t="inlineStr">
        <is>
          <t>지급 합계</t>
        </is>
      </c>
      <c r="C434" s="35">
        <f>IF($K$422="","",INDEX(직원목록!$V$7:$V$306,$K$422))</f>
        <v/>
      </c>
      <c r="D434" s="36" t="n"/>
      <c r="F434" s="3" t="inlineStr">
        <is>
          <t>공제 합계</t>
        </is>
      </c>
      <c r="G434" s="35">
        <f>IF($K$422="","",INDEX(직원목록!$AE$7:$AE$306,$K$422))</f>
        <v/>
      </c>
      <c r="H434" s="36" t="n"/>
    </row>
    <row r="435" ht="28" customHeight="1">
      <c r="B435" s="37" t="inlineStr">
        <is>
          <t>실 수령액 (지급 합계 − 공제 합계)</t>
        </is>
      </c>
      <c r="C435" s="29" t="n"/>
      <c r="D435" s="29" t="n"/>
      <c r="E435" s="38">
        <f>IF($K$422="","",INDEX(직원목록!$AF$7:$AF$306,$K$422))</f>
        <v/>
      </c>
      <c r="F435" s="29" t="n"/>
      <c r="G435" s="29" t="n"/>
      <c r="H435" s="29" t="n"/>
    </row>
    <row r="436">
      <c r="B436" s="39">
        <f>IF($K$422="","",설정!$B$7)</f>
        <v/>
      </c>
    </row>
    <row r="452" ht="30" customHeight="1">
      <c r="B452" s="28">
        <f>IF($K$452="","","임금명세서  ("&amp;설정!$B$5&amp;")")</f>
        <v/>
      </c>
      <c r="K452" s="34">
        <f>IFERROR(MATCH(16,직원목록!$B$7:$B$306,0),"")</f>
        <v/>
      </c>
    </row>
    <row r="453">
      <c r="B453" s="7" t="inlineStr">
        <is>
          <t>회사명</t>
        </is>
      </c>
      <c r="C453" s="21">
        <f>IF($K$452="","",설정!$B$4)</f>
        <v/>
      </c>
      <c r="D453" s="29" t="n"/>
      <c r="E453" s="19" t="n"/>
      <c r="F453" s="7" t="inlineStr">
        <is>
          <t>임금 지급일</t>
        </is>
      </c>
      <c r="G453" s="21">
        <f>IF($K$452="","",TEXT(설정!$B$6,"yyyy-mm-dd"))</f>
        <v/>
      </c>
      <c r="H453" s="29" t="n"/>
    </row>
    <row r="454">
      <c r="B454" s="7" t="inlineStr">
        <is>
          <t>성명</t>
        </is>
      </c>
      <c r="C454" s="22">
        <f>IF($K$452="","",INDEX(직원목록!$D$7:$D$306,$K$452))</f>
        <v/>
      </c>
      <c r="D454" s="7" t="inlineStr">
        <is>
          <t>사번</t>
        </is>
      </c>
      <c r="E454" s="21">
        <f>IF($K$452="","",INDEX(직원목록!$C$7:$C$306,$K$452))</f>
        <v/>
      </c>
      <c r="F454" s="7" t="inlineStr">
        <is>
          <t>부서</t>
        </is>
      </c>
      <c r="G454" s="21">
        <f>IF($K$452="","",INDEX(직원목록!$E$7:$E$306,$K$452))</f>
        <v/>
      </c>
      <c r="H454" s="29" t="n"/>
    </row>
    <row r="455">
      <c r="B455" s="12" t="inlineStr">
        <is>
          <t>지급 항목</t>
        </is>
      </c>
      <c r="C455" s="12" t="inlineStr">
        <is>
          <t>금액(원)</t>
        </is>
      </c>
      <c r="D455" s="12" t="inlineStr">
        <is>
          <t>계산 근거</t>
        </is>
      </c>
      <c r="E455" s="2" t="n"/>
      <c r="F455" s="12" t="inlineStr">
        <is>
          <t>공제 항목</t>
        </is>
      </c>
      <c r="G455" s="12" t="inlineStr">
        <is>
          <t>금액(원)</t>
        </is>
      </c>
      <c r="H455" s="12" t="n"/>
    </row>
    <row r="456">
      <c r="B456" s="4">
        <f>IF($K$452="","",IF(설정!$B$17="","",설정!$B$17))</f>
        <v/>
      </c>
      <c r="C456" s="31">
        <f>IF(OR($K$452="",설정!$B$17=""),"",INDEX(직원목록!$F$7:$F$306,$K$452))</f>
        <v/>
      </c>
      <c r="D456" s="32">
        <f>IF(OR($K$452="",설정!$B$17=""),"",IF(N(INDEX(직원목록!$N$7:$N$306,$K$452))=0,"",INDEX(직원목록!$N$7:$N$306,$K$452)&amp;"시간"))</f>
        <v/>
      </c>
      <c r="F456" s="4">
        <f>IF($K$452="","",IF(설정!$B$26="","",설정!$B$26))</f>
        <v/>
      </c>
      <c r="G456" s="31">
        <f>IF(OR($K$452="",설정!$B$26=""),"",INDEX(직원목록!$W$7:$W$306,$K$452))</f>
        <v/>
      </c>
      <c r="H456" s="19" t="n"/>
    </row>
    <row r="457">
      <c r="B457" s="4">
        <f>IF($K$452="","",IF(설정!$B$18="","",설정!$B$18))</f>
        <v/>
      </c>
      <c r="C457" s="31">
        <f>IF(OR($K$452="",설정!$B$18=""),"",INDEX(직원목록!$G$7:$G$306,$K$452))</f>
        <v/>
      </c>
      <c r="D457" s="32">
        <f>IF(OR($K$452="",설정!$B$18=""),"",IF(N(INDEX(직원목록!$O$7:$O$306,$K$452))=0,"",INDEX(직원목록!$O$7:$O$306,$K$452)&amp;"시간"))</f>
        <v/>
      </c>
      <c r="F457" s="4">
        <f>IF($K$452="","",IF(설정!$B$27="","",설정!$B$27))</f>
        <v/>
      </c>
      <c r="G457" s="31">
        <f>IF(OR($K$452="",설정!$B$27=""),"",INDEX(직원목록!$X$7:$X$306,$K$452))</f>
        <v/>
      </c>
      <c r="H457" s="19" t="n"/>
    </row>
    <row r="458">
      <c r="B458" s="4">
        <f>IF($K$452="","",IF(설정!$B$19="","",설정!$B$19))</f>
        <v/>
      </c>
      <c r="C458" s="31">
        <f>IF(OR($K$452="",설정!$B$19=""),"",INDEX(직원목록!$H$7:$H$306,$K$452))</f>
        <v/>
      </c>
      <c r="D458" s="32">
        <f>IF(OR($K$452="",설정!$B$19=""),"",IF(N(INDEX(직원목록!$P$7:$P$306,$K$452))=0,"",INDEX(직원목록!$P$7:$P$306,$K$452)&amp;"시간"))</f>
        <v/>
      </c>
      <c r="F458" s="4">
        <f>IF($K$452="","",IF(설정!$B$28="","",설정!$B$28))</f>
        <v/>
      </c>
      <c r="G458" s="31">
        <f>IF(OR($K$452="",설정!$B$28=""),"",INDEX(직원목록!$Y$7:$Y$306,$K$452))</f>
        <v/>
      </c>
      <c r="H458" s="19" t="n"/>
    </row>
    <row r="459">
      <c r="B459" s="4">
        <f>IF($K$452="","",IF(설정!$B$20="","",설정!$B$20))</f>
        <v/>
      </c>
      <c r="C459" s="31">
        <f>IF(OR($K$452="",설정!$B$20=""),"",INDEX(직원목록!$I$7:$I$306,$K$452))</f>
        <v/>
      </c>
      <c r="D459" s="32">
        <f>IF(OR($K$452="",설정!$B$20=""),"",IF(N(INDEX(직원목록!$Q$7:$Q$306,$K$452))=0,"",INDEX(직원목록!$Q$7:$Q$306,$K$452)&amp;"시간"))</f>
        <v/>
      </c>
      <c r="F459" s="4">
        <f>IF($K$452="","",IF(설정!$B$29="","",설정!$B$29))</f>
        <v/>
      </c>
      <c r="G459" s="31">
        <f>IF(OR($K$452="",설정!$B$29=""),"",INDEX(직원목록!$Z$7:$Z$306,$K$452))</f>
        <v/>
      </c>
      <c r="H459" s="19" t="n"/>
    </row>
    <row r="460">
      <c r="B460" s="4">
        <f>IF($K$452="","",IF(설정!$B$21="","",설정!$B$21))</f>
        <v/>
      </c>
      <c r="C460" s="31">
        <f>IF(OR($K$452="",설정!$B$21=""),"",INDEX(직원목록!$J$7:$J$306,$K$452))</f>
        <v/>
      </c>
      <c r="D460" s="32">
        <f>IF(OR($K$452="",설정!$B$21=""),"",IF(N(INDEX(직원목록!$R$7:$R$306,$K$452))=0,"",INDEX(직원목록!$R$7:$R$306,$K$452)&amp;"시간"))</f>
        <v/>
      </c>
      <c r="F460" s="4">
        <f>IF($K$452="","",IF(설정!$B$30="","",설정!$B$30))</f>
        <v/>
      </c>
      <c r="G460" s="31">
        <f>IF(OR($K$452="",설정!$B$30=""),"",INDEX(직원목록!$AA$7:$AA$306,$K$452))</f>
        <v/>
      </c>
      <c r="H460" s="19" t="n"/>
    </row>
    <row r="461">
      <c r="B461" s="4">
        <f>IF($K$452="","",IF(설정!$B$22="","",설정!$B$22))</f>
        <v/>
      </c>
      <c r="C461" s="31">
        <f>IF(OR($K$452="",설정!$B$22=""),"",INDEX(직원목록!$K$7:$K$306,$K$452))</f>
        <v/>
      </c>
      <c r="D461" s="32">
        <f>IF(OR($K$452="",설정!$B$22=""),"",IF(N(INDEX(직원목록!$S$7:$S$306,$K$452))=0,"",INDEX(직원목록!$S$7:$S$306,$K$452)&amp;"시간"))</f>
        <v/>
      </c>
      <c r="F461" s="4">
        <f>IF($K$452="","",IF(설정!$B$31="","",설정!$B$31))</f>
        <v/>
      </c>
      <c r="G461" s="31">
        <f>IF(OR($K$452="",설정!$B$31=""),"",INDEX(직원목록!$AB$7:$AB$306,$K$452))</f>
        <v/>
      </c>
      <c r="H461" s="19" t="n"/>
    </row>
    <row r="462">
      <c r="B462" s="4">
        <f>IF($K$452="","",IF(설정!$B$23="","",설정!$B$23))</f>
        <v/>
      </c>
      <c r="C462" s="31">
        <f>IF(OR($K$452="",설정!$B$23=""),"",INDEX(직원목록!$L$7:$L$306,$K$452))</f>
        <v/>
      </c>
      <c r="D462" s="32">
        <f>IF(OR($K$452="",설정!$B$23=""),"",IF(N(INDEX(직원목록!$T$7:$T$306,$K$452))=0,"",INDEX(직원목록!$T$7:$T$306,$K$452)&amp;"시간"))</f>
        <v/>
      </c>
      <c r="F462" s="4">
        <f>IF($K$452="","",IF(설정!$B$32="","",설정!$B$32))</f>
        <v/>
      </c>
      <c r="G462" s="31">
        <f>IF(OR($K$452="",설정!$B$32=""),"",INDEX(직원목록!$AC$7:$AC$306,$K$452))</f>
        <v/>
      </c>
      <c r="H462" s="19" t="n"/>
    </row>
    <row r="463">
      <c r="B463" s="4">
        <f>IF($K$452="","",IF(설정!$B$24="","",설정!$B$24))</f>
        <v/>
      </c>
      <c r="C463" s="31">
        <f>IF(OR($K$452="",설정!$B$24=""),"",INDEX(직원목록!$M$7:$M$306,$K$452))</f>
        <v/>
      </c>
      <c r="D463" s="32">
        <f>IF(OR($K$452="",설정!$B$24=""),"",IF(N(INDEX(직원목록!$U$7:$U$306,$K$452))=0,"",INDEX(직원목록!$U$7:$U$306,$K$452)&amp;"시간"))</f>
        <v/>
      </c>
      <c r="F463" s="4">
        <f>IF($K$452="","",IF(설정!$B$33="","",설정!$B$33))</f>
        <v/>
      </c>
      <c r="G463" s="31">
        <f>IF(OR($K$452="",설정!$B$33=""),"",INDEX(직원목록!$AD$7:$AD$306,$K$452))</f>
        <v/>
      </c>
      <c r="H463" s="19" t="n"/>
    </row>
    <row r="464">
      <c r="B464" s="3" t="inlineStr">
        <is>
          <t>지급 합계</t>
        </is>
      </c>
      <c r="C464" s="35">
        <f>IF($K$452="","",INDEX(직원목록!$V$7:$V$306,$K$452))</f>
        <v/>
      </c>
      <c r="D464" s="36" t="n"/>
      <c r="F464" s="3" t="inlineStr">
        <is>
          <t>공제 합계</t>
        </is>
      </c>
      <c r="G464" s="35">
        <f>IF($K$452="","",INDEX(직원목록!$AE$7:$AE$306,$K$452))</f>
        <v/>
      </c>
      <c r="H464" s="36" t="n"/>
    </row>
    <row r="465" ht="28" customHeight="1">
      <c r="B465" s="37" t="inlineStr">
        <is>
          <t>실 수령액 (지급 합계 − 공제 합계)</t>
        </is>
      </c>
      <c r="C465" s="29" t="n"/>
      <c r="D465" s="29" t="n"/>
      <c r="E465" s="38">
        <f>IF($K$452="","",INDEX(직원목록!$AF$7:$AF$306,$K$452))</f>
        <v/>
      </c>
      <c r="F465" s="29" t="n"/>
      <c r="G465" s="29" t="n"/>
      <c r="H465" s="29" t="n"/>
    </row>
    <row r="466">
      <c r="B466" s="39">
        <f>IF($K$452="","",설정!$B$7)</f>
        <v/>
      </c>
    </row>
    <row r="482" ht="30" customHeight="1">
      <c r="B482" s="28">
        <f>IF($K$482="","","임금명세서  ("&amp;설정!$B$5&amp;")")</f>
        <v/>
      </c>
      <c r="K482" s="34">
        <f>IFERROR(MATCH(17,직원목록!$B$7:$B$306,0),"")</f>
        <v/>
      </c>
    </row>
    <row r="483">
      <c r="B483" s="7" t="inlineStr">
        <is>
          <t>회사명</t>
        </is>
      </c>
      <c r="C483" s="21">
        <f>IF($K$482="","",설정!$B$4)</f>
        <v/>
      </c>
      <c r="D483" s="29" t="n"/>
      <c r="E483" s="19" t="n"/>
      <c r="F483" s="7" t="inlineStr">
        <is>
          <t>임금 지급일</t>
        </is>
      </c>
      <c r="G483" s="21">
        <f>IF($K$482="","",TEXT(설정!$B$6,"yyyy-mm-dd"))</f>
        <v/>
      </c>
      <c r="H483" s="29" t="n"/>
    </row>
    <row r="484">
      <c r="B484" s="7" t="inlineStr">
        <is>
          <t>성명</t>
        </is>
      </c>
      <c r="C484" s="22">
        <f>IF($K$482="","",INDEX(직원목록!$D$7:$D$306,$K$482))</f>
        <v/>
      </c>
      <c r="D484" s="7" t="inlineStr">
        <is>
          <t>사번</t>
        </is>
      </c>
      <c r="E484" s="21">
        <f>IF($K$482="","",INDEX(직원목록!$C$7:$C$306,$K$482))</f>
        <v/>
      </c>
      <c r="F484" s="7" t="inlineStr">
        <is>
          <t>부서</t>
        </is>
      </c>
      <c r="G484" s="21">
        <f>IF($K$482="","",INDEX(직원목록!$E$7:$E$306,$K$482))</f>
        <v/>
      </c>
      <c r="H484" s="29" t="n"/>
    </row>
    <row r="485">
      <c r="B485" s="12" t="inlineStr">
        <is>
          <t>지급 항목</t>
        </is>
      </c>
      <c r="C485" s="12" t="inlineStr">
        <is>
          <t>금액(원)</t>
        </is>
      </c>
      <c r="D485" s="12" t="inlineStr">
        <is>
          <t>계산 근거</t>
        </is>
      </c>
      <c r="E485" s="2" t="n"/>
      <c r="F485" s="12" t="inlineStr">
        <is>
          <t>공제 항목</t>
        </is>
      </c>
      <c r="G485" s="12" t="inlineStr">
        <is>
          <t>금액(원)</t>
        </is>
      </c>
      <c r="H485" s="12" t="n"/>
    </row>
    <row r="486">
      <c r="B486" s="4">
        <f>IF($K$482="","",IF(설정!$B$17="","",설정!$B$17))</f>
        <v/>
      </c>
      <c r="C486" s="31">
        <f>IF(OR($K$482="",설정!$B$17=""),"",INDEX(직원목록!$F$7:$F$306,$K$482))</f>
        <v/>
      </c>
      <c r="D486" s="32">
        <f>IF(OR($K$482="",설정!$B$17=""),"",IF(N(INDEX(직원목록!$N$7:$N$306,$K$482))=0,"",INDEX(직원목록!$N$7:$N$306,$K$482)&amp;"시간"))</f>
        <v/>
      </c>
      <c r="F486" s="4">
        <f>IF($K$482="","",IF(설정!$B$26="","",설정!$B$26))</f>
        <v/>
      </c>
      <c r="G486" s="31">
        <f>IF(OR($K$482="",설정!$B$26=""),"",INDEX(직원목록!$W$7:$W$306,$K$482))</f>
        <v/>
      </c>
      <c r="H486" s="19" t="n"/>
    </row>
    <row r="487">
      <c r="B487" s="4">
        <f>IF($K$482="","",IF(설정!$B$18="","",설정!$B$18))</f>
        <v/>
      </c>
      <c r="C487" s="31">
        <f>IF(OR($K$482="",설정!$B$18=""),"",INDEX(직원목록!$G$7:$G$306,$K$482))</f>
        <v/>
      </c>
      <c r="D487" s="32">
        <f>IF(OR($K$482="",설정!$B$18=""),"",IF(N(INDEX(직원목록!$O$7:$O$306,$K$482))=0,"",INDEX(직원목록!$O$7:$O$306,$K$482)&amp;"시간"))</f>
        <v/>
      </c>
      <c r="F487" s="4">
        <f>IF($K$482="","",IF(설정!$B$27="","",설정!$B$27))</f>
        <v/>
      </c>
      <c r="G487" s="31">
        <f>IF(OR($K$482="",설정!$B$27=""),"",INDEX(직원목록!$X$7:$X$306,$K$482))</f>
        <v/>
      </c>
      <c r="H487" s="19" t="n"/>
    </row>
    <row r="488">
      <c r="B488" s="4">
        <f>IF($K$482="","",IF(설정!$B$19="","",설정!$B$19))</f>
        <v/>
      </c>
      <c r="C488" s="31">
        <f>IF(OR($K$482="",설정!$B$19=""),"",INDEX(직원목록!$H$7:$H$306,$K$482))</f>
        <v/>
      </c>
      <c r="D488" s="32">
        <f>IF(OR($K$482="",설정!$B$19=""),"",IF(N(INDEX(직원목록!$P$7:$P$306,$K$482))=0,"",INDEX(직원목록!$P$7:$P$306,$K$482)&amp;"시간"))</f>
        <v/>
      </c>
      <c r="F488" s="4">
        <f>IF($K$482="","",IF(설정!$B$28="","",설정!$B$28))</f>
        <v/>
      </c>
      <c r="G488" s="31">
        <f>IF(OR($K$482="",설정!$B$28=""),"",INDEX(직원목록!$Y$7:$Y$306,$K$482))</f>
        <v/>
      </c>
      <c r="H488" s="19" t="n"/>
    </row>
    <row r="489">
      <c r="B489" s="4">
        <f>IF($K$482="","",IF(설정!$B$20="","",설정!$B$20))</f>
        <v/>
      </c>
      <c r="C489" s="31">
        <f>IF(OR($K$482="",설정!$B$20=""),"",INDEX(직원목록!$I$7:$I$306,$K$482))</f>
        <v/>
      </c>
      <c r="D489" s="32">
        <f>IF(OR($K$482="",설정!$B$20=""),"",IF(N(INDEX(직원목록!$Q$7:$Q$306,$K$482))=0,"",INDEX(직원목록!$Q$7:$Q$306,$K$482)&amp;"시간"))</f>
        <v/>
      </c>
      <c r="F489" s="4">
        <f>IF($K$482="","",IF(설정!$B$29="","",설정!$B$29))</f>
        <v/>
      </c>
      <c r="G489" s="31">
        <f>IF(OR($K$482="",설정!$B$29=""),"",INDEX(직원목록!$Z$7:$Z$306,$K$482))</f>
        <v/>
      </c>
      <c r="H489" s="19" t="n"/>
    </row>
    <row r="490">
      <c r="B490" s="4">
        <f>IF($K$482="","",IF(설정!$B$21="","",설정!$B$21))</f>
        <v/>
      </c>
      <c r="C490" s="31">
        <f>IF(OR($K$482="",설정!$B$21=""),"",INDEX(직원목록!$J$7:$J$306,$K$482))</f>
        <v/>
      </c>
      <c r="D490" s="32">
        <f>IF(OR($K$482="",설정!$B$21=""),"",IF(N(INDEX(직원목록!$R$7:$R$306,$K$482))=0,"",INDEX(직원목록!$R$7:$R$306,$K$482)&amp;"시간"))</f>
        <v/>
      </c>
      <c r="F490" s="4">
        <f>IF($K$482="","",IF(설정!$B$30="","",설정!$B$30))</f>
        <v/>
      </c>
      <c r="G490" s="31">
        <f>IF(OR($K$482="",설정!$B$30=""),"",INDEX(직원목록!$AA$7:$AA$306,$K$482))</f>
        <v/>
      </c>
      <c r="H490" s="19" t="n"/>
    </row>
    <row r="491">
      <c r="B491" s="4">
        <f>IF($K$482="","",IF(설정!$B$22="","",설정!$B$22))</f>
        <v/>
      </c>
      <c r="C491" s="31">
        <f>IF(OR($K$482="",설정!$B$22=""),"",INDEX(직원목록!$K$7:$K$306,$K$482))</f>
        <v/>
      </c>
      <c r="D491" s="32">
        <f>IF(OR($K$482="",설정!$B$22=""),"",IF(N(INDEX(직원목록!$S$7:$S$306,$K$482))=0,"",INDEX(직원목록!$S$7:$S$306,$K$482)&amp;"시간"))</f>
        <v/>
      </c>
      <c r="F491" s="4">
        <f>IF($K$482="","",IF(설정!$B$31="","",설정!$B$31))</f>
        <v/>
      </c>
      <c r="G491" s="31">
        <f>IF(OR($K$482="",설정!$B$31=""),"",INDEX(직원목록!$AB$7:$AB$306,$K$482))</f>
        <v/>
      </c>
      <c r="H491" s="19" t="n"/>
    </row>
    <row r="492">
      <c r="B492" s="4">
        <f>IF($K$482="","",IF(설정!$B$23="","",설정!$B$23))</f>
        <v/>
      </c>
      <c r="C492" s="31">
        <f>IF(OR($K$482="",설정!$B$23=""),"",INDEX(직원목록!$L$7:$L$306,$K$482))</f>
        <v/>
      </c>
      <c r="D492" s="32">
        <f>IF(OR($K$482="",설정!$B$23=""),"",IF(N(INDEX(직원목록!$T$7:$T$306,$K$482))=0,"",INDEX(직원목록!$T$7:$T$306,$K$482)&amp;"시간"))</f>
        <v/>
      </c>
      <c r="F492" s="4">
        <f>IF($K$482="","",IF(설정!$B$32="","",설정!$B$32))</f>
        <v/>
      </c>
      <c r="G492" s="31">
        <f>IF(OR($K$482="",설정!$B$32=""),"",INDEX(직원목록!$AC$7:$AC$306,$K$482))</f>
        <v/>
      </c>
      <c r="H492" s="19" t="n"/>
    </row>
    <row r="493">
      <c r="B493" s="4">
        <f>IF($K$482="","",IF(설정!$B$24="","",설정!$B$24))</f>
        <v/>
      </c>
      <c r="C493" s="31">
        <f>IF(OR($K$482="",설정!$B$24=""),"",INDEX(직원목록!$M$7:$M$306,$K$482))</f>
        <v/>
      </c>
      <c r="D493" s="32">
        <f>IF(OR($K$482="",설정!$B$24=""),"",IF(N(INDEX(직원목록!$U$7:$U$306,$K$482))=0,"",INDEX(직원목록!$U$7:$U$306,$K$482)&amp;"시간"))</f>
        <v/>
      </c>
      <c r="F493" s="4">
        <f>IF($K$482="","",IF(설정!$B$33="","",설정!$B$33))</f>
        <v/>
      </c>
      <c r="G493" s="31">
        <f>IF(OR($K$482="",설정!$B$33=""),"",INDEX(직원목록!$AD$7:$AD$306,$K$482))</f>
        <v/>
      </c>
      <c r="H493" s="19" t="n"/>
    </row>
    <row r="494">
      <c r="B494" s="3" t="inlineStr">
        <is>
          <t>지급 합계</t>
        </is>
      </c>
      <c r="C494" s="35">
        <f>IF($K$482="","",INDEX(직원목록!$V$7:$V$306,$K$482))</f>
        <v/>
      </c>
      <c r="D494" s="36" t="n"/>
      <c r="F494" s="3" t="inlineStr">
        <is>
          <t>공제 합계</t>
        </is>
      </c>
      <c r="G494" s="35">
        <f>IF($K$482="","",INDEX(직원목록!$AE$7:$AE$306,$K$482))</f>
        <v/>
      </c>
      <c r="H494" s="36" t="n"/>
    </row>
    <row r="495" ht="28" customHeight="1">
      <c r="B495" s="37" t="inlineStr">
        <is>
          <t>실 수령액 (지급 합계 − 공제 합계)</t>
        </is>
      </c>
      <c r="C495" s="29" t="n"/>
      <c r="D495" s="29" t="n"/>
      <c r="E495" s="38">
        <f>IF($K$482="","",INDEX(직원목록!$AF$7:$AF$306,$K$482))</f>
        <v/>
      </c>
      <c r="F495" s="29" t="n"/>
      <c r="G495" s="29" t="n"/>
      <c r="H495" s="29" t="n"/>
    </row>
    <row r="496">
      <c r="B496" s="39">
        <f>IF($K$482="","",설정!$B$7)</f>
        <v/>
      </c>
    </row>
    <row r="512" ht="30" customHeight="1">
      <c r="B512" s="28">
        <f>IF($K$512="","","임금명세서  ("&amp;설정!$B$5&amp;")")</f>
        <v/>
      </c>
      <c r="K512" s="34">
        <f>IFERROR(MATCH(18,직원목록!$B$7:$B$306,0),"")</f>
        <v/>
      </c>
    </row>
    <row r="513">
      <c r="B513" s="7" t="inlineStr">
        <is>
          <t>회사명</t>
        </is>
      </c>
      <c r="C513" s="21">
        <f>IF($K$512="","",설정!$B$4)</f>
        <v/>
      </c>
      <c r="D513" s="29" t="n"/>
      <c r="E513" s="19" t="n"/>
      <c r="F513" s="7" t="inlineStr">
        <is>
          <t>임금 지급일</t>
        </is>
      </c>
      <c r="G513" s="21">
        <f>IF($K$512="","",TEXT(설정!$B$6,"yyyy-mm-dd"))</f>
        <v/>
      </c>
      <c r="H513" s="29" t="n"/>
    </row>
    <row r="514">
      <c r="B514" s="7" t="inlineStr">
        <is>
          <t>성명</t>
        </is>
      </c>
      <c r="C514" s="22">
        <f>IF($K$512="","",INDEX(직원목록!$D$7:$D$306,$K$512))</f>
        <v/>
      </c>
      <c r="D514" s="7" t="inlineStr">
        <is>
          <t>사번</t>
        </is>
      </c>
      <c r="E514" s="21">
        <f>IF($K$512="","",INDEX(직원목록!$C$7:$C$306,$K$512))</f>
        <v/>
      </c>
      <c r="F514" s="7" t="inlineStr">
        <is>
          <t>부서</t>
        </is>
      </c>
      <c r="G514" s="21">
        <f>IF($K$512="","",INDEX(직원목록!$E$7:$E$306,$K$512))</f>
        <v/>
      </c>
      <c r="H514" s="29" t="n"/>
    </row>
    <row r="515">
      <c r="B515" s="12" t="inlineStr">
        <is>
          <t>지급 항목</t>
        </is>
      </c>
      <c r="C515" s="12" t="inlineStr">
        <is>
          <t>금액(원)</t>
        </is>
      </c>
      <c r="D515" s="12" t="inlineStr">
        <is>
          <t>계산 근거</t>
        </is>
      </c>
      <c r="E515" s="2" t="n"/>
      <c r="F515" s="12" t="inlineStr">
        <is>
          <t>공제 항목</t>
        </is>
      </c>
      <c r="G515" s="12" t="inlineStr">
        <is>
          <t>금액(원)</t>
        </is>
      </c>
      <c r="H515" s="12" t="n"/>
    </row>
    <row r="516">
      <c r="B516" s="4">
        <f>IF($K$512="","",IF(설정!$B$17="","",설정!$B$17))</f>
        <v/>
      </c>
      <c r="C516" s="31">
        <f>IF(OR($K$512="",설정!$B$17=""),"",INDEX(직원목록!$F$7:$F$306,$K$512))</f>
        <v/>
      </c>
      <c r="D516" s="32">
        <f>IF(OR($K$512="",설정!$B$17=""),"",IF(N(INDEX(직원목록!$N$7:$N$306,$K$512))=0,"",INDEX(직원목록!$N$7:$N$306,$K$512)&amp;"시간"))</f>
        <v/>
      </c>
      <c r="F516" s="4">
        <f>IF($K$512="","",IF(설정!$B$26="","",설정!$B$26))</f>
        <v/>
      </c>
      <c r="G516" s="31">
        <f>IF(OR($K$512="",설정!$B$26=""),"",INDEX(직원목록!$W$7:$W$306,$K$512))</f>
        <v/>
      </c>
      <c r="H516" s="19" t="n"/>
    </row>
    <row r="517">
      <c r="B517" s="4">
        <f>IF($K$512="","",IF(설정!$B$18="","",설정!$B$18))</f>
        <v/>
      </c>
      <c r="C517" s="31">
        <f>IF(OR($K$512="",설정!$B$18=""),"",INDEX(직원목록!$G$7:$G$306,$K$512))</f>
        <v/>
      </c>
      <c r="D517" s="32">
        <f>IF(OR($K$512="",설정!$B$18=""),"",IF(N(INDEX(직원목록!$O$7:$O$306,$K$512))=0,"",INDEX(직원목록!$O$7:$O$306,$K$512)&amp;"시간"))</f>
        <v/>
      </c>
      <c r="F517" s="4">
        <f>IF($K$512="","",IF(설정!$B$27="","",설정!$B$27))</f>
        <v/>
      </c>
      <c r="G517" s="31">
        <f>IF(OR($K$512="",설정!$B$27=""),"",INDEX(직원목록!$X$7:$X$306,$K$512))</f>
        <v/>
      </c>
      <c r="H517" s="19" t="n"/>
    </row>
    <row r="518">
      <c r="B518" s="4">
        <f>IF($K$512="","",IF(설정!$B$19="","",설정!$B$19))</f>
        <v/>
      </c>
      <c r="C518" s="31">
        <f>IF(OR($K$512="",설정!$B$19=""),"",INDEX(직원목록!$H$7:$H$306,$K$512))</f>
        <v/>
      </c>
      <c r="D518" s="32">
        <f>IF(OR($K$512="",설정!$B$19=""),"",IF(N(INDEX(직원목록!$P$7:$P$306,$K$512))=0,"",INDEX(직원목록!$P$7:$P$306,$K$512)&amp;"시간"))</f>
        <v/>
      </c>
      <c r="F518" s="4">
        <f>IF($K$512="","",IF(설정!$B$28="","",설정!$B$28))</f>
        <v/>
      </c>
      <c r="G518" s="31">
        <f>IF(OR($K$512="",설정!$B$28=""),"",INDEX(직원목록!$Y$7:$Y$306,$K$512))</f>
        <v/>
      </c>
      <c r="H518" s="19" t="n"/>
    </row>
    <row r="519">
      <c r="B519" s="4">
        <f>IF($K$512="","",IF(설정!$B$20="","",설정!$B$20))</f>
        <v/>
      </c>
      <c r="C519" s="31">
        <f>IF(OR($K$512="",설정!$B$20=""),"",INDEX(직원목록!$I$7:$I$306,$K$512))</f>
        <v/>
      </c>
      <c r="D519" s="32">
        <f>IF(OR($K$512="",설정!$B$20=""),"",IF(N(INDEX(직원목록!$Q$7:$Q$306,$K$512))=0,"",INDEX(직원목록!$Q$7:$Q$306,$K$512)&amp;"시간"))</f>
        <v/>
      </c>
      <c r="F519" s="4">
        <f>IF($K$512="","",IF(설정!$B$29="","",설정!$B$29))</f>
        <v/>
      </c>
      <c r="G519" s="31">
        <f>IF(OR($K$512="",설정!$B$29=""),"",INDEX(직원목록!$Z$7:$Z$306,$K$512))</f>
        <v/>
      </c>
      <c r="H519" s="19" t="n"/>
    </row>
    <row r="520">
      <c r="B520" s="4">
        <f>IF($K$512="","",IF(설정!$B$21="","",설정!$B$21))</f>
        <v/>
      </c>
      <c r="C520" s="31">
        <f>IF(OR($K$512="",설정!$B$21=""),"",INDEX(직원목록!$J$7:$J$306,$K$512))</f>
        <v/>
      </c>
      <c r="D520" s="32">
        <f>IF(OR($K$512="",설정!$B$21=""),"",IF(N(INDEX(직원목록!$R$7:$R$306,$K$512))=0,"",INDEX(직원목록!$R$7:$R$306,$K$512)&amp;"시간"))</f>
        <v/>
      </c>
      <c r="F520" s="4">
        <f>IF($K$512="","",IF(설정!$B$30="","",설정!$B$30))</f>
        <v/>
      </c>
      <c r="G520" s="31">
        <f>IF(OR($K$512="",설정!$B$30=""),"",INDEX(직원목록!$AA$7:$AA$306,$K$512))</f>
        <v/>
      </c>
      <c r="H520" s="19" t="n"/>
    </row>
    <row r="521">
      <c r="B521" s="4">
        <f>IF($K$512="","",IF(설정!$B$22="","",설정!$B$22))</f>
        <v/>
      </c>
      <c r="C521" s="31">
        <f>IF(OR($K$512="",설정!$B$22=""),"",INDEX(직원목록!$K$7:$K$306,$K$512))</f>
        <v/>
      </c>
      <c r="D521" s="32">
        <f>IF(OR($K$512="",설정!$B$22=""),"",IF(N(INDEX(직원목록!$S$7:$S$306,$K$512))=0,"",INDEX(직원목록!$S$7:$S$306,$K$512)&amp;"시간"))</f>
        <v/>
      </c>
      <c r="F521" s="4">
        <f>IF($K$512="","",IF(설정!$B$31="","",설정!$B$31))</f>
        <v/>
      </c>
      <c r="G521" s="31">
        <f>IF(OR($K$512="",설정!$B$31=""),"",INDEX(직원목록!$AB$7:$AB$306,$K$512))</f>
        <v/>
      </c>
      <c r="H521" s="19" t="n"/>
    </row>
    <row r="522">
      <c r="B522" s="4">
        <f>IF($K$512="","",IF(설정!$B$23="","",설정!$B$23))</f>
        <v/>
      </c>
      <c r="C522" s="31">
        <f>IF(OR($K$512="",설정!$B$23=""),"",INDEX(직원목록!$L$7:$L$306,$K$512))</f>
        <v/>
      </c>
      <c r="D522" s="32">
        <f>IF(OR($K$512="",설정!$B$23=""),"",IF(N(INDEX(직원목록!$T$7:$T$306,$K$512))=0,"",INDEX(직원목록!$T$7:$T$306,$K$512)&amp;"시간"))</f>
        <v/>
      </c>
      <c r="F522" s="4">
        <f>IF($K$512="","",IF(설정!$B$32="","",설정!$B$32))</f>
        <v/>
      </c>
      <c r="G522" s="31">
        <f>IF(OR($K$512="",설정!$B$32=""),"",INDEX(직원목록!$AC$7:$AC$306,$K$512))</f>
        <v/>
      </c>
      <c r="H522" s="19" t="n"/>
    </row>
    <row r="523">
      <c r="B523" s="4">
        <f>IF($K$512="","",IF(설정!$B$24="","",설정!$B$24))</f>
        <v/>
      </c>
      <c r="C523" s="31">
        <f>IF(OR($K$512="",설정!$B$24=""),"",INDEX(직원목록!$M$7:$M$306,$K$512))</f>
        <v/>
      </c>
      <c r="D523" s="32">
        <f>IF(OR($K$512="",설정!$B$24=""),"",IF(N(INDEX(직원목록!$U$7:$U$306,$K$512))=0,"",INDEX(직원목록!$U$7:$U$306,$K$512)&amp;"시간"))</f>
        <v/>
      </c>
      <c r="F523" s="4">
        <f>IF($K$512="","",IF(설정!$B$33="","",설정!$B$33))</f>
        <v/>
      </c>
      <c r="G523" s="31">
        <f>IF(OR($K$512="",설정!$B$33=""),"",INDEX(직원목록!$AD$7:$AD$306,$K$512))</f>
        <v/>
      </c>
      <c r="H523" s="19" t="n"/>
    </row>
    <row r="524">
      <c r="B524" s="3" t="inlineStr">
        <is>
          <t>지급 합계</t>
        </is>
      </c>
      <c r="C524" s="35">
        <f>IF($K$512="","",INDEX(직원목록!$V$7:$V$306,$K$512))</f>
        <v/>
      </c>
      <c r="D524" s="36" t="n"/>
      <c r="F524" s="3" t="inlineStr">
        <is>
          <t>공제 합계</t>
        </is>
      </c>
      <c r="G524" s="35">
        <f>IF($K$512="","",INDEX(직원목록!$AE$7:$AE$306,$K$512))</f>
        <v/>
      </c>
      <c r="H524" s="36" t="n"/>
    </row>
    <row r="525" ht="28" customHeight="1">
      <c r="B525" s="37" t="inlineStr">
        <is>
          <t>실 수령액 (지급 합계 − 공제 합계)</t>
        </is>
      </c>
      <c r="C525" s="29" t="n"/>
      <c r="D525" s="29" t="n"/>
      <c r="E525" s="38">
        <f>IF($K$512="","",INDEX(직원목록!$AF$7:$AF$306,$K$512))</f>
        <v/>
      </c>
      <c r="F525" s="29" t="n"/>
      <c r="G525" s="29" t="n"/>
      <c r="H525" s="29" t="n"/>
    </row>
    <row r="526">
      <c r="B526" s="39">
        <f>IF($K$512="","",설정!$B$7)</f>
        <v/>
      </c>
    </row>
    <row r="542" ht="30" customHeight="1">
      <c r="B542" s="28">
        <f>IF($K$542="","","임금명세서  ("&amp;설정!$B$5&amp;")")</f>
        <v/>
      </c>
      <c r="K542" s="34">
        <f>IFERROR(MATCH(19,직원목록!$B$7:$B$306,0),"")</f>
        <v/>
      </c>
    </row>
    <row r="543">
      <c r="B543" s="7" t="inlineStr">
        <is>
          <t>회사명</t>
        </is>
      </c>
      <c r="C543" s="21">
        <f>IF($K$542="","",설정!$B$4)</f>
        <v/>
      </c>
      <c r="D543" s="29" t="n"/>
      <c r="E543" s="19" t="n"/>
      <c r="F543" s="7" t="inlineStr">
        <is>
          <t>임금 지급일</t>
        </is>
      </c>
      <c r="G543" s="21">
        <f>IF($K$542="","",TEXT(설정!$B$6,"yyyy-mm-dd"))</f>
        <v/>
      </c>
      <c r="H543" s="29" t="n"/>
    </row>
    <row r="544">
      <c r="B544" s="7" t="inlineStr">
        <is>
          <t>성명</t>
        </is>
      </c>
      <c r="C544" s="22">
        <f>IF($K$542="","",INDEX(직원목록!$D$7:$D$306,$K$542))</f>
        <v/>
      </c>
      <c r="D544" s="7" t="inlineStr">
        <is>
          <t>사번</t>
        </is>
      </c>
      <c r="E544" s="21">
        <f>IF($K$542="","",INDEX(직원목록!$C$7:$C$306,$K$542))</f>
        <v/>
      </c>
      <c r="F544" s="7" t="inlineStr">
        <is>
          <t>부서</t>
        </is>
      </c>
      <c r="G544" s="21">
        <f>IF($K$542="","",INDEX(직원목록!$E$7:$E$306,$K$542))</f>
        <v/>
      </c>
      <c r="H544" s="29" t="n"/>
    </row>
    <row r="545">
      <c r="B545" s="12" t="inlineStr">
        <is>
          <t>지급 항목</t>
        </is>
      </c>
      <c r="C545" s="12" t="inlineStr">
        <is>
          <t>금액(원)</t>
        </is>
      </c>
      <c r="D545" s="12" t="inlineStr">
        <is>
          <t>계산 근거</t>
        </is>
      </c>
      <c r="E545" s="2" t="n"/>
      <c r="F545" s="12" t="inlineStr">
        <is>
          <t>공제 항목</t>
        </is>
      </c>
      <c r="G545" s="12" t="inlineStr">
        <is>
          <t>금액(원)</t>
        </is>
      </c>
      <c r="H545" s="12" t="n"/>
    </row>
    <row r="546">
      <c r="B546" s="4">
        <f>IF($K$542="","",IF(설정!$B$17="","",설정!$B$17))</f>
        <v/>
      </c>
      <c r="C546" s="31">
        <f>IF(OR($K$542="",설정!$B$17=""),"",INDEX(직원목록!$F$7:$F$306,$K$542))</f>
        <v/>
      </c>
      <c r="D546" s="32">
        <f>IF(OR($K$542="",설정!$B$17=""),"",IF(N(INDEX(직원목록!$N$7:$N$306,$K$542))=0,"",INDEX(직원목록!$N$7:$N$306,$K$542)&amp;"시간"))</f>
        <v/>
      </c>
      <c r="F546" s="4">
        <f>IF($K$542="","",IF(설정!$B$26="","",설정!$B$26))</f>
        <v/>
      </c>
      <c r="G546" s="31">
        <f>IF(OR($K$542="",설정!$B$26=""),"",INDEX(직원목록!$W$7:$W$306,$K$542))</f>
        <v/>
      </c>
      <c r="H546" s="19" t="n"/>
    </row>
    <row r="547">
      <c r="B547" s="4">
        <f>IF($K$542="","",IF(설정!$B$18="","",설정!$B$18))</f>
        <v/>
      </c>
      <c r="C547" s="31">
        <f>IF(OR($K$542="",설정!$B$18=""),"",INDEX(직원목록!$G$7:$G$306,$K$542))</f>
        <v/>
      </c>
      <c r="D547" s="32">
        <f>IF(OR($K$542="",설정!$B$18=""),"",IF(N(INDEX(직원목록!$O$7:$O$306,$K$542))=0,"",INDEX(직원목록!$O$7:$O$306,$K$542)&amp;"시간"))</f>
        <v/>
      </c>
      <c r="F547" s="4">
        <f>IF($K$542="","",IF(설정!$B$27="","",설정!$B$27))</f>
        <v/>
      </c>
      <c r="G547" s="31">
        <f>IF(OR($K$542="",설정!$B$27=""),"",INDEX(직원목록!$X$7:$X$306,$K$542))</f>
        <v/>
      </c>
      <c r="H547" s="19" t="n"/>
    </row>
    <row r="548">
      <c r="B548" s="4">
        <f>IF($K$542="","",IF(설정!$B$19="","",설정!$B$19))</f>
        <v/>
      </c>
      <c r="C548" s="31">
        <f>IF(OR($K$542="",설정!$B$19=""),"",INDEX(직원목록!$H$7:$H$306,$K$542))</f>
        <v/>
      </c>
      <c r="D548" s="32">
        <f>IF(OR($K$542="",설정!$B$19=""),"",IF(N(INDEX(직원목록!$P$7:$P$306,$K$542))=0,"",INDEX(직원목록!$P$7:$P$306,$K$542)&amp;"시간"))</f>
        <v/>
      </c>
      <c r="F548" s="4">
        <f>IF($K$542="","",IF(설정!$B$28="","",설정!$B$28))</f>
        <v/>
      </c>
      <c r="G548" s="31">
        <f>IF(OR($K$542="",설정!$B$28=""),"",INDEX(직원목록!$Y$7:$Y$306,$K$542))</f>
        <v/>
      </c>
      <c r="H548" s="19" t="n"/>
    </row>
    <row r="549">
      <c r="B549" s="4">
        <f>IF($K$542="","",IF(설정!$B$20="","",설정!$B$20))</f>
        <v/>
      </c>
      <c r="C549" s="31">
        <f>IF(OR($K$542="",설정!$B$20=""),"",INDEX(직원목록!$I$7:$I$306,$K$542))</f>
        <v/>
      </c>
      <c r="D549" s="32">
        <f>IF(OR($K$542="",설정!$B$20=""),"",IF(N(INDEX(직원목록!$Q$7:$Q$306,$K$542))=0,"",INDEX(직원목록!$Q$7:$Q$306,$K$542)&amp;"시간"))</f>
        <v/>
      </c>
      <c r="F549" s="4">
        <f>IF($K$542="","",IF(설정!$B$29="","",설정!$B$29))</f>
        <v/>
      </c>
      <c r="G549" s="31">
        <f>IF(OR($K$542="",설정!$B$29=""),"",INDEX(직원목록!$Z$7:$Z$306,$K$542))</f>
        <v/>
      </c>
      <c r="H549" s="19" t="n"/>
    </row>
    <row r="550">
      <c r="B550" s="4">
        <f>IF($K$542="","",IF(설정!$B$21="","",설정!$B$21))</f>
        <v/>
      </c>
      <c r="C550" s="31">
        <f>IF(OR($K$542="",설정!$B$21=""),"",INDEX(직원목록!$J$7:$J$306,$K$542))</f>
        <v/>
      </c>
      <c r="D550" s="32">
        <f>IF(OR($K$542="",설정!$B$21=""),"",IF(N(INDEX(직원목록!$R$7:$R$306,$K$542))=0,"",INDEX(직원목록!$R$7:$R$306,$K$542)&amp;"시간"))</f>
        <v/>
      </c>
      <c r="F550" s="4">
        <f>IF($K$542="","",IF(설정!$B$30="","",설정!$B$30))</f>
        <v/>
      </c>
      <c r="G550" s="31">
        <f>IF(OR($K$542="",설정!$B$30=""),"",INDEX(직원목록!$AA$7:$AA$306,$K$542))</f>
        <v/>
      </c>
      <c r="H550" s="19" t="n"/>
    </row>
    <row r="551">
      <c r="B551" s="4">
        <f>IF($K$542="","",IF(설정!$B$22="","",설정!$B$22))</f>
        <v/>
      </c>
      <c r="C551" s="31">
        <f>IF(OR($K$542="",설정!$B$22=""),"",INDEX(직원목록!$K$7:$K$306,$K$542))</f>
        <v/>
      </c>
      <c r="D551" s="32">
        <f>IF(OR($K$542="",설정!$B$22=""),"",IF(N(INDEX(직원목록!$S$7:$S$306,$K$542))=0,"",INDEX(직원목록!$S$7:$S$306,$K$542)&amp;"시간"))</f>
        <v/>
      </c>
      <c r="F551" s="4">
        <f>IF($K$542="","",IF(설정!$B$31="","",설정!$B$31))</f>
        <v/>
      </c>
      <c r="G551" s="31">
        <f>IF(OR($K$542="",설정!$B$31=""),"",INDEX(직원목록!$AB$7:$AB$306,$K$542))</f>
        <v/>
      </c>
      <c r="H551" s="19" t="n"/>
    </row>
    <row r="552">
      <c r="B552" s="4">
        <f>IF($K$542="","",IF(설정!$B$23="","",설정!$B$23))</f>
        <v/>
      </c>
      <c r="C552" s="31">
        <f>IF(OR($K$542="",설정!$B$23=""),"",INDEX(직원목록!$L$7:$L$306,$K$542))</f>
        <v/>
      </c>
      <c r="D552" s="32">
        <f>IF(OR($K$542="",설정!$B$23=""),"",IF(N(INDEX(직원목록!$T$7:$T$306,$K$542))=0,"",INDEX(직원목록!$T$7:$T$306,$K$542)&amp;"시간"))</f>
        <v/>
      </c>
      <c r="F552" s="4">
        <f>IF($K$542="","",IF(설정!$B$32="","",설정!$B$32))</f>
        <v/>
      </c>
      <c r="G552" s="31">
        <f>IF(OR($K$542="",설정!$B$32=""),"",INDEX(직원목록!$AC$7:$AC$306,$K$542))</f>
        <v/>
      </c>
      <c r="H552" s="19" t="n"/>
    </row>
    <row r="553">
      <c r="B553" s="4">
        <f>IF($K$542="","",IF(설정!$B$24="","",설정!$B$24))</f>
        <v/>
      </c>
      <c r="C553" s="31">
        <f>IF(OR($K$542="",설정!$B$24=""),"",INDEX(직원목록!$M$7:$M$306,$K$542))</f>
        <v/>
      </c>
      <c r="D553" s="32">
        <f>IF(OR($K$542="",설정!$B$24=""),"",IF(N(INDEX(직원목록!$U$7:$U$306,$K$542))=0,"",INDEX(직원목록!$U$7:$U$306,$K$542)&amp;"시간"))</f>
        <v/>
      </c>
      <c r="F553" s="4">
        <f>IF($K$542="","",IF(설정!$B$33="","",설정!$B$33))</f>
        <v/>
      </c>
      <c r="G553" s="31">
        <f>IF(OR($K$542="",설정!$B$33=""),"",INDEX(직원목록!$AD$7:$AD$306,$K$542))</f>
        <v/>
      </c>
      <c r="H553" s="19" t="n"/>
    </row>
    <row r="554">
      <c r="B554" s="3" t="inlineStr">
        <is>
          <t>지급 합계</t>
        </is>
      </c>
      <c r="C554" s="35">
        <f>IF($K$542="","",INDEX(직원목록!$V$7:$V$306,$K$542))</f>
        <v/>
      </c>
      <c r="D554" s="36" t="n"/>
      <c r="F554" s="3" t="inlineStr">
        <is>
          <t>공제 합계</t>
        </is>
      </c>
      <c r="G554" s="35">
        <f>IF($K$542="","",INDEX(직원목록!$AE$7:$AE$306,$K$542))</f>
        <v/>
      </c>
      <c r="H554" s="36" t="n"/>
    </row>
    <row r="555" ht="28" customHeight="1">
      <c r="B555" s="37" t="inlineStr">
        <is>
          <t>실 수령액 (지급 합계 − 공제 합계)</t>
        </is>
      </c>
      <c r="C555" s="29" t="n"/>
      <c r="D555" s="29" t="n"/>
      <c r="E555" s="38">
        <f>IF($K$542="","",INDEX(직원목록!$AF$7:$AF$306,$K$542))</f>
        <v/>
      </c>
      <c r="F555" s="29" t="n"/>
      <c r="G555" s="29" t="n"/>
      <c r="H555" s="29" t="n"/>
    </row>
    <row r="556">
      <c r="B556" s="39">
        <f>IF($K$542="","",설정!$B$7)</f>
        <v/>
      </c>
    </row>
    <row r="572" ht="30" customHeight="1">
      <c r="B572" s="28">
        <f>IF($K$572="","","임금명세서  ("&amp;설정!$B$5&amp;")")</f>
        <v/>
      </c>
      <c r="K572" s="34">
        <f>IFERROR(MATCH(20,직원목록!$B$7:$B$306,0),"")</f>
        <v/>
      </c>
    </row>
    <row r="573">
      <c r="B573" s="7" t="inlineStr">
        <is>
          <t>회사명</t>
        </is>
      </c>
      <c r="C573" s="21">
        <f>IF($K$572="","",설정!$B$4)</f>
        <v/>
      </c>
      <c r="D573" s="29" t="n"/>
      <c r="E573" s="19" t="n"/>
      <c r="F573" s="7" t="inlineStr">
        <is>
          <t>임금 지급일</t>
        </is>
      </c>
      <c r="G573" s="21">
        <f>IF($K$572="","",TEXT(설정!$B$6,"yyyy-mm-dd"))</f>
        <v/>
      </c>
      <c r="H573" s="29" t="n"/>
    </row>
    <row r="574">
      <c r="B574" s="7" t="inlineStr">
        <is>
          <t>성명</t>
        </is>
      </c>
      <c r="C574" s="22">
        <f>IF($K$572="","",INDEX(직원목록!$D$7:$D$306,$K$572))</f>
        <v/>
      </c>
      <c r="D574" s="7" t="inlineStr">
        <is>
          <t>사번</t>
        </is>
      </c>
      <c r="E574" s="21">
        <f>IF($K$572="","",INDEX(직원목록!$C$7:$C$306,$K$572))</f>
        <v/>
      </c>
      <c r="F574" s="7" t="inlineStr">
        <is>
          <t>부서</t>
        </is>
      </c>
      <c r="G574" s="21">
        <f>IF($K$572="","",INDEX(직원목록!$E$7:$E$306,$K$572))</f>
        <v/>
      </c>
      <c r="H574" s="29" t="n"/>
    </row>
    <row r="575">
      <c r="B575" s="12" t="inlineStr">
        <is>
          <t>지급 항목</t>
        </is>
      </c>
      <c r="C575" s="12" t="inlineStr">
        <is>
          <t>금액(원)</t>
        </is>
      </c>
      <c r="D575" s="12" t="inlineStr">
        <is>
          <t>계산 근거</t>
        </is>
      </c>
      <c r="E575" s="2" t="n"/>
      <c r="F575" s="12" t="inlineStr">
        <is>
          <t>공제 항목</t>
        </is>
      </c>
      <c r="G575" s="12" t="inlineStr">
        <is>
          <t>금액(원)</t>
        </is>
      </c>
      <c r="H575" s="12" t="n"/>
    </row>
    <row r="576">
      <c r="B576" s="4">
        <f>IF($K$572="","",IF(설정!$B$17="","",설정!$B$17))</f>
        <v/>
      </c>
      <c r="C576" s="31">
        <f>IF(OR($K$572="",설정!$B$17=""),"",INDEX(직원목록!$F$7:$F$306,$K$572))</f>
        <v/>
      </c>
      <c r="D576" s="32">
        <f>IF(OR($K$572="",설정!$B$17=""),"",IF(N(INDEX(직원목록!$N$7:$N$306,$K$572))=0,"",INDEX(직원목록!$N$7:$N$306,$K$572)&amp;"시간"))</f>
        <v/>
      </c>
      <c r="F576" s="4">
        <f>IF($K$572="","",IF(설정!$B$26="","",설정!$B$26))</f>
        <v/>
      </c>
      <c r="G576" s="31">
        <f>IF(OR($K$572="",설정!$B$26=""),"",INDEX(직원목록!$W$7:$W$306,$K$572))</f>
        <v/>
      </c>
      <c r="H576" s="19" t="n"/>
    </row>
    <row r="577">
      <c r="B577" s="4">
        <f>IF($K$572="","",IF(설정!$B$18="","",설정!$B$18))</f>
        <v/>
      </c>
      <c r="C577" s="31">
        <f>IF(OR($K$572="",설정!$B$18=""),"",INDEX(직원목록!$G$7:$G$306,$K$572))</f>
        <v/>
      </c>
      <c r="D577" s="32">
        <f>IF(OR($K$572="",설정!$B$18=""),"",IF(N(INDEX(직원목록!$O$7:$O$306,$K$572))=0,"",INDEX(직원목록!$O$7:$O$306,$K$572)&amp;"시간"))</f>
        <v/>
      </c>
      <c r="F577" s="4">
        <f>IF($K$572="","",IF(설정!$B$27="","",설정!$B$27))</f>
        <v/>
      </c>
      <c r="G577" s="31">
        <f>IF(OR($K$572="",설정!$B$27=""),"",INDEX(직원목록!$X$7:$X$306,$K$572))</f>
        <v/>
      </c>
      <c r="H577" s="19" t="n"/>
    </row>
    <row r="578">
      <c r="B578" s="4">
        <f>IF($K$572="","",IF(설정!$B$19="","",설정!$B$19))</f>
        <v/>
      </c>
      <c r="C578" s="31">
        <f>IF(OR($K$572="",설정!$B$19=""),"",INDEX(직원목록!$H$7:$H$306,$K$572))</f>
        <v/>
      </c>
      <c r="D578" s="32">
        <f>IF(OR($K$572="",설정!$B$19=""),"",IF(N(INDEX(직원목록!$P$7:$P$306,$K$572))=0,"",INDEX(직원목록!$P$7:$P$306,$K$572)&amp;"시간"))</f>
        <v/>
      </c>
      <c r="F578" s="4">
        <f>IF($K$572="","",IF(설정!$B$28="","",설정!$B$28))</f>
        <v/>
      </c>
      <c r="G578" s="31">
        <f>IF(OR($K$572="",설정!$B$28=""),"",INDEX(직원목록!$Y$7:$Y$306,$K$572))</f>
        <v/>
      </c>
      <c r="H578" s="19" t="n"/>
    </row>
    <row r="579">
      <c r="B579" s="4">
        <f>IF($K$572="","",IF(설정!$B$20="","",설정!$B$20))</f>
        <v/>
      </c>
      <c r="C579" s="31">
        <f>IF(OR($K$572="",설정!$B$20=""),"",INDEX(직원목록!$I$7:$I$306,$K$572))</f>
        <v/>
      </c>
      <c r="D579" s="32">
        <f>IF(OR($K$572="",설정!$B$20=""),"",IF(N(INDEX(직원목록!$Q$7:$Q$306,$K$572))=0,"",INDEX(직원목록!$Q$7:$Q$306,$K$572)&amp;"시간"))</f>
        <v/>
      </c>
      <c r="F579" s="4">
        <f>IF($K$572="","",IF(설정!$B$29="","",설정!$B$29))</f>
        <v/>
      </c>
      <c r="G579" s="31">
        <f>IF(OR($K$572="",설정!$B$29=""),"",INDEX(직원목록!$Z$7:$Z$306,$K$572))</f>
        <v/>
      </c>
      <c r="H579" s="19" t="n"/>
    </row>
    <row r="580">
      <c r="B580" s="4">
        <f>IF($K$572="","",IF(설정!$B$21="","",설정!$B$21))</f>
        <v/>
      </c>
      <c r="C580" s="31">
        <f>IF(OR($K$572="",설정!$B$21=""),"",INDEX(직원목록!$J$7:$J$306,$K$572))</f>
        <v/>
      </c>
      <c r="D580" s="32">
        <f>IF(OR($K$572="",설정!$B$21=""),"",IF(N(INDEX(직원목록!$R$7:$R$306,$K$572))=0,"",INDEX(직원목록!$R$7:$R$306,$K$572)&amp;"시간"))</f>
        <v/>
      </c>
      <c r="F580" s="4">
        <f>IF($K$572="","",IF(설정!$B$30="","",설정!$B$30))</f>
        <v/>
      </c>
      <c r="G580" s="31">
        <f>IF(OR($K$572="",설정!$B$30=""),"",INDEX(직원목록!$AA$7:$AA$306,$K$572))</f>
        <v/>
      </c>
      <c r="H580" s="19" t="n"/>
    </row>
    <row r="581">
      <c r="B581" s="4">
        <f>IF($K$572="","",IF(설정!$B$22="","",설정!$B$22))</f>
        <v/>
      </c>
      <c r="C581" s="31">
        <f>IF(OR($K$572="",설정!$B$22=""),"",INDEX(직원목록!$K$7:$K$306,$K$572))</f>
        <v/>
      </c>
      <c r="D581" s="32">
        <f>IF(OR($K$572="",설정!$B$22=""),"",IF(N(INDEX(직원목록!$S$7:$S$306,$K$572))=0,"",INDEX(직원목록!$S$7:$S$306,$K$572)&amp;"시간"))</f>
        <v/>
      </c>
      <c r="F581" s="4">
        <f>IF($K$572="","",IF(설정!$B$31="","",설정!$B$31))</f>
        <v/>
      </c>
      <c r="G581" s="31">
        <f>IF(OR($K$572="",설정!$B$31=""),"",INDEX(직원목록!$AB$7:$AB$306,$K$572))</f>
        <v/>
      </c>
      <c r="H581" s="19" t="n"/>
    </row>
    <row r="582">
      <c r="B582" s="4">
        <f>IF($K$572="","",IF(설정!$B$23="","",설정!$B$23))</f>
        <v/>
      </c>
      <c r="C582" s="31">
        <f>IF(OR($K$572="",설정!$B$23=""),"",INDEX(직원목록!$L$7:$L$306,$K$572))</f>
        <v/>
      </c>
      <c r="D582" s="32">
        <f>IF(OR($K$572="",설정!$B$23=""),"",IF(N(INDEX(직원목록!$T$7:$T$306,$K$572))=0,"",INDEX(직원목록!$T$7:$T$306,$K$572)&amp;"시간"))</f>
        <v/>
      </c>
      <c r="F582" s="4">
        <f>IF($K$572="","",IF(설정!$B$32="","",설정!$B$32))</f>
        <v/>
      </c>
      <c r="G582" s="31">
        <f>IF(OR($K$572="",설정!$B$32=""),"",INDEX(직원목록!$AC$7:$AC$306,$K$572))</f>
        <v/>
      </c>
      <c r="H582" s="19" t="n"/>
    </row>
    <row r="583">
      <c r="B583" s="4">
        <f>IF($K$572="","",IF(설정!$B$24="","",설정!$B$24))</f>
        <v/>
      </c>
      <c r="C583" s="31">
        <f>IF(OR($K$572="",설정!$B$24=""),"",INDEX(직원목록!$M$7:$M$306,$K$572))</f>
        <v/>
      </c>
      <c r="D583" s="32">
        <f>IF(OR($K$572="",설정!$B$24=""),"",IF(N(INDEX(직원목록!$U$7:$U$306,$K$572))=0,"",INDEX(직원목록!$U$7:$U$306,$K$572)&amp;"시간"))</f>
        <v/>
      </c>
      <c r="F583" s="4">
        <f>IF($K$572="","",IF(설정!$B$33="","",설정!$B$33))</f>
        <v/>
      </c>
      <c r="G583" s="31">
        <f>IF(OR($K$572="",설정!$B$33=""),"",INDEX(직원목록!$AD$7:$AD$306,$K$572))</f>
        <v/>
      </c>
      <c r="H583" s="19" t="n"/>
    </row>
    <row r="584">
      <c r="B584" s="3" t="inlineStr">
        <is>
          <t>지급 합계</t>
        </is>
      </c>
      <c r="C584" s="35">
        <f>IF($K$572="","",INDEX(직원목록!$V$7:$V$306,$K$572))</f>
        <v/>
      </c>
      <c r="D584" s="36" t="n"/>
      <c r="F584" s="3" t="inlineStr">
        <is>
          <t>공제 합계</t>
        </is>
      </c>
      <c r="G584" s="35">
        <f>IF($K$572="","",INDEX(직원목록!$AE$7:$AE$306,$K$572))</f>
        <v/>
      </c>
      <c r="H584" s="36" t="n"/>
    </row>
    <row r="585" ht="28" customHeight="1">
      <c r="B585" s="37" t="inlineStr">
        <is>
          <t>실 수령액 (지급 합계 − 공제 합계)</t>
        </is>
      </c>
      <c r="C585" s="29" t="n"/>
      <c r="D585" s="29" t="n"/>
      <c r="E585" s="38">
        <f>IF($K$572="","",INDEX(직원목록!$AF$7:$AF$306,$K$572))</f>
        <v/>
      </c>
      <c r="F585" s="29" t="n"/>
      <c r="G585" s="29" t="n"/>
      <c r="H585" s="29" t="n"/>
    </row>
    <row r="586">
      <c r="B586" s="39">
        <f>IF($K$572="","",설정!$B$7)</f>
        <v/>
      </c>
    </row>
    <row r="602" ht="30" customHeight="1">
      <c r="B602" s="28">
        <f>IF($K$602="","","임금명세서  ("&amp;설정!$B$5&amp;")")</f>
        <v/>
      </c>
      <c r="K602" s="34">
        <f>IFERROR(MATCH(21,직원목록!$B$7:$B$306,0),"")</f>
        <v/>
      </c>
    </row>
    <row r="603">
      <c r="B603" s="7" t="inlineStr">
        <is>
          <t>회사명</t>
        </is>
      </c>
      <c r="C603" s="21">
        <f>IF($K$602="","",설정!$B$4)</f>
        <v/>
      </c>
      <c r="D603" s="29" t="n"/>
      <c r="E603" s="19" t="n"/>
      <c r="F603" s="7" t="inlineStr">
        <is>
          <t>임금 지급일</t>
        </is>
      </c>
      <c r="G603" s="21">
        <f>IF($K$602="","",TEXT(설정!$B$6,"yyyy-mm-dd"))</f>
        <v/>
      </c>
      <c r="H603" s="29" t="n"/>
    </row>
    <row r="604">
      <c r="B604" s="7" t="inlineStr">
        <is>
          <t>성명</t>
        </is>
      </c>
      <c r="C604" s="22">
        <f>IF($K$602="","",INDEX(직원목록!$D$7:$D$306,$K$602))</f>
        <v/>
      </c>
      <c r="D604" s="7" t="inlineStr">
        <is>
          <t>사번</t>
        </is>
      </c>
      <c r="E604" s="21">
        <f>IF($K$602="","",INDEX(직원목록!$C$7:$C$306,$K$602))</f>
        <v/>
      </c>
      <c r="F604" s="7" t="inlineStr">
        <is>
          <t>부서</t>
        </is>
      </c>
      <c r="G604" s="21">
        <f>IF($K$602="","",INDEX(직원목록!$E$7:$E$306,$K$602))</f>
        <v/>
      </c>
      <c r="H604" s="29" t="n"/>
    </row>
    <row r="605">
      <c r="B605" s="12" t="inlineStr">
        <is>
          <t>지급 항목</t>
        </is>
      </c>
      <c r="C605" s="12" t="inlineStr">
        <is>
          <t>금액(원)</t>
        </is>
      </c>
      <c r="D605" s="12" t="inlineStr">
        <is>
          <t>계산 근거</t>
        </is>
      </c>
      <c r="E605" s="2" t="n"/>
      <c r="F605" s="12" t="inlineStr">
        <is>
          <t>공제 항목</t>
        </is>
      </c>
      <c r="G605" s="12" t="inlineStr">
        <is>
          <t>금액(원)</t>
        </is>
      </c>
      <c r="H605" s="12" t="n"/>
    </row>
    <row r="606">
      <c r="B606" s="4">
        <f>IF($K$602="","",IF(설정!$B$17="","",설정!$B$17))</f>
        <v/>
      </c>
      <c r="C606" s="31">
        <f>IF(OR($K$602="",설정!$B$17=""),"",INDEX(직원목록!$F$7:$F$306,$K$602))</f>
        <v/>
      </c>
      <c r="D606" s="32">
        <f>IF(OR($K$602="",설정!$B$17=""),"",IF(N(INDEX(직원목록!$N$7:$N$306,$K$602))=0,"",INDEX(직원목록!$N$7:$N$306,$K$602)&amp;"시간"))</f>
        <v/>
      </c>
      <c r="F606" s="4">
        <f>IF($K$602="","",IF(설정!$B$26="","",설정!$B$26))</f>
        <v/>
      </c>
      <c r="G606" s="31">
        <f>IF(OR($K$602="",설정!$B$26=""),"",INDEX(직원목록!$W$7:$W$306,$K$602))</f>
        <v/>
      </c>
      <c r="H606" s="19" t="n"/>
    </row>
    <row r="607">
      <c r="B607" s="4">
        <f>IF($K$602="","",IF(설정!$B$18="","",설정!$B$18))</f>
        <v/>
      </c>
      <c r="C607" s="31">
        <f>IF(OR($K$602="",설정!$B$18=""),"",INDEX(직원목록!$G$7:$G$306,$K$602))</f>
        <v/>
      </c>
      <c r="D607" s="32">
        <f>IF(OR($K$602="",설정!$B$18=""),"",IF(N(INDEX(직원목록!$O$7:$O$306,$K$602))=0,"",INDEX(직원목록!$O$7:$O$306,$K$602)&amp;"시간"))</f>
        <v/>
      </c>
      <c r="F607" s="4">
        <f>IF($K$602="","",IF(설정!$B$27="","",설정!$B$27))</f>
        <v/>
      </c>
      <c r="G607" s="31">
        <f>IF(OR($K$602="",설정!$B$27=""),"",INDEX(직원목록!$X$7:$X$306,$K$602))</f>
        <v/>
      </c>
      <c r="H607" s="19" t="n"/>
    </row>
    <row r="608">
      <c r="B608" s="4">
        <f>IF($K$602="","",IF(설정!$B$19="","",설정!$B$19))</f>
        <v/>
      </c>
      <c r="C608" s="31">
        <f>IF(OR($K$602="",설정!$B$19=""),"",INDEX(직원목록!$H$7:$H$306,$K$602))</f>
        <v/>
      </c>
      <c r="D608" s="32">
        <f>IF(OR($K$602="",설정!$B$19=""),"",IF(N(INDEX(직원목록!$P$7:$P$306,$K$602))=0,"",INDEX(직원목록!$P$7:$P$306,$K$602)&amp;"시간"))</f>
        <v/>
      </c>
      <c r="F608" s="4">
        <f>IF($K$602="","",IF(설정!$B$28="","",설정!$B$28))</f>
        <v/>
      </c>
      <c r="G608" s="31">
        <f>IF(OR($K$602="",설정!$B$28=""),"",INDEX(직원목록!$Y$7:$Y$306,$K$602))</f>
        <v/>
      </c>
      <c r="H608" s="19" t="n"/>
    </row>
    <row r="609">
      <c r="B609" s="4">
        <f>IF($K$602="","",IF(설정!$B$20="","",설정!$B$20))</f>
        <v/>
      </c>
      <c r="C609" s="31">
        <f>IF(OR($K$602="",설정!$B$20=""),"",INDEX(직원목록!$I$7:$I$306,$K$602))</f>
        <v/>
      </c>
      <c r="D609" s="32">
        <f>IF(OR($K$602="",설정!$B$20=""),"",IF(N(INDEX(직원목록!$Q$7:$Q$306,$K$602))=0,"",INDEX(직원목록!$Q$7:$Q$306,$K$602)&amp;"시간"))</f>
        <v/>
      </c>
      <c r="F609" s="4">
        <f>IF($K$602="","",IF(설정!$B$29="","",설정!$B$29))</f>
        <v/>
      </c>
      <c r="G609" s="31">
        <f>IF(OR($K$602="",설정!$B$29=""),"",INDEX(직원목록!$Z$7:$Z$306,$K$602))</f>
        <v/>
      </c>
      <c r="H609" s="19" t="n"/>
    </row>
    <row r="610">
      <c r="B610" s="4">
        <f>IF($K$602="","",IF(설정!$B$21="","",설정!$B$21))</f>
        <v/>
      </c>
      <c r="C610" s="31">
        <f>IF(OR($K$602="",설정!$B$21=""),"",INDEX(직원목록!$J$7:$J$306,$K$602))</f>
        <v/>
      </c>
      <c r="D610" s="32">
        <f>IF(OR($K$602="",설정!$B$21=""),"",IF(N(INDEX(직원목록!$R$7:$R$306,$K$602))=0,"",INDEX(직원목록!$R$7:$R$306,$K$602)&amp;"시간"))</f>
        <v/>
      </c>
      <c r="F610" s="4">
        <f>IF($K$602="","",IF(설정!$B$30="","",설정!$B$30))</f>
        <v/>
      </c>
      <c r="G610" s="31">
        <f>IF(OR($K$602="",설정!$B$30=""),"",INDEX(직원목록!$AA$7:$AA$306,$K$602))</f>
        <v/>
      </c>
      <c r="H610" s="19" t="n"/>
    </row>
    <row r="611">
      <c r="B611" s="4">
        <f>IF($K$602="","",IF(설정!$B$22="","",설정!$B$22))</f>
        <v/>
      </c>
      <c r="C611" s="31">
        <f>IF(OR($K$602="",설정!$B$22=""),"",INDEX(직원목록!$K$7:$K$306,$K$602))</f>
        <v/>
      </c>
      <c r="D611" s="32">
        <f>IF(OR($K$602="",설정!$B$22=""),"",IF(N(INDEX(직원목록!$S$7:$S$306,$K$602))=0,"",INDEX(직원목록!$S$7:$S$306,$K$602)&amp;"시간"))</f>
        <v/>
      </c>
      <c r="F611" s="4">
        <f>IF($K$602="","",IF(설정!$B$31="","",설정!$B$31))</f>
        <v/>
      </c>
      <c r="G611" s="31">
        <f>IF(OR($K$602="",설정!$B$31=""),"",INDEX(직원목록!$AB$7:$AB$306,$K$602))</f>
        <v/>
      </c>
      <c r="H611" s="19" t="n"/>
    </row>
    <row r="612">
      <c r="B612" s="4">
        <f>IF($K$602="","",IF(설정!$B$23="","",설정!$B$23))</f>
        <v/>
      </c>
      <c r="C612" s="31">
        <f>IF(OR($K$602="",설정!$B$23=""),"",INDEX(직원목록!$L$7:$L$306,$K$602))</f>
        <v/>
      </c>
      <c r="D612" s="32">
        <f>IF(OR($K$602="",설정!$B$23=""),"",IF(N(INDEX(직원목록!$T$7:$T$306,$K$602))=0,"",INDEX(직원목록!$T$7:$T$306,$K$602)&amp;"시간"))</f>
        <v/>
      </c>
      <c r="F612" s="4">
        <f>IF($K$602="","",IF(설정!$B$32="","",설정!$B$32))</f>
        <v/>
      </c>
      <c r="G612" s="31">
        <f>IF(OR($K$602="",설정!$B$32=""),"",INDEX(직원목록!$AC$7:$AC$306,$K$602))</f>
        <v/>
      </c>
      <c r="H612" s="19" t="n"/>
    </row>
    <row r="613">
      <c r="B613" s="4">
        <f>IF($K$602="","",IF(설정!$B$24="","",설정!$B$24))</f>
        <v/>
      </c>
      <c r="C613" s="31">
        <f>IF(OR($K$602="",설정!$B$24=""),"",INDEX(직원목록!$M$7:$M$306,$K$602))</f>
        <v/>
      </c>
      <c r="D613" s="32">
        <f>IF(OR($K$602="",설정!$B$24=""),"",IF(N(INDEX(직원목록!$U$7:$U$306,$K$602))=0,"",INDEX(직원목록!$U$7:$U$306,$K$602)&amp;"시간"))</f>
        <v/>
      </c>
      <c r="F613" s="4">
        <f>IF($K$602="","",IF(설정!$B$33="","",설정!$B$33))</f>
        <v/>
      </c>
      <c r="G613" s="31">
        <f>IF(OR($K$602="",설정!$B$33=""),"",INDEX(직원목록!$AD$7:$AD$306,$K$602))</f>
        <v/>
      </c>
      <c r="H613" s="19" t="n"/>
    </row>
    <row r="614">
      <c r="B614" s="3" t="inlineStr">
        <is>
          <t>지급 합계</t>
        </is>
      </c>
      <c r="C614" s="35">
        <f>IF($K$602="","",INDEX(직원목록!$V$7:$V$306,$K$602))</f>
        <v/>
      </c>
      <c r="D614" s="36" t="n"/>
      <c r="F614" s="3" t="inlineStr">
        <is>
          <t>공제 합계</t>
        </is>
      </c>
      <c r="G614" s="35">
        <f>IF($K$602="","",INDEX(직원목록!$AE$7:$AE$306,$K$602))</f>
        <v/>
      </c>
      <c r="H614" s="36" t="n"/>
    </row>
    <row r="615" ht="28" customHeight="1">
      <c r="B615" s="37" t="inlineStr">
        <is>
          <t>실 수령액 (지급 합계 − 공제 합계)</t>
        </is>
      </c>
      <c r="C615" s="29" t="n"/>
      <c r="D615" s="29" t="n"/>
      <c r="E615" s="38">
        <f>IF($K$602="","",INDEX(직원목록!$AF$7:$AF$306,$K$602))</f>
        <v/>
      </c>
      <c r="F615" s="29" t="n"/>
      <c r="G615" s="29" t="n"/>
      <c r="H615" s="29" t="n"/>
    </row>
    <row r="616">
      <c r="B616" s="39">
        <f>IF($K$602="","",설정!$B$7)</f>
        <v/>
      </c>
    </row>
    <row r="632" ht="30" customHeight="1">
      <c r="B632" s="28">
        <f>IF($K$632="","","임금명세서  ("&amp;설정!$B$5&amp;")")</f>
        <v/>
      </c>
      <c r="K632" s="34">
        <f>IFERROR(MATCH(22,직원목록!$B$7:$B$306,0),"")</f>
        <v/>
      </c>
    </row>
    <row r="633">
      <c r="B633" s="7" t="inlineStr">
        <is>
          <t>회사명</t>
        </is>
      </c>
      <c r="C633" s="21">
        <f>IF($K$632="","",설정!$B$4)</f>
        <v/>
      </c>
      <c r="D633" s="29" t="n"/>
      <c r="E633" s="19" t="n"/>
      <c r="F633" s="7" t="inlineStr">
        <is>
          <t>임금 지급일</t>
        </is>
      </c>
      <c r="G633" s="21">
        <f>IF($K$632="","",TEXT(설정!$B$6,"yyyy-mm-dd"))</f>
        <v/>
      </c>
      <c r="H633" s="29" t="n"/>
    </row>
    <row r="634">
      <c r="B634" s="7" t="inlineStr">
        <is>
          <t>성명</t>
        </is>
      </c>
      <c r="C634" s="22">
        <f>IF($K$632="","",INDEX(직원목록!$D$7:$D$306,$K$632))</f>
        <v/>
      </c>
      <c r="D634" s="7" t="inlineStr">
        <is>
          <t>사번</t>
        </is>
      </c>
      <c r="E634" s="21">
        <f>IF($K$632="","",INDEX(직원목록!$C$7:$C$306,$K$632))</f>
        <v/>
      </c>
      <c r="F634" s="7" t="inlineStr">
        <is>
          <t>부서</t>
        </is>
      </c>
      <c r="G634" s="21">
        <f>IF($K$632="","",INDEX(직원목록!$E$7:$E$306,$K$632))</f>
        <v/>
      </c>
      <c r="H634" s="29" t="n"/>
    </row>
    <row r="635">
      <c r="B635" s="12" t="inlineStr">
        <is>
          <t>지급 항목</t>
        </is>
      </c>
      <c r="C635" s="12" t="inlineStr">
        <is>
          <t>금액(원)</t>
        </is>
      </c>
      <c r="D635" s="12" t="inlineStr">
        <is>
          <t>계산 근거</t>
        </is>
      </c>
      <c r="E635" s="2" t="n"/>
      <c r="F635" s="12" t="inlineStr">
        <is>
          <t>공제 항목</t>
        </is>
      </c>
      <c r="G635" s="12" t="inlineStr">
        <is>
          <t>금액(원)</t>
        </is>
      </c>
      <c r="H635" s="12" t="n"/>
    </row>
    <row r="636">
      <c r="B636" s="4">
        <f>IF($K$632="","",IF(설정!$B$17="","",설정!$B$17))</f>
        <v/>
      </c>
      <c r="C636" s="31">
        <f>IF(OR($K$632="",설정!$B$17=""),"",INDEX(직원목록!$F$7:$F$306,$K$632))</f>
        <v/>
      </c>
      <c r="D636" s="32">
        <f>IF(OR($K$632="",설정!$B$17=""),"",IF(N(INDEX(직원목록!$N$7:$N$306,$K$632))=0,"",INDEX(직원목록!$N$7:$N$306,$K$632)&amp;"시간"))</f>
        <v/>
      </c>
      <c r="F636" s="4">
        <f>IF($K$632="","",IF(설정!$B$26="","",설정!$B$26))</f>
        <v/>
      </c>
      <c r="G636" s="31">
        <f>IF(OR($K$632="",설정!$B$26=""),"",INDEX(직원목록!$W$7:$W$306,$K$632))</f>
        <v/>
      </c>
      <c r="H636" s="19" t="n"/>
    </row>
    <row r="637">
      <c r="B637" s="4">
        <f>IF($K$632="","",IF(설정!$B$18="","",설정!$B$18))</f>
        <v/>
      </c>
      <c r="C637" s="31">
        <f>IF(OR($K$632="",설정!$B$18=""),"",INDEX(직원목록!$G$7:$G$306,$K$632))</f>
        <v/>
      </c>
      <c r="D637" s="32">
        <f>IF(OR($K$632="",설정!$B$18=""),"",IF(N(INDEX(직원목록!$O$7:$O$306,$K$632))=0,"",INDEX(직원목록!$O$7:$O$306,$K$632)&amp;"시간"))</f>
        <v/>
      </c>
      <c r="F637" s="4">
        <f>IF($K$632="","",IF(설정!$B$27="","",설정!$B$27))</f>
        <v/>
      </c>
      <c r="G637" s="31">
        <f>IF(OR($K$632="",설정!$B$27=""),"",INDEX(직원목록!$X$7:$X$306,$K$632))</f>
        <v/>
      </c>
      <c r="H637" s="19" t="n"/>
    </row>
    <row r="638">
      <c r="B638" s="4">
        <f>IF($K$632="","",IF(설정!$B$19="","",설정!$B$19))</f>
        <v/>
      </c>
      <c r="C638" s="31">
        <f>IF(OR($K$632="",설정!$B$19=""),"",INDEX(직원목록!$H$7:$H$306,$K$632))</f>
        <v/>
      </c>
      <c r="D638" s="32">
        <f>IF(OR($K$632="",설정!$B$19=""),"",IF(N(INDEX(직원목록!$P$7:$P$306,$K$632))=0,"",INDEX(직원목록!$P$7:$P$306,$K$632)&amp;"시간"))</f>
        <v/>
      </c>
      <c r="F638" s="4">
        <f>IF($K$632="","",IF(설정!$B$28="","",설정!$B$28))</f>
        <v/>
      </c>
      <c r="G638" s="31">
        <f>IF(OR($K$632="",설정!$B$28=""),"",INDEX(직원목록!$Y$7:$Y$306,$K$632))</f>
        <v/>
      </c>
      <c r="H638" s="19" t="n"/>
    </row>
    <row r="639">
      <c r="B639" s="4">
        <f>IF($K$632="","",IF(설정!$B$20="","",설정!$B$20))</f>
        <v/>
      </c>
      <c r="C639" s="31">
        <f>IF(OR($K$632="",설정!$B$20=""),"",INDEX(직원목록!$I$7:$I$306,$K$632))</f>
        <v/>
      </c>
      <c r="D639" s="32">
        <f>IF(OR($K$632="",설정!$B$20=""),"",IF(N(INDEX(직원목록!$Q$7:$Q$306,$K$632))=0,"",INDEX(직원목록!$Q$7:$Q$306,$K$632)&amp;"시간"))</f>
        <v/>
      </c>
      <c r="F639" s="4">
        <f>IF($K$632="","",IF(설정!$B$29="","",설정!$B$29))</f>
        <v/>
      </c>
      <c r="G639" s="31">
        <f>IF(OR($K$632="",설정!$B$29=""),"",INDEX(직원목록!$Z$7:$Z$306,$K$632))</f>
        <v/>
      </c>
      <c r="H639" s="19" t="n"/>
    </row>
    <row r="640">
      <c r="B640" s="4">
        <f>IF($K$632="","",IF(설정!$B$21="","",설정!$B$21))</f>
        <v/>
      </c>
      <c r="C640" s="31">
        <f>IF(OR($K$632="",설정!$B$21=""),"",INDEX(직원목록!$J$7:$J$306,$K$632))</f>
        <v/>
      </c>
      <c r="D640" s="32">
        <f>IF(OR($K$632="",설정!$B$21=""),"",IF(N(INDEX(직원목록!$R$7:$R$306,$K$632))=0,"",INDEX(직원목록!$R$7:$R$306,$K$632)&amp;"시간"))</f>
        <v/>
      </c>
      <c r="F640" s="4">
        <f>IF($K$632="","",IF(설정!$B$30="","",설정!$B$30))</f>
        <v/>
      </c>
      <c r="G640" s="31">
        <f>IF(OR($K$632="",설정!$B$30=""),"",INDEX(직원목록!$AA$7:$AA$306,$K$632))</f>
        <v/>
      </c>
      <c r="H640" s="19" t="n"/>
    </row>
    <row r="641">
      <c r="B641" s="4">
        <f>IF($K$632="","",IF(설정!$B$22="","",설정!$B$22))</f>
        <v/>
      </c>
      <c r="C641" s="31">
        <f>IF(OR($K$632="",설정!$B$22=""),"",INDEX(직원목록!$K$7:$K$306,$K$632))</f>
        <v/>
      </c>
      <c r="D641" s="32">
        <f>IF(OR($K$632="",설정!$B$22=""),"",IF(N(INDEX(직원목록!$S$7:$S$306,$K$632))=0,"",INDEX(직원목록!$S$7:$S$306,$K$632)&amp;"시간"))</f>
        <v/>
      </c>
      <c r="F641" s="4">
        <f>IF($K$632="","",IF(설정!$B$31="","",설정!$B$31))</f>
        <v/>
      </c>
      <c r="G641" s="31">
        <f>IF(OR($K$632="",설정!$B$31=""),"",INDEX(직원목록!$AB$7:$AB$306,$K$632))</f>
        <v/>
      </c>
      <c r="H641" s="19" t="n"/>
    </row>
    <row r="642">
      <c r="B642" s="4">
        <f>IF($K$632="","",IF(설정!$B$23="","",설정!$B$23))</f>
        <v/>
      </c>
      <c r="C642" s="31">
        <f>IF(OR($K$632="",설정!$B$23=""),"",INDEX(직원목록!$L$7:$L$306,$K$632))</f>
        <v/>
      </c>
      <c r="D642" s="32">
        <f>IF(OR($K$632="",설정!$B$23=""),"",IF(N(INDEX(직원목록!$T$7:$T$306,$K$632))=0,"",INDEX(직원목록!$T$7:$T$306,$K$632)&amp;"시간"))</f>
        <v/>
      </c>
      <c r="F642" s="4">
        <f>IF($K$632="","",IF(설정!$B$32="","",설정!$B$32))</f>
        <v/>
      </c>
      <c r="G642" s="31">
        <f>IF(OR($K$632="",설정!$B$32=""),"",INDEX(직원목록!$AC$7:$AC$306,$K$632))</f>
        <v/>
      </c>
      <c r="H642" s="19" t="n"/>
    </row>
    <row r="643">
      <c r="B643" s="4">
        <f>IF($K$632="","",IF(설정!$B$24="","",설정!$B$24))</f>
        <v/>
      </c>
      <c r="C643" s="31">
        <f>IF(OR($K$632="",설정!$B$24=""),"",INDEX(직원목록!$M$7:$M$306,$K$632))</f>
        <v/>
      </c>
      <c r="D643" s="32">
        <f>IF(OR($K$632="",설정!$B$24=""),"",IF(N(INDEX(직원목록!$U$7:$U$306,$K$632))=0,"",INDEX(직원목록!$U$7:$U$306,$K$632)&amp;"시간"))</f>
        <v/>
      </c>
      <c r="F643" s="4">
        <f>IF($K$632="","",IF(설정!$B$33="","",설정!$B$33))</f>
        <v/>
      </c>
      <c r="G643" s="31">
        <f>IF(OR($K$632="",설정!$B$33=""),"",INDEX(직원목록!$AD$7:$AD$306,$K$632))</f>
        <v/>
      </c>
      <c r="H643" s="19" t="n"/>
    </row>
    <row r="644">
      <c r="B644" s="3" t="inlineStr">
        <is>
          <t>지급 합계</t>
        </is>
      </c>
      <c r="C644" s="35">
        <f>IF($K$632="","",INDEX(직원목록!$V$7:$V$306,$K$632))</f>
        <v/>
      </c>
      <c r="D644" s="36" t="n"/>
      <c r="F644" s="3" t="inlineStr">
        <is>
          <t>공제 합계</t>
        </is>
      </c>
      <c r="G644" s="35">
        <f>IF($K$632="","",INDEX(직원목록!$AE$7:$AE$306,$K$632))</f>
        <v/>
      </c>
      <c r="H644" s="36" t="n"/>
    </row>
    <row r="645" ht="28" customHeight="1">
      <c r="B645" s="37" t="inlineStr">
        <is>
          <t>실 수령액 (지급 합계 − 공제 합계)</t>
        </is>
      </c>
      <c r="C645" s="29" t="n"/>
      <c r="D645" s="29" t="n"/>
      <c r="E645" s="38">
        <f>IF($K$632="","",INDEX(직원목록!$AF$7:$AF$306,$K$632))</f>
        <v/>
      </c>
      <c r="F645" s="29" t="n"/>
      <c r="G645" s="29" t="n"/>
      <c r="H645" s="29" t="n"/>
    </row>
    <row r="646">
      <c r="B646" s="39">
        <f>IF($K$632="","",설정!$B$7)</f>
        <v/>
      </c>
    </row>
    <row r="662" ht="30" customHeight="1">
      <c r="B662" s="28">
        <f>IF($K$662="","","임금명세서  ("&amp;설정!$B$5&amp;")")</f>
        <v/>
      </c>
      <c r="K662" s="34">
        <f>IFERROR(MATCH(23,직원목록!$B$7:$B$306,0),"")</f>
        <v/>
      </c>
    </row>
    <row r="663">
      <c r="B663" s="7" t="inlineStr">
        <is>
          <t>회사명</t>
        </is>
      </c>
      <c r="C663" s="21">
        <f>IF($K$662="","",설정!$B$4)</f>
        <v/>
      </c>
      <c r="D663" s="29" t="n"/>
      <c r="E663" s="19" t="n"/>
      <c r="F663" s="7" t="inlineStr">
        <is>
          <t>임금 지급일</t>
        </is>
      </c>
      <c r="G663" s="21">
        <f>IF($K$662="","",TEXT(설정!$B$6,"yyyy-mm-dd"))</f>
        <v/>
      </c>
      <c r="H663" s="29" t="n"/>
    </row>
    <row r="664">
      <c r="B664" s="7" t="inlineStr">
        <is>
          <t>성명</t>
        </is>
      </c>
      <c r="C664" s="22">
        <f>IF($K$662="","",INDEX(직원목록!$D$7:$D$306,$K$662))</f>
        <v/>
      </c>
      <c r="D664" s="7" t="inlineStr">
        <is>
          <t>사번</t>
        </is>
      </c>
      <c r="E664" s="21">
        <f>IF($K$662="","",INDEX(직원목록!$C$7:$C$306,$K$662))</f>
        <v/>
      </c>
      <c r="F664" s="7" t="inlineStr">
        <is>
          <t>부서</t>
        </is>
      </c>
      <c r="G664" s="21">
        <f>IF($K$662="","",INDEX(직원목록!$E$7:$E$306,$K$662))</f>
        <v/>
      </c>
      <c r="H664" s="29" t="n"/>
    </row>
    <row r="665">
      <c r="B665" s="12" t="inlineStr">
        <is>
          <t>지급 항목</t>
        </is>
      </c>
      <c r="C665" s="12" t="inlineStr">
        <is>
          <t>금액(원)</t>
        </is>
      </c>
      <c r="D665" s="12" t="inlineStr">
        <is>
          <t>계산 근거</t>
        </is>
      </c>
      <c r="E665" s="2" t="n"/>
      <c r="F665" s="12" t="inlineStr">
        <is>
          <t>공제 항목</t>
        </is>
      </c>
      <c r="G665" s="12" t="inlineStr">
        <is>
          <t>금액(원)</t>
        </is>
      </c>
      <c r="H665" s="12" t="n"/>
    </row>
    <row r="666">
      <c r="B666" s="4">
        <f>IF($K$662="","",IF(설정!$B$17="","",설정!$B$17))</f>
        <v/>
      </c>
      <c r="C666" s="31">
        <f>IF(OR($K$662="",설정!$B$17=""),"",INDEX(직원목록!$F$7:$F$306,$K$662))</f>
        <v/>
      </c>
      <c r="D666" s="32">
        <f>IF(OR($K$662="",설정!$B$17=""),"",IF(N(INDEX(직원목록!$N$7:$N$306,$K$662))=0,"",INDEX(직원목록!$N$7:$N$306,$K$662)&amp;"시간"))</f>
        <v/>
      </c>
      <c r="F666" s="4">
        <f>IF($K$662="","",IF(설정!$B$26="","",설정!$B$26))</f>
        <v/>
      </c>
      <c r="G666" s="31">
        <f>IF(OR($K$662="",설정!$B$26=""),"",INDEX(직원목록!$W$7:$W$306,$K$662))</f>
        <v/>
      </c>
      <c r="H666" s="19" t="n"/>
    </row>
    <row r="667">
      <c r="B667" s="4">
        <f>IF($K$662="","",IF(설정!$B$18="","",설정!$B$18))</f>
        <v/>
      </c>
      <c r="C667" s="31">
        <f>IF(OR($K$662="",설정!$B$18=""),"",INDEX(직원목록!$G$7:$G$306,$K$662))</f>
        <v/>
      </c>
      <c r="D667" s="32">
        <f>IF(OR($K$662="",설정!$B$18=""),"",IF(N(INDEX(직원목록!$O$7:$O$306,$K$662))=0,"",INDEX(직원목록!$O$7:$O$306,$K$662)&amp;"시간"))</f>
        <v/>
      </c>
      <c r="F667" s="4">
        <f>IF($K$662="","",IF(설정!$B$27="","",설정!$B$27))</f>
        <v/>
      </c>
      <c r="G667" s="31">
        <f>IF(OR($K$662="",설정!$B$27=""),"",INDEX(직원목록!$X$7:$X$306,$K$662))</f>
        <v/>
      </c>
      <c r="H667" s="19" t="n"/>
    </row>
    <row r="668">
      <c r="B668" s="4">
        <f>IF($K$662="","",IF(설정!$B$19="","",설정!$B$19))</f>
        <v/>
      </c>
      <c r="C668" s="31">
        <f>IF(OR($K$662="",설정!$B$19=""),"",INDEX(직원목록!$H$7:$H$306,$K$662))</f>
        <v/>
      </c>
      <c r="D668" s="32">
        <f>IF(OR($K$662="",설정!$B$19=""),"",IF(N(INDEX(직원목록!$P$7:$P$306,$K$662))=0,"",INDEX(직원목록!$P$7:$P$306,$K$662)&amp;"시간"))</f>
        <v/>
      </c>
      <c r="F668" s="4">
        <f>IF($K$662="","",IF(설정!$B$28="","",설정!$B$28))</f>
        <v/>
      </c>
      <c r="G668" s="31">
        <f>IF(OR($K$662="",설정!$B$28=""),"",INDEX(직원목록!$Y$7:$Y$306,$K$662))</f>
        <v/>
      </c>
      <c r="H668" s="19" t="n"/>
    </row>
    <row r="669">
      <c r="B669" s="4">
        <f>IF($K$662="","",IF(설정!$B$20="","",설정!$B$20))</f>
        <v/>
      </c>
      <c r="C669" s="31">
        <f>IF(OR($K$662="",설정!$B$20=""),"",INDEX(직원목록!$I$7:$I$306,$K$662))</f>
        <v/>
      </c>
      <c r="D669" s="32">
        <f>IF(OR($K$662="",설정!$B$20=""),"",IF(N(INDEX(직원목록!$Q$7:$Q$306,$K$662))=0,"",INDEX(직원목록!$Q$7:$Q$306,$K$662)&amp;"시간"))</f>
        <v/>
      </c>
      <c r="F669" s="4">
        <f>IF($K$662="","",IF(설정!$B$29="","",설정!$B$29))</f>
        <v/>
      </c>
      <c r="G669" s="31">
        <f>IF(OR($K$662="",설정!$B$29=""),"",INDEX(직원목록!$Z$7:$Z$306,$K$662))</f>
        <v/>
      </c>
      <c r="H669" s="19" t="n"/>
    </row>
    <row r="670">
      <c r="B670" s="4">
        <f>IF($K$662="","",IF(설정!$B$21="","",설정!$B$21))</f>
        <v/>
      </c>
      <c r="C670" s="31">
        <f>IF(OR($K$662="",설정!$B$21=""),"",INDEX(직원목록!$J$7:$J$306,$K$662))</f>
        <v/>
      </c>
      <c r="D670" s="32">
        <f>IF(OR($K$662="",설정!$B$21=""),"",IF(N(INDEX(직원목록!$R$7:$R$306,$K$662))=0,"",INDEX(직원목록!$R$7:$R$306,$K$662)&amp;"시간"))</f>
        <v/>
      </c>
      <c r="F670" s="4">
        <f>IF($K$662="","",IF(설정!$B$30="","",설정!$B$30))</f>
        <v/>
      </c>
      <c r="G670" s="31">
        <f>IF(OR($K$662="",설정!$B$30=""),"",INDEX(직원목록!$AA$7:$AA$306,$K$662))</f>
        <v/>
      </c>
      <c r="H670" s="19" t="n"/>
    </row>
    <row r="671">
      <c r="B671" s="4">
        <f>IF($K$662="","",IF(설정!$B$22="","",설정!$B$22))</f>
        <v/>
      </c>
      <c r="C671" s="31">
        <f>IF(OR($K$662="",설정!$B$22=""),"",INDEX(직원목록!$K$7:$K$306,$K$662))</f>
        <v/>
      </c>
      <c r="D671" s="32">
        <f>IF(OR($K$662="",설정!$B$22=""),"",IF(N(INDEX(직원목록!$S$7:$S$306,$K$662))=0,"",INDEX(직원목록!$S$7:$S$306,$K$662)&amp;"시간"))</f>
        <v/>
      </c>
      <c r="F671" s="4">
        <f>IF($K$662="","",IF(설정!$B$31="","",설정!$B$31))</f>
        <v/>
      </c>
      <c r="G671" s="31">
        <f>IF(OR($K$662="",설정!$B$31=""),"",INDEX(직원목록!$AB$7:$AB$306,$K$662))</f>
        <v/>
      </c>
      <c r="H671" s="19" t="n"/>
    </row>
    <row r="672">
      <c r="B672" s="4">
        <f>IF($K$662="","",IF(설정!$B$23="","",설정!$B$23))</f>
        <v/>
      </c>
      <c r="C672" s="31">
        <f>IF(OR($K$662="",설정!$B$23=""),"",INDEX(직원목록!$L$7:$L$306,$K$662))</f>
        <v/>
      </c>
      <c r="D672" s="32">
        <f>IF(OR($K$662="",설정!$B$23=""),"",IF(N(INDEX(직원목록!$T$7:$T$306,$K$662))=0,"",INDEX(직원목록!$T$7:$T$306,$K$662)&amp;"시간"))</f>
        <v/>
      </c>
      <c r="F672" s="4">
        <f>IF($K$662="","",IF(설정!$B$32="","",설정!$B$32))</f>
        <v/>
      </c>
      <c r="G672" s="31">
        <f>IF(OR($K$662="",설정!$B$32=""),"",INDEX(직원목록!$AC$7:$AC$306,$K$662))</f>
        <v/>
      </c>
      <c r="H672" s="19" t="n"/>
    </row>
    <row r="673">
      <c r="B673" s="4">
        <f>IF($K$662="","",IF(설정!$B$24="","",설정!$B$24))</f>
        <v/>
      </c>
      <c r="C673" s="31">
        <f>IF(OR($K$662="",설정!$B$24=""),"",INDEX(직원목록!$M$7:$M$306,$K$662))</f>
        <v/>
      </c>
      <c r="D673" s="32">
        <f>IF(OR($K$662="",설정!$B$24=""),"",IF(N(INDEX(직원목록!$U$7:$U$306,$K$662))=0,"",INDEX(직원목록!$U$7:$U$306,$K$662)&amp;"시간"))</f>
        <v/>
      </c>
      <c r="F673" s="4">
        <f>IF($K$662="","",IF(설정!$B$33="","",설정!$B$33))</f>
        <v/>
      </c>
      <c r="G673" s="31">
        <f>IF(OR($K$662="",설정!$B$33=""),"",INDEX(직원목록!$AD$7:$AD$306,$K$662))</f>
        <v/>
      </c>
      <c r="H673" s="19" t="n"/>
    </row>
    <row r="674">
      <c r="B674" s="3" t="inlineStr">
        <is>
          <t>지급 합계</t>
        </is>
      </c>
      <c r="C674" s="35">
        <f>IF($K$662="","",INDEX(직원목록!$V$7:$V$306,$K$662))</f>
        <v/>
      </c>
      <c r="D674" s="36" t="n"/>
      <c r="F674" s="3" t="inlineStr">
        <is>
          <t>공제 합계</t>
        </is>
      </c>
      <c r="G674" s="35">
        <f>IF($K$662="","",INDEX(직원목록!$AE$7:$AE$306,$K$662))</f>
        <v/>
      </c>
      <c r="H674" s="36" t="n"/>
    </row>
    <row r="675" ht="28" customHeight="1">
      <c r="B675" s="37" t="inlineStr">
        <is>
          <t>실 수령액 (지급 합계 − 공제 합계)</t>
        </is>
      </c>
      <c r="C675" s="29" t="n"/>
      <c r="D675" s="29" t="n"/>
      <c r="E675" s="38">
        <f>IF($K$662="","",INDEX(직원목록!$AF$7:$AF$306,$K$662))</f>
        <v/>
      </c>
      <c r="F675" s="29" t="n"/>
      <c r="G675" s="29" t="n"/>
      <c r="H675" s="29" t="n"/>
    </row>
    <row r="676">
      <c r="B676" s="39">
        <f>IF($K$662="","",설정!$B$7)</f>
        <v/>
      </c>
    </row>
    <row r="692" ht="30" customHeight="1">
      <c r="B692" s="28">
        <f>IF($K$692="","","임금명세서  ("&amp;설정!$B$5&amp;")")</f>
        <v/>
      </c>
      <c r="K692" s="34">
        <f>IFERROR(MATCH(24,직원목록!$B$7:$B$306,0),"")</f>
        <v/>
      </c>
    </row>
    <row r="693">
      <c r="B693" s="7" t="inlineStr">
        <is>
          <t>회사명</t>
        </is>
      </c>
      <c r="C693" s="21">
        <f>IF($K$692="","",설정!$B$4)</f>
        <v/>
      </c>
      <c r="D693" s="29" t="n"/>
      <c r="E693" s="19" t="n"/>
      <c r="F693" s="7" t="inlineStr">
        <is>
          <t>임금 지급일</t>
        </is>
      </c>
      <c r="G693" s="21">
        <f>IF($K$692="","",TEXT(설정!$B$6,"yyyy-mm-dd"))</f>
        <v/>
      </c>
      <c r="H693" s="29" t="n"/>
    </row>
    <row r="694">
      <c r="B694" s="7" t="inlineStr">
        <is>
          <t>성명</t>
        </is>
      </c>
      <c r="C694" s="22">
        <f>IF($K$692="","",INDEX(직원목록!$D$7:$D$306,$K$692))</f>
        <v/>
      </c>
      <c r="D694" s="7" t="inlineStr">
        <is>
          <t>사번</t>
        </is>
      </c>
      <c r="E694" s="21">
        <f>IF($K$692="","",INDEX(직원목록!$C$7:$C$306,$K$692))</f>
        <v/>
      </c>
      <c r="F694" s="7" t="inlineStr">
        <is>
          <t>부서</t>
        </is>
      </c>
      <c r="G694" s="21">
        <f>IF($K$692="","",INDEX(직원목록!$E$7:$E$306,$K$692))</f>
        <v/>
      </c>
      <c r="H694" s="29" t="n"/>
    </row>
    <row r="695">
      <c r="B695" s="12" t="inlineStr">
        <is>
          <t>지급 항목</t>
        </is>
      </c>
      <c r="C695" s="12" t="inlineStr">
        <is>
          <t>금액(원)</t>
        </is>
      </c>
      <c r="D695" s="12" t="inlineStr">
        <is>
          <t>계산 근거</t>
        </is>
      </c>
      <c r="E695" s="2" t="n"/>
      <c r="F695" s="12" t="inlineStr">
        <is>
          <t>공제 항목</t>
        </is>
      </c>
      <c r="G695" s="12" t="inlineStr">
        <is>
          <t>금액(원)</t>
        </is>
      </c>
      <c r="H695" s="12" t="n"/>
    </row>
    <row r="696">
      <c r="B696" s="4">
        <f>IF($K$692="","",IF(설정!$B$17="","",설정!$B$17))</f>
        <v/>
      </c>
      <c r="C696" s="31">
        <f>IF(OR($K$692="",설정!$B$17=""),"",INDEX(직원목록!$F$7:$F$306,$K$692))</f>
        <v/>
      </c>
      <c r="D696" s="32">
        <f>IF(OR($K$692="",설정!$B$17=""),"",IF(N(INDEX(직원목록!$N$7:$N$306,$K$692))=0,"",INDEX(직원목록!$N$7:$N$306,$K$692)&amp;"시간"))</f>
        <v/>
      </c>
      <c r="F696" s="4">
        <f>IF($K$692="","",IF(설정!$B$26="","",설정!$B$26))</f>
        <v/>
      </c>
      <c r="G696" s="31">
        <f>IF(OR($K$692="",설정!$B$26=""),"",INDEX(직원목록!$W$7:$W$306,$K$692))</f>
        <v/>
      </c>
      <c r="H696" s="19" t="n"/>
    </row>
    <row r="697">
      <c r="B697" s="4">
        <f>IF($K$692="","",IF(설정!$B$18="","",설정!$B$18))</f>
        <v/>
      </c>
      <c r="C697" s="31">
        <f>IF(OR($K$692="",설정!$B$18=""),"",INDEX(직원목록!$G$7:$G$306,$K$692))</f>
        <v/>
      </c>
      <c r="D697" s="32">
        <f>IF(OR($K$692="",설정!$B$18=""),"",IF(N(INDEX(직원목록!$O$7:$O$306,$K$692))=0,"",INDEX(직원목록!$O$7:$O$306,$K$692)&amp;"시간"))</f>
        <v/>
      </c>
      <c r="F697" s="4">
        <f>IF($K$692="","",IF(설정!$B$27="","",설정!$B$27))</f>
        <v/>
      </c>
      <c r="G697" s="31">
        <f>IF(OR($K$692="",설정!$B$27=""),"",INDEX(직원목록!$X$7:$X$306,$K$692))</f>
        <v/>
      </c>
      <c r="H697" s="19" t="n"/>
    </row>
    <row r="698">
      <c r="B698" s="4">
        <f>IF($K$692="","",IF(설정!$B$19="","",설정!$B$19))</f>
        <v/>
      </c>
      <c r="C698" s="31">
        <f>IF(OR($K$692="",설정!$B$19=""),"",INDEX(직원목록!$H$7:$H$306,$K$692))</f>
        <v/>
      </c>
      <c r="D698" s="32">
        <f>IF(OR($K$692="",설정!$B$19=""),"",IF(N(INDEX(직원목록!$P$7:$P$306,$K$692))=0,"",INDEX(직원목록!$P$7:$P$306,$K$692)&amp;"시간"))</f>
        <v/>
      </c>
      <c r="F698" s="4">
        <f>IF($K$692="","",IF(설정!$B$28="","",설정!$B$28))</f>
        <v/>
      </c>
      <c r="G698" s="31">
        <f>IF(OR($K$692="",설정!$B$28=""),"",INDEX(직원목록!$Y$7:$Y$306,$K$692))</f>
        <v/>
      </c>
      <c r="H698" s="19" t="n"/>
    </row>
    <row r="699">
      <c r="B699" s="4">
        <f>IF($K$692="","",IF(설정!$B$20="","",설정!$B$20))</f>
        <v/>
      </c>
      <c r="C699" s="31">
        <f>IF(OR($K$692="",설정!$B$20=""),"",INDEX(직원목록!$I$7:$I$306,$K$692))</f>
        <v/>
      </c>
      <c r="D699" s="32">
        <f>IF(OR($K$692="",설정!$B$20=""),"",IF(N(INDEX(직원목록!$Q$7:$Q$306,$K$692))=0,"",INDEX(직원목록!$Q$7:$Q$306,$K$692)&amp;"시간"))</f>
        <v/>
      </c>
      <c r="F699" s="4">
        <f>IF($K$692="","",IF(설정!$B$29="","",설정!$B$29))</f>
        <v/>
      </c>
      <c r="G699" s="31">
        <f>IF(OR($K$692="",설정!$B$29=""),"",INDEX(직원목록!$Z$7:$Z$306,$K$692))</f>
        <v/>
      </c>
      <c r="H699" s="19" t="n"/>
    </row>
    <row r="700">
      <c r="B700" s="4">
        <f>IF($K$692="","",IF(설정!$B$21="","",설정!$B$21))</f>
        <v/>
      </c>
      <c r="C700" s="31">
        <f>IF(OR($K$692="",설정!$B$21=""),"",INDEX(직원목록!$J$7:$J$306,$K$692))</f>
        <v/>
      </c>
      <c r="D700" s="32">
        <f>IF(OR($K$692="",설정!$B$21=""),"",IF(N(INDEX(직원목록!$R$7:$R$306,$K$692))=0,"",INDEX(직원목록!$R$7:$R$306,$K$692)&amp;"시간"))</f>
        <v/>
      </c>
      <c r="F700" s="4">
        <f>IF($K$692="","",IF(설정!$B$30="","",설정!$B$30))</f>
        <v/>
      </c>
      <c r="G700" s="31">
        <f>IF(OR($K$692="",설정!$B$30=""),"",INDEX(직원목록!$AA$7:$AA$306,$K$692))</f>
        <v/>
      </c>
      <c r="H700" s="19" t="n"/>
    </row>
    <row r="701">
      <c r="B701" s="4">
        <f>IF($K$692="","",IF(설정!$B$22="","",설정!$B$22))</f>
        <v/>
      </c>
      <c r="C701" s="31">
        <f>IF(OR($K$692="",설정!$B$22=""),"",INDEX(직원목록!$K$7:$K$306,$K$692))</f>
        <v/>
      </c>
      <c r="D701" s="32">
        <f>IF(OR($K$692="",설정!$B$22=""),"",IF(N(INDEX(직원목록!$S$7:$S$306,$K$692))=0,"",INDEX(직원목록!$S$7:$S$306,$K$692)&amp;"시간"))</f>
        <v/>
      </c>
      <c r="F701" s="4">
        <f>IF($K$692="","",IF(설정!$B$31="","",설정!$B$31))</f>
        <v/>
      </c>
      <c r="G701" s="31">
        <f>IF(OR($K$692="",설정!$B$31=""),"",INDEX(직원목록!$AB$7:$AB$306,$K$692))</f>
        <v/>
      </c>
      <c r="H701" s="19" t="n"/>
    </row>
    <row r="702">
      <c r="B702" s="4">
        <f>IF($K$692="","",IF(설정!$B$23="","",설정!$B$23))</f>
        <v/>
      </c>
      <c r="C702" s="31">
        <f>IF(OR($K$692="",설정!$B$23=""),"",INDEX(직원목록!$L$7:$L$306,$K$692))</f>
        <v/>
      </c>
      <c r="D702" s="32">
        <f>IF(OR($K$692="",설정!$B$23=""),"",IF(N(INDEX(직원목록!$T$7:$T$306,$K$692))=0,"",INDEX(직원목록!$T$7:$T$306,$K$692)&amp;"시간"))</f>
        <v/>
      </c>
      <c r="F702" s="4">
        <f>IF($K$692="","",IF(설정!$B$32="","",설정!$B$32))</f>
        <v/>
      </c>
      <c r="G702" s="31">
        <f>IF(OR($K$692="",설정!$B$32=""),"",INDEX(직원목록!$AC$7:$AC$306,$K$692))</f>
        <v/>
      </c>
      <c r="H702" s="19" t="n"/>
    </row>
    <row r="703">
      <c r="B703" s="4">
        <f>IF($K$692="","",IF(설정!$B$24="","",설정!$B$24))</f>
        <v/>
      </c>
      <c r="C703" s="31">
        <f>IF(OR($K$692="",설정!$B$24=""),"",INDEX(직원목록!$M$7:$M$306,$K$692))</f>
        <v/>
      </c>
      <c r="D703" s="32">
        <f>IF(OR($K$692="",설정!$B$24=""),"",IF(N(INDEX(직원목록!$U$7:$U$306,$K$692))=0,"",INDEX(직원목록!$U$7:$U$306,$K$692)&amp;"시간"))</f>
        <v/>
      </c>
      <c r="F703" s="4">
        <f>IF($K$692="","",IF(설정!$B$33="","",설정!$B$33))</f>
        <v/>
      </c>
      <c r="G703" s="31">
        <f>IF(OR($K$692="",설정!$B$33=""),"",INDEX(직원목록!$AD$7:$AD$306,$K$692))</f>
        <v/>
      </c>
      <c r="H703" s="19" t="n"/>
    </row>
    <row r="704">
      <c r="B704" s="3" t="inlineStr">
        <is>
          <t>지급 합계</t>
        </is>
      </c>
      <c r="C704" s="35">
        <f>IF($K$692="","",INDEX(직원목록!$V$7:$V$306,$K$692))</f>
        <v/>
      </c>
      <c r="D704" s="36" t="n"/>
      <c r="F704" s="3" t="inlineStr">
        <is>
          <t>공제 합계</t>
        </is>
      </c>
      <c r="G704" s="35">
        <f>IF($K$692="","",INDEX(직원목록!$AE$7:$AE$306,$K$692))</f>
        <v/>
      </c>
      <c r="H704" s="36" t="n"/>
    </row>
    <row r="705" ht="28" customHeight="1">
      <c r="B705" s="37" t="inlineStr">
        <is>
          <t>실 수령액 (지급 합계 − 공제 합계)</t>
        </is>
      </c>
      <c r="C705" s="29" t="n"/>
      <c r="D705" s="29" t="n"/>
      <c r="E705" s="38">
        <f>IF($K$692="","",INDEX(직원목록!$AF$7:$AF$306,$K$692))</f>
        <v/>
      </c>
      <c r="F705" s="29" t="n"/>
      <c r="G705" s="29" t="n"/>
      <c r="H705" s="29" t="n"/>
    </row>
    <row r="706">
      <c r="B706" s="39">
        <f>IF($K$692="","",설정!$B$7)</f>
        <v/>
      </c>
    </row>
    <row r="722" ht="30" customHeight="1">
      <c r="B722" s="28">
        <f>IF($K$722="","","임금명세서  ("&amp;설정!$B$5&amp;")")</f>
        <v/>
      </c>
      <c r="K722" s="34">
        <f>IFERROR(MATCH(25,직원목록!$B$7:$B$306,0),"")</f>
        <v/>
      </c>
    </row>
    <row r="723">
      <c r="B723" s="7" t="inlineStr">
        <is>
          <t>회사명</t>
        </is>
      </c>
      <c r="C723" s="21">
        <f>IF($K$722="","",설정!$B$4)</f>
        <v/>
      </c>
      <c r="D723" s="29" t="n"/>
      <c r="E723" s="19" t="n"/>
      <c r="F723" s="7" t="inlineStr">
        <is>
          <t>임금 지급일</t>
        </is>
      </c>
      <c r="G723" s="21">
        <f>IF($K$722="","",TEXT(설정!$B$6,"yyyy-mm-dd"))</f>
        <v/>
      </c>
      <c r="H723" s="29" t="n"/>
    </row>
    <row r="724">
      <c r="B724" s="7" t="inlineStr">
        <is>
          <t>성명</t>
        </is>
      </c>
      <c r="C724" s="22">
        <f>IF($K$722="","",INDEX(직원목록!$D$7:$D$306,$K$722))</f>
        <v/>
      </c>
      <c r="D724" s="7" t="inlineStr">
        <is>
          <t>사번</t>
        </is>
      </c>
      <c r="E724" s="21">
        <f>IF($K$722="","",INDEX(직원목록!$C$7:$C$306,$K$722))</f>
        <v/>
      </c>
      <c r="F724" s="7" t="inlineStr">
        <is>
          <t>부서</t>
        </is>
      </c>
      <c r="G724" s="21">
        <f>IF($K$722="","",INDEX(직원목록!$E$7:$E$306,$K$722))</f>
        <v/>
      </c>
      <c r="H724" s="29" t="n"/>
    </row>
    <row r="725">
      <c r="B725" s="12" t="inlineStr">
        <is>
          <t>지급 항목</t>
        </is>
      </c>
      <c r="C725" s="12" t="inlineStr">
        <is>
          <t>금액(원)</t>
        </is>
      </c>
      <c r="D725" s="12" t="inlineStr">
        <is>
          <t>계산 근거</t>
        </is>
      </c>
      <c r="E725" s="2" t="n"/>
      <c r="F725" s="12" t="inlineStr">
        <is>
          <t>공제 항목</t>
        </is>
      </c>
      <c r="G725" s="12" t="inlineStr">
        <is>
          <t>금액(원)</t>
        </is>
      </c>
      <c r="H725" s="12" t="n"/>
    </row>
    <row r="726">
      <c r="B726" s="4">
        <f>IF($K$722="","",IF(설정!$B$17="","",설정!$B$17))</f>
        <v/>
      </c>
      <c r="C726" s="31">
        <f>IF(OR($K$722="",설정!$B$17=""),"",INDEX(직원목록!$F$7:$F$306,$K$722))</f>
        <v/>
      </c>
      <c r="D726" s="32">
        <f>IF(OR($K$722="",설정!$B$17=""),"",IF(N(INDEX(직원목록!$N$7:$N$306,$K$722))=0,"",INDEX(직원목록!$N$7:$N$306,$K$722)&amp;"시간"))</f>
        <v/>
      </c>
      <c r="F726" s="4">
        <f>IF($K$722="","",IF(설정!$B$26="","",설정!$B$26))</f>
        <v/>
      </c>
      <c r="G726" s="31">
        <f>IF(OR($K$722="",설정!$B$26=""),"",INDEX(직원목록!$W$7:$W$306,$K$722))</f>
        <v/>
      </c>
      <c r="H726" s="19" t="n"/>
    </row>
    <row r="727">
      <c r="B727" s="4">
        <f>IF($K$722="","",IF(설정!$B$18="","",설정!$B$18))</f>
        <v/>
      </c>
      <c r="C727" s="31">
        <f>IF(OR($K$722="",설정!$B$18=""),"",INDEX(직원목록!$G$7:$G$306,$K$722))</f>
        <v/>
      </c>
      <c r="D727" s="32">
        <f>IF(OR($K$722="",설정!$B$18=""),"",IF(N(INDEX(직원목록!$O$7:$O$306,$K$722))=0,"",INDEX(직원목록!$O$7:$O$306,$K$722)&amp;"시간"))</f>
        <v/>
      </c>
      <c r="F727" s="4">
        <f>IF($K$722="","",IF(설정!$B$27="","",설정!$B$27))</f>
        <v/>
      </c>
      <c r="G727" s="31">
        <f>IF(OR($K$722="",설정!$B$27=""),"",INDEX(직원목록!$X$7:$X$306,$K$722))</f>
        <v/>
      </c>
      <c r="H727" s="19" t="n"/>
    </row>
    <row r="728">
      <c r="B728" s="4">
        <f>IF($K$722="","",IF(설정!$B$19="","",설정!$B$19))</f>
        <v/>
      </c>
      <c r="C728" s="31">
        <f>IF(OR($K$722="",설정!$B$19=""),"",INDEX(직원목록!$H$7:$H$306,$K$722))</f>
        <v/>
      </c>
      <c r="D728" s="32">
        <f>IF(OR($K$722="",설정!$B$19=""),"",IF(N(INDEX(직원목록!$P$7:$P$306,$K$722))=0,"",INDEX(직원목록!$P$7:$P$306,$K$722)&amp;"시간"))</f>
        <v/>
      </c>
      <c r="F728" s="4">
        <f>IF($K$722="","",IF(설정!$B$28="","",설정!$B$28))</f>
        <v/>
      </c>
      <c r="G728" s="31">
        <f>IF(OR($K$722="",설정!$B$28=""),"",INDEX(직원목록!$Y$7:$Y$306,$K$722))</f>
        <v/>
      </c>
      <c r="H728" s="19" t="n"/>
    </row>
    <row r="729">
      <c r="B729" s="4">
        <f>IF($K$722="","",IF(설정!$B$20="","",설정!$B$20))</f>
        <v/>
      </c>
      <c r="C729" s="31">
        <f>IF(OR($K$722="",설정!$B$20=""),"",INDEX(직원목록!$I$7:$I$306,$K$722))</f>
        <v/>
      </c>
      <c r="D729" s="32">
        <f>IF(OR($K$722="",설정!$B$20=""),"",IF(N(INDEX(직원목록!$Q$7:$Q$306,$K$722))=0,"",INDEX(직원목록!$Q$7:$Q$306,$K$722)&amp;"시간"))</f>
        <v/>
      </c>
      <c r="F729" s="4">
        <f>IF($K$722="","",IF(설정!$B$29="","",설정!$B$29))</f>
        <v/>
      </c>
      <c r="G729" s="31">
        <f>IF(OR($K$722="",설정!$B$29=""),"",INDEX(직원목록!$Z$7:$Z$306,$K$722))</f>
        <v/>
      </c>
      <c r="H729" s="19" t="n"/>
    </row>
    <row r="730">
      <c r="B730" s="4">
        <f>IF($K$722="","",IF(설정!$B$21="","",설정!$B$21))</f>
        <v/>
      </c>
      <c r="C730" s="31">
        <f>IF(OR($K$722="",설정!$B$21=""),"",INDEX(직원목록!$J$7:$J$306,$K$722))</f>
        <v/>
      </c>
      <c r="D730" s="32">
        <f>IF(OR($K$722="",설정!$B$21=""),"",IF(N(INDEX(직원목록!$R$7:$R$306,$K$722))=0,"",INDEX(직원목록!$R$7:$R$306,$K$722)&amp;"시간"))</f>
        <v/>
      </c>
      <c r="F730" s="4">
        <f>IF($K$722="","",IF(설정!$B$30="","",설정!$B$30))</f>
        <v/>
      </c>
      <c r="G730" s="31">
        <f>IF(OR($K$722="",설정!$B$30=""),"",INDEX(직원목록!$AA$7:$AA$306,$K$722))</f>
        <v/>
      </c>
      <c r="H730" s="19" t="n"/>
    </row>
    <row r="731">
      <c r="B731" s="4">
        <f>IF($K$722="","",IF(설정!$B$22="","",설정!$B$22))</f>
        <v/>
      </c>
      <c r="C731" s="31">
        <f>IF(OR($K$722="",설정!$B$22=""),"",INDEX(직원목록!$K$7:$K$306,$K$722))</f>
        <v/>
      </c>
      <c r="D731" s="32">
        <f>IF(OR($K$722="",설정!$B$22=""),"",IF(N(INDEX(직원목록!$S$7:$S$306,$K$722))=0,"",INDEX(직원목록!$S$7:$S$306,$K$722)&amp;"시간"))</f>
        <v/>
      </c>
      <c r="F731" s="4">
        <f>IF($K$722="","",IF(설정!$B$31="","",설정!$B$31))</f>
        <v/>
      </c>
      <c r="G731" s="31">
        <f>IF(OR($K$722="",설정!$B$31=""),"",INDEX(직원목록!$AB$7:$AB$306,$K$722))</f>
        <v/>
      </c>
      <c r="H731" s="19" t="n"/>
    </row>
    <row r="732">
      <c r="B732" s="4">
        <f>IF($K$722="","",IF(설정!$B$23="","",설정!$B$23))</f>
        <v/>
      </c>
      <c r="C732" s="31">
        <f>IF(OR($K$722="",설정!$B$23=""),"",INDEX(직원목록!$L$7:$L$306,$K$722))</f>
        <v/>
      </c>
      <c r="D732" s="32">
        <f>IF(OR($K$722="",설정!$B$23=""),"",IF(N(INDEX(직원목록!$T$7:$T$306,$K$722))=0,"",INDEX(직원목록!$T$7:$T$306,$K$722)&amp;"시간"))</f>
        <v/>
      </c>
      <c r="F732" s="4">
        <f>IF($K$722="","",IF(설정!$B$32="","",설정!$B$32))</f>
        <v/>
      </c>
      <c r="G732" s="31">
        <f>IF(OR($K$722="",설정!$B$32=""),"",INDEX(직원목록!$AC$7:$AC$306,$K$722))</f>
        <v/>
      </c>
      <c r="H732" s="19" t="n"/>
    </row>
    <row r="733">
      <c r="B733" s="4">
        <f>IF($K$722="","",IF(설정!$B$24="","",설정!$B$24))</f>
        <v/>
      </c>
      <c r="C733" s="31">
        <f>IF(OR($K$722="",설정!$B$24=""),"",INDEX(직원목록!$M$7:$M$306,$K$722))</f>
        <v/>
      </c>
      <c r="D733" s="32">
        <f>IF(OR($K$722="",설정!$B$24=""),"",IF(N(INDEX(직원목록!$U$7:$U$306,$K$722))=0,"",INDEX(직원목록!$U$7:$U$306,$K$722)&amp;"시간"))</f>
        <v/>
      </c>
      <c r="F733" s="4">
        <f>IF($K$722="","",IF(설정!$B$33="","",설정!$B$33))</f>
        <v/>
      </c>
      <c r="G733" s="31">
        <f>IF(OR($K$722="",설정!$B$33=""),"",INDEX(직원목록!$AD$7:$AD$306,$K$722))</f>
        <v/>
      </c>
      <c r="H733" s="19" t="n"/>
    </row>
    <row r="734">
      <c r="B734" s="3" t="inlineStr">
        <is>
          <t>지급 합계</t>
        </is>
      </c>
      <c r="C734" s="35">
        <f>IF($K$722="","",INDEX(직원목록!$V$7:$V$306,$K$722))</f>
        <v/>
      </c>
      <c r="D734" s="36" t="n"/>
      <c r="F734" s="3" t="inlineStr">
        <is>
          <t>공제 합계</t>
        </is>
      </c>
      <c r="G734" s="35">
        <f>IF($K$722="","",INDEX(직원목록!$AE$7:$AE$306,$K$722))</f>
        <v/>
      </c>
      <c r="H734" s="36" t="n"/>
    </row>
    <row r="735" ht="28" customHeight="1">
      <c r="B735" s="37" t="inlineStr">
        <is>
          <t>실 수령액 (지급 합계 − 공제 합계)</t>
        </is>
      </c>
      <c r="C735" s="29" t="n"/>
      <c r="D735" s="29" t="n"/>
      <c r="E735" s="38">
        <f>IF($K$722="","",INDEX(직원목록!$AF$7:$AF$306,$K$722))</f>
        <v/>
      </c>
      <c r="F735" s="29" t="n"/>
      <c r="G735" s="29" t="n"/>
      <c r="H735" s="29" t="n"/>
    </row>
    <row r="736">
      <c r="B736" s="39">
        <f>IF($K$722="","",설정!$B$7)</f>
        <v/>
      </c>
    </row>
    <row r="752" ht="30" customHeight="1">
      <c r="B752" s="28">
        <f>IF($K$752="","","임금명세서  ("&amp;설정!$B$5&amp;")")</f>
        <v/>
      </c>
      <c r="K752" s="34">
        <f>IFERROR(MATCH(26,직원목록!$B$7:$B$306,0),"")</f>
        <v/>
      </c>
    </row>
    <row r="753">
      <c r="B753" s="7" t="inlineStr">
        <is>
          <t>회사명</t>
        </is>
      </c>
      <c r="C753" s="21">
        <f>IF($K$752="","",설정!$B$4)</f>
        <v/>
      </c>
      <c r="D753" s="29" t="n"/>
      <c r="E753" s="19" t="n"/>
      <c r="F753" s="7" t="inlineStr">
        <is>
          <t>임금 지급일</t>
        </is>
      </c>
      <c r="G753" s="21">
        <f>IF($K$752="","",TEXT(설정!$B$6,"yyyy-mm-dd"))</f>
        <v/>
      </c>
      <c r="H753" s="29" t="n"/>
    </row>
    <row r="754">
      <c r="B754" s="7" t="inlineStr">
        <is>
          <t>성명</t>
        </is>
      </c>
      <c r="C754" s="22">
        <f>IF($K$752="","",INDEX(직원목록!$D$7:$D$306,$K$752))</f>
        <v/>
      </c>
      <c r="D754" s="7" t="inlineStr">
        <is>
          <t>사번</t>
        </is>
      </c>
      <c r="E754" s="21">
        <f>IF($K$752="","",INDEX(직원목록!$C$7:$C$306,$K$752))</f>
        <v/>
      </c>
      <c r="F754" s="7" t="inlineStr">
        <is>
          <t>부서</t>
        </is>
      </c>
      <c r="G754" s="21">
        <f>IF($K$752="","",INDEX(직원목록!$E$7:$E$306,$K$752))</f>
        <v/>
      </c>
      <c r="H754" s="29" t="n"/>
    </row>
    <row r="755">
      <c r="B755" s="12" t="inlineStr">
        <is>
          <t>지급 항목</t>
        </is>
      </c>
      <c r="C755" s="12" t="inlineStr">
        <is>
          <t>금액(원)</t>
        </is>
      </c>
      <c r="D755" s="12" t="inlineStr">
        <is>
          <t>계산 근거</t>
        </is>
      </c>
      <c r="E755" s="2" t="n"/>
      <c r="F755" s="12" t="inlineStr">
        <is>
          <t>공제 항목</t>
        </is>
      </c>
      <c r="G755" s="12" t="inlineStr">
        <is>
          <t>금액(원)</t>
        </is>
      </c>
      <c r="H755" s="12" t="n"/>
    </row>
    <row r="756">
      <c r="B756" s="4">
        <f>IF($K$752="","",IF(설정!$B$17="","",설정!$B$17))</f>
        <v/>
      </c>
      <c r="C756" s="31">
        <f>IF(OR($K$752="",설정!$B$17=""),"",INDEX(직원목록!$F$7:$F$306,$K$752))</f>
        <v/>
      </c>
      <c r="D756" s="32">
        <f>IF(OR($K$752="",설정!$B$17=""),"",IF(N(INDEX(직원목록!$N$7:$N$306,$K$752))=0,"",INDEX(직원목록!$N$7:$N$306,$K$752)&amp;"시간"))</f>
        <v/>
      </c>
      <c r="F756" s="4">
        <f>IF($K$752="","",IF(설정!$B$26="","",설정!$B$26))</f>
        <v/>
      </c>
      <c r="G756" s="31">
        <f>IF(OR($K$752="",설정!$B$26=""),"",INDEX(직원목록!$W$7:$W$306,$K$752))</f>
        <v/>
      </c>
      <c r="H756" s="19" t="n"/>
    </row>
    <row r="757">
      <c r="B757" s="4">
        <f>IF($K$752="","",IF(설정!$B$18="","",설정!$B$18))</f>
        <v/>
      </c>
      <c r="C757" s="31">
        <f>IF(OR($K$752="",설정!$B$18=""),"",INDEX(직원목록!$G$7:$G$306,$K$752))</f>
        <v/>
      </c>
      <c r="D757" s="32">
        <f>IF(OR($K$752="",설정!$B$18=""),"",IF(N(INDEX(직원목록!$O$7:$O$306,$K$752))=0,"",INDEX(직원목록!$O$7:$O$306,$K$752)&amp;"시간"))</f>
        <v/>
      </c>
      <c r="F757" s="4">
        <f>IF($K$752="","",IF(설정!$B$27="","",설정!$B$27))</f>
        <v/>
      </c>
      <c r="G757" s="31">
        <f>IF(OR($K$752="",설정!$B$27=""),"",INDEX(직원목록!$X$7:$X$306,$K$752))</f>
        <v/>
      </c>
      <c r="H757" s="19" t="n"/>
    </row>
    <row r="758">
      <c r="B758" s="4">
        <f>IF($K$752="","",IF(설정!$B$19="","",설정!$B$19))</f>
        <v/>
      </c>
      <c r="C758" s="31">
        <f>IF(OR($K$752="",설정!$B$19=""),"",INDEX(직원목록!$H$7:$H$306,$K$752))</f>
        <v/>
      </c>
      <c r="D758" s="32">
        <f>IF(OR($K$752="",설정!$B$19=""),"",IF(N(INDEX(직원목록!$P$7:$P$306,$K$752))=0,"",INDEX(직원목록!$P$7:$P$306,$K$752)&amp;"시간"))</f>
        <v/>
      </c>
      <c r="F758" s="4">
        <f>IF($K$752="","",IF(설정!$B$28="","",설정!$B$28))</f>
        <v/>
      </c>
      <c r="G758" s="31">
        <f>IF(OR($K$752="",설정!$B$28=""),"",INDEX(직원목록!$Y$7:$Y$306,$K$752))</f>
        <v/>
      </c>
      <c r="H758" s="19" t="n"/>
    </row>
    <row r="759">
      <c r="B759" s="4">
        <f>IF($K$752="","",IF(설정!$B$20="","",설정!$B$20))</f>
        <v/>
      </c>
      <c r="C759" s="31">
        <f>IF(OR($K$752="",설정!$B$20=""),"",INDEX(직원목록!$I$7:$I$306,$K$752))</f>
        <v/>
      </c>
      <c r="D759" s="32">
        <f>IF(OR($K$752="",설정!$B$20=""),"",IF(N(INDEX(직원목록!$Q$7:$Q$306,$K$752))=0,"",INDEX(직원목록!$Q$7:$Q$306,$K$752)&amp;"시간"))</f>
        <v/>
      </c>
      <c r="F759" s="4">
        <f>IF($K$752="","",IF(설정!$B$29="","",설정!$B$29))</f>
        <v/>
      </c>
      <c r="G759" s="31">
        <f>IF(OR($K$752="",설정!$B$29=""),"",INDEX(직원목록!$Z$7:$Z$306,$K$752))</f>
        <v/>
      </c>
      <c r="H759" s="19" t="n"/>
    </row>
    <row r="760">
      <c r="B760" s="4">
        <f>IF($K$752="","",IF(설정!$B$21="","",설정!$B$21))</f>
        <v/>
      </c>
      <c r="C760" s="31">
        <f>IF(OR($K$752="",설정!$B$21=""),"",INDEX(직원목록!$J$7:$J$306,$K$752))</f>
        <v/>
      </c>
      <c r="D760" s="32">
        <f>IF(OR($K$752="",설정!$B$21=""),"",IF(N(INDEX(직원목록!$R$7:$R$306,$K$752))=0,"",INDEX(직원목록!$R$7:$R$306,$K$752)&amp;"시간"))</f>
        <v/>
      </c>
      <c r="F760" s="4">
        <f>IF($K$752="","",IF(설정!$B$30="","",설정!$B$30))</f>
        <v/>
      </c>
      <c r="G760" s="31">
        <f>IF(OR($K$752="",설정!$B$30=""),"",INDEX(직원목록!$AA$7:$AA$306,$K$752))</f>
        <v/>
      </c>
      <c r="H760" s="19" t="n"/>
    </row>
    <row r="761">
      <c r="B761" s="4">
        <f>IF($K$752="","",IF(설정!$B$22="","",설정!$B$22))</f>
        <v/>
      </c>
      <c r="C761" s="31">
        <f>IF(OR($K$752="",설정!$B$22=""),"",INDEX(직원목록!$K$7:$K$306,$K$752))</f>
        <v/>
      </c>
      <c r="D761" s="32">
        <f>IF(OR($K$752="",설정!$B$22=""),"",IF(N(INDEX(직원목록!$S$7:$S$306,$K$752))=0,"",INDEX(직원목록!$S$7:$S$306,$K$752)&amp;"시간"))</f>
        <v/>
      </c>
      <c r="F761" s="4">
        <f>IF($K$752="","",IF(설정!$B$31="","",설정!$B$31))</f>
        <v/>
      </c>
      <c r="G761" s="31">
        <f>IF(OR($K$752="",설정!$B$31=""),"",INDEX(직원목록!$AB$7:$AB$306,$K$752))</f>
        <v/>
      </c>
      <c r="H761" s="19" t="n"/>
    </row>
    <row r="762">
      <c r="B762" s="4">
        <f>IF($K$752="","",IF(설정!$B$23="","",설정!$B$23))</f>
        <v/>
      </c>
      <c r="C762" s="31">
        <f>IF(OR($K$752="",설정!$B$23=""),"",INDEX(직원목록!$L$7:$L$306,$K$752))</f>
        <v/>
      </c>
      <c r="D762" s="32">
        <f>IF(OR($K$752="",설정!$B$23=""),"",IF(N(INDEX(직원목록!$T$7:$T$306,$K$752))=0,"",INDEX(직원목록!$T$7:$T$306,$K$752)&amp;"시간"))</f>
        <v/>
      </c>
      <c r="F762" s="4">
        <f>IF($K$752="","",IF(설정!$B$32="","",설정!$B$32))</f>
        <v/>
      </c>
      <c r="G762" s="31">
        <f>IF(OR($K$752="",설정!$B$32=""),"",INDEX(직원목록!$AC$7:$AC$306,$K$752))</f>
        <v/>
      </c>
      <c r="H762" s="19" t="n"/>
    </row>
    <row r="763">
      <c r="B763" s="4">
        <f>IF($K$752="","",IF(설정!$B$24="","",설정!$B$24))</f>
        <v/>
      </c>
      <c r="C763" s="31">
        <f>IF(OR($K$752="",설정!$B$24=""),"",INDEX(직원목록!$M$7:$M$306,$K$752))</f>
        <v/>
      </c>
      <c r="D763" s="32">
        <f>IF(OR($K$752="",설정!$B$24=""),"",IF(N(INDEX(직원목록!$U$7:$U$306,$K$752))=0,"",INDEX(직원목록!$U$7:$U$306,$K$752)&amp;"시간"))</f>
        <v/>
      </c>
      <c r="F763" s="4">
        <f>IF($K$752="","",IF(설정!$B$33="","",설정!$B$33))</f>
        <v/>
      </c>
      <c r="G763" s="31">
        <f>IF(OR($K$752="",설정!$B$33=""),"",INDEX(직원목록!$AD$7:$AD$306,$K$752))</f>
        <v/>
      </c>
      <c r="H763" s="19" t="n"/>
    </row>
    <row r="764">
      <c r="B764" s="3" t="inlineStr">
        <is>
          <t>지급 합계</t>
        </is>
      </c>
      <c r="C764" s="35">
        <f>IF($K$752="","",INDEX(직원목록!$V$7:$V$306,$K$752))</f>
        <v/>
      </c>
      <c r="D764" s="36" t="n"/>
      <c r="F764" s="3" t="inlineStr">
        <is>
          <t>공제 합계</t>
        </is>
      </c>
      <c r="G764" s="35">
        <f>IF($K$752="","",INDEX(직원목록!$AE$7:$AE$306,$K$752))</f>
        <v/>
      </c>
      <c r="H764" s="36" t="n"/>
    </row>
    <row r="765" ht="28" customHeight="1">
      <c r="B765" s="37" t="inlineStr">
        <is>
          <t>실 수령액 (지급 합계 − 공제 합계)</t>
        </is>
      </c>
      <c r="C765" s="29" t="n"/>
      <c r="D765" s="29" t="n"/>
      <c r="E765" s="38">
        <f>IF($K$752="","",INDEX(직원목록!$AF$7:$AF$306,$K$752))</f>
        <v/>
      </c>
      <c r="F765" s="29" t="n"/>
      <c r="G765" s="29" t="n"/>
      <c r="H765" s="29" t="n"/>
    </row>
    <row r="766">
      <c r="B766" s="39">
        <f>IF($K$752="","",설정!$B$7)</f>
        <v/>
      </c>
    </row>
    <row r="782" ht="30" customHeight="1">
      <c r="B782" s="28">
        <f>IF($K$782="","","임금명세서  ("&amp;설정!$B$5&amp;")")</f>
        <v/>
      </c>
      <c r="K782" s="34">
        <f>IFERROR(MATCH(27,직원목록!$B$7:$B$306,0),"")</f>
        <v/>
      </c>
    </row>
    <row r="783">
      <c r="B783" s="7" t="inlineStr">
        <is>
          <t>회사명</t>
        </is>
      </c>
      <c r="C783" s="21">
        <f>IF($K$782="","",설정!$B$4)</f>
        <v/>
      </c>
      <c r="D783" s="29" t="n"/>
      <c r="E783" s="19" t="n"/>
      <c r="F783" s="7" t="inlineStr">
        <is>
          <t>임금 지급일</t>
        </is>
      </c>
      <c r="G783" s="21">
        <f>IF($K$782="","",TEXT(설정!$B$6,"yyyy-mm-dd"))</f>
        <v/>
      </c>
      <c r="H783" s="29" t="n"/>
    </row>
    <row r="784">
      <c r="B784" s="7" t="inlineStr">
        <is>
          <t>성명</t>
        </is>
      </c>
      <c r="C784" s="22">
        <f>IF($K$782="","",INDEX(직원목록!$D$7:$D$306,$K$782))</f>
        <v/>
      </c>
      <c r="D784" s="7" t="inlineStr">
        <is>
          <t>사번</t>
        </is>
      </c>
      <c r="E784" s="21">
        <f>IF($K$782="","",INDEX(직원목록!$C$7:$C$306,$K$782))</f>
        <v/>
      </c>
      <c r="F784" s="7" t="inlineStr">
        <is>
          <t>부서</t>
        </is>
      </c>
      <c r="G784" s="21">
        <f>IF($K$782="","",INDEX(직원목록!$E$7:$E$306,$K$782))</f>
        <v/>
      </c>
      <c r="H784" s="29" t="n"/>
    </row>
    <row r="785">
      <c r="B785" s="12" t="inlineStr">
        <is>
          <t>지급 항목</t>
        </is>
      </c>
      <c r="C785" s="12" t="inlineStr">
        <is>
          <t>금액(원)</t>
        </is>
      </c>
      <c r="D785" s="12" t="inlineStr">
        <is>
          <t>계산 근거</t>
        </is>
      </c>
      <c r="E785" s="2" t="n"/>
      <c r="F785" s="12" t="inlineStr">
        <is>
          <t>공제 항목</t>
        </is>
      </c>
      <c r="G785" s="12" t="inlineStr">
        <is>
          <t>금액(원)</t>
        </is>
      </c>
      <c r="H785" s="12" t="n"/>
    </row>
    <row r="786">
      <c r="B786" s="4">
        <f>IF($K$782="","",IF(설정!$B$17="","",설정!$B$17))</f>
        <v/>
      </c>
      <c r="C786" s="31">
        <f>IF(OR($K$782="",설정!$B$17=""),"",INDEX(직원목록!$F$7:$F$306,$K$782))</f>
        <v/>
      </c>
      <c r="D786" s="32">
        <f>IF(OR($K$782="",설정!$B$17=""),"",IF(N(INDEX(직원목록!$N$7:$N$306,$K$782))=0,"",INDEX(직원목록!$N$7:$N$306,$K$782)&amp;"시간"))</f>
        <v/>
      </c>
      <c r="F786" s="4">
        <f>IF($K$782="","",IF(설정!$B$26="","",설정!$B$26))</f>
        <v/>
      </c>
      <c r="G786" s="31">
        <f>IF(OR($K$782="",설정!$B$26=""),"",INDEX(직원목록!$W$7:$W$306,$K$782))</f>
        <v/>
      </c>
      <c r="H786" s="19" t="n"/>
    </row>
    <row r="787">
      <c r="B787" s="4">
        <f>IF($K$782="","",IF(설정!$B$18="","",설정!$B$18))</f>
        <v/>
      </c>
      <c r="C787" s="31">
        <f>IF(OR($K$782="",설정!$B$18=""),"",INDEX(직원목록!$G$7:$G$306,$K$782))</f>
        <v/>
      </c>
      <c r="D787" s="32">
        <f>IF(OR($K$782="",설정!$B$18=""),"",IF(N(INDEX(직원목록!$O$7:$O$306,$K$782))=0,"",INDEX(직원목록!$O$7:$O$306,$K$782)&amp;"시간"))</f>
        <v/>
      </c>
      <c r="F787" s="4">
        <f>IF($K$782="","",IF(설정!$B$27="","",설정!$B$27))</f>
        <v/>
      </c>
      <c r="G787" s="31">
        <f>IF(OR($K$782="",설정!$B$27=""),"",INDEX(직원목록!$X$7:$X$306,$K$782))</f>
        <v/>
      </c>
      <c r="H787" s="19" t="n"/>
    </row>
    <row r="788">
      <c r="B788" s="4">
        <f>IF($K$782="","",IF(설정!$B$19="","",설정!$B$19))</f>
        <v/>
      </c>
      <c r="C788" s="31">
        <f>IF(OR($K$782="",설정!$B$19=""),"",INDEX(직원목록!$H$7:$H$306,$K$782))</f>
        <v/>
      </c>
      <c r="D788" s="32">
        <f>IF(OR($K$782="",설정!$B$19=""),"",IF(N(INDEX(직원목록!$P$7:$P$306,$K$782))=0,"",INDEX(직원목록!$P$7:$P$306,$K$782)&amp;"시간"))</f>
        <v/>
      </c>
      <c r="F788" s="4">
        <f>IF($K$782="","",IF(설정!$B$28="","",설정!$B$28))</f>
        <v/>
      </c>
      <c r="G788" s="31">
        <f>IF(OR($K$782="",설정!$B$28=""),"",INDEX(직원목록!$Y$7:$Y$306,$K$782))</f>
        <v/>
      </c>
      <c r="H788" s="19" t="n"/>
    </row>
    <row r="789">
      <c r="B789" s="4">
        <f>IF($K$782="","",IF(설정!$B$20="","",설정!$B$20))</f>
        <v/>
      </c>
      <c r="C789" s="31">
        <f>IF(OR($K$782="",설정!$B$20=""),"",INDEX(직원목록!$I$7:$I$306,$K$782))</f>
        <v/>
      </c>
      <c r="D789" s="32">
        <f>IF(OR($K$782="",설정!$B$20=""),"",IF(N(INDEX(직원목록!$Q$7:$Q$306,$K$782))=0,"",INDEX(직원목록!$Q$7:$Q$306,$K$782)&amp;"시간"))</f>
        <v/>
      </c>
      <c r="F789" s="4">
        <f>IF($K$782="","",IF(설정!$B$29="","",설정!$B$29))</f>
        <v/>
      </c>
      <c r="G789" s="31">
        <f>IF(OR($K$782="",설정!$B$29=""),"",INDEX(직원목록!$Z$7:$Z$306,$K$782))</f>
        <v/>
      </c>
      <c r="H789" s="19" t="n"/>
    </row>
    <row r="790">
      <c r="B790" s="4">
        <f>IF($K$782="","",IF(설정!$B$21="","",설정!$B$21))</f>
        <v/>
      </c>
      <c r="C790" s="31">
        <f>IF(OR($K$782="",설정!$B$21=""),"",INDEX(직원목록!$J$7:$J$306,$K$782))</f>
        <v/>
      </c>
      <c r="D790" s="32">
        <f>IF(OR($K$782="",설정!$B$21=""),"",IF(N(INDEX(직원목록!$R$7:$R$306,$K$782))=0,"",INDEX(직원목록!$R$7:$R$306,$K$782)&amp;"시간"))</f>
        <v/>
      </c>
      <c r="F790" s="4">
        <f>IF($K$782="","",IF(설정!$B$30="","",설정!$B$30))</f>
        <v/>
      </c>
      <c r="G790" s="31">
        <f>IF(OR($K$782="",설정!$B$30=""),"",INDEX(직원목록!$AA$7:$AA$306,$K$782))</f>
        <v/>
      </c>
      <c r="H790" s="19" t="n"/>
    </row>
    <row r="791">
      <c r="B791" s="4">
        <f>IF($K$782="","",IF(설정!$B$22="","",설정!$B$22))</f>
        <v/>
      </c>
      <c r="C791" s="31">
        <f>IF(OR($K$782="",설정!$B$22=""),"",INDEX(직원목록!$K$7:$K$306,$K$782))</f>
        <v/>
      </c>
      <c r="D791" s="32">
        <f>IF(OR($K$782="",설정!$B$22=""),"",IF(N(INDEX(직원목록!$S$7:$S$306,$K$782))=0,"",INDEX(직원목록!$S$7:$S$306,$K$782)&amp;"시간"))</f>
        <v/>
      </c>
      <c r="F791" s="4">
        <f>IF($K$782="","",IF(설정!$B$31="","",설정!$B$31))</f>
        <v/>
      </c>
      <c r="G791" s="31">
        <f>IF(OR($K$782="",설정!$B$31=""),"",INDEX(직원목록!$AB$7:$AB$306,$K$782))</f>
        <v/>
      </c>
      <c r="H791" s="19" t="n"/>
    </row>
    <row r="792">
      <c r="B792" s="4">
        <f>IF($K$782="","",IF(설정!$B$23="","",설정!$B$23))</f>
        <v/>
      </c>
      <c r="C792" s="31">
        <f>IF(OR($K$782="",설정!$B$23=""),"",INDEX(직원목록!$L$7:$L$306,$K$782))</f>
        <v/>
      </c>
      <c r="D792" s="32">
        <f>IF(OR($K$782="",설정!$B$23=""),"",IF(N(INDEX(직원목록!$T$7:$T$306,$K$782))=0,"",INDEX(직원목록!$T$7:$T$306,$K$782)&amp;"시간"))</f>
        <v/>
      </c>
      <c r="F792" s="4">
        <f>IF($K$782="","",IF(설정!$B$32="","",설정!$B$32))</f>
        <v/>
      </c>
      <c r="G792" s="31">
        <f>IF(OR($K$782="",설정!$B$32=""),"",INDEX(직원목록!$AC$7:$AC$306,$K$782))</f>
        <v/>
      </c>
      <c r="H792" s="19" t="n"/>
    </row>
    <row r="793">
      <c r="B793" s="4">
        <f>IF($K$782="","",IF(설정!$B$24="","",설정!$B$24))</f>
        <v/>
      </c>
      <c r="C793" s="31">
        <f>IF(OR($K$782="",설정!$B$24=""),"",INDEX(직원목록!$M$7:$M$306,$K$782))</f>
        <v/>
      </c>
      <c r="D793" s="32">
        <f>IF(OR($K$782="",설정!$B$24=""),"",IF(N(INDEX(직원목록!$U$7:$U$306,$K$782))=0,"",INDEX(직원목록!$U$7:$U$306,$K$782)&amp;"시간"))</f>
        <v/>
      </c>
      <c r="F793" s="4">
        <f>IF($K$782="","",IF(설정!$B$33="","",설정!$B$33))</f>
        <v/>
      </c>
      <c r="G793" s="31">
        <f>IF(OR($K$782="",설정!$B$33=""),"",INDEX(직원목록!$AD$7:$AD$306,$K$782))</f>
        <v/>
      </c>
      <c r="H793" s="19" t="n"/>
    </row>
    <row r="794">
      <c r="B794" s="3" t="inlineStr">
        <is>
          <t>지급 합계</t>
        </is>
      </c>
      <c r="C794" s="35">
        <f>IF($K$782="","",INDEX(직원목록!$V$7:$V$306,$K$782))</f>
        <v/>
      </c>
      <c r="D794" s="36" t="n"/>
      <c r="F794" s="3" t="inlineStr">
        <is>
          <t>공제 합계</t>
        </is>
      </c>
      <c r="G794" s="35">
        <f>IF($K$782="","",INDEX(직원목록!$AE$7:$AE$306,$K$782))</f>
        <v/>
      </c>
      <c r="H794" s="36" t="n"/>
    </row>
    <row r="795" ht="28" customHeight="1">
      <c r="B795" s="37" t="inlineStr">
        <is>
          <t>실 수령액 (지급 합계 − 공제 합계)</t>
        </is>
      </c>
      <c r="C795" s="29" t="n"/>
      <c r="D795" s="29" t="n"/>
      <c r="E795" s="38">
        <f>IF($K$782="","",INDEX(직원목록!$AF$7:$AF$306,$K$782))</f>
        <v/>
      </c>
      <c r="F795" s="29" t="n"/>
      <c r="G795" s="29" t="n"/>
      <c r="H795" s="29" t="n"/>
    </row>
    <row r="796">
      <c r="B796" s="39">
        <f>IF($K$782="","",설정!$B$7)</f>
        <v/>
      </c>
    </row>
    <row r="812" ht="30" customHeight="1">
      <c r="B812" s="28">
        <f>IF($K$812="","","임금명세서  ("&amp;설정!$B$5&amp;")")</f>
        <v/>
      </c>
      <c r="K812" s="34">
        <f>IFERROR(MATCH(28,직원목록!$B$7:$B$306,0),"")</f>
        <v/>
      </c>
    </row>
    <row r="813">
      <c r="B813" s="7" t="inlineStr">
        <is>
          <t>회사명</t>
        </is>
      </c>
      <c r="C813" s="21">
        <f>IF($K$812="","",설정!$B$4)</f>
        <v/>
      </c>
      <c r="D813" s="29" t="n"/>
      <c r="E813" s="19" t="n"/>
      <c r="F813" s="7" t="inlineStr">
        <is>
          <t>임금 지급일</t>
        </is>
      </c>
      <c r="G813" s="21">
        <f>IF($K$812="","",TEXT(설정!$B$6,"yyyy-mm-dd"))</f>
        <v/>
      </c>
      <c r="H813" s="29" t="n"/>
    </row>
    <row r="814">
      <c r="B814" s="7" t="inlineStr">
        <is>
          <t>성명</t>
        </is>
      </c>
      <c r="C814" s="22">
        <f>IF($K$812="","",INDEX(직원목록!$D$7:$D$306,$K$812))</f>
        <v/>
      </c>
      <c r="D814" s="7" t="inlineStr">
        <is>
          <t>사번</t>
        </is>
      </c>
      <c r="E814" s="21">
        <f>IF($K$812="","",INDEX(직원목록!$C$7:$C$306,$K$812))</f>
        <v/>
      </c>
      <c r="F814" s="7" t="inlineStr">
        <is>
          <t>부서</t>
        </is>
      </c>
      <c r="G814" s="21">
        <f>IF($K$812="","",INDEX(직원목록!$E$7:$E$306,$K$812))</f>
        <v/>
      </c>
      <c r="H814" s="29" t="n"/>
    </row>
    <row r="815">
      <c r="B815" s="12" t="inlineStr">
        <is>
          <t>지급 항목</t>
        </is>
      </c>
      <c r="C815" s="12" t="inlineStr">
        <is>
          <t>금액(원)</t>
        </is>
      </c>
      <c r="D815" s="12" t="inlineStr">
        <is>
          <t>계산 근거</t>
        </is>
      </c>
      <c r="E815" s="2" t="n"/>
      <c r="F815" s="12" t="inlineStr">
        <is>
          <t>공제 항목</t>
        </is>
      </c>
      <c r="G815" s="12" t="inlineStr">
        <is>
          <t>금액(원)</t>
        </is>
      </c>
      <c r="H815" s="12" t="n"/>
    </row>
    <row r="816">
      <c r="B816" s="4">
        <f>IF($K$812="","",IF(설정!$B$17="","",설정!$B$17))</f>
        <v/>
      </c>
      <c r="C816" s="31">
        <f>IF(OR($K$812="",설정!$B$17=""),"",INDEX(직원목록!$F$7:$F$306,$K$812))</f>
        <v/>
      </c>
      <c r="D816" s="32">
        <f>IF(OR($K$812="",설정!$B$17=""),"",IF(N(INDEX(직원목록!$N$7:$N$306,$K$812))=0,"",INDEX(직원목록!$N$7:$N$306,$K$812)&amp;"시간"))</f>
        <v/>
      </c>
      <c r="F816" s="4">
        <f>IF($K$812="","",IF(설정!$B$26="","",설정!$B$26))</f>
        <v/>
      </c>
      <c r="G816" s="31">
        <f>IF(OR($K$812="",설정!$B$26=""),"",INDEX(직원목록!$W$7:$W$306,$K$812))</f>
        <v/>
      </c>
      <c r="H816" s="19" t="n"/>
    </row>
    <row r="817">
      <c r="B817" s="4">
        <f>IF($K$812="","",IF(설정!$B$18="","",설정!$B$18))</f>
        <v/>
      </c>
      <c r="C817" s="31">
        <f>IF(OR($K$812="",설정!$B$18=""),"",INDEX(직원목록!$G$7:$G$306,$K$812))</f>
        <v/>
      </c>
      <c r="D817" s="32">
        <f>IF(OR($K$812="",설정!$B$18=""),"",IF(N(INDEX(직원목록!$O$7:$O$306,$K$812))=0,"",INDEX(직원목록!$O$7:$O$306,$K$812)&amp;"시간"))</f>
        <v/>
      </c>
      <c r="F817" s="4">
        <f>IF($K$812="","",IF(설정!$B$27="","",설정!$B$27))</f>
        <v/>
      </c>
      <c r="G817" s="31">
        <f>IF(OR($K$812="",설정!$B$27=""),"",INDEX(직원목록!$X$7:$X$306,$K$812))</f>
        <v/>
      </c>
      <c r="H817" s="19" t="n"/>
    </row>
    <row r="818">
      <c r="B818" s="4">
        <f>IF($K$812="","",IF(설정!$B$19="","",설정!$B$19))</f>
        <v/>
      </c>
      <c r="C818" s="31">
        <f>IF(OR($K$812="",설정!$B$19=""),"",INDEX(직원목록!$H$7:$H$306,$K$812))</f>
        <v/>
      </c>
      <c r="D818" s="32">
        <f>IF(OR($K$812="",설정!$B$19=""),"",IF(N(INDEX(직원목록!$P$7:$P$306,$K$812))=0,"",INDEX(직원목록!$P$7:$P$306,$K$812)&amp;"시간"))</f>
        <v/>
      </c>
      <c r="F818" s="4">
        <f>IF($K$812="","",IF(설정!$B$28="","",설정!$B$28))</f>
        <v/>
      </c>
      <c r="G818" s="31">
        <f>IF(OR($K$812="",설정!$B$28=""),"",INDEX(직원목록!$Y$7:$Y$306,$K$812))</f>
        <v/>
      </c>
      <c r="H818" s="19" t="n"/>
    </row>
    <row r="819">
      <c r="B819" s="4">
        <f>IF($K$812="","",IF(설정!$B$20="","",설정!$B$20))</f>
        <v/>
      </c>
      <c r="C819" s="31">
        <f>IF(OR($K$812="",설정!$B$20=""),"",INDEX(직원목록!$I$7:$I$306,$K$812))</f>
        <v/>
      </c>
      <c r="D819" s="32">
        <f>IF(OR($K$812="",설정!$B$20=""),"",IF(N(INDEX(직원목록!$Q$7:$Q$306,$K$812))=0,"",INDEX(직원목록!$Q$7:$Q$306,$K$812)&amp;"시간"))</f>
        <v/>
      </c>
      <c r="F819" s="4">
        <f>IF($K$812="","",IF(설정!$B$29="","",설정!$B$29))</f>
        <v/>
      </c>
      <c r="G819" s="31">
        <f>IF(OR($K$812="",설정!$B$29=""),"",INDEX(직원목록!$Z$7:$Z$306,$K$812))</f>
        <v/>
      </c>
      <c r="H819" s="19" t="n"/>
    </row>
    <row r="820">
      <c r="B820" s="4">
        <f>IF($K$812="","",IF(설정!$B$21="","",설정!$B$21))</f>
        <v/>
      </c>
      <c r="C820" s="31">
        <f>IF(OR($K$812="",설정!$B$21=""),"",INDEX(직원목록!$J$7:$J$306,$K$812))</f>
        <v/>
      </c>
      <c r="D820" s="32">
        <f>IF(OR($K$812="",설정!$B$21=""),"",IF(N(INDEX(직원목록!$R$7:$R$306,$K$812))=0,"",INDEX(직원목록!$R$7:$R$306,$K$812)&amp;"시간"))</f>
        <v/>
      </c>
      <c r="F820" s="4">
        <f>IF($K$812="","",IF(설정!$B$30="","",설정!$B$30))</f>
        <v/>
      </c>
      <c r="G820" s="31">
        <f>IF(OR($K$812="",설정!$B$30=""),"",INDEX(직원목록!$AA$7:$AA$306,$K$812))</f>
        <v/>
      </c>
      <c r="H820" s="19" t="n"/>
    </row>
    <row r="821">
      <c r="B821" s="4">
        <f>IF($K$812="","",IF(설정!$B$22="","",설정!$B$22))</f>
        <v/>
      </c>
      <c r="C821" s="31">
        <f>IF(OR($K$812="",설정!$B$22=""),"",INDEX(직원목록!$K$7:$K$306,$K$812))</f>
        <v/>
      </c>
      <c r="D821" s="32">
        <f>IF(OR($K$812="",설정!$B$22=""),"",IF(N(INDEX(직원목록!$S$7:$S$306,$K$812))=0,"",INDEX(직원목록!$S$7:$S$306,$K$812)&amp;"시간"))</f>
        <v/>
      </c>
      <c r="F821" s="4">
        <f>IF($K$812="","",IF(설정!$B$31="","",설정!$B$31))</f>
        <v/>
      </c>
      <c r="G821" s="31">
        <f>IF(OR($K$812="",설정!$B$31=""),"",INDEX(직원목록!$AB$7:$AB$306,$K$812))</f>
        <v/>
      </c>
      <c r="H821" s="19" t="n"/>
    </row>
    <row r="822">
      <c r="B822" s="4">
        <f>IF($K$812="","",IF(설정!$B$23="","",설정!$B$23))</f>
        <v/>
      </c>
      <c r="C822" s="31">
        <f>IF(OR($K$812="",설정!$B$23=""),"",INDEX(직원목록!$L$7:$L$306,$K$812))</f>
        <v/>
      </c>
      <c r="D822" s="32">
        <f>IF(OR($K$812="",설정!$B$23=""),"",IF(N(INDEX(직원목록!$T$7:$T$306,$K$812))=0,"",INDEX(직원목록!$T$7:$T$306,$K$812)&amp;"시간"))</f>
        <v/>
      </c>
      <c r="F822" s="4">
        <f>IF($K$812="","",IF(설정!$B$32="","",설정!$B$32))</f>
        <v/>
      </c>
      <c r="G822" s="31">
        <f>IF(OR($K$812="",설정!$B$32=""),"",INDEX(직원목록!$AC$7:$AC$306,$K$812))</f>
        <v/>
      </c>
      <c r="H822" s="19" t="n"/>
    </row>
    <row r="823">
      <c r="B823" s="4">
        <f>IF($K$812="","",IF(설정!$B$24="","",설정!$B$24))</f>
        <v/>
      </c>
      <c r="C823" s="31">
        <f>IF(OR($K$812="",설정!$B$24=""),"",INDEX(직원목록!$M$7:$M$306,$K$812))</f>
        <v/>
      </c>
      <c r="D823" s="32">
        <f>IF(OR($K$812="",설정!$B$24=""),"",IF(N(INDEX(직원목록!$U$7:$U$306,$K$812))=0,"",INDEX(직원목록!$U$7:$U$306,$K$812)&amp;"시간"))</f>
        <v/>
      </c>
      <c r="F823" s="4">
        <f>IF($K$812="","",IF(설정!$B$33="","",설정!$B$33))</f>
        <v/>
      </c>
      <c r="G823" s="31">
        <f>IF(OR($K$812="",설정!$B$33=""),"",INDEX(직원목록!$AD$7:$AD$306,$K$812))</f>
        <v/>
      </c>
      <c r="H823" s="19" t="n"/>
    </row>
    <row r="824">
      <c r="B824" s="3" t="inlineStr">
        <is>
          <t>지급 합계</t>
        </is>
      </c>
      <c r="C824" s="35">
        <f>IF($K$812="","",INDEX(직원목록!$V$7:$V$306,$K$812))</f>
        <v/>
      </c>
      <c r="D824" s="36" t="n"/>
      <c r="F824" s="3" t="inlineStr">
        <is>
          <t>공제 합계</t>
        </is>
      </c>
      <c r="G824" s="35">
        <f>IF($K$812="","",INDEX(직원목록!$AE$7:$AE$306,$K$812))</f>
        <v/>
      </c>
      <c r="H824" s="36" t="n"/>
    </row>
    <row r="825" ht="28" customHeight="1">
      <c r="B825" s="37" t="inlineStr">
        <is>
          <t>실 수령액 (지급 합계 − 공제 합계)</t>
        </is>
      </c>
      <c r="C825" s="29" t="n"/>
      <c r="D825" s="29" t="n"/>
      <c r="E825" s="38">
        <f>IF($K$812="","",INDEX(직원목록!$AF$7:$AF$306,$K$812))</f>
        <v/>
      </c>
      <c r="F825" s="29" t="n"/>
      <c r="G825" s="29" t="n"/>
      <c r="H825" s="29" t="n"/>
    </row>
    <row r="826">
      <c r="B826" s="39">
        <f>IF($K$812="","",설정!$B$7)</f>
        <v/>
      </c>
    </row>
    <row r="842" ht="30" customHeight="1">
      <c r="B842" s="28">
        <f>IF($K$842="","","임금명세서  ("&amp;설정!$B$5&amp;")")</f>
        <v/>
      </c>
      <c r="K842" s="34">
        <f>IFERROR(MATCH(29,직원목록!$B$7:$B$306,0),"")</f>
        <v/>
      </c>
    </row>
    <row r="843">
      <c r="B843" s="7" t="inlineStr">
        <is>
          <t>회사명</t>
        </is>
      </c>
      <c r="C843" s="21">
        <f>IF($K$842="","",설정!$B$4)</f>
        <v/>
      </c>
      <c r="D843" s="29" t="n"/>
      <c r="E843" s="19" t="n"/>
      <c r="F843" s="7" t="inlineStr">
        <is>
          <t>임금 지급일</t>
        </is>
      </c>
      <c r="G843" s="21">
        <f>IF($K$842="","",TEXT(설정!$B$6,"yyyy-mm-dd"))</f>
        <v/>
      </c>
      <c r="H843" s="29" t="n"/>
    </row>
    <row r="844">
      <c r="B844" s="7" t="inlineStr">
        <is>
          <t>성명</t>
        </is>
      </c>
      <c r="C844" s="22">
        <f>IF($K$842="","",INDEX(직원목록!$D$7:$D$306,$K$842))</f>
        <v/>
      </c>
      <c r="D844" s="7" t="inlineStr">
        <is>
          <t>사번</t>
        </is>
      </c>
      <c r="E844" s="21">
        <f>IF($K$842="","",INDEX(직원목록!$C$7:$C$306,$K$842))</f>
        <v/>
      </c>
      <c r="F844" s="7" t="inlineStr">
        <is>
          <t>부서</t>
        </is>
      </c>
      <c r="G844" s="21">
        <f>IF($K$842="","",INDEX(직원목록!$E$7:$E$306,$K$842))</f>
        <v/>
      </c>
      <c r="H844" s="29" t="n"/>
    </row>
    <row r="845">
      <c r="B845" s="12" t="inlineStr">
        <is>
          <t>지급 항목</t>
        </is>
      </c>
      <c r="C845" s="12" t="inlineStr">
        <is>
          <t>금액(원)</t>
        </is>
      </c>
      <c r="D845" s="12" t="inlineStr">
        <is>
          <t>계산 근거</t>
        </is>
      </c>
      <c r="E845" s="2" t="n"/>
      <c r="F845" s="12" t="inlineStr">
        <is>
          <t>공제 항목</t>
        </is>
      </c>
      <c r="G845" s="12" t="inlineStr">
        <is>
          <t>금액(원)</t>
        </is>
      </c>
      <c r="H845" s="12" t="n"/>
    </row>
    <row r="846">
      <c r="B846" s="4">
        <f>IF($K$842="","",IF(설정!$B$17="","",설정!$B$17))</f>
        <v/>
      </c>
      <c r="C846" s="31">
        <f>IF(OR($K$842="",설정!$B$17=""),"",INDEX(직원목록!$F$7:$F$306,$K$842))</f>
        <v/>
      </c>
      <c r="D846" s="32">
        <f>IF(OR($K$842="",설정!$B$17=""),"",IF(N(INDEX(직원목록!$N$7:$N$306,$K$842))=0,"",INDEX(직원목록!$N$7:$N$306,$K$842)&amp;"시간"))</f>
        <v/>
      </c>
      <c r="F846" s="4">
        <f>IF($K$842="","",IF(설정!$B$26="","",설정!$B$26))</f>
        <v/>
      </c>
      <c r="G846" s="31">
        <f>IF(OR($K$842="",설정!$B$26=""),"",INDEX(직원목록!$W$7:$W$306,$K$842))</f>
        <v/>
      </c>
      <c r="H846" s="19" t="n"/>
    </row>
    <row r="847">
      <c r="B847" s="4">
        <f>IF($K$842="","",IF(설정!$B$18="","",설정!$B$18))</f>
        <v/>
      </c>
      <c r="C847" s="31">
        <f>IF(OR($K$842="",설정!$B$18=""),"",INDEX(직원목록!$G$7:$G$306,$K$842))</f>
        <v/>
      </c>
      <c r="D847" s="32">
        <f>IF(OR($K$842="",설정!$B$18=""),"",IF(N(INDEX(직원목록!$O$7:$O$306,$K$842))=0,"",INDEX(직원목록!$O$7:$O$306,$K$842)&amp;"시간"))</f>
        <v/>
      </c>
      <c r="F847" s="4">
        <f>IF($K$842="","",IF(설정!$B$27="","",설정!$B$27))</f>
        <v/>
      </c>
      <c r="G847" s="31">
        <f>IF(OR($K$842="",설정!$B$27=""),"",INDEX(직원목록!$X$7:$X$306,$K$842))</f>
        <v/>
      </c>
      <c r="H847" s="19" t="n"/>
    </row>
    <row r="848">
      <c r="B848" s="4">
        <f>IF($K$842="","",IF(설정!$B$19="","",설정!$B$19))</f>
        <v/>
      </c>
      <c r="C848" s="31">
        <f>IF(OR($K$842="",설정!$B$19=""),"",INDEX(직원목록!$H$7:$H$306,$K$842))</f>
        <v/>
      </c>
      <c r="D848" s="32">
        <f>IF(OR($K$842="",설정!$B$19=""),"",IF(N(INDEX(직원목록!$P$7:$P$306,$K$842))=0,"",INDEX(직원목록!$P$7:$P$306,$K$842)&amp;"시간"))</f>
        <v/>
      </c>
      <c r="F848" s="4">
        <f>IF($K$842="","",IF(설정!$B$28="","",설정!$B$28))</f>
        <v/>
      </c>
      <c r="G848" s="31">
        <f>IF(OR($K$842="",설정!$B$28=""),"",INDEX(직원목록!$Y$7:$Y$306,$K$842))</f>
        <v/>
      </c>
      <c r="H848" s="19" t="n"/>
    </row>
    <row r="849">
      <c r="B849" s="4">
        <f>IF($K$842="","",IF(설정!$B$20="","",설정!$B$20))</f>
        <v/>
      </c>
      <c r="C849" s="31">
        <f>IF(OR($K$842="",설정!$B$20=""),"",INDEX(직원목록!$I$7:$I$306,$K$842))</f>
        <v/>
      </c>
      <c r="D849" s="32">
        <f>IF(OR($K$842="",설정!$B$20=""),"",IF(N(INDEX(직원목록!$Q$7:$Q$306,$K$842))=0,"",INDEX(직원목록!$Q$7:$Q$306,$K$842)&amp;"시간"))</f>
        <v/>
      </c>
      <c r="F849" s="4">
        <f>IF($K$842="","",IF(설정!$B$29="","",설정!$B$29))</f>
        <v/>
      </c>
      <c r="G849" s="31">
        <f>IF(OR($K$842="",설정!$B$29=""),"",INDEX(직원목록!$Z$7:$Z$306,$K$842))</f>
        <v/>
      </c>
      <c r="H849" s="19" t="n"/>
    </row>
    <row r="850">
      <c r="B850" s="4">
        <f>IF($K$842="","",IF(설정!$B$21="","",설정!$B$21))</f>
        <v/>
      </c>
      <c r="C850" s="31">
        <f>IF(OR($K$842="",설정!$B$21=""),"",INDEX(직원목록!$J$7:$J$306,$K$842))</f>
        <v/>
      </c>
      <c r="D850" s="32">
        <f>IF(OR($K$842="",설정!$B$21=""),"",IF(N(INDEX(직원목록!$R$7:$R$306,$K$842))=0,"",INDEX(직원목록!$R$7:$R$306,$K$842)&amp;"시간"))</f>
        <v/>
      </c>
      <c r="F850" s="4">
        <f>IF($K$842="","",IF(설정!$B$30="","",설정!$B$30))</f>
        <v/>
      </c>
      <c r="G850" s="31">
        <f>IF(OR($K$842="",설정!$B$30=""),"",INDEX(직원목록!$AA$7:$AA$306,$K$842))</f>
        <v/>
      </c>
      <c r="H850" s="19" t="n"/>
    </row>
    <row r="851">
      <c r="B851" s="4">
        <f>IF($K$842="","",IF(설정!$B$22="","",설정!$B$22))</f>
        <v/>
      </c>
      <c r="C851" s="31">
        <f>IF(OR($K$842="",설정!$B$22=""),"",INDEX(직원목록!$K$7:$K$306,$K$842))</f>
        <v/>
      </c>
      <c r="D851" s="32">
        <f>IF(OR($K$842="",설정!$B$22=""),"",IF(N(INDEX(직원목록!$S$7:$S$306,$K$842))=0,"",INDEX(직원목록!$S$7:$S$306,$K$842)&amp;"시간"))</f>
        <v/>
      </c>
      <c r="F851" s="4">
        <f>IF($K$842="","",IF(설정!$B$31="","",설정!$B$31))</f>
        <v/>
      </c>
      <c r="G851" s="31">
        <f>IF(OR($K$842="",설정!$B$31=""),"",INDEX(직원목록!$AB$7:$AB$306,$K$842))</f>
        <v/>
      </c>
      <c r="H851" s="19" t="n"/>
    </row>
    <row r="852">
      <c r="B852" s="4">
        <f>IF($K$842="","",IF(설정!$B$23="","",설정!$B$23))</f>
        <v/>
      </c>
      <c r="C852" s="31">
        <f>IF(OR($K$842="",설정!$B$23=""),"",INDEX(직원목록!$L$7:$L$306,$K$842))</f>
        <v/>
      </c>
      <c r="D852" s="32">
        <f>IF(OR($K$842="",설정!$B$23=""),"",IF(N(INDEX(직원목록!$T$7:$T$306,$K$842))=0,"",INDEX(직원목록!$T$7:$T$306,$K$842)&amp;"시간"))</f>
        <v/>
      </c>
      <c r="F852" s="4">
        <f>IF($K$842="","",IF(설정!$B$32="","",설정!$B$32))</f>
        <v/>
      </c>
      <c r="G852" s="31">
        <f>IF(OR($K$842="",설정!$B$32=""),"",INDEX(직원목록!$AC$7:$AC$306,$K$842))</f>
        <v/>
      </c>
      <c r="H852" s="19" t="n"/>
    </row>
    <row r="853">
      <c r="B853" s="4">
        <f>IF($K$842="","",IF(설정!$B$24="","",설정!$B$24))</f>
        <v/>
      </c>
      <c r="C853" s="31">
        <f>IF(OR($K$842="",설정!$B$24=""),"",INDEX(직원목록!$M$7:$M$306,$K$842))</f>
        <v/>
      </c>
      <c r="D853" s="32">
        <f>IF(OR($K$842="",설정!$B$24=""),"",IF(N(INDEX(직원목록!$U$7:$U$306,$K$842))=0,"",INDEX(직원목록!$U$7:$U$306,$K$842)&amp;"시간"))</f>
        <v/>
      </c>
      <c r="F853" s="4">
        <f>IF($K$842="","",IF(설정!$B$33="","",설정!$B$33))</f>
        <v/>
      </c>
      <c r="G853" s="31">
        <f>IF(OR($K$842="",설정!$B$33=""),"",INDEX(직원목록!$AD$7:$AD$306,$K$842))</f>
        <v/>
      </c>
      <c r="H853" s="19" t="n"/>
    </row>
    <row r="854">
      <c r="B854" s="3" t="inlineStr">
        <is>
          <t>지급 합계</t>
        </is>
      </c>
      <c r="C854" s="35">
        <f>IF($K$842="","",INDEX(직원목록!$V$7:$V$306,$K$842))</f>
        <v/>
      </c>
      <c r="D854" s="36" t="n"/>
      <c r="F854" s="3" t="inlineStr">
        <is>
          <t>공제 합계</t>
        </is>
      </c>
      <c r="G854" s="35">
        <f>IF($K$842="","",INDEX(직원목록!$AE$7:$AE$306,$K$842))</f>
        <v/>
      </c>
      <c r="H854" s="36" t="n"/>
    </row>
    <row r="855" ht="28" customHeight="1">
      <c r="B855" s="37" t="inlineStr">
        <is>
          <t>실 수령액 (지급 합계 − 공제 합계)</t>
        </is>
      </c>
      <c r="C855" s="29" t="n"/>
      <c r="D855" s="29" t="n"/>
      <c r="E855" s="38">
        <f>IF($K$842="","",INDEX(직원목록!$AF$7:$AF$306,$K$842))</f>
        <v/>
      </c>
      <c r="F855" s="29" t="n"/>
      <c r="G855" s="29" t="n"/>
      <c r="H855" s="29" t="n"/>
    </row>
    <row r="856">
      <c r="B856" s="39">
        <f>IF($K$842="","",설정!$B$7)</f>
        <v/>
      </c>
    </row>
    <row r="872" ht="30" customHeight="1">
      <c r="B872" s="28">
        <f>IF($K$872="","","임금명세서  ("&amp;설정!$B$5&amp;")")</f>
        <v/>
      </c>
      <c r="K872" s="34">
        <f>IFERROR(MATCH(30,직원목록!$B$7:$B$306,0),"")</f>
        <v/>
      </c>
    </row>
    <row r="873">
      <c r="B873" s="7" t="inlineStr">
        <is>
          <t>회사명</t>
        </is>
      </c>
      <c r="C873" s="21">
        <f>IF($K$872="","",설정!$B$4)</f>
        <v/>
      </c>
      <c r="D873" s="29" t="n"/>
      <c r="E873" s="19" t="n"/>
      <c r="F873" s="7" t="inlineStr">
        <is>
          <t>임금 지급일</t>
        </is>
      </c>
      <c r="G873" s="21">
        <f>IF($K$872="","",TEXT(설정!$B$6,"yyyy-mm-dd"))</f>
        <v/>
      </c>
      <c r="H873" s="29" t="n"/>
    </row>
    <row r="874">
      <c r="B874" s="7" t="inlineStr">
        <is>
          <t>성명</t>
        </is>
      </c>
      <c r="C874" s="22">
        <f>IF($K$872="","",INDEX(직원목록!$D$7:$D$306,$K$872))</f>
        <v/>
      </c>
      <c r="D874" s="7" t="inlineStr">
        <is>
          <t>사번</t>
        </is>
      </c>
      <c r="E874" s="21">
        <f>IF($K$872="","",INDEX(직원목록!$C$7:$C$306,$K$872))</f>
        <v/>
      </c>
      <c r="F874" s="7" t="inlineStr">
        <is>
          <t>부서</t>
        </is>
      </c>
      <c r="G874" s="21">
        <f>IF($K$872="","",INDEX(직원목록!$E$7:$E$306,$K$872))</f>
        <v/>
      </c>
      <c r="H874" s="29" t="n"/>
    </row>
    <row r="875">
      <c r="B875" s="12" t="inlineStr">
        <is>
          <t>지급 항목</t>
        </is>
      </c>
      <c r="C875" s="12" t="inlineStr">
        <is>
          <t>금액(원)</t>
        </is>
      </c>
      <c r="D875" s="12" t="inlineStr">
        <is>
          <t>계산 근거</t>
        </is>
      </c>
      <c r="E875" s="2" t="n"/>
      <c r="F875" s="12" t="inlineStr">
        <is>
          <t>공제 항목</t>
        </is>
      </c>
      <c r="G875" s="12" t="inlineStr">
        <is>
          <t>금액(원)</t>
        </is>
      </c>
      <c r="H875" s="12" t="n"/>
    </row>
    <row r="876">
      <c r="B876" s="4">
        <f>IF($K$872="","",IF(설정!$B$17="","",설정!$B$17))</f>
        <v/>
      </c>
      <c r="C876" s="31">
        <f>IF(OR($K$872="",설정!$B$17=""),"",INDEX(직원목록!$F$7:$F$306,$K$872))</f>
        <v/>
      </c>
      <c r="D876" s="32">
        <f>IF(OR($K$872="",설정!$B$17=""),"",IF(N(INDEX(직원목록!$N$7:$N$306,$K$872))=0,"",INDEX(직원목록!$N$7:$N$306,$K$872)&amp;"시간"))</f>
        <v/>
      </c>
      <c r="F876" s="4">
        <f>IF($K$872="","",IF(설정!$B$26="","",설정!$B$26))</f>
        <v/>
      </c>
      <c r="G876" s="31">
        <f>IF(OR($K$872="",설정!$B$26=""),"",INDEX(직원목록!$W$7:$W$306,$K$872))</f>
        <v/>
      </c>
      <c r="H876" s="19" t="n"/>
    </row>
    <row r="877">
      <c r="B877" s="4">
        <f>IF($K$872="","",IF(설정!$B$18="","",설정!$B$18))</f>
        <v/>
      </c>
      <c r="C877" s="31">
        <f>IF(OR($K$872="",설정!$B$18=""),"",INDEX(직원목록!$G$7:$G$306,$K$872))</f>
        <v/>
      </c>
      <c r="D877" s="32">
        <f>IF(OR($K$872="",설정!$B$18=""),"",IF(N(INDEX(직원목록!$O$7:$O$306,$K$872))=0,"",INDEX(직원목록!$O$7:$O$306,$K$872)&amp;"시간"))</f>
        <v/>
      </c>
      <c r="F877" s="4">
        <f>IF($K$872="","",IF(설정!$B$27="","",설정!$B$27))</f>
        <v/>
      </c>
      <c r="G877" s="31">
        <f>IF(OR($K$872="",설정!$B$27=""),"",INDEX(직원목록!$X$7:$X$306,$K$872))</f>
        <v/>
      </c>
      <c r="H877" s="19" t="n"/>
    </row>
    <row r="878">
      <c r="B878" s="4">
        <f>IF($K$872="","",IF(설정!$B$19="","",설정!$B$19))</f>
        <v/>
      </c>
      <c r="C878" s="31">
        <f>IF(OR($K$872="",설정!$B$19=""),"",INDEX(직원목록!$H$7:$H$306,$K$872))</f>
        <v/>
      </c>
      <c r="D878" s="32">
        <f>IF(OR($K$872="",설정!$B$19=""),"",IF(N(INDEX(직원목록!$P$7:$P$306,$K$872))=0,"",INDEX(직원목록!$P$7:$P$306,$K$872)&amp;"시간"))</f>
        <v/>
      </c>
      <c r="F878" s="4">
        <f>IF($K$872="","",IF(설정!$B$28="","",설정!$B$28))</f>
        <v/>
      </c>
      <c r="G878" s="31">
        <f>IF(OR($K$872="",설정!$B$28=""),"",INDEX(직원목록!$Y$7:$Y$306,$K$872))</f>
        <v/>
      </c>
      <c r="H878" s="19" t="n"/>
    </row>
    <row r="879">
      <c r="B879" s="4">
        <f>IF($K$872="","",IF(설정!$B$20="","",설정!$B$20))</f>
        <v/>
      </c>
      <c r="C879" s="31">
        <f>IF(OR($K$872="",설정!$B$20=""),"",INDEX(직원목록!$I$7:$I$306,$K$872))</f>
        <v/>
      </c>
      <c r="D879" s="32">
        <f>IF(OR($K$872="",설정!$B$20=""),"",IF(N(INDEX(직원목록!$Q$7:$Q$306,$K$872))=0,"",INDEX(직원목록!$Q$7:$Q$306,$K$872)&amp;"시간"))</f>
        <v/>
      </c>
      <c r="F879" s="4">
        <f>IF($K$872="","",IF(설정!$B$29="","",설정!$B$29))</f>
        <v/>
      </c>
      <c r="G879" s="31">
        <f>IF(OR($K$872="",설정!$B$29=""),"",INDEX(직원목록!$Z$7:$Z$306,$K$872))</f>
        <v/>
      </c>
      <c r="H879" s="19" t="n"/>
    </row>
    <row r="880">
      <c r="B880" s="4">
        <f>IF($K$872="","",IF(설정!$B$21="","",설정!$B$21))</f>
        <v/>
      </c>
      <c r="C880" s="31">
        <f>IF(OR($K$872="",설정!$B$21=""),"",INDEX(직원목록!$J$7:$J$306,$K$872))</f>
        <v/>
      </c>
      <c r="D880" s="32">
        <f>IF(OR($K$872="",설정!$B$21=""),"",IF(N(INDEX(직원목록!$R$7:$R$306,$K$872))=0,"",INDEX(직원목록!$R$7:$R$306,$K$872)&amp;"시간"))</f>
        <v/>
      </c>
      <c r="F880" s="4">
        <f>IF($K$872="","",IF(설정!$B$30="","",설정!$B$30))</f>
        <v/>
      </c>
      <c r="G880" s="31">
        <f>IF(OR($K$872="",설정!$B$30=""),"",INDEX(직원목록!$AA$7:$AA$306,$K$872))</f>
        <v/>
      </c>
      <c r="H880" s="19" t="n"/>
    </row>
    <row r="881">
      <c r="B881" s="4">
        <f>IF($K$872="","",IF(설정!$B$22="","",설정!$B$22))</f>
        <v/>
      </c>
      <c r="C881" s="31">
        <f>IF(OR($K$872="",설정!$B$22=""),"",INDEX(직원목록!$K$7:$K$306,$K$872))</f>
        <v/>
      </c>
      <c r="D881" s="32">
        <f>IF(OR($K$872="",설정!$B$22=""),"",IF(N(INDEX(직원목록!$S$7:$S$306,$K$872))=0,"",INDEX(직원목록!$S$7:$S$306,$K$872)&amp;"시간"))</f>
        <v/>
      </c>
      <c r="F881" s="4">
        <f>IF($K$872="","",IF(설정!$B$31="","",설정!$B$31))</f>
        <v/>
      </c>
      <c r="G881" s="31">
        <f>IF(OR($K$872="",설정!$B$31=""),"",INDEX(직원목록!$AB$7:$AB$306,$K$872))</f>
        <v/>
      </c>
      <c r="H881" s="19" t="n"/>
    </row>
    <row r="882">
      <c r="B882" s="4">
        <f>IF($K$872="","",IF(설정!$B$23="","",설정!$B$23))</f>
        <v/>
      </c>
      <c r="C882" s="31">
        <f>IF(OR($K$872="",설정!$B$23=""),"",INDEX(직원목록!$L$7:$L$306,$K$872))</f>
        <v/>
      </c>
      <c r="D882" s="32">
        <f>IF(OR($K$872="",설정!$B$23=""),"",IF(N(INDEX(직원목록!$T$7:$T$306,$K$872))=0,"",INDEX(직원목록!$T$7:$T$306,$K$872)&amp;"시간"))</f>
        <v/>
      </c>
      <c r="F882" s="4">
        <f>IF($K$872="","",IF(설정!$B$32="","",설정!$B$32))</f>
        <v/>
      </c>
      <c r="G882" s="31">
        <f>IF(OR($K$872="",설정!$B$32=""),"",INDEX(직원목록!$AC$7:$AC$306,$K$872))</f>
        <v/>
      </c>
      <c r="H882" s="19" t="n"/>
    </row>
    <row r="883">
      <c r="B883" s="4">
        <f>IF($K$872="","",IF(설정!$B$24="","",설정!$B$24))</f>
        <v/>
      </c>
      <c r="C883" s="31">
        <f>IF(OR($K$872="",설정!$B$24=""),"",INDEX(직원목록!$M$7:$M$306,$K$872))</f>
        <v/>
      </c>
      <c r="D883" s="32">
        <f>IF(OR($K$872="",설정!$B$24=""),"",IF(N(INDEX(직원목록!$U$7:$U$306,$K$872))=0,"",INDEX(직원목록!$U$7:$U$306,$K$872)&amp;"시간"))</f>
        <v/>
      </c>
      <c r="F883" s="4">
        <f>IF($K$872="","",IF(설정!$B$33="","",설정!$B$33))</f>
        <v/>
      </c>
      <c r="G883" s="31">
        <f>IF(OR($K$872="",설정!$B$33=""),"",INDEX(직원목록!$AD$7:$AD$306,$K$872))</f>
        <v/>
      </c>
      <c r="H883" s="19" t="n"/>
    </row>
    <row r="884">
      <c r="B884" s="3" t="inlineStr">
        <is>
          <t>지급 합계</t>
        </is>
      </c>
      <c r="C884" s="35">
        <f>IF($K$872="","",INDEX(직원목록!$V$7:$V$306,$K$872))</f>
        <v/>
      </c>
      <c r="D884" s="36" t="n"/>
      <c r="F884" s="3" t="inlineStr">
        <is>
          <t>공제 합계</t>
        </is>
      </c>
      <c r="G884" s="35">
        <f>IF($K$872="","",INDEX(직원목록!$AE$7:$AE$306,$K$872))</f>
        <v/>
      </c>
      <c r="H884" s="36" t="n"/>
    </row>
    <row r="885" ht="28" customHeight="1">
      <c r="B885" s="37" t="inlineStr">
        <is>
          <t>실 수령액 (지급 합계 − 공제 합계)</t>
        </is>
      </c>
      <c r="C885" s="29" t="n"/>
      <c r="D885" s="29" t="n"/>
      <c r="E885" s="38">
        <f>IF($K$872="","",INDEX(직원목록!$AF$7:$AF$306,$K$872))</f>
        <v/>
      </c>
      <c r="F885" s="29" t="n"/>
      <c r="G885" s="29" t="n"/>
      <c r="H885" s="29" t="n"/>
    </row>
    <row r="886">
      <c r="B886" s="39">
        <f>IF($K$872="","",설정!$B$7)</f>
        <v/>
      </c>
    </row>
    <row r="902" ht="30" customHeight="1">
      <c r="B902" s="28">
        <f>IF($K$902="","","임금명세서  ("&amp;설정!$B$5&amp;")")</f>
        <v/>
      </c>
      <c r="K902" s="34">
        <f>IFERROR(MATCH(31,직원목록!$B$7:$B$306,0),"")</f>
        <v/>
      </c>
    </row>
    <row r="903">
      <c r="B903" s="7" t="inlineStr">
        <is>
          <t>회사명</t>
        </is>
      </c>
      <c r="C903" s="21">
        <f>IF($K$902="","",설정!$B$4)</f>
        <v/>
      </c>
      <c r="D903" s="29" t="n"/>
      <c r="E903" s="19" t="n"/>
      <c r="F903" s="7" t="inlineStr">
        <is>
          <t>임금 지급일</t>
        </is>
      </c>
      <c r="G903" s="21">
        <f>IF($K$902="","",TEXT(설정!$B$6,"yyyy-mm-dd"))</f>
        <v/>
      </c>
      <c r="H903" s="29" t="n"/>
    </row>
    <row r="904">
      <c r="B904" s="7" t="inlineStr">
        <is>
          <t>성명</t>
        </is>
      </c>
      <c r="C904" s="22">
        <f>IF($K$902="","",INDEX(직원목록!$D$7:$D$306,$K$902))</f>
        <v/>
      </c>
      <c r="D904" s="7" t="inlineStr">
        <is>
          <t>사번</t>
        </is>
      </c>
      <c r="E904" s="21">
        <f>IF($K$902="","",INDEX(직원목록!$C$7:$C$306,$K$902))</f>
        <v/>
      </c>
      <c r="F904" s="7" t="inlineStr">
        <is>
          <t>부서</t>
        </is>
      </c>
      <c r="G904" s="21">
        <f>IF($K$902="","",INDEX(직원목록!$E$7:$E$306,$K$902))</f>
        <v/>
      </c>
      <c r="H904" s="29" t="n"/>
    </row>
    <row r="905">
      <c r="B905" s="12" t="inlineStr">
        <is>
          <t>지급 항목</t>
        </is>
      </c>
      <c r="C905" s="12" t="inlineStr">
        <is>
          <t>금액(원)</t>
        </is>
      </c>
      <c r="D905" s="12" t="inlineStr">
        <is>
          <t>계산 근거</t>
        </is>
      </c>
      <c r="E905" s="2" t="n"/>
      <c r="F905" s="12" t="inlineStr">
        <is>
          <t>공제 항목</t>
        </is>
      </c>
      <c r="G905" s="12" t="inlineStr">
        <is>
          <t>금액(원)</t>
        </is>
      </c>
      <c r="H905" s="12" t="n"/>
    </row>
    <row r="906">
      <c r="B906" s="4">
        <f>IF($K$902="","",IF(설정!$B$17="","",설정!$B$17))</f>
        <v/>
      </c>
      <c r="C906" s="31">
        <f>IF(OR($K$902="",설정!$B$17=""),"",INDEX(직원목록!$F$7:$F$306,$K$902))</f>
        <v/>
      </c>
      <c r="D906" s="32">
        <f>IF(OR($K$902="",설정!$B$17=""),"",IF(N(INDEX(직원목록!$N$7:$N$306,$K$902))=0,"",INDEX(직원목록!$N$7:$N$306,$K$902)&amp;"시간"))</f>
        <v/>
      </c>
      <c r="F906" s="4">
        <f>IF($K$902="","",IF(설정!$B$26="","",설정!$B$26))</f>
        <v/>
      </c>
      <c r="G906" s="31">
        <f>IF(OR($K$902="",설정!$B$26=""),"",INDEX(직원목록!$W$7:$W$306,$K$902))</f>
        <v/>
      </c>
      <c r="H906" s="19" t="n"/>
    </row>
    <row r="907">
      <c r="B907" s="4">
        <f>IF($K$902="","",IF(설정!$B$18="","",설정!$B$18))</f>
        <v/>
      </c>
      <c r="C907" s="31">
        <f>IF(OR($K$902="",설정!$B$18=""),"",INDEX(직원목록!$G$7:$G$306,$K$902))</f>
        <v/>
      </c>
      <c r="D907" s="32">
        <f>IF(OR($K$902="",설정!$B$18=""),"",IF(N(INDEX(직원목록!$O$7:$O$306,$K$902))=0,"",INDEX(직원목록!$O$7:$O$306,$K$902)&amp;"시간"))</f>
        <v/>
      </c>
      <c r="F907" s="4">
        <f>IF($K$902="","",IF(설정!$B$27="","",설정!$B$27))</f>
        <v/>
      </c>
      <c r="G907" s="31">
        <f>IF(OR($K$902="",설정!$B$27=""),"",INDEX(직원목록!$X$7:$X$306,$K$902))</f>
        <v/>
      </c>
      <c r="H907" s="19" t="n"/>
    </row>
    <row r="908">
      <c r="B908" s="4">
        <f>IF($K$902="","",IF(설정!$B$19="","",설정!$B$19))</f>
        <v/>
      </c>
      <c r="C908" s="31">
        <f>IF(OR($K$902="",설정!$B$19=""),"",INDEX(직원목록!$H$7:$H$306,$K$902))</f>
        <v/>
      </c>
      <c r="D908" s="32">
        <f>IF(OR($K$902="",설정!$B$19=""),"",IF(N(INDEX(직원목록!$P$7:$P$306,$K$902))=0,"",INDEX(직원목록!$P$7:$P$306,$K$902)&amp;"시간"))</f>
        <v/>
      </c>
      <c r="F908" s="4">
        <f>IF($K$902="","",IF(설정!$B$28="","",설정!$B$28))</f>
        <v/>
      </c>
      <c r="G908" s="31">
        <f>IF(OR($K$902="",설정!$B$28=""),"",INDEX(직원목록!$Y$7:$Y$306,$K$902))</f>
        <v/>
      </c>
      <c r="H908" s="19" t="n"/>
    </row>
    <row r="909">
      <c r="B909" s="4">
        <f>IF($K$902="","",IF(설정!$B$20="","",설정!$B$20))</f>
        <v/>
      </c>
      <c r="C909" s="31">
        <f>IF(OR($K$902="",설정!$B$20=""),"",INDEX(직원목록!$I$7:$I$306,$K$902))</f>
        <v/>
      </c>
      <c r="D909" s="32">
        <f>IF(OR($K$902="",설정!$B$20=""),"",IF(N(INDEX(직원목록!$Q$7:$Q$306,$K$902))=0,"",INDEX(직원목록!$Q$7:$Q$306,$K$902)&amp;"시간"))</f>
        <v/>
      </c>
      <c r="F909" s="4">
        <f>IF($K$902="","",IF(설정!$B$29="","",설정!$B$29))</f>
        <v/>
      </c>
      <c r="G909" s="31">
        <f>IF(OR($K$902="",설정!$B$29=""),"",INDEX(직원목록!$Z$7:$Z$306,$K$902))</f>
        <v/>
      </c>
      <c r="H909" s="19" t="n"/>
    </row>
    <row r="910">
      <c r="B910" s="4">
        <f>IF($K$902="","",IF(설정!$B$21="","",설정!$B$21))</f>
        <v/>
      </c>
      <c r="C910" s="31">
        <f>IF(OR($K$902="",설정!$B$21=""),"",INDEX(직원목록!$J$7:$J$306,$K$902))</f>
        <v/>
      </c>
      <c r="D910" s="32">
        <f>IF(OR($K$902="",설정!$B$21=""),"",IF(N(INDEX(직원목록!$R$7:$R$306,$K$902))=0,"",INDEX(직원목록!$R$7:$R$306,$K$902)&amp;"시간"))</f>
        <v/>
      </c>
      <c r="F910" s="4">
        <f>IF($K$902="","",IF(설정!$B$30="","",설정!$B$30))</f>
        <v/>
      </c>
      <c r="G910" s="31">
        <f>IF(OR($K$902="",설정!$B$30=""),"",INDEX(직원목록!$AA$7:$AA$306,$K$902))</f>
        <v/>
      </c>
      <c r="H910" s="19" t="n"/>
    </row>
    <row r="911">
      <c r="B911" s="4">
        <f>IF($K$902="","",IF(설정!$B$22="","",설정!$B$22))</f>
        <v/>
      </c>
      <c r="C911" s="31">
        <f>IF(OR($K$902="",설정!$B$22=""),"",INDEX(직원목록!$K$7:$K$306,$K$902))</f>
        <v/>
      </c>
      <c r="D911" s="32">
        <f>IF(OR($K$902="",설정!$B$22=""),"",IF(N(INDEX(직원목록!$S$7:$S$306,$K$902))=0,"",INDEX(직원목록!$S$7:$S$306,$K$902)&amp;"시간"))</f>
        <v/>
      </c>
      <c r="F911" s="4">
        <f>IF($K$902="","",IF(설정!$B$31="","",설정!$B$31))</f>
        <v/>
      </c>
      <c r="G911" s="31">
        <f>IF(OR($K$902="",설정!$B$31=""),"",INDEX(직원목록!$AB$7:$AB$306,$K$902))</f>
        <v/>
      </c>
      <c r="H911" s="19" t="n"/>
    </row>
    <row r="912">
      <c r="B912" s="4">
        <f>IF($K$902="","",IF(설정!$B$23="","",설정!$B$23))</f>
        <v/>
      </c>
      <c r="C912" s="31">
        <f>IF(OR($K$902="",설정!$B$23=""),"",INDEX(직원목록!$L$7:$L$306,$K$902))</f>
        <v/>
      </c>
      <c r="D912" s="32">
        <f>IF(OR($K$902="",설정!$B$23=""),"",IF(N(INDEX(직원목록!$T$7:$T$306,$K$902))=0,"",INDEX(직원목록!$T$7:$T$306,$K$902)&amp;"시간"))</f>
        <v/>
      </c>
      <c r="F912" s="4">
        <f>IF($K$902="","",IF(설정!$B$32="","",설정!$B$32))</f>
        <v/>
      </c>
      <c r="G912" s="31">
        <f>IF(OR($K$902="",설정!$B$32=""),"",INDEX(직원목록!$AC$7:$AC$306,$K$902))</f>
        <v/>
      </c>
      <c r="H912" s="19" t="n"/>
    </row>
    <row r="913">
      <c r="B913" s="4">
        <f>IF($K$902="","",IF(설정!$B$24="","",설정!$B$24))</f>
        <v/>
      </c>
      <c r="C913" s="31">
        <f>IF(OR($K$902="",설정!$B$24=""),"",INDEX(직원목록!$M$7:$M$306,$K$902))</f>
        <v/>
      </c>
      <c r="D913" s="32">
        <f>IF(OR($K$902="",설정!$B$24=""),"",IF(N(INDEX(직원목록!$U$7:$U$306,$K$902))=0,"",INDEX(직원목록!$U$7:$U$306,$K$902)&amp;"시간"))</f>
        <v/>
      </c>
      <c r="F913" s="4">
        <f>IF($K$902="","",IF(설정!$B$33="","",설정!$B$33))</f>
        <v/>
      </c>
      <c r="G913" s="31">
        <f>IF(OR($K$902="",설정!$B$33=""),"",INDEX(직원목록!$AD$7:$AD$306,$K$902))</f>
        <v/>
      </c>
      <c r="H913" s="19" t="n"/>
    </row>
    <row r="914">
      <c r="B914" s="3" t="inlineStr">
        <is>
          <t>지급 합계</t>
        </is>
      </c>
      <c r="C914" s="35">
        <f>IF($K$902="","",INDEX(직원목록!$V$7:$V$306,$K$902))</f>
        <v/>
      </c>
      <c r="D914" s="36" t="n"/>
      <c r="F914" s="3" t="inlineStr">
        <is>
          <t>공제 합계</t>
        </is>
      </c>
      <c r="G914" s="35">
        <f>IF($K$902="","",INDEX(직원목록!$AE$7:$AE$306,$K$902))</f>
        <v/>
      </c>
      <c r="H914" s="36" t="n"/>
    </row>
    <row r="915" ht="28" customHeight="1">
      <c r="B915" s="37" t="inlineStr">
        <is>
          <t>실 수령액 (지급 합계 − 공제 합계)</t>
        </is>
      </c>
      <c r="C915" s="29" t="n"/>
      <c r="D915" s="29" t="n"/>
      <c r="E915" s="38">
        <f>IF($K$902="","",INDEX(직원목록!$AF$7:$AF$306,$K$902))</f>
        <v/>
      </c>
      <c r="F915" s="29" t="n"/>
      <c r="G915" s="29" t="n"/>
      <c r="H915" s="29" t="n"/>
    </row>
    <row r="916">
      <c r="B916" s="39">
        <f>IF($K$902="","",설정!$B$7)</f>
        <v/>
      </c>
    </row>
    <row r="932" ht="30" customHeight="1">
      <c r="B932" s="28">
        <f>IF($K$932="","","임금명세서  ("&amp;설정!$B$5&amp;")")</f>
        <v/>
      </c>
      <c r="K932" s="34">
        <f>IFERROR(MATCH(32,직원목록!$B$7:$B$306,0),"")</f>
        <v/>
      </c>
    </row>
    <row r="933">
      <c r="B933" s="7" t="inlineStr">
        <is>
          <t>회사명</t>
        </is>
      </c>
      <c r="C933" s="21">
        <f>IF($K$932="","",설정!$B$4)</f>
        <v/>
      </c>
      <c r="D933" s="29" t="n"/>
      <c r="E933" s="19" t="n"/>
      <c r="F933" s="7" t="inlineStr">
        <is>
          <t>임금 지급일</t>
        </is>
      </c>
      <c r="G933" s="21">
        <f>IF($K$932="","",TEXT(설정!$B$6,"yyyy-mm-dd"))</f>
        <v/>
      </c>
      <c r="H933" s="29" t="n"/>
    </row>
    <row r="934">
      <c r="B934" s="7" t="inlineStr">
        <is>
          <t>성명</t>
        </is>
      </c>
      <c r="C934" s="22">
        <f>IF($K$932="","",INDEX(직원목록!$D$7:$D$306,$K$932))</f>
        <v/>
      </c>
      <c r="D934" s="7" t="inlineStr">
        <is>
          <t>사번</t>
        </is>
      </c>
      <c r="E934" s="21">
        <f>IF($K$932="","",INDEX(직원목록!$C$7:$C$306,$K$932))</f>
        <v/>
      </c>
      <c r="F934" s="7" t="inlineStr">
        <is>
          <t>부서</t>
        </is>
      </c>
      <c r="G934" s="21">
        <f>IF($K$932="","",INDEX(직원목록!$E$7:$E$306,$K$932))</f>
        <v/>
      </c>
      <c r="H934" s="29" t="n"/>
    </row>
    <row r="935">
      <c r="B935" s="12" t="inlineStr">
        <is>
          <t>지급 항목</t>
        </is>
      </c>
      <c r="C935" s="12" t="inlineStr">
        <is>
          <t>금액(원)</t>
        </is>
      </c>
      <c r="D935" s="12" t="inlineStr">
        <is>
          <t>계산 근거</t>
        </is>
      </c>
      <c r="E935" s="2" t="n"/>
      <c r="F935" s="12" t="inlineStr">
        <is>
          <t>공제 항목</t>
        </is>
      </c>
      <c r="G935" s="12" t="inlineStr">
        <is>
          <t>금액(원)</t>
        </is>
      </c>
      <c r="H935" s="12" t="n"/>
    </row>
    <row r="936">
      <c r="B936" s="4">
        <f>IF($K$932="","",IF(설정!$B$17="","",설정!$B$17))</f>
        <v/>
      </c>
      <c r="C936" s="31">
        <f>IF(OR($K$932="",설정!$B$17=""),"",INDEX(직원목록!$F$7:$F$306,$K$932))</f>
        <v/>
      </c>
      <c r="D936" s="32">
        <f>IF(OR($K$932="",설정!$B$17=""),"",IF(N(INDEX(직원목록!$N$7:$N$306,$K$932))=0,"",INDEX(직원목록!$N$7:$N$306,$K$932)&amp;"시간"))</f>
        <v/>
      </c>
      <c r="F936" s="4">
        <f>IF($K$932="","",IF(설정!$B$26="","",설정!$B$26))</f>
        <v/>
      </c>
      <c r="G936" s="31">
        <f>IF(OR($K$932="",설정!$B$26=""),"",INDEX(직원목록!$W$7:$W$306,$K$932))</f>
        <v/>
      </c>
      <c r="H936" s="19" t="n"/>
    </row>
    <row r="937">
      <c r="B937" s="4">
        <f>IF($K$932="","",IF(설정!$B$18="","",설정!$B$18))</f>
        <v/>
      </c>
      <c r="C937" s="31">
        <f>IF(OR($K$932="",설정!$B$18=""),"",INDEX(직원목록!$G$7:$G$306,$K$932))</f>
        <v/>
      </c>
      <c r="D937" s="32">
        <f>IF(OR($K$932="",설정!$B$18=""),"",IF(N(INDEX(직원목록!$O$7:$O$306,$K$932))=0,"",INDEX(직원목록!$O$7:$O$306,$K$932)&amp;"시간"))</f>
        <v/>
      </c>
      <c r="F937" s="4">
        <f>IF($K$932="","",IF(설정!$B$27="","",설정!$B$27))</f>
        <v/>
      </c>
      <c r="G937" s="31">
        <f>IF(OR($K$932="",설정!$B$27=""),"",INDEX(직원목록!$X$7:$X$306,$K$932))</f>
        <v/>
      </c>
      <c r="H937" s="19" t="n"/>
    </row>
    <row r="938">
      <c r="B938" s="4">
        <f>IF($K$932="","",IF(설정!$B$19="","",설정!$B$19))</f>
        <v/>
      </c>
      <c r="C938" s="31">
        <f>IF(OR($K$932="",설정!$B$19=""),"",INDEX(직원목록!$H$7:$H$306,$K$932))</f>
        <v/>
      </c>
      <c r="D938" s="32">
        <f>IF(OR($K$932="",설정!$B$19=""),"",IF(N(INDEX(직원목록!$P$7:$P$306,$K$932))=0,"",INDEX(직원목록!$P$7:$P$306,$K$932)&amp;"시간"))</f>
        <v/>
      </c>
      <c r="F938" s="4">
        <f>IF($K$932="","",IF(설정!$B$28="","",설정!$B$28))</f>
        <v/>
      </c>
      <c r="G938" s="31">
        <f>IF(OR($K$932="",설정!$B$28=""),"",INDEX(직원목록!$Y$7:$Y$306,$K$932))</f>
        <v/>
      </c>
      <c r="H938" s="19" t="n"/>
    </row>
    <row r="939">
      <c r="B939" s="4">
        <f>IF($K$932="","",IF(설정!$B$20="","",설정!$B$20))</f>
        <v/>
      </c>
      <c r="C939" s="31">
        <f>IF(OR($K$932="",설정!$B$20=""),"",INDEX(직원목록!$I$7:$I$306,$K$932))</f>
        <v/>
      </c>
      <c r="D939" s="32">
        <f>IF(OR($K$932="",설정!$B$20=""),"",IF(N(INDEX(직원목록!$Q$7:$Q$306,$K$932))=0,"",INDEX(직원목록!$Q$7:$Q$306,$K$932)&amp;"시간"))</f>
        <v/>
      </c>
      <c r="F939" s="4">
        <f>IF($K$932="","",IF(설정!$B$29="","",설정!$B$29))</f>
        <v/>
      </c>
      <c r="G939" s="31">
        <f>IF(OR($K$932="",설정!$B$29=""),"",INDEX(직원목록!$Z$7:$Z$306,$K$932))</f>
        <v/>
      </c>
      <c r="H939" s="19" t="n"/>
    </row>
    <row r="940">
      <c r="B940" s="4">
        <f>IF($K$932="","",IF(설정!$B$21="","",설정!$B$21))</f>
        <v/>
      </c>
      <c r="C940" s="31">
        <f>IF(OR($K$932="",설정!$B$21=""),"",INDEX(직원목록!$J$7:$J$306,$K$932))</f>
        <v/>
      </c>
      <c r="D940" s="32">
        <f>IF(OR($K$932="",설정!$B$21=""),"",IF(N(INDEX(직원목록!$R$7:$R$306,$K$932))=0,"",INDEX(직원목록!$R$7:$R$306,$K$932)&amp;"시간"))</f>
        <v/>
      </c>
      <c r="F940" s="4">
        <f>IF($K$932="","",IF(설정!$B$30="","",설정!$B$30))</f>
        <v/>
      </c>
      <c r="G940" s="31">
        <f>IF(OR($K$932="",설정!$B$30=""),"",INDEX(직원목록!$AA$7:$AA$306,$K$932))</f>
        <v/>
      </c>
      <c r="H940" s="19" t="n"/>
    </row>
    <row r="941">
      <c r="B941" s="4">
        <f>IF($K$932="","",IF(설정!$B$22="","",설정!$B$22))</f>
        <v/>
      </c>
      <c r="C941" s="31">
        <f>IF(OR($K$932="",설정!$B$22=""),"",INDEX(직원목록!$K$7:$K$306,$K$932))</f>
        <v/>
      </c>
      <c r="D941" s="32">
        <f>IF(OR($K$932="",설정!$B$22=""),"",IF(N(INDEX(직원목록!$S$7:$S$306,$K$932))=0,"",INDEX(직원목록!$S$7:$S$306,$K$932)&amp;"시간"))</f>
        <v/>
      </c>
      <c r="F941" s="4">
        <f>IF($K$932="","",IF(설정!$B$31="","",설정!$B$31))</f>
        <v/>
      </c>
      <c r="G941" s="31">
        <f>IF(OR($K$932="",설정!$B$31=""),"",INDEX(직원목록!$AB$7:$AB$306,$K$932))</f>
        <v/>
      </c>
      <c r="H941" s="19" t="n"/>
    </row>
    <row r="942">
      <c r="B942" s="4">
        <f>IF($K$932="","",IF(설정!$B$23="","",설정!$B$23))</f>
        <v/>
      </c>
      <c r="C942" s="31">
        <f>IF(OR($K$932="",설정!$B$23=""),"",INDEX(직원목록!$L$7:$L$306,$K$932))</f>
        <v/>
      </c>
      <c r="D942" s="32">
        <f>IF(OR($K$932="",설정!$B$23=""),"",IF(N(INDEX(직원목록!$T$7:$T$306,$K$932))=0,"",INDEX(직원목록!$T$7:$T$306,$K$932)&amp;"시간"))</f>
        <v/>
      </c>
      <c r="F942" s="4">
        <f>IF($K$932="","",IF(설정!$B$32="","",설정!$B$32))</f>
        <v/>
      </c>
      <c r="G942" s="31">
        <f>IF(OR($K$932="",설정!$B$32=""),"",INDEX(직원목록!$AC$7:$AC$306,$K$932))</f>
        <v/>
      </c>
      <c r="H942" s="19" t="n"/>
    </row>
    <row r="943">
      <c r="B943" s="4">
        <f>IF($K$932="","",IF(설정!$B$24="","",설정!$B$24))</f>
        <v/>
      </c>
      <c r="C943" s="31">
        <f>IF(OR($K$932="",설정!$B$24=""),"",INDEX(직원목록!$M$7:$M$306,$K$932))</f>
        <v/>
      </c>
      <c r="D943" s="32">
        <f>IF(OR($K$932="",설정!$B$24=""),"",IF(N(INDEX(직원목록!$U$7:$U$306,$K$932))=0,"",INDEX(직원목록!$U$7:$U$306,$K$932)&amp;"시간"))</f>
        <v/>
      </c>
      <c r="F943" s="4">
        <f>IF($K$932="","",IF(설정!$B$33="","",설정!$B$33))</f>
        <v/>
      </c>
      <c r="G943" s="31">
        <f>IF(OR($K$932="",설정!$B$33=""),"",INDEX(직원목록!$AD$7:$AD$306,$K$932))</f>
        <v/>
      </c>
      <c r="H943" s="19" t="n"/>
    </row>
    <row r="944">
      <c r="B944" s="3" t="inlineStr">
        <is>
          <t>지급 합계</t>
        </is>
      </c>
      <c r="C944" s="35">
        <f>IF($K$932="","",INDEX(직원목록!$V$7:$V$306,$K$932))</f>
        <v/>
      </c>
      <c r="D944" s="36" t="n"/>
      <c r="F944" s="3" t="inlineStr">
        <is>
          <t>공제 합계</t>
        </is>
      </c>
      <c r="G944" s="35">
        <f>IF($K$932="","",INDEX(직원목록!$AE$7:$AE$306,$K$932))</f>
        <v/>
      </c>
      <c r="H944" s="36" t="n"/>
    </row>
    <row r="945" ht="28" customHeight="1">
      <c r="B945" s="37" t="inlineStr">
        <is>
          <t>실 수령액 (지급 합계 − 공제 합계)</t>
        </is>
      </c>
      <c r="C945" s="29" t="n"/>
      <c r="D945" s="29" t="n"/>
      <c r="E945" s="38">
        <f>IF($K$932="","",INDEX(직원목록!$AF$7:$AF$306,$K$932))</f>
        <v/>
      </c>
      <c r="F945" s="29" t="n"/>
      <c r="G945" s="29" t="n"/>
      <c r="H945" s="29" t="n"/>
    </row>
    <row r="946">
      <c r="B946" s="39">
        <f>IF($K$932="","",설정!$B$7)</f>
        <v/>
      </c>
    </row>
    <row r="962" ht="30" customHeight="1">
      <c r="B962" s="28">
        <f>IF($K$962="","","임금명세서  ("&amp;설정!$B$5&amp;")")</f>
        <v/>
      </c>
      <c r="K962" s="34">
        <f>IFERROR(MATCH(33,직원목록!$B$7:$B$306,0),"")</f>
        <v/>
      </c>
    </row>
    <row r="963">
      <c r="B963" s="7" t="inlineStr">
        <is>
          <t>회사명</t>
        </is>
      </c>
      <c r="C963" s="21">
        <f>IF($K$962="","",설정!$B$4)</f>
        <v/>
      </c>
      <c r="D963" s="29" t="n"/>
      <c r="E963" s="19" t="n"/>
      <c r="F963" s="7" t="inlineStr">
        <is>
          <t>임금 지급일</t>
        </is>
      </c>
      <c r="G963" s="21">
        <f>IF($K$962="","",TEXT(설정!$B$6,"yyyy-mm-dd"))</f>
        <v/>
      </c>
      <c r="H963" s="29" t="n"/>
    </row>
    <row r="964">
      <c r="B964" s="7" t="inlineStr">
        <is>
          <t>성명</t>
        </is>
      </c>
      <c r="C964" s="22">
        <f>IF($K$962="","",INDEX(직원목록!$D$7:$D$306,$K$962))</f>
        <v/>
      </c>
      <c r="D964" s="7" t="inlineStr">
        <is>
          <t>사번</t>
        </is>
      </c>
      <c r="E964" s="21">
        <f>IF($K$962="","",INDEX(직원목록!$C$7:$C$306,$K$962))</f>
        <v/>
      </c>
      <c r="F964" s="7" t="inlineStr">
        <is>
          <t>부서</t>
        </is>
      </c>
      <c r="G964" s="21">
        <f>IF($K$962="","",INDEX(직원목록!$E$7:$E$306,$K$962))</f>
        <v/>
      </c>
      <c r="H964" s="29" t="n"/>
    </row>
    <row r="965">
      <c r="B965" s="12" t="inlineStr">
        <is>
          <t>지급 항목</t>
        </is>
      </c>
      <c r="C965" s="12" t="inlineStr">
        <is>
          <t>금액(원)</t>
        </is>
      </c>
      <c r="D965" s="12" t="inlineStr">
        <is>
          <t>계산 근거</t>
        </is>
      </c>
      <c r="E965" s="2" t="n"/>
      <c r="F965" s="12" t="inlineStr">
        <is>
          <t>공제 항목</t>
        </is>
      </c>
      <c r="G965" s="12" t="inlineStr">
        <is>
          <t>금액(원)</t>
        </is>
      </c>
      <c r="H965" s="12" t="n"/>
    </row>
    <row r="966">
      <c r="B966" s="4">
        <f>IF($K$962="","",IF(설정!$B$17="","",설정!$B$17))</f>
        <v/>
      </c>
      <c r="C966" s="31">
        <f>IF(OR($K$962="",설정!$B$17=""),"",INDEX(직원목록!$F$7:$F$306,$K$962))</f>
        <v/>
      </c>
      <c r="D966" s="32">
        <f>IF(OR($K$962="",설정!$B$17=""),"",IF(N(INDEX(직원목록!$N$7:$N$306,$K$962))=0,"",INDEX(직원목록!$N$7:$N$306,$K$962)&amp;"시간"))</f>
        <v/>
      </c>
      <c r="F966" s="4">
        <f>IF($K$962="","",IF(설정!$B$26="","",설정!$B$26))</f>
        <v/>
      </c>
      <c r="G966" s="31">
        <f>IF(OR($K$962="",설정!$B$26=""),"",INDEX(직원목록!$W$7:$W$306,$K$962))</f>
        <v/>
      </c>
      <c r="H966" s="19" t="n"/>
    </row>
    <row r="967">
      <c r="B967" s="4">
        <f>IF($K$962="","",IF(설정!$B$18="","",설정!$B$18))</f>
        <v/>
      </c>
      <c r="C967" s="31">
        <f>IF(OR($K$962="",설정!$B$18=""),"",INDEX(직원목록!$G$7:$G$306,$K$962))</f>
        <v/>
      </c>
      <c r="D967" s="32">
        <f>IF(OR($K$962="",설정!$B$18=""),"",IF(N(INDEX(직원목록!$O$7:$O$306,$K$962))=0,"",INDEX(직원목록!$O$7:$O$306,$K$962)&amp;"시간"))</f>
        <v/>
      </c>
      <c r="F967" s="4">
        <f>IF($K$962="","",IF(설정!$B$27="","",설정!$B$27))</f>
        <v/>
      </c>
      <c r="G967" s="31">
        <f>IF(OR($K$962="",설정!$B$27=""),"",INDEX(직원목록!$X$7:$X$306,$K$962))</f>
        <v/>
      </c>
      <c r="H967" s="19" t="n"/>
    </row>
    <row r="968">
      <c r="B968" s="4">
        <f>IF($K$962="","",IF(설정!$B$19="","",설정!$B$19))</f>
        <v/>
      </c>
      <c r="C968" s="31">
        <f>IF(OR($K$962="",설정!$B$19=""),"",INDEX(직원목록!$H$7:$H$306,$K$962))</f>
        <v/>
      </c>
      <c r="D968" s="32">
        <f>IF(OR($K$962="",설정!$B$19=""),"",IF(N(INDEX(직원목록!$P$7:$P$306,$K$962))=0,"",INDEX(직원목록!$P$7:$P$306,$K$962)&amp;"시간"))</f>
        <v/>
      </c>
      <c r="F968" s="4">
        <f>IF($K$962="","",IF(설정!$B$28="","",설정!$B$28))</f>
        <v/>
      </c>
      <c r="G968" s="31">
        <f>IF(OR($K$962="",설정!$B$28=""),"",INDEX(직원목록!$Y$7:$Y$306,$K$962))</f>
        <v/>
      </c>
      <c r="H968" s="19" t="n"/>
    </row>
    <row r="969">
      <c r="B969" s="4">
        <f>IF($K$962="","",IF(설정!$B$20="","",설정!$B$20))</f>
        <v/>
      </c>
      <c r="C969" s="31">
        <f>IF(OR($K$962="",설정!$B$20=""),"",INDEX(직원목록!$I$7:$I$306,$K$962))</f>
        <v/>
      </c>
      <c r="D969" s="32">
        <f>IF(OR($K$962="",설정!$B$20=""),"",IF(N(INDEX(직원목록!$Q$7:$Q$306,$K$962))=0,"",INDEX(직원목록!$Q$7:$Q$306,$K$962)&amp;"시간"))</f>
        <v/>
      </c>
      <c r="F969" s="4">
        <f>IF($K$962="","",IF(설정!$B$29="","",설정!$B$29))</f>
        <v/>
      </c>
      <c r="G969" s="31">
        <f>IF(OR($K$962="",설정!$B$29=""),"",INDEX(직원목록!$Z$7:$Z$306,$K$962))</f>
        <v/>
      </c>
      <c r="H969" s="19" t="n"/>
    </row>
    <row r="970">
      <c r="B970" s="4">
        <f>IF($K$962="","",IF(설정!$B$21="","",설정!$B$21))</f>
        <v/>
      </c>
      <c r="C970" s="31">
        <f>IF(OR($K$962="",설정!$B$21=""),"",INDEX(직원목록!$J$7:$J$306,$K$962))</f>
        <v/>
      </c>
      <c r="D970" s="32">
        <f>IF(OR($K$962="",설정!$B$21=""),"",IF(N(INDEX(직원목록!$R$7:$R$306,$K$962))=0,"",INDEX(직원목록!$R$7:$R$306,$K$962)&amp;"시간"))</f>
        <v/>
      </c>
      <c r="F970" s="4">
        <f>IF($K$962="","",IF(설정!$B$30="","",설정!$B$30))</f>
        <v/>
      </c>
      <c r="G970" s="31">
        <f>IF(OR($K$962="",설정!$B$30=""),"",INDEX(직원목록!$AA$7:$AA$306,$K$962))</f>
        <v/>
      </c>
      <c r="H970" s="19" t="n"/>
    </row>
    <row r="971">
      <c r="B971" s="4">
        <f>IF($K$962="","",IF(설정!$B$22="","",설정!$B$22))</f>
        <v/>
      </c>
      <c r="C971" s="31">
        <f>IF(OR($K$962="",설정!$B$22=""),"",INDEX(직원목록!$K$7:$K$306,$K$962))</f>
        <v/>
      </c>
      <c r="D971" s="32">
        <f>IF(OR($K$962="",설정!$B$22=""),"",IF(N(INDEX(직원목록!$S$7:$S$306,$K$962))=0,"",INDEX(직원목록!$S$7:$S$306,$K$962)&amp;"시간"))</f>
        <v/>
      </c>
      <c r="F971" s="4">
        <f>IF($K$962="","",IF(설정!$B$31="","",설정!$B$31))</f>
        <v/>
      </c>
      <c r="G971" s="31">
        <f>IF(OR($K$962="",설정!$B$31=""),"",INDEX(직원목록!$AB$7:$AB$306,$K$962))</f>
        <v/>
      </c>
      <c r="H971" s="19" t="n"/>
    </row>
    <row r="972">
      <c r="B972" s="4">
        <f>IF($K$962="","",IF(설정!$B$23="","",설정!$B$23))</f>
        <v/>
      </c>
      <c r="C972" s="31">
        <f>IF(OR($K$962="",설정!$B$23=""),"",INDEX(직원목록!$L$7:$L$306,$K$962))</f>
        <v/>
      </c>
      <c r="D972" s="32">
        <f>IF(OR($K$962="",설정!$B$23=""),"",IF(N(INDEX(직원목록!$T$7:$T$306,$K$962))=0,"",INDEX(직원목록!$T$7:$T$306,$K$962)&amp;"시간"))</f>
        <v/>
      </c>
      <c r="F972" s="4">
        <f>IF($K$962="","",IF(설정!$B$32="","",설정!$B$32))</f>
        <v/>
      </c>
      <c r="G972" s="31">
        <f>IF(OR($K$962="",설정!$B$32=""),"",INDEX(직원목록!$AC$7:$AC$306,$K$962))</f>
        <v/>
      </c>
      <c r="H972" s="19" t="n"/>
    </row>
    <row r="973">
      <c r="B973" s="4">
        <f>IF($K$962="","",IF(설정!$B$24="","",설정!$B$24))</f>
        <v/>
      </c>
      <c r="C973" s="31">
        <f>IF(OR($K$962="",설정!$B$24=""),"",INDEX(직원목록!$M$7:$M$306,$K$962))</f>
        <v/>
      </c>
      <c r="D973" s="32">
        <f>IF(OR($K$962="",설정!$B$24=""),"",IF(N(INDEX(직원목록!$U$7:$U$306,$K$962))=0,"",INDEX(직원목록!$U$7:$U$306,$K$962)&amp;"시간"))</f>
        <v/>
      </c>
      <c r="F973" s="4">
        <f>IF($K$962="","",IF(설정!$B$33="","",설정!$B$33))</f>
        <v/>
      </c>
      <c r="G973" s="31">
        <f>IF(OR($K$962="",설정!$B$33=""),"",INDEX(직원목록!$AD$7:$AD$306,$K$962))</f>
        <v/>
      </c>
      <c r="H973" s="19" t="n"/>
    </row>
    <row r="974">
      <c r="B974" s="3" t="inlineStr">
        <is>
          <t>지급 합계</t>
        </is>
      </c>
      <c r="C974" s="35">
        <f>IF($K$962="","",INDEX(직원목록!$V$7:$V$306,$K$962))</f>
        <v/>
      </c>
      <c r="D974" s="36" t="n"/>
      <c r="F974" s="3" t="inlineStr">
        <is>
          <t>공제 합계</t>
        </is>
      </c>
      <c r="G974" s="35">
        <f>IF($K$962="","",INDEX(직원목록!$AE$7:$AE$306,$K$962))</f>
        <v/>
      </c>
      <c r="H974" s="36" t="n"/>
    </row>
    <row r="975" ht="28" customHeight="1">
      <c r="B975" s="37" t="inlineStr">
        <is>
          <t>실 수령액 (지급 합계 − 공제 합계)</t>
        </is>
      </c>
      <c r="C975" s="29" t="n"/>
      <c r="D975" s="29" t="n"/>
      <c r="E975" s="38">
        <f>IF($K$962="","",INDEX(직원목록!$AF$7:$AF$306,$K$962))</f>
        <v/>
      </c>
      <c r="F975" s="29" t="n"/>
      <c r="G975" s="29" t="n"/>
      <c r="H975" s="29" t="n"/>
    </row>
    <row r="976">
      <c r="B976" s="39">
        <f>IF($K$962="","",설정!$B$7)</f>
        <v/>
      </c>
    </row>
    <row r="992" ht="30" customHeight="1">
      <c r="B992" s="28">
        <f>IF($K$992="","","임금명세서  ("&amp;설정!$B$5&amp;")")</f>
        <v/>
      </c>
      <c r="K992" s="34">
        <f>IFERROR(MATCH(34,직원목록!$B$7:$B$306,0),"")</f>
        <v/>
      </c>
    </row>
    <row r="993">
      <c r="B993" s="7" t="inlineStr">
        <is>
          <t>회사명</t>
        </is>
      </c>
      <c r="C993" s="21">
        <f>IF($K$992="","",설정!$B$4)</f>
        <v/>
      </c>
      <c r="D993" s="29" t="n"/>
      <c r="E993" s="19" t="n"/>
      <c r="F993" s="7" t="inlineStr">
        <is>
          <t>임금 지급일</t>
        </is>
      </c>
      <c r="G993" s="21">
        <f>IF($K$992="","",TEXT(설정!$B$6,"yyyy-mm-dd"))</f>
        <v/>
      </c>
      <c r="H993" s="29" t="n"/>
    </row>
    <row r="994">
      <c r="B994" s="7" t="inlineStr">
        <is>
          <t>성명</t>
        </is>
      </c>
      <c r="C994" s="22">
        <f>IF($K$992="","",INDEX(직원목록!$D$7:$D$306,$K$992))</f>
        <v/>
      </c>
      <c r="D994" s="7" t="inlineStr">
        <is>
          <t>사번</t>
        </is>
      </c>
      <c r="E994" s="21">
        <f>IF($K$992="","",INDEX(직원목록!$C$7:$C$306,$K$992))</f>
        <v/>
      </c>
      <c r="F994" s="7" t="inlineStr">
        <is>
          <t>부서</t>
        </is>
      </c>
      <c r="G994" s="21">
        <f>IF($K$992="","",INDEX(직원목록!$E$7:$E$306,$K$992))</f>
        <v/>
      </c>
      <c r="H994" s="29" t="n"/>
    </row>
    <row r="995">
      <c r="B995" s="12" t="inlineStr">
        <is>
          <t>지급 항목</t>
        </is>
      </c>
      <c r="C995" s="12" t="inlineStr">
        <is>
          <t>금액(원)</t>
        </is>
      </c>
      <c r="D995" s="12" t="inlineStr">
        <is>
          <t>계산 근거</t>
        </is>
      </c>
      <c r="E995" s="2" t="n"/>
      <c r="F995" s="12" t="inlineStr">
        <is>
          <t>공제 항목</t>
        </is>
      </c>
      <c r="G995" s="12" t="inlineStr">
        <is>
          <t>금액(원)</t>
        </is>
      </c>
      <c r="H995" s="12" t="n"/>
    </row>
    <row r="996">
      <c r="B996" s="4">
        <f>IF($K$992="","",IF(설정!$B$17="","",설정!$B$17))</f>
        <v/>
      </c>
      <c r="C996" s="31">
        <f>IF(OR($K$992="",설정!$B$17=""),"",INDEX(직원목록!$F$7:$F$306,$K$992))</f>
        <v/>
      </c>
      <c r="D996" s="32">
        <f>IF(OR($K$992="",설정!$B$17=""),"",IF(N(INDEX(직원목록!$N$7:$N$306,$K$992))=0,"",INDEX(직원목록!$N$7:$N$306,$K$992)&amp;"시간"))</f>
        <v/>
      </c>
      <c r="F996" s="4">
        <f>IF($K$992="","",IF(설정!$B$26="","",설정!$B$26))</f>
        <v/>
      </c>
      <c r="G996" s="31">
        <f>IF(OR($K$992="",설정!$B$26=""),"",INDEX(직원목록!$W$7:$W$306,$K$992))</f>
        <v/>
      </c>
      <c r="H996" s="19" t="n"/>
    </row>
    <row r="997">
      <c r="B997" s="4">
        <f>IF($K$992="","",IF(설정!$B$18="","",설정!$B$18))</f>
        <v/>
      </c>
      <c r="C997" s="31">
        <f>IF(OR($K$992="",설정!$B$18=""),"",INDEX(직원목록!$G$7:$G$306,$K$992))</f>
        <v/>
      </c>
      <c r="D997" s="32">
        <f>IF(OR($K$992="",설정!$B$18=""),"",IF(N(INDEX(직원목록!$O$7:$O$306,$K$992))=0,"",INDEX(직원목록!$O$7:$O$306,$K$992)&amp;"시간"))</f>
        <v/>
      </c>
      <c r="F997" s="4">
        <f>IF($K$992="","",IF(설정!$B$27="","",설정!$B$27))</f>
        <v/>
      </c>
      <c r="G997" s="31">
        <f>IF(OR($K$992="",설정!$B$27=""),"",INDEX(직원목록!$X$7:$X$306,$K$992))</f>
        <v/>
      </c>
      <c r="H997" s="19" t="n"/>
    </row>
    <row r="998">
      <c r="B998" s="4">
        <f>IF($K$992="","",IF(설정!$B$19="","",설정!$B$19))</f>
        <v/>
      </c>
      <c r="C998" s="31">
        <f>IF(OR($K$992="",설정!$B$19=""),"",INDEX(직원목록!$H$7:$H$306,$K$992))</f>
        <v/>
      </c>
      <c r="D998" s="32">
        <f>IF(OR($K$992="",설정!$B$19=""),"",IF(N(INDEX(직원목록!$P$7:$P$306,$K$992))=0,"",INDEX(직원목록!$P$7:$P$306,$K$992)&amp;"시간"))</f>
        <v/>
      </c>
      <c r="F998" s="4">
        <f>IF($K$992="","",IF(설정!$B$28="","",설정!$B$28))</f>
        <v/>
      </c>
      <c r="G998" s="31">
        <f>IF(OR($K$992="",설정!$B$28=""),"",INDEX(직원목록!$Y$7:$Y$306,$K$992))</f>
        <v/>
      </c>
      <c r="H998" s="19" t="n"/>
    </row>
    <row r="999">
      <c r="B999" s="4">
        <f>IF($K$992="","",IF(설정!$B$20="","",설정!$B$20))</f>
        <v/>
      </c>
      <c r="C999" s="31">
        <f>IF(OR($K$992="",설정!$B$20=""),"",INDEX(직원목록!$I$7:$I$306,$K$992))</f>
        <v/>
      </c>
      <c r="D999" s="32">
        <f>IF(OR($K$992="",설정!$B$20=""),"",IF(N(INDEX(직원목록!$Q$7:$Q$306,$K$992))=0,"",INDEX(직원목록!$Q$7:$Q$306,$K$992)&amp;"시간"))</f>
        <v/>
      </c>
      <c r="F999" s="4">
        <f>IF($K$992="","",IF(설정!$B$29="","",설정!$B$29))</f>
        <v/>
      </c>
      <c r="G999" s="31">
        <f>IF(OR($K$992="",설정!$B$29=""),"",INDEX(직원목록!$Z$7:$Z$306,$K$992))</f>
        <v/>
      </c>
      <c r="H999" s="19" t="n"/>
    </row>
    <row r="1000">
      <c r="B1000" s="4">
        <f>IF($K$992="","",IF(설정!$B$21="","",설정!$B$21))</f>
        <v/>
      </c>
      <c r="C1000" s="31">
        <f>IF(OR($K$992="",설정!$B$21=""),"",INDEX(직원목록!$J$7:$J$306,$K$992))</f>
        <v/>
      </c>
      <c r="D1000" s="32">
        <f>IF(OR($K$992="",설정!$B$21=""),"",IF(N(INDEX(직원목록!$R$7:$R$306,$K$992))=0,"",INDEX(직원목록!$R$7:$R$306,$K$992)&amp;"시간"))</f>
        <v/>
      </c>
      <c r="F1000" s="4">
        <f>IF($K$992="","",IF(설정!$B$30="","",설정!$B$30))</f>
        <v/>
      </c>
      <c r="G1000" s="31">
        <f>IF(OR($K$992="",설정!$B$30=""),"",INDEX(직원목록!$AA$7:$AA$306,$K$992))</f>
        <v/>
      </c>
      <c r="H1000" s="19" t="n"/>
    </row>
    <row r="1001">
      <c r="B1001" s="4">
        <f>IF($K$992="","",IF(설정!$B$22="","",설정!$B$22))</f>
        <v/>
      </c>
      <c r="C1001" s="31">
        <f>IF(OR($K$992="",설정!$B$22=""),"",INDEX(직원목록!$K$7:$K$306,$K$992))</f>
        <v/>
      </c>
      <c r="D1001" s="32">
        <f>IF(OR($K$992="",설정!$B$22=""),"",IF(N(INDEX(직원목록!$S$7:$S$306,$K$992))=0,"",INDEX(직원목록!$S$7:$S$306,$K$992)&amp;"시간"))</f>
        <v/>
      </c>
      <c r="F1001" s="4">
        <f>IF($K$992="","",IF(설정!$B$31="","",설정!$B$31))</f>
        <v/>
      </c>
      <c r="G1001" s="31">
        <f>IF(OR($K$992="",설정!$B$31=""),"",INDEX(직원목록!$AB$7:$AB$306,$K$992))</f>
        <v/>
      </c>
      <c r="H1001" s="19" t="n"/>
    </row>
    <row r="1002">
      <c r="B1002" s="4">
        <f>IF($K$992="","",IF(설정!$B$23="","",설정!$B$23))</f>
        <v/>
      </c>
      <c r="C1002" s="31">
        <f>IF(OR($K$992="",설정!$B$23=""),"",INDEX(직원목록!$L$7:$L$306,$K$992))</f>
        <v/>
      </c>
      <c r="D1002" s="32">
        <f>IF(OR($K$992="",설정!$B$23=""),"",IF(N(INDEX(직원목록!$T$7:$T$306,$K$992))=0,"",INDEX(직원목록!$T$7:$T$306,$K$992)&amp;"시간"))</f>
        <v/>
      </c>
      <c r="F1002" s="4">
        <f>IF($K$992="","",IF(설정!$B$32="","",설정!$B$32))</f>
        <v/>
      </c>
      <c r="G1002" s="31">
        <f>IF(OR($K$992="",설정!$B$32=""),"",INDEX(직원목록!$AC$7:$AC$306,$K$992))</f>
        <v/>
      </c>
      <c r="H1002" s="19" t="n"/>
    </row>
    <row r="1003">
      <c r="B1003" s="4">
        <f>IF($K$992="","",IF(설정!$B$24="","",설정!$B$24))</f>
        <v/>
      </c>
      <c r="C1003" s="31">
        <f>IF(OR($K$992="",설정!$B$24=""),"",INDEX(직원목록!$M$7:$M$306,$K$992))</f>
        <v/>
      </c>
      <c r="D1003" s="32">
        <f>IF(OR($K$992="",설정!$B$24=""),"",IF(N(INDEX(직원목록!$U$7:$U$306,$K$992))=0,"",INDEX(직원목록!$U$7:$U$306,$K$992)&amp;"시간"))</f>
        <v/>
      </c>
      <c r="F1003" s="4">
        <f>IF($K$992="","",IF(설정!$B$33="","",설정!$B$33))</f>
        <v/>
      </c>
      <c r="G1003" s="31">
        <f>IF(OR($K$992="",설정!$B$33=""),"",INDEX(직원목록!$AD$7:$AD$306,$K$992))</f>
        <v/>
      </c>
      <c r="H1003" s="19" t="n"/>
    </row>
    <row r="1004">
      <c r="B1004" s="3" t="inlineStr">
        <is>
          <t>지급 합계</t>
        </is>
      </c>
      <c r="C1004" s="35">
        <f>IF($K$992="","",INDEX(직원목록!$V$7:$V$306,$K$992))</f>
        <v/>
      </c>
      <c r="D1004" s="36" t="n"/>
      <c r="F1004" s="3" t="inlineStr">
        <is>
          <t>공제 합계</t>
        </is>
      </c>
      <c r="G1004" s="35">
        <f>IF($K$992="","",INDEX(직원목록!$AE$7:$AE$306,$K$992))</f>
        <v/>
      </c>
      <c r="H1004" s="36" t="n"/>
    </row>
    <row r="1005" ht="28" customHeight="1">
      <c r="B1005" s="37" t="inlineStr">
        <is>
          <t>실 수령액 (지급 합계 − 공제 합계)</t>
        </is>
      </c>
      <c r="C1005" s="29" t="n"/>
      <c r="D1005" s="29" t="n"/>
      <c r="E1005" s="38">
        <f>IF($K$992="","",INDEX(직원목록!$AF$7:$AF$306,$K$992))</f>
        <v/>
      </c>
      <c r="F1005" s="29" t="n"/>
      <c r="G1005" s="29" t="n"/>
      <c r="H1005" s="29" t="n"/>
    </row>
    <row r="1006">
      <c r="B1006" s="39">
        <f>IF($K$992="","",설정!$B$7)</f>
        <v/>
      </c>
    </row>
    <row r="1022" ht="30" customHeight="1">
      <c r="B1022" s="28">
        <f>IF($K$1022="","","임금명세서  ("&amp;설정!$B$5&amp;")")</f>
        <v/>
      </c>
      <c r="K1022" s="34">
        <f>IFERROR(MATCH(35,직원목록!$B$7:$B$306,0),"")</f>
        <v/>
      </c>
    </row>
    <row r="1023">
      <c r="B1023" s="7" t="inlineStr">
        <is>
          <t>회사명</t>
        </is>
      </c>
      <c r="C1023" s="21">
        <f>IF($K$1022="","",설정!$B$4)</f>
        <v/>
      </c>
      <c r="D1023" s="29" t="n"/>
      <c r="E1023" s="19" t="n"/>
      <c r="F1023" s="7" t="inlineStr">
        <is>
          <t>임금 지급일</t>
        </is>
      </c>
      <c r="G1023" s="21">
        <f>IF($K$1022="","",TEXT(설정!$B$6,"yyyy-mm-dd"))</f>
        <v/>
      </c>
      <c r="H1023" s="29" t="n"/>
    </row>
    <row r="1024">
      <c r="B1024" s="7" t="inlineStr">
        <is>
          <t>성명</t>
        </is>
      </c>
      <c r="C1024" s="22">
        <f>IF($K$1022="","",INDEX(직원목록!$D$7:$D$306,$K$1022))</f>
        <v/>
      </c>
      <c r="D1024" s="7" t="inlineStr">
        <is>
          <t>사번</t>
        </is>
      </c>
      <c r="E1024" s="21">
        <f>IF($K$1022="","",INDEX(직원목록!$C$7:$C$306,$K$1022))</f>
        <v/>
      </c>
      <c r="F1024" s="7" t="inlineStr">
        <is>
          <t>부서</t>
        </is>
      </c>
      <c r="G1024" s="21">
        <f>IF($K$1022="","",INDEX(직원목록!$E$7:$E$306,$K$1022))</f>
        <v/>
      </c>
      <c r="H1024" s="29" t="n"/>
    </row>
    <row r="1025">
      <c r="B1025" s="12" t="inlineStr">
        <is>
          <t>지급 항목</t>
        </is>
      </c>
      <c r="C1025" s="12" t="inlineStr">
        <is>
          <t>금액(원)</t>
        </is>
      </c>
      <c r="D1025" s="12" t="inlineStr">
        <is>
          <t>계산 근거</t>
        </is>
      </c>
      <c r="E1025" s="2" t="n"/>
      <c r="F1025" s="12" t="inlineStr">
        <is>
          <t>공제 항목</t>
        </is>
      </c>
      <c r="G1025" s="12" t="inlineStr">
        <is>
          <t>금액(원)</t>
        </is>
      </c>
      <c r="H1025" s="12" t="n"/>
    </row>
    <row r="1026">
      <c r="B1026" s="4">
        <f>IF($K$1022="","",IF(설정!$B$17="","",설정!$B$17))</f>
        <v/>
      </c>
      <c r="C1026" s="31">
        <f>IF(OR($K$1022="",설정!$B$17=""),"",INDEX(직원목록!$F$7:$F$306,$K$1022))</f>
        <v/>
      </c>
      <c r="D1026" s="32">
        <f>IF(OR($K$1022="",설정!$B$17=""),"",IF(N(INDEX(직원목록!$N$7:$N$306,$K$1022))=0,"",INDEX(직원목록!$N$7:$N$306,$K$1022)&amp;"시간"))</f>
        <v/>
      </c>
      <c r="F1026" s="4">
        <f>IF($K$1022="","",IF(설정!$B$26="","",설정!$B$26))</f>
        <v/>
      </c>
      <c r="G1026" s="31">
        <f>IF(OR($K$1022="",설정!$B$26=""),"",INDEX(직원목록!$W$7:$W$306,$K$1022))</f>
        <v/>
      </c>
      <c r="H1026" s="19" t="n"/>
    </row>
    <row r="1027">
      <c r="B1027" s="4">
        <f>IF($K$1022="","",IF(설정!$B$18="","",설정!$B$18))</f>
        <v/>
      </c>
      <c r="C1027" s="31">
        <f>IF(OR($K$1022="",설정!$B$18=""),"",INDEX(직원목록!$G$7:$G$306,$K$1022))</f>
        <v/>
      </c>
      <c r="D1027" s="32">
        <f>IF(OR($K$1022="",설정!$B$18=""),"",IF(N(INDEX(직원목록!$O$7:$O$306,$K$1022))=0,"",INDEX(직원목록!$O$7:$O$306,$K$1022)&amp;"시간"))</f>
        <v/>
      </c>
      <c r="F1027" s="4">
        <f>IF($K$1022="","",IF(설정!$B$27="","",설정!$B$27))</f>
        <v/>
      </c>
      <c r="G1027" s="31">
        <f>IF(OR($K$1022="",설정!$B$27=""),"",INDEX(직원목록!$X$7:$X$306,$K$1022))</f>
        <v/>
      </c>
      <c r="H1027" s="19" t="n"/>
    </row>
    <row r="1028">
      <c r="B1028" s="4">
        <f>IF($K$1022="","",IF(설정!$B$19="","",설정!$B$19))</f>
        <v/>
      </c>
      <c r="C1028" s="31">
        <f>IF(OR($K$1022="",설정!$B$19=""),"",INDEX(직원목록!$H$7:$H$306,$K$1022))</f>
        <v/>
      </c>
      <c r="D1028" s="32">
        <f>IF(OR($K$1022="",설정!$B$19=""),"",IF(N(INDEX(직원목록!$P$7:$P$306,$K$1022))=0,"",INDEX(직원목록!$P$7:$P$306,$K$1022)&amp;"시간"))</f>
        <v/>
      </c>
      <c r="F1028" s="4">
        <f>IF($K$1022="","",IF(설정!$B$28="","",설정!$B$28))</f>
        <v/>
      </c>
      <c r="G1028" s="31">
        <f>IF(OR($K$1022="",설정!$B$28=""),"",INDEX(직원목록!$Y$7:$Y$306,$K$1022))</f>
        <v/>
      </c>
      <c r="H1028" s="19" t="n"/>
    </row>
    <row r="1029">
      <c r="B1029" s="4">
        <f>IF($K$1022="","",IF(설정!$B$20="","",설정!$B$20))</f>
        <v/>
      </c>
      <c r="C1029" s="31">
        <f>IF(OR($K$1022="",설정!$B$20=""),"",INDEX(직원목록!$I$7:$I$306,$K$1022))</f>
        <v/>
      </c>
      <c r="D1029" s="32">
        <f>IF(OR($K$1022="",설정!$B$20=""),"",IF(N(INDEX(직원목록!$Q$7:$Q$306,$K$1022))=0,"",INDEX(직원목록!$Q$7:$Q$306,$K$1022)&amp;"시간"))</f>
        <v/>
      </c>
      <c r="F1029" s="4">
        <f>IF($K$1022="","",IF(설정!$B$29="","",설정!$B$29))</f>
        <v/>
      </c>
      <c r="G1029" s="31">
        <f>IF(OR($K$1022="",설정!$B$29=""),"",INDEX(직원목록!$Z$7:$Z$306,$K$1022))</f>
        <v/>
      </c>
      <c r="H1029" s="19" t="n"/>
    </row>
    <row r="1030">
      <c r="B1030" s="4">
        <f>IF($K$1022="","",IF(설정!$B$21="","",설정!$B$21))</f>
        <v/>
      </c>
      <c r="C1030" s="31">
        <f>IF(OR($K$1022="",설정!$B$21=""),"",INDEX(직원목록!$J$7:$J$306,$K$1022))</f>
        <v/>
      </c>
      <c r="D1030" s="32">
        <f>IF(OR($K$1022="",설정!$B$21=""),"",IF(N(INDEX(직원목록!$R$7:$R$306,$K$1022))=0,"",INDEX(직원목록!$R$7:$R$306,$K$1022)&amp;"시간"))</f>
        <v/>
      </c>
      <c r="F1030" s="4">
        <f>IF($K$1022="","",IF(설정!$B$30="","",설정!$B$30))</f>
        <v/>
      </c>
      <c r="G1030" s="31">
        <f>IF(OR($K$1022="",설정!$B$30=""),"",INDEX(직원목록!$AA$7:$AA$306,$K$1022))</f>
        <v/>
      </c>
      <c r="H1030" s="19" t="n"/>
    </row>
    <row r="1031">
      <c r="B1031" s="4">
        <f>IF($K$1022="","",IF(설정!$B$22="","",설정!$B$22))</f>
        <v/>
      </c>
      <c r="C1031" s="31">
        <f>IF(OR($K$1022="",설정!$B$22=""),"",INDEX(직원목록!$K$7:$K$306,$K$1022))</f>
        <v/>
      </c>
      <c r="D1031" s="32">
        <f>IF(OR($K$1022="",설정!$B$22=""),"",IF(N(INDEX(직원목록!$S$7:$S$306,$K$1022))=0,"",INDEX(직원목록!$S$7:$S$306,$K$1022)&amp;"시간"))</f>
        <v/>
      </c>
      <c r="F1031" s="4">
        <f>IF($K$1022="","",IF(설정!$B$31="","",설정!$B$31))</f>
        <v/>
      </c>
      <c r="G1031" s="31">
        <f>IF(OR($K$1022="",설정!$B$31=""),"",INDEX(직원목록!$AB$7:$AB$306,$K$1022))</f>
        <v/>
      </c>
      <c r="H1031" s="19" t="n"/>
    </row>
    <row r="1032">
      <c r="B1032" s="4">
        <f>IF($K$1022="","",IF(설정!$B$23="","",설정!$B$23))</f>
        <v/>
      </c>
      <c r="C1032" s="31">
        <f>IF(OR($K$1022="",설정!$B$23=""),"",INDEX(직원목록!$L$7:$L$306,$K$1022))</f>
        <v/>
      </c>
      <c r="D1032" s="32">
        <f>IF(OR($K$1022="",설정!$B$23=""),"",IF(N(INDEX(직원목록!$T$7:$T$306,$K$1022))=0,"",INDEX(직원목록!$T$7:$T$306,$K$1022)&amp;"시간"))</f>
        <v/>
      </c>
      <c r="F1032" s="4">
        <f>IF($K$1022="","",IF(설정!$B$32="","",설정!$B$32))</f>
        <v/>
      </c>
      <c r="G1032" s="31">
        <f>IF(OR($K$1022="",설정!$B$32=""),"",INDEX(직원목록!$AC$7:$AC$306,$K$1022))</f>
        <v/>
      </c>
      <c r="H1032" s="19" t="n"/>
    </row>
    <row r="1033">
      <c r="B1033" s="4">
        <f>IF($K$1022="","",IF(설정!$B$24="","",설정!$B$24))</f>
        <v/>
      </c>
      <c r="C1033" s="31">
        <f>IF(OR($K$1022="",설정!$B$24=""),"",INDEX(직원목록!$M$7:$M$306,$K$1022))</f>
        <v/>
      </c>
      <c r="D1033" s="32">
        <f>IF(OR($K$1022="",설정!$B$24=""),"",IF(N(INDEX(직원목록!$U$7:$U$306,$K$1022))=0,"",INDEX(직원목록!$U$7:$U$306,$K$1022)&amp;"시간"))</f>
        <v/>
      </c>
      <c r="F1033" s="4">
        <f>IF($K$1022="","",IF(설정!$B$33="","",설정!$B$33))</f>
        <v/>
      </c>
      <c r="G1033" s="31">
        <f>IF(OR($K$1022="",설정!$B$33=""),"",INDEX(직원목록!$AD$7:$AD$306,$K$1022))</f>
        <v/>
      </c>
      <c r="H1033" s="19" t="n"/>
    </row>
    <row r="1034">
      <c r="B1034" s="3" t="inlineStr">
        <is>
          <t>지급 합계</t>
        </is>
      </c>
      <c r="C1034" s="35">
        <f>IF($K$1022="","",INDEX(직원목록!$V$7:$V$306,$K$1022))</f>
        <v/>
      </c>
      <c r="D1034" s="36" t="n"/>
      <c r="F1034" s="3" t="inlineStr">
        <is>
          <t>공제 합계</t>
        </is>
      </c>
      <c r="G1034" s="35">
        <f>IF($K$1022="","",INDEX(직원목록!$AE$7:$AE$306,$K$1022))</f>
        <v/>
      </c>
      <c r="H1034" s="36" t="n"/>
    </row>
    <row r="1035" ht="28" customHeight="1">
      <c r="B1035" s="37" t="inlineStr">
        <is>
          <t>실 수령액 (지급 합계 − 공제 합계)</t>
        </is>
      </c>
      <c r="C1035" s="29" t="n"/>
      <c r="D1035" s="29" t="n"/>
      <c r="E1035" s="38">
        <f>IF($K$1022="","",INDEX(직원목록!$AF$7:$AF$306,$K$1022))</f>
        <v/>
      </c>
      <c r="F1035" s="29" t="n"/>
      <c r="G1035" s="29" t="n"/>
      <c r="H1035" s="29" t="n"/>
    </row>
    <row r="1036">
      <c r="B1036" s="39">
        <f>IF($K$1022="","",설정!$B$7)</f>
        <v/>
      </c>
    </row>
    <row r="1052" ht="30" customHeight="1">
      <c r="B1052" s="28">
        <f>IF($K$1052="","","임금명세서  ("&amp;설정!$B$5&amp;")")</f>
        <v/>
      </c>
      <c r="K1052" s="34">
        <f>IFERROR(MATCH(36,직원목록!$B$7:$B$306,0),"")</f>
        <v/>
      </c>
    </row>
    <row r="1053">
      <c r="B1053" s="7" t="inlineStr">
        <is>
          <t>회사명</t>
        </is>
      </c>
      <c r="C1053" s="21">
        <f>IF($K$1052="","",설정!$B$4)</f>
        <v/>
      </c>
      <c r="D1053" s="29" t="n"/>
      <c r="E1053" s="19" t="n"/>
      <c r="F1053" s="7" t="inlineStr">
        <is>
          <t>임금 지급일</t>
        </is>
      </c>
      <c r="G1053" s="21">
        <f>IF($K$1052="","",TEXT(설정!$B$6,"yyyy-mm-dd"))</f>
        <v/>
      </c>
      <c r="H1053" s="29" t="n"/>
    </row>
    <row r="1054">
      <c r="B1054" s="7" t="inlineStr">
        <is>
          <t>성명</t>
        </is>
      </c>
      <c r="C1054" s="22">
        <f>IF($K$1052="","",INDEX(직원목록!$D$7:$D$306,$K$1052))</f>
        <v/>
      </c>
      <c r="D1054" s="7" t="inlineStr">
        <is>
          <t>사번</t>
        </is>
      </c>
      <c r="E1054" s="21">
        <f>IF($K$1052="","",INDEX(직원목록!$C$7:$C$306,$K$1052))</f>
        <v/>
      </c>
      <c r="F1054" s="7" t="inlineStr">
        <is>
          <t>부서</t>
        </is>
      </c>
      <c r="G1054" s="21">
        <f>IF($K$1052="","",INDEX(직원목록!$E$7:$E$306,$K$1052))</f>
        <v/>
      </c>
      <c r="H1054" s="29" t="n"/>
    </row>
    <row r="1055">
      <c r="B1055" s="12" t="inlineStr">
        <is>
          <t>지급 항목</t>
        </is>
      </c>
      <c r="C1055" s="12" t="inlineStr">
        <is>
          <t>금액(원)</t>
        </is>
      </c>
      <c r="D1055" s="12" t="inlineStr">
        <is>
          <t>계산 근거</t>
        </is>
      </c>
      <c r="E1055" s="2" t="n"/>
      <c r="F1055" s="12" t="inlineStr">
        <is>
          <t>공제 항목</t>
        </is>
      </c>
      <c r="G1055" s="12" t="inlineStr">
        <is>
          <t>금액(원)</t>
        </is>
      </c>
      <c r="H1055" s="12" t="n"/>
    </row>
    <row r="1056">
      <c r="B1056" s="4">
        <f>IF($K$1052="","",IF(설정!$B$17="","",설정!$B$17))</f>
        <v/>
      </c>
      <c r="C1056" s="31">
        <f>IF(OR($K$1052="",설정!$B$17=""),"",INDEX(직원목록!$F$7:$F$306,$K$1052))</f>
        <v/>
      </c>
      <c r="D1056" s="32">
        <f>IF(OR($K$1052="",설정!$B$17=""),"",IF(N(INDEX(직원목록!$N$7:$N$306,$K$1052))=0,"",INDEX(직원목록!$N$7:$N$306,$K$1052)&amp;"시간"))</f>
        <v/>
      </c>
      <c r="F1056" s="4">
        <f>IF($K$1052="","",IF(설정!$B$26="","",설정!$B$26))</f>
        <v/>
      </c>
      <c r="G1056" s="31">
        <f>IF(OR($K$1052="",설정!$B$26=""),"",INDEX(직원목록!$W$7:$W$306,$K$1052))</f>
        <v/>
      </c>
      <c r="H1056" s="19" t="n"/>
    </row>
    <row r="1057">
      <c r="B1057" s="4">
        <f>IF($K$1052="","",IF(설정!$B$18="","",설정!$B$18))</f>
        <v/>
      </c>
      <c r="C1057" s="31">
        <f>IF(OR($K$1052="",설정!$B$18=""),"",INDEX(직원목록!$G$7:$G$306,$K$1052))</f>
        <v/>
      </c>
      <c r="D1057" s="32">
        <f>IF(OR($K$1052="",설정!$B$18=""),"",IF(N(INDEX(직원목록!$O$7:$O$306,$K$1052))=0,"",INDEX(직원목록!$O$7:$O$306,$K$1052)&amp;"시간"))</f>
        <v/>
      </c>
      <c r="F1057" s="4">
        <f>IF($K$1052="","",IF(설정!$B$27="","",설정!$B$27))</f>
        <v/>
      </c>
      <c r="G1057" s="31">
        <f>IF(OR($K$1052="",설정!$B$27=""),"",INDEX(직원목록!$X$7:$X$306,$K$1052))</f>
        <v/>
      </c>
      <c r="H1057" s="19" t="n"/>
    </row>
    <row r="1058">
      <c r="B1058" s="4">
        <f>IF($K$1052="","",IF(설정!$B$19="","",설정!$B$19))</f>
        <v/>
      </c>
      <c r="C1058" s="31">
        <f>IF(OR($K$1052="",설정!$B$19=""),"",INDEX(직원목록!$H$7:$H$306,$K$1052))</f>
        <v/>
      </c>
      <c r="D1058" s="32">
        <f>IF(OR($K$1052="",설정!$B$19=""),"",IF(N(INDEX(직원목록!$P$7:$P$306,$K$1052))=0,"",INDEX(직원목록!$P$7:$P$306,$K$1052)&amp;"시간"))</f>
        <v/>
      </c>
      <c r="F1058" s="4">
        <f>IF($K$1052="","",IF(설정!$B$28="","",설정!$B$28))</f>
        <v/>
      </c>
      <c r="G1058" s="31">
        <f>IF(OR($K$1052="",설정!$B$28=""),"",INDEX(직원목록!$Y$7:$Y$306,$K$1052))</f>
        <v/>
      </c>
      <c r="H1058" s="19" t="n"/>
    </row>
    <row r="1059">
      <c r="B1059" s="4">
        <f>IF($K$1052="","",IF(설정!$B$20="","",설정!$B$20))</f>
        <v/>
      </c>
      <c r="C1059" s="31">
        <f>IF(OR($K$1052="",설정!$B$20=""),"",INDEX(직원목록!$I$7:$I$306,$K$1052))</f>
        <v/>
      </c>
      <c r="D1059" s="32">
        <f>IF(OR($K$1052="",설정!$B$20=""),"",IF(N(INDEX(직원목록!$Q$7:$Q$306,$K$1052))=0,"",INDEX(직원목록!$Q$7:$Q$306,$K$1052)&amp;"시간"))</f>
        <v/>
      </c>
      <c r="F1059" s="4">
        <f>IF($K$1052="","",IF(설정!$B$29="","",설정!$B$29))</f>
        <v/>
      </c>
      <c r="G1059" s="31">
        <f>IF(OR($K$1052="",설정!$B$29=""),"",INDEX(직원목록!$Z$7:$Z$306,$K$1052))</f>
        <v/>
      </c>
      <c r="H1059" s="19" t="n"/>
    </row>
    <row r="1060">
      <c r="B1060" s="4">
        <f>IF($K$1052="","",IF(설정!$B$21="","",설정!$B$21))</f>
        <v/>
      </c>
      <c r="C1060" s="31">
        <f>IF(OR($K$1052="",설정!$B$21=""),"",INDEX(직원목록!$J$7:$J$306,$K$1052))</f>
        <v/>
      </c>
      <c r="D1060" s="32">
        <f>IF(OR($K$1052="",설정!$B$21=""),"",IF(N(INDEX(직원목록!$R$7:$R$306,$K$1052))=0,"",INDEX(직원목록!$R$7:$R$306,$K$1052)&amp;"시간"))</f>
        <v/>
      </c>
      <c r="F1060" s="4">
        <f>IF($K$1052="","",IF(설정!$B$30="","",설정!$B$30))</f>
        <v/>
      </c>
      <c r="G1060" s="31">
        <f>IF(OR($K$1052="",설정!$B$30=""),"",INDEX(직원목록!$AA$7:$AA$306,$K$1052))</f>
        <v/>
      </c>
      <c r="H1060" s="19" t="n"/>
    </row>
    <row r="1061">
      <c r="B1061" s="4">
        <f>IF($K$1052="","",IF(설정!$B$22="","",설정!$B$22))</f>
        <v/>
      </c>
      <c r="C1061" s="31">
        <f>IF(OR($K$1052="",설정!$B$22=""),"",INDEX(직원목록!$K$7:$K$306,$K$1052))</f>
        <v/>
      </c>
      <c r="D1061" s="32">
        <f>IF(OR($K$1052="",설정!$B$22=""),"",IF(N(INDEX(직원목록!$S$7:$S$306,$K$1052))=0,"",INDEX(직원목록!$S$7:$S$306,$K$1052)&amp;"시간"))</f>
        <v/>
      </c>
      <c r="F1061" s="4">
        <f>IF($K$1052="","",IF(설정!$B$31="","",설정!$B$31))</f>
        <v/>
      </c>
      <c r="G1061" s="31">
        <f>IF(OR($K$1052="",설정!$B$31=""),"",INDEX(직원목록!$AB$7:$AB$306,$K$1052))</f>
        <v/>
      </c>
      <c r="H1061" s="19" t="n"/>
    </row>
    <row r="1062">
      <c r="B1062" s="4">
        <f>IF($K$1052="","",IF(설정!$B$23="","",설정!$B$23))</f>
        <v/>
      </c>
      <c r="C1062" s="31">
        <f>IF(OR($K$1052="",설정!$B$23=""),"",INDEX(직원목록!$L$7:$L$306,$K$1052))</f>
        <v/>
      </c>
      <c r="D1062" s="32">
        <f>IF(OR($K$1052="",설정!$B$23=""),"",IF(N(INDEX(직원목록!$T$7:$T$306,$K$1052))=0,"",INDEX(직원목록!$T$7:$T$306,$K$1052)&amp;"시간"))</f>
        <v/>
      </c>
      <c r="F1062" s="4">
        <f>IF($K$1052="","",IF(설정!$B$32="","",설정!$B$32))</f>
        <v/>
      </c>
      <c r="G1062" s="31">
        <f>IF(OR($K$1052="",설정!$B$32=""),"",INDEX(직원목록!$AC$7:$AC$306,$K$1052))</f>
        <v/>
      </c>
      <c r="H1062" s="19" t="n"/>
    </row>
    <row r="1063">
      <c r="B1063" s="4">
        <f>IF($K$1052="","",IF(설정!$B$24="","",설정!$B$24))</f>
        <v/>
      </c>
      <c r="C1063" s="31">
        <f>IF(OR($K$1052="",설정!$B$24=""),"",INDEX(직원목록!$M$7:$M$306,$K$1052))</f>
        <v/>
      </c>
      <c r="D1063" s="32">
        <f>IF(OR($K$1052="",설정!$B$24=""),"",IF(N(INDEX(직원목록!$U$7:$U$306,$K$1052))=0,"",INDEX(직원목록!$U$7:$U$306,$K$1052)&amp;"시간"))</f>
        <v/>
      </c>
      <c r="F1063" s="4">
        <f>IF($K$1052="","",IF(설정!$B$33="","",설정!$B$33))</f>
        <v/>
      </c>
      <c r="G1063" s="31">
        <f>IF(OR($K$1052="",설정!$B$33=""),"",INDEX(직원목록!$AD$7:$AD$306,$K$1052))</f>
        <v/>
      </c>
      <c r="H1063" s="19" t="n"/>
    </row>
    <row r="1064">
      <c r="B1064" s="3" t="inlineStr">
        <is>
          <t>지급 합계</t>
        </is>
      </c>
      <c r="C1064" s="35">
        <f>IF($K$1052="","",INDEX(직원목록!$V$7:$V$306,$K$1052))</f>
        <v/>
      </c>
      <c r="D1064" s="36" t="n"/>
      <c r="F1064" s="3" t="inlineStr">
        <is>
          <t>공제 합계</t>
        </is>
      </c>
      <c r="G1064" s="35">
        <f>IF($K$1052="","",INDEX(직원목록!$AE$7:$AE$306,$K$1052))</f>
        <v/>
      </c>
      <c r="H1064" s="36" t="n"/>
    </row>
    <row r="1065" ht="28" customHeight="1">
      <c r="B1065" s="37" t="inlineStr">
        <is>
          <t>실 수령액 (지급 합계 − 공제 합계)</t>
        </is>
      </c>
      <c r="C1065" s="29" t="n"/>
      <c r="D1065" s="29" t="n"/>
      <c r="E1065" s="38">
        <f>IF($K$1052="","",INDEX(직원목록!$AF$7:$AF$306,$K$1052))</f>
        <v/>
      </c>
      <c r="F1065" s="29" t="n"/>
      <c r="G1065" s="29" t="n"/>
      <c r="H1065" s="29" t="n"/>
    </row>
    <row r="1066">
      <c r="B1066" s="39">
        <f>IF($K$1052="","",설정!$B$7)</f>
        <v/>
      </c>
    </row>
    <row r="1082" ht="30" customHeight="1">
      <c r="B1082" s="28">
        <f>IF($K$1082="","","임금명세서  ("&amp;설정!$B$5&amp;")")</f>
        <v/>
      </c>
      <c r="K1082" s="34">
        <f>IFERROR(MATCH(37,직원목록!$B$7:$B$306,0),"")</f>
        <v/>
      </c>
    </row>
    <row r="1083">
      <c r="B1083" s="7" t="inlineStr">
        <is>
          <t>회사명</t>
        </is>
      </c>
      <c r="C1083" s="21">
        <f>IF($K$1082="","",설정!$B$4)</f>
        <v/>
      </c>
      <c r="D1083" s="29" t="n"/>
      <c r="E1083" s="19" t="n"/>
      <c r="F1083" s="7" t="inlineStr">
        <is>
          <t>임금 지급일</t>
        </is>
      </c>
      <c r="G1083" s="21">
        <f>IF($K$1082="","",TEXT(설정!$B$6,"yyyy-mm-dd"))</f>
        <v/>
      </c>
      <c r="H1083" s="29" t="n"/>
    </row>
    <row r="1084">
      <c r="B1084" s="7" t="inlineStr">
        <is>
          <t>성명</t>
        </is>
      </c>
      <c r="C1084" s="22">
        <f>IF($K$1082="","",INDEX(직원목록!$D$7:$D$306,$K$1082))</f>
        <v/>
      </c>
      <c r="D1084" s="7" t="inlineStr">
        <is>
          <t>사번</t>
        </is>
      </c>
      <c r="E1084" s="21">
        <f>IF($K$1082="","",INDEX(직원목록!$C$7:$C$306,$K$1082))</f>
        <v/>
      </c>
      <c r="F1084" s="7" t="inlineStr">
        <is>
          <t>부서</t>
        </is>
      </c>
      <c r="G1084" s="21">
        <f>IF($K$1082="","",INDEX(직원목록!$E$7:$E$306,$K$1082))</f>
        <v/>
      </c>
      <c r="H1084" s="29" t="n"/>
    </row>
    <row r="1085">
      <c r="B1085" s="12" t="inlineStr">
        <is>
          <t>지급 항목</t>
        </is>
      </c>
      <c r="C1085" s="12" t="inlineStr">
        <is>
          <t>금액(원)</t>
        </is>
      </c>
      <c r="D1085" s="12" t="inlineStr">
        <is>
          <t>계산 근거</t>
        </is>
      </c>
      <c r="E1085" s="2" t="n"/>
      <c r="F1085" s="12" t="inlineStr">
        <is>
          <t>공제 항목</t>
        </is>
      </c>
      <c r="G1085" s="12" t="inlineStr">
        <is>
          <t>금액(원)</t>
        </is>
      </c>
      <c r="H1085" s="12" t="n"/>
    </row>
    <row r="1086">
      <c r="B1086" s="4">
        <f>IF($K$1082="","",IF(설정!$B$17="","",설정!$B$17))</f>
        <v/>
      </c>
      <c r="C1086" s="31">
        <f>IF(OR($K$1082="",설정!$B$17=""),"",INDEX(직원목록!$F$7:$F$306,$K$1082))</f>
        <v/>
      </c>
      <c r="D1086" s="32">
        <f>IF(OR($K$1082="",설정!$B$17=""),"",IF(N(INDEX(직원목록!$N$7:$N$306,$K$1082))=0,"",INDEX(직원목록!$N$7:$N$306,$K$1082)&amp;"시간"))</f>
        <v/>
      </c>
      <c r="F1086" s="4">
        <f>IF($K$1082="","",IF(설정!$B$26="","",설정!$B$26))</f>
        <v/>
      </c>
      <c r="G1086" s="31">
        <f>IF(OR($K$1082="",설정!$B$26=""),"",INDEX(직원목록!$W$7:$W$306,$K$1082))</f>
        <v/>
      </c>
      <c r="H1086" s="19" t="n"/>
    </row>
    <row r="1087">
      <c r="B1087" s="4">
        <f>IF($K$1082="","",IF(설정!$B$18="","",설정!$B$18))</f>
        <v/>
      </c>
      <c r="C1087" s="31">
        <f>IF(OR($K$1082="",설정!$B$18=""),"",INDEX(직원목록!$G$7:$G$306,$K$1082))</f>
        <v/>
      </c>
      <c r="D1087" s="32">
        <f>IF(OR($K$1082="",설정!$B$18=""),"",IF(N(INDEX(직원목록!$O$7:$O$306,$K$1082))=0,"",INDEX(직원목록!$O$7:$O$306,$K$1082)&amp;"시간"))</f>
        <v/>
      </c>
      <c r="F1087" s="4">
        <f>IF($K$1082="","",IF(설정!$B$27="","",설정!$B$27))</f>
        <v/>
      </c>
      <c r="G1087" s="31">
        <f>IF(OR($K$1082="",설정!$B$27=""),"",INDEX(직원목록!$X$7:$X$306,$K$1082))</f>
        <v/>
      </c>
      <c r="H1087" s="19" t="n"/>
    </row>
    <row r="1088">
      <c r="B1088" s="4">
        <f>IF($K$1082="","",IF(설정!$B$19="","",설정!$B$19))</f>
        <v/>
      </c>
      <c r="C1088" s="31">
        <f>IF(OR($K$1082="",설정!$B$19=""),"",INDEX(직원목록!$H$7:$H$306,$K$1082))</f>
        <v/>
      </c>
      <c r="D1088" s="32">
        <f>IF(OR($K$1082="",설정!$B$19=""),"",IF(N(INDEX(직원목록!$P$7:$P$306,$K$1082))=0,"",INDEX(직원목록!$P$7:$P$306,$K$1082)&amp;"시간"))</f>
        <v/>
      </c>
      <c r="F1088" s="4">
        <f>IF($K$1082="","",IF(설정!$B$28="","",설정!$B$28))</f>
        <v/>
      </c>
      <c r="G1088" s="31">
        <f>IF(OR($K$1082="",설정!$B$28=""),"",INDEX(직원목록!$Y$7:$Y$306,$K$1082))</f>
        <v/>
      </c>
      <c r="H1088" s="19" t="n"/>
    </row>
    <row r="1089">
      <c r="B1089" s="4">
        <f>IF($K$1082="","",IF(설정!$B$20="","",설정!$B$20))</f>
        <v/>
      </c>
      <c r="C1089" s="31">
        <f>IF(OR($K$1082="",설정!$B$20=""),"",INDEX(직원목록!$I$7:$I$306,$K$1082))</f>
        <v/>
      </c>
      <c r="D1089" s="32">
        <f>IF(OR($K$1082="",설정!$B$20=""),"",IF(N(INDEX(직원목록!$Q$7:$Q$306,$K$1082))=0,"",INDEX(직원목록!$Q$7:$Q$306,$K$1082)&amp;"시간"))</f>
        <v/>
      </c>
      <c r="F1089" s="4">
        <f>IF($K$1082="","",IF(설정!$B$29="","",설정!$B$29))</f>
        <v/>
      </c>
      <c r="G1089" s="31">
        <f>IF(OR($K$1082="",설정!$B$29=""),"",INDEX(직원목록!$Z$7:$Z$306,$K$1082))</f>
        <v/>
      </c>
      <c r="H1089" s="19" t="n"/>
    </row>
    <row r="1090">
      <c r="B1090" s="4">
        <f>IF($K$1082="","",IF(설정!$B$21="","",설정!$B$21))</f>
        <v/>
      </c>
      <c r="C1090" s="31">
        <f>IF(OR($K$1082="",설정!$B$21=""),"",INDEX(직원목록!$J$7:$J$306,$K$1082))</f>
        <v/>
      </c>
      <c r="D1090" s="32">
        <f>IF(OR($K$1082="",설정!$B$21=""),"",IF(N(INDEX(직원목록!$R$7:$R$306,$K$1082))=0,"",INDEX(직원목록!$R$7:$R$306,$K$1082)&amp;"시간"))</f>
        <v/>
      </c>
      <c r="F1090" s="4">
        <f>IF($K$1082="","",IF(설정!$B$30="","",설정!$B$30))</f>
        <v/>
      </c>
      <c r="G1090" s="31">
        <f>IF(OR($K$1082="",설정!$B$30=""),"",INDEX(직원목록!$AA$7:$AA$306,$K$1082))</f>
        <v/>
      </c>
      <c r="H1090" s="19" t="n"/>
    </row>
    <row r="1091">
      <c r="B1091" s="4">
        <f>IF($K$1082="","",IF(설정!$B$22="","",설정!$B$22))</f>
        <v/>
      </c>
      <c r="C1091" s="31">
        <f>IF(OR($K$1082="",설정!$B$22=""),"",INDEX(직원목록!$K$7:$K$306,$K$1082))</f>
        <v/>
      </c>
      <c r="D1091" s="32">
        <f>IF(OR($K$1082="",설정!$B$22=""),"",IF(N(INDEX(직원목록!$S$7:$S$306,$K$1082))=0,"",INDEX(직원목록!$S$7:$S$306,$K$1082)&amp;"시간"))</f>
        <v/>
      </c>
      <c r="F1091" s="4">
        <f>IF($K$1082="","",IF(설정!$B$31="","",설정!$B$31))</f>
        <v/>
      </c>
      <c r="G1091" s="31">
        <f>IF(OR($K$1082="",설정!$B$31=""),"",INDEX(직원목록!$AB$7:$AB$306,$K$1082))</f>
        <v/>
      </c>
      <c r="H1091" s="19" t="n"/>
    </row>
    <row r="1092">
      <c r="B1092" s="4">
        <f>IF($K$1082="","",IF(설정!$B$23="","",설정!$B$23))</f>
        <v/>
      </c>
      <c r="C1092" s="31">
        <f>IF(OR($K$1082="",설정!$B$23=""),"",INDEX(직원목록!$L$7:$L$306,$K$1082))</f>
        <v/>
      </c>
      <c r="D1092" s="32">
        <f>IF(OR($K$1082="",설정!$B$23=""),"",IF(N(INDEX(직원목록!$T$7:$T$306,$K$1082))=0,"",INDEX(직원목록!$T$7:$T$306,$K$1082)&amp;"시간"))</f>
        <v/>
      </c>
      <c r="F1092" s="4">
        <f>IF($K$1082="","",IF(설정!$B$32="","",설정!$B$32))</f>
        <v/>
      </c>
      <c r="G1092" s="31">
        <f>IF(OR($K$1082="",설정!$B$32=""),"",INDEX(직원목록!$AC$7:$AC$306,$K$1082))</f>
        <v/>
      </c>
      <c r="H1092" s="19" t="n"/>
    </row>
    <row r="1093">
      <c r="B1093" s="4">
        <f>IF($K$1082="","",IF(설정!$B$24="","",설정!$B$24))</f>
        <v/>
      </c>
      <c r="C1093" s="31">
        <f>IF(OR($K$1082="",설정!$B$24=""),"",INDEX(직원목록!$M$7:$M$306,$K$1082))</f>
        <v/>
      </c>
      <c r="D1093" s="32">
        <f>IF(OR($K$1082="",설정!$B$24=""),"",IF(N(INDEX(직원목록!$U$7:$U$306,$K$1082))=0,"",INDEX(직원목록!$U$7:$U$306,$K$1082)&amp;"시간"))</f>
        <v/>
      </c>
      <c r="F1093" s="4">
        <f>IF($K$1082="","",IF(설정!$B$33="","",설정!$B$33))</f>
        <v/>
      </c>
      <c r="G1093" s="31">
        <f>IF(OR($K$1082="",설정!$B$33=""),"",INDEX(직원목록!$AD$7:$AD$306,$K$1082))</f>
        <v/>
      </c>
      <c r="H1093" s="19" t="n"/>
    </row>
    <row r="1094">
      <c r="B1094" s="3" t="inlineStr">
        <is>
          <t>지급 합계</t>
        </is>
      </c>
      <c r="C1094" s="35">
        <f>IF($K$1082="","",INDEX(직원목록!$V$7:$V$306,$K$1082))</f>
        <v/>
      </c>
      <c r="D1094" s="36" t="n"/>
      <c r="F1094" s="3" t="inlineStr">
        <is>
          <t>공제 합계</t>
        </is>
      </c>
      <c r="G1094" s="35">
        <f>IF($K$1082="","",INDEX(직원목록!$AE$7:$AE$306,$K$1082))</f>
        <v/>
      </c>
      <c r="H1094" s="36" t="n"/>
    </row>
    <row r="1095" ht="28" customHeight="1">
      <c r="B1095" s="37" t="inlineStr">
        <is>
          <t>실 수령액 (지급 합계 − 공제 합계)</t>
        </is>
      </c>
      <c r="C1095" s="29" t="n"/>
      <c r="D1095" s="29" t="n"/>
      <c r="E1095" s="38">
        <f>IF($K$1082="","",INDEX(직원목록!$AF$7:$AF$306,$K$1082))</f>
        <v/>
      </c>
      <c r="F1095" s="29" t="n"/>
      <c r="G1095" s="29" t="n"/>
      <c r="H1095" s="29" t="n"/>
    </row>
    <row r="1096">
      <c r="B1096" s="39">
        <f>IF($K$1082="","",설정!$B$7)</f>
        <v/>
      </c>
    </row>
    <row r="1112" ht="30" customHeight="1">
      <c r="B1112" s="28">
        <f>IF($K$1112="","","임금명세서  ("&amp;설정!$B$5&amp;")")</f>
        <v/>
      </c>
      <c r="K1112" s="34">
        <f>IFERROR(MATCH(38,직원목록!$B$7:$B$306,0),"")</f>
        <v/>
      </c>
    </row>
    <row r="1113">
      <c r="B1113" s="7" t="inlineStr">
        <is>
          <t>회사명</t>
        </is>
      </c>
      <c r="C1113" s="21">
        <f>IF($K$1112="","",설정!$B$4)</f>
        <v/>
      </c>
      <c r="D1113" s="29" t="n"/>
      <c r="E1113" s="19" t="n"/>
      <c r="F1113" s="7" t="inlineStr">
        <is>
          <t>임금 지급일</t>
        </is>
      </c>
      <c r="G1113" s="21">
        <f>IF($K$1112="","",TEXT(설정!$B$6,"yyyy-mm-dd"))</f>
        <v/>
      </c>
      <c r="H1113" s="29" t="n"/>
    </row>
    <row r="1114">
      <c r="B1114" s="7" t="inlineStr">
        <is>
          <t>성명</t>
        </is>
      </c>
      <c r="C1114" s="22">
        <f>IF($K$1112="","",INDEX(직원목록!$D$7:$D$306,$K$1112))</f>
        <v/>
      </c>
      <c r="D1114" s="7" t="inlineStr">
        <is>
          <t>사번</t>
        </is>
      </c>
      <c r="E1114" s="21">
        <f>IF($K$1112="","",INDEX(직원목록!$C$7:$C$306,$K$1112))</f>
        <v/>
      </c>
      <c r="F1114" s="7" t="inlineStr">
        <is>
          <t>부서</t>
        </is>
      </c>
      <c r="G1114" s="21">
        <f>IF($K$1112="","",INDEX(직원목록!$E$7:$E$306,$K$1112))</f>
        <v/>
      </c>
      <c r="H1114" s="29" t="n"/>
    </row>
    <row r="1115">
      <c r="B1115" s="12" t="inlineStr">
        <is>
          <t>지급 항목</t>
        </is>
      </c>
      <c r="C1115" s="12" t="inlineStr">
        <is>
          <t>금액(원)</t>
        </is>
      </c>
      <c r="D1115" s="12" t="inlineStr">
        <is>
          <t>계산 근거</t>
        </is>
      </c>
      <c r="E1115" s="2" t="n"/>
      <c r="F1115" s="12" t="inlineStr">
        <is>
          <t>공제 항목</t>
        </is>
      </c>
      <c r="G1115" s="12" t="inlineStr">
        <is>
          <t>금액(원)</t>
        </is>
      </c>
      <c r="H1115" s="12" t="n"/>
    </row>
    <row r="1116">
      <c r="B1116" s="4">
        <f>IF($K$1112="","",IF(설정!$B$17="","",설정!$B$17))</f>
        <v/>
      </c>
      <c r="C1116" s="31">
        <f>IF(OR($K$1112="",설정!$B$17=""),"",INDEX(직원목록!$F$7:$F$306,$K$1112))</f>
        <v/>
      </c>
      <c r="D1116" s="32">
        <f>IF(OR($K$1112="",설정!$B$17=""),"",IF(N(INDEX(직원목록!$N$7:$N$306,$K$1112))=0,"",INDEX(직원목록!$N$7:$N$306,$K$1112)&amp;"시간"))</f>
        <v/>
      </c>
      <c r="F1116" s="4">
        <f>IF($K$1112="","",IF(설정!$B$26="","",설정!$B$26))</f>
        <v/>
      </c>
      <c r="G1116" s="31">
        <f>IF(OR($K$1112="",설정!$B$26=""),"",INDEX(직원목록!$W$7:$W$306,$K$1112))</f>
        <v/>
      </c>
      <c r="H1116" s="19" t="n"/>
    </row>
    <row r="1117">
      <c r="B1117" s="4">
        <f>IF($K$1112="","",IF(설정!$B$18="","",설정!$B$18))</f>
        <v/>
      </c>
      <c r="C1117" s="31">
        <f>IF(OR($K$1112="",설정!$B$18=""),"",INDEX(직원목록!$G$7:$G$306,$K$1112))</f>
        <v/>
      </c>
      <c r="D1117" s="32">
        <f>IF(OR($K$1112="",설정!$B$18=""),"",IF(N(INDEX(직원목록!$O$7:$O$306,$K$1112))=0,"",INDEX(직원목록!$O$7:$O$306,$K$1112)&amp;"시간"))</f>
        <v/>
      </c>
      <c r="F1117" s="4">
        <f>IF($K$1112="","",IF(설정!$B$27="","",설정!$B$27))</f>
        <v/>
      </c>
      <c r="G1117" s="31">
        <f>IF(OR($K$1112="",설정!$B$27=""),"",INDEX(직원목록!$X$7:$X$306,$K$1112))</f>
        <v/>
      </c>
      <c r="H1117" s="19" t="n"/>
    </row>
    <row r="1118">
      <c r="B1118" s="4">
        <f>IF($K$1112="","",IF(설정!$B$19="","",설정!$B$19))</f>
        <v/>
      </c>
      <c r="C1118" s="31">
        <f>IF(OR($K$1112="",설정!$B$19=""),"",INDEX(직원목록!$H$7:$H$306,$K$1112))</f>
        <v/>
      </c>
      <c r="D1118" s="32">
        <f>IF(OR($K$1112="",설정!$B$19=""),"",IF(N(INDEX(직원목록!$P$7:$P$306,$K$1112))=0,"",INDEX(직원목록!$P$7:$P$306,$K$1112)&amp;"시간"))</f>
        <v/>
      </c>
      <c r="F1118" s="4">
        <f>IF($K$1112="","",IF(설정!$B$28="","",설정!$B$28))</f>
        <v/>
      </c>
      <c r="G1118" s="31">
        <f>IF(OR($K$1112="",설정!$B$28=""),"",INDEX(직원목록!$Y$7:$Y$306,$K$1112))</f>
        <v/>
      </c>
      <c r="H1118" s="19" t="n"/>
    </row>
    <row r="1119">
      <c r="B1119" s="4">
        <f>IF($K$1112="","",IF(설정!$B$20="","",설정!$B$20))</f>
        <v/>
      </c>
      <c r="C1119" s="31">
        <f>IF(OR($K$1112="",설정!$B$20=""),"",INDEX(직원목록!$I$7:$I$306,$K$1112))</f>
        <v/>
      </c>
      <c r="D1119" s="32">
        <f>IF(OR($K$1112="",설정!$B$20=""),"",IF(N(INDEX(직원목록!$Q$7:$Q$306,$K$1112))=0,"",INDEX(직원목록!$Q$7:$Q$306,$K$1112)&amp;"시간"))</f>
        <v/>
      </c>
      <c r="F1119" s="4">
        <f>IF($K$1112="","",IF(설정!$B$29="","",설정!$B$29))</f>
        <v/>
      </c>
      <c r="G1119" s="31">
        <f>IF(OR($K$1112="",설정!$B$29=""),"",INDEX(직원목록!$Z$7:$Z$306,$K$1112))</f>
        <v/>
      </c>
      <c r="H1119" s="19" t="n"/>
    </row>
    <row r="1120">
      <c r="B1120" s="4">
        <f>IF($K$1112="","",IF(설정!$B$21="","",설정!$B$21))</f>
        <v/>
      </c>
      <c r="C1120" s="31">
        <f>IF(OR($K$1112="",설정!$B$21=""),"",INDEX(직원목록!$J$7:$J$306,$K$1112))</f>
        <v/>
      </c>
      <c r="D1120" s="32">
        <f>IF(OR($K$1112="",설정!$B$21=""),"",IF(N(INDEX(직원목록!$R$7:$R$306,$K$1112))=0,"",INDEX(직원목록!$R$7:$R$306,$K$1112)&amp;"시간"))</f>
        <v/>
      </c>
      <c r="F1120" s="4">
        <f>IF($K$1112="","",IF(설정!$B$30="","",설정!$B$30))</f>
        <v/>
      </c>
      <c r="G1120" s="31">
        <f>IF(OR($K$1112="",설정!$B$30=""),"",INDEX(직원목록!$AA$7:$AA$306,$K$1112))</f>
        <v/>
      </c>
      <c r="H1120" s="19" t="n"/>
    </row>
    <row r="1121">
      <c r="B1121" s="4">
        <f>IF($K$1112="","",IF(설정!$B$22="","",설정!$B$22))</f>
        <v/>
      </c>
      <c r="C1121" s="31">
        <f>IF(OR($K$1112="",설정!$B$22=""),"",INDEX(직원목록!$K$7:$K$306,$K$1112))</f>
        <v/>
      </c>
      <c r="D1121" s="32">
        <f>IF(OR($K$1112="",설정!$B$22=""),"",IF(N(INDEX(직원목록!$S$7:$S$306,$K$1112))=0,"",INDEX(직원목록!$S$7:$S$306,$K$1112)&amp;"시간"))</f>
        <v/>
      </c>
      <c r="F1121" s="4">
        <f>IF($K$1112="","",IF(설정!$B$31="","",설정!$B$31))</f>
        <v/>
      </c>
      <c r="G1121" s="31">
        <f>IF(OR($K$1112="",설정!$B$31=""),"",INDEX(직원목록!$AB$7:$AB$306,$K$1112))</f>
        <v/>
      </c>
      <c r="H1121" s="19" t="n"/>
    </row>
    <row r="1122">
      <c r="B1122" s="4">
        <f>IF($K$1112="","",IF(설정!$B$23="","",설정!$B$23))</f>
        <v/>
      </c>
      <c r="C1122" s="31">
        <f>IF(OR($K$1112="",설정!$B$23=""),"",INDEX(직원목록!$L$7:$L$306,$K$1112))</f>
        <v/>
      </c>
      <c r="D1122" s="32">
        <f>IF(OR($K$1112="",설정!$B$23=""),"",IF(N(INDEX(직원목록!$T$7:$T$306,$K$1112))=0,"",INDEX(직원목록!$T$7:$T$306,$K$1112)&amp;"시간"))</f>
        <v/>
      </c>
      <c r="F1122" s="4">
        <f>IF($K$1112="","",IF(설정!$B$32="","",설정!$B$32))</f>
        <v/>
      </c>
      <c r="G1122" s="31">
        <f>IF(OR($K$1112="",설정!$B$32=""),"",INDEX(직원목록!$AC$7:$AC$306,$K$1112))</f>
        <v/>
      </c>
      <c r="H1122" s="19" t="n"/>
    </row>
    <row r="1123">
      <c r="B1123" s="4">
        <f>IF($K$1112="","",IF(설정!$B$24="","",설정!$B$24))</f>
        <v/>
      </c>
      <c r="C1123" s="31">
        <f>IF(OR($K$1112="",설정!$B$24=""),"",INDEX(직원목록!$M$7:$M$306,$K$1112))</f>
        <v/>
      </c>
      <c r="D1123" s="32">
        <f>IF(OR($K$1112="",설정!$B$24=""),"",IF(N(INDEX(직원목록!$U$7:$U$306,$K$1112))=0,"",INDEX(직원목록!$U$7:$U$306,$K$1112)&amp;"시간"))</f>
        <v/>
      </c>
      <c r="F1123" s="4">
        <f>IF($K$1112="","",IF(설정!$B$33="","",설정!$B$33))</f>
        <v/>
      </c>
      <c r="G1123" s="31">
        <f>IF(OR($K$1112="",설정!$B$33=""),"",INDEX(직원목록!$AD$7:$AD$306,$K$1112))</f>
        <v/>
      </c>
      <c r="H1123" s="19" t="n"/>
    </row>
    <row r="1124">
      <c r="B1124" s="3" t="inlineStr">
        <is>
          <t>지급 합계</t>
        </is>
      </c>
      <c r="C1124" s="35">
        <f>IF($K$1112="","",INDEX(직원목록!$V$7:$V$306,$K$1112))</f>
        <v/>
      </c>
      <c r="D1124" s="36" t="n"/>
      <c r="F1124" s="3" t="inlineStr">
        <is>
          <t>공제 합계</t>
        </is>
      </c>
      <c r="G1124" s="35">
        <f>IF($K$1112="","",INDEX(직원목록!$AE$7:$AE$306,$K$1112))</f>
        <v/>
      </c>
      <c r="H1124" s="36" t="n"/>
    </row>
    <row r="1125" ht="28" customHeight="1">
      <c r="B1125" s="37" t="inlineStr">
        <is>
          <t>실 수령액 (지급 합계 − 공제 합계)</t>
        </is>
      </c>
      <c r="C1125" s="29" t="n"/>
      <c r="D1125" s="29" t="n"/>
      <c r="E1125" s="38">
        <f>IF($K$1112="","",INDEX(직원목록!$AF$7:$AF$306,$K$1112))</f>
        <v/>
      </c>
      <c r="F1125" s="29" t="n"/>
      <c r="G1125" s="29" t="n"/>
      <c r="H1125" s="29" t="n"/>
    </row>
    <row r="1126">
      <c r="B1126" s="39">
        <f>IF($K$1112="","",설정!$B$7)</f>
        <v/>
      </c>
    </row>
    <row r="1142" ht="30" customHeight="1">
      <c r="B1142" s="28">
        <f>IF($K$1142="","","임금명세서  ("&amp;설정!$B$5&amp;")")</f>
        <v/>
      </c>
      <c r="K1142" s="34">
        <f>IFERROR(MATCH(39,직원목록!$B$7:$B$306,0),"")</f>
        <v/>
      </c>
    </row>
    <row r="1143">
      <c r="B1143" s="7" t="inlineStr">
        <is>
          <t>회사명</t>
        </is>
      </c>
      <c r="C1143" s="21">
        <f>IF($K$1142="","",설정!$B$4)</f>
        <v/>
      </c>
      <c r="D1143" s="29" t="n"/>
      <c r="E1143" s="19" t="n"/>
      <c r="F1143" s="7" t="inlineStr">
        <is>
          <t>임금 지급일</t>
        </is>
      </c>
      <c r="G1143" s="21">
        <f>IF($K$1142="","",TEXT(설정!$B$6,"yyyy-mm-dd"))</f>
        <v/>
      </c>
      <c r="H1143" s="29" t="n"/>
    </row>
    <row r="1144">
      <c r="B1144" s="7" t="inlineStr">
        <is>
          <t>성명</t>
        </is>
      </c>
      <c r="C1144" s="22">
        <f>IF($K$1142="","",INDEX(직원목록!$D$7:$D$306,$K$1142))</f>
        <v/>
      </c>
      <c r="D1144" s="7" t="inlineStr">
        <is>
          <t>사번</t>
        </is>
      </c>
      <c r="E1144" s="21">
        <f>IF($K$1142="","",INDEX(직원목록!$C$7:$C$306,$K$1142))</f>
        <v/>
      </c>
      <c r="F1144" s="7" t="inlineStr">
        <is>
          <t>부서</t>
        </is>
      </c>
      <c r="G1144" s="21">
        <f>IF($K$1142="","",INDEX(직원목록!$E$7:$E$306,$K$1142))</f>
        <v/>
      </c>
      <c r="H1144" s="29" t="n"/>
    </row>
    <row r="1145">
      <c r="B1145" s="12" t="inlineStr">
        <is>
          <t>지급 항목</t>
        </is>
      </c>
      <c r="C1145" s="12" t="inlineStr">
        <is>
          <t>금액(원)</t>
        </is>
      </c>
      <c r="D1145" s="12" t="inlineStr">
        <is>
          <t>계산 근거</t>
        </is>
      </c>
      <c r="E1145" s="2" t="n"/>
      <c r="F1145" s="12" t="inlineStr">
        <is>
          <t>공제 항목</t>
        </is>
      </c>
      <c r="G1145" s="12" t="inlineStr">
        <is>
          <t>금액(원)</t>
        </is>
      </c>
      <c r="H1145" s="12" t="n"/>
    </row>
    <row r="1146">
      <c r="B1146" s="4">
        <f>IF($K$1142="","",IF(설정!$B$17="","",설정!$B$17))</f>
        <v/>
      </c>
      <c r="C1146" s="31">
        <f>IF(OR($K$1142="",설정!$B$17=""),"",INDEX(직원목록!$F$7:$F$306,$K$1142))</f>
        <v/>
      </c>
      <c r="D1146" s="32">
        <f>IF(OR($K$1142="",설정!$B$17=""),"",IF(N(INDEX(직원목록!$N$7:$N$306,$K$1142))=0,"",INDEX(직원목록!$N$7:$N$306,$K$1142)&amp;"시간"))</f>
        <v/>
      </c>
      <c r="F1146" s="4">
        <f>IF($K$1142="","",IF(설정!$B$26="","",설정!$B$26))</f>
        <v/>
      </c>
      <c r="G1146" s="31">
        <f>IF(OR($K$1142="",설정!$B$26=""),"",INDEX(직원목록!$W$7:$W$306,$K$1142))</f>
        <v/>
      </c>
      <c r="H1146" s="19" t="n"/>
    </row>
    <row r="1147">
      <c r="B1147" s="4">
        <f>IF($K$1142="","",IF(설정!$B$18="","",설정!$B$18))</f>
        <v/>
      </c>
      <c r="C1147" s="31">
        <f>IF(OR($K$1142="",설정!$B$18=""),"",INDEX(직원목록!$G$7:$G$306,$K$1142))</f>
        <v/>
      </c>
      <c r="D1147" s="32">
        <f>IF(OR($K$1142="",설정!$B$18=""),"",IF(N(INDEX(직원목록!$O$7:$O$306,$K$1142))=0,"",INDEX(직원목록!$O$7:$O$306,$K$1142)&amp;"시간"))</f>
        <v/>
      </c>
      <c r="F1147" s="4">
        <f>IF($K$1142="","",IF(설정!$B$27="","",설정!$B$27))</f>
        <v/>
      </c>
      <c r="G1147" s="31">
        <f>IF(OR($K$1142="",설정!$B$27=""),"",INDEX(직원목록!$X$7:$X$306,$K$1142))</f>
        <v/>
      </c>
      <c r="H1147" s="19" t="n"/>
    </row>
    <row r="1148">
      <c r="B1148" s="4">
        <f>IF($K$1142="","",IF(설정!$B$19="","",설정!$B$19))</f>
        <v/>
      </c>
      <c r="C1148" s="31">
        <f>IF(OR($K$1142="",설정!$B$19=""),"",INDEX(직원목록!$H$7:$H$306,$K$1142))</f>
        <v/>
      </c>
      <c r="D1148" s="32">
        <f>IF(OR($K$1142="",설정!$B$19=""),"",IF(N(INDEX(직원목록!$P$7:$P$306,$K$1142))=0,"",INDEX(직원목록!$P$7:$P$306,$K$1142)&amp;"시간"))</f>
        <v/>
      </c>
      <c r="F1148" s="4">
        <f>IF($K$1142="","",IF(설정!$B$28="","",설정!$B$28))</f>
        <v/>
      </c>
      <c r="G1148" s="31">
        <f>IF(OR($K$1142="",설정!$B$28=""),"",INDEX(직원목록!$Y$7:$Y$306,$K$1142))</f>
        <v/>
      </c>
      <c r="H1148" s="19" t="n"/>
    </row>
    <row r="1149">
      <c r="B1149" s="4">
        <f>IF($K$1142="","",IF(설정!$B$20="","",설정!$B$20))</f>
        <v/>
      </c>
      <c r="C1149" s="31">
        <f>IF(OR($K$1142="",설정!$B$20=""),"",INDEX(직원목록!$I$7:$I$306,$K$1142))</f>
        <v/>
      </c>
      <c r="D1149" s="32">
        <f>IF(OR($K$1142="",설정!$B$20=""),"",IF(N(INDEX(직원목록!$Q$7:$Q$306,$K$1142))=0,"",INDEX(직원목록!$Q$7:$Q$306,$K$1142)&amp;"시간"))</f>
        <v/>
      </c>
      <c r="F1149" s="4">
        <f>IF($K$1142="","",IF(설정!$B$29="","",설정!$B$29))</f>
        <v/>
      </c>
      <c r="G1149" s="31">
        <f>IF(OR($K$1142="",설정!$B$29=""),"",INDEX(직원목록!$Z$7:$Z$306,$K$1142))</f>
        <v/>
      </c>
      <c r="H1149" s="19" t="n"/>
    </row>
    <row r="1150">
      <c r="B1150" s="4">
        <f>IF($K$1142="","",IF(설정!$B$21="","",설정!$B$21))</f>
        <v/>
      </c>
      <c r="C1150" s="31">
        <f>IF(OR($K$1142="",설정!$B$21=""),"",INDEX(직원목록!$J$7:$J$306,$K$1142))</f>
        <v/>
      </c>
      <c r="D1150" s="32">
        <f>IF(OR($K$1142="",설정!$B$21=""),"",IF(N(INDEX(직원목록!$R$7:$R$306,$K$1142))=0,"",INDEX(직원목록!$R$7:$R$306,$K$1142)&amp;"시간"))</f>
        <v/>
      </c>
      <c r="F1150" s="4">
        <f>IF($K$1142="","",IF(설정!$B$30="","",설정!$B$30))</f>
        <v/>
      </c>
      <c r="G1150" s="31">
        <f>IF(OR($K$1142="",설정!$B$30=""),"",INDEX(직원목록!$AA$7:$AA$306,$K$1142))</f>
        <v/>
      </c>
      <c r="H1150" s="19" t="n"/>
    </row>
    <row r="1151">
      <c r="B1151" s="4">
        <f>IF($K$1142="","",IF(설정!$B$22="","",설정!$B$22))</f>
        <v/>
      </c>
      <c r="C1151" s="31">
        <f>IF(OR($K$1142="",설정!$B$22=""),"",INDEX(직원목록!$K$7:$K$306,$K$1142))</f>
        <v/>
      </c>
      <c r="D1151" s="32">
        <f>IF(OR($K$1142="",설정!$B$22=""),"",IF(N(INDEX(직원목록!$S$7:$S$306,$K$1142))=0,"",INDEX(직원목록!$S$7:$S$306,$K$1142)&amp;"시간"))</f>
        <v/>
      </c>
      <c r="F1151" s="4">
        <f>IF($K$1142="","",IF(설정!$B$31="","",설정!$B$31))</f>
        <v/>
      </c>
      <c r="G1151" s="31">
        <f>IF(OR($K$1142="",설정!$B$31=""),"",INDEX(직원목록!$AB$7:$AB$306,$K$1142))</f>
        <v/>
      </c>
      <c r="H1151" s="19" t="n"/>
    </row>
    <row r="1152">
      <c r="B1152" s="4">
        <f>IF($K$1142="","",IF(설정!$B$23="","",설정!$B$23))</f>
        <v/>
      </c>
      <c r="C1152" s="31">
        <f>IF(OR($K$1142="",설정!$B$23=""),"",INDEX(직원목록!$L$7:$L$306,$K$1142))</f>
        <v/>
      </c>
      <c r="D1152" s="32">
        <f>IF(OR($K$1142="",설정!$B$23=""),"",IF(N(INDEX(직원목록!$T$7:$T$306,$K$1142))=0,"",INDEX(직원목록!$T$7:$T$306,$K$1142)&amp;"시간"))</f>
        <v/>
      </c>
      <c r="F1152" s="4">
        <f>IF($K$1142="","",IF(설정!$B$32="","",설정!$B$32))</f>
        <v/>
      </c>
      <c r="G1152" s="31">
        <f>IF(OR($K$1142="",설정!$B$32=""),"",INDEX(직원목록!$AC$7:$AC$306,$K$1142))</f>
        <v/>
      </c>
      <c r="H1152" s="19" t="n"/>
    </row>
    <row r="1153">
      <c r="B1153" s="4">
        <f>IF($K$1142="","",IF(설정!$B$24="","",설정!$B$24))</f>
        <v/>
      </c>
      <c r="C1153" s="31">
        <f>IF(OR($K$1142="",설정!$B$24=""),"",INDEX(직원목록!$M$7:$M$306,$K$1142))</f>
        <v/>
      </c>
      <c r="D1153" s="32">
        <f>IF(OR($K$1142="",설정!$B$24=""),"",IF(N(INDEX(직원목록!$U$7:$U$306,$K$1142))=0,"",INDEX(직원목록!$U$7:$U$306,$K$1142)&amp;"시간"))</f>
        <v/>
      </c>
      <c r="F1153" s="4">
        <f>IF($K$1142="","",IF(설정!$B$33="","",설정!$B$33))</f>
        <v/>
      </c>
      <c r="G1153" s="31">
        <f>IF(OR($K$1142="",설정!$B$33=""),"",INDEX(직원목록!$AD$7:$AD$306,$K$1142))</f>
        <v/>
      </c>
      <c r="H1153" s="19" t="n"/>
    </row>
    <row r="1154">
      <c r="B1154" s="3" t="inlineStr">
        <is>
          <t>지급 합계</t>
        </is>
      </c>
      <c r="C1154" s="35">
        <f>IF($K$1142="","",INDEX(직원목록!$V$7:$V$306,$K$1142))</f>
        <v/>
      </c>
      <c r="D1154" s="36" t="n"/>
      <c r="F1154" s="3" t="inlineStr">
        <is>
          <t>공제 합계</t>
        </is>
      </c>
      <c r="G1154" s="35">
        <f>IF($K$1142="","",INDEX(직원목록!$AE$7:$AE$306,$K$1142))</f>
        <v/>
      </c>
      <c r="H1154" s="36" t="n"/>
    </row>
    <row r="1155" ht="28" customHeight="1">
      <c r="B1155" s="37" t="inlineStr">
        <is>
          <t>실 수령액 (지급 합계 − 공제 합계)</t>
        </is>
      </c>
      <c r="C1155" s="29" t="n"/>
      <c r="D1155" s="29" t="n"/>
      <c r="E1155" s="38">
        <f>IF($K$1142="","",INDEX(직원목록!$AF$7:$AF$306,$K$1142))</f>
        <v/>
      </c>
      <c r="F1155" s="29" t="n"/>
      <c r="G1155" s="29" t="n"/>
      <c r="H1155" s="29" t="n"/>
    </row>
    <row r="1156">
      <c r="B1156" s="39">
        <f>IF($K$1142="","",설정!$B$7)</f>
        <v/>
      </c>
    </row>
    <row r="1172" ht="30" customHeight="1">
      <c r="B1172" s="28">
        <f>IF($K$1172="","","임금명세서  ("&amp;설정!$B$5&amp;")")</f>
        <v/>
      </c>
      <c r="K1172" s="34">
        <f>IFERROR(MATCH(40,직원목록!$B$7:$B$306,0),"")</f>
        <v/>
      </c>
    </row>
    <row r="1173">
      <c r="B1173" s="7" t="inlineStr">
        <is>
          <t>회사명</t>
        </is>
      </c>
      <c r="C1173" s="21">
        <f>IF($K$1172="","",설정!$B$4)</f>
        <v/>
      </c>
      <c r="D1173" s="29" t="n"/>
      <c r="E1173" s="19" t="n"/>
      <c r="F1173" s="7" t="inlineStr">
        <is>
          <t>임금 지급일</t>
        </is>
      </c>
      <c r="G1173" s="21">
        <f>IF($K$1172="","",TEXT(설정!$B$6,"yyyy-mm-dd"))</f>
        <v/>
      </c>
      <c r="H1173" s="29" t="n"/>
    </row>
    <row r="1174">
      <c r="B1174" s="7" t="inlineStr">
        <is>
          <t>성명</t>
        </is>
      </c>
      <c r="C1174" s="22">
        <f>IF($K$1172="","",INDEX(직원목록!$D$7:$D$306,$K$1172))</f>
        <v/>
      </c>
      <c r="D1174" s="7" t="inlineStr">
        <is>
          <t>사번</t>
        </is>
      </c>
      <c r="E1174" s="21">
        <f>IF($K$1172="","",INDEX(직원목록!$C$7:$C$306,$K$1172))</f>
        <v/>
      </c>
      <c r="F1174" s="7" t="inlineStr">
        <is>
          <t>부서</t>
        </is>
      </c>
      <c r="G1174" s="21">
        <f>IF($K$1172="","",INDEX(직원목록!$E$7:$E$306,$K$1172))</f>
        <v/>
      </c>
      <c r="H1174" s="29" t="n"/>
    </row>
    <row r="1175">
      <c r="B1175" s="12" t="inlineStr">
        <is>
          <t>지급 항목</t>
        </is>
      </c>
      <c r="C1175" s="12" t="inlineStr">
        <is>
          <t>금액(원)</t>
        </is>
      </c>
      <c r="D1175" s="12" t="inlineStr">
        <is>
          <t>계산 근거</t>
        </is>
      </c>
      <c r="E1175" s="2" t="n"/>
      <c r="F1175" s="12" t="inlineStr">
        <is>
          <t>공제 항목</t>
        </is>
      </c>
      <c r="G1175" s="12" t="inlineStr">
        <is>
          <t>금액(원)</t>
        </is>
      </c>
      <c r="H1175" s="12" t="n"/>
    </row>
    <row r="1176">
      <c r="B1176" s="4">
        <f>IF($K$1172="","",IF(설정!$B$17="","",설정!$B$17))</f>
        <v/>
      </c>
      <c r="C1176" s="31">
        <f>IF(OR($K$1172="",설정!$B$17=""),"",INDEX(직원목록!$F$7:$F$306,$K$1172))</f>
        <v/>
      </c>
      <c r="D1176" s="32">
        <f>IF(OR($K$1172="",설정!$B$17=""),"",IF(N(INDEX(직원목록!$N$7:$N$306,$K$1172))=0,"",INDEX(직원목록!$N$7:$N$306,$K$1172)&amp;"시간"))</f>
        <v/>
      </c>
      <c r="F1176" s="4">
        <f>IF($K$1172="","",IF(설정!$B$26="","",설정!$B$26))</f>
        <v/>
      </c>
      <c r="G1176" s="31">
        <f>IF(OR($K$1172="",설정!$B$26=""),"",INDEX(직원목록!$W$7:$W$306,$K$1172))</f>
        <v/>
      </c>
      <c r="H1176" s="19" t="n"/>
    </row>
    <row r="1177">
      <c r="B1177" s="4">
        <f>IF($K$1172="","",IF(설정!$B$18="","",설정!$B$18))</f>
        <v/>
      </c>
      <c r="C1177" s="31">
        <f>IF(OR($K$1172="",설정!$B$18=""),"",INDEX(직원목록!$G$7:$G$306,$K$1172))</f>
        <v/>
      </c>
      <c r="D1177" s="32">
        <f>IF(OR($K$1172="",설정!$B$18=""),"",IF(N(INDEX(직원목록!$O$7:$O$306,$K$1172))=0,"",INDEX(직원목록!$O$7:$O$306,$K$1172)&amp;"시간"))</f>
        <v/>
      </c>
      <c r="F1177" s="4">
        <f>IF($K$1172="","",IF(설정!$B$27="","",설정!$B$27))</f>
        <v/>
      </c>
      <c r="G1177" s="31">
        <f>IF(OR($K$1172="",설정!$B$27=""),"",INDEX(직원목록!$X$7:$X$306,$K$1172))</f>
        <v/>
      </c>
      <c r="H1177" s="19" t="n"/>
    </row>
    <row r="1178">
      <c r="B1178" s="4">
        <f>IF($K$1172="","",IF(설정!$B$19="","",설정!$B$19))</f>
        <v/>
      </c>
      <c r="C1178" s="31">
        <f>IF(OR($K$1172="",설정!$B$19=""),"",INDEX(직원목록!$H$7:$H$306,$K$1172))</f>
        <v/>
      </c>
      <c r="D1178" s="32">
        <f>IF(OR($K$1172="",설정!$B$19=""),"",IF(N(INDEX(직원목록!$P$7:$P$306,$K$1172))=0,"",INDEX(직원목록!$P$7:$P$306,$K$1172)&amp;"시간"))</f>
        <v/>
      </c>
      <c r="F1178" s="4">
        <f>IF($K$1172="","",IF(설정!$B$28="","",설정!$B$28))</f>
        <v/>
      </c>
      <c r="G1178" s="31">
        <f>IF(OR($K$1172="",설정!$B$28=""),"",INDEX(직원목록!$Y$7:$Y$306,$K$1172))</f>
        <v/>
      </c>
      <c r="H1178" s="19" t="n"/>
    </row>
    <row r="1179">
      <c r="B1179" s="4">
        <f>IF($K$1172="","",IF(설정!$B$20="","",설정!$B$20))</f>
        <v/>
      </c>
      <c r="C1179" s="31">
        <f>IF(OR($K$1172="",설정!$B$20=""),"",INDEX(직원목록!$I$7:$I$306,$K$1172))</f>
        <v/>
      </c>
      <c r="D1179" s="32">
        <f>IF(OR($K$1172="",설정!$B$20=""),"",IF(N(INDEX(직원목록!$Q$7:$Q$306,$K$1172))=0,"",INDEX(직원목록!$Q$7:$Q$306,$K$1172)&amp;"시간"))</f>
        <v/>
      </c>
      <c r="F1179" s="4">
        <f>IF($K$1172="","",IF(설정!$B$29="","",설정!$B$29))</f>
        <v/>
      </c>
      <c r="G1179" s="31">
        <f>IF(OR($K$1172="",설정!$B$29=""),"",INDEX(직원목록!$Z$7:$Z$306,$K$1172))</f>
        <v/>
      </c>
      <c r="H1179" s="19" t="n"/>
    </row>
    <row r="1180">
      <c r="B1180" s="4">
        <f>IF($K$1172="","",IF(설정!$B$21="","",설정!$B$21))</f>
        <v/>
      </c>
      <c r="C1180" s="31">
        <f>IF(OR($K$1172="",설정!$B$21=""),"",INDEX(직원목록!$J$7:$J$306,$K$1172))</f>
        <v/>
      </c>
      <c r="D1180" s="32">
        <f>IF(OR($K$1172="",설정!$B$21=""),"",IF(N(INDEX(직원목록!$R$7:$R$306,$K$1172))=0,"",INDEX(직원목록!$R$7:$R$306,$K$1172)&amp;"시간"))</f>
        <v/>
      </c>
      <c r="F1180" s="4">
        <f>IF($K$1172="","",IF(설정!$B$30="","",설정!$B$30))</f>
        <v/>
      </c>
      <c r="G1180" s="31">
        <f>IF(OR($K$1172="",설정!$B$30=""),"",INDEX(직원목록!$AA$7:$AA$306,$K$1172))</f>
        <v/>
      </c>
      <c r="H1180" s="19" t="n"/>
    </row>
    <row r="1181">
      <c r="B1181" s="4">
        <f>IF($K$1172="","",IF(설정!$B$22="","",설정!$B$22))</f>
        <v/>
      </c>
      <c r="C1181" s="31">
        <f>IF(OR($K$1172="",설정!$B$22=""),"",INDEX(직원목록!$K$7:$K$306,$K$1172))</f>
        <v/>
      </c>
      <c r="D1181" s="32">
        <f>IF(OR($K$1172="",설정!$B$22=""),"",IF(N(INDEX(직원목록!$S$7:$S$306,$K$1172))=0,"",INDEX(직원목록!$S$7:$S$306,$K$1172)&amp;"시간"))</f>
        <v/>
      </c>
      <c r="F1181" s="4">
        <f>IF($K$1172="","",IF(설정!$B$31="","",설정!$B$31))</f>
        <v/>
      </c>
      <c r="G1181" s="31">
        <f>IF(OR($K$1172="",설정!$B$31=""),"",INDEX(직원목록!$AB$7:$AB$306,$K$1172))</f>
        <v/>
      </c>
      <c r="H1181" s="19" t="n"/>
    </row>
    <row r="1182">
      <c r="B1182" s="4">
        <f>IF($K$1172="","",IF(설정!$B$23="","",설정!$B$23))</f>
        <v/>
      </c>
      <c r="C1182" s="31">
        <f>IF(OR($K$1172="",설정!$B$23=""),"",INDEX(직원목록!$L$7:$L$306,$K$1172))</f>
        <v/>
      </c>
      <c r="D1182" s="32">
        <f>IF(OR($K$1172="",설정!$B$23=""),"",IF(N(INDEX(직원목록!$T$7:$T$306,$K$1172))=0,"",INDEX(직원목록!$T$7:$T$306,$K$1172)&amp;"시간"))</f>
        <v/>
      </c>
      <c r="F1182" s="4">
        <f>IF($K$1172="","",IF(설정!$B$32="","",설정!$B$32))</f>
        <v/>
      </c>
      <c r="G1182" s="31">
        <f>IF(OR($K$1172="",설정!$B$32=""),"",INDEX(직원목록!$AC$7:$AC$306,$K$1172))</f>
        <v/>
      </c>
      <c r="H1182" s="19" t="n"/>
    </row>
    <row r="1183">
      <c r="B1183" s="4">
        <f>IF($K$1172="","",IF(설정!$B$24="","",설정!$B$24))</f>
        <v/>
      </c>
      <c r="C1183" s="31">
        <f>IF(OR($K$1172="",설정!$B$24=""),"",INDEX(직원목록!$M$7:$M$306,$K$1172))</f>
        <v/>
      </c>
      <c r="D1183" s="32">
        <f>IF(OR($K$1172="",설정!$B$24=""),"",IF(N(INDEX(직원목록!$U$7:$U$306,$K$1172))=0,"",INDEX(직원목록!$U$7:$U$306,$K$1172)&amp;"시간"))</f>
        <v/>
      </c>
      <c r="F1183" s="4">
        <f>IF($K$1172="","",IF(설정!$B$33="","",설정!$B$33))</f>
        <v/>
      </c>
      <c r="G1183" s="31">
        <f>IF(OR($K$1172="",설정!$B$33=""),"",INDEX(직원목록!$AD$7:$AD$306,$K$1172))</f>
        <v/>
      </c>
      <c r="H1183" s="19" t="n"/>
    </row>
    <row r="1184">
      <c r="B1184" s="3" t="inlineStr">
        <is>
          <t>지급 합계</t>
        </is>
      </c>
      <c r="C1184" s="35">
        <f>IF($K$1172="","",INDEX(직원목록!$V$7:$V$306,$K$1172))</f>
        <v/>
      </c>
      <c r="D1184" s="36" t="n"/>
      <c r="F1184" s="3" t="inlineStr">
        <is>
          <t>공제 합계</t>
        </is>
      </c>
      <c r="G1184" s="35">
        <f>IF($K$1172="","",INDEX(직원목록!$AE$7:$AE$306,$K$1172))</f>
        <v/>
      </c>
      <c r="H1184" s="36" t="n"/>
    </row>
    <row r="1185" ht="28" customHeight="1">
      <c r="B1185" s="37" t="inlineStr">
        <is>
          <t>실 수령액 (지급 합계 − 공제 합계)</t>
        </is>
      </c>
      <c r="C1185" s="29" t="n"/>
      <c r="D1185" s="29" t="n"/>
      <c r="E1185" s="38">
        <f>IF($K$1172="","",INDEX(직원목록!$AF$7:$AF$306,$K$1172))</f>
        <v/>
      </c>
      <c r="F1185" s="29" t="n"/>
      <c r="G1185" s="29" t="n"/>
      <c r="H1185" s="29" t="n"/>
    </row>
    <row r="1186">
      <c r="B1186" s="39">
        <f>IF($K$1172="","",설정!$B$7)</f>
        <v/>
      </c>
    </row>
    <row r="1202" ht="30" customHeight="1">
      <c r="B1202" s="28">
        <f>IF($K$1202="","","임금명세서  ("&amp;설정!$B$5&amp;")")</f>
        <v/>
      </c>
      <c r="K1202" s="34">
        <f>IFERROR(MATCH(41,직원목록!$B$7:$B$306,0),"")</f>
        <v/>
      </c>
    </row>
    <row r="1203">
      <c r="B1203" s="7" t="inlineStr">
        <is>
          <t>회사명</t>
        </is>
      </c>
      <c r="C1203" s="21">
        <f>IF($K$1202="","",설정!$B$4)</f>
        <v/>
      </c>
      <c r="D1203" s="29" t="n"/>
      <c r="E1203" s="19" t="n"/>
      <c r="F1203" s="7" t="inlineStr">
        <is>
          <t>임금 지급일</t>
        </is>
      </c>
      <c r="G1203" s="21">
        <f>IF($K$1202="","",TEXT(설정!$B$6,"yyyy-mm-dd"))</f>
        <v/>
      </c>
      <c r="H1203" s="29" t="n"/>
    </row>
    <row r="1204">
      <c r="B1204" s="7" t="inlineStr">
        <is>
          <t>성명</t>
        </is>
      </c>
      <c r="C1204" s="22">
        <f>IF($K$1202="","",INDEX(직원목록!$D$7:$D$306,$K$1202))</f>
        <v/>
      </c>
      <c r="D1204" s="7" t="inlineStr">
        <is>
          <t>사번</t>
        </is>
      </c>
      <c r="E1204" s="21">
        <f>IF($K$1202="","",INDEX(직원목록!$C$7:$C$306,$K$1202))</f>
        <v/>
      </c>
      <c r="F1204" s="7" t="inlineStr">
        <is>
          <t>부서</t>
        </is>
      </c>
      <c r="G1204" s="21">
        <f>IF($K$1202="","",INDEX(직원목록!$E$7:$E$306,$K$1202))</f>
        <v/>
      </c>
      <c r="H1204" s="29" t="n"/>
    </row>
    <row r="1205">
      <c r="B1205" s="12" t="inlineStr">
        <is>
          <t>지급 항목</t>
        </is>
      </c>
      <c r="C1205" s="12" t="inlineStr">
        <is>
          <t>금액(원)</t>
        </is>
      </c>
      <c r="D1205" s="12" t="inlineStr">
        <is>
          <t>계산 근거</t>
        </is>
      </c>
      <c r="E1205" s="2" t="n"/>
      <c r="F1205" s="12" t="inlineStr">
        <is>
          <t>공제 항목</t>
        </is>
      </c>
      <c r="G1205" s="12" t="inlineStr">
        <is>
          <t>금액(원)</t>
        </is>
      </c>
      <c r="H1205" s="12" t="n"/>
    </row>
    <row r="1206">
      <c r="B1206" s="4">
        <f>IF($K$1202="","",IF(설정!$B$17="","",설정!$B$17))</f>
        <v/>
      </c>
      <c r="C1206" s="31">
        <f>IF(OR($K$1202="",설정!$B$17=""),"",INDEX(직원목록!$F$7:$F$306,$K$1202))</f>
        <v/>
      </c>
      <c r="D1206" s="32">
        <f>IF(OR($K$1202="",설정!$B$17=""),"",IF(N(INDEX(직원목록!$N$7:$N$306,$K$1202))=0,"",INDEX(직원목록!$N$7:$N$306,$K$1202)&amp;"시간"))</f>
        <v/>
      </c>
      <c r="F1206" s="4">
        <f>IF($K$1202="","",IF(설정!$B$26="","",설정!$B$26))</f>
        <v/>
      </c>
      <c r="G1206" s="31">
        <f>IF(OR($K$1202="",설정!$B$26=""),"",INDEX(직원목록!$W$7:$W$306,$K$1202))</f>
        <v/>
      </c>
      <c r="H1206" s="19" t="n"/>
    </row>
    <row r="1207">
      <c r="B1207" s="4">
        <f>IF($K$1202="","",IF(설정!$B$18="","",설정!$B$18))</f>
        <v/>
      </c>
      <c r="C1207" s="31">
        <f>IF(OR($K$1202="",설정!$B$18=""),"",INDEX(직원목록!$G$7:$G$306,$K$1202))</f>
        <v/>
      </c>
      <c r="D1207" s="32">
        <f>IF(OR($K$1202="",설정!$B$18=""),"",IF(N(INDEX(직원목록!$O$7:$O$306,$K$1202))=0,"",INDEX(직원목록!$O$7:$O$306,$K$1202)&amp;"시간"))</f>
        <v/>
      </c>
      <c r="F1207" s="4">
        <f>IF($K$1202="","",IF(설정!$B$27="","",설정!$B$27))</f>
        <v/>
      </c>
      <c r="G1207" s="31">
        <f>IF(OR($K$1202="",설정!$B$27=""),"",INDEX(직원목록!$X$7:$X$306,$K$1202))</f>
        <v/>
      </c>
      <c r="H1207" s="19" t="n"/>
    </row>
    <row r="1208">
      <c r="B1208" s="4">
        <f>IF($K$1202="","",IF(설정!$B$19="","",설정!$B$19))</f>
        <v/>
      </c>
      <c r="C1208" s="31">
        <f>IF(OR($K$1202="",설정!$B$19=""),"",INDEX(직원목록!$H$7:$H$306,$K$1202))</f>
        <v/>
      </c>
      <c r="D1208" s="32">
        <f>IF(OR($K$1202="",설정!$B$19=""),"",IF(N(INDEX(직원목록!$P$7:$P$306,$K$1202))=0,"",INDEX(직원목록!$P$7:$P$306,$K$1202)&amp;"시간"))</f>
        <v/>
      </c>
      <c r="F1208" s="4">
        <f>IF($K$1202="","",IF(설정!$B$28="","",설정!$B$28))</f>
        <v/>
      </c>
      <c r="G1208" s="31">
        <f>IF(OR($K$1202="",설정!$B$28=""),"",INDEX(직원목록!$Y$7:$Y$306,$K$1202))</f>
        <v/>
      </c>
      <c r="H1208" s="19" t="n"/>
    </row>
    <row r="1209">
      <c r="B1209" s="4">
        <f>IF($K$1202="","",IF(설정!$B$20="","",설정!$B$20))</f>
        <v/>
      </c>
      <c r="C1209" s="31">
        <f>IF(OR($K$1202="",설정!$B$20=""),"",INDEX(직원목록!$I$7:$I$306,$K$1202))</f>
        <v/>
      </c>
      <c r="D1209" s="32">
        <f>IF(OR($K$1202="",설정!$B$20=""),"",IF(N(INDEX(직원목록!$Q$7:$Q$306,$K$1202))=0,"",INDEX(직원목록!$Q$7:$Q$306,$K$1202)&amp;"시간"))</f>
        <v/>
      </c>
      <c r="F1209" s="4">
        <f>IF($K$1202="","",IF(설정!$B$29="","",설정!$B$29))</f>
        <v/>
      </c>
      <c r="G1209" s="31">
        <f>IF(OR($K$1202="",설정!$B$29=""),"",INDEX(직원목록!$Z$7:$Z$306,$K$1202))</f>
        <v/>
      </c>
      <c r="H1209" s="19" t="n"/>
    </row>
    <row r="1210">
      <c r="B1210" s="4">
        <f>IF($K$1202="","",IF(설정!$B$21="","",설정!$B$21))</f>
        <v/>
      </c>
      <c r="C1210" s="31">
        <f>IF(OR($K$1202="",설정!$B$21=""),"",INDEX(직원목록!$J$7:$J$306,$K$1202))</f>
        <v/>
      </c>
      <c r="D1210" s="32">
        <f>IF(OR($K$1202="",설정!$B$21=""),"",IF(N(INDEX(직원목록!$R$7:$R$306,$K$1202))=0,"",INDEX(직원목록!$R$7:$R$306,$K$1202)&amp;"시간"))</f>
        <v/>
      </c>
      <c r="F1210" s="4">
        <f>IF($K$1202="","",IF(설정!$B$30="","",설정!$B$30))</f>
        <v/>
      </c>
      <c r="G1210" s="31">
        <f>IF(OR($K$1202="",설정!$B$30=""),"",INDEX(직원목록!$AA$7:$AA$306,$K$1202))</f>
        <v/>
      </c>
      <c r="H1210" s="19" t="n"/>
    </row>
    <row r="1211">
      <c r="B1211" s="4">
        <f>IF($K$1202="","",IF(설정!$B$22="","",설정!$B$22))</f>
        <v/>
      </c>
      <c r="C1211" s="31">
        <f>IF(OR($K$1202="",설정!$B$22=""),"",INDEX(직원목록!$K$7:$K$306,$K$1202))</f>
        <v/>
      </c>
      <c r="D1211" s="32">
        <f>IF(OR($K$1202="",설정!$B$22=""),"",IF(N(INDEX(직원목록!$S$7:$S$306,$K$1202))=0,"",INDEX(직원목록!$S$7:$S$306,$K$1202)&amp;"시간"))</f>
        <v/>
      </c>
      <c r="F1211" s="4">
        <f>IF($K$1202="","",IF(설정!$B$31="","",설정!$B$31))</f>
        <v/>
      </c>
      <c r="G1211" s="31">
        <f>IF(OR($K$1202="",설정!$B$31=""),"",INDEX(직원목록!$AB$7:$AB$306,$K$1202))</f>
        <v/>
      </c>
      <c r="H1211" s="19" t="n"/>
    </row>
    <row r="1212">
      <c r="B1212" s="4">
        <f>IF($K$1202="","",IF(설정!$B$23="","",설정!$B$23))</f>
        <v/>
      </c>
      <c r="C1212" s="31">
        <f>IF(OR($K$1202="",설정!$B$23=""),"",INDEX(직원목록!$L$7:$L$306,$K$1202))</f>
        <v/>
      </c>
      <c r="D1212" s="32">
        <f>IF(OR($K$1202="",설정!$B$23=""),"",IF(N(INDEX(직원목록!$T$7:$T$306,$K$1202))=0,"",INDEX(직원목록!$T$7:$T$306,$K$1202)&amp;"시간"))</f>
        <v/>
      </c>
      <c r="F1212" s="4">
        <f>IF($K$1202="","",IF(설정!$B$32="","",설정!$B$32))</f>
        <v/>
      </c>
      <c r="G1212" s="31">
        <f>IF(OR($K$1202="",설정!$B$32=""),"",INDEX(직원목록!$AC$7:$AC$306,$K$1202))</f>
        <v/>
      </c>
      <c r="H1212" s="19" t="n"/>
    </row>
    <row r="1213">
      <c r="B1213" s="4">
        <f>IF($K$1202="","",IF(설정!$B$24="","",설정!$B$24))</f>
        <v/>
      </c>
      <c r="C1213" s="31">
        <f>IF(OR($K$1202="",설정!$B$24=""),"",INDEX(직원목록!$M$7:$M$306,$K$1202))</f>
        <v/>
      </c>
      <c r="D1213" s="32">
        <f>IF(OR($K$1202="",설정!$B$24=""),"",IF(N(INDEX(직원목록!$U$7:$U$306,$K$1202))=0,"",INDEX(직원목록!$U$7:$U$306,$K$1202)&amp;"시간"))</f>
        <v/>
      </c>
      <c r="F1213" s="4">
        <f>IF($K$1202="","",IF(설정!$B$33="","",설정!$B$33))</f>
        <v/>
      </c>
      <c r="G1213" s="31">
        <f>IF(OR($K$1202="",설정!$B$33=""),"",INDEX(직원목록!$AD$7:$AD$306,$K$1202))</f>
        <v/>
      </c>
      <c r="H1213" s="19" t="n"/>
    </row>
    <row r="1214">
      <c r="B1214" s="3" t="inlineStr">
        <is>
          <t>지급 합계</t>
        </is>
      </c>
      <c r="C1214" s="35">
        <f>IF($K$1202="","",INDEX(직원목록!$V$7:$V$306,$K$1202))</f>
        <v/>
      </c>
      <c r="D1214" s="36" t="n"/>
      <c r="F1214" s="3" t="inlineStr">
        <is>
          <t>공제 합계</t>
        </is>
      </c>
      <c r="G1214" s="35">
        <f>IF($K$1202="","",INDEX(직원목록!$AE$7:$AE$306,$K$1202))</f>
        <v/>
      </c>
      <c r="H1214" s="36" t="n"/>
    </row>
    <row r="1215" ht="28" customHeight="1">
      <c r="B1215" s="37" t="inlineStr">
        <is>
          <t>실 수령액 (지급 합계 − 공제 합계)</t>
        </is>
      </c>
      <c r="C1215" s="29" t="n"/>
      <c r="D1215" s="29" t="n"/>
      <c r="E1215" s="38">
        <f>IF($K$1202="","",INDEX(직원목록!$AF$7:$AF$306,$K$1202))</f>
        <v/>
      </c>
      <c r="F1215" s="29" t="n"/>
      <c r="G1215" s="29" t="n"/>
      <c r="H1215" s="29" t="n"/>
    </row>
    <row r="1216">
      <c r="B1216" s="39">
        <f>IF($K$1202="","",설정!$B$7)</f>
        <v/>
      </c>
    </row>
    <row r="1232" ht="30" customHeight="1">
      <c r="B1232" s="28">
        <f>IF($K$1232="","","임금명세서  ("&amp;설정!$B$5&amp;")")</f>
        <v/>
      </c>
      <c r="K1232" s="34">
        <f>IFERROR(MATCH(42,직원목록!$B$7:$B$306,0),"")</f>
        <v/>
      </c>
    </row>
    <row r="1233">
      <c r="B1233" s="7" t="inlineStr">
        <is>
          <t>회사명</t>
        </is>
      </c>
      <c r="C1233" s="21">
        <f>IF($K$1232="","",설정!$B$4)</f>
        <v/>
      </c>
      <c r="D1233" s="29" t="n"/>
      <c r="E1233" s="19" t="n"/>
      <c r="F1233" s="7" t="inlineStr">
        <is>
          <t>임금 지급일</t>
        </is>
      </c>
      <c r="G1233" s="21">
        <f>IF($K$1232="","",TEXT(설정!$B$6,"yyyy-mm-dd"))</f>
        <v/>
      </c>
      <c r="H1233" s="29" t="n"/>
    </row>
    <row r="1234">
      <c r="B1234" s="7" t="inlineStr">
        <is>
          <t>성명</t>
        </is>
      </c>
      <c r="C1234" s="22">
        <f>IF($K$1232="","",INDEX(직원목록!$D$7:$D$306,$K$1232))</f>
        <v/>
      </c>
      <c r="D1234" s="7" t="inlineStr">
        <is>
          <t>사번</t>
        </is>
      </c>
      <c r="E1234" s="21">
        <f>IF($K$1232="","",INDEX(직원목록!$C$7:$C$306,$K$1232))</f>
        <v/>
      </c>
      <c r="F1234" s="7" t="inlineStr">
        <is>
          <t>부서</t>
        </is>
      </c>
      <c r="G1234" s="21">
        <f>IF($K$1232="","",INDEX(직원목록!$E$7:$E$306,$K$1232))</f>
        <v/>
      </c>
      <c r="H1234" s="29" t="n"/>
    </row>
    <row r="1235">
      <c r="B1235" s="12" t="inlineStr">
        <is>
          <t>지급 항목</t>
        </is>
      </c>
      <c r="C1235" s="12" t="inlineStr">
        <is>
          <t>금액(원)</t>
        </is>
      </c>
      <c r="D1235" s="12" t="inlineStr">
        <is>
          <t>계산 근거</t>
        </is>
      </c>
      <c r="E1235" s="2" t="n"/>
      <c r="F1235" s="12" t="inlineStr">
        <is>
          <t>공제 항목</t>
        </is>
      </c>
      <c r="G1235" s="12" t="inlineStr">
        <is>
          <t>금액(원)</t>
        </is>
      </c>
      <c r="H1235" s="12" t="n"/>
    </row>
    <row r="1236">
      <c r="B1236" s="4">
        <f>IF($K$1232="","",IF(설정!$B$17="","",설정!$B$17))</f>
        <v/>
      </c>
      <c r="C1236" s="31">
        <f>IF(OR($K$1232="",설정!$B$17=""),"",INDEX(직원목록!$F$7:$F$306,$K$1232))</f>
        <v/>
      </c>
      <c r="D1236" s="32">
        <f>IF(OR($K$1232="",설정!$B$17=""),"",IF(N(INDEX(직원목록!$N$7:$N$306,$K$1232))=0,"",INDEX(직원목록!$N$7:$N$306,$K$1232)&amp;"시간"))</f>
        <v/>
      </c>
      <c r="F1236" s="4">
        <f>IF($K$1232="","",IF(설정!$B$26="","",설정!$B$26))</f>
        <v/>
      </c>
      <c r="G1236" s="31">
        <f>IF(OR($K$1232="",설정!$B$26=""),"",INDEX(직원목록!$W$7:$W$306,$K$1232))</f>
        <v/>
      </c>
      <c r="H1236" s="19" t="n"/>
    </row>
    <row r="1237">
      <c r="B1237" s="4">
        <f>IF($K$1232="","",IF(설정!$B$18="","",설정!$B$18))</f>
        <v/>
      </c>
      <c r="C1237" s="31">
        <f>IF(OR($K$1232="",설정!$B$18=""),"",INDEX(직원목록!$G$7:$G$306,$K$1232))</f>
        <v/>
      </c>
      <c r="D1237" s="32">
        <f>IF(OR($K$1232="",설정!$B$18=""),"",IF(N(INDEX(직원목록!$O$7:$O$306,$K$1232))=0,"",INDEX(직원목록!$O$7:$O$306,$K$1232)&amp;"시간"))</f>
        <v/>
      </c>
      <c r="F1237" s="4">
        <f>IF($K$1232="","",IF(설정!$B$27="","",설정!$B$27))</f>
        <v/>
      </c>
      <c r="G1237" s="31">
        <f>IF(OR($K$1232="",설정!$B$27=""),"",INDEX(직원목록!$X$7:$X$306,$K$1232))</f>
        <v/>
      </c>
      <c r="H1237" s="19" t="n"/>
    </row>
    <row r="1238">
      <c r="B1238" s="4">
        <f>IF($K$1232="","",IF(설정!$B$19="","",설정!$B$19))</f>
        <v/>
      </c>
      <c r="C1238" s="31">
        <f>IF(OR($K$1232="",설정!$B$19=""),"",INDEX(직원목록!$H$7:$H$306,$K$1232))</f>
        <v/>
      </c>
      <c r="D1238" s="32">
        <f>IF(OR($K$1232="",설정!$B$19=""),"",IF(N(INDEX(직원목록!$P$7:$P$306,$K$1232))=0,"",INDEX(직원목록!$P$7:$P$306,$K$1232)&amp;"시간"))</f>
        <v/>
      </c>
      <c r="F1238" s="4">
        <f>IF($K$1232="","",IF(설정!$B$28="","",설정!$B$28))</f>
        <v/>
      </c>
      <c r="G1238" s="31">
        <f>IF(OR($K$1232="",설정!$B$28=""),"",INDEX(직원목록!$Y$7:$Y$306,$K$1232))</f>
        <v/>
      </c>
      <c r="H1238" s="19" t="n"/>
    </row>
    <row r="1239">
      <c r="B1239" s="4">
        <f>IF($K$1232="","",IF(설정!$B$20="","",설정!$B$20))</f>
        <v/>
      </c>
      <c r="C1239" s="31">
        <f>IF(OR($K$1232="",설정!$B$20=""),"",INDEX(직원목록!$I$7:$I$306,$K$1232))</f>
        <v/>
      </c>
      <c r="D1239" s="32">
        <f>IF(OR($K$1232="",설정!$B$20=""),"",IF(N(INDEX(직원목록!$Q$7:$Q$306,$K$1232))=0,"",INDEX(직원목록!$Q$7:$Q$306,$K$1232)&amp;"시간"))</f>
        <v/>
      </c>
      <c r="F1239" s="4">
        <f>IF($K$1232="","",IF(설정!$B$29="","",설정!$B$29))</f>
        <v/>
      </c>
      <c r="G1239" s="31">
        <f>IF(OR($K$1232="",설정!$B$29=""),"",INDEX(직원목록!$Z$7:$Z$306,$K$1232))</f>
        <v/>
      </c>
      <c r="H1239" s="19" t="n"/>
    </row>
    <row r="1240">
      <c r="B1240" s="4">
        <f>IF($K$1232="","",IF(설정!$B$21="","",설정!$B$21))</f>
        <v/>
      </c>
      <c r="C1240" s="31">
        <f>IF(OR($K$1232="",설정!$B$21=""),"",INDEX(직원목록!$J$7:$J$306,$K$1232))</f>
        <v/>
      </c>
      <c r="D1240" s="32">
        <f>IF(OR($K$1232="",설정!$B$21=""),"",IF(N(INDEX(직원목록!$R$7:$R$306,$K$1232))=0,"",INDEX(직원목록!$R$7:$R$306,$K$1232)&amp;"시간"))</f>
        <v/>
      </c>
      <c r="F1240" s="4">
        <f>IF($K$1232="","",IF(설정!$B$30="","",설정!$B$30))</f>
        <v/>
      </c>
      <c r="G1240" s="31">
        <f>IF(OR($K$1232="",설정!$B$30=""),"",INDEX(직원목록!$AA$7:$AA$306,$K$1232))</f>
        <v/>
      </c>
      <c r="H1240" s="19" t="n"/>
    </row>
    <row r="1241">
      <c r="B1241" s="4">
        <f>IF($K$1232="","",IF(설정!$B$22="","",설정!$B$22))</f>
        <v/>
      </c>
      <c r="C1241" s="31">
        <f>IF(OR($K$1232="",설정!$B$22=""),"",INDEX(직원목록!$K$7:$K$306,$K$1232))</f>
        <v/>
      </c>
      <c r="D1241" s="32">
        <f>IF(OR($K$1232="",설정!$B$22=""),"",IF(N(INDEX(직원목록!$S$7:$S$306,$K$1232))=0,"",INDEX(직원목록!$S$7:$S$306,$K$1232)&amp;"시간"))</f>
        <v/>
      </c>
      <c r="F1241" s="4">
        <f>IF($K$1232="","",IF(설정!$B$31="","",설정!$B$31))</f>
        <v/>
      </c>
      <c r="G1241" s="31">
        <f>IF(OR($K$1232="",설정!$B$31=""),"",INDEX(직원목록!$AB$7:$AB$306,$K$1232))</f>
        <v/>
      </c>
      <c r="H1241" s="19" t="n"/>
    </row>
    <row r="1242">
      <c r="B1242" s="4">
        <f>IF($K$1232="","",IF(설정!$B$23="","",설정!$B$23))</f>
        <v/>
      </c>
      <c r="C1242" s="31">
        <f>IF(OR($K$1232="",설정!$B$23=""),"",INDEX(직원목록!$L$7:$L$306,$K$1232))</f>
        <v/>
      </c>
      <c r="D1242" s="32">
        <f>IF(OR($K$1232="",설정!$B$23=""),"",IF(N(INDEX(직원목록!$T$7:$T$306,$K$1232))=0,"",INDEX(직원목록!$T$7:$T$306,$K$1232)&amp;"시간"))</f>
        <v/>
      </c>
      <c r="F1242" s="4">
        <f>IF($K$1232="","",IF(설정!$B$32="","",설정!$B$32))</f>
        <v/>
      </c>
      <c r="G1242" s="31">
        <f>IF(OR($K$1232="",설정!$B$32=""),"",INDEX(직원목록!$AC$7:$AC$306,$K$1232))</f>
        <v/>
      </c>
      <c r="H1242" s="19" t="n"/>
    </row>
    <row r="1243">
      <c r="B1243" s="4">
        <f>IF($K$1232="","",IF(설정!$B$24="","",설정!$B$24))</f>
        <v/>
      </c>
      <c r="C1243" s="31">
        <f>IF(OR($K$1232="",설정!$B$24=""),"",INDEX(직원목록!$M$7:$M$306,$K$1232))</f>
        <v/>
      </c>
      <c r="D1243" s="32">
        <f>IF(OR($K$1232="",설정!$B$24=""),"",IF(N(INDEX(직원목록!$U$7:$U$306,$K$1232))=0,"",INDEX(직원목록!$U$7:$U$306,$K$1232)&amp;"시간"))</f>
        <v/>
      </c>
      <c r="F1243" s="4">
        <f>IF($K$1232="","",IF(설정!$B$33="","",설정!$B$33))</f>
        <v/>
      </c>
      <c r="G1243" s="31">
        <f>IF(OR($K$1232="",설정!$B$33=""),"",INDEX(직원목록!$AD$7:$AD$306,$K$1232))</f>
        <v/>
      </c>
      <c r="H1243" s="19" t="n"/>
    </row>
    <row r="1244">
      <c r="B1244" s="3" t="inlineStr">
        <is>
          <t>지급 합계</t>
        </is>
      </c>
      <c r="C1244" s="35">
        <f>IF($K$1232="","",INDEX(직원목록!$V$7:$V$306,$K$1232))</f>
        <v/>
      </c>
      <c r="D1244" s="36" t="n"/>
      <c r="F1244" s="3" t="inlineStr">
        <is>
          <t>공제 합계</t>
        </is>
      </c>
      <c r="G1244" s="35">
        <f>IF($K$1232="","",INDEX(직원목록!$AE$7:$AE$306,$K$1232))</f>
        <v/>
      </c>
      <c r="H1244" s="36" t="n"/>
    </row>
    <row r="1245" ht="28" customHeight="1">
      <c r="B1245" s="37" t="inlineStr">
        <is>
          <t>실 수령액 (지급 합계 − 공제 합계)</t>
        </is>
      </c>
      <c r="C1245" s="29" t="n"/>
      <c r="D1245" s="29" t="n"/>
      <c r="E1245" s="38">
        <f>IF($K$1232="","",INDEX(직원목록!$AF$7:$AF$306,$K$1232))</f>
        <v/>
      </c>
      <c r="F1245" s="29" t="n"/>
      <c r="G1245" s="29" t="n"/>
      <c r="H1245" s="29" t="n"/>
    </row>
    <row r="1246">
      <c r="B1246" s="39">
        <f>IF($K$1232="","",설정!$B$7)</f>
        <v/>
      </c>
    </row>
    <row r="1262" ht="30" customHeight="1">
      <c r="B1262" s="28">
        <f>IF($K$1262="","","임금명세서  ("&amp;설정!$B$5&amp;")")</f>
        <v/>
      </c>
      <c r="K1262" s="34">
        <f>IFERROR(MATCH(43,직원목록!$B$7:$B$306,0),"")</f>
        <v/>
      </c>
    </row>
    <row r="1263">
      <c r="B1263" s="7" t="inlineStr">
        <is>
          <t>회사명</t>
        </is>
      </c>
      <c r="C1263" s="21">
        <f>IF($K$1262="","",설정!$B$4)</f>
        <v/>
      </c>
      <c r="D1263" s="29" t="n"/>
      <c r="E1263" s="19" t="n"/>
      <c r="F1263" s="7" t="inlineStr">
        <is>
          <t>임금 지급일</t>
        </is>
      </c>
      <c r="G1263" s="21">
        <f>IF($K$1262="","",TEXT(설정!$B$6,"yyyy-mm-dd"))</f>
        <v/>
      </c>
      <c r="H1263" s="29" t="n"/>
    </row>
    <row r="1264">
      <c r="B1264" s="7" t="inlineStr">
        <is>
          <t>성명</t>
        </is>
      </c>
      <c r="C1264" s="22">
        <f>IF($K$1262="","",INDEX(직원목록!$D$7:$D$306,$K$1262))</f>
        <v/>
      </c>
      <c r="D1264" s="7" t="inlineStr">
        <is>
          <t>사번</t>
        </is>
      </c>
      <c r="E1264" s="21">
        <f>IF($K$1262="","",INDEX(직원목록!$C$7:$C$306,$K$1262))</f>
        <v/>
      </c>
      <c r="F1264" s="7" t="inlineStr">
        <is>
          <t>부서</t>
        </is>
      </c>
      <c r="G1264" s="21">
        <f>IF($K$1262="","",INDEX(직원목록!$E$7:$E$306,$K$1262))</f>
        <v/>
      </c>
      <c r="H1264" s="29" t="n"/>
    </row>
    <row r="1265">
      <c r="B1265" s="12" t="inlineStr">
        <is>
          <t>지급 항목</t>
        </is>
      </c>
      <c r="C1265" s="12" t="inlineStr">
        <is>
          <t>금액(원)</t>
        </is>
      </c>
      <c r="D1265" s="12" t="inlineStr">
        <is>
          <t>계산 근거</t>
        </is>
      </c>
      <c r="E1265" s="2" t="n"/>
      <c r="F1265" s="12" t="inlineStr">
        <is>
          <t>공제 항목</t>
        </is>
      </c>
      <c r="G1265" s="12" t="inlineStr">
        <is>
          <t>금액(원)</t>
        </is>
      </c>
      <c r="H1265" s="12" t="n"/>
    </row>
    <row r="1266">
      <c r="B1266" s="4">
        <f>IF($K$1262="","",IF(설정!$B$17="","",설정!$B$17))</f>
        <v/>
      </c>
      <c r="C1266" s="31">
        <f>IF(OR($K$1262="",설정!$B$17=""),"",INDEX(직원목록!$F$7:$F$306,$K$1262))</f>
        <v/>
      </c>
      <c r="D1266" s="32">
        <f>IF(OR($K$1262="",설정!$B$17=""),"",IF(N(INDEX(직원목록!$N$7:$N$306,$K$1262))=0,"",INDEX(직원목록!$N$7:$N$306,$K$1262)&amp;"시간"))</f>
        <v/>
      </c>
      <c r="F1266" s="4">
        <f>IF($K$1262="","",IF(설정!$B$26="","",설정!$B$26))</f>
        <v/>
      </c>
      <c r="G1266" s="31">
        <f>IF(OR($K$1262="",설정!$B$26=""),"",INDEX(직원목록!$W$7:$W$306,$K$1262))</f>
        <v/>
      </c>
      <c r="H1266" s="19" t="n"/>
    </row>
    <row r="1267">
      <c r="B1267" s="4">
        <f>IF($K$1262="","",IF(설정!$B$18="","",설정!$B$18))</f>
        <v/>
      </c>
      <c r="C1267" s="31">
        <f>IF(OR($K$1262="",설정!$B$18=""),"",INDEX(직원목록!$G$7:$G$306,$K$1262))</f>
        <v/>
      </c>
      <c r="D1267" s="32">
        <f>IF(OR($K$1262="",설정!$B$18=""),"",IF(N(INDEX(직원목록!$O$7:$O$306,$K$1262))=0,"",INDEX(직원목록!$O$7:$O$306,$K$1262)&amp;"시간"))</f>
        <v/>
      </c>
      <c r="F1267" s="4">
        <f>IF($K$1262="","",IF(설정!$B$27="","",설정!$B$27))</f>
        <v/>
      </c>
      <c r="G1267" s="31">
        <f>IF(OR($K$1262="",설정!$B$27=""),"",INDEX(직원목록!$X$7:$X$306,$K$1262))</f>
        <v/>
      </c>
      <c r="H1267" s="19" t="n"/>
    </row>
    <row r="1268">
      <c r="B1268" s="4">
        <f>IF($K$1262="","",IF(설정!$B$19="","",설정!$B$19))</f>
        <v/>
      </c>
      <c r="C1268" s="31">
        <f>IF(OR($K$1262="",설정!$B$19=""),"",INDEX(직원목록!$H$7:$H$306,$K$1262))</f>
        <v/>
      </c>
      <c r="D1268" s="32">
        <f>IF(OR($K$1262="",설정!$B$19=""),"",IF(N(INDEX(직원목록!$P$7:$P$306,$K$1262))=0,"",INDEX(직원목록!$P$7:$P$306,$K$1262)&amp;"시간"))</f>
        <v/>
      </c>
      <c r="F1268" s="4">
        <f>IF($K$1262="","",IF(설정!$B$28="","",설정!$B$28))</f>
        <v/>
      </c>
      <c r="G1268" s="31">
        <f>IF(OR($K$1262="",설정!$B$28=""),"",INDEX(직원목록!$Y$7:$Y$306,$K$1262))</f>
        <v/>
      </c>
      <c r="H1268" s="19" t="n"/>
    </row>
    <row r="1269">
      <c r="B1269" s="4">
        <f>IF($K$1262="","",IF(설정!$B$20="","",설정!$B$20))</f>
        <v/>
      </c>
      <c r="C1269" s="31">
        <f>IF(OR($K$1262="",설정!$B$20=""),"",INDEX(직원목록!$I$7:$I$306,$K$1262))</f>
        <v/>
      </c>
      <c r="D1269" s="32">
        <f>IF(OR($K$1262="",설정!$B$20=""),"",IF(N(INDEX(직원목록!$Q$7:$Q$306,$K$1262))=0,"",INDEX(직원목록!$Q$7:$Q$306,$K$1262)&amp;"시간"))</f>
        <v/>
      </c>
      <c r="F1269" s="4">
        <f>IF($K$1262="","",IF(설정!$B$29="","",설정!$B$29))</f>
        <v/>
      </c>
      <c r="G1269" s="31">
        <f>IF(OR($K$1262="",설정!$B$29=""),"",INDEX(직원목록!$Z$7:$Z$306,$K$1262))</f>
        <v/>
      </c>
      <c r="H1269" s="19" t="n"/>
    </row>
    <row r="1270">
      <c r="B1270" s="4">
        <f>IF($K$1262="","",IF(설정!$B$21="","",설정!$B$21))</f>
        <v/>
      </c>
      <c r="C1270" s="31">
        <f>IF(OR($K$1262="",설정!$B$21=""),"",INDEX(직원목록!$J$7:$J$306,$K$1262))</f>
        <v/>
      </c>
      <c r="D1270" s="32">
        <f>IF(OR($K$1262="",설정!$B$21=""),"",IF(N(INDEX(직원목록!$R$7:$R$306,$K$1262))=0,"",INDEX(직원목록!$R$7:$R$306,$K$1262)&amp;"시간"))</f>
        <v/>
      </c>
      <c r="F1270" s="4">
        <f>IF($K$1262="","",IF(설정!$B$30="","",설정!$B$30))</f>
        <v/>
      </c>
      <c r="G1270" s="31">
        <f>IF(OR($K$1262="",설정!$B$30=""),"",INDEX(직원목록!$AA$7:$AA$306,$K$1262))</f>
        <v/>
      </c>
      <c r="H1270" s="19" t="n"/>
    </row>
    <row r="1271">
      <c r="B1271" s="4">
        <f>IF($K$1262="","",IF(설정!$B$22="","",설정!$B$22))</f>
        <v/>
      </c>
      <c r="C1271" s="31">
        <f>IF(OR($K$1262="",설정!$B$22=""),"",INDEX(직원목록!$K$7:$K$306,$K$1262))</f>
        <v/>
      </c>
      <c r="D1271" s="32">
        <f>IF(OR($K$1262="",설정!$B$22=""),"",IF(N(INDEX(직원목록!$S$7:$S$306,$K$1262))=0,"",INDEX(직원목록!$S$7:$S$306,$K$1262)&amp;"시간"))</f>
        <v/>
      </c>
      <c r="F1271" s="4">
        <f>IF($K$1262="","",IF(설정!$B$31="","",설정!$B$31))</f>
        <v/>
      </c>
      <c r="G1271" s="31">
        <f>IF(OR($K$1262="",설정!$B$31=""),"",INDEX(직원목록!$AB$7:$AB$306,$K$1262))</f>
        <v/>
      </c>
      <c r="H1271" s="19" t="n"/>
    </row>
    <row r="1272">
      <c r="B1272" s="4">
        <f>IF($K$1262="","",IF(설정!$B$23="","",설정!$B$23))</f>
        <v/>
      </c>
      <c r="C1272" s="31">
        <f>IF(OR($K$1262="",설정!$B$23=""),"",INDEX(직원목록!$L$7:$L$306,$K$1262))</f>
        <v/>
      </c>
      <c r="D1272" s="32">
        <f>IF(OR($K$1262="",설정!$B$23=""),"",IF(N(INDEX(직원목록!$T$7:$T$306,$K$1262))=0,"",INDEX(직원목록!$T$7:$T$306,$K$1262)&amp;"시간"))</f>
        <v/>
      </c>
      <c r="F1272" s="4">
        <f>IF($K$1262="","",IF(설정!$B$32="","",설정!$B$32))</f>
        <v/>
      </c>
      <c r="G1272" s="31">
        <f>IF(OR($K$1262="",설정!$B$32=""),"",INDEX(직원목록!$AC$7:$AC$306,$K$1262))</f>
        <v/>
      </c>
      <c r="H1272" s="19" t="n"/>
    </row>
    <row r="1273">
      <c r="B1273" s="4">
        <f>IF($K$1262="","",IF(설정!$B$24="","",설정!$B$24))</f>
        <v/>
      </c>
      <c r="C1273" s="31">
        <f>IF(OR($K$1262="",설정!$B$24=""),"",INDEX(직원목록!$M$7:$M$306,$K$1262))</f>
        <v/>
      </c>
      <c r="D1273" s="32">
        <f>IF(OR($K$1262="",설정!$B$24=""),"",IF(N(INDEX(직원목록!$U$7:$U$306,$K$1262))=0,"",INDEX(직원목록!$U$7:$U$306,$K$1262)&amp;"시간"))</f>
        <v/>
      </c>
      <c r="F1273" s="4">
        <f>IF($K$1262="","",IF(설정!$B$33="","",설정!$B$33))</f>
        <v/>
      </c>
      <c r="G1273" s="31">
        <f>IF(OR($K$1262="",설정!$B$33=""),"",INDEX(직원목록!$AD$7:$AD$306,$K$1262))</f>
        <v/>
      </c>
      <c r="H1273" s="19" t="n"/>
    </row>
    <row r="1274">
      <c r="B1274" s="3" t="inlineStr">
        <is>
          <t>지급 합계</t>
        </is>
      </c>
      <c r="C1274" s="35">
        <f>IF($K$1262="","",INDEX(직원목록!$V$7:$V$306,$K$1262))</f>
        <v/>
      </c>
      <c r="D1274" s="36" t="n"/>
      <c r="F1274" s="3" t="inlineStr">
        <is>
          <t>공제 합계</t>
        </is>
      </c>
      <c r="G1274" s="35">
        <f>IF($K$1262="","",INDEX(직원목록!$AE$7:$AE$306,$K$1262))</f>
        <v/>
      </c>
      <c r="H1274" s="36" t="n"/>
    </row>
    <row r="1275" ht="28" customHeight="1">
      <c r="B1275" s="37" t="inlineStr">
        <is>
          <t>실 수령액 (지급 합계 − 공제 합계)</t>
        </is>
      </c>
      <c r="C1275" s="29" t="n"/>
      <c r="D1275" s="29" t="n"/>
      <c r="E1275" s="38">
        <f>IF($K$1262="","",INDEX(직원목록!$AF$7:$AF$306,$K$1262))</f>
        <v/>
      </c>
      <c r="F1275" s="29" t="n"/>
      <c r="G1275" s="29" t="n"/>
      <c r="H1275" s="29" t="n"/>
    </row>
    <row r="1276">
      <c r="B1276" s="39">
        <f>IF($K$1262="","",설정!$B$7)</f>
        <v/>
      </c>
    </row>
    <row r="1292" ht="30" customHeight="1">
      <c r="B1292" s="28">
        <f>IF($K$1292="","","임금명세서  ("&amp;설정!$B$5&amp;")")</f>
        <v/>
      </c>
      <c r="K1292" s="34">
        <f>IFERROR(MATCH(44,직원목록!$B$7:$B$306,0),"")</f>
        <v/>
      </c>
    </row>
    <row r="1293">
      <c r="B1293" s="7" t="inlineStr">
        <is>
          <t>회사명</t>
        </is>
      </c>
      <c r="C1293" s="21">
        <f>IF($K$1292="","",설정!$B$4)</f>
        <v/>
      </c>
      <c r="D1293" s="29" t="n"/>
      <c r="E1293" s="19" t="n"/>
      <c r="F1293" s="7" t="inlineStr">
        <is>
          <t>임금 지급일</t>
        </is>
      </c>
      <c r="G1293" s="21">
        <f>IF($K$1292="","",TEXT(설정!$B$6,"yyyy-mm-dd"))</f>
        <v/>
      </c>
      <c r="H1293" s="29" t="n"/>
    </row>
    <row r="1294">
      <c r="B1294" s="7" t="inlineStr">
        <is>
          <t>성명</t>
        </is>
      </c>
      <c r="C1294" s="22">
        <f>IF($K$1292="","",INDEX(직원목록!$D$7:$D$306,$K$1292))</f>
        <v/>
      </c>
      <c r="D1294" s="7" t="inlineStr">
        <is>
          <t>사번</t>
        </is>
      </c>
      <c r="E1294" s="21">
        <f>IF($K$1292="","",INDEX(직원목록!$C$7:$C$306,$K$1292))</f>
        <v/>
      </c>
      <c r="F1294" s="7" t="inlineStr">
        <is>
          <t>부서</t>
        </is>
      </c>
      <c r="G1294" s="21">
        <f>IF($K$1292="","",INDEX(직원목록!$E$7:$E$306,$K$1292))</f>
        <v/>
      </c>
      <c r="H1294" s="29" t="n"/>
    </row>
    <row r="1295">
      <c r="B1295" s="12" t="inlineStr">
        <is>
          <t>지급 항목</t>
        </is>
      </c>
      <c r="C1295" s="12" t="inlineStr">
        <is>
          <t>금액(원)</t>
        </is>
      </c>
      <c r="D1295" s="12" t="inlineStr">
        <is>
          <t>계산 근거</t>
        </is>
      </c>
      <c r="E1295" s="2" t="n"/>
      <c r="F1295" s="12" t="inlineStr">
        <is>
          <t>공제 항목</t>
        </is>
      </c>
      <c r="G1295" s="12" t="inlineStr">
        <is>
          <t>금액(원)</t>
        </is>
      </c>
      <c r="H1295" s="12" t="n"/>
    </row>
    <row r="1296">
      <c r="B1296" s="4">
        <f>IF($K$1292="","",IF(설정!$B$17="","",설정!$B$17))</f>
        <v/>
      </c>
      <c r="C1296" s="31">
        <f>IF(OR($K$1292="",설정!$B$17=""),"",INDEX(직원목록!$F$7:$F$306,$K$1292))</f>
        <v/>
      </c>
      <c r="D1296" s="32">
        <f>IF(OR($K$1292="",설정!$B$17=""),"",IF(N(INDEX(직원목록!$N$7:$N$306,$K$1292))=0,"",INDEX(직원목록!$N$7:$N$306,$K$1292)&amp;"시간"))</f>
        <v/>
      </c>
      <c r="F1296" s="4">
        <f>IF($K$1292="","",IF(설정!$B$26="","",설정!$B$26))</f>
        <v/>
      </c>
      <c r="G1296" s="31">
        <f>IF(OR($K$1292="",설정!$B$26=""),"",INDEX(직원목록!$W$7:$W$306,$K$1292))</f>
        <v/>
      </c>
      <c r="H1296" s="19" t="n"/>
    </row>
    <row r="1297">
      <c r="B1297" s="4">
        <f>IF($K$1292="","",IF(설정!$B$18="","",설정!$B$18))</f>
        <v/>
      </c>
      <c r="C1297" s="31">
        <f>IF(OR($K$1292="",설정!$B$18=""),"",INDEX(직원목록!$G$7:$G$306,$K$1292))</f>
        <v/>
      </c>
      <c r="D1297" s="32">
        <f>IF(OR($K$1292="",설정!$B$18=""),"",IF(N(INDEX(직원목록!$O$7:$O$306,$K$1292))=0,"",INDEX(직원목록!$O$7:$O$306,$K$1292)&amp;"시간"))</f>
        <v/>
      </c>
      <c r="F1297" s="4">
        <f>IF($K$1292="","",IF(설정!$B$27="","",설정!$B$27))</f>
        <v/>
      </c>
      <c r="G1297" s="31">
        <f>IF(OR($K$1292="",설정!$B$27=""),"",INDEX(직원목록!$X$7:$X$306,$K$1292))</f>
        <v/>
      </c>
      <c r="H1297" s="19" t="n"/>
    </row>
    <row r="1298">
      <c r="B1298" s="4">
        <f>IF($K$1292="","",IF(설정!$B$19="","",설정!$B$19))</f>
        <v/>
      </c>
      <c r="C1298" s="31">
        <f>IF(OR($K$1292="",설정!$B$19=""),"",INDEX(직원목록!$H$7:$H$306,$K$1292))</f>
        <v/>
      </c>
      <c r="D1298" s="32">
        <f>IF(OR($K$1292="",설정!$B$19=""),"",IF(N(INDEX(직원목록!$P$7:$P$306,$K$1292))=0,"",INDEX(직원목록!$P$7:$P$306,$K$1292)&amp;"시간"))</f>
        <v/>
      </c>
      <c r="F1298" s="4">
        <f>IF($K$1292="","",IF(설정!$B$28="","",설정!$B$28))</f>
        <v/>
      </c>
      <c r="G1298" s="31">
        <f>IF(OR($K$1292="",설정!$B$28=""),"",INDEX(직원목록!$Y$7:$Y$306,$K$1292))</f>
        <v/>
      </c>
      <c r="H1298" s="19" t="n"/>
    </row>
    <row r="1299">
      <c r="B1299" s="4">
        <f>IF($K$1292="","",IF(설정!$B$20="","",설정!$B$20))</f>
        <v/>
      </c>
      <c r="C1299" s="31">
        <f>IF(OR($K$1292="",설정!$B$20=""),"",INDEX(직원목록!$I$7:$I$306,$K$1292))</f>
        <v/>
      </c>
      <c r="D1299" s="32">
        <f>IF(OR($K$1292="",설정!$B$20=""),"",IF(N(INDEX(직원목록!$Q$7:$Q$306,$K$1292))=0,"",INDEX(직원목록!$Q$7:$Q$306,$K$1292)&amp;"시간"))</f>
        <v/>
      </c>
      <c r="F1299" s="4">
        <f>IF($K$1292="","",IF(설정!$B$29="","",설정!$B$29))</f>
        <v/>
      </c>
      <c r="G1299" s="31">
        <f>IF(OR($K$1292="",설정!$B$29=""),"",INDEX(직원목록!$Z$7:$Z$306,$K$1292))</f>
        <v/>
      </c>
      <c r="H1299" s="19" t="n"/>
    </row>
    <row r="1300">
      <c r="B1300" s="4">
        <f>IF($K$1292="","",IF(설정!$B$21="","",설정!$B$21))</f>
        <v/>
      </c>
      <c r="C1300" s="31">
        <f>IF(OR($K$1292="",설정!$B$21=""),"",INDEX(직원목록!$J$7:$J$306,$K$1292))</f>
        <v/>
      </c>
      <c r="D1300" s="32">
        <f>IF(OR($K$1292="",설정!$B$21=""),"",IF(N(INDEX(직원목록!$R$7:$R$306,$K$1292))=0,"",INDEX(직원목록!$R$7:$R$306,$K$1292)&amp;"시간"))</f>
        <v/>
      </c>
      <c r="F1300" s="4">
        <f>IF($K$1292="","",IF(설정!$B$30="","",설정!$B$30))</f>
        <v/>
      </c>
      <c r="G1300" s="31">
        <f>IF(OR($K$1292="",설정!$B$30=""),"",INDEX(직원목록!$AA$7:$AA$306,$K$1292))</f>
        <v/>
      </c>
      <c r="H1300" s="19" t="n"/>
    </row>
    <row r="1301">
      <c r="B1301" s="4">
        <f>IF($K$1292="","",IF(설정!$B$22="","",설정!$B$22))</f>
        <v/>
      </c>
      <c r="C1301" s="31">
        <f>IF(OR($K$1292="",설정!$B$22=""),"",INDEX(직원목록!$K$7:$K$306,$K$1292))</f>
        <v/>
      </c>
      <c r="D1301" s="32">
        <f>IF(OR($K$1292="",설정!$B$22=""),"",IF(N(INDEX(직원목록!$S$7:$S$306,$K$1292))=0,"",INDEX(직원목록!$S$7:$S$306,$K$1292)&amp;"시간"))</f>
        <v/>
      </c>
      <c r="F1301" s="4">
        <f>IF($K$1292="","",IF(설정!$B$31="","",설정!$B$31))</f>
        <v/>
      </c>
      <c r="G1301" s="31">
        <f>IF(OR($K$1292="",설정!$B$31=""),"",INDEX(직원목록!$AB$7:$AB$306,$K$1292))</f>
        <v/>
      </c>
      <c r="H1301" s="19" t="n"/>
    </row>
    <row r="1302">
      <c r="B1302" s="4">
        <f>IF($K$1292="","",IF(설정!$B$23="","",설정!$B$23))</f>
        <v/>
      </c>
      <c r="C1302" s="31">
        <f>IF(OR($K$1292="",설정!$B$23=""),"",INDEX(직원목록!$L$7:$L$306,$K$1292))</f>
        <v/>
      </c>
      <c r="D1302" s="32">
        <f>IF(OR($K$1292="",설정!$B$23=""),"",IF(N(INDEX(직원목록!$T$7:$T$306,$K$1292))=0,"",INDEX(직원목록!$T$7:$T$306,$K$1292)&amp;"시간"))</f>
        <v/>
      </c>
      <c r="F1302" s="4">
        <f>IF($K$1292="","",IF(설정!$B$32="","",설정!$B$32))</f>
        <v/>
      </c>
      <c r="G1302" s="31">
        <f>IF(OR($K$1292="",설정!$B$32=""),"",INDEX(직원목록!$AC$7:$AC$306,$K$1292))</f>
        <v/>
      </c>
      <c r="H1302" s="19" t="n"/>
    </row>
    <row r="1303">
      <c r="B1303" s="4">
        <f>IF($K$1292="","",IF(설정!$B$24="","",설정!$B$24))</f>
        <v/>
      </c>
      <c r="C1303" s="31">
        <f>IF(OR($K$1292="",설정!$B$24=""),"",INDEX(직원목록!$M$7:$M$306,$K$1292))</f>
        <v/>
      </c>
      <c r="D1303" s="32">
        <f>IF(OR($K$1292="",설정!$B$24=""),"",IF(N(INDEX(직원목록!$U$7:$U$306,$K$1292))=0,"",INDEX(직원목록!$U$7:$U$306,$K$1292)&amp;"시간"))</f>
        <v/>
      </c>
      <c r="F1303" s="4">
        <f>IF($K$1292="","",IF(설정!$B$33="","",설정!$B$33))</f>
        <v/>
      </c>
      <c r="G1303" s="31">
        <f>IF(OR($K$1292="",설정!$B$33=""),"",INDEX(직원목록!$AD$7:$AD$306,$K$1292))</f>
        <v/>
      </c>
      <c r="H1303" s="19" t="n"/>
    </row>
    <row r="1304">
      <c r="B1304" s="3" t="inlineStr">
        <is>
          <t>지급 합계</t>
        </is>
      </c>
      <c r="C1304" s="35">
        <f>IF($K$1292="","",INDEX(직원목록!$V$7:$V$306,$K$1292))</f>
        <v/>
      </c>
      <c r="D1304" s="36" t="n"/>
      <c r="F1304" s="3" t="inlineStr">
        <is>
          <t>공제 합계</t>
        </is>
      </c>
      <c r="G1304" s="35">
        <f>IF($K$1292="","",INDEX(직원목록!$AE$7:$AE$306,$K$1292))</f>
        <v/>
      </c>
      <c r="H1304" s="36" t="n"/>
    </row>
    <row r="1305" ht="28" customHeight="1">
      <c r="B1305" s="37" t="inlineStr">
        <is>
          <t>실 수령액 (지급 합계 − 공제 합계)</t>
        </is>
      </c>
      <c r="C1305" s="29" t="n"/>
      <c r="D1305" s="29" t="n"/>
      <c r="E1305" s="38">
        <f>IF($K$1292="","",INDEX(직원목록!$AF$7:$AF$306,$K$1292))</f>
        <v/>
      </c>
      <c r="F1305" s="29" t="n"/>
      <c r="G1305" s="29" t="n"/>
      <c r="H1305" s="29" t="n"/>
    </row>
    <row r="1306">
      <c r="B1306" s="39">
        <f>IF($K$1292="","",설정!$B$7)</f>
        <v/>
      </c>
    </row>
    <row r="1322" ht="30" customHeight="1">
      <c r="B1322" s="28">
        <f>IF($K$1322="","","임금명세서  ("&amp;설정!$B$5&amp;")")</f>
        <v/>
      </c>
      <c r="K1322" s="34">
        <f>IFERROR(MATCH(45,직원목록!$B$7:$B$306,0),"")</f>
        <v/>
      </c>
    </row>
    <row r="1323">
      <c r="B1323" s="7" t="inlineStr">
        <is>
          <t>회사명</t>
        </is>
      </c>
      <c r="C1323" s="21">
        <f>IF($K$1322="","",설정!$B$4)</f>
        <v/>
      </c>
      <c r="D1323" s="29" t="n"/>
      <c r="E1323" s="19" t="n"/>
      <c r="F1323" s="7" t="inlineStr">
        <is>
          <t>임금 지급일</t>
        </is>
      </c>
      <c r="G1323" s="21">
        <f>IF($K$1322="","",TEXT(설정!$B$6,"yyyy-mm-dd"))</f>
        <v/>
      </c>
      <c r="H1323" s="29" t="n"/>
    </row>
    <row r="1324">
      <c r="B1324" s="7" t="inlineStr">
        <is>
          <t>성명</t>
        </is>
      </c>
      <c r="C1324" s="22">
        <f>IF($K$1322="","",INDEX(직원목록!$D$7:$D$306,$K$1322))</f>
        <v/>
      </c>
      <c r="D1324" s="7" t="inlineStr">
        <is>
          <t>사번</t>
        </is>
      </c>
      <c r="E1324" s="21">
        <f>IF($K$1322="","",INDEX(직원목록!$C$7:$C$306,$K$1322))</f>
        <v/>
      </c>
      <c r="F1324" s="7" t="inlineStr">
        <is>
          <t>부서</t>
        </is>
      </c>
      <c r="G1324" s="21">
        <f>IF($K$1322="","",INDEX(직원목록!$E$7:$E$306,$K$1322))</f>
        <v/>
      </c>
      <c r="H1324" s="29" t="n"/>
    </row>
    <row r="1325">
      <c r="B1325" s="12" t="inlineStr">
        <is>
          <t>지급 항목</t>
        </is>
      </c>
      <c r="C1325" s="12" t="inlineStr">
        <is>
          <t>금액(원)</t>
        </is>
      </c>
      <c r="D1325" s="12" t="inlineStr">
        <is>
          <t>계산 근거</t>
        </is>
      </c>
      <c r="E1325" s="2" t="n"/>
      <c r="F1325" s="12" t="inlineStr">
        <is>
          <t>공제 항목</t>
        </is>
      </c>
      <c r="G1325" s="12" t="inlineStr">
        <is>
          <t>금액(원)</t>
        </is>
      </c>
      <c r="H1325" s="12" t="n"/>
    </row>
    <row r="1326">
      <c r="B1326" s="4">
        <f>IF($K$1322="","",IF(설정!$B$17="","",설정!$B$17))</f>
        <v/>
      </c>
      <c r="C1326" s="31">
        <f>IF(OR($K$1322="",설정!$B$17=""),"",INDEX(직원목록!$F$7:$F$306,$K$1322))</f>
        <v/>
      </c>
      <c r="D1326" s="32">
        <f>IF(OR($K$1322="",설정!$B$17=""),"",IF(N(INDEX(직원목록!$N$7:$N$306,$K$1322))=0,"",INDEX(직원목록!$N$7:$N$306,$K$1322)&amp;"시간"))</f>
        <v/>
      </c>
      <c r="F1326" s="4">
        <f>IF($K$1322="","",IF(설정!$B$26="","",설정!$B$26))</f>
        <v/>
      </c>
      <c r="G1326" s="31">
        <f>IF(OR($K$1322="",설정!$B$26=""),"",INDEX(직원목록!$W$7:$W$306,$K$1322))</f>
        <v/>
      </c>
      <c r="H1326" s="19" t="n"/>
    </row>
    <row r="1327">
      <c r="B1327" s="4">
        <f>IF($K$1322="","",IF(설정!$B$18="","",설정!$B$18))</f>
        <v/>
      </c>
      <c r="C1327" s="31">
        <f>IF(OR($K$1322="",설정!$B$18=""),"",INDEX(직원목록!$G$7:$G$306,$K$1322))</f>
        <v/>
      </c>
      <c r="D1327" s="32">
        <f>IF(OR($K$1322="",설정!$B$18=""),"",IF(N(INDEX(직원목록!$O$7:$O$306,$K$1322))=0,"",INDEX(직원목록!$O$7:$O$306,$K$1322)&amp;"시간"))</f>
        <v/>
      </c>
      <c r="F1327" s="4">
        <f>IF($K$1322="","",IF(설정!$B$27="","",설정!$B$27))</f>
        <v/>
      </c>
      <c r="G1327" s="31">
        <f>IF(OR($K$1322="",설정!$B$27=""),"",INDEX(직원목록!$X$7:$X$306,$K$1322))</f>
        <v/>
      </c>
      <c r="H1327" s="19" t="n"/>
    </row>
    <row r="1328">
      <c r="B1328" s="4">
        <f>IF($K$1322="","",IF(설정!$B$19="","",설정!$B$19))</f>
        <v/>
      </c>
      <c r="C1328" s="31">
        <f>IF(OR($K$1322="",설정!$B$19=""),"",INDEX(직원목록!$H$7:$H$306,$K$1322))</f>
        <v/>
      </c>
      <c r="D1328" s="32">
        <f>IF(OR($K$1322="",설정!$B$19=""),"",IF(N(INDEX(직원목록!$P$7:$P$306,$K$1322))=0,"",INDEX(직원목록!$P$7:$P$306,$K$1322)&amp;"시간"))</f>
        <v/>
      </c>
      <c r="F1328" s="4">
        <f>IF($K$1322="","",IF(설정!$B$28="","",설정!$B$28))</f>
        <v/>
      </c>
      <c r="G1328" s="31">
        <f>IF(OR($K$1322="",설정!$B$28=""),"",INDEX(직원목록!$Y$7:$Y$306,$K$1322))</f>
        <v/>
      </c>
      <c r="H1328" s="19" t="n"/>
    </row>
    <row r="1329">
      <c r="B1329" s="4">
        <f>IF($K$1322="","",IF(설정!$B$20="","",설정!$B$20))</f>
        <v/>
      </c>
      <c r="C1329" s="31">
        <f>IF(OR($K$1322="",설정!$B$20=""),"",INDEX(직원목록!$I$7:$I$306,$K$1322))</f>
        <v/>
      </c>
      <c r="D1329" s="32">
        <f>IF(OR($K$1322="",설정!$B$20=""),"",IF(N(INDEX(직원목록!$Q$7:$Q$306,$K$1322))=0,"",INDEX(직원목록!$Q$7:$Q$306,$K$1322)&amp;"시간"))</f>
        <v/>
      </c>
      <c r="F1329" s="4">
        <f>IF($K$1322="","",IF(설정!$B$29="","",설정!$B$29))</f>
        <v/>
      </c>
      <c r="G1329" s="31">
        <f>IF(OR($K$1322="",설정!$B$29=""),"",INDEX(직원목록!$Z$7:$Z$306,$K$1322))</f>
        <v/>
      </c>
      <c r="H1329" s="19" t="n"/>
    </row>
    <row r="1330">
      <c r="B1330" s="4">
        <f>IF($K$1322="","",IF(설정!$B$21="","",설정!$B$21))</f>
        <v/>
      </c>
      <c r="C1330" s="31">
        <f>IF(OR($K$1322="",설정!$B$21=""),"",INDEX(직원목록!$J$7:$J$306,$K$1322))</f>
        <v/>
      </c>
      <c r="D1330" s="32">
        <f>IF(OR($K$1322="",설정!$B$21=""),"",IF(N(INDEX(직원목록!$R$7:$R$306,$K$1322))=0,"",INDEX(직원목록!$R$7:$R$306,$K$1322)&amp;"시간"))</f>
        <v/>
      </c>
      <c r="F1330" s="4">
        <f>IF($K$1322="","",IF(설정!$B$30="","",설정!$B$30))</f>
        <v/>
      </c>
      <c r="G1330" s="31">
        <f>IF(OR($K$1322="",설정!$B$30=""),"",INDEX(직원목록!$AA$7:$AA$306,$K$1322))</f>
        <v/>
      </c>
      <c r="H1330" s="19" t="n"/>
    </row>
    <row r="1331">
      <c r="B1331" s="4">
        <f>IF($K$1322="","",IF(설정!$B$22="","",설정!$B$22))</f>
        <v/>
      </c>
      <c r="C1331" s="31">
        <f>IF(OR($K$1322="",설정!$B$22=""),"",INDEX(직원목록!$K$7:$K$306,$K$1322))</f>
        <v/>
      </c>
      <c r="D1331" s="32">
        <f>IF(OR($K$1322="",설정!$B$22=""),"",IF(N(INDEX(직원목록!$S$7:$S$306,$K$1322))=0,"",INDEX(직원목록!$S$7:$S$306,$K$1322)&amp;"시간"))</f>
        <v/>
      </c>
      <c r="F1331" s="4">
        <f>IF($K$1322="","",IF(설정!$B$31="","",설정!$B$31))</f>
        <v/>
      </c>
      <c r="G1331" s="31">
        <f>IF(OR($K$1322="",설정!$B$31=""),"",INDEX(직원목록!$AB$7:$AB$306,$K$1322))</f>
        <v/>
      </c>
      <c r="H1331" s="19" t="n"/>
    </row>
    <row r="1332">
      <c r="B1332" s="4">
        <f>IF($K$1322="","",IF(설정!$B$23="","",설정!$B$23))</f>
        <v/>
      </c>
      <c r="C1332" s="31">
        <f>IF(OR($K$1322="",설정!$B$23=""),"",INDEX(직원목록!$L$7:$L$306,$K$1322))</f>
        <v/>
      </c>
      <c r="D1332" s="32">
        <f>IF(OR($K$1322="",설정!$B$23=""),"",IF(N(INDEX(직원목록!$T$7:$T$306,$K$1322))=0,"",INDEX(직원목록!$T$7:$T$306,$K$1322)&amp;"시간"))</f>
        <v/>
      </c>
      <c r="F1332" s="4">
        <f>IF($K$1322="","",IF(설정!$B$32="","",설정!$B$32))</f>
        <v/>
      </c>
      <c r="G1332" s="31">
        <f>IF(OR($K$1322="",설정!$B$32=""),"",INDEX(직원목록!$AC$7:$AC$306,$K$1322))</f>
        <v/>
      </c>
      <c r="H1332" s="19" t="n"/>
    </row>
    <row r="1333">
      <c r="B1333" s="4">
        <f>IF($K$1322="","",IF(설정!$B$24="","",설정!$B$24))</f>
        <v/>
      </c>
      <c r="C1333" s="31">
        <f>IF(OR($K$1322="",설정!$B$24=""),"",INDEX(직원목록!$M$7:$M$306,$K$1322))</f>
        <v/>
      </c>
      <c r="D1333" s="32">
        <f>IF(OR($K$1322="",설정!$B$24=""),"",IF(N(INDEX(직원목록!$U$7:$U$306,$K$1322))=0,"",INDEX(직원목록!$U$7:$U$306,$K$1322)&amp;"시간"))</f>
        <v/>
      </c>
      <c r="F1333" s="4">
        <f>IF($K$1322="","",IF(설정!$B$33="","",설정!$B$33))</f>
        <v/>
      </c>
      <c r="G1333" s="31">
        <f>IF(OR($K$1322="",설정!$B$33=""),"",INDEX(직원목록!$AD$7:$AD$306,$K$1322))</f>
        <v/>
      </c>
      <c r="H1333" s="19" t="n"/>
    </row>
    <row r="1334">
      <c r="B1334" s="3" t="inlineStr">
        <is>
          <t>지급 합계</t>
        </is>
      </c>
      <c r="C1334" s="35">
        <f>IF($K$1322="","",INDEX(직원목록!$V$7:$V$306,$K$1322))</f>
        <v/>
      </c>
      <c r="D1334" s="36" t="n"/>
      <c r="F1334" s="3" t="inlineStr">
        <is>
          <t>공제 합계</t>
        </is>
      </c>
      <c r="G1334" s="35">
        <f>IF($K$1322="","",INDEX(직원목록!$AE$7:$AE$306,$K$1322))</f>
        <v/>
      </c>
      <c r="H1334" s="36" t="n"/>
    </row>
    <row r="1335" ht="28" customHeight="1">
      <c r="B1335" s="37" t="inlineStr">
        <is>
          <t>실 수령액 (지급 합계 − 공제 합계)</t>
        </is>
      </c>
      <c r="C1335" s="29" t="n"/>
      <c r="D1335" s="29" t="n"/>
      <c r="E1335" s="38">
        <f>IF($K$1322="","",INDEX(직원목록!$AF$7:$AF$306,$K$1322))</f>
        <v/>
      </c>
      <c r="F1335" s="29" t="n"/>
      <c r="G1335" s="29" t="n"/>
      <c r="H1335" s="29" t="n"/>
    </row>
    <row r="1336">
      <c r="B1336" s="39">
        <f>IF($K$1322="","",설정!$B$7)</f>
        <v/>
      </c>
    </row>
    <row r="1352" ht="30" customHeight="1">
      <c r="B1352" s="28">
        <f>IF($K$1352="","","임금명세서  ("&amp;설정!$B$5&amp;")")</f>
        <v/>
      </c>
      <c r="K1352" s="34">
        <f>IFERROR(MATCH(46,직원목록!$B$7:$B$306,0),"")</f>
        <v/>
      </c>
    </row>
    <row r="1353">
      <c r="B1353" s="7" t="inlineStr">
        <is>
          <t>회사명</t>
        </is>
      </c>
      <c r="C1353" s="21">
        <f>IF($K$1352="","",설정!$B$4)</f>
        <v/>
      </c>
      <c r="D1353" s="29" t="n"/>
      <c r="E1353" s="19" t="n"/>
      <c r="F1353" s="7" t="inlineStr">
        <is>
          <t>임금 지급일</t>
        </is>
      </c>
      <c r="G1353" s="21">
        <f>IF($K$1352="","",TEXT(설정!$B$6,"yyyy-mm-dd"))</f>
        <v/>
      </c>
      <c r="H1353" s="29" t="n"/>
    </row>
    <row r="1354">
      <c r="B1354" s="7" t="inlineStr">
        <is>
          <t>성명</t>
        </is>
      </c>
      <c r="C1354" s="22">
        <f>IF($K$1352="","",INDEX(직원목록!$D$7:$D$306,$K$1352))</f>
        <v/>
      </c>
      <c r="D1354" s="7" t="inlineStr">
        <is>
          <t>사번</t>
        </is>
      </c>
      <c r="E1354" s="21">
        <f>IF($K$1352="","",INDEX(직원목록!$C$7:$C$306,$K$1352))</f>
        <v/>
      </c>
      <c r="F1354" s="7" t="inlineStr">
        <is>
          <t>부서</t>
        </is>
      </c>
      <c r="G1354" s="21">
        <f>IF($K$1352="","",INDEX(직원목록!$E$7:$E$306,$K$1352))</f>
        <v/>
      </c>
      <c r="H1354" s="29" t="n"/>
    </row>
    <row r="1355">
      <c r="B1355" s="12" t="inlineStr">
        <is>
          <t>지급 항목</t>
        </is>
      </c>
      <c r="C1355" s="12" t="inlineStr">
        <is>
          <t>금액(원)</t>
        </is>
      </c>
      <c r="D1355" s="12" t="inlineStr">
        <is>
          <t>계산 근거</t>
        </is>
      </c>
      <c r="E1355" s="2" t="n"/>
      <c r="F1355" s="12" t="inlineStr">
        <is>
          <t>공제 항목</t>
        </is>
      </c>
      <c r="G1355" s="12" t="inlineStr">
        <is>
          <t>금액(원)</t>
        </is>
      </c>
      <c r="H1355" s="12" t="n"/>
    </row>
    <row r="1356">
      <c r="B1356" s="4">
        <f>IF($K$1352="","",IF(설정!$B$17="","",설정!$B$17))</f>
        <v/>
      </c>
      <c r="C1356" s="31">
        <f>IF(OR($K$1352="",설정!$B$17=""),"",INDEX(직원목록!$F$7:$F$306,$K$1352))</f>
        <v/>
      </c>
      <c r="D1356" s="32">
        <f>IF(OR($K$1352="",설정!$B$17=""),"",IF(N(INDEX(직원목록!$N$7:$N$306,$K$1352))=0,"",INDEX(직원목록!$N$7:$N$306,$K$1352)&amp;"시간"))</f>
        <v/>
      </c>
      <c r="F1356" s="4">
        <f>IF($K$1352="","",IF(설정!$B$26="","",설정!$B$26))</f>
        <v/>
      </c>
      <c r="G1356" s="31">
        <f>IF(OR($K$1352="",설정!$B$26=""),"",INDEX(직원목록!$W$7:$W$306,$K$1352))</f>
        <v/>
      </c>
      <c r="H1356" s="19" t="n"/>
    </row>
    <row r="1357">
      <c r="B1357" s="4">
        <f>IF($K$1352="","",IF(설정!$B$18="","",설정!$B$18))</f>
        <v/>
      </c>
      <c r="C1357" s="31">
        <f>IF(OR($K$1352="",설정!$B$18=""),"",INDEX(직원목록!$G$7:$G$306,$K$1352))</f>
        <v/>
      </c>
      <c r="D1357" s="32">
        <f>IF(OR($K$1352="",설정!$B$18=""),"",IF(N(INDEX(직원목록!$O$7:$O$306,$K$1352))=0,"",INDEX(직원목록!$O$7:$O$306,$K$1352)&amp;"시간"))</f>
        <v/>
      </c>
      <c r="F1357" s="4">
        <f>IF($K$1352="","",IF(설정!$B$27="","",설정!$B$27))</f>
        <v/>
      </c>
      <c r="G1357" s="31">
        <f>IF(OR($K$1352="",설정!$B$27=""),"",INDEX(직원목록!$X$7:$X$306,$K$1352))</f>
        <v/>
      </c>
      <c r="H1357" s="19" t="n"/>
    </row>
    <row r="1358">
      <c r="B1358" s="4">
        <f>IF($K$1352="","",IF(설정!$B$19="","",설정!$B$19))</f>
        <v/>
      </c>
      <c r="C1358" s="31">
        <f>IF(OR($K$1352="",설정!$B$19=""),"",INDEX(직원목록!$H$7:$H$306,$K$1352))</f>
        <v/>
      </c>
      <c r="D1358" s="32">
        <f>IF(OR($K$1352="",설정!$B$19=""),"",IF(N(INDEX(직원목록!$P$7:$P$306,$K$1352))=0,"",INDEX(직원목록!$P$7:$P$306,$K$1352)&amp;"시간"))</f>
        <v/>
      </c>
      <c r="F1358" s="4">
        <f>IF($K$1352="","",IF(설정!$B$28="","",설정!$B$28))</f>
        <v/>
      </c>
      <c r="G1358" s="31">
        <f>IF(OR($K$1352="",설정!$B$28=""),"",INDEX(직원목록!$Y$7:$Y$306,$K$1352))</f>
        <v/>
      </c>
      <c r="H1358" s="19" t="n"/>
    </row>
    <row r="1359">
      <c r="B1359" s="4">
        <f>IF($K$1352="","",IF(설정!$B$20="","",설정!$B$20))</f>
        <v/>
      </c>
      <c r="C1359" s="31">
        <f>IF(OR($K$1352="",설정!$B$20=""),"",INDEX(직원목록!$I$7:$I$306,$K$1352))</f>
        <v/>
      </c>
      <c r="D1359" s="32">
        <f>IF(OR($K$1352="",설정!$B$20=""),"",IF(N(INDEX(직원목록!$Q$7:$Q$306,$K$1352))=0,"",INDEX(직원목록!$Q$7:$Q$306,$K$1352)&amp;"시간"))</f>
        <v/>
      </c>
      <c r="F1359" s="4">
        <f>IF($K$1352="","",IF(설정!$B$29="","",설정!$B$29))</f>
        <v/>
      </c>
      <c r="G1359" s="31">
        <f>IF(OR($K$1352="",설정!$B$29=""),"",INDEX(직원목록!$Z$7:$Z$306,$K$1352))</f>
        <v/>
      </c>
      <c r="H1359" s="19" t="n"/>
    </row>
    <row r="1360">
      <c r="B1360" s="4">
        <f>IF($K$1352="","",IF(설정!$B$21="","",설정!$B$21))</f>
        <v/>
      </c>
      <c r="C1360" s="31">
        <f>IF(OR($K$1352="",설정!$B$21=""),"",INDEX(직원목록!$J$7:$J$306,$K$1352))</f>
        <v/>
      </c>
      <c r="D1360" s="32">
        <f>IF(OR($K$1352="",설정!$B$21=""),"",IF(N(INDEX(직원목록!$R$7:$R$306,$K$1352))=0,"",INDEX(직원목록!$R$7:$R$306,$K$1352)&amp;"시간"))</f>
        <v/>
      </c>
      <c r="F1360" s="4">
        <f>IF($K$1352="","",IF(설정!$B$30="","",설정!$B$30))</f>
        <v/>
      </c>
      <c r="G1360" s="31">
        <f>IF(OR($K$1352="",설정!$B$30=""),"",INDEX(직원목록!$AA$7:$AA$306,$K$1352))</f>
        <v/>
      </c>
      <c r="H1360" s="19" t="n"/>
    </row>
    <row r="1361">
      <c r="B1361" s="4">
        <f>IF($K$1352="","",IF(설정!$B$22="","",설정!$B$22))</f>
        <v/>
      </c>
      <c r="C1361" s="31">
        <f>IF(OR($K$1352="",설정!$B$22=""),"",INDEX(직원목록!$K$7:$K$306,$K$1352))</f>
        <v/>
      </c>
      <c r="D1361" s="32">
        <f>IF(OR($K$1352="",설정!$B$22=""),"",IF(N(INDEX(직원목록!$S$7:$S$306,$K$1352))=0,"",INDEX(직원목록!$S$7:$S$306,$K$1352)&amp;"시간"))</f>
        <v/>
      </c>
      <c r="F1361" s="4">
        <f>IF($K$1352="","",IF(설정!$B$31="","",설정!$B$31))</f>
        <v/>
      </c>
      <c r="G1361" s="31">
        <f>IF(OR($K$1352="",설정!$B$31=""),"",INDEX(직원목록!$AB$7:$AB$306,$K$1352))</f>
        <v/>
      </c>
      <c r="H1361" s="19" t="n"/>
    </row>
    <row r="1362">
      <c r="B1362" s="4">
        <f>IF($K$1352="","",IF(설정!$B$23="","",설정!$B$23))</f>
        <v/>
      </c>
      <c r="C1362" s="31">
        <f>IF(OR($K$1352="",설정!$B$23=""),"",INDEX(직원목록!$L$7:$L$306,$K$1352))</f>
        <v/>
      </c>
      <c r="D1362" s="32">
        <f>IF(OR($K$1352="",설정!$B$23=""),"",IF(N(INDEX(직원목록!$T$7:$T$306,$K$1352))=0,"",INDEX(직원목록!$T$7:$T$306,$K$1352)&amp;"시간"))</f>
        <v/>
      </c>
      <c r="F1362" s="4">
        <f>IF($K$1352="","",IF(설정!$B$32="","",설정!$B$32))</f>
        <v/>
      </c>
      <c r="G1362" s="31">
        <f>IF(OR($K$1352="",설정!$B$32=""),"",INDEX(직원목록!$AC$7:$AC$306,$K$1352))</f>
        <v/>
      </c>
      <c r="H1362" s="19" t="n"/>
    </row>
    <row r="1363">
      <c r="B1363" s="4">
        <f>IF($K$1352="","",IF(설정!$B$24="","",설정!$B$24))</f>
        <v/>
      </c>
      <c r="C1363" s="31">
        <f>IF(OR($K$1352="",설정!$B$24=""),"",INDEX(직원목록!$M$7:$M$306,$K$1352))</f>
        <v/>
      </c>
      <c r="D1363" s="32">
        <f>IF(OR($K$1352="",설정!$B$24=""),"",IF(N(INDEX(직원목록!$U$7:$U$306,$K$1352))=0,"",INDEX(직원목록!$U$7:$U$306,$K$1352)&amp;"시간"))</f>
        <v/>
      </c>
      <c r="F1363" s="4">
        <f>IF($K$1352="","",IF(설정!$B$33="","",설정!$B$33))</f>
        <v/>
      </c>
      <c r="G1363" s="31">
        <f>IF(OR($K$1352="",설정!$B$33=""),"",INDEX(직원목록!$AD$7:$AD$306,$K$1352))</f>
        <v/>
      </c>
      <c r="H1363" s="19" t="n"/>
    </row>
    <row r="1364">
      <c r="B1364" s="3" t="inlineStr">
        <is>
          <t>지급 합계</t>
        </is>
      </c>
      <c r="C1364" s="35">
        <f>IF($K$1352="","",INDEX(직원목록!$V$7:$V$306,$K$1352))</f>
        <v/>
      </c>
      <c r="D1364" s="36" t="n"/>
      <c r="F1364" s="3" t="inlineStr">
        <is>
          <t>공제 합계</t>
        </is>
      </c>
      <c r="G1364" s="35">
        <f>IF($K$1352="","",INDEX(직원목록!$AE$7:$AE$306,$K$1352))</f>
        <v/>
      </c>
      <c r="H1364" s="36" t="n"/>
    </row>
    <row r="1365" ht="28" customHeight="1">
      <c r="B1365" s="37" t="inlineStr">
        <is>
          <t>실 수령액 (지급 합계 − 공제 합계)</t>
        </is>
      </c>
      <c r="C1365" s="29" t="n"/>
      <c r="D1365" s="29" t="n"/>
      <c r="E1365" s="38">
        <f>IF($K$1352="","",INDEX(직원목록!$AF$7:$AF$306,$K$1352))</f>
        <v/>
      </c>
      <c r="F1365" s="29" t="n"/>
      <c r="G1365" s="29" t="n"/>
      <c r="H1365" s="29" t="n"/>
    </row>
    <row r="1366">
      <c r="B1366" s="39">
        <f>IF($K$1352="","",설정!$B$7)</f>
        <v/>
      </c>
    </row>
    <row r="1382" ht="30" customHeight="1">
      <c r="B1382" s="28">
        <f>IF($K$1382="","","임금명세서  ("&amp;설정!$B$5&amp;")")</f>
        <v/>
      </c>
      <c r="K1382" s="34">
        <f>IFERROR(MATCH(47,직원목록!$B$7:$B$306,0),"")</f>
        <v/>
      </c>
    </row>
    <row r="1383">
      <c r="B1383" s="7" t="inlineStr">
        <is>
          <t>회사명</t>
        </is>
      </c>
      <c r="C1383" s="21">
        <f>IF($K$1382="","",설정!$B$4)</f>
        <v/>
      </c>
      <c r="D1383" s="29" t="n"/>
      <c r="E1383" s="19" t="n"/>
      <c r="F1383" s="7" t="inlineStr">
        <is>
          <t>임금 지급일</t>
        </is>
      </c>
      <c r="G1383" s="21">
        <f>IF($K$1382="","",TEXT(설정!$B$6,"yyyy-mm-dd"))</f>
        <v/>
      </c>
      <c r="H1383" s="29" t="n"/>
    </row>
    <row r="1384">
      <c r="B1384" s="7" t="inlineStr">
        <is>
          <t>성명</t>
        </is>
      </c>
      <c r="C1384" s="22">
        <f>IF($K$1382="","",INDEX(직원목록!$D$7:$D$306,$K$1382))</f>
        <v/>
      </c>
      <c r="D1384" s="7" t="inlineStr">
        <is>
          <t>사번</t>
        </is>
      </c>
      <c r="E1384" s="21">
        <f>IF($K$1382="","",INDEX(직원목록!$C$7:$C$306,$K$1382))</f>
        <v/>
      </c>
      <c r="F1384" s="7" t="inlineStr">
        <is>
          <t>부서</t>
        </is>
      </c>
      <c r="G1384" s="21">
        <f>IF($K$1382="","",INDEX(직원목록!$E$7:$E$306,$K$1382))</f>
        <v/>
      </c>
      <c r="H1384" s="29" t="n"/>
    </row>
    <row r="1385">
      <c r="B1385" s="12" t="inlineStr">
        <is>
          <t>지급 항목</t>
        </is>
      </c>
      <c r="C1385" s="12" t="inlineStr">
        <is>
          <t>금액(원)</t>
        </is>
      </c>
      <c r="D1385" s="12" t="inlineStr">
        <is>
          <t>계산 근거</t>
        </is>
      </c>
      <c r="E1385" s="2" t="n"/>
      <c r="F1385" s="12" t="inlineStr">
        <is>
          <t>공제 항목</t>
        </is>
      </c>
      <c r="G1385" s="12" t="inlineStr">
        <is>
          <t>금액(원)</t>
        </is>
      </c>
      <c r="H1385" s="12" t="n"/>
    </row>
    <row r="1386">
      <c r="B1386" s="4">
        <f>IF($K$1382="","",IF(설정!$B$17="","",설정!$B$17))</f>
        <v/>
      </c>
      <c r="C1386" s="31">
        <f>IF(OR($K$1382="",설정!$B$17=""),"",INDEX(직원목록!$F$7:$F$306,$K$1382))</f>
        <v/>
      </c>
      <c r="D1386" s="32">
        <f>IF(OR($K$1382="",설정!$B$17=""),"",IF(N(INDEX(직원목록!$N$7:$N$306,$K$1382))=0,"",INDEX(직원목록!$N$7:$N$306,$K$1382)&amp;"시간"))</f>
        <v/>
      </c>
      <c r="F1386" s="4">
        <f>IF($K$1382="","",IF(설정!$B$26="","",설정!$B$26))</f>
        <v/>
      </c>
      <c r="G1386" s="31">
        <f>IF(OR($K$1382="",설정!$B$26=""),"",INDEX(직원목록!$W$7:$W$306,$K$1382))</f>
        <v/>
      </c>
      <c r="H1386" s="19" t="n"/>
    </row>
    <row r="1387">
      <c r="B1387" s="4">
        <f>IF($K$1382="","",IF(설정!$B$18="","",설정!$B$18))</f>
        <v/>
      </c>
      <c r="C1387" s="31">
        <f>IF(OR($K$1382="",설정!$B$18=""),"",INDEX(직원목록!$G$7:$G$306,$K$1382))</f>
        <v/>
      </c>
      <c r="D1387" s="32">
        <f>IF(OR($K$1382="",설정!$B$18=""),"",IF(N(INDEX(직원목록!$O$7:$O$306,$K$1382))=0,"",INDEX(직원목록!$O$7:$O$306,$K$1382)&amp;"시간"))</f>
        <v/>
      </c>
      <c r="F1387" s="4">
        <f>IF($K$1382="","",IF(설정!$B$27="","",설정!$B$27))</f>
        <v/>
      </c>
      <c r="G1387" s="31">
        <f>IF(OR($K$1382="",설정!$B$27=""),"",INDEX(직원목록!$X$7:$X$306,$K$1382))</f>
        <v/>
      </c>
      <c r="H1387" s="19" t="n"/>
    </row>
    <row r="1388">
      <c r="B1388" s="4">
        <f>IF($K$1382="","",IF(설정!$B$19="","",설정!$B$19))</f>
        <v/>
      </c>
      <c r="C1388" s="31">
        <f>IF(OR($K$1382="",설정!$B$19=""),"",INDEX(직원목록!$H$7:$H$306,$K$1382))</f>
        <v/>
      </c>
      <c r="D1388" s="32">
        <f>IF(OR($K$1382="",설정!$B$19=""),"",IF(N(INDEX(직원목록!$P$7:$P$306,$K$1382))=0,"",INDEX(직원목록!$P$7:$P$306,$K$1382)&amp;"시간"))</f>
        <v/>
      </c>
      <c r="F1388" s="4">
        <f>IF($K$1382="","",IF(설정!$B$28="","",설정!$B$28))</f>
        <v/>
      </c>
      <c r="G1388" s="31">
        <f>IF(OR($K$1382="",설정!$B$28=""),"",INDEX(직원목록!$Y$7:$Y$306,$K$1382))</f>
        <v/>
      </c>
      <c r="H1388" s="19" t="n"/>
    </row>
    <row r="1389">
      <c r="B1389" s="4">
        <f>IF($K$1382="","",IF(설정!$B$20="","",설정!$B$20))</f>
        <v/>
      </c>
      <c r="C1389" s="31">
        <f>IF(OR($K$1382="",설정!$B$20=""),"",INDEX(직원목록!$I$7:$I$306,$K$1382))</f>
        <v/>
      </c>
      <c r="D1389" s="32">
        <f>IF(OR($K$1382="",설정!$B$20=""),"",IF(N(INDEX(직원목록!$Q$7:$Q$306,$K$1382))=0,"",INDEX(직원목록!$Q$7:$Q$306,$K$1382)&amp;"시간"))</f>
        <v/>
      </c>
      <c r="F1389" s="4">
        <f>IF($K$1382="","",IF(설정!$B$29="","",설정!$B$29))</f>
        <v/>
      </c>
      <c r="G1389" s="31">
        <f>IF(OR($K$1382="",설정!$B$29=""),"",INDEX(직원목록!$Z$7:$Z$306,$K$1382))</f>
        <v/>
      </c>
      <c r="H1389" s="19" t="n"/>
    </row>
    <row r="1390">
      <c r="B1390" s="4">
        <f>IF($K$1382="","",IF(설정!$B$21="","",설정!$B$21))</f>
        <v/>
      </c>
      <c r="C1390" s="31">
        <f>IF(OR($K$1382="",설정!$B$21=""),"",INDEX(직원목록!$J$7:$J$306,$K$1382))</f>
        <v/>
      </c>
      <c r="D1390" s="32">
        <f>IF(OR($K$1382="",설정!$B$21=""),"",IF(N(INDEX(직원목록!$R$7:$R$306,$K$1382))=0,"",INDEX(직원목록!$R$7:$R$306,$K$1382)&amp;"시간"))</f>
        <v/>
      </c>
      <c r="F1390" s="4">
        <f>IF($K$1382="","",IF(설정!$B$30="","",설정!$B$30))</f>
        <v/>
      </c>
      <c r="G1390" s="31">
        <f>IF(OR($K$1382="",설정!$B$30=""),"",INDEX(직원목록!$AA$7:$AA$306,$K$1382))</f>
        <v/>
      </c>
      <c r="H1390" s="19" t="n"/>
    </row>
    <row r="1391">
      <c r="B1391" s="4">
        <f>IF($K$1382="","",IF(설정!$B$22="","",설정!$B$22))</f>
        <v/>
      </c>
      <c r="C1391" s="31">
        <f>IF(OR($K$1382="",설정!$B$22=""),"",INDEX(직원목록!$K$7:$K$306,$K$1382))</f>
        <v/>
      </c>
      <c r="D1391" s="32">
        <f>IF(OR($K$1382="",설정!$B$22=""),"",IF(N(INDEX(직원목록!$S$7:$S$306,$K$1382))=0,"",INDEX(직원목록!$S$7:$S$306,$K$1382)&amp;"시간"))</f>
        <v/>
      </c>
      <c r="F1391" s="4">
        <f>IF($K$1382="","",IF(설정!$B$31="","",설정!$B$31))</f>
        <v/>
      </c>
      <c r="G1391" s="31">
        <f>IF(OR($K$1382="",설정!$B$31=""),"",INDEX(직원목록!$AB$7:$AB$306,$K$1382))</f>
        <v/>
      </c>
      <c r="H1391" s="19" t="n"/>
    </row>
    <row r="1392">
      <c r="B1392" s="4">
        <f>IF($K$1382="","",IF(설정!$B$23="","",설정!$B$23))</f>
        <v/>
      </c>
      <c r="C1392" s="31">
        <f>IF(OR($K$1382="",설정!$B$23=""),"",INDEX(직원목록!$L$7:$L$306,$K$1382))</f>
        <v/>
      </c>
      <c r="D1392" s="32">
        <f>IF(OR($K$1382="",설정!$B$23=""),"",IF(N(INDEX(직원목록!$T$7:$T$306,$K$1382))=0,"",INDEX(직원목록!$T$7:$T$306,$K$1382)&amp;"시간"))</f>
        <v/>
      </c>
      <c r="F1392" s="4">
        <f>IF($K$1382="","",IF(설정!$B$32="","",설정!$B$32))</f>
        <v/>
      </c>
      <c r="G1392" s="31">
        <f>IF(OR($K$1382="",설정!$B$32=""),"",INDEX(직원목록!$AC$7:$AC$306,$K$1382))</f>
        <v/>
      </c>
      <c r="H1392" s="19" t="n"/>
    </row>
    <row r="1393">
      <c r="B1393" s="4">
        <f>IF($K$1382="","",IF(설정!$B$24="","",설정!$B$24))</f>
        <v/>
      </c>
      <c r="C1393" s="31">
        <f>IF(OR($K$1382="",설정!$B$24=""),"",INDEX(직원목록!$M$7:$M$306,$K$1382))</f>
        <v/>
      </c>
      <c r="D1393" s="32">
        <f>IF(OR($K$1382="",설정!$B$24=""),"",IF(N(INDEX(직원목록!$U$7:$U$306,$K$1382))=0,"",INDEX(직원목록!$U$7:$U$306,$K$1382)&amp;"시간"))</f>
        <v/>
      </c>
      <c r="F1393" s="4">
        <f>IF($K$1382="","",IF(설정!$B$33="","",설정!$B$33))</f>
        <v/>
      </c>
      <c r="G1393" s="31">
        <f>IF(OR($K$1382="",설정!$B$33=""),"",INDEX(직원목록!$AD$7:$AD$306,$K$1382))</f>
        <v/>
      </c>
      <c r="H1393" s="19" t="n"/>
    </row>
    <row r="1394">
      <c r="B1394" s="3" t="inlineStr">
        <is>
          <t>지급 합계</t>
        </is>
      </c>
      <c r="C1394" s="35">
        <f>IF($K$1382="","",INDEX(직원목록!$V$7:$V$306,$K$1382))</f>
        <v/>
      </c>
      <c r="D1394" s="36" t="n"/>
      <c r="F1394" s="3" t="inlineStr">
        <is>
          <t>공제 합계</t>
        </is>
      </c>
      <c r="G1394" s="35">
        <f>IF($K$1382="","",INDEX(직원목록!$AE$7:$AE$306,$K$1382))</f>
        <v/>
      </c>
      <c r="H1394" s="36" t="n"/>
    </row>
    <row r="1395" ht="28" customHeight="1">
      <c r="B1395" s="37" t="inlineStr">
        <is>
          <t>실 수령액 (지급 합계 − 공제 합계)</t>
        </is>
      </c>
      <c r="C1395" s="29" t="n"/>
      <c r="D1395" s="29" t="n"/>
      <c r="E1395" s="38">
        <f>IF($K$1382="","",INDEX(직원목록!$AF$7:$AF$306,$K$1382))</f>
        <v/>
      </c>
      <c r="F1395" s="29" t="n"/>
      <c r="G1395" s="29" t="n"/>
      <c r="H1395" s="29" t="n"/>
    </row>
    <row r="1396">
      <c r="B1396" s="39">
        <f>IF($K$1382="","",설정!$B$7)</f>
        <v/>
      </c>
    </row>
    <row r="1412" ht="30" customHeight="1">
      <c r="B1412" s="28">
        <f>IF($K$1412="","","임금명세서  ("&amp;설정!$B$5&amp;")")</f>
        <v/>
      </c>
      <c r="K1412" s="34">
        <f>IFERROR(MATCH(48,직원목록!$B$7:$B$306,0),"")</f>
        <v/>
      </c>
    </row>
    <row r="1413">
      <c r="B1413" s="7" t="inlineStr">
        <is>
          <t>회사명</t>
        </is>
      </c>
      <c r="C1413" s="21">
        <f>IF($K$1412="","",설정!$B$4)</f>
        <v/>
      </c>
      <c r="D1413" s="29" t="n"/>
      <c r="E1413" s="19" t="n"/>
      <c r="F1413" s="7" t="inlineStr">
        <is>
          <t>임금 지급일</t>
        </is>
      </c>
      <c r="G1413" s="21">
        <f>IF($K$1412="","",TEXT(설정!$B$6,"yyyy-mm-dd"))</f>
        <v/>
      </c>
      <c r="H1413" s="29" t="n"/>
    </row>
    <row r="1414">
      <c r="B1414" s="7" t="inlineStr">
        <is>
          <t>성명</t>
        </is>
      </c>
      <c r="C1414" s="22">
        <f>IF($K$1412="","",INDEX(직원목록!$D$7:$D$306,$K$1412))</f>
        <v/>
      </c>
      <c r="D1414" s="7" t="inlineStr">
        <is>
          <t>사번</t>
        </is>
      </c>
      <c r="E1414" s="21">
        <f>IF($K$1412="","",INDEX(직원목록!$C$7:$C$306,$K$1412))</f>
        <v/>
      </c>
      <c r="F1414" s="7" t="inlineStr">
        <is>
          <t>부서</t>
        </is>
      </c>
      <c r="G1414" s="21">
        <f>IF($K$1412="","",INDEX(직원목록!$E$7:$E$306,$K$1412))</f>
        <v/>
      </c>
      <c r="H1414" s="29" t="n"/>
    </row>
    <row r="1415">
      <c r="B1415" s="12" t="inlineStr">
        <is>
          <t>지급 항목</t>
        </is>
      </c>
      <c r="C1415" s="12" t="inlineStr">
        <is>
          <t>금액(원)</t>
        </is>
      </c>
      <c r="D1415" s="12" t="inlineStr">
        <is>
          <t>계산 근거</t>
        </is>
      </c>
      <c r="E1415" s="2" t="n"/>
      <c r="F1415" s="12" t="inlineStr">
        <is>
          <t>공제 항목</t>
        </is>
      </c>
      <c r="G1415" s="12" t="inlineStr">
        <is>
          <t>금액(원)</t>
        </is>
      </c>
      <c r="H1415" s="12" t="n"/>
    </row>
    <row r="1416">
      <c r="B1416" s="4">
        <f>IF($K$1412="","",IF(설정!$B$17="","",설정!$B$17))</f>
        <v/>
      </c>
      <c r="C1416" s="31">
        <f>IF(OR($K$1412="",설정!$B$17=""),"",INDEX(직원목록!$F$7:$F$306,$K$1412))</f>
        <v/>
      </c>
      <c r="D1416" s="32">
        <f>IF(OR($K$1412="",설정!$B$17=""),"",IF(N(INDEX(직원목록!$N$7:$N$306,$K$1412))=0,"",INDEX(직원목록!$N$7:$N$306,$K$1412)&amp;"시간"))</f>
        <v/>
      </c>
      <c r="F1416" s="4">
        <f>IF($K$1412="","",IF(설정!$B$26="","",설정!$B$26))</f>
        <v/>
      </c>
      <c r="G1416" s="31">
        <f>IF(OR($K$1412="",설정!$B$26=""),"",INDEX(직원목록!$W$7:$W$306,$K$1412))</f>
        <v/>
      </c>
      <c r="H1416" s="19" t="n"/>
    </row>
    <row r="1417">
      <c r="B1417" s="4">
        <f>IF($K$1412="","",IF(설정!$B$18="","",설정!$B$18))</f>
        <v/>
      </c>
      <c r="C1417" s="31">
        <f>IF(OR($K$1412="",설정!$B$18=""),"",INDEX(직원목록!$G$7:$G$306,$K$1412))</f>
        <v/>
      </c>
      <c r="D1417" s="32">
        <f>IF(OR($K$1412="",설정!$B$18=""),"",IF(N(INDEX(직원목록!$O$7:$O$306,$K$1412))=0,"",INDEX(직원목록!$O$7:$O$306,$K$1412)&amp;"시간"))</f>
        <v/>
      </c>
      <c r="F1417" s="4">
        <f>IF($K$1412="","",IF(설정!$B$27="","",설정!$B$27))</f>
        <v/>
      </c>
      <c r="G1417" s="31">
        <f>IF(OR($K$1412="",설정!$B$27=""),"",INDEX(직원목록!$X$7:$X$306,$K$1412))</f>
        <v/>
      </c>
      <c r="H1417" s="19" t="n"/>
    </row>
    <row r="1418">
      <c r="B1418" s="4">
        <f>IF($K$1412="","",IF(설정!$B$19="","",설정!$B$19))</f>
        <v/>
      </c>
      <c r="C1418" s="31">
        <f>IF(OR($K$1412="",설정!$B$19=""),"",INDEX(직원목록!$H$7:$H$306,$K$1412))</f>
        <v/>
      </c>
      <c r="D1418" s="32">
        <f>IF(OR($K$1412="",설정!$B$19=""),"",IF(N(INDEX(직원목록!$P$7:$P$306,$K$1412))=0,"",INDEX(직원목록!$P$7:$P$306,$K$1412)&amp;"시간"))</f>
        <v/>
      </c>
      <c r="F1418" s="4">
        <f>IF($K$1412="","",IF(설정!$B$28="","",설정!$B$28))</f>
        <v/>
      </c>
      <c r="G1418" s="31">
        <f>IF(OR($K$1412="",설정!$B$28=""),"",INDEX(직원목록!$Y$7:$Y$306,$K$1412))</f>
        <v/>
      </c>
      <c r="H1418" s="19" t="n"/>
    </row>
    <row r="1419">
      <c r="B1419" s="4">
        <f>IF($K$1412="","",IF(설정!$B$20="","",설정!$B$20))</f>
        <v/>
      </c>
      <c r="C1419" s="31">
        <f>IF(OR($K$1412="",설정!$B$20=""),"",INDEX(직원목록!$I$7:$I$306,$K$1412))</f>
        <v/>
      </c>
      <c r="D1419" s="32">
        <f>IF(OR($K$1412="",설정!$B$20=""),"",IF(N(INDEX(직원목록!$Q$7:$Q$306,$K$1412))=0,"",INDEX(직원목록!$Q$7:$Q$306,$K$1412)&amp;"시간"))</f>
        <v/>
      </c>
      <c r="F1419" s="4">
        <f>IF($K$1412="","",IF(설정!$B$29="","",설정!$B$29))</f>
        <v/>
      </c>
      <c r="G1419" s="31">
        <f>IF(OR($K$1412="",설정!$B$29=""),"",INDEX(직원목록!$Z$7:$Z$306,$K$1412))</f>
        <v/>
      </c>
      <c r="H1419" s="19" t="n"/>
    </row>
    <row r="1420">
      <c r="B1420" s="4">
        <f>IF($K$1412="","",IF(설정!$B$21="","",설정!$B$21))</f>
        <v/>
      </c>
      <c r="C1420" s="31">
        <f>IF(OR($K$1412="",설정!$B$21=""),"",INDEX(직원목록!$J$7:$J$306,$K$1412))</f>
        <v/>
      </c>
      <c r="D1420" s="32">
        <f>IF(OR($K$1412="",설정!$B$21=""),"",IF(N(INDEX(직원목록!$R$7:$R$306,$K$1412))=0,"",INDEX(직원목록!$R$7:$R$306,$K$1412)&amp;"시간"))</f>
        <v/>
      </c>
      <c r="F1420" s="4">
        <f>IF($K$1412="","",IF(설정!$B$30="","",설정!$B$30))</f>
        <v/>
      </c>
      <c r="G1420" s="31">
        <f>IF(OR($K$1412="",설정!$B$30=""),"",INDEX(직원목록!$AA$7:$AA$306,$K$1412))</f>
        <v/>
      </c>
      <c r="H1420" s="19" t="n"/>
    </row>
    <row r="1421">
      <c r="B1421" s="4">
        <f>IF($K$1412="","",IF(설정!$B$22="","",설정!$B$22))</f>
        <v/>
      </c>
      <c r="C1421" s="31">
        <f>IF(OR($K$1412="",설정!$B$22=""),"",INDEX(직원목록!$K$7:$K$306,$K$1412))</f>
        <v/>
      </c>
      <c r="D1421" s="32">
        <f>IF(OR($K$1412="",설정!$B$22=""),"",IF(N(INDEX(직원목록!$S$7:$S$306,$K$1412))=0,"",INDEX(직원목록!$S$7:$S$306,$K$1412)&amp;"시간"))</f>
        <v/>
      </c>
      <c r="F1421" s="4">
        <f>IF($K$1412="","",IF(설정!$B$31="","",설정!$B$31))</f>
        <v/>
      </c>
      <c r="G1421" s="31">
        <f>IF(OR($K$1412="",설정!$B$31=""),"",INDEX(직원목록!$AB$7:$AB$306,$K$1412))</f>
        <v/>
      </c>
      <c r="H1421" s="19" t="n"/>
    </row>
    <row r="1422">
      <c r="B1422" s="4">
        <f>IF($K$1412="","",IF(설정!$B$23="","",설정!$B$23))</f>
        <v/>
      </c>
      <c r="C1422" s="31">
        <f>IF(OR($K$1412="",설정!$B$23=""),"",INDEX(직원목록!$L$7:$L$306,$K$1412))</f>
        <v/>
      </c>
      <c r="D1422" s="32">
        <f>IF(OR($K$1412="",설정!$B$23=""),"",IF(N(INDEX(직원목록!$T$7:$T$306,$K$1412))=0,"",INDEX(직원목록!$T$7:$T$306,$K$1412)&amp;"시간"))</f>
        <v/>
      </c>
      <c r="F1422" s="4">
        <f>IF($K$1412="","",IF(설정!$B$32="","",설정!$B$32))</f>
        <v/>
      </c>
      <c r="G1422" s="31">
        <f>IF(OR($K$1412="",설정!$B$32=""),"",INDEX(직원목록!$AC$7:$AC$306,$K$1412))</f>
        <v/>
      </c>
      <c r="H1422" s="19" t="n"/>
    </row>
    <row r="1423">
      <c r="B1423" s="4">
        <f>IF($K$1412="","",IF(설정!$B$24="","",설정!$B$24))</f>
        <v/>
      </c>
      <c r="C1423" s="31">
        <f>IF(OR($K$1412="",설정!$B$24=""),"",INDEX(직원목록!$M$7:$M$306,$K$1412))</f>
        <v/>
      </c>
      <c r="D1423" s="32">
        <f>IF(OR($K$1412="",설정!$B$24=""),"",IF(N(INDEX(직원목록!$U$7:$U$306,$K$1412))=0,"",INDEX(직원목록!$U$7:$U$306,$K$1412)&amp;"시간"))</f>
        <v/>
      </c>
      <c r="F1423" s="4">
        <f>IF($K$1412="","",IF(설정!$B$33="","",설정!$B$33))</f>
        <v/>
      </c>
      <c r="G1423" s="31">
        <f>IF(OR($K$1412="",설정!$B$33=""),"",INDEX(직원목록!$AD$7:$AD$306,$K$1412))</f>
        <v/>
      </c>
      <c r="H1423" s="19" t="n"/>
    </row>
    <row r="1424">
      <c r="B1424" s="3" t="inlineStr">
        <is>
          <t>지급 합계</t>
        </is>
      </c>
      <c r="C1424" s="35">
        <f>IF($K$1412="","",INDEX(직원목록!$V$7:$V$306,$K$1412))</f>
        <v/>
      </c>
      <c r="D1424" s="36" t="n"/>
      <c r="F1424" s="3" t="inlineStr">
        <is>
          <t>공제 합계</t>
        </is>
      </c>
      <c r="G1424" s="35">
        <f>IF($K$1412="","",INDEX(직원목록!$AE$7:$AE$306,$K$1412))</f>
        <v/>
      </c>
      <c r="H1424" s="36" t="n"/>
    </row>
    <row r="1425" ht="28" customHeight="1">
      <c r="B1425" s="37" t="inlineStr">
        <is>
          <t>실 수령액 (지급 합계 − 공제 합계)</t>
        </is>
      </c>
      <c r="C1425" s="29" t="n"/>
      <c r="D1425" s="29" t="n"/>
      <c r="E1425" s="38">
        <f>IF($K$1412="","",INDEX(직원목록!$AF$7:$AF$306,$K$1412))</f>
        <v/>
      </c>
      <c r="F1425" s="29" t="n"/>
      <c r="G1425" s="29" t="n"/>
      <c r="H1425" s="29" t="n"/>
    </row>
    <row r="1426">
      <c r="B1426" s="39">
        <f>IF($K$1412="","",설정!$B$7)</f>
        <v/>
      </c>
    </row>
    <row r="1442" ht="30" customHeight="1">
      <c r="B1442" s="28">
        <f>IF($K$1442="","","임금명세서  ("&amp;설정!$B$5&amp;")")</f>
        <v/>
      </c>
      <c r="K1442" s="34">
        <f>IFERROR(MATCH(49,직원목록!$B$7:$B$306,0),"")</f>
        <v/>
      </c>
    </row>
    <row r="1443">
      <c r="B1443" s="7" t="inlineStr">
        <is>
          <t>회사명</t>
        </is>
      </c>
      <c r="C1443" s="21">
        <f>IF($K$1442="","",설정!$B$4)</f>
        <v/>
      </c>
      <c r="D1443" s="29" t="n"/>
      <c r="E1443" s="19" t="n"/>
      <c r="F1443" s="7" t="inlineStr">
        <is>
          <t>임금 지급일</t>
        </is>
      </c>
      <c r="G1443" s="21">
        <f>IF($K$1442="","",TEXT(설정!$B$6,"yyyy-mm-dd"))</f>
        <v/>
      </c>
      <c r="H1443" s="29" t="n"/>
    </row>
    <row r="1444">
      <c r="B1444" s="7" t="inlineStr">
        <is>
          <t>성명</t>
        </is>
      </c>
      <c r="C1444" s="22">
        <f>IF($K$1442="","",INDEX(직원목록!$D$7:$D$306,$K$1442))</f>
        <v/>
      </c>
      <c r="D1444" s="7" t="inlineStr">
        <is>
          <t>사번</t>
        </is>
      </c>
      <c r="E1444" s="21">
        <f>IF($K$1442="","",INDEX(직원목록!$C$7:$C$306,$K$1442))</f>
        <v/>
      </c>
      <c r="F1444" s="7" t="inlineStr">
        <is>
          <t>부서</t>
        </is>
      </c>
      <c r="G1444" s="21">
        <f>IF($K$1442="","",INDEX(직원목록!$E$7:$E$306,$K$1442))</f>
        <v/>
      </c>
      <c r="H1444" s="29" t="n"/>
    </row>
    <row r="1445">
      <c r="B1445" s="12" t="inlineStr">
        <is>
          <t>지급 항목</t>
        </is>
      </c>
      <c r="C1445" s="12" t="inlineStr">
        <is>
          <t>금액(원)</t>
        </is>
      </c>
      <c r="D1445" s="12" t="inlineStr">
        <is>
          <t>계산 근거</t>
        </is>
      </c>
      <c r="E1445" s="2" t="n"/>
      <c r="F1445" s="12" t="inlineStr">
        <is>
          <t>공제 항목</t>
        </is>
      </c>
      <c r="G1445" s="12" t="inlineStr">
        <is>
          <t>금액(원)</t>
        </is>
      </c>
      <c r="H1445" s="12" t="n"/>
    </row>
    <row r="1446">
      <c r="B1446" s="4">
        <f>IF($K$1442="","",IF(설정!$B$17="","",설정!$B$17))</f>
        <v/>
      </c>
      <c r="C1446" s="31">
        <f>IF(OR($K$1442="",설정!$B$17=""),"",INDEX(직원목록!$F$7:$F$306,$K$1442))</f>
        <v/>
      </c>
      <c r="D1446" s="32">
        <f>IF(OR($K$1442="",설정!$B$17=""),"",IF(N(INDEX(직원목록!$N$7:$N$306,$K$1442))=0,"",INDEX(직원목록!$N$7:$N$306,$K$1442)&amp;"시간"))</f>
        <v/>
      </c>
      <c r="F1446" s="4">
        <f>IF($K$1442="","",IF(설정!$B$26="","",설정!$B$26))</f>
        <v/>
      </c>
      <c r="G1446" s="31">
        <f>IF(OR($K$1442="",설정!$B$26=""),"",INDEX(직원목록!$W$7:$W$306,$K$1442))</f>
        <v/>
      </c>
      <c r="H1446" s="19" t="n"/>
    </row>
    <row r="1447">
      <c r="B1447" s="4">
        <f>IF($K$1442="","",IF(설정!$B$18="","",설정!$B$18))</f>
        <v/>
      </c>
      <c r="C1447" s="31">
        <f>IF(OR($K$1442="",설정!$B$18=""),"",INDEX(직원목록!$G$7:$G$306,$K$1442))</f>
        <v/>
      </c>
      <c r="D1447" s="32">
        <f>IF(OR($K$1442="",설정!$B$18=""),"",IF(N(INDEX(직원목록!$O$7:$O$306,$K$1442))=0,"",INDEX(직원목록!$O$7:$O$306,$K$1442)&amp;"시간"))</f>
        <v/>
      </c>
      <c r="F1447" s="4">
        <f>IF($K$1442="","",IF(설정!$B$27="","",설정!$B$27))</f>
        <v/>
      </c>
      <c r="G1447" s="31">
        <f>IF(OR($K$1442="",설정!$B$27=""),"",INDEX(직원목록!$X$7:$X$306,$K$1442))</f>
        <v/>
      </c>
      <c r="H1447" s="19" t="n"/>
    </row>
    <row r="1448">
      <c r="B1448" s="4">
        <f>IF($K$1442="","",IF(설정!$B$19="","",설정!$B$19))</f>
        <v/>
      </c>
      <c r="C1448" s="31">
        <f>IF(OR($K$1442="",설정!$B$19=""),"",INDEX(직원목록!$H$7:$H$306,$K$1442))</f>
        <v/>
      </c>
      <c r="D1448" s="32">
        <f>IF(OR($K$1442="",설정!$B$19=""),"",IF(N(INDEX(직원목록!$P$7:$P$306,$K$1442))=0,"",INDEX(직원목록!$P$7:$P$306,$K$1442)&amp;"시간"))</f>
        <v/>
      </c>
      <c r="F1448" s="4">
        <f>IF($K$1442="","",IF(설정!$B$28="","",설정!$B$28))</f>
        <v/>
      </c>
      <c r="G1448" s="31">
        <f>IF(OR($K$1442="",설정!$B$28=""),"",INDEX(직원목록!$Y$7:$Y$306,$K$1442))</f>
        <v/>
      </c>
      <c r="H1448" s="19" t="n"/>
    </row>
    <row r="1449">
      <c r="B1449" s="4">
        <f>IF($K$1442="","",IF(설정!$B$20="","",설정!$B$20))</f>
        <v/>
      </c>
      <c r="C1449" s="31">
        <f>IF(OR($K$1442="",설정!$B$20=""),"",INDEX(직원목록!$I$7:$I$306,$K$1442))</f>
        <v/>
      </c>
      <c r="D1449" s="32">
        <f>IF(OR($K$1442="",설정!$B$20=""),"",IF(N(INDEX(직원목록!$Q$7:$Q$306,$K$1442))=0,"",INDEX(직원목록!$Q$7:$Q$306,$K$1442)&amp;"시간"))</f>
        <v/>
      </c>
      <c r="F1449" s="4">
        <f>IF($K$1442="","",IF(설정!$B$29="","",설정!$B$29))</f>
        <v/>
      </c>
      <c r="G1449" s="31">
        <f>IF(OR($K$1442="",설정!$B$29=""),"",INDEX(직원목록!$Z$7:$Z$306,$K$1442))</f>
        <v/>
      </c>
      <c r="H1449" s="19" t="n"/>
    </row>
    <row r="1450">
      <c r="B1450" s="4">
        <f>IF($K$1442="","",IF(설정!$B$21="","",설정!$B$21))</f>
        <v/>
      </c>
      <c r="C1450" s="31">
        <f>IF(OR($K$1442="",설정!$B$21=""),"",INDEX(직원목록!$J$7:$J$306,$K$1442))</f>
        <v/>
      </c>
      <c r="D1450" s="32">
        <f>IF(OR($K$1442="",설정!$B$21=""),"",IF(N(INDEX(직원목록!$R$7:$R$306,$K$1442))=0,"",INDEX(직원목록!$R$7:$R$306,$K$1442)&amp;"시간"))</f>
        <v/>
      </c>
      <c r="F1450" s="4">
        <f>IF($K$1442="","",IF(설정!$B$30="","",설정!$B$30))</f>
        <v/>
      </c>
      <c r="G1450" s="31">
        <f>IF(OR($K$1442="",설정!$B$30=""),"",INDEX(직원목록!$AA$7:$AA$306,$K$1442))</f>
        <v/>
      </c>
      <c r="H1450" s="19" t="n"/>
    </row>
    <row r="1451">
      <c r="B1451" s="4">
        <f>IF($K$1442="","",IF(설정!$B$22="","",설정!$B$22))</f>
        <v/>
      </c>
      <c r="C1451" s="31">
        <f>IF(OR($K$1442="",설정!$B$22=""),"",INDEX(직원목록!$K$7:$K$306,$K$1442))</f>
        <v/>
      </c>
      <c r="D1451" s="32">
        <f>IF(OR($K$1442="",설정!$B$22=""),"",IF(N(INDEX(직원목록!$S$7:$S$306,$K$1442))=0,"",INDEX(직원목록!$S$7:$S$306,$K$1442)&amp;"시간"))</f>
        <v/>
      </c>
      <c r="F1451" s="4">
        <f>IF($K$1442="","",IF(설정!$B$31="","",설정!$B$31))</f>
        <v/>
      </c>
      <c r="G1451" s="31">
        <f>IF(OR($K$1442="",설정!$B$31=""),"",INDEX(직원목록!$AB$7:$AB$306,$K$1442))</f>
        <v/>
      </c>
      <c r="H1451" s="19" t="n"/>
    </row>
    <row r="1452">
      <c r="B1452" s="4">
        <f>IF($K$1442="","",IF(설정!$B$23="","",설정!$B$23))</f>
        <v/>
      </c>
      <c r="C1452" s="31">
        <f>IF(OR($K$1442="",설정!$B$23=""),"",INDEX(직원목록!$L$7:$L$306,$K$1442))</f>
        <v/>
      </c>
      <c r="D1452" s="32">
        <f>IF(OR($K$1442="",설정!$B$23=""),"",IF(N(INDEX(직원목록!$T$7:$T$306,$K$1442))=0,"",INDEX(직원목록!$T$7:$T$306,$K$1442)&amp;"시간"))</f>
        <v/>
      </c>
      <c r="F1452" s="4">
        <f>IF($K$1442="","",IF(설정!$B$32="","",설정!$B$32))</f>
        <v/>
      </c>
      <c r="G1452" s="31">
        <f>IF(OR($K$1442="",설정!$B$32=""),"",INDEX(직원목록!$AC$7:$AC$306,$K$1442))</f>
        <v/>
      </c>
      <c r="H1452" s="19" t="n"/>
    </row>
    <row r="1453">
      <c r="B1453" s="4">
        <f>IF($K$1442="","",IF(설정!$B$24="","",설정!$B$24))</f>
        <v/>
      </c>
      <c r="C1453" s="31">
        <f>IF(OR($K$1442="",설정!$B$24=""),"",INDEX(직원목록!$M$7:$M$306,$K$1442))</f>
        <v/>
      </c>
      <c r="D1453" s="32">
        <f>IF(OR($K$1442="",설정!$B$24=""),"",IF(N(INDEX(직원목록!$U$7:$U$306,$K$1442))=0,"",INDEX(직원목록!$U$7:$U$306,$K$1442)&amp;"시간"))</f>
        <v/>
      </c>
      <c r="F1453" s="4">
        <f>IF($K$1442="","",IF(설정!$B$33="","",설정!$B$33))</f>
        <v/>
      </c>
      <c r="G1453" s="31">
        <f>IF(OR($K$1442="",설정!$B$33=""),"",INDEX(직원목록!$AD$7:$AD$306,$K$1442))</f>
        <v/>
      </c>
      <c r="H1453" s="19" t="n"/>
    </row>
    <row r="1454">
      <c r="B1454" s="3" t="inlineStr">
        <is>
          <t>지급 합계</t>
        </is>
      </c>
      <c r="C1454" s="35">
        <f>IF($K$1442="","",INDEX(직원목록!$V$7:$V$306,$K$1442))</f>
        <v/>
      </c>
      <c r="D1454" s="36" t="n"/>
      <c r="F1454" s="3" t="inlineStr">
        <is>
          <t>공제 합계</t>
        </is>
      </c>
      <c r="G1454" s="35">
        <f>IF($K$1442="","",INDEX(직원목록!$AE$7:$AE$306,$K$1442))</f>
        <v/>
      </c>
      <c r="H1454" s="36" t="n"/>
    </row>
    <row r="1455" ht="28" customHeight="1">
      <c r="B1455" s="37" t="inlineStr">
        <is>
          <t>실 수령액 (지급 합계 − 공제 합계)</t>
        </is>
      </c>
      <c r="C1455" s="29" t="n"/>
      <c r="D1455" s="29" t="n"/>
      <c r="E1455" s="38">
        <f>IF($K$1442="","",INDEX(직원목록!$AF$7:$AF$306,$K$1442))</f>
        <v/>
      </c>
      <c r="F1455" s="29" t="n"/>
      <c r="G1455" s="29" t="n"/>
      <c r="H1455" s="29" t="n"/>
    </row>
    <row r="1456">
      <c r="B1456" s="39">
        <f>IF($K$1442="","",설정!$B$7)</f>
        <v/>
      </c>
    </row>
    <row r="1472" ht="30" customHeight="1">
      <c r="B1472" s="28">
        <f>IF($K$1472="","","임금명세서  ("&amp;설정!$B$5&amp;")")</f>
        <v/>
      </c>
      <c r="K1472" s="34">
        <f>IFERROR(MATCH(50,직원목록!$B$7:$B$306,0),"")</f>
        <v/>
      </c>
    </row>
    <row r="1473">
      <c r="B1473" s="7" t="inlineStr">
        <is>
          <t>회사명</t>
        </is>
      </c>
      <c r="C1473" s="21">
        <f>IF($K$1472="","",설정!$B$4)</f>
        <v/>
      </c>
      <c r="D1473" s="29" t="n"/>
      <c r="E1473" s="19" t="n"/>
      <c r="F1473" s="7" t="inlineStr">
        <is>
          <t>임금 지급일</t>
        </is>
      </c>
      <c r="G1473" s="21">
        <f>IF($K$1472="","",TEXT(설정!$B$6,"yyyy-mm-dd"))</f>
        <v/>
      </c>
      <c r="H1473" s="29" t="n"/>
    </row>
    <row r="1474">
      <c r="B1474" s="7" t="inlineStr">
        <is>
          <t>성명</t>
        </is>
      </c>
      <c r="C1474" s="22">
        <f>IF($K$1472="","",INDEX(직원목록!$D$7:$D$306,$K$1472))</f>
        <v/>
      </c>
      <c r="D1474" s="7" t="inlineStr">
        <is>
          <t>사번</t>
        </is>
      </c>
      <c r="E1474" s="21">
        <f>IF($K$1472="","",INDEX(직원목록!$C$7:$C$306,$K$1472))</f>
        <v/>
      </c>
      <c r="F1474" s="7" t="inlineStr">
        <is>
          <t>부서</t>
        </is>
      </c>
      <c r="G1474" s="21">
        <f>IF($K$1472="","",INDEX(직원목록!$E$7:$E$306,$K$1472))</f>
        <v/>
      </c>
      <c r="H1474" s="29" t="n"/>
    </row>
    <row r="1475">
      <c r="B1475" s="12" t="inlineStr">
        <is>
          <t>지급 항목</t>
        </is>
      </c>
      <c r="C1475" s="12" t="inlineStr">
        <is>
          <t>금액(원)</t>
        </is>
      </c>
      <c r="D1475" s="12" t="inlineStr">
        <is>
          <t>계산 근거</t>
        </is>
      </c>
      <c r="E1475" s="2" t="n"/>
      <c r="F1475" s="12" t="inlineStr">
        <is>
          <t>공제 항목</t>
        </is>
      </c>
      <c r="G1475" s="12" t="inlineStr">
        <is>
          <t>금액(원)</t>
        </is>
      </c>
      <c r="H1475" s="12" t="n"/>
    </row>
    <row r="1476">
      <c r="B1476" s="4">
        <f>IF($K$1472="","",IF(설정!$B$17="","",설정!$B$17))</f>
        <v/>
      </c>
      <c r="C1476" s="31">
        <f>IF(OR($K$1472="",설정!$B$17=""),"",INDEX(직원목록!$F$7:$F$306,$K$1472))</f>
        <v/>
      </c>
      <c r="D1476" s="32">
        <f>IF(OR($K$1472="",설정!$B$17=""),"",IF(N(INDEX(직원목록!$N$7:$N$306,$K$1472))=0,"",INDEX(직원목록!$N$7:$N$306,$K$1472)&amp;"시간"))</f>
        <v/>
      </c>
      <c r="F1476" s="4">
        <f>IF($K$1472="","",IF(설정!$B$26="","",설정!$B$26))</f>
        <v/>
      </c>
      <c r="G1476" s="31">
        <f>IF(OR($K$1472="",설정!$B$26=""),"",INDEX(직원목록!$W$7:$W$306,$K$1472))</f>
        <v/>
      </c>
      <c r="H1476" s="19" t="n"/>
    </row>
    <row r="1477">
      <c r="B1477" s="4">
        <f>IF($K$1472="","",IF(설정!$B$18="","",설정!$B$18))</f>
        <v/>
      </c>
      <c r="C1477" s="31">
        <f>IF(OR($K$1472="",설정!$B$18=""),"",INDEX(직원목록!$G$7:$G$306,$K$1472))</f>
        <v/>
      </c>
      <c r="D1477" s="32">
        <f>IF(OR($K$1472="",설정!$B$18=""),"",IF(N(INDEX(직원목록!$O$7:$O$306,$K$1472))=0,"",INDEX(직원목록!$O$7:$O$306,$K$1472)&amp;"시간"))</f>
        <v/>
      </c>
      <c r="F1477" s="4">
        <f>IF($K$1472="","",IF(설정!$B$27="","",설정!$B$27))</f>
        <v/>
      </c>
      <c r="G1477" s="31">
        <f>IF(OR($K$1472="",설정!$B$27=""),"",INDEX(직원목록!$X$7:$X$306,$K$1472))</f>
        <v/>
      </c>
      <c r="H1477" s="19" t="n"/>
    </row>
    <row r="1478">
      <c r="B1478" s="4">
        <f>IF($K$1472="","",IF(설정!$B$19="","",설정!$B$19))</f>
        <v/>
      </c>
      <c r="C1478" s="31">
        <f>IF(OR($K$1472="",설정!$B$19=""),"",INDEX(직원목록!$H$7:$H$306,$K$1472))</f>
        <v/>
      </c>
      <c r="D1478" s="32">
        <f>IF(OR($K$1472="",설정!$B$19=""),"",IF(N(INDEX(직원목록!$P$7:$P$306,$K$1472))=0,"",INDEX(직원목록!$P$7:$P$306,$K$1472)&amp;"시간"))</f>
        <v/>
      </c>
      <c r="F1478" s="4">
        <f>IF($K$1472="","",IF(설정!$B$28="","",설정!$B$28))</f>
        <v/>
      </c>
      <c r="G1478" s="31">
        <f>IF(OR($K$1472="",설정!$B$28=""),"",INDEX(직원목록!$Y$7:$Y$306,$K$1472))</f>
        <v/>
      </c>
      <c r="H1478" s="19" t="n"/>
    </row>
    <row r="1479">
      <c r="B1479" s="4">
        <f>IF($K$1472="","",IF(설정!$B$20="","",설정!$B$20))</f>
        <v/>
      </c>
      <c r="C1479" s="31">
        <f>IF(OR($K$1472="",설정!$B$20=""),"",INDEX(직원목록!$I$7:$I$306,$K$1472))</f>
        <v/>
      </c>
      <c r="D1479" s="32">
        <f>IF(OR($K$1472="",설정!$B$20=""),"",IF(N(INDEX(직원목록!$Q$7:$Q$306,$K$1472))=0,"",INDEX(직원목록!$Q$7:$Q$306,$K$1472)&amp;"시간"))</f>
        <v/>
      </c>
      <c r="F1479" s="4">
        <f>IF($K$1472="","",IF(설정!$B$29="","",설정!$B$29))</f>
        <v/>
      </c>
      <c r="G1479" s="31">
        <f>IF(OR($K$1472="",설정!$B$29=""),"",INDEX(직원목록!$Z$7:$Z$306,$K$1472))</f>
        <v/>
      </c>
      <c r="H1479" s="19" t="n"/>
    </row>
    <row r="1480">
      <c r="B1480" s="4">
        <f>IF($K$1472="","",IF(설정!$B$21="","",설정!$B$21))</f>
        <v/>
      </c>
      <c r="C1480" s="31">
        <f>IF(OR($K$1472="",설정!$B$21=""),"",INDEX(직원목록!$J$7:$J$306,$K$1472))</f>
        <v/>
      </c>
      <c r="D1480" s="32">
        <f>IF(OR($K$1472="",설정!$B$21=""),"",IF(N(INDEX(직원목록!$R$7:$R$306,$K$1472))=0,"",INDEX(직원목록!$R$7:$R$306,$K$1472)&amp;"시간"))</f>
        <v/>
      </c>
      <c r="F1480" s="4">
        <f>IF($K$1472="","",IF(설정!$B$30="","",설정!$B$30))</f>
        <v/>
      </c>
      <c r="G1480" s="31">
        <f>IF(OR($K$1472="",설정!$B$30=""),"",INDEX(직원목록!$AA$7:$AA$306,$K$1472))</f>
        <v/>
      </c>
      <c r="H1480" s="19" t="n"/>
    </row>
    <row r="1481">
      <c r="B1481" s="4">
        <f>IF($K$1472="","",IF(설정!$B$22="","",설정!$B$22))</f>
        <v/>
      </c>
      <c r="C1481" s="31">
        <f>IF(OR($K$1472="",설정!$B$22=""),"",INDEX(직원목록!$K$7:$K$306,$K$1472))</f>
        <v/>
      </c>
      <c r="D1481" s="32">
        <f>IF(OR($K$1472="",설정!$B$22=""),"",IF(N(INDEX(직원목록!$S$7:$S$306,$K$1472))=0,"",INDEX(직원목록!$S$7:$S$306,$K$1472)&amp;"시간"))</f>
        <v/>
      </c>
      <c r="F1481" s="4">
        <f>IF($K$1472="","",IF(설정!$B$31="","",설정!$B$31))</f>
        <v/>
      </c>
      <c r="G1481" s="31">
        <f>IF(OR($K$1472="",설정!$B$31=""),"",INDEX(직원목록!$AB$7:$AB$306,$K$1472))</f>
        <v/>
      </c>
      <c r="H1481" s="19" t="n"/>
    </row>
    <row r="1482">
      <c r="B1482" s="4">
        <f>IF($K$1472="","",IF(설정!$B$23="","",설정!$B$23))</f>
        <v/>
      </c>
      <c r="C1482" s="31">
        <f>IF(OR($K$1472="",설정!$B$23=""),"",INDEX(직원목록!$L$7:$L$306,$K$1472))</f>
        <v/>
      </c>
      <c r="D1482" s="32">
        <f>IF(OR($K$1472="",설정!$B$23=""),"",IF(N(INDEX(직원목록!$T$7:$T$306,$K$1472))=0,"",INDEX(직원목록!$T$7:$T$306,$K$1472)&amp;"시간"))</f>
        <v/>
      </c>
      <c r="F1482" s="4">
        <f>IF($K$1472="","",IF(설정!$B$32="","",설정!$B$32))</f>
        <v/>
      </c>
      <c r="G1482" s="31">
        <f>IF(OR($K$1472="",설정!$B$32=""),"",INDEX(직원목록!$AC$7:$AC$306,$K$1472))</f>
        <v/>
      </c>
      <c r="H1482" s="19" t="n"/>
    </row>
    <row r="1483">
      <c r="B1483" s="4">
        <f>IF($K$1472="","",IF(설정!$B$24="","",설정!$B$24))</f>
        <v/>
      </c>
      <c r="C1483" s="31">
        <f>IF(OR($K$1472="",설정!$B$24=""),"",INDEX(직원목록!$M$7:$M$306,$K$1472))</f>
        <v/>
      </c>
      <c r="D1483" s="32">
        <f>IF(OR($K$1472="",설정!$B$24=""),"",IF(N(INDEX(직원목록!$U$7:$U$306,$K$1472))=0,"",INDEX(직원목록!$U$7:$U$306,$K$1472)&amp;"시간"))</f>
        <v/>
      </c>
      <c r="F1483" s="4">
        <f>IF($K$1472="","",IF(설정!$B$33="","",설정!$B$33))</f>
        <v/>
      </c>
      <c r="G1483" s="31">
        <f>IF(OR($K$1472="",설정!$B$33=""),"",INDEX(직원목록!$AD$7:$AD$306,$K$1472))</f>
        <v/>
      </c>
      <c r="H1483" s="19" t="n"/>
    </row>
    <row r="1484">
      <c r="B1484" s="3" t="inlineStr">
        <is>
          <t>지급 합계</t>
        </is>
      </c>
      <c r="C1484" s="35">
        <f>IF($K$1472="","",INDEX(직원목록!$V$7:$V$306,$K$1472))</f>
        <v/>
      </c>
      <c r="D1484" s="36" t="n"/>
      <c r="F1484" s="3" t="inlineStr">
        <is>
          <t>공제 합계</t>
        </is>
      </c>
      <c r="G1484" s="35">
        <f>IF($K$1472="","",INDEX(직원목록!$AE$7:$AE$306,$K$1472))</f>
        <v/>
      </c>
      <c r="H1484" s="36" t="n"/>
    </row>
    <row r="1485" ht="28" customHeight="1">
      <c r="B1485" s="37" t="inlineStr">
        <is>
          <t>실 수령액 (지급 합계 − 공제 합계)</t>
        </is>
      </c>
      <c r="C1485" s="29" t="n"/>
      <c r="D1485" s="29" t="n"/>
      <c r="E1485" s="38">
        <f>IF($K$1472="","",INDEX(직원목록!$AF$7:$AF$306,$K$1472))</f>
        <v/>
      </c>
      <c r="F1485" s="29" t="n"/>
      <c r="G1485" s="29" t="n"/>
      <c r="H1485" s="29" t="n"/>
    </row>
    <row r="1486">
      <c r="B1486" s="39">
        <f>IF($K$1472="","",설정!$B$7)</f>
        <v/>
      </c>
    </row>
    <row r="1502" ht="30" customHeight="1">
      <c r="B1502" s="28">
        <f>IF($K$1502="","","임금명세서  ("&amp;설정!$B$5&amp;")")</f>
        <v/>
      </c>
      <c r="K1502" s="34">
        <f>IFERROR(MATCH(51,직원목록!$B$7:$B$306,0),"")</f>
        <v/>
      </c>
    </row>
    <row r="1503">
      <c r="B1503" s="7" t="inlineStr">
        <is>
          <t>회사명</t>
        </is>
      </c>
      <c r="C1503" s="21">
        <f>IF($K$1502="","",설정!$B$4)</f>
        <v/>
      </c>
      <c r="D1503" s="29" t="n"/>
      <c r="E1503" s="19" t="n"/>
      <c r="F1503" s="7" t="inlineStr">
        <is>
          <t>임금 지급일</t>
        </is>
      </c>
      <c r="G1503" s="21">
        <f>IF($K$1502="","",TEXT(설정!$B$6,"yyyy-mm-dd"))</f>
        <v/>
      </c>
      <c r="H1503" s="29" t="n"/>
    </row>
    <row r="1504">
      <c r="B1504" s="7" t="inlineStr">
        <is>
          <t>성명</t>
        </is>
      </c>
      <c r="C1504" s="22">
        <f>IF($K$1502="","",INDEX(직원목록!$D$7:$D$306,$K$1502))</f>
        <v/>
      </c>
      <c r="D1504" s="7" t="inlineStr">
        <is>
          <t>사번</t>
        </is>
      </c>
      <c r="E1504" s="21">
        <f>IF($K$1502="","",INDEX(직원목록!$C$7:$C$306,$K$1502))</f>
        <v/>
      </c>
      <c r="F1504" s="7" t="inlineStr">
        <is>
          <t>부서</t>
        </is>
      </c>
      <c r="G1504" s="21">
        <f>IF($K$1502="","",INDEX(직원목록!$E$7:$E$306,$K$1502))</f>
        <v/>
      </c>
      <c r="H1504" s="29" t="n"/>
    </row>
    <row r="1505">
      <c r="B1505" s="12" t="inlineStr">
        <is>
          <t>지급 항목</t>
        </is>
      </c>
      <c r="C1505" s="12" t="inlineStr">
        <is>
          <t>금액(원)</t>
        </is>
      </c>
      <c r="D1505" s="12" t="inlineStr">
        <is>
          <t>계산 근거</t>
        </is>
      </c>
      <c r="E1505" s="2" t="n"/>
      <c r="F1505" s="12" t="inlineStr">
        <is>
          <t>공제 항목</t>
        </is>
      </c>
      <c r="G1505" s="12" t="inlineStr">
        <is>
          <t>금액(원)</t>
        </is>
      </c>
      <c r="H1505" s="12" t="n"/>
    </row>
    <row r="1506">
      <c r="B1506" s="4">
        <f>IF($K$1502="","",IF(설정!$B$17="","",설정!$B$17))</f>
        <v/>
      </c>
      <c r="C1506" s="31">
        <f>IF(OR($K$1502="",설정!$B$17=""),"",INDEX(직원목록!$F$7:$F$306,$K$1502))</f>
        <v/>
      </c>
      <c r="D1506" s="32">
        <f>IF(OR($K$1502="",설정!$B$17=""),"",IF(N(INDEX(직원목록!$N$7:$N$306,$K$1502))=0,"",INDEX(직원목록!$N$7:$N$306,$K$1502)&amp;"시간"))</f>
        <v/>
      </c>
      <c r="F1506" s="4">
        <f>IF($K$1502="","",IF(설정!$B$26="","",설정!$B$26))</f>
        <v/>
      </c>
      <c r="G1506" s="31">
        <f>IF(OR($K$1502="",설정!$B$26=""),"",INDEX(직원목록!$W$7:$W$306,$K$1502))</f>
        <v/>
      </c>
      <c r="H1506" s="19" t="n"/>
    </row>
    <row r="1507">
      <c r="B1507" s="4">
        <f>IF($K$1502="","",IF(설정!$B$18="","",설정!$B$18))</f>
        <v/>
      </c>
      <c r="C1507" s="31">
        <f>IF(OR($K$1502="",설정!$B$18=""),"",INDEX(직원목록!$G$7:$G$306,$K$1502))</f>
        <v/>
      </c>
      <c r="D1507" s="32">
        <f>IF(OR($K$1502="",설정!$B$18=""),"",IF(N(INDEX(직원목록!$O$7:$O$306,$K$1502))=0,"",INDEX(직원목록!$O$7:$O$306,$K$1502)&amp;"시간"))</f>
        <v/>
      </c>
      <c r="F1507" s="4">
        <f>IF($K$1502="","",IF(설정!$B$27="","",설정!$B$27))</f>
        <v/>
      </c>
      <c r="G1507" s="31">
        <f>IF(OR($K$1502="",설정!$B$27=""),"",INDEX(직원목록!$X$7:$X$306,$K$1502))</f>
        <v/>
      </c>
      <c r="H1507" s="19" t="n"/>
    </row>
    <row r="1508">
      <c r="B1508" s="4">
        <f>IF($K$1502="","",IF(설정!$B$19="","",설정!$B$19))</f>
        <v/>
      </c>
      <c r="C1508" s="31">
        <f>IF(OR($K$1502="",설정!$B$19=""),"",INDEX(직원목록!$H$7:$H$306,$K$1502))</f>
        <v/>
      </c>
      <c r="D1508" s="32">
        <f>IF(OR($K$1502="",설정!$B$19=""),"",IF(N(INDEX(직원목록!$P$7:$P$306,$K$1502))=0,"",INDEX(직원목록!$P$7:$P$306,$K$1502)&amp;"시간"))</f>
        <v/>
      </c>
      <c r="F1508" s="4">
        <f>IF($K$1502="","",IF(설정!$B$28="","",설정!$B$28))</f>
        <v/>
      </c>
      <c r="G1508" s="31">
        <f>IF(OR($K$1502="",설정!$B$28=""),"",INDEX(직원목록!$Y$7:$Y$306,$K$1502))</f>
        <v/>
      </c>
      <c r="H1508" s="19" t="n"/>
    </row>
    <row r="1509">
      <c r="B1509" s="4">
        <f>IF($K$1502="","",IF(설정!$B$20="","",설정!$B$20))</f>
        <v/>
      </c>
      <c r="C1509" s="31">
        <f>IF(OR($K$1502="",설정!$B$20=""),"",INDEX(직원목록!$I$7:$I$306,$K$1502))</f>
        <v/>
      </c>
      <c r="D1509" s="32">
        <f>IF(OR($K$1502="",설정!$B$20=""),"",IF(N(INDEX(직원목록!$Q$7:$Q$306,$K$1502))=0,"",INDEX(직원목록!$Q$7:$Q$306,$K$1502)&amp;"시간"))</f>
        <v/>
      </c>
      <c r="F1509" s="4">
        <f>IF($K$1502="","",IF(설정!$B$29="","",설정!$B$29))</f>
        <v/>
      </c>
      <c r="G1509" s="31">
        <f>IF(OR($K$1502="",설정!$B$29=""),"",INDEX(직원목록!$Z$7:$Z$306,$K$1502))</f>
        <v/>
      </c>
      <c r="H1509" s="19" t="n"/>
    </row>
    <row r="1510">
      <c r="B1510" s="4">
        <f>IF($K$1502="","",IF(설정!$B$21="","",설정!$B$21))</f>
        <v/>
      </c>
      <c r="C1510" s="31">
        <f>IF(OR($K$1502="",설정!$B$21=""),"",INDEX(직원목록!$J$7:$J$306,$K$1502))</f>
        <v/>
      </c>
      <c r="D1510" s="32">
        <f>IF(OR($K$1502="",설정!$B$21=""),"",IF(N(INDEX(직원목록!$R$7:$R$306,$K$1502))=0,"",INDEX(직원목록!$R$7:$R$306,$K$1502)&amp;"시간"))</f>
        <v/>
      </c>
      <c r="F1510" s="4">
        <f>IF($K$1502="","",IF(설정!$B$30="","",설정!$B$30))</f>
        <v/>
      </c>
      <c r="G1510" s="31">
        <f>IF(OR($K$1502="",설정!$B$30=""),"",INDEX(직원목록!$AA$7:$AA$306,$K$1502))</f>
        <v/>
      </c>
      <c r="H1510" s="19" t="n"/>
    </row>
    <row r="1511">
      <c r="B1511" s="4">
        <f>IF($K$1502="","",IF(설정!$B$22="","",설정!$B$22))</f>
        <v/>
      </c>
      <c r="C1511" s="31">
        <f>IF(OR($K$1502="",설정!$B$22=""),"",INDEX(직원목록!$K$7:$K$306,$K$1502))</f>
        <v/>
      </c>
      <c r="D1511" s="32">
        <f>IF(OR($K$1502="",설정!$B$22=""),"",IF(N(INDEX(직원목록!$S$7:$S$306,$K$1502))=0,"",INDEX(직원목록!$S$7:$S$306,$K$1502)&amp;"시간"))</f>
        <v/>
      </c>
      <c r="F1511" s="4">
        <f>IF($K$1502="","",IF(설정!$B$31="","",설정!$B$31))</f>
        <v/>
      </c>
      <c r="G1511" s="31">
        <f>IF(OR($K$1502="",설정!$B$31=""),"",INDEX(직원목록!$AB$7:$AB$306,$K$1502))</f>
        <v/>
      </c>
      <c r="H1511" s="19" t="n"/>
    </row>
    <row r="1512">
      <c r="B1512" s="4">
        <f>IF($K$1502="","",IF(설정!$B$23="","",설정!$B$23))</f>
        <v/>
      </c>
      <c r="C1512" s="31">
        <f>IF(OR($K$1502="",설정!$B$23=""),"",INDEX(직원목록!$L$7:$L$306,$K$1502))</f>
        <v/>
      </c>
      <c r="D1512" s="32">
        <f>IF(OR($K$1502="",설정!$B$23=""),"",IF(N(INDEX(직원목록!$T$7:$T$306,$K$1502))=0,"",INDEX(직원목록!$T$7:$T$306,$K$1502)&amp;"시간"))</f>
        <v/>
      </c>
      <c r="F1512" s="4">
        <f>IF($K$1502="","",IF(설정!$B$32="","",설정!$B$32))</f>
        <v/>
      </c>
      <c r="G1512" s="31">
        <f>IF(OR($K$1502="",설정!$B$32=""),"",INDEX(직원목록!$AC$7:$AC$306,$K$1502))</f>
        <v/>
      </c>
      <c r="H1512" s="19" t="n"/>
    </row>
    <row r="1513">
      <c r="B1513" s="4">
        <f>IF($K$1502="","",IF(설정!$B$24="","",설정!$B$24))</f>
        <v/>
      </c>
      <c r="C1513" s="31">
        <f>IF(OR($K$1502="",설정!$B$24=""),"",INDEX(직원목록!$M$7:$M$306,$K$1502))</f>
        <v/>
      </c>
      <c r="D1513" s="32">
        <f>IF(OR($K$1502="",설정!$B$24=""),"",IF(N(INDEX(직원목록!$U$7:$U$306,$K$1502))=0,"",INDEX(직원목록!$U$7:$U$306,$K$1502)&amp;"시간"))</f>
        <v/>
      </c>
      <c r="F1513" s="4">
        <f>IF($K$1502="","",IF(설정!$B$33="","",설정!$B$33))</f>
        <v/>
      </c>
      <c r="G1513" s="31">
        <f>IF(OR($K$1502="",설정!$B$33=""),"",INDEX(직원목록!$AD$7:$AD$306,$K$1502))</f>
        <v/>
      </c>
      <c r="H1513" s="19" t="n"/>
    </row>
    <row r="1514">
      <c r="B1514" s="3" t="inlineStr">
        <is>
          <t>지급 합계</t>
        </is>
      </c>
      <c r="C1514" s="35">
        <f>IF($K$1502="","",INDEX(직원목록!$V$7:$V$306,$K$1502))</f>
        <v/>
      </c>
      <c r="D1514" s="36" t="n"/>
      <c r="F1514" s="3" t="inlineStr">
        <is>
          <t>공제 합계</t>
        </is>
      </c>
      <c r="G1514" s="35">
        <f>IF($K$1502="","",INDEX(직원목록!$AE$7:$AE$306,$K$1502))</f>
        <v/>
      </c>
      <c r="H1514" s="36" t="n"/>
    </row>
    <row r="1515" ht="28" customHeight="1">
      <c r="B1515" s="37" t="inlineStr">
        <is>
          <t>실 수령액 (지급 합계 − 공제 합계)</t>
        </is>
      </c>
      <c r="C1515" s="29" t="n"/>
      <c r="D1515" s="29" t="n"/>
      <c r="E1515" s="38">
        <f>IF($K$1502="","",INDEX(직원목록!$AF$7:$AF$306,$K$1502))</f>
        <v/>
      </c>
      <c r="F1515" s="29" t="n"/>
      <c r="G1515" s="29" t="n"/>
      <c r="H1515" s="29" t="n"/>
    </row>
    <row r="1516">
      <c r="B1516" s="39">
        <f>IF($K$1502="","",설정!$B$7)</f>
        <v/>
      </c>
    </row>
    <row r="1532" ht="30" customHeight="1">
      <c r="B1532" s="28">
        <f>IF($K$1532="","","임금명세서  ("&amp;설정!$B$5&amp;")")</f>
        <v/>
      </c>
      <c r="K1532" s="34">
        <f>IFERROR(MATCH(52,직원목록!$B$7:$B$306,0),"")</f>
        <v/>
      </c>
    </row>
    <row r="1533">
      <c r="B1533" s="7" t="inlineStr">
        <is>
          <t>회사명</t>
        </is>
      </c>
      <c r="C1533" s="21">
        <f>IF($K$1532="","",설정!$B$4)</f>
        <v/>
      </c>
      <c r="D1533" s="29" t="n"/>
      <c r="E1533" s="19" t="n"/>
      <c r="F1533" s="7" t="inlineStr">
        <is>
          <t>임금 지급일</t>
        </is>
      </c>
      <c r="G1533" s="21">
        <f>IF($K$1532="","",TEXT(설정!$B$6,"yyyy-mm-dd"))</f>
        <v/>
      </c>
      <c r="H1533" s="29" t="n"/>
    </row>
    <row r="1534">
      <c r="B1534" s="7" t="inlineStr">
        <is>
          <t>성명</t>
        </is>
      </c>
      <c r="C1534" s="22">
        <f>IF($K$1532="","",INDEX(직원목록!$D$7:$D$306,$K$1532))</f>
        <v/>
      </c>
      <c r="D1534" s="7" t="inlineStr">
        <is>
          <t>사번</t>
        </is>
      </c>
      <c r="E1534" s="21">
        <f>IF($K$1532="","",INDEX(직원목록!$C$7:$C$306,$K$1532))</f>
        <v/>
      </c>
      <c r="F1534" s="7" t="inlineStr">
        <is>
          <t>부서</t>
        </is>
      </c>
      <c r="G1534" s="21">
        <f>IF($K$1532="","",INDEX(직원목록!$E$7:$E$306,$K$1532))</f>
        <v/>
      </c>
      <c r="H1534" s="29" t="n"/>
    </row>
    <row r="1535">
      <c r="B1535" s="12" t="inlineStr">
        <is>
          <t>지급 항목</t>
        </is>
      </c>
      <c r="C1535" s="12" t="inlineStr">
        <is>
          <t>금액(원)</t>
        </is>
      </c>
      <c r="D1535" s="12" t="inlineStr">
        <is>
          <t>계산 근거</t>
        </is>
      </c>
      <c r="E1535" s="2" t="n"/>
      <c r="F1535" s="12" t="inlineStr">
        <is>
          <t>공제 항목</t>
        </is>
      </c>
      <c r="G1535" s="12" t="inlineStr">
        <is>
          <t>금액(원)</t>
        </is>
      </c>
      <c r="H1535" s="12" t="n"/>
    </row>
    <row r="1536">
      <c r="B1536" s="4">
        <f>IF($K$1532="","",IF(설정!$B$17="","",설정!$B$17))</f>
        <v/>
      </c>
      <c r="C1536" s="31">
        <f>IF(OR($K$1532="",설정!$B$17=""),"",INDEX(직원목록!$F$7:$F$306,$K$1532))</f>
        <v/>
      </c>
      <c r="D1536" s="32">
        <f>IF(OR($K$1532="",설정!$B$17=""),"",IF(N(INDEX(직원목록!$N$7:$N$306,$K$1532))=0,"",INDEX(직원목록!$N$7:$N$306,$K$1532)&amp;"시간"))</f>
        <v/>
      </c>
      <c r="F1536" s="4">
        <f>IF($K$1532="","",IF(설정!$B$26="","",설정!$B$26))</f>
        <v/>
      </c>
      <c r="G1536" s="31">
        <f>IF(OR($K$1532="",설정!$B$26=""),"",INDEX(직원목록!$W$7:$W$306,$K$1532))</f>
        <v/>
      </c>
      <c r="H1536" s="19" t="n"/>
    </row>
    <row r="1537">
      <c r="B1537" s="4">
        <f>IF($K$1532="","",IF(설정!$B$18="","",설정!$B$18))</f>
        <v/>
      </c>
      <c r="C1537" s="31">
        <f>IF(OR($K$1532="",설정!$B$18=""),"",INDEX(직원목록!$G$7:$G$306,$K$1532))</f>
        <v/>
      </c>
      <c r="D1537" s="32">
        <f>IF(OR($K$1532="",설정!$B$18=""),"",IF(N(INDEX(직원목록!$O$7:$O$306,$K$1532))=0,"",INDEX(직원목록!$O$7:$O$306,$K$1532)&amp;"시간"))</f>
        <v/>
      </c>
      <c r="F1537" s="4">
        <f>IF($K$1532="","",IF(설정!$B$27="","",설정!$B$27))</f>
        <v/>
      </c>
      <c r="G1537" s="31">
        <f>IF(OR($K$1532="",설정!$B$27=""),"",INDEX(직원목록!$X$7:$X$306,$K$1532))</f>
        <v/>
      </c>
      <c r="H1537" s="19" t="n"/>
    </row>
    <row r="1538">
      <c r="B1538" s="4">
        <f>IF($K$1532="","",IF(설정!$B$19="","",설정!$B$19))</f>
        <v/>
      </c>
      <c r="C1538" s="31">
        <f>IF(OR($K$1532="",설정!$B$19=""),"",INDEX(직원목록!$H$7:$H$306,$K$1532))</f>
        <v/>
      </c>
      <c r="D1538" s="32">
        <f>IF(OR($K$1532="",설정!$B$19=""),"",IF(N(INDEX(직원목록!$P$7:$P$306,$K$1532))=0,"",INDEX(직원목록!$P$7:$P$306,$K$1532)&amp;"시간"))</f>
        <v/>
      </c>
      <c r="F1538" s="4">
        <f>IF($K$1532="","",IF(설정!$B$28="","",설정!$B$28))</f>
        <v/>
      </c>
      <c r="G1538" s="31">
        <f>IF(OR($K$1532="",설정!$B$28=""),"",INDEX(직원목록!$Y$7:$Y$306,$K$1532))</f>
        <v/>
      </c>
      <c r="H1538" s="19" t="n"/>
    </row>
    <row r="1539">
      <c r="B1539" s="4">
        <f>IF($K$1532="","",IF(설정!$B$20="","",설정!$B$20))</f>
        <v/>
      </c>
      <c r="C1539" s="31">
        <f>IF(OR($K$1532="",설정!$B$20=""),"",INDEX(직원목록!$I$7:$I$306,$K$1532))</f>
        <v/>
      </c>
      <c r="D1539" s="32">
        <f>IF(OR($K$1532="",설정!$B$20=""),"",IF(N(INDEX(직원목록!$Q$7:$Q$306,$K$1532))=0,"",INDEX(직원목록!$Q$7:$Q$306,$K$1532)&amp;"시간"))</f>
        <v/>
      </c>
      <c r="F1539" s="4">
        <f>IF($K$1532="","",IF(설정!$B$29="","",설정!$B$29))</f>
        <v/>
      </c>
      <c r="G1539" s="31">
        <f>IF(OR($K$1532="",설정!$B$29=""),"",INDEX(직원목록!$Z$7:$Z$306,$K$1532))</f>
        <v/>
      </c>
      <c r="H1539" s="19" t="n"/>
    </row>
    <row r="1540">
      <c r="B1540" s="4">
        <f>IF($K$1532="","",IF(설정!$B$21="","",설정!$B$21))</f>
        <v/>
      </c>
      <c r="C1540" s="31">
        <f>IF(OR($K$1532="",설정!$B$21=""),"",INDEX(직원목록!$J$7:$J$306,$K$1532))</f>
        <v/>
      </c>
      <c r="D1540" s="32">
        <f>IF(OR($K$1532="",설정!$B$21=""),"",IF(N(INDEX(직원목록!$R$7:$R$306,$K$1532))=0,"",INDEX(직원목록!$R$7:$R$306,$K$1532)&amp;"시간"))</f>
        <v/>
      </c>
      <c r="F1540" s="4">
        <f>IF($K$1532="","",IF(설정!$B$30="","",설정!$B$30))</f>
        <v/>
      </c>
      <c r="G1540" s="31">
        <f>IF(OR($K$1532="",설정!$B$30=""),"",INDEX(직원목록!$AA$7:$AA$306,$K$1532))</f>
        <v/>
      </c>
      <c r="H1540" s="19" t="n"/>
    </row>
    <row r="1541">
      <c r="B1541" s="4">
        <f>IF($K$1532="","",IF(설정!$B$22="","",설정!$B$22))</f>
        <v/>
      </c>
      <c r="C1541" s="31">
        <f>IF(OR($K$1532="",설정!$B$22=""),"",INDEX(직원목록!$K$7:$K$306,$K$1532))</f>
        <v/>
      </c>
      <c r="D1541" s="32">
        <f>IF(OR($K$1532="",설정!$B$22=""),"",IF(N(INDEX(직원목록!$S$7:$S$306,$K$1532))=0,"",INDEX(직원목록!$S$7:$S$306,$K$1532)&amp;"시간"))</f>
        <v/>
      </c>
      <c r="F1541" s="4">
        <f>IF($K$1532="","",IF(설정!$B$31="","",설정!$B$31))</f>
        <v/>
      </c>
      <c r="G1541" s="31">
        <f>IF(OR($K$1532="",설정!$B$31=""),"",INDEX(직원목록!$AB$7:$AB$306,$K$1532))</f>
        <v/>
      </c>
      <c r="H1541" s="19" t="n"/>
    </row>
    <row r="1542">
      <c r="B1542" s="4">
        <f>IF($K$1532="","",IF(설정!$B$23="","",설정!$B$23))</f>
        <v/>
      </c>
      <c r="C1542" s="31">
        <f>IF(OR($K$1532="",설정!$B$23=""),"",INDEX(직원목록!$L$7:$L$306,$K$1532))</f>
        <v/>
      </c>
      <c r="D1542" s="32">
        <f>IF(OR($K$1532="",설정!$B$23=""),"",IF(N(INDEX(직원목록!$T$7:$T$306,$K$1532))=0,"",INDEX(직원목록!$T$7:$T$306,$K$1532)&amp;"시간"))</f>
        <v/>
      </c>
      <c r="F1542" s="4">
        <f>IF($K$1532="","",IF(설정!$B$32="","",설정!$B$32))</f>
        <v/>
      </c>
      <c r="G1542" s="31">
        <f>IF(OR($K$1532="",설정!$B$32=""),"",INDEX(직원목록!$AC$7:$AC$306,$K$1532))</f>
        <v/>
      </c>
      <c r="H1542" s="19" t="n"/>
    </row>
    <row r="1543">
      <c r="B1543" s="4">
        <f>IF($K$1532="","",IF(설정!$B$24="","",설정!$B$24))</f>
        <v/>
      </c>
      <c r="C1543" s="31">
        <f>IF(OR($K$1532="",설정!$B$24=""),"",INDEX(직원목록!$M$7:$M$306,$K$1532))</f>
        <v/>
      </c>
      <c r="D1543" s="32">
        <f>IF(OR($K$1532="",설정!$B$24=""),"",IF(N(INDEX(직원목록!$U$7:$U$306,$K$1532))=0,"",INDEX(직원목록!$U$7:$U$306,$K$1532)&amp;"시간"))</f>
        <v/>
      </c>
      <c r="F1543" s="4">
        <f>IF($K$1532="","",IF(설정!$B$33="","",설정!$B$33))</f>
        <v/>
      </c>
      <c r="G1543" s="31">
        <f>IF(OR($K$1532="",설정!$B$33=""),"",INDEX(직원목록!$AD$7:$AD$306,$K$1532))</f>
        <v/>
      </c>
      <c r="H1543" s="19" t="n"/>
    </row>
    <row r="1544">
      <c r="B1544" s="3" t="inlineStr">
        <is>
          <t>지급 합계</t>
        </is>
      </c>
      <c r="C1544" s="35">
        <f>IF($K$1532="","",INDEX(직원목록!$V$7:$V$306,$K$1532))</f>
        <v/>
      </c>
      <c r="D1544" s="36" t="n"/>
      <c r="F1544" s="3" t="inlineStr">
        <is>
          <t>공제 합계</t>
        </is>
      </c>
      <c r="G1544" s="35">
        <f>IF($K$1532="","",INDEX(직원목록!$AE$7:$AE$306,$K$1532))</f>
        <v/>
      </c>
      <c r="H1544" s="36" t="n"/>
    </row>
    <row r="1545" ht="28" customHeight="1">
      <c r="B1545" s="37" t="inlineStr">
        <is>
          <t>실 수령액 (지급 합계 − 공제 합계)</t>
        </is>
      </c>
      <c r="C1545" s="29" t="n"/>
      <c r="D1545" s="29" t="n"/>
      <c r="E1545" s="38">
        <f>IF($K$1532="","",INDEX(직원목록!$AF$7:$AF$306,$K$1532))</f>
        <v/>
      </c>
      <c r="F1545" s="29" t="n"/>
      <c r="G1545" s="29" t="n"/>
      <c r="H1545" s="29" t="n"/>
    </row>
    <row r="1546">
      <c r="B1546" s="39">
        <f>IF($K$1532="","",설정!$B$7)</f>
        <v/>
      </c>
    </row>
    <row r="1562" ht="30" customHeight="1">
      <c r="B1562" s="28">
        <f>IF($K$1562="","","임금명세서  ("&amp;설정!$B$5&amp;")")</f>
        <v/>
      </c>
      <c r="K1562" s="34">
        <f>IFERROR(MATCH(53,직원목록!$B$7:$B$306,0),"")</f>
        <v/>
      </c>
    </row>
    <row r="1563">
      <c r="B1563" s="7" t="inlineStr">
        <is>
          <t>회사명</t>
        </is>
      </c>
      <c r="C1563" s="21">
        <f>IF($K$1562="","",설정!$B$4)</f>
        <v/>
      </c>
      <c r="D1563" s="29" t="n"/>
      <c r="E1563" s="19" t="n"/>
      <c r="F1563" s="7" t="inlineStr">
        <is>
          <t>임금 지급일</t>
        </is>
      </c>
      <c r="G1563" s="21">
        <f>IF($K$1562="","",TEXT(설정!$B$6,"yyyy-mm-dd"))</f>
        <v/>
      </c>
      <c r="H1563" s="29" t="n"/>
    </row>
    <row r="1564">
      <c r="B1564" s="7" t="inlineStr">
        <is>
          <t>성명</t>
        </is>
      </c>
      <c r="C1564" s="22">
        <f>IF($K$1562="","",INDEX(직원목록!$D$7:$D$306,$K$1562))</f>
        <v/>
      </c>
      <c r="D1564" s="7" t="inlineStr">
        <is>
          <t>사번</t>
        </is>
      </c>
      <c r="E1564" s="21">
        <f>IF($K$1562="","",INDEX(직원목록!$C$7:$C$306,$K$1562))</f>
        <v/>
      </c>
      <c r="F1564" s="7" t="inlineStr">
        <is>
          <t>부서</t>
        </is>
      </c>
      <c r="G1564" s="21">
        <f>IF($K$1562="","",INDEX(직원목록!$E$7:$E$306,$K$1562))</f>
        <v/>
      </c>
      <c r="H1564" s="29" t="n"/>
    </row>
    <row r="1565">
      <c r="B1565" s="12" t="inlineStr">
        <is>
          <t>지급 항목</t>
        </is>
      </c>
      <c r="C1565" s="12" t="inlineStr">
        <is>
          <t>금액(원)</t>
        </is>
      </c>
      <c r="D1565" s="12" t="inlineStr">
        <is>
          <t>계산 근거</t>
        </is>
      </c>
      <c r="E1565" s="2" t="n"/>
      <c r="F1565" s="12" t="inlineStr">
        <is>
          <t>공제 항목</t>
        </is>
      </c>
      <c r="G1565" s="12" t="inlineStr">
        <is>
          <t>금액(원)</t>
        </is>
      </c>
      <c r="H1565" s="12" t="n"/>
    </row>
    <row r="1566">
      <c r="B1566" s="4">
        <f>IF($K$1562="","",IF(설정!$B$17="","",설정!$B$17))</f>
        <v/>
      </c>
      <c r="C1566" s="31">
        <f>IF(OR($K$1562="",설정!$B$17=""),"",INDEX(직원목록!$F$7:$F$306,$K$1562))</f>
        <v/>
      </c>
      <c r="D1566" s="32">
        <f>IF(OR($K$1562="",설정!$B$17=""),"",IF(N(INDEX(직원목록!$N$7:$N$306,$K$1562))=0,"",INDEX(직원목록!$N$7:$N$306,$K$1562)&amp;"시간"))</f>
        <v/>
      </c>
      <c r="F1566" s="4">
        <f>IF($K$1562="","",IF(설정!$B$26="","",설정!$B$26))</f>
        <v/>
      </c>
      <c r="G1566" s="31">
        <f>IF(OR($K$1562="",설정!$B$26=""),"",INDEX(직원목록!$W$7:$W$306,$K$1562))</f>
        <v/>
      </c>
      <c r="H1566" s="19" t="n"/>
    </row>
    <row r="1567">
      <c r="B1567" s="4">
        <f>IF($K$1562="","",IF(설정!$B$18="","",설정!$B$18))</f>
        <v/>
      </c>
      <c r="C1567" s="31">
        <f>IF(OR($K$1562="",설정!$B$18=""),"",INDEX(직원목록!$G$7:$G$306,$K$1562))</f>
        <v/>
      </c>
      <c r="D1567" s="32">
        <f>IF(OR($K$1562="",설정!$B$18=""),"",IF(N(INDEX(직원목록!$O$7:$O$306,$K$1562))=0,"",INDEX(직원목록!$O$7:$O$306,$K$1562)&amp;"시간"))</f>
        <v/>
      </c>
      <c r="F1567" s="4">
        <f>IF($K$1562="","",IF(설정!$B$27="","",설정!$B$27))</f>
        <v/>
      </c>
      <c r="G1567" s="31">
        <f>IF(OR($K$1562="",설정!$B$27=""),"",INDEX(직원목록!$X$7:$X$306,$K$1562))</f>
        <v/>
      </c>
      <c r="H1567" s="19" t="n"/>
    </row>
    <row r="1568">
      <c r="B1568" s="4">
        <f>IF($K$1562="","",IF(설정!$B$19="","",설정!$B$19))</f>
        <v/>
      </c>
      <c r="C1568" s="31">
        <f>IF(OR($K$1562="",설정!$B$19=""),"",INDEX(직원목록!$H$7:$H$306,$K$1562))</f>
        <v/>
      </c>
      <c r="D1568" s="32">
        <f>IF(OR($K$1562="",설정!$B$19=""),"",IF(N(INDEX(직원목록!$P$7:$P$306,$K$1562))=0,"",INDEX(직원목록!$P$7:$P$306,$K$1562)&amp;"시간"))</f>
        <v/>
      </c>
      <c r="F1568" s="4">
        <f>IF($K$1562="","",IF(설정!$B$28="","",설정!$B$28))</f>
        <v/>
      </c>
      <c r="G1568" s="31">
        <f>IF(OR($K$1562="",설정!$B$28=""),"",INDEX(직원목록!$Y$7:$Y$306,$K$1562))</f>
        <v/>
      </c>
      <c r="H1568" s="19" t="n"/>
    </row>
    <row r="1569">
      <c r="B1569" s="4">
        <f>IF($K$1562="","",IF(설정!$B$20="","",설정!$B$20))</f>
        <v/>
      </c>
      <c r="C1569" s="31">
        <f>IF(OR($K$1562="",설정!$B$20=""),"",INDEX(직원목록!$I$7:$I$306,$K$1562))</f>
        <v/>
      </c>
      <c r="D1569" s="32">
        <f>IF(OR($K$1562="",설정!$B$20=""),"",IF(N(INDEX(직원목록!$Q$7:$Q$306,$K$1562))=0,"",INDEX(직원목록!$Q$7:$Q$306,$K$1562)&amp;"시간"))</f>
        <v/>
      </c>
      <c r="F1569" s="4">
        <f>IF($K$1562="","",IF(설정!$B$29="","",설정!$B$29))</f>
        <v/>
      </c>
      <c r="G1569" s="31">
        <f>IF(OR($K$1562="",설정!$B$29=""),"",INDEX(직원목록!$Z$7:$Z$306,$K$1562))</f>
        <v/>
      </c>
      <c r="H1569" s="19" t="n"/>
    </row>
    <row r="1570">
      <c r="B1570" s="4">
        <f>IF($K$1562="","",IF(설정!$B$21="","",설정!$B$21))</f>
        <v/>
      </c>
      <c r="C1570" s="31">
        <f>IF(OR($K$1562="",설정!$B$21=""),"",INDEX(직원목록!$J$7:$J$306,$K$1562))</f>
        <v/>
      </c>
      <c r="D1570" s="32">
        <f>IF(OR($K$1562="",설정!$B$21=""),"",IF(N(INDEX(직원목록!$R$7:$R$306,$K$1562))=0,"",INDEX(직원목록!$R$7:$R$306,$K$1562)&amp;"시간"))</f>
        <v/>
      </c>
      <c r="F1570" s="4">
        <f>IF($K$1562="","",IF(설정!$B$30="","",설정!$B$30))</f>
        <v/>
      </c>
      <c r="G1570" s="31">
        <f>IF(OR($K$1562="",설정!$B$30=""),"",INDEX(직원목록!$AA$7:$AA$306,$K$1562))</f>
        <v/>
      </c>
      <c r="H1570" s="19" t="n"/>
    </row>
    <row r="1571">
      <c r="B1571" s="4">
        <f>IF($K$1562="","",IF(설정!$B$22="","",설정!$B$22))</f>
        <v/>
      </c>
      <c r="C1571" s="31">
        <f>IF(OR($K$1562="",설정!$B$22=""),"",INDEX(직원목록!$K$7:$K$306,$K$1562))</f>
        <v/>
      </c>
      <c r="D1571" s="32">
        <f>IF(OR($K$1562="",설정!$B$22=""),"",IF(N(INDEX(직원목록!$S$7:$S$306,$K$1562))=0,"",INDEX(직원목록!$S$7:$S$306,$K$1562)&amp;"시간"))</f>
        <v/>
      </c>
      <c r="F1571" s="4">
        <f>IF($K$1562="","",IF(설정!$B$31="","",설정!$B$31))</f>
        <v/>
      </c>
      <c r="G1571" s="31">
        <f>IF(OR($K$1562="",설정!$B$31=""),"",INDEX(직원목록!$AB$7:$AB$306,$K$1562))</f>
        <v/>
      </c>
      <c r="H1571" s="19" t="n"/>
    </row>
    <row r="1572">
      <c r="B1572" s="4">
        <f>IF($K$1562="","",IF(설정!$B$23="","",설정!$B$23))</f>
        <v/>
      </c>
      <c r="C1572" s="31">
        <f>IF(OR($K$1562="",설정!$B$23=""),"",INDEX(직원목록!$L$7:$L$306,$K$1562))</f>
        <v/>
      </c>
      <c r="D1572" s="32">
        <f>IF(OR($K$1562="",설정!$B$23=""),"",IF(N(INDEX(직원목록!$T$7:$T$306,$K$1562))=0,"",INDEX(직원목록!$T$7:$T$306,$K$1562)&amp;"시간"))</f>
        <v/>
      </c>
      <c r="F1572" s="4">
        <f>IF($K$1562="","",IF(설정!$B$32="","",설정!$B$32))</f>
        <v/>
      </c>
      <c r="G1572" s="31">
        <f>IF(OR($K$1562="",설정!$B$32=""),"",INDEX(직원목록!$AC$7:$AC$306,$K$1562))</f>
        <v/>
      </c>
      <c r="H1572" s="19" t="n"/>
    </row>
    <row r="1573">
      <c r="B1573" s="4">
        <f>IF($K$1562="","",IF(설정!$B$24="","",설정!$B$24))</f>
        <v/>
      </c>
      <c r="C1573" s="31">
        <f>IF(OR($K$1562="",설정!$B$24=""),"",INDEX(직원목록!$M$7:$M$306,$K$1562))</f>
        <v/>
      </c>
      <c r="D1573" s="32">
        <f>IF(OR($K$1562="",설정!$B$24=""),"",IF(N(INDEX(직원목록!$U$7:$U$306,$K$1562))=0,"",INDEX(직원목록!$U$7:$U$306,$K$1562)&amp;"시간"))</f>
        <v/>
      </c>
      <c r="F1573" s="4">
        <f>IF($K$1562="","",IF(설정!$B$33="","",설정!$B$33))</f>
        <v/>
      </c>
      <c r="G1573" s="31">
        <f>IF(OR($K$1562="",설정!$B$33=""),"",INDEX(직원목록!$AD$7:$AD$306,$K$1562))</f>
        <v/>
      </c>
      <c r="H1573" s="19" t="n"/>
    </row>
    <row r="1574">
      <c r="B1574" s="3" t="inlineStr">
        <is>
          <t>지급 합계</t>
        </is>
      </c>
      <c r="C1574" s="35">
        <f>IF($K$1562="","",INDEX(직원목록!$V$7:$V$306,$K$1562))</f>
        <v/>
      </c>
      <c r="D1574" s="36" t="n"/>
      <c r="F1574" s="3" t="inlineStr">
        <is>
          <t>공제 합계</t>
        </is>
      </c>
      <c r="G1574" s="35">
        <f>IF($K$1562="","",INDEX(직원목록!$AE$7:$AE$306,$K$1562))</f>
        <v/>
      </c>
      <c r="H1574" s="36" t="n"/>
    </row>
    <row r="1575" ht="28" customHeight="1">
      <c r="B1575" s="37" t="inlineStr">
        <is>
          <t>실 수령액 (지급 합계 − 공제 합계)</t>
        </is>
      </c>
      <c r="C1575" s="29" t="n"/>
      <c r="D1575" s="29" t="n"/>
      <c r="E1575" s="38">
        <f>IF($K$1562="","",INDEX(직원목록!$AF$7:$AF$306,$K$1562))</f>
        <v/>
      </c>
      <c r="F1575" s="29" t="n"/>
      <c r="G1575" s="29" t="n"/>
      <c r="H1575" s="29" t="n"/>
    </row>
    <row r="1576">
      <c r="B1576" s="39">
        <f>IF($K$1562="","",설정!$B$7)</f>
        <v/>
      </c>
    </row>
    <row r="1592" ht="30" customHeight="1">
      <c r="B1592" s="28">
        <f>IF($K$1592="","","임금명세서  ("&amp;설정!$B$5&amp;")")</f>
        <v/>
      </c>
      <c r="K1592" s="34">
        <f>IFERROR(MATCH(54,직원목록!$B$7:$B$306,0),"")</f>
        <v/>
      </c>
    </row>
    <row r="1593">
      <c r="B1593" s="7" t="inlineStr">
        <is>
          <t>회사명</t>
        </is>
      </c>
      <c r="C1593" s="21">
        <f>IF($K$1592="","",설정!$B$4)</f>
        <v/>
      </c>
      <c r="D1593" s="29" t="n"/>
      <c r="E1593" s="19" t="n"/>
      <c r="F1593" s="7" t="inlineStr">
        <is>
          <t>임금 지급일</t>
        </is>
      </c>
      <c r="G1593" s="21">
        <f>IF($K$1592="","",TEXT(설정!$B$6,"yyyy-mm-dd"))</f>
        <v/>
      </c>
      <c r="H1593" s="29" t="n"/>
    </row>
    <row r="1594">
      <c r="B1594" s="7" t="inlineStr">
        <is>
          <t>성명</t>
        </is>
      </c>
      <c r="C1594" s="22">
        <f>IF($K$1592="","",INDEX(직원목록!$D$7:$D$306,$K$1592))</f>
        <v/>
      </c>
      <c r="D1594" s="7" t="inlineStr">
        <is>
          <t>사번</t>
        </is>
      </c>
      <c r="E1594" s="21">
        <f>IF($K$1592="","",INDEX(직원목록!$C$7:$C$306,$K$1592))</f>
        <v/>
      </c>
      <c r="F1594" s="7" t="inlineStr">
        <is>
          <t>부서</t>
        </is>
      </c>
      <c r="G1594" s="21">
        <f>IF($K$1592="","",INDEX(직원목록!$E$7:$E$306,$K$1592))</f>
        <v/>
      </c>
      <c r="H1594" s="29" t="n"/>
    </row>
    <row r="1595">
      <c r="B1595" s="12" t="inlineStr">
        <is>
          <t>지급 항목</t>
        </is>
      </c>
      <c r="C1595" s="12" t="inlineStr">
        <is>
          <t>금액(원)</t>
        </is>
      </c>
      <c r="D1595" s="12" t="inlineStr">
        <is>
          <t>계산 근거</t>
        </is>
      </c>
      <c r="E1595" s="2" t="n"/>
      <c r="F1595" s="12" t="inlineStr">
        <is>
          <t>공제 항목</t>
        </is>
      </c>
      <c r="G1595" s="12" t="inlineStr">
        <is>
          <t>금액(원)</t>
        </is>
      </c>
      <c r="H1595" s="12" t="n"/>
    </row>
    <row r="1596">
      <c r="B1596" s="4">
        <f>IF($K$1592="","",IF(설정!$B$17="","",설정!$B$17))</f>
        <v/>
      </c>
      <c r="C1596" s="31">
        <f>IF(OR($K$1592="",설정!$B$17=""),"",INDEX(직원목록!$F$7:$F$306,$K$1592))</f>
        <v/>
      </c>
      <c r="D1596" s="32">
        <f>IF(OR($K$1592="",설정!$B$17=""),"",IF(N(INDEX(직원목록!$N$7:$N$306,$K$1592))=0,"",INDEX(직원목록!$N$7:$N$306,$K$1592)&amp;"시간"))</f>
        <v/>
      </c>
      <c r="F1596" s="4">
        <f>IF($K$1592="","",IF(설정!$B$26="","",설정!$B$26))</f>
        <v/>
      </c>
      <c r="G1596" s="31">
        <f>IF(OR($K$1592="",설정!$B$26=""),"",INDEX(직원목록!$W$7:$W$306,$K$1592))</f>
        <v/>
      </c>
      <c r="H1596" s="19" t="n"/>
    </row>
    <row r="1597">
      <c r="B1597" s="4">
        <f>IF($K$1592="","",IF(설정!$B$18="","",설정!$B$18))</f>
        <v/>
      </c>
      <c r="C1597" s="31">
        <f>IF(OR($K$1592="",설정!$B$18=""),"",INDEX(직원목록!$G$7:$G$306,$K$1592))</f>
        <v/>
      </c>
      <c r="D1597" s="32">
        <f>IF(OR($K$1592="",설정!$B$18=""),"",IF(N(INDEX(직원목록!$O$7:$O$306,$K$1592))=0,"",INDEX(직원목록!$O$7:$O$306,$K$1592)&amp;"시간"))</f>
        <v/>
      </c>
      <c r="F1597" s="4">
        <f>IF($K$1592="","",IF(설정!$B$27="","",설정!$B$27))</f>
        <v/>
      </c>
      <c r="G1597" s="31">
        <f>IF(OR($K$1592="",설정!$B$27=""),"",INDEX(직원목록!$X$7:$X$306,$K$1592))</f>
        <v/>
      </c>
      <c r="H1597" s="19" t="n"/>
    </row>
    <row r="1598">
      <c r="B1598" s="4">
        <f>IF($K$1592="","",IF(설정!$B$19="","",설정!$B$19))</f>
        <v/>
      </c>
      <c r="C1598" s="31">
        <f>IF(OR($K$1592="",설정!$B$19=""),"",INDEX(직원목록!$H$7:$H$306,$K$1592))</f>
        <v/>
      </c>
      <c r="D1598" s="32">
        <f>IF(OR($K$1592="",설정!$B$19=""),"",IF(N(INDEX(직원목록!$P$7:$P$306,$K$1592))=0,"",INDEX(직원목록!$P$7:$P$306,$K$1592)&amp;"시간"))</f>
        <v/>
      </c>
      <c r="F1598" s="4">
        <f>IF($K$1592="","",IF(설정!$B$28="","",설정!$B$28))</f>
        <v/>
      </c>
      <c r="G1598" s="31">
        <f>IF(OR($K$1592="",설정!$B$28=""),"",INDEX(직원목록!$Y$7:$Y$306,$K$1592))</f>
        <v/>
      </c>
      <c r="H1598" s="19" t="n"/>
    </row>
    <row r="1599">
      <c r="B1599" s="4">
        <f>IF($K$1592="","",IF(설정!$B$20="","",설정!$B$20))</f>
        <v/>
      </c>
      <c r="C1599" s="31">
        <f>IF(OR($K$1592="",설정!$B$20=""),"",INDEX(직원목록!$I$7:$I$306,$K$1592))</f>
        <v/>
      </c>
      <c r="D1599" s="32">
        <f>IF(OR($K$1592="",설정!$B$20=""),"",IF(N(INDEX(직원목록!$Q$7:$Q$306,$K$1592))=0,"",INDEX(직원목록!$Q$7:$Q$306,$K$1592)&amp;"시간"))</f>
        <v/>
      </c>
      <c r="F1599" s="4">
        <f>IF($K$1592="","",IF(설정!$B$29="","",설정!$B$29))</f>
        <v/>
      </c>
      <c r="G1599" s="31">
        <f>IF(OR($K$1592="",설정!$B$29=""),"",INDEX(직원목록!$Z$7:$Z$306,$K$1592))</f>
        <v/>
      </c>
      <c r="H1599" s="19" t="n"/>
    </row>
    <row r="1600">
      <c r="B1600" s="4">
        <f>IF($K$1592="","",IF(설정!$B$21="","",설정!$B$21))</f>
        <v/>
      </c>
      <c r="C1600" s="31">
        <f>IF(OR($K$1592="",설정!$B$21=""),"",INDEX(직원목록!$J$7:$J$306,$K$1592))</f>
        <v/>
      </c>
      <c r="D1600" s="32">
        <f>IF(OR($K$1592="",설정!$B$21=""),"",IF(N(INDEX(직원목록!$R$7:$R$306,$K$1592))=0,"",INDEX(직원목록!$R$7:$R$306,$K$1592)&amp;"시간"))</f>
        <v/>
      </c>
      <c r="F1600" s="4">
        <f>IF($K$1592="","",IF(설정!$B$30="","",설정!$B$30))</f>
        <v/>
      </c>
      <c r="G1600" s="31">
        <f>IF(OR($K$1592="",설정!$B$30=""),"",INDEX(직원목록!$AA$7:$AA$306,$K$1592))</f>
        <v/>
      </c>
      <c r="H1600" s="19" t="n"/>
    </row>
    <row r="1601">
      <c r="B1601" s="4">
        <f>IF($K$1592="","",IF(설정!$B$22="","",설정!$B$22))</f>
        <v/>
      </c>
      <c r="C1601" s="31">
        <f>IF(OR($K$1592="",설정!$B$22=""),"",INDEX(직원목록!$K$7:$K$306,$K$1592))</f>
        <v/>
      </c>
      <c r="D1601" s="32">
        <f>IF(OR($K$1592="",설정!$B$22=""),"",IF(N(INDEX(직원목록!$S$7:$S$306,$K$1592))=0,"",INDEX(직원목록!$S$7:$S$306,$K$1592)&amp;"시간"))</f>
        <v/>
      </c>
      <c r="F1601" s="4">
        <f>IF($K$1592="","",IF(설정!$B$31="","",설정!$B$31))</f>
        <v/>
      </c>
      <c r="G1601" s="31">
        <f>IF(OR($K$1592="",설정!$B$31=""),"",INDEX(직원목록!$AB$7:$AB$306,$K$1592))</f>
        <v/>
      </c>
      <c r="H1601" s="19" t="n"/>
    </row>
    <row r="1602">
      <c r="B1602" s="4">
        <f>IF($K$1592="","",IF(설정!$B$23="","",설정!$B$23))</f>
        <v/>
      </c>
      <c r="C1602" s="31">
        <f>IF(OR($K$1592="",설정!$B$23=""),"",INDEX(직원목록!$L$7:$L$306,$K$1592))</f>
        <v/>
      </c>
      <c r="D1602" s="32">
        <f>IF(OR($K$1592="",설정!$B$23=""),"",IF(N(INDEX(직원목록!$T$7:$T$306,$K$1592))=0,"",INDEX(직원목록!$T$7:$T$306,$K$1592)&amp;"시간"))</f>
        <v/>
      </c>
      <c r="F1602" s="4">
        <f>IF($K$1592="","",IF(설정!$B$32="","",설정!$B$32))</f>
        <v/>
      </c>
      <c r="G1602" s="31">
        <f>IF(OR($K$1592="",설정!$B$32=""),"",INDEX(직원목록!$AC$7:$AC$306,$K$1592))</f>
        <v/>
      </c>
      <c r="H1602" s="19" t="n"/>
    </row>
    <row r="1603">
      <c r="B1603" s="4">
        <f>IF($K$1592="","",IF(설정!$B$24="","",설정!$B$24))</f>
        <v/>
      </c>
      <c r="C1603" s="31">
        <f>IF(OR($K$1592="",설정!$B$24=""),"",INDEX(직원목록!$M$7:$M$306,$K$1592))</f>
        <v/>
      </c>
      <c r="D1603" s="32">
        <f>IF(OR($K$1592="",설정!$B$24=""),"",IF(N(INDEX(직원목록!$U$7:$U$306,$K$1592))=0,"",INDEX(직원목록!$U$7:$U$306,$K$1592)&amp;"시간"))</f>
        <v/>
      </c>
      <c r="F1603" s="4">
        <f>IF($K$1592="","",IF(설정!$B$33="","",설정!$B$33))</f>
        <v/>
      </c>
      <c r="G1603" s="31">
        <f>IF(OR($K$1592="",설정!$B$33=""),"",INDEX(직원목록!$AD$7:$AD$306,$K$1592))</f>
        <v/>
      </c>
      <c r="H1603" s="19" t="n"/>
    </row>
    <row r="1604">
      <c r="B1604" s="3" t="inlineStr">
        <is>
          <t>지급 합계</t>
        </is>
      </c>
      <c r="C1604" s="35">
        <f>IF($K$1592="","",INDEX(직원목록!$V$7:$V$306,$K$1592))</f>
        <v/>
      </c>
      <c r="D1604" s="36" t="n"/>
      <c r="F1604" s="3" t="inlineStr">
        <is>
          <t>공제 합계</t>
        </is>
      </c>
      <c r="G1604" s="35">
        <f>IF($K$1592="","",INDEX(직원목록!$AE$7:$AE$306,$K$1592))</f>
        <v/>
      </c>
      <c r="H1604" s="36" t="n"/>
    </row>
    <row r="1605" ht="28" customHeight="1">
      <c r="B1605" s="37" t="inlineStr">
        <is>
          <t>실 수령액 (지급 합계 − 공제 합계)</t>
        </is>
      </c>
      <c r="C1605" s="29" t="n"/>
      <c r="D1605" s="29" t="n"/>
      <c r="E1605" s="38">
        <f>IF($K$1592="","",INDEX(직원목록!$AF$7:$AF$306,$K$1592))</f>
        <v/>
      </c>
      <c r="F1605" s="29" t="n"/>
      <c r="G1605" s="29" t="n"/>
      <c r="H1605" s="29" t="n"/>
    </row>
    <row r="1606">
      <c r="B1606" s="39">
        <f>IF($K$1592="","",설정!$B$7)</f>
        <v/>
      </c>
    </row>
    <row r="1622" ht="30" customHeight="1">
      <c r="B1622" s="28">
        <f>IF($K$1622="","","임금명세서  ("&amp;설정!$B$5&amp;")")</f>
        <v/>
      </c>
      <c r="K1622" s="34">
        <f>IFERROR(MATCH(55,직원목록!$B$7:$B$306,0),"")</f>
        <v/>
      </c>
    </row>
    <row r="1623">
      <c r="B1623" s="7" t="inlineStr">
        <is>
          <t>회사명</t>
        </is>
      </c>
      <c r="C1623" s="21">
        <f>IF($K$1622="","",설정!$B$4)</f>
        <v/>
      </c>
      <c r="D1623" s="29" t="n"/>
      <c r="E1623" s="19" t="n"/>
      <c r="F1623" s="7" t="inlineStr">
        <is>
          <t>임금 지급일</t>
        </is>
      </c>
      <c r="G1623" s="21">
        <f>IF($K$1622="","",TEXT(설정!$B$6,"yyyy-mm-dd"))</f>
        <v/>
      </c>
      <c r="H1623" s="29" t="n"/>
    </row>
    <row r="1624">
      <c r="B1624" s="7" t="inlineStr">
        <is>
          <t>성명</t>
        </is>
      </c>
      <c r="C1624" s="22">
        <f>IF($K$1622="","",INDEX(직원목록!$D$7:$D$306,$K$1622))</f>
        <v/>
      </c>
      <c r="D1624" s="7" t="inlineStr">
        <is>
          <t>사번</t>
        </is>
      </c>
      <c r="E1624" s="21">
        <f>IF($K$1622="","",INDEX(직원목록!$C$7:$C$306,$K$1622))</f>
        <v/>
      </c>
      <c r="F1624" s="7" t="inlineStr">
        <is>
          <t>부서</t>
        </is>
      </c>
      <c r="G1624" s="21">
        <f>IF($K$1622="","",INDEX(직원목록!$E$7:$E$306,$K$1622))</f>
        <v/>
      </c>
      <c r="H1624" s="29" t="n"/>
    </row>
    <row r="1625">
      <c r="B1625" s="12" t="inlineStr">
        <is>
          <t>지급 항목</t>
        </is>
      </c>
      <c r="C1625" s="12" t="inlineStr">
        <is>
          <t>금액(원)</t>
        </is>
      </c>
      <c r="D1625" s="12" t="inlineStr">
        <is>
          <t>계산 근거</t>
        </is>
      </c>
      <c r="E1625" s="2" t="n"/>
      <c r="F1625" s="12" t="inlineStr">
        <is>
          <t>공제 항목</t>
        </is>
      </c>
      <c r="G1625" s="12" t="inlineStr">
        <is>
          <t>금액(원)</t>
        </is>
      </c>
      <c r="H1625" s="12" t="n"/>
    </row>
    <row r="1626">
      <c r="B1626" s="4">
        <f>IF($K$1622="","",IF(설정!$B$17="","",설정!$B$17))</f>
        <v/>
      </c>
      <c r="C1626" s="31">
        <f>IF(OR($K$1622="",설정!$B$17=""),"",INDEX(직원목록!$F$7:$F$306,$K$1622))</f>
        <v/>
      </c>
      <c r="D1626" s="32">
        <f>IF(OR($K$1622="",설정!$B$17=""),"",IF(N(INDEX(직원목록!$N$7:$N$306,$K$1622))=0,"",INDEX(직원목록!$N$7:$N$306,$K$1622)&amp;"시간"))</f>
        <v/>
      </c>
      <c r="F1626" s="4">
        <f>IF($K$1622="","",IF(설정!$B$26="","",설정!$B$26))</f>
        <v/>
      </c>
      <c r="G1626" s="31">
        <f>IF(OR($K$1622="",설정!$B$26=""),"",INDEX(직원목록!$W$7:$W$306,$K$1622))</f>
        <v/>
      </c>
      <c r="H1626" s="19" t="n"/>
    </row>
    <row r="1627">
      <c r="B1627" s="4">
        <f>IF($K$1622="","",IF(설정!$B$18="","",설정!$B$18))</f>
        <v/>
      </c>
      <c r="C1627" s="31">
        <f>IF(OR($K$1622="",설정!$B$18=""),"",INDEX(직원목록!$G$7:$G$306,$K$1622))</f>
        <v/>
      </c>
      <c r="D1627" s="32">
        <f>IF(OR($K$1622="",설정!$B$18=""),"",IF(N(INDEX(직원목록!$O$7:$O$306,$K$1622))=0,"",INDEX(직원목록!$O$7:$O$306,$K$1622)&amp;"시간"))</f>
        <v/>
      </c>
      <c r="F1627" s="4">
        <f>IF($K$1622="","",IF(설정!$B$27="","",설정!$B$27))</f>
        <v/>
      </c>
      <c r="G1627" s="31">
        <f>IF(OR($K$1622="",설정!$B$27=""),"",INDEX(직원목록!$X$7:$X$306,$K$1622))</f>
        <v/>
      </c>
      <c r="H1627" s="19" t="n"/>
    </row>
    <row r="1628">
      <c r="B1628" s="4">
        <f>IF($K$1622="","",IF(설정!$B$19="","",설정!$B$19))</f>
        <v/>
      </c>
      <c r="C1628" s="31">
        <f>IF(OR($K$1622="",설정!$B$19=""),"",INDEX(직원목록!$H$7:$H$306,$K$1622))</f>
        <v/>
      </c>
      <c r="D1628" s="32">
        <f>IF(OR($K$1622="",설정!$B$19=""),"",IF(N(INDEX(직원목록!$P$7:$P$306,$K$1622))=0,"",INDEX(직원목록!$P$7:$P$306,$K$1622)&amp;"시간"))</f>
        <v/>
      </c>
      <c r="F1628" s="4">
        <f>IF($K$1622="","",IF(설정!$B$28="","",설정!$B$28))</f>
        <v/>
      </c>
      <c r="G1628" s="31">
        <f>IF(OR($K$1622="",설정!$B$28=""),"",INDEX(직원목록!$Y$7:$Y$306,$K$1622))</f>
        <v/>
      </c>
      <c r="H1628" s="19" t="n"/>
    </row>
    <row r="1629">
      <c r="B1629" s="4">
        <f>IF($K$1622="","",IF(설정!$B$20="","",설정!$B$20))</f>
        <v/>
      </c>
      <c r="C1629" s="31">
        <f>IF(OR($K$1622="",설정!$B$20=""),"",INDEX(직원목록!$I$7:$I$306,$K$1622))</f>
        <v/>
      </c>
      <c r="D1629" s="32">
        <f>IF(OR($K$1622="",설정!$B$20=""),"",IF(N(INDEX(직원목록!$Q$7:$Q$306,$K$1622))=0,"",INDEX(직원목록!$Q$7:$Q$306,$K$1622)&amp;"시간"))</f>
        <v/>
      </c>
      <c r="F1629" s="4">
        <f>IF($K$1622="","",IF(설정!$B$29="","",설정!$B$29))</f>
        <v/>
      </c>
      <c r="G1629" s="31">
        <f>IF(OR($K$1622="",설정!$B$29=""),"",INDEX(직원목록!$Z$7:$Z$306,$K$1622))</f>
        <v/>
      </c>
      <c r="H1629" s="19" t="n"/>
    </row>
    <row r="1630">
      <c r="B1630" s="4">
        <f>IF($K$1622="","",IF(설정!$B$21="","",설정!$B$21))</f>
        <v/>
      </c>
      <c r="C1630" s="31">
        <f>IF(OR($K$1622="",설정!$B$21=""),"",INDEX(직원목록!$J$7:$J$306,$K$1622))</f>
        <v/>
      </c>
      <c r="D1630" s="32">
        <f>IF(OR($K$1622="",설정!$B$21=""),"",IF(N(INDEX(직원목록!$R$7:$R$306,$K$1622))=0,"",INDEX(직원목록!$R$7:$R$306,$K$1622)&amp;"시간"))</f>
        <v/>
      </c>
      <c r="F1630" s="4">
        <f>IF($K$1622="","",IF(설정!$B$30="","",설정!$B$30))</f>
        <v/>
      </c>
      <c r="G1630" s="31">
        <f>IF(OR($K$1622="",설정!$B$30=""),"",INDEX(직원목록!$AA$7:$AA$306,$K$1622))</f>
        <v/>
      </c>
      <c r="H1630" s="19" t="n"/>
    </row>
    <row r="1631">
      <c r="B1631" s="4">
        <f>IF($K$1622="","",IF(설정!$B$22="","",설정!$B$22))</f>
        <v/>
      </c>
      <c r="C1631" s="31">
        <f>IF(OR($K$1622="",설정!$B$22=""),"",INDEX(직원목록!$K$7:$K$306,$K$1622))</f>
        <v/>
      </c>
      <c r="D1631" s="32">
        <f>IF(OR($K$1622="",설정!$B$22=""),"",IF(N(INDEX(직원목록!$S$7:$S$306,$K$1622))=0,"",INDEX(직원목록!$S$7:$S$306,$K$1622)&amp;"시간"))</f>
        <v/>
      </c>
      <c r="F1631" s="4">
        <f>IF($K$1622="","",IF(설정!$B$31="","",설정!$B$31))</f>
        <v/>
      </c>
      <c r="G1631" s="31">
        <f>IF(OR($K$1622="",설정!$B$31=""),"",INDEX(직원목록!$AB$7:$AB$306,$K$1622))</f>
        <v/>
      </c>
      <c r="H1631" s="19" t="n"/>
    </row>
    <row r="1632">
      <c r="B1632" s="4">
        <f>IF($K$1622="","",IF(설정!$B$23="","",설정!$B$23))</f>
        <v/>
      </c>
      <c r="C1632" s="31">
        <f>IF(OR($K$1622="",설정!$B$23=""),"",INDEX(직원목록!$L$7:$L$306,$K$1622))</f>
        <v/>
      </c>
      <c r="D1632" s="32">
        <f>IF(OR($K$1622="",설정!$B$23=""),"",IF(N(INDEX(직원목록!$T$7:$T$306,$K$1622))=0,"",INDEX(직원목록!$T$7:$T$306,$K$1622)&amp;"시간"))</f>
        <v/>
      </c>
      <c r="F1632" s="4">
        <f>IF($K$1622="","",IF(설정!$B$32="","",설정!$B$32))</f>
        <v/>
      </c>
      <c r="G1632" s="31">
        <f>IF(OR($K$1622="",설정!$B$32=""),"",INDEX(직원목록!$AC$7:$AC$306,$K$1622))</f>
        <v/>
      </c>
      <c r="H1632" s="19" t="n"/>
    </row>
    <row r="1633">
      <c r="B1633" s="4">
        <f>IF($K$1622="","",IF(설정!$B$24="","",설정!$B$24))</f>
        <v/>
      </c>
      <c r="C1633" s="31">
        <f>IF(OR($K$1622="",설정!$B$24=""),"",INDEX(직원목록!$M$7:$M$306,$K$1622))</f>
        <v/>
      </c>
      <c r="D1633" s="32">
        <f>IF(OR($K$1622="",설정!$B$24=""),"",IF(N(INDEX(직원목록!$U$7:$U$306,$K$1622))=0,"",INDEX(직원목록!$U$7:$U$306,$K$1622)&amp;"시간"))</f>
        <v/>
      </c>
      <c r="F1633" s="4">
        <f>IF($K$1622="","",IF(설정!$B$33="","",설정!$B$33))</f>
        <v/>
      </c>
      <c r="G1633" s="31">
        <f>IF(OR($K$1622="",설정!$B$33=""),"",INDEX(직원목록!$AD$7:$AD$306,$K$1622))</f>
        <v/>
      </c>
      <c r="H1633" s="19" t="n"/>
    </row>
    <row r="1634">
      <c r="B1634" s="3" t="inlineStr">
        <is>
          <t>지급 합계</t>
        </is>
      </c>
      <c r="C1634" s="35">
        <f>IF($K$1622="","",INDEX(직원목록!$V$7:$V$306,$K$1622))</f>
        <v/>
      </c>
      <c r="D1634" s="36" t="n"/>
      <c r="F1634" s="3" t="inlineStr">
        <is>
          <t>공제 합계</t>
        </is>
      </c>
      <c r="G1634" s="35">
        <f>IF($K$1622="","",INDEX(직원목록!$AE$7:$AE$306,$K$1622))</f>
        <v/>
      </c>
      <c r="H1634" s="36" t="n"/>
    </row>
    <row r="1635" ht="28" customHeight="1">
      <c r="B1635" s="37" t="inlineStr">
        <is>
          <t>실 수령액 (지급 합계 − 공제 합계)</t>
        </is>
      </c>
      <c r="C1635" s="29" t="n"/>
      <c r="D1635" s="29" t="n"/>
      <c r="E1635" s="38">
        <f>IF($K$1622="","",INDEX(직원목록!$AF$7:$AF$306,$K$1622))</f>
        <v/>
      </c>
      <c r="F1635" s="29" t="n"/>
      <c r="G1635" s="29" t="n"/>
      <c r="H1635" s="29" t="n"/>
    </row>
    <row r="1636">
      <c r="B1636" s="39">
        <f>IF($K$1622="","",설정!$B$7)</f>
        <v/>
      </c>
    </row>
    <row r="1652" ht="30" customHeight="1">
      <c r="B1652" s="28">
        <f>IF($K$1652="","","임금명세서  ("&amp;설정!$B$5&amp;")")</f>
        <v/>
      </c>
      <c r="K1652" s="34">
        <f>IFERROR(MATCH(56,직원목록!$B$7:$B$306,0),"")</f>
        <v/>
      </c>
    </row>
    <row r="1653">
      <c r="B1653" s="7" t="inlineStr">
        <is>
          <t>회사명</t>
        </is>
      </c>
      <c r="C1653" s="21">
        <f>IF($K$1652="","",설정!$B$4)</f>
        <v/>
      </c>
      <c r="D1653" s="29" t="n"/>
      <c r="E1653" s="19" t="n"/>
      <c r="F1653" s="7" t="inlineStr">
        <is>
          <t>임금 지급일</t>
        </is>
      </c>
      <c r="G1653" s="21">
        <f>IF($K$1652="","",TEXT(설정!$B$6,"yyyy-mm-dd"))</f>
        <v/>
      </c>
      <c r="H1653" s="29" t="n"/>
    </row>
    <row r="1654">
      <c r="B1654" s="7" t="inlineStr">
        <is>
          <t>성명</t>
        </is>
      </c>
      <c r="C1654" s="22">
        <f>IF($K$1652="","",INDEX(직원목록!$D$7:$D$306,$K$1652))</f>
        <v/>
      </c>
      <c r="D1654" s="7" t="inlineStr">
        <is>
          <t>사번</t>
        </is>
      </c>
      <c r="E1654" s="21">
        <f>IF($K$1652="","",INDEX(직원목록!$C$7:$C$306,$K$1652))</f>
        <v/>
      </c>
      <c r="F1654" s="7" t="inlineStr">
        <is>
          <t>부서</t>
        </is>
      </c>
      <c r="G1654" s="21">
        <f>IF($K$1652="","",INDEX(직원목록!$E$7:$E$306,$K$1652))</f>
        <v/>
      </c>
      <c r="H1654" s="29" t="n"/>
    </row>
    <row r="1655">
      <c r="B1655" s="12" t="inlineStr">
        <is>
          <t>지급 항목</t>
        </is>
      </c>
      <c r="C1655" s="12" t="inlineStr">
        <is>
          <t>금액(원)</t>
        </is>
      </c>
      <c r="D1655" s="12" t="inlineStr">
        <is>
          <t>계산 근거</t>
        </is>
      </c>
      <c r="E1655" s="2" t="n"/>
      <c r="F1655" s="12" t="inlineStr">
        <is>
          <t>공제 항목</t>
        </is>
      </c>
      <c r="G1655" s="12" t="inlineStr">
        <is>
          <t>금액(원)</t>
        </is>
      </c>
      <c r="H1655" s="12" t="n"/>
    </row>
    <row r="1656">
      <c r="B1656" s="4">
        <f>IF($K$1652="","",IF(설정!$B$17="","",설정!$B$17))</f>
        <v/>
      </c>
      <c r="C1656" s="31">
        <f>IF(OR($K$1652="",설정!$B$17=""),"",INDEX(직원목록!$F$7:$F$306,$K$1652))</f>
        <v/>
      </c>
      <c r="D1656" s="32">
        <f>IF(OR($K$1652="",설정!$B$17=""),"",IF(N(INDEX(직원목록!$N$7:$N$306,$K$1652))=0,"",INDEX(직원목록!$N$7:$N$306,$K$1652)&amp;"시간"))</f>
        <v/>
      </c>
      <c r="F1656" s="4">
        <f>IF($K$1652="","",IF(설정!$B$26="","",설정!$B$26))</f>
        <v/>
      </c>
      <c r="G1656" s="31">
        <f>IF(OR($K$1652="",설정!$B$26=""),"",INDEX(직원목록!$W$7:$W$306,$K$1652))</f>
        <v/>
      </c>
      <c r="H1656" s="19" t="n"/>
    </row>
    <row r="1657">
      <c r="B1657" s="4">
        <f>IF($K$1652="","",IF(설정!$B$18="","",설정!$B$18))</f>
        <v/>
      </c>
      <c r="C1657" s="31">
        <f>IF(OR($K$1652="",설정!$B$18=""),"",INDEX(직원목록!$G$7:$G$306,$K$1652))</f>
        <v/>
      </c>
      <c r="D1657" s="32">
        <f>IF(OR($K$1652="",설정!$B$18=""),"",IF(N(INDEX(직원목록!$O$7:$O$306,$K$1652))=0,"",INDEX(직원목록!$O$7:$O$306,$K$1652)&amp;"시간"))</f>
        <v/>
      </c>
      <c r="F1657" s="4">
        <f>IF($K$1652="","",IF(설정!$B$27="","",설정!$B$27))</f>
        <v/>
      </c>
      <c r="G1657" s="31">
        <f>IF(OR($K$1652="",설정!$B$27=""),"",INDEX(직원목록!$X$7:$X$306,$K$1652))</f>
        <v/>
      </c>
      <c r="H1657" s="19" t="n"/>
    </row>
    <row r="1658">
      <c r="B1658" s="4">
        <f>IF($K$1652="","",IF(설정!$B$19="","",설정!$B$19))</f>
        <v/>
      </c>
      <c r="C1658" s="31">
        <f>IF(OR($K$1652="",설정!$B$19=""),"",INDEX(직원목록!$H$7:$H$306,$K$1652))</f>
        <v/>
      </c>
      <c r="D1658" s="32">
        <f>IF(OR($K$1652="",설정!$B$19=""),"",IF(N(INDEX(직원목록!$P$7:$P$306,$K$1652))=0,"",INDEX(직원목록!$P$7:$P$306,$K$1652)&amp;"시간"))</f>
        <v/>
      </c>
      <c r="F1658" s="4">
        <f>IF($K$1652="","",IF(설정!$B$28="","",설정!$B$28))</f>
        <v/>
      </c>
      <c r="G1658" s="31">
        <f>IF(OR($K$1652="",설정!$B$28=""),"",INDEX(직원목록!$Y$7:$Y$306,$K$1652))</f>
        <v/>
      </c>
      <c r="H1658" s="19" t="n"/>
    </row>
    <row r="1659">
      <c r="B1659" s="4">
        <f>IF($K$1652="","",IF(설정!$B$20="","",설정!$B$20))</f>
        <v/>
      </c>
      <c r="C1659" s="31">
        <f>IF(OR($K$1652="",설정!$B$20=""),"",INDEX(직원목록!$I$7:$I$306,$K$1652))</f>
        <v/>
      </c>
      <c r="D1659" s="32">
        <f>IF(OR($K$1652="",설정!$B$20=""),"",IF(N(INDEX(직원목록!$Q$7:$Q$306,$K$1652))=0,"",INDEX(직원목록!$Q$7:$Q$306,$K$1652)&amp;"시간"))</f>
        <v/>
      </c>
      <c r="F1659" s="4">
        <f>IF($K$1652="","",IF(설정!$B$29="","",설정!$B$29))</f>
        <v/>
      </c>
      <c r="G1659" s="31">
        <f>IF(OR($K$1652="",설정!$B$29=""),"",INDEX(직원목록!$Z$7:$Z$306,$K$1652))</f>
        <v/>
      </c>
      <c r="H1659" s="19" t="n"/>
    </row>
    <row r="1660">
      <c r="B1660" s="4">
        <f>IF($K$1652="","",IF(설정!$B$21="","",설정!$B$21))</f>
        <v/>
      </c>
      <c r="C1660" s="31">
        <f>IF(OR($K$1652="",설정!$B$21=""),"",INDEX(직원목록!$J$7:$J$306,$K$1652))</f>
        <v/>
      </c>
      <c r="D1660" s="32">
        <f>IF(OR($K$1652="",설정!$B$21=""),"",IF(N(INDEX(직원목록!$R$7:$R$306,$K$1652))=0,"",INDEX(직원목록!$R$7:$R$306,$K$1652)&amp;"시간"))</f>
        <v/>
      </c>
      <c r="F1660" s="4">
        <f>IF($K$1652="","",IF(설정!$B$30="","",설정!$B$30))</f>
        <v/>
      </c>
      <c r="G1660" s="31">
        <f>IF(OR($K$1652="",설정!$B$30=""),"",INDEX(직원목록!$AA$7:$AA$306,$K$1652))</f>
        <v/>
      </c>
      <c r="H1660" s="19" t="n"/>
    </row>
    <row r="1661">
      <c r="B1661" s="4">
        <f>IF($K$1652="","",IF(설정!$B$22="","",설정!$B$22))</f>
        <v/>
      </c>
      <c r="C1661" s="31">
        <f>IF(OR($K$1652="",설정!$B$22=""),"",INDEX(직원목록!$K$7:$K$306,$K$1652))</f>
        <v/>
      </c>
      <c r="D1661" s="32">
        <f>IF(OR($K$1652="",설정!$B$22=""),"",IF(N(INDEX(직원목록!$S$7:$S$306,$K$1652))=0,"",INDEX(직원목록!$S$7:$S$306,$K$1652)&amp;"시간"))</f>
        <v/>
      </c>
      <c r="F1661" s="4">
        <f>IF($K$1652="","",IF(설정!$B$31="","",설정!$B$31))</f>
        <v/>
      </c>
      <c r="G1661" s="31">
        <f>IF(OR($K$1652="",설정!$B$31=""),"",INDEX(직원목록!$AB$7:$AB$306,$K$1652))</f>
        <v/>
      </c>
      <c r="H1661" s="19" t="n"/>
    </row>
    <row r="1662">
      <c r="B1662" s="4">
        <f>IF($K$1652="","",IF(설정!$B$23="","",설정!$B$23))</f>
        <v/>
      </c>
      <c r="C1662" s="31">
        <f>IF(OR($K$1652="",설정!$B$23=""),"",INDEX(직원목록!$L$7:$L$306,$K$1652))</f>
        <v/>
      </c>
      <c r="D1662" s="32">
        <f>IF(OR($K$1652="",설정!$B$23=""),"",IF(N(INDEX(직원목록!$T$7:$T$306,$K$1652))=0,"",INDEX(직원목록!$T$7:$T$306,$K$1652)&amp;"시간"))</f>
        <v/>
      </c>
      <c r="F1662" s="4">
        <f>IF($K$1652="","",IF(설정!$B$32="","",설정!$B$32))</f>
        <v/>
      </c>
      <c r="G1662" s="31">
        <f>IF(OR($K$1652="",설정!$B$32=""),"",INDEX(직원목록!$AC$7:$AC$306,$K$1652))</f>
        <v/>
      </c>
      <c r="H1662" s="19" t="n"/>
    </row>
    <row r="1663">
      <c r="B1663" s="4">
        <f>IF($K$1652="","",IF(설정!$B$24="","",설정!$B$24))</f>
        <v/>
      </c>
      <c r="C1663" s="31">
        <f>IF(OR($K$1652="",설정!$B$24=""),"",INDEX(직원목록!$M$7:$M$306,$K$1652))</f>
        <v/>
      </c>
      <c r="D1663" s="32">
        <f>IF(OR($K$1652="",설정!$B$24=""),"",IF(N(INDEX(직원목록!$U$7:$U$306,$K$1652))=0,"",INDEX(직원목록!$U$7:$U$306,$K$1652)&amp;"시간"))</f>
        <v/>
      </c>
      <c r="F1663" s="4">
        <f>IF($K$1652="","",IF(설정!$B$33="","",설정!$B$33))</f>
        <v/>
      </c>
      <c r="G1663" s="31">
        <f>IF(OR($K$1652="",설정!$B$33=""),"",INDEX(직원목록!$AD$7:$AD$306,$K$1652))</f>
        <v/>
      </c>
      <c r="H1663" s="19" t="n"/>
    </row>
    <row r="1664">
      <c r="B1664" s="3" t="inlineStr">
        <is>
          <t>지급 합계</t>
        </is>
      </c>
      <c r="C1664" s="35">
        <f>IF($K$1652="","",INDEX(직원목록!$V$7:$V$306,$K$1652))</f>
        <v/>
      </c>
      <c r="D1664" s="36" t="n"/>
      <c r="F1664" s="3" t="inlineStr">
        <is>
          <t>공제 합계</t>
        </is>
      </c>
      <c r="G1664" s="35">
        <f>IF($K$1652="","",INDEX(직원목록!$AE$7:$AE$306,$K$1652))</f>
        <v/>
      </c>
      <c r="H1664" s="36" t="n"/>
    </row>
    <row r="1665" ht="28" customHeight="1">
      <c r="B1665" s="37" t="inlineStr">
        <is>
          <t>실 수령액 (지급 합계 − 공제 합계)</t>
        </is>
      </c>
      <c r="C1665" s="29" t="n"/>
      <c r="D1665" s="29" t="n"/>
      <c r="E1665" s="38">
        <f>IF($K$1652="","",INDEX(직원목록!$AF$7:$AF$306,$K$1652))</f>
        <v/>
      </c>
      <c r="F1665" s="29" t="n"/>
      <c r="G1665" s="29" t="n"/>
      <c r="H1665" s="29" t="n"/>
    </row>
    <row r="1666">
      <c r="B1666" s="39">
        <f>IF($K$1652="","",설정!$B$7)</f>
        <v/>
      </c>
    </row>
    <row r="1682" ht="30" customHeight="1">
      <c r="B1682" s="28">
        <f>IF($K$1682="","","임금명세서  ("&amp;설정!$B$5&amp;")")</f>
        <v/>
      </c>
      <c r="K1682" s="34">
        <f>IFERROR(MATCH(57,직원목록!$B$7:$B$306,0),"")</f>
        <v/>
      </c>
    </row>
    <row r="1683">
      <c r="B1683" s="7" t="inlineStr">
        <is>
          <t>회사명</t>
        </is>
      </c>
      <c r="C1683" s="21">
        <f>IF($K$1682="","",설정!$B$4)</f>
        <v/>
      </c>
      <c r="D1683" s="29" t="n"/>
      <c r="E1683" s="19" t="n"/>
      <c r="F1683" s="7" t="inlineStr">
        <is>
          <t>임금 지급일</t>
        </is>
      </c>
      <c r="G1683" s="21">
        <f>IF($K$1682="","",TEXT(설정!$B$6,"yyyy-mm-dd"))</f>
        <v/>
      </c>
      <c r="H1683" s="29" t="n"/>
    </row>
    <row r="1684">
      <c r="B1684" s="7" t="inlineStr">
        <is>
          <t>성명</t>
        </is>
      </c>
      <c r="C1684" s="22">
        <f>IF($K$1682="","",INDEX(직원목록!$D$7:$D$306,$K$1682))</f>
        <v/>
      </c>
      <c r="D1684" s="7" t="inlineStr">
        <is>
          <t>사번</t>
        </is>
      </c>
      <c r="E1684" s="21">
        <f>IF($K$1682="","",INDEX(직원목록!$C$7:$C$306,$K$1682))</f>
        <v/>
      </c>
      <c r="F1684" s="7" t="inlineStr">
        <is>
          <t>부서</t>
        </is>
      </c>
      <c r="G1684" s="21">
        <f>IF($K$1682="","",INDEX(직원목록!$E$7:$E$306,$K$1682))</f>
        <v/>
      </c>
      <c r="H1684" s="29" t="n"/>
    </row>
    <row r="1685">
      <c r="B1685" s="12" t="inlineStr">
        <is>
          <t>지급 항목</t>
        </is>
      </c>
      <c r="C1685" s="12" t="inlineStr">
        <is>
          <t>금액(원)</t>
        </is>
      </c>
      <c r="D1685" s="12" t="inlineStr">
        <is>
          <t>계산 근거</t>
        </is>
      </c>
      <c r="E1685" s="2" t="n"/>
      <c r="F1685" s="12" t="inlineStr">
        <is>
          <t>공제 항목</t>
        </is>
      </c>
      <c r="G1685" s="12" t="inlineStr">
        <is>
          <t>금액(원)</t>
        </is>
      </c>
      <c r="H1685" s="12" t="n"/>
    </row>
    <row r="1686">
      <c r="B1686" s="4">
        <f>IF($K$1682="","",IF(설정!$B$17="","",설정!$B$17))</f>
        <v/>
      </c>
      <c r="C1686" s="31">
        <f>IF(OR($K$1682="",설정!$B$17=""),"",INDEX(직원목록!$F$7:$F$306,$K$1682))</f>
        <v/>
      </c>
      <c r="D1686" s="32">
        <f>IF(OR($K$1682="",설정!$B$17=""),"",IF(N(INDEX(직원목록!$N$7:$N$306,$K$1682))=0,"",INDEX(직원목록!$N$7:$N$306,$K$1682)&amp;"시간"))</f>
        <v/>
      </c>
      <c r="F1686" s="4">
        <f>IF($K$1682="","",IF(설정!$B$26="","",설정!$B$26))</f>
        <v/>
      </c>
      <c r="G1686" s="31">
        <f>IF(OR($K$1682="",설정!$B$26=""),"",INDEX(직원목록!$W$7:$W$306,$K$1682))</f>
        <v/>
      </c>
      <c r="H1686" s="19" t="n"/>
    </row>
    <row r="1687">
      <c r="B1687" s="4">
        <f>IF($K$1682="","",IF(설정!$B$18="","",설정!$B$18))</f>
        <v/>
      </c>
      <c r="C1687" s="31">
        <f>IF(OR($K$1682="",설정!$B$18=""),"",INDEX(직원목록!$G$7:$G$306,$K$1682))</f>
        <v/>
      </c>
      <c r="D1687" s="32">
        <f>IF(OR($K$1682="",설정!$B$18=""),"",IF(N(INDEX(직원목록!$O$7:$O$306,$K$1682))=0,"",INDEX(직원목록!$O$7:$O$306,$K$1682)&amp;"시간"))</f>
        <v/>
      </c>
      <c r="F1687" s="4">
        <f>IF($K$1682="","",IF(설정!$B$27="","",설정!$B$27))</f>
        <v/>
      </c>
      <c r="G1687" s="31">
        <f>IF(OR($K$1682="",설정!$B$27=""),"",INDEX(직원목록!$X$7:$X$306,$K$1682))</f>
        <v/>
      </c>
      <c r="H1687" s="19" t="n"/>
    </row>
    <row r="1688">
      <c r="B1688" s="4">
        <f>IF($K$1682="","",IF(설정!$B$19="","",설정!$B$19))</f>
        <v/>
      </c>
      <c r="C1688" s="31">
        <f>IF(OR($K$1682="",설정!$B$19=""),"",INDEX(직원목록!$H$7:$H$306,$K$1682))</f>
        <v/>
      </c>
      <c r="D1688" s="32">
        <f>IF(OR($K$1682="",설정!$B$19=""),"",IF(N(INDEX(직원목록!$P$7:$P$306,$K$1682))=0,"",INDEX(직원목록!$P$7:$P$306,$K$1682)&amp;"시간"))</f>
        <v/>
      </c>
      <c r="F1688" s="4">
        <f>IF($K$1682="","",IF(설정!$B$28="","",설정!$B$28))</f>
        <v/>
      </c>
      <c r="G1688" s="31">
        <f>IF(OR($K$1682="",설정!$B$28=""),"",INDEX(직원목록!$Y$7:$Y$306,$K$1682))</f>
        <v/>
      </c>
      <c r="H1688" s="19" t="n"/>
    </row>
    <row r="1689">
      <c r="B1689" s="4">
        <f>IF($K$1682="","",IF(설정!$B$20="","",설정!$B$20))</f>
        <v/>
      </c>
      <c r="C1689" s="31">
        <f>IF(OR($K$1682="",설정!$B$20=""),"",INDEX(직원목록!$I$7:$I$306,$K$1682))</f>
        <v/>
      </c>
      <c r="D1689" s="32">
        <f>IF(OR($K$1682="",설정!$B$20=""),"",IF(N(INDEX(직원목록!$Q$7:$Q$306,$K$1682))=0,"",INDEX(직원목록!$Q$7:$Q$306,$K$1682)&amp;"시간"))</f>
        <v/>
      </c>
      <c r="F1689" s="4">
        <f>IF($K$1682="","",IF(설정!$B$29="","",설정!$B$29))</f>
        <v/>
      </c>
      <c r="G1689" s="31">
        <f>IF(OR($K$1682="",설정!$B$29=""),"",INDEX(직원목록!$Z$7:$Z$306,$K$1682))</f>
        <v/>
      </c>
      <c r="H1689" s="19" t="n"/>
    </row>
    <row r="1690">
      <c r="B1690" s="4">
        <f>IF($K$1682="","",IF(설정!$B$21="","",설정!$B$21))</f>
        <v/>
      </c>
      <c r="C1690" s="31">
        <f>IF(OR($K$1682="",설정!$B$21=""),"",INDEX(직원목록!$J$7:$J$306,$K$1682))</f>
        <v/>
      </c>
      <c r="D1690" s="32">
        <f>IF(OR($K$1682="",설정!$B$21=""),"",IF(N(INDEX(직원목록!$R$7:$R$306,$K$1682))=0,"",INDEX(직원목록!$R$7:$R$306,$K$1682)&amp;"시간"))</f>
        <v/>
      </c>
      <c r="F1690" s="4">
        <f>IF($K$1682="","",IF(설정!$B$30="","",설정!$B$30))</f>
        <v/>
      </c>
      <c r="G1690" s="31">
        <f>IF(OR($K$1682="",설정!$B$30=""),"",INDEX(직원목록!$AA$7:$AA$306,$K$1682))</f>
        <v/>
      </c>
      <c r="H1690" s="19" t="n"/>
    </row>
    <row r="1691">
      <c r="B1691" s="4">
        <f>IF($K$1682="","",IF(설정!$B$22="","",설정!$B$22))</f>
        <v/>
      </c>
      <c r="C1691" s="31">
        <f>IF(OR($K$1682="",설정!$B$22=""),"",INDEX(직원목록!$K$7:$K$306,$K$1682))</f>
        <v/>
      </c>
      <c r="D1691" s="32">
        <f>IF(OR($K$1682="",설정!$B$22=""),"",IF(N(INDEX(직원목록!$S$7:$S$306,$K$1682))=0,"",INDEX(직원목록!$S$7:$S$306,$K$1682)&amp;"시간"))</f>
        <v/>
      </c>
      <c r="F1691" s="4">
        <f>IF($K$1682="","",IF(설정!$B$31="","",설정!$B$31))</f>
        <v/>
      </c>
      <c r="G1691" s="31">
        <f>IF(OR($K$1682="",설정!$B$31=""),"",INDEX(직원목록!$AB$7:$AB$306,$K$1682))</f>
        <v/>
      </c>
      <c r="H1691" s="19" t="n"/>
    </row>
    <row r="1692">
      <c r="B1692" s="4">
        <f>IF($K$1682="","",IF(설정!$B$23="","",설정!$B$23))</f>
        <v/>
      </c>
      <c r="C1692" s="31">
        <f>IF(OR($K$1682="",설정!$B$23=""),"",INDEX(직원목록!$L$7:$L$306,$K$1682))</f>
        <v/>
      </c>
      <c r="D1692" s="32">
        <f>IF(OR($K$1682="",설정!$B$23=""),"",IF(N(INDEX(직원목록!$T$7:$T$306,$K$1682))=0,"",INDEX(직원목록!$T$7:$T$306,$K$1682)&amp;"시간"))</f>
        <v/>
      </c>
      <c r="F1692" s="4">
        <f>IF($K$1682="","",IF(설정!$B$32="","",설정!$B$32))</f>
        <v/>
      </c>
      <c r="G1692" s="31">
        <f>IF(OR($K$1682="",설정!$B$32=""),"",INDEX(직원목록!$AC$7:$AC$306,$K$1682))</f>
        <v/>
      </c>
      <c r="H1692" s="19" t="n"/>
    </row>
    <row r="1693">
      <c r="B1693" s="4">
        <f>IF($K$1682="","",IF(설정!$B$24="","",설정!$B$24))</f>
        <v/>
      </c>
      <c r="C1693" s="31">
        <f>IF(OR($K$1682="",설정!$B$24=""),"",INDEX(직원목록!$M$7:$M$306,$K$1682))</f>
        <v/>
      </c>
      <c r="D1693" s="32">
        <f>IF(OR($K$1682="",설정!$B$24=""),"",IF(N(INDEX(직원목록!$U$7:$U$306,$K$1682))=0,"",INDEX(직원목록!$U$7:$U$306,$K$1682)&amp;"시간"))</f>
        <v/>
      </c>
      <c r="F1693" s="4">
        <f>IF($K$1682="","",IF(설정!$B$33="","",설정!$B$33))</f>
        <v/>
      </c>
      <c r="G1693" s="31">
        <f>IF(OR($K$1682="",설정!$B$33=""),"",INDEX(직원목록!$AD$7:$AD$306,$K$1682))</f>
        <v/>
      </c>
      <c r="H1693" s="19" t="n"/>
    </row>
    <row r="1694">
      <c r="B1694" s="3" t="inlineStr">
        <is>
          <t>지급 합계</t>
        </is>
      </c>
      <c r="C1694" s="35">
        <f>IF($K$1682="","",INDEX(직원목록!$V$7:$V$306,$K$1682))</f>
        <v/>
      </c>
      <c r="D1694" s="36" t="n"/>
      <c r="F1694" s="3" t="inlineStr">
        <is>
          <t>공제 합계</t>
        </is>
      </c>
      <c r="G1694" s="35">
        <f>IF($K$1682="","",INDEX(직원목록!$AE$7:$AE$306,$K$1682))</f>
        <v/>
      </c>
      <c r="H1694" s="36" t="n"/>
    </row>
    <row r="1695" ht="28" customHeight="1">
      <c r="B1695" s="37" t="inlineStr">
        <is>
          <t>실 수령액 (지급 합계 − 공제 합계)</t>
        </is>
      </c>
      <c r="C1695" s="29" t="n"/>
      <c r="D1695" s="29" t="n"/>
      <c r="E1695" s="38">
        <f>IF($K$1682="","",INDEX(직원목록!$AF$7:$AF$306,$K$1682))</f>
        <v/>
      </c>
      <c r="F1695" s="29" t="n"/>
      <c r="G1695" s="29" t="n"/>
      <c r="H1695" s="29" t="n"/>
    </row>
    <row r="1696">
      <c r="B1696" s="39">
        <f>IF($K$1682="","",설정!$B$7)</f>
        <v/>
      </c>
    </row>
    <row r="1712" ht="30" customHeight="1">
      <c r="B1712" s="28">
        <f>IF($K$1712="","","임금명세서  ("&amp;설정!$B$5&amp;")")</f>
        <v/>
      </c>
      <c r="K1712" s="34">
        <f>IFERROR(MATCH(58,직원목록!$B$7:$B$306,0),"")</f>
        <v/>
      </c>
    </row>
    <row r="1713">
      <c r="B1713" s="7" t="inlineStr">
        <is>
          <t>회사명</t>
        </is>
      </c>
      <c r="C1713" s="21">
        <f>IF($K$1712="","",설정!$B$4)</f>
        <v/>
      </c>
      <c r="D1713" s="29" t="n"/>
      <c r="E1713" s="19" t="n"/>
      <c r="F1713" s="7" t="inlineStr">
        <is>
          <t>임금 지급일</t>
        </is>
      </c>
      <c r="G1713" s="21">
        <f>IF($K$1712="","",TEXT(설정!$B$6,"yyyy-mm-dd"))</f>
        <v/>
      </c>
      <c r="H1713" s="29" t="n"/>
    </row>
    <row r="1714">
      <c r="B1714" s="7" t="inlineStr">
        <is>
          <t>성명</t>
        </is>
      </c>
      <c r="C1714" s="22">
        <f>IF($K$1712="","",INDEX(직원목록!$D$7:$D$306,$K$1712))</f>
        <v/>
      </c>
      <c r="D1714" s="7" t="inlineStr">
        <is>
          <t>사번</t>
        </is>
      </c>
      <c r="E1714" s="21">
        <f>IF($K$1712="","",INDEX(직원목록!$C$7:$C$306,$K$1712))</f>
        <v/>
      </c>
      <c r="F1714" s="7" t="inlineStr">
        <is>
          <t>부서</t>
        </is>
      </c>
      <c r="G1714" s="21">
        <f>IF($K$1712="","",INDEX(직원목록!$E$7:$E$306,$K$1712))</f>
        <v/>
      </c>
      <c r="H1714" s="29" t="n"/>
    </row>
    <row r="1715">
      <c r="B1715" s="12" t="inlineStr">
        <is>
          <t>지급 항목</t>
        </is>
      </c>
      <c r="C1715" s="12" t="inlineStr">
        <is>
          <t>금액(원)</t>
        </is>
      </c>
      <c r="D1715" s="12" t="inlineStr">
        <is>
          <t>계산 근거</t>
        </is>
      </c>
      <c r="E1715" s="2" t="n"/>
      <c r="F1715" s="12" t="inlineStr">
        <is>
          <t>공제 항목</t>
        </is>
      </c>
      <c r="G1715" s="12" t="inlineStr">
        <is>
          <t>금액(원)</t>
        </is>
      </c>
      <c r="H1715" s="12" t="n"/>
    </row>
    <row r="1716">
      <c r="B1716" s="4">
        <f>IF($K$1712="","",IF(설정!$B$17="","",설정!$B$17))</f>
        <v/>
      </c>
      <c r="C1716" s="31">
        <f>IF(OR($K$1712="",설정!$B$17=""),"",INDEX(직원목록!$F$7:$F$306,$K$1712))</f>
        <v/>
      </c>
      <c r="D1716" s="32">
        <f>IF(OR($K$1712="",설정!$B$17=""),"",IF(N(INDEX(직원목록!$N$7:$N$306,$K$1712))=0,"",INDEX(직원목록!$N$7:$N$306,$K$1712)&amp;"시간"))</f>
        <v/>
      </c>
      <c r="F1716" s="4">
        <f>IF($K$1712="","",IF(설정!$B$26="","",설정!$B$26))</f>
        <v/>
      </c>
      <c r="G1716" s="31">
        <f>IF(OR($K$1712="",설정!$B$26=""),"",INDEX(직원목록!$W$7:$W$306,$K$1712))</f>
        <v/>
      </c>
      <c r="H1716" s="19" t="n"/>
    </row>
    <row r="1717">
      <c r="B1717" s="4">
        <f>IF($K$1712="","",IF(설정!$B$18="","",설정!$B$18))</f>
        <v/>
      </c>
      <c r="C1717" s="31">
        <f>IF(OR($K$1712="",설정!$B$18=""),"",INDEX(직원목록!$G$7:$G$306,$K$1712))</f>
        <v/>
      </c>
      <c r="D1717" s="32">
        <f>IF(OR($K$1712="",설정!$B$18=""),"",IF(N(INDEX(직원목록!$O$7:$O$306,$K$1712))=0,"",INDEX(직원목록!$O$7:$O$306,$K$1712)&amp;"시간"))</f>
        <v/>
      </c>
      <c r="F1717" s="4">
        <f>IF($K$1712="","",IF(설정!$B$27="","",설정!$B$27))</f>
        <v/>
      </c>
      <c r="G1717" s="31">
        <f>IF(OR($K$1712="",설정!$B$27=""),"",INDEX(직원목록!$X$7:$X$306,$K$1712))</f>
        <v/>
      </c>
      <c r="H1717" s="19" t="n"/>
    </row>
    <row r="1718">
      <c r="B1718" s="4">
        <f>IF($K$1712="","",IF(설정!$B$19="","",설정!$B$19))</f>
        <v/>
      </c>
      <c r="C1718" s="31">
        <f>IF(OR($K$1712="",설정!$B$19=""),"",INDEX(직원목록!$H$7:$H$306,$K$1712))</f>
        <v/>
      </c>
      <c r="D1718" s="32">
        <f>IF(OR($K$1712="",설정!$B$19=""),"",IF(N(INDEX(직원목록!$P$7:$P$306,$K$1712))=0,"",INDEX(직원목록!$P$7:$P$306,$K$1712)&amp;"시간"))</f>
        <v/>
      </c>
      <c r="F1718" s="4">
        <f>IF($K$1712="","",IF(설정!$B$28="","",설정!$B$28))</f>
        <v/>
      </c>
      <c r="G1718" s="31">
        <f>IF(OR($K$1712="",설정!$B$28=""),"",INDEX(직원목록!$Y$7:$Y$306,$K$1712))</f>
        <v/>
      </c>
      <c r="H1718" s="19" t="n"/>
    </row>
    <row r="1719">
      <c r="B1719" s="4">
        <f>IF($K$1712="","",IF(설정!$B$20="","",설정!$B$20))</f>
        <v/>
      </c>
      <c r="C1719" s="31">
        <f>IF(OR($K$1712="",설정!$B$20=""),"",INDEX(직원목록!$I$7:$I$306,$K$1712))</f>
        <v/>
      </c>
      <c r="D1719" s="32">
        <f>IF(OR($K$1712="",설정!$B$20=""),"",IF(N(INDEX(직원목록!$Q$7:$Q$306,$K$1712))=0,"",INDEX(직원목록!$Q$7:$Q$306,$K$1712)&amp;"시간"))</f>
        <v/>
      </c>
      <c r="F1719" s="4">
        <f>IF($K$1712="","",IF(설정!$B$29="","",설정!$B$29))</f>
        <v/>
      </c>
      <c r="G1719" s="31">
        <f>IF(OR($K$1712="",설정!$B$29=""),"",INDEX(직원목록!$Z$7:$Z$306,$K$1712))</f>
        <v/>
      </c>
      <c r="H1719" s="19" t="n"/>
    </row>
    <row r="1720">
      <c r="B1720" s="4">
        <f>IF($K$1712="","",IF(설정!$B$21="","",설정!$B$21))</f>
        <v/>
      </c>
      <c r="C1720" s="31">
        <f>IF(OR($K$1712="",설정!$B$21=""),"",INDEX(직원목록!$J$7:$J$306,$K$1712))</f>
        <v/>
      </c>
      <c r="D1720" s="32">
        <f>IF(OR($K$1712="",설정!$B$21=""),"",IF(N(INDEX(직원목록!$R$7:$R$306,$K$1712))=0,"",INDEX(직원목록!$R$7:$R$306,$K$1712)&amp;"시간"))</f>
        <v/>
      </c>
      <c r="F1720" s="4">
        <f>IF($K$1712="","",IF(설정!$B$30="","",설정!$B$30))</f>
        <v/>
      </c>
      <c r="G1720" s="31">
        <f>IF(OR($K$1712="",설정!$B$30=""),"",INDEX(직원목록!$AA$7:$AA$306,$K$1712))</f>
        <v/>
      </c>
      <c r="H1720" s="19" t="n"/>
    </row>
    <row r="1721">
      <c r="B1721" s="4">
        <f>IF($K$1712="","",IF(설정!$B$22="","",설정!$B$22))</f>
        <v/>
      </c>
      <c r="C1721" s="31">
        <f>IF(OR($K$1712="",설정!$B$22=""),"",INDEX(직원목록!$K$7:$K$306,$K$1712))</f>
        <v/>
      </c>
      <c r="D1721" s="32">
        <f>IF(OR($K$1712="",설정!$B$22=""),"",IF(N(INDEX(직원목록!$S$7:$S$306,$K$1712))=0,"",INDEX(직원목록!$S$7:$S$306,$K$1712)&amp;"시간"))</f>
        <v/>
      </c>
      <c r="F1721" s="4">
        <f>IF($K$1712="","",IF(설정!$B$31="","",설정!$B$31))</f>
        <v/>
      </c>
      <c r="G1721" s="31">
        <f>IF(OR($K$1712="",설정!$B$31=""),"",INDEX(직원목록!$AB$7:$AB$306,$K$1712))</f>
        <v/>
      </c>
      <c r="H1721" s="19" t="n"/>
    </row>
    <row r="1722">
      <c r="B1722" s="4">
        <f>IF($K$1712="","",IF(설정!$B$23="","",설정!$B$23))</f>
        <v/>
      </c>
      <c r="C1722" s="31">
        <f>IF(OR($K$1712="",설정!$B$23=""),"",INDEX(직원목록!$L$7:$L$306,$K$1712))</f>
        <v/>
      </c>
      <c r="D1722" s="32">
        <f>IF(OR($K$1712="",설정!$B$23=""),"",IF(N(INDEX(직원목록!$T$7:$T$306,$K$1712))=0,"",INDEX(직원목록!$T$7:$T$306,$K$1712)&amp;"시간"))</f>
        <v/>
      </c>
      <c r="F1722" s="4">
        <f>IF($K$1712="","",IF(설정!$B$32="","",설정!$B$32))</f>
        <v/>
      </c>
      <c r="G1722" s="31">
        <f>IF(OR($K$1712="",설정!$B$32=""),"",INDEX(직원목록!$AC$7:$AC$306,$K$1712))</f>
        <v/>
      </c>
      <c r="H1722" s="19" t="n"/>
    </row>
    <row r="1723">
      <c r="B1723" s="4">
        <f>IF($K$1712="","",IF(설정!$B$24="","",설정!$B$24))</f>
        <v/>
      </c>
      <c r="C1723" s="31">
        <f>IF(OR($K$1712="",설정!$B$24=""),"",INDEX(직원목록!$M$7:$M$306,$K$1712))</f>
        <v/>
      </c>
      <c r="D1723" s="32">
        <f>IF(OR($K$1712="",설정!$B$24=""),"",IF(N(INDEX(직원목록!$U$7:$U$306,$K$1712))=0,"",INDEX(직원목록!$U$7:$U$306,$K$1712)&amp;"시간"))</f>
        <v/>
      </c>
      <c r="F1723" s="4">
        <f>IF($K$1712="","",IF(설정!$B$33="","",설정!$B$33))</f>
        <v/>
      </c>
      <c r="G1723" s="31">
        <f>IF(OR($K$1712="",설정!$B$33=""),"",INDEX(직원목록!$AD$7:$AD$306,$K$1712))</f>
        <v/>
      </c>
      <c r="H1723" s="19" t="n"/>
    </row>
    <row r="1724">
      <c r="B1724" s="3" t="inlineStr">
        <is>
          <t>지급 합계</t>
        </is>
      </c>
      <c r="C1724" s="35">
        <f>IF($K$1712="","",INDEX(직원목록!$V$7:$V$306,$K$1712))</f>
        <v/>
      </c>
      <c r="D1724" s="36" t="n"/>
      <c r="F1724" s="3" t="inlineStr">
        <is>
          <t>공제 합계</t>
        </is>
      </c>
      <c r="G1724" s="35">
        <f>IF($K$1712="","",INDEX(직원목록!$AE$7:$AE$306,$K$1712))</f>
        <v/>
      </c>
      <c r="H1724" s="36" t="n"/>
    </row>
    <row r="1725" ht="28" customHeight="1">
      <c r="B1725" s="37" t="inlineStr">
        <is>
          <t>실 수령액 (지급 합계 − 공제 합계)</t>
        </is>
      </c>
      <c r="C1725" s="29" t="n"/>
      <c r="D1725" s="29" t="n"/>
      <c r="E1725" s="38">
        <f>IF($K$1712="","",INDEX(직원목록!$AF$7:$AF$306,$K$1712))</f>
        <v/>
      </c>
      <c r="F1725" s="29" t="n"/>
      <c r="G1725" s="29" t="n"/>
      <c r="H1725" s="29" t="n"/>
    </row>
    <row r="1726">
      <c r="B1726" s="39">
        <f>IF($K$1712="","",설정!$B$7)</f>
        <v/>
      </c>
    </row>
    <row r="1742" ht="30" customHeight="1">
      <c r="B1742" s="28">
        <f>IF($K$1742="","","임금명세서  ("&amp;설정!$B$5&amp;")")</f>
        <v/>
      </c>
      <c r="K1742" s="34">
        <f>IFERROR(MATCH(59,직원목록!$B$7:$B$306,0),"")</f>
        <v/>
      </c>
    </row>
    <row r="1743">
      <c r="B1743" s="7" t="inlineStr">
        <is>
          <t>회사명</t>
        </is>
      </c>
      <c r="C1743" s="21">
        <f>IF($K$1742="","",설정!$B$4)</f>
        <v/>
      </c>
      <c r="D1743" s="29" t="n"/>
      <c r="E1743" s="19" t="n"/>
      <c r="F1743" s="7" t="inlineStr">
        <is>
          <t>임금 지급일</t>
        </is>
      </c>
      <c r="G1743" s="21">
        <f>IF($K$1742="","",TEXT(설정!$B$6,"yyyy-mm-dd"))</f>
        <v/>
      </c>
      <c r="H1743" s="29" t="n"/>
    </row>
    <row r="1744">
      <c r="B1744" s="7" t="inlineStr">
        <is>
          <t>성명</t>
        </is>
      </c>
      <c r="C1744" s="22">
        <f>IF($K$1742="","",INDEX(직원목록!$D$7:$D$306,$K$1742))</f>
        <v/>
      </c>
      <c r="D1744" s="7" t="inlineStr">
        <is>
          <t>사번</t>
        </is>
      </c>
      <c r="E1744" s="21">
        <f>IF($K$1742="","",INDEX(직원목록!$C$7:$C$306,$K$1742))</f>
        <v/>
      </c>
      <c r="F1744" s="7" t="inlineStr">
        <is>
          <t>부서</t>
        </is>
      </c>
      <c r="G1744" s="21">
        <f>IF($K$1742="","",INDEX(직원목록!$E$7:$E$306,$K$1742))</f>
        <v/>
      </c>
      <c r="H1744" s="29" t="n"/>
    </row>
    <row r="1745">
      <c r="B1745" s="12" t="inlineStr">
        <is>
          <t>지급 항목</t>
        </is>
      </c>
      <c r="C1745" s="12" t="inlineStr">
        <is>
          <t>금액(원)</t>
        </is>
      </c>
      <c r="D1745" s="12" t="inlineStr">
        <is>
          <t>계산 근거</t>
        </is>
      </c>
      <c r="E1745" s="2" t="n"/>
      <c r="F1745" s="12" t="inlineStr">
        <is>
          <t>공제 항목</t>
        </is>
      </c>
      <c r="G1745" s="12" t="inlineStr">
        <is>
          <t>금액(원)</t>
        </is>
      </c>
      <c r="H1745" s="12" t="n"/>
    </row>
    <row r="1746">
      <c r="B1746" s="4">
        <f>IF($K$1742="","",IF(설정!$B$17="","",설정!$B$17))</f>
        <v/>
      </c>
      <c r="C1746" s="31">
        <f>IF(OR($K$1742="",설정!$B$17=""),"",INDEX(직원목록!$F$7:$F$306,$K$1742))</f>
        <v/>
      </c>
      <c r="D1746" s="32">
        <f>IF(OR($K$1742="",설정!$B$17=""),"",IF(N(INDEX(직원목록!$N$7:$N$306,$K$1742))=0,"",INDEX(직원목록!$N$7:$N$306,$K$1742)&amp;"시간"))</f>
        <v/>
      </c>
      <c r="F1746" s="4">
        <f>IF($K$1742="","",IF(설정!$B$26="","",설정!$B$26))</f>
        <v/>
      </c>
      <c r="G1746" s="31">
        <f>IF(OR($K$1742="",설정!$B$26=""),"",INDEX(직원목록!$W$7:$W$306,$K$1742))</f>
        <v/>
      </c>
      <c r="H1746" s="19" t="n"/>
    </row>
    <row r="1747">
      <c r="B1747" s="4">
        <f>IF($K$1742="","",IF(설정!$B$18="","",설정!$B$18))</f>
        <v/>
      </c>
      <c r="C1747" s="31">
        <f>IF(OR($K$1742="",설정!$B$18=""),"",INDEX(직원목록!$G$7:$G$306,$K$1742))</f>
        <v/>
      </c>
      <c r="D1747" s="32">
        <f>IF(OR($K$1742="",설정!$B$18=""),"",IF(N(INDEX(직원목록!$O$7:$O$306,$K$1742))=0,"",INDEX(직원목록!$O$7:$O$306,$K$1742)&amp;"시간"))</f>
        <v/>
      </c>
      <c r="F1747" s="4">
        <f>IF($K$1742="","",IF(설정!$B$27="","",설정!$B$27))</f>
        <v/>
      </c>
      <c r="G1747" s="31">
        <f>IF(OR($K$1742="",설정!$B$27=""),"",INDEX(직원목록!$X$7:$X$306,$K$1742))</f>
        <v/>
      </c>
      <c r="H1747" s="19" t="n"/>
    </row>
    <row r="1748">
      <c r="B1748" s="4">
        <f>IF($K$1742="","",IF(설정!$B$19="","",설정!$B$19))</f>
        <v/>
      </c>
      <c r="C1748" s="31">
        <f>IF(OR($K$1742="",설정!$B$19=""),"",INDEX(직원목록!$H$7:$H$306,$K$1742))</f>
        <v/>
      </c>
      <c r="D1748" s="32">
        <f>IF(OR($K$1742="",설정!$B$19=""),"",IF(N(INDEX(직원목록!$P$7:$P$306,$K$1742))=0,"",INDEX(직원목록!$P$7:$P$306,$K$1742)&amp;"시간"))</f>
        <v/>
      </c>
      <c r="F1748" s="4">
        <f>IF($K$1742="","",IF(설정!$B$28="","",설정!$B$28))</f>
        <v/>
      </c>
      <c r="G1748" s="31">
        <f>IF(OR($K$1742="",설정!$B$28=""),"",INDEX(직원목록!$Y$7:$Y$306,$K$1742))</f>
        <v/>
      </c>
      <c r="H1748" s="19" t="n"/>
    </row>
    <row r="1749">
      <c r="B1749" s="4">
        <f>IF($K$1742="","",IF(설정!$B$20="","",설정!$B$20))</f>
        <v/>
      </c>
      <c r="C1749" s="31">
        <f>IF(OR($K$1742="",설정!$B$20=""),"",INDEX(직원목록!$I$7:$I$306,$K$1742))</f>
        <v/>
      </c>
      <c r="D1749" s="32">
        <f>IF(OR($K$1742="",설정!$B$20=""),"",IF(N(INDEX(직원목록!$Q$7:$Q$306,$K$1742))=0,"",INDEX(직원목록!$Q$7:$Q$306,$K$1742)&amp;"시간"))</f>
        <v/>
      </c>
      <c r="F1749" s="4">
        <f>IF($K$1742="","",IF(설정!$B$29="","",설정!$B$29))</f>
        <v/>
      </c>
      <c r="G1749" s="31">
        <f>IF(OR($K$1742="",설정!$B$29=""),"",INDEX(직원목록!$Z$7:$Z$306,$K$1742))</f>
        <v/>
      </c>
      <c r="H1749" s="19" t="n"/>
    </row>
    <row r="1750">
      <c r="B1750" s="4">
        <f>IF($K$1742="","",IF(설정!$B$21="","",설정!$B$21))</f>
        <v/>
      </c>
      <c r="C1750" s="31">
        <f>IF(OR($K$1742="",설정!$B$21=""),"",INDEX(직원목록!$J$7:$J$306,$K$1742))</f>
        <v/>
      </c>
      <c r="D1750" s="32">
        <f>IF(OR($K$1742="",설정!$B$21=""),"",IF(N(INDEX(직원목록!$R$7:$R$306,$K$1742))=0,"",INDEX(직원목록!$R$7:$R$306,$K$1742)&amp;"시간"))</f>
        <v/>
      </c>
      <c r="F1750" s="4">
        <f>IF($K$1742="","",IF(설정!$B$30="","",설정!$B$30))</f>
        <v/>
      </c>
      <c r="G1750" s="31">
        <f>IF(OR($K$1742="",설정!$B$30=""),"",INDEX(직원목록!$AA$7:$AA$306,$K$1742))</f>
        <v/>
      </c>
      <c r="H1750" s="19" t="n"/>
    </row>
    <row r="1751">
      <c r="B1751" s="4">
        <f>IF($K$1742="","",IF(설정!$B$22="","",설정!$B$22))</f>
        <v/>
      </c>
      <c r="C1751" s="31">
        <f>IF(OR($K$1742="",설정!$B$22=""),"",INDEX(직원목록!$K$7:$K$306,$K$1742))</f>
        <v/>
      </c>
      <c r="D1751" s="32">
        <f>IF(OR($K$1742="",설정!$B$22=""),"",IF(N(INDEX(직원목록!$S$7:$S$306,$K$1742))=0,"",INDEX(직원목록!$S$7:$S$306,$K$1742)&amp;"시간"))</f>
        <v/>
      </c>
      <c r="F1751" s="4">
        <f>IF($K$1742="","",IF(설정!$B$31="","",설정!$B$31))</f>
        <v/>
      </c>
      <c r="G1751" s="31">
        <f>IF(OR($K$1742="",설정!$B$31=""),"",INDEX(직원목록!$AB$7:$AB$306,$K$1742))</f>
        <v/>
      </c>
      <c r="H1751" s="19" t="n"/>
    </row>
    <row r="1752">
      <c r="B1752" s="4">
        <f>IF($K$1742="","",IF(설정!$B$23="","",설정!$B$23))</f>
        <v/>
      </c>
      <c r="C1752" s="31">
        <f>IF(OR($K$1742="",설정!$B$23=""),"",INDEX(직원목록!$L$7:$L$306,$K$1742))</f>
        <v/>
      </c>
      <c r="D1752" s="32">
        <f>IF(OR($K$1742="",설정!$B$23=""),"",IF(N(INDEX(직원목록!$T$7:$T$306,$K$1742))=0,"",INDEX(직원목록!$T$7:$T$306,$K$1742)&amp;"시간"))</f>
        <v/>
      </c>
      <c r="F1752" s="4">
        <f>IF($K$1742="","",IF(설정!$B$32="","",설정!$B$32))</f>
        <v/>
      </c>
      <c r="G1752" s="31">
        <f>IF(OR($K$1742="",설정!$B$32=""),"",INDEX(직원목록!$AC$7:$AC$306,$K$1742))</f>
        <v/>
      </c>
      <c r="H1752" s="19" t="n"/>
    </row>
    <row r="1753">
      <c r="B1753" s="4">
        <f>IF($K$1742="","",IF(설정!$B$24="","",설정!$B$24))</f>
        <v/>
      </c>
      <c r="C1753" s="31">
        <f>IF(OR($K$1742="",설정!$B$24=""),"",INDEX(직원목록!$M$7:$M$306,$K$1742))</f>
        <v/>
      </c>
      <c r="D1753" s="32">
        <f>IF(OR($K$1742="",설정!$B$24=""),"",IF(N(INDEX(직원목록!$U$7:$U$306,$K$1742))=0,"",INDEX(직원목록!$U$7:$U$306,$K$1742)&amp;"시간"))</f>
        <v/>
      </c>
      <c r="F1753" s="4">
        <f>IF($K$1742="","",IF(설정!$B$33="","",설정!$B$33))</f>
        <v/>
      </c>
      <c r="G1753" s="31">
        <f>IF(OR($K$1742="",설정!$B$33=""),"",INDEX(직원목록!$AD$7:$AD$306,$K$1742))</f>
        <v/>
      </c>
      <c r="H1753" s="19" t="n"/>
    </row>
    <row r="1754">
      <c r="B1754" s="3" t="inlineStr">
        <is>
          <t>지급 합계</t>
        </is>
      </c>
      <c r="C1754" s="35">
        <f>IF($K$1742="","",INDEX(직원목록!$V$7:$V$306,$K$1742))</f>
        <v/>
      </c>
      <c r="D1754" s="36" t="n"/>
      <c r="F1754" s="3" t="inlineStr">
        <is>
          <t>공제 합계</t>
        </is>
      </c>
      <c r="G1754" s="35">
        <f>IF($K$1742="","",INDEX(직원목록!$AE$7:$AE$306,$K$1742))</f>
        <v/>
      </c>
      <c r="H1754" s="36" t="n"/>
    </row>
    <row r="1755" ht="28" customHeight="1">
      <c r="B1755" s="37" t="inlineStr">
        <is>
          <t>실 수령액 (지급 합계 − 공제 합계)</t>
        </is>
      </c>
      <c r="C1755" s="29" t="n"/>
      <c r="D1755" s="29" t="n"/>
      <c r="E1755" s="38">
        <f>IF($K$1742="","",INDEX(직원목록!$AF$7:$AF$306,$K$1742))</f>
        <v/>
      </c>
      <c r="F1755" s="29" t="n"/>
      <c r="G1755" s="29" t="n"/>
      <c r="H1755" s="29" t="n"/>
    </row>
    <row r="1756">
      <c r="B1756" s="39">
        <f>IF($K$1742="","",설정!$B$7)</f>
        <v/>
      </c>
    </row>
    <row r="1772" ht="30" customHeight="1">
      <c r="B1772" s="28">
        <f>IF($K$1772="","","임금명세서  ("&amp;설정!$B$5&amp;")")</f>
        <v/>
      </c>
      <c r="K1772" s="34">
        <f>IFERROR(MATCH(60,직원목록!$B$7:$B$306,0),"")</f>
        <v/>
      </c>
    </row>
    <row r="1773">
      <c r="B1773" s="7" t="inlineStr">
        <is>
          <t>회사명</t>
        </is>
      </c>
      <c r="C1773" s="21">
        <f>IF($K$1772="","",설정!$B$4)</f>
        <v/>
      </c>
      <c r="D1773" s="29" t="n"/>
      <c r="E1773" s="19" t="n"/>
      <c r="F1773" s="7" t="inlineStr">
        <is>
          <t>임금 지급일</t>
        </is>
      </c>
      <c r="G1773" s="21">
        <f>IF($K$1772="","",TEXT(설정!$B$6,"yyyy-mm-dd"))</f>
        <v/>
      </c>
      <c r="H1773" s="29" t="n"/>
    </row>
    <row r="1774">
      <c r="B1774" s="7" t="inlineStr">
        <is>
          <t>성명</t>
        </is>
      </c>
      <c r="C1774" s="22">
        <f>IF($K$1772="","",INDEX(직원목록!$D$7:$D$306,$K$1772))</f>
        <v/>
      </c>
      <c r="D1774" s="7" t="inlineStr">
        <is>
          <t>사번</t>
        </is>
      </c>
      <c r="E1774" s="21">
        <f>IF($K$1772="","",INDEX(직원목록!$C$7:$C$306,$K$1772))</f>
        <v/>
      </c>
      <c r="F1774" s="7" t="inlineStr">
        <is>
          <t>부서</t>
        </is>
      </c>
      <c r="G1774" s="21">
        <f>IF($K$1772="","",INDEX(직원목록!$E$7:$E$306,$K$1772))</f>
        <v/>
      </c>
      <c r="H1774" s="29" t="n"/>
    </row>
    <row r="1775">
      <c r="B1775" s="12" t="inlineStr">
        <is>
          <t>지급 항목</t>
        </is>
      </c>
      <c r="C1775" s="12" t="inlineStr">
        <is>
          <t>금액(원)</t>
        </is>
      </c>
      <c r="D1775" s="12" t="inlineStr">
        <is>
          <t>계산 근거</t>
        </is>
      </c>
      <c r="E1775" s="2" t="n"/>
      <c r="F1775" s="12" t="inlineStr">
        <is>
          <t>공제 항목</t>
        </is>
      </c>
      <c r="G1775" s="12" t="inlineStr">
        <is>
          <t>금액(원)</t>
        </is>
      </c>
      <c r="H1775" s="12" t="n"/>
    </row>
    <row r="1776">
      <c r="B1776" s="4">
        <f>IF($K$1772="","",IF(설정!$B$17="","",설정!$B$17))</f>
        <v/>
      </c>
      <c r="C1776" s="31">
        <f>IF(OR($K$1772="",설정!$B$17=""),"",INDEX(직원목록!$F$7:$F$306,$K$1772))</f>
        <v/>
      </c>
      <c r="D1776" s="32">
        <f>IF(OR($K$1772="",설정!$B$17=""),"",IF(N(INDEX(직원목록!$N$7:$N$306,$K$1772))=0,"",INDEX(직원목록!$N$7:$N$306,$K$1772)&amp;"시간"))</f>
        <v/>
      </c>
      <c r="F1776" s="4">
        <f>IF($K$1772="","",IF(설정!$B$26="","",설정!$B$26))</f>
        <v/>
      </c>
      <c r="G1776" s="31">
        <f>IF(OR($K$1772="",설정!$B$26=""),"",INDEX(직원목록!$W$7:$W$306,$K$1772))</f>
        <v/>
      </c>
      <c r="H1776" s="19" t="n"/>
    </row>
    <row r="1777">
      <c r="B1777" s="4">
        <f>IF($K$1772="","",IF(설정!$B$18="","",설정!$B$18))</f>
        <v/>
      </c>
      <c r="C1777" s="31">
        <f>IF(OR($K$1772="",설정!$B$18=""),"",INDEX(직원목록!$G$7:$G$306,$K$1772))</f>
        <v/>
      </c>
      <c r="D1777" s="32">
        <f>IF(OR($K$1772="",설정!$B$18=""),"",IF(N(INDEX(직원목록!$O$7:$O$306,$K$1772))=0,"",INDEX(직원목록!$O$7:$O$306,$K$1772)&amp;"시간"))</f>
        <v/>
      </c>
      <c r="F1777" s="4">
        <f>IF($K$1772="","",IF(설정!$B$27="","",설정!$B$27))</f>
        <v/>
      </c>
      <c r="G1777" s="31">
        <f>IF(OR($K$1772="",설정!$B$27=""),"",INDEX(직원목록!$X$7:$X$306,$K$1772))</f>
        <v/>
      </c>
      <c r="H1777" s="19" t="n"/>
    </row>
    <row r="1778">
      <c r="B1778" s="4">
        <f>IF($K$1772="","",IF(설정!$B$19="","",설정!$B$19))</f>
        <v/>
      </c>
      <c r="C1778" s="31">
        <f>IF(OR($K$1772="",설정!$B$19=""),"",INDEX(직원목록!$H$7:$H$306,$K$1772))</f>
        <v/>
      </c>
      <c r="D1778" s="32">
        <f>IF(OR($K$1772="",설정!$B$19=""),"",IF(N(INDEX(직원목록!$P$7:$P$306,$K$1772))=0,"",INDEX(직원목록!$P$7:$P$306,$K$1772)&amp;"시간"))</f>
        <v/>
      </c>
      <c r="F1778" s="4">
        <f>IF($K$1772="","",IF(설정!$B$28="","",설정!$B$28))</f>
        <v/>
      </c>
      <c r="G1778" s="31">
        <f>IF(OR($K$1772="",설정!$B$28=""),"",INDEX(직원목록!$Y$7:$Y$306,$K$1772))</f>
        <v/>
      </c>
      <c r="H1778" s="19" t="n"/>
    </row>
    <row r="1779">
      <c r="B1779" s="4">
        <f>IF($K$1772="","",IF(설정!$B$20="","",설정!$B$20))</f>
        <v/>
      </c>
      <c r="C1779" s="31">
        <f>IF(OR($K$1772="",설정!$B$20=""),"",INDEX(직원목록!$I$7:$I$306,$K$1772))</f>
        <v/>
      </c>
      <c r="D1779" s="32">
        <f>IF(OR($K$1772="",설정!$B$20=""),"",IF(N(INDEX(직원목록!$Q$7:$Q$306,$K$1772))=0,"",INDEX(직원목록!$Q$7:$Q$306,$K$1772)&amp;"시간"))</f>
        <v/>
      </c>
      <c r="F1779" s="4">
        <f>IF($K$1772="","",IF(설정!$B$29="","",설정!$B$29))</f>
        <v/>
      </c>
      <c r="G1779" s="31">
        <f>IF(OR($K$1772="",설정!$B$29=""),"",INDEX(직원목록!$Z$7:$Z$306,$K$1772))</f>
        <v/>
      </c>
      <c r="H1779" s="19" t="n"/>
    </row>
    <row r="1780">
      <c r="B1780" s="4">
        <f>IF($K$1772="","",IF(설정!$B$21="","",설정!$B$21))</f>
        <v/>
      </c>
      <c r="C1780" s="31">
        <f>IF(OR($K$1772="",설정!$B$21=""),"",INDEX(직원목록!$J$7:$J$306,$K$1772))</f>
        <v/>
      </c>
      <c r="D1780" s="32">
        <f>IF(OR($K$1772="",설정!$B$21=""),"",IF(N(INDEX(직원목록!$R$7:$R$306,$K$1772))=0,"",INDEX(직원목록!$R$7:$R$306,$K$1772)&amp;"시간"))</f>
        <v/>
      </c>
      <c r="F1780" s="4">
        <f>IF($K$1772="","",IF(설정!$B$30="","",설정!$B$30))</f>
        <v/>
      </c>
      <c r="G1780" s="31">
        <f>IF(OR($K$1772="",설정!$B$30=""),"",INDEX(직원목록!$AA$7:$AA$306,$K$1772))</f>
        <v/>
      </c>
      <c r="H1780" s="19" t="n"/>
    </row>
    <row r="1781">
      <c r="B1781" s="4">
        <f>IF($K$1772="","",IF(설정!$B$22="","",설정!$B$22))</f>
        <v/>
      </c>
      <c r="C1781" s="31">
        <f>IF(OR($K$1772="",설정!$B$22=""),"",INDEX(직원목록!$K$7:$K$306,$K$1772))</f>
        <v/>
      </c>
      <c r="D1781" s="32">
        <f>IF(OR($K$1772="",설정!$B$22=""),"",IF(N(INDEX(직원목록!$S$7:$S$306,$K$1772))=0,"",INDEX(직원목록!$S$7:$S$306,$K$1772)&amp;"시간"))</f>
        <v/>
      </c>
      <c r="F1781" s="4">
        <f>IF($K$1772="","",IF(설정!$B$31="","",설정!$B$31))</f>
        <v/>
      </c>
      <c r="G1781" s="31">
        <f>IF(OR($K$1772="",설정!$B$31=""),"",INDEX(직원목록!$AB$7:$AB$306,$K$1772))</f>
        <v/>
      </c>
      <c r="H1781" s="19" t="n"/>
    </row>
    <row r="1782">
      <c r="B1782" s="4">
        <f>IF($K$1772="","",IF(설정!$B$23="","",설정!$B$23))</f>
        <v/>
      </c>
      <c r="C1782" s="31">
        <f>IF(OR($K$1772="",설정!$B$23=""),"",INDEX(직원목록!$L$7:$L$306,$K$1772))</f>
        <v/>
      </c>
      <c r="D1782" s="32">
        <f>IF(OR($K$1772="",설정!$B$23=""),"",IF(N(INDEX(직원목록!$T$7:$T$306,$K$1772))=0,"",INDEX(직원목록!$T$7:$T$306,$K$1772)&amp;"시간"))</f>
        <v/>
      </c>
      <c r="F1782" s="4">
        <f>IF($K$1772="","",IF(설정!$B$32="","",설정!$B$32))</f>
        <v/>
      </c>
      <c r="G1782" s="31">
        <f>IF(OR($K$1772="",설정!$B$32=""),"",INDEX(직원목록!$AC$7:$AC$306,$K$1772))</f>
        <v/>
      </c>
      <c r="H1782" s="19" t="n"/>
    </row>
    <row r="1783">
      <c r="B1783" s="4">
        <f>IF($K$1772="","",IF(설정!$B$24="","",설정!$B$24))</f>
        <v/>
      </c>
      <c r="C1783" s="31">
        <f>IF(OR($K$1772="",설정!$B$24=""),"",INDEX(직원목록!$M$7:$M$306,$K$1772))</f>
        <v/>
      </c>
      <c r="D1783" s="32">
        <f>IF(OR($K$1772="",설정!$B$24=""),"",IF(N(INDEX(직원목록!$U$7:$U$306,$K$1772))=0,"",INDEX(직원목록!$U$7:$U$306,$K$1772)&amp;"시간"))</f>
        <v/>
      </c>
      <c r="F1783" s="4">
        <f>IF($K$1772="","",IF(설정!$B$33="","",설정!$B$33))</f>
        <v/>
      </c>
      <c r="G1783" s="31">
        <f>IF(OR($K$1772="",설정!$B$33=""),"",INDEX(직원목록!$AD$7:$AD$306,$K$1772))</f>
        <v/>
      </c>
      <c r="H1783" s="19" t="n"/>
    </row>
    <row r="1784">
      <c r="B1784" s="3" t="inlineStr">
        <is>
          <t>지급 합계</t>
        </is>
      </c>
      <c r="C1784" s="35">
        <f>IF($K$1772="","",INDEX(직원목록!$V$7:$V$306,$K$1772))</f>
        <v/>
      </c>
      <c r="D1784" s="36" t="n"/>
      <c r="F1784" s="3" t="inlineStr">
        <is>
          <t>공제 합계</t>
        </is>
      </c>
      <c r="G1784" s="35">
        <f>IF($K$1772="","",INDEX(직원목록!$AE$7:$AE$306,$K$1772))</f>
        <v/>
      </c>
      <c r="H1784" s="36" t="n"/>
    </row>
    <row r="1785" ht="28" customHeight="1">
      <c r="B1785" s="37" t="inlineStr">
        <is>
          <t>실 수령액 (지급 합계 − 공제 합계)</t>
        </is>
      </c>
      <c r="C1785" s="29" t="n"/>
      <c r="D1785" s="29" t="n"/>
      <c r="E1785" s="38">
        <f>IF($K$1772="","",INDEX(직원목록!$AF$7:$AF$306,$K$1772))</f>
        <v/>
      </c>
      <c r="F1785" s="29" t="n"/>
      <c r="G1785" s="29" t="n"/>
      <c r="H1785" s="29" t="n"/>
    </row>
    <row r="1786">
      <c r="B1786" s="39">
        <f>IF($K$1772="","",설정!$B$7)</f>
        <v/>
      </c>
    </row>
    <row r="1802" ht="30" customHeight="1">
      <c r="B1802" s="28">
        <f>IF($K$1802="","","임금명세서  ("&amp;설정!$B$5&amp;")")</f>
        <v/>
      </c>
      <c r="K1802" s="34">
        <f>IFERROR(MATCH(61,직원목록!$B$7:$B$306,0),"")</f>
        <v/>
      </c>
    </row>
    <row r="1803">
      <c r="B1803" s="7" t="inlineStr">
        <is>
          <t>회사명</t>
        </is>
      </c>
      <c r="C1803" s="21">
        <f>IF($K$1802="","",설정!$B$4)</f>
        <v/>
      </c>
      <c r="D1803" s="29" t="n"/>
      <c r="E1803" s="19" t="n"/>
      <c r="F1803" s="7" t="inlineStr">
        <is>
          <t>임금 지급일</t>
        </is>
      </c>
      <c r="G1803" s="21">
        <f>IF($K$1802="","",TEXT(설정!$B$6,"yyyy-mm-dd"))</f>
        <v/>
      </c>
      <c r="H1803" s="29" t="n"/>
    </row>
    <row r="1804">
      <c r="B1804" s="7" t="inlineStr">
        <is>
          <t>성명</t>
        </is>
      </c>
      <c r="C1804" s="22">
        <f>IF($K$1802="","",INDEX(직원목록!$D$7:$D$306,$K$1802))</f>
        <v/>
      </c>
      <c r="D1804" s="7" t="inlineStr">
        <is>
          <t>사번</t>
        </is>
      </c>
      <c r="E1804" s="21">
        <f>IF($K$1802="","",INDEX(직원목록!$C$7:$C$306,$K$1802))</f>
        <v/>
      </c>
      <c r="F1804" s="7" t="inlineStr">
        <is>
          <t>부서</t>
        </is>
      </c>
      <c r="G1804" s="21">
        <f>IF($K$1802="","",INDEX(직원목록!$E$7:$E$306,$K$1802))</f>
        <v/>
      </c>
      <c r="H1804" s="29" t="n"/>
    </row>
    <row r="1805">
      <c r="B1805" s="12" t="inlineStr">
        <is>
          <t>지급 항목</t>
        </is>
      </c>
      <c r="C1805" s="12" t="inlineStr">
        <is>
          <t>금액(원)</t>
        </is>
      </c>
      <c r="D1805" s="12" t="inlineStr">
        <is>
          <t>계산 근거</t>
        </is>
      </c>
      <c r="E1805" s="2" t="n"/>
      <c r="F1805" s="12" t="inlineStr">
        <is>
          <t>공제 항목</t>
        </is>
      </c>
      <c r="G1805" s="12" t="inlineStr">
        <is>
          <t>금액(원)</t>
        </is>
      </c>
      <c r="H1805" s="12" t="n"/>
    </row>
    <row r="1806">
      <c r="B1806" s="4">
        <f>IF($K$1802="","",IF(설정!$B$17="","",설정!$B$17))</f>
        <v/>
      </c>
      <c r="C1806" s="31">
        <f>IF(OR($K$1802="",설정!$B$17=""),"",INDEX(직원목록!$F$7:$F$306,$K$1802))</f>
        <v/>
      </c>
      <c r="D1806" s="32">
        <f>IF(OR($K$1802="",설정!$B$17=""),"",IF(N(INDEX(직원목록!$N$7:$N$306,$K$1802))=0,"",INDEX(직원목록!$N$7:$N$306,$K$1802)&amp;"시간"))</f>
        <v/>
      </c>
      <c r="F1806" s="4">
        <f>IF($K$1802="","",IF(설정!$B$26="","",설정!$B$26))</f>
        <v/>
      </c>
      <c r="G1806" s="31">
        <f>IF(OR($K$1802="",설정!$B$26=""),"",INDEX(직원목록!$W$7:$W$306,$K$1802))</f>
        <v/>
      </c>
      <c r="H1806" s="19" t="n"/>
    </row>
    <row r="1807">
      <c r="B1807" s="4">
        <f>IF($K$1802="","",IF(설정!$B$18="","",설정!$B$18))</f>
        <v/>
      </c>
      <c r="C1807" s="31">
        <f>IF(OR($K$1802="",설정!$B$18=""),"",INDEX(직원목록!$G$7:$G$306,$K$1802))</f>
        <v/>
      </c>
      <c r="D1807" s="32">
        <f>IF(OR($K$1802="",설정!$B$18=""),"",IF(N(INDEX(직원목록!$O$7:$O$306,$K$1802))=0,"",INDEX(직원목록!$O$7:$O$306,$K$1802)&amp;"시간"))</f>
        <v/>
      </c>
      <c r="F1807" s="4">
        <f>IF($K$1802="","",IF(설정!$B$27="","",설정!$B$27))</f>
        <v/>
      </c>
      <c r="G1807" s="31">
        <f>IF(OR($K$1802="",설정!$B$27=""),"",INDEX(직원목록!$X$7:$X$306,$K$1802))</f>
        <v/>
      </c>
      <c r="H1807" s="19" t="n"/>
    </row>
    <row r="1808">
      <c r="B1808" s="4">
        <f>IF($K$1802="","",IF(설정!$B$19="","",설정!$B$19))</f>
        <v/>
      </c>
      <c r="C1808" s="31">
        <f>IF(OR($K$1802="",설정!$B$19=""),"",INDEX(직원목록!$H$7:$H$306,$K$1802))</f>
        <v/>
      </c>
      <c r="D1808" s="32">
        <f>IF(OR($K$1802="",설정!$B$19=""),"",IF(N(INDEX(직원목록!$P$7:$P$306,$K$1802))=0,"",INDEX(직원목록!$P$7:$P$306,$K$1802)&amp;"시간"))</f>
        <v/>
      </c>
      <c r="F1808" s="4">
        <f>IF($K$1802="","",IF(설정!$B$28="","",설정!$B$28))</f>
        <v/>
      </c>
      <c r="G1808" s="31">
        <f>IF(OR($K$1802="",설정!$B$28=""),"",INDEX(직원목록!$Y$7:$Y$306,$K$1802))</f>
        <v/>
      </c>
      <c r="H1808" s="19" t="n"/>
    </row>
    <row r="1809">
      <c r="B1809" s="4">
        <f>IF($K$1802="","",IF(설정!$B$20="","",설정!$B$20))</f>
        <v/>
      </c>
      <c r="C1809" s="31">
        <f>IF(OR($K$1802="",설정!$B$20=""),"",INDEX(직원목록!$I$7:$I$306,$K$1802))</f>
        <v/>
      </c>
      <c r="D1809" s="32">
        <f>IF(OR($K$1802="",설정!$B$20=""),"",IF(N(INDEX(직원목록!$Q$7:$Q$306,$K$1802))=0,"",INDEX(직원목록!$Q$7:$Q$306,$K$1802)&amp;"시간"))</f>
        <v/>
      </c>
      <c r="F1809" s="4">
        <f>IF($K$1802="","",IF(설정!$B$29="","",설정!$B$29))</f>
        <v/>
      </c>
      <c r="G1809" s="31">
        <f>IF(OR($K$1802="",설정!$B$29=""),"",INDEX(직원목록!$Z$7:$Z$306,$K$1802))</f>
        <v/>
      </c>
      <c r="H1809" s="19" t="n"/>
    </row>
    <row r="1810">
      <c r="B1810" s="4">
        <f>IF($K$1802="","",IF(설정!$B$21="","",설정!$B$21))</f>
        <v/>
      </c>
      <c r="C1810" s="31">
        <f>IF(OR($K$1802="",설정!$B$21=""),"",INDEX(직원목록!$J$7:$J$306,$K$1802))</f>
        <v/>
      </c>
      <c r="D1810" s="32">
        <f>IF(OR($K$1802="",설정!$B$21=""),"",IF(N(INDEX(직원목록!$R$7:$R$306,$K$1802))=0,"",INDEX(직원목록!$R$7:$R$306,$K$1802)&amp;"시간"))</f>
        <v/>
      </c>
      <c r="F1810" s="4">
        <f>IF($K$1802="","",IF(설정!$B$30="","",설정!$B$30))</f>
        <v/>
      </c>
      <c r="G1810" s="31">
        <f>IF(OR($K$1802="",설정!$B$30=""),"",INDEX(직원목록!$AA$7:$AA$306,$K$1802))</f>
        <v/>
      </c>
      <c r="H1810" s="19" t="n"/>
    </row>
    <row r="1811">
      <c r="B1811" s="4">
        <f>IF($K$1802="","",IF(설정!$B$22="","",설정!$B$22))</f>
        <v/>
      </c>
      <c r="C1811" s="31">
        <f>IF(OR($K$1802="",설정!$B$22=""),"",INDEX(직원목록!$K$7:$K$306,$K$1802))</f>
        <v/>
      </c>
      <c r="D1811" s="32">
        <f>IF(OR($K$1802="",설정!$B$22=""),"",IF(N(INDEX(직원목록!$S$7:$S$306,$K$1802))=0,"",INDEX(직원목록!$S$7:$S$306,$K$1802)&amp;"시간"))</f>
        <v/>
      </c>
      <c r="F1811" s="4">
        <f>IF($K$1802="","",IF(설정!$B$31="","",설정!$B$31))</f>
        <v/>
      </c>
      <c r="G1811" s="31">
        <f>IF(OR($K$1802="",설정!$B$31=""),"",INDEX(직원목록!$AB$7:$AB$306,$K$1802))</f>
        <v/>
      </c>
      <c r="H1811" s="19" t="n"/>
    </row>
    <row r="1812">
      <c r="B1812" s="4">
        <f>IF($K$1802="","",IF(설정!$B$23="","",설정!$B$23))</f>
        <v/>
      </c>
      <c r="C1812" s="31">
        <f>IF(OR($K$1802="",설정!$B$23=""),"",INDEX(직원목록!$L$7:$L$306,$K$1802))</f>
        <v/>
      </c>
      <c r="D1812" s="32">
        <f>IF(OR($K$1802="",설정!$B$23=""),"",IF(N(INDEX(직원목록!$T$7:$T$306,$K$1802))=0,"",INDEX(직원목록!$T$7:$T$306,$K$1802)&amp;"시간"))</f>
        <v/>
      </c>
      <c r="F1812" s="4">
        <f>IF($K$1802="","",IF(설정!$B$32="","",설정!$B$32))</f>
        <v/>
      </c>
      <c r="G1812" s="31">
        <f>IF(OR($K$1802="",설정!$B$32=""),"",INDEX(직원목록!$AC$7:$AC$306,$K$1802))</f>
        <v/>
      </c>
      <c r="H1812" s="19" t="n"/>
    </row>
    <row r="1813">
      <c r="B1813" s="4">
        <f>IF($K$1802="","",IF(설정!$B$24="","",설정!$B$24))</f>
        <v/>
      </c>
      <c r="C1813" s="31">
        <f>IF(OR($K$1802="",설정!$B$24=""),"",INDEX(직원목록!$M$7:$M$306,$K$1802))</f>
        <v/>
      </c>
      <c r="D1813" s="32">
        <f>IF(OR($K$1802="",설정!$B$24=""),"",IF(N(INDEX(직원목록!$U$7:$U$306,$K$1802))=0,"",INDEX(직원목록!$U$7:$U$306,$K$1802)&amp;"시간"))</f>
        <v/>
      </c>
      <c r="F1813" s="4">
        <f>IF($K$1802="","",IF(설정!$B$33="","",설정!$B$33))</f>
        <v/>
      </c>
      <c r="G1813" s="31">
        <f>IF(OR($K$1802="",설정!$B$33=""),"",INDEX(직원목록!$AD$7:$AD$306,$K$1802))</f>
        <v/>
      </c>
      <c r="H1813" s="19" t="n"/>
    </row>
    <row r="1814">
      <c r="B1814" s="3" t="inlineStr">
        <is>
          <t>지급 합계</t>
        </is>
      </c>
      <c r="C1814" s="35">
        <f>IF($K$1802="","",INDEX(직원목록!$V$7:$V$306,$K$1802))</f>
        <v/>
      </c>
      <c r="D1814" s="36" t="n"/>
      <c r="F1814" s="3" t="inlineStr">
        <is>
          <t>공제 합계</t>
        </is>
      </c>
      <c r="G1814" s="35">
        <f>IF($K$1802="","",INDEX(직원목록!$AE$7:$AE$306,$K$1802))</f>
        <v/>
      </c>
      <c r="H1814" s="36" t="n"/>
    </row>
    <row r="1815" ht="28" customHeight="1">
      <c r="B1815" s="37" t="inlineStr">
        <is>
          <t>실 수령액 (지급 합계 − 공제 합계)</t>
        </is>
      </c>
      <c r="C1815" s="29" t="n"/>
      <c r="D1815" s="29" t="n"/>
      <c r="E1815" s="38">
        <f>IF($K$1802="","",INDEX(직원목록!$AF$7:$AF$306,$K$1802))</f>
        <v/>
      </c>
      <c r="F1815" s="29" t="n"/>
      <c r="G1815" s="29" t="n"/>
      <c r="H1815" s="29" t="n"/>
    </row>
    <row r="1816">
      <c r="B1816" s="39">
        <f>IF($K$1802="","",설정!$B$7)</f>
        <v/>
      </c>
    </row>
    <row r="1832" ht="30" customHeight="1">
      <c r="B1832" s="28">
        <f>IF($K$1832="","","임금명세서  ("&amp;설정!$B$5&amp;")")</f>
        <v/>
      </c>
      <c r="K1832" s="34">
        <f>IFERROR(MATCH(62,직원목록!$B$7:$B$306,0),"")</f>
        <v/>
      </c>
    </row>
    <row r="1833">
      <c r="B1833" s="7" t="inlineStr">
        <is>
          <t>회사명</t>
        </is>
      </c>
      <c r="C1833" s="21">
        <f>IF($K$1832="","",설정!$B$4)</f>
        <v/>
      </c>
      <c r="D1833" s="29" t="n"/>
      <c r="E1833" s="19" t="n"/>
      <c r="F1833" s="7" t="inlineStr">
        <is>
          <t>임금 지급일</t>
        </is>
      </c>
      <c r="G1833" s="21">
        <f>IF($K$1832="","",TEXT(설정!$B$6,"yyyy-mm-dd"))</f>
        <v/>
      </c>
      <c r="H1833" s="29" t="n"/>
    </row>
    <row r="1834">
      <c r="B1834" s="7" t="inlineStr">
        <is>
          <t>성명</t>
        </is>
      </c>
      <c r="C1834" s="22">
        <f>IF($K$1832="","",INDEX(직원목록!$D$7:$D$306,$K$1832))</f>
        <v/>
      </c>
      <c r="D1834" s="7" t="inlineStr">
        <is>
          <t>사번</t>
        </is>
      </c>
      <c r="E1834" s="21">
        <f>IF($K$1832="","",INDEX(직원목록!$C$7:$C$306,$K$1832))</f>
        <v/>
      </c>
      <c r="F1834" s="7" t="inlineStr">
        <is>
          <t>부서</t>
        </is>
      </c>
      <c r="G1834" s="21">
        <f>IF($K$1832="","",INDEX(직원목록!$E$7:$E$306,$K$1832))</f>
        <v/>
      </c>
      <c r="H1834" s="29" t="n"/>
    </row>
    <row r="1835">
      <c r="B1835" s="12" t="inlineStr">
        <is>
          <t>지급 항목</t>
        </is>
      </c>
      <c r="C1835" s="12" t="inlineStr">
        <is>
          <t>금액(원)</t>
        </is>
      </c>
      <c r="D1835" s="12" t="inlineStr">
        <is>
          <t>계산 근거</t>
        </is>
      </c>
      <c r="E1835" s="2" t="n"/>
      <c r="F1835" s="12" t="inlineStr">
        <is>
          <t>공제 항목</t>
        </is>
      </c>
      <c r="G1835" s="12" t="inlineStr">
        <is>
          <t>금액(원)</t>
        </is>
      </c>
      <c r="H1835" s="12" t="n"/>
    </row>
    <row r="1836">
      <c r="B1836" s="4">
        <f>IF($K$1832="","",IF(설정!$B$17="","",설정!$B$17))</f>
        <v/>
      </c>
      <c r="C1836" s="31">
        <f>IF(OR($K$1832="",설정!$B$17=""),"",INDEX(직원목록!$F$7:$F$306,$K$1832))</f>
        <v/>
      </c>
      <c r="D1836" s="32">
        <f>IF(OR($K$1832="",설정!$B$17=""),"",IF(N(INDEX(직원목록!$N$7:$N$306,$K$1832))=0,"",INDEX(직원목록!$N$7:$N$306,$K$1832)&amp;"시간"))</f>
        <v/>
      </c>
      <c r="F1836" s="4">
        <f>IF($K$1832="","",IF(설정!$B$26="","",설정!$B$26))</f>
        <v/>
      </c>
      <c r="G1836" s="31">
        <f>IF(OR($K$1832="",설정!$B$26=""),"",INDEX(직원목록!$W$7:$W$306,$K$1832))</f>
        <v/>
      </c>
      <c r="H1836" s="19" t="n"/>
    </row>
    <row r="1837">
      <c r="B1837" s="4">
        <f>IF($K$1832="","",IF(설정!$B$18="","",설정!$B$18))</f>
        <v/>
      </c>
      <c r="C1837" s="31">
        <f>IF(OR($K$1832="",설정!$B$18=""),"",INDEX(직원목록!$G$7:$G$306,$K$1832))</f>
        <v/>
      </c>
      <c r="D1837" s="32">
        <f>IF(OR($K$1832="",설정!$B$18=""),"",IF(N(INDEX(직원목록!$O$7:$O$306,$K$1832))=0,"",INDEX(직원목록!$O$7:$O$306,$K$1832)&amp;"시간"))</f>
        <v/>
      </c>
      <c r="F1837" s="4">
        <f>IF($K$1832="","",IF(설정!$B$27="","",설정!$B$27))</f>
        <v/>
      </c>
      <c r="G1837" s="31">
        <f>IF(OR($K$1832="",설정!$B$27=""),"",INDEX(직원목록!$X$7:$X$306,$K$1832))</f>
        <v/>
      </c>
      <c r="H1837" s="19" t="n"/>
    </row>
    <row r="1838">
      <c r="B1838" s="4">
        <f>IF($K$1832="","",IF(설정!$B$19="","",설정!$B$19))</f>
        <v/>
      </c>
      <c r="C1838" s="31">
        <f>IF(OR($K$1832="",설정!$B$19=""),"",INDEX(직원목록!$H$7:$H$306,$K$1832))</f>
        <v/>
      </c>
      <c r="D1838" s="32">
        <f>IF(OR($K$1832="",설정!$B$19=""),"",IF(N(INDEX(직원목록!$P$7:$P$306,$K$1832))=0,"",INDEX(직원목록!$P$7:$P$306,$K$1832)&amp;"시간"))</f>
        <v/>
      </c>
      <c r="F1838" s="4">
        <f>IF($K$1832="","",IF(설정!$B$28="","",설정!$B$28))</f>
        <v/>
      </c>
      <c r="G1838" s="31">
        <f>IF(OR($K$1832="",설정!$B$28=""),"",INDEX(직원목록!$Y$7:$Y$306,$K$1832))</f>
        <v/>
      </c>
      <c r="H1838" s="19" t="n"/>
    </row>
    <row r="1839">
      <c r="B1839" s="4">
        <f>IF($K$1832="","",IF(설정!$B$20="","",설정!$B$20))</f>
        <v/>
      </c>
      <c r="C1839" s="31">
        <f>IF(OR($K$1832="",설정!$B$20=""),"",INDEX(직원목록!$I$7:$I$306,$K$1832))</f>
        <v/>
      </c>
      <c r="D1839" s="32">
        <f>IF(OR($K$1832="",설정!$B$20=""),"",IF(N(INDEX(직원목록!$Q$7:$Q$306,$K$1832))=0,"",INDEX(직원목록!$Q$7:$Q$306,$K$1832)&amp;"시간"))</f>
        <v/>
      </c>
      <c r="F1839" s="4">
        <f>IF($K$1832="","",IF(설정!$B$29="","",설정!$B$29))</f>
        <v/>
      </c>
      <c r="G1839" s="31">
        <f>IF(OR($K$1832="",설정!$B$29=""),"",INDEX(직원목록!$Z$7:$Z$306,$K$1832))</f>
        <v/>
      </c>
      <c r="H1839" s="19" t="n"/>
    </row>
    <row r="1840">
      <c r="B1840" s="4">
        <f>IF($K$1832="","",IF(설정!$B$21="","",설정!$B$21))</f>
        <v/>
      </c>
      <c r="C1840" s="31">
        <f>IF(OR($K$1832="",설정!$B$21=""),"",INDEX(직원목록!$J$7:$J$306,$K$1832))</f>
        <v/>
      </c>
      <c r="D1840" s="32">
        <f>IF(OR($K$1832="",설정!$B$21=""),"",IF(N(INDEX(직원목록!$R$7:$R$306,$K$1832))=0,"",INDEX(직원목록!$R$7:$R$306,$K$1832)&amp;"시간"))</f>
        <v/>
      </c>
      <c r="F1840" s="4">
        <f>IF($K$1832="","",IF(설정!$B$30="","",설정!$B$30))</f>
        <v/>
      </c>
      <c r="G1840" s="31">
        <f>IF(OR($K$1832="",설정!$B$30=""),"",INDEX(직원목록!$AA$7:$AA$306,$K$1832))</f>
        <v/>
      </c>
      <c r="H1840" s="19" t="n"/>
    </row>
    <row r="1841">
      <c r="B1841" s="4">
        <f>IF($K$1832="","",IF(설정!$B$22="","",설정!$B$22))</f>
        <v/>
      </c>
      <c r="C1841" s="31">
        <f>IF(OR($K$1832="",설정!$B$22=""),"",INDEX(직원목록!$K$7:$K$306,$K$1832))</f>
        <v/>
      </c>
      <c r="D1841" s="32">
        <f>IF(OR($K$1832="",설정!$B$22=""),"",IF(N(INDEX(직원목록!$S$7:$S$306,$K$1832))=0,"",INDEX(직원목록!$S$7:$S$306,$K$1832)&amp;"시간"))</f>
        <v/>
      </c>
      <c r="F1841" s="4">
        <f>IF($K$1832="","",IF(설정!$B$31="","",설정!$B$31))</f>
        <v/>
      </c>
      <c r="G1841" s="31">
        <f>IF(OR($K$1832="",설정!$B$31=""),"",INDEX(직원목록!$AB$7:$AB$306,$K$1832))</f>
        <v/>
      </c>
      <c r="H1841" s="19" t="n"/>
    </row>
    <row r="1842">
      <c r="B1842" s="4">
        <f>IF($K$1832="","",IF(설정!$B$23="","",설정!$B$23))</f>
        <v/>
      </c>
      <c r="C1842" s="31">
        <f>IF(OR($K$1832="",설정!$B$23=""),"",INDEX(직원목록!$L$7:$L$306,$K$1832))</f>
        <v/>
      </c>
      <c r="D1842" s="32">
        <f>IF(OR($K$1832="",설정!$B$23=""),"",IF(N(INDEX(직원목록!$T$7:$T$306,$K$1832))=0,"",INDEX(직원목록!$T$7:$T$306,$K$1832)&amp;"시간"))</f>
        <v/>
      </c>
      <c r="F1842" s="4">
        <f>IF($K$1832="","",IF(설정!$B$32="","",설정!$B$32))</f>
        <v/>
      </c>
      <c r="G1842" s="31">
        <f>IF(OR($K$1832="",설정!$B$32=""),"",INDEX(직원목록!$AC$7:$AC$306,$K$1832))</f>
        <v/>
      </c>
      <c r="H1842" s="19" t="n"/>
    </row>
    <row r="1843">
      <c r="B1843" s="4">
        <f>IF($K$1832="","",IF(설정!$B$24="","",설정!$B$24))</f>
        <v/>
      </c>
      <c r="C1843" s="31">
        <f>IF(OR($K$1832="",설정!$B$24=""),"",INDEX(직원목록!$M$7:$M$306,$K$1832))</f>
        <v/>
      </c>
      <c r="D1843" s="32">
        <f>IF(OR($K$1832="",설정!$B$24=""),"",IF(N(INDEX(직원목록!$U$7:$U$306,$K$1832))=0,"",INDEX(직원목록!$U$7:$U$306,$K$1832)&amp;"시간"))</f>
        <v/>
      </c>
      <c r="F1843" s="4">
        <f>IF($K$1832="","",IF(설정!$B$33="","",설정!$B$33))</f>
        <v/>
      </c>
      <c r="G1843" s="31">
        <f>IF(OR($K$1832="",설정!$B$33=""),"",INDEX(직원목록!$AD$7:$AD$306,$K$1832))</f>
        <v/>
      </c>
      <c r="H1843" s="19" t="n"/>
    </row>
    <row r="1844">
      <c r="B1844" s="3" t="inlineStr">
        <is>
          <t>지급 합계</t>
        </is>
      </c>
      <c r="C1844" s="35">
        <f>IF($K$1832="","",INDEX(직원목록!$V$7:$V$306,$K$1832))</f>
        <v/>
      </c>
      <c r="D1844" s="36" t="n"/>
      <c r="F1844" s="3" t="inlineStr">
        <is>
          <t>공제 합계</t>
        </is>
      </c>
      <c r="G1844" s="35">
        <f>IF($K$1832="","",INDEX(직원목록!$AE$7:$AE$306,$K$1832))</f>
        <v/>
      </c>
      <c r="H1844" s="36" t="n"/>
    </row>
    <row r="1845" ht="28" customHeight="1">
      <c r="B1845" s="37" t="inlineStr">
        <is>
          <t>실 수령액 (지급 합계 − 공제 합계)</t>
        </is>
      </c>
      <c r="C1845" s="29" t="n"/>
      <c r="D1845" s="29" t="n"/>
      <c r="E1845" s="38">
        <f>IF($K$1832="","",INDEX(직원목록!$AF$7:$AF$306,$K$1832))</f>
        <v/>
      </c>
      <c r="F1845" s="29" t="n"/>
      <c r="G1845" s="29" t="n"/>
      <c r="H1845" s="29" t="n"/>
    </row>
    <row r="1846">
      <c r="B1846" s="39">
        <f>IF($K$1832="","",설정!$B$7)</f>
        <v/>
      </c>
    </row>
    <row r="1862" ht="30" customHeight="1">
      <c r="B1862" s="28">
        <f>IF($K$1862="","","임금명세서  ("&amp;설정!$B$5&amp;")")</f>
        <v/>
      </c>
      <c r="K1862" s="34">
        <f>IFERROR(MATCH(63,직원목록!$B$7:$B$306,0),"")</f>
        <v/>
      </c>
    </row>
    <row r="1863">
      <c r="B1863" s="7" t="inlineStr">
        <is>
          <t>회사명</t>
        </is>
      </c>
      <c r="C1863" s="21">
        <f>IF($K$1862="","",설정!$B$4)</f>
        <v/>
      </c>
      <c r="D1863" s="29" t="n"/>
      <c r="E1863" s="19" t="n"/>
      <c r="F1863" s="7" t="inlineStr">
        <is>
          <t>임금 지급일</t>
        </is>
      </c>
      <c r="G1863" s="21">
        <f>IF($K$1862="","",TEXT(설정!$B$6,"yyyy-mm-dd"))</f>
        <v/>
      </c>
      <c r="H1863" s="29" t="n"/>
    </row>
    <row r="1864">
      <c r="B1864" s="7" t="inlineStr">
        <is>
          <t>성명</t>
        </is>
      </c>
      <c r="C1864" s="22">
        <f>IF($K$1862="","",INDEX(직원목록!$D$7:$D$306,$K$1862))</f>
        <v/>
      </c>
      <c r="D1864" s="7" t="inlineStr">
        <is>
          <t>사번</t>
        </is>
      </c>
      <c r="E1864" s="21">
        <f>IF($K$1862="","",INDEX(직원목록!$C$7:$C$306,$K$1862))</f>
        <v/>
      </c>
      <c r="F1864" s="7" t="inlineStr">
        <is>
          <t>부서</t>
        </is>
      </c>
      <c r="G1864" s="21">
        <f>IF($K$1862="","",INDEX(직원목록!$E$7:$E$306,$K$1862))</f>
        <v/>
      </c>
      <c r="H1864" s="29" t="n"/>
    </row>
    <row r="1865">
      <c r="B1865" s="12" t="inlineStr">
        <is>
          <t>지급 항목</t>
        </is>
      </c>
      <c r="C1865" s="12" t="inlineStr">
        <is>
          <t>금액(원)</t>
        </is>
      </c>
      <c r="D1865" s="12" t="inlineStr">
        <is>
          <t>계산 근거</t>
        </is>
      </c>
      <c r="E1865" s="2" t="n"/>
      <c r="F1865" s="12" t="inlineStr">
        <is>
          <t>공제 항목</t>
        </is>
      </c>
      <c r="G1865" s="12" t="inlineStr">
        <is>
          <t>금액(원)</t>
        </is>
      </c>
      <c r="H1865" s="12" t="n"/>
    </row>
    <row r="1866">
      <c r="B1866" s="4">
        <f>IF($K$1862="","",IF(설정!$B$17="","",설정!$B$17))</f>
        <v/>
      </c>
      <c r="C1866" s="31">
        <f>IF(OR($K$1862="",설정!$B$17=""),"",INDEX(직원목록!$F$7:$F$306,$K$1862))</f>
        <v/>
      </c>
      <c r="D1866" s="32">
        <f>IF(OR($K$1862="",설정!$B$17=""),"",IF(N(INDEX(직원목록!$N$7:$N$306,$K$1862))=0,"",INDEX(직원목록!$N$7:$N$306,$K$1862)&amp;"시간"))</f>
        <v/>
      </c>
      <c r="F1866" s="4">
        <f>IF($K$1862="","",IF(설정!$B$26="","",설정!$B$26))</f>
        <v/>
      </c>
      <c r="G1866" s="31">
        <f>IF(OR($K$1862="",설정!$B$26=""),"",INDEX(직원목록!$W$7:$W$306,$K$1862))</f>
        <v/>
      </c>
      <c r="H1866" s="19" t="n"/>
    </row>
    <row r="1867">
      <c r="B1867" s="4">
        <f>IF($K$1862="","",IF(설정!$B$18="","",설정!$B$18))</f>
        <v/>
      </c>
      <c r="C1867" s="31">
        <f>IF(OR($K$1862="",설정!$B$18=""),"",INDEX(직원목록!$G$7:$G$306,$K$1862))</f>
        <v/>
      </c>
      <c r="D1867" s="32">
        <f>IF(OR($K$1862="",설정!$B$18=""),"",IF(N(INDEX(직원목록!$O$7:$O$306,$K$1862))=0,"",INDEX(직원목록!$O$7:$O$306,$K$1862)&amp;"시간"))</f>
        <v/>
      </c>
      <c r="F1867" s="4">
        <f>IF($K$1862="","",IF(설정!$B$27="","",설정!$B$27))</f>
        <v/>
      </c>
      <c r="G1867" s="31">
        <f>IF(OR($K$1862="",설정!$B$27=""),"",INDEX(직원목록!$X$7:$X$306,$K$1862))</f>
        <v/>
      </c>
      <c r="H1867" s="19" t="n"/>
    </row>
    <row r="1868">
      <c r="B1868" s="4">
        <f>IF($K$1862="","",IF(설정!$B$19="","",설정!$B$19))</f>
        <v/>
      </c>
      <c r="C1868" s="31">
        <f>IF(OR($K$1862="",설정!$B$19=""),"",INDEX(직원목록!$H$7:$H$306,$K$1862))</f>
        <v/>
      </c>
      <c r="D1868" s="32">
        <f>IF(OR($K$1862="",설정!$B$19=""),"",IF(N(INDEX(직원목록!$P$7:$P$306,$K$1862))=0,"",INDEX(직원목록!$P$7:$P$306,$K$1862)&amp;"시간"))</f>
        <v/>
      </c>
      <c r="F1868" s="4">
        <f>IF($K$1862="","",IF(설정!$B$28="","",설정!$B$28))</f>
        <v/>
      </c>
      <c r="G1868" s="31">
        <f>IF(OR($K$1862="",설정!$B$28=""),"",INDEX(직원목록!$Y$7:$Y$306,$K$1862))</f>
        <v/>
      </c>
      <c r="H1868" s="19" t="n"/>
    </row>
    <row r="1869">
      <c r="B1869" s="4">
        <f>IF($K$1862="","",IF(설정!$B$20="","",설정!$B$20))</f>
        <v/>
      </c>
      <c r="C1869" s="31">
        <f>IF(OR($K$1862="",설정!$B$20=""),"",INDEX(직원목록!$I$7:$I$306,$K$1862))</f>
        <v/>
      </c>
      <c r="D1869" s="32">
        <f>IF(OR($K$1862="",설정!$B$20=""),"",IF(N(INDEX(직원목록!$Q$7:$Q$306,$K$1862))=0,"",INDEX(직원목록!$Q$7:$Q$306,$K$1862)&amp;"시간"))</f>
        <v/>
      </c>
      <c r="F1869" s="4">
        <f>IF($K$1862="","",IF(설정!$B$29="","",설정!$B$29))</f>
        <v/>
      </c>
      <c r="G1869" s="31">
        <f>IF(OR($K$1862="",설정!$B$29=""),"",INDEX(직원목록!$Z$7:$Z$306,$K$1862))</f>
        <v/>
      </c>
      <c r="H1869" s="19" t="n"/>
    </row>
    <row r="1870">
      <c r="B1870" s="4">
        <f>IF($K$1862="","",IF(설정!$B$21="","",설정!$B$21))</f>
        <v/>
      </c>
      <c r="C1870" s="31">
        <f>IF(OR($K$1862="",설정!$B$21=""),"",INDEX(직원목록!$J$7:$J$306,$K$1862))</f>
        <v/>
      </c>
      <c r="D1870" s="32">
        <f>IF(OR($K$1862="",설정!$B$21=""),"",IF(N(INDEX(직원목록!$R$7:$R$306,$K$1862))=0,"",INDEX(직원목록!$R$7:$R$306,$K$1862)&amp;"시간"))</f>
        <v/>
      </c>
      <c r="F1870" s="4">
        <f>IF($K$1862="","",IF(설정!$B$30="","",설정!$B$30))</f>
        <v/>
      </c>
      <c r="G1870" s="31">
        <f>IF(OR($K$1862="",설정!$B$30=""),"",INDEX(직원목록!$AA$7:$AA$306,$K$1862))</f>
        <v/>
      </c>
      <c r="H1870" s="19" t="n"/>
    </row>
    <row r="1871">
      <c r="B1871" s="4">
        <f>IF($K$1862="","",IF(설정!$B$22="","",설정!$B$22))</f>
        <v/>
      </c>
      <c r="C1871" s="31">
        <f>IF(OR($K$1862="",설정!$B$22=""),"",INDEX(직원목록!$K$7:$K$306,$K$1862))</f>
        <v/>
      </c>
      <c r="D1871" s="32">
        <f>IF(OR($K$1862="",설정!$B$22=""),"",IF(N(INDEX(직원목록!$S$7:$S$306,$K$1862))=0,"",INDEX(직원목록!$S$7:$S$306,$K$1862)&amp;"시간"))</f>
        <v/>
      </c>
      <c r="F1871" s="4">
        <f>IF($K$1862="","",IF(설정!$B$31="","",설정!$B$31))</f>
        <v/>
      </c>
      <c r="G1871" s="31">
        <f>IF(OR($K$1862="",설정!$B$31=""),"",INDEX(직원목록!$AB$7:$AB$306,$K$1862))</f>
        <v/>
      </c>
      <c r="H1871" s="19" t="n"/>
    </row>
    <row r="1872">
      <c r="B1872" s="4">
        <f>IF($K$1862="","",IF(설정!$B$23="","",설정!$B$23))</f>
        <v/>
      </c>
      <c r="C1872" s="31">
        <f>IF(OR($K$1862="",설정!$B$23=""),"",INDEX(직원목록!$L$7:$L$306,$K$1862))</f>
        <v/>
      </c>
      <c r="D1872" s="32">
        <f>IF(OR($K$1862="",설정!$B$23=""),"",IF(N(INDEX(직원목록!$T$7:$T$306,$K$1862))=0,"",INDEX(직원목록!$T$7:$T$306,$K$1862)&amp;"시간"))</f>
        <v/>
      </c>
      <c r="F1872" s="4">
        <f>IF($K$1862="","",IF(설정!$B$32="","",설정!$B$32))</f>
        <v/>
      </c>
      <c r="G1872" s="31">
        <f>IF(OR($K$1862="",설정!$B$32=""),"",INDEX(직원목록!$AC$7:$AC$306,$K$1862))</f>
        <v/>
      </c>
      <c r="H1872" s="19" t="n"/>
    </row>
    <row r="1873">
      <c r="B1873" s="4">
        <f>IF($K$1862="","",IF(설정!$B$24="","",설정!$B$24))</f>
        <v/>
      </c>
      <c r="C1873" s="31">
        <f>IF(OR($K$1862="",설정!$B$24=""),"",INDEX(직원목록!$M$7:$M$306,$K$1862))</f>
        <v/>
      </c>
      <c r="D1873" s="32">
        <f>IF(OR($K$1862="",설정!$B$24=""),"",IF(N(INDEX(직원목록!$U$7:$U$306,$K$1862))=0,"",INDEX(직원목록!$U$7:$U$306,$K$1862)&amp;"시간"))</f>
        <v/>
      </c>
      <c r="F1873" s="4">
        <f>IF($K$1862="","",IF(설정!$B$33="","",설정!$B$33))</f>
        <v/>
      </c>
      <c r="G1873" s="31">
        <f>IF(OR($K$1862="",설정!$B$33=""),"",INDEX(직원목록!$AD$7:$AD$306,$K$1862))</f>
        <v/>
      </c>
      <c r="H1873" s="19" t="n"/>
    </row>
    <row r="1874">
      <c r="B1874" s="3" t="inlineStr">
        <is>
          <t>지급 합계</t>
        </is>
      </c>
      <c r="C1874" s="35">
        <f>IF($K$1862="","",INDEX(직원목록!$V$7:$V$306,$K$1862))</f>
        <v/>
      </c>
      <c r="D1874" s="36" t="n"/>
      <c r="F1874" s="3" t="inlineStr">
        <is>
          <t>공제 합계</t>
        </is>
      </c>
      <c r="G1874" s="35">
        <f>IF($K$1862="","",INDEX(직원목록!$AE$7:$AE$306,$K$1862))</f>
        <v/>
      </c>
      <c r="H1874" s="36" t="n"/>
    </row>
    <row r="1875" ht="28" customHeight="1">
      <c r="B1875" s="37" t="inlineStr">
        <is>
          <t>실 수령액 (지급 합계 − 공제 합계)</t>
        </is>
      </c>
      <c r="C1875" s="29" t="n"/>
      <c r="D1875" s="29" t="n"/>
      <c r="E1875" s="38">
        <f>IF($K$1862="","",INDEX(직원목록!$AF$7:$AF$306,$K$1862))</f>
        <v/>
      </c>
      <c r="F1875" s="29" t="n"/>
      <c r="G1875" s="29" t="n"/>
      <c r="H1875" s="29" t="n"/>
    </row>
    <row r="1876">
      <c r="B1876" s="39">
        <f>IF($K$1862="","",설정!$B$7)</f>
        <v/>
      </c>
    </row>
    <row r="1892" ht="30" customHeight="1">
      <c r="B1892" s="28">
        <f>IF($K$1892="","","임금명세서  ("&amp;설정!$B$5&amp;")")</f>
        <v/>
      </c>
      <c r="K1892" s="34">
        <f>IFERROR(MATCH(64,직원목록!$B$7:$B$306,0),"")</f>
        <v/>
      </c>
    </row>
    <row r="1893">
      <c r="B1893" s="7" t="inlineStr">
        <is>
          <t>회사명</t>
        </is>
      </c>
      <c r="C1893" s="21">
        <f>IF($K$1892="","",설정!$B$4)</f>
        <v/>
      </c>
      <c r="D1893" s="29" t="n"/>
      <c r="E1893" s="19" t="n"/>
      <c r="F1893" s="7" t="inlineStr">
        <is>
          <t>임금 지급일</t>
        </is>
      </c>
      <c r="G1893" s="21">
        <f>IF($K$1892="","",TEXT(설정!$B$6,"yyyy-mm-dd"))</f>
        <v/>
      </c>
      <c r="H1893" s="29" t="n"/>
    </row>
    <row r="1894">
      <c r="B1894" s="7" t="inlineStr">
        <is>
          <t>성명</t>
        </is>
      </c>
      <c r="C1894" s="22">
        <f>IF($K$1892="","",INDEX(직원목록!$D$7:$D$306,$K$1892))</f>
        <v/>
      </c>
      <c r="D1894" s="7" t="inlineStr">
        <is>
          <t>사번</t>
        </is>
      </c>
      <c r="E1894" s="21">
        <f>IF($K$1892="","",INDEX(직원목록!$C$7:$C$306,$K$1892))</f>
        <v/>
      </c>
      <c r="F1894" s="7" t="inlineStr">
        <is>
          <t>부서</t>
        </is>
      </c>
      <c r="G1894" s="21">
        <f>IF($K$1892="","",INDEX(직원목록!$E$7:$E$306,$K$1892))</f>
        <v/>
      </c>
      <c r="H1894" s="29" t="n"/>
    </row>
    <row r="1895">
      <c r="B1895" s="12" t="inlineStr">
        <is>
          <t>지급 항목</t>
        </is>
      </c>
      <c r="C1895" s="12" t="inlineStr">
        <is>
          <t>금액(원)</t>
        </is>
      </c>
      <c r="D1895" s="12" t="inlineStr">
        <is>
          <t>계산 근거</t>
        </is>
      </c>
      <c r="E1895" s="2" t="n"/>
      <c r="F1895" s="12" t="inlineStr">
        <is>
          <t>공제 항목</t>
        </is>
      </c>
      <c r="G1895" s="12" t="inlineStr">
        <is>
          <t>금액(원)</t>
        </is>
      </c>
      <c r="H1895" s="12" t="n"/>
    </row>
    <row r="1896">
      <c r="B1896" s="4">
        <f>IF($K$1892="","",IF(설정!$B$17="","",설정!$B$17))</f>
        <v/>
      </c>
      <c r="C1896" s="31">
        <f>IF(OR($K$1892="",설정!$B$17=""),"",INDEX(직원목록!$F$7:$F$306,$K$1892))</f>
        <v/>
      </c>
      <c r="D1896" s="32">
        <f>IF(OR($K$1892="",설정!$B$17=""),"",IF(N(INDEX(직원목록!$N$7:$N$306,$K$1892))=0,"",INDEX(직원목록!$N$7:$N$306,$K$1892)&amp;"시간"))</f>
        <v/>
      </c>
      <c r="F1896" s="4">
        <f>IF($K$1892="","",IF(설정!$B$26="","",설정!$B$26))</f>
        <v/>
      </c>
      <c r="G1896" s="31">
        <f>IF(OR($K$1892="",설정!$B$26=""),"",INDEX(직원목록!$W$7:$W$306,$K$1892))</f>
        <v/>
      </c>
      <c r="H1896" s="19" t="n"/>
    </row>
    <row r="1897">
      <c r="B1897" s="4">
        <f>IF($K$1892="","",IF(설정!$B$18="","",설정!$B$18))</f>
        <v/>
      </c>
      <c r="C1897" s="31">
        <f>IF(OR($K$1892="",설정!$B$18=""),"",INDEX(직원목록!$G$7:$G$306,$K$1892))</f>
        <v/>
      </c>
      <c r="D1897" s="32">
        <f>IF(OR($K$1892="",설정!$B$18=""),"",IF(N(INDEX(직원목록!$O$7:$O$306,$K$1892))=0,"",INDEX(직원목록!$O$7:$O$306,$K$1892)&amp;"시간"))</f>
        <v/>
      </c>
      <c r="F1897" s="4">
        <f>IF($K$1892="","",IF(설정!$B$27="","",설정!$B$27))</f>
        <v/>
      </c>
      <c r="G1897" s="31">
        <f>IF(OR($K$1892="",설정!$B$27=""),"",INDEX(직원목록!$X$7:$X$306,$K$1892))</f>
        <v/>
      </c>
      <c r="H1897" s="19" t="n"/>
    </row>
    <row r="1898">
      <c r="B1898" s="4">
        <f>IF($K$1892="","",IF(설정!$B$19="","",설정!$B$19))</f>
        <v/>
      </c>
      <c r="C1898" s="31">
        <f>IF(OR($K$1892="",설정!$B$19=""),"",INDEX(직원목록!$H$7:$H$306,$K$1892))</f>
        <v/>
      </c>
      <c r="D1898" s="32">
        <f>IF(OR($K$1892="",설정!$B$19=""),"",IF(N(INDEX(직원목록!$P$7:$P$306,$K$1892))=0,"",INDEX(직원목록!$P$7:$P$306,$K$1892)&amp;"시간"))</f>
        <v/>
      </c>
      <c r="F1898" s="4">
        <f>IF($K$1892="","",IF(설정!$B$28="","",설정!$B$28))</f>
        <v/>
      </c>
      <c r="G1898" s="31">
        <f>IF(OR($K$1892="",설정!$B$28=""),"",INDEX(직원목록!$Y$7:$Y$306,$K$1892))</f>
        <v/>
      </c>
      <c r="H1898" s="19" t="n"/>
    </row>
    <row r="1899">
      <c r="B1899" s="4">
        <f>IF($K$1892="","",IF(설정!$B$20="","",설정!$B$20))</f>
        <v/>
      </c>
      <c r="C1899" s="31">
        <f>IF(OR($K$1892="",설정!$B$20=""),"",INDEX(직원목록!$I$7:$I$306,$K$1892))</f>
        <v/>
      </c>
      <c r="D1899" s="32">
        <f>IF(OR($K$1892="",설정!$B$20=""),"",IF(N(INDEX(직원목록!$Q$7:$Q$306,$K$1892))=0,"",INDEX(직원목록!$Q$7:$Q$306,$K$1892)&amp;"시간"))</f>
        <v/>
      </c>
      <c r="F1899" s="4">
        <f>IF($K$1892="","",IF(설정!$B$29="","",설정!$B$29))</f>
        <v/>
      </c>
      <c r="G1899" s="31">
        <f>IF(OR($K$1892="",설정!$B$29=""),"",INDEX(직원목록!$Z$7:$Z$306,$K$1892))</f>
        <v/>
      </c>
      <c r="H1899" s="19" t="n"/>
    </row>
    <row r="1900">
      <c r="B1900" s="4">
        <f>IF($K$1892="","",IF(설정!$B$21="","",설정!$B$21))</f>
        <v/>
      </c>
      <c r="C1900" s="31">
        <f>IF(OR($K$1892="",설정!$B$21=""),"",INDEX(직원목록!$J$7:$J$306,$K$1892))</f>
        <v/>
      </c>
      <c r="D1900" s="32">
        <f>IF(OR($K$1892="",설정!$B$21=""),"",IF(N(INDEX(직원목록!$R$7:$R$306,$K$1892))=0,"",INDEX(직원목록!$R$7:$R$306,$K$1892)&amp;"시간"))</f>
        <v/>
      </c>
      <c r="F1900" s="4">
        <f>IF($K$1892="","",IF(설정!$B$30="","",설정!$B$30))</f>
        <v/>
      </c>
      <c r="G1900" s="31">
        <f>IF(OR($K$1892="",설정!$B$30=""),"",INDEX(직원목록!$AA$7:$AA$306,$K$1892))</f>
        <v/>
      </c>
      <c r="H1900" s="19" t="n"/>
    </row>
    <row r="1901">
      <c r="B1901" s="4">
        <f>IF($K$1892="","",IF(설정!$B$22="","",설정!$B$22))</f>
        <v/>
      </c>
      <c r="C1901" s="31">
        <f>IF(OR($K$1892="",설정!$B$22=""),"",INDEX(직원목록!$K$7:$K$306,$K$1892))</f>
        <v/>
      </c>
      <c r="D1901" s="32">
        <f>IF(OR($K$1892="",설정!$B$22=""),"",IF(N(INDEX(직원목록!$S$7:$S$306,$K$1892))=0,"",INDEX(직원목록!$S$7:$S$306,$K$1892)&amp;"시간"))</f>
        <v/>
      </c>
      <c r="F1901" s="4">
        <f>IF($K$1892="","",IF(설정!$B$31="","",설정!$B$31))</f>
        <v/>
      </c>
      <c r="G1901" s="31">
        <f>IF(OR($K$1892="",설정!$B$31=""),"",INDEX(직원목록!$AB$7:$AB$306,$K$1892))</f>
        <v/>
      </c>
      <c r="H1901" s="19" t="n"/>
    </row>
    <row r="1902">
      <c r="B1902" s="4">
        <f>IF($K$1892="","",IF(설정!$B$23="","",설정!$B$23))</f>
        <v/>
      </c>
      <c r="C1902" s="31">
        <f>IF(OR($K$1892="",설정!$B$23=""),"",INDEX(직원목록!$L$7:$L$306,$K$1892))</f>
        <v/>
      </c>
      <c r="D1902" s="32">
        <f>IF(OR($K$1892="",설정!$B$23=""),"",IF(N(INDEX(직원목록!$T$7:$T$306,$K$1892))=0,"",INDEX(직원목록!$T$7:$T$306,$K$1892)&amp;"시간"))</f>
        <v/>
      </c>
      <c r="F1902" s="4">
        <f>IF($K$1892="","",IF(설정!$B$32="","",설정!$B$32))</f>
        <v/>
      </c>
      <c r="G1902" s="31">
        <f>IF(OR($K$1892="",설정!$B$32=""),"",INDEX(직원목록!$AC$7:$AC$306,$K$1892))</f>
        <v/>
      </c>
      <c r="H1902" s="19" t="n"/>
    </row>
    <row r="1903">
      <c r="B1903" s="4">
        <f>IF($K$1892="","",IF(설정!$B$24="","",설정!$B$24))</f>
        <v/>
      </c>
      <c r="C1903" s="31">
        <f>IF(OR($K$1892="",설정!$B$24=""),"",INDEX(직원목록!$M$7:$M$306,$K$1892))</f>
        <v/>
      </c>
      <c r="D1903" s="32">
        <f>IF(OR($K$1892="",설정!$B$24=""),"",IF(N(INDEX(직원목록!$U$7:$U$306,$K$1892))=0,"",INDEX(직원목록!$U$7:$U$306,$K$1892)&amp;"시간"))</f>
        <v/>
      </c>
      <c r="F1903" s="4">
        <f>IF($K$1892="","",IF(설정!$B$33="","",설정!$B$33))</f>
        <v/>
      </c>
      <c r="G1903" s="31">
        <f>IF(OR($K$1892="",설정!$B$33=""),"",INDEX(직원목록!$AD$7:$AD$306,$K$1892))</f>
        <v/>
      </c>
      <c r="H1903" s="19" t="n"/>
    </row>
    <row r="1904">
      <c r="B1904" s="3" t="inlineStr">
        <is>
          <t>지급 합계</t>
        </is>
      </c>
      <c r="C1904" s="35">
        <f>IF($K$1892="","",INDEX(직원목록!$V$7:$V$306,$K$1892))</f>
        <v/>
      </c>
      <c r="D1904" s="36" t="n"/>
      <c r="F1904" s="3" t="inlineStr">
        <is>
          <t>공제 합계</t>
        </is>
      </c>
      <c r="G1904" s="35">
        <f>IF($K$1892="","",INDEX(직원목록!$AE$7:$AE$306,$K$1892))</f>
        <v/>
      </c>
      <c r="H1904" s="36" t="n"/>
    </row>
    <row r="1905" ht="28" customHeight="1">
      <c r="B1905" s="37" t="inlineStr">
        <is>
          <t>실 수령액 (지급 합계 − 공제 합계)</t>
        </is>
      </c>
      <c r="C1905" s="29" t="n"/>
      <c r="D1905" s="29" t="n"/>
      <c r="E1905" s="38">
        <f>IF($K$1892="","",INDEX(직원목록!$AF$7:$AF$306,$K$1892))</f>
        <v/>
      </c>
      <c r="F1905" s="29" t="n"/>
      <c r="G1905" s="29" t="n"/>
      <c r="H1905" s="29" t="n"/>
    </row>
    <row r="1906">
      <c r="B1906" s="39">
        <f>IF($K$1892="","",설정!$B$7)</f>
        <v/>
      </c>
    </row>
    <row r="1922" ht="30" customHeight="1">
      <c r="B1922" s="28">
        <f>IF($K$1922="","","임금명세서  ("&amp;설정!$B$5&amp;")")</f>
        <v/>
      </c>
      <c r="K1922" s="34">
        <f>IFERROR(MATCH(65,직원목록!$B$7:$B$306,0),"")</f>
        <v/>
      </c>
    </row>
    <row r="1923">
      <c r="B1923" s="7" t="inlineStr">
        <is>
          <t>회사명</t>
        </is>
      </c>
      <c r="C1923" s="21">
        <f>IF($K$1922="","",설정!$B$4)</f>
        <v/>
      </c>
      <c r="D1923" s="29" t="n"/>
      <c r="E1923" s="19" t="n"/>
      <c r="F1923" s="7" t="inlineStr">
        <is>
          <t>임금 지급일</t>
        </is>
      </c>
      <c r="G1923" s="21">
        <f>IF($K$1922="","",TEXT(설정!$B$6,"yyyy-mm-dd"))</f>
        <v/>
      </c>
      <c r="H1923" s="29" t="n"/>
    </row>
    <row r="1924">
      <c r="B1924" s="7" t="inlineStr">
        <is>
          <t>성명</t>
        </is>
      </c>
      <c r="C1924" s="22">
        <f>IF($K$1922="","",INDEX(직원목록!$D$7:$D$306,$K$1922))</f>
        <v/>
      </c>
      <c r="D1924" s="7" t="inlineStr">
        <is>
          <t>사번</t>
        </is>
      </c>
      <c r="E1924" s="21">
        <f>IF($K$1922="","",INDEX(직원목록!$C$7:$C$306,$K$1922))</f>
        <v/>
      </c>
      <c r="F1924" s="7" t="inlineStr">
        <is>
          <t>부서</t>
        </is>
      </c>
      <c r="G1924" s="21">
        <f>IF($K$1922="","",INDEX(직원목록!$E$7:$E$306,$K$1922))</f>
        <v/>
      </c>
      <c r="H1924" s="29" t="n"/>
    </row>
    <row r="1925">
      <c r="B1925" s="12" t="inlineStr">
        <is>
          <t>지급 항목</t>
        </is>
      </c>
      <c r="C1925" s="12" t="inlineStr">
        <is>
          <t>금액(원)</t>
        </is>
      </c>
      <c r="D1925" s="12" t="inlineStr">
        <is>
          <t>계산 근거</t>
        </is>
      </c>
      <c r="E1925" s="2" t="n"/>
      <c r="F1925" s="12" t="inlineStr">
        <is>
          <t>공제 항목</t>
        </is>
      </c>
      <c r="G1925" s="12" t="inlineStr">
        <is>
          <t>금액(원)</t>
        </is>
      </c>
      <c r="H1925" s="12" t="n"/>
    </row>
    <row r="1926">
      <c r="B1926" s="4">
        <f>IF($K$1922="","",IF(설정!$B$17="","",설정!$B$17))</f>
        <v/>
      </c>
      <c r="C1926" s="31">
        <f>IF(OR($K$1922="",설정!$B$17=""),"",INDEX(직원목록!$F$7:$F$306,$K$1922))</f>
        <v/>
      </c>
      <c r="D1926" s="32">
        <f>IF(OR($K$1922="",설정!$B$17=""),"",IF(N(INDEX(직원목록!$N$7:$N$306,$K$1922))=0,"",INDEX(직원목록!$N$7:$N$306,$K$1922)&amp;"시간"))</f>
        <v/>
      </c>
      <c r="F1926" s="4">
        <f>IF($K$1922="","",IF(설정!$B$26="","",설정!$B$26))</f>
        <v/>
      </c>
      <c r="G1926" s="31">
        <f>IF(OR($K$1922="",설정!$B$26=""),"",INDEX(직원목록!$W$7:$W$306,$K$1922))</f>
        <v/>
      </c>
      <c r="H1926" s="19" t="n"/>
    </row>
    <row r="1927">
      <c r="B1927" s="4">
        <f>IF($K$1922="","",IF(설정!$B$18="","",설정!$B$18))</f>
        <v/>
      </c>
      <c r="C1927" s="31">
        <f>IF(OR($K$1922="",설정!$B$18=""),"",INDEX(직원목록!$G$7:$G$306,$K$1922))</f>
        <v/>
      </c>
      <c r="D1927" s="32">
        <f>IF(OR($K$1922="",설정!$B$18=""),"",IF(N(INDEX(직원목록!$O$7:$O$306,$K$1922))=0,"",INDEX(직원목록!$O$7:$O$306,$K$1922)&amp;"시간"))</f>
        <v/>
      </c>
      <c r="F1927" s="4">
        <f>IF($K$1922="","",IF(설정!$B$27="","",설정!$B$27))</f>
        <v/>
      </c>
      <c r="G1927" s="31">
        <f>IF(OR($K$1922="",설정!$B$27=""),"",INDEX(직원목록!$X$7:$X$306,$K$1922))</f>
        <v/>
      </c>
      <c r="H1927" s="19" t="n"/>
    </row>
    <row r="1928">
      <c r="B1928" s="4">
        <f>IF($K$1922="","",IF(설정!$B$19="","",설정!$B$19))</f>
        <v/>
      </c>
      <c r="C1928" s="31">
        <f>IF(OR($K$1922="",설정!$B$19=""),"",INDEX(직원목록!$H$7:$H$306,$K$1922))</f>
        <v/>
      </c>
      <c r="D1928" s="32">
        <f>IF(OR($K$1922="",설정!$B$19=""),"",IF(N(INDEX(직원목록!$P$7:$P$306,$K$1922))=0,"",INDEX(직원목록!$P$7:$P$306,$K$1922)&amp;"시간"))</f>
        <v/>
      </c>
      <c r="F1928" s="4">
        <f>IF($K$1922="","",IF(설정!$B$28="","",설정!$B$28))</f>
        <v/>
      </c>
      <c r="G1928" s="31">
        <f>IF(OR($K$1922="",설정!$B$28=""),"",INDEX(직원목록!$Y$7:$Y$306,$K$1922))</f>
        <v/>
      </c>
      <c r="H1928" s="19" t="n"/>
    </row>
    <row r="1929">
      <c r="B1929" s="4">
        <f>IF($K$1922="","",IF(설정!$B$20="","",설정!$B$20))</f>
        <v/>
      </c>
      <c r="C1929" s="31">
        <f>IF(OR($K$1922="",설정!$B$20=""),"",INDEX(직원목록!$I$7:$I$306,$K$1922))</f>
        <v/>
      </c>
      <c r="D1929" s="32">
        <f>IF(OR($K$1922="",설정!$B$20=""),"",IF(N(INDEX(직원목록!$Q$7:$Q$306,$K$1922))=0,"",INDEX(직원목록!$Q$7:$Q$306,$K$1922)&amp;"시간"))</f>
        <v/>
      </c>
      <c r="F1929" s="4">
        <f>IF($K$1922="","",IF(설정!$B$29="","",설정!$B$29))</f>
        <v/>
      </c>
      <c r="G1929" s="31">
        <f>IF(OR($K$1922="",설정!$B$29=""),"",INDEX(직원목록!$Z$7:$Z$306,$K$1922))</f>
        <v/>
      </c>
      <c r="H1929" s="19" t="n"/>
    </row>
    <row r="1930">
      <c r="B1930" s="4">
        <f>IF($K$1922="","",IF(설정!$B$21="","",설정!$B$21))</f>
        <v/>
      </c>
      <c r="C1930" s="31">
        <f>IF(OR($K$1922="",설정!$B$21=""),"",INDEX(직원목록!$J$7:$J$306,$K$1922))</f>
        <v/>
      </c>
      <c r="D1930" s="32">
        <f>IF(OR($K$1922="",설정!$B$21=""),"",IF(N(INDEX(직원목록!$R$7:$R$306,$K$1922))=0,"",INDEX(직원목록!$R$7:$R$306,$K$1922)&amp;"시간"))</f>
        <v/>
      </c>
      <c r="F1930" s="4">
        <f>IF($K$1922="","",IF(설정!$B$30="","",설정!$B$30))</f>
        <v/>
      </c>
      <c r="G1930" s="31">
        <f>IF(OR($K$1922="",설정!$B$30=""),"",INDEX(직원목록!$AA$7:$AA$306,$K$1922))</f>
        <v/>
      </c>
      <c r="H1930" s="19" t="n"/>
    </row>
    <row r="1931">
      <c r="B1931" s="4">
        <f>IF($K$1922="","",IF(설정!$B$22="","",설정!$B$22))</f>
        <v/>
      </c>
      <c r="C1931" s="31">
        <f>IF(OR($K$1922="",설정!$B$22=""),"",INDEX(직원목록!$K$7:$K$306,$K$1922))</f>
        <v/>
      </c>
      <c r="D1931" s="32">
        <f>IF(OR($K$1922="",설정!$B$22=""),"",IF(N(INDEX(직원목록!$S$7:$S$306,$K$1922))=0,"",INDEX(직원목록!$S$7:$S$306,$K$1922)&amp;"시간"))</f>
        <v/>
      </c>
      <c r="F1931" s="4">
        <f>IF($K$1922="","",IF(설정!$B$31="","",설정!$B$31))</f>
        <v/>
      </c>
      <c r="G1931" s="31">
        <f>IF(OR($K$1922="",설정!$B$31=""),"",INDEX(직원목록!$AB$7:$AB$306,$K$1922))</f>
        <v/>
      </c>
      <c r="H1931" s="19" t="n"/>
    </row>
    <row r="1932">
      <c r="B1932" s="4">
        <f>IF($K$1922="","",IF(설정!$B$23="","",설정!$B$23))</f>
        <v/>
      </c>
      <c r="C1932" s="31">
        <f>IF(OR($K$1922="",설정!$B$23=""),"",INDEX(직원목록!$L$7:$L$306,$K$1922))</f>
        <v/>
      </c>
      <c r="D1932" s="32">
        <f>IF(OR($K$1922="",설정!$B$23=""),"",IF(N(INDEX(직원목록!$T$7:$T$306,$K$1922))=0,"",INDEX(직원목록!$T$7:$T$306,$K$1922)&amp;"시간"))</f>
        <v/>
      </c>
      <c r="F1932" s="4">
        <f>IF($K$1922="","",IF(설정!$B$32="","",설정!$B$32))</f>
        <v/>
      </c>
      <c r="G1932" s="31">
        <f>IF(OR($K$1922="",설정!$B$32=""),"",INDEX(직원목록!$AC$7:$AC$306,$K$1922))</f>
        <v/>
      </c>
      <c r="H1932" s="19" t="n"/>
    </row>
    <row r="1933">
      <c r="B1933" s="4">
        <f>IF($K$1922="","",IF(설정!$B$24="","",설정!$B$24))</f>
        <v/>
      </c>
      <c r="C1933" s="31">
        <f>IF(OR($K$1922="",설정!$B$24=""),"",INDEX(직원목록!$M$7:$M$306,$K$1922))</f>
        <v/>
      </c>
      <c r="D1933" s="32">
        <f>IF(OR($K$1922="",설정!$B$24=""),"",IF(N(INDEX(직원목록!$U$7:$U$306,$K$1922))=0,"",INDEX(직원목록!$U$7:$U$306,$K$1922)&amp;"시간"))</f>
        <v/>
      </c>
      <c r="F1933" s="4">
        <f>IF($K$1922="","",IF(설정!$B$33="","",설정!$B$33))</f>
        <v/>
      </c>
      <c r="G1933" s="31">
        <f>IF(OR($K$1922="",설정!$B$33=""),"",INDEX(직원목록!$AD$7:$AD$306,$K$1922))</f>
        <v/>
      </c>
      <c r="H1933" s="19" t="n"/>
    </row>
    <row r="1934">
      <c r="B1934" s="3" t="inlineStr">
        <is>
          <t>지급 합계</t>
        </is>
      </c>
      <c r="C1934" s="35">
        <f>IF($K$1922="","",INDEX(직원목록!$V$7:$V$306,$K$1922))</f>
        <v/>
      </c>
      <c r="D1934" s="36" t="n"/>
      <c r="F1934" s="3" t="inlineStr">
        <is>
          <t>공제 합계</t>
        </is>
      </c>
      <c r="G1934" s="35">
        <f>IF($K$1922="","",INDEX(직원목록!$AE$7:$AE$306,$K$1922))</f>
        <v/>
      </c>
      <c r="H1934" s="36" t="n"/>
    </row>
    <row r="1935" ht="28" customHeight="1">
      <c r="B1935" s="37" t="inlineStr">
        <is>
          <t>실 수령액 (지급 합계 − 공제 합계)</t>
        </is>
      </c>
      <c r="C1935" s="29" t="n"/>
      <c r="D1935" s="29" t="n"/>
      <c r="E1935" s="38">
        <f>IF($K$1922="","",INDEX(직원목록!$AF$7:$AF$306,$K$1922))</f>
        <v/>
      </c>
      <c r="F1935" s="29" t="n"/>
      <c r="G1935" s="29" t="n"/>
      <c r="H1935" s="29" t="n"/>
    </row>
    <row r="1936">
      <c r="B1936" s="39">
        <f>IF($K$1922="","",설정!$B$7)</f>
        <v/>
      </c>
    </row>
    <row r="1952" ht="30" customHeight="1">
      <c r="B1952" s="28">
        <f>IF($K$1952="","","임금명세서  ("&amp;설정!$B$5&amp;")")</f>
        <v/>
      </c>
      <c r="K1952" s="34">
        <f>IFERROR(MATCH(66,직원목록!$B$7:$B$306,0),"")</f>
        <v/>
      </c>
    </row>
    <row r="1953">
      <c r="B1953" s="7" t="inlineStr">
        <is>
          <t>회사명</t>
        </is>
      </c>
      <c r="C1953" s="21">
        <f>IF($K$1952="","",설정!$B$4)</f>
        <v/>
      </c>
      <c r="D1953" s="29" t="n"/>
      <c r="E1953" s="19" t="n"/>
      <c r="F1953" s="7" t="inlineStr">
        <is>
          <t>임금 지급일</t>
        </is>
      </c>
      <c r="G1953" s="21">
        <f>IF($K$1952="","",TEXT(설정!$B$6,"yyyy-mm-dd"))</f>
        <v/>
      </c>
      <c r="H1953" s="29" t="n"/>
    </row>
    <row r="1954">
      <c r="B1954" s="7" t="inlineStr">
        <is>
          <t>성명</t>
        </is>
      </c>
      <c r="C1954" s="22">
        <f>IF($K$1952="","",INDEX(직원목록!$D$7:$D$306,$K$1952))</f>
        <v/>
      </c>
      <c r="D1954" s="7" t="inlineStr">
        <is>
          <t>사번</t>
        </is>
      </c>
      <c r="E1954" s="21">
        <f>IF($K$1952="","",INDEX(직원목록!$C$7:$C$306,$K$1952))</f>
        <v/>
      </c>
      <c r="F1954" s="7" t="inlineStr">
        <is>
          <t>부서</t>
        </is>
      </c>
      <c r="G1954" s="21">
        <f>IF($K$1952="","",INDEX(직원목록!$E$7:$E$306,$K$1952))</f>
        <v/>
      </c>
      <c r="H1954" s="29" t="n"/>
    </row>
    <row r="1955">
      <c r="B1955" s="12" t="inlineStr">
        <is>
          <t>지급 항목</t>
        </is>
      </c>
      <c r="C1955" s="12" t="inlineStr">
        <is>
          <t>금액(원)</t>
        </is>
      </c>
      <c r="D1955" s="12" t="inlineStr">
        <is>
          <t>계산 근거</t>
        </is>
      </c>
      <c r="E1955" s="2" t="n"/>
      <c r="F1955" s="12" t="inlineStr">
        <is>
          <t>공제 항목</t>
        </is>
      </c>
      <c r="G1955" s="12" t="inlineStr">
        <is>
          <t>금액(원)</t>
        </is>
      </c>
      <c r="H1955" s="12" t="n"/>
    </row>
    <row r="1956">
      <c r="B1956" s="4">
        <f>IF($K$1952="","",IF(설정!$B$17="","",설정!$B$17))</f>
        <v/>
      </c>
      <c r="C1956" s="31">
        <f>IF(OR($K$1952="",설정!$B$17=""),"",INDEX(직원목록!$F$7:$F$306,$K$1952))</f>
        <v/>
      </c>
      <c r="D1956" s="32">
        <f>IF(OR($K$1952="",설정!$B$17=""),"",IF(N(INDEX(직원목록!$N$7:$N$306,$K$1952))=0,"",INDEX(직원목록!$N$7:$N$306,$K$1952)&amp;"시간"))</f>
        <v/>
      </c>
      <c r="F1956" s="4">
        <f>IF($K$1952="","",IF(설정!$B$26="","",설정!$B$26))</f>
        <v/>
      </c>
      <c r="G1956" s="31">
        <f>IF(OR($K$1952="",설정!$B$26=""),"",INDEX(직원목록!$W$7:$W$306,$K$1952))</f>
        <v/>
      </c>
      <c r="H1956" s="19" t="n"/>
    </row>
    <row r="1957">
      <c r="B1957" s="4">
        <f>IF($K$1952="","",IF(설정!$B$18="","",설정!$B$18))</f>
        <v/>
      </c>
      <c r="C1957" s="31">
        <f>IF(OR($K$1952="",설정!$B$18=""),"",INDEX(직원목록!$G$7:$G$306,$K$1952))</f>
        <v/>
      </c>
      <c r="D1957" s="32">
        <f>IF(OR($K$1952="",설정!$B$18=""),"",IF(N(INDEX(직원목록!$O$7:$O$306,$K$1952))=0,"",INDEX(직원목록!$O$7:$O$306,$K$1952)&amp;"시간"))</f>
        <v/>
      </c>
      <c r="F1957" s="4">
        <f>IF($K$1952="","",IF(설정!$B$27="","",설정!$B$27))</f>
        <v/>
      </c>
      <c r="G1957" s="31">
        <f>IF(OR($K$1952="",설정!$B$27=""),"",INDEX(직원목록!$X$7:$X$306,$K$1952))</f>
        <v/>
      </c>
      <c r="H1957" s="19" t="n"/>
    </row>
    <row r="1958">
      <c r="B1958" s="4">
        <f>IF($K$1952="","",IF(설정!$B$19="","",설정!$B$19))</f>
        <v/>
      </c>
      <c r="C1958" s="31">
        <f>IF(OR($K$1952="",설정!$B$19=""),"",INDEX(직원목록!$H$7:$H$306,$K$1952))</f>
        <v/>
      </c>
      <c r="D1958" s="32">
        <f>IF(OR($K$1952="",설정!$B$19=""),"",IF(N(INDEX(직원목록!$P$7:$P$306,$K$1952))=0,"",INDEX(직원목록!$P$7:$P$306,$K$1952)&amp;"시간"))</f>
        <v/>
      </c>
      <c r="F1958" s="4">
        <f>IF($K$1952="","",IF(설정!$B$28="","",설정!$B$28))</f>
        <v/>
      </c>
      <c r="G1958" s="31">
        <f>IF(OR($K$1952="",설정!$B$28=""),"",INDEX(직원목록!$Y$7:$Y$306,$K$1952))</f>
        <v/>
      </c>
      <c r="H1958" s="19" t="n"/>
    </row>
    <row r="1959">
      <c r="B1959" s="4">
        <f>IF($K$1952="","",IF(설정!$B$20="","",설정!$B$20))</f>
        <v/>
      </c>
      <c r="C1959" s="31">
        <f>IF(OR($K$1952="",설정!$B$20=""),"",INDEX(직원목록!$I$7:$I$306,$K$1952))</f>
        <v/>
      </c>
      <c r="D1959" s="32">
        <f>IF(OR($K$1952="",설정!$B$20=""),"",IF(N(INDEX(직원목록!$Q$7:$Q$306,$K$1952))=0,"",INDEX(직원목록!$Q$7:$Q$306,$K$1952)&amp;"시간"))</f>
        <v/>
      </c>
      <c r="F1959" s="4">
        <f>IF($K$1952="","",IF(설정!$B$29="","",설정!$B$29))</f>
        <v/>
      </c>
      <c r="G1959" s="31">
        <f>IF(OR($K$1952="",설정!$B$29=""),"",INDEX(직원목록!$Z$7:$Z$306,$K$1952))</f>
        <v/>
      </c>
      <c r="H1959" s="19" t="n"/>
    </row>
    <row r="1960">
      <c r="B1960" s="4">
        <f>IF($K$1952="","",IF(설정!$B$21="","",설정!$B$21))</f>
        <v/>
      </c>
      <c r="C1960" s="31">
        <f>IF(OR($K$1952="",설정!$B$21=""),"",INDEX(직원목록!$J$7:$J$306,$K$1952))</f>
        <v/>
      </c>
      <c r="D1960" s="32">
        <f>IF(OR($K$1952="",설정!$B$21=""),"",IF(N(INDEX(직원목록!$R$7:$R$306,$K$1952))=0,"",INDEX(직원목록!$R$7:$R$306,$K$1952)&amp;"시간"))</f>
        <v/>
      </c>
      <c r="F1960" s="4">
        <f>IF($K$1952="","",IF(설정!$B$30="","",설정!$B$30))</f>
        <v/>
      </c>
      <c r="G1960" s="31">
        <f>IF(OR($K$1952="",설정!$B$30=""),"",INDEX(직원목록!$AA$7:$AA$306,$K$1952))</f>
        <v/>
      </c>
      <c r="H1960" s="19" t="n"/>
    </row>
    <row r="1961">
      <c r="B1961" s="4">
        <f>IF($K$1952="","",IF(설정!$B$22="","",설정!$B$22))</f>
        <v/>
      </c>
      <c r="C1961" s="31">
        <f>IF(OR($K$1952="",설정!$B$22=""),"",INDEX(직원목록!$K$7:$K$306,$K$1952))</f>
        <v/>
      </c>
      <c r="D1961" s="32">
        <f>IF(OR($K$1952="",설정!$B$22=""),"",IF(N(INDEX(직원목록!$S$7:$S$306,$K$1952))=0,"",INDEX(직원목록!$S$7:$S$306,$K$1952)&amp;"시간"))</f>
        <v/>
      </c>
      <c r="F1961" s="4">
        <f>IF($K$1952="","",IF(설정!$B$31="","",설정!$B$31))</f>
        <v/>
      </c>
      <c r="G1961" s="31">
        <f>IF(OR($K$1952="",설정!$B$31=""),"",INDEX(직원목록!$AB$7:$AB$306,$K$1952))</f>
        <v/>
      </c>
      <c r="H1961" s="19" t="n"/>
    </row>
    <row r="1962">
      <c r="B1962" s="4">
        <f>IF($K$1952="","",IF(설정!$B$23="","",설정!$B$23))</f>
        <v/>
      </c>
      <c r="C1962" s="31">
        <f>IF(OR($K$1952="",설정!$B$23=""),"",INDEX(직원목록!$L$7:$L$306,$K$1952))</f>
        <v/>
      </c>
      <c r="D1962" s="32">
        <f>IF(OR($K$1952="",설정!$B$23=""),"",IF(N(INDEX(직원목록!$T$7:$T$306,$K$1952))=0,"",INDEX(직원목록!$T$7:$T$306,$K$1952)&amp;"시간"))</f>
        <v/>
      </c>
      <c r="F1962" s="4">
        <f>IF($K$1952="","",IF(설정!$B$32="","",설정!$B$32))</f>
        <v/>
      </c>
      <c r="G1962" s="31">
        <f>IF(OR($K$1952="",설정!$B$32=""),"",INDEX(직원목록!$AC$7:$AC$306,$K$1952))</f>
        <v/>
      </c>
      <c r="H1962" s="19" t="n"/>
    </row>
    <row r="1963">
      <c r="B1963" s="4">
        <f>IF($K$1952="","",IF(설정!$B$24="","",설정!$B$24))</f>
        <v/>
      </c>
      <c r="C1963" s="31">
        <f>IF(OR($K$1952="",설정!$B$24=""),"",INDEX(직원목록!$M$7:$M$306,$K$1952))</f>
        <v/>
      </c>
      <c r="D1963" s="32">
        <f>IF(OR($K$1952="",설정!$B$24=""),"",IF(N(INDEX(직원목록!$U$7:$U$306,$K$1952))=0,"",INDEX(직원목록!$U$7:$U$306,$K$1952)&amp;"시간"))</f>
        <v/>
      </c>
      <c r="F1963" s="4">
        <f>IF($K$1952="","",IF(설정!$B$33="","",설정!$B$33))</f>
        <v/>
      </c>
      <c r="G1963" s="31">
        <f>IF(OR($K$1952="",설정!$B$33=""),"",INDEX(직원목록!$AD$7:$AD$306,$K$1952))</f>
        <v/>
      </c>
      <c r="H1963" s="19" t="n"/>
    </row>
    <row r="1964">
      <c r="B1964" s="3" t="inlineStr">
        <is>
          <t>지급 합계</t>
        </is>
      </c>
      <c r="C1964" s="35">
        <f>IF($K$1952="","",INDEX(직원목록!$V$7:$V$306,$K$1952))</f>
        <v/>
      </c>
      <c r="D1964" s="36" t="n"/>
      <c r="F1964" s="3" t="inlineStr">
        <is>
          <t>공제 합계</t>
        </is>
      </c>
      <c r="G1964" s="35">
        <f>IF($K$1952="","",INDEX(직원목록!$AE$7:$AE$306,$K$1952))</f>
        <v/>
      </c>
      <c r="H1964" s="36" t="n"/>
    </row>
    <row r="1965" ht="28" customHeight="1">
      <c r="B1965" s="37" t="inlineStr">
        <is>
          <t>실 수령액 (지급 합계 − 공제 합계)</t>
        </is>
      </c>
      <c r="C1965" s="29" t="n"/>
      <c r="D1965" s="29" t="n"/>
      <c r="E1965" s="38">
        <f>IF($K$1952="","",INDEX(직원목록!$AF$7:$AF$306,$K$1952))</f>
        <v/>
      </c>
      <c r="F1965" s="29" t="n"/>
      <c r="G1965" s="29" t="n"/>
      <c r="H1965" s="29" t="n"/>
    </row>
    <row r="1966">
      <c r="B1966" s="39">
        <f>IF($K$1952="","",설정!$B$7)</f>
        <v/>
      </c>
    </row>
    <row r="1982" ht="30" customHeight="1">
      <c r="B1982" s="28">
        <f>IF($K$1982="","","임금명세서  ("&amp;설정!$B$5&amp;")")</f>
        <v/>
      </c>
      <c r="K1982" s="34">
        <f>IFERROR(MATCH(67,직원목록!$B$7:$B$306,0),"")</f>
        <v/>
      </c>
    </row>
    <row r="1983">
      <c r="B1983" s="7" t="inlineStr">
        <is>
          <t>회사명</t>
        </is>
      </c>
      <c r="C1983" s="21">
        <f>IF($K$1982="","",설정!$B$4)</f>
        <v/>
      </c>
      <c r="D1983" s="29" t="n"/>
      <c r="E1983" s="19" t="n"/>
      <c r="F1983" s="7" t="inlineStr">
        <is>
          <t>임금 지급일</t>
        </is>
      </c>
      <c r="G1983" s="21">
        <f>IF($K$1982="","",TEXT(설정!$B$6,"yyyy-mm-dd"))</f>
        <v/>
      </c>
      <c r="H1983" s="29" t="n"/>
    </row>
    <row r="1984">
      <c r="B1984" s="7" t="inlineStr">
        <is>
          <t>성명</t>
        </is>
      </c>
      <c r="C1984" s="22">
        <f>IF($K$1982="","",INDEX(직원목록!$D$7:$D$306,$K$1982))</f>
        <v/>
      </c>
      <c r="D1984" s="7" t="inlineStr">
        <is>
          <t>사번</t>
        </is>
      </c>
      <c r="E1984" s="21">
        <f>IF($K$1982="","",INDEX(직원목록!$C$7:$C$306,$K$1982))</f>
        <v/>
      </c>
      <c r="F1984" s="7" t="inlineStr">
        <is>
          <t>부서</t>
        </is>
      </c>
      <c r="G1984" s="21">
        <f>IF($K$1982="","",INDEX(직원목록!$E$7:$E$306,$K$1982))</f>
        <v/>
      </c>
      <c r="H1984" s="29" t="n"/>
    </row>
    <row r="1985">
      <c r="B1985" s="12" t="inlineStr">
        <is>
          <t>지급 항목</t>
        </is>
      </c>
      <c r="C1985" s="12" t="inlineStr">
        <is>
          <t>금액(원)</t>
        </is>
      </c>
      <c r="D1985" s="12" t="inlineStr">
        <is>
          <t>계산 근거</t>
        </is>
      </c>
      <c r="E1985" s="2" t="n"/>
      <c r="F1985" s="12" t="inlineStr">
        <is>
          <t>공제 항목</t>
        </is>
      </c>
      <c r="G1985" s="12" t="inlineStr">
        <is>
          <t>금액(원)</t>
        </is>
      </c>
      <c r="H1985" s="12" t="n"/>
    </row>
    <row r="1986">
      <c r="B1986" s="4">
        <f>IF($K$1982="","",IF(설정!$B$17="","",설정!$B$17))</f>
        <v/>
      </c>
      <c r="C1986" s="31">
        <f>IF(OR($K$1982="",설정!$B$17=""),"",INDEX(직원목록!$F$7:$F$306,$K$1982))</f>
        <v/>
      </c>
      <c r="D1986" s="32">
        <f>IF(OR($K$1982="",설정!$B$17=""),"",IF(N(INDEX(직원목록!$N$7:$N$306,$K$1982))=0,"",INDEX(직원목록!$N$7:$N$306,$K$1982)&amp;"시간"))</f>
        <v/>
      </c>
      <c r="F1986" s="4">
        <f>IF($K$1982="","",IF(설정!$B$26="","",설정!$B$26))</f>
        <v/>
      </c>
      <c r="G1986" s="31">
        <f>IF(OR($K$1982="",설정!$B$26=""),"",INDEX(직원목록!$W$7:$W$306,$K$1982))</f>
        <v/>
      </c>
      <c r="H1986" s="19" t="n"/>
    </row>
    <row r="1987">
      <c r="B1987" s="4">
        <f>IF($K$1982="","",IF(설정!$B$18="","",설정!$B$18))</f>
        <v/>
      </c>
      <c r="C1987" s="31">
        <f>IF(OR($K$1982="",설정!$B$18=""),"",INDEX(직원목록!$G$7:$G$306,$K$1982))</f>
        <v/>
      </c>
      <c r="D1987" s="32">
        <f>IF(OR($K$1982="",설정!$B$18=""),"",IF(N(INDEX(직원목록!$O$7:$O$306,$K$1982))=0,"",INDEX(직원목록!$O$7:$O$306,$K$1982)&amp;"시간"))</f>
        <v/>
      </c>
      <c r="F1987" s="4">
        <f>IF($K$1982="","",IF(설정!$B$27="","",설정!$B$27))</f>
        <v/>
      </c>
      <c r="G1987" s="31">
        <f>IF(OR($K$1982="",설정!$B$27=""),"",INDEX(직원목록!$X$7:$X$306,$K$1982))</f>
        <v/>
      </c>
      <c r="H1987" s="19" t="n"/>
    </row>
    <row r="1988">
      <c r="B1988" s="4">
        <f>IF($K$1982="","",IF(설정!$B$19="","",설정!$B$19))</f>
        <v/>
      </c>
      <c r="C1988" s="31">
        <f>IF(OR($K$1982="",설정!$B$19=""),"",INDEX(직원목록!$H$7:$H$306,$K$1982))</f>
        <v/>
      </c>
      <c r="D1988" s="32">
        <f>IF(OR($K$1982="",설정!$B$19=""),"",IF(N(INDEX(직원목록!$P$7:$P$306,$K$1982))=0,"",INDEX(직원목록!$P$7:$P$306,$K$1982)&amp;"시간"))</f>
        <v/>
      </c>
      <c r="F1988" s="4">
        <f>IF($K$1982="","",IF(설정!$B$28="","",설정!$B$28))</f>
        <v/>
      </c>
      <c r="G1988" s="31">
        <f>IF(OR($K$1982="",설정!$B$28=""),"",INDEX(직원목록!$Y$7:$Y$306,$K$1982))</f>
        <v/>
      </c>
      <c r="H1988" s="19" t="n"/>
    </row>
    <row r="1989">
      <c r="B1989" s="4">
        <f>IF($K$1982="","",IF(설정!$B$20="","",설정!$B$20))</f>
        <v/>
      </c>
      <c r="C1989" s="31">
        <f>IF(OR($K$1982="",설정!$B$20=""),"",INDEX(직원목록!$I$7:$I$306,$K$1982))</f>
        <v/>
      </c>
      <c r="D1989" s="32">
        <f>IF(OR($K$1982="",설정!$B$20=""),"",IF(N(INDEX(직원목록!$Q$7:$Q$306,$K$1982))=0,"",INDEX(직원목록!$Q$7:$Q$306,$K$1982)&amp;"시간"))</f>
        <v/>
      </c>
      <c r="F1989" s="4">
        <f>IF($K$1982="","",IF(설정!$B$29="","",설정!$B$29))</f>
        <v/>
      </c>
      <c r="G1989" s="31">
        <f>IF(OR($K$1982="",설정!$B$29=""),"",INDEX(직원목록!$Z$7:$Z$306,$K$1982))</f>
        <v/>
      </c>
      <c r="H1989" s="19" t="n"/>
    </row>
    <row r="1990">
      <c r="B1990" s="4">
        <f>IF($K$1982="","",IF(설정!$B$21="","",설정!$B$21))</f>
        <v/>
      </c>
      <c r="C1990" s="31">
        <f>IF(OR($K$1982="",설정!$B$21=""),"",INDEX(직원목록!$J$7:$J$306,$K$1982))</f>
        <v/>
      </c>
      <c r="D1990" s="32">
        <f>IF(OR($K$1982="",설정!$B$21=""),"",IF(N(INDEX(직원목록!$R$7:$R$306,$K$1982))=0,"",INDEX(직원목록!$R$7:$R$306,$K$1982)&amp;"시간"))</f>
        <v/>
      </c>
      <c r="F1990" s="4">
        <f>IF($K$1982="","",IF(설정!$B$30="","",설정!$B$30))</f>
        <v/>
      </c>
      <c r="G1990" s="31">
        <f>IF(OR($K$1982="",설정!$B$30=""),"",INDEX(직원목록!$AA$7:$AA$306,$K$1982))</f>
        <v/>
      </c>
      <c r="H1990" s="19" t="n"/>
    </row>
    <row r="1991">
      <c r="B1991" s="4">
        <f>IF($K$1982="","",IF(설정!$B$22="","",설정!$B$22))</f>
        <v/>
      </c>
      <c r="C1991" s="31">
        <f>IF(OR($K$1982="",설정!$B$22=""),"",INDEX(직원목록!$K$7:$K$306,$K$1982))</f>
        <v/>
      </c>
      <c r="D1991" s="32">
        <f>IF(OR($K$1982="",설정!$B$22=""),"",IF(N(INDEX(직원목록!$S$7:$S$306,$K$1982))=0,"",INDEX(직원목록!$S$7:$S$306,$K$1982)&amp;"시간"))</f>
        <v/>
      </c>
      <c r="F1991" s="4">
        <f>IF($K$1982="","",IF(설정!$B$31="","",설정!$B$31))</f>
        <v/>
      </c>
      <c r="G1991" s="31">
        <f>IF(OR($K$1982="",설정!$B$31=""),"",INDEX(직원목록!$AB$7:$AB$306,$K$1982))</f>
        <v/>
      </c>
      <c r="H1991" s="19" t="n"/>
    </row>
    <row r="1992">
      <c r="B1992" s="4">
        <f>IF($K$1982="","",IF(설정!$B$23="","",설정!$B$23))</f>
        <v/>
      </c>
      <c r="C1992" s="31">
        <f>IF(OR($K$1982="",설정!$B$23=""),"",INDEX(직원목록!$L$7:$L$306,$K$1982))</f>
        <v/>
      </c>
      <c r="D1992" s="32">
        <f>IF(OR($K$1982="",설정!$B$23=""),"",IF(N(INDEX(직원목록!$T$7:$T$306,$K$1982))=0,"",INDEX(직원목록!$T$7:$T$306,$K$1982)&amp;"시간"))</f>
        <v/>
      </c>
      <c r="F1992" s="4">
        <f>IF($K$1982="","",IF(설정!$B$32="","",설정!$B$32))</f>
        <v/>
      </c>
      <c r="G1992" s="31">
        <f>IF(OR($K$1982="",설정!$B$32=""),"",INDEX(직원목록!$AC$7:$AC$306,$K$1982))</f>
        <v/>
      </c>
      <c r="H1992" s="19" t="n"/>
    </row>
    <row r="1993">
      <c r="B1993" s="4">
        <f>IF($K$1982="","",IF(설정!$B$24="","",설정!$B$24))</f>
        <v/>
      </c>
      <c r="C1993" s="31">
        <f>IF(OR($K$1982="",설정!$B$24=""),"",INDEX(직원목록!$M$7:$M$306,$K$1982))</f>
        <v/>
      </c>
      <c r="D1993" s="32">
        <f>IF(OR($K$1982="",설정!$B$24=""),"",IF(N(INDEX(직원목록!$U$7:$U$306,$K$1982))=0,"",INDEX(직원목록!$U$7:$U$306,$K$1982)&amp;"시간"))</f>
        <v/>
      </c>
      <c r="F1993" s="4">
        <f>IF($K$1982="","",IF(설정!$B$33="","",설정!$B$33))</f>
        <v/>
      </c>
      <c r="G1993" s="31">
        <f>IF(OR($K$1982="",설정!$B$33=""),"",INDEX(직원목록!$AD$7:$AD$306,$K$1982))</f>
        <v/>
      </c>
      <c r="H1993" s="19" t="n"/>
    </row>
    <row r="1994">
      <c r="B1994" s="3" t="inlineStr">
        <is>
          <t>지급 합계</t>
        </is>
      </c>
      <c r="C1994" s="35">
        <f>IF($K$1982="","",INDEX(직원목록!$V$7:$V$306,$K$1982))</f>
        <v/>
      </c>
      <c r="D1994" s="36" t="n"/>
      <c r="F1994" s="3" t="inlineStr">
        <is>
          <t>공제 합계</t>
        </is>
      </c>
      <c r="G1994" s="35">
        <f>IF($K$1982="","",INDEX(직원목록!$AE$7:$AE$306,$K$1982))</f>
        <v/>
      </c>
      <c r="H1994" s="36" t="n"/>
    </row>
    <row r="1995" ht="28" customHeight="1">
      <c r="B1995" s="37" t="inlineStr">
        <is>
          <t>실 수령액 (지급 합계 − 공제 합계)</t>
        </is>
      </c>
      <c r="C1995" s="29" t="n"/>
      <c r="D1995" s="29" t="n"/>
      <c r="E1995" s="38">
        <f>IF($K$1982="","",INDEX(직원목록!$AF$7:$AF$306,$K$1982))</f>
        <v/>
      </c>
      <c r="F1995" s="29" t="n"/>
      <c r="G1995" s="29" t="n"/>
      <c r="H1995" s="29" t="n"/>
    </row>
    <row r="1996">
      <c r="B1996" s="39">
        <f>IF($K$1982="","",설정!$B$7)</f>
        <v/>
      </c>
    </row>
    <row r="2012" ht="30" customHeight="1">
      <c r="B2012" s="28">
        <f>IF($K$2012="","","임금명세서  ("&amp;설정!$B$5&amp;")")</f>
        <v/>
      </c>
      <c r="K2012" s="34">
        <f>IFERROR(MATCH(68,직원목록!$B$7:$B$306,0),"")</f>
        <v/>
      </c>
    </row>
    <row r="2013">
      <c r="B2013" s="7" t="inlineStr">
        <is>
          <t>회사명</t>
        </is>
      </c>
      <c r="C2013" s="21">
        <f>IF($K$2012="","",설정!$B$4)</f>
        <v/>
      </c>
      <c r="D2013" s="29" t="n"/>
      <c r="E2013" s="19" t="n"/>
      <c r="F2013" s="7" t="inlineStr">
        <is>
          <t>임금 지급일</t>
        </is>
      </c>
      <c r="G2013" s="21">
        <f>IF($K$2012="","",TEXT(설정!$B$6,"yyyy-mm-dd"))</f>
        <v/>
      </c>
      <c r="H2013" s="29" t="n"/>
    </row>
    <row r="2014">
      <c r="B2014" s="7" t="inlineStr">
        <is>
          <t>성명</t>
        </is>
      </c>
      <c r="C2014" s="22">
        <f>IF($K$2012="","",INDEX(직원목록!$D$7:$D$306,$K$2012))</f>
        <v/>
      </c>
      <c r="D2014" s="7" t="inlineStr">
        <is>
          <t>사번</t>
        </is>
      </c>
      <c r="E2014" s="21">
        <f>IF($K$2012="","",INDEX(직원목록!$C$7:$C$306,$K$2012))</f>
        <v/>
      </c>
      <c r="F2014" s="7" t="inlineStr">
        <is>
          <t>부서</t>
        </is>
      </c>
      <c r="G2014" s="21">
        <f>IF($K$2012="","",INDEX(직원목록!$E$7:$E$306,$K$2012))</f>
        <v/>
      </c>
      <c r="H2014" s="29" t="n"/>
    </row>
    <row r="2015">
      <c r="B2015" s="12" t="inlineStr">
        <is>
          <t>지급 항목</t>
        </is>
      </c>
      <c r="C2015" s="12" t="inlineStr">
        <is>
          <t>금액(원)</t>
        </is>
      </c>
      <c r="D2015" s="12" t="inlineStr">
        <is>
          <t>계산 근거</t>
        </is>
      </c>
      <c r="E2015" s="2" t="n"/>
      <c r="F2015" s="12" t="inlineStr">
        <is>
          <t>공제 항목</t>
        </is>
      </c>
      <c r="G2015" s="12" t="inlineStr">
        <is>
          <t>금액(원)</t>
        </is>
      </c>
      <c r="H2015" s="12" t="n"/>
    </row>
    <row r="2016">
      <c r="B2016" s="4">
        <f>IF($K$2012="","",IF(설정!$B$17="","",설정!$B$17))</f>
        <v/>
      </c>
      <c r="C2016" s="31">
        <f>IF(OR($K$2012="",설정!$B$17=""),"",INDEX(직원목록!$F$7:$F$306,$K$2012))</f>
        <v/>
      </c>
      <c r="D2016" s="32">
        <f>IF(OR($K$2012="",설정!$B$17=""),"",IF(N(INDEX(직원목록!$N$7:$N$306,$K$2012))=0,"",INDEX(직원목록!$N$7:$N$306,$K$2012)&amp;"시간"))</f>
        <v/>
      </c>
      <c r="F2016" s="4">
        <f>IF($K$2012="","",IF(설정!$B$26="","",설정!$B$26))</f>
        <v/>
      </c>
      <c r="G2016" s="31">
        <f>IF(OR($K$2012="",설정!$B$26=""),"",INDEX(직원목록!$W$7:$W$306,$K$2012))</f>
        <v/>
      </c>
      <c r="H2016" s="19" t="n"/>
    </row>
    <row r="2017">
      <c r="B2017" s="4">
        <f>IF($K$2012="","",IF(설정!$B$18="","",설정!$B$18))</f>
        <v/>
      </c>
      <c r="C2017" s="31">
        <f>IF(OR($K$2012="",설정!$B$18=""),"",INDEX(직원목록!$G$7:$G$306,$K$2012))</f>
        <v/>
      </c>
      <c r="D2017" s="32">
        <f>IF(OR($K$2012="",설정!$B$18=""),"",IF(N(INDEX(직원목록!$O$7:$O$306,$K$2012))=0,"",INDEX(직원목록!$O$7:$O$306,$K$2012)&amp;"시간"))</f>
        <v/>
      </c>
      <c r="F2017" s="4">
        <f>IF($K$2012="","",IF(설정!$B$27="","",설정!$B$27))</f>
        <v/>
      </c>
      <c r="G2017" s="31">
        <f>IF(OR($K$2012="",설정!$B$27=""),"",INDEX(직원목록!$X$7:$X$306,$K$2012))</f>
        <v/>
      </c>
      <c r="H2017" s="19" t="n"/>
    </row>
    <row r="2018">
      <c r="B2018" s="4">
        <f>IF($K$2012="","",IF(설정!$B$19="","",설정!$B$19))</f>
        <v/>
      </c>
      <c r="C2018" s="31">
        <f>IF(OR($K$2012="",설정!$B$19=""),"",INDEX(직원목록!$H$7:$H$306,$K$2012))</f>
        <v/>
      </c>
      <c r="D2018" s="32">
        <f>IF(OR($K$2012="",설정!$B$19=""),"",IF(N(INDEX(직원목록!$P$7:$P$306,$K$2012))=0,"",INDEX(직원목록!$P$7:$P$306,$K$2012)&amp;"시간"))</f>
        <v/>
      </c>
      <c r="F2018" s="4">
        <f>IF($K$2012="","",IF(설정!$B$28="","",설정!$B$28))</f>
        <v/>
      </c>
      <c r="G2018" s="31">
        <f>IF(OR($K$2012="",설정!$B$28=""),"",INDEX(직원목록!$Y$7:$Y$306,$K$2012))</f>
        <v/>
      </c>
      <c r="H2018" s="19" t="n"/>
    </row>
    <row r="2019">
      <c r="B2019" s="4">
        <f>IF($K$2012="","",IF(설정!$B$20="","",설정!$B$20))</f>
        <v/>
      </c>
      <c r="C2019" s="31">
        <f>IF(OR($K$2012="",설정!$B$20=""),"",INDEX(직원목록!$I$7:$I$306,$K$2012))</f>
        <v/>
      </c>
      <c r="D2019" s="32">
        <f>IF(OR($K$2012="",설정!$B$20=""),"",IF(N(INDEX(직원목록!$Q$7:$Q$306,$K$2012))=0,"",INDEX(직원목록!$Q$7:$Q$306,$K$2012)&amp;"시간"))</f>
        <v/>
      </c>
      <c r="F2019" s="4">
        <f>IF($K$2012="","",IF(설정!$B$29="","",설정!$B$29))</f>
        <v/>
      </c>
      <c r="G2019" s="31">
        <f>IF(OR($K$2012="",설정!$B$29=""),"",INDEX(직원목록!$Z$7:$Z$306,$K$2012))</f>
        <v/>
      </c>
      <c r="H2019" s="19" t="n"/>
    </row>
    <row r="2020">
      <c r="B2020" s="4">
        <f>IF($K$2012="","",IF(설정!$B$21="","",설정!$B$21))</f>
        <v/>
      </c>
      <c r="C2020" s="31">
        <f>IF(OR($K$2012="",설정!$B$21=""),"",INDEX(직원목록!$J$7:$J$306,$K$2012))</f>
        <v/>
      </c>
      <c r="D2020" s="32">
        <f>IF(OR($K$2012="",설정!$B$21=""),"",IF(N(INDEX(직원목록!$R$7:$R$306,$K$2012))=0,"",INDEX(직원목록!$R$7:$R$306,$K$2012)&amp;"시간"))</f>
        <v/>
      </c>
      <c r="F2020" s="4">
        <f>IF($K$2012="","",IF(설정!$B$30="","",설정!$B$30))</f>
        <v/>
      </c>
      <c r="G2020" s="31">
        <f>IF(OR($K$2012="",설정!$B$30=""),"",INDEX(직원목록!$AA$7:$AA$306,$K$2012))</f>
        <v/>
      </c>
      <c r="H2020" s="19" t="n"/>
    </row>
    <row r="2021">
      <c r="B2021" s="4">
        <f>IF($K$2012="","",IF(설정!$B$22="","",설정!$B$22))</f>
        <v/>
      </c>
      <c r="C2021" s="31">
        <f>IF(OR($K$2012="",설정!$B$22=""),"",INDEX(직원목록!$K$7:$K$306,$K$2012))</f>
        <v/>
      </c>
      <c r="D2021" s="32">
        <f>IF(OR($K$2012="",설정!$B$22=""),"",IF(N(INDEX(직원목록!$S$7:$S$306,$K$2012))=0,"",INDEX(직원목록!$S$7:$S$306,$K$2012)&amp;"시간"))</f>
        <v/>
      </c>
      <c r="F2021" s="4">
        <f>IF($K$2012="","",IF(설정!$B$31="","",설정!$B$31))</f>
        <v/>
      </c>
      <c r="G2021" s="31">
        <f>IF(OR($K$2012="",설정!$B$31=""),"",INDEX(직원목록!$AB$7:$AB$306,$K$2012))</f>
        <v/>
      </c>
      <c r="H2021" s="19" t="n"/>
    </row>
    <row r="2022">
      <c r="B2022" s="4">
        <f>IF($K$2012="","",IF(설정!$B$23="","",설정!$B$23))</f>
        <v/>
      </c>
      <c r="C2022" s="31">
        <f>IF(OR($K$2012="",설정!$B$23=""),"",INDEX(직원목록!$L$7:$L$306,$K$2012))</f>
        <v/>
      </c>
      <c r="D2022" s="32">
        <f>IF(OR($K$2012="",설정!$B$23=""),"",IF(N(INDEX(직원목록!$T$7:$T$306,$K$2012))=0,"",INDEX(직원목록!$T$7:$T$306,$K$2012)&amp;"시간"))</f>
        <v/>
      </c>
      <c r="F2022" s="4">
        <f>IF($K$2012="","",IF(설정!$B$32="","",설정!$B$32))</f>
        <v/>
      </c>
      <c r="G2022" s="31">
        <f>IF(OR($K$2012="",설정!$B$32=""),"",INDEX(직원목록!$AC$7:$AC$306,$K$2012))</f>
        <v/>
      </c>
      <c r="H2022" s="19" t="n"/>
    </row>
    <row r="2023">
      <c r="B2023" s="4">
        <f>IF($K$2012="","",IF(설정!$B$24="","",설정!$B$24))</f>
        <v/>
      </c>
      <c r="C2023" s="31">
        <f>IF(OR($K$2012="",설정!$B$24=""),"",INDEX(직원목록!$M$7:$M$306,$K$2012))</f>
        <v/>
      </c>
      <c r="D2023" s="32">
        <f>IF(OR($K$2012="",설정!$B$24=""),"",IF(N(INDEX(직원목록!$U$7:$U$306,$K$2012))=0,"",INDEX(직원목록!$U$7:$U$306,$K$2012)&amp;"시간"))</f>
        <v/>
      </c>
      <c r="F2023" s="4">
        <f>IF($K$2012="","",IF(설정!$B$33="","",설정!$B$33))</f>
        <v/>
      </c>
      <c r="G2023" s="31">
        <f>IF(OR($K$2012="",설정!$B$33=""),"",INDEX(직원목록!$AD$7:$AD$306,$K$2012))</f>
        <v/>
      </c>
      <c r="H2023" s="19" t="n"/>
    </row>
    <row r="2024">
      <c r="B2024" s="3" t="inlineStr">
        <is>
          <t>지급 합계</t>
        </is>
      </c>
      <c r="C2024" s="35">
        <f>IF($K$2012="","",INDEX(직원목록!$V$7:$V$306,$K$2012))</f>
        <v/>
      </c>
      <c r="D2024" s="36" t="n"/>
      <c r="F2024" s="3" t="inlineStr">
        <is>
          <t>공제 합계</t>
        </is>
      </c>
      <c r="G2024" s="35">
        <f>IF($K$2012="","",INDEX(직원목록!$AE$7:$AE$306,$K$2012))</f>
        <v/>
      </c>
      <c r="H2024" s="36" t="n"/>
    </row>
    <row r="2025" ht="28" customHeight="1">
      <c r="B2025" s="37" t="inlineStr">
        <is>
          <t>실 수령액 (지급 합계 − 공제 합계)</t>
        </is>
      </c>
      <c r="C2025" s="29" t="n"/>
      <c r="D2025" s="29" t="n"/>
      <c r="E2025" s="38">
        <f>IF($K$2012="","",INDEX(직원목록!$AF$7:$AF$306,$K$2012))</f>
        <v/>
      </c>
      <c r="F2025" s="29" t="n"/>
      <c r="G2025" s="29" t="n"/>
      <c r="H2025" s="29" t="n"/>
    </row>
    <row r="2026">
      <c r="B2026" s="39">
        <f>IF($K$2012="","",설정!$B$7)</f>
        <v/>
      </c>
    </row>
    <row r="2042" ht="30" customHeight="1">
      <c r="B2042" s="28">
        <f>IF($K$2042="","","임금명세서  ("&amp;설정!$B$5&amp;")")</f>
        <v/>
      </c>
      <c r="K2042" s="34">
        <f>IFERROR(MATCH(69,직원목록!$B$7:$B$306,0),"")</f>
        <v/>
      </c>
    </row>
    <row r="2043">
      <c r="B2043" s="7" t="inlineStr">
        <is>
          <t>회사명</t>
        </is>
      </c>
      <c r="C2043" s="21">
        <f>IF($K$2042="","",설정!$B$4)</f>
        <v/>
      </c>
      <c r="D2043" s="29" t="n"/>
      <c r="E2043" s="19" t="n"/>
      <c r="F2043" s="7" t="inlineStr">
        <is>
          <t>임금 지급일</t>
        </is>
      </c>
      <c r="G2043" s="21">
        <f>IF($K$2042="","",TEXT(설정!$B$6,"yyyy-mm-dd"))</f>
        <v/>
      </c>
      <c r="H2043" s="29" t="n"/>
    </row>
    <row r="2044">
      <c r="B2044" s="7" t="inlineStr">
        <is>
          <t>성명</t>
        </is>
      </c>
      <c r="C2044" s="22">
        <f>IF($K$2042="","",INDEX(직원목록!$D$7:$D$306,$K$2042))</f>
        <v/>
      </c>
      <c r="D2044" s="7" t="inlineStr">
        <is>
          <t>사번</t>
        </is>
      </c>
      <c r="E2044" s="21">
        <f>IF($K$2042="","",INDEX(직원목록!$C$7:$C$306,$K$2042))</f>
        <v/>
      </c>
      <c r="F2044" s="7" t="inlineStr">
        <is>
          <t>부서</t>
        </is>
      </c>
      <c r="G2044" s="21">
        <f>IF($K$2042="","",INDEX(직원목록!$E$7:$E$306,$K$2042))</f>
        <v/>
      </c>
      <c r="H2044" s="29" t="n"/>
    </row>
    <row r="2045">
      <c r="B2045" s="12" t="inlineStr">
        <is>
          <t>지급 항목</t>
        </is>
      </c>
      <c r="C2045" s="12" t="inlineStr">
        <is>
          <t>금액(원)</t>
        </is>
      </c>
      <c r="D2045" s="12" t="inlineStr">
        <is>
          <t>계산 근거</t>
        </is>
      </c>
      <c r="E2045" s="2" t="n"/>
      <c r="F2045" s="12" t="inlineStr">
        <is>
          <t>공제 항목</t>
        </is>
      </c>
      <c r="G2045" s="12" t="inlineStr">
        <is>
          <t>금액(원)</t>
        </is>
      </c>
      <c r="H2045" s="12" t="n"/>
    </row>
    <row r="2046">
      <c r="B2046" s="4">
        <f>IF($K$2042="","",IF(설정!$B$17="","",설정!$B$17))</f>
        <v/>
      </c>
      <c r="C2046" s="31">
        <f>IF(OR($K$2042="",설정!$B$17=""),"",INDEX(직원목록!$F$7:$F$306,$K$2042))</f>
        <v/>
      </c>
      <c r="D2046" s="32">
        <f>IF(OR($K$2042="",설정!$B$17=""),"",IF(N(INDEX(직원목록!$N$7:$N$306,$K$2042))=0,"",INDEX(직원목록!$N$7:$N$306,$K$2042)&amp;"시간"))</f>
        <v/>
      </c>
      <c r="F2046" s="4">
        <f>IF($K$2042="","",IF(설정!$B$26="","",설정!$B$26))</f>
        <v/>
      </c>
      <c r="G2046" s="31">
        <f>IF(OR($K$2042="",설정!$B$26=""),"",INDEX(직원목록!$W$7:$W$306,$K$2042))</f>
        <v/>
      </c>
      <c r="H2046" s="19" t="n"/>
    </row>
    <row r="2047">
      <c r="B2047" s="4">
        <f>IF($K$2042="","",IF(설정!$B$18="","",설정!$B$18))</f>
        <v/>
      </c>
      <c r="C2047" s="31">
        <f>IF(OR($K$2042="",설정!$B$18=""),"",INDEX(직원목록!$G$7:$G$306,$K$2042))</f>
        <v/>
      </c>
      <c r="D2047" s="32">
        <f>IF(OR($K$2042="",설정!$B$18=""),"",IF(N(INDEX(직원목록!$O$7:$O$306,$K$2042))=0,"",INDEX(직원목록!$O$7:$O$306,$K$2042)&amp;"시간"))</f>
        <v/>
      </c>
      <c r="F2047" s="4">
        <f>IF($K$2042="","",IF(설정!$B$27="","",설정!$B$27))</f>
        <v/>
      </c>
      <c r="G2047" s="31">
        <f>IF(OR($K$2042="",설정!$B$27=""),"",INDEX(직원목록!$X$7:$X$306,$K$2042))</f>
        <v/>
      </c>
      <c r="H2047" s="19" t="n"/>
    </row>
    <row r="2048">
      <c r="B2048" s="4">
        <f>IF($K$2042="","",IF(설정!$B$19="","",설정!$B$19))</f>
        <v/>
      </c>
      <c r="C2048" s="31">
        <f>IF(OR($K$2042="",설정!$B$19=""),"",INDEX(직원목록!$H$7:$H$306,$K$2042))</f>
        <v/>
      </c>
      <c r="D2048" s="32">
        <f>IF(OR($K$2042="",설정!$B$19=""),"",IF(N(INDEX(직원목록!$P$7:$P$306,$K$2042))=0,"",INDEX(직원목록!$P$7:$P$306,$K$2042)&amp;"시간"))</f>
        <v/>
      </c>
      <c r="F2048" s="4">
        <f>IF($K$2042="","",IF(설정!$B$28="","",설정!$B$28))</f>
        <v/>
      </c>
      <c r="G2048" s="31">
        <f>IF(OR($K$2042="",설정!$B$28=""),"",INDEX(직원목록!$Y$7:$Y$306,$K$2042))</f>
        <v/>
      </c>
      <c r="H2048" s="19" t="n"/>
    </row>
    <row r="2049">
      <c r="B2049" s="4">
        <f>IF($K$2042="","",IF(설정!$B$20="","",설정!$B$20))</f>
        <v/>
      </c>
      <c r="C2049" s="31">
        <f>IF(OR($K$2042="",설정!$B$20=""),"",INDEX(직원목록!$I$7:$I$306,$K$2042))</f>
        <v/>
      </c>
      <c r="D2049" s="32">
        <f>IF(OR($K$2042="",설정!$B$20=""),"",IF(N(INDEX(직원목록!$Q$7:$Q$306,$K$2042))=0,"",INDEX(직원목록!$Q$7:$Q$306,$K$2042)&amp;"시간"))</f>
        <v/>
      </c>
      <c r="F2049" s="4">
        <f>IF($K$2042="","",IF(설정!$B$29="","",설정!$B$29))</f>
        <v/>
      </c>
      <c r="G2049" s="31">
        <f>IF(OR($K$2042="",설정!$B$29=""),"",INDEX(직원목록!$Z$7:$Z$306,$K$2042))</f>
        <v/>
      </c>
      <c r="H2049" s="19" t="n"/>
    </row>
    <row r="2050">
      <c r="B2050" s="4">
        <f>IF($K$2042="","",IF(설정!$B$21="","",설정!$B$21))</f>
        <v/>
      </c>
      <c r="C2050" s="31">
        <f>IF(OR($K$2042="",설정!$B$21=""),"",INDEX(직원목록!$J$7:$J$306,$K$2042))</f>
        <v/>
      </c>
      <c r="D2050" s="32">
        <f>IF(OR($K$2042="",설정!$B$21=""),"",IF(N(INDEX(직원목록!$R$7:$R$306,$K$2042))=0,"",INDEX(직원목록!$R$7:$R$306,$K$2042)&amp;"시간"))</f>
        <v/>
      </c>
      <c r="F2050" s="4">
        <f>IF($K$2042="","",IF(설정!$B$30="","",설정!$B$30))</f>
        <v/>
      </c>
      <c r="G2050" s="31">
        <f>IF(OR($K$2042="",설정!$B$30=""),"",INDEX(직원목록!$AA$7:$AA$306,$K$2042))</f>
        <v/>
      </c>
      <c r="H2050" s="19" t="n"/>
    </row>
    <row r="2051">
      <c r="B2051" s="4">
        <f>IF($K$2042="","",IF(설정!$B$22="","",설정!$B$22))</f>
        <v/>
      </c>
      <c r="C2051" s="31">
        <f>IF(OR($K$2042="",설정!$B$22=""),"",INDEX(직원목록!$K$7:$K$306,$K$2042))</f>
        <v/>
      </c>
      <c r="D2051" s="32">
        <f>IF(OR($K$2042="",설정!$B$22=""),"",IF(N(INDEX(직원목록!$S$7:$S$306,$K$2042))=0,"",INDEX(직원목록!$S$7:$S$306,$K$2042)&amp;"시간"))</f>
        <v/>
      </c>
      <c r="F2051" s="4">
        <f>IF($K$2042="","",IF(설정!$B$31="","",설정!$B$31))</f>
        <v/>
      </c>
      <c r="G2051" s="31">
        <f>IF(OR($K$2042="",설정!$B$31=""),"",INDEX(직원목록!$AB$7:$AB$306,$K$2042))</f>
        <v/>
      </c>
      <c r="H2051" s="19" t="n"/>
    </row>
    <row r="2052">
      <c r="B2052" s="4">
        <f>IF($K$2042="","",IF(설정!$B$23="","",설정!$B$23))</f>
        <v/>
      </c>
      <c r="C2052" s="31">
        <f>IF(OR($K$2042="",설정!$B$23=""),"",INDEX(직원목록!$L$7:$L$306,$K$2042))</f>
        <v/>
      </c>
      <c r="D2052" s="32">
        <f>IF(OR($K$2042="",설정!$B$23=""),"",IF(N(INDEX(직원목록!$T$7:$T$306,$K$2042))=0,"",INDEX(직원목록!$T$7:$T$306,$K$2042)&amp;"시간"))</f>
        <v/>
      </c>
      <c r="F2052" s="4">
        <f>IF($K$2042="","",IF(설정!$B$32="","",설정!$B$32))</f>
        <v/>
      </c>
      <c r="G2052" s="31">
        <f>IF(OR($K$2042="",설정!$B$32=""),"",INDEX(직원목록!$AC$7:$AC$306,$K$2042))</f>
        <v/>
      </c>
      <c r="H2052" s="19" t="n"/>
    </row>
    <row r="2053">
      <c r="B2053" s="4">
        <f>IF($K$2042="","",IF(설정!$B$24="","",설정!$B$24))</f>
        <v/>
      </c>
      <c r="C2053" s="31">
        <f>IF(OR($K$2042="",설정!$B$24=""),"",INDEX(직원목록!$M$7:$M$306,$K$2042))</f>
        <v/>
      </c>
      <c r="D2053" s="32">
        <f>IF(OR($K$2042="",설정!$B$24=""),"",IF(N(INDEX(직원목록!$U$7:$U$306,$K$2042))=0,"",INDEX(직원목록!$U$7:$U$306,$K$2042)&amp;"시간"))</f>
        <v/>
      </c>
      <c r="F2053" s="4">
        <f>IF($K$2042="","",IF(설정!$B$33="","",설정!$B$33))</f>
        <v/>
      </c>
      <c r="G2053" s="31">
        <f>IF(OR($K$2042="",설정!$B$33=""),"",INDEX(직원목록!$AD$7:$AD$306,$K$2042))</f>
        <v/>
      </c>
      <c r="H2053" s="19" t="n"/>
    </row>
    <row r="2054">
      <c r="B2054" s="3" t="inlineStr">
        <is>
          <t>지급 합계</t>
        </is>
      </c>
      <c r="C2054" s="35">
        <f>IF($K$2042="","",INDEX(직원목록!$V$7:$V$306,$K$2042))</f>
        <v/>
      </c>
      <c r="D2054" s="36" t="n"/>
      <c r="F2054" s="3" t="inlineStr">
        <is>
          <t>공제 합계</t>
        </is>
      </c>
      <c r="G2054" s="35">
        <f>IF($K$2042="","",INDEX(직원목록!$AE$7:$AE$306,$K$2042))</f>
        <v/>
      </c>
      <c r="H2054" s="36" t="n"/>
    </row>
    <row r="2055" ht="28" customHeight="1">
      <c r="B2055" s="37" t="inlineStr">
        <is>
          <t>실 수령액 (지급 합계 − 공제 합계)</t>
        </is>
      </c>
      <c r="C2055" s="29" t="n"/>
      <c r="D2055" s="29" t="n"/>
      <c r="E2055" s="38">
        <f>IF($K$2042="","",INDEX(직원목록!$AF$7:$AF$306,$K$2042))</f>
        <v/>
      </c>
      <c r="F2055" s="29" t="n"/>
      <c r="G2055" s="29" t="n"/>
      <c r="H2055" s="29" t="n"/>
    </row>
    <row r="2056">
      <c r="B2056" s="39">
        <f>IF($K$2042="","",설정!$B$7)</f>
        <v/>
      </c>
    </row>
    <row r="2072" ht="30" customHeight="1">
      <c r="B2072" s="28">
        <f>IF($K$2072="","","임금명세서  ("&amp;설정!$B$5&amp;")")</f>
        <v/>
      </c>
      <c r="K2072" s="34">
        <f>IFERROR(MATCH(70,직원목록!$B$7:$B$306,0),"")</f>
        <v/>
      </c>
    </row>
    <row r="2073">
      <c r="B2073" s="7" t="inlineStr">
        <is>
          <t>회사명</t>
        </is>
      </c>
      <c r="C2073" s="21">
        <f>IF($K$2072="","",설정!$B$4)</f>
        <v/>
      </c>
      <c r="D2073" s="29" t="n"/>
      <c r="E2073" s="19" t="n"/>
      <c r="F2073" s="7" t="inlineStr">
        <is>
          <t>임금 지급일</t>
        </is>
      </c>
      <c r="G2073" s="21">
        <f>IF($K$2072="","",TEXT(설정!$B$6,"yyyy-mm-dd"))</f>
        <v/>
      </c>
      <c r="H2073" s="29" t="n"/>
    </row>
    <row r="2074">
      <c r="B2074" s="7" t="inlineStr">
        <is>
          <t>성명</t>
        </is>
      </c>
      <c r="C2074" s="22">
        <f>IF($K$2072="","",INDEX(직원목록!$D$7:$D$306,$K$2072))</f>
        <v/>
      </c>
      <c r="D2074" s="7" t="inlineStr">
        <is>
          <t>사번</t>
        </is>
      </c>
      <c r="E2074" s="21">
        <f>IF($K$2072="","",INDEX(직원목록!$C$7:$C$306,$K$2072))</f>
        <v/>
      </c>
      <c r="F2074" s="7" t="inlineStr">
        <is>
          <t>부서</t>
        </is>
      </c>
      <c r="G2074" s="21">
        <f>IF($K$2072="","",INDEX(직원목록!$E$7:$E$306,$K$2072))</f>
        <v/>
      </c>
      <c r="H2074" s="29" t="n"/>
    </row>
    <row r="2075">
      <c r="B2075" s="12" t="inlineStr">
        <is>
          <t>지급 항목</t>
        </is>
      </c>
      <c r="C2075" s="12" t="inlineStr">
        <is>
          <t>금액(원)</t>
        </is>
      </c>
      <c r="D2075" s="12" t="inlineStr">
        <is>
          <t>계산 근거</t>
        </is>
      </c>
      <c r="E2075" s="2" t="n"/>
      <c r="F2075" s="12" t="inlineStr">
        <is>
          <t>공제 항목</t>
        </is>
      </c>
      <c r="G2075" s="12" t="inlineStr">
        <is>
          <t>금액(원)</t>
        </is>
      </c>
      <c r="H2075" s="12" t="n"/>
    </row>
    <row r="2076">
      <c r="B2076" s="4">
        <f>IF($K$2072="","",IF(설정!$B$17="","",설정!$B$17))</f>
        <v/>
      </c>
      <c r="C2076" s="31">
        <f>IF(OR($K$2072="",설정!$B$17=""),"",INDEX(직원목록!$F$7:$F$306,$K$2072))</f>
        <v/>
      </c>
      <c r="D2076" s="32">
        <f>IF(OR($K$2072="",설정!$B$17=""),"",IF(N(INDEX(직원목록!$N$7:$N$306,$K$2072))=0,"",INDEX(직원목록!$N$7:$N$306,$K$2072)&amp;"시간"))</f>
        <v/>
      </c>
      <c r="F2076" s="4">
        <f>IF($K$2072="","",IF(설정!$B$26="","",설정!$B$26))</f>
        <v/>
      </c>
      <c r="G2076" s="31">
        <f>IF(OR($K$2072="",설정!$B$26=""),"",INDEX(직원목록!$W$7:$W$306,$K$2072))</f>
        <v/>
      </c>
      <c r="H2076" s="19" t="n"/>
    </row>
    <row r="2077">
      <c r="B2077" s="4">
        <f>IF($K$2072="","",IF(설정!$B$18="","",설정!$B$18))</f>
        <v/>
      </c>
      <c r="C2077" s="31">
        <f>IF(OR($K$2072="",설정!$B$18=""),"",INDEX(직원목록!$G$7:$G$306,$K$2072))</f>
        <v/>
      </c>
      <c r="D2077" s="32">
        <f>IF(OR($K$2072="",설정!$B$18=""),"",IF(N(INDEX(직원목록!$O$7:$O$306,$K$2072))=0,"",INDEX(직원목록!$O$7:$O$306,$K$2072)&amp;"시간"))</f>
        <v/>
      </c>
      <c r="F2077" s="4">
        <f>IF($K$2072="","",IF(설정!$B$27="","",설정!$B$27))</f>
        <v/>
      </c>
      <c r="G2077" s="31">
        <f>IF(OR($K$2072="",설정!$B$27=""),"",INDEX(직원목록!$X$7:$X$306,$K$2072))</f>
        <v/>
      </c>
      <c r="H2077" s="19" t="n"/>
    </row>
    <row r="2078">
      <c r="B2078" s="4">
        <f>IF($K$2072="","",IF(설정!$B$19="","",설정!$B$19))</f>
        <v/>
      </c>
      <c r="C2078" s="31">
        <f>IF(OR($K$2072="",설정!$B$19=""),"",INDEX(직원목록!$H$7:$H$306,$K$2072))</f>
        <v/>
      </c>
      <c r="D2078" s="32">
        <f>IF(OR($K$2072="",설정!$B$19=""),"",IF(N(INDEX(직원목록!$P$7:$P$306,$K$2072))=0,"",INDEX(직원목록!$P$7:$P$306,$K$2072)&amp;"시간"))</f>
        <v/>
      </c>
      <c r="F2078" s="4">
        <f>IF($K$2072="","",IF(설정!$B$28="","",설정!$B$28))</f>
        <v/>
      </c>
      <c r="G2078" s="31">
        <f>IF(OR($K$2072="",설정!$B$28=""),"",INDEX(직원목록!$Y$7:$Y$306,$K$2072))</f>
        <v/>
      </c>
      <c r="H2078" s="19" t="n"/>
    </row>
    <row r="2079">
      <c r="B2079" s="4">
        <f>IF($K$2072="","",IF(설정!$B$20="","",설정!$B$20))</f>
        <v/>
      </c>
      <c r="C2079" s="31">
        <f>IF(OR($K$2072="",설정!$B$20=""),"",INDEX(직원목록!$I$7:$I$306,$K$2072))</f>
        <v/>
      </c>
      <c r="D2079" s="32">
        <f>IF(OR($K$2072="",설정!$B$20=""),"",IF(N(INDEX(직원목록!$Q$7:$Q$306,$K$2072))=0,"",INDEX(직원목록!$Q$7:$Q$306,$K$2072)&amp;"시간"))</f>
        <v/>
      </c>
      <c r="F2079" s="4">
        <f>IF($K$2072="","",IF(설정!$B$29="","",설정!$B$29))</f>
        <v/>
      </c>
      <c r="G2079" s="31">
        <f>IF(OR($K$2072="",설정!$B$29=""),"",INDEX(직원목록!$Z$7:$Z$306,$K$2072))</f>
        <v/>
      </c>
      <c r="H2079" s="19" t="n"/>
    </row>
    <row r="2080">
      <c r="B2080" s="4">
        <f>IF($K$2072="","",IF(설정!$B$21="","",설정!$B$21))</f>
        <v/>
      </c>
      <c r="C2080" s="31">
        <f>IF(OR($K$2072="",설정!$B$21=""),"",INDEX(직원목록!$J$7:$J$306,$K$2072))</f>
        <v/>
      </c>
      <c r="D2080" s="32">
        <f>IF(OR($K$2072="",설정!$B$21=""),"",IF(N(INDEX(직원목록!$R$7:$R$306,$K$2072))=0,"",INDEX(직원목록!$R$7:$R$306,$K$2072)&amp;"시간"))</f>
        <v/>
      </c>
      <c r="F2080" s="4">
        <f>IF($K$2072="","",IF(설정!$B$30="","",설정!$B$30))</f>
        <v/>
      </c>
      <c r="G2080" s="31">
        <f>IF(OR($K$2072="",설정!$B$30=""),"",INDEX(직원목록!$AA$7:$AA$306,$K$2072))</f>
        <v/>
      </c>
      <c r="H2080" s="19" t="n"/>
    </row>
    <row r="2081">
      <c r="B2081" s="4">
        <f>IF($K$2072="","",IF(설정!$B$22="","",설정!$B$22))</f>
        <v/>
      </c>
      <c r="C2081" s="31">
        <f>IF(OR($K$2072="",설정!$B$22=""),"",INDEX(직원목록!$K$7:$K$306,$K$2072))</f>
        <v/>
      </c>
      <c r="D2081" s="32">
        <f>IF(OR($K$2072="",설정!$B$22=""),"",IF(N(INDEX(직원목록!$S$7:$S$306,$K$2072))=0,"",INDEX(직원목록!$S$7:$S$306,$K$2072)&amp;"시간"))</f>
        <v/>
      </c>
      <c r="F2081" s="4">
        <f>IF($K$2072="","",IF(설정!$B$31="","",설정!$B$31))</f>
        <v/>
      </c>
      <c r="G2081" s="31">
        <f>IF(OR($K$2072="",설정!$B$31=""),"",INDEX(직원목록!$AB$7:$AB$306,$K$2072))</f>
        <v/>
      </c>
      <c r="H2081" s="19" t="n"/>
    </row>
    <row r="2082">
      <c r="B2082" s="4">
        <f>IF($K$2072="","",IF(설정!$B$23="","",설정!$B$23))</f>
        <v/>
      </c>
      <c r="C2082" s="31">
        <f>IF(OR($K$2072="",설정!$B$23=""),"",INDEX(직원목록!$L$7:$L$306,$K$2072))</f>
        <v/>
      </c>
      <c r="D2082" s="32">
        <f>IF(OR($K$2072="",설정!$B$23=""),"",IF(N(INDEX(직원목록!$T$7:$T$306,$K$2072))=0,"",INDEX(직원목록!$T$7:$T$306,$K$2072)&amp;"시간"))</f>
        <v/>
      </c>
      <c r="F2082" s="4">
        <f>IF($K$2072="","",IF(설정!$B$32="","",설정!$B$32))</f>
        <v/>
      </c>
      <c r="G2082" s="31">
        <f>IF(OR($K$2072="",설정!$B$32=""),"",INDEX(직원목록!$AC$7:$AC$306,$K$2072))</f>
        <v/>
      </c>
      <c r="H2082" s="19" t="n"/>
    </row>
    <row r="2083">
      <c r="B2083" s="4">
        <f>IF($K$2072="","",IF(설정!$B$24="","",설정!$B$24))</f>
        <v/>
      </c>
      <c r="C2083" s="31">
        <f>IF(OR($K$2072="",설정!$B$24=""),"",INDEX(직원목록!$M$7:$M$306,$K$2072))</f>
        <v/>
      </c>
      <c r="D2083" s="32">
        <f>IF(OR($K$2072="",설정!$B$24=""),"",IF(N(INDEX(직원목록!$U$7:$U$306,$K$2072))=0,"",INDEX(직원목록!$U$7:$U$306,$K$2072)&amp;"시간"))</f>
        <v/>
      </c>
      <c r="F2083" s="4">
        <f>IF($K$2072="","",IF(설정!$B$33="","",설정!$B$33))</f>
        <v/>
      </c>
      <c r="G2083" s="31">
        <f>IF(OR($K$2072="",설정!$B$33=""),"",INDEX(직원목록!$AD$7:$AD$306,$K$2072))</f>
        <v/>
      </c>
      <c r="H2083" s="19" t="n"/>
    </row>
    <row r="2084">
      <c r="B2084" s="3" t="inlineStr">
        <is>
          <t>지급 합계</t>
        </is>
      </c>
      <c r="C2084" s="35">
        <f>IF($K$2072="","",INDEX(직원목록!$V$7:$V$306,$K$2072))</f>
        <v/>
      </c>
      <c r="D2084" s="36" t="n"/>
      <c r="F2084" s="3" t="inlineStr">
        <is>
          <t>공제 합계</t>
        </is>
      </c>
      <c r="G2084" s="35">
        <f>IF($K$2072="","",INDEX(직원목록!$AE$7:$AE$306,$K$2072))</f>
        <v/>
      </c>
      <c r="H2084" s="36" t="n"/>
    </row>
    <row r="2085" ht="28" customHeight="1">
      <c r="B2085" s="37" t="inlineStr">
        <is>
          <t>실 수령액 (지급 합계 − 공제 합계)</t>
        </is>
      </c>
      <c r="C2085" s="29" t="n"/>
      <c r="D2085" s="29" t="n"/>
      <c r="E2085" s="38">
        <f>IF($K$2072="","",INDEX(직원목록!$AF$7:$AF$306,$K$2072))</f>
        <v/>
      </c>
      <c r="F2085" s="29" t="n"/>
      <c r="G2085" s="29" t="n"/>
      <c r="H2085" s="29" t="n"/>
    </row>
    <row r="2086">
      <c r="B2086" s="39">
        <f>IF($K$2072="","",설정!$B$7)</f>
        <v/>
      </c>
    </row>
    <row r="2102" ht="30" customHeight="1">
      <c r="B2102" s="28">
        <f>IF($K$2102="","","임금명세서  ("&amp;설정!$B$5&amp;")")</f>
        <v/>
      </c>
      <c r="K2102" s="34">
        <f>IFERROR(MATCH(71,직원목록!$B$7:$B$306,0),"")</f>
        <v/>
      </c>
    </row>
    <row r="2103">
      <c r="B2103" s="7" t="inlineStr">
        <is>
          <t>회사명</t>
        </is>
      </c>
      <c r="C2103" s="21">
        <f>IF($K$2102="","",설정!$B$4)</f>
        <v/>
      </c>
      <c r="D2103" s="29" t="n"/>
      <c r="E2103" s="19" t="n"/>
      <c r="F2103" s="7" t="inlineStr">
        <is>
          <t>임금 지급일</t>
        </is>
      </c>
      <c r="G2103" s="21">
        <f>IF($K$2102="","",TEXT(설정!$B$6,"yyyy-mm-dd"))</f>
        <v/>
      </c>
      <c r="H2103" s="29" t="n"/>
    </row>
    <row r="2104">
      <c r="B2104" s="7" t="inlineStr">
        <is>
          <t>성명</t>
        </is>
      </c>
      <c r="C2104" s="22">
        <f>IF($K$2102="","",INDEX(직원목록!$D$7:$D$306,$K$2102))</f>
        <v/>
      </c>
      <c r="D2104" s="7" t="inlineStr">
        <is>
          <t>사번</t>
        </is>
      </c>
      <c r="E2104" s="21">
        <f>IF($K$2102="","",INDEX(직원목록!$C$7:$C$306,$K$2102))</f>
        <v/>
      </c>
      <c r="F2104" s="7" t="inlineStr">
        <is>
          <t>부서</t>
        </is>
      </c>
      <c r="G2104" s="21">
        <f>IF($K$2102="","",INDEX(직원목록!$E$7:$E$306,$K$2102))</f>
        <v/>
      </c>
      <c r="H2104" s="29" t="n"/>
    </row>
    <row r="2105">
      <c r="B2105" s="12" t="inlineStr">
        <is>
          <t>지급 항목</t>
        </is>
      </c>
      <c r="C2105" s="12" t="inlineStr">
        <is>
          <t>금액(원)</t>
        </is>
      </c>
      <c r="D2105" s="12" t="inlineStr">
        <is>
          <t>계산 근거</t>
        </is>
      </c>
      <c r="E2105" s="2" t="n"/>
      <c r="F2105" s="12" t="inlineStr">
        <is>
          <t>공제 항목</t>
        </is>
      </c>
      <c r="G2105" s="12" t="inlineStr">
        <is>
          <t>금액(원)</t>
        </is>
      </c>
      <c r="H2105" s="12" t="n"/>
    </row>
    <row r="2106">
      <c r="B2106" s="4">
        <f>IF($K$2102="","",IF(설정!$B$17="","",설정!$B$17))</f>
        <v/>
      </c>
      <c r="C2106" s="31">
        <f>IF(OR($K$2102="",설정!$B$17=""),"",INDEX(직원목록!$F$7:$F$306,$K$2102))</f>
        <v/>
      </c>
      <c r="D2106" s="32">
        <f>IF(OR($K$2102="",설정!$B$17=""),"",IF(N(INDEX(직원목록!$N$7:$N$306,$K$2102))=0,"",INDEX(직원목록!$N$7:$N$306,$K$2102)&amp;"시간"))</f>
        <v/>
      </c>
      <c r="F2106" s="4">
        <f>IF($K$2102="","",IF(설정!$B$26="","",설정!$B$26))</f>
        <v/>
      </c>
      <c r="G2106" s="31">
        <f>IF(OR($K$2102="",설정!$B$26=""),"",INDEX(직원목록!$W$7:$W$306,$K$2102))</f>
        <v/>
      </c>
      <c r="H2106" s="19" t="n"/>
    </row>
    <row r="2107">
      <c r="B2107" s="4">
        <f>IF($K$2102="","",IF(설정!$B$18="","",설정!$B$18))</f>
        <v/>
      </c>
      <c r="C2107" s="31">
        <f>IF(OR($K$2102="",설정!$B$18=""),"",INDEX(직원목록!$G$7:$G$306,$K$2102))</f>
        <v/>
      </c>
      <c r="D2107" s="32">
        <f>IF(OR($K$2102="",설정!$B$18=""),"",IF(N(INDEX(직원목록!$O$7:$O$306,$K$2102))=0,"",INDEX(직원목록!$O$7:$O$306,$K$2102)&amp;"시간"))</f>
        <v/>
      </c>
      <c r="F2107" s="4">
        <f>IF($K$2102="","",IF(설정!$B$27="","",설정!$B$27))</f>
        <v/>
      </c>
      <c r="G2107" s="31">
        <f>IF(OR($K$2102="",설정!$B$27=""),"",INDEX(직원목록!$X$7:$X$306,$K$2102))</f>
        <v/>
      </c>
      <c r="H2107" s="19" t="n"/>
    </row>
    <row r="2108">
      <c r="B2108" s="4">
        <f>IF($K$2102="","",IF(설정!$B$19="","",설정!$B$19))</f>
        <v/>
      </c>
      <c r="C2108" s="31">
        <f>IF(OR($K$2102="",설정!$B$19=""),"",INDEX(직원목록!$H$7:$H$306,$K$2102))</f>
        <v/>
      </c>
      <c r="D2108" s="32">
        <f>IF(OR($K$2102="",설정!$B$19=""),"",IF(N(INDEX(직원목록!$P$7:$P$306,$K$2102))=0,"",INDEX(직원목록!$P$7:$P$306,$K$2102)&amp;"시간"))</f>
        <v/>
      </c>
      <c r="F2108" s="4">
        <f>IF($K$2102="","",IF(설정!$B$28="","",설정!$B$28))</f>
        <v/>
      </c>
      <c r="G2108" s="31">
        <f>IF(OR($K$2102="",설정!$B$28=""),"",INDEX(직원목록!$Y$7:$Y$306,$K$2102))</f>
        <v/>
      </c>
      <c r="H2108" s="19" t="n"/>
    </row>
    <row r="2109">
      <c r="B2109" s="4">
        <f>IF($K$2102="","",IF(설정!$B$20="","",설정!$B$20))</f>
        <v/>
      </c>
      <c r="C2109" s="31">
        <f>IF(OR($K$2102="",설정!$B$20=""),"",INDEX(직원목록!$I$7:$I$306,$K$2102))</f>
        <v/>
      </c>
      <c r="D2109" s="32">
        <f>IF(OR($K$2102="",설정!$B$20=""),"",IF(N(INDEX(직원목록!$Q$7:$Q$306,$K$2102))=0,"",INDEX(직원목록!$Q$7:$Q$306,$K$2102)&amp;"시간"))</f>
        <v/>
      </c>
      <c r="F2109" s="4">
        <f>IF($K$2102="","",IF(설정!$B$29="","",설정!$B$29))</f>
        <v/>
      </c>
      <c r="G2109" s="31">
        <f>IF(OR($K$2102="",설정!$B$29=""),"",INDEX(직원목록!$Z$7:$Z$306,$K$2102))</f>
        <v/>
      </c>
      <c r="H2109" s="19" t="n"/>
    </row>
    <row r="2110">
      <c r="B2110" s="4">
        <f>IF($K$2102="","",IF(설정!$B$21="","",설정!$B$21))</f>
        <v/>
      </c>
      <c r="C2110" s="31">
        <f>IF(OR($K$2102="",설정!$B$21=""),"",INDEX(직원목록!$J$7:$J$306,$K$2102))</f>
        <v/>
      </c>
      <c r="D2110" s="32">
        <f>IF(OR($K$2102="",설정!$B$21=""),"",IF(N(INDEX(직원목록!$R$7:$R$306,$K$2102))=0,"",INDEX(직원목록!$R$7:$R$306,$K$2102)&amp;"시간"))</f>
        <v/>
      </c>
      <c r="F2110" s="4">
        <f>IF($K$2102="","",IF(설정!$B$30="","",설정!$B$30))</f>
        <v/>
      </c>
      <c r="G2110" s="31">
        <f>IF(OR($K$2102="",설정!$B$30=""),"",INDEX(직원목록!$AA$7:$AA$306,$K$2102))</f>
        <v/>
      </c>
      <c r="H2110" s="19" t="n"/>
    </row>
    <row r="2111">
      <c r="B2111" s="4">
        <f>IF($K$2102="","",IF(설정!$B$22="","",설정!$B$22))</f>
        <v/>
      </c>
      <c r="C2111" s="31">
        <f>IF(OR($K$2102="",설정!$B$22=""),"",INDEX(직원목록!$K$7:$K$306,$K$2102))</f>
        <v/>
      </c>
      <c r="D2111" s="32">
        <f>IF(OR($K$2102="",설정!$B$22=""),"",IF(N(INDEX(직원목록!$S$7:$S$306,$K$2102))=0,"",INDEX(직원목록!$S$7:$S$306,$K$2102)&amp;"시간"))</f>
        <v/>
      </c>
      <c r="F2111" s="4">
        <f>IF($K$2102="","",IF(설정!$B$31="","",설정!$B$31))</f>
        <v/>
      </c>
      <c r="G2111" s="31">
        <f>IF(OR($K$2102="",설정!$B$31=""),"",INDEX(직원목록!$AB$7:$AB$306,$K$2102))</f>
        <v/>
      </c>
      <c r="H2111" s="19" t="n"/>
    </row>
    <row r="2112">
      <c r="B2112" s="4">
        <f>IF($K$2102="","",IF(설정!$B$23="","",설정!$B$23))</f>
        <v/>
      </c>
      <c r="C2112" s="31">
        <f>IF(OR($K$2102="",설정!$B$23=""),"",INDEX(직원목록!$L$7:$L$306,$K$2102))</f>
        <v/>
      </c>
      <c r="D2112" s="32">
        <f>IF(OR($K$2102="",설정!$B$23=""),"",IF(N(INDEX(직원목록!$T$7:$T$306,$K$2102))=0,"",INDEX(직원목록!$T$7:$T$306,$K$2102)&amp;"시간"))</f>
        <v/>
      </c>
      <c r="F2112" s="4">
        <f>IF($K$2102="","",IF(설정!$B$32="","",설정!$B$32))</f>
        <v/>
      </c>
      <c r="G2112" s="31">
        <f>IF(OR($K$2102="",설정!$B$32=""),"",INDEX(직원목록!$AC$7:$AC$306,$K$2102))</f>
        <v/>
      </c>
      <c r="H2112" s="19" t="n"/>
    </row>
    <row r="2113">
      <c r="B2113" s="4">
        <f>IF($K$2102="","",IF(설정!$B$24="","",설정!$B$24))</f>
        <v/>
      </c>
      <c r="C2113" s="31">
        <f>IF(OR($K$2102="",설정!$B$24=""),"",INDEX(직원목록!$M$7:$M$306,$K$2102))</f>
        <v/>
      </c>
      <c r="D2113" s="32">
        <f>IF(OR($K$2102="",설정!$B$24=""),"",IF(N(INDEX(직원목록!$U$7:$U$306,$K$2102))=0,"",INDEX(직원목록!$U$7:$U$306,$K$2102)&amp;"시간"))</f>
        <v/>
      </c>
      <c r="F2113" s="4">
        <f>IF($K$2102="","",IF(설정!$B$33="","",설정!$B$33))</f>
        <v/>
      </c>
      <c r="G2113" s="31">
        <f>IF(OR($K$2102="",설정!$B$33=""),"",INDEX(직원목록!$AD$7:$AD$306,$K$2102))</f>
        <v/>
      </c>
      <c r="H2113" s="19" t="n"/>
    </row>
    <row r="2114">
      <c r="B2114" s="3" t="inlineStr">
        <is>
          <t>지급 합계</t>
        </is>
      </c>
      <c r="C2114" s="35">
        <f>IF($K$2102="","",INDEX(직원목록!$V$7:$V$306,$K$2102))</f>
        <v/>
      </c>
      <c r="D2114" s="36" t="n"/>
      <c r="F2114" s="3" t="inlineStr">
        <is>
          <t>공제 합계</t>
        </is>
      </c>
      <c r="G2114" s="35">
        <f>IF($K$2102="","",INDEX(직원목록!$AE$7:$AE$306,$K$2102))</f>
        <v/>
      </c>
      <c r="H2114" s="36" t="n"/>
    </row>
    <row r="2115" ht="28" customHeight="1">
      <c r="B2115" s="37" t="inlineStr">
        <is>
          <t>실 수령액 (지급 합계 − 공제 합계)</t>
        </is>
      </c>
      <c r="C2115" s="29" t="n"/>
      <c r="D2115" s="29" t="n"/>
      <c r="E2115" s="38">
        <f>IF($K$2102="","",INDEX(직원목록!$AF$7:$AF$306,$K$2102))</f>
        <v/>
      </c>
      <c r="F2115" s="29" t="n"/>
      <c r="G2115" s="29" t="n"/>
      <c r="H2115" s="29" t="n"/>
    </row>
    <row r="2116">
      <c r="B2116" s="39">
        <f>IF($K$2102="","",설정!$B$7)</f>
        <v/>
      </c>
    </row>
    <row r="2132" ht="30" customHeight="1">
      <c r="B2132" s="28">
        <f>IF($K$2132="","","임금명세서  ("&amp;설정!$B$5&amp;")")</f>
        <v/>
      </c>
      <c r="K2132" s="34">
        <f>IFERROR(MATCH(72,직원목록!$B$7:$B$306,0),"")</f>
        <v/>
      </c>
    </row>
    <row r="2133">
      <c r="B2133" s="7" t="inlineStr">
        <is>
          <t>회사명</t>
        </is>
      </c>
      <c r="C2133" s="21">
        <f>IF($K$2132="","",설정!$B$4)</f>
        <v/>
      </c>
      <c r="D2133" s="29" t="n"/>
      <c r="E2133" s="19" t="n"/>
      <c r="F2133" s="7" t="inlineStr">
        <is>
          <t>임금 지급일</t>
        </is>
      </c>
      <c r="G2133" s="21">
        <f>IF($K$2132="","",TEXT(설정!$B$6,"yyyy-mm-dd"))</f>
        <v/>
      </c>
      <c r="H2133" s="29" t="n"/>
    </row>
    <row r="2134">
      <c r="B2134" s="7" t="inlineStr">
        <is>
          <t>성명</t>
        </is>
      </c>
      <c r="C2134" s="22">
        <f>IF($K$2132="","",INDEX(직원목록!$D$7:$D$306,$K$2132))</f>
        <v/>
      </c>
      <c r="D2134" s="7" t="inlineStr">
        <is>
          <t>사번</t>
        </is>
      </c>
      <c r="E2134" s="21">
        <f>IF($K$2132="","",INDEX(직원목록!$C$7:$C$306,$K$2132))</f>
        <v/>
      </c>
      <c r="F2134" s="7" t="inlineStr">
        <is>
          <t>부서</t>
        </is>
      </c>
      <c r="G2134" s="21">
        <f>IF($K$2132="","",INDEX(직원목록!$E$7:$E$306,$K$2132))</f>
        <v/>
      </c>
      <c r="H2134" s="29" t="n"/>
    </row>
    <row r="2135">
      <c r="B2135" s="12" t="inlineStr">
        <is>
          <t>지급 항목</t>
        </is>
      </c>
      <c r="C2135" s="12" t="inlineStr">
        <is>
          <t>금액(원)</t>
        </is>
      </c>
      <c r="D2135" s="12" t="inlineStr">
        <is>
          <t>계산 근거</t>
        </is>
      </c>
      <c r="E2135" s="2" t="n"/>
      <c r="F2135" s="12" t="inlineStr">
        <is>
          <t>공제 항목</t>
        </is>
      </c>
      <c r="G2135" s="12" t="inlineStr">
        <is>
          <t>금액(원)</t>
        </is>
      </c>
      <c r="H2135" s="12" t="n"/>
    </row>
    <row r="2136">
      <c r="B2136" s="4">
        <f>IF($K$2132="","",IF(설정!$B$17="","",설정!$B$17))</f>
        <v/>
      </c>
      <c r="C2136" s="31">
        <f>IF(OR($K$2132="",설정!$B$17=""),"",INDEX(직원목록!$F$7:$F$306,$K$2132))</f>
        <v/>
      </c>
      <c r="D2136" s="32">
        <f>IF(OR($K$2132="",설정!$B$17=""),"",IF(N(INDEX(직원목록!$N$7:$N$306,$K$2132))=0,"",INDEX(직원목록!$N$7:$N$306,$K$2132)&amp;"시간"))</f>
        <v/>
      </c>
      <c r="F2136" s="4">
        <f>IF($K$2132="","",IF(설정!$B$26="","",설정!$B$26))</f>
        <v/>
      </c>
      <c r="G2136" s="31">
        <f>IF(OR($K$2132="",설정!$B$26=""),"",INDEX(직원목록!$W$7:$W$306,$K$2132))</f>
        <v/>
      </c>
      <c r="H2136" s="19" t="n"/>
    </row>
    <row r="2137">
      <c r="B2137" s="4">
        <f>IF($K$2132="","",IF(설정!$B$18="","",설정!$B$18))</f>
        <v/>
      </c>
      <c r="C2137" s="31">
        <f>IF(OR($K$2132="",설정!$B$18=""),"",INDEX(직원목록!$G$7:$G$306,$K$2132))</f>
        <v/>
      </c>
      <c r="D2137" s="32">
        <f>IF(OR($K$2132="",설정!$B$18=""),"",IF(N(INDEX(직원목록!$O$7:$O$306,$K$2132))=0,"",INDEX(직원목록!$O$7:$O$306,$K$2132)&amp;"시간"))</f>
        <v/>
      </c>
      <c r="F2137" s="4">
        <f>IF($K$2132="","",IF(설정!$B$27="","",설정!$B$27))</f>
        <v/>
      </c>
      <c r="G2137" s="31">
        <f>IF(OR($K$2132="",설정!$B$27=""),"",INDEX(직원목록!$X$7:$X$306,$K$2132))</f>
        <v/>
      </c>
      <c r="H2137" s="19" t="n"/>
    </row>
    <row r="2138">
      <c r="B2138" s="4">
        <f>IF($K$2132="","",IF(설정!$B$19="","",설정!$B$19))</f>
        <v/>
      </c>
      <c r="C2138" s="31">
        <f>IF(OR($K$2132="",설정!$B$19=""),"",INDEX(직원목록!$H$7:$H$306,$K$2132))</f>
        <v/>
      </c>
      <c r="D2138" s="32">
        <f>IF(OR($K$2132="",설정!$B$19=""),"",IF(N(INDEX(직원목록!$P$7:$P$306,$K$2132))=0,"",INDEX(직원목록!$P$7:$P$306,$K$2132)&amp;"시간"))</f>
        <v/>
      </c>
      <c r="F2138" s="4">
        <f>IF($K$2132="","",IF(설정!$B$28="","",설정!$B$28))</f>
        <v/>
      </c>
      <c r="G2138" s="31">
        <f>IF(OR($K$2132="",설정!$B$28=""),"",INDEX(직원목록!$Y$7:$Y$306,$K$2132))</f>
        <v/>
      </c>
      <c r="H2138" s="19" t="n"/>
    </row>
    <row r="2139">
      <c r="B2139" s="4">
        <f>IF($K$2132="","",IF(설정!$B$20="","",설정!$B$20))</f>
        <v/>
      </c>
      <c r="C2139" s="31">
        <f>IF(OR($K$2132="",설정!$B$20=""),"",INDEX(직원목록!$I$7:$I$306,$K$2132))</f>
        <v/>
      </c>
      <c r="D2139" s="32">
        <f>IF(OR($K$2132="",설정!$B$20=""),"",IF(N(INDEX(직원목록!$Q$7:$Q$306,$K$2132))=0,"",INDEX(직원목록!$Q$7:$Q$306,$K$2132)&amp;"시간"))</f>
        <v/>
      </c>
      <c r="F2139" s="4">
        <f>IF($K$2132="","",IF(설정!$B$29="","",설정!$B$29))</f>
        <v/>
      </c>
      <c r="G2139" s="31">
        <f>IF(OR($K$2132="",설정!$B$29=""),"",INDEX(직원목록!$Z$7:$Z$306,$K$2132))</f>
        <v/>
      </c>
      <c r="H2139" s="19" t="n"/>
    </row>
    <row r="2140">
      <c r="B2140" s="4">
        <f>IF($K$2132="","",IF(설정!$B$21="","",설정!$B$21))</f>
        <v/>
      </c>
      <c r="C2140" s="31">
        <f>IF(OR($K$2132="",설정!$B$21=""),"",INDEX(직원목록!$J$7:$J$306,$K$2132))</f>
        <v/>
      </c>
      <c r="D2140" s="32">
        <f>IF(OR($K$2132="",설정!$B$21=""),"",IF(N(INDEX(직원목록!$R$7:$R$306,$K$2132))=0,"",INDEX(직원목록!$R$7:$R$306,$K$2132)&amp;"시간"))</f>
        <v/>
      </c>
      <c r="F2140" s="4">
        <f>IF($K$2132="","",IF(설정!$B$30="","",설정!$B$30))</f>
        <v/>
      </c>
      <c r="G2140" s="31">
        <f>IF(OR($K$2132="",설정!$B$30=""),"",INDEX(직원목록!$AA$7:$AA$306,$K$2132))</f>
        <v/>
      </c>
      <c r="H2140" s="19" t="n"/>
    </row>
    <row r="2141">
      <c r="B2141" s="4">
        <f>IF($K$2132="","",IF(설정!$B$22="","",설정!$B$22))</f>
        <v/>
      </c>
      <c r="C2141" s="31">
        <f>IF(OR($K$2132="",설정!$B$22=""),"",INDEX(직원목록!$K$7:$K$306,$K$2132))</f>
        <v/>
      </c>
      <c r="D2141" s="32">
        <f>IF(OR($K$2132="",설정!$B$22=""),"",IF(N(INDEX(직원목록!$S$7:$S$306,$K$2132))=0,"",INDEX(직원목록!$S$7:$S$306,$K$2132)&amp;"시간"))</f>
        <v/>
      </c>
      <c r="F2141" s="4">
        <f>IF($K$2132="","",IF(설정!$B$31="","",설정!$B$31))</f>
        <v/>
      </c>
      <c r="G2141" s="31">
        <f>IF(OR($K$2132="",설정!$B$31=""),"",INDEX(직원목록!$AB$7:$AB$306,$K$2132))</f>
        <v/>
      </c>
      <c r="H2141" s="19" t="n"/>
    </row>
    <row r="2142">
      <c r="B2142" s="4">
        <f>IF($K$2132="","",IF(설정!$B$23="","",설정!$B$23))</f>
        <v/>
      </c>
      <c r="C2142" s="31">
        <f>IF(OR($K$2132="",설정!$B$23=""),"",INDEX(직원목록!$L$7:$L$306,$K$2132))</f>
        <v/>
      </c>
      <c r="D2142" s="32">
        <f>IF(OR($K$2132="",설정!$B$23=""),"",IF(N(INDEX(직원목록!$T$7:$T$306,$K$2132))=0,"",INDEX(직원목록!$T$7:$T$306,$K$2132)&amp;"시간"))</f>
        <v/>
      </c>
      <c r="F2142" s="4">
        <f>IF($K$2132="","",IF(설정!$B$32="","",설정!$B$32))</f>
        <v/>
      </c>
      <c r="G2142" s="31">
        <f>IF(OR($K$2132="",설정!$B$32=""),"",INDEX(직원목록!$AC$7:$AC$306,$K$2132))</f>
        <v/>
      </c>
      <c r="H2142" s="19" t="n"/>
    </row>
    <row r="2143">
      <c r="B2143" s="4">
        <f>IF($K$2132="","",IF(설정!$B$24="","",설정!$B$24))</f>
        <v/>
      </c>
      <c r="C2143" s="31">
        <f>IF(OR($K$2132="",설정!$B$24=""),"",INDEX(직원목록!$M$7:$M$306,$K$2132))</f>
        <v/>
      </c>
      <c r="D2143" s="32">
        <f>IF(OR($K$2132="",설정!$B$24=""),"",IF(N(INDEX(직원목록!$U$7:$U$306,$K$2132))=0,"",INDEX(직원목록!$U$7:$U$306,$K$2132)&amp;"시간"))</f>
        <v/>
      </c>
      <c r="F2143" s="4">
        <f>IF($K$2132="","",IF(설정!$B$33="","",설정!$B$33))</f>
        <v/>
      </c>
      <c r="G2143" s="31">
        <f>IF(OR($K$2132="",설정!$B$33=""),"",INDEX(직원목록!$AD$7:$AD$306,$K$2132))</f>
        <v/>
      </c>
      <c r="H2143" s="19" t="n"/>
    </row>
    <row r="2144">
      <c r="B2144" s="3" t="inlineStr">
        <is>
          <t>지급 합계</t>
        </is>
      </c>
      <c r="C2144" s="35">
        <f>IF($K$2132="","",INDEX(직원목록!$V$7:$V$306,$K$2132))</f>
        <v/>
      </c>
      <c r="D2144" s="36" t="n"/>
      <c r="F2144" s="3" t="inlineStr">
        <is>
          <t>공제 합계</t>
        </is>
      </c>
      <c r="G2144" s="35">
        <f>IF($K$2132="","",INDEX(직원목록!$AE$7:$AE$306,$K$2132))</f>
        <v/>
      </c>
      <c r="H2144" s="36" t="n"/>
    </row>
    <row r="2145" ht="28" customHeight="1">
      <c r="B2145" s="37" t="inlineStr">
        <is>
          <t>실 수령액 (지급 합계 − 공제 합계)</t>
        </is>
      </c>
      <c r="C2145" s="29" t="n"/>
      <c r="D2145" s="29" t="n"/>
      <c r="E2145" s="38">
        <f>IF($K$2132="","",INDEX(직원목록!$AF$7:$AF$306,$K$2132))</f>
        <v/>
      </c>
      <c r="F2145" s="29" t="n"/>
      <c r="G2145" s="29" t="n"/>
      <c r="H2145" s="29" t="n"/>
    </row>
    <row r="2146">
      <c r="B2146" s="39">
        <f>IF($K$2132="","",설정!$B$7)</f>
        <v/>
      </c>
    </row>
    <row r="2162" ht="30" customHeight="1">
      <c r="B2162" s="28">
        <f>IF($K$2162="","","임금명세서  ("&amp;설정!$B$5&amp;")")</f>
        <v/>
      </c>
      <c r="K2162" s="34">
        <f>IFERROR(MATCH(73,직원목록!$B$7:$B$306,0),"")</f>
        <v/>
      </c>
    </row>
    <row r="2163">
      <c r="B2163" s="7" t="inlineStr">
        <is>
          <t>회사명</t>
        </is>
      </c>
      <c r="C2163" s="21">
        <f>IF($K$2162="","",설정!$B$4)</f>
        <v/>
      </c>
      <c r="D2163" s="29" t="n"/>
      <c r="E2163" s="19" t="n"/>
      <c r="F2163" s="7" t="inlineStr">
        <is>
          <t>임금 지급일</t>
        </is>
      </c>
      <c r="G2163" s="21">
        <f>IF($K$2162="","",TEXT(설정!$B$6,"yyyy-mm-dd"))</f>
        <v/>
      </c>
      <c r="H2163" s="29" t="n"/>
    </row>
    <row r="2164">
      <c r="B2164" s="7" t="inlineStr">
        <is>
          <t>성명</t>
        </is>
      </c>
      <c r="C2164" s="22">
        <f>IF($K$2162="","",INDEX(직원목록!$D$7:$D$306,$K$2162))</f>
        <v/>
      </c>
      <c r="D2164" s="7" t="inlineStr">
        <is>
          <t>사번</t>
        </is>
      </c>
      <c r="E2164" s="21">
        <f>IF($K$2162="","",INDEX(직원목록!$C$7:$C$306,$K$2162))</f>
        <v/>
      </c>
      <c r="F2164" s="7" t="inlineStr">
        <is>
          <t>부서</t>
        </is>
      </c>
      <c r="G2164" s="21">
        <f>IF($K$2162="","",INDEX(직원목록!$E$7:$E$306,$K$2162))</f>
        <v/>
      </c>
      <c r="H2164" s="29" t="n"/>
    </row>
    <row r="2165">
      <c r="B2165" s="12" t="inlineStr">
        <is>
          <t>지급 항목</t>
        </is>
      </c>
      <c r="C2165" s="12" t="inlineStr">
        <is>
          <t>금액(원)</t>
        </is>
      </c>
      <c r="D2165" s="12" t="inlineStr">
        <is>
          <t>계산 근거</t>
        </is>
      </c>
      <c r="E2165" s="2" t="n"/>
      <c r="F2165" s="12" t="inlineStr">
        <is>
          <t>공제 항목</t>
        </is>
      </c>
      <c r="G2165" s="12" t="inlineStr">
        <is>
          <t>금액(원)</t>
        </is>
      </c>
      <c r="H2165" s="12" t="n"/>
    </row>
    <row r="2166">
      <c r="B2166" s="4">
        <f>IF($K$2162="","",IF(설정!$B$17="","",설정!$B$17))</f>
        <v/>
      </c>
      <c r="C2166" s="31">
        <f>IF(OR($K$2162="",설정!$B$17=""),"",INDEX(직원목록!$F$7:$F$306,$K$2162))</f>
        <v/>
      </c>
      <c r="D2166" s="32">
        <f>IF(OR($K$2162="",설정!$B$17=""),"",IF(N(INDEX(직원목록!$N$7:$N$306,$K$2162))=0,"",INDEX(직원목록!$N$7:$N$306,$K$2162)&amp;"시간"))</f>
        <v/>
      </c>
      <c r="F2166" s="4">
        <f>IF($K$2162="","",IF(설정!$B$26="","",설정!$B$26))</f>
        <v/>
      </c>
      <c r="G2166" s="31">
        <f>IF(OR($K$2162="",설정!$B$26=""),"",INDEX(직원목록!$W$7:$W$306,$K$2162))</f>
        <v/>
      </c>
      <c r="H2166" s="19" t="n"/>
    </row>
    <row r="2167">
      <c r="B2167" s="4">
        <f>IF($K$2162="","",IF(설정!$B$18="","",설정!$B$18))</f>
        <v/>
      </c>
      <c r="C2167" s="31">
        <f>IF(OR($K$2162="",설정!$B$18=""),"",INDEX(직원목록!$G$7:$G$306,$K$2162))</f>
        <v/>
      </c>
      <c r="D2167" s="32">
        <f>IF(OR($K$2162="",설정!$B$18=""),"",IF(N(INDEX(직원목록!$O$7:$O$306,$K$2162))=0,"",INDEX(직원목록!$O$7:$O$306,$K$2162)&amp;"시간"))</f>
        <v/>
      </c>
      <c r="F2167" s="4">
        <f>IF($K$2162="","",IF(설정!$B$27="","",설정!$B$27))</f>
        <v/>
      </c>
      <c r="G2167" s="31">
        <f>IF(OR($K$2162="",설정!$B$27=""),"",INDEX(직원목록!$X$7:$X$306,$K$2162))</f>
        <v/>
      </c>
      <c r="H2167" s="19" t="n"/>
    </row>
    <row r="2168">
      <c r="B2168" s="4">
        <f>IF($K$2162="","",IF(설정!$B$19="","",설정!$B$19))</f>
        <v/>
      </c>
      <c r="C2168" s="31">
        <f>IF(OR($K$2162="",설정!$B$19=""),"",INDEX(직원목록!$H$7:$H$306,$K$2162))</f>
        <v/>
      </c>
      <c r="D2168" s="32">
        <f>IF(OR($K$2162="",설정!$B$19=""),"",IF(N(INDEX(직원목록!$P$7:$P$306,$K$2162))=0,"",INDEX(직원목록!$P$7:$P$306,$K$2162)&amp;"시간"))</f>
        <v/>
      </c>
      <c r="F2168" s="4">
        <f>IF($K$2162="","",IF(설정!$B$28="","",설정!$B$28))</f>
        <v/>
      </c>
      <c r="G2168" s="31">
        <f>IF(OR($K$2162="",설정!$B$28=""),"",INDEX(직원목록!$Y$7:$Y$306,$K$2162))</f>
        <v/>
      </c>
      <c r="H2168" s="19" t="n"/>
    </row>
    <row r="2169">
      <c r="B2169" s="4">
        <f>IF($K$2162="","",IF(설정!$B$20="","",설정!$B$20))</f>
        <v/>
      </c>
      <c r="C2169" s="31">
        <f>IF(OR($K$2162="",설정!$B$20=""),"",INDEX(직원목록!$I$7:$I$306,$K$2162))</f>
        <v/>
      </c>
      <c r="D2169" s="32">
        <f>IF(OR($K$2162="",설정!$B$20=""),"",IF(N(INDEX(직원목록!$Q$7:$Q$306,$K$2162))=0,"",INDEX(직원목록!$Q$7:$Q$306,$K$2162)&amp;"시간"))</f>
        <v/>
      </c>
      <c r="F2169" s="4">
        <f>IF($K$2162="","",IF(설정!$B$29="","",설정!$B$29))</f>
        <v/>
      </c>
      <c r="G2169" s="31">
        <f>IF(OR($K$2162="",설정!$B$29=""),"",INDEX(직원목록!$Z$7:$Z$306,$K$2162))</f>
        <v/>
      </c>
      <c r="H2169" s="19" t="n"/>
    </row>
    <row r="2170">
      <c r="B2170" s="4">
        <f>IF($K$2162="","",IF(설정!$B$21="","",설정!$B$21))</f>
        <v/>
      </c>
      <c r="C2170" s="31">
        <f>IF(OR($K$2162="",설정!$B$21=""),"",INDEX(직원목록!$J$7:$J$306,$K$2162))</f>
        <v/>
      </c>
      <c r="D2170" s="32">
        <f>IF(OR($K$2162="",설정!$B$21=""),"",IF(N(INDEX(직원목록!$R$7:$R$306,$K$2162))=0,"",INDEX(직원목록!$R$7:$R$306,$K$2162)&amp;"시간"))</f>
        <v/>
      </c>
      <c r="F2170" s="4">
        <f>IF($K$2162="","",IF(설정!$B$30="","",설정!$B$30))</f>
        <v/>
      </c>
      <c r="G2170" s="31">
        <f>IF(OR($K$2162="",설정!$B$30=""),"",INDEX(직원목록!$AA$7:$AA$306,$K$2162))</f>
        <v/>
      </c>
      <c r="H2170" s="19" t="n"/>
    </row>
    <row r="2171">
      <c r="B2171" s="4">
        <f>IF($K$2162="","",IF(설정!$B$22="","",설정!$B$22))</f>
        <v/>
      </c>
      <c r="C2171" s="31">
        <f>IF(OR($K$2162="",설정!$B$22=""),"",INDEX(직원목록!$K$7:$K$306,$K$2162))</f>
        <v/>
      </c>
      <c r="D2171" s="32">
        <f>IF(OR($K$2162="",설정!$B$22=""),"",IF(N(INDEX(직원목록!$S$7:$S$306,$K$2162))=0,"",INDEX(직원목록!$S$7:$S$306,$K$2162)&amp;"시간"))</f>
        <v/>
      </c>
      <c r="F2171" s="4">
        <f>IF($K$2162="","",IF(설정!$B$31="","",설정!$B$31))</f>
        <v/>
      </c>
      <c r="G2171" s="31">
        <f>IF(OR($K$2162="",설정!$B$31=""),"",INDEX(직원목록!$AB$7:$AB$306,$K$2162))</f>
        <v/>
      </c>
      <c r="H2171" s="19" t="n"/>
    </row>
    <row r="2172">
      <c r="B2172" s="4">
        <f>IF($K$2162="","",IF(설정!$B$23="","",설정!$B$23))</f>
        <v/>
      </c>
      <c r="C2172" s="31">
        <f>IF(OR($K$2162="",설정!$B$23=""),"",INDEX(직원목록!$L$7:$L$306,$K$2162))</f>
        <v/>
      </c>
      <c r="D2172" s="32">
        <f>IF(OR($K$2162="",설정!$B$23=""),"",IF(N(INDEX(직원목록!$T$7:$T$306,$K$2162))=0,"",INDEX(직원목록!$T$7:$T$306,$K$2162)&amp;"시간"))</f>
        <v/>
      </c>
      <c r="F2172" s="4">
        <f>IF($K$2162="","",IF(설정!$B$32="","",설정!$B$32))</f>
        <v/>
      </c>
      <c r="G2172" s="31">
        <f>IF(OR($K$2162="",설정!$B$32=""),"",INDEX(직원목록!$AC$7:$AC$306,$K$2162))</f>
        <v/>
      </c>
      <c r="H2172" s="19" t="n"/>
    </row>
    <row r="2173">
      <c r="B2173" s="4">
        <f>IF($K$2162="","",IF(설정!$B$24="","",설정!$B$24))</f>
        <v/>
      </c>
      <c r="C2173" s="31">
        <f>IF(OR($K$2162="",설정!$B$24=""),"",INDEX(직원목록!$M$7:$M$306,$K$2162))</f>
        <v/>
      </c>
      <c r="D2173" s="32">
        <f>IF(OR($K$2162="",설정!$B$24=""),"",IF(N(INDEX(직원목록!$U$7:$U$306,$K$2162))=0,"",INDEX(직원목록!$U$7:$U$306,$K$2162)&amp;"시간"))</f>
        <v/>
      </c>
      <c r="F2173" s="4">
        <f>IF($K$2162="","",IF(설정!$B$33="","",설정!$B$33))</f>
        <v/>
      </c>
      <c r="G2173" s="31">
        <f>IF(OR($K$2162="",설정!$B$33=""),"",INDEX(직원목록!$AD$7:$AD$306,$K$2162))</f>
        <v/>
      </c>
      <c r="H2173" s="19" t="n"/>
    </row>
    <row r="2174">
      <c r="B2174" s="3" t="inlineStr">
        <is>
          <t>지급 합계</t>
        </is>
      </c>
      <c r="C2174" s="35">
        <f>IF($K$2162="","",INDEX(직원목록!$V$7:$V$306,$K$2162))</f>
        <v/>
      </c>
      <c r="D2174" s="36" t="n"/>
      <c r="F2174" s="3" t="inlineStr">
        <is>
          <t>공제 합계</t>
        </is>
      </c>
      <c r="G2174" s="35">
        <f>IF($K$2162="","",INDEX(직원목록!$AE$7:$AE$306,$K$2162))</f>
        <v/>
      </c>
      <c r="H2174" s="36" t="n"/>
    </row>
    <row r="2175" ht="28" customHeight="1">
      <c r="B2175" s="37" t="inlineStr">
        <is>
          <t>실 수령액 (지급 합계 − 공제 합계)</t>
        </is>
      </c>
      <c r="C2175" s="29" t="n"/>
      <c r="D2175" s="29" t="n"/>
      <c r="E2175" s="38">
        <f>IF($K$2162="","",INDEX(직원목록!$AF$7:$AF$306,$K$2162))</f>
        <v/>
      </c>
      <c r="F2175" s="29" t="n"/>
      <c r="G2175" s="29" t="n"/>
      <c r="H2175" s="29" t="n"/>
    </row>
    <row r="2176">
      <c r="B2176" s="39">
        <f>IF($K$2162="","",설정!$B$7)</f>
        <v/>
      </c>
    </row>
    <row r="2192" ht="30" customHeight="1">
      <c r="B2192" s="28">
        <f>IF($K$2192="","","임금명세서  ("&amp;설정!$B$5&amp;")")</f>
        <v/>
      </c>
      <c r="K2192" s="34">
        <f>IFERROR(MATCH(74,직원목록!$B$7:$B$306,0),"")</f>
        <v/>
      </c>
    </row>
    <row r="2193">
      <c r="B2193" s="7" t="inlineStr">
        <is>
          <t>회사명</t>
        </is>
      </c>
      <c r="C2193" s="21">
        <f>IF($K$2192="","",설정!$B$4)</f>
        <v/>
      </c>
      <c r="D2193" s="29" t="n"/>
      <c r="E2193" s="19" t="n"/>
      <c r="F2193" s="7" t="inlineStr">
        <is>
          <t>임금 지급일</t>
        </is>
      </c>
      <c r="G2193" s="21">
        <f>IF($K$2192="","",TEXT(설정!$B$6,"yyyy-mm-dd"))</f>
        <v/>
      </c>
      <c r="H2193" s="29" t="n"/>
    </row>
    <row r="2194">
      <c r="B2194" s="7" t="inlineStr">
        <is>
          <t>성명</t>
        </is>
      </c>
      <c r="C2194" s="22">
        <f>IF($K$2192="","",INDEX(직원목록!$D$7:$D$306,$K$2192))</f>
        <v/>
      </c>
      <c r="D2194" s="7" t="inlineStr">
        <is>
          <t>사번</t>
        </is>
      </c>
      <c r="E2194" s="21">
        <f>IF($K$2192="","",INDEX(직원목록!$C$7:$C$306,$K$2192))</f>
        <v/>
      </c>
      <c r="F2194" s="7" t="inlineStr">
        <is>
          <t>부서</t>
        </is>
      </c>
      <c r="G2194" s="21">
        <f>IF($K$2192="","",INDEX(직원목록!$E$7:$E$306,$K$2192))</f>
        <v/>
      </c>
      <c r="H2194" s="29" t="n"/>
    </row>
    <row r="2195">
      <c r="B2195" s="12" t="inlineStr">
        <is>
          <t>지급 항목</t>
        </is>
      </c>
      <c r="C2195" s="12" t="inlineStr">
        <is>
          <t>금액(원)</t>
        </is>
      </c>
      <c r="D2195" s="12" t="inlineStr">
        <is>
          <t>계산 근거</t>
        </is>
      </c>
      <c r="E2195" s="2" t="n"/>
      <c r="F2195" s="12" t="inlineStr">
        <is>
          <t>공제 항목</t>
        </is>
      </c>
      <c r="G2195" s="12" t="inlineStr">
        <is>
          <t>금액(원)</t>
        </is>
      </c>
      <c r="H2195" s="12" t="n"/>
    </row>
    <row r="2196">
      <c r="B2196" s="4">
        <f>IF($K$2192="","",IF(설정!$B$17="","",설정!$B$17))</f>
        <v/>
      </c>
      <c r="C2196" s="31">
        <f>IF(OR($K$2192="",설정!$B$17=""),"",INDEX(직원목록!$F$7:$F$306,$K$2192))</f>
        <v/>
      </c>
      <c r="D2196" s="32">
        <f>IF(OR($K$2192="",설정!$B$17=""),"",IF(N(INDEX(직원목록!$N$7:$N$306,$K$2192))=0,"",INDEX(직원목록!$N$7:$N$306,$K$2192)&amp;"시간"))</f>
        <v/>
      </c>
      <c r="F2196" s="4">
        <f>IF($K$2192="","",IF(설정!$B$26="","",설정!$B$26))</f>
        <v/>
      </c>
      <c r="G2196" s="31">
        <f>IF(OR($K$2192="",설정!$B$26=""),"",INDEX(직원목록!$W$7:$W$306,$K$2192))</f>
        <v/>
      </c>
      <c r="H2196" s="19" t="n"/>
    </row>
    <row r="2197">
      <c r="B2197" s="4">
        <f>IF($K$2192="","",IF(설정!$B$18="","",설정!$B$18))</f>
        <v/>
      </c>
      <c r="C2197" s="31">
        <f>IF(OR($K$2192="",설정!$B$18=""),"",INDEX(직원목록!$G$7:$G$306,$K$2192))</f>
        <v/>
      </c>
      <c r="D2197" s="32">
        <f>IF(OR($K$2192="",설정!$B$18=""),"",IF(N(INDEX(직원목록!$O$7:$O$306,$K$2192))=0,"",INDEX(직원목록!$O$7:$O$306,$K$2192)&amp;"시간"))</f>
        <v/>
      </c>
      <c r="F2197" s="4">
        <f>IF($K$2192="","",IF(설정!$B$27="","",설정!$B$27))</f>
        <v/>
      </c>
      <c r="G2197" s="31">
        <f>IF(OR($K$2192="",설정!$B$27=""),"",INDEX(직원목록!$X$7:$X$306,$K$2192))</f>
        <v/>
      </c>
      <c r="H2197" s="19" t="n"/>
    </row>
    <row r="2198">
      <c r="B2198" s="4">
        <f>IF($K$2192="","",IF(설정!$B$19="","",설정!$B$19))</f>
        <v/>
      </c>
      <c r="C2198" s="31">
        <f>IF(OR($K$2192="",설정!$B$19=""),"",INDEX(직원목록!$H$7:$H$306,$K$2192))</f>
        <v/>
      </c>
      <c r="D2198" s="32">
        <f>IF(OR($K$2192="",설정!$B$19=""),"",IF(N(INDEX(직원목록!$P$7:$P$306,$K$2192))=0,"",INDEX(직원목록!$P$7:$P$306,$K$2192)&amp;"시간"))</f>
        <v/>
      </c>
      <c r="F2198" s="4">
        <f>IF($K$2192="","",IF(설정!$B$28="","",설정!$B$28))</f>
        <v/>
      </c>
      <c r="G2198" s="31">
        <f>IF(OR($K$2192="",설정!$B$28=""),"",INDEX(직원목록!$Y$7:$Y$306,$K$2192))</f>
        <v/>
      </c>
      <c r="H2198" s="19" t="n"/>
    </row>
    <row r="2199">
      <c r="B2199" s="4">
        <f>IF($K$2192="","",IF(설정!$B$20="","",설정!$B$20))</f>
        <v/>
      </c>
      <c r="C2199" s="31">
        <f>IF(OR($K$2192="",설정!$B$20=""),"",INDEX(직원목록!$I$7:$I$306,$K$2192))</f>
        <v/>
      </c>
      <c r="D2199" s="32">
        <f>IF(OR($K$2192="",설정!$B$20=""),"",IF(N(INDEX(직원목록!$Q$7:$Q$306,$K$2192))=0,"",INDEX(직원목록!$Q$7:$Q$306,$K$2192)&amp;"시간"))</f>
        <v/>
      </c>
      <c r="F2199" s="4">
        <f>IF($K$2192="","",IF(설정!$B$29="","",설정!$B$29))</f>
        <v/>
      </c>
      <c r="G2199" s="31">
        <f>IF(OR($K$2192="",설정!$B$29=""),"",INDEX(직원목록!$Z$7:$Z$306,$K$2192))</f>
        <v/>
      </c>
      <c r="H2199" s="19" t="n"/>
    </row>
    <row r="2200">
      <c r="B2200" s="4">
        <f>IF($K$2192="","",IF(설정!$B$21="","",설정!$B$21))</f>
        <v/>
      </c>
      <c r="C2200" s="31">
        <f>IF(OR($K$2192="",설정!$B$21=""),"",INDEX(직원목록!$J$7:$J$306,$K$2192))</f>
        <v/>
      </c>
      <c r="D2200" s="32">
        <f>IF(OR($K$2192="",설정!$B$21=""),"",IF(N(INDEX(직원목록!$R$7:$R$306,$K$2192))=0,"",INDEX(직원목록!$R$7:$R$306,$K$2192)&amp;"시간"))</f>
        <v/>
      </c>
      <c r="F2200" s="4">
        <f>IF($K$2192="","",IF(설정!$B$30="","",설정!$B$30))</f>
        <v/>
      </c>
      <c r="G2200" s="31">
        <f>IF(OR($K$2192="",설정!$B$30=""),"",INDEX(직원목록!$AA$7:$AA$306,$K$2192))</f>
        <v/>
      </c>
      <c r="H2200" s="19" t="n"/>
    </row>
    <row r="2201">
      <c r="B2201" s="4">
        <f>IF($K$2192="","",IF(설정!$B$22="","",설정!$B$22))</f>
        <v/>
      </c>
      <c r="C2201" s="31">
        <f>IF(OR($K$2192="",설정!$B$22=""),"",INDEX(직원목록!$K$7:$K$306,$K$2192))</f>
        <v/>
      </c>
      <c r="D2201" s="32">
        <f>IF(OR($K$2192="",설정!$B$22=""),"",IF(N(INDEX(직원목록!$S$7:$S$306,$K$2192))=0,"",INDEX(직원목록!$S$7:$S$306,$K$2192)&amp;"시간"))</f>
        <v/>
      </c>
      <c r="F2201" s="4">
        <f>IF($K$2192="","",IF(설정!$B$31="","",설정!$B$31))</f>
        <v/>
      </c>
      <c r="G2201" s="31">
        <f>IF(OR($K$2192="",설정!$B$31=""),"",INDEX(직원목록!$AB$7:$AB$306,$K$2192))</f>
        <v/>
      </c>
      <c r="H2201" s="19" t="n"/>
    </row>
    <row r="2202">
      <c r="B2202" s="4">
        <f>IF($K$2192="","",IF(설정!$B$23="","",설정!$B$23))</f>
        <v/>
      </c>
      <c r="C2202" s="31">
        <f>IF(OR($K$2192="",설정!$B$23=""),"",INDEX(직원목록!$L$7:$L$306,$K$2192))</f>
        <v/>
      </c>
      <c r="D2202" s="32">
        <f>IF(OR($K$2192="",설정!$B$23=""),"",IF(N(INDEX(직원목록!$T$7:$T$306,$K$2192))=0,"",INDEX(직원목록!$T$7:$T$306,$K$2192)&amp;"시간"))</f>
        <v/>
      </c>
      <c r="F2202" s="4">
        <f>IF($K$2192="","",IF(설정!$B$32="","",설정!$B$32))</f>
        <v/>
      </c>
      <c r="G2202" s="31">
        <f>IF(OR($K$2192="",설정!$B$32=""),"",INDEX(직원목록!$AC$7:$AC$306,$K$2192))</f>
        <v/>
      </c>
      <c r="H2202" s="19" t="n"/>
    </row>
    <row r="2203">
      <c r="B2203" s="4">
        <f>IF($K$2192="","",IF(설정!$B$24="","",설정!$B$24))</f>
        <v/>
      </c>
      <c r="C2203" s="31">
        <f>IF(OR($K$2192="",설정!$B$24=""),"",INDEX(직원목록!$M$7:$M$306,$K$2192))</f>
        <v/>
      </c>
      <c r="D2203" s="32">
        <f>IF(OR($K$2192="",설정!$B$24=""),"",IF(N(INDEX(직원목록!$U$7:$U$306,$K$2192))=0,"",INDEX(직원목록!$U$7:$U$306,$K$2192)&amp;"시간"))</f>
        <v/>
      </c>
      <c r="F2203" s="4">
        <f>IF($K$2192="","",IF(설정!$B$33="","",설정!$B$33))</f>
        <v/>
      </c>
      <c r="G2203" s="31">
        <f>IF(OR($K$2192="",설정!$B$33=""),"",INDEX(직원목록!$AD$7:$AD$306,$K$2192))</f>
        <v/>
      </c>
      <c r="H2203" s="19" t="n"/>
    </row>
    <row r="2204">
      <c r="B2204" s="3" t="inlineStr">
        <is>
          <t>지급 합계</t>
        </is>
      </c>
      <c r="C2204" s="35">
        <f>IF($K$2192="","",INDEX(직원목록!$V$7:$V$306,$K$2192))</f>
        <v/>
      </c>
      <c r="D2204" s="36" t="n"/>
      <c r="F2204" s="3" t="inlineStr">
        <is>
          <t>공제 합계</t>
        </is>
      </c>
      <c r="G2204" s="35">
        <f>IF($K$2192="","",INDEX(직원목록!$AE$7:$AE$306,$K$2192))</f>
        <v/>
      </c>
      <c r="H2204" s="36" t="n"/>
    </row>
    <row r="2205" ht="28" customHeight="1">
      <c r="B2205" s="37" t="inlineStr">
        <is>
          <t>실 수령액 (지급 합계 − 공제 합계)</t>
        </is>
      </c>
      <c r="C2205" s="29" t="n"/>
      <c r="D2205" s="29" t="n"/>
      <c r="E2205" s="38">
        <f>IF($K$2192="","",INDEX(직원목록!$AF$7:$AF$306,$K$2192))</f>
        <v/>
      </c>
      <c r="F2205" s="29" t="n"/>
      <c r="G2205" s="29" t="n"/>
      <c r="H2205" s="29" t="n"/>
    </row>
    <row r="2206">
      <c r="B2206" s="39">
        <f>IF($K$2192="","",설정!$B$7)</f>
        <v/>
      </c>
    </row>
    <row r="2222" ht="30" customHeight="1">
      <c r="B2222" s="28">
        <f>IF($K$2222="","","임금명세서  ("&amp;설정!$B$5&amp;")")</f>
        <v/>
      </c>
      <c r="K2222" s="34">
        <f>IFERROR(MATCH(75,직원목록!$B$7:$B$306,0),"")</f>
        <v/>
      </c>
    </row>
    <row r="2223">
      <c r="B2223" s="7" t="inlineStr">
        <is>
          <t>회사명</t>
        </is>
      </c>
      <c r="C2223" s="21">
        <f>IF($K$2222="","",설정!$B$4)</f>
        <v/>
      </c>
      <c r="D2223" s="29" t="n"/>
      <c r="E2223" s="19" t="n"/>
      <c r="F2223" s="7" t="inlineStr">
        <is>
          <t>임금 지급일</t>
        </is>
      </c>
      <c r="G2223" s="21">
        <f>IF($K$2222="","",TEXT(설정!$B$6,"yyyy-mm-dd"))</f>
        <v/>
      </c>
      <c r="H2223" s="29" t="n"/>
    </row>
    <row r="2224">
      <c r="B2224" s="7" t="inlineStr">
        <is>
          <t>성명</t>
        </is>
      </c>
      <c r="C2224" s="22">
        <f>IF($K$2222="","",INDEX(직원목록!$D$7:$D$306,$K$2222))</f>
        <v/>
      </c>
      <c r="D2224" s="7" t="inlineStr">
        <is>
          <t>사번</t>
        </is>
      </c>
      <c r="E2224" s="21">
        <f>IF($K$2222="","",INDEX(직원목록!$C$7:$C$306,$K$2222))</f>
        <v/>
      </c>
      <c r="F2224" s="7" t="inlineStr">
        <is>
          <t>부서</t>
        </is>
      </c>
      <c r="G2224" s="21">
        <f>IF($K$2222="","",INDEX(직원목록!$E$7:$E$306,$K$2222))</f>
        <v/>
      </c>
      <c r="H2224" s="29" t="n"/>
    </row>
    <row r="2225">
      <c r="B2225" s="12" t="inlineStr">
        <is>
          <t>지급 항목</t>
        </is>
      </c>
      <c r="C2225" s="12" t="inlineStr">
        <is>
          <t>금액(원)</t>
        </is>
      </c>
      <c r="D2225" s="12" t="inlineStr">
        <is>
          <t>계산 근거</t>
        </is>
      </c>
      <c r="E2225" s="2" t="n"/>
      <c r="F2225" s="12" t="inlineStr">
        <is>
          <t>공제 항목</t>
        </is>
      </c>
      <c r="G2225" s="12" t="inlineStr">
        <is>
          <t>금액(원)</t>
        </is>
      </c>
      <c r="H2225" s="12" t="n"/>
    </row>
    <row r="2226">
      <c r="B2226" s="4">
        <f>IF($K$2222="","",IF(설정!$B$17="","",설정!$B$17))</f>
        <v/>
      </c>
      <c r="C2226" s="31">
        <f>IF(OR($K$2222="",설정!$B$17=""),"",INDEX(직원목록!$F$7:$F$306,$K$2222))</f>
        <v/>
      </c>
      <c r="D2226" s="32">
        <f>IF(OR($K$2222="",설정!$B$17=""),"",IF(N(INDEX(직원목록!$N$7:$N$306,$K$2222))=0,"",INDEX(직원목록!$N$7:$N$306,$K$2222)&amp;"시간"))</f>
        <v/>
      </c>
      <c r="F2226" s="4">
        <f>IF($K$2222="","",IF(설정!$B$26="","",설정!$B$26))</f>
        <v/>
      </c>
      <c r="G2226" s="31">
        <f>IF(OR($K$2222="",설정!$B$26=""),"",INDEX(직원목록!$W$7:$W$306,$K$2222))</f>
        <v/>
      </c>
      <c r="H2226" s="19" t="n"/>
    </row>
    <row r="2227">
      <c r="B2227" s="4">
        <f>IF($K$2222="","",IF(설정!$B$18="","",설정!$B$18))</f>
        <v/>
      </c>
      <c r="C2227" s="31">
        <f>IF(OR($K$2222="",설정!$B$18=""),"",INDEX(직원목록!$G$7:$G$306,$K$2222))</f>
        <v/>
      </c>
      <c r="D2227" s="32">
        <f>IF(OR($K$2222="",설정!$B$18=""),"",IF(N(INDEX(직원목록!$O$7:$O$306,$K$2222))=0,"",INDEX(직원목록!$O$7:$O$306,$K$2222)&amp;"시간"))</f>
        <v/>
      </c>
      <c r="F2227" s="4">
        <f>IF($K$2222="","",IF(설정!$B$27="","",설정!$B$27))</f>
        <v/>
      </c>
      <c r="G2227" s="31">
        <f>IF(OR($K$2222="",설정!$B$27=""),"",INDEX(직원목록!$X$7:$X$306,$K$2222))</f>
        <v/>
      </c>
      <c r="H2227" s="19" t="n"/>
    </row>
    <row r="2228">
      <c r="B2228" s="4">
        <f>IF($K$2222="","",IF(설정!$B$19="","",설정!$B$19))</f>
        <v/>
      </c>
      <c r="C2228" s="31">
        <f>IF(OR($K$2222="",설정!$B$19=""),"",INDEX(직원목록!$H$7:$H$306,$K$2222))</f>
        <v/>
      </c>
      <c r="D2228" s="32">
        <f>IF(OR($K$2222="",설정!$B$19=""),"",IF(N(INDEX(직원목록!$P$7:$P$306,$K$2222))=0,"",INDEX(직원목록!$P$7:$P$306,$K$2222)&amp;"시간"))</f>
        <v/>
      </c>
      <c r="F2228" s="4">
        <f>IF($K$2222="","",IF(설정!$B$28="","",설정!$B$28))</f>
        <v/>
      </c>
      <c r="G2228" s="31">
        <f>IF(OR($K$2222="",설정!$B$28=""),"",INDEX(직원목록!$Y$7:$Y$306,$K$2222))</f>
        <v/>
      </c>
      <c r="H2228" s="19" t="n"/>
    </row>
    <row r="2229">
      <c r="B2229" s="4">
        <f>IF($K$2222="","",IF(설정!$B$20="","",설정!$B$20))</f>
        <v/>
      </c>
      <c r="C2229" s="31">
        <f>IF(OR($K$2222="",설정!$B$20=""),"",INDEX(직원목록!$I$7:$I$306,$K$2222))</f>
        <v/>
      </c>
      <c r="D2229" s="32">
        <f>IF(OR($K$2222="",설정!$B$20=""),"",IF(N(INDEX(직원목록!$Q$7:$Q$306,$K$2222))=0,"",INDEX(직원목록!$Q$7:$Q$306,$K$2222)&amp;"시간"))</f>
        <v/>
      </c>
      <c r="F2229" s="4">
        <f>IF($K$2222="","",IF(설정!$B$29="","",설정!$B$29))</f>
        <v/>
      </c>
      <c r="G2229" s="31">
        <f>IF(OR($K$2222="",설정!$B$29=""),"",INDEX(직원목록!$Z$7:$Z$306,$K$2222))</f>
        <v/>
      </c>
      <c r="H2229" s="19" t="n"/>
    </row>
    <row r="2230">
      <c r="B2230" s="4">
        <f>IF($K$2222="","",IF(설정!$B$21="","",설정!$B$21))</f>
        <v/>
      </c>
      <c r="C2230" s="31">
        <f>IF(OR($K$2222="",설정!$B$21=""),"",INDEX(직원목록!$J$7:$J$306,$K$2222))</f>
        <v/>
      </c>
      <c r="D2230" s="32">
        <f>IF(OR($K$2222="",설정!$B$21=""),"",IF(N(INDEX(직원목록!$R$7:$R$306,$K$2222))=0,"",INDEX(직원목록!$R$7:$R$306,$K$2222)&amp;"시간"))</f>
        <v/>
      </c>
      <c r="F2230" s="4">
        <f>IF($K$2222="","",IF(설정!$B$30="","",설정!$B$30))</f>
        <v/>
      </c>
      <c r="G2230" s="31">
        <f>IF(OR($K$2222="",설정!$B$30=""),"",INDEX(직원목록!$AA$7:$AA$306,$K$2222))</f>
        <v/>
      </c>
      <c r="H2230" s="19" t="n"/>
    </row>
    <row r="2231">
      <c r="B2231" s="4">
        <f>IF($K$2222="","",IF(설정!$B$22="","",설정!$B$22))</f>
        <v/>
      </c>
      <c r="C2231" s="31">
        <f>IF(OR($K$2222="",설정!$B$22=""),"",INDEX(직원목록!$K$7:$K$306,$K$2222))</f>
        <v/>
      </c>
      <c r="D2231" s="32">
        <f>IF(OR($K$2222="",설정!$B$22=""),"",IF(N(INDEX(직원목록!$S$7:$S$306,$K$2222))=0,"",INDEX(직원목록!$S$7:$S$306,$K$2222)&amp;"시간"))</f>
        <v/>
      </c>
      <c r="F2231" s="4">
        <f>IF($K$2222="","",IF(설정!$B$31="","",설정!$B$31))</f>
        <v/>
      </c>
      <c r="G2231" s="31">
        <f>IF(OR($K$2222="",설정!$B$31=""),"",INDEX(직원목록!$AB$7:$AB$306,$K$2222))</f>
        <v/>
      </c>
      <c r="H2231" s="19" t="n"/>
    </row>
    <row r="2232">
      <c r="B2232" s="4">
        <f>IF($K$2222="","",IF(설정!$B$23="","",설정!$B$23))</f>
        <v/>
      </c>
      <c r="C2232" s="31">
        <f>IF(OR($K$2222="",설정!$B$23=""),"",INDEX(직원목록!$L$7:$L$306,$K$2222))</f>
        <v/>
      </c>
      <c r="D2232" s="32">
        <f>IF(OR($K$2222="",설정!$B$23=""),"",IF(N(INDEX(직원목록!$T$7:$T$306,$K$2222))=0,"",INDEX(직원목록!$T$7:$T$306,$K$2222)&amp;"시간"))</f>
        <v/>
      </c>
      <c r="F2232" s="4">
        <f>IF($K$2222="","",IF(설정!$B$32="","",설정!$B$32))</f>
        <v/>
      </c>
      <c r="G2232" s="31">
        <f>IF(OR($K$2222="",설정!$B$32=""),"",INDEX(직원목록!$AC$7:$AC$306,$K$2222))</f>
        <v/>
      </c>
      <c r="H2232" s="19" t="n"/>
    </row>
    <row r="2233">
      <c r="B2233" s="4">
        <f>IF($K$2222="","",IF(설정!$B$24="","",설정!$B$24))</f>
        <v/>
      </c>
      <c r="C2233" s="31">
        <f>IF(OR($K$2222="",설정!$B$24=""),"",INDEX(직원목록!$M$7:$M$306,$K$2222))</f>
        <v/>
      </c>
      <c r="D2233" s="32">
        <f>IF(OR($K$2222="",설정!$B$24=""),"",IF(N(INDEX(직원목록!$U$7:$U$306,$K$2222))=0,"",INDEX(직원목록!$U$7:$U$306,$K$2222)&amp;"시간"))</f>
        <v/>
      </c>
      <c r="F2233" s="4">
        <f>IF($K$2222="","",IF(설정!$B$33="","",설정!$B$33))</f>
        <v/>
      </c>
      <c r="G2233" s="31">
        <f>IF(OR($K$2222="",설정!$B$33=""),"",INDEX(직원목록!$AD$7:$AD$306,$K$2222))</f>
        <v/>
      </c>
      <c r="H2233" s="19" t="n"/>
    </row>
    <row r="2234">
      <c r="B2234" s="3" t="inlineStr">
        <is>
          <t>지급 합계</t>
        </is>
      </c>
      <c r="C2234" s="35">
        <f>IF($K$2222="","",INDEX(직원목록!$V$7:$V$306,$K$2222))</f>
        <v/>
      </c>
      <c r="D2234" s="36" t="n"/>
      <c r="F2234" s="3" t="inlineStr">
        <is>
          <t>공제 합계</t>
        </is>
      </c>
      <c r="G2234" s="35">
        <f>IF($K$2222="","",INDEX(직원목록!$AE$7:$AE$306,$K$2222))</f>
        <v/>
      </c>
      <c r="H2234" s="36" t="n"/>
    </row>
    <row r="2235" ht="28" customHeight="1">
      <c r="B2235" s="37" t="inlineStr">
        <is>
          <t>실 수령액 (지급 합계 − 공제 합계)</t>
        </is>
      </c>
      <c r="C2235" s="29" t="n"/>
      <c r="D2235" s="29" t="n"/>
      <c r="E2235" s="38">
        <f>IF($K$2222="","",INDEX(직원목록!$AF$7:$AF$306,$K$2222))</f>
        <v/>
      </c>
      <c r="F2235" s="29" t="n"/>
      <c r="G2235" s="29" t="n"/>
      <c r="H2235" s="29" t="n"/>
    </row>
    <row r="2236">
      <c r="B2236" s="39">
        <f>IF($K$2222="","",설정!$B$7)</f>
        <v/>
      </c>
    </row>
    <row r="2252" ht="30" customHeight="1">
      <c r="B2252" s="28">
        <f>IF($K$2252="","","임금명세서  ("&amp;설정!$B$5&amp;")")</f>
        <v/>
      </c>
      <c r="K2252" s="34">
        <f>IFERROR(MATCH(76,직원목록!$B$7:$B$306,0),"")</f>
        <v/>
      </c>
    </row>
    <row r="2253">
      <c r="B2253" s="7" t="inlineStr">
        <is>
          <t>회사명</t>
        </is>
      </c>
      <c r="C2253" s="21">
        <f>IF($K$2252="","",설정!$B$4)</f>
        <v/>
      </c>
      <c r="D2253" s="29" t="n"/>
      <c r="E2253" s="19" t="n"/>
      <c r="F2253" s="7" t="inlineStr">
        <is>
          <t>임금 지급일</t>
        </is>
      </c>
      <c r="G2253" s="21">
        <f>IF($K$2252="","",TEXT(설정!$B$6,"yyyy-mm-dd"))</f>
        <v/>
      </c>
      <c r="H2253" s="29" t="n"/>
    </row>
    <row r="2254">
      <c r="B2254" s="7" t="inlineStr">
        <is>
          <t>성명</t>
        </is>
      </c>
      <c r="C2254" s="22">
        <f>IF($K$2252="","",INDEX(직원목록!$D$7:$D$306,$K$2252))</f>
        <v/>
      </c>
      <c r="D2254" s="7" t="inlineStr">
        <is>
          <t>사번</t>
        </is>
      </c>
      <c r="E2254" s="21">
        <f>IF($K$2252="","",INDEX(직원목록!$C$7:$C$306,$K$2252))</f>
        <v/>
      </c>
      <c r="F2254" s="7" t="inlineStr">
        <is>
          <t>부서</t>
        </is>
      </c>
      <c r="G2254" s="21">
        <f>IF($K$2252="","",INDEX(직원목록!$E$7:$E$306,$K$2252))</f>
        <v/>
      </c>
      <c r="H2254" s="29" t="n"/>
    </row>
    <row r="2255">
      <c r="B2255" s="12" t="inlineStr">
        <is>
          <t>지급 항목</t>
        </is>
      </c>
      <c r="C2255" s="12" t="inlineStr">
        <is>
          <t>금액(원)</t>
        </is>
      </c>
      <c r="D2255" s="12" t="inlineStr">
        <is>
          <t>계산 근거</t>
        </is>
      </c>
      <c r="E2255" s="2" t="n"/>
      <c r="F2255" s="12" t="inlineStr">
        <is>
          <t>공제 항목</t>
        </is>
      </c>
      <c r="G2255" s="12" t="inlineStr">
        <is>
          <t>금액(원)</t>
        </is>
      </c>
      <c r="H2255" s="12" t="n"/>
    </row>
    <row r="2256">
      <c r="B2256" s="4">
        <f>IF($K$2252="","",IF(설정!$B$17="","",설정!$B$17))</f>
        <v/>
      </c>
      <c r="C2256" s="31">
        <f>IF(OR($K$2252="",설정!$B$17=""),"",INDEX(직원목록!$F$7:$F$306,$K$2252))</f>
        <v/>
      </c>
      <c r="D2256" s="32">
        <f>IF(OR($K$2252="",설정!$B$17=""),"",IF(N(INDEX(직원목록!$N$7:$N$306,$K$2252))=0,"",INDEX(직원목록!$N$7:$N$306,$K$2252)&amp;"시간"))</f>
        <v/>
      </c>
      <c r="F2256" s="4">
        <f>IF($K$2252="","",IF(설정!$B$26="","",설정!$B$26))</f>
        <v/>
      </c>
      <c r="G2256" s="31">
        <f>IF(OR($K$2252="",설정!$B$26=""),"",INDEX(직원목록!$W$7:$W$306,$K$2252))</f>
        <v/>
      </c>
      <c r="H2256" s="19" t="n"/>
    </row>
    <row r="2257">
      <c r="B2257" s="4">
        <f>IF($K$2252="","",IF(설정!$B$18="","",설정!$B$18))</f>
        <v/>
      </c>
      <c r="C2257" s="31">
        <f>IF(OR($K$2252="",설정!$B$18=""),"",INDEX(직원목록!$G$7:$G$306,$K$2252))</f>
        <v/>
      </c>
      <c r="D2257" s="32">
        <f>IF(OR($K$2252="",설정!$B$18=""),"",IF(N(INDEX(직원목록!$O$7:$O$306,$K$2252))=0,"",INDEX(직원목록!$O$7:$O$306,$K$2252)&amp;"시간"))</f>
        <v/>
      </c>
      <c r="F2257" s="4">
        <f>IF($K$2252="","",IF(설정!$B$27="","",설정!$B$27))</f>
        <v/>
      </c>
      <c r="G2257" s="31">
        <f>IF(OR($K$2252="",설정!$B$27=""),"",INDEX(직원목록!$X$7:$X$306,$K$2252))</f>
        <v/>
      </c>
      <c r="H2257" s="19" t="n"/>
    </row>
    <row r="2258">
      <c r="B2258" s="4">
        <f>IF($K$2252="","",IF(설정!$B$19="","",설정!$B$19))</f>
        <v/>
      </c>
      <c r="C2258" s="31">
        <f>IF(OR($K$2252="",설정!$B$19=""),"",INDEX(직원목록!$H$7:$H$306,$K$2252))</f>
        <v/>
      </c>
      <c r="D2258" s="32">
        <f>IF(OR($K$2252="",설정!$B$19=""),"",IF(N(INDEX(직원목록!$P$7:$P$306,$K$2252))=0,"",INDEX(직원목록!$P$7:$P$306,$K$2252)&amp;"시간"))</f>
        <v/>
      </c>
      <c r="F2258" s="4">
        <f>IF($K$2252="","",IF(설정!$B$28="","",설정!$B$28))</f>
        <v/>
      </c>
      <c r="G2258" s="31">
        <f>IF(OR($K$2252="",설정!$B$28=""),"",INDEX(직원목록!$Y$7:$Y$306,$K$2252))</f>
        <v/>
      </c>
      <c r="H2258" s="19" t="n"/>
    </row>
    <row r="2259">
      <c r="B2259" s="4">
        <f>IF($K$2252="","",IF(설정!$B$20="","",설정!$B$20))</f>
        <v/>
      </c>
      <c r="C2259" s="31">
        <f>IF(OR($K$2252="",설정!$B$20=""),"",INDEX(직원목록!$I$7:$I$306,$K$2252))</f>
        <v/>
      </c>
      <c r="D2259" s="32">
        <f>IF(OR($K$2252="",설정!$B$20=""),"",IF(N(INDEX(직원목록!$Q$7:$Q$306,$K$2252))=0,"",INDEX(직원목록!$Q$7:$Q$306,$K$2252)&amp;"시간"))</f>
        <v/>
      </c>
      <c r="F2259" s="4">
        <f>IF($K$2252="","",IF(설정!$B$29="","",설정!$B$29))</f>
        <v/>
      </c>
      <c r="G2259" s="31">
        <f>IF(OR($K$2252="",설정!$B$29=""),"",INDEX(직원목록!$Z$7:$Z$306,$K$2252))</f>
        <v/>
      </c>
      <c r="H2259" s="19" t="n"/>
    </row>
    <row r="2260">
      <c r="B2260" s="4">
        <f>IF($K$2252="","",IF(설정!$B$21="","",설정!$B$21))</f>
        <v/>
      </c>
      <c r="C2260" s="31">
        <f>IF(OR($K$2252="",설정!$B$21=""),"",INDEX(직원목록!$J$7:$J$306,$K$2252))</f>
        <v/>
      </c>
      <c r="D2260" s="32">
        <f>IF(OR($K$2252="",설정!$B$21=""),"",IF(N(INDEX(직원목록!$R$7:$R$306,$K$2252))=0,"",INDEX(직원목록!$R$7:$R$306,$K$2252)&amp;"시간"))</f>
        <v/>
      </c>
      <c r="F2260" s="4">
        <f>IF($K$2252="","",IF(설정!$B$30="","",설정!$B$30))</f>
        <v/>
      </c>
      <c r="G2260" s="31">
        <f>IF(OR($K$2252="",설정!$B$30=""),"",INDEX(직원목록!$AA$7:$AA$306,$K$2252))</f>
        <v/>
      </c>
      <c r="H2260" s="19" t="n"/>
    </row>
    <row r="2261">
      <c r="B2261" s="4">
        <f>IF($K$2252="","",IF(설정!$B$22="","",설정!$B$22))</f>
        <v/>
      </c>
      <c r="C2261" s="31">
        <f>IF(OR($K$2252="",설정!$B$22=""),"",INDEX(직원목록!$K$7:$K$306,$K$2252))</f>
        <v/>
      </c>
      <c r="D2261" s="32">
        <f>IF(OR($K$2252="",설정!$B$22=""),"",IF(N(INDEX(직원목록!$S$7:$S$306,$K$2252))=0,"",INDEX(직원목록!$S$7:$S$306,$K$2252)&amp;"시간"))</f>
        <v/>
      </c>
      <c r="F2261" s="4">
        <f>IF($K$2252="","",IF(설정!$B$31="","",설정!$B$31))</f>
        <v/>
      </c>
      <c r="G2261" s="31">
        <f>IF(OR($K$2252="",설정!$B$31=""),"",INDEX(직원목록!$AB$7:$AB$306,$K$2252))</f>
        <v/>
      </c>
      <c r="H2261" s="19" t="n"/>
    </row>
    <row r="2262">
      <c r="B2262" s="4">
        <f>IF($K$2252="","",IF(설정!$B$23="","",설정!$B$23))</f>
        <v/>
      </c>
      <c r="C2262" s="31">
        <f>IF(OR($K$2252="",설정!$B$23=""),"",INDEX(직원목록!$L$7:$L$306,$K$2252))</f>
        <v/>
      </c>
      <c r="D2262" s="32">
        <f>IF(OR($K$2252="",설정!$B$23=""),"",IF(N(INDEX(직원목록!$T$7:$T$306,$K$2252))=0,"",INDEX(직원목록!$T$7:$T$306,$K$2252)&amp;"시간"))</f>
        <v/>
      </c>
      <c r="F2262" s="4">
        <f>IF($K$2252="","",IF(설정!$B$32="","",설정!$B$32))</f>
        <v/>
      </c>
      <c r="G2262" s="31">
        <f>IF(OR($K$2252="",설정!$B$32=""),"",INDEX(직원목록!$AC$7:$AC$306,$K$2252))</f>
        <v/>
      </c>
      <c r="H2262" s="19" t="n"/>
    </row>
    <row r="2263">
      <c r="B2263" s="4">
        <f>IF($K$2252="","",IF(설정!$B$24="","",설정!$B$24))</f>
        <v/>
      </c>
      <c r="C2263" s="31">
        <f>IF(OR($K$2252="",설정!$B$24=""),"",INDEX(직원목록!$M$7:$M$306,$K$2252))</f>
        <v/>
      </c>
      <c r="D2263" s="32">
        <f>IF(OR($K$2252="",설정!$B$24=""),"",IF(N(INDEX(직원목록!$U$7:$U$306,$K$2252))=0,"",INDEX(직원목록!$U$7:$U$306,$K$2252)&amp;"시간"))</f>
        <v/>
      </c>
      <c r="F2263" s="4">
        <f>IF($K$2252="","",IF(설정!$B$33="","",설정!$B$33))</f>
        <v/>
      </c>
      <c r="G2263" s="31">
        <f>IF(OR($K$2252="",설정!$B$33=""),"",INDEX(직원목록!$AD$7:$AD$306,$K$2252))</f>
        <v/>
      </c>
      <c r="H2263" s="19" t="n"/>
    </row>
    <row r="2264">
      <c r="B2264" s="3" t="inlineStr">
        <is>
          <t>지급 합계</t>
        </is>
      </c>
      <c r="C2264" s="35">
        <f>IF($K$2252="","",INDEX(직원목록!$V$7:$V$306,$K$2252))</f>
        <v/>
      </c>
      <c r="D2264" s="36" t="n"/>
      <c r="F2264" s="3" t="inlineStr">
        <is>
          <t>공제 합계</t>
        </is>
      </c>
      <c r="G2264" s="35">
        <f>IF($K$2252="","",INDEX(직원목록!$AE$7:$AE$306,$K$2252))</f>
        <v/>
      </c>
      <c r="H2264" s="36" t="n"/>
    </row>
    <row r="2265" ht="28" customHeight="1">
      <c r="B2265" s="37" t="inlineStr">
        <is>
          <t>실 수령액 (지급 합계 − 공제 합계)</t>
        </is>
      </c>
      <c r="C2265" s="29" t="n"/>
      <c r="D2265" s="29" t="n"/>
      <c r="E2265" s="38">
        <f>IF($K$2252="","",INDEX(직원목록!$AF$7:$AF$306,$K$2252))</f>
        <v/>
      </c>
      <c r="F2265" s="29" t="n"/>
      <c r="G2265" s="29" t="n"/>
      <c r="H2265" s="29" t="n"/>
    </row>
    <row r="2266">
      <c r="B2266" s="39">
        <f>IF($K$2252="","",설정!$B$7)</f>
        <v/>
      </c>
    </row>
    <row r="2282" ht="30" customHeight="1">
      <c r="B2282" s="28">
        <f>IF($K$2282="","","임금명세서  ("&amp;설정!$B$5&amp;")")</f>
        <v/>
      </c>
      <c r="K2282" s="34">
        <f>IFERROR(MATCH(77,직원목록!$B$7:$B$306,0),"")</f>
        <v/>
      </c>
    </row>
    <row r="2283">
      <c r="B2283" s="7" t="inlineStr">
        <is>
          <t>회사명</t>
        </is>
      </c>
      <c r="C2283" s="21">
        <f>IF($K$2282="","",설정!$B$4)</f>
        <v/>
      </c>
      <c r="D2283" s="29" t="n"/>
      <c r="E2283" s="19" t="n"/>
      <c r="F2283" s="7" t="inlineStr">
        <is>
          <t>임금 지급일</t>
        </is>
      </c>
      <c r="G2283" s="21">
        <f>IF($K$2282="","",TEXT(설정!$B$6,"yyyy-mm-dd"))</f>
        <v/>
      </c>
      <c r="H2283" s="29" t="n"/>
    </row>
    <row r="2284">
      <c r="B2284" s="7" t="inlineStr">
        <is>
          <t>성명</t>
        </is>
      </c>
      <c r="C2284" s="22">
        <f>IF($K$2282="","",INDEX(직원목록!$D$7:$D$306,$K$2282))</f>
        <v/>
      </c>
      <c r="D2284" s="7" t="inlineStr">
        <is>
          <t>사번</t>
        </is>
      </c>
      <c r="E2284" s="21">
        <f>IF($K$2282="","",INDEX(직원목록!$C$7:$C$306,$K$2282))</f>
        <v/>
      </c>
      <c r="F2284" s="7" t="inlineStr">
        <is>
          <t>부서</t>
        </is>
      </c>
      <c r="G2284" s="21">
        <f>IF($K$2282="","",INDEX(직원목록!$E$7:$E$306,$K$2282))</f>
        <v/>
      </c>
      <c r="H2284" s="29" t="n"/>
    </row>
    <row r="2285">
      <c r="B2285" s="12" t="inlineStr">
        <is>
          <t>지급 항목</t>
        </is>
      </c>
      <c r="C2285" s="12" t="inlineStr">
        <is>
          <t>금액(원)</t>
        </is>
      </c>
      <c r="D2285" s="12" t="inlineStr">
        <is>
          <t>계산 근거</t>
        </is>
      </c>
      <c r="E2285" s="2" t="n"/>
      <c r="F2285" s="12" t="inlineStr">
        <is>
          <t>공제 항목</t>
        </is>
      </c>
      <c r="G2285" s="12" t="inlineStr">
        <is>
          <t>금액(원)</t>
        </is>
      </c>
      <c r="H2285" s="12" t="n"/>
    </row>
    <row r="2286">
      <c r="B2286" s="4">
        <f>IF($K$2282="","",IF(설정!$B$17="","",설정!$B$17))</f>
        <v/>
      </c>
      <c r="C2286" s="31">
        <f>IF(OR($K$2282="",설정!$B$17=""),"",INDEX(직원목록!$F$7:$F$306,$K$2282))</f>
        <v/>
      </c>
      <c r="D2286" s="32">
        <f>IF(OR($K$2282="",설정!$B$17=""),"",IF(N(INDEX(직원목록!$N$7:$N$306,$K$2282))=0,"",INDEX(직원목록!$N$7:$N$306,$K$2282)&amp;"시간"))</f>
        <v/>
      </c>
      <c r="F2286" s="4">
        <f>IF($K$2282="","",IF(설정!$B$26="","",설정!$B$26))</f>
        <v/>
      </c>
      <c r="G2286" s="31">
        <f>IF(OR($K$2282="",설정!$B$26=""),"",INDEX(직원목록!$W$7:$W$306,$K$2282))</f>
        <v/>
      </c>
      <c r="H2286" s="19" t="n"/>
    </row>
    <row r="2287">
      <c r="B2287" s="4">
        <f>IF($K$2282="","",IF(설정!$B$18="","",설정!$B$18))</f>
        <v/>
      </c>
      <c r="C2287" s="31">
        <f>IF(OR($K$2282="",설정!$B$18=""),"",INDEX(직원목록!$G$7:$G$306,$K$2282))</f>
        <v/>
      </c>
      <c r="D2287" s="32">
        <f>IF(OR($K$2282="",설정!$B$18=""),"",IF(N(INDEX(직원목록!$O$7:$O$306,$K$2282))=0,"",INDEX(직원목록!$O$7:$O$306,$K$2282)&amp;"시간"))</f>
        <v/>
      </c>
      <c r="F2287" s="4">
        <f>IF($K$2282="","",IF(설정!$B$27="","",설정!$B$27))</f>
        <v/>
      </c>
      <c r="G2287" s="31">
        <f>IF(OR($K$2282="",설정!$B$27=""),"",INDEX(직원목록!$X$7:$X$306,$K$2282))</f>
        <v/>
      </c>
      <c r="H2287" s="19" t="n"/>
    </row>
    <row r="2288">
      <c r="B2288" s="4">
        <f>IF($K$2282="","",IF(설정!$B$19="","",설정!$B$19))</f>
        <v/>
      </c>
      <c r="C2288" s="31">
        <f>IF(OR($K$2282="",설정!$B$19=""),"",INDEX(직원목록!$H$7:$H$306,$K$2282))</f>
        <v/>
      </c>
      <c r="D2288" s="32">
        <f>IF(OR($K$2282="",설정!$B$19=""),"",IF(N(INDEX(직원목록!$P$7:$P$306,$K$2282))=0,"",INDEX(직원목록!$P$7:$P$306,$K$2282)&amp;"시간"))</f>
        <v/>
      </c>
      <c r="F2288" s="4">
        <f>IF($K$2282="","",IF(설정!$B$28="","",설정!$B$28))</f>
        <v/>
      </c>
      <c r="G2288" s="31">
        <f>IF(OR($K$2282="",설정!$B$28=""),"",INDEX(직원목록!$Y$7:$Y$306,$K$2282))</f>
        <v/>
      </c>
      <c r="H2288" s="19" t="n"/>
    </row>
    <row r="2289">
      <c r="B2289" s="4">
        <f>IF($K$2282="","",IF(설정!$B$20="","",설정!$B$20))</f>
        <v/>
      </c>
      <c r="C2289" s="31">
        <f>IF(OR($K$2282="",설정!$B$20=""),"",INDEX(직원목록!$I$7:$I$306,$K$2282))</f>
        <v/>
      </c>
      <c r="D2289" s="32">
        <f>IF(OR($K$2282="",설정!$B$20=""),"",IF(N(INDEX(직원목록!$Q$7:$Q$306,$K$2282))=0,"",INDEX(직원목록!$Q$7:$Q$306,$K$2282)&amp;"시간"))</f>
        <v/>
      </c>
      <c r="F2289" s="4">
        <f>IF($K$2282="","",IF(설정!$B$29="","",설정!$B$29))</f>
        <v/>
      </c>
      <c r="G2289" s="31">
        <f>IF(OR($K$2282="",설정!$B$29=""),"",INDEX(직원목록!$Z$7:$Z$306,$K$2282))</f>
        <v/>
      </c>
      <c r="H2289" s="19" t="n"/>
    </row>
    <row r="2290">
      <c r="B2290" s="4">
        <f>IF($K$2282="","",IF(설정!$B$21="","",설정!$B$21))</f>
        <v/>
      </c>
      <c r="C2290" s="31">
        <f>IF(OR($K$2282="",설정!$B$21=""),"",INDEX(직원목록!$J$7:$J$306,$K$2282))</f>
        <v/>
      </c>
      <c r="D2290" s="32">
        <f>IF(OR($K$2282="",설정!$B$21=""),"",IF(N(INDEX(직원목록!$R$7:$R$306,$K$2282))=0,"",INDEX(직원목록!$R$7:$R$306,$K$2282)&amp;"시간"))</f>
        <v/>
      </c>
      <c r="F2290" s="4">
        <f>IF($K$2282="","",IF(설정!$B$30="","",설정!$B$30))</f>
        <v/>
      </c>
      <c r="G2290" s="31">
        <f>IF(OR($K$2282="",설정!$B$30=""),"",INDEX(직원목록!$AA$7:$AA$306,$K$2282))</f>
        <v/>
      </c>
      <c r="H2290" s="19" t="n"/>
    </row>
    <row r="2291">
      <c r="B2291" s="4">
        <f>IF($K$2282="","",IF(설정!$B$22="","",설정!$B$22))</f>
        <v/>
      </c>
      <c r="C2291" s="31">
        <f>IF(OR($K$2282="",설정!$B$22=""),"",INDEX(직원목록!$K$7:$K$306,$K$2282))</f>
        <v/>
      </c>
      <c r="D2291" s="32">
        <f>IF(OR($K$2282="",설정!$B$22=""),"",IF(N(INDEX(직원목록!$S$7:$S$306,$K$2282))=0,"",INDEX(직원목록!$S$7:$S$306,$K$2282)&amp;"시간"))</f>
        <v/>
      </c>
      <c r="F2291" s="4">
        <f>IF($K$2282="","",IF(설정!$B$31="","",설정!$B$31))</f>
        <v/>
      </c>
      <c r="G2291" s="31">
        <f>IF(OR($K$2282="",설정!$B$31=""),"",INDEX(직원목록!$AB$7:$AB$306,$K$2282))</f>
        <v/>
      </c>
      <c r="H2291" s="19" t="n"/>
    </row>
    <row r="2292">
      <c r="B2292" s="4">
        <f>IF($K$2282="","",IF(설정!$B$23="","",설정!$B$23))</f>
        <v/>
      </c>
      <c r="C2292" s="31">
        <f>IF(OR($K$2282="",설정!$B$23=""),"",INDEX(직원목록!$L$7:$L$306,$K$2282))</f>
        <v/>
      </c>
      <c r="D2292" s="32">
        <f>IF(OR($K$2282="",설정!$B$23=""),"",IF(N(INDEX(직원목록!$T$7:$T$306,$K$2282))=0,"",INDEX(직원목록!$T$7:$T$306,$K$2282)&amp;"시간"))</f>
        <v/>
      </c>
      <c r="F2292" s="4">
        <f>IF($K$2282="","",IF(설정!$B$32="","",설정!$B$32))</f>
        <v/>
      </c>
      <c r="G2292" s="31">
        <f>IF(OR($K$2282="",설정!$B$32=""),"",INDEX(직원목록!$AC$7:$AC$306,$K$2282))</f>
        <v/>
      </c>
      <c r="H2292" s="19" t="n"/>
    </row>
    <row r="2293">
      <c r="B2293" s="4">
        <f>IF($K$2282="","",IF(설정!$B$24="","",설정!$B$24))</f>
        <v/>
      </c>
      <c r="C2293" s="31">
        <f>IF(OR($K$2282="",설정!$B$24=""),"",INDEX(직원목록!$M$7:$M$306,$K$2282))</f>
        <v/>
      </c>
      <c r="D2293" s="32">
        <f>IF(OR($K$2282="",설정!$B$24=""),"",IF(N(INDEX(직원목록!$U$7:$U$306,$K$2282))=0,"",INDEX(직원목록!$U$7:$U$306,$K$2282)&amp;"시간"))</f>
        <v/>
      </c>
      <c r="F2293" s="4">
        <f>IF($K$2282="","",IF(설정!$B$33="","",설정!$B$33))</f>
        <v/>
      </c>
      <c r="G2293" s="31">
        <f>IF(OR($K$2282="",설정!$B$33=""),"",INDEX(직원목록!$AD$7:$AD$306,$K$2282))</f>
        <v/>
      </c>
      <c r="H2293" s="19" t="n"/>
    </row>
    <row r="2294">
      <c r="B2294" s="3" t="inlineStr">
        <is>
          <t>지급 합계</t>
        </is>
      </c>
      <c r="C2294" s="35">
        <f>IF($K$2282="","",INDEX(직원목록!$V$7:$V$306,$K$2282))</f>
        <v/>
      </c>
      <c r="D2294" s="36" t="n"/>
      <c r="F2294" s="3" t="inlineStr">
        <is>
          <t>공제 합계</t>
        </is>
      </c>
      <c r="G2294" s="35">
        <f>IF($K$2282="","",INDEX(직원목록!$AE$7:$AE$306,$K$2282))</f>
        <v/>
      </c>
      <c r="H2294" s="36" t="n"/>
    </row>
    <row r="2295" ht="28" customHeight="1">
      <c r="B2295" s="37" t="inlineStr">
        <is>
          <t>실 수령액 (지급 합계 − 공제 합계)</t>
        </is>
      </c>
      <c r="C2295" s="29" t="n"/>
      <c r="D2295" s="29" t="n"/>
      <c r="E2295" s="38">
        <f>IF($K$2282="","",INDEX(직원목록!$AF$7:$AF$306,$K$2282))</f>
        <v/>
      </c>
      <c r="F2295" s="29" t="n"/>
      <c r="G2295" s="29" t="n"/>
      <c r="H2295" s="29" t="n"/>
    </row>
    <row r="2296">
      <c r="B2296" s="39">
        <f>IF($K$2282="","",설정!$B$7)</f>
        <v/>
      </c>
    </row>
    <row r="2312" ht="30" customHeight="1">
      <c r="B2312" s="28">
        <f>IF($K$2312="","","임금명세서  ("&amp;설정!$B$5&amp;")")</f>
        <v/>
      </c>
      <c r="K2312" s="34">
        <f>IFERROR(MATCH(78,직원목록!$B$7:$B$306,0),"")</f>
        <v/>
      </c>
    </row>
    <row r="2313">
      <c r="B2313" s="7" t="inlineStr">
        <is>
          <t>회사명</t>
        </is>
      </c>
      <c r="C2313" s="21">
        <f>IF($K$2312="","",설정!$B$4)</f>
        <v/>
      </c>
      <c r="D2313" s="29" t="n"/>
      <c r="E2313" s="19" t="n"/>
      <c r="F2313" s="7" t="inlineStr">
        <is>
          <t>임금 지급일</t>
        </is>
      </c>
      <c r="G2313" s="21">
        <f>IF($K$2312="","",TEXT(설정!$B$6,"yyyy-mm-dd"))</f>
        <v/>
      </c>
      <c r="H2313" s="29" t="n"/>
    </row>
    <row r="2314">
      <c r="B2314" s="7" t="inlineStr">
        <is>
          <t>성명</t>
        </is>
      </c>
      <c r="C2314" s="22">
        <f>IF($K$2312="","",INDEX(직원목록!$D$7:$D$306,$K$2312))</f>
        <v/>
      </c>
      <c r="D2314" s="7" t="inlineStr">
        <is>
          <t>사번</t>
        </is>
      </c>
      <c r="E2314" s="21">
        <f>IF($K$2312="","",INDEX(직원목록!$C$7:$C$306,$K$2312))</f>
        <v/>
      </c>
      <c r="F2314" s="7" t="inlineStr">
        <is>
          <t>부서</t>
        </is>
      </c>
      <c r="G2314" s="21">
        <f>IF($K$2312="","",INDEX(직원목록!$E$7:$E$306,$K$2312))</f>
        <v/>
      </c>
      <c r="H2314" s="29" t="n"/>
    </row>
    <row r="2315">
      <c r="B2315" s="12" t="inlineStr">
        <is>
          <t>지급 항목</t>
        </is>
      </c>
      <c r="C2315" s="12" t="inlineStr">
        <is>
          <t>금액(원)</t>
        </is>
      </c>
      <c r="D2315" s="12" t="inlineStr">
        <is>
          <t>계산 근거</t>
        </is>
      </c>
      <c r="E2315" s="2" t="n"/>
      <c r="F2315" s="12" t="inlineStr">
        <is>
          <t>공제 항목</t>
        </is>
      </c>
      <c r="G2315" s="12" t="inlineStr">
        <is>
          <t>금액(원)</t>
        </is>
      </c>
      <c r="H2315" s="12" t="n"/>
    </row>
    <row r="2316">
      <c r="B2316" s="4">
        <f>IF($K$2312="","",IF(설정!$B$17="","",설정!$B$17))</f>
        <v/>
      </c>
      <c r="C2316" s="31">
        <f>IF(OR($K$2312="",설정!$B$17=""),"",INDEX(직원목록!$F$7:$F$306,$K$2312))</f>
        <v/>
      </c>
      <c r="D2316" s="32">
        <f>IF(OR($K$2312="",설정!$B$17=""),"",IF(N(INDEX(직원목록!$N$7:$N$306,$K$2312))=0,"",INDEX(직원목록!$N$7:$N$306,$K$2312)&amp;"시간"))</f>
        <v/>
      </c>
      <c r="F2316" s="4">
        <f>IF($K$2312="","",IF(설정!$B$26="","",설정!$B$26))</f>
        <v/>
      </c>
      <c r="G2316" s="31">
        <f>IF(OR($K$2312="",설정!$B$26=""),"",INDEX(직원목록!$W$7:$W$306,$K$2312))</f>
        <v/>
      </c>
      <c r="H2316" s="19" t="n"/>
    </row>
    <row r="2317">
      <c r="B2317" s="4">
        <f>IF($K$2312="","",IF(설정!$B$18="","",설정!$B$18))</f>
        <v/>
      </c>
      <c r="C2317" s="31">
        <f>IF(OR($K$2312="",설정!$B$18=""),"",INDEX(직원목록!$G$7:$G$306,$K$2312))</f>
        <v/>
      </c>
      <c r="D2317" s="32">
        <f>IF(OR($K$2312="",설정!$B$18=""),"",IF(N(INDEX(직원목록!$O$7:$O$306,$K$2312))=0,"",INDEX(직원목록!$O$7:$O$306,$K$2312)&amp;"시간"))</f>
        <v/>
      </c>
      <c r="F2317" s="4">
        <f>IF($K$2312="","",IF(설정!$B$27="","",설정!$B$27))</f>
        <v/>
      </c>
      <c r="G2317" s="31">
        <f>IF(OR($K$2312="",설정!$B$27=""),"",INDEX(직원목록!$X$7:$X$306,$K$2312))</f>
        <v/>
      </c>
      <c r="H2317" s="19" t="n"/>
    </row>
    <row r="2318">
      <c r="B2318" s="4">
        <f>IF($K$2312="","",IF(설정!$B$19="","",설정!$B$19))</f>
        <v/>
      </c>
      <c r="C2318" s="31">
        <f>IF(OR($K$2312="",설정!$B$19=""),"",INDEX(직원목록!$H$7:$H$306,$K$2312))</f>
        <v/>
      </c>
      <c r="D2318" s="32">
        <f>IF(OR($K$2312="",설정!$B$19=""),"",IF(N(INDEX(직원목록!$P$7:$P$306,$K$2312))=0,"",INDEX(직원목록!$P$7:$P$306,$K$2312)&amp;"시간"))</f>
        <v/>
      </c>
      <c r="F2318" s="4">
        <f>IF($K$2312="","",IF(설정!$B$28="","",설정!$B$28))</f>
        <v/>
      </c>
      <c r="G2318" s="31">
        <f>IF(OR($K$2312="",설정!$B$28=""),"",INDEX(직원목록!$Y$7:$Y$306,$K$2312))</f>
        <v/>
      </c>
      <c r="H2318" s="19" t="n"/>
    </row>
    <row r="2319">
      <c r="B2319" s="4">
        <f>IF($K$2312="","",IF(설정!$B$20="","",설정!$B$20))</f>
        <v/>
      </c>
      <c r="C2319" s="31">
        <f>IF(OR($K$2312="",설정!$B$20=""),"",INDEX(직원목록!$I$7:$I$306,$K$2312))</f>
        <v/>
      </c>
      <c r="D2319" s="32">
        <f>IF(OR($K$2312="",설정!$B$20=""),"",IF(N(INDEX(직원목록!$Q$7:$Q$306,$K$2312))=0,"",INDEX(직원목록!$Q$7:$Q$306,$K$2312)&amp;"시간"))</f>
        <v/>
      </c>
      <c r="F2319" s="4">
        <f>IF($K$2312="","",IF(설정!$B$29="","",설정!$B$29))</f>
        <v/>
      </c>
      <c r="G2319" s="31">
        <f>IF(OR($K$2312="",설정!$B$29=""),"",INDEX(직원목록!$Z$7:$Z$306,$K$2312))</f>
        <v/>
      </c>
      <c r="H2319" s="19" t="n"/>
    </row>
    <row r="2320">
      <c r="B2320" s="4">
        <f>IF($K$2312="","",IF(설정!$B$21="","",설정!$B$21))</f>
        <v/>
      </c>
      <c r="C2320" s="31">
        <f>IF(OR($K$2312="",설정!$B$21=""),"",INDEX(직원목록!$J$7:$J$306,$K$2312))</f>
        <v/>
      </c>
      <c r="D2320" s="32">
        <f>IF(OR($K$2312="",설정!$B$21=""),"",IF(N(INDEX(직원목록!$R$7:$R$306,$K$2312))=0,"",INDEX(직원목록!$R$7:$R$306,$K$2312)&amp;"시간"))</f>
        <v/>
      </c>
      <c r="F2320" s="4">
        <f>IF($K$2312="","",IF(설정!$B$30="","",설정!$B$30))</f>
        <v/>
      </c>
      <c r="G2320" s="31">
        <f>IF(OR($K$2312="",설정!$B$30=""),"",INDEX(직원목록!$AA$7:$AA$306,$K$2312))</f>
        <v/>
      </c>
      <c r="H2320" s="19" t="n"/>
    </row>
    <row r="2321">
      <c r="B2321" s="4">
        <f>IF($K$2312="","",IF(설정!$B$22="","",설정!$B$22))</f>
        <v/>
      </c>
      <c r="C2321" s="31">
        <f>IF(OR($K$2312="",설정!$B$22=""),"",INDEX(직원목록!$K$7:$K$306,$K$2312))</f>
        <v/>
      </c>
      <c r="D2321" s="32">
        <f>IF(OR($K$2312="",설정!$B$22=""),"",IF(N(INDEX(직원목록!$S$7:$S$306,$K$2312))=0,"",INDEX(직원목록!$S$7:$S$306,$K$2312)&amp;"시간"))</f>
        <v/>
      </c>
      <c r="F2321" s="4">
        <f>IF($K$2312="","",IF(설정!$B$31="","",설정!$B$31))</f>
        <v/>
      </c>
      <c r="G2321" s="31">
        <f>IF(OR($K$2312="",설정!$B$31=""),"",INDEX(직원목록!$AB$7:$AB$306,$K$2312))</f>
        <v/>
      </c>
      <c r="H2321" s="19" t="n"/>
    </row>
    <row r="2322">
      <c r="B2322" s="4">
        <f>IF($K$2312="","",IF(설정!$B$23="","",설정!$B$23))</f>
        <v/>
      </c>
      <c r="C2322" s="31">
        <f>IF(OR($K$2312="",설정!$B$23=""),"",INDEX(직원목록!$L$7:$L$306,$K$2312))</f>
        <v/>
      </c>
      <c r="D2322" s="32">
        <f>IF(OR($K$2312="",설정!$B$23=""),"",IF(N(INDEX(직원목록!$T$7:$T$306,$K$2312))=0,"",INDEX(직원목록!$T$7:$T$306,$K$2312)&amp;"시간"))</f>
        <v/>
      </c>
      <c r="F2322" s="4">
        <f>IF($K$2312="","",IF(설정!$B$32="","",설정!$B$32))</f>
        <v/>
      </c>
      <c r="G2322" s="31">
        <f>IF(OR($K$2312="",설정!$B$32=""),"",INDEX(직원목록!$AC$7:$AC$306,$K$2312))</f>
        <v/>
      </c>
      <c r="H2322" s="19" t="n"/>
    </row>
    <row r="2323">
      <c r="B2323" s="4">
        <f>IF($K$2312="","",IF(설정!$B$24="","",설정!$B$24))</f>
        <v/>
      </c>
      <c r="C2323" s="31">
        <f>IF(OR($K$2312="",설정!$B$24=""),"",INDEX(직원목록!$M$7:$M$306,$K$2312))</f>
        <v/>
      </c>
      <c r="D2323" s="32">
        <f>IF(OR($K$2312="",설정!$B$24=""),"",IF(N(INDEX(직원목록!$U$7:$U$306,$K$2312))=0,"",INDEX(직원목록!$U$7:$U$306,$K$2312)&amp;"시간"))</f>
        <v/>
      </c>
      <c r="F2323" s="4">
        <f>IF($K$2312="","",IF(설정!$B$33="","",설정!$B$33))</f>
        <v/>
      </c>
      <c r="G2323" s="31">
        <f>IF(OR($K$2312="",설정!$B$33=""),"",INDEX(직원목록!$AD$7:$AD$306,$K$2312))</f>
        <v/>
      </c>
      <c r="H2323" s="19" t="n"/>
    </row>
    <row r="2324">
      <c r="B2324" s="3" t="inlineStr">
        <is>
          <t>지급 합계</t>
        </is>
      </c>
      <c r="C2324" s="35">
        <f>IF($K$2312="","",INDEX(직원목록!$V$7:$V$306,$K$2312))</f>
        <v/>
      </c>
      <c r="D2324" s="36" t="n"/>
      <c r="F2324" s="3" t="inlineStr">
        <is>
          <t>공제 합계</t>
        </is>
      </c>
      <c r="G2324" s="35">
        <f>IF($K$2312="","",INDEX(직원목록!$AE$7:$AE$306,$K$2312))</f>
        <v/>
      </c>
      <c r="H2324" s="36" t="n"/>
    </row>
    <row r="2325" ht="28" customHeight="1">
      <c r="B2325" s="37" t="inlineStr">
        <is>
          <t>실 수령액 (지급 합계 − 공제 합계)</t>
        </is>
      </c>
      <c r="C2325" s="29" t="n"/>
      <c r="D2325" s="29" t="n"/>
      <c r="E2325" s="38">
        <f>IF($K$2312="","",INDEX(직원목록!$AF$7:$AF$306,$K$2312))</f>
        <v/>
      </c>
      <c r="F2325" s="29" t="n"/>
      <c r="G2325" s="29" t="n"/>
      <c r="H2325" s="29" t="n"/>
    </row>
    <row r="2326">
      <c r="B2326" s="39">
        <f>IF($K$2312="","",설정!$B$7)</f>
        <v/>
      </c>
    </row>
    <row r="2342" ht="30" customHeight="1">
      <c r="B2342" s="28">
        <f>IF($K$2342="","","임금명세서  ("&amp;설정!$B$5&amp;")")</f>
        <v/>
      </c>
      <c r="K2342" s="34">
        <f>IFERROR(MATCH(79,직원목록!$B$7:$B$306,0),"")</f>
        <v/>
      </c>
    </row>
    <row r="2343">
      <c r="B2343" s="7" t="inlineStr">
        <is>
          <t>회사명</t>
        </is>
      </c>
      <c r="C2343" s="21">
        <f>IF($K$2342="","",설정!$B$4)</f>
        <v/>
      </c>
      <c r="D2343" s="29" t="n"/>
      <c r="E2343" s="19" t="n"/>
      <c r="F2343" s="7" t="inlineStr">
        <is>
          <t>임금 지급일</t>
        </is>
      </c>
      <c r="G2343" s="21">
        <f>IF($K$2342="","",TEXT(설정!$B$6,"yyyy-mm-dd"))</f>
        <v/>
      </c>
      <c r="H2343" s="29" t="n"/>
    </row>
    <row r="2344">
      <c r="B2344" s="7" t="inlineStr">
        <is>
          <t>성명</t>
        </is>
      </c>
      <c r="C2344" s="22">
        <f>IF($K$2342="","",INDEX(직원목록!$D$7:$D$306,$K$2342))</f>
        <v/>
      </c>
      <c r="D2344" s="7" t="inlineStr">
        <is>
          <t>사번</t>
        </is>
      </c>
      <c r="E2344" s="21">
        <f>IF($K$2342="","",INDEX(직원목록!$C$7:$C$306,$K$2342))</f>
        <v/>
      </c>
      <c r="F2344" s="7" t="inlineStr">
        <is>
          <t>부서</t>
        </is>
      </c>
      <c r="G2344" s="21">
        <f>IF($K$2342="","",INDEX(직원목록!$E$7:$E$306,$K$2342))</f>
        <v/>
      </c>
      <c r="H2344" s="29" t="n"/>
    </row>
    <row r="2345">
      <c r="B2345" s="12" t="inlineStr">
        <is>
          <t>지급 항목</t>
        </is>
      </c>
      <c r="C2345" s="12" t="inlineStr">
        <is>
          <t>금액(원)</t>
        </is>
      </c>
      <c r="D2345" s="12" t="inlineStr">
        <is>
          <t>계산 근거</t>
        </is>
      </c>
      <c r="E2345" s="2" t="n"/>
      <c r="F2345" s="12" t="inlineStr">
        <is>
          <t>공제 항목</t>
        </is>
      </c>
      <c r="G2345" s="12" t="inlineStr">
        <is>
          <t>금액(원)</t>
        </is>
      </c>
      <c r="H2345" s="12" t="n"/>
    </row>
    <row r="2346">
      <c r="B2346" s="4">
        <f>IF($K$2342="","",IF(설정!$B$17="","",설정!$B$17))</f>
        <v/>
      </c>
      <c r="C2346" s="31">
        <f>IF(OR($K$2342="",설정!$B$17=""),"",INDEX(직원목록!$F$7:$F$306,$K$2342))</f>
        <v/>
      </c>
      <c r="D2346" s="32">
        <f>IF(OR($K$2342="",설정!$B$17=""),"",IF(N(INDEX(직원목록!$N$7:$N$306,$K$2342))=0,"",INDEX(직원목록!$N$7:$N$306,$K$2342)&amp;"시간"))</f>
        <v/>
      </c>
      <c r="F2346" s="4">
        <f>IF($K$2342="","",IF(설정!$B$26="","",설정!$B$26))</f>
        <v/>
      </c>
      <c r="G2346" s="31">
        <f>IF(OR($K$2342="",설정!$B$26=""),"",INDEX(직원목록!$W$7:$W$306,$K$2342))</f>
        <v/>
      </c>
      <c r="H2346" s="19" t="n"/>
    </row>
    <row r="2347">
      <c r="B2347" s="4">
        <f>IF($K$2342="","",IF(설정!$B$18="","",설정!$B$18))</f>
        <v/>
      </c>
      <c r="C2347" s="31">
        <f>IF(OR($K$2342="",설정!$B$18=""),"",INDEX(직원목록!$G$7:$G$306,$K$2342))</f>
        <v/>
      </c>
      <c r="D2347" s="32">
        <f>IF(OR($K$2342="",설정!$B$18=""),"",IF(N(INDEX(직원목록!$O$7:$O$306,$K$2342))=0,"",INDEX(직원목록!$O$7:$O$306,$K$2342)&amp;"시간"))</f>
        <v/>
      </c>
      <c r="F2347" s="4">
        <f>IF($K$2342="","",IF(설정!$B$27="","",설정!$B$27))</f>
        <v/>
      </c>
      <c r="G2347" s="31">
        <f>IF(OR($K$2342="",설정!$B$27=""),"",INDEX(직원목록!$X$7:$X$306,$K$2342))</f>
        <v/>
      </c>
      <c r="H2347" s="19" t="n"/>
    </row>
    <row r="2348">
      <c r="B2348" s="4">
        <f>IF($K$2342="","",IF(설정!$B$19="","",설정!$B$19))</f>
        <v/>
      </c>
      <c r="C2348" s="31">
        <f>IF(OR($K$2342="",설정!$B$19=""),"",INDEX(직원목록!$H$7:$H$306,$K$2342))</f>
        <v/>
      </c>
      <c r="D2348" s="32">
        <f>IF(OR($K$2342="",설정!$B$19=""),"",IF(N(INDEX(직원목록!$P$7:$P$306,$K$2342))=0,"",INDEX(직원목록!$P$7:$P$306,$K$2342)&amp;"시간"))</f>
        <v/>
      </c>
      <c r="F2348" s="4">
        <f>IF($K$2342="","",IF(설정!$B$28="","",설정!$B$28))</f>
        <v/>
      </c>
      <c r="G2348" s="31">
        <f>IF(OR($K$2342="",설정!$B$28=""),"",INDEX(직원목록!$Y$7:$Y$306,$K$2342))</f>
        <v/>
      </c>
      <c r="H2348" s="19" t="n"/>
    </row>
    <row r="2349">
      <c r="B2349" s="4">
        <f>IF($K$2342="","",IF(설정!$B$20="","",설정!$B$20))</f>
        <v/>
      </c>
      <c r="C2349" s="31">
        <f>IF(OR($K$2342="",설정!$B$20=""),"",INDEX(직원목록!$I$7:$I$306,$K$2342))</f>
        <v/>
      </c>
      <c r="D2349" s="32">
        <f>IF(OR($K$2342="",설정!$B$20=""),"",IF(N(INDEX(직원목록!$Q$7:$Q$306,$K$2342))=0,"",INDEX(직원목록!$Q$7:$Q$306,$K$2342)&amp;"시간"))</f>
        <v/>
      </c>
      <c r="F2349" s="4">
        <f>IF($K$2342="","",IF(설정!$B$29="","",설정!$B$29))</f>
        <v/>
      </c>
      <c r="G2349" s="31">
        <f>IF(OR($K$2342="",설정!$B$29=""),"",INDEX(직원목록!$Z$7:$Z$306,$K$2342))</f>
        <v/>
      </c>
      <c r="H2349" s="19" t="n"/>
    </row>
    <row r="2350">
      <c r="B2350" s="4">
        <f>IF($K$2342="","",IF(설정!$B$21="","",설정!$B$21))</f>
        <v/>
      </c>
      <c r="C2350" s="31">
        <f>IF(OR($K$2342="",설정!$B$21=""),"",INDEX(직원목록!$J$7:$J$306,$K$2342))</f>
        <v/>
      </c>
      <c r="D2350" s="32">
        <f>IF(OR($K$2342="",설정!$B$21=""),"",IF(N(INDEX(직원목록!$R$7:$R$306,$K$2342))=0,"",INDEX(직원목록!$R$7:$R$306,$K$2342)&amp;"시간"))</f>
        <v/>
      </c>
      <c r="F2350" s="4">
        <f>IF($K$2342="","",IF(설정!$B$30="","",설정!$B$30))</f>
        <v/>
      </c>
      <c r="G2350" s="31">
        <f>IF(OR($K$2342="",설정!$B$30=""),"",INDEX(직원목록!$AA$7:$AA$306,$K$2342))</f>
        <v/>
      </c>
      <c r="H2350" s="19" t="n"/>
    </row>
    <row r="2351">
      <c r="B2351" s="4">
        <f>IF($K$2342="","",IF(설정!$B$22="","",설정!$B$22))</f>
        <v/>
      </c>
      <c r="C2351" s="31">
        <f>IF(OR($K$2342="",설정!$B$22=""),"",INDEX(직원목록!$K$7:$K$306,$K$2342))</f>
        <v/>
      </c>
      <c r="D2351" s="32">
        <f>IF(OR($K$2342="",설정!$B$22=""),"",IF(N(INDEX(직원목록!$S$7:$S$306,$K$2342))=0,"",INDEX(직원목록!$S$7:$S$306,$K$2342)&amp;"시간"))</f>
        <v/>
      </c>
      <c r="F2351" s="4">
        <f>IF($K$2342="","",IF(설정!$B$31="","",설정!$B$31))</f>
        <v/>
      </c>
      <c r="G2351" s="31">
        <f>IF(OR($K$2342="",설정!$B$31=""),"",INDEX(직원목록!$AB$7:$AB$306,$K$2342))</f>
        <v/>
      </c>
      <c r="H2351" s="19" t="n"/>
    </row>
    <row r="2352">
      <c r="B2352" s="4">
        <f>IF($K$2342="","",IF(설정!$B$23="","",설정!$B$23))</f>
        <v/>
      </c>
      <c r="C2352" s="31">
        <f>IF(OR($K$2342="",설정!$B$23=""),"",INDEX(직원목록!$L$7:$L$306,$K$2342))</f>
        <v/>
      </c>
      <c r="D2352" s="32">
        <f>IF(OR($K$2342="",설정!$B$23=""),"",IF(N(INDEX(직원목록!$T$7:$T$306,$K$2342))=0,"",INDEX(직원목록!$T$7:$T$306,$K$2342)&amp;"시간"))</f>
        <v/>
      </c>
      <c r="F2352" s="4">
        <f>IF($K$2342="","",IF(설정!$B$32="","",설정!$B$32))</f>
        <v/>
      </c>
      <c r="G2352" s="31">
        <f>IF(OR($K$2342="",설정!$B$32=""),"",INDEX(직원목록!$AC$7:$AC$306,$K$2342))</f>
        <v/>
      </c>
      <c r="H2352" s="19" t="n"/>
    </row>
    <row r="2353">
      <c r="B2353" s="4">
        <f>IF($K$2342="","",IF(설정!$B$24="","",설정!$B$24))</f>
        <v/>
      </c>
      <c r="C2353" s="31">
        <f>IF(OR($K$2342="",설정!$B$24=""),"",INDEX(직원목록!$M$7:$M$306,$K$2342))</f>
        <v/>
      </c>
      <c r="D2353" s="32">
        <f>IF(OR($K$2342="",설정!$B$24=""),"",IF(N(INDEX(직원목록!$U$7:$U$306,$K$2342))=0,"",INDEX(직원목록!$U$7:$U$306,$K$2342)&amp;"시간"))</f>
        <v/>
      </c>
      <c r="F2353" s="4">
        <f>IF($K$2342="","",IF(설정!$B$33="","",설정!$B$33))</f>
        <v/>
      </c>
      <c r="G2353" s="31">
        <f>IF(OR($K$2342="",설정!$B$33=""),"",INDEX(직원목록!$AD$7:$AD$306,$K$2342))</f>
        <v/>
      </c>
      <c r="H2353" s="19" t="n"/>
    </row>
    <row r="2354">
      <c r="B2354" s="3" t="inlineStr">
        <is>
          <t>지급 합계</t>
        </is>
      </c>
      <c r="C2354" s="35">
        <f>IF($K$2342="","",INDEX(직원목록!$V$7:$V$306,$K$2342))</f>
        <v/>
      </c>
      <c r="D2354" s="36" t="n"/>
      <c r="F2354" s="3" t="inlineStr">
        <is>
          <t>공제 합계</t>
        </is>
      </c>
      <c r="G2354" s="35">
        <f>IF($K$2342="","",INDEX(직원목록!$AE$7:$AE$306,$K$2342))</f>
        <v/>
      </c>
      <c r="H2354" s="36" t="n"/>
    </row>
    <row r="2355" ht="28" customHeight="1">
      <c r="B2355" s="37" t="inlineStr">
        <is>
          <t>실 수령액 (지급 합계 − 공제 합계)</t>
        </is>
      </c>
      <c r="C2355" s="29" t="n"/>
      <c r="D2355" s="29" t="n"/>
      <c r="E2355" s="38">
        <f>IF($K$2342="","",INDEX(직원목록!$AF$7:$AF$306,$K$2342))</f>
        <v/>
      </c>
      <c r="F2355" s="29" t="n"/>
      <c r="G2355" s="29" t="n"/>
      <c r="H2355" s="29" t="n"/>
    </row>
    <row r="2356">
      <c r="B2356" s="39">
        <f>IF($K$2342="","",설정!$B$7)</f>
        <v/>
      </c>
    </row>
    <row r="2372" ht="30" customHeight="1">
      <c r="B2372" s="28">
        <f>IF($K$2372="","","임금명세서  ("&amp;설정!$B$5&amp;")")</f>
        <v/>
      </c>
      <c r="K2372" s="34">
        <f>IFERROR(MATCH(80,직원목록!$B$7:$B$306,0),"")</f>
        <v/>
      </c>
    </row>
    <row r="2373">
      <c r="B2373" s="7" t="inlineStr">
        <is>
          <t>회사명</t>
        </is>
      </c>
      <c r="C2373" s="21">
        <f>IF($K$2372="","",설정!$B$4)</f>
        <v/>
      </c>
      <c r="D2373" s="29" t="n"/>
      <c r="E2373" s="19" t="n"/>
      <c r="F2373" s="7" t="inlineStr">
        <is>
          <t>임금 지급일</t>
        </is>
      </c>
      <c r="G2373" s="21">
        <f>IF($K$2372="","",TEXT(설정!$B$6,"yyyy-mm-dd"))</f>
        <v/>
      </c>
      <c r="H2373" s="29" t="n"/>
    </row>
    <row r="2374">
      <c r="B2374" s="7" t="inlineStr">
        <is>
          <t>성명</t>
        </is>
      </c>
      <c r="C2374" s="22">
        <f>IF($K$2372="","",INDEX(직원목록!$D$7:$D$306,$K$2372))</f>
        <v/>
      </c>
      <c r="D2374" s="7" t="inlineStr">
        <is>
          <t>사번</t>
        </is>
      </c>
      <c r="E2374" s="21">
        <f>IF($K$2372="","",INDEX(직원목록!$C$7:$C$306,$K$2372))</f>
        <v/>
      </c>
      <c r="F2374" s="7" t="inlineStr">
        <is>
          <t>부서</t>
        </is>
      </c>
      <c r="G2374" s="21">
        <f>IF($K$2372="","",INDEX(직원목록!$E$7:$E$306,$K$2372))</f>
        <v/>
      </c>
      <c r="H2374" s="29" t="n"/>
    </row>
    <row r="2375">
      <c r="B2375" s="12" t="inlineStr">
        <is>
          <t>지급 항목</t>
        </is>
      </c>
      <c r="C2375" s="12" t="inlineStr">
        <is>
          <t>금액(원)</t>
        </is>
      </c>
      <c r="D2375" s="12" t="inlineStr">
        <is>
          <t>계산 근거</t>
        </is>
      </c>
      <c r="E2375" s="2" t="n"/>
      <c r="F2375" s="12" t="inlineStr">
        <is>
          <t>공제 항목</t>
        </is>
      </c>
      <c r="G2375" s="12" t="inlineStr">
        <is>
          <t>금액(원)</t>
        </is>
      </c>
      <c r="H2375" s="12" t="n"/>
    </row>
    <row r="2376">
      <c r="B2376" s="4">
        <f>IF($K$2372="","",IF(설정!$B$17="","",설정!$B$17))</f>
        <v/>
      </c>
      <c r="C2376" s="31">
        <f>IF(OR($K$2372="",설정!$B$17=""),"",INDEX(직원목록!$F$7:$F$306,$K$2372))</f>
        <v/>
      </c>
      <c r="D2376" s="32">
        <f>IF(OR($K$2372="",설정!$B$17=""),"",IF(N(INDEX(직원목록!$N$7:$N$306,$K$2372))=0,"",INDEX(직원목록!$N$7:$N$306,$K$2372)&amp;"시간"))</f>
        <v/>
      </c>
      <c r="F2376" s="4">
        <f>IF($K$2372="","",IF(설정!$B$26="","",설정!$B$26))</f>
        <v/>
      </c>
      <c r="G2376" s="31">
        <f>IF(OR($K$2372="",설정!$B$26=""),"",INDEX(직원목록!$W$7:$W$306,$K$2372))</f>
        <v/>
      </c>
      <c r="H2376" s="19" t="n"/>
    </row>
    <row r="2377">
      <c r="B2377" s="4">
        <f>IF($K$2372="","",IF(설정!$B$18="","",설정!$B$18))</f>
        <v/>
      </c>
      <c r="C2377" s="31">
        <f>IF(OR($K$2372="",설정!$B$18=""),"",INDEX(직원목록!$G$7:$G$306,$K$2372))</f>
        <v/>
      </c>
      <c r="D2377" s="32">
        <f>IF(OR($K$2372="",설정!$B$18=""),"",IF(N(INDEX(직원목록!$O$7:$O$306,$K$2372))=0,"",INDEX(직원목록!$O$7:$O$306,$K$2372)&amp;"시간"))</f>
        <v/>
      </c>
      <c r="F2377" s="4">
        <f>IF($K$2372="","",IF(설정!$B$27="","",설정!$B$27))</f>
        <v/>
      </c>
      <c r="G2377" s="31">
        <f>IF(OR($K$2372="",설정!$B$27=""),"",INDEX(직원목록!$X$7:$X$306,$K$2372))</f>
        <v/>
      </c>
      <c r="H2377" s="19" t="n"/>
    </row>
    <row r="2378">
      <c r="B2378" s="4">
        <f>IF($K$2372="","",IF(설정!$B$19="","",설정!$B$19))</f>
        <v/>
      </c>
      <c r="C2378" s="31">
        <f>IF(OR($K$2372="",설정!$B$19=""),"",INDEX(직원목록!$H$7:$H$306,$K$2372))</f>
        <v/>
      </c>
      <c r="D2378" s="32">
        <f>IF(OR($K$2372="",설정!$B$19=""),"",IF(N(INDEX(직원목록!$P$7:$P$306,$K$2372))=0,"",INDEX(직원목록!$P$7:$P$306,$K$2372)&amp;"시간"))</f>
        <v/>
      </c>
      <c r="F2378" s="4">
        <f>IF($K$2372="","",IF(설정!$B$28="","",설정!$B$28))</f>
        <v/>
      </c>
      <c r="G2378" s="31">
        <f>IF(OR($K$2372="",설정!$B$28=""),"",INDEX(직원목록!$Y$7:$Y$306,$K$2372))</f>
        <v/>
      </c>
      <c r="H2378" s="19" t="n"/>
    </row>
    <row r="2379">
      <c r="B2379" s="4">
        <f>IF($K$2372="","",IF(설정!$B$20="","",설정!$B$20))</f>
        <v/>
      </c>
      <c r="C2379" s="31">
        <f>IF(OR($K$2372="",설정!$B$20=""),"",INDEX(직원목록!$I$7:$I$306,$K$2372))</f>
        <v/>
      </c>
      <c r="D2379" s="32">
        <f>IF(OR($K$2372="",설정!$B$20=""),"",IF(N(INDEX(직원목록!$Q$7:$Q$306,$K$2372))=0,"",INDEX(직원목록!$Q$7:$Q$306,$K$2372)&amp;"시간"))</f>
        <v/>
      </c>
      <c r="F2379" s="4">
        <f>IF($K$2372="","",IF(설정!$B$29="","",설정!$B$29))</f>
        <v/>
      </c>
      <c r="G2379" s="31">
        <f>IF(OR($K$2372="",설정!$B$29=""),"",INDEX(직원목록!$Z$7:$Z$306,$K$2372))</f>
        <v/>
      </c>
      <c r="H2379" s="19" t="n"/>
    </row>
    <row r="2380">
      <c r="B2380" s="4">
        <f>IF($K$2372="","",IF(설정!$B$21="","",설정!$B$21))</f>
        <v/>
      </c>
      <c r="C2380" s="31">
        <f>IF(OR($K$2372="",설정!$B$21=""),"",INDEX(직원목록!$J$7:$J$306,$K$2372))</f>
        <v/>
      </c>
      <c r="D2380" s="32">
        <f>IF(OR($K$2372="",설정!$B$21=""),"",IF(N(INDEX(직원목록!$R$7:$R$306,$K$2372))=0,"",INDEX(직원목록!$R$7:$R$306,$K$2372)&amp;"시간"))</f>
        <v/>
      </c>
      <c r="F2380" s="4">
        <f>IF($K$2372="","",IF(설정!$B$30="","",설정!$B$30))</f>
        <v/>
      </c>
      <c r="G2380" s="31">
        <f>IF(OR($K$2372="",설정!$B$30=""),"",INDEX(직원목록!$AA$7:$AA$306,$K$2372))</f>
        <v/>
      </c>
      <c r="H2380" s="19" t="n"/>
    </row>
    <row r="2381">
      <c r="B2381" s="4">
        <f>IF($K$2372="","",IF(설정!$B$22="","",설정!$B$22))</f>
        <v/>
      </c>
      <c r="C2381" s="31">
        <f>IF(OR($K$2372="",설정!$B$22=""),"",INDEX(직원목록!$K$7:$K$306,$K$2372))</f>
        <v/>
      </c>
      <c r="D2381" s="32">
        <f>IF(OR($K$2372="",설정!$B$22=""),"",IF(N(INDEX(직원목록!$S$7:$S$306,$K$2372))=0,"",INDEX(직원목록!$S$7:$S$306,$K$2372)&amp;"시간"))</f>
        <v/>
      </c>
      <c r="F2381" s="4">
        <f>IF($K$2372="","",IF(설정!$B$31="","",설정!$B$31))</f>
        <v/>
      </c>
      <c r="G2381" s="31">
        <f>IF(OR($K$2372="",설정!$B$31=""),"",INDEX(직원목록!$AB$7:$AB$306,$K$2372))</f>
        <v/>
      </c>
      <c r="H2381" s="19" t="n"/>
    </row>
    <row r="2382">
      <c r="B2382" s="4">
        <f>IF($K$2372="","",IF(설정!$B$23="","",설정!$B$23))</f>
        <v/>
      </c>
      <c r="C2382" s="31">
        <f>IF(OR($K$2372="",설정!$B$23=""),"",INDEX(직원목록!$L$7:$L$306,$K$2372))</f>
        <v/>
      </c>
      <c r="D2382" s="32">
        <f>IF(OR($K$2372="",설정!$B$23=""),"",IF(N(INDEX(직원목록!$T$7:$T$306,$K$2372))=0,"",INDEX(직원목록!$T$7:$T$306,$K$2372)&amp;"시간"))</f>
        <v/>
      </c>
      <c r="F2382" s="4">
        <f>IF($K$2372="","",IF(설정!$B$32="","",설정!$B$32))</f>
        <v/>
      </c>
      <c r="G2382" s="31">
        <f>IF(OR($K$2372="",설정!$B$32=""),"",INDEX(직원목록!$AC$7:$AC$306,$K$2372))</f>
        <v/>
      </c>
      <c r="H2382" s="19" t="n"/>
    </row>
    <row r="2383">
      <c r="B2383" s="4">
        <f>IF($K$2372="","",IF(설정!$B$24="","",설정!$B$24))</f>
        <v/>
      </c>
      <c r="C2383" s="31">
        <f>IF(OR($K$2372="",설정!$B$24=""),"",INDEX(직원목록!$M$7:$M$306,$K$2372))</f>
        <v/>
      </c>
      <c r="D2383" s="32">
        <f>IF(OR($K$2372="",설정!$B$24=""),"",IF(N(INDEX(직원목록!$U$7:$U$306,$K$2372))=0,"",INDEX(직원목록!$U$7:$U$306,$K$2372)&amp;"시간"))</f>
        <v/>
      </c>
      <c r="F2383" s="4">
        <f>IF($K$2372="","",IF(설정!$B$33="","",설정!$B$33))</f>
        <v/>
      </c>
      <c r="G2383" s="31">
        <f>IF(OR($K$2372="",설정!$B$33=""),"",INDEX(직원목록!$AD$7:$AD$306,$K$2372))</f>
        <v/>
      </c>
      <c r="H2383" s="19" t="n"/>
    </row>
    <row r="2384">
      <c r="B2384" s="3" t="inlineStr">
        <is>
          <t>지급 합계</t>
        </is>
      </c>
      <c r="C2384" s="35">
        <f>IF($K$2372="","",INDEX(직원목록!$V$7:$V$306,$K$2372))</f>
        <v/>
      </c>
      <c r="D2384" s="36" t="n"/>
      <c r="F2384" s="3" t="inlineStr">
        <is>
          <t>공제 합계</t>
        </is>
      </c>
      <c r="G2384" s="35">
        <f>IF($K$2372="","",INDEX(직원목록!$AE$7:$AE$306,$K$2372))</f>
        <v/>
      </c>
      <c r="H2384" s="36" t="n"/>
    </row>
    <row r="2385" ht="28" customHeight="1">
      <c r="B2385" s="37" t="inlineStr">
        <is>
          <t>실 수령액 (지급 합계 − 공제 합계)</t>
        </is>
      </c>
      <c r="C2385" s="29" t="n"/>
      <c r="D2385" s="29" t="n"/>
      <c r="E2385" s="38">
        <f>IF($K$2372="","",INDEX(직원목록!$AF$7:$AF$306,$K$2372))</f>
        <v/>
      </c>
      <c r="F2385" s="29" t="n"/>
      <c r="G2385" s="29" t="n"/>
      <c r="H2385" s="29" t="n"/>
    </row>
    <row r="2386">
      <c r="B2386" s="39">
        <f>IF($K$2372="","",설정!$B$7)</f>
        <v/>
      </c>
    </row>
    <row r="2402" ht="30" customHeight="1">
      <c r="B2402" s="28">
        <f>IF($K$2402="","","임금명세서  ("&amp;설정!$B$5&amp;")")</f>
        <v/>
      </c>
      <c r="K2402" s="34">
        <f>IFERROR(MATCH(81,직원목록!$B$7:$B$306,0),"")</f>
        <v/>
      </c>
    </row>
    <row r="2403">
      <c r="B2403" s="7" t="inlineStr">
        <is>
          <t>회사명</t>
        </is>
      </c>
      <c r="C2403" s="21">
        <f>IF($K$2402="","",설정!$B$4)</f>
        <v/>
      </c>
      <c r="D2403" s="29" t="n"/>
      <c r="E2403" s="19" t="n"/>
      <c r="F2403" s="7" t="inlineStr">
        <is>
          <t>임금 지급일</t>
        </is>
      </c>
      <c r="G2403" s="21">
        <f>IF($K$2402="","",TEXT(설정!$B$6,"yyyy-mm-dd"))</f>
        <v/>
      </c>
      <c r="H2403" s="29" t="n"/>
    </row>
    <row r="2404">
      <c r="B2404" s="7" t="inlineStr">
        <is>
          <t>성명</t>
        </is>
      </c>
      <c r="C2404" s="22">
        <f>IF($K$2402="","",INDEX(직원목록!$D$7:$D$306,$K$2402))</f>
        <v/>
      </c>
      <c r="D2404" s="7" t="inlineStr">
        <is>
          <t>사번</t>
        </is>
      </c>
      <c r="E2404" s="21">
        <f>IF($K$2402="","",INDEX(직원목록!$C$7:$C$306,$K$2402))</f>
        <v/>
      </c>
      <c r="F2404" s="7" t="inlineStr">
        <is>
          <t>부서</t>
        </is>
      </c>
      <c r="G2404" s="21">
        <f>IF($K$2402="","",INDEX(직원목록!$E$7:$E$306,$K$2402))</f>
        <v/>
      </c>
      <c r="H2404" s="29" t="n"/>
    </row>
    <row r="2405">
      <c r="B2405" s="12" t="inlineStr">
        <is>
          <t>지급 항목</t>
        </is>
      </c>
      <c r="C2405" s="12" t="inlineStr">
        <is>
          <t>금액(원)</t>
        </is>
      </c>
      <c r="D2405" s="12" t="inlineStr">
        <is>
          <t>계산 근거</t>
        </is>
      </c>
      <c r="E2405" s="2" t="n"/>
      <c r="F2405" s="12" t="inlineStr">
        <is>
          <t>공제 항목</t>
        </is>
      </c>
      <c r="G2405" s="12" t="inlineStr">
        <is>
          <t>금액(원)</t>
        </is>
      </c>
      <c r="H2405" s="12" t="n"/>
    </row>
    <row r="2406">
      <c r="B2406" s="4">
        <f>IF($K$2402="","",IF(설정!$B$17="","",설정!$B$17))</f>
        <v/>
      </c>
      <c r="C2406" s="31">
        <f>IF(OR($K$2402="",설정!$B$17=""),"",INDEX(직원목록!$F$7:$F$306,$K$2402))</f>
        <v/>
      </c>
      <c r="D2406" s="32">
        <f>IF(OR($K$2402="",설정!$B$17=""),"",IF(N(INDEX(직원목록!$N$7:$N$306,$K$2402))=0,"",INDEX(직원목록!$N$7:$N$306,$K$2402)&amp;"시간"))</f>
        <v/>
      </c>
      <c r="F2406" s="4">
        <f>IF($K$2402="","",IF(설정!$B$26="","",설정!$B$26))</f>
        <v/>
      </c>
      <c r="G2406" s="31">
        <f>IF(OR($K$2402="",설정!$B$26=""),"",INDEX(직원목록!$W$7:$W$306,$K$2402))</f>
        <v/>
      </c>
      <c r="H2406" s="19" t="n"/>
    </row>
    <row r="2407">
      <c r="B2407" s="4">
        <f>IF($K$2402="","",IF(설정!$B$18="","",설정!$B$18))</f>
        <v/>
      </c>
      <c r="C2407" s="31">
        <f>IF(OR($K$2402="",설정!$B$18=""),"",INDEX(직원목록!$G$7:$G$306,$K$2402))</f>
        <v/>
      </c>
      <c r="D2407" s="32">
        <f>IF(OR($K$2402="",설정!$B$18=""),"",IF(N(INDEX(직원목록!$O$7:$O$306,$K$2402))=0,"",INDEX(직원목록!$O$7:$O$306,$K$2402)&amp;"시간"))</f>
        <v/>
      </c>
      <c r="F2407" s="4">
        <f>IF($K$2402="","",IF(설정!$B$27="","",설정!$B$27))</f>
        <v/>
      </c>
      <c r="G2407" s="31">
        <f>IF(OR($K$2402="",설정!$B$27=""),"",INDEX(직원목록!$X$7:$X$306,$K$2402))</f>
        <v/>
      </c>
      <c r="H2407" s="19" t="n"/>
    </row>
    <row r="2408">
      <c r="B2408" s="4">
        <f>IF($K$2402="","",IF(설정!$B$19="","",설정!$B$19))</f>
        <v/>
      </c>
      <c r="C2408" s="31">
        <f>IF(OR($K$2402="",설정!$B$19=""),"",INDEX(직원목록!$H$7:$H$306,$K$2402))</f>
        <v/>
      </c>
      <c r="D2408" s="32">
        <f>IF(OR($K$2402="",설정!$B$19=""),"",IF(N(INDEX(직원목록!$P$7:$P$306,$K$2402))=0,"",INDEX(직원목록!$P$7:$P$306,$K$2402)&amp;"시간"))</f>
        <v/>
      </c>
      <c r="F2408" s="4">
        <f>IF($K$2402="","",IF(설정!$B$28="","",설정!$B$28))</f>
        <v/>
      </c>
      <c r="G2408" s="31">
        <f>IF(OR($K$2402="",설정!$B$28=""),"",INDEX(직원목록!$Y$7:$Y$306,$K$2402))</f>
        <v/>
      </c>
      <c r="H2408" s="19" t="n"/>
    </row>
    <row r="2409">
      <c r="B2409" s="4">
        <f>IF($K$2402="","",IF(설정!$B$20="","",설정!$B$20))</f>
        <v/>
      </c>
      <c r="C2409" s="31">
        <f>IF(OR($K$2402="",설정!$B$20=""),"",INDEX(직원목록!$I$7:$I$306,$K$2402))</f>
        <v/>
      </c>
      <c r="D2409" s="32">
        <f>IF(OR($K$2402="",설정!$B$20=""),"",IF(N(INDEX(직원목록!$Q$7:$Q$306,$K$2402))=0,"",INDEX(직원목록!$Q$7:$Q$306,$K$2402)&amp;"시간"))</f>
        <v/>
      </c>
      <c r="F2409" s="4">
        <f>IF($K$2402="","",IF(설정!$B$29="","",설정!$B$29))</f>
        <v/>
      </c>
      <c r="G2409" s="31">
        <f>IF(OR($K$2402="",설정!$B$29=""),"",INDEX(직원목록!$Z$7:$Z$306,$K$2402))</f>
        <v/>
      </c>
      <c r="H2409" s="19" t="n"/>
    </row>
    <row r="2410">
      <c r="B2410" s="4">
        <f>IF($K$2402="","",IF(설정!$B$21="","",설정!$B$21))</f>
        <v/>
      </c>
      <c r="C2410" s="31">
        <f>IF(OR($K$2402="",설정!$B$21=""),"",INDEX(직원목록!$J$7:$J$306,$K$2402))</f>
        <v/>
      </c>
      <c r="D2410" s="32">
        <f>IF(OR($K$2402="",설정!$B$21=""),"",IF(N(INDEX(직원목록!$R$7:$R$306,$K$2402))=0,"",INDEX(직원목록!$R$7:$R$306,$K$2402)&amp;"시간"))</f>
        <v/>
      </c>
      <c r="F2410" s="4">
        <f>IF($K$2402="","",IF(설정!$B$30="","",설정!$B$30))</f>
        <v/>
      </c>
      <c r="G2410" s="31">
        <f>IF(OR($K$2402="",설정!$B$30=""),"",INDEX(직원목록!$AA$7:$AA$306,$K$2402))</f>
        <v/>
      </c>
      <c r="H2410" s="19" t="n"/>
    </row>
    <row r="2411">
      <c r="B2411" s="4">
        <f>IF($K$2402="","",IF(설정!$B$22="","",설정!$B$22))</f>
        <v/>
      </c>
      <c r="C2411" s="31">
        <f>IF(OR($K$2402="",설정!$B$22=""),"",INDEX(직원목록!$K$7:$K$306,$K$2402))</f>
        <v/>
      </c>
      <c r="D2411" s="32">
        <f>IF(OR($K$2402="",설정!$B$22=""),"",IF(N(INDEX(직원목록!$S$7:$S$306,$K$2402))=0,"",INDEX(직원목록!$S$7:$S$306,$K$2402)&amp;"시간"))</f>
        <v/>
      </c>
      <c r="F2411" s="4">
        <f>IF($K$2402="","",IF(설정!$B$31="","",설정!$B$31))</f>
        <v/>
      </c>
      <c r="G2411" s="31">
        <f>IF(OR($K$2402="",설정!$B$31=""),"",INDEX(직원목록!$AB$7:$AB$306,$K$2402))</f>
        <v/>
      </c>
      <c r="H2411" s="19" t="n"/>
    </row>
    <row r="2412">
      <c r="B2412" s="4">
        <f>IF($K$2402="","",IF(설정!$B$23="","",설정!$B$23))</f>
        <v/>
      </c>
      <c r="C2412" s="31">
        <f>IF(OR($K$2402="",설정!$B$23=""),"",INDEX(직원목록!$L$7:$L$306,$K$2402))</f>
        <v/>
      </c>
      <c r="D2412" s="32">
        <f>IF(OR($K$2402="",설정!$B$23=""),"",IF(N(INDEX(직원목록!$T$7:$T$306,$K$2402))=0,"",INDEX(직원목록!$T$7:$T$306,$K$2402)&amp;"시간"))</f>
        <v/>
      </c>
      <c r="F2412" s="4">
        <f>IF($K$2402="","",IF(설정!$B$32="","",설정!$B$32))</f>
        <v/>
      </c>
      <c r="G2412" s="31">
        <f>IF(OR($K$2402="",설정!$B$32=""),"",INDEX(직원목록!$AC$7:$AC$306,$K$2402))</f>
        <v/>
      </c>
      <c r="H2412" s="19" t="n"/>
    </row>
    <row r="2413">
      <c r="B2413" s="4">
        <f>IF($K$2402="","",IF(설정!$B$24="","",설정!$B$24))</f>
        <v/>
      </c>
      <c r="C2413" s="31">
        <f>IF(OR($K$2402="",설정!$B$24=""),"",INDEX(직원목록!$M$7:$M$306,$K$2402))</f>
        <v/>
      </c>
      <c r="D2413" s="32">
        <f>IF(OR($K$2402="",설정!$B$24=""),"",IF(N(INDEX(직원목록!$U$7:$U$306,$K$2402))=0,"",INDEX(직원목록!$U$7:$U$306,$K$2402)&amp;"시간"))</f>
        <v/>
      </c>
      <c r="F2413" s="4">
        <f>IF($K$2402="","",IF(설정!$B$33="","",설정!$B$33))</f>
        <v/>
      </c>
      <c r="G2413" s="31">
        <f>IF(OR($K$2402="",설정!$B$33=""),"",INDEX(직원목록!$AD$7:$AD$306,$K$2402))</f>
        <v/>
      </c>
      <c r="H2413" s="19" t="n"/>
    </row>
    <row r="2414">
      <c r="B2414" s="3" t="inlineStr">
        <is>
          <t>지급 합계</t>
        </is>
      </c>
      <c r="C2414" s="35">
        <f>IF($K$2402="","",INDEX(직원목록!$V$7:$V$306,$K$2402))</f>
        <v/>
      </c>
      <c r="D2414" s="36" t="n"/>
      <c r="F2414" s="3" t="inlineStr">
        <is>
          <t>공제 합계</t>
        </is>
      </c>
      <c r="G2414" s="35">
        <f>IF($K$2402="","",INDEX(직원목록!$AE$7:$AE$306,$K$2402))</f>
        <v/>
      </c>
      <c r="H2414" s="36" t="n"/>
    </row>
    <row r="2415" ht="28" customHeight="1">
      <c r="B2415" s="37" t="inlineStr">
        <is>
          <t>실 수령액 (지급 합계 − 공제 합계)</t>
        </is>
      </c>
      <c r="C2415" s="29" t="n"/>
      <c r="D2415" s="29" t="n"/>
      <c r="E2415" s="38">
        <f>IF($K$2402="","",INDEX(직원목록!$AF$7:$AF$306,$K$2402))</f>
        <v/>
      </c>
      <c r="F2415" s="29" t="n"/>
      <c r="G2415" s="29" t="n"/>
      <c r="H2415" s="29" t="n"/>
    </row>
    <row r="2416">
      <c r="B2416" s="39">
        <f>IF($K$2402="","",설정!$B$7)</f>
        <v/>
      </c>
    </row>
    <row r="2432" ht="30" customHeight="1">
      <c r="B2432" s="28">
        <f>IF($K$2432="","","임금명세서  ("&amp;설정!$B$5&amp;")")</f>
        <v/>
      </c>
      <c r="K2432" s="34">
        <f>IFERROR(MATCH(82,직원목록!$B$7:$B$306,0),"")</f>
        <v/>
      </c>
    </row>
    <row r="2433">
      <c r="B2433" s="7" t="inlineStr">
        <is>
          <t>회사명</t>
        </is>
      </c>
      <c r="C2433" s="21">
        <f>IF($K$2432="","",설정!$B$4)</f>
        <v/>
      </c>
      <c r="D2433" s="29" t="n"/>
      <c r="E2433" s="19" t="n"/>
      <c r="F2433" s="7" t="inlineStr">
        <is>
          <t>임금 지급일</t>
        </is>
      </c>
      <c r="G2433" s="21">
        <f>IF($K$2432="","",TEXT(설정!$B$6,"yyyy-mm-dd"))</f>
        <v/>
      </c>
      <c r="H2433" s="29" t="n"/>
    </row>
    <row r="2434">
      <c r="B2434" s="7" t="inlineStr">
        <is>
          <t>성명</t>
        </is>
      </c>
      <c r="C2434" s="22">
        <f>IF($K$2432="","",INDEX(직원목록!$D$7:$D$306,$K$2432))</f>
        <v/>
      </c>
      <c r="D2434" s="7" t="inlineStr">
        <is>
          <t>사번</t>
        </is>
      </c>
      <c r="E2434" s="21">
        <f>IF($K$2432="","",INDEX(직원목록!$C$7:$C$306,$K$2432))</f>
        <v/>
      </c>
      <c r="F2434" s="7" t="inlineStr">
        <is>
          <t>부서</t>
        </is>
      </c>
      <c r="G2434" s="21">
        <f>IF($K$2432="","",INDEX(직원목록!$E$7:$E$306,$K$2432))</f>
        <v/>
      </c>
      <c r="H2434" s="29" t="n"/>
    </row>
    <row r="2435">
      <c r="B2435" s="12" t="inlineStr">
        <is>
          <t>지급 항목</t>
        </is>
      </c>
      <c r="C2435" s="12" t="inlineStr">
        <is>
          <t>금액(원)</t>
        </is>
      </c>
      <c r="D2435" s="12" t="inlineStr">
        <is>
          <t>계산 근거</t>
        </is>
      </c>
      <c r="E2435" s="2" t="n"/>
      <c r="F2435" s="12" t="inlineStr">
        <is>
          <t>공제 항목</t>
        </is>
      </c>
      <c r="G2435" s="12" t="inlineStr">
        <is>
          <t>금액(원)</t>
        </is>
      </c>
      <c r="H2435" s="12" t="n"/>
    </row>
    <row r="2436">
      <c r="B2436" s="4">
        <f>IF($K$2432="","",IF(설정!$B$17="","",설정!$B$17))</f>
        <v/>
      </c>
      <c r="C2436" s="31">
        <f>IF(OR($K$2432="",설정!$B$17=""),"",INDEX(직원목록!$F$7:$F$306,$K$2432))</f>
        <v/>
      </c>
      <c r="D2436" s="32">
        <f>IF(OR($K$2432="",설정!$B$17=""),"",IF(N(INDEX(직원목록!$N$7:$N$306,$K$2432))=0,"",INDEX(직원목록!$N$7:$N$306,$K$2432)&amp;"시간"))</f>
        <v/>
      </c>
      <c r="F2436" s="4">
        <f>IF($K$2432="","",IF(설정!$B$26="","",설정!$B$26))</f>
        <v/>
      </c>
      <c r="G2436" s="31">
        <f>IF(OR($K$2432="",설정!$B$26=""),"",INDEX(직원목록!$W$7:$W$306,$K$2432))</f>
        <v/>
      </c>
      <c r="H2436" s="19" t="n"/>
    </row>
    <row r="2437">
      <c r="B2437" s="4">
        <f>IF($K$2432="","",IF(설정!$B$18="","",설정!$B$18))</f>
        <v/>
      </c>
      <c r="C2437" s="31">
        <f>IF(OR($K$2432="",설정!$B$18=""),"",INDEX(직원목록!$G$7:$G$306,$K$2432))</f>
        <v/>
      </c>
      <c r="D2437" s="32">
        <f>IF(OR($K$2432="",설정!$B$18=""),"",IF(N(INDEX(직원목록!$O$7:$O$306,$K$2432))=0,"",INDEX(직원목록!$O$7:$O$306,$K$2432)&amp;"시간"))</f>
        <v/>
      </c>
      <c r="F2437" s="4">
        <f>IF($K$2432="","",IF(설정!$B$27="","",설정!$B$27))</f>
        <v/>
      </c>
      <c r="G2437" s="31">
        <f>IF(OR($K$2432="",설정!$B$27=""),"",INDEX(직원목록!$X$7:$X$306,$K$2432))</f>
        <v/>
      </c>
      <c r="H2437" s="19" t="n"/>
    </row>
    <row r="2438">
      <c r="B2438" s="4">
        <f>IF($K$2432="","",IF(설정!$B$19="","",설정!$B$19))</f>
        <v/>
      </c>
      <c r="C2438" s="31">
        <f>IF(OR($K$2432="",설정!$B$19=""),"",INDEX(직원목록!$H$7:$H$306,$K$2432))</f>
        <v/>
      </c>
      <c r="D2438" s="32">
        <f>IF(OR($K$2432="",설정!$B$19=""),"",IF(N(INDEX(직원목록!$P$7:$P$306,$K$2432))=0,"",INDEX(직원목록!$P$7:$P$306,$K$2432)&amp;"시간"))</f>
        <v/>
      </c>
      <c r="F2438" s="4">
        <f>IF($K$2432="","",IF(설정!$B$28="","",설정!$B$28))</f>
        <v/>
      </c>
      <c r="G2438" s="31">
        <f>IF(OR($K$2432="",설정!$B$28=""),"",INDEX(직원목록!$Y$7:$Y$306,$K$2432))</f>
        <v/>
      </c>
      <c r="H2438" s="19" t="n"/>
    </row>
    <row r="2439">
      <c r="B2439" s="4">
        <f>IF($K$2432="","",IF(설정!$B$20="","",설정!$B$20))</f>
        <v/>
      </c>
      <c r="C2439" s="31">
        <f>IF(OR($K$2432="",설정!$B$20=""),"",INDEX(직원목록!$I$7:$I$306,$K$2432))</f>
        <v/>
      </c>
      <c r="D2439" s="32">
        <f>IF(OR($K$2432="",설정!$B$20=""),"",IF(N(INDEX(직원목록!$Q$7:$Q$306,$K$2432))=0,"",INDEX(직원목록!$Q$7:$Q$306,$K$2432)&amp;"시간"))</f>
        <v/>
      </c>
      <c r="F2439" s="4">
        <f>IF($K$2432="","",IF(설정!$B$29="","",설정!$B$29))</f>
        <v/>
      </c>
      <c r="G2439" s="31">
        <f>IF(OR($K$2432="",설정!$B$29=""),"",INDEX(직원목록!$Z$7:$Z$306,$K$2432))</f>
        <v/>
      </c>
      <c r="H2439" s="19" t="n"/>
    </row>
    <row r="2440">
      <c r="B2440" s="4">
        <f>IF($K$2432="","",IF(설정!$B$21="","",설정!$B$21))</f>
        <v/>
      </c>
      <c r="C2440" s="31">
        <f>IF(OR($K$2432="",설정!$B$21=""),"",INDEX(직원목록!$J$7:$J$306,$K$2432))</f>
        <v/>
      </c>
      <c r="D2440" s="32">
        <f>IF(OR($K$2432="",설정!$B$21=""),"",IF(N(INDEX(직원목록!$R$7:$R$306,$K$2432))=0,"",INDEX(직원목록!$R$7:$R$306,$K$2432)&amp;"시간"))</f>
        <v/>
      </c>
      <c r="F2440" s="4">
        <f>IF($K$2432="","",IF(설정!$B$30="","",설정!$B$30))</f>
        <v/>
      </c>
      <c r="G2440" s="31">
        <f>IF(OR($K$2432="",설정!$B$30=""),"",INDEX(직원목록!$AA$7:$AA$306,$K$2432))</f>
        <v/>
      </c>
      <c r="H2440" s="19" t="n"/>
    </row>
    <row r="2441">
      <c r="B2441" s="4">
        <f>IF($K$2432="","",IF(설정!$B$22="","",설정!$B$22))</f>
        <v/>
      </c>
      <c r="C2441" s="31">
        <f>IF(OR($K$2432="",설정!$B$22=""),"",INDEX(직원목록!$K$7:$K$306,$K$2432))</f>
        <v/>
      </c>
      <c r="D2441" s="32">
        <f>IF(OR($K$2432="",설정!$B$22=""),"",IF(N(INDEX(직원목록!$S$7:$S$306,$K$2432))=0,"",INDEX(직원목록!$S$7:$S$306,$K$2432)&amp;"시간"))</f>
        <v/>
      </c>
      <c r="F2441" s="4">
        <f>IF($K$2432="","",IF(설정!$B$31="","",설정!$B$31))</f>
        <v/>
      </c>
      <c r="G2441" s="31">
        <f>IF(OR($K$2432="",설정!$B$31=""),"",INDEX(직원목록!$AB$7:$AB$306,$K$2432))</f>
        <v/>
      </c>
      <c r="H2441" s="19" t="n"/>
    </row>
    <row r="2442">
      <c r="B2442" s="4">
        <f>IF($K$2432="","",IF(설정!$B$23="","",설정!$B$23))</f>
        <v/>
      </c>
      <c r="C2442" s="31">
        <f>IF(OR($K$2432="",설정!$B$23=""),"",INDEX(직원목록!$L$7:$L$306,$K$2432))</f>
        <v/>
      </c>
      <c r="D2442" s="32">
        <f>IF(OR($K$2432="",설정!$B$23=""),"",IF(N(INDEX(직원목록!$T$7:$T$306,$K$2432))=0,"",INDEX(직원목록!$T$7:$T$306,$K$2432)&amp;"시간"))</f>
        <v/>
      </c>
      <c r="F2442" s="4">
        <f>IF($K$2432="","",IF(설정!$B$32="","",설정!$B$32))</f>
        <v/>
      </c>
      <c r="G2442" s="31">
        <f>IF(OR($K$2432="",설정!$B$32=""),"",INDEX(직원목록!$AC$7:$AC$306,$K$2432))</f>
        <v/>
      </c>
      <c r="H2442" s="19" t="n"/>
    </row>
    <row r="2443">
      <c r="B2443" s="4">
        <f>IF($K$2432="","",IF(설정!$B$24="","",설정!$B$24))</f>
        <v/>
      </c>
      <c r="C2443" s="31">
        <f>IF(OR($K$2432="",설정!$B$24=""),"",INDEX(직원목록!$M$7:$M$306,$K$2432))</f>
        <v/>
      </c>
      <c r="D2443" s="32">
        <f>IF(OR($K$2432="",설정!$B$24=""),"",IF(N(INDEX(직원목록!$U$7:$U$306,$K$2432))=0,"",INDEX(직원목록!$U$7:$U$306,$K$2432)&amp;"시간"))</f>
        <v/>
      </c>
      <c r="F2443" s="4">
        <f>IF($K$2432="","",IF(설정!$B$33="","",설정!$B$33))</f>
        <v/>
      </c>
      <c r="G2443" s="31">
        <f>IF(OR($K$2432="",설정!$B$33=""),"",INDEX(직원목록!$AD$7:$AD$306,$K$2432))</f>
        <v/>
      </c>
      <c r="H2443" s="19" t="n"/>
    </row>
    <row r="2444">
      <c r="B2444" s="3" t="inlineStr">
        <is>
          <t>지급 합계</t>
        </is>
      </c>
      <c r="C2444" s="35">
        <f>IF($K$2432="","",INDEX(직원목록!$V$7:$V$306,$K$2432))</f>
        <v/>
      </c>
      <c r="D2444" s="36" t="n"/>
      <c r="F2444" s="3" t="inlineStr">
        <is>
          <t>공제 합계</t>
        </is>
      </c>
      <c r="G2444" s="35">
        <f>IF($K$2432="","",INDEX(직원목록!$AE$7:$AE$306,$K$2432))</f>
        <v/>
      </c>
      <c r="H2444" s="36" t="n"/>
    </row>
    <row r="2445" ht="28" customHeight="1">
      <c r="B2445" s="37" t="inlineStr">
        <is>
          <t>실 수령액 (지급 합계 − 공제 합계)</t>
        </is>
      </c>
      <c r="C2445" s="29" t="n"/>
      <c r="D2445" s="29" t="n"/>
      <c r="E2445" s="38">
        <f>IF($K$2432="","",INDEX(직원목록!$AF$7:$AF$306,$K$2432))</f>
        <v/>
      </c>
      <c r="F2445" s="29" t="n"/>
      <c r="G2445" s="29" t="n"/>
      <c r="H2445" s="29" t="n"/>
    </row>
    <row r="2446">
      <c r="B2446" s="39">
        <f>IF($K$2432="","",설정!$B$7)</f>
        <v/>
      </c>
    </row>
    <row r="2462" ht="30" customHeight="1">
      <c r="B2462" s="28">
        <f>IF($K$2462="","","임금명세서  ("&amp;설정!$B$5&amp;")")</f>
        <v/>
      </c>
      <c r="K2462" s="34">
        <f>IFERROR(MATCH(83,직원목록!$B$7:$B$306,0),"")</f>
        <v/>
      </c>
    </row>
    <row r="2463">
      <c r="B2463" s="7" t="inlineStr">
        <is>
          <t>회사명</t>
        </is>
      </c>
      <c r="C2463" s="21">
        <f>IF($K$2462="","",설정!$B$4)</f>
        <v/>
      </c>
      <c r="D2463" s="29" t="n"/>
      <c r="E2463" s="19" t="n"/>
      <c r="F2463" s="7" t="inlineStr">
        <is>
          <t>임금 지급일</t>
        </is>
      </c>
      <c r="G2463" s="21">
        <f>IF($K$2462="","",TEXT(설정!$B$6,"yyyy-mm-dd"))</f>
        <v/>
      </c>
      <c r="H2463" s="29" t="n"/>
    </row>
    <row r="2464">
      <c r="B2464" s="7" t="inlineStr">
        <is>
          <t>성명</t>
        </is>
      </c>
      <c r="C2464" s="22">
        <f>IF($K$2462="","",INDEX(직원목록!$D$7:$D$306,$K$2462))</f>
        <v/>
      </c>
      <c r="D2464" s="7" t="inlineStr">
        <is>
          <t>사번</t>
        </is>
      </c>
      <c r="E2464" s="21">
        <f>IF($K$2462="","",INDEX(직원목록!$C$7:$C$306,$K$2462))</f>
        <v/>
      </c>
      <c r="F2464" s="7" t="inlineStr">
        <is>
          <t>부서</t>
        </is>
      </c>
      <c r="G2464" s="21">
        <f>IF($K$2462="","",INDEX(직원목록!$E$7:$E$306,$K$2462))</f>
        <v/>
      </c>
      <c r="H2464" s="29" t="n"/>
    </row>
    <row r="2465">
      <c r="B2465" s="12" t="inlineStr">
        <is>
          <t>지급 항목</t>
        </is>
      </c>
      <c r="C2465" s="12" t="inlineStr">
        <is>
          <t>금액(원)</t>
        </is>
      </c>
      <c r="D2465" s="12" t="inlineStr">
        <is>
          <t>계산 근거</t>
        </is>
      </c>
      <c r="E2465" s="2" t="n"/>
      <c r="F2465" s="12" t="inlineStr">
        <is>
          <t>공제 항목</t>
        </is>
      </c>
      <c r="G2465" s="12" t="inlineStr">
        <is>
          <t>금액(원)</t>
        </is>
      </c>
      <c r="H2465" s="12" t="n"/>
    </row>
    <row r="2466">
      <c r="B2466" s="4">
        <f>IF($K$2462="","",IF(설정!$B$17="","",설정!$B$17))</f>
        <v/>
      </c>
      <c r="C2466" s="31">
        <f>IF(OR($K$2462="",설정!$B$17=""),"",INDEX(직원목록!$F$7:$F$306,$K$2462))</f>
        <v/>
      </c>
      <c r="D2466" s="32">
        <f>IF(OR($K$2462="",설정!$B$17=""),"",IF(N(INDEX(직원목록!$N$7:$N$306,$K$2462))=0,"",INDEX(직원목록!$N$7:$N$306,$K$2462)&amp;"시간"))</f>
        <v/>
      </c>
      <c r="F2466" s="4">
        <f>IF($K$2462="","",IF(설정!$B$26="","",설정!$B$26))</f>
        <v/>
      </c>
      <c r="G2466" s="31">
        <f>IF(OR($K$2462="",설정!$B$26=""),"",INDEX(직원목록!$W$7:$W$306,$K$2462))</f>
        <v/>
      </c>
      <c r="H2466" s="19" t="n"/>
    </row>
    <row r="2467">
      <c r="B2467" s="4">
        <f>IF($K$2462="","",IF(설정!$B$18="","",설정!$B$18))</f>
        <v/>
      </c>
      <c r="C2467" s="31">
        <f>IF(OR($K$2462="",설정!$B$18=""),"",INDEX(직원목록!$G$7:$G$306,$K$2462))</f>
        <v/>
      </c>
      <c r="D2467" s="32">
        <f>IF(OR($K$2462="",설정!$B$18=""),"",IF(N(INDEX(직원목록!$O$7:$O$306,$K$2462))=0,"",INDEX(직원목록!$O$7:$O$306,$K$2462)&amp;"시간"))</f>
        <v/>
      </c>
      <c r="F2467" s="4">
        <f>IF($K$2462="","",IF(설정!$B$27="","",설정!$B$27))</f>
        <v/>
      </c>
      <c r="G2467" s="31">
        <f>IF(OR($K$2462="",설정!$B$27=""),"",INDEX(직원목록!$X$7:$X$306,$K$2462))</f>
        <v/>
      </c>
      <c r="H2467" s="19" t="n"/>
    </row>
    <row r="2468">
      <c r="B2468" s="4">
        <f>IF($K$2462="","",IF(설정!$B$19="","",설정!$B$19))</f>
        <v/>
      </c>
      <c r="C2468" s="31">
        <f>IF(OR($K$2462="",설정!$B$19=""),"",INDEX(직원목록!$H$7:$H$306,$K$2462))</f>
        <v/>
      </c>
      <c r="D2468" s="32">
        <f>IF(OR($K$2462="",설정!$B$19=""),"",IF(N(INDEX(직원목록!$P$7:$P$306,$K$2462))=0,"",INDEX(직원목록!$P$7:$P$306,$K$2462)&amp;"시간"))</f>
        <v/>
      </c>
      <c r="F2468" s="4">
        <f>IF($K$2462="","",IF(설정!$B$28="","",설정!$B$28))</f>
        <v/>
      </c>
      <c r="G2468" s="31">
        <f>IF(OR($K$2462="",설정!$B$28=""),"",INDEX(직원목록!$Y$7:$Y$306,$K$2462))</f>
        <v/>
      </c>
      <c r="H2468" s="19" t="n"/>
    </row>
    <row r="2469">
      <c r="B2469" s="4">
        <f>IF($K$2462="","",IF(설정!$B$20="","",설정!$B$20))</f>
        <v/>
      </c>
      <c r="C2469" s="31">
        <f>IF(OR($K$2462="",설정!$B$20=""),"",INDEX(직원목록!$I$7:$I$306,$K$2462))</f>
        <v/>
      </c>
      <c r="D2469" s="32">
        <f>IF(OR($K$2462="",설정!$B$20=""),"",IF(N(INDEX(직원목록!$Q$7:$Q$306,$K$2462))=0,"",INDEX(직원목록!$Q$7:$Q$306,$K$2462)&amp;"시간"))</f>
        <v/>
      </c>
      <c r="F2469" s="4">
        <f>IF($K$2462="","",IF(설정!$B$29="","",설정!$B$29))</f>
        <v/>
      </c>
      <c r="G2469" s="31">
        <f>IF(OR($K$2462="",설정!$B$29=""),"",INDEX(직원목록!$Z$7:$Z$306,$K$2462))</f>
        <v/>
      </c>
      <c r="H2469" s="19" t="n"/>
    </row>
    <row r="2470">
      <c r="B2470" s="4">
        <f>IF($K$2462="","",IF(설정!$B$21="","",설정!$B$21))</f>
        <v/>
      </c>
      <c r="C2470" s="31">
        <f>IF(OR($K$2462="",설정!$B$21=""),"",INDEX(직원목록!$J$7:$J$306,$K$2462))</f>
        <v/>
      </c>
      <c r="D2470" s="32">
        <f>IF(OR($K$2462="",설정!$B$21=""),"",IF(N(INDEX(직원목록!$R$7:$R$306,$K$2462))=0,"",INDEX(직원목록!$R$7:$R$306,$K$2462)&amp;"시간"))</f>
        <v/>
      </c>
      <c r="F2470" s="4">
        <f>IF($K$2462="","",IF(설정!$B$30="","",설정!$B$30))</f>
        <v/>
      </c>
      <c r="G2470" s="31">
        <f>IF(OR($K$2462="",설정!$B$30=""),"",INDEX(직원목록!$AA$7:$AA$306,$K$2462))</f>
        <v/>
      </c>
      <c r="H2470" s="19" t="n"/>
    </row>
    <row r="2471">
      <c r="B2471" s="4">
        <f>IF($K$2462="","",IF(설정!$B$22="","",설정!$B$22))</f>
        <v/>
      </c>
      <c r="C2471" s="31">
        <f>IF(OR($K$2462="",설정!$B$22=""),"",INDEX(직원목록!$K$7:$K$306,$K$2462))</f>
        <v/>
      </c>
      <c r="D2471" s="32">
        <f>IF(OR($K$2462="",설정!$B$22=""),"",IF(N(INDEX(직원목록!$S$7:$S$306,$K$2462))=0,"",INDEX(직원목록!$S$7:$S$306,$K$2462)&amp;"시간"))</f>
        <v/>
      </c>
      <c r="F2471" s="4">
        <f>IF($K$2462="","",IF(설정!$B$31="","",설정!$B$31))</f>
        <v/>
      </c>
      <c r="G2471" s="31">
        <f>IF(OR($K$2462="",설정!$B$31=""),"",INDEX(직원목록!$AB$7:$AB$306,$K$2462))</f>
        <v/>
      </c>
      <c r="H2471" s="19" t="n"/>
    </row>
    <row r="2472">
      <c r="B2472" s="4">
        <f>IF($K$2462="","",IF(설정!$B$23="","",설정!$B$23))</f>
        <v/>
      </c>
      <c r="C2472" s="31">
        <f>IF(OR($K$2462="",설정!$B$23=""),"",INDEX(직원목록!$L$7:$L$306,$K$2462))</f>
        <v/>
      </c>
      <c r="D2472" s="32">
        <f>IF(OR($K$2462="",설정!$B$23=""),"",IF(N(INDEX(직원목록!$T$7:$T$306,$K$2462))=0,"",INDEX(직원목록!$T$7:$T$306,$K$2462)&amp;"시간"))</f>
        <v/>
      </c>
      <c r="F2472" s="4">
        <f>IF($K$2462="","",IF(설정!$B$32="","",설정!$B$32))</f>
        <v/>
      </c>
      <c r="G2472" s="31">
        <f>IF(OR($K$2462="",설정!$B$32=""),"",INDEX(직원목록!$AC$7:$AC$306,$K$2462))</f>
        <v/>
      </c>
      <c r="H2472" s="19" t="n"/>
    </row>
    <row r="2473">
      <c r="B2473" s="4">
        <f>IF($K$2462="","",IF(설정!$B$24="","",설정!$B$24))</f>
        <v/>
      </c>
      <c r="C2473" s="31">
        <f>IF(OR($K$2462="",설정!$B$24=""),"",INDEX(직원목록!$M$7:$M$306,$K$2462))</f>
        <v/>
      </c>
      <c r="D2473" s="32">
        <f>IF(OR($K$2462="",설정!$B$24=""),"",IF(N(INDEX(직원목록!$U$7:$U$306,$K$2462))=0,"",INDEX(직원목록!$U$7:$U$306,$K$2462)&amp;"시간"))</f>
        <v/>
      </c>
      <c r="F2473" s="4">
        <f>IF($K$2462="","",IF(설정!$B$33="","",설정!$B$33))</f>
        <v/>
      </c>
      <c r="G2473" s="31">
        <f>IF(OR($K$2462="",설정!$B$33=""),"",INDEX(직원목록!$AD$7:$AD$306,$K$2462))</f>
        <v/>
      </c>
      <c r="H2473" s="19" t="n"/>
    </row>
    <row r="2474">
      <c r="B2474" s="3" t="inlineStr">
        <is>
          <t>지급 합계</t>
        </is>
      </c>
      <c r="C2474" s="35">
        <f>IF($K$2462="","",INDEX(직원목록!$V$7:$V$306,$K$2462))</f>
        <v/>
      </c>
      <c r="D2474" s="36" t="n"/>
      <c r="F2474" s="3" t="inlineStr">
        <is>
          <t>공제 합계</t>
        </is>
      </c>
      <c r="G2474" s="35">
        <f>IF($K$2462="","",INDEX(직원목록!$AE$7:$AE$306,$K$2462))</f>
        <v/>
      </c>
      <c r="H2474" s="36" t="n"/>
    </row>
    <row r="2475" ht="28" customHeight="1">
      <c r="B2475" s="37" t="inlineStr">
        <is>
          <t>실 수령액 (지급 합계 − 공제 합계)</t>
        </is>
      </c>
      <c r="C2475" s="29" t="n"/>
      <c r="D2475" s="29" t="n"/>
      <c r="E2475" s="38">
        <f>IF($K$2462="","",INDEX(직원목록!$AF$7:$AF$306,$K$2462))</f>
        <v/>
      </c>
      <c r="F2475" s="29" t="n"/>
      <c r="G2475" s="29" t="n"/>
      <c r="H2475" s="29" t="n"/>
    </row>
    <row r="2476">
      <c r="B2476" s="39">
        <f>IF($K$2462="","",설정!$B$7)</f>
        <v/>
      </c>
    </row>
    <row r="2492" ht="30" customHeight="1">
      <c r="B2492" s="28">
        <f>IF($K$2492="","","임금명세서  ("&amp;설정!$B$5&amp;")")</f>
        <v/>
      </c>
      <c r="K2492" s="34">
        <f>IFERROR(MATCH(84,직원목록!$B$7:$B$306,0),"")</f>
        <v/>
      </c>
    </row>
    <row r="2493">
      <c r="B2493" s="7" t="inlineStr">
        <is>
          <t>회사명</t>
        </is>
      </c>
      <c r="C2493" s="21">
        <f>IF($K$2492="","",설정!$B$4)</f>
        <v/>
      </c>
      <c r="D2493" s="29" t="n"/>
      <c r="E2493" s="19" t="n"/>
      <c r="F2493" s="7" t="inlineStr">
        <is>
          <t>임금 지급일</t>
        </is>
      </c>
      <c r="G2493" s="21">
        <f>IF($K$2492="","",TEXT(설정!$B$6,"yyyy-mm-dd"))</f>
        <v/>
      </c>
      <c r="H2493" s="29" t="n"/>
    </row>
    <row r="2494">
      <c r="B2494" s="7" t="inlineStr">
        <is>
          <t>성명</t>
        </is>
      </c>
      <c r="C2494" s="22">
        <f>IF($K$2492="","",INDEX(직원목록!$D$7:$D$306,$K$2492))</f>
        <v/>
      </c>
      <c r="D2494" s="7" t="inlineStr">
        <is>
          <t>사번</t>
        </is>
      </c>
      <c r="E2494" s="21">
        <f>IF($K$2492="","",INDEX(직원목록!$C$7:$C$306,$K$2492))</f>
        <v/>
      </c>
      <c r="F2494" s="7" t="inlineStr">
        <is>
          <t>부서</t>
        </is>
      </c>
      <c r="G2494" s="21">
        <f>IF($K$2492="","",INDEX(직원목록!$E$7:$E$306,$K$2492))</f>
        <v/>
      </c>
      <c r="H2494" s="29" t="n"/>
    </row>
    <row r="2495">
      <c r="B2495" s="12" t="inlineStr">
        <is>
          <t>지급 항목</t>
        </is>
      </c>
      <c r="C2495" s="12" t="inlineStr">
        <is>
          <t>금액(원)</t>
        </is>
      </c>
      <c r="D2495" s="12" t="inlineStr">
        <is>
          <t>계산 근거</t>
        </is>
      </c>
      <c r="E2495" s="2" t="n"/>
      <c r="F2495" s="12" t="inlineStr">
        <is>
          <t>공제 항목</t>
        </is>
      </c>
      <c r="G2495" s="12" t="inlineStr">
        <is>
          <t>금액(원)</t>
        </is>
      </c>
      <c r="H2495" s="12" t="n"/>
    </row>
    <row r="2496">
      <c r="B2496" s="4">
        <f>IF($K$2492="","",IF(설정!$B$17="","",설정!$B$17))</f>
        <v/>
      </c>
      <c r="C2496" s="31">
        <f>IF(OR($K$2492="",설정!$B$17=""),"",INDEX(직원목록!$F$7:$F$306,$K$2492))</f>
        <v/>
      </c>
      <c r="D2496" s="32">
        <f>IF(OR($K$2492="",설정!$B$17=""),"",IF(N(INDEX(직원목록!$N$7:$N$306,$K$2492))=0,"",INDEX(직원목록!$N$7:$N$306,$K$2492)&amp;"시간"))</f>
        <v/>
      </c>
      <c r="F2496" s="4">
        <f>IF($K$2492="","",IF(설정!$B$26="","",설정!$B$26))</f>
        <v/>
      </c>
      <c r="G2496" s="31">
        <f>IF(OR($K$2492="",설정!$B$26=""),"",INDEX(직원목록!$W$7:$W$306,$K$2492))</f>
        <v/>
      </c>
      <c r="H2496" s="19" t="n"/>
    </row>
    <row r="2497">
      <c r="B2497" s="4">
        <f>IF($K$2492="","",IF(설정!$B$18="","",설정!$B$18))</f>
        <v/>
      </c>
      <c r="C2497" s="31">
        <f>IF(OR($K$2492="",설정!$B$18=""),"",INDEX(직원목록!$G$7:$G$306,$K$2492))</f>
        <v/>
      </c>
      <c r="D2497" s="32">
        <f>IF(OR($K$2492="",설정!$B$18=""),"",IF(N(INDEX(직원목록!$O$7:$O$306,$K$2492))=0,"",INDEX(직원목록!$O$7:$O$306,$K$2492)&amp;"시간"))</f>
        <v/>
      </c>
      <c r="F2497" s="4">
        <f>IF($K$2492="","",IF(설정!$B$27="","",설정!$B$27))</f>
        <v/>
      </c>
      <c r="G2497" s="31">
        <f>IF(OR($K$2492="",설정!$B$27=""),"",INDEX(직원목록!$X$7:$X$306,$K$2492))</f>
        <v/>
      </c>
      <c r="H2497" s="19" t="n"/>
    </row>
    <row r="2498">
      <c r="B2498" s="4">
        <f>IF($K$2492="","",IF(설정!$B$19="","",설정!$B$19))</f>
        <v/>
      </c>
      <c r="C2498" s="31">
        <f>IF(OR($K$2492="",설정!$B$19=""),"",INDEX(직원목록!$H$7:$H$306,$K$2492))</f>
        <v/>
      </c>
      <c r="D2498" s="32">
        <f>IF(OR($K$2492="",설정!$B$19=""),"",IF(N(INDEX(직원목록!$P$7:$P$306,$K$2492))=0,"",INDEX(직원목록!$P$7:$P$306,$K$2492)&amp;"시간"))</f>
        <v/>
      </c>
      <c r="F2498" s="4">
        <f>IF($K$2492="","",IF(설정!$B$28="","",설정!$B$28))</f>
        <v/>
      </c>
      <c r="G2498" s="31">
        <f>IF(OR($K$2492="",설정!$B$28=""),"",INDEX(직원목록!$Y$7:$Y$306,$K$2492))</f>
        <v/>
      </c>
      <c r="H2498" s="19" t="n"/>
    </row>
    <row r="2499">
      <c r="B2499" s="4">
        <f>IF($K$2492="","",IF(설정!$B$20="","",설정!$B$20))</f>
        <v/>
      </c>
      <c r="C2499" s="31">
        <f>IF(OR($K$2492="",설정!$B$20=""),"",INDEX(직원목록!$I$7:$I$306,$K$2492))</f>
        <v/>
      </c>
      <c r="D2499" s="32">
        <f>IF(OR($K$2492="",설정!$B$20=""),"",IF(N(INDEX(직원목록!$Q$7:$Q$306,$K$2492))=0,"",INDEX(직원목록!$Q$7:$Q$306,$K$2492)&amp;"시간"))</f>
        <v/>
      </c>
      <c r="F2499" s="4">
        <f>IF($K$2492="","",IF(설정!$B$29="","",설정!$B$29))</f>
        <v/>
      </c>
      <c r="G2499" s="31">
        <f>IF(OR($K$2492="",설정!$B$29=""),"",INDEX(직원목록!$Z$7:$Z$306,$K$2492))</f>
        <v/>
      </c>
      <c r="H2499" s="19" t="n"/>
    </row>
    <row r="2500">
      <c r="B2500" s="4">
        <f>IF($K$2492="","",IF(설정!$B$21="","",설정!$B$21))</f>
        <v/>
      </c>
      <c r="C2500" s="31">
        <f>IF(OR($K$2492="",설정!$B$21=""),"",INDEX(직원목록!$J$7:$J$306,$K$2492))</f>
        <v/>
      </c>
      <c r="D2500" s="32">
        <f>IF(OR($K$2492="",설정!$B$21=""),"",IF(N(INDEX(직원목록!$R$7:$R$306,$K$2492))=0,"",INDEX(직원목록!$R$7:$R$306,$K$2492)&amp;"시간"))</f>
        <v/>
      </c>
      <c r="F2500" s="4">
        <f>IF($K$2492="","",IF(설정!$B$30="","",설정!$B$30))</f>
        <v/>
      </c>
      <c r="G2500" s="31">
        <f>IF(OR($K$2492="",설정!$B$30=""),"",INDEX(직원목록!$AA$7:$AA$306,$K$2492))</f>
        <v/>
      </c>
      <c r="H2500" s="19" t="n"/>
    </row>
    <row r="2501">
      <c r="B2501" s="4">
        <f>IF($K$2492="","",IF(설정!$B$22="","",설정!$B$22))</f>
        <v/>
      </c>
      <c r="C2501" s="31">
        <f>IF(OR($K$2492="",설정!$B$22=""),"",INDEX(직원목록!$K$7:$K$306,$K$2492))</f>
        <v/>
      </c>
      <c r="D2501" s="32">
        <f>IF(OR($K$2492="",설정!$B$22=""),"",IF(N(INDEX(직원목록!$S$7:$S$306,$K$2492))=0,"",INDEX(직원목록!$S$7:$S$306,$K$2492)&amp;"시간"))</f>
        <v/>
      </c>
      <c r="F2501" s="4">
        <f>IF($K$2492="","",IF(설정!$B$31="","",설정!$B$31))</f>
        <v/>
      </c>
      <c r="G2501" s="31">
        <f>IF(OR($K$2492="",설정!$B$31=""),"",INDEX(직원목록!$AB$7:$AB$306,$K$2492))</f>
        <v/>
      </c>
      <c r="H2501" s="19" t="n"/>
    </row>
    <row r="2502">
      <c r="B2502" s="4">
        <f>IF($K$2492="","",IF(설정!$B$23="","",설정!$B$23))</f>
        <v/>
      </c>
      <c r="C2502" s="31">
        <f>IF(OR($K$2492="",설정!$B$23=""),"",INDEX(직원목록!$L$7:$L$306,$K$2492))</f>
        <v/>
      </c>
      <c r="D2502" s="32">
        <f>IF(OR($K$2492="",설정!$B$23=""),"",IF(N(INDEX(직원목록!$T$7:$T$306,$K$2492))=0,"",INDEX(직원목록!$T$7:$T$306,$K$2492)&amp;"시간"))</f>
        <v/>
      </c>
      <c r="F2502" s="4">
        <f>IF($K$2492="","",IF(설정!$B$32="","",설정!$B$32))</f>
        <v/>
      </c>
      <c r="G2502" s="31">
        <f>IF(OR($K$2492="",설정!$B$32=""),"",INDEX(직원목록!$AC$7:$AC$306,$K$2492))</f>
        <v/>
      </c>
      <c r="H2502" s="19" t="n"/>
    </row>
    <row r="2503">
      <c r="B2503" s="4">
        <f>IF($K$2492="","",IF(설정!$B$24="","",설정!$B$24))</f>
        <v/>
      </c>
      <c r="C2503" s="31">
        <f>IF(OR($K$2492="",설정!$B$24=""),"",INDEX(직원목록!$M$7:$M$306,$K$2492))</f>
        <v/>
      </c>
      <c r="D2503" s="32">
        <f>IF(OR($K$2492="",설정!$B$24=""),"",IF(N(INDEX(직원목록!$U$7:$U$306,$K$2492))=0,"",INDEX(직원목록!$U$7:$U$306,$K$2492)&amp;"시간"))</f>
        <v/>
      </c>
      <c r="F2503" s="4">
        <f>IF($K$2492="","",IF(설정!$B$33="","",설정!$B$33))</f>
        <v/>
      </c>
      <c r="G2503" s="31">
        <f>IF(OR($K$2492="",설정!$B$33=""),"",INDEX(직원목록!$AD$7:$AD$306,$K$2492))</f>
        <v/>
      </c>
      <c r="H2503" s="19" t="n"/>
    </row>
    <row r="2504">
      <c r="B2504" s="3" t="inlineStr">
        <is>
          <t>지급 합계</t>
        </is>
      </c>
      <c r="C2504" s="35">
        <f>IF($K$2492="","",INDEX(직원목록!$V$7:$V$306,$K$2492))</f>
        <v/>
      </c>
      <c r="D2504" s="36" t="n"/>
      <c r="F2504" s="3" t="inlineStr">
        <is>
          <t>공제 합계</t>
        </is>
      </c>
      <c r="G2504" s="35">
        <f>IF($K$2492="","",INDEX(직원목록!$AE$7:$AE$306,$K$2492))</f>
        <v/>
      </c>
      <c r="H2504" s="36" t="n"/>
    </row>
    <row r="2505" ht="28" customHeight="1">
      <c r="B2505" s="37" t="inlineStr">
        <is>
          <t>실 수령액 (지급 합계 − 공제 합계)</t>
        </is>
      </c>
      <c r="C2505" s="29" t="n"/>
      <c r="D2505" s="29" t="n"/>
      <c r="E2505" s="38">
        <f>IF($K$2492="","",INDEX(직원목록!$AF$7:$AF$306,$K$2492))</f>
        <v/>
      </c>
      <c r="F2505" s="29" t="n"/>
      <c r="G2505" s="29" t="n"/>
      <c r="H2505" s="29" t="n"/>
    </row>
    <row r="2506">
      <c r="B2506" s="39">
        <f>IF($K$2492="","",설정!$B$7)</f>
        <v/>
      </c>
    </row>
    <row r="2522" ht="30" customHeight="1">
      <c r="B2522" s="28">
        <f>IF($K$2522="","","임금명세서  ("&amp;설정!$B$5&amp;")")</f>
        <v/>
      </c>
      <c r="K2522" s="34">
        <f>IFERROR(MATCH(85,직원목록!$B$7:$B$306,0),"")</f>
        <v/>
      </c>
    </row>
    <row r="2523">
      <c r="B2523" s="7" t="inlineStr">
        <is>
          <t>회사명</t>
        </is>
      </c>
      <c r="C2523" s="21">
        <f>IF($K$2522="","",설정!$B$4)</f>
        <v/>
      </c>
      <c r="D2523" s="29" t="n"/>
      <c r="E2523" s="19" t="n"/>
      <c r="F2523" s="7" t="inlineStr">
        <is>
          <t>임금 지급일</t>
        </is>
      </c>
      <c r="G2523" s="21">
        <f>IF($K$2522="","",TEXT(설정!$B$6,"yyyy-mm-dd"))</f>
        <v/>
      </c>
      <c r="H2523" s="29" t="n"/>
    </row>
    <row r="2524">
      <c r="B2524" s="7" t="inlineStr">
        <is>
          <t>성명</t>
        </is>
      </c>
      <c r="C2524" s="22">
        <f>IF($K$2522="","",INDEX(직원목록!$D$7:$D$306,$K$2522))</f>
        <v/>
      </c>
      <c r="D2524" s="7" t="inlineStr">
        <is>
          <t>사번</t>
        </is>
      </c>
      <c r="E2524" s="21">
        <f>IF($K$2522="","",INDEX(직원목록!$C$7:$C$306,$K$2522))</f>
        <v/>
      </c>
      <c r="F2524" s="7" t="inlineStr">
        <is>
          <t>부서</t>
        </is>
      </c>
      <c r="G2524" s="21">
        <f>IF($K$2522="","",INDEX(직원목록!$E$7:$E$306,$K$2522))</f>
        <v/>
      </c>
      <c r="H2524" s="29" t="n"/>
    </row>
    <row r="2525">
      <c r="B2525" s="12" t="inlineStr">
        <is>
          <t>지급 항목</t>
        </is>
      </c>
      <c r="C2525" s="12" t="inlineStr">
        <is>
          <t>금액(원)</t>
        </is>
      </c>
      <c r="D2525" s="12" t="inlineStr">
        <is>
          <t>계산 근거</t>
        </is>
      </c>
      <c r="E2525" s="2" t="n"/>
      <c r="F2525" s="12" t="inlineStr">
        <is>
          <t>공제 항목</t>
        </is>
      </c>
      <c r="G2525" s="12" t="inlineStr">
        <is>
          <t>금액(원)</t>
        </is>
      </c>
      <c r="H2525" s="12" t="n"/>
    </row>
    <row r="2526">
      <c r="B2526" s="4">
        <f>IF($K$2522="","",IF(설정!$B$17="","",설정!$B$17))</f>
        <v/>
      </c>
      <c r="C2526" s="31">
        <f>IF(OR($K$2522="",설정!$B$17=""),"",INDEX(직원목록!$F$7:$F$306,$K$2522))</f>
        <v/>
      </c>
      <c r="D2526" s="32">
        <f>IF(OR($K$2522="",설정!$B$17=""),"",IF(N(INDEX(직원목록!$N$7:$N$306,$K$2522))=0,"",INDEX(직원목록!$N$7:$N$306,$K$2522)&amp;"시간"))</f>
        <v/>
      </c>
      <c r="F2526" s="4">
        <f>IF($K$2522="","",IF(설정!$B$26="","",설정!$B$26))</f>
        <v/>
      </c>
      <c r="G2526" s="31">
        <f>IF(OR($K$2522="",설정!$B$26=""),"",INDEX(직원목록!$W$7:$W$306,$K$2522))</f>
        <v/>
      </c>
      <c r="H2526" s="19" t="n"/>
    </row>
    <row r="2527">
      <c r="B2527" s="4">
        <f>IF($K$2522="","",IF(설정!$B$18="","",설정!$B$18))</f>
        <v/>
      </c>
      <c r="C2527" s="31">
        <f>IF(OR($K$2522="",설정!$B$18=""),"",INDEX(직원목록!$G$7:$G$306,$K$2522))</f>
        <v/>
      </c>
      <c r="D2527" s="32">
        <f>IF(OR($K$2522="",설정!$B$18=""),"",IF(N(INDEX(직원목록!$O$7:$O$306,$K$2522))=0,"",INDEX(직원목록!$O$7:$O$306,$K$2522)&amp;"시간"))</f>
        <v/>
      </c>
      <c r="F2527" s="4">
        <f>IF($K$2522="","",IF(설정!$B$27="","",설정!$B$27))</f>
        <v/>
      </c>
      <c r="G2527" s="31">
        <f>IF(OR($K$2522="",설정!$B$27=""),"",INDEX(직원목록!$X$7:$X$306,$K$2522))</f>
        <v/>
      </c>
      <c r="H2527" s="19" t="n"/>
    </row>
    <row r="2528">
      <c r="B2528" s="4">
        <f>IF($K$2522="","",IF(설정!$B$19="","",설정!$B$19))</f>
        <v/>
      </c>
      <c r="C2528" s="31">
        <f>IF(OR($K$2522="",설정!$B$19=""),"",INDEX(직원목록!$H$7:$H$306,$K$2522))</f>
        <v/>
      </c>
      <c r="D2528" s="32">
        <f>IF(OR($K$2522="",설정!$B$19=""),"",IF(N(INDEX(직원목록!$P$7:$P$306,$K$2522))=0,"",INDEX(직원목록!$P$7:$P$306,$K$2522)&amp;"시간"))</f>
        <v/>
      </c>
      <c r="F2528" s="4">
        <f>IF($K$2522="","",IF(설정!$B$28="","",설정!$B$28))</f>
        <v/>
      </c>
      <c r="G2528" s="31">
        <f>IF(OR($K$2522="",설정!$B$28=""),"",INDEX(직원목록!$Y$7:$Y$306,$K$2522))</f>
        <v/>
      </c>
      <c r="H2528" s="19" t="n"/>
    </row>
    <row r="2529">
      <c r="B2529" s="4">
        <f>IF($K$2522="","",IF(설정!$B$20="","",설정!$B$20))</f>
        <v/>
      </c>
      <c r="C2529" s="31">
        <f>IF(OR($K$2522="",설정!$B$20=""),"",INDEX(직원목록!$I$7:$I$306,$K$2522))</f>
        <v/>
      </c>
      <c r="D2529" s="32">
        <f>IF(OR($K$2522="",설정!$B$20=""),"",IF(N(INDEX(직원목록!$Q$7:$Q$306,$K$2522))=0,"",INDEX(직원목록!$Q$7:$Q$306,$K$2522)&amp;"시간"))</f>
        <v/>
      </c>
      <c r="F2529" s="4">
        <f>IF($K$2522="","",IF(설정!$B$29="","",설정!$B$29))</f>
        <v/>
      </c>
      <c r="G2529" s="31">
        <f>IF(OR($K$2522="",설정!$B$29=""),"",INDEX(직원목록!$Z$7:$Z$306,$K$2522))</f>
        <v/>
      </c>
      <c r="H2529" s="19" t="n"/>
    </row>
    <row r="2530">
      <c r="B2530" s="4">
        <f>IF($K$2522="","",IF(설정!$B$21="","",설정!$B$21))</f>
        <v/>
      </c>
      <c r="C2530" s="31">
        <f>IF(OR($K$2522="",설정!$B$21=""),"",INDEX(직원목록!$J$7:$J$306,$K$2522))</f>
        <v/>
      </c>
      <c r="D2530" s="32">
        <f>IF(OR($K$2522="",설정!$B$21=""),"",IF(N(INDEX(직원목록!$R$7:$R$306,$K$2522))=0,"",INDEX(직원목록!$R$7:$R$306,$K$2522)&amp;"시간"))</f>
        <v/>
      </c>
      <c r="F2530" s="4">
        <f>IF($K$2522="","",IF(설정!$B$30="","",설정!$B$30))</f>
        <v/>
      </c>
      <c r="G2530" s="31">
        <f>IF(OR($K$2522="",설정!$B$30=""),"",INDEX(직원목록!$AA$7:$AA$306,$K$2522))</f>
        <v/>
      </c>
      <c r="H2530" s="19" t="n"/>
    </row>
    <row r="2531">
      <c r="B2531" s="4">
        <f>IF($K$2522="","",IF(설정!$B$22="","",설정!$B$22))</f>
        <v/>
      </c>
      <c r="C2531" s="31">
        <f>IF(OR($K$2522="",설정!$B$22=""),"",INDEX(직원목록!$K$7:$K$306,$K$2522))</f>
        <v/>
      </c>
      <c r="D2531" s="32">
        <f>IF(OR($K$2522="",설정!$B$22=""),"",IF(N(INDEX(직원목록!$S$7:$S$306,$K$2522))=0,"",INDEX(직원목록!$S$7:$S$306,$K$2522)&amp;"시간"))</f>
        <v/>
      </c>
      <c r="F2531" s="4">
        <f>IF($K$2522="","",IF(설정!$B$31="","",설정!$B$31))</f>
        <v/>
      </c>
      <c r="G2531" s="31">
        <f>IF(OR($K$2522="",설정!$B$31=""),"",INDEX(직원목록!$AB$7:$AB$306,$K$2522))</f>
        <v/>
      </c>
      <c r="H2531" s="19" t="n"/>
    </row>
    <row r="2532">
      <c r="B2532" s="4">
        <f>IF($K$2522="","",IF(설정!$B$23="","",설정!$B$23))</f>
        <v/>
      </c>
      <c r="C2532" s="31">
        <f>IF(OR($K$2522="",설정!$B$23=""),"",INDEX(직원목록!$L$7:$L$306,$K$2522))</f>
        <v/>
      </c>
      <c r="D2532" s="32">
        <f>IF(OR($K$2522="",설정!$B$23=""),"",IF(N(INDEX(직원목록!$T$7:$T$306,$K$2522))=0,"",INDEX(직원목록!$T$7:$T$306,$K$2522)&amp;"시간"))</f>
        <v/>
      </c>
      <c r="F2532" s="4">
        <f>IF($K$2522="","",IF(설정!$B$32="","",설정!$B$32))</f>
        <v/>
      </c>
      <c r="G2532" s="31">
        <f>IF(OR($K$2522="",설정!$B$32=""),"",INDEX(직원목록!$AC$7:$AC$306,$K$2522))</f>
        <v/>
      </c>
      <c r="H2532" s="19" t="n"/>
    </row>
    <row r="2533">
      <c r="B2533" s="4">
        <f>IF($K$2522="","",IF(설정!$B$24="","",설정!$B$24))</f>
        <v/>
      </c>
      <c r="C2533" s="31">
        <f>IF(OR($K$2522="",설정!$B$24=""),"",INDEX(직원목록!$M$7:$M$306,$K$2522))</f>
        <v/>
      </c>
      <c r="D2533" s="32">
        <f>IF(OR($K$2522="",설정!$B$24=""),"",IF(N(INDEX(직원목록!$U$7:$U$306,$K$2522))=0,"",INDEX(직원목록!$U$7:$U$306,$K$2522)&amp;"시간"))</f>
        <v/>
      </c>
      <c r="F2533" s="4">
        <f>IF($K$2522="","",IF(설정!$B$33="","",설정!$B$33))</f>
        <v/>
      </c>
      <c r="G2533" s="31">
        <f>IF(OR($K$2522="",설정!$B$33=""),"",INDEX(직원목록!$AD$7:$AD$306,$K$2522))</f>
        <v/>
      </c>
      <c r="H2533" s="19" t="n"/>
    </row>
    <row r="2534">
      <c r="B2534" s="3" t="inlineStr">
        <is>
          <t>지급 합계</t>
        </is>
      </c>
      <c r="C2534" s="35">
        <f>IF($K$2522="","",INDEX(직원목록!$V$7:$V$306,$K$2522))</f>
        <v/>
      </c>
      <c r="D2534" s="36" t="n"/>
      <c r="F2534" s="3" t="inlineStr">
        <is>
          <t>공제 합계</t>
        </is>
      </c>
      <c r="G2534" s="35">
        <f>IF($K$2522="","",INDEX(직원목록!$AE$7:$AE$306,$K$2522))</f>
        <v/>
      </c>
      <c r="H2534" s="36" t="n"/>
    </row>
    <row r="2535" ht="28" customHeight="1">
      <c r="B2535" s="37" t="inlineStr">
        <is>
          <t>실 수령액 (지급 합계 − 공제 합계)</t>
        </is>
      </c>
      <c r="C2535" s="29" t="n"/>
      <c r="D2535" s="29" t="n"/>
      <c r="E2535" s="38">
        <f>IF($K$2522="","",INDEX(직원목록!$AF$7:$AF$306,$K$2522))</f>
        <v/>
      </c>
      <c r="F2535" s="29" t="n"/>
      <c r="G2535" s="29" t="n"/>
      <c r="H2535" s="29" t="n"/>
    </row>
    <row r="2536">
      <c r="B2536" s="39">
        <f>IF($K$2522="","",설정!$B$7)</f>
        <v/>
      </c>
    </row>
    <row r="2552" ht="30" customHeight="1">
      <c r="B2552" s="28">
        <f>IF($K$2552="","","임금명세서  ("&amp;설정!$B$5&amp;")")</f>
        <v/>
      </c>
      <c r="K2552" s="34">
        <f>IFERROR(MATCH(86,직원목록!$B$7:$B$306,0),"")</f>
        <v/>
      </c>
    </row>
    <row r="2553">
      <c r="B2553" s="7" t="inlineStr">
        <is>
          <t>회사명</t>
        </is>
      </c>
      <c r="C2553" s="21">
        <f>IF($K$2552="","",설정!$B$4)</f>
        <v/>
      </c>
      <c r="D2553" s="29" t="n"/>
      <c r="E2553" s="19" t="n"/>
      <c r="F2553" s="7" t="inlineStr">
        <is>
          <t>임금 지급일</t>
        </is>
      </c>
      <c r="G2553" s="21">
        <f>IF($K$2552="","",TEXT(설정!$B$6,"yyyy-mm-dd"))</f>
        <v/>
      </c>
      <c r="H2553" s="29" t="n"/>
    </row>
    <row r="2554">
      <c r="B2554" s="7" t="inlineStr">
        <is>
          <t>성명</t>
        </is>
      </c>
      <c r="C2554" s="22">
        <f>IF($K$2552="","",INDEX(직원목록!$D$7:$D$306,$K$2552))</f>
        <v/>
      </c>
      <c r="D2554" s="7" t="inlineStr">
        <is>
          <t>사번</t>
        </is>
      </c>
      <c r="E2554" s="21">
        <f>IF($K$2552="","",INDEX(직원목록!$C$7:$C$306,$K$2552))</f>
        <v/>
      </c>
      <c r="F2554" s="7" t="inlineStr">
        <is>
          <t>부서</t>
        </is>
      </c>
      <c r="G2554" s="21">
        <f>IF($K$2552="","",INDEX(직원목록!$E$7:$E$306,$K$2552))</f>
        <v/>
      </c>
      <c r="H2554" s="29" t="n"/>
    </row>
    <row r="2555">
      <c r="B2555" s="12" t="inlineStr">
        <is>
          <t>지급 항목</t>
        </is>
      </c>
      <c r="C2555" s="12" t="inlineStr">
        <is>
          <t>금액(원)</t>
        </is>
      </c>
      <c r="D2555" s="12" t="inlineStr">
        <is>
          <t>계산 근거</t>
        </is>
      </c>
      <c r="E2555" s="2" t="n"/>
      <c r="F2555" s="12" t="inlineStr">
        <is>
          <t>공제 항목</t>
        </is>
      </c>
      <c r="G2555" s="12" t="inlineStr">
        <is>
          <t>금액(원)</t>
        </is>
      </c>
      <c r="H2555" s="12" t="n"/>
    </row>
    <row r="2556">
      <c r="B2556" s="4">
        <f>IF($K$2552="","",IF(설정!$B$17="","",설정!$B$17))</f>
        <v/>
      </c>
      <c r="C2556" s="31">
        <f>IF(OR($K$2552="",설정!$B$17=""),"",INDEX(직원목록!$F$7:$F$306,$K$2552))</f>
        <v/>
      </c>
      <c r="D2556" s="32">
        <f>IF(OR($K$2552="",설정!$B$17=""),"",IF(N(INDEX(직원목록!$N$7:$N$306,$K$2552))=0,"",INDEX(직원목록!$N$7:$N$306,$K$2552)&amp;"시간"))</f>
        <v/>
      </c>
      <c r="F2556" s="4">
        <f>IF($K$2552="","",IF(설정!$B$26="","",설정!$B$26))</f>
        <v/>
      </c>
      <c r="G2556" s="31">
        <f>IF(OR($K$2552="",설정!$B$26=""),"",INDEX(직원목록!$W$7:$W$306,$K$2552))</f>
        <v/>
      </c>
      <c r="H2556" s="19" t="n"/>
    </row>
    <row r="2557">
      <c r="B2557" s="4">
        <f>IF($K$2552="","",IF(설정!$B$18="","",설정!$B$18))</f>
        <v/>
      </c>
      <c r="C2557" s="31">
        <f>IF(OR($K$2552="",설정!$B$18=""),"",INDEX(직원목록!$G$7:$G$306,$K$2552))</f>
        <v/>
      </c>
      <c r="D2557" s="32">
        <f>IF(OR($K$2552="",설정!$B$18=""),"",IF(N(INDEX(직원목록!$O$7:$O$306,$K$2552))=0,"",INDEX(직원목록!$O$7:$O$306,$K$2552)&amp;"시간"))</f>
        <v/>
      </c>
      <c r="F2557" s="4">
        <f>IF($K$2552="","",IF(설정!$B$27="","",설정!$B$27))</f>
        <v/>
      </c>
      <c r="G2557" s="31">
        <f>IF(OR($K$2552="",설정!$B$27=""),"",INDEX(직원목록!$X$7:$X$306,$K$2552))</f>
        <v/>
      </c>
      <c r="H2557" s="19" t="n"/>
    </row>
    <row r="2558">
      <c r="B2558" s="4">
        <f>IF($K$2552="","",IF(설정!$B$19="","",설정!$B$19))</f>
        <v/>
      </c>
      <c r="C2558" s="31">
        <f>IF(OR($K$2552="",설정!$B$19=""),"",INDEX(직원목록!$H$7:$H$306,$K$2552))</f>
        <v/>
      </c>
      <c r="D2558" s="32">
        <f>IF(OR($K$2552="",설정!$B$19=""),"",IF(N(INDEX(직원목록!$P$7:$P$306,$K$2552))=0,"",INDEX(직원목록!$P$7:$P$306,$K$2552)&amp;"시간"))</f>
        <v/>
      </c>
      <c r="F2558" s="4">
        <f>IF($K$2552="","",IF(설정!$B$28="","",설정!$B$28))</f>
        <v/>
      </c>
      <c r="G2558" s="31">
        <f>IF(OR($K$2552="",설정!$B$28=""),"",INDEX(직원목록!$Y$7:$Y$306,$K$2552))</f>
        <v/>
      </c>
      <c r="H2558" s="19" t="n"/>
    </row>
    <row r="2559">
      <c r="B2559" s="4">
        <f>IF($K$2552="","",IF(설정!$B$20="","",설정!$B$20))</f>
        <v/>
      </c>
      <c r="C2559" s="31">
        <f>IF(OR($K$2552="",설정!$B$20=""),"",INDEX(직원목록!$I$7:$I$306,$K$2552))</f>
        <v/>
      </c>
      <c r="D2559" s="32">
        <f>IF(OR($K$2552="",설정!$B$20=""),"",IF(N(INDEX(직원목록!$Q$7:$Q$306,$K$2552))=0,"",INDEX(직원목록!$Q$7:$Q$306,$K$2552)&amp;"시간"))</f>
        <v/>
      </c>
      <c r="F2559" s="4">
        <f>IF($K$2552="","",IF(설정!$B$29="","",설정!$B$29))</f>
        <v/>
      </c>
      <c r="G2559" s="31">
        <f>IF(OR($K$2552="",설정!$B$29=""),"",INDEX(직원목록!$Z$7:$Z$306,$K$2552))</f>
        <v/>
      </c>
      <c r="H2559" s="19" t="n"/>
    </row>
    <row r="2560">
      <c r="B2560" s="4">
        <f>IF($K$2552="","",IF(설정!$B$21="","",설정!$B$21))</f>
        <v/>
      </c>
      <c r="C2560" s="31">
        <f>IF(OR($K$2552="",설정!$B$21=""),"",INDEX(직원목록!$J$7:$J$306,$K$2552))</f>
        <v/>
      </c>
      <c r="D2560" s="32">
        <f>IF(OR($K$2552="",설정!$B$21=""),"",IF(N(INDEX(직원목록!$R$7:$R$306,$K$2552))=0,"",INDEX(직원목록!$R$7:$R$306,$K$2552)&amp;"시간"))</f>
        <v/>
      </c>
      <c r="F2560" s="4">
        <f>IF($K$2552="","",IF(설정!$B$30="","",설정!$B$30))</f>
        <v/>
      </c>
      <c r="G2560" s="31">
        <f>IF(OR($K$2552="",설정!$B$30=""),"",INDEX(직원목록!$AA$7:$AA$306,$K$2552))</f>
        <v/>
      </c>
      <c r="H2560" s="19" t="n"/>
    </row>
    <row r="2561">
      <c r="B2561" s="4">
        <f>IF($K$2552="","",IF(설정!$B$22="","",설정!$B$22))</f>
        <v/>
      </c>
      <c r="C2561" s="31">
        <f>IF(OR($K$2552="",설정!$B$22=""),"",INDEX(직원목록!$K$7:$K$306,$K$2552))</f>
        <v/>
      </c>
      <c r="D2561" s="32">
        <f>IF(OR($K$2552="",설정!$B$22=""),"",IF(N(INDEX(직원목록!$S$7:$S$306,$K$2552))=0,"",INDEX(직원목록!$S$7:$S$306,$K$2552)&amp;"시간"))</f>
        <v/>
      </c>
      <c r="F2561" s="4">
        <f>IF($K$2552="","",IF(설정!$B$31="","",설정!$B$31))</f>
        <v/>
      </c>
      <c r="G2561" s="31">
        <f>IF(OR($K$2552="",설정!$B$31=""),"",INDEX(직원목록!$AB$7:$AB$306,$K$2552))</f>
        <v/>
      </c>
      <c r="H2561" s="19" t="n"/>
    </row>
    <row r="2562">
      <c r="B2562" s="4">
        <f>IF($K$2552="","",IF(설정!$B$23="","",설정!$B$23))</f>
        <v/>
      </c>
      <c r="C2562" s="31">
        <f>IF(OR($K$2552="",설정!$B$23=""),"",INDEX(직원목록!$L$7:$L$306,$K$2552))</f>
        <v/>
      </c>
      <c r="D2562" s="32">
        <f>IF(OR($K$2552="",설정!$B$23=""),"",IF(N(INDEX(직원목록!$T$7:$T$306,$K$2552))=0,"",INDEX(직원목록!$T$7:$T$306,$K$2552)&amp;"시간"))</f>
        <v/>
      </c>
      <c r="F2562" s="4">
        <f>IF($K$2552="","",IF(설정!$B$32="","",설정!$B$32))</f>
        <v/>
      </c>
      <c r="G2562" s="31">
        <f>IF(OR($K$2552="",설정!$B$32=""),"",INDEX(직원목록!$AC$7:$AC$306,$K$2552))</f>
        <v/>
      </c>
      <c r="H2562" s="19" t="n"/>
    </row>
    <row r="2563">
      <c r="B2563" s="4">
        <f>IF($K$2552="","",IF(설정!$B$24="","",설정!$B$24))</f>
        <v/>
      </c>
      <c r="C2563" s="31">
        <f>IF(OR($K$2552="",설정!$B$24=""),"",INDEX(직원목록!$M$7:$M$306,$K$2552))</f>
        <v/>
      </c>
      <c r="D2563" s="32">
        <f>IF(OR($K$2552="",설정!$B$24=""),"",IF(N(INDEX(직원목록!$U$7:$U$306,$K$2552))=0,"",INDEX(직원목록!$U$7:$U$306,$K$2552)&amp;"시간"))</f>
        <v/>
      </c>
      <c r="F2563" s="4">
        <f>IF($K$2552="","",IF(설정!$B$33="","",설정!$B$33))</f>
        <v/>
      </c>
      <c r="G2563" s="31">
        <f>IF(OR($K$2552="",설정!$B$33=""),"",INDEX(직원목록!$AD$7:$AD$306,$K$2552))</f>
        <v/>
      </c>
      <c r="H2563" s="19" t="n"/>
    </row>
    <row r="2564">
      <c r="B2564" s="3" t="inlineStr">
        <is>
          <t>지급 합계</t>
        </is>
      </c>
      <c r="C2564" s="35">
        <f>IF($K$2552="","",INDEX(직원목록!$V$7:$V$306,$K$2552))</f>
        <v/>
      </c>
      <c r="D2564" s="36" t="n"/>
      <c r="F2564" s="3" t="inlineStr">
        <is>
          <t>공제 합계</t>
        </is>
      </c>
      <c r="G2564" s="35">
        <f>IF($K$2552="","",INDEX(직원목록!$AE$7:$AE$306,$K$2552))</f>
        <v/>
      </c>
      <c r="H2564" s="36" t="n"/>
    </row>
    <row r="2565" ht="28" customHeight="1">
      <c r="B2565" s="37" t="inlineStr">
        <is>
          <t>실 수령액 (지급 합계 − 공제 합계)</t>
        </is>
      </c>
      <c r="C2565" s="29" t="n"/>
      <c r="D2565" s="29" t="n"/>
      <c r="E2565" s="38">
        <f>IF($K$2552="","",INDEX(직원목록!$AF$7:$AF$306,$K$2552))</f>
        <v/>
      </c>
      <c r="F2565" s="29" t="n"/>
      <c r="G2565" s="29" t="n"/>
      <c r="H2565" s="29" t="n"/>
    </row>
    <row r="2566">
      <c r="B2566" s="39">
        <f>IF($K$2552="","",설정!$B$7)</f>
        <v/>
      </c>
    </row>
    <row r="2582" ht="30" customHeight="1">
      <c r="B2582" s="28">
        <f>IF($K$2582="","","임금명세서  ("&amp;설정!$B$5&amp;")")</f>
        <v/>
      </c>
      <c r="K2582" s="34">
        <f>IFERROR(MATCH(87,직원목록!$B$7:$B$306,0),"")</f>
        <v/>
      </c>
    </row>
    <row r="2583">
      <c r="B2583" s="7" t="inlineStr">
        <is>
          <t>회사명</t>
        </is>
      </c>
      <c r="C2583" s="21">
        <f>IF($K$2582="","",설정!$B$4)</f>
        <v/>
      </c>
      <c r="D2583" s="29" t="n"/>
      <c r="E2583" s="19" t="n"/>
      <c r="F2583" s="7" t="inlineStr">
        <is>
          <t>임금 지급일</t>
        </is>
      </c>
      <c r="G2583" s="21">
        <f>IF($K$2582="","",TEXT(설정!$B$6,"yyyy-mm-dd"))</f>
        <v/>
      </c>
      <c r="H2583" s="29" t="n"/>
    </row>
    <row r="2584">
      <c r="B2584" s="7" t="inlineStr">
        <is>
          <t>성명</t>
        </is>
      </c>
      <c r="C2584" s="22">
        <f>IF($K$2582="","",INDEX(직원목록!$D$7:$D$306,$K$2582))</f>
        <v/>
      </c>
      <c r="D2584" s="7" t="inlineStr">
        <is>
          <t>사번</t>
        </is>
      </c>
      <c r="E2584" s="21">
        <f>IF($K$2582="","",INDEX(직원목록!$C$7:$C$306,$K$2582))</f>
        <v/>
      </c>
      <c r="F2584" s="7" t="inlineStr">
        <is>
          <t>부서</t>
        </is>
      </c>
      <c r="G2584" s="21">
        <f>IF($K$2582="","",INDEX(직원목록!$E$7:$E$306,$K$2582))</f>
        <v/>
      </c>
      <c r="H2584" s="29" t="n"/>
    </row>
    <row r="2585">
      <c r="B2585" s="12" t="inlineStr">
        <is>
          <t>지급 항목</t>
        </is>
      </c>
      <c r="C2585" s="12" t="inlineStr">
        <is>
          <t>금액(원)</t>
        </is>
      </c>
      <c r="D2585" s="12" t="inlineStr">
        <is>
          <t>계산 근거</t>
        </is>
      </c>
      <c r="E2585" s="2" t="n"/>
      <c r="F2585" s="12" t="inlineStr">
        <is>
          <t>공제 항목</t>
        </is>
      </c>
      <c r="G2585" s="12" t="inlineStr">
        <is>
          <t>금액(원)</t>
        </is>
      </c>
      <c r="H2585" s="12" t="n"/>
    </row>
    <row r="2586">
      <c r="B2586" s="4">
        <f>IF($K$2582="","",IF(설정!$B$17="","",설정!$B$17))</f>
        <v/>
      </c>
      <c r="C2586" s="31">
        <f>IF(OR($K$2582="",설정!$B$17=""),"",INDEX(직원목록!$F$7:$F$306,$K$2582))</f>
        <v/>
      </c>
      <c r="D2586" s="32">
        <f>IF(OR($K$2582="",설정!$B$17=""),"",IF(N(INDEX(직원목록!$N$7:$N$306,$K$2582))=0,"",INDEX(직원목록!$N$7:$N$306,$K$2582)&amp;"시간"))</f>
        <v/>
      </c>
      <c r="F2586" s="4">
        <f>IF($K$2582="","",IF(설정!$B$26="","",설정!$B$26))</f>
        <v/>
      </c>
      <c r="G2586" s="31">
        <f>IF(OR($K$2582="",설정!$B$26=""),"",INDEX(직원목록!$W$7:$W$306,$K$2582))</f>
        <v/>
      </c>
      <c r="H2586" s="19" t="n"/>
    </row>
    <row r="2587">
      <c r="B2587" s="4">
        <f>IF($K$2582="","",IF(설정!$B$18="","",설정!$B$18))</f>
        <v/>
      </c>
      <c r="C2587" s="31">
        <f>IF(OR($K$2582="",설정!$B$18=""),"",INDEX(직원목록!$G$7:$G$306,$K$2582))</f>
        <v/>
      </c>
      <c r="D2587" s="32">
        <f>IF(OR($K$2582="",설정!$B$18=""),"",IF(N(INDEX(직원목록!$O$7:$O$306,$K$2582))=0,"",INDEX(직원목록!$O$7:$O$306,$K$2582)&amp;"시간"))</f>
        <v/>
      </c>
      <c r="F2587" s="4">
        <f>IF($K$2582="","",IF(설정!$B$27="","",설정!$B$27))</f>
        <v/>
      </c>
      <c r="G2587" s="31">
        <f>IF(OR($K$2582="",설정!$B$27=""),"",INDEX(직원목록!$X$7:$X$306,$K$2582))</f>
        <v/>
      </c>
      <c r="H2587" s="19" t="n"/>
    </row>
    <row r="2588">
      <c r="B2588" s="4">
        <f>IF($K$2582="","",IF(설정!$B$19="","",설정!$B$19))</f>
        <v/>
      </c>
      <c r="C2588" s="31">
        <f>IF(OR($K$2582="",설정!$B$19=""),"",INDEX(직원목록!$H$7:$H$306,$K$2582))</f>
        <v/>
      </c>
      <c r="D2588" s="32">
        <f>IF(OR($K$2582="",설정!$B$19=""),"",IF(N(INDEX(직원목록!$P$7:$P$306,$K$2582))=0,"",INDEX(직원목록!$P$7:$P$306,$K$2582)&amp;"시간"))</f>
        <v/>
      </c>
      <c r="F2588" s="4">
        <f>IF($K$2582="","",IF(설정!$B$28="","",설정!$B$28))</f>
        <v/>
      </c>
      <c r="G2588" s="31">
        <f>IF(OR($K$2582="",설정!$B$28=""),"",INDEX(직원목록!$Y$7:$Y$306,$K$2582))</f>
        <v/>
      </c>
      <c r="H2588" s="19" t="n"/>
    </row>
    <row r="2589">
      <c r="B2589" s="4">
        <f>IF($K$2582="","",IF(설정!$B$20="","",설정!$B$20))</f>
        <v/>
      </c>
      <c r="C2589" s="31">
        <f>IF(OR($K$2582="",설정!$B$20=""),"",INDEX(직원목록!$I$7:$I$306,$K$2582))</f>
        <v/>
      </c>
      <c r="D2589" s="32">
        <f>IF(OR($K$2582="",설정!$B$20=""),"",IF(N(INDEX(직원목록!$Q$7:$Q$306,$K$2582))=0,"",INDEX(직원목록!$Q$7:$Q$306,$K$2582)&amp;"시간"))</f>
        <v/>
      </c>
      <c r="F2589" s="4">
        <f>IF($K$2582="","",IF(설정!$B$29="","",설정!$B$29))</f>
        <v/>
      </c>
      <c r="G2589" s="31">
        <f>IF(OR($K$2582="",설정!$B$29=""),"",INDEX(직원목록!$Z$7:$Z$306,$K$2582))</f>
        <v/>
      </c>
      <c r="H2589" s="19" t="n"/>
    </row>
    <row r="2590">
      <c r="B2590" s="4">
        <f>IF($K$2582="","",IF(설정!$B$21="","",설정!$B$21))</f>
        <v/>
      </c>
      <c r="C2590" s="31">
        <f>IF(OR($K$2582="",설정!$B$21=""),"",INDEX(직원목록!$J$7:$J$306,$K$2582))</f>
        <v/>
      </c>
      <c r="D2590" s="32">
        <f>IF(OR($K$2582="",설정!$B$21=""),"",IF(N(INDEX(직원목록!$R$7:$R$306,$K$2582))=0,"",INDEX(직원목록!$R$7:$R$306,$K$2582)&amp;"시간"))</f>
        <v/>
      </c>
      <c r="F2590" s="4">
        <f>IF($K$2582="","",IF(설정!$B$30="","",설정!$B$30))</f>
        <v/>
      </c>
      <c r="G2590" s="31">
        <f>IF(OR($K$2582="",설정!$B$30=""),"",INDEX(직원목록!$AA$7:$AA$306,$K$2582))</f>
        <v/>
      </c>
      <c r="H2590" s="19" t="n"/>
    </row>
    <row r="2591">
      <c r="B2591" s="4">
        <f>IF($K$2582="","",IF(설정!$B$22="","",설정!$B$22))</f>
        <v/>
      </c>
      <c r="C2591" s="31">
        <f>IF(OR($K$2582="",설정!$B$22=""),"",INDEX(직원목록!$K$7:$K$306,$K$2582))</f>
        <v/>
      </c>
      <c r="D2591" s="32">
        <f>IF(OR($K$2582="",설정!$B$22=""),"",IF(N(INDEX(직원목록!$S$7:$S$306,$K$2582))=0,"",INDEX(직원목록!$S$7:$S$306,$K$2582)&amp;"시간"))</f>
        <v/>
      </c>
      <c r="F2591" s="4">
        <f>IF($K$2582="","",IF(설정!$B$31="","",설정!$B$31))</f>
        <v/>
      </c>
      <c r="G2591" s="31">
        <f>IF(OR($K$2582="",설정!$B$31=""),"",INDEX(직원목록!$AB$7:$AB$306,$K$2582))</f>
        <v/>
      </c>
      <c r="H2591" s="19" t="n"/>
    </row>
    <row r="2592">
      <c r="B2592" s="4">
        <f>IF($K$2582="","",IF(설정!$B$23="","",설정!$B$23))</f>
        <v/>
      </c>
      <c r="C2592" s="31">
        <f>IF(OR($K$2582="",설정!$B$23=""),"",INDEX(직원목록!$L$7:$L$306,$K$2582))</f>
        <v/>
      </c>
      <c r="D2592" s="32">
        <f>IF(OR($K$2582="",설정!$B$23=""),"",IF(N(INDEX(직원목록!$T$7:$T$306,$K$2582))=0,"",INDEX(직원목록!$T$7:$T$306,$K$2582)&amp;"시간"))</f>
        <v/>
      </c>
      <c r="F2592" s="4">
        <f>IF($K$2582="","",IF(설정!$B$32="","",설정!$B$32))</f>
        <v/>
      </c>
      <c r="G2592" s="31">
        <f>IF(OR($K$2582="",설정!$B$32=""),"",INDEX(직원목록!$AC$7:$AC$306,$K$2582))</f>
        <v/>
      </c>
      <c r="H2592" s="19" t="n"/>
    </row>
    <row r="2593">
      <c r="B2593" s="4">
        <f>IF($K$2582="","",IF(설정!$B$24="","",설정!$B$24))</f>
        <v/>
      </c>
      <c r="C2593" s="31">
        <f>IF(OR($K$2582="",설정!$B$24=""),"",INDEX(직원목록!$M$7:$M$306,$K$2582))</f>
        <v/>
      </c>
      <c r="D2593" s="32">
        <f>IF(OR($K$2582="",설정!$B$24=""),"",IF(N(INDEX(직원목록!$U$7:$U$306,$K$2582))=0,"",INDEX(직원목록!$U$7:$U$306,$K$2582)&amp;"시간"))</f>
        <v/>
      </c>
      <c r="F2593" s="4">
        <f>IF($K$2582="","",IF(설정!$B$33="","",설정!$B$33))</f>
        <v/>
      </c>
      <c r="G2593" s="31">
        <f>IF(OR($K$2582="",설정!$B$33=""),"",INDEX(직원목록!$AD$7:$AD$306,$K$2582))</f>
        <v/>
      </c>
      <c r="H2593" s="19" t="n"/>
    </row>
    <row r="2594">
      <c r="B2594" s="3" t="inlineStr">
        <is>
          <t>지급 합계</t>
        </is>
      </c>
      <c r="C2594" s="35">
        <f>IF($K$2582="","",INDEX(직원목록!$V$7:$V$306,$K$2582))</f>
        <v/>
      </c>
      <c r="D2594" s="36" t="n"/>
      <c r="F2594" s="3" t="inlineStr">
        <is>
          <t>공제 합계</t>
        </is>
      </c>
      <c r="G2594" s="35">
        <f>IF($K$2582="","",INDEX(직원목록!$AE$7:$AE$306,$K$2582))</f>
        <v/>
      </c>
      <c r="H2594" s="36" t="n"/>
    </row>
    <row r="2595" ht="28" customHeight="1">
      <c r="B2595" s="37" t="inlineStr">
        <is>
          <t>실 수령액 (지급 합계 − 공제 합계)</t>
        </is>
      </c>
      <c r="C2595" s="29" t="n"/>
      <c r="D2595" s="29" t="n"/>
      <c r="E2595" s="38">
        <f>IF($K$2582="","",INDEX(직원목록!$AF$7:$AF$306,$K$2582))</f>
        <v/>
      </c>
      <c r="F2595" s="29" t="n"/>
      <c r="G2595" s="29" t="n"/>
      <c r="H2595" s="29" t="n"/>
    </row>
    <row r="2596">
      <c r="B2596" s="39">
        <f>IF($K$2582="","",설정!$B$7)</f>
        <v/>
      </c>
    </row>
    <row r="2612" ht="30" customHeight="1">
      <c r="B2612" s="28">
        <f>IF($K$2612="","","임금명세서  ("&amp;설정!$B$5&amp;")")</f>
        <v/>
      </c>
      <c r="K2612" s="34">
        <f>IFERROR(MATCH(88,직원목록!$B$7:$B$306,0),"")</f>
        <v/>
      </c>
    </row>
    <row r="2613">
      <c r="B2613" s="7" t="inlineStr">
        <is>
          <t>회사명</t>
        </is>
      </c>
      <c r="C2613" s="21">
        <f>IF($K$2612="","",설정!$B$4)</f>
        <v/>
      </c>
      <c r="D2613" s="29" t="n"/>
      <c r="E2613" s="19" t="n"/>
      <c r="F2613" s="7" t="inlineStr">
        <is>
          <t>임금 지급일</t>
        </is>
      </c>
      <c r="G2613" s="21">
        <f>IF($K$2612="","",TEXT(설정!$B$6,"yyyy-mm-dd"))</f>
        <v/>
      </c>
      <c r="H2613" s="29" t="n"/>
    </row>
    <row r="2614">
      <c r="B2614" s="7" t="inlineStr">
        <is>
          <t>성명</t>
        </is>
      </c>
      <c r="C2614" s="22">
        <f>IF($K$2612="","",INDEX(직원목록!$D$7:$D$306,$K$2612))</f>
        <v/>
      </c>
      <c r="D2614" s="7" t="inlineStr">
        <is>
          <t>사번</t>
        </is>
      </c>
      <c r="E2614" s="21">
        <f>IF($K$2612="","",INDEX(직원목록!$C$7:$C$306,$K$2612))</f>
        <v/>
      </c>
      <c r="F2614" s="7" t="inlineStr">
        <is>
          <t>부서</t>
        </is>
      </c>
      <c r="G2614" s="21">
        <f>IF($K$2612="","",INDEX(직원목록!$E$7:$E$306,$K$2612))</f>
        <v/>
      </c>
      <c r="H2614" s="29" t="n"/>
    </row>
    <row r="2615">
      <c r="B2615" s="12" t="inlineStr">
        <is>
          <t>지급 항목</t>
        </is>
      </c>
      <c r="C2615" s="12" t="inlineStr">
        <is>
          <t>금액(원)</t>
        </is>
      </c>
      <c r="D2615" s="12" t="inlineStr">
        <is>
          <t>계산 근거</t>
        </is>
      </c>
      <c r="E2615" s="2" t="n"/>
      <c r="F2615" s="12" t="inlineStr">
        <is>
          <t>공제 항목</t>
        </is>
      </c>
      <c r="G2615" s="12" t="inlineStr">
        <is>
          <t>금액(원)</t>
        </is>
      </c>
      <c r="H2615" s="12" t="n"/>
    </row>
    <row r="2616">
      <c r="B2616" s="4">
        <f>IF($K$2612="","",IF(설정!$B$17="","",설정!$B$17))</f>
        <v/>
      </c>
      <c r="C2616" s="31">
        <f>IF(OR($K$2612="",설정!$B$17=""),"",INDEX(직원목록!$F$7:$F$306,$K$2612))</f>
        <v/>
      </c>
      <c r="D2616" s="32">
        <f>IF(OR($K$2612="",설정!$B$17=""),"",IF(N(INDEX(직원목록!$N$7:$N$306,$K$2612))=0,"",INDEX(직원목록!$N$7:$N$306,$K$2612)&amp;"시간"))</f>
        <v/>
      </c>
      <c r="F2616" s="4">
        <f>IF($K$2612="","",IF(설정!$B$26="","",설정!$B$26))</f>
        <v/>
      </c>
      <c r="G2616" s="31">
        <f>IF(OR($K$2612="",설정!$B$26=""),"",INDEX(직원목록!$W$7:$W$306,$K$2612))</f>
        <v/>
      </c>
      <c r="H2616" s="19" t="n"/>
    </row>
    <row r="2617">
      <c r="B2617" s="4">
        <f>IF($K$2612="","",IF(설정!$B$18="","",설정!$B$18))</f>
        <v/>
      </c>
      <c r="C2617" s="31">
        <f>IF(OR($K$2612="",설정!$B$18=""),"",INDEX(직원목록!$G$7:$G$306,$K$2612))</f>
        <v/>
      </c>
      <c r="D2617" s="32">
        <f>IF(OR($K$2612="",설정!$B$18=""),"",IF(N(INDEX(직원목록!$O$7:$O$306,$K$2612))=0,"",INDEX(직원목록!$O$7:$O$306,$K$2612)&amp;"시간"))</f>
        <v/>
      </c>
      <c r="F2617" s="4">
        <f>IF($K$2612="","",IF(설정!$B$27="","",설정!$B$27))</f>
        <v/>
      </c>
      <c r="G2617" s="31">
        <f>IF(OR($K$2612="",설정!$B$27=""),"",INDEX(직원목록!$X$7:$X$306,$K$2612))</f>
        <v/>
      </c>
      <c r="H2617" s="19" t="n"/>
    </row>
    <row r="2618">
      <c r="B2618" s="4">
        <f>IF($K$2612="","",IF(설정!$B$19="","",설정!$B$19))</f>
        <v/>
      </c>
      <c r="C2618" s="31">
        <f>IF(OR($K$2612="",설정!$B$19=""),"",INDEX(직원목록!$H$7:$H$306,$K$2612))</f>
        <v/>
      </c>
      <c r="D2618" s="32">
        <f>IF(OR($K$2612="",설정!$B$19=""),"",IF(N(INDEX(직원목록!$P$7:$P$306,$K$2612))=0,"",INDEX(직원목록!$P$7:$P$306,$K$2612)&amp;"시간"))</f>
        <v/>
      </c>
      <c r="F2618" s="4">
        <f>IF($K$2612="","",IF(설정!$B$28="","",설정!$B$28))</f>
        <v/>
      </c>
      <c r="G2618" s="31">
        <f>IF(OR($K$2612="",설정!$B$28=""),"",INDEX(직원목록!$Y$7:$Y$306,$K$2612))</f>
        <v/>
      </c>
      <c r="H2618" s="19" t="n"/>
    </row>
    <row r="2619">
      <c r="B2619" s="4">
        <f>IF($K$2612="","",IF(설정!$B$20="","",설정!$B$20))</f>
        <v/>
      </c>
      <c r="C2619" s="31">
        <f>IF(OR($K$2612="",설정!$B$20=""),"",INDEX(직원목록!$I$7:$I$306,$K$2612))</f>
        <v/>
      </c>
      <c r="D2619" s="32">
        <f>IF(OR($K$2612="",설정!$B$20=""),"",IF(N(INDEX(직원목록!$Q$7:$Q$306,$K$2612))=0,"",INDEX(직원목록!$Q$7:$Q$306,$K$2612)&amp;"시간"))</f>
        <v/>
      </c>
      <c r="F2619" s="4">
        <f>IF($K$2612="","",IF(설정!$B$29="","",설정!$B$29))</f>
        <v/>
      </c>
      <c r="G2619" s="31">
        <f>IF(OR($K$2612="",설정!$B$29=""),"",INDEX(직원목록!$Z$7:$Z$306,$K$2612))</f>
        <v/>
      </c>
      <c r="H2619" s="19" t="n"/>
    </row>
    <row r="2620">
      <c r="B2620" s="4">
        <f>IF($K$2612="","",IF(설정!$B$21="","",설정!$B$21))</f>
        <v/>
      </c>
      <c r="C2620" s="31">
        <f>IF(OR($K$2612="",설정!$B$21=""),"",INDEX(직원목록!$J$7:$J$306,$K$2612))</f>
        <v/>
      </c>
      <c r="D2620" s="32">
        <f>IF(OR($K$2612="",설정!$B$21=""),"",IF(N(INDEX(직원목록!$R$7:$R$306,$K$2612))=0,"",INDEX(직원목록!$R$7:$R$306,$K$2612)&amp;"시간"))</f>
        <v/>
      </c>
      <c r="F2620" s="4">
        <f>IF($K$2612="","",IF(설정!$B$30="","",설정!$B$30))</f>
        <v/>
      </c>
      <c r="G2620" s="31">
        <f>IF(OR($K$2612="",설정!$B$30=""),"",INDEX(직원목록!$AA$7:$AA$306,$K$2612))</f>
        <v/>
      </c>
      <c r="H2620" s="19" t="n"/>
    </row>
    <row r="2621">
      <c r="B2621" s="4">
        <f>IF($K$2612="","",IF(설정!$B$22="","",설정!$B$22))</f>
        <v/>
      </c>
      <c r="C2621" s="31">
        <f>IF(OR($K$2612="",설정!$B$22=""),"",INDEX(직원목록!$K$7:$K$306,$K$2612))</f>
        <v/>
      </c>
      <c r="D2621" s="32">
        <f>IF(OR($K$2612="",설정!$B$22=""),"",IF(N(INDEX(직원목록!$S$7:$S$306,$K$2612))=0,"",INDEX(직원목록!$S$7:$S$306,$K$2612)&amp;"시간"))</f>
        <v/>
      </c>
      <c r="F2621" s="4">
        <f>IF($K$2612="","",IF(설정!$B$31="","",설정!$B$31))</f>
        <v/>
      </c>
      <c r="G2621" s="31">
        <f>IF(OR($K$2612="",설정!$B$31=""),"",INDEX(직원목록!$AB$7:$AB$306,$K$2612))</f>
        <v/>
      </c>
      <c r="H2621" s="19" t="n"/>
    </row>
    <row r="2622">
      <c r="B2622" s="4">
        <f>IF($K$2612="","",IF(설정!$B$23="","",설정!$B$23))</f>
        <v/>
      </c>
      <c r="C2622" s="31">
        <f>IF(OR($K$2612="",설정!$B$23=""),"",INDEX(직원목록!$L$7:$L$306,$K$2612))</f>
        <v/>
      </c>
      <c r="D2622" s="32">
        <f>IF(OR($K$2612="",설정!$B$23=""),"",IF(N(INDEX(직원목록!$T$7:$T$306,$K$2612))=0,"",INDEX(직원목록!$T$7:$T$306,$K$2612)&amp;"시간"))</f>
        <v/>
      </c>
      <c r="F2622" s="4">
        <f>IF($K$2612="","",IF(설정!$B$32="","",설정!$B$32))</f>
        <v/>
      </c>
      <c r="G2622" s="31">
        <f>IF(OR($K$2612="",설정!$B$32=""),"",INDEX(직원목록!$AC$7:$AC$306,$K$2612))</f>
        <v/>
      </c>
      <c r="H2622" s="19" t="n"/>
    </row>
    <row r="2623">
      <c r="B2623" s="4">
        <f>IF($K$2612="","",IF(설정!$B$24="","",설정!$B$24))</f>
        <v/>
      </c>
      <c r="C2623" s="31">
        <f>IF(OR($K$2612="",설정!$B$24=""),"",INDEX(직원목록!$M$7:$M$306,$K$2612))</f>
        <v/>
      </c>
      <c r="D2623" s="32">
        <f>IF(OR($K$2612="",설정!$B$24=""),"",IF(N(INDEX(직원목록!$U$7:$U$306,$K$2612))=0,"",INDEX(직원목록!$U$7:$U$306,$K$2612)&amp;"시간"))</f>
        <v/>
      </c>
      <c r="F2623" s="4">
        <f>IF($K$2612="","",IF(설정!$B$33="","",설정!$B$33))</f>
        <v/>
      </c>
      <c r="G2623" s="31">
        <f>IF(OR($K$2612="",설정!$B$33=""),"",INDEX(직원목록!$AD$7:$AD$306,$K$2612))</f>
        <v/>
      </c>
      <c r="H2623" s="19" t="n"/>
    </row>
    <row r="2624">
      <c r="B2624" s="3" t="inlineStr">
        <is>
          <t>지급 합계</t>
        </is>
      </c>
      <c r="C2624" s="35">
        <f>IF($K$2612="","",INDEX(직원목록!$V$7:$V$306,$K$2612))</f>
        <v/>
      </c>
      <c r="D2624" s="36" t="n"/>
      <c r="F2624" s="3" t="inlineStr">
        <is>
          <t>공제 합계</t>
        </is>
      </c>
      <c r="G2624" s="35">
        <f>IF($K$2612="","",INDEX(직원목록!$AE$7:$AE$306,$K$2612))</f>
        <v/>
      </c>
      <c r="H2624" s="36" t="n"/>
    </row>
    <row r="2625" ht="28" customHeight="1">
      <c r="B2625" s="37" t="inlineStr">
        <is>
          <t>실 수령액 (지급 합계 − 공제 합계)</t>
        </is>
      </c>
      <c r="C2625" s="29" t="n"/>
      <c r="D2625" s="29" t="n"/>
      <c r="E2625" s="38">
        <f>IF($K$2612="","",INDEX(직원목록!$AF$7:$AF$306,$K$2612))</f>
        <v/>
      </c>
      <c r="F2625" s="29" t="n"/>
      <c r="G2625" s="29" t="n"/>
      <c r="H2625" s="29" t="n"/>
    </row>
    <row r="2626">
      <c r="B2626" s="39">
        <f>IF($K$2612="","",설정!$B$7)</f>
        <v/>
      </c>
    </row>
    <row r="2642" ht="30" customHeight="1">
      <c r="B2642" s="28">
        <f>IF($K$2642="","","임금명세서  ("&amp;설정!$B$5&amp;")")</f>
        <v/>
      </c>
      <c r="K2642" s="34">
        <f>IFERROR(MATCH(89,직원목록!$B$7:$B$306,0),"")</f>
        <v/>
      </c>
    </row>
    <row r="2643">
      <c r="B2643" s="7" t="inlineStr">
        <is>
          <t>회사명</t>
        </is>
      </c>
      <c r="C2643" s="21">
        <f>IF($K$2642="","",설정!$B$4)</f>
        <v/>
      </c>
      <c r="D2643" s="29" t="n"/>
      <c r="E2643" s="19" t="n"/>
      <c r="F2643" s="7" t="inlineStr">
        <is>
          <t>임금 지급일</t>
        </is>
      </c>
      <c r="G2643" s="21">
        <f>IF($K$2642="","",TEXT(설정!$B$6,"yyyy-mm-dd"))</f>
        <v/>
      </c>
      <c r="H2643" s="29" t="n"/>
    </row>
    <row r="2644">
      <c r="B2644" s="7" t="inlineStr">
        <is>
          <t>성명</t>
        </is>
      </c>
      <c r="C2644" s="22">
        <f>IF($K$2642="","",INDEX(직원목록!$D$7:$D$306,$K$2642))</f>
        <v/>
      </c>
      <c r="D2644" s="7" t="inlineStr">
        <is>
          <t>사번</t>
        </is>
      </c>
      <c r="E2644" s="21">
        <f>IF($K$2642="","",INDEX(직원목록!$C$7:$C$306,$K$2642))</f>
        <v/>
      </c>
      <c r="F2644" s="7" t="inlineStr">
        <is>
          <t>부서</t>
        </is>
      </c>
      <c r="G2644" s="21">
        <f>IF($K$2642="","",INDEX(직원목록!$E$7:$E$306,$K$2642))</f>
        <v/>
      </c>
      <c r="H2644" s="29" t="n"/>
    </row>
    <row r="2645">
      <c r="B2645" s="12" t="inlineStr">
        <is>
          <t>지급 항목</t>
        </is>
      </c>
      <c r="C2645" s="12" t="inlineStr">
        <is>
          <t>금액(원)</t>
        </is>
      </c>
      <c r="D2645" s="12" t="inlineStr">
        <is>
          <t>계산 근거</t>
        </is>
      </c>
      <c r="E2645" s="2" t="n"/>
      <c r="F2645" s="12" t="inlineStr">
        <is>
          <t>공제 항목</t>
        </is>
      </c>
      <c r="G2645" s="12" t="inlineStr">
        <is>
          <t>금액(원)</t>
        </is>
      </c>
      <c r="H2645" s="12" t="n"/>
    </row>
    <row r="2646">
      <c r="B2646" s="4">
        <f>IF($K$2642="","",IF(설정!$B$17="","",설정!$B$17))</f>
        <v/>
      </c>
      <c r="C2646" s="31">
        <f>IF(OR($K$2642="",설정!$B$17=""),"",INDEX(직원목록!$F$7:$F$306,$K$2642))</f>
        <v/>
      </c>
      <c r="D2646" s="32">
        <f>IF(OR($K$2642="",설정!$B$17=""),"",IF(N(INDEX(직원목록!$N$7:$N$306,$K$2642))=0,"",INDEX(직원목록!$N$7:$N$306,$K$2642)&amp;"시간"))</f>
        <v/>
      </c>
      <c r="F2646" s="4">
        <f>IF($K$2642="","",IF(설정!$B$26="","",설정!$B$26))</f>
        <v/>
      </c>
      <c r="G2646" s="31">
        <f>IF(OR($K$2642="",설정!$B$26=""),"",INDEX(직원목록!$W$7:$W$306,$K$2642))</f>
        <v/>
      </c>
      <c r="H2646" s="19" t="n"/>
    </row>
    <row r="2647">
      <c r="B2647" s="4">
        <f>IF($K$2642="","",IF(설정!$B$18="","",설정!$B$18))</f>
        <v/>
      </c>
      <c r="C2647" s="31">
        <f>IF(OR($K$2642="",설정!$B$18=""),"",INDEX(직원목록!$G$7:$G$306,$K$2642))</f>
        <v/>
      </c>
      <c r="D2647" s="32">
        <f>IF(OR($K$2642="",설정!$B$18=""),"",IF(N(INDEX(직원목록!$O$7:$O$306,$K$2642))=0,"",INDEX(직원목록!$O$7:$O$306,$K$2642)&amp;"시간"))</f>
        <v/>
      </c>
      <c r="F2647" s="4">
        <f>IF($K$2642="","",IF(설정!$B$27="","",설정!$B$27))</f>
        <v/>
      </c>
      <c r="G2647" s="31">
        <f>IF(OR($K$2642="",설정!$B$27=""),"",INDEX(직원목록!$X$7:$X$306,$K$2642))</f>
        <v/>
      </c>
      <c r="H2647" s="19" t="n"/>
    </row>
    <row r="2648">
      <c r="B2648" s="4">
        <f>IF($K$2642="","",IF(설정!$B$19="","",설정!$B$19))</f>
        <v/>
      </c>
      <c r="C2648" s="31">
        <f>IF(OR($K$2642="",설정!$B$19=""),"",INDEX(직원목록!$H$7:$H$306,$K$2642))</f>
        <v/>
      </c>
      <c r="D2648" s="32">
        <f>IF(OR($K$2642="",설정!$B$19=""),"",IF(N(INDEX(직원목록!$P$7:$P$306,$K$2642))=0,"",INDEX(직원목록!$P$7:$P$306,$K$2642)&amp;"시간"))</f>
        <v/>
      </c>
      <c r="F2648" s="4">
        <f>IF($K$2642="","",IF(설정!$B$28="","",설정!$B$28))</f>
        <v/>
      </c>
      <c r="G2648" s="31">
        <f>IF(OR($K$2642="",설정!$B$28=""),"",INDEX(직원목록!$Y$7:$Y$306,$K$2642))</f>
        <v/>
      </c>
      <c r="H2648" s="19" t="n"/>
    </row>
    <row r="2649">
      <c r="B2649" s="4">
        <f>IF($K$2642="","",IF(설정!$B$20="","",설정!$B$20))</f>
        <v/>
      </c>
      <c r="C2649" s="31">
        <f>IF(OR($K$2642="",설정!$B$20=""),"",INDEX(직원목록!$I$7:$I$306,$K$2642))</f>
        <v/>
      </c>
      <c r="D2649" s="32">
        <f>IF(OR($K$2642="",설정!$B$20=""),"",IF(N(INDEX(직원목록!$Q$7:$Q$306,$K$2642))=0,"",INDEX(직원목록!$Q$7:$Q$306,$K$2642)&amp;"시간"))</f>
        <v/>
      </c>
      <c r="F2649" s="4">
        <f>IF($K$2642="","",IF(설정!$B$29="","",설정!$B$29))</f>
        <v/>
      </c>
      <c r="G2649" s="31">
        <f>IF(OR($K$2642="",설정!$B$29=""),"",INDEX(직원목록!$Z$7:$Z$306,$K$2642))</f>
        <v/>
      </c>
      <c r="H2649" s="19" t="n"/>
    </row>
    <row r="2650">
      <c r="B2650" s="4">
        <f>IF($K$2642="","",IF(설정!$B$21="","",설정!$B$21))</f>
        <v/>
      </c>
      <c r="C2650" s="31">
        <f>IF(OR($K$2642="",설정!$B$21=""),"",INDEX(직원목록!$J$7:$J$306,$K$2642))</f>
        <v/>
      </c>
      <c r="D2650" s="32">
        <f>IF(OR($K$2642="",설정!$B$21=""),"",IF(N(INDEX(직원목록!$R$7:$R$306,$K$2642))=0,"",INDEX(직원목록!$R$7:$R$306,$K$2642)&amp;"시간"))</f>
        <v/>
      </c>
      <c r="F2650" s="4">
        <f>IF($K$2642="","",IF(설정!$B$30="","",설정!$B$30))</f>
        <v/>
      </c>
      <c r="G2650" s="31">
        <f>IF(OR($K$2642="",설정!$B$30=""),"",INDEX(직원목록!$AA$7:$AA$306,$K$2642))</f>
        <v/>
      </c>
      <c r="H2650" s="19" t="n"/>
    </row>
    <row r="2651">
      <c r="B2651" s="4">
        <f>IF($K$2642="","",IF(설정!$B$22="","",설정!$B$22))</f>
        <v/>
      </c>
      <c r="C2651" s="31">
        <f>IF(OR($K$2642="",설정!$B$22=""),"",INDEX(직원목록!$K$7:$K$306,$K$2642))</f>
        <v/>
      </c>
      <c r="D2651" s="32">
        <f>IF(OR($K$2642="",설정!$B$22=""),"",IF(N(INDEX(직원목록!$S$7:$S$306,$K$2642))=0,"",INDEX(직원목록!$S$7:$S$306,$K$2642)&amp;"시간"))</f>
        <v/>
      </c>
      <c r="F2651" s="4">
        <f>IF($K$2642="","",IF(설정!$B$31="","",설정!$B$31))</f>
        <v/>
      </c>
      <c r="G2651" s="31">
        <f>IF(OR($K$2642="",설정!$B$31=""),"",INDEX(직원목록!$AB$7:$AB$306,$K$2642))</f>
        <v/>
      </c>
      <c r="H2651" s="19" t="n"/>
    </row>
    <row r="2652">
      <c r="B2652" s="4">
        <f>IF($K$2642="","",IF(설정!$B$23="","",설정!$B$23))</f>
        <v/>
      </c>
      <c r="C2652" s="31">
        <f>IF(OR($K$2642="",설정!$B$23=""),"",INDEX(직원목록!$L$7:$L$306,$K$2642))</f>
        <v/>
      </c>
      <c r="D2652" s="32">
        <f>IF(OR($K$2642="",설정!$B$23=""),"",IF(N(INDEX(직원목록!$T$7:$T$306,$K$2642))=0,"",INDEX(직원목록!$T$7:$T$306,$K$2642)&amp;"시간"))</f>
        <v/>
      </c>
      <c r="F2652" s="4">
        <f>IF($K$2642="","",IF(설정!$B$32="","",설정!$B$32))</f>
        <v/>
      </c>
      <c r="G2652" s="31">
        <f>IF(OR($K$2642="",설정!$B$32=""),"",INDEX(직원목록!$AC$7:$AC$306,$K$2642))</f>
        <v/>
      </c>
      <c r="H2652" s="19" t="n"/>
    </row>
    <row r="2653">
      <c r="B2653" s="4">
        <f>IF($K$2642="","",IF(설정!$B$24="","",설정!$B$24))</f>
        <v/>
      </c>
      <c r="C2653" s="31">
        <f>IF(OR($K$2642="",설정!$B$24=""),"",INDEX(직원목록!$M$7:$M$306,$K$2642))</f>
        <v/>
      </c>
      <c r="D2653" s="32">
        <f>IF(OR($K$2642="",설정!$B$24=""),"",IF(N(INDEX(직원목록!$U$7:$U$306,$K$2642))=0,"",INDEX(직원목록!$U$7:$U$306,$K$2642)&amp;"시간"))</f>
        <v/>
      </c>
      <c r="F2653" s="4">
        <f>IF($K$2642="","",IF(설정!$B$33="","",설정!$B$33))</f>
        <v/>
      </c>
      <c r="G2653" s="31">
        <f>IF(OR($K$2642="",설정!$B$33=""),"",INDEX(직원목록!$AD$7:$AD$306,$K$2642))</f>
        <v/>
      </c>
      <c r="H2653" s="19" t="n"/>
    </row>
    <row r="2654">
      <c r="B2654" s="3" t="inlineStr">
        <is>
          <t>지급 합계</t>
        </is>
      </c>
      <c r="C2654" s="35">
        <f>IF($K$2642="","",INDEX(직원목록!$V$7:$V$306,$K$2642))</f>
        <v/>
      </c>
      <c r="D2654" s="36" t="n"/>
      <c r="F2654" s="3" t="inlineStr">
        <is>
          <t>공제 합계</t>
        </is>
      </c>
      <c r="G2654" s="35">
        <f>IF($K$2642="","",INDEX(직원목록!$AE$7:$AE$306,$K$2642))</f>
        <v/>
      </c>
      <c r="H2654" s="36" t="n"/>
    </row>
    <row r="2655" ht="28" customHeight="1">
      <c r="B2655" s="37" t="inlineStr">
        <is>
          <t>실 수령액 (지급 합계 − 공제 합계)</t>
        </is>
      </c>
      <c r="C2655" s="29" t="n"/>
      <c r="D2655" s="29" t="n"/>
      <c r="E2655" s="38">
        <f>IF($K$2642="","",INDEX(직원목록!$AF$7:$AF$306,$K$2642))</f>
        <v/>
      </c>
      <c r="F2655" s="29" t="n"/>
      <c r="G2655" s="29" t="n"/>
      <c r="H2655" s="29" t="n"/>
    </row>
    <row r="2656">
      <c r="B2656" s="39">
        <f>IF($K$2642="","",설정!$B$7)</f>
        <v/>
      </c>
    </row>
    <row r="2672" ht="30" customHeight="1">
      <c r="B2672" s="28">
        <f>IF($K$2672="","","임금명세서  ("&amp;설정!$B$5&amp;")")</f>
        <v/>
      </c>
      <c r="K2672" s="34">
        <f>IFERROR(MATCH(90,직원목록!$B$7:$B$306,0),"")</f>
        <v/>
      </c>
    </row>
    <row r="2673">
      <c r="B2673" s="7" t="inlineStr">
        <is>
          <t>회사명</t>
        </is>
      </c>
      <c r="C2673" s="21">
        <f>IF($K$2672="","",설정!$B$4)</f>
        <v/>
      </c>
      <c r="D2673" s="29" t="n"/>
      <c r="E2673" s="19" t="n"/>
      <c r="F2673" s="7" t="inlineStr">
        <is>
          <t>임금 지급일</t>
        </is>
      </c>
      <c r="G2673" s="21">
        <f>IF($K$2672="","",TEXT(설정!$B$6,"yyyy-mm-dd"))</f>
        <v/>
      </c>
      <c r="H2673" s="29" t="n"/>
    </row>
    <row r="2674">
      <c r="B2674" s="7" t="inlineStr">
        <is>
          <t>성명</t>
        </is>
      </c>
      <c r="C2674" s="22">
        <f>IF($K$2672="","",INDEX(직원목록!$D$7:$D$306,$K$2672))</f>
        <v/>
      </c>
      <c r="D2674" s="7" t="inlineStr">
        <is>
          <t>사번</t>
        </is>
      </c>
      <c r="E2674" s="21">
        <f>IF($K$2672="","",INDEX(직원목록!$C$7:$C$306,$K$2672))</f>
        <v/>
      </c>
      <c r="F2674" s="7" t="inlineStr">
        <is>
          <t>부서</t>
        </is>
      </c>
      <c r="G2674" s="21">
        <f>IF($K$2672="","",INDEX(직원목록!$E$7:$E$306,$K$2672))</f>
        <v/>
      </c>
      <c r="H2674" s="29" t="n"/>
    </row>
    <row r="2675">
      <c r="B2675" s="12" t="inlineStr">
        <is>
          <t>지급 항목</t>
        </is>
      </c>
      <c r="C2675" s="12" t="inlineStr">
        <is>
          <t>금액(원)</t>
        </is>
      </c>
      <c r="D2675" s="12" t="inlineStr">
        <is>
          <t>계산 근거</t>
        </is>
      </c>
      <c r="E2675" s="2" t="n"/>
      <c r="F2675" s="12" t="inlineStr">
        <is>
          <t>공제 항목</t>
        </is>
      </c>
      <c r="G2675" s="12" t="inlineStr">
        <is>
          <t>금액(원)</t>
        </is>
      </c>
      <c r="H2675" s="12" t="n"/>
    </row>
    <row r="2676">
      <c r="B2676" s="4">
        <f>IF($K$2672="","",IF(설정!$B$17="","",설정!$B$17))</f>
        <v/>
      </c>
      <c r="C2676" s="31">
        <f>IF(OR($K$2672="",설정!$B$17=""),"",INDEX(직원목록!$F$7:$F$306,$K$2672))</f>
        <v/>
      </c>
      <c r="D2676" s="32">
        <f>IF(OR($K$2672="",설정!$B$17=""),"",IF(N(INDEX(직원목록!$N$7:$N$306,$K$2672))=0,"",INDEX(직원목록!$N$7:$N$306,$K$2672)&amp;"시간"))</f>
        <v/>
      </c>
      <c r="F2676" s="4">
        <f>IF($K$2672="","",IF(설정!$B$26="","",설정!$B$26))</f>
        <v/>
      </c>
      <c r="G2676" s="31">
        <f>IF(OR($K$2672="",설정!$B$26=""),"",INDEX(직원목록!$W$7:$W$306,$K$2672))</f>
        <v/>
      </c>
      <c r="H2676" s="19" t="n"/>
    </row>
    <row r="2677">
      <c r="B2677" s="4">
        <f>IF($K$2672="","",IF(설정!$B$18="","",설정!$B$18))</f>
        <v/>
      </c>
      <c r="C2677" s="31">
        <f>IF(OR($K$2672="",설정!$B$18=""),"",INDEX(직원목록!$G$7:$G$306,$K$2672))</f>
        <v/>
      </c>
      <c r="D2677" s="32">
        <f>IF(OR($K$2672="",설정!$B$18=""),"",IF(N(INDEX(직원목록!$O$7:$O$306,$K$2672))=0,"",INDEX(직원목록!$O$7:$O$306,$K$2672)&amp;"시간"))</f>
        <v/>
      </c>
      <c r="F2677" s="4">
        <f>IF($K$2672="","",IF(설정!$B$27="","",설정!$B$27))</f>
        <v/>
      </c>
      <c r="G2677" s="31">
        <f>IF(OR($K$2672="",설정!$B$27=""),"",INDEX(직원목록!$X$7:$X$306,$K$2672))</f>
        <v/>
      </c>
      <c r="H2677" s="19" t="n"/>
    </row>
    <row r="2678">
      <c r="B2678" s="4">
        <f>IF($K$2672="","",IF(설정!$B$19="","",설정!$B$19))</f>
        <v/>
      </c>
      <c r="C2678" s="31">
        <f>IF(OR($K$2672="",설정!$B$19=""),"",INDEX(직원목록!$H$7:$H$306,$K$2672))</f>
        <v/>
      </c>
      <c r="D2678" s="32">
        <f>IF(OR($K$2672="",설정!$B$19=""),"",IF(N(INDEX(직원목록!$P$7:$P$306,$K$2672))=0,"",INDEX(직원목록!$P$7:$P$306,$K$2672)&amp;"시간"))</f>
        <v/>
      </c>
      <c r="F2678" s="4">
        <f>IF($K$2672="","",IF(설정!$B$28="","",설정!$B$28))</f>
        <v/>
      </c>
      <c r="G2678" s="31">
        <f>IF(OR($K$2672="",설정!$B$28=""),"",INDEX(직원목록!$Y$7:$Y$306,$K$2672))</f>
        <v/>
      </c>
      <c r="H2678" s="19" t="n"/>
    </row>
    <row r="2679">
      <c r="B2679" s="4">
        <f>IF($K$2672="","",IF(설정!$B$20="","",설정!$B$20))</f>
        <v/>
      </c>
      <c r="C2679" s="31">
        <f>IF(OR($K$2672="",설정!$B$20=""),"",INDEX(직원목록!$I$7:$I$306,$K$2672))</f>
        <v/>
      </c>
      <c r="D2679" s="32">
        <f>IF(OR($K$2672="",설정!$B$20=""),"",IF(N(INDEX(직원목록!$Q$7:$Q$306,$K$2672))=0,"",INDEX(직원목록!$Q$7:$Q$306,$K$2672)&amp;"시간"))</f>
        <v/>
      </c>
      <c r="F2679" s="4">
        <f>IF($K$2672="","",IF(설정!$B$29="","",설정!$B$29))</f>
        <v/>
      </c>
      <c r="G2679" s="31">
        <f>IF(OR($K$2672="",설정!$B$29=""),"",INDEX(직원목록!$Z$7:$Z$306,$K$2672))</f>
        <v/>
      </c>
      <c r="H2679" s="19" t="n"/>
    </row>
    <row r="2680">
      <c r="B2680" s="4">
        <f>IF($K$2672="","",IF(설정!$B$21="","",설정!$B$21))</f>
        <v/>
      </c>
      <c r="C2680" s="31">
        <f>IF(OR($K$2672="",설정!$B$21=""),"",INDEX(직원목록!$J$7:$J$306,$K$2672))</f>
        <v/>
      </c>
      <c r="D2680" s="32">
        <f>IF(OR($K$2672="",설정!$B$21=""),"",IF(N(INDEX(직원목록!$R$7:$R$306,$K$2672))=0,"",INDEX(직원목록!$R$7:$R$306,$K$2672)&amp;"시간"))</f>
        <v/>
      </c>
      <c r="F2680" s="4">
        <f>IF($K$2672="","",IF(설정!$B$30="","",설정!$B$30))</f>
        <v/>
      </c>
      <c r="G2680" s="31">
        <f>IF(OR($K$2672="",설정!$B$30=""),"",INDEX(직원목록!$AA$7:$AA$306,$K$2672))</f>
        <v/>
      </c>
      <c r="H2680" s="19" t="n"/>
    </row>
    <row r="2681">
      <c r="B2681" s="4">
        <f>IF($K$2672="","",IF(설정!$B$22="","",설정!$B$22))</f>
        <v/>
      </c>
      <c r="C2681" s="31">
        <f>IF(OR($K$2672="",설정!$B$22=""),"",INDEX(직원목록!$K$7:$K$306,$K$2672))</f>
        <v/>
      </c>
      <c r="D2681" s="32">
        <f>IF(OR($K$2672="",설정!$B$22=""),"",IF(N(INDEX(직원목록!$S$7:$S$306,$K$2672))=0,"",INDEX(직원목록!$S$7:$S$306,$K$2672)&amp;"시간"))</f>
        <v/>
      </c>
      <c r="F2681" s="4">
        <f>IF($K$2672="","",IF(설정!$B$31="","",설정!$B$31))</f>
        <v/>
      </c>
      <c r="G2681" s="31">
        <f>IF(OR($K$2672="",설정!$B$31=""),"",INDEX(직원목록!$AB$7:$AB$306,$K$2672))</f>
        <v/>
      </c>
      <c r="H2681" s="19" t="n"/>
    </row>
    <row r="2682">
      <c r="B2682" s="4">
        <f>IF($K$2672="","",IF(설정!$B$23="","",설정!$B$23))</f>
        <v/>
      </c>
      <c r="C2682" s="31">
        <f>IF(OR($K$2672="",설정!$B$23=""),"",INDEX(직원목록!$L$7:$L$306,$K$2672))</f>
        <v/>
      </c>
      <c r="D2682" s="32">
        <f>IF(OR($K$2672="",설정!$B$23=""),"",IF(N(INDEX(직원목록!$T$7:$T$306,$K$2672))=0,"",INDEX(직원목록!$T$7:$T$306,$K$2672)&amp;"시간"))</f>
        <v/>
      </c>
      <c r="F2682" s="4">
        <f>IF($K$2672="","",IF(설정!$B$32="","",설정!$B$32))</f>
        <v/>
      </c>
      <c r="G2682" s="31">
        <f>IF(OR($K$2672="",설정!$B$32=""),"",INDEX(직원목록!$AC$7:$AC$306,$K$2672))</f>
        <v/>
      </c>
      <c r="H2682" s="19" t="n"/>
    </row>
    <row r="2683">
      <c r="B2683" s="4">
        <f>IF($K$2672="","",IF(설정!$B$24="","",설정!$B$24))</f>
        <v/>
      </c>
      <c r="C2683" s="31">
        <f>IF(OR($K$2672="",설정!$B$24=""),"",INDEX(직원목록!$M$7:$M$306,$K$2672))</f>
        <v/>
      </c>
      <c r="D2683" s="32">
        <f>IF(OR($K$2672="",설정!$B$24=""),"",IF(N(INDEX(직원목록!$U$7:$U$306,$K$2672))=0,"",INDEX(직원목록!$U$7:$U$306,$K$2672)&amp;"시간"))</f>
        <v/>
      </c>
      <c r="F2683" s="4">
        <f>IF($K$2672="","",IF(설정!$B$33="","",설정!$B$33))</f>
        <v/>
      </c>
      <c r="G2683" s="31">
        <f>IF(OR($K$2672="",설정!$B$33=""),"",INDEX(직원목록!$AD$7:$AD$306,$K$2672))</f>
        <v/>
      </c>
      <c r="H2683" s="19" t="n"/>
    </row>
    <row r="2684">
      <c r="B2684" s="3" t="inlineStr">
        <is>
          <t>지급 합계</t>
        </is>
      </c>
      <c r="C2684" s="35">
        <f>IF($K$2672="","",INDEX(직원목록!$V$7:$V$306,$K$2672))</f>
        <v/>
      </c>
      <c r="D2684" s="36" t="n"/>
      <c r="F2684" s="3" t="inlineStr">
        <is>
          <t>공제 합계</t>
        </is>
      </c>
      <c r="G2684" s="35">
        <f>IF($K$2672="","",INDEX(직원목록!$AE$7:$AE$306,$K$2672))</f>
        <v/>
      </c>
      <c r="H2684" s="36" t="n"/>
    </row>
    <row r="2685" ht="28" customHeight="1">
      <c r="B2685" s="37" t="inlineStr">
        <is>
          <t>실 수령액 (지급 합계 − 공제 합계)</t>
        </is>
      </c>
      <c r="C2685" s="29" t="n"/>
      <c r="D2685" s="29" t="n"/>
      <c r="E2685" s="38">
        <f>IF($K$2672="","",INDEX(직원목록!$AF$7:$AF$306,$K$2672))</f>
        <v/>
      </c>
      <c r="F2685" s="29" t="n"/>
      <c r="G2685" s="29" t="n"/>
      <c r="H2685" s="29" t="n"/>
    </row>
    <row r="2686">
      <c r="B2686" s="39">
        <f>IF($K$2672="","",설정!$B$7)</f>
        <v/>
      </c>
    </row>
    <row r="2702" ht="30" customHeight="1">
      <c r="B2702" s="28">
        <f>IF($K$2702="","","임금명세서  ("&amp;설정!$B$5&amp;")")</f>
        <v/>
      </c>
      <c r="K2702" s="34">
        <f>IFERROR(MATCH(91,직원목록!$B$7:$B$306,0),"")</f>
        <v/>
      </c>
    </row>
    <row r="2703">
      <c r="B2703" s="7" t="inlineStr">
        <is>
          <t>회사명</t>
        </is>
      </c>
      <c r="C2703" s="21">
        <f>IF($K$2702="","",설정!$B$4)</f>
        <v/>
      </c>
      <c r="D2703" s="29" t="n"/>
      <c r="E2703" s="19" t="n"/>
      <c r="F2703" s="7" t="inlineStr">
        <is>
          <t>임금 지급일</t>
        </is>
      </c>
      <c r="G2703" s="21">
        <f>IF($K$2702="","",TEXT(설정!$B$6,"yyyy-mm-dd"))</f>
        <v/>
      </c>
      <c r="H2703" s="29" t="n"/>
    </row>
    <row r="2704">
      <c r="B2704" s="7" t="inlineStr">
        <is>
          <t>성명</t>
        </is>
      </c>
      <c r="C2704" s="22">
        <f>IF($K$2702="","",INDEX(직원목록!$D$7:$D$306,$K$2702))</f>
        <v/>
      </c>
      <c r="D2704" s="7" t="inlineStr">
        <is>
          <t>사번</t>
        </is>
      </c>
      <c r="E2704" s="21">
        <f>IF($K$2702="","",INDEX(직원목록!$C$7:$C$306,$K$2702))</f>
        <v/>
      </c>
      <c r="F2704" s="7" t="inlineStr">
        <is>
          <t>부서</t>
        </is>
      </c>
      <c r="G2704" s="21">
        <f>IF($K$2702="","",INDEX(직원목록!$E$7:$E$306,$K$2702))</f>
        <v/>
      </c>
      <c r="H2704" s="29" t="n"/>
    </row>
    <row r="2705">
      <c r="B2705" s="12" t="inlineStr">
        <is>
          <t>지급 항목</t>
        </is>
      </c>
      <c r="C2705" s="12" t="inlineStr">
        <is>
          <t>금액(원)</t>
        </is>
      </c>
      <c r="D2705" s="12" t="inlineStr">
        <is>
          <t>계산 근거</t>
        </is>
      </c>
      <c r="E2705" s="2" t="n"/>
      <c r="F2705" s="12" t="inlineStr">
        <is>
          <t>공제 항목</t>
        </is>
      </c>
      <c r="G2705" s="12" t="inlineStr">
        <is>
          <t>금액(원)</t>
        </is>
      </c>
      <c r="H2705" s="12" t="n"/>
    </row>
    <row r="2706">
      <c r="B2706" s="4">
        <f>IF($K$2702="","",IF(설정!$B$17="","",설정!$B$17))</f>
        <v/>
      </c>
      <c r="C2706" s="31">
        <f>IF(OR($K$2702="",설정!$B$17=""),"",INDEX(직원목록!$F$7:$F$306,$K$2702))</f>
        <v/>
      </c>
      <c r="D2706" s="32">
        <f>IF(OR($K$2702="",설정!$B$17=""),"",IF(N(INDEX(직원목록!$N$7:$N$306,$K$2702))=0,"",INDEX(직원목록!$N$7:$N$306,$K$2702)&amp;"시간"))</f>
        <v/>
      </c>
      <c r="F2706" s="4">
        <f>IF($K$2702="","",IF(설정!$B$26="","",설정!$B$26))</f>
        <v/>
      </c>
      <c r="G2706" s="31">
        <f>IF(OR($K$2702="",설정!$B$26=""),"",INDEX(직원목록!$W$7:$W$306,$K$2702))</f>
        <v/>
      </c>
      <c r="H2706" s="19" t="n"/>
    </row>
    <row r="2707">
      <c r="B2707" s="4">
        <f>IF($K$2702="","",IF(설정!$B$18="","",설정!$B$18))</f>
        <v/>
      </c>
      <c r="C2707" s="31">
        <f>IF(OR($K$2702="",설정!$B$18=""),"",INDEX(직원목록!$G$7:$G$306,$K$2702))</f>
        <v/>
      </c>
      <c r="D2707" s="32">
        <f>IF(OR($K$2702="",설정!$B$18=""),"",IF(N(INDEX(직원목록!$O$7:$O$306,$K$2702))=0,"",INDEX(직원목록!$O$7:$O$306,$K$2702)&amp;"시간"))</f>
        <v/>
      </c>
      <c r="F2707" s="4">
        <f>IF($K$2702="","",IF(설정!$B$27="","",설정!$B$27))</f>
        <v/>
      </c>
      <c r="G2707" s="31">
        <f>IF(OR($K$2702="",설정!$B$27=""),"",INDEX(직원목록!$X$7:$X$306,$K$2702))</f>
        <v/>
      </c>
      <c r="H2707" s="19" t="n"/>
    </row>
    <row r="2708">
      <c r="B2708" s="4">
        <f>IF($K$2702="","",IF(설정!$B$19="","",설정!$B$19))</f>
        <v/>
      </c>
      <c r="C2708" s="31">
        <f>IF(OR($K$2702="",설정!$B$19=""),"",INDEX(직원목록!$H$7:$H$306,$K$2702))</f>
        <v/>
      </c>
      <c r="D2708" s="32">
        <f>IF(OR($K$2702="",설정!$B$19=""),"",IF(N(INDEX(직원목록!$P$7:$P$306,$K$2702))=0,"",INDEX(직원목록!$P$7:$P$306,$K$2702)&amp;"시간"))</f>
        <v/>
      </c>
      <c r="F2708" s="4">
        <f>IF($K$2702="","",IF(설정!$B$28="","",설정!$B$28))</f>
        <v/>
      </c>
      <c r="G2708" s="31">
        <f>IF(OR($K$2702="",설정!$B$28=""),"",INDEX(직원목록!$Y$7:$Y$306,$K$2702))</f>
        <v/>
      </c>
      <c r="H2708" s="19" t="n"/>
    </row>
    <row r="2709">
      <c r="B2709" s="4">
        <f>IF($K$2702="","",IF(설정!$B$20="","",설정!$B$20))</f>
        <v/>
      </c>
      <c r="C2709" s="31">
        <f>IF(OR($K$2702="",설정!$B$20=""),"",INDEX(직원목록!$I$7:$I$306,$K$2702))</f>
        <v/>
      </c>
      <c r="D2709" s="32">
        <f>IF(OR($K$2702="",설정!$B$20=""),"",IF(N(INDEX(직원목록!$Q$7:$Q$306,$K$2702))=0,"",INDEX(직원목록!$Q$7:$Q$306,$K$2702)&amp;"시간"))</f>
        <v/>
      </c>
      <c r="F2709" s="4">
        <f>IF($K$2702="","",IF(설정!$B$29="","",설정!$B$29))</f>
        <v/>
      </c>
      <c r="G2709" s="31">
        <f>IF(OR($K$2702="",설정!$B$29=""),"",INDEX(직원목록!$Z$7:$Z$306,$K$2702))</f>
        <v/>
      </c>
      <c r="H2709" s="19" t="n"/>
    </row>
    <row r="2710">
      <c r="B2710" s="4">
        <f>IF($K$2702="","",IF(설정!$B$21="","",설정!$B$21))</f>
        <v/>
      </c>
      <c r="C2710" s="31">
        <f>IF(OR($K$2702="",설정!$B$21=""),"",INDEX(직원목록!$J$7:$J$306,$K$2702))</f>
        <v/>
      </c>
      <c r="D2710" s="32">
        <f>IF(OR($K$2702="",설정!$B$21=""),"",IF(N(INDEX(직원목록!$R$7:$R$306,$K$2702))=0,"",INDEX(직원목록!$R$7:$R$306,$K$2702)&amp;"시간"))</f>
        <v/>
      </c>
      <c r="F2710" s="4">
        <f>IF($K$2702="","",IF(설정!$B$30="","",설정!$B$30))</f>
        <v/>
      </c>
      <c r="G2710" s="31">
        <f>IF(OR($K$2702="",설정!$B$30=""),"",INDEX(직원목록!$AA$7:$AA$306,$K$2702))</f>
        <v/>
      </c>
      <c r="H2710" s="19" t="n"/>
    </row>
    <row r="2711">
      <c r="B2711" s="4">
        <f>IF($K$2702="","",IF(설정!$B$22="","",설정!$B$22))</f>
        <v/>
      </c>
      <c r="C2711" s="31">
        <f>IF(OR($K$2702="",설정!$B$22=""),"",INDEX(직원목록!$K$7:$K$306,$K$2702))</f>
        <v/>
      </c>
      <c r="D2711" s="32">
        <f>IF(OR($K$2702="",설정!$B$22=""),"",IF(N(INDEX(직원목록!$S$7:$S$306,$K$2702))=0,"",INDEX(직원목록!$S$7:$S$306,$K$2702)&amp;"시간"))</f>
        <v/>
      </c>
      <c r="F2711" s="4">
        <f>IF($K$2702="","",IF(설정!$B$31="","",설정!$B$31))</f>
        <v/>
      </c>
      <c r="G2711" s="31">
        <f>IF(OR($K$2702="",설정!$B$31=""),"",INDEX(직원목록!$AB$7:$AB$306,$K$2702))</f>
        <v/>
      </c>
      <c r="H2711" s="19" t="n"/>
    </row>
    <row r="2712">
      <c r="B2712" s="4">
        <f>IF($K$2702="","",IF(설정!$B$23="","",설정!$B$23))</f>
        <v/>
      </c>
      <c r="C2712" s="31">
        <f>IF(OR($K$2702="",설정!$B$23=""),"",INDEX(직원목록!$L$7:$L$306,$K$2702))</f>
        <v/>
      </c>
      <c r="D2712" s="32">
        <f>IF(OR($K$2702="",설정!$B$23=""),"",IF(N(INDEX(직원목록!$T$7:$T$306,$K$2702))=0,"",INDEX(직원목록!$T$7:$T$306,$K$2702)&amp;"시간"))</f>
        <v/>
      </c>
      <c r="F2712" s="4">
        <f>IF($K$2702="","",IF(설정!$B$32="","",설정!$B$32))</f>
        <v/>
      </c>
      <c r="G2712" s="31">
        <f>IF(OR($K$2702="",설정!$B$32=""),"",INDEX(직원목록!$AC$7:$AC$306,$K$2702))</f>
        <v/>
      </c>
      <c r="H2712" s="19" t="n"/>
    </row>
    <row r="2713">
      <c r="B2713" s="4">
        <f>IF($K$2702="","",IF(설정!$B$24="","",설정!$B$24))</f>
        <v/>
      </c>
      <c r="C2713" s="31">
        <f>IF(OR($K$2702="",설정!$B$24=""),"",INDEX(직원목록!$M$7:$M$306,$K$2702))</f>
        <v/>
      </c>
      <c r="D2713" s="32">
        <f>IF(OR($K$2702="",설정!$B$24=""),"",IF(N(INDEX(직원목록!$U$7:$U$306,$K$2702))=0,"",INDEX(직원목록!$U$7:$U$306,$K$2702)&amp;"시간"))</f>
        <v/>
      </c>
      <c r="F2713" s="4">
        <f>IF($K$2702="","",IF(설정!$B$33="","",설정!$B$33))</f>
        <v/>
      </c>
      <c r="G2713" s="31">
        <f>IF(OR($K$2702="",설정!$B$33=""),"",INDEX(직원목록!$AD$7:$AD$306,$K$2702))</f>
        <v/>
      </c>
      <c r="H2713" s="19" t="n"/>
    </row>
    <row r="2714">
      <c r="B2714" s="3" t="inlineStr">
        <is>
          <t>지급 합계</t>
        </is>
      </c>
      <c r="C2714" s="35">
        <f>IF($K$2702="","",INDEX(직원목록!$V$7:$V$306,$K$2702))</f>
        <v/>
      </c>
      <c r="D2714" s="36" t="n"/>
      <c r="F2714" s="3" t="inlineStr">
        <is>
          <t>공제 합계</t>
        </is>
      </c>
      <c r="G2714" s="35">
        <f>IF($K$2702="","",INDEX(직원목록!$AE$7:$AE$306,$K$2702))</f>
        <v/>
      </c>
      <c r="H2714" s="36" t="n"/>
    </row>
    <row r="2715" ht="28" customHeight="1">
      <c r="B2715" s="37" t="inlineStr">
        <is>
          <t>실 수령액 (지급 합계 − 공제 합계)</t>
        </is>
      </c>
      <c r="C2715" s="29" t="n"/>
      <c r="D2715" s="29" t="n"/>
      <c r="E2715" s="38">
        <f>IF($K$2702="","",INDEX(직원목록!$AF$7:$AF$306,$K$2702))</f>
        <v/>
      </c>
      <c r="F2715" s="29" t="n"/>
      <c r="G2715" s="29" t="n"/>
      <c r="H2715" s="29" t="n"/>
    </row>
    <row r="2716">
      <c r="B2716" s="39">
        <f>IF($K$2702="","",설정!$B$7)</f>
        <v/>
      </c>
    </row>
    <row r="2732" ht="30" customHeight="1">
      <c r="B2732" s="28">
        <f>IF($K$2732="","","임금명세서  ("&amp;설정!$B$5&amp;")")</f>
        <v/>
      </c>
      <c r="K2732" s="34">
        <f>IFERROR(MATCH(92,직원목록!$B$7:$B$306,0),"")</f>
        <v/>
      </c>
    </row>
    <row r="2733">
      <c r="B2733" s="7" t="inlineStr">
        <is>
          <t>회사명</t>
        </is>
      </c>
      <c r="C2733" s="21">
        <f>IF($K$2732="","",설정!$B$4)</f>
        <v/>
      </c>
      <c r="D2733" s="29" t="n"/>
      <c r="E2733" s="19" t="n"/>
      <c r="F2733" s="7" t="inlineStr">
        <is>
          <t>임금 지급일</t>
        </is>
      </c>
      <c r="G2733" s="21">
        <f>IF($K$2732="","",TEXT(설정!$B$6,"yyyy-mm-dd"))</f>
        <v/>
      </c>
      <c r="H2733" s="29" t="n"/>
    </row>
    <row r="2734">
      <c r="B2734" s="7" t="inlineStr">
        <is>
          <t>성명</t>
        </is>
      </c>
      <c r="C2734" s="22">
        <f>IF($K$2732="","",INDEX(직원목록!$D$7:$D$306,$K$2732))</f>
        <v/>
      </c>
      <c r="D2734" s="7" t="inlineStr">
        <is>
          <t>사번</t>
        </is>
      </c>
      <c r="E2734" s="21">
        <f>IF($K$2732="","",INDEX(직원목록!$C$7:$C$306,$K$2732))</f>
        <v/>
      </c>
      <c r="F2734" s="7" t="inlineStr">
        <is>
          <t>부서</t>
        </is>
      </c>
      <c r="G2734" s="21">
        <f>IF($K$2732="","",INDEX(직원목록!$E$7:$E$306,$K$2732))</f>
        <v/>
      </c>
      <c r="H2734" s="29" t="n"/>
    </row>
    <row r="2735">
      <c r="B2735" s="12" t="inlineStr">
        <is>
          <t>지급 항목</t>
        </is>
      </c>
      <c r="C2735" s="12" t="inlineStr">
        <is>
          <t>금액(원)</t>
        </is>
      </c>
      <c r="D2735" s="12" t="inlineStr">
        <is>
          <t>계산 근거</t>
        </is>
      </c>
      <c r="E2735" s="2" t="n"/>
      <c r="F2735" s="12" t="inlineStr">
        <is>
          <t>공제 항목</t>
        </is>
      </c>
      <c r="G2735" s="12" t="inlineStr">
        <is>
          <t>금액(원)</t>
        </is>
      </c>
      <c r="H2735" s="12" t="n"/>
    </row>
    <row r="2736">
      <c r="B2736" s="4">
        <f>IF($K$2732="","",IF(설정!$B$17="","",설정!$B$17))</f>
        <v/>
      </c>
      <c r="C2736" s="31">
        <f>IF(OR($K$2732="",설정!$B$17=""),"",INDEX(직원목록!$F$7:$F$306,$K$2732))</f>
        <v/>
      </c>
      <c r="D2736" s="32">
        <f>IF(OR($K$2732="",설정!$B$17=""),"",IF(N(INDEX(직원목록!$N$7:$N$306,$K$2732))=0,"",INDEX(직원목록!$N$7:$N$306,$K$2732)&amp;"시간"))</f>
        <v/>
      </c>
      <c r="F2736" s="4">
        <f>IF($K$2732="","",IF(설정!$B$26="","",설정!$B$26))</f>
        <v/>
      </c>
      <c r="G2736" s="31">
        <f>IF(OR($K$2732="",설정!$B$26=""),"",INDEX(직원목록!$W$7:$W$306,$K$2732))</f>
        <v/>
      </c>
      <c r="H2736" s="19" t="n"/>
    </row>
    <row r="2737">
      <c r="B2737" s="4">
        <f>IF($K$2732="","",IF(설정!$B$18="","",설정!$B$18))</f>
        <v/>
      </c>
      <c r="C2737" s="31">
        <f>IF(OR($K$2732="",설정!$B$18=""),"",INDEX(직원목록!$G$7:$G$306,$K$2732))</f>
        <v/>
      </c>
      <c r="D2737" s="32">
        <f>IF(OR($K$2732="",설정!$B$18=""),"",IF(N(INDEX(직원목록!$O$7:$O$306,$K$2732))=0,"",INDEX(직원목록!$O$7:$O$306,$K$2732)&amp;"시간"))</f>
        <v/>
      </c>
      <c r="F2737" s="4">
        <f>IF($K$2732="","",IF(설정!$B$27="","",설정!$B$27))</f>
        <v/>
      </c>
      <c r="G2737" s="31">
        <f>IF(OR($K$2732="",설정!$B$27=""),"",INDEX(직원목록!$X$7:$X$306,$K$2732))</f>
        <v/>
      </c>
      <c r="H2737" s="19" t="n"/>
    </row>
    <row r="2738">
      <c r="B2738" s="4">
        <f>IF($K$2732="","",IF(설정!$B$19="","",설정!$B$19))</f>
        <v/>
      </c>
      <c r="C2738" s="31">
        <f>IF(OR($K$2732="",설정!$B$19=""),"",INDEX(직원목록!$H$7:$H$306,$K$2732))</f>
        <v/>
      </c>
      <c r="D2738" s="32">
        <f>IF(OR($K$2732="",설정!$B$19=""),"",IF(N(INDEX(직원목록!$P$7:$P$306,$K$2732))=0,"",INDEX(직원목록!$P$7:$P$306,$K$2732)&amp;"시간"))</f>
        <v/>
      </c>
      <c r="F2738" s="4">
        <f>IF($K$2732="","",IF(설정!$B$28="","",설정!$B$28))</f>
        <v/>
      </c>
      <c r="G2738" s="31">
        <f>IF(OR($K$2732="",설정!$B$28=""),"",INDEX(직원목록!$Y$7:$Y$306,$K$2732))</f>
        <v/>
      </c>
      <c r="H2738" s="19" t="n"/>
    </row>
    <row r="2739">
      <c r="B2739" s="4">
        <f>IF($K$2732="","",IF(설정!$B$20="","",설정!$B$20))</f>
        <v/>
      </c>
      <c r="C2739" s="31">
        <f>IF(OR($K$2732="",설정!$B$20=""),"",INDEX(직원목록!$I$7:$I$306,$K$2732))</f>
        <v/>
      </c>
      <c r="D2739" s="32">
        <f>IF(OR($K$2732="",설정!$B$20=""),"",IF(N(INDEX(직원목록!$Q$7:$Q$306,$K$2732))=0,"",INDEX(직원목록!$Q$7:$Q$306,$K$2732)&amp;"시간"))</f>
        <v/>
      </c>
      <c r="F2739" s="4">
        <f>IF($K$2732="","",IF(설정!$B$29="","",설정!$B$29))</f>
        <v/>
      </c>
      <c r="G2739" s="31">
        <f>IF(OR($K$2732="",설정!$B$29=""),"",INDEX(직원목록!$Z$7:$Z$306,$K$2732))</f>
        <v/>
      </c>
      <c r="H2739" s="19" t="n"/>
    </row>
    <row r="2740">
      <c r="B2740" s="4">
        <f>IF($K$2732="","",IF(설정!$B$21="","",설정!$B$21))</f>
        <v/>
      </c>
      <c r="C2740" s="31">
        <f>IF(OR($K$2732="",설정!$B$21=""),"",INDEX(직원목록!$J$7:$J$306,$K$2732))</f>
        <v/>
      </c>
      <c r="D2740" s="32">
        <f>IF(OR($K$2732="",설정!$B$21=""),"",IF(N(INDEX(직원목록!$R$7:$R$306,$K$2732))=0,"",INDEX(직원목록!$R$7:$R$306,$K$2732)&amp;"시간"))</f>
        <v/>
      </c>
      <c r="F2740" s="4">
        <f>IF($K$2732="","",IF(설정!$B$30="","",설정!$B$30))</f>
        <v/>
      </c>
      <c r="G2740" s="31">
        <f>IF(OR($K$2732="",설정!$B$30=""),"",INDEX(직원목록!$AA$7:$AA$306,$K$2732))</f>
        <v/>
      </c>
      <c r="H2740" s="19" t="n"/>
    </row>
    <row r="2741">
      <c r="B2741" s="4">
        <f>IF($K$2732="","",IF(설정!$B$22="","",설정!$B$22))</f>
        <v/>
      </c>
      <c r="C2741" s="31">
        <f>IF(OR($K$2732="",설정!$B$22=""),"",INDEX(직원목록!$K$7:$K$306,$K$2732))</f>
        <v/>
      </c>
      <c r="D2741" s="32">
        <f>IF(OR($K$2732="",설정!$B$22=""),"",IF(N(INDEX(직원목록!$S$7:$S$306,$K$2732))=0,"",INDEX(직원목록!$S$7:$S$306,$K$2732)&amp;"시간"))</f>
        <v/>
      </c>
      <c r="F2741" s="4">
        <f>IF($K$2732="","",IF(설정!$B$31="","",설정!$B$31))</f>
        <v/>
      </c>
      <c r="G2741" s="31">
        <f>IF(OR($K$2732="",설정!$B$31=""),"",INDEX(직원목록!$AB$7:$AB$306,$K$2732))</f>
        <v/>
      </c>
      <c r="H2741" s="19" t="n"/>
    </row>
    <row r="2742">
      <c r="B2742" s="4">
        <f>IF($K$2732="","",IF(설정!$B$23="","",설정!$B$23))</f>
        <v/>
      </c>
      <c r="C2742" s="31">
        <f>IF(OR($K$2732="",설정!$B$23=""),"",INDEX(직원목록!$L$7:$L$306,$K$2732))</f>
        <v/>
      </c>
      <c r="D2742" s="32">
        <f>IF(OR($K$2732="",설정!$B$23=""),"",IF(N(INDEX(직원목록!$T$7:$T$306,$K$2732))=0,"",INDEX(직원목록!$T$7:$T$306,$K$2732)&amp;"시간"))</f>
        <v/>
      </c>
      <c r="F2742" s="4">
        <f>IF($K$2732="","",IF(설정!$B$32="","",설정!$B$32))</f>
        <v/>
      </c>
      <c r="G2742" s="31">
        <f>IF(OR($K$2732="",설정!$B$32=""),"",INDEX(직원목록!$AC$7:$AC$306,$K$2732))</f>
        <v/>
      </c>
      <c r="H2742" s="19" t="n"/>
    </row>
    <row r="2743">
      <c r="B2743" s="4">
        <f>IF($K$2732="","",IF(설정!$B$24="","",설정!$B$24))</f>
        <v/>
      </c>
      <c r="C2743" s="31">
        <f>IF(OR($K$2732="",설정!$B$24=""),"",INDEX(직원목록!$M$7:$M$306,$K$2732))</f>
        <v/>
      </c>
      <c r="D2743" s="32">
        <f>IF(OR($K$2732="",설정!$B$24=""),"",IF(N(INDEX(직원목록!$U$7:$U$306,$K$2732))=0,"",INDEX(직원목록!$U$7:$U$306,$K$2732)&amp;"시간"))</f>
        <v/>
      </c>
      <c r="F2743" s="4">
        <f>IF($K$2732="","",IF(설정!$B$33="","",설정!$B$33))</f>
        <v/>
      </c>
      <c r="G2743" s="31">
        <f>IF(OR($K$2732="",설정!$B$33=""),"",INDEX(직원목록!$AD$7:$AD$306,$K$2732))</f>
        <v/>
      </c>
      <c r="H2743" s="19" t="n"/>
    </row>
    <row r="2744">
      <c r="B2744" s="3" t="inlineStr">
        <is>
          <t>지급 합계</t>
        </is>
      </c>
      <c r="C2744" s="35">
        <f>IF($K$2732="","",INDEX(직원목록!$V$7:$V$306,$K$2732))</f>
        <v/>
      </c>
      <c r="D2744" s="36" t="n"/>
      <c r="F2744" s="3" t="inlineStr">
        <is>
          <t>공제 합계</t>
        </is>
      </c>
      <c r="G2744" s="35">
        <f>IF($K$2732="","",INDEX(직원목록!$AE$7:$AE$306,$K$2732))</f>
        <v/>
      </c>
      <c r="H2744" s="36" t="n"/>
    </row>
    <row r="2745" ht="28" customHeight="1">
      <c r="B2745" s="37" t="inlineStr">
        <is>
          <t>실 수령액 (지급 합계 − 공제 합계)</t>
        </is>
      </c>
      <c r="C2745" s="29" t="n"/>
      <c r="D2745" s="29" t="n"/>
      <c r="E2745" s="38">
        <f>IF($K$2732="","",INDEX(직원목록!$AF$7:$AF$306,$K$2732))</f>
        <v/>
      </c>
      <c r="F2745" s="29" t="n"/>
      <c r="G2745" s="29" t="n"/>
      <c r="H2745" s="29" t="n"/>
    </row>
    <row r="2746">
      <c r="B2746" s="39">
        <f>IF($K$2732="","",설정!$B$7)</f>
        <v/>
      </c>
    </row>
    <row r="2762" ht="30" customHeight="1">
      <c r="B2762" s="28">
        <f>IF($K$2762="","","임금명세서  ("&amp;설정!$B$5&amp;")")</f>
        <v/>
      </c>
      <c r="K2762" s="34">
        <f>IFERROR(MATCH(93,직원목록!$B$7:$B$306,0),"")</f>
        <v/>
      </c>
    </row>
    <row r="2763">
      <c r="B2763" s="7" t="inlineStr">
        <is>
          <t>회사명</t>
        </is>
      </c>
      <c r="C2763" s="21">
        <f>IF($K$2762="","",설정!$B$4)</f>
        <v/>
      </c>
      <c r="D2763" s="29" t="n"/>
      <c r="E2763" s="19" t="n"/>
      <c r="F2763" s="7" t="inlineStr">
        <is>
          <t>임금 지급일</t>
        </is>
      </c>
      <c r="G2763" s="21">
        <f>IF($K$2762="","",TEXT(설정!$B$6,"yyyy-mm-dd"))</f>
        <v/>
      </c>
      <c r="H2763" s="29" t="n"/>
    </row>
    <row r="2764">
      <c r="B2764" s="7" t="inlineStr">
        <is>
          <t>성명</t>
        </is>
      </c>
      <c r="C2764" s="22">
        <f>IF($K$2762="","",INDEX(직원목록!$D$7:$D$306,$K$2762))</f>
        <v/>
      </c>
      <c r="D2764" s="7" t="inlineStr">
        <is>
          <t>사번</t>
        </is>
      </c>
      <c r="E2764" s="21">
        <f>IF($K$2762="","",INDEX(직원목록!$C$7:$C$306,$K$2762))</f>
        <v/>
      </c>
      <c r="F2764" s="7" t="inlineStr">
        <is>
          <t>부서</t>
        </is>
      </c>
      <c r="G2764" s="21">
        <f>IF($K$2762="","",INDEX(직원목록!$E$7:$E$306,$K$2762))</f>
        <v/>
      </c>
      <c r="H2764" s="29" t="n"/>
    </row>
    <row r="2765">
      <c r="B2765" s="12" t="inlineStr">
        <is>
          <t>지급 항목</t>
        </is>
      </c>
      <c r="C2765" s="12" t="inlineStr">
        <is>
          <t>금액(원)</t>
        </is>
      </c>
      <c r="D2765" s="12" t="inlineStr">
        <is>
          <t>계산 근거</t>
        </is>
      </c>
      <c r="E2765" s="2" t="n"/>
      <c r="F2765" s="12" t="inlineStr">
        <is>
          <t>공제 항목</t>
        </is>
      </c>
      <c r="G2765" s="12" t="inlineStr">
        <is>
          <t>금액(원)</t>
        </is>
      </c>
      <c r="H2765" s="12" t="n"/>
    </row>
    <row r="2766">
      <c r="B2766" s="4">
        <f>IF($K$2762="","",IF(설정!$B$17="","",설정!$B$17))</f>
        <v/>
      </c>
      <c r="C2766" s="31">
        <f>IF(OR($K$2762="",설정!$B$17=""),"",INDEX(직원목록!$F$7:$F$306,$K$2762))</f>
        <v/>
      </c>
      <c r="D2766" s="32">
        <f>IF(OR($K$2762="",설정!$B$17=""),"",IF(N(INDEX(직원목록!$N$7:$N$306,$K$2762))=0,"",INDEX(직원목록!$N$7:$N$306,$K$2762)&amp;"시간"))</f>
        <v/>
      </c>
      <c r="F2766" s="4">
        <f>IF($K$2762="","",IF(설정!$B$26="","",설정!$B$26))</f>
        <v/>
      </c>
      <c r="G2766" s="31">
        <f>IF(OR($K$2762="",설정!$B$26=""),"",INDEX(직원목록!$W$7:$W$306,$K$2762))</f>
        <v/>
      </c>
      <c r="H2766" s="19" t="n"/>
    </row>
    <row r="2767">
      <c r="B2767" s="4">
        <f>IF($K$2762="","",IF(설정!$B$18="","",설정!$B$18))</f>
        <v/>
      </c>
      <c r="C2767" s="31">
        <f>IF(OR($K$2762="",설정!$B$18=""),"",INDEX(직원목록!$G$7:$G$306,$K$2762))</f>
        <v/>
      </c>
      <c r="D2767" s="32">
        <f>IF(OR($K$2762="",설정!$B$18=""),"",IF(N(INDEX(직원목록!$O$7:$O$306,$K$2762))=0,"",INDEX(직원목록!$O$7:$O$306,$K$2762)&amp;"시간"))</f>
        <v/>
      </c>
      <c r="F2767" s="4">
        <f>IF($K$2762="","",IF(설정!$B$27="","",설정!$B$27))</f>
        <v/>
      </c>
      <c r="G2767" s="31">
        <f>IF(OR($K$2762="",설정!$B$27=""),"",INDEX(직원목록!$X$7:$X$306,$K$2762))</f>
        <v/>
      </c>
      <c r="H2767" s="19" t="n"/>
    </row>
    <row r="2768">
      <c r="B2768" s="4">
        <f>IF($K$2762="","",IF(설정!$B$19="","",설정!$B$19))</f>
        <v/>
      </c>
      <c r="C2768" s="31">
        <f>IF(OR($K$2762="",설정!$B$19=""),"",INDEX(직원목록!$H$7:$H$306,$K$2762))</f>
        <v/>
      </c>
      <c r="D2768" s="32">
        <f>IF(OR($K$2762="",설정!$B$19=""),"",IF(N(INDEX(직원목록!$P$7:$P$306,$K$2762))=0,"",INDEX(직원목록!$P$7:$P$306,$K$2762)&amp;"시간"))</f>
        <v/>
      </c>
      <c r="F2768" s="4">
        <f>IF($K$2762="","",IF(설정!$B$28="","",설정!$B$28))</f>
        <v/>
      </c>
      <c r="G2768" s="31">
        <f>IF(OR($K$2762="",설정!$B$28=""),"",INDEX(직원목록!$Y$7:$Y$306,$K$2762))</f>
        <v/>
      </c>
      <c r="H2768" s="19" t="n"/>
    </row>
    <row r="2769">
      <c r="B2769" s="4">
        <f>IF($K$2762="","",IF(설정!$B$20="","",설정!$B$20))</f>
        <v/>
      </c>
      <c r="C2769" s="31">
        <f>IF(OR($K$2762="",설정!$B$20=""),"",INDEX(직원목록!$I$7:$I$306,$K$2762))</f>
        <v/>
      </c>
      <c r="D2769" s="32">
        <f>IF(OR($K$2762="",설정!$B$20=""),"",IF(N(INDEX(직원목록!$Q$7:$Q$306,$K$2762))=0,"",INDEX(직원목록!$Q$7:$Q$306,$K$2762)&amp;"시간"))</f>
        <v/>
      </c>
      <c r="F2769" s="4">
        <f>IF($K$2762="","",IF(설정!$B$29="","",설정!$B$29))</f>
        <v/>
      </c>
      <c r="G2769" s="31">
        <f>IF(OR($K$2762="",설정!$B$29=""),"",INDEX(직원목록!$Z$7:$Z$306,$K$2762))</f>
        <v/>
      </c>
      <c r="H2769" s="19" t="n"/>
    </row>
    <row r="2770">
      <c r="B2770" s="4">
        <f>IF($K$2762="","",IF(설정!$B$21="","",설정!$B$21))</f>
        <v/>
      </c>
      <c r="C2770" s="31">
        <f>IF(OR($K$2762="",설정!$B$21=""),"",INDEX(직원목록!$J$7:$J$306,$K$2762))</f>
        <v/>
      </c>
      <c r="D2770" s="32">
        <f>IF(OR($K$2762="",설정!$B$21=""),"",IF(N(INDEX(직원목록!$R$7:$R$306,$K$2762))=0,"",INDEX(직원목록!$R$7:$R$306,$K$2762)&amp;"시간"))</f>
        <v/>
      </c>
      <c r="F2770" s="4">
        <f>IF($K$2762="","",IF(설정!$B$30="","",설정!$B$30))</f>
        <v/>
      </c>
      <c r="G2770" s="31">
        <f>IF(OR($K$2762="",설정!$B$30=""),"",INDEX(직원목록!$AA$7:$AA$306,$K$2762))</f>
        <v/>
      </c>
      <c r="H2770" s="19" t="n"/>
    </row>
    <row r="2771">
      <c r="B2771" s="4">
        <f>IF($K$2762="","",IF(설정!$B$22="","",설정!$B$22))</f>
        <v/>
      </c>
      <c r="C2771" s="31">
        <f>IF(OR($K$2762="",설정!$B$22=""),"",INDEX(직원목록!$K$7:$K$306,$K$2762))</f>
        <v/>
      </c>
      <c r="D2771" s="32">
        <f>IF(OR($K$2762="",설정!$B$22=""),"",IF(N(INDEX(직원목록!$S$7:$S$306,$K$2762))=0,"",INDEX(직원목록!$S$7:$S$306,$K$2762)&amp;"시간"))</f>
        <v/>
      </c>
      <c r="F2771" s="4">
        <f>IF($K$2762="","",IF(설정!$B$31="","",설정!$B$31))</f>
        <v/>
      </c>
      <c r="G2771" s="31">
        <f>IF(OR($K$2762="",설정!$B$31=""),"",INDEX(직원목록!$AB$7:$AB$306,$K$2762))</f>
        <v/>
      </c>
      <c r="H2771" s="19" t="n"/>
    </row>
    <row r="2772">
      <c r="B2772" s="4">
        <f>IF($K$2762="","",IF(설정!$B$23="","",설정!$B$23))</f>
        <v/>
      </c>
      <c r="C2772" s="31">
        <f>IF(OR($K$2762="",설정!$B$23=""),"",INDEX(직원목록!$L$7:$L$306,$K$2762))</f>
        <v/>
      </c>
      <c r="D2772" s="32">
        <f>IF(OR($K$2762="",설정!$B$23=""),"",IF(N(INDEX(직원목록!$T$7:$T$306,$K$2762))=0,"",INDEX(직원목록!$T$7:$T$306,$K$2762)&amp;"시간"))</f>
        <v/>
      </c>
      <c r="F2772" s="4">
        <f>IF($K$2762="","",IF(설정!$B$32="","",설정!$B$32))</f>
        <v/>
      </c>
      <c r="G2772" s="31">
        <f>IF(OR($K$2762="",설정!$B$32=""),"",INDEX(직원목록!$AC$7:$AC$306,$K$2762))</f>
        <v/>
      </c>
      <c r="H2772" s="19" t="n"/>
    </row>
    <row r="2773">
      <c r="B2773" s="4">
        <f>IF($K$2762="","",IF(설정!$B$24="","",설정!$B$24))</f>
        <v/>
      </c>
      <c r="C2773" s="31">
        <f>IF(OR($K$2762="",설정!$B$24=""),"",INDEX(직원목록!$M$7:$M$306,$K$2762))</f>
        <v/>
      </c>
      <c r="D2773" s="32">
        <f>IF(OR($K$2762="",설정!$B$24=""),"",IF(N(INDEX(직원목록!$U$7:$U$306,$K$2762))=0,"",INDEX(직원목록!$U$7:$U$306,$K$2762)&amp;"시간"))</f>
        <v/>
      </c>
      <c r="F2773" s="4">
        <f>IF($K$2762="","",IF(설정!$B$33="","",설정!$B$33))</f>
        <v/>
      </c>
      <c r="G2773" s="31">
        <f>IF(OR($K$2762="",설정!$B$33=""),"",INDEX(직원목록!$AD$7:$AD$306,$K$2762))</f>
        <v/>
      </c>
      <c r="H2773" s="19" t="n"/>
    </row>
    <row r="2774">
      <c r="B2774" s="3" t="inlineStr">
        <is>
          <t>지급 합계</t>
        </is>
      </c>
      <c r="C2774" s="35">
        <f>IF($K$2762="","",INDEX(직원목록!$V$7:$V$306,$K$2762))</f>
        <v/>
      </c>
      <c r="D2774" s="36" t="n"/>
      <c r="F2774" s="3" t="inlineStr">
        <is>
          <t>공제 합계</t>
        </is>
      </c>
      <c r="G2774" s="35">
        <f>IF($K$2762="","",INDEX(직원목록!$AE$7:$AE$306,$K$2762))</f>
        <v/>
      </c>
      <c r="H2774" s="36" t="n"/>
    </row>
    <row r="2775" ht="28" customHeight="1">
      <c r="B2775" s="37" t="inlineStr">
        <is>
          <t>실 수령액 (지급 합계 − 공제 합계)</t>
        </is>
      </c>
      <c r="C2775" s="29" t="n"/>
      <c r="D2775" s="29" t="n"/>
      <c r="E2775" s="38">
        <f>IF($K$2762="","",INDEX(직원목록!$AF$7:$AF$306,$K$2762))</f>
        <v/>
      </c>
      <c r="F2775" s="29" t="n"/>
      <c r="G2775" s="29" t="n"/>
      <c r="H2775" s="29" t="n"/>
    </row>
    <row r="2776">
      <c r="B2776" s="39">
        <f>IF($K$2762="","",설정!$B$7)</f>
        <v/>
      </c>
    </row>
    <row r="2792" ht="30" customHeight="1">
      <c r="B2792" s="28">
        <f>IF($K$2792="","","임금명세서  ("&amp;설정!$B$5&amp;")")</f>
        <v/>
      </c>
      <c r="K2792" s="34">
        <f>IFERROR(MATCH(94,직원목록!$B$7:$B$306,0),"")</f>
        <v/>
      </c>
    </row>
    <row r="2793">
      <c r="B2793" s="7" t="inlineStr">
        <is>
          <t>회사명</t>
        </is>
      </c>
      <c r="C2793" s="21">
        <f>IF($K$2792="","",설정!$B$4)</f>
        <v/>
      </c>
      <c r="D2793" s="29" t="n"/>
      <c r="E2793" s="19" t="n"/>
      <c r="F2793" s="7" t="inlineStr">
        <is>
          <t>임금 지급일</t>
        </is>
      </c>
      <c r="G2793" s="21">
        <f>IF($K$2792="","",TEXT(설정!$B$6,"yyyy-mm-dd"))</f>
        <v/>
      </c>
      <c r="H2793" s="29" t="n"/>
    </row>
    <row r="2794">
      <c r="B2794" s="7" t="inlineStr">
        <is>
          <t>성명</t>
        </is>
      </c>
      <c r="C2794" s="22">
        <f>IF($K$2792="","",INDEX(직원목록!$D$7:$D$306,$K$2792))</f>
        <v/>
      </c>
      <c r="D2794" s="7" t="inlineStr">
        <is>
          <t>사번</t>
        </is>
      </c>
      <c r="E2794" s="21">
        <f>IF($K$2792="","",INDEX(직원목록!$C$7:$C$306,$K$2792))</f>
        <v/>
      </c>
      <c r="F2794" s="7" t="inlineStr">
        <is>
          <t>부서</t>
        </is>
      </c>
      <c r="G2794" s="21">
        <f>IF($K$2792="","",INDEX(직원목록!$E$7:$E$306,$K$2792))</f>
        <v/>
      </c>
      <c r="H2794" s="29" t="n"/>
    </row>
    <row r="2795">
      <c r="B2795" s="12" t="inlineStr">
        <is>
          <t>지급 항목</t>
        </is>
      </c>
      <c r="C2795" s="12" t="inlineStr">
        <is>
          <t>금액(원)</t>
        </is>
      </c>
      <c r="D2795" s="12" t="inlineStr">
        <is>
          <t>계산 근거</t>
        </is>
      </c>
      <c r="E2795" s="2" t="n"/>
      <c r="F2795" s="12" t="inlineStr">
        <is>
          <t>공제 항목</t>
        </is>
      </c>
      <c r="G2795" s="12" t="inlineStr">
        <is>
          <t>금액(원)</t>
        </is>
      </c>
      <c r="H2795" s="12" t="n"/>
    </row>
    <row r="2796">
      <c r="B2796" s="4">
        <f>IF($K$2792="","",IF(설정!$B$17="","",설정!$B$17))</f>
        <v/>
      </c>
      <c r="C2796" s="31">
        <f>IF(OR($K$2792="",설정!$B$17=""),"",INDEX(직원목록!$F$7:$F$306,$K$2792))</f>
        <v/>
      </c>
      <c r="D2796" s="32">
        <f>IF(OR($K$2792="",설정!$B$17=""),"",IF(N(INDEX(직원목록!$N$7:$N$306,$K$2792))=0,"",INDEX(직원목록!$N$7:$N$306,$K$2792)&amp;"시간"))</f>
        <v/>
      </c>
      <c r="F2796" s="4">
        <f>IF($K$2792="","",IF(설정!$B$26="","",설정!$B$26))</f>
        <v/>
      </c>
      <c r="G2796" s="31">
        <f>IF(OR($K$2792="",설정!$B$26=""),"",INDEX(직원목록!$W$7:$W$306,$K$2792))</f>
        <v/>
      </c>
      <c r="H2796" s="19" t="n"/>
    </row>
    <row r="2797">
      <c r="B2797" s="4">
        <f>IF($K$2792="","",IF(설정!$B$18="","",설정!$B$18))</f>
        <v/>
      </c>
      <c r="C2797" s="31">
        <f>IF(OR($K$2792="",설정!$B$18=""),"",INDEX(직원목록!$G$7:$G$306,$K$2792))</f>
        <v/>
      </c>
      <c r="D2797" s="32">
        <f>IF(OR($K$2792="",설정!$B$18=""),"",IF(N(INDEX(직원목록!$O$7:$O$306,$K$2792))=0,"",INDEX(직원목록!$O$7:$O$306,$K$2792)&amp;"시간"))</f>
        <v/>
      </c>
      <c r="F2797" s="4">
        <f>IF($K$2792="","",IF(설정!$B$27="","",설정!$B$27))</f>
        <v/>
      </c>
      <c r="G2797" s="31">
        <f>IF(OR($K$2792="",설정!$B$27=""),"",INDEX(직원목록!$X$7:$X$306,$K$2792))</f>
        <v/>
      </c>
      <c r="H2797" s="19" t="n"/>
    </row>
    <row r="2798">
      <c r="B2798" s="4">
        <f>IF($K$2792="","",IF(설정!$B$19="","",설정!$B$19))</f>
        <v/>
      </c>
      <c r="C2798" s="31">
        <f>IF(OR($K$2792="",설정!$B$19=""),"",INDEX(직원목록!$H$7:$H$306,$K$2792))</f>
        <v/>
      </c>
      <c r="D2798" s="32">
        <f>IF(OR($K$2792="",설정!$B$19=""),"",IF(N(INDEX(직원목록!$P$7:$P$306,$K$2792))=0,"",INDEX(직원목록!$P$7:$P$306,$K$2792)&amp;"시간"))</f>
        <v/>
      </c>
      <c r="F2798" s="4">
        <f>IF($K$2792="","",IF(설정!$B$28="","",설정!$B$28))</f>
        <v/>
      </c>
      <c r="G2798" s="31">
        <f>IF(OR($K$2792="",설정!$B$28=""),"",INDEX(직원목록!$Y$7:$Y$306,$K$2792))</f>
        <v/>
      </c>
      <c r="H2798" s="19" t="n"/>
    </row>
    <row r="2799">
      <c r="B2799" s="4">
        <f>IF($K$2792="","",IF(설정!$B$20="","",설정!$B$20))</f>
        <v/>
      </c>
      <c r="C2799" s="31">
        <f>IF(OR($K$2792="",설정!$B$20=""),"",INDEX(직원목록!$I$7:$I$306,$K$2792))</f>
        <v/>
      </c>
      <c r="D2799" s="32">
        <f>IF(OR($K$2792="",설정!$B$20=""),"",IF(N(INDEX(직원목록!$Q$7:$Q$306,$K$2792))=0,"",INDEX(직원목록!$Q$7:$Q$306,$K$2792)&amp;"시간"))</f>
        <v/>
      </c>
      <c r="F2799" s="4">
        <f>IF($K$2792="","",IF(설정!$B$29="","",설정!$B$29))</f>
        <v/>
      </c>
      <c r="G2799" s="31">
        <f>IF(OR($K$2792="",설정!$B$29=""),"",INDEX(직원목록!$Z$7:$Z$306,$K$2792))</f>
        <v/>
      </c>
      <c r="H2799" s="19" t="n"/>
    </row>
    <row r="2800">
      <c r="B2800" s="4">
        <f>IF($K$2792="","",IF(설정!$B$21="","",설정!$B$21))</f>
        <v/>
      </c>
      <c r="C2800" s="31">
        <f>IF(OR($K$2792="",설정!$B$21=""),"",INDEX(직원목록!$J$7:$J$306,$K$2792))</f>
        <v/>
      </c>
      <c r="D2800" s="32">
        <f>IF(OR($K$2792="",설정!$B$21=""),"",IF(N(INDEX(직원목록!$R$7:$R$306,$K$2792))=0,"",INDEX(직원목록!$R$7:$R$306,$K$2792)&amp;"시간"))</f>
        <v/>
      </c>
      <c r="F2800" s="4">
        <f>IF($K$2792="","",IF(설정!$B$30="","",설정!$B$30))</f>
        <v/>
      </c>
      <c r="G2800" s="31">
        <f>IF(OR($K$2792="",설정!$B$30=""),"",INDEX(직원목록!$AA$7:$AA$306,$K$2792))</f>
        <v/>
      </c>
      <c r="H2800" s="19" t="n"/>
    </row>
    <row r="2801">
      <c r="B2801" s="4">
        <f>IF($K$2792="","",IF(설정!$B$22="","",설정!$B$22))</f>
        <v/>
      </c>
      <c r="C2801" s="31">
        <f>IF(OR($K$2792="",설정!$B$22=""),"",INDEX(직원목록!$K$7:$K$306,$K$2792))</f>
        <v/>
      </c>
      <c r="D2801" s="32">
        <f>IF(OR($K$2792="",설정!$B$22=""),"",IF(N(INDEX(직원목록!$S$7:$S$306,$K$2792))=0,"",INDEX(직원목록!$S$7:$S$306,$K$2792)&amp;"시간"))</f>
        <v/>
      </c>
      <c r="F2801" s="4">
        <f>IF($K$2792="","",IF(설정!$B$31="","",설정!$B$31))</f>
        <v/>
      </c>
      <c r="G2801" s="31">
        <f>IF(OR($K$2792="",설정!$B$31=""),"",INDEX(직원목록!$AB$7:$AB$306,$K$2792))</f>
        <v/>
      </c>
      <c r="H2801" s="19" t="n"/>
    </row>
    <row r="2802">
      <c r="B2802" s="4">
        <f>IF($K$2792="","",IF(설정!$B$23="","",설정!$B$23))</f>
        <v/>
      </c>
      <c r="C2802" s="31">
        <f>IF(OR($K$2792="",설정!$B$23=""),"",INDEX(직원목록!$L$7:$L$306,$K$2792))</f>
        <v/>
      </c>
      <c r="D2802" s="32">
        <f>IF(OR($K$2792="",설정!$B$23=""),"",IF(N(INDEX(직원목록!$T$7:$T$306,$K$2792))=0,"",INDEX(직원목록!$T$7:$T$306,$K$2792)&amp;"시간"))</f>
        <v/>
      </c>
      <c r="F2802" s="4">
        <f>IF($K$2792="","",IF(설정!$B$32="","",설정!$B$32))</f>
        <v/>
      </c>
      <c r="G2802" s="31">
        <f>IF(OR($K$2792="",설정!$B$32=""),"",INDEX(직원목록!$AC$7:$AC$306,$K$2792))</f>
        <v/>
      </c>
      <c r="H2802" s="19" t="n"/>
    </row>
    <row r="2803">
      <c r="B2803" s="4">
        <f>IF($K$2792="","",IF(설정!$B$24="","",설정!$B$24))</f>
        <v/>
      </c>
      <c r="C2803" s="31">
        <f>IF(OR($K$2792="",설정!$B$24=""),"",INDEX(직원목록!$M$7:$M$306,$K$2792))</f>
        <v/>
      </c>
      <c r="D2803" s="32">
        <f>IF(OR($K$2792="",설정!$B$24=""),"",IF(N(INDEX(직원목록!$U$7:$U$306,$K$2792))=0,"",INDEX(직원목록!$U$7:$U$306,$K$2792)&amp;"시간"))</f>
        <v/>
      </c>
      <c r="F2803" s="4">
        <f>IF($K$2792="","",IF(설정!$B$33="","",설정!$B$33))</f>
        <v/>
      </c>
      <c r="G2803" s="31">
        <f>IF(OR($K$2792="",설정!$B$33=""),"",INDEX(직원목록!$AD$7:$AD$306,$K$2792))</f>
        <v/>
      </c>
      <c r="H2803" s="19" t="n"/>
    </row>
    <row r="2804">
      <c r="B2804" s="3" t="inlineStr">
        <is>
          <t>지급 합계</t>
        </is>
      </c>
      <c r="C2804" s="35">
        <f>IF($K$2792="","",INDEX(직원목록!$V$7:$V$306,$K$2792))</f>
        <v/>
      </c>
      <c r="D2804" s="36" t="n"/>
      <c r="F2804" s="3" t="inlineStr">
        <is>
          <t>공제 합계</t>
        </is>
      </c>
      <c r="G2804" s="35">
        <f>IF($K$2792="","",INDEX(직원목록!$AE$7:$AE$306,$K$2792))</f>
        <v/>
      </c>
      <c r="H2804" s="36" t="n"/>
    </row>
    <row r="2805" ht="28" customHeight="1">
      <c r="B2805" s="37" t="inlineStr">
        <is>
          <t>실 수령액 (지급 합계 − 공제 합계)</t>
        </is>
      </c>
      <c r="C2805" s="29" t="n"/>
      <c r="D2805" s="29" t="n"/>
      <c r="E2805" s="38">
        <f>IF($K$2792="","",INDEX(직원목록!$AF$7:$AF$306,$K$2792))</f>
        <v/>
      </c>
      <c r="F2805" s="29" t="n"/>
      <c r="G2805" s="29" t="n"/>
      <c r="H2805" s="29" t="n"/>
    </row>
    <row r="2806">
      <c r="B2806" s="39">
        <f>IF($K$2792="","",설정!$B$7)</f>
        <v/>
      </c>
    </row>
    <row r="2822" ht="30" customHeight="1">
      <c r="B2822" s="28">
        <f>IF($K$2822="","","임금명세서  ("&amp;설정!$B$5&amp;")")</f>
        <v/>
      </c>
      <c r="K2822" s="34">
        <f>IFERROR(MATCH(95,직원목록!$B$7:$B$306,0),"")</f>
        <v/>
      </c>
    </row>
    <row r="2823">
      <c r="B2823" s="7" t="inlineStr">
        <is>
          <t>회사명</t>
        </is>
      </c>
      <c r="C2823" s="21">
        <f>IF($K$2822="","",설정!$B$4)</f>
        <v/>
      </c>
      <c r="D2823" s="29" t="n"/>
      <c r="E2823" s="19" t="n"/>
      <c r="F2823" s="7" t="inlineStr">
        <is>
          <t>임금 지급일</t>
        </is>
      </c>
      <c r="G2823" s="21">
        <f>IF($K$2822="","",TEXT(설정!$B$6,"yyyy-mm-dd"))</f>
        <v/>
      </c>
      <c r="H2823" s="29" t="n"/>
    </row>
    <row r="2824">
      <c r="B2824" s="7" t="inlineStr">
        <is>
          <t>성명</t>
        </is>
      </c>
      <c r="C2824" s="22">
        <f>IF($K$2822="","",INDEX(직원목록!$D$7:$D$306,$K$2822))</f>
        <v/>
      </c>
      <c r="D2824" s="7" t="inlineStr">
        <is>
          <t>사번</t>
        </is>
      </c>
      <c r="E2824" s="21">
        <f>IF($K$2822="","",INDEX(직원목록!$C$7:$C$306,$K$2822))</f>
        <v/>
      </c>
      <c r="F2824" s="7" t="inlineStr">
        <is>
          <t>부서</t>
        </is>
      </c>
      <c r="G2824" s="21">
        <f>IF($K$2822="","",INDEX(직원목록!$E$7:$E$306,$K$2822))</f>
        <v/>
      </c>
      <c r="H2824" s="29" t="n"/>
    </row>
    <row r="2825">
      <c r="B2825" s="12" t="inlineStr">
        <is>
          <t>지급 항목</t>
        </is>
      </c>
      <c r="C2825" s="12" t="inlineStr">
        <is>
          <t>금액(원)</t>
        </is>
      </c>
      <c r="D2825" s="12" t="inlineStr">
        <is>
          <t>계산 근거</t>
        </is>
      </c>
      <c r="E2825" s="2" t="n"/>
      <c r="F2825" s="12" t="inlineStr">
        <is>
          <t>공제 항목</t>
        </is>
      </c>
      <c r="G2825" s="12" t="inlineStr">
        <is>
          <t>금액(원)</t>
        </is>
      </c>
      <c r="H2825" s="12" t="n"/>
    </row>
    <row r="2826">
      <c r="B2826" s="4">
        <f>IF($K$2822="","",IF(설정!$B$17="","",설정!$B$17))</f>
        <v/>
      </c>
      <c r="C2826" s="31">
        <f>IF(OR($K$2822="",설정!$B$17=""),"",INDEX(직원목록!$F$7:$F$306,$K$2822))</f>
        <v/>
      </c>
      <c r="D2826" s="32">
        <f>IF(OR($K$2822="",설정!$B$17=""),"",IF(N(INDEX(직원목록!$N$7:$N$306,$K$2822))=0,"",INDEX(직원목록!$N$7:$N$306,$K$2822)&amp;"시간"))</f>
        <v/>
      </c>
      <c r="F2826" s="4">
        <f>IF($K$2822="","",IF(설정!$B$26="","",설정!$B$26))</f>
        <v/>
      </c>
      <c r="G2826" s="31">
        <f>IF(OR($K$2822="",설정!$B$26=""),"",INDEX(직원목록!$W$7:$W$306,$K$2822))</f>
        <v/>
      </c>
      <c r="H2826" s="19" t="n"/>
    </row>
    <row r="2827">
      <c r="B2827" s="4">
        <f>IF($K$2822="","",IF(설정!$B$18="","",설정!$B$18))</f>
        <v/>
      </c>
      <c r="C2827" s="31">
        <f>IF(OR($K$2822="",설정!$B$18=""),"",INDEX(직원목록!$G$7:$G$306,$K$2822))</f>
        <v/>
      </c>
      <c r="D2827" s="32">
        <f>IF(OR($K$2822="",설정!$B$18=""),"",IF(N(INDEX(직원목록!$O$7:$O$306,$K$2822))=0,"",INDEX(직원목록!$O$7:$O$306,$K$2822)&amp;"시간"))</f>
        <v/>
      </c>
      <c r="F2827" s="4">
        <f>IF($K$2822="","",IF(설정!$B$27="","",설정!$B$27))</f>
        <v/>
      </c>
      <c r="G2827" s="31">
        <f>IF(OR($K$2822="",설정!$B$27=""),"",INDEX(직원목록!$X$7:$X$306,$K$2822))</f>
        <v/>
      </c>
      <c r="H2827" s="19" t="n"/>
    </row>
    <row r="2828">
      <c r="B2828" s="4">
        <f>IF($K$2822="","",IF(설정!$B$19="","",설정!$B$19))</f>
        <v/>
      </c>
      <c r="C2828" s="31">
        <f>IF(OR($K$2822="",설정!$B$19=""),"",INDEX(직원목록!$H$7:$H$306,$K$2822))</f>
        <v/>
      </c>
      <c r="D2828" s="32">
        <f>IF(OR($K$2822="",설정!$B$19=""),"",IF(N(INDEX(직원목록!$P$7:$P$306,$K$2822))=0,"",INDEX(직원목록!$P$7:$P$306,$K$2822)&amp;"시간"))</f>
        <v/>
      </c>
      <c r="F2828" s="4">
        <f>IF($K$2822="","",IF(설정!$B$28="","",설정!$B$28))</f>
        <v/>
      </c>
      <c r="G2828" s="31">
        <f>IF(OR($K$2822="",설정!$B$28=""),"",INDEX(직원목록!$Y$7:$Y$306,$K$2822))</f>
        <v/>
      </c>
      <c r="H2828" s="19" t="n"/>
    </row>
    <row r="2829">
      <c r="B2829" s="4">
        <f>IF($K$2822="","",IF(설정!$B$20="","",설정!$B$20))</f>
        <v/>
      </c>
      <c r="C2829" s="31">
        <f>IF(OR($K$2822="",설정!$B$20=""),"",INDEX(직원목록!$I$7:$I$306,$K$2822))</f>
        <v/>
      </c>
      <c r="D2829" s="32">
        <f>IF(OR($K$2822="",설정!$B$20=""),"",IF(N(INDEX(직원목록!$Q$7:$Q$306,$K$2822))=0,"",INDEX(직원목록!$Q$7:$Q$306,$K$2822)&amp;"시간"))</f>
        <v/>
      </c>
      <c r="F2829" s="4">
        <f>IF($K$2822="","",IF(설정!$B$29="","",설정!$B$29))</f>
        <v/>
      </c>
      <c r="G2829" s="31">
        <f>IF(OR($K$2822="",설정!$B$29=""),"",INDEX(직원목록!$Z$7:$Z$306,$K$2822))</f>
        <v/>
      </c>
      <c r="H2829" s="19" t="n"/>
    </row>
    <row r="2830">
      <c r="B2830" s="4">
        <f>IF($K$2822="","",IF(설정!$B$21="","",설정!$B$21))</f>
        <v/>
      </c>
      <c r="C2830" s="31">
        <f>IF(OR($K$2822="",설정!$B$21=""),"",INDEX(직원목록!$J$7:$J$306,$K$2822))</f>
        <v/>
      </c>
      <c r="D2830" s="32">
        <f>IF(OR($K$2822="",설정!$B$21=""),"",IF(N(INDEX(직원목록!$R$7:$R$306,$K$2822))=0,"",INDEX(직원목록!$R$7:$R$306,$K$2822)&amp;"시간"))</f>
        <v/>
      </c>
      <c r="F2830" s="4">
        <f>IF($K$2822="","",IF(설정!$B$30="","",설정!$B$30))</f>
        <v/>
      </c>
      <c r="G2830" s="31">
        <f>IF(OR($K$2822="",설정!$B$30=""),"",INDEX(직원목록!$AA$7:$AA$306,$K$2822))</f>
        <v/>
      </c>
      <c r="H2830" s="19" t="n"/>
    </row>
    <row r="2831">
      <c r="B2831" s="4">
        <f>IF($K$2822="","",IF(설정!$B$22="","",설정!$B$22))</f>
        <v/>
      </c>
      <c r="C2831" s="31">
        <f>IF(OR($K$2822="",설정!$B$22=""),"",INDEX(직원목록!$K$7:$K$306,$K$2822))</f>
        <v/>
      </c>
      <c r="D2831" s="32">
        <f>IF(OR($K$2822="",설정!$B$22=""),"",IF(N(INDEX(직원목록!$S$7:$S$306,$K$2822))=0,"",INDEX(직원목록!$S$7:$S$306,$K$2822)&amp;"시간"))</f>
        <v/>
      </c>
      <c r="F2831" s="4">
        <f>IF($K$2822="","",IF(설정!$B$31="","",설정!$B$31))</f>
        <v/>
      </c>
      <c r="G2831" s="31">
        <f>IF(OR($K$2822="",설정!$B$31=""),"",INDEX(직원목록!$AB$7:$AB$306,$K$2822))</f>
        <v/>
      </c>
      <c r="H2831" s="19" t="n"/>
    </row>
    <row r="2832">
      <c r="B2832" s="4">
        <f>IF($K$2822="","",IF(설정!$B$23="","",설정!$B$23))</f>
        <v/>
      </c>
      <c r="C2832" s="31">
        <f>IF(OR($K$2822="",설정!$B$23=""),"",INDEX(직원목록!$L$7:$L$306,$K$2822))</f>
        <v/>
      </c>
      <c r="D2832" s="32">
        <f>IF(OR($K$2822="",설정!$B$23=""),"",IF(N(INDEX(직원목록!$T$7:$T$306,$K$2822))=0,"",INDEX(직원목록!$T$7:$T$306,$K$2822)&amp;"시간"))</f>
        <v/>
      </c>
      <c r="F2832" s="4">
        <f>IF($K$2822="","",IF(설정!$B$32="","",설정!$B$32))</f>
        <v/>
      </c>
      <c r="G2832" s="31">
        <f>IF(OR($K$2822="",설정!$B$32=""),"",INDEX(직원목록!$AC$7:$AC$306,$K$2822))</f>
        <v/>
      </c>
      <c r="H2832" s="19" t="n"/>
    </row>
    <row r="2833">
      <c r="B2833" s="4">
        <f>IF($K$2822="","",IF(설정!$B$24="","",설정!$B$24))</f>
        <v/>
      </c>
      <c r="C2833" s="31">
        <f>IF(OR($K$2822="",설정!$B$24=""),"",INDEX(직원목록!$M$7:$M$306,$K$2822))</f>
        <v/>
      </c>
      <c r="D2833" s="32">
        <f>IF(OR($K$2822="",설정!$B$24=""),"",IF(N(INDEX(직원목록!$U$7:$U$306,$K$2822))=0,"",INDEX(직원목록!$U$7:$U$306,$K$2822)&amp;"시간"))</f>
        <v/>
      </c>
      <c r="F2833" s="4">
        <f>IF($K$2822="","",IF(설정!$B$33="","",설정!$B$33))</f>
        <v/>
      </c>
      <c r="G2833" s="31">
        <f>IF(OR($K$2822="",설정!$B$33=""),"",INDEX(직원목록!$AD$7:$AD$306,$K$2822))</f>
        <v/>
      </c>
      <c r="H2833" s="19" t="n"/>
    </row>
    <row r="2834">
      <c r="B2834" s="3" t="inlineStr">
        <is>
          <t>지급 합계</t>
        </is>
      </c>
      <c r="C2834" s="35">
        <f>IF($K$2822="","",INDEX(직원목록!$V$7:$V$306,$K$2822))</f>
        <v/>
      </c>
      <c r="D2834" s="36" t="n"/>
      <c r="F2834" s="3" t="inlineStr">
        <is>
          <t>공제 합계</t>
        </is>
      </c>
      <c r="G2834" s="35">
        <f>IF($K$2822="","",INDEX(직원목록!$AE$7:$AE$306,$K$2822))</f>
        <v/>
      </c>
      <c r="H2834" s="36" t="n"/>
    </row>
    <row r="2835" ht="28" customHeight="1">
      <c r="B2835" s="37" t="inlineStr">
        <is>
          <t>실 수령액 (지급 합계 − 공제 합계)</t>
        </is>
      </c>
      <c r="C2835" s="29" t="n"/>
      <c r="D2835" s="29" t="n"/>
      <c r="E2835" s="38">
        <f>IF($K$2822="","",INDEX(직원목록!$AF$7:$AF$306,$K$2822))</f>
        <v/>
      </c>
      <c r="F2835" s="29" t="n"/>
      <c r="G2835" s="29" t="n"/>
      <c r="H2835" s="29" t="n"/>
    </row>
    <row r="2836">
      <c r="B2836" s="39">
        <f>IF($K$2822="","",설정!$B$7)</f>
        <v/>
      </c>
    </row>
    <row r="2852" ht="30" customHeight="1">
      <c r="B2852" s="28">
        <f>IF($K$2852="","","임금명세서  ("&amp;설정!$B$5&amp;")")</f>
        <v/>
      </c>
      <c r="K2852" s="34">
        <f>IFERROR(MATCH(96,직원목록!$B$7:$B$306,0),"")</f>
        <v/>
      </c>
    </row>
    <row r="2853">
      <c r="B2853" s="7" t="inlineStr">
        <is>
          <t>회사명</t>
        </is>
      </c>
      <c r="C2853" s="21">
        <f>IF($K$2852="","",설정!$B$4)</f>
        <v/>
      </c>
      <c r="D2853" s="29" t="n"/>
      <c r="E2853" s="19" t="n"/>
      <c r="F2853" s="7" t="inlineStr">
        <is>
          <t>임금 지급일</t>
        </is>
      </c>
      <c r="G2853" s="21">
        <f>IF($K$2852="","",TEXT(설정!$B$6,"yyyy-mm-dd"))</f>
        <v/>
      </c>
      <c r="H2853" s="29" t="n"/>
    </row>
    <row r="2854">
      <c r="B2854" s="7" t="inlineStr">
        <is>
          <t>성명</t>
        </is>
      </c>
      <c r="C2854" s="22">
        <f>IF($K$2852="","",INDEX(직원목록!$D$7:$D$306,$K$2852))</f>
        <v/>
      </c>
      <c r="D2854" s="7" t="inlineStr">
        <is>
          <t>사번</t>
        </is>
      </c>
      <c r="E2854" s="21">
        <f>IF($K$2852="","",INDEX(직원목록!$C$7:$C$306,$K$2852))</f>
        <v/>
      </c>
      <c r="F2854" s="7" t="inlineStr">
        <is>
          <t>부서</t>
        </is>
      </c>
      <c r="G2854" s="21">
        <f>IF($K$2852="","",INDEX(직원목록!$E$7:$E$306,$K$2852))</f>
        <v/>
      </c>
      <c r="H2854" s="29" t="n"/>
    </row>
    <row r="2855">
      <c r="B2855" s="12" t="inlineStr">
        <is>
          <t>지급 항목</t>
        </is>
      </c>
      <c r="C2855" s="12" t="inlineStr">
        <is>
          <t>금액(원)</t>
        </is>
      </c>
      <c r="D2855" s="12" t="inlineStr">
        <is>
          <t>계산 근거</t>
        </is>
      </c>
      <c r="E2855" s="2" t="n"/>
      <c r="F2855" s="12" t="inlineStr">
        <is>
          <t>공제 항목</t>
        </is>
      </c>
      <c r="G2855" s="12" t="inlineStr">
        <is>
          <t>금액(원)</t>
        </is>
      </c>
      <c r="H2855" s="12" t="n"/>
    </row>
    <row r="2856">
      <c r="B2856" s="4">
        <f>IF($K$2852="","",IF(설정!$B$17="","",설정!$B$17))</f>
        <v/>
      </c>
      <c r="C2856" s="31">
        <f>IF(OR($K$2852="",설정!$B$17=""),"",INDEX(직원목록!$F$7:$F$306,$K$2852))</f>
        <v/>
      </c>
      <c r="D2856" s="32">
        <f>IF(OR($K$2852="",설정!$B$17=""),"",IF(N(INDEX(직원목록!$N$7:$N$306,$K$2852))=0,"",INDEX(직원목록!$N$7:$N$306,$K$2852)&amp;"시간"))</f>
        <v/>
      </c>
      <c r="F2856" s="4">
        <f>IF($K$2852="","",IF(설정!$B$26="","",설정!$B$26))</f>
        <v/>
      </c>
      <c r="G2856" s="31">
        <f>IF(OR($K$2852="",설정!$B$26=""),"",INDEX(직원목록!$W$7:$W$306,$K$2852))</f>
        <v/>
      </c>
      <c r="H2856" s="19" t="n"/>
    </row>
    <row r="2857">
      <c r="B2857" s="4">
        <f>IF($K$2852="","",IF(설정!$B$18="","",설정!$B$18))</f>
        <v/>
      </c>
      <c r="C2857" s="31">
        <f>IF(OR($K$2852="",설정!$B$18=""),"",INDEX(직원목록!$G$7:$G$306,$K$2852))</f>
        <v/>
      </c>
      <c r="D2857" s="32">
        <f>IF(OR($K$2852="",설정!$B$18=""),"",IF(N(INDEX(직원목록!$O$7:$O$306,$K$2852))=0,"",INDEX(직원목록!$O$7:$O$306,$K$2852)&amp;"시간"))</f>
        <v/>
      </c>
      <c r="F2857" s="4">
        <f>IF($K$2852="","",IF(설정!$B$27="","",설정!$B$27))</f>
        <v/>
      </c>
      <c r="G2857" s="31">
        <f>IF(OR($K$2852="",설정!$B$27=""),"",INDEX(직원목록!$X$7:$X$306,$K$2852))</f>
        <v/>
      </c>
      <c r="H2857" s="19" t="n"/>
    </row>
    <row r="2858">
      <c r="B2858" s="4">
        <f>IF($K$2852="","",IF(설정!$B$19="","",설정!$B$19))</f>
        <v/>
      </c>
      <c r="C2858" s="31">
        <f>IF(OR($K$2852="",설정!$B$19=""),"",INDEX(직원목록!$H$7:$H$306,$K$2852))</f>
        <v/>
      </c>
      <c r="D2858" s="32">
        <f>IF(OR($K$2852="",설정!$B$19=""),"",IF(N(INDEX(직원목록!$P$7:$P$306,$K$2852))=0,"",INDEX(직원목록!$P$7:$P$306,$K$2852)&amp;"시간"))</f>
        <v/>
      </c>
      <c r="F2858" s="4">
        <f>IF($K$2852="","",IF(설정!$B$28="","",설정!$B$28))</f>
        <v/>
      </c>
      <c r="G2858" s="31">
        <f>IF(OR($K$2852="",설정!$B$28=""),"",INDEX(직원목록!$Y$7:$Y$306,$K$2852))</f>
        <v/>
      </c>
      <c r="H2858" s="19" t="n"/>
    </row>
    <row r="2859">
      <c r="B2859" s="4">
        <f>IF($K$2852="","",IF(설정!$B$20="","",설정!$B$20))</f>
        <v/>
      </c>
      <c r="C2859" s="31">
        <f>IF(OR($K$2852="",설정!$B$20=""),"",INDEX(직원목록!$I$7:$I$306,$K$2852))</f>
        <v/>
      </c>
      <c r="D2859" s="32">
        <f>IF(OR($K$2852="",설정!$B$20=""),"",IF(N(INDEX(직원목록!$Q$7:$Q$306,$K$2852))=0,"",INDEX(직원목록!$Q$7:$Q$306,$K$2852)&amp;"시간"))</f>
        <v/>
      </c>
      <c r="F2859" s="4">
        <f>IF($K$2852="","",IF(설정!$B$29="","",설정!$B$29))</f>
        <v/>
      </c>
      <c r="G2859" s="31">
        <f>IF(OR($K$2852="",설정!$B$29=""),"",INDEX(직원목록!$Z$7:$Z$306,$K$2852))</f>
        <v/>
      </c>
      <c r="H2859" s="19" t="n"/>
    </row>
    <row r="2860">
      <c r="B2860" s="4">
        <f>IF($K$2852="","",IF(설정!$B$21="","",설정!$B$21))</f>
        <v/>
      </c>
      <c r="C2860" s="31">
        <f>IF(OR($K$2852="",설정!$B$21=""),"",INDEX(직원목록!$J$7:$J$306,$K$2852))</f>
        <v/>
      </c>
      <c r="D2860" s="32">
        <f>IF(OR($K$2852="",설정!$B$21=""),"",IF(N(INDEX(직원목록!$R$7:$R$306,$K$2852))=0,"",INDEX(직원목록!$R$7:$R$306,$K$2852)&amp;"시간"))</f>
        <v/>
      </c>
      <c r="F2860" s="4">
        <f>IF($K$2852="","",IF(설정!$B$30="","",설정!$B$30))</f>
        <v/>
      </c>
      <c r="G2860" s="31">
        <f>IF(OR($K$2852="",설정!$B$30=""),"",INDEX(직원목록!$AA$7:$AA$306,$K$2852))</f>
        <v/>
      </c>
      <c r="H2860" s="19" t="n"/>
    </row>
    <row r="2861">
      <c r="B2861" s="4">
        <f>IF($K$2852="","",IF(설정!$B$22="","",설정!$B$22))</f>
        <v/>
      </c>
      <c r="C2861" s="31">
        <f>IF(OR($K$2852="",설정!$B$22=""),"",INDEX(직원목록!$K$7:$K$306,$K$2852))</f>
        <v/>
      </c>
      <c r="D2861" s="32">
        <f>IF(OR($K$2852="",설정!$B$22=""),"",IF(N(INDEX(직원목록!$S$7:$S$306,$K$2852))=0,"",INDEX(직원목록!$S$7:$S$306,$K$2852)&amp;"시간"))</f>
        <v/>
      </c>
      <c r="F2861" s="4">
        <f>IF($K$2852="","",IF(설정!$B$31="","",설정!$B$31))</f>
        <v/>
      </c>
      <c r="G2861" s="31">
        <f>IF(OR($K$2852="",설정!$B$31=""),"",INDEX(직원목록!$AB$7:$AB$306,$K$2852))</f>
        <v/>
      </c>
      <c r="H2861" s="19" t="n"/>
    </row>
    <row r="2862">
      <c r="B2862" s="4">
        <f>IF($K$2852="","",IF(설정!$B$23="","",설정!$B$23))</f>
        <v/>
      </c>
      <c r="C2862" s="31">
        <f>IF(OR($K$2852="",설정!$B$23=""),"",INDEX(직원목록!$L$7:$L$306,$K$2852))</f>
        <v/>
      </c>
      <c r="D2862" s="32">
        <f>IF(OR($K$2852="",설정!$B$23=""),"",IF(N(INDEX(직원목록!$T$7:$T$306,$K$2852))=0,"",INDEX(직원목록!$T$7:$T$306,$K$2852)&amp;"시간"))</f>
        <v/>
      </c>
      <c r="F2862" s="4">
        <f>IF($K$2852="","",IF(설정!$B$32="","",설정!$B$32))</f>
        <v/>
      </c>
      <c r="G2862" s="31">
        <f>IF(OR($K$2852="",설정!$B$32=""),"",INDEX(직원목록!$AC$7:$AC$306,$K$2852))</f>
        <v/>
      </c>
      <c r="H2862" s="19" t="n"/>
    </row>
    <row r="2863">
      <c r="B2863" s="4">
        <f>IF($K$2852="","",IF(설정!$B$24="","",설정!$B$24))</f>
        <v/>
      </c>
      <c r="C2863" s="31">
        <f>IF(OR($K$2852="",설정!$B$24=""),"",INDEX(직원목록!$M$7:$M$306,$K$2852))</f>
        <v/>
      </c>
      <c r="D2863" s="32">
        <f>IF(OR($K$2852="",설정!$B$24=""),"",IF(N(INDEX(직원목록!$U$7:$U$306,$K$2852))=0,"",INDEX(직원목록!$U$7:$U$306,$K$2852)&amp;"시간"))</f>
        <v/>
      </c>
      <c r="F2863" s="4">
        <f>IF($K$2852="","",IF(설정!$B$33="","",설정!$B$33))</f>
        <v/>
      </c>
      <c r="G2863" s="31">
        <f>IF(OR($K$2852="",설정!$B$33=""),"",INDEX(직원목록!$AD$7:$AD$306,$K$2852))</f>
        <v/>
      </c>
      <c r="H2863" s="19" t="n"/>
    </row>
    <row r="2864">
      <c r="B2864" s="3" t="inlineStr">
        <is>
          <t>지급 합계</t>
        </is>
      </c>
      <c r="C2864" s="35">
        <f>IF($K$2852="","",INDEX(직원목록!$V$7:$V$306,$K$2852))</f>
        <v/>
      </c>
      <c r="D2864" s="36" t="n"/>
      <c r="F2864" s="3" t="inlineStr">
        <is>
          <t>공제 합계</t>
        </is>
      </c>
      <c r="G2864" s="35">
        <f>IF($K$2852="","",INDEX(직원목록!$AE$7:$AE$306,$K$2852))</f>
        <v/>
      </c>
      <c r="H2864" s="36" t="n"/>
    </row>
    <row r="2865" ht="28" customHeight="1">
      <c r="B2865" s="37" t="inlineStr">
        <is>
          <t>실 수령액 (지급 합계 − 공제 합계)</t>
        </is>
      </c>
      <c r="C2865" s="29" t="n"/>
      <c r="D2865" s="29" t="n"/>
      <c r="E2865" s="38">
        <f>IF($K$2852="","",INDEX(직원목록!$AF$7:$AF$306,$K$2852))</f>
        <v/>
      </c>
      <c r="F2865" s="29" t="n"/>
      <c r="G2865" s="29" t="n"/>
      <c r="H2865" s="29" t="n"/>
    </row>
    <row r="2866">
      <c r="B2866" s="39">
        <f>IF($K$2852="","",설정!$B$7)</f>
        <v/>
      </c>
    </row>
    <row r="2882" ht="30" customHeight="1">
      <c r="B2882" s="28">
        <f>IF($K$2882="","","임금명세서  ("&amp;설정!$B$5&amp;")")</f>
        <v/>
      </c>
      <c r="K2882" s="34">
        <f>IFERROR(MATCH(97,직원목록!$B$7:$B$306,0),"")</f>
        <v/>
      </c>
    </row>
    <row r="2883">
      <c r="B2883" s="7" t="inlineStr">
        <is>
          <t>회사명</t>
        </is>
      </c>
      <c r="C2883" s="21">
        <f>IF($K$2882="","",설정!$B$4)</f>
        <v/>
      </c>
      <c r="D2883" s="29" t="n"/>
      <c r="E2883" s="19" t="n"/>
      <c r="F2883" s="7" t="inlineStr">
        <is>
          <t>임금 지급일</t>
        </is>
      </c>
      <c r="G2883" s="21">
        <f>IF($K$2882="","",TEXT(설정!$B$6,"yyyy-mm-dd"))</f>
        <v/>
      </c>
      <c r="H2883" s="29" t="n"/>
    </row>
    <row r="2884">
      <c r="B2884" s="7" t="inlineStr">
        <is>
          <t>성명</t>
        </is>
      </c>
      <c r="C2884" s="22">
        <f>IF($K$2882="","",INDEX(직원목록!$D$7:$D$306,$K$2882))</f>
        <v/>
      </c>
      <c r="D2884" s="7" t="inlineStr">
        <is>
          <t>사번</t>
        </is>
      </c>
      <c r="E2884" s="21">
        <f>IF($K$2882="","",INDEX(직원목록!$C$7:$C$306,$K$2882))</f>
        <v/>
      </c>
      <c r="F2884" s="7" t="inlineStr">
        <is>
          <t>부서</t>
        </is>
      </c>
      <c r="G2884" s="21">
        <f>IF($K$2882="","",INDEX(직원목록!$E$7:$E$306,$K$2882))</f>
        <v/>
      </c>
      <c r="H2884" s="29" t="n"/>
    </row>
    <row r="2885">
      <c r="B2885" s="12" t="inlineStr">
        <is>
          <t>지급 항목</t>
        </is>
      </c>
      <c r="C2885" s="12" t="inlineStr">
        <is>
          <t>금액(원)</t>
        </is>
      </c>
      <c r="D2885" s="12" t="inlineStr">
        <is>
          <t>계산 근거</t>
        </is>
      </c>
      <c r="E2885" s="2" t="n"/>
      <c r="F2885" s="12" t="inlineStr">
        <is>
          <t>공제 항목</t>
        </is>
      </c>
      <c r="G2885" s="12" t="inlineStr">
        <is>
          <t>금액(원)</t>
        </is>
      </c>
      <c r="H2885" s="12" t="n"/>
    </row>
    <row r="2886">
      <c r="B2886" s="4">
        <f>IF($K$2882="","",IF(설정!$B$17="","",설정!$B$17))</f>
        <v/>
      </c>
      <c r="C2886" s="31">
        <f>IF(OR($K$2882="",설정!$B$17=""),"",INDEX(직원목록!$F$7:$F$306,$K$2882))</f>
        <v/>
      </c>
      <c r="D2886" s="32">
        <f>IF(OR($K$2882="",설정!$B$17=""),"",IF(N(INDEX(직원목록!$N$7:$N$306,$K$2882))=0,"",INDEX(직원목록!$N$7:$N$306,$K$2882)&amp;"시간"))</f>
        <v/>
      </c>
      <c r="F2886" s="4">
        <f>IF($K$2882="","",IF(설정!$B$26="","",설정!$B$26))</f>
        <v/>
      </c>
      <c r="G2886" s="31">
        <f>IF(OR($K$2882="",설정!$B$26=""),"",INDEX(직원목록!$W$7:$W$306,$K$2882))</f>
        <v/>
      </c>
      <c r="H2886" s="19" t="n"/>
    </row>
    <row r="2887">
      <c r="B2887" s="4">
        <f>IF($K$2882="","",IF(설정!$B$18="","",설정!$B$18))</f>
        <v/>
      </c>
      <c r="C2887" s="31">
        <f>IF(OR($K$2882="",설정!$B$18=""),"",INDEX(직원목록!$G$7:$G$306,$K$2882))</f>
        <v/>
      </c>
      <c r="D2887" s="32">
        <f>IF(OR($K$2882="",설정!$B$18=""),"",IF(N(INDEX(직원목록!$O$7:$O$306,$K$2882))=0,"",INDEX(직원목록!$O$7:$O$306,$K$2882)&amp;"시간"))</f>
        <v/>
      </c>
      <c r="F2887" s="4">
        <f>IF($K$2882="","",IF(설정!$B$27="","",설정!$B$27))</f>
        <v/>
      </c>
      <c r="G2887" s="31">
        <f>IF(OR($K$2882="",설정!$B$27=""),"",INDEX(직원목록!$X$7:$X$306,$K$2882))</f>
        <v/>
      </c>
      <c r="H2887" s="19" t="n"/>
    </row>
    <row r="2888">
      <c r="B2888" s="4">
        <f>IF($K$2882="","",IF(설정!$B$19="","",설정!$B$19))</f>
        <v/>
      </c>
      <c r="C2888" s="31">
        <f>IF(OR($K$2882="",설정!$B$19=""),"",INDEX(직원목록!$H$7:$H$306,$K$2882))</f>
        <v/>
      </c>
      <c r="D2888" s="32">
        <f>IF(OR($K$2882="",설정!$B$19=""),"",IF(N(INDEX(직원목록!$P$7:$P$306,$K$2882))=0,"",INDEX(직원목록!$P$7:$P$306,$K$2882)&amp;"시간"))</f>
        <v/>
      </c>
      <c r="F2888" s="4">
        <f>IF($K$2882="","",IF(설정!$B$28="","",설정!$B$28))</f>
        <v/>
      </c>
      <c r="G2888" s="31">
        <f>IF(OR($K$2882="",설정!$B$28=""),"",INDEX(직원목록!$Y$7:$Y$306,$K$2882))</f>
        <v/>
      </c>
      <c r="H2888" s="19" t="n"/>
    </row>
    <row r="2889">
      <c r="B2889" s="4">
        <f>IF($K$2882="","",IF(설정!$B$20="","",설정!$B$20))</f>
        <v/>
      </c>
      <c r="C2889" s="31">
        <f>IF(OR($K$2882="",설정!$B$20=""),"",INDEX(직원목록!$I$7:$I$306,$K$2882))</f>
        <v/>
      </c>
      <c r="D2889" s="32">
        <f>IF(OR($K$2882="",설정!$B$20=""),"",IF(N(INDEX(직원목록!$Q$7:$Q$306,$K$2882))=0,"",INDEX(직원목록!$Q$7:$Q$306,$K$2882)&amp;"시간"))</f>
        <v/>
      </c>
      <c r="F2889" s="4">
        <f>IF($K$2882="","",IF(설정!$B$29="","",설정!$B$29))</f>
        <v/>
      </c>
      <c r="G2889" s="31">
        <f>IF(OR($K$2882="",설정!$B$29=""),"",INDEX(직원목록!$Z$7:$Z$306,$K$2882))</f>
        <v/>
      </c>
      <c r="H2889" s="19" t="n"/>
    </row>
    <row r="2890">
      <c r="B2890" s="4">
        <f>IF($K$2882="","",IF(설정!$B$21="","",설정!$B$21))</f>
        <v/>
      </c>
      <c r="C2890" s="31">
        <f>IF(OR($K$2882="",설정!$B$21=""),"",INDEX(직원목록!$J$7:$J$306,$K$2882))</f>
        <v/>
      </c>
      <c r="D2890" s="32">
        <f>IF(OR($K$2882="",설정!$B$21=""),"",IF(N(INDEX(직원목록!$R$7:$R$306,$K$2882))=0,"",INDEX(직원목록!$R$7:$R$306,$K$2882)&amp;"시간"))</f>
        <v/>
      </c>
      <c r="F2890" s="4">
        <f>IF($K$2882="","",IF(설정!$B$30="","",설정!$B$30))</f>
        <v/>
      </c>
      <c r="G2890" s="31">
        <f>IF(OR($K$2882="",설정!$B$30=""),"",INDEX(직원목록!$AA$7:$AA$306,$K$2882))</f>
        <v/>
      </c>
      <c r="H2890" s="19" t="n"/>
    </row>
    <row r="2891">
      <c r="B2891" s="4">
        <f>IF($K$2882="","",IF(설정!$B$22="","",설정!$B$22))</f>
        <v/>
      </c>
      <c r="C2891" s="31">
        <f>IF(OR($K$2882="",설정!$B$22=""),"",INDEX(직원목록!$K$7:$K$306,$K$2882))</f>
        <v/>
      </c>
      <c r="D2891" s="32">
        <f>IF(OR($K$2882="",설정!$B$22=""),"",IF(N(INDEX(직원목록!$S$7:$S$306,$K$2882))=0,"",INDEX(직원목록!$S$7:$S$306,$K$2882)&amp;"시간"))</f>
        <v/>
      </c>
      <c r="F2891" s="4">
        <f>IF($K$2882="","",IF(설정!$B$31="","",설정!$B$31))</f>
        <v/>
      </c>
      <c r="G2891" s="31">
        <f>IF(OR($K$2882="",설정!$B$31=""),"",INDEX(직원목록!$AB$7:$AB$306,$K$2882))</f>
        <v/>
      </c>
      <c r="H2891" s="19" t="n"/>
    </row>
    <row r="2892">
      <c r="B2892" s="4">
        <f>IF($K$2882="","",IF(설정!$B$23="","",설정!$B$23))</f>
        <v/>
      </c>
      <c r="C2892" s="31">
        <f>IF(OR($K$2882="",설정!$B$23=""),"",INDEX(직원목록!$L$7:$L$306,$K$2882))</f>
        <v/>
      </c>
      <c r="D2892" s="32">
        <f>IF(OR($K$2882="",설정!$B$23=""),"",IF(N(INDEX(직원목록!$T$7:$T$306,$K$2882))=0,"",INDEX(직원목록!$T$7:$T$306,$K$2882)&amp;"시간"))</f>
        <v/>
      </c>
      <c r="F2892" s="4">
        <f>IF($K$2882="","",IF(설정!$B$32="","",설정!$B$32))</f>
        <v/>
      </c>
      <c r="G2892" s="31">
        <f>IF(OR($K$2882="",설정!$B$32=""),"",INDEX(직원목록!$AC$7:$AC$306,$K$2882))</f>
        <v/>
      </c>
      <c r="H2892" s="19" t="n"/>
    </row>
    <row r="2893">
      <c r="B2893" s="4">
        <f>IF($K$2882="","",IF(설정!$B$24="","",설정!$B$24))</f>
        <v/>
      </c>
      <c r="C2893" s="31">
        <f>IF(OR($K$2882="",설정!$B$24=""),"",INDEX(직원목록!$M$7:$M$306,$K$2882))</f>
        <v/>
      </c>
      <c r="D2893" s="32">
        <f>IF(OR($K$2882="",설정!$B$24=""),"",IF(N(INDEX(직원목록!$U$7:$U$306,$K$2882))=0,"",INDEX(직원목록!$U$7:$U$306,$K$2882)&amp;"시간"))</f>
        <v/>
      </c>
      <c r="F2893" s="4">
        <f>IF($K$2882="","",IF(설정!$B$33="","",설정!$B$33))</f>
        <v/>
      </c>
      <c r="G2893" s="31">
        <f>IF(OR($K$2882="",설정!$B$33=""),"",INDEX(직원목록!$AD$7:$AD$306,$K$2882))</f>
        <v/>
      </c>
      <c r="H2893" s="19" t="n"/>
    </row>
    <row r="2894">
      <c r="B2894" s="3" t="inlineStr">
        <is>
          <t>지급 합계</t>
        </is>
      </c>
      <c r="C2894" s="35">
        <f>IF($K$2882="","",INDEX(직원목록!$V$7:$V$306,$K$2882))</f>
        <v/>
      </c>
      <c r="D2894" s="36" t="n"/>
      <c r="F2894" s="3" t="inlineStr">
        <is>
          <t>공제 합계</t>
        </is>
      </c>
      <c r="G2894" s="35">
        <f>IF($K$2882="","",INDEX(직원목록!$AE$7:$AE$306,$K$2882))</f>
        <v/>
      </c>
      <c r="H2894" s="36" t="n"/>
    </row>
    <row r="2895" ht="28" customHeight="1">
      <c r="B2895" s="37" t="inlineStr">
        <is>
          <t>실 수령액 (지급 합계 − 공제 합계)</t>
        </is>
      </c>
      <c r="C2895" s="29" t="n"/>
      <c r="D2895" s="29" t="n"/>
      <c r="E2895" s="38">
        <f>IF($K$2882="","",INDEX(직원목록!$AF$7:$AF$306,$K$2882))</f>
        <v/>
      </c>
      <c r="F2895" s="29" t="n"/>
      <c r="G2895" s="29" t="n"/>
      <c r="H2895" s="29" t="n"/>
    </row>
    <row r="2896">
      <c r="B2896" s="39">
        <f>IF($K$2882="","",설정!$B$7)</f>
        <v/>
      </c>
    </row>
    <row r="2912" ht="30" customHeight="1">
      <c r="B2912" s="28">
        <f>IF($K$2912="","","임금명세서  ("&amp;설정!$B$5&amp;")")</f>
        <v/>
      </c>
      <c r="K2912" s="34">
        <f>IFERROR(MATCH(98,직원목록!$B$7:$B$306,0),"")</f>
        <v/>
      </c>
    </row>
    <row r="2913">
      <c r="B2913" s="7" t="inlineStr">
        <is>
          <t>회사명</t>
        </is>
      </c>
      <c r="C2913" s="21">
        <f>IF($K$2912="","",설정!$B$4)</f>
        <v/>
      </c>
      <c r="D2913" s="29" t="n"/>
      <c r="E2913" s="19" t="n"/>
      <c r="F2913" s="7" t="inlineStr">
        <is>
          <t>임금 지급일</t>
        </is>
      </c>
      <c r="G2913" s="21">
        <f>IF($K$2912="","",TEXT(설정!$B$6,"yyyy-mm-dd"))</f>
        <v/>
      </c>
      <c r="H2913" s="29" t="n"/>
    </row>
    <row r="2914">
      <c r="B2914" s="7" t="inlineStr">
        <is>
          <t>성명</t>
        </is>
      </c>
      <c r="C2914" s="22">
        <f>IF($K$2912="","",INDEX(직원목록!$D$7:$D$306,$K$2912))</f>
        <v/>
      </c>
      <c r="D2914" s="7" t="inlineStr">
        <is>
          <t>사번</t>
        </is>
      </c>
      <c r="E2914" s="21">
        <f>IF($K$2912="","",INDEX(직원목록!$C$7:$C$306,$K$2912))</f>
        <v/>
      </c>
      <c r="F2914" s="7" t="inlineStr">
        <is>
          <t>부서</t>
        </is>
      </c>
      <c r="G2914" s="21">
        <f>IF($K$2912="","",INDEX(직원목록!$E$7:$E$306,$K$2912))</f>
        <v/>
      </c>
      <c r="H2914" s="29" t="n"/>
    </row>
    <row r="2915">
      <c r="B2915" s="12" t="inlineStr">
        <is>
          <t>지급 항목</t>
        </is>
      </c>
      <c r="C2915" s="12" t="inlineStr">
        <is>
          <t>금액(원)</t>
        </is>
      </c>
      <c r="D2915" s="12" t="inlineStr">
        <is>
          <t>계산 근거</t>
        </is>
      </c>
      <c r="E2915" s="2" t="n"/>
      <c r="F2915" s="12" t="inlineStr">
        <is>
          <t>공제 항목</t>
        </is>
      </c>
      <c r="G2915" s="12" t="inlineStr">
        <is>
          <t>금액(원)</t>
        </is>
      </c>
      <c r="H2915" s="12" t="n"/>
    </row>
    <row r="2916">
      <c r="B2916" s="4">
        <f>IF($K$2912="","",IF(설정!$B$17="","",설정!$B$17))</f>
        <v/>
      </c>
      <c r="C2916" s="31">
        <f>IF(OR($K$2912="",설정!$B$17=""),"",INDEX(직원목록!$F$7:$F$306,$K$2912))</f>
        <v/>
      </c>
      <c r="D2916" s="32">
        <f>IF(OR($K$2912="",설정!$B$17=""),"",IF(N(INDEX(직원목록!$N$7:$N$306,$K$2912))=0,"",INDEX(직원목록!$N$7:$N$306,$K$2912)&amp;"시간"))</f>
        <v/>
      </c>
      <c r="F2916" s="4">
        <f>IF($K$2912="","",IF(설정!$B$26="","",설정!$B$26))</f>
        <v/>
      </c>
      <c r="G2916" s="31">
        <f>IF(OR($K$2912="",설정!$B$26=""),"",INDEX(직원목록!$W$7:$W$306,$K$2912))</f>
        <v/>
      </c>
      <c r="H2916" s="19" t="n"/>
    </row>
    <row r="2917">
      <c r="B2917" s="4">
        <f>IF($K$2912="","",IF(설정!$B$18="","",설정!$B$18))</f>
        <v/>
      </c>
      <c r="C2917" s="31">
        <f>IF(OR($K$2912="",설정!$B$18=""),"",INDEX(직원목록!$G$7:$G$306,$K$2912))</f>
        <v/>
      </c>
      <c r="D2917" s="32">
        <f>IF(OR($K$2912="",설정!$B$18=""),"",IF(N(INDEX(직원목록!$O$7:$O$306,$K$2912))=0,"",INDEX(직원목록!$O$7:$O$306,$K$2912)&amp;"시간"))</f>
        <v/>
      </c>
      <c r="F2917" s="4">
        <f>IF($K$2912="","",IF(설정!$B$27="","",설정!$B$27))</f>
        <v/>
      </c>
      <c r="G2917" s="31">
        <f>IF(OR($K$2912="",설정!$B$27=""),"",INDEX(직원목록!$X$7:$X$306,$K$2912))</f>
        <v/>
      </c>
      <c r="H2917" s="19" t="n"/>
    </row>
    <row r="2918">
      <c r="B2918" s="4">
        <f>IF($K$2912="","",IF(설정!$B$19="","",설정!$B$19))</f>
        <v/>
      </c>
      <c r="C2918" s="31">
        <f>IF(OR($K$2912="",설정!$B$19=""),"",INDEX(직원목록!$H$7:$H$306,$K$2912))</f>
        <v/>
      </c>
      <c r="D2918" s="32">
        <f>IF(OR($K$2912="",설정!$B$19=""),"",IF(N(INDEX(직원목록!$P$7:$P$306,$K$2912))=0,"",INDEX(직원목록!$P$7:$P$306,$K$2912)&amp;"시간"))</f>
        <v/>
      </c>
      <c r="F2918" s="4">
        <f>IF($K$2912="","",IF(설정!$B$28="","",설정!$B$28))</f>
        <v/>
      </c>
      <c r="G2918" s="31">
        <f>IF(OR($K$2912="",설정!$B$28=""),"",INDEX(직원목록!$Y$7:$Y$306,$K$2912))</f>
        <v/>
      </c>
      <c r="H2918" s="19" t="n"/>
    </row>
    <row r="2919">
      <c r="B2919" s="4">
        <f>IF($K$2912="","",IF(설정!$B$20="","",설정!$B$20))</f>
        <v/>
      </c>
      <c r="C2919" s="31">
        <f>IF(OR($K$2912="",설정!$B$20=""),"",INDEX(직원목록!$I$7:$I$306,$K$2912))</f>
        <v/>
      </c>
      <c r="D2919" s="32">
        <f>IF(OR($K$2912="",설정!$B$20=""),"",IF(N(INDEX(직원목록!$Q$7:$Q$306,$K$2912))=0,"",INDEX(직원목록!$Q$7:$Q$306,$K$2912)&amp;"시간"))</f>
        <v/>
      </c>
      <c r="F2919" s="4">
        <f>IF($K$2912="","",IF(설정!$B$29="","",설정!$B$29))</f>
        <v/>
      </c>
      <c r="G2919" s="31">
        <f>IF(OR($K$2912="",설정!$B$29=""),"",INDEX(직원목록!$Z$7:$Z$306,$K$2912))</f>
        <v/>
      </c>
      <c r="H2919" s="19" t="n"/>
    </row>
    <row r="2920">
      <c r="B2920" s="4">
        <f>IF($K$2912="","",IF(설정!$B$21="","",설정!$B$21))</f>
        <v/>
      </c>
      <c r="C2920" s="31">
        <f>IF(OR($K$2912="",설정!$B$21=""),"",INDEX(직원목록!$J$7:$J$306,$K$2912))</f>
        <v/>
      </c>
      <c r="D2920" s="32">
        <f>IF(OR($K$2912="",설정!$B$21=""),"",IF(N(INDEX(직원목록!$R$7:$R$306,$K$2912))=0,"",INDEX(직원목록!$R$7:$R$306,$K$2912)&amp;"시간"))</f>
        <v/>
      </c>
      <c r="F2920" s="4">
        <f>IF($K$2912="","",IF(설정!$B$30="","",설정!$B$30))</f>
        <v/>
      </c>
      <c r="G2920" s="31">
        <f>IF(OR($K$2912="",설정!$B$30=""),"",INDEX(직원목록!$AA$7:$AA$306,$K$2912))</f>
        <v/>
      </c>
      <c r="H2920" s="19" t="n"/>
    </row>
    <row r="2921">
      <c r="B2921" s="4">
        <f>IF($K$2912="","",IF(설정!$B$22="","",설정!$B$22))</f>
        <v/>
      </c>
      <c r="C2921" s="31">
        <f>IF(OR($K$2912="",설정!$B$22=""),"",INDEX(직원목록!$K$7:$K$306,$K$2912))</f>
        <v/>
      </c>
      <c r="D2921" s="32">
        <f>IF(OR($K$2912="",설정!$B$22=""),"",IF(N(INDEX(직원목록!$S$7:$S$306,$K$2912))=0,"",INDEX(직원목록!$S$7:$S$306,$K$2912)&amp;"시간"))</f>
        <v/>
      </c>
      <c r="F2921" s="4">
        <f>IF($K$2912="","",IF(설정!$B$31="","",설정!$B$31))</f>
        <v/>
      </c>
      <c r="G2921" s="31">
        <f>IF(OR($K$2912="",설정!$B$31=""),"",INDEX(직원목록!$AB$7:$AB$306,$K$2912))</f>
        <v/>
      </c>
      <c r="H2921" s="19" t="n"/>
    </row>
    <row r="2922">
      <c r="B2922" s="4">
        <f>IF($K$2912="","",IF(설정!$B$23="","",설정!$B$23))</f>
        <v/>
      </c>
      <c r="C2922" s="31">
        <f>IF(OR($K$2912="",설정!$B$23=""),"",INDEX(직원목록!$L$7:$L$306,$K$2912))</f>
        <v/>
      </c>
      <c r="D2922" s="32">
        <f>IF(OR($K$2912="",설정!$B$23=""),"",IF(N(INDEX(직원목록!$T$7:$T$306,$K$2912))=0,"",INDEX(직원목록!$T$7:$T$306,$K$2912)&amp;"시간"))</f>
        <v/>
      </c>
      <c r="F2922" s="4">
        <f>IF($K$2912="","",IF(설정!$B$32="","",설정!$B$32))</f>
        <v/>
      </c>
      <c r="G2922" s="31">
        <f>IF(OR($K$2912="",설정!$B$32=""),"",INDEX(직원목록!$AC$7:$AC$306,$K$2912))</f>
        <v/>
      </c>
      <c r="H2922" s="19" t="n"/>
    </row>
    <row r="2923">
      <c r="B2923" s="4">
        <f>IF($K$2912="","",IF(설정!$B$24="","",설정!$B$24))</f>
        <v/>
      </c>
      <c r="C2923" s="31">
        <f>IF(OR($K$2912="",설정!$B$24=""),"",INDEX(직원목록!$M$7:$M$306,$K$2912))</f>
        <v/>
      </c>
      <c r="D2923" s="32">
        <f>IF(OR($K$2912="",설정!$B$24=""),"",IF(N(INDEX(직원목록!$U$7:$U$306,$K$2912))=0,"",INDEX(직원목록!$U$7:$U$306,$K$2912)&amp;"시간"))</f>
        <v/>
      </c>
      <c r="F2923" s="4">
        <f>IF($K$2912="","",IF(설정!$B$33="","",설정!$B$33))</f>
        <v/>
      </c>
      <c r="G2923" s="31">
        <f>IF(OR($K$2912="",설정!$B$33=""),"",INDEX(직원목록!$AD$7:$AD$306,$K$2912))</f>
        <v/>
      </c>
      <c r="H2923" s="19" t="n"/>
    </row>
    <row r="2924">
      <c r="B2924" s="3" t="inlineStr">
        <is>
          <t>지급 합계</t>
        </is>
      </c>
      <c r="C2924" s="35">
        <f>IF($K$2912="","",INDEX(직원목록!$V$7:$V$306,$K$2912))</f>
        <v/>
      </c>
      <c r="D2924" s="36" t="n"/>
      <c r="F2924" s="3" t="inlineStr">
        <is>
          <t>공제 합계</t>
        </is>
      </c>
      <c r="G2924" s="35">
        <f>IF($K$2912="","",INDEX(직원목록!$AE$7:$AE$306,$K$2912))</f>
        <v/>
      </c>
      <c r="H2924" s="36" t="n"/>
    </row>
    <row r="2925" ht="28" customHeight="1">
      <c r="B2925" s="37" t="inlineStr">
        <is>
          <t>실 수령액 (지급 합계 − 공제 합계)</t>
        </is>
      </c>
      <c r="C2925" s="29" t="n"/>
      <c r="D2925" s="29" t="n"/>
      <c r="E2925" s="38">
        <f>IF($K$2912="","",INDEX(직원목록!$AF$7:$AF$306,$K$2912))</f>
        <v/>
      </c>
      <c r="F2925" s="29" t="n"/>
      <c r="G2925" s="29" t="n"/>
      <c r="H2925" s="29" t="n"/>
    </row>
    <row r="2926">
      <c r="B2926" s="39">
        <f>IF($K$2912="","",설정!$B$7)</f>
        <v/>
      </c>
    </row>
    <row r="2942" ht="30" customHeight="1">
      <c r="B2942" s="28">
        <f>IF($K$2942="","","임금명세서  ("&amp;설정!$B$5&amp;")")</f>
        <v/>
      </c>
      <c r="K2942" s="34">
        <f>IFERROR(MATCH(99,직원목록!$B$7:$B$306,0),"")</f>
        <v/>
      </c>
    </row>
    <row r="2943">
      <c r="B2943" s="7" t="inlineStr">
        <is>
          <t>회사명</t>
        </is>
      </c>
      <c r="C2943" s="21">
        <f>IF($K$2942="","",설정!$B$4)</f>
        <v/>
      </c>
      <c r="D2943" s="29" t="n"/>
      <c r="E2943" s="19" t="n"/>
      <c r="F2943" s="7" t="inlineStr">
        <is>
          <t>임금 지급일</t>
        </is>
      </c>
      <c r="G2943" s="21">
        <f>IF($K$2942="","",TEXT(설정!$B$6,"yyyy-mm-dd"))</f>
        <v/>
      </c>
      <c r="H2943" s="29" t="n"/>
    </row>
    <row r="2944">
      <c r="B2944" s="7" t="inlineStr">
        <is>
          <t>성명</t>
        </is>
      </c>
      <c r="C2944" s="22">
        <f>IF($K$2942="","",INDEX(직원목록!$D$7:$D$306,$K$2942))</f>
        <v/>
      </c>
      <c r="D2944" s="7" t="inlineStr">
        <is>
          <t>사번</t>
        </is>
      </c>
      <c r="E2944" s="21">
        <f>IF($K$2942="","",INDEX(직원목록!$C$7:$C$306,$K$2942))</f>
        <v/>
      </c>
      <c r="F2944" s="7" t="inlineStr">
        <is>
          <t>부서</t>
        </is>
      </c>
      <c r="G2944" s="21">
        <f>IF($K$2942="","",INDEX(직원목록!$E$7:$E$306,$K$2942))</f>
        <v/>
      </c>
      <c r="H2944" s="29" t="n"/>
    </row>
    <row r="2945">
      <c r="B2945" s="12" t="inlineStr">
        <is>
          <t>지급 항목</t>
        </is>
      </c>
      <c r="C2945" s="12" t="inlineStr">
        <is>
          <t>금액(원)</t>
        </is>
      </c>
      <c r="D2945" s="12" t="inlineStr">
        <is>
          <t>계산 근거</t>
        </is>
      </c>
      <c r="E2945" s="2" t="n"/>
      <c r="F2945" s="12" t="inlineStr">
        <is>
          <t>공제 항목</t>
        </is>
      </c>
      <c r="G2945" s="12" t="inlineStr">
        <is>
          <t>금액(원)</t>
        </is>
      </c>
      <c r="H2945" s="12" t="n"/>
    </row>
    <row r="2946">
      <c r="B2946" s="4">
        <f>IF($K$2942="","",IF(설정!$B$17="","",설정!$B$17))</f>
        <v/>
      </c>
      <c r="C2946" s="31">
        <f>IF(OR($K$2942="",설정!$B$17=""),"",INDEX(직원목록!$F$7:$F$306,$K$2942))</f>
        <v/>
      </c>
      <c r="D2946" s="32">
        <f>IF(OR($K$2942="",설정!$B$17=""),"",IF(N(INDEX(직원목록!$N$7:$N$306,$K$2942))=0,"",INDEX(직원목록!$N$7:$N$306,$K$2942)&amp;"시간"))</f>
        <v/>
      </c>
      <c r="F2946" s="4">
        <f>IF($K$2942="","",IF(설정!$B$26="","",설정!$B$26))</f>
        <v/>
      </c>
      <c r="G2946" s="31">
        <f>IF(OR($K$2942="",설정!$B$26=""),"",INDEX(직원목록!$W$7:$W$306,$K$2942))</f>
        <v/>
      </c>
      <c r="H2946" s="19" t="n"/>
    </row>
    <row r="2947">
      <c r="B2947" s="4">
        <f>IF($K$2942="","",IF(설정!$B$18="","",설정!$B$18))</f>
        <v/>
      </c>
      <c r="C2947" s="31">
        <f>IF(OR($K$2942="",설정!$B$18=""),"",INDEX(직원목록!$G$7:$G$306,$K$2942))</f>
        <v/>
      </c>
      <c r="D2947" s="32">
        <f>IF(OR($K$2942="",설정!$B$18=""),"",IF(N(INDEX(직원목록!$O$7:$O$306,$K$2942))=0,"",INDEX(직원목록!$O$7:$O$306,$K$2942)&amp;"시간"))</f>
        <v/>
      </c>
      <c r="F2947" s="4">
        <f>IF($K$2942="","",IF(설정!$B$27="","",설정!$B$27))</f>
        <v/>
      </c>
      <c r="G2947" s="31">
        <f>IF(OR($K$2942="",설정!$B$27=""),"",INDEX(직원목록!$X$7:$X$306,$K$2942))</f>
        <v/>
      </c>
      <c r="H2947" s="19" t="n"/>
    </row>
    <row r="2948">
      <c r="B2948" s="4">
        <f>IF($K$2942="","",IF(설정!$B$19="","",설정!$B$19))</f>
        <v/>
      </c>
      <c r="C2948" s="31">
        <f>IF(OR($K$2942="",설정!$B$19=""),"",INDEX(직원목록!$H$7:$H$306,$K$2942))</f>
        <v/>
      </c>
      <c r="D2948" s="32">
        <f>IF(OR($K$2942="",설정!$B$19=""),"",IF(N(INDEX(직원목록!$P$7:$P$306,$K$2942))=0,"",INDEX(직원목록!$P$7:$P$306,$K$2942)&amp;"시간"))</f>
        <v/>
      </c>
      <c r="F2948" s="4">
        <f>IF($K$2942="","",IF(설정!$B$28="","",설정!$B$28))</f>
        <v/>
      </c>
      <c r="G2948" s="31">
        <f>IF(OR($K$2942="",설정!$B$28=""),"",INDEX(직원목록!$Y$7:$Y$306,$K$2942))</f>
        <v/>
      </c>
      <c r="H2948" s="19" t="n"/>
    </row>
    <row r="2949">
      <c r="B2949" s="4">
        <f>IF($K$2942="","",IF(설정!$B$20="","",설정!$B$20))</f>
        <v/>
      </c>
      <c r="C2949" s="31">
        <f>IF(OR($K$2942="",설정!$B$20=""),"",INDEX(직원목록!$I$7:$I$306,$K$2942))</f>
        <v/>
      </c>
      <c r="D2949" s="32">
        <f>IF(OR($K$2942="",설정!$B$20=""),"",IF(N(INDEX(직원목록!$Q$7:$Q$306,$K$2942))=0,"",INDEX(직원목록!$Q$7:$Q$306,$K$2942)&amp;"시간"))</f>
        <v/>
      </c>
      <c r="F2949" s="4">
        <f>IF($K$2942="","",IF(설정!$B$29="","",설정!$B$29))</f>
        <v/>
      </c>
      <c r="G2949" s="31">
        <f>IF(OR($K$2942="",설정!$B$29=""),"",INDEX(직원목록!$Z$7:$Z$306,$K$2942))</f>
        <v/>
      </c>
      <c r="H2949" s="19" t="n"/>
    </row>
    <row r="2950">
      <c r="B2950" s="4">
        <f>IF($K$2942="","",IF(설정!$B$21="","",설정!$B$21))</f>
        <v/>
      </c>
      <c r="C2950" s="31">
        <f>IF(OR($K$2942="",설정!$B$21=""),"",INDEX(직원목록!$J$7:$J$306,$K$2942))</f>
        <v/>
      </c>
      <c r="D2950" s="32">
        <f>IF(OR($K$2942="",설정!$B$21=""),"",IF(N(INDEX(직원목록!$R$7:$R$306,$K$2942))=0,"",INDEX(직원목록!$R$7:$R$306,$K$2942)&amp;"시간"))</f>
        <v/>
      </c>
      <c r="F2950" s="4">
        <f>IF($K$2942="","",IF(설정!$B$30="","",설정!$B$30))</f>
        <v/>
      </c>
      <c r="G2950" s="31">
        <f>IF(OR($K$2942="",설정!$B$30=""),"",INDEX(직원목록!$AA$7:$AA$306,$K$2942))</f>
        <v/>
      </c>
      <c r="H2950" s="19" t="n"/>
    </row>
    <row r="2951">
      <c r="B2951" s="4">
        <f>IF($K$2942="","",IF(설정!$B$22="","",설정!$B$22))</f>
        <v/>
      </c>
      <c r="C2951" s="31">
        <f>IF(OR($K$2942="",설정!$B$22=""),"",INDEX(직원목록!$K$7:$K$306,$K$2942))</f>
        <v/>
      </c>
      <c r="D2951" s="32">
        <f>IF(OR($K$2942="",설정!$B$22=""),"",IF(N(INDEX(직원목록!$S$7:$S$306,$K$2942))=0,"",INDEX(직원목록!$S$7:$S$306,$K$2942)&amp;"시간"))</f>
        <v/>
      </c>
      <c r="F2951" s="4">
        <f>IF($K$2942="","",IF(설정!$B$31="","",설정!$B$31))</f>
        <v/>
      </c>
      <c r="G2951" s="31">
        <f>IF(OR($K$2942="",설정!$B$31=""),"",INDEX(직원목록!$AB$7:$AB$306,$K$2942))</f>
        <v/>
      </c>
      <c r="H2951" s="19" t="n"/>
    </row>
    <row r="2952">
      <c r="B2952" s="4">
        <f>IF($K$2942="","",IF(설정!$B$23="","",설정!$B$23))</f>
        <v/>
      </c>
      <c r="C2952" s="31">
        <f>IF(OR($K$2942="",설정!$B$23=""),"",INDEX(직원목록!$L$7:$L$306,$K$2942))</f>
        <v/>
      </c>
      <c r="D2952" s="32">
        <f>IF(OR($K$2942="",설정!$B$23=""),"",IF(N(INDEX(직원목록!$T$7:$T$306,$K$2942))=0,"",INDEX(직원목록!$T$7:$T$306,$K$2942)&amp;"시간"))</f>
        <v/>
      </c>
      <c r="F2952" s="4">
        <f>IF($K$2942="","",IF(설정!$B$32="","",설정!$B$32))</f>
        <v/>
      </c>
      <c r="G2952" s="31">
        <f>IF(OR($K$2942="",설정!$B$32=""),"",INDEX(직원목록!$AC$7:$AC$306,$K$2942))</f>
        <v/>
      </c>
      <c r="H2952" s="19" t="n"/>
    </row>
    <row r="2953">
      <c r="B2953" s="4">
        <f>IF($K$2942="","",IF(설정!$B$24="","",설정!$B$24))</f>
        <v/>
      </c>
      <c r="C2953" s="31">
        <f>IF(OR($K$2942="",설정!$B$24=""),"",INDEX(직원목록!$M$7:$M$306,$K$2942))</f>
        <v/>
      </c>
      <c r="D2953" s="32">
        <f>IF(OR($K$2942="",설정!$B$24=""),"",IF(N(INDEX(직원목록!$U$7:$U$306,$K$2942))=0,"",INDEX(직원목록!$U$7:$U$306,$K$2942)&amp;"시간"))</f>
        <v/>
      </c>
      <c r="F2953" s="4">
        <f>IF($K$2942="","",IF(설정!$B$33="","",설정!$B$33))</f>
        <v/>
      </c>
      <c r="G2953" s="31">
        <f>IF(OR($K$2942="",설정!$B$33=""),"",INDEX(직원목록!$AD$7:$AD$306,$K$2942))</f>
        <v/>
      </c>
      <c r="H2953" s="19" t="n"/>
    </row>
    <row r="2954">
      <c r="B2954" s="3" t="inlineStr">
        <is>
          <t>지급 합계</t>
        </is>
      </c>
      <c r="C2954" s="35">
        <f>IF($K$2942="","",INDEX(직원목록!$V$7:$V$306,$K$2942))</f>
        <v/>
      </c>
      <c r="D2954" s="36" t="n"/>
      <c r="F2954" s="3" t="inlineStr">
        <is>
          <t>공제 합계</t>
        </is>
      </c>
      <c r="G2954" s="35">
        <f>IF($K$2942="","",INDEX(직원목록!$AE$7:$AE$306,$K$2942))</f>
        <v/>
      </c>
      <c r="H2954" s="36" t="n"/>
    </row>
    <row r="2955" ht="28" customHeight="1">
      <c r="B2955" s="37" t="inlineStr">
        <is>
          <t>실 수령액 (지급 합계 − 공제 합계)</t>
        </is>
      </c>
      <c r="C2955" s="29" t="n"/>
      <c r="D2955" s="29" t="n"/>
      <c r="E2955" s="38">
        <f>IF($K$2942="","",INDEX(직원목록!$AF$7:$AF$306,$K$2942))</f>
        <v/>
      </c>
      <c r="F2955" s="29" t="n"/>
      <c r="G2955" s="29" t="n"/>
      <c r="H2955" s="29" t="n"/>
    </row>
    <row r="2956">
      <c r="B2956" s="39">
        <f>IF($K$2942="","",설정!$B$7)</f>
        <v/>
      </c>
    </row>
    <row r="2972" ht="30" customHeight="1">
      <c r="B2972" s="28">
        <f>IF($K$2972="","","임금명세서  ("&amp;설정!$B$5&amp;")")</f>
        <v/>
      </c>
      <c r="K2972" s="34">
        <f>IFERROR(MATCH(100,직원목록!$B$7:$B$306,0),"")</f>
        <v/>
      </c>
    </row>
    <row r="2973">
      <c r="B2973" s="7" t="inlineStr">
        <is>
          <t>회사명</t>
        </is>
      </c>
      <c r="C2973" s="21">
        <f>IF($K$2972="","",설정!$B$4)</f>
        <v/>
      </c>
      <c r="D2973" s="29" t="n"/>
      <c r="E2973" s="19" t="n"/>
      <c r="F2973" s="7" t="inlineStr">
        <is>
          <t>임금 지급일</t>
        </is>
      </c>
      <c r="G2973" s="21">
        <f>IF($K$2972="","",TEXT(설정!$B$6,"yyyy-mm-dd"))</f>
        <v/>
      </c>
      <c r="H2973" s="29" t="n"/>
    </row>
    <row r="2974">
      <c r="B2974" s="7" t="inlineStr">
        <is>
          <t>성명</t>
        </is>
      </c>
      <c r="C2974" s="22">
        <f>IF($K$2972="","",INDEX(직원목록!$D$7:$D$306,$K$2972))</f>
        <v/>
      </c>
      <c r="D2974" s="7" t="inlineStr">
        <is>
          <t>사번</t>
        </is>
      </c>
      <c r="E2974" s="21">
        <f>IF($K$2972="","",INDEX(직원목록!$C$7:$C$306,$K$2972))</f>
        <v/>
      </c>
      <c r="F2974" s="7" t="inlineStr">
        <is>
          <t>부서</t>
        </is>
      </c>
      <c r="G2974" s="21">
        <f>IF($K$2972="","",INDEX(직원목록!$E$7:$E$306,$K$2972))</f>
        <v/>
      </c>
      <c r="H2974" s="29" t="n"/>
    </row>
    <row r="2975">
      <c r="B2975" s="12" t="inlineStr">
        <is>
          <t>지급 항목</t>
        </is>
      </c>
      <c r="C2975" s="12" t="inlineStr">
        <is>
          <t>금액(원)</t>
        </is>
      </c>
      <c r="D2975" s="12" t="inlineStr">
        <is>
          <t>계산 근거</t>
        </is>
      </c>
      <c r="E2975" s="2" t="n"/>
      <c r="F2975" s="12" t="inlineStr">
        <is>
          <t>공제 항목</t>
        </is>
      </c>
      <c r="G2975" s="12" t="inlineStr">
        <is>
          <t>금액(원)</t>
        </is>
      </c>
      <c r="H2975" s="12" t="n"/>
    </row>
    <row r="2976">
      <c r="B2976" s="4">
        <f>IF($K$2972="","",IF(설정!$B$17="","",설정!$B$17))</f>
        <v/>
      </c>
      <c r="C2976" s="31">
        <f>IF(OR($K$2972="",설정!$B$17=""),"",INDEX(직원목록!$F$7:$F$306,$K$2972))</f>
        <v/>
      </c>
      <c r="D2976" s="32">
        <f>IF(OR($K$2972="",설정!$B$17=""),"",IF(N(INDEX(직원목록!$N$7:$N$306,$K$2972))=0,"",INDEX(직원목록!$N$7:$N$306,$K$2972)&amp;"시간"))</f>
        <v/>
      </c>
      <c r="F2976" s="4">
        <f>IF($K$2972="","",IF(설정!$B$26="","",설정!$B$26))</f>
        <v/>
      </c>
      <c r="G2976" s="31">
        <f>IF(OR($K$2972="",설정!$B$26=""),"",INDEX(직원목록!$W$7:$W$306,$K$2972))</f>
        <v/>
      </c>
      <c r="H2976" s="19" t="n"/>
    </row>
    <row r="2977">
      <c r="B2977" s="4">
        <f>IF($K$2972="","",IF(설정!$B$18="","",설정!$B$18))</f>
        <v/>
      </c>
      <c r="C2977" s="31">
        <f>IF(OR($K$2972="",설정!$B$18=""),"",INDEX(직원목록!$G$7:$G$306,$K$2972))</f>
        <v/>
      </c>
      <c r="D2977" s="32">
        <f>IF(OR($K$2972="",설정!$B$18=""),"",IF(N(INDEX(직원목록!$O$7:$O$306,$K$2972))=0,"",INDEX(직원목록!$O$7:$O$306,$K$2972)&amp;"시간"))</f>
        <v/>
      </c>
      <c r="F2977" s="4">
        <f>IF($K$2972="","",IF(설정!$B$27="","",설정!$B$27))</f>
        <v/>
      </c>
      <c r="G2977" s="31">
        <f>IF(OR($K$2972="",설정!$B$27=""),"",INDEX(직원목록!$X$7:$X$306,$K$2972))</f>
        <v/>
      </c>
      <c r="H2977" s="19" t="n"/>
    </row>
    <row r="2978">
      <c r="B2978" s="4">
        <f>IF($K$2972="","",IF(설정!$B$19="","",설정!$B$19))</f>
        <v/>
      </c>
      <c r="C2978" s="31">
        <f>IF(OR($K$2972="",설정!$B$19=""),"",INDEX(직원목록!$H$7:$H$306,$K$2972))</f>
        <v/>
      </c>
      <c r="D2978" s="32">
        <f>IF(OR($K$2972="",설정!$B$19=""),"",IF(N(INDEX(직원목록!$P$7:$P$306,$K$2972))=0,"",INDEX(직원목록!$P$7:$P$306,$K$2972)&amp;"시간"))</f>
        <v/>
      </c>
      <c r="F2978" s="4">
        <f>IF($K$2972="","",IF(설정!$B$28="","",설정!$B$28))</f>
        <v/>
      </c>
      <c r="G2978" s="31">
        <f>IF(OR($K$2972="",설정!$B$28=""),"",INDEX(직원목록!$Y$7:$Y$306,$K$2972))</f>
        <v/>
      </c>
      <c r="H2978" s="19" t="n"/>
    </row>
    <row r="2979">
      <c r="B2979" s="4">
        <f>IF($K$2972="","",IF(설정!$B$20="","",설정!$B$20))</f>
        <v/>
      </c>
      <c r="C2979" s="31">
        <f>IF(OR($K$2972="",설정!$B$20=""),"",INDEX(직원목록!$I$7:$I$306,$K$2972))</f>
        <v/>
      </c>
      <c r="D2979" s="32">
        <f>IF(OR($K$2972="",설정!$B$20=""),"",IF(N(INDEX(직원목록!$Q$7:$Q$306,$K$2972))=0,"",INDEX(직원목록!$Q$7:$Q$306,$K$2972)&amp;"시간"))</f>
        <v/>
      </c>
      <c r="F2979" s="4">
        <f>IF($K$2972="","",IF(설정!$B$29="","",설정!$B$29))</f>
        <v/>
      </c>
      <c r="G2979" s="31">
        <f>IF(OR($K$2972="",설정!$B$29=""),"",INDEX(직원목록!$Z$7:$Z$306,$K$2972))</f>
        <v/>
      </c>
      <c r="H2979" s="19" t="n"/>
    </row>
    <row r="2980">
      <c r="B2980" s="4">
        <f>IF($K$2972="","",IF(설정!$B$21="","",설정!$B$21))</f>
        <v/>
      </c>
      <c r="C2980" s="31">
        <f>IF(OR($K$2972="",설정!$B$21=""),"",INDEX(직원목록!$J$7:$J$306,$K$2972))</f>
        <v/>
      </c>
      <c r="D2980" s="32">
        <f>IF(OR($K$2972="",설정!$B$21=""),"",IF(N(INDEX(직원목록!$R$7:$R$306,$K$2972))=0,"",INDEX(직원목록!$R$7:$R$306,$K$2972)&amp;"시간"))</f>
        <v/>
      </c>
      <c r="F2980" s="4">
        <f>IF($K$2972="","",IF(설정!$B$30="","",설정!$B$30))</f>
        <v/>
      </c>
      <c r="G2980" s="31">
        <f>IF(OR($K$2972="",설정!$B$30=""),"",INDEX(직원목록!$AA$7:$AA$306,$K$2972))</f>
        <v/>
      </c>
      <c r="H2980" s="19" t="n"/>
    </row>
    <row r="2981">
      <c r="B2981" s="4">
        <f>IF($K$2972="","",IF(설정!$B$22="","",설정!$B$22))</f>
        <v/>
      </c>
      <c r="C2981" s="31">
        <f>IF(OR($K$2972="",설정!$B$22=""),"",INDEX(직원목록!$K$7:$K$306,$K$2972))</f>
        <v/>
      </c>
      <c r="D2981" s="32">
        <f>IF(OR($K$2972="",설정!$B$22=""),"",IF(N(INDEX(직원목록!$S$7:$S$306,$K$2972))=0,"",INDEX(직원목록!$S$7:$S$306,$K$2972)&amp;"시간"))</f>
        <v/>
      </c>
      <c r="F2981" s="4">
        <f>IF($K$2972="","",IF(설정!$B$31="","",설정!$B$31))</f>
        <v/>
      </c>
      <c r="G2981" s="31">
        <f>IF(OR($K$2972="",설정!$B$31=""),"",INDEX(직원목록!$AB$7:$AB$306,$K$2972))</f>
        <v/>
      </c>
      <c r="H2981" s="19" t="n"/>
    </row>
    <row r="2982">
      <c r="B2982" s="4">
        <f>IF($K$2972="","",IF(설정!$B$23="","",설정!$B$23))</f>
        <v/>
      </c>
      <c r="C2982" s="31">
        <f>IF(OR($K$2972="",설정!$B$23=""),"",INDEX(직원목록!$L$7:$L$306,$K$2972))</f>
        <v/>
      </c>
      <c r="D2982" s="32">
        <f>IF(OR($K$2972="",설정!$B$23=""),"",IF(N(INDEX(직원목록!$T$7:$T$306,$K$2972))=0,"",INDEX(직원목록!$T$7:$T$306,$K$2972)&amp;"시간"))</f>
        <v/>
      </c>
      <c r="F2982" s="4">
        <f>IF($K$2972="","",IF(설정!$B$32="","",설정!$B$32))</f>
        <v/>
      </c>
      <c r="G2982" s="31">
        <f>IF(OR($K$2972="",설정!$B$32=""),"",INDEX(직원목록!$AC$7:$AC$306,$K$2972))</f>
        <v/>
      </c>
      <c r="H2982" s="19" t="n"/>
    </row>
    <row r="2983">
      <c r="B2983" s="4">
        <f>IF($K$2972="","",IF(설정!$B$24="","",설정!$B$24))</f>
        <v/>
      </c>
      <c r="C2983" s="31">
        <f>IF(OR($K$2972="",설정!$B$24=""),"",INDEX(직원목록!$M$7:$M$306,$K$2972))</f>
        <v/>
      </c>
      <c r="D2983" s="32">
        <f>IF(OR($K$2972="",설정!$B$24=""),"",IF(N(INDEX(직원목록!$U$7:$U$306,$K$2972))=0,"",INDEX(직원목록!$U$7:$U$306,$K$2972)&amp;"시간"))</f>
        <v/>
      </c>
      <c r="F2983" s="4">
        <f>IF($K$2972="","",IF(설정!$B$33="","",설정!$B$33))</f>
        <v/>
      </c>
      <c r="G2983" s="31">
        <f>IF(OR($K$2972="",설정!$B$33=""),"",INDEX(직원목록!$AD$7:$AD$306,$K$2972))</f>
        <v/>
      </c>
      <c r="H2983" s="19" t="n"/>
    </row>
    <row r="2984">
      <c r="B2984" s="3" t="inlineStr">
        <is>
          <t>지급 합계</t>
        </is>
      </c>
      <c r="C2984" s="35">
        <f>IF($K$2972="","",INDEX(직원목록!$V$7:$V$306,$K$2972))</f>
        <v/>
      </c>
      <c r="D2984" s="36" t="n"/>
      <c r="F2984" s="3" t="inlineStr">
        <is>
          <t>공제 합계</t>
        </is>
      </c>
      <c r="G2984" s="35">
        <f>IF($K$2972="","",INDEX(직원목록!$AE$7:$AE$306,$K$2972))</f>
        <v/>
      </c>
      <c r="H2984" s="36" t="n"/>
    </row>
    <row r="2985" ht="28" customHeight="1">
      <c r="B2985" s="37" t="inlineStr">
        <is>
          <t>실 수령액 (지급 합계 − 공제 합계)</t>
        </is>
      </c>
      <c r="C2985" s="29" t="n"/>
      <c r="D2985" s="29" t="n"/>
      <c r="E2985" s="38">
        <f>IF($K$2972="","",INDEX(직원목록!$AF$7:$AF$306,$K$2972))</f>
        <v/>
      </c>
      <c r="F2985" s="29" t="n"/>
      <c r="G2985" s="29" t="n"/>
      <c r="H2985" s="29" t="n"/>
    </row>
    <row r="2986">
      <c r="B2986" s="39">
        <f>IF($K$2972="","",설정!$B$7)</f>
        <v/>
      </c>
    </row>
  </sheetData>
  <mergeCells count="700">
    <mergeCell ref="E225:H225"/>
    <mergeCell ref="B2296:H2296"/>
    <mergeCell ref="C363:D363"/>
    <mergeCell ref="B2145:D2145"/>
    <mergeCell ref="B1606:H1606"/>
    <mergeCell ref="B765:D765"/>
    <mergeCell ref="E1455:H1455"/>
    <mergeCell ref="E1995:H1995"/>
    <mergeCell ref="B495:D495"/>
    <mergeCell ref="G2344:H2344"/>
    <mergeCell ref="C663:D663"/>
    <mergeCell ref="C1203:D1203"/>
    <mergeCell ref="E1755:H1755"/>
    <mergeCell ref="B2506:H2506"/>
    <mergeCell ref="C1653:D1653"/>
    <mergeCell ref="B1126:H1126"/>
    <mergeCell ref="G1653:H1653"/>
    <mergeCell ref="C2193:D2193"/>
    <mergeCell ref="C2883:D2883"/>
    <mergeCell ref="B2806:H2806"/>
    <mergeCell ref="B2222:H2222"/>
    <mergeCell ref="B1426:H1426"/>
    <mergeCell ref="B645:D645"/>
    <mergeCell ref="G1953:H1953"/>
    <mergeCell ref="B2672:H2672"/>
    <mergeCell ref="G633:H633"/>
    <mergeCell ref="B736:H736"/>
    <mergeCell ref="B1185:D1185"/>
    <mergeCell ref="G1173:H1173"/>
    <mergeCell ref="B2:H2"/>
    <mergeCell ref="E1125:H1125"/>
    <mergeCell ref="B1922:H1922"/>
    <mergeCell ref="B1726:H1726"/>
    <mergeCell ref="B945:D945"/>
    <mergeCell ref="C1023:D1023"/>
    <mergeCell ref="B2972:H2972"/>
    <mergeCell ref="G933:H933"/>
    <mergeCell ref="B1485:D1485"/>
    <mergeCell ref="G213:H213"/>
    <mergeCell ref="B1935:D1935"/>
    <mergeCell ref="C783:D783"/>
    <mergeCell ref="C1323:D1323"/>
    <mergeCell ref="C3:D3"/>
    <mergeCell ref="G513:H513"/>
    <mergeCell ref="C2553:D2553"/>
    <mergeCell ref="E375:H375"/>
    <mergeCell ref="G724:H724"/>
    <mergeCell ref="G2973:H2973"/>
    <mergeCell ref="B1802:H1802"/>
    <mergeCell ref="G2133:H2133"/>
    <mergeCell ref="E75:H75"/>
    <mergeCell ref="B2745:D2745"/>
    <mergeCell ref="G2673:H2673"/>
    <mergeCell ref="G2733:H2733"/>
    <mergeCell ref="G753:H753"/>
    <mergeCell ref="E675:H675"/>
    <mergeCell ref="B1666:H1666"/>
    <mergeCell ref="E1065:H1065"/>
    <mergeCell ref="B242:H242"/>
    <mergeCell ref="B1906:H1906"/>
    <mergeCell ref="E975:H975"/>
    <mergeCell ref="G2134:H2134"/>
    <mergeCell ref="E2295:H2295"/>
    <mergeCell ref="B1335:D1335"/>
    <mergeCell ref="E2895:H2895"/>
    <mergeCell ref="C1503:D1503"/>
    <mergeCell ref="C123:D123"/>
    <mergeCell ref="E2595:H2595"/>
    <mergeCell ref="C2493:D2493"/>
    <mergeCell ref="C423:D423"/>
    <mergeCell ref="B2522:H2522"/>
    <mergeCell ref="G964:H964"/>
    <mergeCell ref="B2762:H2762"/>
    <mergeCell ref="G2284:H2284"/>
    <mergeCell ref="B1846:H1846"/>
    <mergeCell ref="G1473:H1473"/>
    <mergeCell ref="E915:H915"/>
    <mergeCell ref="G1264:H1264"/>
    <mergeCell ref="E1425:H1425"/>
    <mergeCell ref="B735:D735"/>
    <mergeCell ref="G303:H303"/>
    <mergeCell ref="G2584:H2584"/>
    <mergeCell ref="B2836:H2836"/>
    <mergeCell ref="B1022:H1022"/>
    <mergeCell ref="B2146:H2146"/>
    <mergeCell ref="B1562:H1562"/>
    <mergeCell ref="B92:H92"/>
    <mergeCell ref="G1773:H1773"/>
    <mergeCell ref="B2746:H2746"/>
    <mergeCell ref="C1233:D1233"/>
    <mergeCell ref="B766:H766"/>
    <mergeCell ref="E1215:H1215"/>
    <mergeCell ref="E2535:H2535"/>
    <mergeCell ref="B76:H76"/>
    <mergeCell ref="B1035:D1035"/>
    <mergeCell ref="G2884:H2884"/>
    <mergeCell ref="B2552:H2552"/>
    <mergeCell ref="B1322:H1322"/>
    <mergeCell ref="B2446:H2446"/>
    <mergeCell ref="G2523:H2523"/>
    <mergeCell ref="E465:H465"/>
    <mergeCell ref="B1066:H1066"/>
    <mergeCell ref="B285:D285"/>
    <mergeCell ref="C2853:D2853"/>
    <mergeCell ref="E2835:H2835"/>
    <mergeCell ref="B1622:H1622"/>
    <mergeCell ref="B1966:H1966"/>
    <mergeCell ref="B1382:H1382"/>
    <mergeCell ref="B152:H152"/>
    <mergeCell ref="B1725:D1725"/>
    <mergeCell ref="G393:H393"/>
    <mergeCell ref="C1893:D1893"/>
    <mergeCell ref="B542:H542"/>
    <mergeCell ref="G64:H64"/>
    <mergeCell ref="B1142:H1142"/>
    <mergeCell ref="B165:D165"/>
    <mergeCell ref="B2266:H2266"/>
    <mergeCell ref="B1682:H1682"/>
    <mergeCell ref="G153:H153"/>
    <mergeCell ref="B452:H452"/>
    <mergeCell ref="B705:D705"/>
    <mergeCell ref="B2025:D2025"/>
    <mergeCell ref="B2085:D2085"/>
    <mergeCell ref="G2013:H2013"/>
    <mergeCell ref="G2073:H2073"/>
    <mergeCell ref="B2625:D2625"/>
    <mergeCell ref="E15:H15"/>
    <mergeCell ref="G364:H364"/>
    <mergeCell ref="G2613:H2613"/>
    <mergeCell ref="B2912:H2912"/>
    <mergeCell ref="B1442:H1442"/>
    <mergeCell ref="E555:H555"/>
    <mergeCell ref="E1965:H1965"/>
    <mergeCell ref="B1982:H1982"/>
    <mergeCell ref="E2565:H2565"/>
    <mergeCell ref="C543:D543"/>
    <mergeCell ref="B2325:D2325"/>
    <mergeCell ref="G2373:H2373"/>
    <mergeCell ref="B2925:D2925"/>
    <mergeCell ref="E315:H315"/>
    <mergeCell ref="E2175:H2175"/>
    <mergeCell ref="C843:D843"/>
    <mergeCell ref="G1804:H1804"/>
    <mergeCell ref="C1443:D1443"/>
    <mergeCell ref="B1366:H1366"/>
    <mergeCell ref="C1983:D1983"/>
    <mergeCell ref="G603:H603"/>
    <mergeCell ref="B1575:D1575"/>
    <mergeCell ref="G1143:H1143"/>
    <mergeCell ref="B1862:H1862"/>
    <mergeCell ref="G304:H304"/>
    <mergeCell ref="G1743:H1743"/>
    <mergeCell ref="B2986:H2986"/>
    <mergeCell ref="E2985:H2985"/>
    <mergeCell ref="E1515:H1515"/>
    <mergeCell ref="E2055:H2055"/>
    <mergeCell ref="B1875:D1875"/>
    <mergeCell ref="C213:D213"/>
    <mergeCell ref="C273:D273"/>
    <mergeCell ref="B2162:H2162"/>
    <mergeCell ref="G604:H604"/>
    <mergeCell ref="G1834:H1834"/>
    <mergeCell ref="C513:D513"/>
    <mergeCell ref="C573:D573"/>
    <mergeCell ref="C1113:D1113"/>
    <mergeCell ref="C2433:D2433"/>
    <mergeCell ref="C2943:D2943"/>
    <mergeCell ref="E1605:H1605"/>
    <mergeCell ref="G2824:H2824"/>
    <mergeCell ref="B2386:H2386"/>
    <mergeCell ref="B992:H992"/>
    <mergeCell ref="G693:H693"/>
    <mergeCell ref="C2733:D2733"/>
    <mergeCell ref="B316:H316"/>
    <mergeCell ref="G2463:H2463"/>
    <mergeCell ref="G2313:H2313"/>
    <mergeCell ref="G2913:H2913"/>
    <mergeCell ref="E855:H855"/>
    <mergeCell ref="B616:H616"/>
    <mergeCell ref="B32:H32"/>
    <mergeCell ref="G1324:H1324"/>
    <mergeCell ref="B1216:H1216"/>
    <mergeCell ref="C63:D63"/>
    <mergeCell ref="B482:H482"/>
    <mergeCell ref="E1155:H1155"/>
    <mergeCell ref="B1365:D1365"/>
    <mergeCell ref="G1353:H1353"/>
    <mergeCell ref="C1683:D1683"/>
    <mergeCell ref="B782:H782"/>
    <mergeCell ref="C2283:D2283"/>
    <mergeCell ref="E1905:H1905"/>
    <mergeCell ref="G844:H844"/>
    <mergeCell ref="B1665:D1665"/>
    <mergeCell ref="B2265:D2265"/>
    <mergeCell ref="G2043:H2043"/>
    <mergeCell ref="G1144:H1144"/>
    <mergeCell ref="B166:H166"/>
    <mergeCell ref="G183:H183"/>
    <mergeCell ref="E105:H105"/>
    <mergeCell ref="C723:D723"/>
    <mergeCell ref="B706:H706"/>
    <mergeCell ref="G904:H904"/>
    <mergeCell ref="G1444:H1444"/>
    <mergeCell ref="B466:H466"/>
    <mergeCell ref="G483:H483"/>
    <mergeCell ref="E405:H405"/>
    <mergeCell ref="B915:D915"/>
    <mergeCell ref="B1202:H1202"/>
    <mergeCell ref="B1006:H1006"/>
    <mergeCell ref="B225:D225"/>
    <mergeCell ref="G1083:H1083"/>
    <mergeCell ref="B1742:H1742"/>
    <mergeCell ref="B2326:H2326"/>
    <mergeCell ref="B2926:H2926"/>
    <mergeCell ref="C1413:D1413"/>
    <mergeCell ref="E1395:H1395"/>
    <mergeCell ref="B795:D795"/>
    <mergeCell ref="C1533:D1533"/>
    <mergeCell ref="B525:D525"/>
    <mergeCell ref="E2085:H2085"/>
    <mergeCell ref="B2626:H2626"/>
    <mergeCell ref="E2625:H2625"/>
    <mergeCell ref="B2445:D2445"/>
    <mergeCell ref="C1833:D1833"/>
    <mergeCell ref="B526:H526"/>
    <mergeCell ref="C453:D453"/>
    <mergeCell ref="B572:H572"/>
    <mergeCell ref="B1082:H1082"/>
    <mergeCell ref="G2763:H2763"/>
    <mergeCell ref="B1756:H1756"/>
    <mergeCell ref="C2823:D2823"/>
    <mergeCell ref="B826:H826"/>
    <mergeCell ref="B45:D45"/>
    <mergeCell ref="G33:H33"/>
    <mergeCell ref="B332:H332"/>
    <mergeCell ref="B585:D585"/>
    <mergeCell ref="G2494:H2494"/>
    <mergeCell ref="B872:H872"/>
    <mergeCell ref="C2073:D2073"/>
    <mergeCell ref="B932:H932"/>
    <mergeCell ref="B2702:H2702"/>
    <mergeCell ref="B2056:H2056"/>
    <mergeCell ref="B1275:D1275"/>
    <mergeCell ref="G2583:H2583"/>
    <mergeCell ref="E525:H525"/>
    <mergeCell ref="G1263:H1263"/>
    <mergeCell ref="B1815:D1815"/>
    <mergeCell ref="B345:D345"/>
    <mergeCell ref="G1803:H1803"/>
    <mergeCell ref="G333:H333"/>
    <mergeCell ref="B632:H632"/>
    <mergeCell ref="B885:D885"/>
    <mergeCell ref="E2445:H2445"/>
    <mergeCell ref="E1575:H1575"/>
    <mergeCell ref="B2356:H2356"/>
    <mergeCell ref="B2805:D2805"/>
    <mergeCell ref="G2793:H2793"/>
    <mergeCell ref="G1563:H1563"/>
    <mergeCell ref="B2115:D2115"/>
    <mergeCell ref="E2715:H2715"/>
    <mergeCell ref="C2973:D2973"/>
    <mergeCell ref="E2745:H2745"/>
    <mergeCell ref="B2565:D2565"/>
    <mergeCell ref="C1953:D1953"/>
    <mergeCell ref="C633:D633"/>
    <mergeCell ref="G1984:H1984"/>
    <mergeCell ref="C2163:D2163"/>
    <mergeCell ref="C933:D933"/>
    <mergeCell ref="G1623:H1623"/>
    <mergeCell ref="B2432:H2432"/>
    <mergeCell ref="E705:H705"/>
    <mergeCell ref="E1245:H1245"/>
    <mergeCell ref="G1383:H1383"/>
    <mergeCell ref="G2464:H2464"/>
    <mergeCell ref="G484:H484"/>
    <mergeCell ref="B2355:D2355"/>
    <mergeCell ref="G1923:H1923"/>
    <mergeCell ref="E1695:H1695"/>
    <mergeCell ref="B46:H46"/>
    <mergeCell ref="G394:H394"/>
    <mergeCell ref="B1472:H1472"/>
    <mergeCell ref="B2235:D2235"/>
    <mergeCell ref="G2764:H2764"/>
    <mergeCell ref="G784:H784"/>
    <mergeCell ref="E2925:H2925"/>
    <mergeCell ref="G2223:H2223"/>
    <mergeCell ref="G1384:H1384"/>
    <mergeCell ref="B346:H346"/>
    <mergeCell ref="C2133:D2133"/>
    <mergeCell ref="C2673:D2673"/>
    <mergeCell ref="C753:D753"/>
    <mergeCell ref="E735:H735"/>
    <mergeCell ref="G873:H873"/>
    <mergeCell ref="G1594:H1594"/>
    <mergeCell ref="G214:H214"/>
    <mergeCell ref="B422:H422"/>
    <mergeCell ref="G2103:H2103"/>
    <mergeCell ref="E1545:H1545"/>
    <mergeCell ref="G1894:H1894"/>
    <mergeCell ref="B1785:D1785"/>
    <mergeCell ref="B406:H406"/>
    <mergeCell ref="B212:H212"/>
    <mergeCell ref="B722:H722"/>
    <mergeCell ref="B1696:H1696"/>
    <mergeCell ref="G2403:H2403"/>
    <mergeCell ref="B1396:H1396"/>
    <mergeCell ref="E1845:H1845"/>
    <mergeCell ref="B2642:H2642"/>
    <mergeCell ref="G2104:H2104"/>
    <mergeCell ref="E1095:H1095"/>
    <mergeCell ref="C993:D993"/>
    <mergeCell ref="E165:H165"/>
    <mergeCell ref="C303:D303"/>
    <mergeCell ref="G723:H723"/>
    <mergeCell ref="C1293:D1293"/>
    <mergeCell ref="B1412:H1412"/>
    <mergeCell ref="G934:H934"/>
    <mergeCell ref="B2596:H2596"/>
    <mergeCell ref="B2012:H2012"/>
    <mergeCell ref="G4:H4"/>
    <mergeCell ref="E2145:H2145"/>
    <mergeCell ref="G1023:H1023"/>
    <mergeCell ref="C2523:D2523"/>
    <mergeCell ref="G2343:H2343"/>
    <mergeCell ref="G1924:H1924"/>
    <mergeCell ref="G694:H694"/>
    <mergeCell ref="B1712:H1712"/>
    <mergeCell ref="B946:H946"/>
    <mergeCell ref="B1772:H1772"/>
    <mergeCell ref="G1234:H1234"/>
    <mergeCell ref="B1486:H1486"/>
    <mergeCell ref="B2312:H2312"/>
    <mergeCell ref="G273:H273"/>
    <mergeCell ref="B2896:H2896"/>
    <mergeCell ref="B2655:D2655"/>
    <mergeCell ref="G2643:H2643"/>
    <mergeCell ref="G2703:H2703"/>
    <mergeCell ref="E585:H585"/>
    <mergeCell ref="G2224:H2224"/>
    <mergeCell ref="E645:H645"/>
    <mergeCell ref="B1186:H1186"/>
    <mergeCell ref="B2072:H2072"/>
    <mergeCell ref="E1185:H1185"/>
    <mergeCell ref="B1786:H1786"/>
    <mergeCell ref="B1005:D1005"/>
    <mergeCell ref="B2612:H2612"/>
    <mergeCell ref="B1292:H1292"/>
    <mergeCell ref="B2955:D2955"/>
    <mergeCell ref="E345:H345"/>
    <mergeCell ref="E945:H945"/>
    <mergeCell ref="E2805:H2805"/>
    <mergeCell ref="G2434:H2434"/>
    <mergeCell ref="C2013:D2013"/>
    <mergeCell ref="C93:D93"/>
    <mergeCell ref="G1054:H1054"/>
    <mergeCell ref="B2192:H2192"/>
    <mergeCell ref="B16:H16"/>
    <mergeCell ref="G184:H184"/>
    <mergeCell ref="C2613:D2613"/>
    <mergeCell ref="B1936:H1936"/>
    <mergeCell ref="B122:H122"/>
    <mergeCell ref="E2385:H2385"/>
    <mergeCell ref="B2205:D2205"/>
    <mergeCell ref="G2193:H2193"/>
    <mergeCell ref="E1005:H1005"/>
    <mergeCell ref="G1354:H1354"/>
    <mergeCell ref="B2492:H2492"/>
    <mergeCell ref="B825:D825"/>
    <mergeCell ref="B916:H916"/>
    <mergeCell ref="B135:D135"/>
    <mergeCell ref="B2882:H2882"/>
    <mergeCell ref="B2236:H2236"/>
    <mergeCell ref="G123:H123"/>
    <mergeCell ref="E2685:H2685"/>
    <mergeCell ref="E765:H765"/>
    <mergeCell ref="B2505:D2505"/>
    <mergeCell ref="C903:D903"/>
    <mergeCell ref="B2792:H2792"/>
    <mergeCell ref="E1305:H1305"/>
    <mergeCell ref="B1125:D1125"/>
    <mergeCell ref="B435:D435"/>
    <mergeCell ref="B2536:H2536"/>
    <mergeCell ref="G423:H423"/>
    <mergeCell ref="C1143:D1143"/>
    <mergeCell ref="C1743:D1743"/>
    <mergeCell ref="C1593:D1593"/>
    <mergeCell ref="G1323:H1323"/>
    <mergeCell ref="G1863:H1863"/>
    <mergeCell ref="G1534:H1534"/>
    <mergeCell ref="B2865:D2865"/>
    <mergeCell ref="E255:H255"/>
    <mergeCell ref="B1545:D1545"/>
    <mergeCell ref="C393:D393"/>
    <mergeCell ref="G2943:H2943"/>
    <mergeCell ref="G243:H243"/>
    <mergeCell ref="B375:D375"/>
    <mergeCell ref="E1485:H1485"/>
    <mergeCell ref="G2644:H2644"/>
    <mergeCell ref="B662:H662"/>
    <mergeCell ref="B1845:D1845"/>
    <mergeCell ref="C693:D693"/>
    <mergeCell ref="B1112:H1112"/>
    <mergeCell ref="G574:H574"/>
    <mergeCell ref="B1652:H1652"/>
    <mergeCell ref="E1785:H1785"/>
    <mergeCell ref="G2944:H2944"/>
    <mergeCell ref="C2913:D2913"/>
    <mergeCell ref="G154:H154"/>
    <mergeCell ref="G1474:H1474"/>
    <mergeCell ref="B2895:D2895"/>
    <mergeCell ref="B675:D675"/>
    <mergeCell ref="B1036:H1036"/>
    <mergeCell ref="G454:H454"/>
    <mergeCell ref="E615:H615"/>
    <mergeCell ref="G1774:H1774"/>
    <mergeCell ref="B2026:H2026"/>
    <mergeCell ref="C1353:D1353"/>
    <mergeCell ref="G2314:H2314"/>
    <mergeCell ref="B2852:H2852"/>
    <mergeCell ref="G2374:H2374"/>
    <mergeCell ref="B975:D975"/>
    <mergeCell ref="C1053:D1053"/>
    <mergeCell ref="B1336:H1336"/>
    <mergeCell ref="B602:H602"/>
    <mergeCell ref="E1725:H1725"/>
    <mergeCell ref="G2074:H2074"/>
    <mergeCell ref="B1965:D1965"/>
    <mergeCell ref="G2674:H2674"/>
    <mergeCell ref="B1832:H1832"/>
    <mergeCell ref="B1636:H1636"/>
    <mergeCell ref="G1713:H1713"/>
    <mergeCell ref="B2372:H2372"/>
    <mergeCell ref="B256:H256"/>
    <mergeCell ref="C2043:D2043"/>
    <mergeCell ref="E2025:H2025"/>
    <mergeCell ref="C183:D183"/>
    <mergeCell ref="G2974:H2974"/>
    <mergeCell ref="B2132:H2132"/>
    <mergeCell ref="B1156:H1156"/>
    <mergeCell ref="C483:D483"/>
    <mergeCell ref="G363:H363"/>
    <mergeCell ref="C1083:D1083"/>
    <mergeCell ref="B272:H272"/>
    <mergeCell ref="G1114:H1114"/>
    <mergeCell ref="B1456:H1456"/>
    <mergeCell ref="G1624:H1624"/>
    <mergeCell ref="B136:H136"/>
    <mergeCell ref="G663:H663"/>
    <mergeCell ref="B962:H962"/>
    <mergeCell ref="B1215:D1215"/>
    <mergeCell ref="B1996:H1996"/>
    <mergeCell ref="G1203:H1203"/>
    <mergeCell ref="B1502:H1502"/>
    <mergeCell ref="C2703:D2703"/>
    <mergeCell ref="B2686:H2686"/>
    <mergeCell ref="G874:H874"/>
    <mergeCell ref="B1952:H1952"/>
    <mergeCell ref="G1414:H1414"/>
    <mergeCell ref="G2433:H2433"/>
    <mergeCell ref="B436:H436"/>
    <mergeCell ref="G963:H963"/>
    <mergeCell ref="B1262:H1262"/>
    <mergeCell ref="B1515:D1515"/>
    <mergeCell ref="G2823:H2823"/>
    <mergeCell ref="G664:H664"/>
    <mergeCell ref="G2883:H2883"/>
    <mergeCell ref="E825:H825"/>
    <mergeCell ref="B2252:H2252"/>
    <mergeCell ref="E1365:H1365"/>
    <mergeCell ref="G1714:H1714"/>
    <mergeCell ref="C33:D33"/>
    <mergeCell ref="G994:H994"/>
    <mergeCell ref="B752:H752"/>
    <mergeCell ref="B556:H556"/>
    <mergeCell ref="G2914:H2914"/>
    <mergeCell ref="C2583:D2583"/>
    <mergeCell ref="B2476:H2476"/>
    <mergeCell ref="C333:D333"/>
    <mergeCell ref="G2614:H2614"/>
    <mergeCell ref="B1052:H1052"/>
    <mergeCell ref="C2253:D2253"/>
    <mergeCell ref="B2176:H2176"/>
    <mergeCell ref="C2793:D2793"/>
    <mergeCell ref="G2253:H2253"/>
    <mergeCell ref="G783:H783"/>
    <mergeCell ref="E195:H195"/>
    <mergeCell ref="B2776:H2776"/>
    <mergeCell ref="B15:D15"/>
    <mergeCell ref="B2042:H2042"/>
    <mergeCell ref="G3:H3"/>
    <mergeCell ref="B1065:D1065"/>
    <mergeCell ref="B2385:D2385"/>
    <mergeCell ref="B1352:H1352"/>
    <mergeCell ref="E1875:H1875"/>
    <mergeCell ref="B2985:D2985"/>
    <mergeCell ref="G2553:H2553"/>
    <mergeCell ref="E495:H495"/>
    <mergeCell ref="E2325:H2325"/>
    <mergeCell ref="B315:D315"/>
    <mergeCell ref="B676:H676"/>
    <mergeCell ref="E2865:H2865"/>
    <mergeCell ref="B2102:H2102"/>
    <mergeCell ref="B2685:D2685"/>
    <mergeCell ref="C1623:D1623"/>
    <mergeCell ref="G2853:H2853"/>
    <mergeCell ref="C153:D153"/>
    <mergeCell ref="E795:H795"/>
    <mergeCell ref="G2014:H2014"/>
    <mergeCell ref="B615:D615"/>
    <mergeCell ref="B976:H976"/>
    <mergeCell ref="B182:H182"/>
    <mergeCell ref="C1383:D1383"/>
    <mergeCell ref="C1923:D1923"/>
    <mergeCell ref="G1053:H1053"/>
    <mergeCell ref="B1172:H1172"/>
    <mergeCell ref="C2373:D2373"/>
    <mergeCell ref="G1503:H1503"/>
    <mergeCell ref="B2055:D2055"/>
    <mergeCell ref="G244:H244"/>
    <mergeCell ref="B496:H496"/>
    <mergeCell ref="B1276:H1276"/>
    <mergeCell ref="G544:H544"/>
    <mergeCell ref="B2415:D2415"/>
    <mergeCell ref="B796:H796"/>
    <mergeCell ref="C1173:D1173"/>
    <mergeCell ref="B302:H302"/>
    <mergeCell ref="B106:H106"/>
    <mergeCell ref="B555:D555"/>
    <mergeCell ref="G1504:H1504"/>
    <mergeCell ref="E1665:H1665"/>
    <mergeCell ref="G543:H543"/>
    <mergeCell ref="B842:H842"/>
    <mergeCell ref="B2835:D2835"/>
    <mergeCell ref="C873:D873"/>
    <mergeCell ref="G2734:H2734"/>
    <mergeCell ref="G754:H754"/>
    <mergeCell ref="B1096:H1096"/>
    <mergeCell ref="C1473:D1473"/>
    <mergeCell ref="G34:H34"/>
    <mergeCell ref="B855:D855"/>
    <mergeCell ref="C1773:D1773"/>
    <mergeCell ref="G1233:H1233"/>
    <mergeCell ref="G334:H334"/>
    <mergeCell ref="G1654:H1654"/>
    <mergeCell ref="G1564:H1564"/>
    <mergeCell ref="G94:H94"/>
    <mergeCell ref="G634:H634"/>
    <mergeCell ref="G1954:H1954"/>
    <mergeCell ref="B105:D105"/>
    <mergeCell ref="B392:H392"/>
    <mergeCell ref="B196:H196"/>
    <mergeCell ref="G2554:H2554"/>
    <mergeCell ref="B1516:H1516"/>
    <mergeCell ref="B2342:H2342"/>
    <mergeCell ref="B1576:H1576"/>
    <mergeCell ref="B2402:H2402"/>
    <mergeCell ref="G1864:H1864"/>
    <mergeCell ref="E45:H45"/>
    <mergeCell ref="B2116:H2116"/>
    <mergeCell ref="C603:D603"/>
    <mergeCell ref="G903:H903"/>
    <mergeCell ref="B2942:H2942"/>
    <mergeCell ref="G2254:H2254"/>
    <mergeCell ref="B405:D405"/>
    <mergeCell ref="B692:H692"/>
    <mergeCell ref="G2854:H2854"/>
    <mergeCell ref="B1905:D1905"/>
    <mergeCell ref="B1816:H1816"/>
    <mergeCell ref="B1876:H1876"/>
    <mergeCell ref="G1893:H1893"/>
    <mergeCell ref="E1815:H1815"/>
    <mergeCell ref="B2416:H2416"/>
    <mergeCell ref="C2223:D2223"/>
    <mergeCell ref="E2205:H2205"/>
    <mergeCell ref="E2265:H2265"/>
    <mergeCell ref="C2343:D2343"/>
    <mergeCell ref="E2505:H2505"/>
    <mergeCell ref="G1084:H1084"/>
    <mergeCell ref="C2643:D2643"/>
    <mergeCell ref="G1684:H1684"/>
    <mergeCell ref="B646:H646"/>
    <mergeCell ref="C1263:D1263"/>
    <mergeCell ref="B1892:H1892"/>
    <mergeCell ref="B1246:H1246"/>
    <mergeCell ref="B2566:H2566"/>
    <mergeCell ref="B512:H512"/>
    <mergeCell ref="E1035:H1035"/>
    <mergeCell ref="B75:D75"/>
    <mergeCell ref="E1635:H1635"/>
    <mergeCell ref="G843:H843"/>
    <mergeCell ref="B1395:D1395"/>
    <mergeCell ref="B1455:D1455"/>
    <mergeCell ref="G1443:H1443"/>
    <mergeCell ref="B1546:H1546"/>
    <mergeCell ref="B1995:D1995"/>
    <mergeCell ref="B2866:H2866"/>
    <mergeCell ref="G1983:H1983"/>
    <mergeCell ref="B812:H812"/>
    <mergeCell ref="E1335:H1335"/>
    <mergeCell ref="B1155:D1155"/>
    <mergeCell ref="E1935:H1935"/>
    <mergeCell ref="B1695:D1695"/>
    <mergeCell ref="B2732:H2732"/>
    <mergeCell ref="B1755:D1755"/>
    <mergeCell ref="B2295:D2295"/>
    <mergeCell ref="C2463:D2463"/>
    <mergeCell ref="E2235:H2235"/>
    <mergeCell ref="G1174:H1174"/>
    <mergeCell ref="C813:D813"/>
    <mergeCell ref="C2763:D2763"/>
    <mergeCell ref="G813:H813"/>
    <mergeCell ref="G2493:H2493"/>
    <mergeCell ref="G573:H573"/>
    <mergeCell ref="B1232:H1232"/>
    <mergeCell ref="B255:D255"/>
    <mergeCell ref="G2164:H2164"/>
    <mergeCell ref="G1113:H1113"/>
    <mergeCell ref="E2355:H2355"/>
    <mergeCell ref="G2704:H2704"/>
    <mergeCell ref="E885:H885"/>
    <mergeCell ref="B62:H62"/>
    <mergeCell ref="B2175:D2175"/>
    <mergeCell ref="G2163:H2163"/>
    <mergeCell ref="B1245:D1245"/>
    <mergeCell ref="B1425:D1425"/>
    <mergeCell ref="B1532:H1532"/>
    <mergeCell ref="E2115:H2115"/>
    <mergeCell ref="E135:H135"/>
    <mergeCell ref="B2716:H2716"/>
    <mergeCell ref="E2655:H2655"/>
    <mergeCell ref="B2475:D2475"/>
    <mergeCell ref="B856:H856"/>
    <mergeCell ref="G1204:H1204"/>
    <mergeCell ref="C1863:D1863"/>
    <mergeCell ref="B2282:H2282"/>
    <mergeCell ref="E2415:H2415"/>
    <mergeCell ref="E435:H435"/>
    <mergeCell ref="C1803:D1803"/>
    <mergeCell ref="C2313:D2313"/>
    <mergeCell ref="G2194:H2194"/>
    <mergeCell ref="B2775:D2775"/>
    <mergeCell ref="G993:H993"/>
    <mergeCell ref="C243:D243"/>
    <mergeCell ref="G63:H63"/>
    <mergeCell ref="C1563:D1563"/>
    <mergeCell ref="C2103:D2103"/>
    <mergeCell ref="B1305:D1305"/>
    <mergeCell ref="G1293:H1293"/>
    <mergeCell ref="B226:H226"/>
    <mergeCell ref="G1683:H1683"/>
    <mergeCell ref="G2404:H2404"/>
    <mergeCell ref="C2403:D2403"/>
    <mergeCell ref="B2656:H2656"/>
    <mergeCell ref="G2283:H2283"/>
    <mergeCell ref="G1024:H1024"/>
    <mergeCell ref="B1605:D1605"/>
    <mergeCell ref="G1593:H1593"/>
    <mergeCell ref="B586:H586"/>
    <mergeCell ref="E2775:H2775"/>
    <mergeCell ref="G1294:H1294"/>
    <mergeCell ref="B2595:D2595"/>
    <mergeCell ref="B2956:H2956"/>
    <mergeCell ref="B2462:H2462"/>
    <mergeCell ref="B2715:D2715"/>
    <mergeCell ref="B286:H286"/>
    <mergeCell ref="E285:H285"/>
    <mergeCell ref="B886:H886"/>
    <mergeCell ref="B2206:H2206"/>
    <mergeCell ref="G93:H93"/>
    <mergeCell ref="E1275:H1275"/>
    <mergeCell ref="C963:D963"/>
    <mergeCell ref="B1095:D1095"/>
    <mergeCell ref="B1635:D1635"/>
    <mergeCell ref="G124:H124"/>
    <mergeCell ref="G1413:H1413"/>
    <mergeCell ref="G514:H514"/>
    <mergeCell ref="C1713:D1713"/>
    <mergeCell ref="G1533:H1533"/>
    <mergeCell ref="B362:H362"/>
    <mergeCell ref="G2524:H2524"/>
    <mergeCell ref="B902:H902"/>
    <mergeCell ref="G424:H424"/>
    <mergeCell ref="G1744:H1744"/>
    <mergeCell ref="B2086:H2086"/>
    <mergeCell ref="G274:H274"/>
    <mergeCell ref="B2535:D2535"/>
    <mergeCell ref="B2822:H2822"/>
    <mergeCell ref="B1592:H1592"/>
    <mergeCell ref="G2794:H2794"/>
    <mergeCell ref="G814:H814"/>
    <mergeCell ref="E2955:H2955"/>
    <mergeCell ref="B1306:H1306"/>
    <mergeCell ref="G1833:H1833"/>
    <mergeCell ref="E2475:H2475"/>
    <mergeCell ref="B465:D465"/>
    <mergeCell ref="B376:H376"/>
    <mergeCell ref="G453:H453"/>
    <mergeCell ref="B2582:H2582"/>
    <mergeCell ref="G2044:H2044"/>
    <mergeCell ref="B195:D195"/>
  </mergeCells>
  <pageMargins left="0.75" right="0.75" top="1" bottom="1" header="0.5" footer="0.5"/>
  <pageSetup orientation="portrait" fitToHeight="0" fitToWidth="1"/>
  <rowBreaks count="99" manualBreakCount="99">
    <brk id="30" min="0" max="16383" man="1"/>
    <brk id="60" min="0" max="16383" man="1"/>
    <brk id="90" min="0" max="16383" man="1"/>
    <brk id="120" min="0" max="16383" man="1"/>
    <brk id="150" min="0" max="16383" man="1"/>
    <brk id="180" min="0" max="16383" man="1"/>
    <brk id="210" min="0" max="16383" man="1"/>
    <brk id="240" min="0" max="16383" man="1"/>
    <brk id="270" min="0" max="16383" man="1"/>
    <brk id="300" min="0" max="16383" man="1"/>
    <brk id="330" min="0" max="16383" man="1"/>
    <brk id="360" min="0" max="16383" man="1"/>
    <brk id="390" min="0" max="16383" man="1"/>
    <brk id="420" min="0" max="16383" man="1"/>
    <brk id="450" min="0" max="16383" man="1"/>
    <brk id="480" min="0" max="16383" man="1"/>
    <brk id="510" min="0" max="16383" man="1"/>
    <brk id="540" min="0" max="16383" man="1"/>
    <brk id="570" min="0" max="16383" man="1"/>
    <brk id="600" min="0" max="16383" man="1"/>
    <brk id="630" min="0" max="16383" man="1"/>
    <brk id="660" min="0" max="16383" man="1"/>
    <brk id="690" min="0" max="16383" man="1"/>
    <brk id="720" min="0" max="16383" man="1"/>
    <brk id="750" min="0" max="16383" man="1"/>
    <brk id="780" min="0" max="16383" man="1"/>
    <brk id="810" min="0" max="16383" man="1"/>
    <brk id="840" min="0" max="16383" man="1"/>
    <brk id="870" min="0" max="16383" man="1"/>
    <brk id="900" min="0" max="16383" man="1"/>
    <brk id="930" min="0" max="16383" man="1"/>
    <brk id="960" min="0" max="16383" man="1"/>
    <brk id="990" min="0" max="16383" man="1"/>
    <brk id="1020" min="0" max="16383" man="1"/>
    <brk id="1050" min="0" max="16383" man="1"/>
    <brk id="1080" min="0" max="16383" man="1"/>
    <brk id="1110" min="0" max="16383" man="1"/>
    <brk id="1140" min="0" max="16383" man="1"/>
    <brk id="1170" min="0" max="16383" man="1"/>
    <brk id="1200" min="0" max="16383" man="1"/>
    <brk id="1230" min="0" max="16383" man="1"/>
    <brk id="1260" min="0" max="16383" man="1"/>
    <brk id="1290" min="0" max="16383" man="1"/>
    <brk id="1320" min="0" max="16383" man="1"/>
    <brk id="1350" min="0" max="16383" man="1"/>
    <brk id="1380" min="0" max="16383" man="1"/>
    <brk id="1410" min="0" max="16383" man="1"/>
    <brk id="1440" min="0" max="16383" man="1"/>
    <brk id="1470" min="0" max="16383" man="1"/>
    <brk id="1500" min="0" max="16383" man="1"/>
    <brk id="1530" min="0" max="16383" man="1"/>
    <brk id="1560" min="0" max="16383" man="1"/>
    <brk id="1590" min="0" max="16383" man="1"/>
    <brk id="1620" min="0" max="16383" man="1"/>
    <brk id="1650" min="0" max="16383" man="1"/>
    <brk id="1680" min="0" max="16383" man="1"/>
    <brk id="1710" min="0" max="16383" man="1"/>
    <brk id="1740" min="0" max="16383" man="1"/>
    <brk id="1770" min="0" max="16383" man="1"/>
    <brk id="1800" min="0" max="16383" man="1"/>
    <brk id="1830" min="0" max="16383" man="1"/>
    <brk id="1860" min="0" max="16383" man="1"/>
    <brk id="1890" min="0" max="16383" man="1"/>
    <brk id="1920" min="0" max="16383" man="1"/>
    <brk id="1950" min="0" max="16383" man="1"/>
    <brk id="1980" min="0" max="16383" man="1"/>
    <brk id="2010" min="0" max="16383" man="1"/>
    <brk id="2040" min="0" max="16383" man="1"/>
    <brk id="2070" min="0" max="16383" man="1"/>
    <brk id="2100" min="0" max="16383" man="1"/>
    <brk id="2130" min="0" max="16383" man="1"/>
    <brk id="2160" min="0" max="16383" man="1"/>
    <brk id="2190" min="0" max="16383" man="1"/>
    <brk id="2220" min="0" max="16383" man="1"/>
    <brk id="2250" min="0" max="16383" man="1"/>
    <brk id="2280" min="0" max="16383" man="1"/>
    <brk id="2310" min="0" max="16383" man="1"/>
    <brk id="2340" min="0" max="16383" man="1"/>
    <brk id="2370" min="0" max="16383" man="1"/>
    <brk id="2400" min="0" max="16383" man="1"/>
    <brk id="2430" min="0" max="16383" man="1"/>
    <brk id="2460" min="0" max="16383" man="1"/>
    <brk id="2490" min="0" max="16383" man="1"/>
    <brk id="2520" min="0" max="16383" man="1"/>
    <brk id="2550" min="0" max="16383" man="1"/>
    <brk id="2580" min="0" max="16383" man="1"/>
    <brk id="2610" min="0" max="16383" man="1"/>
    <brk id="2640" min="0" max="16383" man="1"/>
    <brk id="2670" min="0" max="16383" man="1"/>
    <brk id="2700" min="0" max="16383" man="1"/>
    <brk id="2730" min="0" max="16383" man="1"/>
    <brk id="2760" min="0" max="16383" man="1"/>
    <brk id="2790" min="0" max="16383" man="1"/>
    <brk id="2820" min="0" max="16383" man="1"/>
    <brk id="2850" min="0" max="16383" man="1"/>
    <brk id="2880" min="0" max="16383" man="1"/>
    <brk id="2910" min="0" max="16383" man="1"/>
    <brk id="2940" min="0" max="16383" man="1"/>
    <brk id="2970" min="0" max="16383" man="1"/>
  </rowBreaks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A1:AJ3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40" t="inlineStr">
        <is>
          <t>직원목록 (자동 정리 · 건드리지 않는 시트)</t>
        </is>
      </c>
    </row>
    <row r="2">
      <c r="A2" s="2" t="inlineStr">
        <is>
          <t>급여대장 한 줄이 여기 한 줄입니다. 합계 줄·빈 줄은 자동으로 빠지고 순번이 매겨집니다.</t>
        </is>
      </c>
    </row>
    <row r="3">
      <c r="C3" s="6" t="inlineStr">
        <is>
          <t>인식 직원 수</t>
        </is>
      </c>
      <c r="D3" s="2">
        <f>MAX(B7:B306)</f>
        <v/>
      </c>
    </row>
    <row r="4">
      <c r="C4" s="6" t="inlineStr">
        <is>
          <t>예시 데이터 줄</t>
        </is>
      </c>
      <c r="D4" s="2">
        <f>COUNTIF(D7:D306,"가상직원*")</f>
        <v/>
      </c>
    </row>
    <row r="6">
      <c r="A6" s="12" t="inlineStr">
        <is>
          <t>유효</t>
        </is>
      </c>
      <c r="B6" s="12" t="inlineStr">
        <is>
          <t>순번</t>
        </is>
      </c>
      <c r="C6" s="12" t="inlineStr">
        <is>
          <t>사번</t>
        </is>
      </c>
      <c r="D6" s="12" t="inlineStr">
        <is>
          <t>성명</t>
        </is>
      </c>
      <c r="E6" s="12" t="inlineStr">
        <is>
          <t>부서</t>
        </is>
      </c>
      <c r="F6" s="12" t="inlineStr">
        <is>
          <t>지급1</t>
        </is>
      </c>
      <c r="G6" s="12" t="inlineStr">
        <is>
          <t>지급2</t>
        </is>
      </c>
      <c r="H6" s="12" t="inlineStr">
        <is>
          <t>지급3</t>
        </is>
      </c>
      <c r="I6" s="12" t="inlineStr">
        <is>
          <t>지급4</t>
        </is>
      </c>
      <c r="J6" s="12" t="inlineStr">
        <is>
          <t>지급5</t>
        </is>
      </c>
      <c r="K6" s="12" t="inlineStr">
        <is>
          <t>지급6</t>
        </is>
      </c>
      <c r="L6" s="12" t="inlineStr">
        <is>
          <t>지급7</t>
        </is>
      </c>
      <c r="M6" s="12" t="inlineStr">
        <is>
          <t>지급8</t>
        </is>
      </c>
      <c r="N6" s="12" t="inlineStr">
        <is>
          <t>지급1시간</t>
        </is>
      </c>
      <c r="O6" s="12" t="inlineStr">
        <is>
          <t>지급2시간</t>
        </is>
      </c>
      <c r="P6" s="12" t="inlineStr">
        <is>
          <t>지급3시간</t>
        </is>
      </c>
      <c r="Q6" s="12" t="inlineStr">
        <is>
          <t>지급4시간</t>
        </is>
      </c>
      <c r="R6" s="12" t="inlineStr">
        <is>
          <t>지급5시간</t>
        </is>
      </c>
      <c r="S6" s="12" t="inlineStr">
        <is>
          <t>지급6시간</t>
        </is>
      </c>
      <c r="T6" s="12" t="inlineStr">
        <is>
          <t>지급7시간</t>
        </is>
      </c>
      <c r="U6" s="12" t="inlineStr">
        <is>
          <t>지급8시간</t>
        </is>
      </c>
      <c r="V6" s="12" t="inlineStr">
        <is>
          <t>총지급</t>
        </is>
      </c>
      <c r="W6" s="12" t="inlineStr">
        <is>
          <t>공제1</t>
        </is>
      </c>
      <c r="X6" s="12" t="inlineStr">
        <is>
          <t>공제2</t>
        </is>
      </c>
      <c r="Y6" s="12" t="inlineStr">
        <is>
          <t>공제3</t>
        </is>
      </c>
      <c r="Z6" s="12" t="inlineStr">
        <is>
          <t>공제4</t>
        </is>
      </c>
      <c r="AA6" s="12" t="inlineStr">
        <is>
          <t>공제5</t>
        </is>
      </c>
      <c r="AB6" s="12" t="inlineStr">
        <is>
          <t>공제6</t>
        </is>
      </c>
      <c r="AC6" s="12" t="inlineStr">
        <is>
          <t>공제7</t>
        </is>
      </c>
      <c r="AD6" s="12" t="inlineStr">
        <is>
          <t>공제8</t>
        </is>
      </c>
      <c r="AE6" s="12" t="inlineStr">
        <is>
          <t>총공제</t>
        </is>
      </c>
      <c r="AF6" s="12" t="inlineStr">
        <is>
          <t>실수령</t>
        </is>
      </c>
      <c r="AG6" s="12" t="inlineStr">
        <is>
          <t>대장총지급</t>
        </is>
      </c>
      <c r="AH6" s="12" t="inlineStr">
        <is>
          <t>대장총공제</t>
        </is>
      </c>
      <c r="AI6" s="12" t="inlineStr">
        <is>
          <t>대장실수령</t>
        </is>
      </c>
      <c r="AJ6" s="12" t="inlineStr">
        <is>
          <t>명단</t>
        </is>
      </c>
    </row>
    <row r="7">
      <c r="A7" s="2">
        <f>IF(AND(D7&lt;&gt;"",D7&lt;&gt;"합계",D7&lt;&gt;"총계",D7&lt;&gt;"소계",D7&lt;&gt;"계"),1,0)</f>
        <v/>
      </c>
      <c r="B7" s="2">
        <f>IF(A7=1,SUM($A$7:A7),"")</f>
        <v/>
      </c>
      <c r="C7" s="2">
        <f>IF(설정!$D$13="","",TRIM(SUBSTITUTE(INDEX(급여대장_원본!$A$1:$AZ$400,(설정!$B$8+1),설정!$D$13)&amp;"","　"," ")))</f>
        <v/>
      </c>
      <c r="D7" s="2">
        <f>IF(설정!$D$14="","",TRIM(SUBSTITUTE(INDEX(급여대장_원본!$A$1:$AZ$400,(설정!$B$8+1),설정!$D$14)&amp;"","　"," ")))</f>
        <v/>
      </c>
      <c r="E7" s="2">
        <f>IF(설정!$D$15="","",TRIM(SUBSTITUTE(INDEX(급여대장_원본!$A$1:$AZ$400,(설정!$B$8+1),설정!$D$15)&amp;"","　"," ")))</f>
        <v/>
      </c>
      <c r="F7" s="27">
        <f>IF(설정!$D$17="",0,IFERROR(VALUE(SUBSTITUTE(SUBSTITUTE(INDEX(급여대장_원본!$A$1:$AZ$400,(설정!$B$8+1),설정!$D$17)&amp;"",",",""),"　","")),0))</f>
        <v/>
      </c>
      <c r="G7" s="27">
        <f>IF(설정!$D$18="",0,IFERROR(VALUE(SUBSTITUTE(SUBSTITUTE(INDEX(급여대장_원본!$A$1:$AZ$400,(설정!$B$8+1),설정!$D$18)&amp;"",",",""),"　","")),0))</f>
        <v/>
      </c>
      <c r="H7" s="27">
        <f>IF(설정!$D$19="",0,IFERROR(VALUE(SUBSTITUTE(SUBSTITUTE(INDEX(급여대장_원본!$A$1:$AZ$400,(설정!$B$8+1),설정!$D$19)&amp;"",",",""),"　","")),0))</f>
        <v/>
      </c>
      <c r="I7" s="27">
        <f>IF(설정!$D$20="",0,IFERROR(VALUE(SUBSTITUTE(SUBSTITUTE(INDEX(급여대장_원본!$A$1:$AZ$400,(설정!$B$8+1),설정!$D$20)&amp;"",",",""),"　","")),0))</f>
        <v/>
      </c>
      <c r="J7" s="27">
        <f>IF(설정!$D$21="",0,IFERROR(VALUE(SUBSTITUTE(SUBSTITUTE(INDEX(급여대장_원본!$A$1:$AZ$400,(설정!$B$8+1),설정!$D$21)&amp;"",",",""),"　","")),0))</f>
        <v/>
      </c>
      <c r="K7" s="27">
        <f>IF(설정!$D$22="",0,IFERROR(VALUE(SUBSTITUTE(SUBSTITUTE(INDEX(급여대장_원본!$A$1:$AZ$400,(설정!$B$8+1),설정!$D$22)&amp;"",",",""),"　","")),0))</f>
        <v/>
      </c>
      <c r="L7" s="27">
        <f>IF(설정!$D$23="",0,IFERROR(VALUE(SUBSTITUTE(SUBSTITUTE(INDEX(급여대장_원본!$A$1:$AZ$400,(설정!$B$8+1),설정!$D$23)&amp;"",",",""),"　","")),0))</f>
        <v/>
      </c>
      <c r="M7" s="27">
        <f>IF(설정!$D$24="",0,IFERROR(VALUE(SUBSTITUTE(SUBSTITUTE(INDEX(급여대장_원본!$A$1:$AZ$400,(설정!$B$8+1),설정!$D$24)&amp;"",",",""),"　","")),0))</f>
        <v/>
      </c>
      <c r="N7" s="2">
        <f>IF(OR(설정!$C$17="",IFERROR(MATCH(설정!$C$17,INDEX(급여대장_원본!$A$1:$AZ$400,설정!$B$8,0),0),"")=""),"",IFERROR(VALUE(SUBSTITUTE(INDEX(급여대장_원본!$A$1:$AZ$400,(설정!$B$8+1),IFERROR(MATCH(설정!$C$17,INDEX(급여대장_원본!$A$1:$AZ$400,설정!$B$8,0),0),""))&amp;"",",","")),""))</f>
        <v/>
      </c>
      <c r="O7" s="2">
        <f>IF(OR(설정!$C$18="",IFERROR(MATCH(설정!$C$18,INDEX(급여대장_원본!$A$1:$AZ$400,설정!$B$8,0),0),"")=""),"",IFERROR(VALUE(SUBSTITUTE(INDEX(급여대장_원본!$A$1:$AZ$400,(설정!$B$8+1),IFERROR(MATCH(설정!$C$18,INDEX(급여대장_원본!$A$1:$AZ$400,설정!$B$8,0),0),""))&amp;"",",","")),""))</f>
        <v/>
      </c>
      <c r="P7" s="2">
        <f>IF(OR(설정!$C$19="",IFERROR(MATCH(설정!$C$19,INDEX(급여대장_원본!$A$1:$AZ$400,설정!$B$8,0),0),"")=""),"",IFERROR(VALUE(SUBSTITUTE(INDEX(급여대장_원본!$A$1:$AZ$400,(설정!$B$8+1),IFERROR(MATCH(설정!$C$19,INDEX(급여대장_원본!$A$1:$AZ$400,설정!$B$8,0),0),""))&amp;"",",","")),""))</f>
        <v/>
      </c>
      <c r="Q7" s="2">
        <f>IF(OR(설정!$C$20="",IFERROR(MATCH(설정!$C$20,INDEX(급여대장_원본!$A$1:$AZ$400,설정!$B$8,0),0),"")=""),"",IFERROR(VALUE(SUBSTITUTE(INDEX(급여대장_원본!$A$1:$AZ$400,(설정!$B$8+1),IFERROR(MATCH(설정!$C$20,INDEX(급여대장_원본!$A$1:$AZ$400,설정!$B$8,0),0),""))&amp;"",",","")),""))</f>
        <v/>
      </c>
      <c r="R7" s="2">
        <f>IF(OR(설정!$C$21="",IFERROR(MATCH(설정!$C$21,INDEX(급여대장_원본!$A$1:$AZ$400,설정!$B$8,0),0),"")=""),"",IFERROR(VALUE(SUBSTITUTE(INDEX(급여대장_원본!$A$1:$AZ$400,(설정!$B$8+1),IFERROR(MATCH(설정!$C$21,INDEX(급여대장_원본!$A$1:$AZ$400,설정!$B$8,0),0),""))&amp;"",",","")),""))</f>
        <v/>
      </c>
      <c r="S7" s="2">
        <f>IF(OR(설정!$C$22="",IFERROR(MATCH(설정!$C$22,INDEX(급여대장_원본!$A$1:$AZ$400,설정!$B$8,0),0),"")=""),"",IFERROR(VALUE(SUBSTITUTE(INDEX(급여대장_원본!$A$1:$AZ$400,(설정!$B$8+1),IFERROR(MATCH(설정!$C$22,INDEX(급여대장_원본!$A$1:$AZ$400,설정!$B$8,0),0),""))&amp;"",",","")),""))</f>
        <v/>
      </c>
      <c r="T7" s="2">
        <f>IF(OR(설정!$C$23="",IFERROR(MATCH(설정!$C$23,INDEX(급여대장_원본!$A$1:$AZ$400,설정!$B$8,0),0),"")=""),"",IFERROR(VALUE(SUBSTITUTE(INDEX(급여대장_원본!$A$1:$AZ$400,(설정!$B$8+1),IFERROR(MATCH(설정!$C$23,INDEX(급여대장_원본!$A$1:$AZ$400,설정!$B$8,0),0),""))&amp;"",",","")),""))</f>
        <v/>
      </c>
      <c r="U7" s="2">
        <f>IF(OR(설정!$C$24="",IFERROR(MATCH(설정!$C$24,INDEX(급여대장_원본!$A$1:$AZ$400,설정!$B$8,0),0),"")=""),"",IFERROR(VALUE(SUBSTITUTE(INDEX(급여대장_원본!$A$1:$AZ$400,(설정!$B$8+1),IFERROR(MATCH(설정!$C$24,INDEX(급여대장_원본!$A$1:$AZ$400,설정!$B$8,0),0),""))&amp;"",",","")),""))</f>
        <v/>
      </c>
      <c r="V7" s="27">
        <f>SUM(F7:M7)</f>
        <v/>
      </c>
      <c r="W7" s="27">
        <f>IF(설정!$D$26="",0,IFERROR(VALUE(SUBSTITUTE(SUBSTITUTE(INDEX(급여대장_원본!$A$1:$AZ$400,(설정!$B$8+1),설정!$D$26)&amp;"",",",""),"　","")),0))</f>
        <v/>
      </c>
      <c r="X7" s="27">
        <f>IF(설정!$D$27="",0,IFERROR(VALUE(SUBSTITUTE(SUBSTITUTE(INDEX(급여대장_원본!$A$1:$AZ$400,(설정!$B$8+1),설정!$D$27)&amp;"",",",""),"　","")),0))</f>
        <v/>
      </c>
      <c r="Y7" s="27">
        <f>IF(설정!$D$28="",0,IFERROR(VALUE(SUBSTITUTE(SUBSTITUTE(INDEX(급여대장_원본!$A$1:$AZ$400,(설정!$B$8+1),설정!$D$28)&amp;"",",",""),"　","")),0))</f>
        <v/>
      </c>
      <c r="Z7" s="27">
        <f>IF(설정!$D$29="",0,IFERROR(VALUE(SUBSTITUTE(SUBSTITUTE(INDEX(급여대장_원본!$A$1:$AZ$400,(설정!$B$8+1),설정!$D$29)&amp;"",",",""),"　","")),0))</f>
        <v/>
      </c>
      <c r="AA7" s="27">
        <f>IF(설정!$D$30="",0,IFERROR(VALUE(SUBSTITUTE(SUBSTITUTE(INDEX(급여대장_원본!$A$1:$AZ$400,(설정!$B$8+1),설정!$D$30)&amp;"",",",""),"　","")),0))</f>
        <v/>
      </c>
      <c r="AB7" s="27">
        <f>IF(설정!$D$31="",0,IFERROR(VALUE(SUBSTITUTE(SUBSTITUTE(INDEX(급여대장_원본!$A$1:$AZ$400,(설정!$B$8+1),설정!$D$31)&amp;"",",",""),"　","")),0))</f>
        <v/>
      </c>
      <c r="AC7" s="27">
        <f>IF(설정!$D$32="",0,IFERROR(VALUE(SUBSTITUTE(SUBSTITUTE(INDEX(급여대장_원본!$A$1:$AZ$400,(설정!$B$8+1),설정!$D$32)&amp;"",",",""),"　","")),0))</f>
        <v/>
      </c>
      <c r="AD7" s="27">
        <f>IF(설정!$D$33="",0,IFERROR(VALUE(SUBSTITUTE(SUBSTITUTE(INDEX(급여대장_원본!$A$1:$AZ$400,(설정!$B$8+1),설정!$D$33)&amp;"",",",""),"　","")),0))</f>
        <v/>
      </c>
      <c r="AE7" s="27">
        <f>SUM(W7:AD7)</f>
        <v/>
      </c>
      <c r="AF7" s="27">
        <f>V7-AE7</f>
        <v/>
      </c>
      <c r="AG7" s="27">
        <f>IF(설정!$D$35="","",IF(설정!$D$35="",0,IFERROR(VALUE(SUBSTITUTE(SUBSTITUTE(INDEX(급여대장_원본!$A$1:$AZ$400,(설정!$B$8+1),설정!$D$35)&amp;"",",",""),"　","")),0)))</f>
        <v/>
      </c>
      <c r="AH7" s="27">
        <f>IF(설정!$D$36="","",IF(설정!$D$36="",0,IFERROR(VALUE(SUBSTITUTE(SUBSTITUTE(INDEX(급여대장_원본!$A$1:$AZ$400,(설정!$B$8+1),설정!$D$36)&amp;"",",",""),"　","")),0)))</f>
        <v/>
      </c>
      <c r="AI7" s="27">
        <f>IF(설정!$D$37="","",IF(설정!$D$37="",0,IFERROR(VALUE(SUBSTITUTE(SUBSTITUTE(INDEX(급여대장_원본!$A$1:$AZ$400,(설정!$B$8+1),설정!$D$37)&amp;"",",",""),"　","")),0)))</f>
        <v/>
      </c>
      <c r="AJ7" s="2">
        <f>IFERROR(INDEX($D$7:$D$306,MATCH(1,$B$7:$B$306,0)),"")</f>
        <v/>
      </c>
    </row>
    <row r="8">
      <c r="A8" s="2">
        <f>IF(AND(D8&lt;&gt;"",D8&lt;&gt;"합계",D8&lt;&gt;"총계",D8&lt;&gt;"소계",D8&lt;&gt;"계"),1,0)</f>
        <v/>
      </c>
      <c r="B8" s="2">
        <f>IF(A8=1,SUM($A$7:A8),"")</f>
        <v/>
      </c>
      <c r="C8" s="2">
        <f>IF(설정!$D$13="","",TRIM(SUBSTITUTE(INDEX(급여대장_원본!$A$1:$AZ$400,(설정!$B$8+2),설정!$D$13)&amp;"","　"," ")))</f>
        <v/>
      </c>
      <c r="D8" s="2">
        <f>IF(설정!$D$14="","",TRIM(SUBSTITUTE(INDEX(급여대장_원본!$A$1:$AZ$400,(설정!$B$8+2),설정!$D$14)&amp;"","　"," ")))</f>
        <v/>
      </c>
      <c r="E8" s="2">
        <f>IF(설정!$D$15="","",TRIM(SUBSTITUTE(INDEX(급여대장_원본!$A$1:$AZ$400,(설정!$B$8+2),설정!$D$15)&amp;"","　"," ")))</f>
        <v/>
      </c>
      <c r="F8" s="27">
        <f>IF(설정!$D$17="",0,IFERROR(VALUE(SUBSTITUTE(SUBSTITUTE(INDEX(급여대장_원본!$A$1:$AZ$400,(설정!$B$8+2),설정!$D$17)&amp;"",",",""),"　","")),0))</f>
        <v/>
      </c>
      <c r="G8" s="27">
        <f>IF(설정!$D$18="",0,IFERROR(VALUE(SUBSTITUTE(SUBSTITUTE(INDEX(급여대장_원본!$A$1:$AZ$400,(설정!$B$8+2),설정!$D$18)&amp;"",",",""),"　","")),0))</f>
        <v/>
      </c>
      <c r="H8" s="27">
        <f>IF(설정!$D$19="",0,IFERROR(VALUE(SUBSTITUTE(SUBSTITUTE(INDEX(급여대장_원본!$A$1:$AZ$400,(설정!$B$8+2),설정!$D$19)&amp;"",",",""),"　","")),0))</f>
        <v/>
      </c>
      <c r="I8" s="27">
        <f>IF(설정!$D$20="",0,IFERROR(VALUE(SUBSTITUTE(SUBSTITUTE(INDEX(급여대장_원본!$A$1:$AZ$400,(설정!$B$8+2),설정!$D$20)&amp;"",",",""),"　","")),0))</f>
        <v/>
      </c>
      <c r="J8" s="27">
        <f>IF(설정!$D$21="",0,IFERROR(VALUE(SUBSTITUTE(SUBSTITUTE(INDEX(급여대장_원본!$A$1:$AZ$400,(설정!$B$8+2),설정!$D$21)&amp;"",",",""),"　","")),0))</f>
        <v/>
      </c>
      <c r="K8" s="27">
        <f>IF(설정!$D$22="",0,IFERROR(VALUE(SUBSTITUTE(SUBSTITUTE(INDEX(급여대장_원본!$A$1:$AZ$400,(설정!$B$8+2),설정!$D$22)&amp;"",",",""),"　","")),0))</f>
        <v/>
      </c>
      <c r="L8" s="27">
        <f>IF(설정!$D$23="",0,IFERROR(VALUE(SUBSTITUTE(SUBSTITUTE(INDEX(급여대장_원본!$A$1:$AZ$400,(설정!$B$8+2),설정!$D$23)&amp;"",",",""),"　","")),0))</f>
        <v/>
      </c>
      <c r="M8" s="27">
        <f>IF(설정!$D$24="",0,IFERROR(VALUE(SUBSTITUTE(SUBSTITUTE(INDEX(급여대장_원본!$A$1:$AZ$400,(설정!$B$8+2),설정!$D$24)&amp;"",",",""),"　","")),0))</f>
        <v/>
      </c>
      <c r="N8" s="2">
        <f>IF(OR(설정!$C$17="",IFERROR(MATCH(설정!$C$17,INDEX(급여대장_원본!$A$1:$AZ$400,설정!$B$8,0),0),"")=""),"",IFERROR(VALUE(SUBSTITUTE(INDEX(급여대장_원본!$A$1:$AZ$400,(설정!$B$8+2),IFERROR(MATCH(설정!$C$17,INDEX(급여대장_원본!$A$1:$AZ$400,설정!$B$8,0),0),""))&amp;"",",","")),""))</f>
        <v/>
      </c>
      <c r="O8" s="2">
        <f>IF(OR(설정!$C$18="",IFERROR(MATCH(설정!$C$18,INDEX(급여대장_원본!$A$1:$AZ$400,설정!$B$8,0),0),"")=""),"",IFERROR(VALUE(SUBSTITUTE(INDEX(급여대장_원본!$A$1:$AZ$400,(설정!$B$8+2),IFERROR(MATCH(설정!$C$18,INDEX(급여대장_원본!$A$1:$AZ$400,설정!$B$8,0),0),""))&amp;"",",","")),""))</f>
        <v/>
      </c>
      <c r="P8" s="2">
        <f>IF(OR(설정!$C$19="",IFERROR(MATCH(설정!$C$19,INDEX(급여대장_원본!$A$1:$AZ$400,설정!$B$8,0),0),"")=""),"",IFERROR(VALUE(SUBSTITUTE(INDEX(급여대장_원본!$A$1:$AZ$400,(설정!$B$8+2),IFERROR(MATCH(설정!$C$19,INDEX(급여대장_원본!$A$1:$AZ$400,설정!$B$8,0),0),""))&amp;"",",","")),""))</f>
        <v/>
      </c>
      <c r="Q8" s="2">
        <f>IF(OR(설정!$C$20="",IFERROR(MATCH(설정!$C$20,INDEX(급여대장_원본!$A$1:$AZ$400,설정!$B$8,0),0),"")=""),"",IFERROR(VALUE(SUBSTITUTE(INDEX(급여대장_원본!$A$1:$AZ$400,(설정!$B$8+2),IFERROR(MATCH(설정!$C$20,INDEX(급여대장_원본!$A$1:$AZ$400,설정!$B$8,0),0),""))&amp;"",",","")),""))</f>
        <v/>
      </c>
      <c r="R8" s="2">
        <f>IF(OR(설정!$C$21="",IFERROR(MATCH(설정!$C$21,INDEX(급여대장_원본!$A$1:$AZ$400,설정!$B$8,0),0),"")=""),"",IFERROR(VALUE(SUBSTITUTE(INDEX(급여대장_원본!$A$1:$AZ$400,(설정!$B$8+2),IFERROR(MATCH(설정!$C$21,INDEX(급여대장_원본!$A$1:$AZ$400,설정!$B$8,0),0),""))&amp;"",",","")),""))</f>
        <v/>
      </c>
      <c r="S8" s="2">
        <f>IF(OR(설정!$C$22="",IFERROR(MATCH(설정!$C$22,INDEX(급여대장_원본!$A$1:$AZ$400,설정!$B$8,0),0),"")=""),"",IFERROR(VALUE(SUBSTITUTE(INDEX(급여대장_원본!$A$1:$AZ$400,(설정!$B$8+2),IFERROR(MATCH(설정!$C$22,INDEX(급여대장_원본!$A$1:$AZ$400,설정!$B$8,0),0),""))&amp;"",",","")),""))</f>
        <v/>
      </c>
      <c r="T8" s="2">
        <f>IF(OR(설정!$C$23="",IFERROR(MATCH(설정!$C$23,INDEX(급여대장_원본!$A$1:$AZ$400,설정!$B$8,0),0),"")=""),"",IFERROR(VALUE(SUBSTITUTE(INDEX(급여대장_원본!$A$1:$AZ$400,(설정!$B$8+2),IFERROR(MATCH(설정!$C$23,INDEX(급여대장_원본!$A$1:$AZ$400,설정!$B$8,0),0),""))&amp;"",",","")),""))</f>
        <v/>
      </c>
      <c r="U8" s="2">
        <f>IF(OR(설정!$C$24="",IFERROR(MATCH(설정!$C$24,INDEX(급여대장_원본!$A$1:$AZ$400,설정!$B$8,0),0),"")=""),"",IFERROR(VALUE(SUBSTITUTE(INDEX(급여대장_원본!$A$1:$AZ$400,(설정!$B$8+2),IFERROR(MATCH(설정!$C$24,INDEX(급여대장_원본!$A$1:$AZ$400,설정!$B$8,0),0),""))&amp;"",",","")),""))</f>
        <v/>
      </c>
      <c r="V8" s="27">
        <f>SUM(F8:M8)</f>
        <v/>
      </c>
      <c r="W8" s="27">
        <f>IF(설정!$D$26="",0,IFERROR(VALUE(SUBSTITUTE(SUBSTITUTE(INDEX(급여대장_원본!$A$1:$AZ$400,(설정!$B$8+2),설정!$D$26)&amp;"",",",""),"　","")),0))</f>
        <v/>
      </c>
      <c r="X8" s="27">
        <f>IF(설정!$D$27="",0,IFERROR(VALUE(SUBSTITUTE(SUBSTITUTE(INDEX(급여대장_원본!$A$1:$AZ$400,(설정!$B$8+2),설정!$D$27)&amp;"",",",""),"　","")),0))</f>
        <v/>
      </c>
      <c r="Y8" s="27">
        <f>IF(설정!$D$28="",0,IFERROR(VALUE(SUBSTITUTE(SUBSTITUTE(INDEX(급여대장_원본!$A$1:$AZ$400,(설정!$B$8+2),설정!$D$28)&amp;"",",",""),"　","")),0))</f>
        <v/>
      </c>
      <c r="Z8" s="27">
        <f>IF(설정!$D$29="",0,IFERROR(VALUE(SUBSTITUTE(SUBSTITUTE(INDEX(급여대장_원본!$A$1:$AZ$400,(설정!$B$8+2),설정!$D$29)&amp;"",",",""),"　","")),0))</f>
        <v/>
      </c>
      <c r="AA8" s="27">
        <f>IF(설정!$D$30="",0,IFERROR(VALUE(SUBSTITUTE(SUBSTITUTE(INDEX(급여대장_원본!$A$1:$AZ$400,(설정!$B$8+2),설정!$D$30)&amp;"",",",""),"　","")),0))</f>
        <v/>
      </c>
      <c r="AB8" s="27">
        <f>IF(설정!$D$31="",0,IFERROR(VALUE(SUBSTITUTE(SUBSTITUTE(INDEX(급여대장_원본!$A$1:$AZ$400,(설정!$B$8+2),설정!$D$31)&amp;"",",",""),"　","")),0))</f>
        <v/>
      </c>
      <c r="AC8" s="27">
        <f>IF(설정!$D$32="",0,IFERROR(VALUE(SUBSTITUTE(SUBSTITUTE(INDEX(급여대장_원본!$A$1:$AZ$400,(설정!$B$8+2),설정!$D$32)&amp;"",",",""),"　","")),0))</f>
        <v/>
      </c>
      <c r="AD8" s="27">
        <f>IF(설정!$D$33="",0,IFERROR(VALUE(SUBSTITUTE(SUBSTITUTE(INDEX(급여대장_원본!$A$1:$AZ$400,(설정!$B$8+2),설정!$D$33)&amp;"",",",""),"　","")),0))</f>
        <v/>
      </c>
      <c r="AE8" s="27">
        <f>SUM(W8:AD8)</f>
        <v/>
      </c>
      <c r="AF8" s="27">
        <f>V8-AE8</f>
        <v/>
      </c>
      <c r="AG8" s="27">
        <f>IF(설정!$D$35="","",IF(설정!$D$35="",0,IFERROR(VALUE(SUBSTITUTE(SUBSTITUTE(INDEX(급여대장_원본!$A$1:$AZ$400,(설정!$B$8+2),설정!$D$35)&amp;"",",",""),"　","")),0)))</f>
        <v/>
      </c>
      <c r="AH8" s="27">
        <f>IF(설정!$D$36="","",IF(설정!$D$36="",0,IFERROR(VALUE(SUBSTITUTE(SUBSTITUTE(INDEX(급여대장_원본!$A$1:$AZ$400,(설정!$B$8+2),설정!$D$36)&amp;"",",",""),"　","")),0)))</f>
        <v/>
      </c>
      <c r="AI8" s="27">
        <f>IF(설정!$D$37="","",IF(설정!$D$37="",0,IFERROR(VALUE(SUBSTITUTE(SUBSTITUTE(INDEX(급여대장_원본!$A$1:$AZ$400,(설정!$B$8+2),설정!$D$37)&amp;"",",",""),"　","")),0)))</f>
        <v/>
      </c>
      <c r="AJ8" s="2">
        <f>IFERROR(INDEX($D$7:$D$306,MATCH(2,$B$7:$B$306,0)),"")</f>
        <v/>
      </c>
    </row>
    <row r="9">
      <c r="A9" s="2">
        <f>IF(AND(D9&lt;&gt;"",D9&lt;&gt;"합계",D9&lt;&gt;"총계",D9&lt;&gt;"소계",D9&lt;&gt;"계"),1,0)</f>
        <v/>
      </c>
      <c r="B9" s="2">
        <f>IF(A9=1,SUM($A$7:A9),"")</f>
        <v/>
      </c>
      <c r="C9" s="2">
        <f>IF(설정!$D$13="","",TRIM(SUBSTITUTE(INDEX(급여대장_원본!$A$1:$AZ$400,(설정!$B$8+3),설정!$D$13)&amp;"","　"," ")))</f>
        <v/>
      </c>
      <c r="D9" s="2">
        <f>IF(설정!$D$14="","",TRIM(SUBSTITUTE(INDEX(급여대장_원본!$A$1:$AZ$400,(설정!$B$8+3),설정!$D$14)&amp;"","　"," ")))</f>
        <v/>
      </c>
      <c r="E9" s="2">
        <f>IF(설정!$D$15="","",TRIM(SUBSTITUTE(INDEX(급여대장_원본!$A$1:$AZ$400,(설정!$B$8+3),설정!$D$15)&amp;"","　"," ")))</f>
        <v/>
      </c>
      <c r="F9" s="27">
        <f>IF(설정!$D$17="",0,IFERROR(VALUE(SUBSTITUTE(SUBSTITUTE(INDEX(급여대장_원본!$A$1:$AZ$400,(설정!$B$8+3),설정!$D$17)&amp;"",",",""),"　","")),0))</f>
        <v/>
      </c>
      <c r="G9" s="27">
        <f>IF(설정!$D$18="",0,IFERROR(VALUE(SUBSTITUTE(SUBSTITUTE(INDEX(급여대장_원본!$A$1:$AZ$400,(설정!$B$8+3),설정!$D$18)&amp;"",",",""),"　","")),0))</f>
        <v/>
      </c>
      <c r="H9" s="27">
        <f>IF(설정!$D$19="",0,IFERROR(VALUE(SUBSTITUTE(SUBSTITUTE(INDEX(급여대장_원본!$A$1:$AZ$400,(설정!$B$8+3),설정!$D$19)&amp;"",",",""),"　","")),0))</f>
        <v/>
      </c>
      <c r="I9" s="27">
        <f>IF(설정!$D$20="",0,IFERROR(VALUE(SUBSTITUTE(SUBSTITUTE(INDEX(급여대장_원본!$A$1:$AZ$400,(설정!$B$8+3),설정!$D$20)&amp;"",",",""),"　","")),0))</f>
        <v/>
      </c>
      <c r="J9" s="27">
        <f>IF(설정!$D$21="",0,IFERROR(VALUE(SUBSTITUTE(SUBSTITUTE(INDEX(급여대장_원본!$A$1:$AZ$400,(설정!$B$8+3),설정!$D$21)&amp;"",",",""),"　","")),0))</f>
        <v/>
      </c>
      <c r="K9" s="27">
        <f>IF(설정!$D$22="",0,IFERROR(VALUE(SUBSTITUTE(SUBSTITUTE(INDEX(급여대장_원본!$A$1:$AZ$400,(설정!$B$8+3),설정!$D$22)&amp;"",",",""),"　","")),0))</f>
        <v/>
      </c>
      <c r="L9" s="27">
        <f>IF(설정!$D$23="",0,IFERROR(VALUE(SUBSTITUTE(SUBSTITUTE(INDEX(급여대장_원본!$A$1:$AZ$400,(설정!$B$8+3),설정!$D$23)&amp;"",",",""),"　","")),0))</f>
        <v/>
      </c>
      <c r="M9" s="27">
        <f>IF(설정!$D$24="",0,IFERROR(VALUE(SUBSTITUTE(SUBSTITUTE(INDEX(급여대장_원본!$A$1:$AZ$400,(설정!$B$8+3),설정!$D$24)&amp;"",",",""),"　","")),0))</f>
        <v/>
      </c>
      <c r="N9" s="2">
        <f>IF(OR(설정!$C$17="",IFERROR(MATCH(설정!$C$17,INDEX(급여대장_원본!$A$1:$AZ$400,설정!$B$8,0),0),"")=""),"",IFERROR(VALUE(SUBSTITUTE(INDEX(급여대장_원본!$A$1:$AZ$400,(설정!$B$8+3),IFERROR(MATCH(설정!$C$17,INDEX(급여대장_원본!$A$1:$AZ$400,설정!$B$8,0),0),""))&amp;"",",","")),""))</f>
        <v/>
      </c>
      <c r="O9" s="2">
        <f>IF(OR(설정!$C$18="",IFERROR(MATCH(설정!$C$18,INDEX(급여대장_원본!$A$1:$AZ$400,설정!$B$8,0),0),"")=""),"",IFERROR(VALUE(SUBSTITUTE(INDEX(급여대장_원본!$A$1:$AZ$400,(설정!$B$8+3),IFERROR(MATCH(설정!$C$18,INDEX(급여대장_원본!$A$1:$AZ$400,설정!$B$8,0),0),""))&amp;"",",","")),""))</f>
        <v/>
      </c>
      <c r="P9" s="2">
        <f>IF(OR(설정!$C$19="",IFERROR(MATCH(설정!$C$19,INDEX(급여대장_원본!$A$1:$AZ$400,설정!$B$8,0),0),"")=""),"",IFERROR(VALUE(SUBSTITUTE(INDEX(급여대장_원본!$A$1:$AZ$400,(설정!$B$8+3),IFERROR(MATCH(설정!$C$19,INDEX(급여대장_원본!$A$1:$AZ$400,설정!$B$8,0),0),""))&amp;"",",","")),""))</f>
        <v/>
      </c>
      <c r="Q9" s="2">
        <f>IF(OR(설정!$C$20="",IFERROR(MATCH(설정!$C$20,INDEX(급여대장_원본!$A$1:$AZ$400,설정!$B$8,0),0),"")=""),"",IFERROR(VALUE(SUBSTITUTE(INDEX(급여대장_원본!$A$1:$AZ$400,(설정!$B$8+3),IFERROR(MATCH(설정!$C$20,INDEX(급여대장_원본!$A$1:$AZ$400,설정!$B$8,0),0),""))&amp;"",",","")),""))</f>
        <v/>
      </c>
      <c r="R9" s="2">
        <f>IF(OR(설정!$C$21="",IFERROR(MATCH(설정!$C$21,INDEX(급여대장_원본!$A$1:$AZ$400,설정!$B$8,0),0),"")=""),"",IFERROR(VALUE(SUBSTITUTE(INDEX(급여대장_원본!$A$1:$AZ$400,(설정!$B$8+3),IFERROR(MATCH(설정!$C$21,INDEX(급여대장_원본!$A$1:$AZ$400,설정!$B$8,0),0),""))&amp;"",",","")),""))</f>
        <v/>
      </c>
      <c r="S9" s="2">
        <f>IF(OR(설정!$C$22="",IFERROR(MATCH(설정!$C$22,INDEX(급여대장_원본!$A$1:$AZ$400,설정!$B$8,0),0),"")=""),"",IFERROR(VALUE(SUBSTITUTE(INDEX(급여대장_원본!$A$1:$AZ$400,(설정!$B$8+3),IFERROR(MATCH(설정!$C$22,INDEX(급여대장_원본!$A$1:$AZ$400,설정!$B$8,0),0),""))&amp;"",",","")),""))</f>
        <v/>
      </c>
      <c r="T9" s="2">
        <f>IF(OR(설정!$C$23="",IFERROR(MATCH(설정!$C$23,INDEX(급여대장_원본!$A$1:$AZ$400,설정!$B$8,0),0),"")=""),"",IFERROR(VALUE(SUBSTITUTE(INDEX(급여대장_원본!$A$1:$AZ$400,(설정!$B$8+3),IFERROR(MATCH(설정!$C$23,INDEX(급여대장_원본!$A$1:$AZ$400,설정!$B$8,0),0),""))&amp;"",",","")),""))</f>
        <v/>
      </c>
      <c r="U9" s="2">
        <f>IF(OR(설정!$C$24="",IFERROR(MATCH(설정!$C$24,INDEX(급여대장_원본!$A$1:$AZ$400,설정!$B$8,0),0),"")=""),"",IFERROR(VALUE(SUBSTITUTE(INDEX(급여대장_원본!$A$1:$AZ$400,(설정!$B$8+3),IFERROR(MATCH(설정!$C$24,INDEX(급여대장_원본!$A$1:$AZ$400,설정!$B$8,0),0),""))&amp;"",",","")),""))</f>
        <v/>
      </c>
      <c r="V9" s="27">
        <f>SUM(F9:M9)</f>
        <v/>
      </c>
      <c r="W9" s="27">
        <f>IF(설정!$D$26="",0,IFERROR(VALUE(SUBSTITUTE(SUBSTITUTE(INDEX(급여대장_원본!$A$1:$AZ$400,(설정!$B$8+3),설정!$D$26)&amp;"",",",""),"　","")),0))</f>
        <v/>
      </c>
      <c r="X9" s="27">
        <f>IF(설정!$D$27="",0,IFERROR(VALUE(SUBSTITUTE(SUBSTITUTE(INDEX(급여대장_원본!$A$1:$AZ$400,(설정!$B$8+3),설정!$D$27)&amp;"",",",""),"　","")),0))</f>
        <v/>
      </c>
      <c r="Y9" s="27">
        <f>IF(설정!$D$28="",0,IFERROR(VALUE(SUBSTITUTE(SUBSTITUTE(INDEX(급여대장_원본!$A$1:$AZ$400,(설정!$B$8+3),설정!$D$28)&amp;"",",",""),"　","")),0))</f>
        <v/>
      </c>
      <c r="Z9" s="27">
        <f>IF(설정!$D$29="",0,IFERROR(VALUE(SUBSTITUTE(SUBSTITUTE(INDEX(급여대장_원본!$A$1:$AZ$400,(설정!$B$8+3),설정!$D$29)&amp;"",",",""),"　","")),0))</f>
        <v/>
      </c>
      <c r="AA9" s="27">
        <f>IF(설정!$D$30="",0,IFERROR(VALUE(SUBSTITUTE(SUBSTITUTE(INDEX(급여대장_원본!$A$1:$AZ$400,(설정!$B$8+3),설정!$D$30)&amp;"",",",""),"　","")),0))</f>
        <v/>
      </c>
      <c r="AB9" s="27">
        <f>IF(설정!$D$31="",0,IFERROR(VALUE(SUBSTITUTE(SUBSTITUTE(INDEX(급여대장_원본!$A$1:$AZ$400,(설정!$B$8+3),설정!$D$31)&amp;"",",",""),"　","")),0))</f>
        <v/>
      </c>
      <c r="AC9" s="27">
        <f>IF(설정!$D$32="",0,IFERROR(VALUE(SUBSTITUTE(SUBSTITUTE(INDEX(급여대장_원본!$A$1:$AZ$400,(설정!$B$8+3),설정!$D$32)&amp;"",",",""),"　","")),0))</f>
        <v/>
      </c>
      <c r="AD9" s="27">
        <f>IF(설정!$D$33="",0,IFERROR(VALUE(SUBSTITUTE(SUBSTITUTE(INDEX(급여대장_원본!$A$1:$AZ$400,(설정!$B$8+3),설정!$D$33)&amp;"",",",""),"　","")),0))</f>
        <v/>
      </c>
      <c r="AE9" s="27">
        <f>SUM(W9:AD9)</f>
        <v/>
      </c>
      <c r="AF9" s="27">
        <f>V9-AE9</f>
        <v/>
      </c>
      <c r="AG9" s="27">
        <f>IF(설정!$D$35="","",IF(설정!$D$35="",0,IFERROR(VALUE(SUBSTITUTE(SUBSTITUTE(INDEX(급여대장_원본!$A$1:$AZ$400,(설정!$B$8+3),설정!$D$35)&amp;"",",",""),"　","")),0)))</f>
        <v/>
      </c>
      <c r="AH9" s="27">
        <f>IF(설정!$D$36="","",IF(설정!$D$36="",0,IFERROR(VALUE(SUBSTITUTE(SUBSTITUTE(INDEX(급여대장_원본!$A$1:$AZ$400,(설정!$B$8+3),설정!$D$36)&amp;"",",",""),"　","")),0)))</f>
        <v/>
      </c>
      <c r="AI9" s="27">
        <f>IF(설정!$D$37="","",IF(설정!$D$37="",0,IFERROR(VALUE(SUBSTITUTE(SUBSTITUTE(INDEX(급여대장_원본!$A$1:$AZ$400,(설정!$B$8+3),설정!$D$37)&amp;"",",",""),"　","")),0)))</f>
        <v/>
      </c>
      <c r="AJ9" s="2">
        <f>IFERROR(INDEX($D$7:$D$306,MATCH(3,$B$7:$B$306,0)),"")</f>
        <v/>
      </c>
    </row>
    <row r="10">
      <c r="A10" s="2">
        <f>IF(AND(D10&lt;&gt;"",D10&lt;&gt;"합계",D10&lt;&gt;"총계",D10&lt;&gt;"소계",D10&lt;&gt;"계"),1,0)</f>
        <v/>
      </c>
      <c r="B10" s="2">
        <f>IF(A10=1,SUM($A$7:A10),"")</f>
        <v/>
      </c>
      <c r="C10" s="2">
        <f>IF(설정!$D$13="","",TRIM(SUBSTITUTE(INDEX(급여대장_원본!$A$1:$AZ$400,(설정!$B$8+4),설정!$D$13)&amp;"","　"," ")))</f>
        <v/>
      </c>
      <c r="D10" s="2">
        <f>IF(설정!$D$14="","",TRIM(SUBSTITUTE(INDEX(급여대장_원본!$A$1:$AZ$400,(설정!$B$8+4),설정!$D$14)&amp;"","　"," ")))</f>
        <v/>
      </c>
      <c r="E10" s="2">
        <f>IF(설정!$D$15="","",TRIM(SUBSTITUTE(INDEX(급여대장_원본!$A$1:$AZ$400,(설정!$B$8+4),설정!$D$15)&amp;"","　"," ")))</f>
        <v/>
      </c>
      <c r="F10" s="27">
        <f>IF(설정!$D$17="",0,IFERROR(VALUE(SUBSTITUTE(SUBSTITUTE(INDEX(급여대장_원본!$A$1:$AZ$400,(설정!$B$8+4),설정!$D$17)&amp;"",",",""),"　","")),0))</f>
        <v/>
      </c>
      <c r="G10" s="27">
        <f>IF(설정!$D$18="",0,IFERROR(VALUE(SUBSTITUTE(SUBSTITUTE(INDEX(급여대장_원본!$A$1:$AZ$400,(설정!$B$8+4),설정!$D$18)&amp;"",",",""),"　","")),0))</f>
        <v/>
      </c>
      <c r="H10" s="27">
        <f>IF(설정!$D$19="",0,IFERROR(VALUE(SUBSTITUTE(SUBSTITUTE(INDEX(급여대장_원본!$A$1:$AZ$400,(설정!$B$8+4),설정!$D$19)&amp;"",",",""),"　","")),0))</f>
        <v/>
      </c>
      <c r="I10" s="27">
        <f>IF(설정!$D$20="",0,IFERROR(VALUE(SUBSTITUTE(SUBSTITUTE(INDEX(급여대장_원본!$A$1:$AZ$400,(설정!$B$8+4),설정!$D$20)&amp;"",",",""),"　","")),0))</f>
        <v/>
      </c>
      <c r="J10" s="27">
        <f>IF(설정!$D$21="",0,IFERROR(VALUE(SUBSTITUTE(SUBSTITUTE(INDEX(급여대장_원본!$A$1:$AZ$400,(설정!$B$8+4),설정!$D$21)&amp;"",",",""),"　","")),0))</f>
        <v/>
      </c>
      <c r="K10" s="27">
        <f>IF(설정!$D$22="",0,IFERROR(VALUE(SUBSTITUTE(SUBSTITUTE(INDEX(급여대장_원본!$A$1:$AZ$400,(설정!$B$8+4),설정!$D$22)&amp;"",",",""),"　","")),0))</f>
        <v/>
      </c>
      <c r="L10" s="27">
        <f>IF(설정!$D$23="",0,IFERROR(VALUE(SUBSTITUTE(SUBSTITUTE(INDEX(급여대장_원본!$A$1:$AZ$400,(설정!$B$8+4),설정!$D$23)&amp;"",",",""),"　","")),0))</f>
        <v/>
      </c>
      <c r="M10" s="27">
        <f>IF(설정!$D$24="",0,IFERROR(VALUE(SUBSTITUTE(SUBSTITUTE(INDEX(급여대장_원본!$A$1:$AZ$400,(설정!$B$8+4),설정!$D$24)&amp;"",",",""),"　","")),0))</f>
        <v/>
      </c>
      <c r="N10" s="2">
        <f>IF(OR(설정!$C$17="",IFERROR(MATCH(설정!$C$17,INDEX(급여대장_원본!$A$1:$AZ$400,설정!$B$8,0),0),"")=""),"",IFERROR(VALUE(SUBSTITUTE(INDEX(급여대장_원본!$A$1:$AZ$400,(설정!$B$8+4),IFERROR(MATCH(설정!$C$17,INDEX(급여대장_원본!$A$1:$AZ$400,설정!$B$8,0),0),""))&amp;"",",","")),""))</f>
        <v/>
      </c>
      <c r="O10" s="2">
        <f>IF(OR(설정!$C$18="",IFERROR(MATCH(설정!$C$18,INDEX(급여대장_원본!$A$1:$AZ$400,설정!$B$8,0),0),"")=""),"",IFERROR(VALUE(SUBSTITUTE(INDEX(급여대장_원본!$A$1:$AZ$400,(설정!$B$8+4),IFERROR(MATCH(설정!$C$18,INDEX(급여대장_원본!$A$1:$AZ$400,설정!$B$8,0),0),""))&amp;"",",","")),""))</f>
        <v/>
      </c>
      <c r="P10" s="2">
        <f>IF(OR(설정!$C$19="",IFERROR(MATCH(설정!$C$19,INDEX(급여대장_원본!$A$1:$AZ$400,설정!$B$8,0),0),"")=""),"",IFERROR(VALUE(SUBSTITUTE(INDEX(급여대장_원본!$A$1:$AZ$400,(설정!$B$8+4),IFERROR(MATCH(설정!$C$19,INDEX(급여대장_원본!$A$1:$AZ$400,설정!$B$8,0),0),""))&amp;"",",","")),""))</f>
        <v/>
      </c>
      <c r="Q10" s="2">
        <f>IF(OR(설정!$C$20="",IFERROR(MATCH(설정!$C$20,INDEX(급여대장_원본!$A$1:$AZ$400,설정!$B$8,0),0),"")=""),"",IFERROR(VALUE(SUBSTITUTE(INDEX(급여대장_원본!$A$1:$AZ$400,(설정!$B$8+4),IFERROR(MATCH(설정!$C$20,INDEX(급여대장_원본!$A$1:$AZ$400,설정!$B$8,0),0),""))&amp;"",",","")),""))</f>
        <v/>
      </c>
      <c r="R10" s="2">
        <f>IF(OR(설정!$C$21="",IFERROR(MATCH(설정!$C$21,INDEX(급여대장_원본!$A$1:$AZ$400,설정!$B$8,0),0),"")=""),"",IFERROR(VALUE(SUBSTITUTE(INDEX(급여대장_원본!$A$1:$AZ$400,(설정!$B$8+4),IFERROR(MATCH(설정!$C$21,INDEX(급여대장_원본!$A$1:$AZ$400,설정!$B$8,0),0),""))&amp;"",",","")),""))</f>
        <v/>
      </c>
      <c r="S10" s="2">
        <f>IF(OR(설정!$C$22="",IFERROR(MATCH(설정!$C$22,INDEX(급여대장_원본!$A$1:$AZ$400,설정!$B$8,0),0),"")=""),"",IFERROR(VALUE(SUBSTITUTE(INDEX(급여대장_원본!$A$1:$AZ$400,(설정!$B$8+4),IFERROR(MATCH(설정!$C$22,INDEX(급여대장_원본!$A$1:$AZ$400,설정!$B$8,0),0),""))&amp;"",",","")),""))</f>
        <v/>
      </c>
      <c r="T10" s="2">
        <f>IF(OR(설정!$C$23="",IFERROR(MATCH(설정!$C$23,INDEX(급여대장_원본!$A$1:$AZ$400,설정!$B$8,0),0),"")=""),"",IFERROR(VALUE(SUBSTITUTE(INDEX(급여대장_원본!$A$1:$AZ$400,(설정!$B$8+4),IFERROR(MATCH(설정!$C$23,INDEX(급여대장_원본!$A$1:$AZ$400,설정!$B$8,0),0),""))&amp;"",",","")),""))</f>
        <v/>
      </c>
      <c r="U10" s="2">
        <f>IF(OR(설정!$C$24="",IFERROR(MATCH(설정!$C$24,INDEX(급여대장_원본!$A$1:$AZ$400,설정!$B$8,0),0),"")=""),"",IFERROR(VALUE(SUBSTITUTE(INDEX(급여대장_원본!$A$1:$AZ$400,(설정!$B$8+4),IFERROR(MATCH(설정!$C$24,INDEX(급여대장_원본!$A$1:$AZ$400,설정!$B$8,0),0),""))&amp;"",",","")),""))</f>
        <v/>
      </c>
      <c r="V10" s="27">
        <f>SUM(F10:M10)</f>
        <v/>
      </c>
      <c r="W10" s="27">
        <f>IF(설정!$D$26="",0,IFERROR(VALUE(SUBSTITUTE(SUBSTITUTE(INDEX(급여대장_원본!$A$1:$AZ$400,(설정!$B$8+4),설정!$D$26)&amp;"",",",""),"　","")),0))</f>
        <v/>
      </c>
      <c r="X10" s="27">
        <f>IF(설정!$D$27="",0,IFERROR(VALUE(SUBSTITUTE(SUBSTITUTE(INDEX(급여대장_원본!$A$1:$AZ$400,(설정!$B$8+4),설정!$D$27)&amp;"",",",""),"　","")),0))</f>
        <v/>
      </c>
      <c r="Y10" s="27">
        <f>IF(설정!$D$28="",0,IFERROR(VALUE(SUBSTITUTE(SUBSTITUTE(INDEX(급여대장_원본!$A$1:$AZ$400,(설정!$B$8+4),설정!$D$28)&amp;"",",",""),"　","")),0))</f>
        <v/>
      </c>
      <c r="Z10" s="27">
        <f>IF(설정!$D$29="",0,IFERROR(VALUE(SUBSTITUTE(SUBSTITUTE(INDEX(급여대장_원본!$A$1:$AZ$400,(설정!$B$8+4),설정!$D$29)&amp;"",",",""),"　","")),0))</f>
        <v/>
      </c>
      <c r="AA10" s="27">
        <f>IF(설정!$D$30="",0,IFERROR(VALUE(SUBSTITUTE(SUBSTITUTE(INDEX(급여대장_원본!$A$1:$AZ$400,(설정!$B$8+4),설정!$D$30)&amp;"",",",""),"　","")),0))</f>
        <v/>
      </c>
      <c r="AB10" s="27">
        <f>IF(설정!$D$31="",0,IFERROR(VALUE(SUBSTITUTE(SUBSTITUTE(INDEX(급여대장_원본!$A$1:$AZ$400,(설정!$B$8+4),설정!$D$31)&amp;"",",",""),"　","")),0))</f>
        <v/>
      </c>
      <c r="AC10" s="27">
        <f>IF(설정!$D$32="",0,IFERROR(VALUE(SUBSTITUTE(SUBSTITUTE(INDEX(급여대장_원본!$A$1:$AZ$400,(설정!$B$8+4),설정!$D$32)&amp;"",",",""),"　","")),0))</f>
        <v/>
      </c>
      <c r="AD10" s="27">
        <f>IF(설정!$D$33="",0,IFERROR(VALUE(SUBSTITUTE(SUBSTITUTE(INDEX(급여대장_원본!$A$1:$AZ$400,(설정!$B$8+4),설정!$D$33)&amp;"",",",""),"　","")),0))</f>
        <v/>
      </c>
      <c r="AE10" s="27">
        <f>SUM(W10:AD10)</f>
        <v/>
      </c>
      <c r="AF10" s="27">
        <f>V10-AE10</f>
        <v/>
      </c>
      <c r="AG10" s="27">
        <f>IF(설정!$D$35="","",IF(설정!$D$35="",0,IFERROR(VALUE(SUBSTITUTE(SUBSTITUTE(INDEX(급여대장_원본!$A$1:$AZ$400,(설정!$B$8+4),설정!$D$35)&amp;"",",",""),"　","")),0)))</f>
        <v/>
      </c>
      <c r="AH10" s="27">
        <f>IF(설정!$D$36="","",IF(설정!$D$36="",0,IFERROR(VALUE(SUBSTITUTE(SUBSTITUTE(INDEX(급여대장_원본!$A$1:$AZ$400,(설정!$B$8+4),설정!$D$36)&amp;"",",",""),"　","")),0)))</f>
        <v/>
      </c>
      <c r="AI10" s="27">
        <f>IF(설정!$D$37="","",IF(설정!$D$37="",0,IFERROR(VALUE(SUBSTITUTE(SUBSTITUTE(INDEX(급여대장_원본!$A$1:$AZ$400,(설정!$B$8+4),설정!$D$37)&amp;"",",",""),"　","")),0)))</f>
        <v/>
      </c>
      <c r="AJ10" s="2">
        <f>IFERROR(INDEX($D$7:$D$306,MATCH(4,$B$7:$B$306,0)),"")</f>
        <v/>
      </c>
    </row>
    <row r="11">
      <c r="A11" s="2">
        <f>IF(AND(D11&lt;&gt;"",D11&lt;&gt;"합계",D11&lt;&gt;"총계",D11&lt;&gt;"소계",D11&lt;&gt;"계"),1,0)</f>
        <v/>
      </c>
      <c r="B11" s="2">
        <f>IF(A11=1,SUM($A$7:A11),"")</f>
        <v/>
      </c>
      <c r="C11" s="2">
        <f>IF(설정!$D$13="","",TRIM(SUBSTITUTE(INDEX(급여대장_원본!$A$1:$AZ$400,(설정!$B$8+5),설정!$D$13)&amp;"","　"," ")))</f>
        <v/>
      </c>
      <c r="D11" s="2">
        <f>IF(설정!$D$14="","",TRIM(SUBSTITUTE(INDEX(급여대장_원본!$A$1:$AZ$400,(설정!$B$8+5),설정!$D$14)&amp;"","　"," ")))</f>
        <v/>
      </c>
      <c r="E11" s="2">
        <f>IF(설정!$D$15="","",TRIM(SUBSTITUTE(INDEX(급여대장_원본!$A$1:$AZ$400,(설정!$B$8+5),설정!$D$15)&amp;"","　"," ")))</f>
        <v/>
      </c>
      <c r="F11" s="27">
        <f>IF(설정!$D$17="",0,IFERROR(VALUE(SUBSTITUTE(SUBSTITUTE(INDEX(급여대장_원본!$A$1:$AZ$400,(설정!$B$8+5),설정!$D$17)&amp;"",",",""),"　","")),0))</f>
        <v/>
      </c>
      <c r="G11" s="27">
        <f>IF(설정!$D$18="",0,IFERROR(VALUE(SUBSTITUTE(SUBSTITUTE(INDEX(급여대장_원본!$A$1:$AZ$400,(설정!$B$8+5),설정!$D$18)&amp;"",",",""),"　","")),0))</f>
        <v/>
      </c>
      <c r="H11" s="27">
        <f>IF(설정!$D$19="",0,IFERROR(VALUE(SUBSTITUTE(SUBSTITUTE(INDEX(급여대장_원본!$A$1:$AZ$400,(설정!$B$8+5),설정!$D$19)&amp;"",",",""),"　","")),0))</f>
        <v/>
      </c>
      <c r="I11" s="27">
        <f>IF(설정!$D$20="",0,IFERROR(VALUE(SUBSTITUTE(SUBSTITUTE(INDEX(급여대장_원본!$A$1:$AZ$400,(설정!$B$8+5),설정!$D$20)&amp;"",",",""),"　","")),0))</f>
        <v/>
      </c>
      <c r="J11" s="27">
        <f>IF(설정!$D$21="",0,IFERROR(VALUE(SUBSTITUTE(SUBSTITUTE(INDEX(급여대장_원본!$A$1:$AZ$400,(설정!$B$8+5),설정!$D$21)&amp;"",",",""),"　","")),0))</f>
        <v/>
      </c>
      <c r="K11" s="27">
        <f>IF(설정!$D$22="",0,IFERROR(VALUE(SUBSTITUTE(SUBSTITUTE(INDEX(급여대장_원본!$A$1:$AZ$400,(설정!$B$8+5),설정!$D$22)&amp;"",",",""),"　","")),0))</f>
        <v/>
      </c>
      <c r="L11" s="27">
        <f>IF(설정!$D$23="",0,IFERROR(VALUE(SUBSTITUTE(SUBSTITUTE(INDEX(급여대장_원본!$A$1:$AZ$400,(설정!$B$8+5),설정!$D$23)&amp;"",",",""),"　","")),0))</f>
        <v/>
      </c>
      <c r="M11" s="27">
        <f>IF(설정!$D$24="",0,IFERROR(VALUE(SUBSTITUTE(SUBSTITUTE(INDEX(급여대장_원본!$A$1:$AZ$400,(설정!$B$8+5),설정!$D$24)&amp;"",",",""),"　","")),0))</f>
        <v/>
      </c>
      <c r="N11" s="2">
        <f>IF(OR(설정!$C$17="",IFERROR(MATCH(설정!$C$17,INDEX(급여대장_원본!$A$1:$AZ$400,설정!$B$8,0),0),"")=""),"",IFERROR(VALUE(SUBSTITUTE(INDEX(급여대장_원본!$A$1:$AZ$400,(설정!$B$8+5),IFERROR(MATCH(설정!$C$17,INDEX(급여대장_원본!$A$1:$AZ$400,설정!$B$8,0),0),""))&amp;"",",","")),""))</f>
        <v/>
      </c>
      <c r="O11" s="2">
        <f>IF(OR(설정!$C$18="",IFERROR(MATCH(설정!$C$18,INDEX(급여대장_원본!$A$1:$AZ$400,설정!$B$8,0),0),"")=""),"",IFERROR(VALUE(SUBSTITUTE(INDEX(급여대장_원본!$A$1:$AZ$400,(설정!$B$8+5),IFERROR(MATCH(설정!$C$18,INDEX(급여대장_원본!$A$1:$AZ$400,설정!$B$8,0),0),""))&amp;"",",","")),""))</f>
        <v/>
      </c>
      <c r="P11" s="2">
        <f>IF(OR(설정!$C$19="",IFERROR(MATCH(설정!$C$19,INDEX(급여대장_원본!$A$1:$AZ$400,설정!$B$8,0),0),"")=""),"",IFERROR(VALUE(SUBSTITUTE(INDEX(급여대장_원본!$A$1:$AZ$400,(설정!$B$8+5),IFERROR(MATCH(설정!$C$19,INDEX(급여대장_원본!$A$1:$AZ$400,설정!$B$8,0),0),""))&amp;"",",","")),""))</f>
        <v/>
      </c>
      <c r="Q11" s="2">
        <f>IF(OR(설정!$C$20="",IFERROR(MATCH(설정!$C$20,INDEX(급여대장_원본!$A$1:$AZ$400,설정!$B$8,0),0),"")=""),"",IFERROR(VALUE(SUBSTITUTE(INDEX(급여대장_원본!$A$1:$AZ$400,(설정!$B$8+5),IFERROR(MATCH(설정!$C$20,INDEX(급여대장_원본!$A$1:$AZ$400,설정!$B$8,0),0),""))&amp;"",",","")),""))</f>
        <v/>
      </c>
      <c r="R11" s="2">
        <f>IF(OR(설정!$C$21="",IFERROR(MATCH(설정!$C$21,INDEX(급여대장_원본!$A$1:$AZ$400,설정!$B$8,0),0),"")=""),"",IFERROR(VALUE(SUBSTITUTE(INDEX(급여대장_원본!$A$1:$AZ$400,(설정!$B$8+5),IFERROR(MATCH(설정!$C$21,INDEX(급여대장_원본!$A$1:$AZ$400,설정!$B$8,0),0),""))&amp;"",",","")),""))</f>
        <v/>
      </c>
      <c r="S11" s="2">
        <f>IF(OR(설정!$C$22="",IFERROR(MATCH(설정!$C$22,INDEX(급여대장_원본!$A$1:$AZ$400,설정!$B$8,0),0),"")=""),"",IFERROR(VALUE(SUBSTITUTE(INDEX(급여대장_원본!$A$1:$AZ$400,(설정!$B$8+5),IFERROR(MATCH(설정!$C$22,INDEX(급여대장_원본!$A$1:$AZ$400,설정!$B$8,0),0),""))&amp;"",",","")),""))</f>
        <v/>
      </c>
      <c r="T11" s="2">
        <f>IF(OR(설정!$C$23="",IFERROR(MATCH(설정!$C$23,INDEX(급여대장_원본!$A$1:$AZ$400,설정!$B$8,0),0),"")=""),"",IFERROR(VALUE(SUBSTITUTE(INDEX(급여대장_원본!$A$1:$AZ$400,(설정!$B$8+5),IFERROR(MATCH(설정!$C$23,INDEX(급여대장_원본!$A$1:$AZ$400,설정!$B$8,0),0),""))&amp;"",",","")),""))</f>
        <v/>
      </c>
      <c r="U11" s="2">
        <f>IF(OR(설정!$C$24="",IFERROR(MATCH(설정!$C$24,INDEX(급여대장_원본!$A$1:$AZ$400,설정!$B$8,0),0),"")=""),"",IFERROR(VALUE(SUBSTITUTE(INDEX(급여대장_원본!$A$1:$AZ$400,(설정!$B$8+5),IFERROR(MATCH(설정!$C$24,INDEX(급여대장_원본!$A$1:$AZ$400,설정!$B$8,0),0),""))&amp;"",",","")),""))</f>
        <v/>
      </c>
      <c r="V11" s="27">
        <f>SUM(F11:M11)</f>
        <v/>
      </c>
      <c r="W11" s="27">
        <f>IF(설정!$D$26="",0,IFERROR(VALUE(SUBSTITUTE(SUBSTITUTE(INDEX(급여대장_원본!$A$1:$AZ$400,(설정!$B$8+5),설정!$D$26)&amp;"",",",""),"　","")),0))</f>
        <v/>
      </c>
      <c r="X11" s="27">
        <f>IF(설정!$D$27="",0,IFERROR(VALUE(SUBSTITUTE(SUBSTITUTE(INDEX(급여대장_원본!$A$1:$AZ$400,(설정!$B$8+5),설정!$D$27)&amp;"",",",""),"　","")),0))</f>
        <v/>
      </c>
      <c r="Y11" s="27">
        <f>IF(설정!$D$28="",0,IFERROR(VALUE(SUBSTITUTE(SUBSTITUTE(INDEX(급여대장_원본!$A$1:$AZ$400,(설정!$B$8+5),설정!$D$28)&amp;"",",",""),"　","")),0))</f>
        <v/>
      </c>
      <c r="Z11" s="27">
        <f>IF(설정!$D$29="",0,IFERROR(VALUE(SUBSTITUTE(SUBSTITUTE(INDEX(급여대장_원본!$A$1:$AZ$400,(설정!$B$8+5),설정!$D$29)&amp;"",",",""),"　","")),0))</f>
        <v/>
      </c>
      <c r="AA11" s="27">
        <f>IF(설정!$D$30="",0,IFERROR(VALUE(SUBSTITUTE(SUBSTITUTE(INDEX(급여대장_원본!$A$1:$AZ$400,(설정!$B$8+5),설정!$D$30)&amp;"",",",""),"　","")),0))</f>
        <v/>
      </c>
      <c r="AB11" s="27">
        <f>IF(설정!$D$31="",0,IFERROR(VALUE(SUBSTITUTE(SUBSTITUTE(INDEX(급여대장_원본!$A$1:$AZ$400,(설정!$B$8+5),설정!$D$31)&amp;"",",",""),"　","")),0))</f>
        <v/>
      </c>
      <c r="AC11" s="27">
        <f>IF(설정!$D$32="",0,IFERROR(VALUE(SUBSTITUTE(SUBSTITUTE(INDEX(급여대장_원본!$A$1:$AZ$400,(설정!$B$8+5),설정!$D$32)&amp;"",",",""),"　","")),0))</f>
        <v/>
      </c>
      <c r="AD11" s="27">
        <f>IF(설정!$D$33="",0,IFERROR(VALUE(SUBSTITUTE(SUBSTITUTE(INDEX(급여대장_원본!$A$1:$AZ$400,(설정!$B$8+5),설정!$D$33)&amp;"",",",""),"　","")),0))</f>
        <v/>
      </c>
      <c r="AE11" s="27">
        <f>SUM(W11:AD11)</f>
        <v/>
      </c>
      <c r="AF11" s="27">
        <f>V11-AE11</f>
        <v/>
      </c>
      <c r="AG11" s="27">
        <f>IF(설정!$D$35="","",IF(설정!$D$35="",0,IFERROR(VALUE(SUBSTITUTE(SUBSTITUTE(INDEX(급여대장_원본!$A$1:$AZ$400,(설정!$B$8+5),설정!$D$35)&amp;"",",",""),"　","")),0)))</f>
        <v/>
      </c>
      <c r="AH11" s="27">
        <f>IF(설정!$D$36="","",IF(설정!$D$36="",0,IFERROR(VALUE(SUBSTITUTE(SUBSTITUTE(INDEX(급여대장_원본!$A$1:$AZ$400,(설정!$B$8+5),설정!$D$36)&amp;"",",",""),"　","")),0)))</f>
        <v/>
      </c>
      <c r="AI11" s="27">
        <f>IF(설정!$D$37="","",IF(설정!$D$37="",0,IFERROR(VALUE(SUBSTITUTE(SUBSTITUTE(INDEX(급여대장_원본!$A$1:$AZ$400,(설정!$B$8+5),설정!$D$37)&amp;"",",",""),"　","")),0)))</f>
        <v/>
      </c>
      <c r="AJ11" s="2">
        <f>IFERROR(INDEX($D$7:$D$306,MATCH(5,$B$7:$B$306,0)),"")</f>
        <v/>
      </c>
    </row>
    <row r="12">
      <c r="A12" s="2">
        <f>IF(AND(D12&lt;&gt;"",D12&lt;&gt;"합계",D12&lt;&gt;"총계",D12&lt;&gt;"소계",D12&lt;&gt;"계"),1,0)</f>
        <v/>
      </c>
      <c r="B12" s="2">
        <f>IF(A12=1,SUM($A$7:A12),"")</f>
        <v/>
      </c>
      <c r="C12" s="2">
        <f>IF(설정!$D$13="","",TRIM(SUBSTITUTE(INDEX(급여대장_원본!$A$1:$AZ$400,(설정!$B$8+6),설정!$D$13)&amp;"","　"," ")))</f>
        <v/>
      </c>
      <c r="D12" s="2">
        <f>IF(설정!$D$14="","",TRIM(SUBSTITUTE(INDEX(급여대장_원본!$A$1:$AZ$400,(설정!$B$8+6),설정!$D$14)&amp;"","　"," ")))</f>
        <v/>
      </c>
      <c r="E12" s="2">
        <f>IF(설정!$D$15="","",TRIM(SUBSTITUTE(INDEX(급여대장_원본!$A$1:$AZ$400,(설정!$B$8+6),설정!$D$15)&amp;"","　"," ")))</f>
        <v/>
      </c>
      <c r="F12" s="27">
        <f>IF(설정!$D$17="",0,IFERROR(VALUE(SUBSTITUTE(SUBSTITUTE(INDEX(급여대장_원본!$A$1:$AZ$400,(설정!$B$8+6),설정!$D$17)&amp;"",",",""),"　","")),0))</f>
        <v/>
      </c>
      <c r="G12" s="27">
        <f>IF(설정!$D$18="",0,IFERROR(VALUE(SUBSTITUTE(SUBSTITUTE(INDEX(급여대장_원본!$A$1:$AZ$400,(설정!$B$8+6),설정!$D$18)&amp;"",",",""),"　","")),0))</f>
        <v/>
      </c>
      <c r="H12" s="27">
        <f>IF(설정!$D$19="",0,IFERROR(VALUE(SUBSTITUTE(SUBSTITUTE(INDEX(급여대장_원본!$A$1:$AZ$400,(설정!$B$8+6),설정!$D$19)&amp;"",",",""),"　","")),0))</f>
        <v/>
      </c>
      <c r="I12" s="27">
        <f>IF(설정!$D$20="",0,IFERROR(VALUE(SUBSTITUTE(SUBSTITUTE(INDEX(급여대장_원본!$A$1:$AZ$400,(설정!$B$8+6),설정!$D$20)&amp;"",",",""),"　","")),0))</f>
        <v/>
      </c>
      <c r="J12" s="27">
        <f>IF(설정!$D$21="",0,IFERROR(VALUE(SUBSTITUTE(SUBSTITUTE(INDEX(급여대장_원본!$A$1:$AZ$400,(설정!$B$8+6),설정!$D$21)&amp;"",",",""),"　","")),0))</f>
        <v/>
      </c>
      <c r="K12" s="27">
        <f>IF(설정!$D$22="",0,IFERROR(VALUE(SUBSTITUTE(SUBSTITUTE(INDEX(급여대장_원본!$A$1:$AZ$400,(설정!$B$8+6),설정!$D$22)&amp;"",",",""),"　","")),0))</f>
        <v/>
      </c>
      <c r="L12" s="27">
        <f>IF(설정!$D$23="",0,IFERROR(VALUE(SUBSTITUTE(SUBSTITUTE(INDEX(급여대장_원본!$A$1:$AZ$400,(설정!$B$8+6),설정!$D$23)&amp;"",",",""),"　","")),0))</f>
        <v/>
      </c>
      <c r="M12" s="27">
        <f>IF(설정!$D$24="",0,IFERROR(VALUE(SUBSTITUTE(SUBSTITUTE(INDEX(급여대장_원본!$A$1:$AZ$400,(설정!$B$8+6),설정!$D$24)&amp;"",",",""),"　","")),0))</f>
        <v/>
      </c>
      <c r="N12" s="2">
        <f>IF(OR(설정!$C$17="",IFERROR(MATCH(설정!$C$17,INDEX(급여대장_원본!$A$1:$AZ$400,설정!$B$8,0),0),"")=""),"",IFERROR(VALUE(SUBSTITUTE(INDEX(급여대장_원본!$A$1:$AZ$400,(설정!$B$8+6),IFERROR(MATCH(설정!$C$17,INDEX(급여대장_원본!$A$1:$AZ$400,설정!$B$8,0),0),""))&amp;"",",","")),""))</f>
        <v/>
      </c>
      <c r="O12" s="2">
        <f>IF(OR(설정!$C$18="",IFERROR(MATCH(설정!$C$18,INDEX(급여대장_원본!$A$1:$AZ$400,설정!$B$8,0),0),"")=""),"",IFERROR(VALUE(SUBSTITUTE(INDEX(급여대장_원본!$A$1:$AZ$400,(설정!$B$8+6),IFERROR(MATCH(설정!$C$18,INDEX(급여대장_원본!$A$1:$AZ$400,설정!$B$8,0),0),""))&amp;"",",","")),""))</f>
        <v/>
      </c>
      <c r="P12" s="2">
        <f>IF(OR(설정!$C$19="",IFERROR(MATCH(설정!$C$19,INDEX(급여대장_원본!$A$1:$AZ$400,설정!$B$8,0),0),"")=""),"",IFERROR(VALUE(SUBSTITUTE(INDEX(급여대장_원본!$A$1:$AZ$400,(설정!$B$8+6),IFERROR(MATCH(설정!$C$19,INDEX(급여대장_원본!$A$1:$AZ$400,설정!$B$8,0),0),""))&amp;"",",","")),""))</f>
        <v/>
      </c>
      <c r="Q12" s="2">
        <f>IF(OR(설정!$C$20="",IFERROR(MATCH(설정!$C$20,INDEX(급여대장_원본!$A$1:$AZ$400,설정!$B$8,0),0),"")=""),"",IFERROR(VALUE(SUBSTITUTE(INDEX(급여대장_원본!$A$1:$AZ$400,(설정!$B$8+6),IFERROR(MATCH(설정!$C$20,INDEX(급여대장_원본!$A$1:$AZ$400,설정!$B$8,0),0),""))&amp;"",",","")),""))</f>
        <v/>
      </c>
      <c r="R12" s="2">
        <f>IF(OR(설정!$C$21="",IFERROR(MATCH(설정!$C$21,INDEX(급여대장_원본!$A$1:$AZ$400,설정!$B$8,0),0),"")=""),"",IFERROR(VALUE(SUBSTITUTE(INDEX(급여대장_원본!$A$1:$AZ$400,(설정!$B$8+6),IFERROR(MATCH(설정!$C$21,INDEX(급여대장_원본!$A$1:$AZ$400,설정!$B$8,0),0),""))&amp;"",",","")),""))</f>
        <v/>
      </c>
      <c r="S12" s="2">
        <f>IF(OR(설정!$C$22="",IFERROR(MATCH(설정!$C$22,INDEX(급여대장_원본!$A$1:$AZ$400,설정!$B$8,0),0),"")=""),"",IFERROR(VALUE(SUBSTITUTE(INDEX(급여대장_원본!$A$1:$AZ$400,(설정!$B$8+6),IFERROR(MATCH(설정!$C$22,INDEX(급여대장_원본!$A$1:$AZ$400,설정!$B$8,0),0),""))&amp;"",",","")),""))</f>
        <v/>
      </c>
      <c r="T12" s="2">
        <f>IF(OR(설정!$C$23="",IFERROR(MATCH(설정!$C$23,INDEX(급여대장_원본!$A$1:$AZ$400,설정!$B$8,0),0),"")=""),"",IFERROR(VALUE(SUBSTITUTE(INDEX(급여대장_원본!$A$1:$AZ$400,(설정!$B$8+6),IFERROR(MATCH(설정!$C$23,INDEX(급여대장_원본!$A$1:$AZ$400,설정!$B$8,0),0),""))&amp;"",",","")),""))</f>
        <v/>
      </c>
      <c r="U12" s="2">
        <f>IF(OR(설정!$C$24="",IFERROR(MATCH(설정!$C$24,INDEX(급여대장_원본!$A$1:$AZ$400,설정!$B$8,0),0),"")=""),"",IFERROR(VALUE(SUBSTITUTE(INDEX(급여대장_원본!$A$1:$AZ$400,(설정!$B$8+6),IFERROR(MATCH(설정!$C$24,INDEX(급여대장_원본!$A$1:$AZ$400,설정!$B$8,0),0),""))&amp;"",",","")),""))</f>
        <v/>
      </c>
      <c r="V12" s="27">
        <f>SUM(F12:M12)</f>
        <v/>
      </c>
      <c r="W12" s="27">
        <f>IF(설정!$D$26="",0,IFERROR(VALUE(SUBSTITUTE(SUBSTITUTE(INDEX(급여대장_원본!$A$1:$AZ$400,(설정!$B$8+6),설정!$D$26)&amp;"",",",""),"　","")),0))</f>
        <v/>
      </c>
      <c r="X12" s="27">
        <f>IF(설정!$D$27="",0,IFERROR(VALUE(SUBSTITUTE(SUBSTITUTE(INDEX(급여대장_원본!$A$1:$AZ$400,(설정!$B$8+6),설정!$D$27)&amp;"",",",""),"　","")),0))</f>
        <v/>
      </c>
      <c r="Y12" s="27">
        <f>IF(설정!$D$28="",0,IFERROR(VALUE(SUBSTITUTE(SUBSTITUTE(INDEX(급여대장_원본!$A$1:$AZ$400,(설정!$B$8+6),설정!$D$28)&amp;"",",",""),"　","")),0))</f>
        <v/>
      </c>
      <c r="Z12" s="27">
        <f>IF(설정!$D$29="",0,IFERROR(VALUE(SUBSTITUTE(SUBSTITUTE(INDEX(급여대장_원본!$A$1:$AZ$400,(설정!$B$8+6),설정!$D$29)&amp;"",",",""),"　","")),0))</f>
        <v/>
      </c>
      <c r="AA12" s="27">
        <f>IF(설정!$D$30="",0,IFERROR(VALUE(SUBSTITUTE(SUBSTITUTE(INDEX(급여대장_원본!$A$1:$AZ$400,(설정!$B$8+6),설정!$D$30)&amp;"",",",""),"　","")),0))</f>
        <v/>
      </c>
      <c r="AB12" s="27">
        <f>IF(설정!$D$31="",0,IFERROR(VALUE(SUBSTITUTE(SUBSTITUTE(INDEX(급여대장_원본!$A$1:$AZ$400,(설정!$B$8+6),설정!$D$31)&amp;"",",",""),"　","")),0))</f>
        <v/>
      </c>
      <c r="AC12" s="27">
        <f>IF(설정!$D$32="",0,IFERROR(VALUE(SUBSTITUTE(SUBSTITUTE(INDEX(급여대장_원본!$A$1:$AZ$400,(설정!$B$8+6),설정!$D$32)&amp;"",",",""),"　","")),0))</f>
        <v/>
      </c>
      <c r="AD12" s="27">
        <f>IF(설정!$D$33="",0,IFERROR(VALUE(SUBSTITUTE(SUBSTITUTE(INDEX(급여대장_원본!$A$1:$AZ$400,(설정!$B$8+6),설정!$D$33)&amp;"",",",""),"　","")),0))</f>
        <v/>
      </c>
      <c r="AE12" s="27">
        <f>SUM(W12:AD12)</f>
        <v/>
      </c>
      <c r="AF12" s="27">
        <f>V12-AE12</f>
        <v/>
      </c>
      <c r="AG12" s="27">
        <f>IF(설정!$D$35="","",IF(설정!$D$35="",0,IFERROR(VALUE(SUBSTITUTE(SUBSTITUTE(INDEX(급여대장_원본!$A$1:$AZ$400,(설정!$B$8+6),설정!$D$35)&amp;"",",",""),"　","")),0)))</f>
        <v/>
      </c>
      <c r="AH12" s="27">
        <f>IF(설정!$D$36="","",IF(설정!$D$36="",0,IFERROR(VALUE(SUBSTITUTE(SUBSTITUTE(INDEX(급여대장_원본!$A$1:$AZ$400,(설정!$B$8+6),설정!$D$36)&amp;"",",",""),"　","")),0)))</f>
        <v/>
      </c>
      <c r="AI12" s="27">
        <f>IF(설정!$D$37="","",IF(설정!$D$37="",0,IFERROR(VALUE(SUBSTITUTE(SUBSTITUTE(INDEX(급여대장_원본!$A$1:$AZ$400,(설정!$B$8+6),설정!$D$37)&amp;"",",",""),"　","")),0)))</f>
        <v/>
      </c>
      <c r="AJ12" s="2">
        <f>IFERROR(INDEX($D$7:$D$306,MATCH(6,$B$7:$B$306,0)),"")</f>
        <v/>
      </c>
    </row>
    <row r="13">
      <c r="A13" s="2">
        <f>IF(AND(D13&lt;&gt;"",D13&lt;&gt;"합계",D13&lt;&gt;"총계",D13&lt;&gt;"소계",D13&lt;&gt;"계"),1,0)</f>
        <v/>
      </c>
      <c r="B13" s="2">
        <f>IF(A13=1,SUM($A$7:A13),"")</f>
        <v/>
      </c>
      <c r="C13" s="2">
        <f>IF(설정!$D$13="","",TRIM(SUBSTITUTE(INDEX(급여대장_원본!$A$1:$AZ$400,(설정!$B$8+7),설정!$D$13)&amp;"","　"," ")))</f>
        <v/>
      </c>
      <c r="D13" s="2">
        <f>IF(설정!$D$14="","",TRIM(SUBSTITUTE(INDEX(급여대장_원본!$A$1:$AZ$400,(설정!$B$8+7),설정!$D$14)&amp;"","　"," ")))</f>
        <v/>
      </c>
      <c r="E13" s="2">
        <f>IF(설정!$D$15="","",TRIM(SUBSTITUTE(INDEX(급여대장_원본!$A$1:$AZ$400,(설정!$B$8+7),설정!$D$15)&amp;"","　"," ")))</f>
        <v/>
      </c>
      <c r="F13" s="27">
        <f>IF(설정!$D$17="",0,IFERROR(VALUE(SUBSTITUTE(SUBSTITUTE(INDEX(급여대장_원본!$A$1:$AZ$400,(설정!$B$8+7),설정!$D$17)&amp;"",",",""),"　","")),0))</f>
        <v/>
      </c>
      <c r="G13" s="27">
        <f>IF(설정!$D$18="",0,IFERROR(VALUE(SUBSTITUTE(SUBSTITUTE(INDEX(급여대장_원본!$A$1:$AZ$400,(설정!$B$8+7),설정!$D$18)&amp;"",",",""),"　","")),0))</f>
        <v/>
      </c>
      <c r="H13" s="27">
        <f>IF(설정!$D$19="",0,IFERROR(VALUE(SUBSTITUTE(SUBSTITUTE(INDEX(급여대장_원본!$A$1:$AZ$400,(설정!$B$8+7),설정!$D$19)&amp;"",",",""),"　","")),0))</f>
        <v/>
      </c>
      <c r="I13" s="27">
        <f>IF(설정!$D$20="",0,IFERROR(VALUE(SUBSTITUTE(SUBSTITUTE(INDEX(급여대장_원본!$A$1:$AZ$400,(설정!$B$8+7),설정!$D$20)&amp;"",",",""),"　","")),0))</f>
        <v/>
      </c>
      <c r="J13" s="27">
        <f>IF(설정!$D$21="",0,IFERROR(VALUE(SUBSTITUTE(SUBSTITUTE(INDEX(급여대장_원본!$A$1:$AZ$400,(설정!$B$8+7),설정!$D$21)&amp;"",",",""),"　","")),0))</f>
        <v/>
      </c>
      <c r="K13" s="27">
        <f>IF(설정!$D$22="",0,IFERROR(VALUE(SUBSTITUTE(SUBSTITUTE(INDEX(급여대장_원본!$A$1:$AZ$400,(설정!$B$8+7),설정!$D$22)&amp;"",",",""),"　","")),0))</f>
        <v/>
      </c>
      <c r="L13" s="27">
        <f>IF(설정!$D$23="",0,IFERROR(VALUE(SUBSTITUTE(SUBSTITUTE(INDEX(급여대장_원본!$A$1:$AZ$400,(설정!$B$8+7),설정!$D$23)&amp;"",",",""),"　","")),0))</f>
        <v/>
      </c>
      <c r="M13" s="27">
        <f>IF(설정!$D$24="",0,IFERROR(VALUE(SUBSTITUTE(SUBSTITUTE(INDEX(급여대장_원본!$A$1:$AZ$400,(설정!$B$8+7),설정!$D$24)&amp;"",",",""),"　","")),0))</f>
        <v/>
      </c>
      <c r="N13" s="2">
        <f>IF(OR(설정!$C$17="",IFERROR(MATCH(설정!$C$17,INDEX(급여대장_원본!$A$1:$AZ$400,설정!$B$8,0),0),"")=""),"",IFERROR(VALUE(SUBSTITUTE(INDEX(급여대장_원본!$A$1:$AZ$400,(설정!$B$8+7),IFERROR(MATCH(설정!$C$17,INDEX(급여대장_원본!$A$1:$AZ$400,설정!$B$8,0),0),""))&amp;"",",","")),""))</f>
        <v/>
      </c>
      <c r="O13" s="2">
        <f>IF(OR(설정!$C$18="",IFERROR(MATCH(설정!$C$18,INDEX(급여대장_원본!$A$1:$AZ$400,설정!$B$8,0),0),"")=""),"",IFERROR(VALUE(SUBSTITUTE(INDEX(급여대장_원본!$A$1:$AZ$400,(설정!$B$8+7),IFERROR(MATCH(설정!$C$18,INDEX(급여대장_원본!$A$1:$AZ$400,설정!$B$8,0),0),""))&amp;"",",","")),""))</f>
        <v/>
      </c>
      <c r="P13" s="2">
        <f>IF(OR(설정!$C$19="",IFERROR(MATCH(설정!$C$19,INDEX(급여대장_원본!$A$1:$AZ$400,설정!$B$8,0),0),"")=""),"",IFERROR(VALUE(SUBSTITUTE(INDEX(급여대장_원본!$A$1:$AZ$400,(설정!$B$8+7),IFERROR(MATCH(설정!$C$19,INDEX(급여대장_원본!$A$1:$AZ$400,설정!$B$8,0),0),""))&amp;"",",","")),""))</f>
        <v/>
      </c>
      <c r="Q13" s="2">
        <f>IF(OR(설정!$C$20="",IFERROR(MATCH(설정!$C$20,INDEX(급여대장_원본!$A$1:$AZ$400,설정!$B$8,0),0),"")=""),"",IFERROR(VALUE(SUBSTITUTE(INDEX(급여대장_원본!$A$1:$AZ$400,(설정!$B$8+7),IFERROR(MATCH(설정!$C$20,INDEX(급여대장_원본!$A$1:$AZ$400,설정!$B$8,0),0),""))&amp;"",",","")),""))</f>
        <v/>
      </c>
      <c r="R13" s="2">
        <f>IF(OR(설정!$C$21="",IFERROR(MATCH(설정!$C$21,INDEX(급여대장_원본!$A$1:$AZ$400,설정!$B$8,0),0),"")=""),"",IFERROR(VALUE(SUBSTITUTE(INDEX(급여대장_원본!$A$1:$AZ$400,(설정!$B$8+7),IFERROR(MATCH(설정!$C$21,INDEX(급여대장_원본!$A$1:$AZ$400,설정!$B$8,0),0),""))&amp;"",",","")),""))</f>
        <v/>
      </c>
      <c r="S13" s="2">
        <f>IF(OR(설정!$C$22="",IFERROR(MATCH(설정!$C$22,INDEX(급여대장_원본!$A$1:$AZ$400,설정!$B$8,0),0),"")=""),"",IFERROR(VALUE(SUBSTITUTE(INDEX(급여대장_원본!$A$1:$AZ$400,(설정!$B$8+7),IFERROR(MATCH(설정!$C$22,INDEX(급여대장_원본!$A$1:$AZ$400,설정!$B$8,0),0),""))&amp;"",",","")),""))</f>
        <v/>
      </c>
      <c r="T13" s="2">
        <f>IF(OR(설정!$C$23="",IFERROR(MATCH(설정!$C$23,INDEX(급여대장_원본!$A$1:$AZ$400,설정!$B$8,0),0),"")=""),"",IFERROR(VALUE(SUBSTITUTE(INDEX(급여대장_원본!$A$1:$AZ$400,(설정!$B$8+7),IFERROR(MATCH(설정!$C$23,INDEX(급여대장_원본!$A$1:$AZ$400,설정!$B$8,0),0),""))&amp;"",",","")),""))</f>
        <v/>
      </c>
      <c r="U13" s="2">
        <f>IF(OR(설정!$C$24="",IFERROR(MATCH(설정!$C$24,INDEX(급여대장_원본!$A$1:$AZ$400,설정!$B$8,0),0),"")=""),"",IFERROR(VALUE(SUBSTITUTE(INDEX(급여대장_원본!$A$1:$AZ$400,(설정!$B$8+7),IFERROR(MATCH(설정!$C$24,INDEX(급여대장_원본!$A$1:$AZ$400,설정!$B$8,0),0),""))&amp;"",",","")),""))</f>
        <v/>
      </c>
      <c r="V13" s="27">
        <f>SUM(F13:M13)</f>
        <v/>
      </c>
      <c r="W13" s="27">
        <f>IF(설정!$D$26="",0,IFERROR(VALUE(SUBSTITUTE(SUBSTITUTE(INDEX(급여대장_원본!$A$1:$AZ$400,(설정!$B$8+7),설정!$D$26)&amp;"",",",""),"　","")),0))</f>
        <v/>
      </c>
      <c r="X13" s="27">
        <f>IF(설정!$D$27="",0,IFERROR(VALUE(SUBSTITUTE(SUBSTITUTE(INDEX(급여대장_원본!$A$1:$AZ$400,(설정!$B$8+7),설정!$D$27)&amp;"",",",""),"　","")),0))</f>
        <v/>
      </c>
      <c r="Y13" s="27">
        <f>IF(설정!$D$28="",0,IFERROR(VALUE(SUBSTITUTE(SUBSTITUTE(INDEX(급여대장_원본!$A$1:$AZ$400,(설정!$B$8+7),설정!$D$28)&amp;"",",",""),"　","")),0))</f>
        <v/>
      </c>
      <c r="Z13" s="27">
        <f>IF(설정!$D$29="",0,IFERROR(VALUE(SUBSTITUTE(SUBSTITUTE(INDEX(급여대장_원본!$A$1:$AZ$400,(설정!$B$8+7),설정!$D$29)&amp;"",",",""),"　","")),0))</f>
        <v/>
      </c>
      <c r="AA13" s="27">
        <f>IF(설정!$D$30="",0,IFERROR(VALUE(SUBSTITUTE(SUBSTITUTE(INDEX(급여대장_원본!$A$1:$AZ$400,(설정!$B$8+7),설정!$D$30)&amp;"",",",""),"　","")),0))</f>
        <v/>
      </c>
      <c r="AB13" s="27">
        <f>IF(설정!$D$31="",0,IFERROR(VALUE(SUBSTITUTE(SUBSTITUTE(INDEX(급여대장_원본!$A$1:$AZ$400,(설정!$B$8+7),설정!$D$31)&amp;"",",",""),"　","")),0))</f>
        <v/>
      </c>
      <c r="AC13" s="27">
        <f>IF(설정!$D$32="",0,IFERROR(VALUE(SUBSTITUTE(SUBSTITUTE(INDEX(급여대장_원본!$A$1:$AZ$400,(설정!$B$8+7),설정!$D$32)&amp;"",",",""),"　","")),0))</f>
        <v/>
      </c>
      <c r="AD13" s="27">
        <f>IF(설정!$D$33="",0,IFERROR(VALUE(SUBSTITUTE(SUBSTITUTE(INDEX(급여대장_원본!$A$1:$AZ$400,(설정!$B$8+7),설정!$D$33)&amp;"",",",""),"　","")),0))</f>
        <v/>
      </c>
      <c r="AE13" s="27">
        <f>SUM(W13:AD13)</f>
        <v/>
      </c>
      <c r="AF13" s="27">
        <f>V13-AE13</f>
        <v/>
      </c>
      <c r="AG13" s="27">
        <f>IF(설정!$D$35="","",IF(설정!$D$35="",0,IFERROR(VALUE(SUBSTITUTE(SUBSTITUTE(INDEX(급여대장_원본!$A$1:$AZ$400,(설정!$B$8+7),설정!$D$35)&amp;"",",",""),"　","")),0)))</f>
        <v/>
      </c>
      <c r="AH13" s="27">
        <f>IF(설정!$D$36="","",IF(설정!$D$36="",0,IFERROR(VALUE(SUBSTITUTE(SUBSTITUTE(INDEX(급여대장_원본!$A$1:$AZ$400,(설정!$B$8+7),설정!$D$36)&amp;"",",",""),"　","")),0)))</f>
        <v/>
      </c>
      <c r="AI13" s="27">
        <f>IF(설정!$D$37="","",IF(설정!$D$37="",0,IFERROR(VALUE(SUBSTITUTE(SUBSTITUTE(INDEX(급여대장_원본!$A$1:$AZ$400,(설정!$B$8+7),설정!$D$37)&amp;"",",",""),"　","")),0)))</f>
        <v/>
      </c>
      <c r="AJ13" s="2">
        <f>IFERROR(INDEX($D$7:$D$306,MATCH(7,$B$7:$B$306,0)),"")</f>
        <v/>
      </c>
    </row>
    <row r="14">
      <c r="A14" s="2">
        <f>IF(AND(D14&lt;&gt;"",D14&lt;&gt;"합계",D14&lt;&gt;"총계",D14&lt;&gt;"소계",D14&lt;&gt;"계"),1,0)</f>
        <v/>
      </c>
      <c r="B14" s="2">
        <f>IF(A14=1,SUM($A$7:A14),"")</f>
        <v/>
      </c>
      <c r="C14" s="2">
        <f>IF(설정!$D$13="","",TRIM(SUBSTITUTE(INDEX(급여대장_원본!$A$1:$AZ$400,(설정!$B$8+8),설정!$D$13)&amp;"","　"," ")))</f>
        <v/>
      </c>
      <c r="D14" s="2">
        <f>IF(설정!$D$14="","",TRIM(SUBSTITUTE(INDEX(급여대장_원본!$A$1:$AZ$400,(설정!$B$8+8),설정!$D$14)&amp;"","　"," ")))</f>
        <v/>
      </c>
      <c r="E14" s="2">
        <f>IF(설정!$D$15="","",TRIM(SUBSTITUTE(INDEX(급여대장_원본!$A$1:$AZ$400,(설정!$B$8+8),설정!$D$15)&amp;"","　"," ")))</f>
        <v/>
      </c>
      <c r="F14" s="27">
        <f>IF(설정!$D$17="",0,IFERROR(VALUE(SUBSTITUTE(SUBSTITUTE(INDEX(급여대장_원본!$A$1:$AZ$400,(설정!$B$8+8),설정!$D$17)&amp;"",",",""),"　","")),0))</f>
        <v/>
      </c>
      <c r="G14" s="27">
        <f>IF(설정!$D$18="",0,IFERROR(VALUE(SUBSTITUTE(SUBSTITUTE(INDEX(급여대장_원본!$A$1:$AZ$400,(설정!$B$8+8),설정!$D$18)&amp;"",",",""),"　","")),0))</f>
        <v/>
      </c>
      <c r="H14" s="27">
        <f>IF(설정!$D$19="",0,IFERROR(VALUE(SUBSTITUTE(SUBSTITUTE(INDEX(급여대장_원본!$A$1:$AZ$400,(설정!$B$8+8),설정!$D$19)&amp;"",",",""),"　","")),0))</f>
        <v/>
      </c>
      <c r="I14" s="27">
        <f>IF(설정!$D$20="",0,IFERROR(VALUE(SUBSTITUTE(SUBSTITUTE(INDEX(급여대장_원본!$A$1:$AZ$400,(설정!$B$8+8),설정!$D$20)&amp;"",",",""),"　","")),0))</f>
        <v/>
      </c>
      <c r="J14" s="27">
        <f>IF(설정!$D$21="",0,IFERROR(VALUE(SUBSTITUTE(SUBSTITUTE(INDEX(급여대장_원본!$A$1:$AZ$400,(설정!$B$8+8),설정!$D$21)&amp;"",",",""),"　","")),0))</f>
        <v/>
      </c>
      <c r="K14" s="27">
        <f>IF(설정!$D$22="",0,IFERROR(VALUE(SUBSTITUTE(SUBSTITUTE(INDEX(급여대장_원본!$A$1:$AZ$400,(설정!$B$8+8),설정!$D$22)&amp;"",",",""),"　","")),0))</f>
        <v/>
      </c>
      <c r="L14" s="27">
        <f>IF(설정!$D$23="",0,IFERROR(VALUE(SUBSTITUTE(SUBSTITUTE(INDEX(급여대장_원본!$A$1:$AZ$400,(설정!$B$8+8),설정!$D$23)&amp;"",",",""),"　","")),0))</f>
        <v/>
      </c>
      <c r="M14" s="27">
        <f>IF(설정!$D$24="",0,IFERROR(VALUE(SUBSTITUTE(SUBSTITUTE(INDEX(급여대장_원본!$A$1:$AZ$400,(설정!$B$8+8),설정!$D$24)&amp;"",",",""),"　","")),0))</f>
        <v/>
      </c>
      <c r="N14" s="2">
        <f>IF(OR(설정!$C$17="",IFERROR(MATCH(설정!$C$17,INDEX(급여대장_원본!$A$1:$AZ$400,설정!$B$8,0),0),"")=""),"",IFERROR(VALUE(SUBSTITUTE(INDEX(급여대장_원본!$A$1:$AZ$400,(설정!$B$8+8),IFERROR(MATCH(설정!$C$17,INDEX(급여대장_원본!$A$1:$AZ$400,설정!$B$8,0),0),""))&amp;"",",","")),""))</f>
        <v/>
      </c>
      <c r="O14" s="2">
        <f>IF(OR(설정!$C$18="",IFERROR(MATCH(설정!$C$18,INDEX(급여대장_원본!$A$1:$AZ$400,설정!$B$8,0),0),"")=""),"",IFERROR(VALUE(SUBSTITUTE(INDEX(급여대장_원본!$A$1:$AZ$400,(설정!$B$8+8),IFERROR(MATCH(설정!$C$18,INDEX(급여대장_원본!$A$1:$AZ$400,설정!$B$8,0),0),""))&amp;"",",","")),""))</f>
        <v/>
      </c>
      <c r="P14" s="2">
        <f>IF(OR(설정!$C$19="",IFERROR(MATCH(설정!$C$19,INDEX(급여대장_원본!$A$1:$AZ$400,설정!$B$8,0),0),"")=""),"",IFERROR(VALUE(SUBSTITUTE(INDEX(급여대장_원본!$A$1:$AZ$400,(설정!$B$8+8),IFERROR(MATCH(설정!$C$19,INDEX(급여대장_원본!$A$1:$AZ$400,설정!$B$8,0),0),""))&amp;"",",","")),""))</f>
        <v/>
      </c>
      <c r="Q14" s="2">
        <f>IF(OR(설정!$C$20="",IFERROR(MATCH(설정!$C$20,INDEX(급여대장_원본!$A$1:$AZ$400,설정!$B$8,0),0),"")=""),"",IFERROR(VALUE(SUBSTITUTE(INDEX(급여대장_원본!$A$1:$AZ$400,(설정!$B$8+8),IFERROR(MATCH(설정!$C$20,INDEX(급여대장_원본!$A$1:$AZ$400,설정!$B$8,0),0),""))&amp;"",",","")),""))</f>
        <v/>
      </c>
      <c r="R14" s="2">
        <f>IF(OR(설정!$C$21="",IFERROR(MATCH(설정!$C$21,INDEX(급여대장_원본!$A$1:$AZ$400,설정!$B$8,0),0),"")=""),"",IFERROR(VALUE(SUBSTITUTE(INDEX(급여대장_원본!$A$1:$AZ$400,(설정!$B$8+8),IFERROR(MATCH(설정!$C$21,INDEX(급여대장_원본!$A$1:$AZ$400,설정!$B$8,0),0),""))&amp;"",",","")),""))</f>
        <v/>
      </c>
      <c r="S14" s="2">
        <f>IF(OR(설정!$C$22="",IFERROR(MATCH(설정!$C$22,INDEX(급여대장_원본!$A$1:$AZ$400,설정!$B$8,0),0),"")=""),"",IFERROR(VALUE(SUBSTITUTE(INDEX(급여대장_원본!$A$1:$AZ$400,(설정!$B$8+8),IFERROR(MATCH(설정!$C$22,INDEX(급여대장_원본!$A$1:$AZ$400,설정!$B$8,0),0),""))&amp;"",",","")),""))</f>
        <v/>
      </c>
      <c r="T14" s="2">
        <f>IF(OR(설정!$C$23="",IFERROR(MATCH(설정!$C$23,INDEX(급여대장_원본!$A$1:$AZ$400,설정!$B$8,0),0),"")=""),"",IFERROR(VALUE(SUBSTITUTE(INDEX(급여대장_원본!$A$1:$AZ$400,(설정!$B$8+8),IFERROR(MATCH(설정!$C$23,INDEX(급여대장_원본!$A$1:$AZ$400,설정!$B$8,0),0),""))&amp;"",",","")),""))</f>
        <v/>
      </c>
      <c r="U14" s="2">
        <f>IF(OR(설정!$C$24="",IFERROR(MATCH(설정!$C$24,INDEX(급여대장_원본!$A$1:$AZ$400,설정!$B$8,0),0),"")=""),"",IFERROR(VALUE(SUBSTITUTE(INDEX(급여대장_원본!$A$1:$AZ$400,(설정!$B$8+8),IFERROR(MATCH(설정!$C$24,INDEX(급여대장_원본!$A$1:$AZ$400,설정!$B$8,0),0),""))&amp;"",",","")),""))</f>
        <v/>
      </c>
      <c r="V14" s="27">
        <f>SUM(F14:M14)</f>
        <v/>
      </c>
      <c r="W14" s="27">
        <f>IF(설정!$D$26="",0,IFERROR(VALUE(SUBSTITUTE(SUBSTITUTE(INDEX(급여대장_원본!$A$1:$AZ$400,(설정!$B$8+8),설정!$D$26)&amp;"",",",""),"　","")),0))</f>
        <v/>
      </c>
      <c r="X14" s="27">
        <f>IF(설정!$D$27="",0,IFERROR(VALUE(SUBSTITUTE(SUBSTITUTE(INDEX(급여대장_원본!$A$1:$AZ$400,(설정!$B$8+8),설정!$D$27)&amp;"",",",""),"　","")),0))</f>
        <v/>
      </c>
      <c r="Y14" s="27">
        <f>IF(설정!$D$28="",0,IFERROR(VALUE(SUBSTITUTE(SUBSTITUTE(INDEX(급여대장_원본!$A$1:$AZ$400,(설정!$B$8+8),설정!$D$28)&amp;"",",",""),"　","")),0))</f>
        <v/>
      </c>
      <c r="Z14" s="27">
        <f>IF(설정!$D$29="",0,IFERROR(VALUE(SUBSTITUTE(SUBSTITUTE(INDEX(급여대장_원본!$A$1:$AZ$400,(설정!$B$8+8),설정!$D$29)&amp;"",",",""),"　","")),0))</f>
        <v/>
      </c>
      <c r="AA14" s="27">
        <f>IF(설정!$D$30="",0,IFERROR(VALUE(SUBSTITUTE(SUBSTITUTE(INDEX(급여대장_원본!$A$1:$AZ$400,(설정!$B$8+8),설정!$D$30)&amp;"",",",""),"　","")),0))</f>
        <v/>
      </c>
      <c r="AB14" s="27">
        <f>IF(설정!$D$31="",0,IFERROR(VALUE(SUBSTITUTE(SUBSTITUTE(INDEX(급여대장_원본!$A$1:$AZ$400,(설정!$B$8+8),설정!$D$31)&amp;"",",",""),"　","")),0))</f>
        <v/>
      </c>
      <c r="AC14" s="27">
        <f>IF(설정!$D$32="",0,IFERROR(VALUE(SUBSTITUTE(SUBSTITUTE(INDEX(급여대장_원본!$A$1:$AZ$400,(설정!$B$8+8),설정!$D$32)&amp;"",",",""),"　","")),0))</f>
        <v/>
      </c>
      <c r="AD14" s="27">
        <f>IF(설정!$D$33="",0,IFERROR(VALUE(SUBSTITUTE(SUBSTITUTE(INDEX(급여대장_원본!$A$1:$AZ$400,(설정!$B$8+8),설정!$D$33)&amp;"",",",""),"　","")),0))</f>
        <v/>
      </c>
      <c r="AE14" s="27">
        <f>SUM(W14:AD14)</f>
        <v/>
      </c>
      <c r="AF14" s="27">
        <f>V14-AE14</f>
        <v/>
      </c>
      <c r="AG14" s="27">
        <f>IF(설정!$D$35="","",IF(설정!$D$35="",0,IFERROR(VALUE(SUBSTITUTE(SUBSTITUTE(INDEX(급여대장_원본!$A$1:$AZ$400,(설정!$B$8+8),설정!$D$35)&amp;"",",",""),"　","")),0)))</f>
        <v/>
      </c>
      <c r="AH14" s="27">
        <f>IF(설정!$D$36="","",IF(설정!$D$36="",0,IFERROR(VALUE(SUBSTITUTE(SUBSTITUTE(INDEX(급여대장_원본!$A$1:$AZ$400,(설정!$B$8+8),설정!$D$36)&amp;"",",",""),"　","")),0)))</f>
        <v/>
      </c>
      <c r="AI14" s="27">
        <f>IF(설정!$D$37="","",IF(설정!$D$37="",0,IFERROR(VALUE(SUBSTITUTE(SUBSTITUTE(INDEX(급여대장_원본!$A$1:$AZ$400,(설정!$B$8+8),설정!$D$37)&amp;"",",",""),"　","")),0)))</f>
        <v/>
      </c>
      <c r="AJ14" s="2">
        <f>IFERROR(INDEX($D$7:$D$306,MATCH(8,$B$7:$B$306,0)),"")</f>
        <v/>
      </c>
    </row>
    <row r="15">
      <c r="A15" s="2">
        <f>IF(AND(D15&lt;&gt;"",D15&lt;&gt;"합계",D15&lt;&gt;"총계",D15&lt;&gt;"소계",D15&lt;&gt;"계"),1,0)</f>
        <v/>
      </c>
      <c r="B15" s="2">
        <f>IF(A15=1,SUM($A$7:A15),"")</f>
        <v/>
      </c>
      <c r="C15" s="2">
        <f>IF(설정!$D$13="","",TRIM(SUBSTITUTE(INDEX(급여대장_원본!$A$1:$AZ$400,(설정!$B$8+9),설정!$D$13)&amp;"","　"," ")))</f>
        <v/>
      </c>
      <c r="D15" s="2">
        <f>IF(설정!$D$14="","",TRIM(SUBSTITUTE(INDEX(급여대장_원본!$A$1:$AZ$400,(설정!$B$8+9),설정!$D$14)&amp;"","　"," ")))</f>
        <v/>
      </c>
      <c r="E15" s="2">
        <f>IF(설정!$D$15="","",TRIM(SUBSTITUTE(INDEX(급여대장_원본!$A$1:$AZ$400,(설정!$B$8+9),설정!$D$15)&amp;"","　"," ")))</f>
        <v/>
      </c>
      <c r="F15" s="27">
        <f>IF(설정!$D$17="",0,IFERROR(VALUE(SUBSTITUTE(SUBSTITUTE(INDEX(급여대장_원본!$A$1:$AZ$400,(설정!$B$8+9),설정!$D$17)&amp;"",",",""),"　","")),0))</f>
        <v/>
      </c>
      <c r="G15" s="27">
        <f>IF(설정!$D$18="",0,IFERROR(VALUE(SUBSTITUTE(SUBSTITUTE(INDEX(급여대장_원본!$A$1:$AZ$400,(설정!$B$8+9),설정!$D$18)&amp;"",",",""),"　","")),0))</f>
        <v/>
      </c>
      <c r="H15" s="27">
        <f>IF(설정!$D$19="",0,IFERROR(VALUE(SUBSTITUTE(SUBSTITUTE(INDEX(급여대장_원본!$A$1:$AZ$400,(설정!$B$8+9),설정!$D$19)&amp;"",",",""),"　","")),0))</f>
        <v/>
      </c>
      <c r="I15" s="27">
        <f>IF(설정!$D$20="",0,IFERROR(VALUE(SUBSTITUTE(SUBSTITUTE(INDEX(급여대장_원본!$A$1:$AZ$400,(설정!$B$8+9),설정!$D$20)&amp;"",",",""),"　","")),0))</f>
        <v/>
      </c>
      <c r="J15" s="27">
        <f>IF(설정!$D$21="",0,IFERROR(VALUE(SUBSTITUTE(SUBSTITUTE(INDEX(급여대장_원본!$A$1:$AZ$400,(설정!$B$8+9),설정!$D$21)&amp;"",",",""),"　","")),0))</f>
        <v/>
      </c>
      <c r="K15" s="27">
        <f>IF(설정!$D$22="",0,IFERROR(VALUE(SUBSTITUTE(SUBSTITUTE(INDEX(급여대장_원본!$A$1:$AZ$400,(설정!$B$8+9),설정!$D$22)&amp;"",",",""),"　","")),0))</f>
        <v/>
      </c>
      <c r="L15" s="27">
        <f>IF(설정!$D$23="",0,IFERROR(VALUE(SUBSTITUTE(SUBSTITUTE(INDEX(급여대장_원본!$A$1:$AZ$400,(설정!$B$8+9),설정!$D$23)&amp;"",",",""),"　","")),0))</f>
        <v/>
      </c>
      <c r="M15" s="27">
        <f>IF(설정!$D$24="",0,IFERROR(VALUE(SUBSTITUTE(SUBSTITUTE(INDEX(급여대장_원본!$A$1:$AZ$400,(설정!$B$8+9),설정!$D$24)&amp;"",",",""),"　","")),0))</f>
        <v/>
      </c>
      <c r="N15" s="2">
        <f>IF(OR(설정!$C$17="",IFERROR(MATCH(설정!$C$17,INDEX(급여대장_원본!$A$1:$AZ$400,설정!$B$8,0),0),"")=""),"",IFERROR(VALUE(SUBSTITUTE(INDEX(급여대장_원본!$A$1:$AZ$400,(설정!$B$8+9),IFERROR(MATCH(설정!$C$17,INDEX(급여대장_원본!$A$1:$AZ$400,설정!$B$8,0),0),""))&amp;"",",","")),""))</f>
        <v/>
      </c>
      <c r="O15" s="2">
        <f>IF(OR(설정!$C$18="",IFERROR(MATCH(설정!$C$18,INDEX(급여대장_원본!$A$1:$AZ$400,설정!$B$8,0),0),"")=""),"",IFERROR(VALUE(SUBSTITUTE(INDEX(급여대장_원본!$A$1:$AZ$400,(설정!$B$8+9),IFERROR(MATCH(설정!$C$18,INDEX(급여대장_원본!$A$1:$AZ$400,설정!$B$8,0),0),""))&amp;"",",","")),""))</f>
        <v/>
      </c>
      <c r="P15" s="2">
        <f>IF(OR(설정!$C$19="",IFERROR(MATCH(설정!$C$19,INDEX(급여대장_원본!$A$1:$AZ$400,설정!$B$8,0),0),"")=""),"",IFERROR(VALUE(SUBSTITUTE(INDEX(급여대장_원본!$A$1:$AZ$400,(설정!$B$8+9),IFERROR(MATCH(설정!$C$19,INDEX(급여대장_원본!$A$1:$AZ$400,설정!$B$8,0),0),""))&amp;"",",","")),""))</f>
        <v/>
      </c>
      <c r="Q15" s="2">
        <f>IF(OR(설정!$C$20="",IFERROR(MATCH(설정!$C$20,INDEX(급여대장_원본!$A$1:$AZ$400,설정!$B$8,0),0),"")=""),"",IFERROR(VALUE(SUBSTITUTE(INDEX(급여대장_원본!$A$1:$AZ$400,(설정!$B$8+9),IFERROR(MATCH(설정!$C$20,INDEX(급여대장_원본!$A$1:$AZ$400,설정!$B$8,0),0),""))&amp;"",",","")),""))</f>
        <v/>
      </c>
      <c r="R15" s="2">
        <f>IF(OR(설정!$C$21="",IFERROR(MATCH(설정!$C$21,INDEX(급여대장_원본!$A$1:$AZ$400,설정!$B$8,0),0),"")=""),"",IFERROR(VALUE(SUBSTITUTE(INDEX(급여대장_원본!$A$1:$AZ$400,(설정!$B$8+9),IFERROR(MATCH(설정!$C$21,INDEX(급여대장_원본!$A$1:$AZ$400,설정!$B$8,0),0),""))&amp;"",",","")),""))</f>
        <v/>
      </c>
      <c r="S15" s="2">
        <f>IF(OR(설정!$C$22="",IFERROR(MATCH(설정!$C$22,INDEX(급여대장_원본!$A$1:$AZ$400,설정!$B$8,0),0),"")=""),"",IFERROR(VALUE(SUBSTITUTE(INDEX(급여대장_원본!$A$1:$AZ$400,(설정!$B$8+9),IFERROR(MATCH(설정!$C$22,INDEX(급여대장_원본!$A$1:$AZ$400,설정!$B$8,0),0),""))&amp;"",",","")),""))</f>
        <v/>
      </c>
      <c r="T15" s="2">
        <f>IF(OR(설정!$C$23="",IFERROR(MATCH(설정!$C$23,INDEX(급여대장_원본!$A$1:$AZ$400,설정!$B$8,0),0),"")=""),"",IFERROR(VALUE(SUBSTITUTE(INDEX(급여대장_원본!$A$1:$AZ$400,(설정!$B$8+9),IFERROR(MATCH(설정!$C$23,INDEX(급여대장_원본!$A$1:$AZ$400,설정!$B$8,0),0),""))&amp;"",",","")),""))</f>
        <v/>
      </c>
      <c r="U15" s="2">
        <f>IF(OR(설정!$C$24="",IFERROR(MATCH(설정!$C$24,INDEX(급여대장_원본!$A$1:$AZ$400,설정!$B$8,0),0),"")=""),"",IFERROR(VALUE(SUBSTITUTE(INDEX(급여대장_원본!$A$1:$AZ$400,(설정!$B$8+9),IFERROR(MATCH(설정!$C$24,INDEX(급여대장_원본!$A$1:$AZ$400,설정!$B$8,0),0),""))&amp;"",",","")),""))</f>
        <v/>
      </c>
      <c r="V15" s="27">
        <f>SUM(F15:M15)</f>
        <v/>
      </c>
      <c r="W15" s="27">
        <f>IF(설정!$D$26="",0,IFERROR(VALUE(SUBSTITUTE(SUBSTITUTE(INDEX(급여대장_원본!$A$1:$AZ$400,(설정!$B$8+9),설정!$D$26)&amp;"",",",""),"　","")),0))</f>
        <v/>
      </c>
      <c r="X15" s="27">
        <f>IF(설정!$D$27="",0,IFERROR(VALUE(SUBSTITUTE(SUBSTITUTE(INDEX(급여대장_원본!$A$1:$AZ$400,(설정!$B$8+9),설정!$D$27)&amp;"",",",""),"　","")),0))</f>
        <v/>
      </c>
      <c r="Y15" s="27">
        <f>IF(설정!$D$28="",0,IFERROR(VALUE(SUBSTITUTE(SUBSTITUTE(INDEX(급여대장_원본!$A$1:$AZ$400,(설정!$B$8+9),설정!$D$28)&amp;"",",",""),"　","")),0))</f>
        <v/>
      </c>
      <c r="Z15" s="27">
        <f>IF(설정!$D$29="",0,IFERROR(VALUE(SUBSTITUTE(SUBSTITUTE(INDEX(급여대장_원본!$A$1:$AZ$400,(설정!$B$8+9),설정!$D$29)&amp;"",",",""),"　","")),0))</f>
        <v/>
      </c>
      <c r="AA15" s="27">
        <f>IF(설정!$D$30="",0,IFERROR(VALUE(SUBSTITUTE(SUBSTITUTE(INDEX(급여대장_원본!$A$1:$AZ$400,(설정!$B$8+9),설정!$D$30)&amp;"",",",""),"　","")),0))</f>
        <v/>
      </c>
      <c r="AB15" s="27">
        <f>IF(설정!$D$31="",0,IFERROR(VALUE(SUBSTITUTE(SUBSTITUTE(INDEX(급여대장_원본!$A$1:$AZ$400,(설정!$B$8+9),설정!$D$31)&amp;"",",",""),"　","")),0))</f>
        <v/>
      </c>
      <c r="AC15" s="27">
        <f>IF(설정!$D$32="",0,IFERROR(VALUE(SUBSTITUTE(SUBSTITUTE(INDEX(급여대장_원본!$A$1:$AZ$400,(설정!$B$8+9),설정!$D$32)&amp;"",",",""),"　","")),0))</f>
        <v/>
      </c>
      <c r="AD15" s="27">
        <f>IF(설정!$D$33="",0,IFERROR(VALUE(SUBSTITUTE(SUBSTITUTE(INDEX(급여대장_원본!$A$1:$AZ$400,(설정!$B$8+9),설정!$D$33)&amp;"",",",""),"　","")),0))</f>
        <v/>
      </c>
      <c r="AE15" s="27">
        <f>SUM(W15:AD15)</f>
        <v/>
      </c>
      <c r="AF15" s="27">
        <f>V15-AE15</f>
        <v/>
      </c>
      <c r="AG15" s="27">
        <f>IF(설정!$D$35="","",IF(설정!$D$35="",0,IFERROR(VALUE(SUBSTITUTE(SUBSTITUTE(INDEX(급여대장_원본!$A$1:$AZ$400,(설정!$B$8+9),설정!$D$35)&amp;"",",",""),"　","")),0)))</f>
        <v/>
      </c>
      <c r="AH15" s="27">
        <f>IF(설정!$D$36="","",IF(설정!$D$36="",0,IFERROR(VALUE(SUBSTITUTE(SUBSTITUTE(INDEX(급여대장_원본!$A$1:$AZ$400,(설정!$B$8+9),설정!$D$36)&amp;"",",",""),"　","")),0)))</f>
        <v/>
      </c>
      <c r="AI15" s="27">
        <f>IF(설정!$D$37="","",IF(설정!$D$37="",0,IFERROR(VALUE(SUBSTITUTE(SUBSTITUTE(INDEX(급여대장_원본!$A$1:$AZ$400,(설정!$B$8+9),설정!$D$37)&amp;"",",",""),"　","")),0)))</f>
        <v/>
      </c>
      <c r="AJ15" s="2">
        <f>IFERROR(INDEX($D$7:$D$306,MATCH(9,$B$7:$B$306,0)),"")</f>
        <v/>
      </c>
    </row>
    <row r="16">
      <c r="A16" s="2">
        <f>IF(AND(D16&lt;&gt;"",D16&lt;&gt;"합계",D16&lt;&gt;"총계",D16&lt;&gt;"소계",D16&lt;&gt;"계"),1,0)</f>
        <v/>
      </c>
      <c r="B16" s="2">
        <f>IF(A16=1,SUM($A$7:A16),"")</f>
        <v/>
      </c>
      <c r="C16" s="2">
        <f>IF(설정!$D$13="","",TRIM(SUBSTITUTE(INDEX(급여대장_원본!$A$1:$AZ$400,(설정!$B$8+10),설정!$D$13)&amp;"","　"," ")))</f>
        <v/>
      </c>
      <c r="D16" s="2">
        <f>IF(설정!$D$14="","",TRIM(SUBSTITUTE(INDEX(급여대장_원본!$A$1:$AZ$400,(설정!$B$8+10),설정!$D$14)&amp;"","　"," ")))</f>
        <v/>
      </c>
      <c r="E16" s="2">
        <f>IF(설정!$D$15="","",TRIM(SUBSTITUTE(INDEX(급여대장_원본!$A$1:$AZ$400,(설정!$B$8+10),설정!$D$15)&amp;"","　"," ")))</f>
        <v/>
      </c>
      <c r="F16" s="27">
        <f>IF(설정!$D$17="",0,IFERROR(VALUE(SUBSTITUTE(SUBSTITUTE(INDEX(급여대장_원본!$A$1:$AZ$400,(설정!$B$8+10),설정!$D$17)&amp;"",",",""),"　","")),0))</f>
        <v/>
      </c>
      <c r="G16" s="27">
        <f>IF(설정!$D$18="",0,IFERROR(VALUE(SUBSTITUTE(SUBSTITUTE(INDEX(급여대장_원본!$A$1:$AZ$400,(설정!$B$8+10),설정!$D$18)&amp;"",",",""),"　","")),0))</f>
        <v/>
      </c>
      <c r="H16" s="27">
        <f>IF(설정!$D$19="",0,IFERROR(VALUE(SUBSTITUTE(SUBSTITUTE(INDEX(급여대장_원본!$A$1:$AZ$400,(설정!$B$8+10),설정!$D$19)&amp;"",",",""),"　","")),0))</f>
        <v/>
      </c>
      <c r="I16" s="27">
        <f>IF(설정!$D$20="",0,IFERROR(VALUE(SUBSTITUTE(SUBSTITUTE(INDEX(급여대장_원본!$A$1:$AZ$400,(설정!$B$8+10),설정!$D$20)&amp;"",",",""),"　","")),0))</f>
        <v/>
      </c>
      <c r="J16" s="27">
        <f>IF(설정!$D$21="",0,IFERROR(VALUE(SUBSTITUTE(SUBSTITUTE(INDEX(급여대장_원본!$A$1:$AZ$400,(설정!$B$8+10),설정!$D$21)&amp;"",",",""),"　","")),0))</f>
        <v/>
      </c>
      <c r="K16" s="27">
        <f>IF(설정!$D$22="",0,IFERROR(VALUE(SUBSTITUTE(SUBSTITUTE(INDEX(급여대장_원본!$A$1:$AZ$400,(설정!$B$8+10),설정!$D$22)&amp;"",",",""),"　","")),0))</f>
        <v/>
      </c>
      <c r="L16" s="27">
        <f>IF(설정!$D$23="",0,IFERROR(VALUE(SUBSTITUTE(SUBSTITUTE(INDEX(급여대장_원본!$A$1:$AZ$400,(설정!$B$8+10),설정!$D$23)&amp;"",",",""),"　","")),0))</f>
        <v/>
      </c>
      <c r="M16" s="27">
        <f>IF(설정!$D$24="",0,IFERROR(VALUE(SUBSTITUTE(SUBSTITUTE(INDEX(급여대장_원본!$A$1:$AZ$400,(설정!$B$8+10),설정!$D$24)&amp;"",",",""),"　","")),0))</f>
        <v/>
      </c>
      <c r="N16" s="2">
        <f>IF(OR(설정!$C$17="",IFERROR(MATCH(설정!$C$17,INDEX(급여대장_원본!$A$1:$AZ$400,설정!$B$8,0),0),"")=""),"",IFERROR(VALUE(SUBSTITUTE(INDEX(급여대장_원본!$A$1:$AZ$400,(설정!$B$8+10),IFERROR(MATCH(설정!$C$17,INDEX(급여대장_원본!$A$1:$AZ$400,설정!$B$8,0),0),""))&amp;"",",","")),""))</f>
        <v/>
      </c>
      <c r="O16" s="2">
        <f>IF(OR(설정!$C$18="",IFERROR(MATCH(설정!$C$18,INDEX(급여대장_원본!$A$1:$AZ$400,설정!$B$8,0),0),"")=""),"",IFERROR(VALUE(SUBSTITUTE(INDEX(급여대장_원본!$A$1:$AZ$400,(설정!$B$8+10),IFERROR(MATCH(설정!$C$18,INDEX(급여대장_원본!$A$1:$AZ$400,설정!$B$8,0),0),""))&amp;"",",","")),""))</f>
        <v/>
      </c>
      <c r="P16" s="2">
        <f>IF(OR(설정!$C$19="",IFERROR(MATCH(설정!$C$19,INDEX(급여대장_원본!$A$1:$AZ$400,설정!$B$8,0),0),"")=""),"",IFERROR(VALUE(SUBSTITUTE(INDEX(급여대장_원본!$A$1:$AZ$400,(설정!$B$8+10),IFERROR(MATCH(설정!$C$19,INDEX(급여대장_원본!$A$1:$AZ$400,설정!$B$8,0),0),""))&amp;"",",","")),""))</f>
        <v/>
      </c>
      <c r="Q16" s="2">
        <f>IF(OR(설정!$C$20="",IFERROR(MATCH(설정!$C$20,INDEX(급여대장_원본!$A$1:$AZ$400,설정!$B$8,0),0),"")=""),"",IFERROR(VALUE(SUBSTITUTE(INDEX(급여대장_원본!$A$1:$AZ$400,(설정!$B$8+10),IFERROR(MATCH(설정!$C$20,INDEX(급여대장_원본!$A$1:$AZ$400,설정!$B$8,0),0),""))&amp;"",",","")),""))</f>
        <v/>
      </c>
      <c r="R16" s="2">
        <f>IF(OR(설정!$C$21="",IFERROR(MATCH(설정!$C$21,INDEX(급여대장_원본!$A$1:$AZ$400,설정!$B$8,0),0),"")=""),"",IFERROR(VALUE(SUBSTITUTE(INDEX(급여대장_원본!$A$1:$AZ$400,(설정!$B$8+10),IFERROR(MATCH(설정!$C$21,INDEX(급여대장_원본!$A$1:$AZ$400,설정!$B$8,0),0),""))&amp;"",",","")),""))</f>
        <v/>
      </c>
      <c r="S16" s="2">
        <f>IF(OR(설정!$C$22="",IFERROR(MATCH(설정!$C$22,INDEX(급여대장_원본!$A$1:$AZ$400,설정!$B$8,0),0),"")=""),"",IFERROR(VALUE(SUBSTITUTE(INDEX(급여대장_원본!$A$1:$AZ$400,(설정!$B$8+10),IFERROR(MATCH(설정!$C$22,INDEX(급여대장_원본!$A$1:$AZ$400,설정!$B$8,0),0),""))&amp;"",",","")),""))</f>
        <v/>
      </c>
      <c r="T16" s="2">
        <f>IF(OR(설정!$C$23="",IFERROR(MATCH(설정!$C$23,INDEX(급여대장_원본!$A$1:$AZ$400,설정!$B$8,0),0),"")=""),"",IFERROR(VALUE(SUBSTITUTE(INDEX(급여대장_원본!$A$1:$AZ$400,(설정!$B$8+10),IFERROR(MATCH(설정!$C$23,INDEX(급여대장_원본!$A$1:$AZ$400,설정!$B$8,0),0),""))&amp;"",",","")),""))</f>
        <v/>
      </c>
      <c r="U16" s="2">
        <f>IF(OR(설정!$C$24="",IFERROR(MATCH(설정!$C$24,INDEX(급여대장_원본!$A$1:$AZ$400,설정!$B$8,0),0),"")=""),"",IFERROR(VALUE(SUBSTITUTE(INDEX(급여대장_원본!$A$1:$AZ$400,(설정!$B$8+10),IFERROR(MATCH(설정!$C$24,INDEX(급여대장_원본!$A$1:$AZ$400,설정!$B$8,0),0),""))&amp;"",",","")),""))</f>
        <v/>
      </c>
      <c r="V16" s="27">
        <f>SUM(F16:M16)</f>
        <v/>
      </c>
      <c r="W16" s="27">
        <f>IF(설정!$D$26="",0,IFERROR(VALUE(SUBSTITUTE(SUBSTITUTE(INDEX(급여대장_원본!$A$1:$AZ$400,(설정!$B$8+10),설정!$D$26)&amp;"",",",""),"　","")),0))</f>
        <v/>
      </c>
      <c r="X16" s="27">
        <f>IF(설정!$D$27="",0,IFERROR(VALUE(SUBSTITUTE(SUBSTITUTE(INDEX(급여대장_원본!$A$1:$AZ$400,(설정!$B$8+10),설정!$D$27)&amp;"",",",""),"　","")),0))</f>
        <v/>
      </c>
      <c r="Y16" s="27">
        <f>IF(설정!$D$28="",0,IFERROR(VALUE(SUBSTITUTE(SUBSTITUTE(INDEX(급여대장_원본!$A$1:$AZ$400,(설정!$B$8+10),설정!$D$28)&amp;"",",",""),"　","")),0))</f>
        <v/>
      </c>
      <c r="Z16" s="27">
        <f>IF(설정!$D$29="",0,IFERROR(VALUE(SUBSTITUTE(SUBSTITUTE(INDEX(급여대장_원본!$A$1:$AZ$400,(설정!$B$8+10),설정!$D$29)&amp;"",",",""),"　","")),0))</f>
        <v/>
      </c>
      <c r="AA16" s="27">
        <f>IF(설정!$D$30="",0,IFERROR(VALUE(SUBSTITUTE(SUBSTITUTE(INDEX(급여대장_원본!$A$1:$AZ$400,(설정!$B$8+10),설정!$D$30)&amp;"",",",""),"　","")),0))</f>
        <v/>
      </c>
      <c r="AB16" s="27">
        <f>IF(설정!$D$31="",0,IFERROR(VALUE(SUBSTITUTE(SUBSTITUTE(INDEX(급여대장_원본!$A$1:$AZ$400,(설정!$B$8+10),설정!$D$31)&amp;"",",",""),"　","")),0))</f>
        <v/>
      </c>
      <c r="AC16" s="27">
        <f>IF(설정!$D$32="",0,IFERROR(VALUE(SUBSTITUTE(SUBSTITUTE(INDEX(급여대장_원본!$A$1:$AZ$400,(설정!$B$8+10),설정!$D$32)&amp;"",",",""),"　","")),0))</f>
        <v/>
      </c>
      <c r="AD16" s="27">
        <f>IF(설정!$D$33="",0,IFERROR(VALUE(SUBSTITUTE(SUBSTITUTE(INDEX(급여대장_원본!$A$1:$AZ$400,(설정!$B$8+10),설정!$D$33)&amp;"",",",""),"　","")),0))</f>
        <v/>
      </c>
      <c r="AE16" s="27">
        <f>SUM(W16:AD16)</f>
        <v/>
      </c>
      <c r="AF16" s="27">
        <f>V16-AE16</f>
        <v/>
      </c>
      <c r="AG16" s="27">
        <f>IF(설정!$D$35="","",IF(설정!$D$35="",0,IFERROR(VALUE(SUBSTITUTE(SUBSTITUTE(INDEX(급여대장_원본!$A$1:$AZ$400,(설정!$B$8+10),설정!$D$35)&amp;"",",",""),"　","")),0)))</f>
        <v/>
      </c>
      <c r="AH16" s="27">
        <f>IF(설정!$D$36="","",IF(설정!$D$36="",0,IFERROR(VALUE(SUBSTITUTE(SUBSTITUTE(INDEX(급여대장_원본!$A$1:$AZ$400,(설정!$B$8+10),설정!$D$36)&amp;"",",",""),"　","")),0)))</f>
        <v/>
      </c>
      <c r="AI16" s="27">
        <f>IF(설정!$D$37="","",IF(설정!$D$37="",0,IFERROR(VALUE(SUBSTITUTE(SUBSTITUTE(INDEX(급여대장_원본!$A$1:$AZ$400,(설정!$B$8+10),설정!$D$37)&amp;"",",",""),"　","")),0)))</f>
        <v/>
      </c>
      <c r="AJ16" s="2">
        <f>IFERROR(INDEX($D$7:$D$306,MATCH(10,$B$7:$B$306,0)),"")</f>
        <v/>
      </c>
    </row>
    <row r="17">
      <c r="A17" s="2">
        <f>IF(AND(D17&lt;&gt;"",D17&lt;&gt;"합계",D17&lt;&gt;"총계",D17&lt;&gt;"소계",D17&lt;&gt;"계"),1,0)</f>
        <v/>
      </c>
      <c r="B17" s="2">
        <f>IF(A17=1,SUM($A$7:A17),"")</f>
        <v/>
      </c>
      <c r="C17" s="2">
        <f>IF(설정!$D$13="","",TRIM(SUBSTITUTE(INDEX(급여대장_원본!$A$1:$AZ$400,(설정!$B$8+11),설정!$D$13)&amp;"","　"," ")))</f>
        <v/>
      </c>
      <c r="D17" s="2">
        <f>IF(설정!$D$14="","",TRIM(SUBSTITUTE(INDEX(급여대장_원본!$A$1:$AZ$400,(설정!$B$8+11),설정!$D$14)&amp;"","　"," ")))</f>
        <v/>
      </c>
      <c r="E17" s="2">
        <f>IF(설정!$D$15="","",TRIM(SUBSTITUTE(INDEX(급여대장_원본!$A$1:$AZ$400,(설정!$B$8+11),설정!$D$15)&amp;"","　"," ")))</f>
        <v/>
      </c>
      <c r="F17" s="27">
        <f>IF(설정!$D$17="",0,IFERROR(VALUE(SUBSTITUTE(SUBSTITUTE(INDEX(급여대장_원본!$A$1:$AZ$400,(설정!$B$8+11),설정!$D$17)&amp;"",",",""),"　","")),0))</f>
        <v/>
      </c>
      <c r="G17" s="27">
        <f>IF(설정!$D$18="",0,IFERROR(VALUE(SUBSTITUTE(SUBSTITUTE(INDEX(급여대장_원본!$A$1:$AZ$400,(설정!$B$8+11),설정!$D$18)&amp;"",",",""),"　","")),0))</f>
        <v/>
      </c>
      <c r="H17" s="27">
        <f>IF(설정!$D$19="",0,IFERROR(VALUE(SUBSTITUTE(SUBSTITUTE(INDEX(급여대장_원본!$A$1:$AZ$400,(설정!$B$8+11),설정!$D$19)&amp;"",",",""),"　","")),0))</f>
        <v/>
      </c>
      <c r="I17" s="27">
        <f>IF(설정!$D$20="",0,IFERROR(VALUE(SUBSTITUTE(SUBSTITUTE(INDEX(급여대장_원본!$A$1:$AZ$400,(설정!$B$8+11),설정!$D$20)&amp;"",",",""),"　","")),0))</f>
        <v/>
      </c>
      <c r="J17" s="27">
        <f>IF(설정!$D$21="",0,IFERROR(VALUE(SUBSTITUTE(SUBSTITUTE(INDEX(급여대장_원본!$A$1:$AZ$400,(설정!$B$8+11),설정!$D$21)&amp;"",",",""),"　","")),0))</f>
        <v/>
      </c>
      <c r="K17" s="27">
        <f>IF(설정!$D$22="",0,IFERROR(VALUE(SUBSTITUTE(SUBSTITUTE(INDEX(급여대장_원본!$A$1:$AZ$400,(설정!$B$8+11),설정!$D$22)&amp;"",",",""),"　","")),0))</f>
        <v/>
      </c>
      <c r="L17" s="27">
        <f>IF(설정!$D$23="",0,IFERROR(VALUE(SUBSTITUTE(SUBSTITUTE(INDEX(급여대장_원본!$A$1:$AZ$400,(설정!$B$8+11),설정!$D$23)&amp;"",",",""),"　","")),0))</f>
        <v/>
      </c>
      <c r="M17" s="27">
        <f>IF(설정!$D$24="",0,IFERROR(VALUE(SUBSTITUTE(SUBSTITUTE(INDEX(급여대장_원본!$A$1:$AZ$400,(설정!$B$8+11),설정!$D$24)&amp;"",",",""),"　","")),0))</f>
        <v/>
      </c>
      <c r="N17" s="2">
        <f>IF(OR(설정!$C$17="",IFERROR(MATCH(설정!$C$17,INDEX(급여대장_원본!$A$1:$AZ$400,설정!$B$8,0),0),"")=""),"",IFERROR(VALUE(SUBSTITUTE(INDEX(급여대장_원본!$A$1:$AZ$400,(설정!$B$8+11),IFERROR(MATCH(설정!$C$17,INDEX(급여대장_원본!$A$1:$AZ$400,설정!$B$8,0),0),""))&amp;"",",","")),""))</f>
        <v/>
      </c>
      <c r="O17" s="2">
        <f>IF(OR(설정!$C$18="",IFERROR(MATCH(설정!$C$18,INDEX(급여대장_원본!$A$1:$AZ$400,설정!$B$8,0),0),"")=""),"",IFERROR(VALUE(SUBSTITUTE(INDEX(급여대장_원본!$A$1:$AZ$400,(설정!$B$8+11),IFERROR(MATCH(설정!$C$18,INDEX(급여대장_원본!$A$1:$AZ$400,설정!$B$8,0),0),""))&amp;"",",","")),""))</f>
        <v/>
      </c>
      <c r="P17" s="2">
        <f>IF(OR(설정!$C$19="",IFERROR(MATCH(설정!$C$19,INDEX(급여대장_원본!$A$1:$AZ$400,설정!$B$8,0),0),"")=""),"",IFERROR(VALUE(SUBSTITUTE(INDEX(급여대장_원본!$A$1:$AZ$400,(설정!$B$8+11),IFERROR(MATCH(설정!$C$19,INDEX(급여대장_원본!$A$1:$AZ$400,설정!$B$8,0),0),""))&amp;"",",","")),""))</f>
        <v/>
      </c>
      <c r="Q17" s="2">
        <f>IF(OR(설정!$C$20="",IFERROR(MATCH(설정!$C$20,INDEX(급여대장_원본!$A$1:$AZ$400,설정!$B$8,0),0),"")=""),"",IFERROR(VALUE(SUBSTITUTE(INDEX(급여대장_원본!$A$1:$AZ$400,(설정!$B$8+11),IFERROR(MATCH(설정!$C$20,INDEX(급여대장_원본!$A$1:$AZ$400,설정!$B$8,0),0),""))&amp;"",",","")),""))</f>
        <v/>
      </c>
      <c r="R17" s="2">
        <f>IF(OR(설정!$C$21="",IFERROR(MATCH(설정!$C$21,INDEX(급여대장_원본!$A$1:$AZ$400,설정!$B$8,0),0),"")=""),"",IFERROR(VALUE(SUBSTITUTE(INDEX(급여대장_원본!$A$1:$AZ$400,(설정!$B$8+11),IFERROR(MATCH(설정!$C$21,INDEX(급여대장_원본!$A$1:$AZ$400,설정!$B$8,0),0),""))&amp;"",",","")),""))</f>
        <v/>
      </c>
      <c r="S17" s="2">
        <f>IF(OR(설정!$C$22="",IFERROR(MATCH(설정!$C$22,INDEX(급여대장_원본!$A$1:$AZ$400,설정!$B$8,0),0),"")=""),"",IFERROR(VALUE(SUBSTITUTE(INDEX(급여대장_원본!$A$1:$AZ$400,(설정!$B$8+11),IFERROR(MATCH(설정!$C$22,INDEX(급여대장_원본!$A$1:$AZ$400,설정!$B$8,0),0),""))&amp;"",",","")),""))</f>
        <v/>
      </c>
      <c r="T17" s="2">
        <f>IF(OR(설정!$C$23="",IFERROR(MATCH(설정!$C$23,INDEX(급여대장_원본!$A$1:$AZ$400,설정!$B$8,0),0),"")=""),"",IFERROR(VALUE(SUBSTITUTE(INDEX(급여대장_원본!$A$1:$AZ$400,(설정!$B$8+11),IFERROR(MATCH(설정!$C$23,INDEX(급여대장_원본!$A$1:$AZ$400,설정!$B$8,0),0),""))&amp;"",",","")),""))</f>
        <v/>
      </c>
      <c r="U17" s="2">
        <f>IF(OR(설정!$C$24="",IFERROR(MATCH(설정!$C$24,INDEX(급여대장_원본!$A$1:$AZ$400,설정!$B$8,0),0),"")=""),"",IFERROR(VALUE(SUBSTITUTE(INDEX(급여대장_원본!$A$1:$AZ$400,(설정!$B$8+11),IFERROR(MATCH(설정!$C$24,INDEX(급여대장_원본!$A$1:$AZ$400,설정!$B$8,0),0),""))&amp;"",",","")),""))</f>
        <v/>
      </c>
      <c r="V17" s="27">
        <f>SUM(F17:M17)</f>
        <v/>
      </c>
      <c r="W17" s="27">
        <f>IF(설정!$D$26="",0,IFERROR(VALUE(SUBSTITUTE(SUBSTITUTE(INDEX(급여대장_원본!$A$1:$AZ$400,(설정!$B$8+11),설정!$D$26)&amp;"",",",""),"　","")),0))</f>
        <v/>
      </c>
      <c r="X17" s="27">
        <f>IF(설정!$D$27="",0,IFERROR(VALUE(SUBSTITUTE(SUBSTITUTE(INDEX(급여대장_원본!$A$1:$AZ$400,(설정!$B$8+11),설정!$D$27)&amp;"",",",""),"　","")),0))</f>
        <v/>
      </c>
      <c r="Y17" s="27">
        <f>IF(설정!$D$28="",0,IFERROR(VALUE(SUBSTITUTE(SUBSTITUTE(INDEX(급여대장_원본!$A$1:$AZ$400,(설정!$B$8+11),설정!$D$28)&amp;"",",",""),"　","")),0))</f>
        <v/>
      </c>
      <c r="Z17" s="27">
        <f>IF(설정!$D$29="",0,IFERROR(VALUE(SUBSTITUTE(SUBSTITUTE(INDEX(급여대장_원본!$A$1:$AZ$400,(설정!$B$8+11),설정!$D$29)&amp;"",",",""),"　","")),0))</f>
        <v/>
      </c>
      <c r="AA17" s="27">
        <f>IF(설정!$D$30="",0,IFERROR(VALUE(SUBSTITUTE(SUBSTITUTE(INDEX(급여대장_원본!$A$1:$AZ$400,(설정!$B$8+11),설정!$D$30)&amp;"",",",""),"　","")),0))</f>
        <v/>
      </c>
      <c r="AB17" s="27">
        <f>IF(설정!$D$31="",0,IFERROR(VALUE(SUBSTITUTE(SUBSTITUTE(INDEX(급여대장_원본!$A$1:$AZ$400,(설정!$B$8+11),설정!$D$31)&amp;"",",",""),"　","")),0))</f>
        <v/>
      </c>
      <c r="AC17" s="27">
        <f>IF(설정!$D$32="",0,IFERROR(VALUE(SUBSTITUTE(SUBSTITUTE(INDEX(급여대장_원본!$A$1:$AZ$400,(설정!$B$8+11),설정!$D$32)&amp;"",",",""),"　","")),0))</f>
        <v/>
      </c>
      <c r="AD17" s="27">
        <f>IF(설정!$D$33="",0,IFERROR(VALUE(SUBSTITUTE(SUBSTITUTE(INDEX(급여대장_원본!$A$1:$AZ$400,(설정!$B$8+11),설정!$D$33)&amp;"",",",""),"　","")),0))</f>
        <v/>
      </c>
      <c r="AE17" s="27">
        <f>SUM(W17:AD17)</f>
        <v/>
      </c>
      <c r="AF17" s="27">
        <f>V17-AE17</f>
        <v/>
      </c>
      <c r="AG17" s="27">
        <f>IF(설정!$D$35="","",IF(설정!$D$35="",0,IFERROR(VALUE(SUBSTITUTE(SUBSTITUTE(INDEX(급여대장_원본!$A$1:$AZ$400,(설정!$B$8+11),설정!$D$35)&amp;"",",",""),"　","")),0)))</f>
        <v/>
      </c>
      <c r="AH17" s="27">
        <f>IF(설정!$D$36="","",IF(설정!$D$36="",0,IFERROR(VALUE(SUBSTITUTE(SUBSTITUTE(INDEX(급여대장_원본!$A$1:$AZ$400,(설정!$B$8+11),설정!$D$36)&amp;"",",",""),"　","")),0)))</f>
        <v/>
      </c>
      <c r="AI17" s="27">
        <f>IF(설정!$D$37="","",IF(설정!$D$37="",0,IFERROR(VALUE(SUBSTITUTE(SUBSTITUTE(INDEX(급여대장_원본!$A$1:$AZ$400,(설정!$B$8+11),설정!$D$37)&amp;"",",",""),"　","")),0)))</f>
        <v/>
      </c>
      <c r="AJ17" s="2">
        <f>IFERROR(INDEX($D$7:$D$306,MATCH(11,$B$7:$B$306,0)),"")</f>
        <v/>
      </c>
    </row>
    <row r="18">
      <c r="A18" s="2">
        <f>IF(AND(D18&lt;&gt;"",D18&lt;&gt;"합계",D18&lt;&gt;"총계",D18&lt;&gt;"소계",D18&lt;&gt;"계"),1,0)</f>
        <v/>
      </c>
      <c r="B18" s="2">
        <f>IF(A18=1,SUM($A$7:A18),"")</f>
        <v/>
      </c>
      <c r="C18" s="2">
        <f>IF(설정!$D$13="","",TRIM(SUBSTITUTE(INDEX(급여대장_원본!$A$1:$AZ$400,(설정!$B$8+12),설정!$D$13)&amp;"","　"," ")))</f>
        <v/>
      </c>
      <c r="D18" s="2">
        <f>IF(설정!$D$14="","",TRIM(SUBSTITUTE(INDEX(급여대장_원본!$A$1:$AZ$400,(설정!$B$8+12),설정!$D$14)&amp;"","　"," ")))</f>
        <v/>
      </c>
      <c r="E18" s="2">
        <f>IF(설정!$D$15="","",TRIM(SUBSTITUTE(INDEX(급여대장_원본!$A$1:$AZ$400,(설정!$B$8+12),설정!$D$15)&amp;"","　"," ")))</f>
        <v/>
      </c>
      <c r="F18" s="27">
        <f>IF(설정!$D$17="",0,IFERROR(VALUE(SUBSTITUTE(SUBSTITUTE(INDEX(급여대장_원본!$A$1:$AZ$400,(설정!$B$8+12),설정!$D$17)&amp;"",",",""),"　","")),0))</f>
        <v/>
      </c>
      <c r="G18" s="27">
        <f>IF(설정!$D$18="",0,IFERROR(VALUE(SUBSTITUTE(SUBSTITUTE(INDEX(급여대장_원본!$A$1:$AZ$400,(설정!$B$8+12),설정!$D$18)&amp;"",",",""),"　","")),0))</f>
        <v/>
      </c>
      <c r="H18" s="27">
        <f>IF(설정!$D$19="",0,IFERROR(VALUE(SUBSTITUTE(SUBSTITUTE(INDEX(급여대장_원본!$A$1:$AZ$400,(설정!$B$8+12),설정!$D$19)&amp;"",",",""),"　","")),0))</f>
        <v/>
      </c>
      <c r="I18" s="27">
        <f>IF(설정!$D$20="",0,IFERROR(VALUE(SUBSTITUTE(SUBSTITUTE(INDEX(급여대장_원본!$A$1:$AZ$400,(설정!$B$8+12),설정!$D$20)&amp;"",",",""),"　","")),0))</f>
        <v/>
      </c>
      <c r="J18" s="27">
        <f>IF(설정!$D$21="",0,IFERROR(VALUE(SUBSTITUTE(SUBSTITUTE(INDEX(급여대장_원본!$A$1:$AZ$400,(설정!$B$8+12),설정!$D$21)&amp;"",",",""),"　","")),0))</f>
        <v/>
      </c>
      <c r="K18" s="27">
        <f>IF(설정!$D$22="",0,IFERROR(VALUE(SUBSTITUTE(SUBSTITUTE(INDEX(급여대장_원본!$A$1:$AZ$400,(설정!$B$8+12),설정!$D$22)&amp;"",",",""),"　","")),0))</f>
        <v/>
      </c>
      <c r="L18" s="27">
        <f>IF(설정!$D$23="",0,IFERROR(VALUE(SUBSTITUTE(SUBSTITUTE(INDEX(급여대장_원본!$A$1:$AZ$400,(설정!$B$8+12),설정!$D$23)&amp;"",",",""),"　","")),0))</f>
        <v/>
      </c>
      <c r="M18" s="27">
        <f>IF(설정!$D$24="",0,IFERROR(VALUE(SUBSTITUTE(SUBSTITUTE(INDEX(급여대장_원본!$A$1:$AZ$400,(설정!$B$8+12),설정!$D$24)&amp;"",",",""),"　","")),0))</f>
        <v/>
      </c>
      <c r="N18" s="2">
        <f>IF(OR(설정!$C$17="",IFERROR(MATCH(설정!$C$17,INDEX(급여대장_원본!$A$1:$AZ$400,설정!$B$8,0),0),"")=""),"",IFERROR(VALUE(SUBSTITUTE(INDEX(급여대장_원본!$A$1:$AZ$400,(설정!$B$8+12),IFERROR(MATCH(설정!$C$17,INDEX(급여대장_원본!$A$1:$AZ$400,설정!$B$8,0),0),""))&amp;"",",","")),""))</f>
        <v/>
      </c>
      <c r="O18" s="2">
        <f>IF(OR(설정!$C$18="",IFERROR(MATCH(설정!$C$18,INDEX(급여대장_원본!$A$1:$AZ$400,설정!$B$8,0),0),"")=""),"",IFERROR(VALUE(SUBSTITUTE(INDEX(급여대장_원본!$A$1:$AZ$400,(설정!$B$8+12),IFERROR(MATCH(설정!$C$18,INDEX(급여대장_원본!$A$1:$AZ$400,설정!$B$8,0),0),""))&amp;"",",","")),""))</f>
        <v/>
      </c>
      <c r="P18" s="2">
        <f>IF(OR(설정!$C$19="",IFERROR(MATCH(설정!$C$19,INDEX(급여대장_원본!$A$1:$AZ$400,설정!$B$8,0),0),"")=""),"",IFERROR(VALUE(SUBSTITUTE(INDEX(급여대장_원본!$A$1:$AZ$400,(설정!$B$8+12),IFERROR(MATCH(설정!$C$19,INDEX(급여대장_원본!$A$1:$AZ$400,설정!$B$8,0),0),""))&amp;"",",","")),""))</f>
        <v/>
      </c>
      <c r="Q18" s="2">
        <f>IF(OR(설정!$C$20="",IFERROR(MATCH(설정!$C$20,INDEX(급여대장_원본!$A$1:$AZ$400,설정!$B$8,0),0),"")=""),"",IFERROR(VALUE(SUBSTITUTE(INDEX(급여대장_원본!$A$1:$AZ$400,(설정!$B$8+12),IFERROR(MATCH(설정!$C$20,INDEX(급여대장_원본!$A$1:$AZ$400,설정!$B$8,0),0),""))&amp;"",",","")),""))</f>
        <v/>
      </c>
      <c r="R18" s="2">
        <f>IF(OR(설정!$C$21="",IFERROR(MATCH(설정!$C$21,INDEX(급여대장_원본!$A$1:$AZ$400,설정!$B$8,0),0),"")=""),"",IFERROR(VALUE(SUBSTITUTE(INDEX(급여대장_원본!$A$1:$AZ$400,(설정!$B$8+12),IFERROR(MATCH(설정!$C$21,INDEX(급여대장_원본!$A$1:$AZ$400,설정!$B$8,0),0),""))&amp;"",",","")),""))</f>
        <v/>
      </c>
      <c r="S18" s="2">
        <f>IF(OR(설정!$C$22="",IFERROR(MATCH(설정!$C$22,INDEX(급여대장_원본!$A$1:$AZ$400,설정!$B$8,0),0),"")=""),"",IFERROR(VALUE(SUBSTITUTE(INDEX(급여대장_원본!$A$1:$AZ$400,(설정!$B$8+12),IFERROR(MATCH(설정!$C$22,INDEX(급여대장_원본!$A$1:$AZ$400,설정!$B$8,0),0),""))&amp;"",",","")),""))</f>
        <v/>
      </c>
      <c r="T18" s="2">
        <f>IF(OR(설정!$C$23="",IFERROR(MATCH(설정!$C$23,INDEX(급여대장_원본!$A$1:$AZ$400,설정!$B$8,0),0),"")=""),"",IFERROR(VALUE(SUBSTITUTE(INDEX(급여대장_원본!$A$1:$AZ$400,(설정!$B$8+12),IFERROR(MATCH(설정!$C$23,INDEX(급여대장_원본!$A$1:$AZ$400,설정!$B$8,0),0),""))&amp;"",",","")),""))</f>
        <v/>
      </c>
      <c r="U18" s="2">
        <f>IF(OR(설정!$C$24="",IFERROR(MATCH(설정!$C$24,INDEX(급여대장_원본!$A$1:$AZ$400,설정!$B$8,0),0),"")=""),"",IFERROR(VALUE(SUBSTITUTE(INDEX(급여대장_원본!$A$1:$AZ$400,(설정!$B$8+12),IFERROR(MATCH(설정!$C$24,INDEX(급여대장_원본!$A$1:$AZ$400,설정!$B$8,0),0),""))&amp;"",",","")),""))</f>
        <v/>
      </c>
      <c r="V18" s="27">
        <f>SUM(F18:M18)</f>
        <v/>
      </c>
      <c r="W18" s="27">
        <f>IF(설정!$D$26="",0,IFERROR(VALUE(SUBSTITUTE(SUBSTITUTE(INDEX(급여대장_원본!$A$1:$AZ$400,(설정!$B$8+12),설정!$D$26)&amp;"",",",""),"　","")),0))</f>
        <v/>
      </c>
      <c r="X18" s="27">
        <f>IF(설정!$D$27="",0,IFERROR(VALUE(SUBSTITUTE(SUBSTITUTE(INDEX(급여대장_원본!$A$1:$AZ$400,(설정!$B$8+12),설정!$D$27)&amp;"",",",""),"　","")),0))</f>
        <v/>
      </c>
      <c r="Y18" s="27">
        <f>IF(설정!$D$28="",0,IFERROR(VALUE(SUBSTITUTE(SUBSTITUTE(INDEX(급여대장_원본!$A$1:$AZ$400,(설정!$B$8+12),설정!$D$28)&amp;"",",",""),"　","")),0))</f>
        <v/>
      </c>
      <c r="Z18" s="27">
        <f>IF(설정!$D$29="",0,IFERROR(VALUE(SUBSTITUTE(SUBSTITUTE(INDEX(급여대장_원본!$A$1:$AZ$400,(설정!$B$8+12),설정!$D$29)&amp;"",",",""),"　","")),0))</f>
        <v/>
      </c>
      <c r="AA18" s="27">
        <f>IF(설정!$D$30="",0,IFERROR(VALUE(SUBSTITUTE(SUBSTITUTE(INDEX(급여대장_원본!$A$1:$AZ$400,(설정!$B$8+12),설정!$D$30)&amp;"",",",""),"　","")),0))</f>
        <v/>
      </c>
      <c r="AB18" s="27">
        <f>IF(설정!$D$31="",0,IFERROR(VALUE(SUBSTITUTE(SUBSTITUTE(INDEX(급여대장_원본!$A$1:$AZ$400,(설정!$B$8+12),설정!$D$31)&amp;"",",",""),"　","")),0))</f>
        <v/>
      </c>
      <c r="AC18" s="27">
        <f>IF(설정!$D$32="",0,IFERROR(VALUE(SUBSTITUTE(SUBSTITUTE(INDEX(급여대장_원본!$A$1:$AZ$400,(설정!$B$8+12),설정!$D$32)&amp;"",",",""),"　","")),0))</f>
        <v/>
      </c>
      <c r="AD18" s="27">
        <f>IF(설정!$D$33="",0,IFERROR(VALUE(SUBSTITUTE(SUBSTITUTE(INDEX(급여대장_원본!$A$1:$AZ$400,(설정!$B$8+12),설정!$D$33)&amp;"",",",""),"　","")),0))</f>
        <v/>
      </c>
      <c r="AE18" s="27">
        <f>SUM(W18:AD18)</f>
        <v/>
      </c>
      <c r="AF18" s="27">
        <f>V18-AE18</f>
        <v/>
      </c>
      <c r="AG18" s="27">
        <f>IF(설정!$D$35="","",IF(설정!$D$35="",0,IFERROR(VALUE(SUBSTITUTE(SUBSTITUTE(INDEX(급여대장_원본!$A$1:$AZ$400,(설정!$B$8+12),설정!$D$35)&amp;"",",",""),"　","")),0)))</f>
        <v/>
      </c>
      <c r="AH18" s="27">
        <f>IF(설정!$D$36="","",IF(설정!$D$36="",0,IFERROR(VALUE(SUBSTITUTE(SUBSTITUTE(INDEX(급여대장_원본!$A$1:$AZ$400,(설정!$B$8+12),설정!$D$36)&amp;"",",",""),"　","")),0)))</f>
        <v/>
      </c>
      <c r="AI18" s="27">
        <f>IF(설정!$D$37="","",IF(설정!$D$37="",0,IFERROR(VALUE(SUBSTITUTE(SUBSTITUTE(INDEX(급여대장_원본!$A$1:$AZ$400,(설정!$B$8+12),설정!$D$37)&amp;"",",",""),"　","")),0)))</f>
        <v/>
      </c>
      <c r="AJ18" s="2">
        <f>IFERROR(INDEX($D$7:$D$306,MATCH(12,$B$7:$B$306,0)),"")</f>
        <v/>
      </c>
    </row>
    <row r="19">
      <c r="A19" s="2">
        <f>IF(AND(D19&lt;&gt;"",D19&lt;&gt;"합계",D19&lt;&gt;"총계",D19&lt;&gt;"소계",D19&lt;&gt;"계"),1,0)</f>
        <v/>
      </c>
      <c r="B19" s="2">
        <f>IF(A19=1,SUM($A$7:A19),"")</f>
        <v/>
      </c>
      <c r="C19" s="2">
        <f>IF(설정!$D$13="","",TRIM(SUBSTITUTE(INDEX(급여대장_원본!$A$1:$AZ$400,(설정!$B$8+13),설정!$D$13)&amp;"","　"," ")))</f>
        <v/>
      </c>
      <c r="D19" s="2">
        <f>IF(설정!$D$14="","",TRIM(SUBSTITUTE(INDEX(급여대장_원본!$A$1:$AZ$400,(설정!$B$8+13),설정!$D$14)&amp;"","　"," ")))</f>
        <v/>
      </c>
      <c r="E19" s="2">
        <f>IF(설정!$D$15="","",TRIM(SUBSTITUTE(INDEX(급여대장_원본!$A$1:$AZ$400,(설정!$B$8+13),설정!$D$15)&amp;"","　"," ")))</f>
        <v/>
      </c>
      <c r="F19" s="27">
        <f>IF(설정!$D$17="",0,IFERROR(VALUE(SUBSTITUTE(SUBSTITUTE(INDEX(급여대장_원본!$A$1:$AZ$400,(설정!$B$8+13),설정!$D$17)&amp;"",",",""),"　","")),0))</f>
        <v/>
      </c>
      <c r="G19" s="27">
        <f>IF(설정!$D$18="",0,IFERROR(VALUE(SUBSTITUTE(SUBSTITUTE(INDEX(급여대장_원본!$A$1:$AZ$400,(설정!$B$8+13),설정!$D$18)&amp;"",",",""),"　","")),0))</f>
        <v/>
      </c>
      <c r="H19" s="27">
        <f>IF(설정!$D$19="",0,IFERROR(VALUE(SUBSTITUTE(SUBSTITUTE(INDEX(급여대장_원본!$A$1:$AZ$400,(설정!$B$8+13),설정!$D$19)&amp;"",",",""),"　","")),0))</f>
        <v/>
      </c>
      <c r="I19" s="27">
        <f>IF(설정!$D$20="",0,IFERROR(VALUE(SUBSTITUTE(SUBSTITUTE(INDEX(급여대장_원본!$A$1:$AZ$400,(설정!$B$8+13),설정!$D$20)&amp;"",",",""),"　","")),0))</f>
        <v/>
      </c>
      <c r="J19" s="27">
        <f>IF(설정!$D$21="",0,IFERROR(VALUE(SUBSTITUTE(SUBSTITUTE(INDEX(급여대장_원본!$A$1:$AZ$400,(설정!$B$8+13),설정!$D$21)&amp;"",",",""),"　","")),0))</f>
        <v/>
      </c>
      <c r="K19" s="27">
        <f>IF(설정!$D$22="",0,IFERROR(VALUE(SUBSTITUTE(SUBSTITUTE(INDEX(급여대장_원본!$A$1:$AZ$400,(설정!$B$8+13),설정!$D$22)&amp;"",",",""),"　","")),0))</f>
        <v/>
      </c>
      <c r="L19" s="27">
        <f>IF(설정!$D$23="",0,IFERROR(VALUE(SUBSTITUTE(SUBSTITUTE(INDEX(급여대장_원본!$A$1:$AZ$400,(설정!$B$8+13),설정!$D$23)&amp;"",",",""),"　","")),0))</f>
        <v/>
      </c>
      <c r="M19" s="27">
        <f>IF(설정!$D$24="",0,IFERROR(VALUE(SUBSTITUTE(SUBSTITUTE(INDEX(급여대장_원본!$A$1:$AZ$400,(설정!$B$8+13),설정!$D$24)&amp;"",",",""),"　","")),0))</f>
        <v/>
      </c>
      <c r="N19" s="2">
        <f>IF(OR(설정!$C$17="",IFERROR(MATCH(설정!$C$17,INDEX(급여대장_원본!$A$1:$AZ$400,설정!$B$8,0),0),"")=""),"",IFERROR(VALUE(SUBSTITUTE(INDEX(급여대장_원본!$A$1:$AZ$400,(설정!$B$8+13),IFERROR(MATCH(설정!$C$17,INDEX(급여대장_원본!$A$1:$AZ$400,설정!$B$8,0),0),""))&amp;"",",","")),""))</f>
        <v/>
      </c>
      <c r="O19" s="2">
        <f>IF(OR(설정!$C$18="",IFERROR(MATCH(설정!$C$18,INDEX(급여대장_원본!$A$1:$AZ$400,설정!$B$8,0),0),"")=""),"",IFERROR(VALUE(SUBSTITUTE(INDEX(급여대장_원본!$A$1:$AZ$400,(설정!$B$8+13),IFERROR(MATCH(설정!$C$18,INDEX(급여대장_원본!$A$1:$AZ$400,설정!$B$8,0),0),""))&amp;"",",","")),""))</f>
        <v/>
      </c>
      <c r="P19" s="2">
        <f>IF(OR(설정!$C$19="",IFERROR(MATCH(설정!$C$19,INDEX(급여대장_원본!$A$1:$AZ$400,설정!$B$8,0),0),"")=""),"",IFERROR(VALUE(SUBSTITUTE(INDEX(급여대장_원본!$A$1:$AZ$400,(설정!$B$8+13),IFERROR(MATCH(설정!$C$19,INDEX(급여대장_원본!$A$1:$AZ$400,설정!$B$8,0),0),""))&amp;"",",","")),""))</f>
        <v/>
      </c>
      <c r="Q19" s="2">
        <f>IF(OR(설정!$C$20="",IFERROR(MATCH(설정!$C$20,INDEX(급여대장_원본!$A$1:$AZ$400,설정!$B$8,0),0),"")=""),"",IFERROR(VALUE(SUBSTITUTE(INDEX(급여대장_원본!$A$1:$AZ$400,(설정!$B$8+13),IFERROR(MATCH(설정!$C$20,INDEX(급여대장_원본!$A$1:$AZ$400,설정!$B$8,0),0),""))&amp;"",",","")),""))</f>
        <v/>
      </c>
      <c r="R19" s="2">
        <f>IF(OR(설정!$C$21="",IFERROR(MATCH(설정!$C$21,INDEX(급여대장_원본!$A$1:$AZ$400,설정!$B$8,0),0),"")=""),"",IFERROR(VALUE(SUBSTITUTE(INDEX(급여대장_원본!$A$1:$AZ$400,(설정!$B$8+13),IFERROR(MATCH(설정!$C$21,INDEX(급여대장_원본!$A$1:$AZ$400,설정!$B$8,0),0),""))&amp;"",",","")),""))</f>
        <v/>
      </c>
      <c r="S19" s="2">
        <f>IF(OR(설정!$C$22="",IFERROR(MATCH(설정!$C$22,INDEX(급여대장_원본!$A$1:$AZ$400,설정!$B$8,0),0),"")=""),"",IFERROR(VALUE(SUBSTITUTE(INDEX(급여대장_원본!$A$1:$AZ$400,(설정!$B$8+13),IFERROR(MATCH(설정!$C$22,INDEX(급여대장_원본!$A$1:$AZ$400,설정!$B$8,0),0),""))&amp;"",",","")),""))</f>
        <v/>
      </c>
      <c r="T19" s="2">
        <f>IF(OR(설정!$C$23="",IFERROR(MATCH(설정!$C$23,INDEX(급여대장_원본!$A$1:$AZ$400,설정!$B$8,0),0),"")=""),"",IFERROR(VALUE(SUBSTITUTE(INDEX(급여대장_원본!$A$1:$AZ$400,(설정!$B$8+13),IFERROR(MATCH(설정!$C$23,INDEX(급여대장_원본!$A$1:$AZ$400,설정!$B$8,0),0),""))&amp;"",",","")),""))</f>
        <v/>
      </c>
      <c r="U19" s="2">
        <f>IF(OR(설정!$C$24="",IFERROR(MATCH(설정!$C$24,INDEX(급여대장_원본!$A$1:$AZ$400,설정!$B$8,0),0),"")=""),"",IFERROR(VALUE(SUBSTITUTE(INDEX(급여대장_원본!$A$1:$AZ$400,(설정!$B$8+13),IFERROR(MATCH(설정!$C$24,INDEX(급여대장_원본!$A$1:$AZ$400,설정!$B$8,0),0),""))&amp;"",",","")),""))</f>
        <v/>
      </c>
      <c r="V19" s="27">
        <f>SUM(F19:M19)</f>
        <v/>
      </c>
      <c r="W19" s="27">
        <f>IF(설정!$D$26="",0,IFERROR(VALUE(SUBSTITUTE(SUBSTITUTE(INDEX(급여대장_원본!$A$1:$AZ$400,(설정!$B$8+13),설정!$D$26)&amp;"",",",""),"　","")),0))</f>
        <v/>
      </c>
      <c r="X19" s="27">
        <f>IF(설정!$D$27="",0,IFERROR(VALUE(SUBSTITUTE(SUBSTITUTE(INDEX(급여대장_원본!$A$1:$AZ$400,(설정!$B$8+13),설정!$D$27)&amp;"",",",""),"　","")),0))</f>
        <v/>
      </c>
      <c r="Y19" s="27">
        <f>IF(설정!$D$28="",0,IFERROR(VALUE(SUBSTITUTE(SUBSTITUTE(INDEX(급여대장_원본!$A$1:$AZ$400,(설정!$B$8+13),설정!$D$28)&amp;"",",",""),"　","")),0))</f>
        <v/>
      </c>
      <c r="Z19" s="27">
        <f>IF(설정!$D$29="",0,IFERROR(VALUE(SUBSTITUTE(SUBSTITUTE(INDEX(급여대장_원본!$A$1:$AZ$400,(설정!$B$8+13),설정!$D$29)&amp;"",",",""),"　","")),0))</f>
        <v/>
      </c>
      <c r="AA19" s="27">
        <f>IF(설정!$D$30="",0,IFERROR(VALUE(SUBSTITUTE(SUBSTITUTE(INDEX(급여대장_원본!$A$1:$AZ$400,(설정!$B$8+13),설정!$D$30)&amp;"",",",""),"　","")),0))</f>
        <v/>
      </c>
      <c r="AB19" s="27">
        <f>IF(설정!$D$31="",0,IFERROR(VALUE(SUBSTITUTE(SUBSTITUTE(INDEX(급여대장_원본!$A$1:$AZ$400,(설정!$B$8+13),설정!$D$31)&amp;"",",",""),"　","")),0))</f>
        <v/>
      </c>
      <c r="AC19" s="27">
        <f>IF(설정!$D$32="",0,IFERROR(VALUE(SUBSTITUTE(SUBSTITUTE(INDEX(급여대장_원본!$A$1:$AZ$400,(설정!$B$8+13),설정!$D$32)&amp;"",",",""),"　","")),0))</f>
        <v/>
      </c>
      <c r="AD19" s="27">
        <f>IF(설정!$D$33="",0,IFERROR(VALUE(SUBSTITUTE(SUBSTITUTE(INDEX(급여대장_원본!$A$1:$AZ$400,(설정!$B$8+13),설정!$D$33)&amp;"",",",""),"　","")),0))</f>
        <v/>
      </c>
      <c r="AE19" s="27">
        <f>SUM(W19:AD19)</f>
        <v/>
      </c>
      <c r="AF19" s="27">
        <f>V19-AE19</f>
        <v/>
      </c>
      <c r="AG19" s="27">
        <f>IF(설정!$D$35="","",IF(설정!$D$35="",0,IFERROR(VALUE(SUBSTITUTE(SUBSTITUTE(INDEX(급여대장_원본!$A$1:$AZ$400,(설정!$B$8+13),설정!$D$35)&amp;"",",",""),"　","")),0)))</f>
        <v/>
      </c>
      <c r="AH19" s="27">
        <f>IF(설정!$D$36="","",IF(설정!$D$36="",0,IFERROR(VALUE(SUBSTITUTE(SUBSTITUTE(INDEX(급여대장_원본!$A$1:$AZ$400,(설정!$B$8+13),설정!$D$36)&amp;"",",",""),"　","")),0)))</f>
        <v/>
      </c>
      <c r="AI19" s="27">
        <f>IF(설정!$D$37="","",IF(설정!$D$37="",0,IFERROR(VALUE(SUBSTITUTE(SUBSTITUTE(INDEX(급여대장_원본!$A$1:$AZ$400,(설정!$B$8+13),설정!$D$37)&amp;"",",",""),"　","")),0)))</f>
        <v/>
      </c>
      <c r="AJ19" s="2">
        <f>IFERROR(INDEX($D$7:$D$306,MATCH(13,$B$7:$B$306,0)),"")</f>
        <v/>
      </c>
    </row>
    <row r="20">
      <c r="A20" s="2">
        <f>IF(AND(D20&lt;&gt;"",D20&lt;&gt;"합계",D20&lt;&gt;"총계",D20&lt;&gt;"소계",D20&lt;&gt;"계"),1,0)</f>
        <v/>
      </c>
      <c r="B20" s="2">
        <f>IF(A20=1,SUM($A$7:A20),"")</f>
        <v/>
      </c>
      <c r="C20" s="2">
        <f>IF(설정!$D$13="","",TRIM(SUBSTITUTE(INDEX(급여대장_원본!$A$1:$AZ$400,(설정!$B$8+14),설정!$D$13)&amp;"","　"," ")))</f>
        <v/>
      </c>
      <c r="D20" s="2">
        <f>IF(설정!$D$14="","",TRIM(SUBSTITUTE(INDEX(급여대장_원본!$A$1:$AZ$400,(설정!$B$8+14),설정!$D$14)&amp;"","　"," ")))</f>
        <v/>
      </c>
      <c r="E20" s="2">
        <f>IF(설정!$D$15="","",TRIM(SUBSTITUTE(INDEX(급여대장_원본!$A$1:$AZ$400,(설정!$B$8+14),설정!$D$15)&amp;"","　"," ")))</f>
        <v/>
      </c>
      <c r="F20" s="27">
        <f>IF(설정!$D$17="",0,IFERROR(VALUE(SUBSTITUTE(SUBSTITUTE(INDEX(급여대장_원본!$A$1:$AZ$400,(설정!$B$8+14),설정!$D$17)&amp;"",",",""),"　","")),0))</f>
        <v/>
      </c>
      <c r="G20" s="27">
        <f>IF(설정!$D$18="",0,IFERROR(VALUE(SUBSTITUTE(SUBSTITUTE(INDEX(급여대장_원본!$A$1:$AZ$400,(설정!$B$8+14),설정!$D$18)&amp;"",",",""),"　","")),0))</f>
        <v/>
      </c>
      <c r="H20" s="27">
        <f>IF(설정!$D$19="",0,IFERROR(VALUE(SUBSTITUTE(SUBSTITUTE(INDEX(급여대장_원본!$A$1:$AZ$400,(설정!$B$8+14),설정!$D$19)&amp;"",",",""),"　","")),0))</f>
        <v/>
      </c>
      <c r="I20" s="27">
        <f>IF(설정!$D$20="",0,IFERROR(VALUE(SUBSTITUTE(SUBSTITUTE(INDEX(급여대장_원본!$A$1:$AZ$400,(설정!$B$8+14),설정!$D$20)&amp;"",",",""),"　","")),0))</f>
        <v/>
      </c>
      <c r="J20" s="27">
        <f>IF(설정!$D$21="",0,IFERROR(VALUE(SUBSTITUTE(SUBSTITUTE(INDEX(급여대장_원본!$A$1:$AZ$400,(설정!$B$8+14),설정!$D$21)&amp;"",",",""),"　","")),0))</f>
        <v/>
      </c>
      <c r="K20" s="27">
        <f>IF(설정!$D$22="",0,IFERROR(VALUE(SUBSTITUTE(SUBSTITUTE(INDEX(급여대장_원본!$A$1:$AZ$400,(설정!$B$8+14),설정!$D$22)&amp;"",",",""),"　","")),0))</f>
        <v/>
      </c>
      <c r="L20" s="27">
        <f>IF(설정!$D$23="",0,IFERROR(VALUE(SUBSTITUTE(SUBSTITUTE(INDEX(급여대장_원본!$A$1:$AZ$400,(설정!$B$8+14),설정!$D$23)&amp;"",",",""),"　","")),0))</f>
        <v/>
      </c>
      <c r="M20" s="27">
        <f>IF(설정!$D$24="",0,IFERROR(VALUE(SUBSTITUTE(SUBSTITUTE(INDEX(급여대장_원본!$A$1:$AZ$400,(설정!$B$8+14),설정!$D$24)&amp;"",",",""),"　","")),0))</f>
        <v/>
      </c>
      <c r="N20" s="2">
        <f>IF(OR(설정!$C$17="",IFERROR(MATCH(설정!$C$17,INDEX(급여대장_원본!$A$1:$AZ$400,설정!$B$8,0),0),"")=""),"",IFERROR(VALUE(SUBSTITUTE(INDEX(급여대장_원본!$A$1:$AZ$400,(설정!$B$8+14),IFERROR(MATCH(설정!$C$17,INDEX(급여대장_원본!$A$1:$AZ$400,설정!$B$8,0),0),""))&amp;"",",","")),""))</f>
        <v/>
      </c>
      <c r="O20" s="2">
        <f>IF(OR(설정!$C$18="",IFERROR(MATCH(설정!$C$18,INDEX(급여대장_원본!$A$1:$AZ$400,설정!$B$8,0),0),"")=""),"",IFERROR(VALUE(SUBSTITUTE(INDEX(급여대장_원본!$A$1:$AZ$400,(설정!$B$8+14),IFERROR(MATCH(설정!$C$18,INDEX(급여대장_원본!$A$1:$AZ$400,설정!$B$8,0),0),""))&amp;"",",","")),""))</f>
        <v/>
      </c>
      <c r="P20" s="2">
        <f>IF(OR(설정!$C$19="",IFERROR(MATCH(설정!$C$19,INDEX(급여대장_원본!$A$1:$AZ$400,설정!$B$8,0),0),"")=""),"",IFERROR(VALUE(SUBSTITUTE(INDEX(급여대장_원본!$A$1:$AZ$400,(설정!$B$8+14),IFERROR(MATCH(설정!$C$19,INDEX(급여대장_원본!$A$1:$AZ$400,설정!$B$8,0),0),""))&amp;"",",","")),""))</f>
        <v/>
      </c>
      <c r="Q20" s="2">
        <f>IF(OR(설정!$C$20="",IFERROR(MATCH(설정!$C$20,INDEX(급여대장_원본!$A$1:$AZ$400,설정!$B$8,0),0),"")=""),"",IFERROR(VALUE(SUBSTITUTE(INDEX(급여대장_원본!$A$1:$AZ$400,(설정!$B$8+14),IFERROR(MATCH(설정!$C$20,INDEX(급여대장_원본!$A$1:$AZ$400,설정!$B$8,0),0),""))&amp;"",",","")),""))</f>
        <v/>
      </c>
      <c r="R20" s="2">
        <f>IF(OR(설정!$C$21="",IFERROR(MATCH(설정!$C$21,INDEX(급여대장_원본!$A$1:$AZ$400,설정!$B$8,0),0),"")=""),"",IFERROR(VALUE(SUBSTITUTE(INDEX(급여대장_원본!$A$1:$AZ$400,(설정!$B$8+14),IFERROR(MATCH(설정!$C$21,INDEX(급여대장_원본!$A$1:$AZ$400,설정!$B$8,0),0),""))&amp;"",",","")),""))</f>
        <v/>
      </c>
      <c r="S20" s="2">
        <f>IF(OR(설정!$C$22="",IFERROR(MATCH(설정!$C$22,INDEX(급여대장_원본!$A$1:$AZ$400,설정!$B$8,0),0),"")=""),"",IFERROR(VALUE(SUBSTITUTE(INDEX(급여대장_원본!$A$1:$AZ$400,(설정!$B$8+14),IFERROR(MATCH(설정!$C$22,INDEX(급여대장_원본!$A$1:$AZ$400,설정!$B$8,0),0),""))&amp;"",",","")),""))</f>
        <v/>
      </c>
      <c r="T20" s="2">
        <f>IF(OR(설정!$C$23="",IFERROR(MATCH(설정!$C$23,INDEX(급여대장_원본!$A$1:$AZ$400,설정!$B$8,0),0),"")=""),"",IFERROR(VALUE(SUBSTITUTE(INDEX(급여대장_원본!$A$1:$AZ$400,(설정!$B$8+14),IFERROR(MATCH(설정!$C$23,INDEX(급여대장_원본!$A$1:$AZ$400,설정!$B$8,0),0),""))&amp;"",",","")),""))</f>
        <v/>
      </c>
      <c r="U20" s="2">
        <f>IF(OR(설정!$C$24="",IFERROR(MATCH(설정!$C$24,INDEX(급여대장_원본!$A$1:$AZ$400,설정!$B$8,0),0),"")=""),"",IFERROR(VALUE(SUBSTITUTE(INDEX(급여대장_원본!$A$1:$AZ$400,(설정!$B$8+14),IFERROR(MATCH(설정!$C$24,INDEX(급여대장_원본!$A$1:$AZ$400,설정!$B$8,0),0),""))&amp;"",",","")),""))</f>
        <v/>
      </c>
      <c r="V20" s="27">
        <f>SUM(F20:M20)</f>
        <v/>
      </c>
      <c r="W20" s="27">
        <f>IF(설정!$D$26="",0,IFERROR(VALUE(SUBSTITUTE(SUBSTITUTE(INDEX(급여대장_원본!$A$1:$AZ$400,(설정!$B$8+14),설정!$D$26)&amp;"",",",""),"　","")),0))</f>
        <v/>
      </c>
      <c r="X20" s="27">
        <f>IF(설정!$D$27="",0,IFERROR(VALUE(SUBSTITUTE(SUBSTITUTE(INDEX(급여대장_원본!$A$1:$AZ$400,(설정!$B$8+14),설정!$D$27)&amp;"",",",""),"　","")),0))</f>
        <v/>
      </c>
      <c r="Y20" s="27">
        <f>IF(설정!$D$28="",0,IFERROR(VALUE(SUBSTITUTE(SUBSTITUTE(INDEX(급여대장_원본!$A$1:$AZ$400,(설정!$B$8+14),설정!$D$28)&amp;"",",",""),"　","")),0))</f>
        <v/>
      </c>
      <c r="Z20" s="27">
        <f>IF(설정!$D$29="",0,IFERROR(VALUE(SUBSTITUTE(SUBSTITUTE(INDEX(급여대장_원본!$A$1:$AZ$400,(설정!$B$8+14),설정!$D$29)&amp;"",",",""),"　","")),0))</f>
        <v/>
      </c>
      <c r="AA20" s="27">
        <f>IF(설정!$D$30="",0,IFERROR(VALUE(SUBSTITUTE(SUBSTITUTE(INDEX(급여대장_원본!$A$1:$AZ$400,(설정!$B$8+14),설정!$D$30)&amp;"",",",""),"　","")),0))</f>
        <v/>
      </c>
      <c r="AB20" s="27">
        <f>IF(설정!$D$31="",0,IFERROR(VALUE(SUBSTITUTE(SUBSTITUTE(INDEX(급여대장_원본!$A$1:$AZ$400,(설정!$B$8+14),설정!$D$31)&amp;"",",",""),"　","")),0))</f>
        <v/>
      </c>
      <c r="AC20" s="27">
        <f>IF(설정!$D$32="",0,IFERROR(VALUE(SUBSTITUTE(SUBSTITUTE(INDEX(급여대장_원본!$A$1:$AZ$400,(설정!$B$8+14),설정!$D$32)&amp;"",",",""),"　","")),0))</f>
        <v/>
      </c>
      <c r="AD20" s="27">
        <f>IF(설정!$D$33="",0,IFERROR(VALUE(SUBSTITUTE(SUBSTITUTE(INDEX(급여대장_원본!$A$1:$AZ$400,(설정!$B$8+14),설정!$D$33)&amp;"",",",""),"　","")),0))</f>
        <v/>
      </c>
      <c r="AE20" s="27">
        <f>SUM(W20:AD20)</f>
        <v/>
      </c>
      <c r="AF20" s="27">
        <f>V20-AE20</f>
        <v/>
      </c>
      <c r="AG20" s="27">
        <f>IF(설정!$D$35="","",IF(설정!$D$35="",0,IFERROR(VALUE(SUBSTITUTE(SUBSTITUTE(INDEX(급여대장_원본!$A$1:$AZ$400,(설정!$B$8+14),설정!$D$35)&amp;"",",",""),"　","")),0)))</f>
        <v/>
      </c>
      <c r="AH20" s="27">
        <f>IF(설정!$D$36="","",IF(설정!$D$36="",0,IFERROR(VALUE(SUBSTITUTE(SUBSTITUTE(INDEX(급여대장_원본!$A$1:$AZ$400,(설정!$B$8+14),설정!$D$36)&amp;"",",",""),"　","")),0)))</f>
        <v/>
      </c>
      <c r="AI20" s="27">
        <f>IF(설정!$D$37="","",IF(설정!$D$37="",0,IFERROR(VALUE(SUBSTITUTE(SUBSTITUTE(INDEX(급여대장_원본!$A$1:$AZ$400,(설정!$B$8+14),설정!$D$37)&amp;"",",",""),"　","")),0)))</f>
        <v/>
      </c>
      <c r="AJ20" s="2">
        <f>IFERROR(INDEX($D$7:$D$306,MATCH(14,$B$7:$B$306,0)),"")</f>
        <v/>
      </c>
    </row>
    <row r="21">
      <c r="A21" s="2">
        <f>IF(AND(D21&lt;&gt;"",D21&lt;&gt;"합계",D21&lt;&gt;"총계",D21&lt;&gt;"소계",D21&lt;&gt;"계"),1,0)</f>
        <v/>
      </c>
      <c r="B21" s="2">
        <f>IF(A21=1,SUM($A$7:A21),"")</f>
        <v/>
      </c>
      <c r="C21" s="2">
        <f>IF(설정!$D$13="","",TRIM(SUBSTITUTE(INDEX(급여대장_원본!$A$1:$AZ$400,(설정!$B$8+15),설정!$D$13)&amp;"","　"," ")))</f>
        <v/>
      </c>
      <c r="D21" s="2">
        <f>IF(설정!$D$14="","",TRIM(SUBSTITUTE(INDEX(급여대장_원본!$A$1:$AZ$400,(설정!$B$8+15),설정!$D$14)&amp;"","　"," ")))</f>
        <v/>
      </c>
      <c r="E21" s="2">
        <f>IF(설정!$D$15="","",TRIM(SUBSTITUTE(INDEX(급여대장_원본!$A$1:$AZ$400,(설정!$B$8+15),설정!$D$15)&amp;"","　"," ")))</f>
        <v/>
      </c>
      <c r="F21" s="27">
        <f>IF(설정!$D$17="",0,IFERROR(VALUE(SUBSTITUTE(SUBSTITUTE(INDEX(급여대장_원본!$A$1:$AZ$400,(설정!$B$8+15),설정!$D$17)&amp;"",",",""),"　","")),0))</f>
        <v/>
      </c>
      <c r="G21" s="27">
        <f>IF(설정!$D$18="",0,IFERROR(VALUE(SUBSTITUTE(SUBSTITUTE(INDEX(급여대장_원본!$A$1:$AZ$400,(설정!$B$8+15),설정!$D$18)&amp;"",",",""),"　","")),0))</f>
        <v/>
      </c>
      <c r="H21" s="27">
        <f>IF(설정!$D$19="",0,IFERROR(VALUE(SUBSTITUTE(SUBSTITUTE(INDEX(급여대장_원본!$A$1:$AZ$400,(설정!$B$8+15),설정!$D$19)&amp;"",",",""),"　","")),0))</f>
        <v/>
      </c>
      <c r="I21" s="27">
        <f>IF(설정!$D$20="",0,IFERROR(VALUE(SUBSTITUTE(SUBSTITUTE(INDEX(급여대장_원본!$A$1:$AZ$400,(설정!$B$8+15),설정!$D$20)&amp;"",",",""),"　","")),0))</f>
        <v/>
      </c>
      <c r="J21" s="27">
        <f>IF(설정!$D$21="",0,IFERROR(VALUE(SUBSTITUTE(SUBSTITUTE(INDEX(급여대장_원본!$A$1:$AZ$400,(설정!$B$8+15),설정!$D$21)&amp;"",",",""),"　","")),0))</f>
        <v/>
      </c>
      <c r="K21" s="27">
        <f>IF(설정!$D$22="",0,IFERROR(VALUE(SUBSTITUTE(SUBSTITUTE(INDEX(급여대장_원본!$A$1:$AZ$400,(설정!$B$8+15),설정!$D$22)&amp;"",",",""),"　","")),0))</f>
        <v/>
      </c>
      <c r="L21" s="27">
        <f>IF(설정!$D$23="",0,IFERROR(VALUE(SUBSTITUTE(SUBSTITUTE(INDEX(급여대장_원본!$A$1:$AZ$400,(설정!$B$8+15),설정!$D$23)&amp;"",",",""),"　","")),0))</f>
        <v/>
      </c>
      <c r="M21" s="27">
        <f>IF(설정!$D$24="",0,IFERROR(VALUE(SUBSTITUTE(SUBSTITUTE(INDEX(급여대장_원본!$A$1:$AZ$400,(설정!$B$8+15),설정!$D$24)&amp;"",",",""),"　","")),0))</f>
        <v/>
      </c>
      <c r="N21" s="2">
        <f>IF(OR(설정!$C$17="",IFERROR(MATCH(설정!$C$17,INDEX(급여대장_원본!$A$1:$AZ$400,설정!$B$8,0),0),"")=""),"",IFERROR(VALUE(SUBSTITUTE(INDEX(급여대장_원본!$A$1:$AZ$400,(설정!$B$8+15),IFERROR(MATCH(설정!$C$17,INDEX(급여대장_원본!$A$1:$AZ$400,설정!$B$8,0),0),""))&amp;"",",","")),""))</f>
        <v/>
      </c>
      <c r="O21" s="2">
        <f>IF(OR(설정!$C$18="",IFERROR(MATCH(설정!$C$18,INDEX(급여대장_원본!$A$1:$AZ$400,설정!$B$8,0),0),"")=""),"",IFERROR(VALUE(SUBSTITUTE(INDEX(급여대장_원본!$A$1:$AZ$400,(설정!$B$8+15),IFERROR(MATCH(설정!$C$18,INDEX(급여대장_원본!$A$1:$AZ$400,설정!$B$8,0),0),""))&amp;"",",","")),""))</f>
        <v/>
      </c>
      <c r="P21" s="2">
        <f>IF(OR(설정!$C$19="",IFERROR(MATCH(설정!$C$19,INDEX(급여대장_원본!$A$1:$AZ$400,설정!$B$8,0),0),"")=""),"",IFERROR(VALUE(SUBSTITUTE(INDEX(급여대장_원본!$A$1:$AZ$400,(설정!$B$8+15),IFERROR(MATCH(설정!$C$19,INDEX(급여대장_원본!$A$1:$AZ$400,설정!$B$8,0),0),""))&amp;"",",","")),""))</f>
        <v/>
      </c>
      <c r="Q21" s="2">
        <f>IF(OR(설정!$C$20="",IFERROR(MATCH(설정!$C$20,INDEX(급여대장_원본!$A$1:$AZ$400,설정!$B$8,0),0),"")=""),"",IFERROR(VALUE(SUBSTITUTE(INDEX(급여대장_원본!$A$1:$AZ$400,(설정!$B$8+15),IFERROR(MATCH(설정!$C$20,INDEX(급여대장_원본!$A$1:$AZ$400,설정!$B$8,0),0),""))&amp;"",",","")),""))</f>
        <v/>
      </c>
      <c r="R21" s="2">
        <f>IF(OR(설정!$C$21="",IFERROR(MATCH(설정!$C$21,INDEX(급여대장_원본!$A$1:$AZ$400,설정!$B$8,0),0),"")=""),"",IFERROR(VALUE(SUBSTITUTE(INDEX(급여대장_원본!$A$1:$AZ$400,(설정!$B$8+15),IFERROR(MATCH(설정!$C$21,INDEX(급여대장_원본!$A$1:$AZ$400,설정!$B$8,0),0),""))&amp;"",",","")),""))</f>
        <v/>
      </c>
      <c r="S21" s="2">
        <f>IF(OR(설정!$C$22="",IFERROR(MATCH(설정!$C$22,INDEX(급여대장_원본!$A$1:$AZ$400,설정!$B$8,0),0),"")=""),"",IFERROR(VALUE(SUBSTITUTE(INDEX(급여대장_원본!$A$1:$AZ$400,(설정!$B$8+15),IFERROR(MATCH(설정!$C$22,INDEX(급여대장_원본!$A$1:$AZ$400,설정!$B$8,0),0),""))&amp;"",",","")),""))</f>
        <v/>
      </c>
      <c r="T21" s="2">
        <f>IF(OR(설정!$C$23="",IFERROR(MATCH(설정!$C$23,INDEX(급여대장_원본!$A$1:$AZ$400,설정!$B$8,0),0),"")=""),"",IFERROR(VALUE(SUBSTITUTE(INDEX(급여대장_원본!$A$1:$AZ$400,(설정!$B$8+15),IFERROR(MATCH(설정!$C$23,INDEX(급여대장_원본!$A$1:$AZ$400,설정!$B$8,0),0),""))&amp;"",",","")),""))</f>
        <v/>
      </c>
      <c r="U21" s="2">
        <f>IF(OR(설정!$C$24="",IFERROR(MATCH(설정!$C$24,INDEX(급여대장_원본!$A$1:$AZ$400,설정!$B$8,0),0),"")=""),"",IFERROR(VALUE(SUBSTITUTE(INDEX(급여대장_원본!$A$1:$AZ$400,(설정!$B$8+15),IFERROR(MATCH(설정!$C$24,INDEX(급여대장_원본!$A$1:$AZ$400,설정!$B$8,0),0),""))&amp;"",",","")),""))</f>
        <v/>
      </c>
      <c r="V21" s="27">
        <f>SUM(F21:M21)</f>
        <v/>
      </c>
      <c r="W21" s="27">
        <f>IF(설정!$D$26="",0,IFERROR(VALUE(SUBSTITUTE(SUBSTITUTE(INDEX(급여대장_원본!$A$1:$AZ$400,(설정!$B$8+15),설정!$D$26)&amp;"",",",""),"　","")),0))</f>
        <v/>
      </c>
      <c r="X21" s="27">
        <f>IF(설정!$D$27="",0,IFERROR(VALUE(SUBSTITUTE(SUBSTITUTE(INDEX(급여대장_원본!$A$1:$AZ$400,(설정!$B$8+15),설정!$D$27)&amp;"",",",""),"　","")),0))</f>
        <v/>
      </c>
      <c r="Y21" s="27">
        <f>IF(설정!$D$28="",0,IFERROR(VALUE(SUBSTITUTE(SUBSTITUTE(INDEX(급여대장_원본!$A$1:$AZ$400,(설정!$B$8+15),설정!$D$28)&amp;"",",",""),"　","")),0))</f>
        <v/>
      </c>
      <c r="Z21" s="27">
        <f>IF(설정!$D$29="",0,IFERROR(VALUE(SUBSTITUTE(SUBSTITUTE(INDEX(급여대장_원본!$A$1:$AZ$400,(설정!$B$8+15),설정!$D$29)&amp;"",",",""),"　","")),0))</f>
        <v/>
      </c>
      <c r="AA21" s="27">
        <f>IF(설정!$D$30="",0,IFERROR(VALUE(SUBSTITUTE(SUBSTITUTE(INDEX(급여대장_원본!$A$1:$AZ$400,(설정!$B$8+15),설정!$D$30)&amp;"",",",""),"　","")),0))</f>
        <v/>
      </c>
      <c r="AB21" s="27">
        <f>IF(설정!$D$31="",0,IFERROR(VALUE(SUBSTITUTE(SUBSTITUTE(INDEX(급여대장_원본!$A$1:$AZ$400,(설정!$B$8+15),설정!$D$31)&amp;"",",",""),"　","")),0))</f>
        <v/>
      </c>
      <c r="AC21" s="27">
        <f>IF(설정!$D$32="",0,IFERROR(VALUE(SUBSTITUTE(SUBSTITUTE(INDEX(급여대장_원본!$A$1:$AZ$400,(설정!$B$8+15),설정!$D$32)&amp;"",",",""),"　","")),0))</f>
        <v/>
      </c>
      <c r="AD21" s="27">
        <f>IF(설정!$D$33="",0,IFERROR(VALUE(SUBSTITUTE(SUBSTITUTE(INDEX(급여대장_원본!$A$1:$AZ$400,(설정!$B$8+15),설정!$D$33)&amp;"",",",""),"　","")),0))</f>
        <v/>
      </c>
      <c r="AE21" s="27">
        <f>SUM(W21:AD21)</f>
        <v/>
      </c>
      <c r="AF21" s="27">
        <f>V21-AE21</f>
        <v/>
      </c>
      <c r="AG21" s="27">
        <f>IF(설정!$D$35="","",IF(설정!$D$35="",0,IFERROR(VALUE(SUBSTITUTE(SUBSTITUTE(INDEX(급여대장_원본!$A$1:$AZ$400,(설정!$B$8+15),설정!$D$35)&amp;"",",",""),"　","")),0)))</f>
        <v/>
      </c>
      <c r="AH21" s="27">
        <f>IF(설정!$D$36="","",IF(설정!$D$36="",0,IFERROR(VALUE(SUBSTITUTE(SUBSTITUTE(INDEX(급여대장_원본!$A$1:$AZ$400,(설정!$B$8+15),설정!$D$36)&amp;"",",",""),"　","")),0)))</f>
        <v/>
      </c>
      <c r="AI21" s="27">
        <f>IF(설정!$D$37="","",IF(설정!$D$37="",0,IFERROR(VALUE(SUBSTITUTE(SUBSTITUTE(INDEX(급여대장_원본!$A$1:$AZ$400,(설정!$B$8+15),설정!$D$37)&amp;"",",",""),"　","")),0)))</f>
        <v/>
      </c>
      <c r="AJ21" s="2">
        <f>IFERROR(INDEX($D$7:$D$306,MATCH(15,$B$7:$B$306,0)),"")</f>
        <v/>
      </c>
    </row>
    <row r="22">
      <c r="A22" s="2">
        <f>IF(AND(D22&lt;&gt;"",D22&lt;&gt;"합계",D22&lt;&gt;"총계",D22&lt;&gt;"소계",D22&lt;&gt;"계"),1,0)</f>
        <v/>
      </c>
      <c r="B22" s="2">
        <f>IF(A22=1,SUM($A$7:A22),"")</f>
        <v/>
      </c>
      <c r="C22" s="2">
        <f>IF(설정!$D$13="","",TRIM(SUBSTITUTE(INDEX(급여대장_원본!$A$1:$AZ$400,(설정!$B$8+16),설정!$D$13)&amp;"","　"," ")))</f>
        <v/>
      </c>
      <c r="D22" s="2">
        <f>IF(설정!$D$14="","",TRIM(SUBSTITUTE(INDEX(급여대장_원본!$A$1:$AZ$400,(설정!$B$8+16),설정!$D$14)&amp;"","　"," ")))</f>
        <v/>
      </c>
      <c r="E22" s="2">
        <f>IF(설정!$D$15="","",TRIM(SUBSTITUTE(INDEX(급여대장_원본!$A$1:$AZ$400,(설정!$B$8+16),설정!$D$15)&amp;"","　"," ")))</f>
        <v/>
      </c>
      <c r="F22" s="27">
        <f>IF(설정!$D$17="",0,IFERROR(VALUE(SUBSTITUTE(SUBSTITUTE(INDEX(급여대장_원본!$A$1:$AZ$400,(설정!$B$8+16),설정!$D$17)&amp;"",",",""),"　","")),0))</f>
        <v/>
      </c>
      <c r="G22" s="27">
        <f>IF(설정!$D$18="",0,IFERROR(VALUE(SUBSTITUTE(SUBSTITUTE(INDEX(급여대장_원본!$A$1:$AZ$400,(설정!$B$8+16),설정!$D$18)&amp;"",",",""),"　","")),0))</f>
        <v/>
      </c>
      <c r="H22" s="27">
        <f>IF(설정!$D$19="",0,IFERROR(VALUE(SUBSTITUTE(SUBSTITUTE(INDEX(급여대장_원본!$A$1:$AZ$400,(설정!$B$8+16),설정!$D$19)&amp;"",",",""),"　","")),0))</f>
        <v/>
      </c>
      <c r="I22" s="27">
        <f>IF(설정!$D$20="",0,IFERROR(VALUE(SUBSTITUTE(SUBSTITUTE(INDEX(급여대장_원본!$A$1:$AZ$400,(설정!$B$8+16),설정!$D$20)&amp;"",",",""),"　","")),0))</f>
        <v/>
      </c>
      <c r="J22" s="27">
        <f>IF(설정!$D$21="",0,IFERROR(VALUE(SUBSTITUTE(SUBSTITUTE(INDEX(급여대장_원본!$A$1:$AZ$400,(설정!$B$8+16),설정!$D$21)&amp;"",",",""),"　","")),0))</f>
        <v/>
      </c>
      <c r="K22" s="27">
        <f>IF(설정!$D$22="",0,IFERROR(VALUE(SUBSTITUTE(SUBSTITUTE(INDEX(급여대장_원본!$A$1:$AZ$400,(설정!$B$8+16),설정!$D$22)&amp;"",",",""),"　","")),0))</f>
        <v/>
      </c>
      <c r="L22" s="27">
        <f>IF(설정!$D$23="",0,IFERROR(VALUE(SUBSTITUTE(SUBSTITUTE(INDEX(급여대장_원본!$A$1:$AZ$400,(설정!$B$8+16),설정!$D$23)&amp;"",",",""),"　","")),0))</f>
        <v/>
      </c>
      <c r="M22" s="27">
        <f>IF(설정!$D$24="",0,IFERROR(VALUE(SUBSTITUTE(SUBSTITUTE(INDEX(급여대장_원본!$A$1:$AZ$400,(설정!$B$8+16),설정!$D$24)&amp;"",",",""),"　","")),0))</f>
        <v/>
      </c>
      <c r="N22" s="2">
        <f>IF(OR(설정!$C$17="",IFERROR(MATCH(설정!$C$17,INDEX(급여대장_원본!$A$1:$AZ$400,설정!$B$8,0),0),"")=""),"",IFERROR(VALUE(SUBSTITUTE(INDEX(급여대장_원본!$A$1:$AZ$400,(설정!$B$8+16),IFERROR(MATCH(설정!$C$17,INDEX(급여대장_원본!$A$1:$AZ$400,설정!$B$8,0),0),""))&amp;"",",","")),""))</f>
        <v/>
      </c>
      <c r="O22" s="2">
        <f>IF(OR(설정!$C$18="",IFERROR(MATCH(설정!$C$18,INDEX(급여대장_원본!$A$1:$AZ$400,설정!$B$8,0),0),"")=""),"",IFERROR(VALUE(SUBSTITUTE(INDEX(급여대장_원본!$A$1:$AZ$400,(설정!$B$8+16),IFERROR(MATCH(설정!$C$18,INDEX(급여대장_원본!$A$1:$AZ$400,설정!$B$8,0),0),""))&amp;"",",","")),""))</f>
        <v/>
      </c>
      <c r="P22" s="2">
        <f>IF(OR(설정!$C$19="",IFERROR(MATCH(설정!$C$19,INDEX(급여대장_원본!$A$1:$AZ$400,설정!$B$8,0),0),"")=""),"",IFERROR(VALUE(SUBSTITUTE(INDEX(급여대장_원본!$A$1:$AZ$400,(설정!$B$8+16),IFERROR(MATCH(설정!$C$19,INDEX(급여대장_원본!$A$1:$AZ$400,설정!$B$8,0),0),""))&amp;"",",","")),""))</f>
        <v/>
      </c>
      <c r="Q22" s="2">
        <f>IF(OR(설정!$C$20="",IFERROR(MATCH(설정!$C$20,INDEX(급여대장_원본!$A$1:$AZ$400,설정!$B$8,0),0),"")=""),"",IFERROR(VALUE(SUBSTITUTE(INDEX(급여대장_원본!$A$1:$AZ$400,(설정!$B$8+16),IFERROR(MATCH(설정!$C$20,INDEX(급여대장_원본!$A$1:$AZ$400,설정!$B$8,0),0),""))&amp;"",",","")),""))</f>
        <v/>
      </c>
      <c r="R22" s="2">
        <f>IF(OR(설정!$C$21="",IFERROR(MATCH(설정!$C$21,INDEX(급여대장_원본!$A$1:$AZ$400,설정!$B$8,0),0),"")=""),"",IFERROR(VALUE(SUBSTITUTE(INDEX(급여대장_원본!$A$1:$AZ$400,(설정!$B$8+16),IFERROR(MATCH(설정!$C$21,INDEX(급여대장_원본!$A$1:$AZ$400,설정!$B$8,0),0),""))&amp;"",",","")),""))</f>
        <v/>
      </c>
      <c r="S22" s="2">
        <f>IF(OR(설정!$C$22="",IFERROR(MATCH(설정!$C$22,INDEX(급여대장_원본!$A$1:$AZ$400,설정!$B$8,0),0),"")=""),"",IFERROR(VALUE(SUBSTITUTE(INDEX(급여대장_원본!$A$1:$AZ$400,(설정!$B$8+16),IFERROR(MATCH(설정!$C$22,INDEX(급여대장_원본!$A$1:$AZ$400,설정!$B$8,0),0),""))&amp;"",",","")),""))</f>
        <v/>
      </c>
      <c r="T22" s="2">
        <f>IF(OR(설정!$C$23="",IFERROR(MATCH(설정!$C$23,INDEX(급여대장_원본!$A$1:$AZ$400,설정!$B$8,0),0),"")=""),"",IFERROR(VALUE(SUBSTITUTE(INDEX(급여대장_원본!$A$1:$AZ$400,(설정!$B$8+16),IFERROR(MATCH(설정!$C$23,INDEX(급여대장_원본!$A$1:$AZ$400,설정!$B$8,0),0),""))&amp;"",",","")),""))</f>
        <v/>
      </c>
      <c r="U22" s="2">
        <f>IF(OR(설정!$C$24="",IFERROR(MATCH(설정!$C$24,INDEX(급여대장_원본!$A$1:$AZ$400,설정!$B$8,0),0),"")=""),"",IFERROR(VALUE(SUBSTITUTE(INDEX(급여대장_원본!$A$1:$AZ$400,(설정!$B$8+16),IFERROR(MATCH(설정!$C$24,INDEX(급여대장_원본!$A$1:$AZ$400,설정!$B$8,0),0),""))&amp;"",",","")),""))</f>
        <v/>
      </c>
      <c r="V22" s="27">
        <f>SUM(F22:M22)</f>
        <v/>
      </c>
      <c r="W22" s="27">
        <f>IF(설정!$D$26="",0,IFERROR(VALUE(SUBSTITUTE(SUBSTITUTE(INDEX(급여대장_원본!$A$1:$AZ$400,(설정!$B$8+16),설정!$D$26)&amp;"",",",""),"　","")),0))</f>
        <v/>
      </c>
      <c r="X22" s="27">
        <f>IF(설정!$D$27="",0,IFERROR(VALUE(SUBSTITUTE(SUBSTITUTE(INDEX(급여대장_원본!$A$1:$AZ$400,(설정!$B$8+16),설정!$D$27)&amp;"",",",""),"　","")),0))</f>
        <v/>
      </c>
      <c r="Y22" s="27">
        <f>IF(설정!$D$28="",0,IFERROR(VALUE(SUBSTITUTE(SUBSTITUTE(INDEX(급여대장_원본!$A$1:$AZ$400,(설정!$B$8+16),설정!$D$28)&amp;"",",",""),"　","")),0))</f>
        <v/>
      </c>
      <c r="Z22" s="27">
        <f>IF(설정!$D$29="",0,IFERROR(VALUE(SUBSTITUTE(SUBSTITUTE(INDEX(급여대장_원본!$A$1:$AZ$400,(설정!$B$8+16),설정!$D$29)&amp;"",",",""),"　","")),0))</f>
        <v/>
      </c>
      <c r="AA22" s="27">
        <f>IF(설정!$D$30="",0,IFERROR(VALUE(SUBSTITUTE(SUBSTITUTE(INDEX(급여대장_원본!$A$1:$AZ$400,(설정!$B$8+16),설정!$D$30)&amp;"",",",""),"　","")),0))</f>
        <v/>
      </c>
      <c r="AB22" s="27">
        <f>IF(설정!$D$31="",0,IFERROR(VALUE(SUBSTITUTE(SUBSTITUTE(INDEX(급여대장_원본!$A$1:$AZ$400,(설정!$B$8+16),설정!$D$31)&amp;"",",",""),"　","")),0))</f>
        <v/>
      </c>
      <c r="AC22" s="27">
        <f>IF(설정!$D$32="",0,IFERROR(VALUE(SUBSTITUTE(SUBSTITUTE(INDEX(급여대장_원본!$A$1:$AZ$400,(설정!$B$8+16),설정!$D$32)&amp;"",",",""),"　","")),0))</f>
        <v/>
      </c>
      <c r="AD22" s="27">
        <f>IF(설정!$D$33="",0,IFERROR(VALUE(SUBSTITUTE(SUBSTITUTE(INDEX(급여대장_원본!$A$1:$AZ$400,(설정!$B$8+16),설정!$D$33)&amp;"",",",""),"　","")),0))</f>
        <v/>
      </c>
      <c r="AE22" s="27">
        <f>SUM(W22:AD22)</f>
        <v/>
      </c>
      <c r="AF22" s="27">
        <f>V22-AE22</f>
        <v/>
      </c>
      <c r="AG22" s="27">
        <f>IF(설정!$D$35="","",IF(설정!$D$35="",0,IFERROR(VALUE(SUBSTITUTE(SUBSTITUTE(INDEX(급여대장_원본!$A$1:$AZ$400,(설정!$B$8+16),설정!$D$35)&amp;"",",",""),"　","")),0)))</f>
        <v/>
      </c>
      <c r="AH22" s="27">
        <f>IF(설정!$D$36="","",IF(설정!$D$36="",0,IFERROR(VALUE(SUBSTITUTE(SUBSTITUTE(INDEX(급여대장_원본!$A$1:$AZ$400,(설정!$B$8+16),설정!$D$36)&amp;"",",",""),"　","")),0)))</f>
        <v/>
      </c>
      <c r="AI22" s="27">
        <f>IF(설정!$D$37="","",IF(설정!$D$37="",0,IFERROR(VALUE(SUBSTITUTE(SUBSTITUTE(INDEX(급여대장_원본!$A$1:$AZ$400,(설정!$B$8+16),설정!$D$37)&amp;"",",",""),"　","")),0)))</f>
        <v/>
      </c>
      <c r="AJ22" s="2">
        <f>IFERROR(INDEX($D$7:$D$306,MATCH(16,$B$7:$B$306,0)),"")</f>
        <v/>
      </c>
    </row>
    <row r="23">
      <c r="A23" s="2">
        <f>IF(AND(D23&lt;&gt;"",D23&lt;&gt;"합계",D23&lt;&gt;"총계",D23&lt;&gt;"소계",D23&lt;&gt;"계"),1,0)</f>
        <v/>
      </c>
      <c r="B23" s="2">
        <f>IF(A23=1,SUM($A$7:A23),"")</f>
        <v/>
      </c>
      <c r="C23" s="2">
        <f>IF(설정!$D$13="","",TRIM(SUBSTITUTE(INDEX(급여대장_원본!$A$1:$AZ$400,(설정!$B$8+17),설정!$D$13)&amp;"","　"," ")))</f>
        <v/>
      </c>
      <c r="D23" s="2">
        <f>IF(설정!$D$14="","",TRIM(SUBSTITUTE(INDEX(급여대장_원본!$A$1:$AZ$400,(설정!$B$8+17),설정!$D$14)&amp;"","　"," ")))</f>
        <v/>
      </c>
      <c r="E23" s="2">
        <f>IF(설정!$D$15="","",TRIM(SUBSTITUTE(INDEX(급여대장_원본!$A$1:$AZ$400,(설정!$B$8+17),설정!$D$15)&amp;"","　"," ")))</f>
        <v/>
      </c>
      <c r="F23" s="27">
        <f>IF(설정!$D$17="",0,IFERROR(VALUE(SUBSTITUTE(SUBSTITUTE(INDEX(급여대장_원본!$A$1:$AZ$400,(설정!$B$8+17),설정!$D$17)&amp;"",",",""),"　","")),0))</f>
        <v/>
      </c>
      <c r="G23" s="27">
        <f>IF(설정!$D$18="",0,IFERROR(VALUE(SUBSTITUTE(SUBSTITUTE(INDEX(급여대장_원본!$A$1:$AZ$400,(설정!$B$8+17),설정!$D$18)&amp;"",",",""),"　","")),0))</f>
        <v/>
      </c>
      <c r="H23" s="27">
        <f>IF(설정!$D$19="",0,IFERROR(VALUE(SUBSTITUTE(SUBSTITUTE(INDEX(급여대장_원본!$A$1:$AZ$400,(설정!$B$8+17),설정!$D$19)&amp;"",",",""),"　","")),0))</f>
        <v/>
      </c>
      <c r="I23" s="27">
        <f>IF(설정!$D$20="",0,IFERROR(VALUE(SUBSTITUTE(SUBSTITUTE(INDEX(급여대장_원본!$A$1:$AZ$400,(설정!$B$8+17),설정!$D$20)&amp;"",",",""),"　","")),0))</f>
        <v/>
      </c>
      <c r="J23" s="27">
        <f>IF(설정!$D$21="",0,IFERROR(VALUE(SUBSTITUTE(SUBSTITUTE(INDEX(급여대장_원본!$A$1:$AZ$400,(설정!$B$8+17),설정!$D$21)&amp;"",",",""),"　","")),0))</f>
        <v/>
      </c>
      <c r="K23" s="27">
        <f>IF(설정!$D$22="",0,IFERROR(VALUE(SUBSTITUTE(SUBSTITUTE(INDEX(급여대장_원본!$A$1:$AZ$400,(설정!$B$8+17),설정!$D$22)&amp;"",",",""),"　","")),0))</f>
        <v/>
      </c>
      <c r="L23" s="27">
        <f>IF(설정!$D$23="",0,IFERROR(VALUE(SUBSTITUTE(SUBSTITUTE(INDEX(급여대장_원본!$A$1:$AZ$400,(설정!$B$8+17),설정!$D$23)&amp;"",",",""),"　","")),0))</f>
        <v/>
      </c>
      <c r="M23" s="27">
        <f>IF(설정!$D$24="",0,IFERROR(VALUE(SUBSTITUTE(SUBSTITUTE(INDEX(급여대장_원본!$A$1:$AZ$400,(설정!$B$8+17),설정!$D$24)&amp;"",",",""),"　","")),0))</f>
        <v/>
      </c>
      <c r="N23" s="2">
        <f>IF(OR(설정!$C$17="",IFERROR(MATCH(설정!$C$17,INDEX(급여대장_원본!$A$1:$AZ$400,설정!$B$8,0),0),"")=""),"",IFERROR(VALUE(SUBSTITUTE(INDEX(급여대장_원본!$A$1:$AZ$400,(설정!$B$8+17),IFERROR(MATCH(설정!$C$17,INDEX(급여대장_원본!$A$1:$AZ$400,설정!$B$8,0),0),""))&amp;"",",","")),""))</f>
        <v/>
      </c>
      <c r="O23" s="2">
        <f>IF(OR(설정!$C$18="",IFERROR(MATCH(설정!$C$18,INDEX(급여대장_원본!$A$1:$AZ$400,설정!$B$8,0),0),"")=""),"",IFERROR(VALUE(SUBSTITUTE(INDEX(급여대장_원본!$A$1:$AZ$400,(설정!$B$8+17),IFERROR(MATCH(설정!$C$18,INDEX(급여대장_원본!$A$1:$AZ$400,설정!$B$8,0),0),""))&amp;"",",","")),""))</f>
        <v/>
      </c>
      <c r="P23" s="2">
        <f>IF(OR(설정!$C$19="",IFERROR(MATCH(설정!$C$19,INDEX(급여대장_원본!$A$1:$AZ$400,설정!$B$8,0),0),"")=""),"",IFERROR(VALUE(SUBSTITUTE(INDEX(급여대장_원본!$A$1:$AZ$400,(설정!$B$8+17),IFERROR(MATCH(설정!$C$19,INDEX(급여대장_원본!$A$1:$AZ$400,설정!$B$8,0),0),""))&amp;"",",","")),""))</f>
        <v/>
      </c>
      <c r="Q23" s="2">
        <f>IF(OR(설정!$C$20="",IFERROR(MATCH(설정!$C$20,INDEX(급여대장_원본!$A$1:$AZ$400,설정!$B$8,0),0),"")=""),"",IFERROR(VALUE(SUBSTITUTE(INDEX(급여대장_원본!$A$1:$AZ$400,(설정!$B$8+17),IFERROR(MATCH(설정!$C$20,INDEX(급여대장_원본!$A$1:$AZ$400,설정!$B$8,0),0),""))&amp;"",",","")),""))</f>
        <v/>
      </c>
      <c r="R23" s="2">
        <f>IF(OR(설정!$C$21="",IFERROR(MATCH(설정!$C$21,INDEX(급여대장_원본!$A$1:$AZ$400,설정!$B$8,0),0),"")=""),"",IFERROR(VALUE(SUBSTITUTE(INDEX(급여대장_원본!$A$1:$AZ$400,(설정!$B$8+17),IFERROR(MATCH(설정!$C$21,INDEX(급여대장_원본!$A$1:$AZ$400,설정!$B$8,0),0),""))&amp;"",",","")),""))</f>
        <v/>
      </c>
      <c r="S23" s="2">
        <f>IF(OR(설정!$C$22="",IFERROR(MATCH(설정!$C$22,INDEX(급여대장_원본!$A$1:$AZ$400,설정!$B$8,0),0),"")=""),"",IFERROR(VALUE(SUBSTITUTE(INDEX(급여대장_원본!$A$1:$AZ$400,(설정!$B$8+17),IFERROR(MATCH(설정!$C$22,INDEX(급여대장_원본!$A$1:$AZ$400,설정!$B$8,0),0),""))&amp;"",",","")),""))</f>
        <v/>
      </c>
      <c r="T23" s="2">
        <f>IF(OR(설정!$C$23="",IFERROR(MATCH(설정!$C$23,INDEX(급여대장_원본!$A$1:$AZ$400,설정!$B$8,0),0),"")=""),"",IFERROR(VALUE(SUBSTITUTE(INDEX(급여대장_원본!$A$1:$AZ$400,(설정!$B$8+17),IFERROR(MATCH(설정!$C$23,INDEX(급여대장_원본!$A$1:$AZ$400,설정!$B$8,0),0),""))&amp;"",",","")),""))</f>
        <v/>
      </c>
      <c r="U23" s="2">
        <f>IF(OR(설정!$C$24="",IFERROR(MATCH(설정!$C$24,INDEX(급여대장_원본!$A$1:$AZ$400,설정!$B$8,0),0),"")=""),"",IFERROR(VALUE(SUBSTITUTE(INDEX(급여대장_원본!$A$1:$AZ$400,(설정!$B$8+17),IFERROR(MATCH(설정!$C$24,INDEX(급여대장_원본!$A$1:$AZ$400,설정!$B$8,0),0),""))&amp;"",",","")),""))</f>
        <v/>
      </c>
      <c r="V23" s="27">
        <f>SUM(F23:M23)</f>
        <v/>
      </c>
      <c r="W23" s="27">
        <f>IF(설정!$D$26="",0,IFERROR(VALUE(SUBSTITUTE(SUBSTITUTE(INDEX(급여대장_원본!$A$1:$AZ$400,(설정!$B$8+17),설정!$D$26)&amp;"",",",""),"　","")),0))</f>
        <v/>
      </c>
      <c r="X23" s="27">
        <f>IF(설정!$D$27="",0,IFERROR(VALUE(SUBSTITUTE(SUBSTITUTE(INDEX(급여대장_원본!$A$1:$AZ$400,(설정!$B$8+17),설정!$D$27)&amp;"",",",""),"　","")),0))</f>
        <v/>
      </c>
      <c r="Y23" s="27">
        <f>IF(설정!$D$28="",0,IFERROR(VALUE(SUBSTITUTE(SUBSTITUTE(INDEX(급여대장_원본!$A$1:$AZ$400,(설정!$B$8+17),설정!$D$28)&amp;"",",",""),"　","")),0))</f>
        <v/>
      </c>
      <c r="Z23" s="27">
        <f>IF(설정!$D$29="",0,IFERROR(VALUE(SUBSTITUTE(SUBSTITUTE(INDEX(급여대장_원본!$A$1:$AZ$400,(설정!$B$8+17),설정!$D$29)&amp;"",",",""),"　","")),0))</f>
        <v/>
      </c>
      <c r="AA23" s="27">
        <f>IF(설정!$D$30="",0,IFERROR(VALUE(SUBSTITUTE(SUBSTITUTE(INDEX(급여대장_원본!$A$1:$AZ$400,(설정!$B$8+17),설정!$D$30)&amp;"",",",""),"　","")),0))</f>
        <v/>
      </c>
      <c r="AB23" s="27">
        <f>IF(설정!$D$31="",0,IFERROR(VALUE(SUBSTITUTE(SUBSTITUTE(INDEX(급여대장_원본!$A$1:$AZ$400,(설정!$B$8+17),설정!$D$31)&amp;"",",",""),"　","")),0))</f>
        <v/>
      </c>
      <c r="AC23" s="27">
        <f>IF(설정!$D$32="",0,IFERROR(VALUE(SUBSTITUTE(SUBSTITUTE(INDEX(급여대장_원본!$A$1:$AZ$400,(설정!$B$8+17),설정!$D$32)&amp;"",",",""),"　","")),0))</f>
        <v/>
      </c>
      <c r="AD23" s="27">
        <f>IF(설정!$D$33="",0,IFERROR(VALUE(SUBSTITUTE(SUBSTITUTE(INDEX(급여대장_원본!$A$1:$AZ$400,(설정!$B$8+17),설정!$D$33)&amp;"",",",""),"　","")),0))</f>
        <v/>
      </c>
      <c r="AE23" s="27">
        <f>SUM(W23:AD23)</f>
        <v/>
      </c>
      <c r="AF23" s="27">
        <f>V23-AE23</f>
        <v/>
      </c>
      <c r="AG23" s="27">
        <f>IF(설정!$D$35="","",IF(설정!$D$35="",0,IFERROR(VALUE(SUBSTITUTE(SUBSTITUTE(INDEX(급여대장_원본!$A$1:$AZ$400,(설정!$B$8+17),설정!$D$35)&amp;"",",",""),"　","")),0)))</f>
        <v/>
      </c>
      <c r="AH23" s="27">
        <f>IF(설정!$D$36="","",IF(설정!$D$36="",0,IFERROR(VALUE(SUBSTITUTE(SUBSTITUTE(INDEX(급여대장_원본!$A$1:$AZ$400,(설정!$B$8+17),설정!$D$36)&amp;"",",",""),"　","")),0)))</f>
        <v/>
      </c>
      <c r="AI23" s="27">
        <f>IF(설정!$D$37="","",IF(설정!$D$37="",0,IFERROR(VALUE(SUBSTITUTE(SUBSTITUTE(INDEX(급여대장_원본!$A$1:$AZ$400,(설정!$B$8+17),설정!$D$37)&amp;"",",",""),"　","")),0)))</f>
        <v/>
      </c>
      <c r="AJ23" s="2">
        <f>IFERROR(INDEX($D$7:$D$306,MATCH(17,$B$7:$B$306,0)),"")</f>
        <v/>
      </c>
    </row>
    <row r="24">
      <c r="A24" s="2">
        <f>IF(AND(D24&lt;&gt;"",D24&lt;&gt;"합계",D24&lt;&gt;"총계",D24&lt;&gt;"소계",D24&lt;&gt;"계"),1,0)</f>
        <v/>
      </c>
      <c r="B24" s="2">
        <f>IF(A24=1,SUM($A$7:A24),"")</f>
        <v/>
      </c>
      <c r="C24" s="2">
        <f>IF(설정!$D$13="","",TRIM(SUBSTITUTE(INDEX(급여대장_원본!$A$1:$AZ$400,(설정!$B$8+18),설정!$D$13)&amp;"","　"," ")))</f>
        <v/>
      </c>
      <c r="D24" s="2">
        <f>IF(설정!$D$14="","",TRIM(SUBSTITUTE(INDEX(급여대장_원본!$A$1:$AZ$400,(설정!$B$8+18),설정!$D$14)&amp;"","　"," ")))</f>
        <v/>
      </c>
      <c r="E24" s="2">
        <f>IF(설정!$D$15="","",TRIM(SUBSTITUTE(INDEX(급여대장_원본!$A$1:$AZ$400,(설정!$B$8+18),설정!$D$15)&amp;"","　"," ")))</f>
        <v/>
      </c>
      <c r="F24" s="27">
        <f>IF(설정!$D$17="",0,IFERROR(VALUE(SUBSTITUTE(SUBSTITUTE(INDEX(급여대장_원본!$A$1:$AZ$400,(설정!$B$8+18),설정!$D$17)&amp;"",",",""),"　","")),0))</f>
        <v/>
      </c>
      <c r="G24" s="27">
        <f>IF(설정!$D$18="",0,IFERROR(VALUE(SUBSTITUTE(SUBSTITUTE(INDEX(급여대장_원본!$A$1:$AZ$400,(설정!$B$8+18),설정!$D$18)&amp;"",",",""),"　","")),0))</f>
        <v/>
      </c>
      <c r="H24" s="27">
        <f>IF(설정!$D$19="",0,IFERROR(VALUE(SUBSTITUTE(SUBSTITUTE(INDEX(급여대장_원본!$A$1:$AZ$400,(설정!$B$8+18),설정!$D$19)&amp;"",",",""),"　","")),0))</f>
        <v/>
      </c>
      <c r="I24" s="27">
        <f>IF(설정!$D$20="",0,IFERROR(VALUE(SUBSTITUTE(SUBSTITUTE(INDEX(급여대장_원본!$A$1:$AZ$400,(설정!$B$8+18),설정!$D$20)&amp;"",",",""),"　","")),0))</f>
        <v/>
      </c>
      <c r="J24" s="27">
        <f>IF(설정!$D$21="",0,IFERROR(VALUE(SUBSTITUTE(SUBSTITUTE(INDEX(급여대장_원본!$A$1:$AZ$400,(설정!$B$8+18),설정!$D$21)&amp;"",",",""),"　","")),0))</f>
        <v/>
      </c>
      <c r="K24" s="27">
        <f>IF(설정!$D$22="",0,IFERROR(VALUE(SUBSTITUTE(SUBSTITUTE(INDEX(급여대장_원본!$A$1:$AZ$400,(설정!$B$8+18),설정!$D$22)&amp;"",",",""),"　","")),0))</f>
        <v/>
      </c>
      <c r="L24" s="27">
        <f>IF(설정!$D$23="",0,IFERROR(VALUE(SUBSTITUTE(SUBSTITUTE(INDEX(급여대장_원본!$A$1:$AZ$400,(설정!$B$8+18),설정!$D$23)&amp;"",",",""),"　","")),0))</f>
        <v/>
      </c>
      <c r="M24" s="27">
        <f>IF(설정!$D$24="",0,IFERROR(VALUE(SUBSTITUTE(SUBSTITUTE(INDEX(급여대장_원본!$A$1:$AZ$400,(설정!$B$8+18),설정!$D$24)&amp;"",",",""),"　","")),0))</f>
        <v/>
      </c>
      <c r="N24" s="2">
        <f>IF(OR(설정!$C$17="",IFERROR(MATCH(설정!$C$17,INDEX(급여대장_원본!$A$1:$AZ$400,설정!$B$8,0),0),"")=""),"",IFERROR(VALUE(SUBSTITUTE(INDEX(급여대장_원본!$A$1:$AZ$400,(설정!$B$8+18),IFERROR(MATCH(설정!$C$17,INDEX(급여대장_원본!$A$1:$AZ$400,설정!$B$8,0),0),""))&amp;"",",","")),""))</f>
        <v/>
      </c>
      <c r="O24" s="2">
        <f>IF(OR(설정!$C$18="",IFERROR(MATCH(설정!$C$18,INDEX(급여대장_원본!$A$1:$AZ$400,설정!$B$8,0),0),"")=""),"",IFERROR(VALUE(SUBSTITUTE(INDEX(급여대장_원본!$A$1:$AZ$400,(설정!$B$8+18),IFERROR(MATCH(설정!$C$18,INDEX(급여대장_원본!$A$1:$AZ$400,설정!$B$8,0),0),""))&amp;"",",","")),""))</f>
        <v/>
      </c>
      <c r="P24" s="2">
        <f>IF(OR(설정!$C$19="",IFERROR(MATCH(설정!$C$19,INDEX(급여대장_원본!$A$1:$AZ$400,설정!$B$8,0),0),"")=""),"",IFERROR(VALUE(SUBSTITUTE(INDEX(급여대장_원본!$A$1:$AZ$400,(설정!$B$8+18),IFERROR(MATCH(설정!$C$19,INDEX(급여대장_원본!$A$1:$AZ$400,설정!$B$8,0),0),""))&amp;"",",","")),""))</f>
        <v/>
      </c>
      <c r="Q24" s="2">
        <f>IF(OR(설정!$C$20="",IFERROR(MATCH(설정!$C$20,INDEX(급여대장_원본!$A$1:$AZ$400,설정!$B$8,0),0),"")=""),"",IFERROR(VALUE(SUBSTITUTE(INDEX(급여대장_원본!$A$1:$AZ$400,(설정!$B$8+18),IFERROR(MATCH(설정!$C$20,INDEX(급여대장_원본!$A$1:$AZ$400,설정!$B$8,0),0),""))&amp;"",",","")),""))</f>
        <v/>
      </c>
      <c r="R24" s="2">
        <f>IF(OR(설정!$C$21="",IFERROR(MATCH(설정!$C$21,INDEX(급여대장_원본!$A$1:$AZ$400,설정!$B$8,0),0),"")=""),"",IFERROR(VALUE(SUBSTITUTE(INDEX(급여대장_원본!$A$1:$AZ$400,(설정!$B$8+18),IFERROR(MATCH(설정!$C$21,INDEX(급여대장_원본!$A$1:$AZ$400,설정!$B$8,0),0),""))&amp;"",",","")),""))</f>
        <v/>
      </c>
      <c r="S24" s="2">
        <f>IF(OR(설정!$C$22="",IFERROR(MATCH(설정!$C$22,INDEX(급여대장_원본!$A$1:$AZ$400,설정!$B$8,0),0),"")=""),"",IFERROR(VALUE(SUBSTITUTE(INDEX(급여대장_원본!$A$1:$AZ$400,(설정!$B$8+18),IFERROR(MATCH(설정!$C$22,INDEX(급여대장_원본!$A$1:$AZ$400,설정!$B$8,0),0),""))&amp;"",",","")),""))</f>
        <v/>
      </c>
      <c r="T24" s="2">
        <f>IF(OR(설정!$C$23="",IFERROR(MATCH(설정!$C$23,INDEX(급여대장_원본!$A$1:$AZ$400,설정!$B$8,0),0),"")=""),"",IFERROR(VALUE(SUBSTITUTE(INDEX(급여대장_원본!$A$1:$AZ$400,(설정!$B$8+18),IFERROR(MATCH(설정!$C$23,INDEX(급여대장_원본!$A$1:$AZ$400,설정!$B$8,0),0),""))&amp;"",",","")),""))</f>
        <v/>
      </c>
      <c r="U24" s="2">
        <f>IF(OR(설정!$C$24="",IFERROR(MATCH(설정!$C$24,INDEX(급여대장_원본!$A$1:$AZ$400,설정!$B$8,0),0),"")=""),"",IFERROR(VALUE(SUBSTITUTE(INDEX(급여대장_원본!$A$1:$AZ$400,(설정!$B$8+18),IFERROR(MATCH(설정!$C$24,INDEX(급여대장_원본!$A$1:$AZ$400,설정!$B$8,0),0),""))&amp;"",",","")),""))</f>
        <v/>
      </c>
      <c r="V24" s="27">
        <f>SUM(F24:M24)</f>
        <v/>
      </c>
      <c r="W24" s="27">
        <f>IF(설정!$D$26="",0,IFERROR(VALUE(SUBSTITUTE(SUBSTITUTE(INDEX(급여대장_원본!$A$1:$AZ$400,(설정!$B$8+18),설정!$D$26)&amp;"",",",""),"　","")),0))</f>
        <v/>
      </c>
      <c r="X24" s="27">
        <f>IF(설정!$D$27="",0,IFERROR(VALUE(SUBSTITUTE(SUBSTITUTE(INDEX(급여대장_원본!$A$1:$AZ$400,(설정!$B$8+18),설정!$D$27)&amp;"",",",""),"　","")),0))</f>
        <v/>
      </c>
      <c r="Y24" s="27">
        <f>IF(설정!$D$28="",0,IFERROR(VALUE(SUBSTITUTE(SUBSTITUTE(INDEX(급여대장_원본!$A$1:$AZ$400,(설정!$B$8+18),설정!$D$28)&amp;"",",",""),"　","")),0))</f>
        <v/>
      </c>
      <c r="Z24" s="27">
        <f>IF(설정!$D$29="",0,IFERROR(VALUE(SUBSTITUTE(SUBSTITUTE(INDEX(급여대장_원본!$A$1:$AZ$400,(설정!$B$8+18),설정!$D$29)&amp;"",",",""),"　","")),0))</f>
        <v/>
      </c>
      <c r="AA24" s="27">
        <f>IF(설정!$D$30="",0,IFERROR(VALUE(SUBSTITUTE(SUBSTITUTE(INDEX(급여대장_원본!$A$1:$AZ$400,(설정!$B$8+18),설정!$D$30)&amp;"",",",""),"　","")),0))</f>
        <v/>
      </c>
      <c r="AB24" s="27">
        <f>IF(설정!$D$31="",0,IFERROR(VALUE(SUBSTITUTE(SUBSTITUTE(INDEX(급여대장_원본!$A$1:$AZ$400,(설정!$B$8+18),설정!$D$31)&amp;"",",",""),"　","")),0))</f>
        <v/>
      </c>
      <c r="AC24" s="27">
        <f>IF(설정!$D$32="",0,IFERROR(VALUE(SUBSTITUTE(SUBSTITUTE(INDEX(급여대장_원본!$A$1:$AZ$400,(설정!$B$8+18),설정!$D$32)&amp;"",",",""),"　","")),0))</f>
        <v/>
      </c>
      <c r="AD24" s="27">
        <f>IF(설정!$D$33="",0,IFERROR(VALUE(SUBSTITUTE(SUBSTITUTE(INDEX(급여대장_원본!$A$1:$AZ$400,(설정!$B$8+18),설정!$D$33)&amp;"",",",""),"　","")),0))</f>
        <v/>
      </c>
      <c r="AE24" s="27">
        <f>SUM(W24:AD24)</f>
        <v/>
      </c>
      <c r="AF24" s="27">
        <f>V24-AE24</f>
        <v/>
      </c>
      <c r="AG24" s="27">
        <f>IF(설정!$D$35="","",IF(설정!$D$35="",0,IFERROR(VALUE(SUBSTITUTE(SUBSTITUTE(INDEX(급여대장_원본!$A$1:$AZ$400,(설정!$B$8+18),설정!$D$35)&amp;"",",",""),"　","")),0)))</f>
        <v/>
      </c>
      <c r="AH24" s="27">
        <f>IF(설정!$D$36="","",IF(설정!$D$36="",0,IFERROR(VALUE(SUBSTITUTE(SUBSTITUTE(INDEX(급여대장_원본!$A$1:$AZ$400,(설정!$B$8+18),설정!$D$36)&amp;"",",",""),"　","")),0)))</f>
        <v/>
      </c>
      <c r="AI24" s="27">
        <f>IF(설정!$D$37="","",IF(설정!$D$37="",0,IFERROR(VALUE(SUBSTITUTE(SUBSTITUTE(INDEX(급여대장_원본!$A$1:$AZ$400,(설정!$B$8+18),설정!$D$37)&amp;"",",",""),"　","")),0)))</f>
        <v/>
      </c>
      <c r="AJ24" s="2">
        <f>IFERROR(INDEX($D$7:$D$306,MATCH(18,$B$7:$B$306,0)),"")</f>
        <v/>
      </c>
    </row>
    <row r="25">
      <c r="A25" s="2">
        <f>IF(AND(D25&lt;&gt;"",D25&lt;&gt;"합계",D25&lt;&gt;"총계",D25&lt;&gt;"소계",D25&lt;&gt;"계"),1,0)</f>
        <v/>
      </c>
      <c r="B25" s="2">
        <f>IF(A25=1,SUM($A$7:A25),"")</f>
        <v/>
      </c>
      <c r="C25" s="2">
        <f>IF(설정!$D$13="","",TRIM(SUBSTITUTE(INDEX(급여대장_원본!$A$1:$AZ$400,(설정!$B$8+19),설정!$D$13)&amp;"","　"," ")))</f>
        <v/>
      </c>
      <c r="D25" s="2">
        <f>IF(설정!$D$14="","",TRIM(SUBSTITUTE(INDEX(급여대장_원본!$A$1:$AZ$400,(설정!$B$8+19),설정!$D$14)&amp;"","　"," ")))</f>
        <v/>
      </c>
      <c r="E25" s="2">
        <f>IF(설정!$D$15="","",TRIM(SUBSTITUTE(INDEX(급여대장_원본!$A$1:$AZ$400,(설정!$B$8+19),설정!$D$15)&amp;"","　"," ")))</f>
        <v/>
      </c>
      <c r="F25" s="27">
        <f>IF(설정!$D$17="",0,IFERROR(VALUE(SUBSTITUTE(SUBSTITUTE(INDEX(급여대장_원본!$A$1:$AZ$400,(설정!$B$8+19),설정!$D$17)&amp;"",",",""),"　","")),0))</f>
        <v/>
      </c>
      <c r="G25" s="27">
        <f>IF(설정!$D$18="",0,IFERROR(VALUE(SUBSTITUTE(SUBSTITUTE(INDEX(급여대장_원본!$A$1:$AZ$400,(설정!$B$8+19),설정!$D$18)&amp;"",",",""),"　","")),0))</f>
        <v/>
      </c>
      <c r="H25" s="27">
        <f>IF(설정!$D$19="",0,IFERROR(VALUE(SUBSTITUTE(SUBSTITUTE(INDEX(급여대장_원본!$A$1:$AZ$400,(설정!$B$8+19),설정!$D$19)&amp;"",",",""),"　","")),0))</f>
        <v/>
      </c>
      <c r="I25" s="27">
        <f>IF(설정!$D$20="",0,IFERROR(VALUE(SUBSTITUTE(SUBSTITUTE(INDEX(급여대장_원본!$A$1:$AZ$400,(설정!$B$8+19),설정!$D$20)&amp;"",",",""),"　","")),0))</f>
        <v/>
      </c>
      <c r="J25" s="27">
        <f>IF(설정!$D$21="",0,IFERROR(VALUE(SUBSTITUTE(SUBSTITUTE(INDEX(급여대장_원본!$A$1:$AZ$400,(설정!$B$8+19),설정!$D$21)&amp;"",",",""),"　","")),0))</f>
        <v/>
      </c>
      <c r="K25" s="27">
        <f>IF(설정!$D$22="",0,IFERROR(VALUE(SUBSTITUTE(SUBSTITUTE(INDEX(급여대장_원본!$A$1:$AZ$400,(설정!$B$8+19),설정!$D$22)&amp;"",",",""),"　","")),0))</f>
        <v/>
      </c>
      <c r="L25" s="27">
        <f>IF(설정!$D$23="",0,IFERROR(VALUE(SUBSTITUTE(SUBSTITUTE(INDEX(급여대장_원본!$A$1:$AZ$400,(설정!$B$8+19),설정!$D$23)&amp;"",",",""),"　","")),0))</f>
        <v/>
      </c>
      <c r="M25" s="27">
        <f>IF(설정!$D$24="",0,IFERROR(VALUE(SUBSTITUTE(SUBSTITUTE(INDEX(급여대장_원본!$A$1:$AZ$400,(설정!$B$8+19),설정!$D$24)&amp;"",",",""),"　","")),0))</f>
        <v/>
      </c>
      <c r="N25" s="2">
        <f>IF(OR(설정!$C$17="",IFERROR(MATCH(설정!$C$17,INDEX(급여대장_원본!$A$1:$AZ$400,설정!$B$8,0),0),"")=""),"",IFERROR(VALUE(SUBSTITUTE(INDEX(급여대장_원본!$A$1:$AZ$400,(설정!$B$8+19),IFERROR(MATCH(설정!$C$17,INDEX(급여대장_원본!$A$1:$AZ$400,설정!$B$8,0),0),""))&amp;"",",","")),""))</f>
        <v/>
      </c>
      <c r="O25" s="2">
        <f>IF(OR(설정!$C$18="",IFERROR(MATCH(설정!$C$18,INDEX(급여대장_원본!$A$1:$AZ$400,설정!$B$8,0),0),"")=""),"",IFERROR(VALUE(SUBSTITUTE(INDEX(급여대장_원본!$A$1:$AZ$400,(설정!$B$8+19),IFERROR(MATCH(설정!$C$18,INDEX(급여대장_원본!$A$1:$AZ$400,설정!$B$8,0),0),""))&amp;"",",","")),""))</f>
        <v/>
      </c>
      <c r="P25" s="2">
        <f>IF(OR(설정!$C$19="",IFERROR(MATCH(설정!$C$19,INDEX(급여대장_원본!$A$1:$AZ$400,설정!$B$8,0),0),"")=""),"",IFERROR(VALUE(SUBSTITUTE(INDEX(급여대장_원본!$A$1:$AZ$400,(설정!$B$8+19),IFERROR(MATCH(설정!$C$19,INDEX(급여대장_원본!$A$1:$AZ$400,설정!$B$8,0),0),""))&amp;"",",","")),""))</f>
        <v/>
      </c>
      <c r="Q25" s="2">
        <f>IF(OR(설정!$C$20="",IFERROR(MATCH(설정!$C$20,INDEX(급여대장_원본!$A$1:$AZ$400,설정!$B$8,0),0),"")=""),"",IFERROR(VALUE(SUBSTITUTE(INDEX(급여대장_원본!$A$1:$AZ$400,(설정!$B$8+19),IFERROR(MATCH(설정!$C$20,INDEX(급여대장_원본!$A$1:$AZ$400,설정!$B$8,0),0),""))&amp;"",",","")),""))</f>
        <v/>
      </c>
      <c r="R25" s="2">
        <f>IF(OR(설정!$C$21="",IFERROR(MATCH(설정!$C$21,INDEX(급여대장_원본!$A$1:$AZ$400,설정!$B$8,0),0),"")=""),"",IFERROR(VALUE(SUBSTITUTE(INDEX(급여대장_원본!$A$1:$AZ$400,(설정!$B$8+19),IFERROR(MATCH(설정!$C$21,INDEX(급여대장_원본!$A$1:$AZ$400,설정!$B$8,0),0),""))&amp;"",",","")),""))</f>
        <v/>
      </c>
      <c r="S25" s="2">
        <f>IF(OR(설정!$C$22="",IFERROR(MATCH(설정!$C$22,INDEX(급여대장_원본!$A$1:$AZ$400,설정!$B$8,0),0),"")=""),"",IFERROR(VALUE(SUBSTITUTE(INDEX(급여대장_원본!$A$1:$AZ$400,(설정!$B$8+19),IFERROR(MATCH(설정!$C$22,INDEX(급여대장_원본!$A$1:$AZ$400,설정!$B$8,0),0),""))&amp;"",",","")),""))</f>
        <v/>
      </c>
      <c r="T25" s="2">
        <f>IF(OR(설정!$C$23="",IFERROR(MATCH(설정!$C$23,INDEX(급여대장_원본!$A$1:$AZ$400,설정!$B$8,0),0),"")=""),"",IFERROR(VALUE(SUBSTITUTE(INDEX(급여대장_원본!$A$1:$AZ$400,(설정!$B$8+19),IFERROR(MATCH(설정!$C$23,INDEX(급여대장_원본!$A$1:$AZ$400,설정!$B$8,0),0),""))&amp;"",",","")),""))</f>
        <v/>
      </c>
      <c r="U25" s="2">
        <f>IF(OR(설정!$C$24="",IFERROR(MATCH(설정!$C$24,INDEX(급여대장_원본!$A$1:$AZ$400,설정!$B$8,0),0),"")=""),"",IFERROR(VALUE(SUBSTITUTE(INDEX(급여대장_원본!$A$1:$AZ$400,(설정!$B$8+19),IFERROR(MATCH(설정!$C$24,INDEX(급여대장_원본!$A$1:$AZ$400,설정!$B$8,0),0),""))&amp;"",",","")),""))</f>
        <v/>
      </c>
      <c r="V25" s="27">
        <f>SUM(F25:M25)</f>
        <v/>
      </c>
      <c r="W25" s="27">
        <f>IF(설정!$D$26="",0,IFERROR(VALUE(SUBSTITUTE(SUBSTITUTE(INDEX(급여대장_원본!$A$1:$AZ$400,(설정!$B$8+19),설정!$D$26)&amp;"",",",""),"　","")),0))</f>
        <v/>
      </c>
      <c r="X25" s="27">
        <f>IF(설정!$D$27="",0,IFERROR(VALUE(SUBSTITUTE(SUBSTITUTE(INDEX(급여대장_원본!$A$1:$AZ$400,(설정!$B$8+19),설정!$D$27)&amp;"",",",""),"　","")),0))</f>
        <v/>
      </c>
      <c r="Y25" s="27">
        <f>IF(설정!$D$28="",0,IFERROR(VALUE(SUBSTITUTE(SUBSTITUTE(INDEX(급여대장_원본!$A$1:$AZ$400,(설정!$B$8+19),설정!$D$28)&amp;"",",",""),"　","")),0))</f>
        <v/>
      </c>
      <c r="Z25" s="27">
        <f>IF(설정!$D$29="",0,IFERROR(VALUE(SUBSTITUTE(SUBSTITUTE(INDEX(급여대장_원본!$A$1:$AZ$400,(설정!$B$8+19),설정!$D$29)&amp;"",",",""),"　","")),0))</f>
        <v/>
      </c>
      <c r="AA25" s="27">
        <f>IF(설정!$D$30="",0,IFERROR(VALUE(SUBSTITUTE(SUBSTITUTE(INDEX(급여대장_원본!$A$1:$AZ$400,(설정!$B$8+19),설정!$D$30)&amp;"",",",""),"　","")),0))</f>
        <v/>
      </c>
      <c r="AB25" s="27">
        <f>IF(설정!$D$31="",0,IFERROR(VALUE(SUBSTITUTE(SUBSTITUTE(INDEX(급여대장_원본!$A$1:$AZ$400,(설정!$B$8+19),설정!$D$31)&amp;"",",",""),"　","")),0))</f>
        <v/>
      </c>
      <c r="AC25" s="27">
        <f>IF(설정!$D$32="",0,IFERROR(VALUE(SUBSTITUTE(SUBSTITUTE(INDEX(급여대장_원본!$A$1:$AZ$400,(설정!$B$8+19),설정!$D$32)&amp;"",",",""),"　","")),0))</f>
        <v/>
      </c>
      <c r="AD25" s="27">
        <f>IF(설정!$D$33="",0,IFERROR(VALUE(SUBSTITUTE(SUBSTITUTE(INDEX(급여대장_원본!$A$1:$AZ$400,(설정!$B$8+19),설정!$D$33)&amp;"",",",""),"　","")),0))</f>
        <v/>
      </c>
      <c r="AE25" s="27">
        <f>SUM(W25:AD25)</f>
        <v/>
      </c>
      <c r="AF25" s="27">
        <f>V25-AE25</f>
        <v/>
      </c>
      <c r="AG25" s="27">
        <f>IF(설정!$D$35="","",IF(설정!$D$35="",0,IFERROR(VALUE(SUBSTITUTE(SUBSTITUTE(INDEX(급여대장_원본!$A$1:$AZ$400,(설정!$B$8+19),설정!$D$35)&amp;"",",",""),"　","")),0)))</f>
        <v/>
      </c>
      <c r="AH25" s="27">
        <f>IF(설정!$D$36="","",IF(설정!$D$36="",0,IFERROR(VALUE(SUBSTITUTE(SUBSTITUTE(INDEX(급여대장_원본!$A$1:$AZ$400,(설정!$B$8+19),설정!$D$36)&amp;"",",",""),"　","")),0)))</f>
        <v/>
      </c>
      <c r="AI25" s="27">
        <f>IF(설정!$D$37="","",IF(설정!$D$37="",0,IFERROR(VALUE(SUBSTITUTE(SUBSTITUTE(INDEX(급여대장_원본!$A$1:$AZ$400,(설정!$B$8+19),설정!$D$37)&amp;"",",",""),"　","")),0)))</f>
        <v/>
      </c>
      <c r="AJ25" s="2">
        <f>IFERROR(INDEX($D$7:$D$306,MATCH(19,$B$7:$B$306,0)),"")</f>
        <v/>
      </c>
    </row>
    <row r="26">
      <c r="A26" s="2">
        <f>IF(AND(D26&lt;&gt;"",D26&lt;&gt;"합계",D26&lt;&gt;"총계",D26&lt;&gt;"소계",D26&lt;&gt;"계"),1,0)</f>
        <v/>
      </c>
      <c r="B26" s="2">
        <f>IF(A26=1,SUM($A$7:A26),"")</f>
        <v/>
      </c>
      <c r="C26" s="2">
        <f>IF(설정!$D$13="","",TRIM(SUBSTITUTE(INDEX(급여대장_원본!$A$1:$AZ$400,(설정!$B$8+20),설정!$D$13)&amp;"","　"," ")))</f>
        <v/>
      </c>
      <c r="D26" s="2">
        <f>IF(설정!$D$14="","",TRIM(SUBSTITUTE(INDEX(급여대장_원본!$A$1:$AZ$400,(설정!$B$8+20),설정!$D$14)&amp;"","　"," ")))</f>
        <v/>
      </c>
      <c r="E26" s="2">
        <f>IF(설정!$D$15="","",TRIM(SUBSTITUTE(INDEX(급여대장_원본!$A$1:$AZ$400,(설정!$B$8+20),설정!$D$15)&amp;"","　"," ")))</f>
        <v/>
      </c>
      <c r="F26" s="27">
        <f>IF(설정!$D$17="",0,IFERROR(VALUE(SUBSTITUTE(SUBSTITUTE(INDEX(급여대장_원본!$A$1:$AZ$400,(설정!$B$8+20),설정!$D$17)&amp;"",",",""),"　","")),0))</f>
        <v/>
      </c>
      <c r="G26" s="27">
        <f>IF(설정!$D$18="",0,IFERROR(VALUE(SUBSTITUTE(SUBSTITUTE(INDEX(급여대장_원본!$A$1:$AZ$400,(설정!$B$8+20),설정!$D$18)&amp;"",",",""),"　","")),0))</f>
        <v/>
      </c>
      <c r="H26" s="27">
        <f>IF(설정!$D$19="",0,IFERROR(VALUE(SUBSTITUTE(SUBSTITUTE(INDEX(급여대장_원본!$A$1:$AZ$400,(설정!$B$8+20),설정!$D$19)&amp;"",",",""),"　","")),0))</f>
        <v/>
      </c>
      <c r="I26" s="27">
        <f>IF(설정!$D$20="",0,IFERROR(VALUE(SUBSTITUTE(SUBSTITUTE(INDEX(급여대장_원본!$A$1:$AZ$400,(설정!$B$8+20),설정!$D$20)&amp;"",",",""),"　","")),0))</f>
        <v/>
      </c>
      <c r="J26" s="27">
        <f>IF(설정!$D$21="",0,IFERROR(VALUE(SUBSTITUTE(SUBSTITUTE(INDEX(급여대장_원본!$A$1:$AZ$400,(설정!$B$8+20),설정!$D$21)&amp;"",",",""),"　","")),0))</f>
        <v/>
      </c>
      <c r="K26" s="27">
        <f>IF(설정!$D$22="",0,IFERROR(VALUE(SUBSTITUTE(SUBSTITUTE(INDEX(급여대장_원본!$A$1:$AZ$400,(설정!$B$8+20),설정!$D$22)&amp;"",",",""),"　","")),0))</f>
        <v/>
      </c>
      <c r="L26" s="27">
        <f>IF(설정!$D$23="",0,IFERROR(VALUE(SUBSTITUTE(SUBSTITUTE(INDEX(급여대장_원본!$A$1:$AZ$400,(설정!$B$8+20),설정!$D$23)&amp;"",",",""),"　","")),0))</f>
        <v/>
      </c>
      <c r="M26" s="27">
        <f>IF(설정!$D$24="",0,IFERROR(VALUE(SUBSTITUTE(SUBSTITUTE(INDEX(급여대장_원본!$A$1:$AZ$400,(설정!$B$8+20),설정!$D$24)&amp;"",",",""),"　","")),0))</f>
        <v/>
      </c>
      <c r="N26" s="2">
        <f>IF(OR(설정!$C$17="",IFERROR(MATCH(설정!$C$17,INDEX(급여대장_원본!$A$1:$AZ$400,설정!$B$8,0),0),"")=""),"",IFERROR(VALUE(SUBSTITUTE(INDEX(급여대장_원본!$A$1:$AZ$400,(설정!$B$8+20),IFERROR(MATCH(설정!$C$17,INDEX(급여대장_원본!$A$1:$AZ$400,설정!$B$8,0),0),""))&amp;"",",","")),""))</f>
        <v/>
      </c>
      <c r="O26" s="2">
        <f>IF(OR(설정!$C$18="",IFERROR(MATCH(설정!$C$18,INDEX(급여대장_원본!$A$1:$AZ$400,설정!$B$8,0),0),"")=""),"",IFERROR(VALUE(SUBSTITUTE(INDEX(급여대장_원본!$A$1:$AZ$400,(설정!$B$8+20),IFERROR(MATCH(설정!$C$18,INDEX(급여대장_원본!$A$1:$AZ$400,설정!$B$8,0),0),""))&amp;"",",","")),""))</f>
        <v/>
      </c>
      <c r="P26" s="2">
        <f>IF(OR(설정!$C$19="",IFERROR(MATCH(설정!$C$19,INDEX(급여대장_원본!$A$1:$AZ$400,설정!$B$8,0),0),"")=""),"",IFERROR(VALUE(SUBSTITUTE(INDEX(급여대장_원본!$A$1:$AZ$400,(설정!$B$8+20),IFERROR(MATCH(설정!$C$19,INDEX(급여대장_원본!$A$1:$AZ$400,설정!$B$8,0),0),""))&amp;"",",","")),""))</f>
        <v/>
      </c>
      <c r="Q26" s="2">
        <f>IF(OR(설정!$C$20="",IFERROR(MATCH(설정!$C$20,INDEX(급여대장_원본!$A$1:$AZ$400,설정!$B$8,0),0),"")=""),"",IFERROR(VALUE(SUBSTITUTE(INDEX(급여대장_원본!$A$1:$AZ$400,(설정!$B$8+20),IFERROR(MATCH(설정!$C$20,INDEX(급여대장_원본!$A$1:$AZ$400,설정!$B$8,0),0),""))&amp;"",",","")),""))</f>
        <v/>
      </c>
      <c r="R26" s="2">
        <f>IF(OR(설정!$C$21="",IFERROR(MATCH(설정!$C$21,INDEX(급여대장_원본!$A$1:$AZ$400,설정!$B$8,0),0),"")=""),"",IFERROR(VALUE(SUBSTITUTE(INDEX(급여대장_원본!$A$1:$AZ$400,(설정!$B$8+20),IFERROR(MATCH(설정!$C$21,INDEX(급여대장_원본!$A$1:$AZ$400,설정!$B$8,0),0),""))&amp;"",",","")),""))</f>
        <v/>
      </c>
      <c r="S26" s="2">
        <f>IF(OR(설정!$C$22="",IFERROR(MATCH(설정!$C$22,INDEX(급여대장_원본!$A$1:$AZ$400,설정!$B$8,0),0),"")=""),"",IFERROR(VALUE(SUBSTITUTE(INDEX(급여대장_원본!$A$1:$AZ$400,(설정!$B$8+20),IFERROR(MATCH(설정!$C$22,INDEX(급여대장_원본!$A$1:$AZ$400,설정!$B$8,0),0),""))&amp;"",",","")),""))</f>
        <v/>
      </c>
      <c r="T26" s="2">
        <f>IF(OR(설정!$C$23="",IFERROR(MATCH(설정!$C$23,INDEX(급여대장_원본!$A$1:$AZ$400,설정!$B$8,0),0),"")=""),"",IFERROR(VALUE(SUBSTITUTE(INDEX(급여대장_원본!$A$1:$AZ$400,(설정!$B$8+20),IFERROR(MATCH(설정!$C$23,INDEX(급여대장_원본!$A$1:$AZ$400,설정!$B$8,0),0),""))&amp;"",",","")),""))</f>
        <v/>
      </c>
      <c r="U26" s="2">
        <f>IF(OR(설정!$C$24="",IFERROR(MATCH(설정!$C$24,INDEX(급여대장_원본!$A$1:$AZ$400,설정!$B$8,0),0),"")=""),"",IFERROR(VALUE(SUBSTITUTE(INDEX(급여대장_원본!$A$1:$AZ$400,(설정!$B$8+20),IFERROR(MATCH(설정!$C$24,INDEX(급여대장_원본!$A$1:$AZ$400,설정!$B$8,0),0),""))&amp;"",",","")),""))</f>
        <v/>
      </c>
      <c r="V26" s="27">
        <f>SUM(F26:M26)</f>
        <v/>
      </c>
      <c r="W26" s="27">
        <f>IF(설정!$D$26="",0,IFERROR(VALUE(SUBSTITUTE(SUBSTITUTE(INDEX(급여대장_원본!$A$1:$AZ$400,(설정!$B$8+20),설정!$D$26)&amp;"",",",""),"　","")),0))</f>
        <v/>
      </c>
      <c r="X26" s="27">
        <f>IF(설정!$D$27="",0,IFERROR(VALUE(SUBSTITUTE(SUBSTITUTE(INDEX(급여대장_원본!$A$1:$AZ$400,(설정!$B$8+20),설정!$D$27)&amp;"",",",""),"　","")),0))</f>
        <v/>
      </c>
      <c r="Y26" s="27">
        <f>IF(설정!$D$28="",0,IFERROR(VALUE(SUBSTITUTE(SUBSTITUTE(INDEX(급여대장_원본!$A$1:$AZ$400,(설정!$B$8+20),설정!$D$28)&amp;"",",",""),"　","")),0))</f>
        <v/>
      </c>
      <c r="Z26" s="27">
        <f>IF(설정!$D$29="",0,IFERROR(VALUE(SUBSTITUTE(SUBSTITUTE(INDEX(급여대장_원본!$A$1:$AZ$400,(설정!$B$8+20),설정!$D$29)&amp;"",",",""),"　","")),0))</f>
        <v/>
      </c>
      <c r="AA26" s="27">
        <f>IF(설정!$D$30="",0,IFERROR(VALUE(SUBSTITUTE(SUBSTITUTE(INDEX(급여대장_원본!$A$1:$AZ$400,(설정!$B$8+20),설정!$D$30)&amp;"",",",""),"　","")),0))</f>
        <v/>
      </c>
      <c r="AB26" s="27">
        <f>IF(설정!$D$31="",0,IFERROR(VALUE(SUBSTITUTE(SUBSTITUTE(INDEX(급여대장_원본!$A$1:$AZ$400,(설정!$B$8+20),설정!$D$31)&amp;"",",",""),"　","")),0))</f>
        <v/>
      </c>
      <c r="AC26" s="27">
        <f>IF(설정!$D$32="",0,IFERROR(VALUE(SUBSTITUTE(SUBSTITUTE(INDEX(급여대장_원본!$A$1:$AZ$400,(설정!$B$8+20),설정!$D$32)&amp;"",",",""),"　","")),0))</f>
        <v/>
      </c>
      <c r="AD26" s="27">
        <f>IF(설정!$D$33="",0,IFERROR(VALUE(SUBSTITUTE(SUBSTITUTE(INDEX(급여대장_원본!$A$1:$AZ$400,(설정!$B$8+20),설정!$D$33)&amp;"",",",""),"　","")),0))</f>
        <v/>
      </c>
      <c r="AE26" s="27">
        <f>SUM(W26:AD26)</f>
        <v/>
      </c>
      <c r="AF26" s="27">
        <f>V26-AE26</f>
        <v/>
      </c>
      <c r="AG26" s="27">
        <f>IF(설정!$D$35="","",IF(설정!$D$35="",0,IFERROR(VALUE(SUBSTITUTE(SUBSTITUTE(INDEX(급여대장_원본!$A$1:$AZ$400,(설정!$B$8+20),설정!$D$35)&amp;"",",",""),"　","")),0)))</f>
        <v/>
      </c>
      <c r="AH26" s="27">
        <f>IF(설정!$D$36="","",IF(설정!$D$36="",0,IFERROR(VALUE(SUBSTITUTE(SUBSTITUTE(INDEX(급여대장_원본!$A$1:$AZ$400,(설정!$B$8+20),설정!$D$36)&amp;"",",",""),"　","")),0)))</f>
        <v/>
      </c>
      <c r="AI26" s="27">
        <f>IF(설정!$D$37="","",IF(설정!$D$37="",0,IFERROR(VALUE(SUBSTITUTE(SUBSTITUTE(INDEX(급여대장_원본!$A$1:$AZ$400,(설정!$B$8+20),설정!$D$37)&amp;"",",",""),"　","")),0)))</f>
        <v/>
      </c>
      <c r="AJ26" s="2">
        <f>IFERROR(INDEX($D$7:$D$306,MATCH(20,$B$7:$B$306,0)),"")</f>
        <v/>
      </c>
    </row>
    <row r="27">
      <c r="A27" s="2">
        <f>IF(AND(D27&lt;&gt;"",D27&lt;&gt;"합계",D27&lt;&gt;"총계",D27&lt;&gt;"소계",D27&lt;&gt;"계"),1,0)</f>
        <v/>
      </c>
      <c r="B27" s="2">
        <f>IF(A27=1,SUM($A$7:A27),"")</f>
        <v/>
      </c>
      <c r="C27" s="2">
        <f>IF(설정!$D$13="","",TRIM(SUBSTITUTE(INDEX(급여대장_원본!$A$1:$AZ$400,(설정!$B$8+21),설정!$D$13)&amp;"","　"," ")))</f>
        <v/>
      </c>
      <c r="D27" s="2">
        <f>IF(설정!$D$14="","",TRIM(SUBSTITUTE(INDEX(급여대장_원본!$A$1:$AZ$400,(설정!$B$8+21),설정!$D$14)&amp;"","　"," ")))</f>
        <v/>
      </c>
      <c r="E27" s="2">
        <f>IF(설정!$D$15="","",TRIM(SUBSTITUTE(INDEX(급여대장_원본!$A$1:$AZ$400,(설정!$B$8+21),설정!$D$15)&amp;"","　"," ")))</f>
        <v/>
      </c>
      <c r="F27" s="27">
        <f>IF(설정!$D$17="",0,IFERROR(VALUE(SUBSTITUTE(SUBSTITUTE(INDEX(급여대장_원본!$A$1:$AZ$400,(설정!$B$8+21),설정!$D$17)&amp;"",",",""),"　","")),0))</f>
        <v/>
      </c>
      <c r="G27" s="27">
        <f>IF(설정!$D$18="",0,IFERROR(VALUE(SUBSTITUTE(SUBSTITUTE(INDEX(급여대장_원본!$A$1:$AZ$400,(설정!$B$8+21),설정!$D$18)&amp;"",",",""),"　","")),0))</f>
        <v/>
      </c>
      <c r="H27" s="27">
        <f>IF(설정!$D$19="",0,IFERROR(VALUE(SUBSTITUTE(SUBSTITUTE(INDEX(급여대장_원본!$A$1:$AZ$400,(설정!$B$8+21),설정!$D$19)&amp;"",",",""),"　","")),0))</f>
        <v/>
      </c>
      <c r="I27" s="27">
        <f>IF(설정!$D$20="",0,IFERROR(VALUE(SUBSTITUTE(SUBSTITUTE(INDEX(급여대장_원본!$A$1:$AZ$400,(설정!$B$8+21),설정!$D$20)&amp;"",",",""),"　","")),0))</f>
        <v/>
      </c>
      <c r="J27" s="27">
        <f>IF(설정!$D$21="",0,IFERROR(VALUE(SUBSTITUTE(SUBSTITUTE(INDEX(급여대장_원본!$A$1:$AZ$400,(설정!$B$8+21),설정!$D$21)&amp;"",",",""),"　","")),0))</f>
        <v/>
      </c>
      <c r="K27" s="27">
        <f>IF(설정!$D$22="",0,IFERROR(VALUE(SUBSTITUTE(SUBSTITUTE(INDEX(급여대장_원본!$A$1:$AZ$400,(설정!$B$8+21),설정!$D$22)&amp;"",",",""),"　","")),0))</f>
        <v/>
      </c>
      <c r="L27" s="27">
        <f>IF(설정!$D$23="",0,IFERROR(VALUE(SUBSTITUTE(SUBSTITUTE(INDEX(급여대장_원본!$A$1:$AZ$400,(설정!$B$8+21),설정!$D$23)&amp;"",",",""),"　","")),0))</f>
        <v/>
      </c>
      <c r="M27" s="27">
        <f>IF(설정!$D$24="",0,IFERROR(VALUE(SUBSTITUTE(SUBSTITUTE(INDEX(급여대장_원본!$A$1:$AZ$400,(설정!$B$8+21),설정!$D$24)&amp;"",",",""),"　","")),0))</f>
        <v/>
      </c>
      <c r="N27" s="2">
        <f>IF(OR(설정!$C$17="",IFERROR(MATCH(설정!$C$17,INDEX(급여대장_원본!$A$1:$AZ$400,설정!$B$8,0),0),"")=""),"",IFERROR(VALUE(SUBSTITUTE(INDEX(급여대장_원본!$A$1:$AZ$400,(설정!$B$8+21),IFERROR(MATCH(설정!$C$17,INDEX(급여대장_원본!$A$1:$AZ$400,설정!$B$8,0),0),""))&amp;"",",","")),""))</f>
        <v/>
      </c>
      <c r="O27" s="2">
        <f>IF(OR(설정!$C$18="",IFERROR(MATCH(설정!$C$18,INDEX(급여대장_원본!$A$1:$AZ$400,설정!$B$8,0),0),"")=""),"",IFERROR(VALUE(SUBSTITUTE(INDEX(급여대장_원본!$A$1:$AZ$400,(설정!$B$8+21),IFERROR(MATCH(설정!$C$18,INDEX(급여대장_원본!$A$1:$AZ$400,설정!$B$8,0),0),""))&amp;"",",","")),""))</f>
        <v/>
      </c>
      <c r="P27" s="2">
        <f>IF(OR(설정!$C$19="",IFERROR(MATCH(설정!$C$19,INDEX(급여대장_원본!$A$1:$AZ$400,설정!$B$8,0),0),"")=""),"",IFERROR(VALUE(SUBSTITUTE(INDEX(급여대장_원본!$A$1:$AZ$400,(설정!$B$8+21),IFERROR(MATCH(설정!$C$19,INDEX(급여대장_원본!$A$1:$AZ$400,설정!$B$8,0),0),""))&amp;"",",","")),""))</f>
        <v/>
      </c>
      <c r="Q27" s="2">
        <f>IF(OR(설정!$C$20="",IFERROR(MATCH(설정!$C$20,INDEX(급여대장_원본!$A$1:$AZ$400,설정!$B$8,0),0),"")=""),"",IFERROR(VALUE(SUBSTITUTE(INDEX(급여대장_원본!$A$1:$AZ$400,(설정!$B$8+21),IFERROR(MATCH(설정!$C$20,INDEX(급여대장_원본!$A$1:$AZ$400,설정!$B$8,0),0),""))&amp;"",",","")),""))</f>
        <v/>
      </c>
      <c r="R27" s="2">
        <f>IF(OR(설정!$C$21="",IFERROR(MATCH(설정!$C$21,INDEX(급여대장_원본!$A$1:$AZ$400,설정!$B$8,0),0),"")=""),"",IFERROR(VALUE(SUBSTITUTE(INDEX(급여대장_원본!$A$1:$AZ$400,(설정!$B$8+21),IFERROR(MATCH(설정!$C$21,INDEX(급여대장_원본!$A$1:$AZ$400,설정!$B$8,0),0),""))&amp;"",",","")),""))</f>
        <v/>
      </c>
      <c r="S27" s="2">
        <f>IF(OR(설정!$C$22="",IFERROR(MATCH(설정!$C$22,INDEX(급여대장_원본!$A$1:$AZ$400,설정!$B$8,0),0),"")=""),"",IFERROR(VALUE(SUBSTITUTE(INDEX(급여대장_원본!$A$1:$AZ$400,(설정!$B$8+21),IFERROR(MATCH(설정!$C$22,INDEX(급여대장_원본!$A$1:$AZ$400,설정!$B$8,0),0),""))&amp;"",",","")),""))</f>
        <v/>
      </c>
      <c r="T27" s="2">
        <f>IF(OR(설정!$C$23="",IFERROR(MATCH(설정!$C$23,INDEX(급여대장_원본!$A$1:$AZ$400,설정!$B$8,0),0),"")=""),"",IFERROR(VALUE(SUBSTITUTE(INDEX(급여대장_원본!$A$1:$AZ$400,(설정!$B$8+21),IFERROR(MATCH(설정!$C$23,INDEX(급여대장_원본!$A$1:$AZ$400,설정!$B$8,0),0),""))&amp;"",",","")),""))</f>
        <v/>
      </c>
      <c r="U27" s="2">
        <f>IF(OR(설정!$C$24="",IFERROR(MATCH(설정!$C$24,INDEX(급여대장_원본!$A$1:$AZ$400,설정!$B$8,0),0),"")=""),"",IFERROR(VALUE(SUBSTITUTE(INDEX(급여대장_원본!$A$1:$AZ$400,(설정!$B$8+21),IFERROR(MATCH(설정!$C$24,INDEX(급여대장_원본!$A$1:$AZ$400,설정!$B$8,0),0),""))&amp;"",",","")),""))</f>
        <v/>
      </c>
      <c r="V27" s="27">
        <f>SUM(F27:M27)</f>
        <v/>
      </c>
      <c r="W27" s="27">
        <f>IF(설정!$D$26="",0,IFERROR(VALUE(SUBSTITUTE(SUBSTITUTE(INDEX(급여대장_원본!$A$1:$AZ$400,(설정!$B$8+21),설정!$D$26)&amp;"",",",""),"　","")),0))</f>
        <v/>
      </c>
      <c r="X27" s="27">
        <f>IF(설정!$D$27="",0,IFERROR(VALUE(SUBSTITUTE(SUBSTITUTE(INDEX(급여대장_원본!$A$1:$AZ$400,(설정!$B$8+21),설정!$D$27)&amp;"",",",""),"　","")),0))</f>
        <v/>
      </c>
      <c r="Y27" s="27">
        <f>IF(설정!$D$28="",0,IFERROR(VALUE(SUBSTITUTE(SUBSTITUTE(INDEX(급여대장_원본!$A$1:$AZ$400,(설정!$B$8+21),설정!$D$28)&amp;"",",",""),"　","")),0))</f>
        <v/>
      </c>
      <c r="Z27" s="27">
        <f>IF(설정!$D$29="",0,IFERROR(VALUE(SUBSTITUTE(SUBSTITUTE(INDEX(급여대장_원본!$A$1:$AZ$400,(설정!$B$8+21),설정!$D$29)&amp;"",",",""),"　","")),0))</f>
        <v/>
      </c>
      <c r="AA27" s="27">
        <f>IF(설정!$D$30="",0,IFERROR(VALUE(SUBSTITUTE(SUBSTITUTE(INDEX(급여대장_원본!$A$1:$AZ$400,(설정!$B$8+21),설정!$D$30)&amp;"",",",""),"　","")),0))</f>
        <v/>
      </c>
      <c r="AB27" s="27">
        <f>IF(설정!$D$31="",0,IFERROR(VALUE(SUBSTITUTE(SUBSTITUTE(INDEX(급여대장_원본!$A$1:$AZ$400,(설정!$B$8+21),설정!$D$31)&amp;"",",",""),"　","")),0))</f>
        <v/>
      </c>
      <c r="AC27" s="27">
        <f>IF(설정!$D$32="",0,IFERROR(VALUE(SUBSTITUTE(SUBSTITUTE(INDEX(급여대장_원본!$A$1:$AZ$400,(설정!$B$8+21),설정!$D$32)&amp;"",",",""),"　","")),0))</f>
        <v/>
      </c>
      <c r="AD27" s="27">
        <f>IF(설정!$D$33="",0,IFERROR(VALUE(SUBSTITUTE(SUBSTITUTE(INDEX(급여대장_원본!$A$1:$AZ$400,(설정!$B$8+21),설정!$D$33)&amp;"",",",""),"　","")),0))</f>
        <v/>
      </c>
      <c r="AE27" s="27">
        <f>SUM(W27:AD27)</f>
        <v/>
      </c>
      <c r="AF27" s="27">
        <f>V27-AE27</f>
        <v/>
      </c>
      <c r="AG27" s="27">
        <f>IF(설정!$D$35="","",IF(설정!$D$35="",0,IFERROR(VALUE(SUBSTITUTE(SUBSTITUTE(INDEX(급여대장_원본!$A$1:$AZ$400,(설정!$B$8+21),설정!$D$35)&amp;"",",",""),"　","")),0)))</f>
        <v/>
      </c>
      <c r="AH27" s="27">
        <f>IF(설정!$D$36="","",IF(설정!$D$36="",0,IFERROR(VALUE(SUBSTITUTE(SUBSTITUTE(INDEX(급여대장_원본!$A$1:$AZ$400,(설정!$B$8+21),설정!$D$36)&amp;"",",",""),"　","")),0)))</f>
        <v/>
      </c>
      <c r="AI27" s="27">
        <f>IF(설정!$D$37="","",IF(설정!$D$37="",0,IFERROR(VALUE(SUBSTITUTE(SUBSTITUTE(INDEX(급여대장_원본!$A$1:$AZ$400,(설정!$B$8+21),설정!$D$37)&amp;"",",",""),"　","")),0)))</f>
        <v/>
      </c>
      <c r="AJ27" s="2">
        <f>IFERROR(INDEX($D$7:$D$306,MATCH(21,$B$7:$B$306,0)),"")</f>
        <v/>
      </c>
    </row>
    <row r="28">
      <c r="A28" s="2">
        <f>IF(AND(D28&lt;&gt;"",D28&lt;&gt;"합계",D28&lt;&gt;"총계",D28&lt;&gt;"소계",D28&lt;&gt;"계"),1,0)</f>
        <v/>
      </c>
      <c r="B28" s="2">
        <f>IF(A28=1,SUM($A$7:A28),"")</f>
        <v/>
      </c>
      <c r="C28" s="2">
        <f>IF(설정!$D$13="","",TRIM(SUBSTITUTE(INDEX(급여대장_원본!$A$1:$AZ$400,(설정!$B$8+22),설정!$D$13)&amp;"","　"," ")))</f>
        <v/>
      </c>
      <c r="D28" s="2">
        <f>IF(설정!$D$14="","",TRIM(SUBSTITUTE(INDEX(급여대장_원본!$A$1:$AZ$400,(설정!$B$8+22),설정!$D$14)&amp;"","　"," ")))</f>
        <v/>
      </c>
      <c r="E28" s="2">
        <f>IF(설정!$D$15="","",TRIM(SUBSTITUTE(INDEX(급여대장_원본!$A$1:$AZ$400,(설정!$B$8+22),설정!$D$15)&amp;"","　"," ")))</f>
        <v/>
      </c>
      <c r="F28" s="27">
        <f>IF(설정!$D$17="",0,IFERROR(VALUE(SUBSTITUTE(SUBSTITUTE(INDEX(급여대장_원본!$A$1:$AZ$400,(설정!$B$8+22),설정!$D$17)&amp;"",",",""),"　","")),0))</f>
        <v/>
      </c>
      <c r="G28" s="27">
        <f>IF(설정!$D$18="",0,IFERROR(VALUE(SUBSTITUTE(SUBSTITUTE(INDEX(급여대장_원본!$A$1:$AZ$400,(설정!$B$8+22),설정!$D$18)&amp;"",",",""),"　","")),0))</f>
        <v/>
      </c>
      <c r="H28" s="27">
        <f>IF(설정!$D$19="",0,IFERROR(VALUE(SUBSTITUTE(SUBSTITUTE(INDEX(급여대장_원본!$A$1:$AZ$400,(설정!$B$8+22),설정!$D$19)&amp;"",",",""),"　","")),0))</f>
        <v/>
      </c>
      <c r="I28" s="27">
        <f>IF(설정!$D$20="",0,IFERROR(VALUE(SUBSTITUTE(SUBSTITUTE(INDEX(급여대장_원본!$A$1:$AZ$400,(설정!$B$8+22),설정!$D$20)&amp;"",",",""),"　","")),0))</f>
        <v/>
      </c>
      <c r="J28" s="27">
        <f>IF(설정!$D$21="",0,IFERROR(VALUE(SUBSTITUTE(SUBSTITUTE(INDEX(급여대장_원본!$A$1:$AZ$400,(설정!$B$8+22),설정!$D$21)&amp;"",",",""),"　","")),0))</f>
        <v/>
      </c>
      <c r="K28" s="27">
        <f>IF(설정!$D$22="",0,IFERROR(VALUE(SUBSTITUTE(SUBSTITUTE(INDEX(급여대장_원본!$A$1:$AZ$400,(설정!$B$8+22),설정!$D$22)&amp;"",",",""),"　","")),0))</f>
        <v/>
      </c>
      <c r="L28" s="27">
        <f>IF(설정!$D$23="",0,IFERROR(VALUE(SUBSTITUTE(SUBSTITUTE(INDEX(급여대장_원본!$A$1:$AZ$400,(설정!$B$8+22),설정!$D$23)&amp;"",",",""),"　","")),0))</f>
        <v/>
      </c>
      <c r="M28" s="27">
        <f>IF(설정!$D$24="",0,IFERROR(VALUE(SUBSTITUTE(SUBSTITUTE(INDEX(급여대장_원본!$A$1:$AZ$400,(설정!$B$8+22),설정!$D$24)&amp;"",",",""),"　","")),0))</f>
        <v/>
      </c>
      <c r="N28" s="2">
        <f>IF(OR(설정!$C$17="",IFERROR(MATCH(설정!$C$17,INDEX(급여대장_원본!$A$1:$AZ$400,설정!$B$8,0),0),"")=""),"",IFERROR(VALUE(SUBSTITUTE(INDEX(급여대장_원본!$A$1:$AZ$400,(설정!$B$8+22),IFERROR(MATCH(설정!$C$17,INDEX(급여대장_원본!$A$1:$AZ$400,설정!$B$8,0),0),""))&amp;"",",","")),""))</f>
        <v/>
      </c>
      <c r="O28" s="2">
        <f>IF(OR(설정!$C$18="",IFERROR(MATCH(설정!$C$18,INDEX(급여대장_원본!$A$1:$AZ$400,설정!$B$8,0),0),"")=""),"",IFERROR(VALUE(SUBSTITUTE(INDEX(급여대장_원본!$A$1:$AZ$400,(설정!$B$8+22),IFERROR(MATCH(설정!$C$18,INDEX(급여대장_원본!$A$1:$AZ$400,설정!$B$8,0),0),""))&amp;"",",","")),""))</f>
        <v/>
      </c>
      <c r="P28" s="2">
        <f>IF(OR(설정!$C$19="",IFERROR(MATCH(설정!$C$19,INDEX(급여대장_원본!$A$1:$AZ$400,설정!$B$8,0),0),"")=""),"",IFERROR(VALUE(SUBSTITUTE(INDEX(급여대장_원본!$A$1:$AZ$400,(설정!$B$8+22),IFERROR(MATCH(설정!$C$19,INDEX(급여대장_원본!$A$1:$AZ$400,설정!$B$8,0),0),""))&amp;"",",","")),""))</f>
        <v/>
      </c>
      <c r="Q28" s="2">
        <f>IF(OR(설정!$C$20="",IFERROR(MATCH(설정!$C$20,INDEX(급여대장_원본!$A$1:$AZ$400,설정!$B$8,0),0),"")=""),"",IFERROR(VALUE(SUBSTITUTE(INDEX(급여대장_원본!$A$1:$AZ$400,(설정!$B$8+22),IFERROR(MATCH(설정!$C$20,INDEX(급여대장_원본!$A$1:$AZ$400,설정!$B$8,0),0),""))&amp;"",",","")),""))</f>
        <v/>
      </c>
      <c r="R28" s="2">
        <f>IF(OR(설정!$C$21="",IFERROR(MATCH(설정!$C$21,INDEX(급여대장_원본!$A$1:$AZ$400,설정!$B$8,0),0),"")=""),"",IFERROR(VALUE(SUBSTITUTE(INDEX(급여대장_원본!$A$1:$AZ$400,(설정!$B$8+22),IFERROR(MATCH(설정!$C$21,INDEX(급여대장_원본!$A$1:$AZ$400,설정!$B$8,0),0),""))&amp;"",",","")),""))</f>
        <v/>
      </c>
      <c r="S28" s="2">
        <f>IF(OR(설정!$C$22="",IFERROR(MATCH(설정!$C$22,INDEX(급여대장_원본!$A$1:$AZ$400,설정!$B$8,0),0),"")=""),"",IFERROR(VALUE(SUBSTITUTE(INDEX(급여대장_원본!$A$1:$AZ$400,(설정!$B$8+22),IFERROR(MATCH(설정!$C$22,INDEX(급여대장_원본!$A$1:$AZ$400,설정!$B$8,0),0),""))&amp;"",",","")),""))</f>
        <v/>
      </c>
      <c r="T28" s="2">
        <f>IF(OR(설정!$C$23="",IFERROR(MATCH(설정!$C$23,INDEX(급여대장_원본!$A$1:$AZ$400,설정!$B$8,0),0),"")=""),"",IFERROR(VALUE(SUBSTITUTE(INDEX(급여대장_원본!$A$1:$AZ$400,(설정!$B$8+22),IFERROR(MATCH(설정!$C$23,INDEX(급여대장_원본!$A$1:$AZ$400,설정!$B$8,0),0),""))&amp;"",",","")),""))</f>
        <v/>
      </c>
      <c r="U28" s="2">
        <f>IF(OR(설정!$C$24="",IFERROR(MATCH(설정!$C$24,INDEX(급여대장_원본!$A$1:$AZ$400,설정!$B$8,0),0),"")=""),"",IFERROR(VALUE(SUBSTITUTE(INDEX(급여대장_원본!$A$1:$AZ$400,(설정!$B$8+22),IFERROR(MATCH(설정!$C$24,INDEX(급여대장_원본!$A$1:$AZ$400,설정!$B$8,0),0),""))&amp;"",",","")),""))</f>
        <v/>
      </c>
      <c r="V28" s="27">
        <f>SUM(F28:M28)</f>
        <v/>
      </c>
      <c r="W28" s="27">
        <f>IF(설정!$D$26="",0,IFERROR(VALUE(SUBSTITUTE(SUBSTITUTE(INDEX(급여대장_원본!$A$1:$AZ$400,(설정!$B$8+22),설정!$D$26)&amp;"",",",""),"　","")),0))</f>
        <v/>
      </c>
      <c r="X28" s="27">
        <f>IF(설정!$D$27="",0,IFERROR(VALUE(SUBSTITUTE(SUBSTITUTE(INDEX(급여대장_원본!$A$1:$AZ$400,(설정!$B$8+22),설정!$D$27)&amp;"",",",""),"　","")),0))</f>
        <v/>
      </c>
      <c r="Y28" s="27">
        <f>IF(설정!$D$28="",0,IFERROR(VALUE(SUBSTITUTE(SUBSTITUTE(INDEX(급여대장_원본!$A$1:$AZ$400,(설정!$B$8+22),설정!$D$28)&amp;"",",",""),"　","")),0))</f>
        <v/>
      </c>
      <c r="Z28" s="27">
        <f>IF(설정!$D$29="",0,IFERROR(VALUE(SUBSTITUTE(SUBSTITUTE(INDEX(급여대장_원본!$A$1:$AZ$400,(설정!$B$8+22),설정!$D$29)&amp;"",",",""),"　","")),0))</f>
        <v/>
      </c>
      <c r="AA28" s="27">
        <f>IF(설정!$D$30="",0,IFERROR(VALUE(SUBSTITUTE(SUBSTITUTE(INDEX(급여대장_원본!$A$1:$AZ$400,(설정!$B$8+22),설정!$D$30)&amp;"",",",""),"　","")),0))</f>
        <v/>
      </c>
      <c r="AB28" s="27">
        <f>IF(설정!$D$31="",0,IFERROR(VALUE(SUBSTITUTE(SUBSTITUTE(INDEX(급여대장_원본!$A$1:$AZ$400,(설정!$B$8+22),설정!$D$31)&amp;"",",",""),"　","")),0))</f>
        <v/>
      </c>
      <c r="AC28" s="27">
        <f>IF(설정!$D$32="",0,IFERROR(VALUE(SUBSTITUTE(SUBSTITUTE(INDEX(급여대장_원본!$A$1:$AZ$400,(설정!$B$8+22),설정!$D$32)&amp;"",",",""),"　","")),0))</f>
        <v/>
      </c>
      <c r="AD28" s="27">
        <f>IF(설정!$D$33="",0,IFERROR(VALUE(SUBSTITUTE(SUBSTITUTE(INDEX(급여대장_원본!$A$1:$AZ$400,(설정!$B$8+22),설정!$D$33)&amp;"",",",""),"　","")),0))</f>
        <v/>
      </c>
      <c r="AE28" s="27">
        <f>SUM(W28:AD28)</f>
        <v/>
      </c>
      <c r="AF28" s="27">
        <f>V28-AE28</f>
        <v/>
      </c>
      <c r="AG28" s="27">
        <f>IF(설정!$D$35="","",IF(설정!$D$35="",0,IFERROR(VALUE(SUBSTITUTE(SUBSTITUTE(INDEX(급여대장_원본!$A$1:$AZ$400,(설정!$B$8+22),설정!$D$35)&amp;"",",",""),"　","")),0)))</f>
        <v/>
      </c>
      <c r="AH28" s="27">
        <f>IF(설정!$D$36="","",IF(설정!$D$36="",0,IFERROR(VALUE(SUBSTITUTE(SUBSTITUTE(INDEX(급여대장_원본!$A$1:$AZ$400,(설정!$B$8+22),설정!$D$36)&amp;"",",",""),"　","")),0)))</f>
        <v/>
      </c>
      <c r="AI28" s="27">
        <f>IF(설정!$D$37="","",IF(설정!$D$37="",0,IFERROR(VALUE(SUBSTITUTE(SUBSTITUTE(INDEX(급여대장_원본!$A$1:$AZ$400,(설정!$B$8+22),설정!$D$37)&amp;"",",",""),"　","")),0)))</f>
        <v/>
      </c>
      <c r="AJ28" s="2">
        <f>IFERROR(INDEX($D$7:$D$306,MATCH(22,$B$7:$B$306,0)),"")</f>
        <v/>
      </c>
    </row>
    <row r="29">
      <c r="A29" s="2">
        <f>IF(AND(D29&lt;&gt;"",D29&lt;&gt;"합계",D29&lt;&gt;"총계",D29&lt;&gt;"소계",D29&lt;&gt;"계"),1,0)</f>
        <v/>
      </c>
      <c r="B29" s="2">
        <f>IF(A29=1,SUM($A$7:A29),"")</f>
        <v/>
      </c>
      <c r="C29" s="2">
        <f>IF(설정!$D$13="","",TRIM(SUBSTITUTE(INDEX(급여대장_원본!$A$1:$AZ$400,(설정!$B$8+23),설정!$D$13)&amp;"","　"," ")))</f>
        <v/>
      </c>
      <c r="D29" s="2">
        <f>IF(설정!$D$14="","",TRIM(SUBSTITUTE(INDEX(급여대장_원본!$A$1:$AZ$400,(설정!$B$8+23),설정!$D$14)&amp;"","　"," ")))</f>
        <v/>
      </c>
      <c r="E29" s="2">
        <f>IF(설정!$D$15="","",TRIM(SUBSTITUTE(INDEX(급여대장_원본!$A$1:$AZ$400,(설정!$B$8+23),설정!$D$15)&amp;"","　"," ")))</f>
        <v/>
      </c>
      <c r="F29" s="27">
        <f>IF(설정!$D$17="",0,IFERROR(VALUE(SUBSTITUTE(SUBSTITUTE(INDEX(급여대장_원본!$A$1:$AZ$400,(설정!$B$8+23),설정!$D$17)&amp;"",",",""),"　","")),0))</f>
        <v/>
      </c>
      <c r="G29" s="27">
        <f>IF(설정!$D$18="",0,IFERROR(VALUE(SUBSTITUTE(SUBSTITUTE(INDEX(급여대장_원본!$A$1:$AZ$400,(설정!$B$8+23),설정!$D$18)&amp;"",",",""),"　","")),0))</f>
        <v/>
      </c>
      <c r="H29" s="27">
        <f>IF(설정!$D$19="",0,IFERROR(VALUE(SUBSTITUTE(SUBSTITUTE(INDEX(급여대장_원본!$A$1:$AZ$400,(설정!$B$8+23),설정!$D$19)&amp;"",",",""),"　","")),0))</f>
        <v/>
      </c>
      <c r="I29" s="27">
        <f>IF(설정!$D$20="",0,IFERROR(VALUE(SUBSTITUTE(SUBSTITUTE(INDEX(급여대장_원본!$A$1:$AZ$400,(설정!$B$8+23),설정!$D$20)&amp;"",",",""),"　","")),0))</f>
        <v/>
      </c>
      <c r="J29" s="27">
        <f>IF(설정!$D$21="",0,IFERROR(VALUE(SUBSTITUTE(SUBSTITUTE(INDEX(급여대장_원본!$A$1:$AZ$400,(설정!$B$8+23),설정!$D$21)&amp;"",",",""),"　","")),0))</f>
        <v/>
      </c>
      <c r="K29" s="27">
        <f>IF(설정!$D$22="",0,IFERROR(VALUE(SUBSTITUTE(SUBSTITUTE(INDEX(급여대장_원본!$A$1:$AZ$400,(설정!$B$8+23),설정!$D$22)&amp;"",",",""),"　","")),0))</f>
        <v/>
      </c>
      <c r="L29" s="27">
        <f>IF(설정!$D$23="",0,IFERROR(VALUE(SUBSTITUTE(SUBSTITUTE(INDEX(급여대장_원본!$A$1:$AZ$400,(설정!$B$8+23),설정!$D$23)&amp;"",",",""),"　","")),0))</f>
        <v/>
      </c>
      <c r="M29" s="27">
        <f>IF(설정!$D$24="",0,IFERROR(VALUE(SUBSTITUTE(SUBSTITUTE(INDEX(급여대장_원본!$A$1:$AZ$400,(설정!$B$8+23),설정!$D$24)&amp;"",",",""),"　","")),0))</f>
        <v/>
      </c>
      <c r="N29" s="2">
        <f>IF(OR(설정!$C$17="",IFERROR(MATCH(설정!$C$17,INDEX(급여대장_원본!$A$1:$AZ$400,설정!$B$8,0),0),"")=""),"",IFERROR(VALUE(SUBSTITUTE(INDEX(급여대장_원본!$A$1:$AZ$400,(설정!$B$8+23),IFERROR(MATCH(설정!$C$17,INDEX(급여대장_원본!$A$1:$AZ$400,설정!$B$8,0),0),""))&amp;"",",","")),""))</f>
        <v/>
      </c>
      <c r="O29" s="2">
        <f>IF(OR(설정!$C$18="",IFERROR(MATCH(설정!$C$18,INDEX(급여대장_원본!$A$1:$AZ$400,설정!$B$8,0),0),"")=""),"",IFERROR(VALUE(SUBSTITUTE(INDEX(급여대장_원본!$A$1:$AZ$400,(설정!$B$8+23),IFERROR(MATCH(설정!$C$18,INDEX(급여대장_원본!$A$1:$AZ$400,설정!$B$8,0),0),""))&amp;"",",","")),""))</f>
        <v/>
      </c>
      <c r="P29" s="2">
        <f>IF(OR(설정!$C$19="",IFERROR(MATCH(설정!$C$19,INDEX(급여대장_원본!$A$1:$AZ$400,설정!$B$8,0),0),"")=""),"",IFERROR(VALUE(SUBSTITUTE(INDEX(급여대장_원본!$A$1:$AZ$400,(설정!$B$8+23),IFERROR(MATCH(설정!$C$19,INDEX(급여대장_원본!$A$1:$AZ$400,설정!$B$8,0),0),""))&amp;"",",","")),""))</f>
        <v/>
      </c>
      <c r="Q29" s="2">
        <f>IF(OR(설정!$C$20="",IFERROR(MATCH(설정!$C$20,INDEX(급여대장_원본!$A$1:$AZ$400,설정!$B$8,0),0),"")=""),"",IFERROR(VALUE(SUBSTITUTE(INDEX(급여대장_원본!$A$1:$AZ$400,(설정!$B$8+23),IFERROR(MATCH(설정!$C$20,INDEX(급여대장_원본!$A$1:$AZ$400,설정!$B$8,0),0),""))&amp;"",",","")),""))</f>
        <v/>
      </c>
      <c r="R29" s="2">
        <f>IF(OR(설정!$C$21="",IFERROR(MATCH(설정!$C$21,INDEX(급여대장_원본!$A$1:$AZ$400,설정!$B$8,0),0),"")=""),"",IFERROR(VALUE(SUBSTITUTE(INDEX(급여대장_원본!$A$1:$AZ$400,(설정!$B$8+23),IFERROR(MATCH(설정!$C$21,INDEX(급여대장_원본!$A$1:$AZ$400,설정!$B$8,0),0),""))&amp;"",",","")),""))</f>
        <v/>
      </c>
      <c r="S29" s="2">
        <f>IF(OR(설정!$C$22="",IFERROR(MATCH(설정!$C$22,INDEX(급여대장_원본!$A$1:$AZ$400,설정!$B$8,0),0),"")=""),"",IFERROR(VALUE(SUBSTITUTE(INDEX(급여대장_원본!$A$1:$AZ$400,(설정!$B$8+23),IFERROR(MATCH(설정!$C$22,INDEX(급여대장_원본!$A$1:$AZ$400,설정!$B$8,0),0),""))&amp;"",",","")),""))</f>
        <v/>
      </c>
      <c r="T29" s="2">
        <f>IF(OR(설정!$C$23="",IFERROR(MATCH(설정!$C$23,INDEX(급여대장_원본!$A$1:$AZ$400,설정!$B$8,0),0),"")=""),"",IFERROR(VALUE(SUBSTITUTE(INDEX(급여대장_원본!$A$1:$AZ$400,(설정!$B$8+23),IFERROR(MATCH(설정!$C$23,INDEX(급여대장_원본!$A$1:$AZ$400,설정!$B$8,0),0),""))&amp;"",",","")),""))</f>
        <v/>
      </c>
      <c r="U29" s="2">
        <f>IF(OR(설정!$C$24="",IFERROR(MATCH(설정!$C$24,INDEX(급여대장_원본!$A$1:$AZ$400,설정!$B$8,0),0),"")=""),"",IFERROR(VALUE(SUBSTITUTE(INDEX(급여대장_원본!$A$1:$AZ$400,(설정!$B$8+23),IFERROR(MATCH(설정!$C$24,INDEX(급여대장_원본!$A$1:$AZ$400,설정!$B$8,0),0),""))&amp;"",",","")),""))</f>
        <v/>
      </c>
      <c r="V29" s="27">
        <f>SUM(F29:M29)</f>
        <v/>
      </c>
      <c r="W29" s="27">
        <f>IF(설정!$D$26="",0,IFERROR(VALUE(SUBSTITUTE(SUBSTITUTE(INDEX(급여대장_원본!$A$1:$AZ$400,(설정!$B$8+23),설정!$D$26)&amp;"",",",""),"　","")),0))</f>
        <v/>
      </c>
      <c r="X29" s="27">
        <f>IF(설정!$D$27="",0,IFERROR(VALUE(SUBSTITUTE(SUBSTITUTE(INDEX(급여대장_원본!$A$1:$AZ$400,(설정!$B$8+23),설정!$D$27)&amp;"",",",""),"　","")),0))</f>
        <v/>
      </c>
      <c r="Y29" s="27">
        <f>IF(설정!$D$28="",0,IFERROR(VALUE(SUBSTITUTE(SUBSTITUTE(INDEX(급여대장_원본!$A$1:$AZ$400,(설정!$B$8+23),설정!$D$28)&amp;"",",",""),"　","")),0))</f>
        <v/>
      </c>
      <c r="Z29" s="27">
        <f>IF(설정!$D$29="",0,IFERROR(VALUE(SUBSTITUTE(SUBSTITUTE(INDEX(급여대장_원본!$A$1:$AZ$400,(설정!$B$8+23),설정!$D$29)&amp;"",",",""),"　","")),0))</f>
        <v/>
      </c>
      <c r="AA29" s="27">
        <f>IF(설정!$D$30="",0,IFERROR(VALUE(SUBSTITUTE(SUBSTITUTE(INDEX(급여대장_원본!$A$1:$AZ$400,(설정!$B$8+23),설정!$D$30)&amp;"",",",""),"　","")),0))</f>
        <v/>
      </c>
      <c r="AB29" s="27">
        <f>IF(설정!$D$31="",0,IFERROR(VALUE(SUBSTITUTE(SUBSTITUTE(INDEX(급여대장_원본!$A$1:$AZ$400,(설정!$B$8+23),설정!$D$31)&amp;"",",",""),"　","")),0))</f>
        <v/>
      </c>
      <c r="AC29" s="27">
        <f>IF(설정!$D$32="",0,IFERROR(VALUE(SUBSTITUTE(SUBSTITUTE(INDEX(급여대장_원본!$A$1:$AZ$400,(설정!$B$8+23),설정!$D$32)&amp;"",",",""),"　","")),0))</f>
        <v/>
      </c>
      <c r="AD29" s="27">
        <f>IF(설정!$D$33="",0,IFERROR(VALUE(SUBSTITUTE(SUBSTITUTE(INDEX(급여대장_원본!$A$1:$AZ$400,(설정!$B$8+23),설정!$D$33)&amp;"",",",""),"　","")),0))</f>
        <v/>
      </c>
      <c r="AE29" s="27">
        <f>SUM(W29:AD29)</f>
        <v/>
      </c>
      <c r="AF29" s="27">
        <f>V29-AE29</f>
        <v/>
      </c>
      <c r="AG29" s="27">
        <f>IF(설정!$D$35="","",IF(설정!$D$35="",0,IFERROR(VALUE(SUBSTITUTE(SUBSTITUTE(INDEX(급여대장_원본!$A$1:$AZ$400,(설정!$B$8+23),설정!$D$35)&amp;"",",",""),"　","")),0)))</f>
        <v/>
      </c>
      <c r="AH29" s="27">
        <f>IF(설정!$D$36="","",IF(설정!$D$36="",0,IFERROR(VALUE(SUBSTITUTE(SUBSTITUTE(INDEX(급여대장_원본!$A$1:$AZ$400,(설정!$B$8+23),설정!$D$36)&amp;"",",",""),"　","")),0)))</f>
        <v/>
      </c>
      <c r="AI29" s="27">
        <f>IF(설정!$D$37="","",IF(설정!$D$37="",0,IFERROR(VALUE(SUBSTITUTE(SUBSTITUTE(INDEX(급여대장_원본!$A$1:$AZ$400,(설정!$B$8+23),설정!$D$37)&amp;"",",",""),"　","")),0)))</f>
        <v/>
      </c>
      <c r="AJ29" s="2">
        <f>IFERROR(INDEX($D$7:$D$306,MATCH(23,$B$7:$B$306,0)),"")</f>
        <v/>
      </c>
    </row>
    <row r="30">
      <c r="A30" s="2">
        <f>IF(AND(D30&lt;&gt;"",D30&lt;&gt;"합계",D30&lt;&gt;"총계",D30&lt;&gt;"소계",D30&lt;&gt;"계"),1,0)</f>
        <v/>
      </c>
      <c r="B30" s="2">
        <f>IF(A30=1,SUM($A$7:A30),"")</f>
        <v/>
      </c>
      <c r="C30" s="2">
        <f>IF(설정!$D$13="","",TRIM(SUBSTITUTE(INDEX(급여대장_원본!$A$1:$AZ$400,(설정!$B$8+24),설정!$D$13)&amp;"","　"," ")))</f>
        <v/>
      </c>
      <c r="D30" s="2">
        <f>IF(설정!$D$14="","",TRIM(SUBSTITUTE(INDEX(급여대장_원본!$A$1:$AZ$400,(설정!$B$8+24),설정!$D$14)&amp;"","　"," ")))</f>
        <v/>
      </c>
      <c r="E30" s="2">
        <f>IF(설정!$D$15="","",TRIM(SUBSTITUTE(INDEX(급여대장_원본!$A$1:$AZ$400,(설정!$B$8+24),설정!$D$15)&amp;"","　"," ")))</f>
        <v/>
      </c>
      <c r="F30" s="27">
        <f>IF(설정!$D$17="",0,IFERROR(VALUE(SUBSTITUTE(SUBSTITUTE(INDEX(급여대장_원본!$A$1:$AZ$400,(설정!$B$8+24),설정!$D$17)&amp;"",",",""),"　","")),0))</f>
        <v/>
      </c>
      <c r="G30" s="27">
        <f>IF(설정!$D$18="",0,IFERROR(VALUE(SUBSTITUTE(SUBSTITUTE(INDEX(급여대장_원본!$A$1:$AZ$400,(설정!$B$8+24),설정!$D$18)&amp;"",",",""),"　","")),0))</f>
        <v/>
      </c>
      <c r="H30" s="27">
        <f>IF(설정!$D$19="",0,IFERROR(VALUE(SUBSTITUTE(SUBSTITUTE(INDEX(급여대장_원본!$A$1:$AZ$400,(설정!$B$8+24),설정!$D$19)&amp;"",",",""),"　","")),0))</f>
        <v/>
      </c>
      <c r="I30" s="27">
        <f>IF(설정!$D$20="",0,IFERROR(VALUE(SUBSTITUTE(SUBSTITUTE(INDEX(급여대장_원본!$A$1:$AZ$400,(설정!$B$8+24),설정!$D$20)&amp;"",",",""),"　","")),0))</f>
        <v/>
      </c>
      <c r="J30" s="27">
        <f>IF(설정!$D$21="",0,IFERROR(VALUE(SUBSTITUTE(SUBSTITUTE(INDEX(급여대장_원본!$A$1:$AZ$400,(설정!$B$8+24),설정!$D$21)&amp;"",",",""),"　","")),0))</f>
        <v/>
      </c>
      <c r="K30" s="27">
        <f>IF(설정!$D$22="",0,IFERROR(VALUE(SUBSTITUTE(SUBSTITUTE(INDEX(급여대장_원본!$A$1:$AZ$400,(설정!$B$8+24),설정!$D$22)&amp;"",",",""),"　","")),0))</f>
        <v/>
      </c>
      <c r="L30" s="27">
        <f>IF(설정!$D$23="",0,IFERROR(VALUE(SUBSTITUTE(SUBSTITUTE(INDEX(급여대장_원본!$A$1:$AZ$400,(설정!$B$8+24),설정!$D$23)&amp;"",",",""),"　","")),0))</f>
        <v/>
      </c>
      <c r="M30" s="27">
        <f>IF(설정!$D$24="",0,IFERROR(VALUE(SUBSTITUTE(SUBSTITUTE(INDEX(급여대장_원본!$A$1:$AZ$400,(설정!$B$8+24),설정!$D$24)&amp;"",",",""),"　","")),0))</f>
        <v/>
      </c>
      <c r="N30" s="2">
        <f>IF(OR(설정!$C$17="",IFERROR(MATCH(설정!$C$17,INDEX(급여대장_원본!$A$1:$AZ$400,설정!$B$8,0),0),"")=""),"",IFERROR(VALUE(SUBSTITUTE(INDEX(급여대장_원본!$A$1:$AZ$400,(설정!$B$8+24),IFERROR(MATCH(설정!$C$17,INDEX(급여대장_원본!$A$1:$AZ$400,설정!$B$8,0),0),""))&amp;"",",","")),""))</f>
        <v/>
      </c>
      <c r="O30" s="2">
        <f>IF(OR(설정!$C$18="",IFERROR(MATCH(설정!$C$18,INDEX(급여대장_원본!$A$1:$AZ$400,설정!$B$8,0),0),"")=""),"",IFERROR(VALUE(SUBSTITUTE(INDEX(급여대장_원본!$A$1:$AZ$400,(설정!$B$8+24),IFERROR(MATCH(설정!$C$18,INDEX(급여대장_원본!$A$1:$AZ$400,설정!$B$8,0),0),""))&amp;"",",","")),""))</f>
        <v/>
      </c>
      <c r="P30" s="2">
        <f>IF(OR(설정!$C$19="",IFERROR(MATCH(설정!$C$19,INDEX(급여대장_원본!$A$1:$AZ$400,설정!$B$8,0),0),"")=""),"",IFERROR(VALUE(SUBSTITUTE(INDEX(급여대장_원본!$A$1:$AZ$400,(설정!$B$8+24),IFERROR(MATCH(설정!$C$19,INDEX(급여대장_원본!$A$1:$AZ$400,설정!$B$8,0),0),""))&amp;"",",","")),""))</f>
        <v/>
      </c>
      <c r="Q30" s="2">
        <f>IF(OR(설정!$C$20="",IFERROR(MATCH(설정!$C$20,INDEX(급여대장_원본!$A$1:$AZ$400,설정!$B$8,0),0),"")=""),"",IFERROR(VALUE(SUBSTITUTE(INDEX(급여대장_원본!$A$1:$AZ$400,(설정!$B$8+24),IFERROR(MATCH(설정!$C$20,INDEX(급여대장_원본!$A$1:$AZ$400,설정!$B$8,0),0),""))&amp;"",",","")),""))</f>
        <v/>
      </c>
      <c r="R30" s="2">
        <f>IF(OR(설정!$C$21="",IFERROR(MATCH(설정!$C$21,INDEX(급여대장_원본!$A$1:$AZ$400,설정!$B$8,0),0),"")=""),"",IFERROR(VALUE(SUBSTITUTE(INDEX(급여대장_원본!$A$1:$AZ$400,(설정!$B$8+24),IFERROR(MATCH(설정!$C$21,INDEX(급여대장_원본!$A$1:$AZ$400,설정!$B$8,0),0),""))&amp;"",",","")),""))</f>
        <v/>
      </c>
      <c r="S30" s="2">
        <f>IF(OR(설정!$C$22="",IFERROR(MATCH(설정!$C$22,INDEX(급여대장_원본!$A$1:$AZ$400,설정!$B$8,0),0),"")=""),"",IFERROR(VALUE(SUBSTITUTE(INDEX(급여대장_원본!$A$1:$AZ$400,(설정!$B$8+24),IFERROR(MATCH(설정!$C$22,INDEX(급여대장_원본!$A$1:$AZ$400,설정!$B$8,0),0),""))&amp;"",",","")),""))</f>
        <v/>
      </c>
      <c r="T30" s="2">
        <f>IF(OR(설정!$C$23="",IFERROR(MATCH(설정!$C$23,INDEX(급여대장_원본!$A$1:$AZ$400,설정!$B$8,0),0),"")=""),"",IFERROR(VALUE(SUBSTITUTE(INDEX(급여대장_원본!$A$1:$AZ$400,(설정!$B$8+24),IFERROR(MATCH(설정!$C$23,INDEX(급여대장_원본!$A$1:$AZ$400,설정!$B$8,0),0),""))&amp;"",",","")),""))</f>
        <v/>
      </c>
      <c r="U30" s="2">
        <f>IF(OR(설정!$C$24="",IFERROR(MATCH(설정!$C$24,INDEX(급여대장_원본!$A$1:$AZ$400,설정!$B$8,0),0),"")=""),"",IFERROR(VALUE(SUBSTITUTE(INDEX(급여대장_원본!$A$1:$AZ$400,(설정!$B$8+24),IFERROR(MATCH(설정!$C$24,INDEX(급여대장_원본!$A$1:$AZ$400,설정!$B$8,0),0),""))&amp;"",",","")),""))</f>
        <v/>
      </c>
      <c r="V30" s="27">
        <f>SUM(F30:M30)</f>
        <v/>
      </c>
      <c r="W30" s="27">
        <f>IF(설정!$D$26="",0,IFERROR(VALUE(SUBSTITUTE(SUBSTITUTE(INDEX(급여대장_원본!$A$1:$AZ$400,(설정!$B$8+24),설정!$D$26)&amp;"",",",""),"　","")),0))</f>
        <v/>
      </c>
      <c r="X30" s="27">
        <f>IF(설정!$D$27="",0,IFERROR(VALUE(SUBSTITUTE(SUBSTITUTE(INDEX(급여대장_원본!$A$1:$AZ$400,(설정!$B$8+24),설정!$D$27)&amp;"",",",""),"　","")),0))</f>
        <v/>
      </c>
      <c r="Y30" s="27">
        <f>IF(설정!$D$28="",0,IFERROR(VALUE(SUBSTITUTE(SUBSTITUTE(INDEX(급여대장_원본!$A$1:$AZ$400,(설정!$B$8+24),설정!$D$28)&amp;"",",",""),"　","")),0))</f>
        <v/>
      </c>
      <c r="Z30" s="27">
        <f>IF(설정!$D$29="",0,IFERROR(VALUE(SUBSTITUTE(SUBSTITUTE(INDEX(급여대장_원본!$A$1:$AZ$400,(설정!$B$8+24),설정!$D$29)&amp;"",",",""),"　","")),0))</f>
        <v/>
      </c>
      <c r="AA30" s="27">
        <f>IF(설정!$D$30="",0,IFERROR(VALUE(SUBSTITUTE(SUBSTITUTE(INDEX(급여대장_원본!$A$1:$AZ$400,(설정!$B$8+24),설정!$D$30)&amp;"",",",""),"　","")),0))</f>
        <v/>
      </c>
      <c r="AB30" s="27">
        <f>IF(설정!$D$31="",0,IFERROR(VALUE(SUBSTITUTE(SUBSTITUTE(INDEX(급여대장_원본!$A$1:$AZ$400,(설정!$B$8+24),설정!$D$31)&amp;"",",",""),"　","")),0))</f>
        <v/>
      </c>
      <c r="AC30" s="27">
        <f>IF(설정!$D$32="",0,IFERROR(VALUE(SUBSTITUTE(SUBSTITUTE(INDEX(급여대장_원본!$A$1:$AZ$400,(설정!$B$8+24),설정!$D$32)&amp;"",",",""),"　","")),0))</f>
        <v/>
      </c>
      <c r="AD30" s="27">
        <f>IF(설정!$D$33="",0,IFERROR(VALUE(SUBSTITUTE(SUBSTITUTE(INDEX(급여대장_원본!$A$1:$AZ$400,(설정!$B$8+24),설정!$D$33)&amp;"",",",""),"　","")),0))</f>
        <v/>
      </c>
      <c r="AE30" s="27">
        <f>SUM(W30:AD30)</f>
        <v/>
      </c>
      <c r="AF30" s="27">
        <f>V30-AE30</f>
        <v/>
      </c>
      <c r="AG30" s="27">
        <f>IF(설정!$D$35="","",IF(설정!$D$35="",0,IFERROR(VALUE(SUBSTITUTE(SUBSTITUTE(INDEX(급여대장_원본!$A$1:$AZ$400,(설정!$B$8+24),설정!$D$35)&amp;"",",",""),"　","")),0)))</f>
        <v/>
      </c>
      <c r="AH30" s="27">
        <f>IF(설정!$D$36="","",IF(설정!$D$36="",0,IFERROR(VALUE(SUBSTITUTE(SUBSTITUTE(INDEX(급여대장_원본!$A$1:$AZ$400,(설정!$B$8+24),설정!$D$36)&amp;"",",",""),"　","")),0)))</f>
        <v/>
      </c>
      <c r="AI30" s="27">
        <f>IF(설정!$D$37="","",IF(설정!$D$37="",0,IFERROR(VALUE(SUBSTITUTE(SUBSTITUTE(INDEX(급여대장_원본!$A$1:$AZ$400,(설정!$B$8+24),설정!$D$37)&amp;"",",",""),"　","")),0)))</f>
        <v/>
      </c>
      <c r="AJ30" s="2">
        <f>IFERROR(INDEX($D$7:$D$306,MATCH(24,$B$7:$B$306,0)),"")</f>
        <v/>
      </c>
    </row>
    <row r="31">
      <c r="A31" s="2">
        <f>IF(AND(D31&lt;&gt;"",D31&lt;&gt;"합계",D31&lt;&gt;"총계",D31&lt;&gt;"소계",D31&lt;&gt;"계"),1,0)</f>
        <v/>
      </c>
      <c r="B31" s="2">
        <f>IF(A31=1,SUM($A$7:A31),"")</f>
        <v/>
      </c>
      <c r="C31" s="2">
        <f>IF(설정!$D$13="","",TRIM(SUBSTITUTE(INDEX(급여대장_원본!$A$1:$AZ$400,(설정!$B$8+25),설정!$D$13)&amp;"","　"," ")))</f>
        <v/>
      </c>
      <c r="D31" s="2">
        <f>IF(설정!$D$14="","",TRIM(SUBSTITUTE(INDEX(급여대장_원본!$A$1:$AZ$400,(설정!$B$8+25),설정!$D$14)&amp;"","　"," ")))</f>
        <v/>
      </c>
      <c r="E31" s="2">
        <f>IF(설정!$D$15="","",TRIM(SUBSTITUTE(INDEX(급여대장_원본!$A$1:$AZ$400,(설정!$B$8+25),설정!$D$15)&amp;"","　"," ")))</f>
        <v/>
      </c>
      <c r="F31" s="27">
        <f>IF(설정!$D$17="",0,IFERROR(VALUE(SUBSTITUTE(SUBSTITUTE(INDEX(급여대장_원본!$A$1:$AZ$400,(설정!$B$8+25),설정!$D$17)&amp;"",",",""),"　","")),0))</f>
        <v/>
      </c>
      <c r="G31" s="27">
        <f>IF(설정!$D$18="",0,IFERROR(VALUE(SUBSTITUTE(SUBSTITUTE(INDEX(급여대장_원본!$A$1:$AZ$400,(설정!$B$8+25),설정!$D$18)&amp;"",",",""),"　","")),0))</f>
        <v/>
      </c>
      <c r="H31" s="27">
        <f>IF(설정!$D$19="",0,IFERROR(VALUE(SUBSTITUTE(SUBSTITUTE(INDEX(급여대장_원본!$A$1:$AZ$400,(설정!$B$8+25),설정!$D$19)&amp;"",",",""),"　","")),0))</f>
        <v/>
      </c>
      <c r="I31" s="27">
        <f>IF(설정!$D$20="",0,IFERROR(VALUE(SUBSTITUTE(SUBSTITUTE(INDEX(급여대장_원본!$A$1:$AZ$400,(설정!$B$8+25),설정!$D$20)&amp;"",",",""),"　","")),0))</f>
        <v/>
      </c>
      <c r="J31" s="27">
        <f>IF(설정!$D$21="",0,IFERROR(VALUE(SUBSTITUTE(SUBSTITUTE(INDEX(급여대장_원본!$A$1:$AZ$400,(설정!$B$8+25),설정!$D$21)&amp;"",",",""),"　","")),0))</f>
        <v/>
      </c>
      <c r="K31" s="27">
        <f>IF(설정!$D$22="",0,IFERROR(VALUE(SUBSTITUTE(SUBSTITUTE(INDEX(급여대장_원본!$A$1:$AZ$400,(설정!$B$8+25),설정!$D$22)&amp;"",",",""),"　","")),0))</f>
        <v/>
      </c>
      <c r="L31" s="27">
        <f>IF(설정!$D$23="",0,IFERROR(VALUE(SUBSTITUTE(SUBSTITUTE(INDEX(급여대장_원본!$A$1:$AZ$400,(설정!$B$8+25),설정!$D$23)&amp;"",",",""),"　","")),0))</f>
        <v/>
      </c>
      <c r="M31" s="27">
        <f>IF(설정!$D$24="",0,IFERROR(VALUE(SUBSTITUTE(SUBSTITUTE(INDEX(급여대장_원본!$A$1:$AZ$400,(설정!$B$8+25),설정!$D$24)&amp;"",",",""),"　","")),0))</f>
        <v/>
      </c>
      <c r="N31" s="2">
        <f>IF(OR(설정!$C$17="",IFERROR(MATCH(설정!$C$17,INDEX(급여대장_원본!$A$1:$AZ$400,설정!$B$8,0),0),"")=""),"",IFERROR(VALUE(SUBSTITUTE(INDEX(급여대장_원본!$A$1:$AZ$400,(설정!$B$8+25),IFERROR(MATCH(설정!$C$17,INDEX(급여대장_원본!$A$1:$AZ$400,설정!$B$8,0),0),""))&amp;"",",","")),""))</f>
        <v/>
      </c>
      <c r="O31" s="2">
        <f>IF(OR(설정!$C$18="",IFERROR(MATCH(설정!$C$18,INDEX(급여대장_원본!$A$1:$AZ$400,설정!$B$8,0),0),"")=""),"",IFERROR(VALUE(SUBSTITUTE(INDEX(급여대장_원본!$A$1:$AZ$400,(설정!$B$8+25),IFERROR(MATCH(설정!$C$18,INDEX(급여대장_원본!$A$1:$AZ$400,설정!$B$8,0),0),""))&amp;"",",","")),""))</f>
        <v/>
      </c>
      <c r="P31" s="2">
        <f>IF(OR(설정!$C$19="",IFERROR(MATCH(설정!$C$19,INDEX(급여대장_원본!$A$1:$AZ$400,설정!$B$8,0),0),"")=""),"",IFERROR(VALUE(SUBSTITUTE(INDEX(급여대장_원본!$A$1:$AZ$400,(설정!$B$8+25),IFERROR(MATCH(설정!$C$19,INDEX(급여대장_원본!$A$1:$AZ$400,설정!$B$8,0),0),""))&amp;"",",","")),""))</f>
        <v/>
      </c>
      <c r="Q31" s="2">
        <f>IF(OR(설정!$C$20="",IFERROR(MATCH(설정!$C$20,INDEX(급여대장_원본!$A$1:$AZ$400,설정!$B$8,0),0),"")=""),"",IFERROR(VALUE(SUBSTITUTE(INDEX(급여대장_원본!$A$1:$AZ$400,(설정!$B$8+25),IFERROR(MATCH(설정!$C$20,INDEX(급여대장_원본!$A$1:$AZ$400,설정!$B$8,0),0),""))&amp;"",",","")),""))</f>
        <v/>
      </c>
      <c r="R31" s="2">
        <f>IF(OR(설정!$C$21="",IFERROR(MATCH(설정!$C$21,INDEX(급여대장_원본!$A$1:$AZ$400,설정!$B$8,0),0),"")=""),"",IFERROR(VALUE(SUBSTITUTE(INDEX(급여대장_원본!$A$1:$AZ$400,(설정!$B$8+25),IFERROR(MATCH(설정!$C$21,INDEX(급여대장_원본!$A$1:$AZ$400,설정!$B$8,0),0),""))&amp;"",",","")),""))</f>
        <v/>
      </c>
      <c r="S31" s="2">
        <f>IF(OR(설정!$C$22="",IFERROR(MATCH(설정!$C$22,INDEX(급여대장_원본!$A$1:$AZ$400,설정!$B$8,0),0),"")=""),"",IFERROR(VALUE(SUBSTITUTE(INDEX(급여대장_원본!$A$1:$AZ$400,(설정!$B$8+25),IFERROR(MATCH(설정!$C$22,INDEX(급여대장_원본!$A$1:$AZ$400,설정!$B$8,0),0),""))&amp;"",",","")),""))</f>
        <v/>
      </c>
      <c r="T31" s="2">
        <f>IF(OR(설정!$C$23="",IFERROR(MATCH(설정!$C$23,INDEX(급여대장_원본!$A$1:$AZ$400,설정!$B$8,0),0),"")=""),"",IFERROR(VALUE(SUBSTITUTE(INDEX(급여대장_원본!$A$1:$AZ$400,(설정!$B$8+25),IFERROR(MATCH(설정!$C$23,INDEX(급여대장_원본!$A$1:$AZ$400,설정!$B$8,0),0),""))&amp;"",",","")),""))</f>
        <v/>
      </c>
      <c r="U31" s="2">
        <f>IF(OR(설정!$C$24="",IFERROR(MATCH(설정!$C$24,INDEX(급여대장_원본!$A$1:$AZ$400,설정!$B$8,0),0),"")=""),"",IFERROR(VALUE(SUBSTITUTE(INDEX(급여대장_원본!$A$1:$AZ$400,(설정!$B$8+25),IFERROR(MATCH(설정!$C$24,INDEX(급여대장_원본!$A$1:$AZ$400,설정!$B$8,0),0),""))&amp;"",",","")),""))</f>
        <v/>
      </c>
      <c r="V31" s="27">
        <f>SUM(F31:M31)</f>
        <v/>
      </c>
      <c r="W31" s="27">
        <f>IF(설정!$D$26="",0,IFERROR(VALUE(SUBSTITUTE(SUBSTITUTE(INDEX(급여대장_원본!$A$1:$AZ$400,(설정!$B$8+25),설정!$D$26)&amp;"",",",""),"　","")),0))</f>
        <v/>
      </c>
      <c r="X31" s="27">
        <f>IF(설정!$D$27="",0,IFERROR(VALUE(SUBSTITUTE(SUBSTITUTE(INDEX(급여대장_원본!$A$1:$AZ$400,(설정!$B$8+25),설정!$D$27)&amp;"",",",""),"　","")),0))</f>
        <v/>
      </c>
      <c r="Y31" s="27">
        <f>IF(설정!$D$28="",0,IFERROR(VALUE(SUBSTITUTE(SUBSTITUTE(INDEX(급여대장_원본!$A$1:$AZ$400,(설정!$B$8+25),설정!$D$28)&amp;"",",",""),"　","")),0))</f>
        <v/>
      </c>
      <c r="Z31" s="27">
        <f>IF(설정!$D$29="",0,IFERROR(VALUE(SUBSTITUTE(SUBSTITUTE(INDEX(급여대장_원본!$A$1:$AZ$400,(설정!$B$8+25),설정!$D$29)&amp;"",",",""),"　","")),0))</f>
        <v/>
      </c>
      <c r="AA31" s="27">
        <f>IF(설정!$D$30="",0,IFERROR(VALUE(SUBSTITUTE(SUBSTITUTE(INDEX(급여대장_원본!$A$1:$AZ$400,(설정!$B$8+25),설정!$D$30)&amp;"",",",""),"　","")),0))</f>
        <v/>
      </c>
      <c r="AB31" s="27">
        <f>IF(설정!$D$31="",0,IFERROR(VALUE(SUBSTITUTE(SUBSTITUTE(INDEX(급여대장_원본!$A$1:$AZ$400,(설정!$B$8+25),설정!$D$31)&amp;"",",",""),"　","")),0))</f>
        <v/>
      </c>
      <c r="AC31" s="27">
        <f>IF(설정!$D$32="",0,IFERROR(VALUE(SUBSTITUTE(SUBSTITUTE(INDEX(급여대장_원본!$A$1:$AZ$400,(설정!$B$8+25),설정!$D$32)&amp;"",",",""),"　","")),0))</f>
        <v/>
      </c>
      <c r="AD31" s="27">
        <f>IF(설정!$D$33="",0,IFERROR(VALUE(SUBSTITUTE(SUBSTITUTE(INDEX(급여대장_원본!$A$1:$AZ$400,(설정!$B$8+25),설정!$D$33)&amp;"",",",""),"　","")),0))</f>
        <v/>
      </c>
      <c r="AE31" s="27">
        <f>SUM(W31:AD31)</f>
        <v/>
      </c>
      <c r="AF31" s="27">
        <f>V31-AE31</f>
        <v/>
      </c>
      <c r="AG31" s="27">
        <f>IF(설정!$D$35="","",IF(설정!$D$35="",0,IFERROR(VALUE(SUBSTITUTE(SUBSTITUTE(INDEX(급여대장_원본!$A$1:$AZ$400,(설정!$B$8+25),설정!$D$35)&amp;"",",",""),"　","")),0)))</f>
        <v/>
      </c>
      <c r="AH31" s="27">
        <f>IF(설정!$D$36="","",IF(설정!$D$36="",0,IFERROR(VALUE(SUBSTITUTE(SUBSTITUTE(INDEX(급여대장_원본!$A$1:$AZ$400,(설정!$B$8+25),설정!$D$36)&amp;"",",",""),"　","")),0)))</f>
        <v/>
      </c>
      <c r="AI31" s="27">
        <f>IF(설정!$D$37="","",IF(설정!$D$37="",0,IFERROR(VALUE(SUBSTITUTE(SUBSTITUTE(INDEX(급여대장_원본!$A$1:$AZ$400,(설정!$B$8+25),설정!$D$37)&amp;"",",",""),"　","")),0)))</f>
        <v/>
      </c>
      <c r="AJ31" s="2">
        <f>IFERROR(INDEX($D$7:$D$306,MATCH(25,$B$7:$B$306,0)),"")</f>
        <v/>
      </c>
    </row>
    <row r="32">
      <c r="A32" s="2">
        <f>IF(AND(D32&lt;&gt;"",D32&lt;&gt;"합계",D32&lt;&gt;"총계",D32&lt;&gt;"소계",D32&lt;&gt;"계"),1,0)</f>
        <v/>
      </c>
      <c r="B32" s="2">
        <f>IF(A32=1,SUM($A$7:A32),"")</f>
        <v/>
      </c>
      <c r="C32" s="2">
        <f>IF(설정!$D$13="","",TRIM(SUBSTITUTE(INDEX(급여대장_원본!$A$1:$AZ$400,(설정!$B$8+26),설정!$D$13)&amp;"","　"," ")))</f>
        <v/>
      </c>
      <c r="D32" s="2">
        <f>IF(설정!$D$14="","",TRIM(SUBSTITUTE(INDEX(급여대장_원본!$A$1:$AZ$400,(설정!$B$8+26),설정!$D$14)&amp;"","　"," ")))</f>
        <v/>
      </c>
      <c r="E32" s="2">
        <f>IF(설정!$D$15="","",TRIM(SUBSTITUTE(INDEX(급여대장_원본!$A$1:$AZ$400,(설정!$B$8+26),설정!$D$15)&amp;"","　"," ")))</f>
        <v/>
      </c>
      <c r="F32" s="27">
        <f>IF(설정!$D$17="",0,IFERROR(VALUE(SUBSTITUTE(SUBSTITUTE(INDEX(급여대장_원본!$A$1:$AZ$400,(설정!$B$8+26),설정!$D$17)&amp;"",",",""),"　","")),0))</f>
        <v/>
      </c>
      <c r="G32" s="27">
        <f>IF(설정!$D$18="",0,IFERROR(VALUE(SUBSTITUTE(SUBSTITUTE(INDEX(급여대장_원본!$A$1:$AZ$400,(설정!$B$8+26),설정!$D$18)&amp;"",",",""),"　","")),0))</f>
        <v/>
      </c>
      <c r="H32" s="27">
        <f>IF(설정!$D$19="",0,IFERROR(VALUE(SUBSTITUTE(SUBSTITUTE(INDEX(급여대장_원본!$A$1:$AZ$400,(설정!$B$8+26),설정!$D$19)&amp;"",",",""),"　","")),0))</f>
        <v/>
      </c>
      <c r="I32" s="27">
        <f>IF(설정!$D$20="",0,IFERROR(VALUE(SUBSTITUTE(SUBSTITUTE(INDEX(급여대장_원본!$A$1:$AZ$400,(설정!$B$8+26),설정!$D$20)&amp;"",",",""),"　","")),0))</f>
        <v/>
      </c>
      <c r="J32" s="27">
        <f>IF(설정!$D$21="",0,IFERROR(VALUE(SUBSTITUTE(SUBSTITUTE(INDEX(급여대장_원본!$A$1:$AZ$400,(설정!$B$8+26),설정!$D$21)&amp;"",",",""),"　","")),0))</f>
        <v/>
      </c>
      <c r="K32" s="27">
        <f>IF(설정!$D$22="",0,IFERROR(VALUE(SUBSTITUTE(SUBSTITUTE(INDEX(급여대장_원본!$A$1:$AZ$400,(설정!$B$8+26),설정!$D$22)&amp;"",",",""),"　","")),0))</f>
        <v/>
      </c>
      <c r="L32" s="27">
        <f>IF(설정!$D$23="",0,IFERROR(VALUE(SUBSTITUTE(SUBSTITUTE(INDEX(급여대장_원본!$A$1:$AZ$400,(설정!$B$8+26),설정!$D$23)&amp;"",",",""),"　","")),0))</f>
        <v/>
      </c>
      <c r="M32" s="27">
        <f>IF(설정!$D$24="",0,IFERROR(VALUE(SUBSTITUTE(SUBSTITUTE(INDEX(급여대장_원본!$A$1:$AZ$400,(설정!$B$8+26),설정!$D$24)&amp;"",",",""),"　","")),0))</f>
        <v/>
      </c>
      <c r="N32" s="2">
        <f>IF(OR(설정!$C$17="",IFERROR(MATCH(설정!$C$17,INDEX(급여대장_원본!$A$1:$AZ$400,설정!$B$8,0),0),"")=""),"",IFERROR(VALUE(SUBSTITUTE(INDEX(급여대장_원본!$A$1:$AZ$400,(설정!$B$8+26),IFERROR(MATCH(설정!$C$17,INDEX(급여대장_원본!$A$1:$AZ$400,설정!$B$8,0),0),""))&amp;"",",","")),""))</f>
        <v/>
      </c>
      <c r="O32" s="2">
        <f>IF(OR(설정!$C$18="",IFERROR(MATCH(설정!$C$18,INDEX(급여대장_원본!$A$1:$AZ$400,설정!$B$8,0),0),"")=""),"",IFERROR(VALUE(SUBSTITUTE(INDEX(급여대장_원본!$A$1:$AZ$400,(설정!$B$8+26),IFERROR(MATCH(설정!$C$18,INDEX(급여대장_원본!$A$1:$AZ$400,설정!$B$8,0),0),""))&amp;"",",","")),""))</f>
        <v/>
      </c>
      <c r="P32" s="2">
        <f>IF(OR(설정!$C$19="",IFERROR(MATCH(설정!$C$19,INDEX(급여대장_원본!$A$1:$AZ$400,설정!$B$8,0),0),"")=""),"",IFERROR(VALUE(SUBSTITUTE(INDEX(급여대장_원본!$A$1:$AZ$400,(설정!$B$8+26),IFERROR(MATCH(설정!$C$19,INDEX(급여대장_원본!$A$1:$AZ$400,설정!$B$8,0),0),""))&amp;"",",","")),""))</f>
        <v/>
      </c>
      <c r="Q32" s="2">
        <f>IF(OR(설정!$C$20="",IFERROR(MATCH(설정!$C$20,INDEX(급여대장_원본!$A$1:$AZ$400,설정!$B$8,0),0),"")=""),"",IFERROR(VALUE(SUBSTITUTE(INDEX(급여대장_원본!$A$1:$AZ$400,(설정!$B$8+26),IFERROR(MATCH(설정!$C$20,INDEX(급여대장_원본!$A$1:$AZ$400,설정!$B$8,0),0),""))&amp;"",",","")),""))</f>
        <v/>
      </c>
      <c r="R32" s="2">
        <f>IF(OR(설정!$C$21="",IFERROR(MATCH(설정!$C$21,INDEX(급여대장_원본!$A$1:$AZ$400,설정!$B$8,0),0),"")=""),"",IFERROR(VALUE(SUBSTITUTE(INDEX(급여대장_원본!$A$1:$AZ$400,(설정!$B$8+26),IFERROR(MATCH(설정!$C$21,INDEX(급여대장_원본!$A$1:$AZ$400,설정!$B$8,0),0),""))&amp;"",",","")),""))</f>
        <v/>
      </c>
      <c r="S32" s="2">
        <f>IF(OR(설정!$C$22="",IFERROR(MATCH(설정!$C$22,INDEX(급여대장_원본!$A$1:$AZ$400,설정!$B$8,0),0),"")=""),"",IFERROR(VALUE(SUBSTITUTE(INDEX(급여대장_원본!$A$1:$AZ$400,(설정!$B$8+26),IFERROR(MATCH(설정!$C$22,INDEX(급여대장_원본!$A$1:$AZ$400,설정!$B$8,0),0),""))&amp;"",",","")),""))</f>
        <v/>
      </c>
      <c r="T32" s="2">
        <f>IF(OR(설정!$C$23="",IFERROR(MATCH(설정!$C$23,INDEX(급여대장_원본!$A$1:$AZ$400,설정!$B$8,0),0),"")=""),"",IFERROR(VALUE(SUBSTITUTE(INDEX(급여대장_원본!$A$1:$AZ$400,(설정!$B$8+26),IFERROR(MATCH(설정!$C$23,INDEX(급여대장_원본!$A$1:$AZ$400,설정!$B$8,0),0),""))&amp;"",",","")),""))</f>
        <v/>
      </c>
      <c r="U32" s="2">
        <f>IF(OR(설정!$C$24="",IFERROR(MATCH(설정!$C$24,INDEX(급여대장_원본!$A$1:$AZ$400,설정!$B$8,0),0),"")=""),"",IFERROR(VALUE(SUBSTITUTE(INDEX(급여대장_원본!$A$1:$AZ$400,(설정!$B$8+26),IFERROR(MATCH(설정!$C$24,INDEX(급여대장_원본!$A$1:$AZ$400,설정!$B$8,0),0),""))&amp;"",",","")),""))</f>
        <v/>
      </c>
      <c r="V32" s="27">
        <f>SUM(F32:M32)</f>
        <v/>
      </c>
      <c r="W32" s="27">
        <f>IF(설정!$D$26="",0,IFERROR(VALUE(SUBSTITUTE(SUBSTITUTE(INDEX(급여대장_원본!$A$1:$AZ$400,(설정!$B$8+26),설정!$D$26)&amp;"",",",""),"　","")),0))</f>
        <v/>
      </c>
      <c r="X32" s="27">
        <f>IF(설정!$D$27="",0,IFERROR(VALUE(SUBSTITUTE(SUBSTITUTE(INDEX(급여대장_원본!$A$1:$AZ$400,(설정!$B$8+26),설정!$D$27)&amp;"",",",""),"　","")),0))</f>
        <v/>
      </c>
      <c r="Y32" s="27">
        <f>IF(설정!$D$28="",0,IFERROR(VALUE(SUBSTITUTE(SUBSTITUTE(INDEX(급여대장_원본!$A$1:$AZ$400,(설정!$B$8+26),설정!$D$28)&amp;"",",",""),"　","")),0))</f>
        <v/>
      </c>
      <c r="Z32" s="27">
        <f>IF(설정!$D$29="",0,IFERROR(VALUE(SUBSTITUTE(SUBSTITUTE(INDEX(급여대장_원본!$A$1:$AZ$400,(설정!$B$8+26),설정!$D$29)&amp;"",",",""),"　","")),0))</f>
        <v/>
      </c>
      <c r="AA32" s="27">
        <f>IF(설정!$D$30="",0,IFERROR(VALUE(SUBSTITUTE(SUBSTITUTE(INDEX(급여대장_원본!$A$1:$AZ$400,(설정!$B$8+26),설정!$D$30)&amp;"",",",""),"　","")),0))</f>
        <v/>
      </c>
      <c r="AB32" s="27">
        <f>IF(설정!$D$31="",0,IFERROR(VALUE(SUBSTITUTE(SUBSTITUTE(INDEX(급여대장_원본!$A$1:$AZ$400,(설정!$B$8+26),설정!$D$31)&amp;"",",",""),"　","")),0))</f>
        <v/>
      </c>
      <c r="AC32" s="27">
        <f>IF(설정!$D$32="",0,IFERROR(VALUE(SUBSTITUTE(SUBSTITUTE(INDEX(급여대장_원본!$A$1:$AZ$400,(설정!$B$8+26),설정!$D$32)&amp;"",",",""),"　","")),0))</f>
        <v/>
      </c>
      <c r="AD32" s="27">
        <f>IF(설정!$D$33="",0,IFERROR(VALUE(SUBSTITUTE(SUBSTITUTE(INDEX(급여대장_원본!$A$1:$AZ$400,(설정!$B$8+26),설정!$D$33)&amp;"",",",""),"　","")),0))</f>
        <v/>
      </c>
      <c r="AE32" s="27">
        <f>SUM(W32:AD32)</f>
        <v/>
      </c>
      <c r="AF32" s="27">
        <f>V32-AE32</f>
        <v/>
      </c>
      <c r="AG32" s="27">
        <f>IF(설정!$D$35="","",IF(설정!$D$35="",0,IFERROR(VALUE(SUBSTITUTE(SUBSTITUTE(INDEX(급여대장_원본!$A$1:$AZ$400,(설정!$B$8+26),설정!$D$35)&amp;"",",",""),"　","")),0)))</f>
        <v/>
      </c>
      <c r="AH32" s="27">
        <f>IF(설정!$D$36="","",IF(설정!$D$36="",0,IFERROR(VALUE(SUBSTITUTE(SUBSTITUTE(INDEX(급여대장_원본!$A$1:$AZ$400,(설정!$B$8+26),설정!$D$36)&amp;"",",",""),"　","")),0)))</f>
        <v/>
      </c>
      <c r="AI32" s="27">
        <f>IF(설정!$D$37="","",IF(설정!$D$37="",0,IFERROR(VALUE(SUBSTITUTE(SUBSTITUTE(INDEX(급여대장_원본!$A$1:$AZ$400,(설정!$B$8+26),설정!$D$37)&amp;"",",",""),"　","")),0)))</f>
        <v/>
      </c>
      <c r="AJ32" s="2">
        <f>IFERROR(INDEX($D$7:$D$306,MATCH(26,$B$7:$B$306,0)),"")</f>
        <v/>
      </c>
    </row>
    <row r="33">
      <c r="A33" s="2">
        <f>IF(AND(D33&lt;&gt;"",D33&lt;&gt;"합계",D33&lt;&gt;"총계",D33&lt;&gt;"소계",D33&lt;&gt;"계"),1,0)</f>
        <v/>
      </c>
      <c r="B33" s="2">
        <f>IF(A33=1,SUM($A$7:A33),"")</f>
        <v/>
      </c>
      <c r="C33" s="2">
        <f>IF(설정!$D$13="","",TRIM(SUBSTITUTE(INDEX(급여대장_원본!$A$1:$AZ$400,(설정!$B$8+27),설정!$D$13)&amp;"","　"," ")))</f>
        <v/>
      </c>
      <c r="D33" s="2">
        <f>IF(설정!$D$14="","",TRIM(SUBSTITUTE(INDEX(급여대장_원본!$A$1:$AZ$400,(설정!$B$8+27),설정!$D$14)&amp;"","　"," ")))</f>
        <v/>
      </c>
      <c r="E33" s="2">
        <f>IF(설정!$D$15="","",TRIM(SUBSTITUTE(INDEX(급여대장_원본!$A$1:$AZ$400,(설정!$B$8+27),설정!$D$15)&amp;"","　"," ")))</f>
        <v/>
      </c>
      <c r="F33" s="27">
        <f>IF(설정!$D$17="",0,IFERROR(VALUE(SUBSTITUTE(SUBSTITUTE(INDEX(급여대장_원본!$A$1:$AZ$400,(설정!$B$8+27),설정!$D$17)&amp;"",",",""),"　","")),0))</f>
        <v/>
      </c>
      <c r="G33" s="27">
        <f>IF(설정!$D$18="",0,IFERROR(VALUE(SUBSTITUTE(SUBSTITUTE(INDEX(급여대장_원본!$A$1:$AZ$400,(설정!$B$8+27),설정!$D$18)&amp;"",",",""),"　","")),0))</f>
        <v/>
      </c>
      <c r="H33" s="27">
        <f>IF(설정!$D$19="",0,IFERROR(VALUE(SUBSTITUTE(SUBSTITUTE(INDEX(급여대장_원본!$A$1:$AZ$400,(설정!$B$8+27),설정!$D$19)&amp;"",",",""),"　","")),0))</f>
        <v/>
      </c>
      <c r="I33" s="27">
        <f>IF(설정!$D$20="",0,IFERROR(VALUE(SUBSTITUTE(SUBSTITUTE(INDEX(급여대장_원본!$A$1:$AZ$400,(설정!$B$8+27),설정!$D$20)&amp;"",",",""),"　","")),0))</f>
        <v/>
      </c>
      <c r="J33" s="27">
        <f>IF(설정!$D$21="",0,IFERROR(VALUE(SUBSTITUTE(SUBSTITUTE(INDEX(급여대장_원본!$A$1:$AZ$400,(설정!$B$8+27),설정!$D$21)&amp;"",",",""),"　","")),0))</f>
        <v/>
      </c>
      <c r="K33" s="27">
        <f>IF(설정!$D$22="",0,IFERROR(VALUE(SUBSTITUTE(SUBSTITUTE(INDEX(급여대장_원본!$A$1:$AZ$400,(설정!$B$8+27),설정!$D$22)&amp;"",",",""),"　","")),0))</f>
        <v/>
      </c>
      <c r="L33" s="27">
        <f>IF(설정!$D$23="",0,IFERROR(VALUE(SUBSTITUTE(SUBSTITUTE(INDEX(급여대장_원본!$A$1:$AZ$400,(설정!$B$8+27),설정!$D$23)&amp;"",",",""),"　","")),0))</f>
        <v/>
      </c>
      <c r="M33" s="27">
        <f>IF(설정!$D$24="",0,IFERROR(VALUE(SUBSTITUTE(SUBSTITUTE(INDEX(급여대장_원본!$A$1:$AZ$400,(설정!$B$8+27),설정!$D$24)&amp;"",",",""),"　","")),0))</f>
        <v/>
      </c>
      <c r="N33" s="2">
        <f>IF(OR(설정!$C$17="",IFERROR(MATCH(설정!$C$17,INDEX(급여대장_원본!$A$1:$AZ$400,설정!$B$8,0),0),"")=""),"",IFERROR(VALUE(SUBSTITUTE(INDEX(급여대장_원본!$A$1:$AZ$400,(설정!$B$8+27),IFERROR(MATCH(설정!$C$17,INDEX(급여대장_원본!$A$1:$AZ$400,설정!$B$8,0),0),""))&amp;"",",","")),""))</f>
        <v/>
      </c>
      <c r="O33" s="2">
        <f>IF(OR(설정!$C$18="",IFERROR(MATCH(설정!$C$18,INDEX(급여대장_원본!$A$1:$AZ$400,설정!$B$8,0),0),"")=""),"",IFERROR(VALUE(SUBSTITUTE(INDEX(급여대장_원본!$A$1:$AZ$400,(설정!$B$8+27),IFERROR(MATCH(설정!$C$18,INDEX(급여대장_원본!$A$1:$AZ$400,설정!$B$8,0),0),""))&amp;"",",","")),""))</f>
        <v/>
      </c>
      <c r="P33" s="2">
        <f>IF(OR(설정!$C$19="",IFERROR(MATCH(설정!$C$19,INDEX(급여대장_원본!$A$1:$AZ$400,설정!$B$8,0),0),"")=""),"",IFERROR(VALUE(SUBSTITUTE(INDEX(급여대장_원본!$A$1:$AZ$400,(설정!$B$8+27),IFERROR(MATCH(설정!$C$19,INDEX(급여대장_원본!$A$1:$AZ$400,설정!$B$8,0),0),""))&amp;"",",","")),""))</f>
        <v/>
      </c>
      <c r="Q33" s="2">
        <f>IF(OR(설정!$C$20="",IFERROR(MATCH(설정!$C$20,INDEX(급여대장_원본!$A$1:$AZ$400,설정!$B$8,0),0),"")=""),"",IFERROR(VALUE(SUBSTITUTE(INDEX(급여대장_원본!$A$1:$AZ$400,(설정!$B$8+27),IFERROR(MATCH(설정!$C$20,INDEX(급여대장_원본!$A$1:$AZ$400,설정!$B$8,0),0),""))&amp;"",",","")),""))</f>
        <v/>
      </c>
      <c r="R33" s="2">
        <f>IF(OR(설정!$C$21="",IFERROR(MATCH(설정!$C$21,INDEX(급여대장_원본!$A$1:$AZ$400,설정!$B$8,0),0),"")=""),"",IFERROR(VALUE(SUBSTITUTE(INDEX(급여대장_원본!$A$1:$AZ$400,(설정!$B$8+27),IFERROR(MATCH(설정!$C$21,INDEX(급여대장_원본!$A$1:$AZ$400,설정!$B$8,0),0),""))&amp;"",",","")),""))</f>
        <v/>
      </c>
      <c r="S33" s="2">
        <f>IF(OR(설정!$C$22="",IFERROR(MATCH(설정!$C$22,INDEX(급여대장_원본!$A$1:$AZ$400,설정!$B$8,0),0),"")=""),"",IFERROR(VALUE(SUBSTITUTE(INDEX(급여대장_원본!$A$1:$AZ$400,(설정!$B$8+27),IFERROR(MATCH(설정!$C$22,INDEX(급여대장_원본!$A$1:$AZ$400,설정!$B$8,0),0),""))&amp;"",",","")),""))</f>
        <v/>
      </c>
      <c r="T33" s="2">
        <f>IF(OR(설정!$C$23="",IFERROR(MATCH(설정!$C$23,INDEX(급여대장_원본!$A$1:$AZ$400,설정!$B$8,0),0),"")=""),"",IFERROR(VALUE(SUBSTITUTE(INDEX(급여대장_원본!$A$1:$AZ$400,(설정!$B$8+27),IFERROR(MATCH(설정!$C$23,INDEX(급여대장_원본!$A$1:$AZ$400,설정!$B$8,0),0),""))&amp;"",",","")),""))</f>
        <v/>
      </c>
      <c r="U33" s="2">
        <f>IF(OR(설정!$C$24="",IFERROR(MATCH(설정!$C$24,INDEX(급여대장_원본!$A$1:$AZ$400,설정!$B$8,0),0),"")=""),"",IFERROR(VALUE(SUBSTITUTE(INDEX(급여대장_원본!$A$1:$AZ$400,(설정!$B$8+27),IFERROR(MATCH(설정!$C$24,INDEX(급여대장_원본!$A$1:$AZ$400,설정!$B$8,0),0),""))&amp;"",",","")),""))</f>
        <v/>
      </c>
      <c r="V33" s="27">
        <f>SUM(F33:M33)</f>
        <v/>
      </c>
      <c r="W33" s="27">
        <f>IF(설정!$D$26="",0,IFERROR(VALUE(SUBSTITUTE(SUBSTITUTE(INDEX(급여대장_원본!$A$1:$AZ$400,(설정!$B$8+27),설정!$D$26)&amp;"",",",""),"　","")),0))</f>
        <v/>
      </c>
      <c r="X33" s="27">
        <f>IF(설정!$D$27="",0,IFERROR(VALUE(SUBSTITUTE(SUBSTITUTE(INDEX(급여대장_원본!$A$1:$AZ$400,(설정!$B$8+27),설정!$D$27)&amp;"",",",""),"　","")),0))</f>
        <v/>
      </c>
      <c r="Y33" s="27">
        <f>IF(설정!$D$28="",0,IFERROR(VALUE(SUBSTITUTE(SUBSTITUTE(INDEX(급여대장_원본!$A$1:$AZ$400,(설정!$B$8+27),설정!$D$28)&amp;"",",",""),"　","")),0))</f>
        <v/>
      </c>
      <c r="Z33" s="27">
        <f>IF(설정!$D$29="",0,IFERROR(VALUE(SUBSTITUTE(SUBSTITUTE(INDEX(급여대장_원본!$A$1:$AZ$400,(설정!$B$8+27),설정!$D$29)&amp;"",",",""),"　","")),0))</f>
        <v/>
      </c>
      <c r="AA33" s="27">
        <f>IF(설정!$D$30="",0,IFERROR(VALUE(SUBSTITUTE(SUBSTITUTE(INDEX(급여대장_원본!$A$1:$AZ$400,(설정!$B$8+27),설정!$D$30)&amp;"",",",""),"　","")),0))</f>
        <v/>
      </c>
      <c r="AB33" s="27">
        <f>IF(설정!$D$31="",0,IFERROR(VALUE(SUBSTITUTE(SUBSTITUTE(INDEX(급여대장_원본!$A$1:$AZ$400,(설정!$B$8+27),설정!$D$31)&amp;"",",",""),"　","")),0))</f>
        <v/>
      </c>
      <c r="AC33" s="27">
        <f>IF(설정!$D$32="",0,IFERROR(VALUE(SUBSTITUTE(SUBSTITUTE(INDEX(급여대장_원본!$A$1:$AZ$400,(설정!$B$8+27),설정!$D$32)&amp;"",",",""),"　","")),0))</f>
        <v/>
      </c>
      <c r="AD33" s="27">
        <f>IF(설정!$D$33="",0,IFERROR(VALUE(SUBSTITUTE(SUBSTITUTE(INDEX(급여대장_원본!$A$1:$AZ$400,(설정!$B$8+27),설정!$D$33)&amp;"",",",""),"　","")),0))</f>
        <v/>
      </c>
      <c r="AE33" s="27">
        <f>SUM(W33:AD33)</f>
        <v/>
      </c>
      <c r="AF33" s="27">
        <f>V33-AE33</f>
        <v/>
      </c>
      <c r="AG33" s="27">
        <f>IF(설정!$D$35="","",IF(설정!$D$35="",0,IFERROR(VALUE(SUBSTITUTE(SUBSTITUTE(INDEX(급여대장_원본!$A$1:$AZ$400,(설정!$B$8+27),설정!$D$35)&amp;"",",",""),"　","")),0)))</f>
        <v/>
      </c>
      <c r="AH33" s="27">
        <f>IF(설정!$D$36="","",IF(설정!$D$36="",0,IFERROR(VALUE(SUBSTITUTE(SUBSTITUTE(INDEX(급여대장_원본!$A$1:$AZ$400,(설정!$B$8+27),설정!$D$36)&amp;"",",",""),"　","")),0)))</f>
        <v/>
      </c>
      <c r="AI33" s="27">
        <f>IF(설정!$D$37="","",IF(설정!$D$37="",0,IFERROR(VALUE(SUBSTITUTE(SUBSTITUTE(INDEX(급여대장_원본!$A$1:$AZ$400,(설정!$B$8+27),설정!$D$37)&amp;"",",",""),"　","")),0)))</f>
        <v/>
      </c>
      <c r="AJ33" s="2">
        <f>IFERROR(INDEX($D$7:$D$306,MATCH(27,$B$7:$B$306,0)),"")</f>
        <v/>
      </c>
    </row>
    <row r="34">
      <c r="A34" s="2">
        <f>IF(AND(D34&lt;&gt;"",D34&lt;&gt;"합계",D34&lt;&gt;"총계",D34&lt;&gt;"소계",D34&lt;&gt;"계"),1,0)</f>
        <v/>
      </c>
      <c r="B34" s="2">
        <f>IF(A34=1,SUM($A$7:A34),"")</f>
        <v/>
      </c>
      <c r="C34" s="2">
        <f>IF(설정!$D$13="","",TRIM(SUBSTITUTE(INDEX(급여대장_원본!$A$1:$AZ$400,(설정!$B$8+28),설정!$D$13)&amp;"","　"," ")))</f>
        <v/>
      </c>
      <c r="D34" s="2">
        <f>IF(설정!$D$14="","",TRIM(SUBSTITUTE(INDEX(급여대장_원본!$A$1:$AZ$400,(설정!$B$8+28),설정!$D$14)&amp;"","　"," ")))</f>
        <v/>
      </c>
      <c r="E34" s="2">
        <f>IF(설정!$D$15="","",TRIM(SUBSTITUTE(INDEX(급여대장_원본!$A$1:$AZ$400,(설정!$B$8+28),설정!$D$15)&amp;"","　"," ")))</f>
        <v/>
      </c>
      <c r="F34" s="27">
        <f>IF(설정!$D$17="",0,IFERROR(VALUE(SUBSTITUTE(SUBSTITUTE(INDEX(급여대장_원본!$A$1:$AZ$400,(설정!$B$8+28),설정!$D$17)&amp;"",",",""),"　","")),0))</f>
        <v/>
      </c>
      <c r="G34" s="27">
        <f>IF(설정!$D$18="",0,IFERROR(VALUE(SUBSTITUTE(SUBSTITUTE(INDEX(급여대장_원본!$A$1:$AZ$400,(설정!$B$8+28),설정!$D$18)&amp;"",",",""),"　","")),0))</f>
        <v/>
      </c>
      <c r="H34" s="27">
        <f>IF(설정!$D$19="",0,IFERROR(VALUE(SUBSTITUTE(SUBSTITUTE(INDEX(급여대장_원본!$A$1:$AZ$400,(설정!$B$8+28),설정!$D$19)&amp;"",",",""),"　","")),0))</f>
        <v/>
      </c>
      <c r="I34" s="27">
        <f>IF(설정!$D$20="",0,IFERROR(VALUE(SUBSTITUTE(SUBSTITUTE(INDEX(급여대장_원본!$A$1:$AZ$400,(설정!$B$8+28),설정!$D$20)&amp;"",",",""),"　","")),0))</f>
        <v/>
      </c>
      <c r="J34" s="27">
        <f>IF(설정!$D$21="",0,IFERROR(VALUE(SUBSTITUTE(SUBSTITUTE(INDEX(급여대장_원본!$A$1:$AZ$400,(설정!$B$8+28),설정!$D$21)&amp;"",",",""),"　","")),0))</f>
        <v/>
      </c>
      <c r="K34" s="27">
        <f>IF(설정!$D$22="",0,IFERROR(VALUE(SUBSTITUTE(SUBSTITUTE(INDEX(급여대장_원본!$A$1:$AZ$400,(설정!$B$8+28),설정!$D$22)&amp;"",",",""),"　","")),0))</f>
        <v/>
      </c>
      <c r="L34" s="27">
        <f>IF(설정!$D$23="",0,IFERROR(VALUE(SUBSTITUTE(SUBSTITUTE(INDEX(급여대장_원본!$A$1:$AZ$400,(설정!$B$8+28),설정!$D$23)&amp;"",",",""),"　","")),0))</f>
        <v/>
      </c>
      <c r="M34" s="27">
        <f>IF(설정!$D$24="",0,IFERROR(VALUE(SUBSTITUTE(SUBSTITUTE(INDEX(급여대장_원본!$A$1:$AZ$400,(설정!$B$8+28),설정!$D$24)&amp;"",",",""),"　","")),0))</f>
        <v/>
      </c>
      <c r="N34" s="2">
        <f>IF(OR(설정!$C$17="",IFERROR(MATCH(설정!$C$17,INDEX(급여대장_원본!$A$1:$AZ$400,설정!$B$8,0),0),"")=""),"",IFERROR(VALUE(SUBSTITUTE(INDEX(급여대장_원본!$A$1:$AZ$400,(설정!$B$8+28),IFERROR(MATCH(설정!$C$17,INDEX(급여대장_원본!$A$1:$AZ$400,설정!$B$8,0),0),""))&amp;"",",","")),""))</f>
        <v/>
      </c>
      <c r="O34" s="2">
        <f>IF(OR(설정!$C$18="",IFERROR(MATCH(설정!$C$18,INDEX(급여대장_원본!$A$1:$AZ$400,설정!$B$8,0),0),"")=""),"",IFERROR(VALUE(SUBSTITUTE(INDEX(급여대장_원본!$A$1:$AZ$400,(설정!$B$8+28),IFERROR(MATCH(설정!$C$18,INDEX(급여대장_원본!$A$1:$AZ$400,설정!$B$8,0),0),""))&amp;"",",","")),""))</f>
        <v/>
      </c>
      <c r="P34" s="2">
        <f>IF(OR(설정!$C$19="",IFERROR(MATCH(설정!$C$19,INDEX(급여대장_원본!$A$1:$AZ$400,설정!$B$8,0),0),"")=""),"",IFERROR(VALUE(SUBSTITUTE(INDEX(급여대장_원본!$A$1:$AZ$400,(설정!$B$8+28),IFERROR(MATCH(설정!$C$19,INDEX(급여대장_원본!$A$1:$AZ$400,설정!$B$8,0),0),""))&amp;"",",","")),""))</f>
        <v/>
      </c>
      <c r="Q34" s="2">
        <f>IF(OR(설정!$C$20="",IFERROR(MATCH(설정!$C$20,INDEX(급여대장_원본!$A$1:$AZ$400,설정!$B$8,0),0),"")=""),"",IFERROR(VALUE(SUBSTITUTE(INDEX(급여대장_원본!$A$1:$AZ$400,(설정!$B$8+28),IFERROR(MATCH(설정!$C$20,INDEX(급여대장_원본!$A$1:$AZ$400,설정!$B$8,0),0),""))&amp;"",",","")),""))</f>
        <v/>
      </c>
      <c r="R34" s="2">
        <f>IF(OR(설정!$C$21="",IFERROR(MATCH(설정!$C$21,INDEX(급여대장_원본!$A$1:$AZ$400,설정!$B$8,0),0),"")=""),"",IFERROR(VALUE(SUBSTITUTE(INDEX(급여대장_원본!$A$1:$AZ$400,(설정!$B$8+28),IFERROR(MATCH(설정!$C$21,INDEX(급여대장_원본!$A$1:$AZ$400,설정!$B$8,0),0),""))&amp;"",",","")),""))</f>
        <v/>
      </c>
      <c r="S34" s="2">
        <f>IF(OR(설정!$C$22="",IFERROR(MATCH(설정!$C$22,INDEX(급여대장_원본!$A$1:$AZ$400,설정!$B$8,0),0),"")=""),"",IFERROR(VALUE(SUBSTITUTE(INDEX(급여대장_원본!$A$1:$AZ$400,(설정!$B$8+28),IFERROR(MATCH(설정!$C$22,INDEX(급여대장_원본!$A$1:$AZ$400,설정!$B$8,0),0),""))&amp;"",",","")),""))</f>
        <v/>
      </c>
      <c r="T34" s="2">
        <f>IF(OR(설정!$C$23="",IFERROR(MATCH(설정!$C$23,INDEX(급여대장_원본!$A$1:$AZ$400,설정!$B$8,0),0),"")=""),"",IFERROR(VALUE(SUBSTITUTE(INDEX(급여대장_원본!$A$1:$AZ$400,(설정!$B$8+28),IFERROR(MATCH(설정!$C$23,INDEX(급여대장_원본!$A$1:$AZ$400,설정!$B$8,0),0),""))&amp;"",",","")),""))</f>
        <v/>
      </c>
      <c r="U34" s="2">
        <f>IF(OR(설정!$C$24="",IFERROR(MATCH(설정!$C$24,INDEX(급여대장_원본!$A$1:$AZ$400,설정!$B$8,0),0),"")=""),"",IFERROR(VALUE(SUBSTITUTE(INDEX(급여대장_원본!$A$1:$AZ$400,(설정!$B$8+28),IFERROR(MATCH(설정!$C$24,INDEX(급여대장_원본!$A$1:$AZ$400,설정!$B$8,0),0),""))&amp;"",",","")),""))</f>
        <v/>
      </c>
      <c r="V34" s="27">
        <f>SUM(F34:M34)</f>
        <v/>
      </c>
      <c r="W34" s="27">
        <f>IF(설정!$D$26="",0,IFERROR(VALUE(SUBSTITUTE(SUBSTITUTE(INDEX(급여대장_원본!$A$1:$AZ$400,(설정!$B$8+28),설정!$D$26)&amp;"",",",""),"　","")),0))</f>
        <v/>
      </c>
      <c r="X34" s="27">
        <f>IF(설정!$D$27="",0,IFERROR(VALUE(SUBSTITUTE(SUBSTITUTE(INDEX(급여대장_원본!$A$1:$AZ$400,(설정!$B$8+28),설정!$D$27)&amp;"",",",""),"　","")),0))</f>
        <v/>
      </c>
      <c r="Y34" s="27">
        <f>IF(설정!$D$28="",0,IFERROR(VALUE(SUBSTITUTE(SUBSTITUTE(INDEX(급여대장_원본!$A$1:$AZ$400,(설정!$B$8+28),설정!$D$28)&amp;"",",",""),"　","")),0))</f>
        <v/>
      </c>
      <c r="Z34" s="27">
        <f>IF(설정!$D$29="",0,IFERROR(VALUE(SUBSTITUTE(SUBSTITUTE(INDEX(급여대장_원본!$A$1:$AZ$400,(설정!$B$8+28),설정!$D$29)&amp;"",",",""),"　","")),0))</f>
        <v/>
      </c>
      <c r="AA34" s="27">
        <f>IF(설정!$D$30="",0,IFERROR(VALUE(SUBSTITUTE(SUBSTITUTE(INDEX(급여대장_원본!$A$1:$AZ$400,(설정!$B$8+28),설정!$D$30)&amp;"",",",""),"　","")),0))</f>
        <v/>
      </c>
      <c r="AB34" s="27">
        <f>IF(설정!$D$31="",0,IFERROR(VALUE(SUBSTITUTE(SUBSTITUTE(INDEX(급여대장_원본!$A$1:$AZ$400,(설정!$B$8+28),설정!$D$31)&amp;"",",",""),"　","")),0))</f>
        <v/>
      </c>
      <c r="AC34" s="27">
        <f>IF(설정!$D$32="",0,IFERROR(VALUE(SUBSTITUTE(SUBSTITUTE(INDEX(급여대장_원본!$A$1:$AZ$400,(설정!$B$8+28),설정!$D$32)&amp;"",",",""),"　","")),0))</f>
        <v/>
      </c>
      <c r="AD34" s="27">
        <f>IF(설정!$D$33="",0,IFERROR(VALUE(SUBSTITUTE(SUBSTITUTE(INDEX(급여대장_원본!$A$1:$AZ$400,(설정!$B$8+28),설정!$D$33)&amp;"",",",""),"　","")),0))</f>
        <v/>
      </c>
      <c r="AE34" s="27">
        <f>SUM(W34:AD34)</f>
        <v/>
      </c>
      <c r="AF34" s="27">
        <f>V34-AE34</f>
        <v/>
      </c>
      <c r="AG34" s="27">
        <f>IF(설정!$D$35="","",IF(설정!$D$35="",0,IFERROR(VALUE(SUBSTITUTE(SUBSTITUTE(INDEX(급여대장_원본!$A$1:$AZ$400,(설정!$B$8+28),설정!$D$35)&amp;"",",",""),"　","")),0)))</f>
        <v/>
      </c>
      <c r="AH34" s="27">
        <f>IF(설정!$D$36="","",IF(설정!$D$36="",0,IFERROR(VALUE(SUBSTITUTE(SUBSTITUTE(INDEX(급여대장_원본!$A$1:$AZ$400,(설정!$B$8+28),설정!$D$36)&amp;"",",",""),"　","")),0)))</f>
        <v/>
      </c>
      <c r="AI34" s="27">
        <f>IF(설정!$D$37="","",IF(설정!$D$37="",0,IFERROR(VALUE(SUBSTITUTE(SUBSTITUTE(INDEX(급여대장_원본!$A$1:$AZ$400,(설정!$B$8+28),설정!$D$37)&amp;"",",",""),"　","")),0)))</f>
        <v/>
      </c>
      <c r="AJ34" s="2">
        <f>IFERROR(INDEX($D$7:$D$306,MATCH(28,$B$7:$B$306,0)),"")</f>
        <v/>
      </c>
    </row>
    <row r="35">
      <c r="A35" s="2">
        <f>IF(AND(D35&lt;&gt;"",D35&lt;&gt;"합계",D35&lt;&gt;"총계",D35&lt;&gt;"소계",D35&lt;&gt;"계"),1,0)</f>
        <v/>
      </c>
      <c r="B35" s="2">
        <f>IF(A35=1,SUM($A$7:A35),"")</f>
        <v/>
      </c>
      <c r="C35" s="2">
        <f>IF(설정!$D$13="","",TRIM(SUBSTITUTE(INDEX(급여대장_원본!$A$1:$AZ$400,(설정!$B$8+29),설정!$D$13)&amp;"","　"," ")))</f>
        <v/>
      </c>
      <c r="D35" s="2">
        <f>IF(설정!$D$14="","",TRIM(SUBSTITUTE(INDEX(급여대장_원본!$A$1:$AZ$400,(설정!$B$8+29),설정!$D$14)&amp;"","　"," ")))</f>
        <v/>
      </c>
      <c r="E35" s="2">
        <f>IF(설정!$D$15="","",TRIM(SUBSTITUTE(INDEX(급여대장_원본!$A$1:$AZ$400,(설정!$B$8+29),설정!$D$15)&amp;"","　"," ")))</f>
        <v/>
      </c>
      <c r="F35" s="27">
        <f>IF(설정!$D$17="",0,IFERROR(VALUE(SUBSTITUTE(SUBSTITUTE(INDEX(급여대장_원본!$A$1:$AZ$400,(설정!$B$8+29),설정!$D$17)&amp;"",",",""),"　","")),0))</f>
        <v/>
      </c>
      <c r="G35" s="27">
        <f>IF(설정!$D$18="",0,IFERROR(VALUE(SUBSTITUTE(SUBSTITUTE(INDEX(급여대장_원본!$A$1:$AZ$400,(설정!$B$8+29),설정!$D$18)&amp;"",",",""),"　","")),0))</f>
        <v/>
      </c>
      <c r="H35" s="27">
        <f>IF(설정!$D$19="",0,IFERROR(VALUE(SUBSTITUTE(SUBSTITUTE(INDEX(급여대장_원본!$A$1:$AZ$400,(설정!$B$8+29),설정!$D$19)&amp;"",",",""),"　","")),0))</f>
        <v/>
      </c>
      <c r="I35" s="27">
        <f>IF(설정!$D$20="",0,IFERROR(VALUE(SUBSTITUTE(SUBSTITUTE(INDEX(급여대장_원본!$A$1:$AZ$400,(설정!$B$8+29),설정!$D$20)&amp;"",",",""),"　","")),0))</f>
        <v/>
      </c>
      <c r="J35" s="27">
        <f>IF(설정!$D$21="",0,IFERROR(VALUE(SUBSTITUTE(SUBSTITUTE(INDEX(급여대장_원본!$A$1:$AZ$400,(설정!$B$8+29),설정!$D$21)&amp;"",",",""),"　","")),0))</f>
        <v/>
      </c>
      <c r="K35" s="27">
        <f>IF(설정!$D$22="",0,IFERROR(VALUE(SUBSTITUTE(SUBSTITUTE(INDEX(급여대장_원본!$A$1:$AZ$400,(설정!$B$8+29),설정!$D$22)&amp;"",",",""),"　","")),0))</f>
        <v/>
      </c>
      <c r="L35" s="27">
        <f>IF(설정!$D$23="",0,IFERROR(VALUE(SUBSTITUTE(SUBSTITUTE(INDEX(급여대장_원본!$A$1:$AZ$400,(설정!$B$8+29),설정!$D$23)&amp;"",",",""),"　","")),0))</f>
        <v/>
      </c>
      <c r="M35" s="27">
        <f>IF(설정!$D$24="",0,IFERROR(VALUE(SUBSTITUTE(SUBSTITUTE(INDEX(급여대장_원본!$A$1:$AZ$400,(설정!$B$8+29),설정!$D$24)&amp;"",",",""),"　","")),0))</f>
        <v/>
      </c>
      <c r="N35" s="2">
        <f>IF(OR(설정!$C$17="",IFERROR(MATCH(설정!$C$17,INDEX(급여대장_원본!$A$1:$AZ$400,설정!$B$8,0),0),"")=""),"",IFERROR(VALUE(SUBSTITUTE(INDEX(급여대장_원본!$A$1:$AZ$400,(설정!$B$8+29),IFERROR(MATCH(설정!$C$17,INDEX(급여대장_원본!$A$1:$AZ$400,설정!$B$8,0),0),""))&amp;"",",","")),""))</f>
        <v/>
      </c>
      <c r="O35" s="2">
        <f>IF(OR(설정!$C$18="",IFERROR(MATCH(설정!$C$18,INDEX(급여대장_원본!$A$1:$AZ$400,설정!$B$8,0),0),"")=""),"",IFERROR(VALUE(SUBSTITUTE(INDEX(급여대장_원본!$A$1:$AZ$400,(설정!$B$8+29),IFERROR(MATCH(설정!$C$18,INDEX(급여대장_원본!$A$1:$AZ$400,설정!$B$8,0),0),""))&amp;"",",","")),""))</f>
        <v/>
      </c>
      <c r="P35" s="2">
        <f>IF(OR(설정!$C$19="",IFERROR(MATCH(설정!$C$19,INDEX(급여대장_원본!$A$1:$AZ$400,설정!$B$8,0),0),"")=""),"",IFERROR(VALUE(SUBSTITUTE(INDEX(급여대장_원본!$A$1:$AZ$400,(설정!$B$8+29),IFERROR(MATCH(설정!$C$19,INDEX(급여대장_원본!$A$1:$AZ$400,설정!$B$8,0),0),""))&amp;"",",","")),""))</f>
        <v/>
      </c>
      <c r="Q35" s="2">
        <f>IF(OR(설정!$C$20="",IFERROR(MATCH(설정!$C$20,INDEX(급여대장_원본!$A$1:$AZ$400,설정!$B$8,0),0),"")=""),"",IFERROR(VALUE(SUBSTITUTE(INDEX(급여대장_원본!$A$1:$AZ$400,(설정!$B$8+29),IFERROR(MATCH(설정!$C$20,INDEX(급여대장_원본!$A$1:$AZ$400,설정!$B$8,0),0),""))&amp;"",",","")),""))</f>
        <v/>
      </c>
      <c r="R35" s="2">
        <f>IF(OR(설정!$C$21="",IFERROR(MATCH(설정!$C$21,INDEX(급여대장_원본!$A$1:$AZ$400,설정!$B$8,0),0),"")=""),"",IFERROR(VALUE(SUBSTITUTE(INDEX(급여대장_원본!$A$1:$AZ$400,(설정!$B$8+29),IFERROR(MATCH(설정!$C$21,INDEX(급여대장_원본!$A$1:$AZ$400,설정!$B$8,0),0),""))&amp;"",",","")),""))</f>
        <v/>
      </c>
      <c r="S35" s="2">
        <f>IF(OR(설정!$C$22="",IFERROR(MATCH(설정!$C$22,INDEX(급여대장_원본!$A$1:$AZ$400,설정!$B$8,0),0),"")=""),"",IFERROR(VALUE(SUBSTITUTE(INDEX(급여대장_원본!$A$1:$AZ$400,(설정!$B$8+29),IFERROR(MATCH(설정!$C$22,INDEX(급여대장_원본!$A$1:$AZ$400,설정!$B$8,0),0),""))&amp;"",",","")),""))</f>
        <v/>
      </c>
      <c r="T35" s="2">
        <f>IF(OR(설정!$C$23="",IFERROR(MATCH(설정!$C$23,INDEX(급여대장_원본!$A$1:$AZ$400,설정!$B$8,0),0),"")=""),"",IFERROR(VALUE(SUBSTITUTE(INDEX(급여대장_원본!$A$1:$AZ$400,(설정!$B$8+29),IFERROR(MATCH(설정!$C$23,INDEX(급여대장_원본!$A$1:$AZ$400,설정!$B$8,0),0),""))&amp;"",",","")),""))</f>
        <v/>
      </c>
      <c r="U35" s="2">
        <f>IF(OR(설정!$C$24="",IFERROR(MATCH(설정!$C$24,INDEX(급여대장_원본!$A$1:$AZ$400,설정!$B$8,0),0),"")=""),"",IFERROR(VALUE(SUBSTITUTE(INDEX(급여대장_원본!$A$1:$AZ$400,(설정!$B$8+29),IFERROR(MATCH(설정!$C$24,INDEX(급여대장_원본!$A$1:$AZ$400,설정!$B$8,0),0),""))&amp;"",",","")),""))</f>
        <v/>
      </c>
      <c r="V35" s="27">
        <f>SUM(F35:M35)</f>
        <v/>
      </c>
      <c r="W35" s="27">
        <f>IF(설정!$D$26="",0,IFERROR(VALUE(SUBSTITUTE(SUBSTITUTE(INDEX(급여대장_원본!$A$1:$AZ$400,(설정!$B$8+29),설정!$D$26)&amp;"",",",""),"　","")),0))</f>
        <v/>
      </c>
      <c r="X35" s="27">
        <f>IF(설정!$D$27="",0,IFERROR(VALUE(SUBSTITUTE(SUBSTITUTE(INDEX(급여대장_원본!$A$1:$AZ$400,(설정!$B$8+29),설정!$D$27)&amp;"",",",""),"　","")),0))</f>
        <v/>
      </c>
      <c r="Y35" s="27">
        <f>IF(설정!$D$28="",0,IFERROR(VALUE(SUBSTITUTE(SUBSTITUTE(INDEX(급여대장_원본!$A$1:$AZ$400,(설정!$B$8+29),설정!$D$28)&amp;"",",",""),"　","")),0))</f>
        <v/>
      </c>
      <c r="Z35" s="27">
        <f>IF(설정!$D$29="",0,IFERROR(VALUE(SUBSTITUTE(SUBSTITUTE(INDEX(급여대장_원본!$A$1:$AZ$400,(설정!$B$8+29),설정!$D$29)&amp;"",",",""),"　","")),0))</f>
        <v/>
      </c>
      <c r="AA35" s="27">
        <f>IF(설정!$D$30="",0,IFERROR(VALUE(SUBSTITUTE(SUBSTITUTE(INDEX(급여대장_원본!$A$1:$AZ$400,(설정!$B$8+29),설정!$D$30)&amp;"",",",""),"　","")),0))</f>
        <v/>
      </c>
      <c r="AB35" s="27">
        <f>IF(설정!$D$31="",0,IFERROR(VALUE(SUBSTITUTE(SUBSTITUTE(INDEX(급여대장_원본!$A$1:$AZ$400,(설정!$B$8+29),설정!$D$31)&amp;"",",",""),"　","")),0))</f>
        <v/>
      </c>
      <c r="AC35" s="27">
        <f>IF(설정!$D$32="",0,IFERROR(VALUE(SUBSTITUTE(SUBSTITUTE(INDEX(급여대장_원본!$A$1:$AZ$400,(설정!$B$8+29),설정!$D$32)&amp;"",",",""),"　","")),0))</f>
        <v/>
      </c>
      <c r="AD35" s="27">
        <f>IF(설정!$D$33="",0,IFERROR(VALUE(SUBSTITUTE(SUBSTITUTE(INDEX(급여대장_원본!$A$1:$AZ$400,(설정!$B$8+29),설정!$D$33)&amp;"",",",""),"　","")),0))</f>
        <v/>
      </c>
      <c r="AE35" s="27">
        <f>SUM(W35:AD35)</f>
        <v/>
      </c>
      <c r="AF35" s="27">
        <f>V35-AE35</f>
        <v/>
      </c>
      <c r="AG35" s="27">
        <f>IF(설정!$D$35="","",IF(설정!$D$35="",0,IFERROR(VALUE(SUBSTITUTE(SUBSTITUTE(INDEX(급여대장_원본!$A$1:$AZ$400,(설정!$B$8+29),설정!$D$35)&amp;"",",",""),"　","")),0)))</f>
        <v/>
      </c>
      <c r="AH35" s="27">
        <f>IF(설정!$D$36="","",IF(설정!$D$36="",0,IFERROR(VALUE(SUBSTITUTE(SUBSTITUTE(INDEX(급여대장_원본!$A$1:$AZ$400,(설정!$B$8+29),설정!$D$36)&amp;"",",",""),"　","")),0)))</f>
        <v/>
      </c>
      <c r="AI35" s="27">
        <f>IF(설정!$D$37="","",IF(설정!$D$37="",0,IFERROR(VALUE(SUBSTITUTE(SUBSTITUTE(INDEX(급여대장_원본!$A$1:$AZ$400,(설정!$B$8+29),설정!$D$37)&amp;"",",",""),"　","")),0)))</f>
        <v/>
      </c>
      <c r="AJ35" s="2">
        <f>IFERROR(INDEX($D$7:$D$306,MATCH(29,$B$7:$B$306,0)),"")</f>
        <v/>
      </c>
    </row>
    <row r="36">
      <c r="A36" s="2">
        <f>IF(AND(D36&lt;&gt;"",D36&lt;&gt;"합계",D36&lt;&gt;"총계",D36&lt;&gt;"소계",D36&lt;&gt;"계"),1,0)</f>
        <v/>
      </c>
      <c r="B36" s="2">
        <f>IF(A36=1,SUM($A$7:A36),"")</f>
        <v/>
      </c>
      <c r="C36" s="2">
        <f>IF(설정!$D$13="","",TRIM(SUBSTITUTE(INDEX(급여대장_원본!$A$1:$AZ$400,(설정!$B$8+30),설정!$D$13)&amp;"","　"," ")))</f>
        <v/>
      </c>
      <c r="D36" s="2">
        <f>IF(설정!$D$14="","",TRIM(SUBSTITUTE(INDEX(급여대장_원본!$A$1:$AZ$400,(설정!$B$8+30),설정!$D$14)&amp;"","　"," ")))</f>
        <v/>
      </c>
      <c r="E36" s="2">
        <f>IF(설정!$D$15="","",TRIM(SUBSTITUTE(INDEX(급여대장_원본!$A$1:$AZ$400,(설정!$B$8+30),설정!$D$15)&amp;"","　"," ")))</f>
        <v/>
      </c>
      <c r="F36" s="27">
        <f>IF(설정!$D$17="",0,IFERROR(VALUE(SUBSTITUTE(SUBSTITUTE(INDEX(급여대장_원본!$A$1:$AZ$400,(설정!$B$8+30),설정!$D$17)&amp;"",",",""),"　","")),0))</f>
        <v/>
      </c>
      <c r="G36" s="27">
        <f>IF(설정!$D$18="",0,IFERROR(VALUE(SUBSTITUTE(SUBSTITUTE(INDEX(급여대장_원본!$A$1:$AZ$400,(설정!$B$8+30),설정!$D$18)&amp;"",",",""),"　","")),0))</f>
        <v/>
      </c>
      <c r="H36" s="27">
        <f>IF(설정!$D$19="",0,IFERROR(VALUE(SUBSTITUTE(SUBSTITUTE(INDEX(급여대장_원본!$A$1:$AZ$400,(설정!$B$8+30),설정!$D$19)&amp;"",",",""),"　","")),0))</f>
        <v/>
      </c>
      <c r="I36" s="27">
        <f>IF(설정!$D$20="",0,IFERROR(VALUE(SUBSTITUTE(SUBSTITUTE(INDEX(급여대장_원본!$A$1:$AZ$400,(설정!$B$8+30),설정!$D$20)&amp;"",",",""),"　","")),0))</f>
        <v/>
      </c>
      <c r="J36" s="27">
        <f>IF(설정!$D$21="",0,IFERROR(VALUE(SUBSTITUTE(SUBSTITUTE(INDEX(급여대장_원본!$A$1:$AZ$400,(설정!$B$8+30),설정!$D$21)&amp;"",",",""),"　","")),0))</f>
        <v/>
      </c>
      <c r="K36" s="27">
        <f>IF(설정!$D$22="",0,IFERROR(VALUE(SUBSTITUTE(SUBSTITUTE(INDEX(급여대장_원본!$A$1:$AZ$400,(설정!$B$8+30),설정!$D$22)&amp;"",",",""),"　","")),0))</f>
        <v/>
      </c>
      <c r="L36" s="27">
        <f>IF(설정!$D$23="",0,IFERROR(VALUE(SUBSTITUTE(SUBSTITUTE(INDEX(급여대장_원본!$A$1:$AZ$400,(설정!$B$8+30),설정!$D$23)&amp;"",",",""),"　","")),0))</f>
        <v/>
      </c>
      <c r="M36" s="27">
        <f>IF(설정!$D$24="",0,IFERROR(VALUE(SUBSTITUTE(SUBSTITUTE(INDEX(급여대장_원본!$A$1:$AZ$400,(설정!$B$8+30),설정!$D$24)&amp;"",",",""),"　","")),0))</f>
        <v/>
      </c>
      <c r="N36" s="2">
        <f>IF(OR(설정!$C$17="",IFERROR(MATCH(설정!$C$17,INDEX(급여대장_원본!$A$1:$AZ$400,설정!$B$8,0),0),"")=""),"",IFERROR(VALUE(SUBSTITUTE(INDEX(급여대장_원본!$A$1:$AZ$400,(설정!$B$8+30),IFERROR(MATCH(설정!$C$17,INDEX(급여대장_원본!$A$1:$AZ$400,설정!$B$8,0),0),""))&amp;"",",","")),""))</f>
        <v/>
      </c>
      <c r="O36" s="2">
        <f>IF(OR(설정!$C$18="",IFERROR(MATCH(설정!$C$18,INDEX(급여대장_원본!$A$1:$AZ$400,설정!$B$8,0),0),"")=""),"",IFERROR(VALUE(SUBSTITUTE(INDEX(급여대장_원본!$A$1:$AZ$400,(설정!$B$8+30),IFERROR(MATCH(설정!$C$18,INDEX(급여대장_원본!$A$1:$AZ$400,설정!$B$8,0),0),""))&amp;"",",","")),""))</f>
        <v/>
      </c>
      <c r="P36" s="2">
        <f>IF(OR(설정!$C$19="",IFERROR(MATCH(설정!$C$19,INDEX(급여대장_원본!$A$1:$AZ$400,설정!$B$8,0),0),"")=""),"",IFERROR(VALUE(SUBSTITUTE(INDEX(급여대장_원본!$A$1:$AZ$400,(설정!$B$8+30),IFERROR(MATCH(설정!$C$19,INDEX(급여대장_원본!$A$1:$AZ$400,설정!$B$8,0),0),""))&amp;"",",","")),""))</f>
        <v/>
      </c>
      <c r="Q36" s="2">
        <f>IF(OR(설정!$C$20="",IFERROR(MATCH(설정!$C$20,INDEX(급여대장_원본!$A$1:$AZ$400,설정!$B$8,0),0),"")=""),"",IFERROR(VALUE(SUBSTITUTE(INDEX(급여대장_원본!$A$1:$AZ$400,(설정!$B$8+30),IFERROR(MATCH(설정!$C$20,INDEX(급여대장_원본!$A$1:$AZ$400,설정!$B$8,0),0),""))&amp;"",",","")),""))</f>
        <v/>
      </c>
      <c r="R36" s="2">
        <f>IF(OR(설정!$C$21="",IFERROR(MATCH(설정!$C$21,INDEX(급여대장_원본!$A$1:$AZ$400,설정!$B$8,0),0),"")=""),"",IFERROR(VALUE(SUBSTITUTE(INDEX(급여대장_원본!$A$1:$AZ$400,(설정!$B$8+30),IFERROR(MATCH(설정!$C$21,INDEX(급여대장_원본!$A$1:$AZ$400,설정!$B$8,0),0),""))&amp;"",",","")),""))</f>
        <v/>
      </c>
      <c r="S36" s="2">
        <f>IF(OR(설정!$C$22="",IFERROR(MATCH(설정!$C$22,INDEX(급여대장_원본!$A$1:$AZ$400,설정!$B$8,0),0),"")=""),"",IFERROR(VALUE(SUBSTITUTE(INDEX(급여대장_원본!$A$1:$AZ$400,(설정!$B$8+30),IFERROR(MATCH(설정!$C$22,INDEX(급여대장_원본!$A$1:$AZ$400,설정!$B$8,0),0),""))&amp;"",",","")),""))</f>
        <v/>
      </c>
      <c r="T36" s="2">
        <f>IF(OR(설정!$C$23="",IFERROR(MATCH(설정!$C$23,INDEX(급여대장_원본!$A$1:$AZ$400,설정!$B$8,0),0),"")=""),"",IFERROR(VALUE(SUBSTITUTE(INDEX(급여대장_원본!$A$1:$AZ$400,(설정!$B$8+30),IFERROR(MATCH(설정!$C$23,INDEX(급여대장_원본!$A$1:$AZ$400,설정!$B$8,0),0),""))&amp;"",",","")),""))</f>
        <v/>
      </c>
      <c r="U36" s="2">
        <f>IF(OR(설정!$C$24="",IFERROR(MATCH(설정!$C$24,INDEX(급여대장_원본!$A$1:$AZ$400,설정!$B$8,0),0),"")=""),"",IFERROR(VALUE(SUBSTITUTE(INDEX(급여대장_원본!$A$1:$AZ$400,(설정!$B$8+30),IFERROR(MATCH(설정!$C$24,INDEX(급여대장_원본!$A$1:$AZ$400,설정!$B$8,0),0),""))&amp;"",",","")),""))</f>
        <v/>
      </c>
      <c r="V36" s="27">
        <f>SUM(F36:M36)</f>
        <v/>
      </c>
      <c r="W36" s="27">
        <f>IF(설정!$D$26="",0,IFERROR(VALUE(SUBSTITUTE(SUBSTITUTE(INDEX(급여대장_원본!$A$1:$AZ$400,(설정!$B$8+30),설정!$D$26)&amp;"",",",""),"　","")),0))</f>
        <v/>
      </c>
      <c r="X36" s="27">
        <f>IF(설정!$D$27="",0,IFERROR(VALUE(SUBSTITUTE(SUBSTITUTE(INDEX(급여대장_원본!$A$1:$AZ$400,(설정!$B$8+30),설정!$D$27)&amp;"",",",""),"　","")),0))</f>
        <v/>
      </c>
      <c r="Y36" s="27">
        <f>IF(설정!$D$28="",0,IFERROR(VALUE(SUBSTITUTE(SUBSTITUTE(INDEX(급여대장_원본!$A$1:$AZ$400,(설정!$B$8+30),설정!$D$28)&amp;"",",",""),"　","")),0))</f>
        <v/>
      </c>
      <c r="Z36" s="27">
        <f>IF(설정!$D$29="",0,IFERROR(VALUE(SUBSTITUTE(SUBSTITUTE(INDEX(급여대장_원본!$A$1:$AZ$400,(설정!$B$8+30),설정!$D$29)&amp;"",",",""),"　","")),0))</f>
        <v/>
      </c>
      <c r="AA36" s="27">
        <f>IF(설정!$D$30="",0,IFERROR(VALUE(SUBSTITUTE(SUBSTITUTE(INDEX(급여대장_원본!$A$1:$AZ$400,(설정!$B$8+30),설정!$D$30)&amp;"",",",""),"　","")),0))</f>
        <v/>
      </c>
      <c r="AB36" s="27">
        <f>IF(설정!$D$31="",0,IFERROR(VALUE(SUBSTITUTE(SUBSTITUTE(INDEX(급여대장_원본!$A$1:$AZ$400,(설정!$B$8+30),설정!$D$31)&amp;"",",",""),"　","")),0))</f>
        <v/>
      </c>
      <c r="AC36" s="27">
        <f>IF(설정!$D$32="",0,IFERROR(VALUE(SUBSTITUTE(SUBSTITUTE(INDEX(급여대장_원본!$A$1:$AZ$400,(설정!$B$8+30),설정!$D$32)&amp;"",",",""),"　","")),0))</f>
        <v/>
      </c>
      <c r="AD36" s="27">
        <f>IF(설정!$D$33="",0,IFERROR(VALUE(SUBSTITUTE(SUBSTITUTE(INDEX(급여대장_원본!$A$1:$AZ$400,(설정!$B$8+30),설정!$D$33)&amp;"",",",""),"　","")),0))</f>
        <v/>
      </c>
      <c r="AE36" s="27">
        <f>SUM(W36:AD36)</f>
        <v/>
      </c>
      <c r="AF36" s="27">
        <f>V36-AE36</f>
        <v/>
      </c>
      <c r="AG36" s="27">
        <f>IF(설정!$D$35="","",IF(설정!$D$35="",0,IFERROR(VALUE(SUBSTITUTE(SUBSTITUTE(INDEX(급여대장_원본!$A$1:$AZ$400,(설정!$B$8+30),설정!$D$35)&amp;"",",",""),"　","")),0)))</f>
        <v/>
      </c>
      <c r="AH36" s="27">
        <f>IF(설정!$D$36="","",IF(설정!$D$36="",0,IFERROR(VALUE(SUBSTITUTE(SUBSTITUTE(INDEX(급여대장_원본!$A$1:$AZ$400,(설정!$B$8+30),설정!$D$36)&amp;"",",",""),"　","")),0)))</f>
        <v/>
      </c>
      <c r="AI36" s="27">
        <f>IF(설정!$D$37="","",IF(설정!$D$37="",0,IFERROR(VALUE(SUBSTITUTE(SUBSTITUTE(INDEX(급여대장_원본!$A$1:$AZ$400,(설정!$B$8+30),설정!$D$37)&amp;"",",",""),"　","")),0)))</f>
        <v/>
      </c>
      <c r="AJ36" s="2">
        <f>IFERROR(INDEX($D$7:$D$306,MATCH(30,$B$7:$B$306,0)),"")</f>
        <v/>
      </c>
    </row>
    <row r="37">
      <c r="A37" s="2">
        <f>IF(AND(D37&lt;&gt;"",D37&lt;&gt;"합계",D37&lt;&gt;"총계",D37&lt;&gt;"소계",D37&lt;&gt;"계"),1,0)</f>
        <v/>
      </c>
      <c r="B37" s="2">
        <f>IF(A37=1,SUM($A$7:A37),"")</f>
        <v/>
      </c>
      <c r="C37" s="2">
        <f>IF(설정!$D$13="","",TRIM(SUBSTITUTE(INDEX(급여대장_원본!$A$1:$AZ$400,(설정!$B$8+31),설정!$D$13)&amp;"","　"," ")))</f>
        <v/>
      </c>
      <c r="D37" s="2">
        <f>IF(설정!$D$14="","",TRIM(SUBSTITUTE(INDEX(급여대장_원본!$A$1:$AZ$400,(설정!$B$8+31),설정!$D$14)&amp;"","　"," ")))</f>
        <v/>
      </c>
      <c r="E37" s="2">
        <f>IF(설정!$D$15="","",TRIM(SUBSTITUTE(INDEX(급여대장_원본!$A$1:$AZ$400,(설정!$B$8+31),설정!$D$15)&amp;"","　"," ")))</f>
        <v/>
      </c>
      <c r="F37" s="27">
        <f>IF(설정!$D$17="",0,IFERROR(VALUE(SUBSTITUTE(SUBSTITUTE(INDEX(급여대장_원본!$A$1:$AZ$400,(설정!$B$8+31),설정!$D$17)&amp;"",",",""),"　","")),0))</f>
        <v/>
      </c>
      <c r="G37" s="27">
        <f>IF(설정!$D$18="",0,IFERROR(VALUE(SUBSTITUTE(SUBSTITUTE(INDEX(급여대장_원본!$A$1:$AZ$400,(설정!$B$8+31),설정!$D$18)&amp;"",",",""),"　","")),0))</f>
        <v/>
      </c>
      <c r="H37" s="27">
        <f>IF(설정!$D$19="",0,IFERROR(VALUE(SUBSTITUTE(SUBSTITUTE(INDEX(급여대장_원본!$A$1:$AZ$400,(설정!$B$8+31),설정!$D$19)&amp;"",",",""),"　","")),0))</f>
        <v/>
      </c>
      <c r="I37" s="27">
        <f>IF(설정!$D$20="",0,IFERROR(VALUE(SUBSTITUTE(SUBSTITUTE(INDEX(급여대장_원본!$A$1:$AZ$400,(설정!$B$8+31),설정!$D$20)&amp;"",",",""),"　","")),0))</f>
        <v/>
      </c>
      <c r="J37" s="27">
        <f>IF(설정!$D$21="",0,IFERROR(VALUE(SUBSTITUTE(SUBSTITUTE(INDEX(급여대장_원본!$A$1:$AZ$400,(설정!$B$8+31),설정!$D$21)&amp;"",",",""),"　","")),0))</f>
        <v/>
      </c>
      <c r="K37" s="27">
        <f>IF(설정!$D$22="",0,IFERROR(VALUE(SUBSTITUTE(SUBSTITUTE(INDEX(급여대장_원본!$A$1:$AZ$400,(설정!$B$8+31),설정!$D$22)&amp;"",",",""),"　","")),0))</f>
        <v/>
      </c>
      <c r="L37" s="27">
        <f>IF(설정!$D$23="",0,IFERROR(VALUE(SUBSTITUTE(SUBSTITUTE(INDEX(급여대장_원본!$A$1:$AZ$400,(설정!$B$8+31),설정!$D$23)&amp;"",",",""),"　","")),0))</f>
        <v/>
      </c>
      <c r="M37" s="27">
        <f>IF(설정!$D$24="",0,IFERROR(VALUE(SUBSTITUTE(SUBSTITUTE(INDEX(급여대장_원본!$A$1:$AZ$400,(설정!$B$8+31),설정!$D$24)&amp;"",",",""),"　","")),0))</f>
        <v/>
      </c>
      <c r="N37" s="2">
        <f>IF(OR(설정!$C$17="",IFERROR(MATCH(설정!$C$17,INDEX(급여대장_원본!$A$1:$AZ$400,설정!$B$8,0),0),"")=""),"",IFERROR(VALUE(SUBSTITUTE(INDEX(급여대장_원본!$A$1:$AZ$400,(설정!$B$8+31),IFERROR(MATCH(설정!$C$17,INDEX(급여대장_원본!$A$1:$AZ$400,설정!$B$8,0),0),""))&amp;"",",","")),""))</f>
        <v/>
      </c>
      <c r="O37" s="2">
        <f>IF(OR(설정!$C$18="",IFERROR(MATCH(설정!$C$18,INDEX(급여대장_원본!$A$1:$AZ$400,설정!$B$8,0),0),"")=""),"",IFERROR(VALUE(SUBSTITUTE(INDEX(급여대장_원본!$A$1:$AZ$400,(설정!$B$8+31),IFERROR(MATCH(설정!$C$18,INDEX(급여대장_원본!$A$1:$AZ$400,설정!$B$8,0),0),""))&amp;"",",","")),""))</f>
        <v/>
      </c>
      <c r="P37" s="2">
        <f>IF(OR(설정!$C$19="",IFERROR(MATCH(설정!$C$19,INDEX(급여대장_원본!$A$1:$AZ$400,설정!$B$8,0),0),"")=""),"",IFERROR(VALUE(SUBSTITUTE(INDEX(급여대장_원본!$A$1:$AZ$400,(설정!$B$8+31),IFERROR(MATCH(설정!$C$19,INDEX(급여대장_원본!$A$1:$AZ$400,설정!$B$8,0),0),""))&amp;"",",","")),""))</f>
        <v/>
      </c>
      <c r="Q37" s="2">
        <f>IF(OR(설정!$C$20="",IFERROR(MATCH(설정!$C$20,INDEX(급여대장_원본!$A$1:$AZ$400,설정!$B$8,0),0),"")=""),"",IFERROR(VALUE(SUBSTITUTE(INDEX(급여대장_원본!$A$1:$AZ$400,(설정!$B$8+31),IFERROR(MATCH(설정!$C$20,INDEX(급여대장_원본!$A$1:$AZ$400,설정!$B$8,0),0),""))&amp;"",",","")),""))</f>
        <v/>
      </c>
      <c r="R37" s="2">
        <f>IF(OR(설정!$C$21="",IFERROR(MATCH(설정!$C$21,INDEX(급여대장_원본!$A$1:$AZ$400,설정!$B$8,0),0),"")=""),"",IFERROR(VALUE(SUBSTITUTE(INDEX(급여대장_원본!$A$1:$AZ$400,(설정!$B$8+31),IFERROR(MATCH(설정!$C$21,INDEX(급여대장_원본!$A$1:$AZ$400,설정!$B$8,0),0),""))&amp;"",",","")),""))</f>
        <v/>
      </c>
      <c r="S37" s="2">
        <f>IF(OR(설정!$C$22="",IFERROR(MATCH(설정!$C$22,INDEX(급여대장_원본!$A$1:$AZ$400,설정!$B$8,0),0),"")=""),"",IFERROR(VALUE(SUBSTITUTE(INDEX(급여대장_원본!$A$1:$AZ$400,(설정!$B$8+31),IFERROR(MATCH(설정!$C$22,INDEX(급여대장_원본!$A$1:$AZ$400,설정!$B$8,0),0),""))&amp;"",",","")),""))</f>
        <v/>
      </c>
      <c r="T37" s="2">
        <f>IF(OR(설정!$C$23="",IFERROR(MATCH(설정!$C$23,INDEX(급여대장_원본!$A$1:$AZ$400,설정!$B$8,0),0),"")=""),"",IFERROR(VALUE(SUBSTITUTE(INDEX(급여대장_원본!$A$1:$AZ$400,(설정!$B$8+31),IFERROR(MATCH(설정!$C$23,INDEX(급여대장_원본!$A$1:$AZ$400,설정!$B$8,0),0),""))&amp;"",",","")),""))</f>
        <v/>
      </c>
      <c r="U37" s="2">
        <f>IF(OR(설정!$C$24="",IFERROR(MATCH(설정!$C$24,INDEX(급여대장_원본!$A$1:$AZ$400,설정!$B$8,0),0),"")=""),"",IFERROR(VALUE(SUBSTITUTE(INDEX(급여대장_원본!$A$1:$AZ$400,(설정!$B$8+31),IFERROR(MATCH(설정!$C$24,INDEX(급여대장_원본!$A$1:$AZ$400,설정!$B$8,0),0),""))&amp;"",",","")),""))</f>
        <v/>
      </c>
      <c r="V37" s="27">
        <f>SUM(F37:M37)</f>
        <v/>
      </c>
      <c r="W37" s="27">
        <f>IF(설정!$D$26="",0,IFERROR(VALUE(SUBSTITUTE(SUBSTITUTE(INDEX(급여대장_원본!$A$1:$AZ$400,(설정!$B$8+31),설정!$D$26)&amp;"",",",""),"　","")),0))</f>
        <v/>
      </c>
      <c r="X37" s="27">
        <f>IF(설정!$D$27="",0,IFERROR(VALUE(SUBSTITUTE(SUBSTITUTE(INDEX(급여대장_원본!$A$1:$AZ$400,(설정!$B$8+31),설정!$D$27)&amp;"",",",""),"　","")),0))</f>
        <v/>
      </c>
      <c r="Y37" s="27">
        <f>IF(설정!$D$28="",0,IFERROR(VALUE(SUBSTITUTE(SUBSTITUTE(INDEX(급여대장_원본!$A$1:$AZ$400,(설정!$B$8+31),설정!$D$28)&amp;"",",",""),"　","")),0))</f>
        <v/>
      </c>
      <c r="Z37" s="27">
        <f>IF(설정!$D$29="",0,IFERROR(VALUE(SUBSTITUTE(SUBSTITUTE(INDEX(급여대장_원본!$A$1:$AZ$400,(설정!$B$8+31),설정!$D$29)&amp;"",",",""),"　","")),0))</f>
        <v/>
      </c>
      <c r="AA37" s="27">
        <f>IF(설정!$D$30="",0,IFERROR(VALUE(SUBSTITUTE(SUBSTITUTE(INDEX(급여대장_원본!$A$1:$AZ$400,(설정!$B$8+31),설정!$D$30)&amp;"",",",""),"　","")),0))</f>
        <v/>
      </c>
      <c r="AB37" s="27">
        <f>IF(설정!$D$31="",0,IFERROR(VALUE(SUBSTITUTE(SUBSTITUTE(INDEX(급여대장_원본!$A$1:$AZ$400,(설정!$B$8+31),설정!$D$31)&amp;"",",",""),"　","")),0))</f>
        <v/>
      </c>
      <c r="AC37" s="27">
        <f>IF(설정!$D$32="",0,IFERROR(VALUE(SUBSTITUTE(SUBSTITUTE(INDEX(급여대장_원본!$A$1:$AZ$400,(설정!$B$8+31),설정!$D$32)&amp;"",",",""),"　","")),0))</f>
        <v/>
      </c>
      <c r="AD37" s="27">
        <f>IF(설정!$D$33="",0,IFERROR(VALUE(SUBSTITUTE(SUBSTITUTE(INDEX(급여대장_원본!$A$1:$AZ$400,(설정!$B$8+31),설정!$D$33)&amp;"",",",""),"　","")),0))</f>
        <v/>
      </c>
      <c r="AE37" s="27">
        <f>SUM(W37:AD37)</f>
        <v/>
      </c>
      <c r="AF37" s="27">
        <f>V37-AE37</f>
        <v/>
      </c>
      <c r="AG37" s="27">
        <f>IF(설정!$D$35="","",IF(설정!$D$35="",0,IFERROR(VALUE(SUBSTITUTE(SUBSTITUTE(INDEX(급여대장_원본!$A$1:$AZ$400,(설정!$B$8+31),설정!$D$35)&amp;"",",",""),"　","")),0)))</f>
        <v/>
      </c>
      <c r="AH37" s="27">
        <f>IF(설정!$D$36="","",IF(설정!$D$36="",0,IFERROR(VALUE(SUBSTITUTE(SUBSTITUTE(INDEX(급여대장_원본!$A$1:$AZ$400,(설정!$B$8+31),설정!$D$36)&amp;"",",",""),"　","")),0)))</f>
        <v/>
      </c>
      <c r="AI37" s="27">
        <f>IF(설정!$D$37="","",IF(설정!$D$37="",0,IFERROR(VALUE(SUBSTITUTE(SUBSTITUTE(INDEX(급여대장_원본!$A$1:$AZ$400,(설정!$B$8+31),설정!$D$37)&amp;"",",",""),"　","")),0)))</f>
        <v/>
      </c>
      <c r="AJ37" s="2">
        <f>IFERROR(INDEX($D$7:$D$306,MATCH(31,$B$7:$B$306,0)),"")</f>
        <v/>
      </c>
    </row>
    <row r="38">
      <c r="A38" s="2">
        <f>IF(AND(D38&lt;&gt;"",D38&lt;&gt;"합계",D38&lt;&gt;"총계",D38&lt;&gt;"소계",D38&lt;&gt;"계"),1,0)</f>
        <v/>
      </c>
      <c r="B38" s="2">
        <f>IF(A38=1,SUM($A$7:A38),"")</f>
        <v/>
      </c>
      <c r="C38" s="2">
        <f>IF(설정!$D$13="","",TRIM(SUBSTITUTE(INDEX(급여대장_원본!$A$1:$AZ$400,(설정!$B$8+32),설정!$D$13)&amp;"","　"," ")))</f>
        <v/>
      </c>
      <c r="D38" s="2">
        <f>IF(설정!$D$14="","",TRIM(SUBSTITUTE(INDEX(급여대장_원본!$A$1:$AZ$400,(설정!$B$8+32),설정!$D$14)&amp;"","　"," ")))</f>
        <v/>
      </c>
      <c r="E38" s="2">
        <f>IF(설정!$D$15="","",TRIM(SUBSTITUTE(INDEX(급여대장_원본!$A$1:$AZ$400,(설정!$B$8+32),설정!$D$15)&amp;"","　"," ")))</f>
        <v/>
      </c>
      <c r="F38" s="27">
        <f>IF(설정!$D$17="",0,IFERROR(VALUE(SUBSTITUTE(SUBSTITUTE(INDEX(급여대장_원본!$A$1:$AZ$400,(설정!$B$8+32),설정!$D$17)&amp;"",",",""),"　","")),0))</f>
        <v/>
      </c>
      <c r="G38" s="27">
        <f>IF(설정!$D$18="",0,IFERROR(VALUE(SUBSTITUTE(SUBSTITUTE(INDEX(급여대장_원본!$A$1:$AZ$400,(설정!$B$8+32),설정!$D$18)&amp;"",",",""),"　","")),0))</f>
        <v/>
      </c>
      <c r="H38" s="27">
        <f>IF(설정!$D$19="",0,IFERROR(VALUE(SUBSTITUTE(SUBSTITUTE(INDEX(급여대장_원본!$A$1:$AZ$400,(설정!$B$8+32),설정!$D$19)&amp;"",",",""),"　","")),0))</f>
        <v/>
      </c>
      <c r="I38" s="27">
        <f>IF(설정!$D$20="",0,IFERROR(VALUE(SUBSTITUTE(SUBSTITUTE(INDEX(급여대장_원본!$A$1:$AZ$400,(설정!$B$8+32),설정!$D$20)&amp;"",",",""),"　","")),0))</f>
        <v/>
      </c>
      <c r="J38" s="27">
        <f>IF(설정!$D$21="",0,IFERROR(VALUE(SUBSTITUTE(SUBSTITUTE(INDEX(급여대장_원본!$A$1:$AZ$400,(설정!$B$8+32),설정!$D$21)&amp;"",",",""),"　","")),0))</f>
        <v/>
      </c>
      <c r="K38" s="27">
        <f>IF(설정!$D$22="",0,IFERROR(VALUE(SUBSTITUTE(SUBSTITUTE(INDEX(급여대장_원본!$A$1:$AZ$400,(설정!$B$8+32),설정!$D$22)&amp;"",",",""),"　","")),0))</f>
        <v/>
      </c>
      <c r="L38" s="27">
        <f>IF(설정!$D$23="",0,IFERROR(VALUE(SUBSTITUTE(SUBSTITUTE(INDEX(급여대장_원본!$A$1:$AZ$400,(설정!$B$8+32),설정!$D$23)&amp;"",",",""),"　","")),0))</f>
        <v/>
      </c>
      <c r="M38" s="27">
        <f>IF(설정!$D$24="",0,IFERROR(VALUE(SUBSTITUTE(SUBSTITUTE(INDEX(급여대장_원본!$A$1:$AZ$400,(설정!$B$8+32),설정!$D$24)&amp;"",",",""),"　","")),0))</f>
        <v/>
      </c>
      <c r="N38" s="2">
        <f>IF(OR(설정!$C$17="",IFERROR(MATCH(설정!$C$17,INDEX(급여대장_원본!$A$1:$AZ$400,설정!$B$8,0),0),"")=""),"",IFERROR(VALUE(SUBSTITUTE(INDEX(급여대장_원본!$A$1:$AZ$400,(설정!$B$8+32),IFERROR(MATCH(설정!$C$17,INDEX(급여대장_원본!$A$1:$AZ$400,설정!$B$8,0),0),""))&amp;"",",","")),""))</f>
        <v/>
      </c>
      <c r="O38" s="2">
        <f>IF(OR(설정!$C$18="",IFERROR(MATCH(설정!$C$18,INDEX(급여대장_원본!$A$1:$AZ$400,설정!$B$8,0),0),"")=""),"",IFERROR(VALUE(SUBSTITUTE(INDEX(급여대장_원본!$A$1:$AZ$400,(설정!$B$8+32),IFERROR(MATCH(설정!$C$18,INDEX(급여대장_원본!$A$1:$AZ$400,설정!$B$8,0),0),""))&amp;"",",","")),""))</f>
        <v/>
      </c>
      <c r="P38" s="2">
        <f>IF(OR(설정!$C$19="",IFERROR(MATCH(설정!$C$19,INDEX(급여대장_원본!$A$1:$AZ$400,설정!$B$8,0),0),"")=""),"",IFERROR(VALUE(SUBSTITUTE(INDEX(급여대장_원본!$A$1:$AZ$400,(설정!$B$8+32),IFERROR(MATCH(설정!$C$19,INDEX(급여대장_원본!$A$1:$AZ$400,설정!$B$8,0),0),""))&amp;"",",","")),""))</f>
        <v/>
      </c>
      <c r="Q38" s="2">
        <f>IF(OR(설정!$C$20="",IFERROR(MATCH(설정!$C$20,INDEX(급여대장_원본!$A$1:$AZ$400,설정!$B$8,0),0),"")=""),"",IFERROR(VALUE(SUBSTITUTE(INDEX(급여대장_원본!$A$1:$AZ$400,(설정!$B$8+32),IFERROR(MATCH(설정!$C$20,INDEX(급여대장_원본!$A$1:$AZ$400,설정!$B$8,0),0),""))&amp;"",",","")),""))</f>
        <v/>
      </c>
      <c r="R38" s="2">
        <f>IF(OR(설정!$C$21="",IFERROR(MATCH(설정!$C$21,INDEX(급여대장_원본!$A$1:$AZ$400,설정!$B$8,0),0),"")=""),"",IFERROR(VALUE(SUBSTITUTE(INDEX(급여대장_원본!$A$1:$AZ$400,(설정!$B$8+32),IFERROR(MATCH(설정!$C$21,INDEX(급여대장_원본!$A$1:$AZ$400,설정!$B$8,0),0),""))&amp;"",",","")),""))</f>
        <v/>
      </c>
      <c r="S38" s="2">
        <f>IF(OR(설정!$C$22="",IFERROR(MATCH(설정!$C$22,INDEX(급여대장_원본!$A$1:$AZ$400,설정!$B$8,0),0),"")=""),"",IFERROR(VALUE(SUBSTITUTE(INDEX(급여대장_원본!$A$1:$AZ$400,(설정!$B$8+32),IFERROR(MATCH(설정!$C$22,INDEX(급여대장_원본!$A$1:$AZ$400,설정!$B$8,0),0),""))&amp;"",",","")),""))</f>
        <v/>
      </c>
      <c r="T38" s="2">
        <f>IF(OR(설정!$C$23="",IFERROR(MATCH(설정!$C$23,INDEX(급여대장_원본!$A$1:$AZ$400,설정!$B$8,0),0),"")=""),"",IFERROR(VALUE(SUBSTITUTE(INDEX(급여대장_원본!$A$1:$AZ$400,(설정!$B$8+32),IFERROR(MATCH(설정!$C$23,INDEX(급여대장_원본!$A$1:$AZ$400,설정!$B$8,0),0),""))&amp;"",",","")),""))</f>
        <v/>
      </c>
      <c r="U38" s="2">
        <f>IF(OR(설정!$C$24="",IFERROR(MATCH(설정!$C$24,INDEX(급여대장_원본!$A$1:$AZ$400,설정!$B$8,0),0),"")=""),"",IFERROR(VALUE(SUBSTITUTE(INDEX(급여대장_원본!$A$1:$AZ$400,(설정!$B$8+32),IFERROR(MATCH(설정!$C$24,INDEX(급여대장_원본!$A$1:$AZ$400,설정!$B$8,0),0),""))&amp;"",",","")),""))</f>
        <v/>
      </c>
      <c r="V38" s="27">
        <f>SUM(F38:M38)</f>
        <v/>
      </c>
      <c r="W38" s="27">
        <f>IF(설정!$D$26="",0,IFERROR(VALUE(SUBSTITUTE(SUBSTITUTE(INDEX(급여대장_원본!$A$1:$AZ$400,(설정!$B$8+32),설정!$D$26)&amp;"",",",""),"　","")),0))</f>
        <v/>
      </c>
      <c r="X38" s="27">
        <f>IF(설정!$D$27="",0,IFERROR(VALUE(SUBSTITUTE(SUBSTITUTE(INDEX(급여대장_원본!$A$1:$AZ$400,(설정!$B$8+32),설정!$D$27)&amp;"",",",""),"　","")),0))</f>
        <v/>
      </c>
      <c r="Y38" s="27">
        <f>IF(설정!$D$28="",0,IFERROR(VALUE(SUBSTITUTE(SUBSTITUTE(INDEX(급여대장_원본!$A$1:$AZ$400,(설정!$B$8+32),설정!$D$28)&amp;"",",",""),"　","")),0))</f>
        <v/>
      </c>
      <c r="Z38" s="27">
        <f>IF(설정!$D$29="",0,IFERROR(VALUE(SUBSTITUTE(SUBSTITUTE(INDEX(급여대장_원본!$A$1:$AZ$400,(설정!$B$8+32),설정!$D$29)&amp;"",",",""),"　","")),0))</f>
        <v/>
      </c>
      <c r="AA38" s="27">
        <f>IF(설정!$D$30="",0,IFERROR(VALUE(SUBSTITUTE(SUBSTITUTE(INDEX(급여대장_원본!$A$1:$AZ$400,(설정!$B$8+32),설정!$D$30)&amp;"",",",""),"　","")),0))</f>
        <v/>
      </c>
      <c r="AB38" s="27">
        <f>IF(설정!$D$31="",0,IFERROR(VALUE(SUBSTITUTE(SUBSTITUTE(INDEX(급여대장_원본!$A$1:$AZ$400,(설정!$B$8+32),설정!$D$31)&amp;"",",",""),"　","")),0))</f>
        <v/>
      </c>
      <c r="AC38" s="27">
        <f>IF(설정!$D$32="",0,IFERROR(VALUE(SUBSTITUTE(SUBSTITUTE(INDEX(급여대장_원본!$A$1:$AZ$400,(설정!$B$8+32),설정!$D$32)&amp;"",",",""),"　","")),0))</f>
        <v/>
      </c>
      <c r="AD38" s="27">
        <f>IF(설정!$D$33="",0,IFERROR(VALUE(SUBSTITUTE(SUBSTITUTE(INDEX(급여대장_원본!$A$1:$AZ$400,(설정!$B$8+32),설정!$D$33)&amp;"",",",""),"　","")),0))</f>
        <v/>
      </c>
      <c r="AE38" s="27">
        <f>SUM(W38:AD38)</f>
        <v/>
      </c>
      <c r="AF38" s="27">
        <f>V38-AE38</f>
        <v/>
      </c>
      <c r="AG38" s="27">
        <f>IF(설정!$D$35="","",IF(설정!$D$35="",0,IFERROR(VALUE(SUBSTITUTE(SUBSTITUTE(INDEX(급여대장_원본!$A$1:$AZ$400,(설정!$B$8+32),설정!$D$35)&amp;"",",",""),"　","")),0)))</f>
        <v/>
      </c>
      <c r="AH38" s="27">
        <f>IF(설정!$D$36="","",IF(설정!$D$36="",0,IFERROR(VALUE(SUBSTITUTE(SUBSTITUTE(INDEX(급여대장_원본!$A$1:$AZ$400,(설정!$B$8+32),설정!$D$36)&amp;"",",",""),"　","")),0)))</f>
        <v/>
      </c>
      <c r="AI38" s="27">
        <f>IF(설정!$D$37="","",IF(설정!$D$37="",0,IFERROR(VALUE(SUBSTITUTE(SUBSTITUTE(INDEX(급여대장_원본!$A$1:$AZ$400,(설정!$B$8+32),설정!$D$37)&amp;"",",",""),"　","")),0)))</f>
        <v/>
      </c>
      <c r="AJ38" s="2">
        <f>IFERROR(INDEX($D$7:$D$306,MATCH(32,$B$7:$B$306,0)),"")</f>
        <v/>
      </c>
    </row>
    <row r="39">
      <c r="A39" s="2">
        <f>IF(AND(D39&lt;&gt;"",D39&lt;&gt;"합계",D39&lt;&gt;"총계",D39&lt;&gt;"소계",D39&lt;&gt;"계"),1,0)</f>
        <v/>
      </c>
      <c r="B39" s="2">
        <f>IF(A39=1,SUM($A$7:A39),"")</f>
        <v/>
      </c>
      <c r="C39" s="2">
        <f>IF(설정!$D$13="","",TRIM(SUBSTITUTE(INDEX(급여대장_원본!$A$1:$AZ$400,(설정!$B$8+33),설정!$D$13)&amp;"","　"," ")))</f>
        <v/>
      </c>
      <c r="D39" s="2">
        <f>IF(설정!$D$14="","",TRIM(SUBSTITUTE(INDEX(급여대장_원본!$A$1:$AZ$400,(설정!$B$8+33),설정!$D$14)&amp;"","　"," ")))</f>
        <v/>
      </c>
      <c r="E39" s="2">
        <f>IF(설정!$D$15="","",TRIM(SUBSTITUTE(INDEX(급여대장_원본!$A$1:$AZ$400,(설정!$B$8+33),설정!$D$15)&amp;"","　"," ")))</f>
        <v/>
      </c>
      <c r="F39" s="27">
        <f>IF(설정!$D$17="",0,IFERROR(VALUE(SUBSTITUTE(SUBSTITUTE(INDEX(급여대장_원본!$A$1:$AZ$400,(설정!$B$8+33),설정!$D$17)&amp;"",",",""),"　","")),0))</f>
        <v/>
      </c>
      <c r="G39" s="27">
        <f>IF(설정!$D$18="",0,IFERROR(VALUE(SUBSTITUTE(SUBSTITUTE(INDEX(급여대장_원본!$A$1:$AZ$400,(설정!$B$8+33),설정!$D$18)&amp;"",",",""),"　","")),0))</f>
        <v/>
      </c>
      <c r="H39" s="27">
        <f>IF(설정!$D$19="",0,IFERROR(VALUE(SUBSTITUTE(SUBSTITUTE(INDEX(급여대장_원본!$A$1:$AZ$400,(설정!$B$8+33),설정!$D$19)&amp;"",",",""),"　","")),0))</f>
        <v/>
      </c>
      <c r="I39" s="27">
        <f>IF(설정!$D$20="",0,IFERROR(VALUE(SUBSTITUTE(SUBSTITUTE(INDEX(급여대장_원본!$A$1:$AZ$400,(설정!$B$8+33),설정!$D$20)&amp;"",",",""),"　","")),0))</f>
        <v/>
      </c>
      <c r="J39" s="27">
        <f>IF(설정!$D$21="",0,IFERROR(VALUE(SUBSTITUTE(SUBSTITUTE(INDEX(급여대장_원본!$A$1:$AZ$400,(설정!$B$8+33),설정!$D$21)&amp;"",",",""),"　","")),0))</f>
        <v/>
      </c>
      <c r="K39" s="27">
        <f>IF(설정!$D$22="",0,IFERROR(VALUE(SUBSTITUTE(SUBSTITUTE(INDEX(급여대장_원본!$A$1:$AZ$400,(설정!$B$8+33),설정!$D$22)&amp;"",",",""),"　","")),0))</f>
        <v/>
      </c>
      <c r="L39" s="27">
        <f>IF(설정!$D$23="",0,IFERROR(VALUE(SUBSTITUTE(SUBSTITUTE(INDEX(급여대장_원본!$A$1:$AZ$400,(설정!$B$8+33),설정!$D$23)&amp;"",",",""),"　","")),0))</f>
        <v/>
      </c>
      <c r="M39" s="27">
        <f>IF(설정!$D$24="",0,IFERROR(VALUE(SUBSTITUTE(SUBSTITUTE(INDEX(급여대장_원본!$A$1:$AZ$400,(설정!$B$8+33),설정!$D$24)&amp;"",",",""),"　","")),0))</f>
        <v/>
      </c>
      <c r="N39" s="2">
        <f>IF(OR(설정!$C$17="",IFERROR(MATCH(설정!$C$17,INDEX(급여대장_원본!$A$1:$AZ$400,설정!$B$8,0),0),"")=""),"",IFERROR(VALUE(SUBSTITUTE(INDEX(급여대장_원본!$A$1:$AZ$400,(설정!$B$8+33),IFERROR(MATCH(설정!$C$17,INDEX(급여대장_원본!$A$1:$AZ$400,설정!$B$8,0),0),""))&amp;"",",","")),""))</f>
        <v/>
      </c>
      <c r="O39" s="2">
        <f>IF(OR(설정!$C$18="",IFERROR(MATCH(설정!$C$18,INDEX(급여대장_원본!$A$1:$AZ$400,설정!$B$8,0),0),"")=""),"",IFERROR(VALUE(SUBSTITUTE(INDEX(급여대장_원본!$A$1:$AZ$400,(설정!$B$8+33),IFERROR(MATCH(설정!$C$18,INDEX(급여대장_원본!$A$1:$AZ$400,설정!$B$8,0),0),""))&amp;"",",","")),""))</f>
        <v/>
      </c>
      <c r="P39" s="2">
        <f>IF(OR(설정!$C$19="",IFERROR(MATCH(설정!$C$19,INDEX(급여대장_원본!$A$1:$AZ$400,설정!$B$8,0),0),"")=""),"",IFERROR(VALUE(SUBSTITUTE(INDEX(급여대장_원본!$A$1:$AZ$400,(설정!$B$8+33),IFERROR(MATCH(설정!$C$19,INDEX(급여대장_원본!$A$1:$AZ$400,설정!$B$8,0),0),""))&amp;"",",","")),""))</f>
        <v/>
      </c>
      <c r="Q39" s="2">
        <f>IF(OR(설정!$C$20="",IFERROR(MATCH(설정!$C$20,INDEX(급여대장_원본!$A$1:$AZ$400,설정!$B$8,0),0),"")=""),"",IFERROR(VALUE(SUBSTITUTE(INDEX(급여대장_원본!$A$1:$AZ$400,(설정!$B$8+33),IFERROR(MATCH(설정!$C$20,INDEX(급여대장_원본!$A$1:$AZ$400,설정!$B$8,0),0),""))&amp;"",",","")),""))</f>
        <v/>
      </c>
      <c r="R39" s="2">
        <f>IF(OR(설정!$C$21="",IFERROR(MATCH(설정!$C$21,INDEX(급여대장_원본!$A$1:$AZ$400,설정!$B$8,0),0),"")=""),"",IFERROR(VALUE(SUBSTITUTE(INDEX(급여대장_원본!$A$1:$AZ$400,(설정!$B$8+33),IFERROR(MATCH(설정!$C$21,INDEX(급여대장_원본!$A$1:$AZ$400,설정!$B$8,0),0),""))&amp;"",",","")),""))</f>
        <v/>
      </c>
      <c r="S39" s="2">
        <f>IF(OR(설정!$C$22="",IFERROR(MATCH(설정!$C$22,INDEX(급여대장_원본!$A$1:$AZ$400,설정!$B$8,0),0),"")=""),"",IFERROR(VALUE(SUBSTITUTE(INDEX(급여대장_원본!$A$1:$AZ$400,(설정!$B$8+33),IFERROR(MATCH(설정!$C$22,INDEX(급여대장_원본!$A$1:$AZ$400,설정!$B$8,0),0),""))&amp;"",",","")),""))</f>
        <v/>
      </c>
      <c r="T39" s="2">
        <f>IF(OR(설정!$C$23="",IFERROR(MATCH(설정!$C$23,INDEX(급여대장_원본!$A$1:$AZ$400,설정!$B$8,0),0),"")=""),"",IFERROR(VALUE(SUBSTITUTE(INDEX(급여대장_원본!$A$1:$AZ$400,(설정!$B$8+33),IFERROR(MATCH(설정!$C$23,INDEX(급여대장_원본!$A$1:$AZ$400,설정!$B$8,0),0),""))&amp;"",",","")),""))</f>
        <v/>
      </c>
      <c r="U39" s="2">
        <f>IF(OR(설정!$C$24="",IFERROR(MATCH(설정!$C$24,INDEX(급여대장_원본!$A$1:$AZ$400,설정!$B$8,0),0),"")=""),"",IFERROR(VALUE(SUBSTITUTE(INDEX(급여대장_원본!$A$1:$AZ$400,(설정!$B$8+33),IFERROR(MATCH(설정!$C$24,INDEX(급여대장_원본!$A$1:$AZ$400,설정!$B$8,0),0),""))&amp;"",",","")),""))</f>
        <v/>
      </c>
      <c r="V39" s="27">
        <f>SUM(F39:M39)</f>
        <v/>
      </c>
      <c r="W39" s="27">
        <f>IF(설정!$D$26="",0,IFERROR(VALUE(SUBSTITUTE(SUBSTITUTE(INDEX(급여대장_원본!$A$1:$AZ$400,(설정!$B$8+33),설정!$D$26)&amp;"",",",""),"　","")),0))</f>
        <v/>
      </c>
      <c r="X39" s="27">
        <f>IF(설정!$D$27="",0,IFERROR(VALUE(SUBSTITUTE(SUBSTITUTE(INDEX(급여대장_원본!$A$1:$AZ$400,(설정!$B$8+33),설정!$D$27)&amp;"",",",""),"　","")),0))</f>
        <v/>
      </c>
      <c r="Y39" s="27">
        <f>IF(설정!$D$28="",0,IFERROR(VALUE(SUBSTITUTE(SUBSTITUTE(INDEX(급여대장_원본!$A$1:$AZ$400,(설정!$B$8+33),설정!$D$28)&amp;"",",",""),"　","")),0))</f>
        <v/>
      </c>
      <c r="Z39" s="27">
        <f>IF(설정!$D$29="",0,IFERROR(VALUE(SUBSTITUTE(SUBSTITUTE(INDEX(급여대장_원본!$A$1:$AZ$400,(설정!$B$8+33),설정!$D$29)&amp;"",",",""),"　","")),0))</f>
        <v/>
      </c>
      <c r="AA39" s="27">
        <f>IF(설정!$D$30="",0,IFERROR(VALUE(SUBSTITUTE(SUBSTITUTE(INDEX(급여대장_원본!$A$1:$AZ$400,(설정!$B$8+33),설정!$D$30)&amp;"",",",""),"　","")),0))</f>
        <v/>
      </c>
      <c r="AB39" s="27">
        <f>IF(설정!$D$31="",0,IFERROR(VALUE(SUBSTITUTE(SUBSTITUTE(INDEX(급여대장_원본!$A$1:$AZ$400,(설정!$B$8+33),설정!$D$31)&amp;"",",",""),"　","")),0))</f>
        <v/>
      </c>
      <c r="AC39" s="27">
        <f>IF(설정!$D$32="",0,IFERROR(VALUE(SUBSTITUTE(SUBSTITUTE(INDEX(급여대장_원본!$A$1:$AZ$400,(설정!$B$8+33),설정!$D$32)&amp;"",",",""),"　","")),0))</f>
        <v/>
      </c>
      <c r="AD39" s="27">
        <f>IF(설정!$D$33="",0,IFERROR(VALUE(SUBSTITUTE(SUBSTITUTE(INDEX(급여대장_원본!$A$1:$AZ$400,(설정!$B$8+33),설정!$D$33)&amp;"",",",""),"　","")),0))</f>
        <v/>
      </c>
      <c r="AE39" s="27">
        <f>SUM(W39:AD39)</f>
        <v/>
      </c>
      <c r="AF39" s="27">
        <f>V39-AE39</f>
        <v/>
      </c>
      <c r="AG39" s="27">
        <f>IF(설정!$D$35="","",IF(설정!$D$35="",0,IFERROR(VALUE(SUBSTITUTE(SUBSTITUTE(INDEX(급여대장_원본!$A$1:$AZ$400,(설정!$B$8+33),설정!$D$35)&amp;"",",",""),"　","")),0)))</f>
        <v/>
      </c>
      <c r="AH39" s="27">
        <f>IF(설정!$D$36="","",IF(설정!$D$36="",0,IFERROR(VALUE(SUBSTITUTE(SUBSTITUTE(INDEX(급여대장_원본!$A$1:$AZ$400,(설정!$B$8+33),설정!$D$36)&amp;"",",",""),"　","")),0)))</f>
        <v/>
      </c>
      <c r="AI39" s="27">
        <f>IF(설정!$D$37="","",IF(설정!$D$37="",0,IFERROR(VALUE(SUBSTITUTE(SUBSTITUTE(INDEX(급여대장_원본!$A$1:$AZ$400,(설정!$B$8+33),설정!$D$37)&amp;"",",",""),"　","")),0)))</f>
        <v/>
      </c>
      <c r="AJ39" s="2">
        <f>IFERROR(INDEX($D$7:$D$306,MATCH(33,$B$7:$B$306,0)),"")</f>
        <v/>
      </c>
    </row>
    <row r="40">
      <c r="A40" s="2">
        <f>IF(AND(D40&lt;&gt;"",D40&lt;&gt;"합계",D40&lt;&gt;"총계",D40&lt;&gt;"소계",D40&lt;&gt;"계"),1,0)</f>
        <v/>
      </c>
      <c r="B40" s="2">
        <f>IF(A40=1,SUM($A$7:A40),"")</f>
        <v/>
      </c>
      <c r="C40" s="2">
        <f>IF(설정!$D$13="","",TRIM(SUBSTITUTE(INDEX(급여대장_원본!$A$1:$AZ$400,(설정!$B$8+34),설정!$D$13)&amp;"","　"," ")))</f>
        <v/>
      </c>
      <c r="D40" s="2">
        <f>IF(설정!$D$14="","",TRIM(SUBSTITUTE(INDEX(급여대장_원본!$A$1:$AZ$400,(설정!$B$8+34),설정!$D$14)&amp;"","　"," ")))</f>
        <v/>
      </c>
      <c r="E40" s="2">
        <f>IF(설정!$D$15="","",TRIM(SUBSTITUTE(INDEX(급여대장_원본!$A$1:$AZ$400,(설정!$B$8+34),설정!$D$15)&amp;"","　"," ")))</f>
        <v/>
      </c>
      <c r="F40" s="27">
        <f>IF(설정!$D$17="",0,IFERROR(VALUE(SUBSTITUTE(SUBSTITUTE(INDEX(급여대장_원본!$A$1:$AZ$400,(설정!$B$8+34),설정!$D$17)&amp;"",",",""),"　","")),0))</f>
        <v/>
      </c>
      <c r="G40" s="27">
        <f>IF(설정!$D$18="",0,IFERROR(VALUE(SUBSTITUTE(SUBSTITUTE(INDEX(급여대장_원본!$A$1:$AZ$400,(설정!$B$8+34),설정!$D$18)&amp;"",",",""),"　","")),0))</f>
        <v/>
      </c>
      <c r="H40" s="27">
        <f>IF(설정!$D$19="",0,IFERROR(VALUE(SUBSTITUTE(SUBSTITUTE(INDEX(급여대장_원본!$A$1:$AZ$400,(설정!$B$8+34),설정!$D$19)&amp;"",",",""),"　","")),0))</f>
        <v/>
      </c>
      <c r="I40" s="27">
        <f>IF(설정!$D$20="",0,IFERROR(VALUE(SUBSTITUTE(SUBSTITUTE(INDEX(급여대장_원본!$A$1:$AZ$400,(설정!$B$8+34),설정!$D$20)&amp;"",",",""),"　","")),0))</f>
        <v/>
      </c>
      <c r="J40" s="27">
        <f>IF(설정!$D$21="",0,IFERROR(VALUE(SUBSTITUTE(SUBSTITUTE(INDEX(급여대장_원본!$A$1:$AZ$400,(설정!$B$8+34),설정!$D$21)&amp;"",",",""),"　","")),0))</f>
        <v/>
      </c>
      <c r="K40" s="27">
        <f>IF(설정!$D$22="",0,IFERROR(VALUE(SUBSTITUTE(SUBSTITUTE(INDEX(급여대장_원본!$A$1:$AZ$400,(설정!$B$8+34),설정!$D$22)&amp;"",",",""),"　","")),0))</f>
        <v/>
      </c>
      <c r="L40" s="27">
        <f>IF(설정!$D$23="",0,IFERROR(VALUE(SUBSTITUTE(SUBSTITUTE(INDEX(급여대장_원본!$A$1:$AZ$400,(설정!$B$8+34),설정!$D$23)&amp;"",",",""),"　","")),0))</f>
        <v/>
      </c>
      <c r="M40" s="27">
        <f>IF(설정!$D$24="",0,IFERROR(VALUE(SUBSTITUTE(SUBSTITUTE(INDEX(급여대장_원본!$A$1:$AZ$400,(설정!$B$8+34),설정!$D$24)&amp;"",",",""),"　","")),0))</f>
        <v/>
      </c>
      <c r="N40" s="2">
        <f>IF(OR(설정!$C$17="",IFERROR(MATCH(설정!$C$17,INDEX(급여대장_원본!$A$1:$AZ$400,설정!$B$8,0),0),"")=""),"",IFERROR(VALUE(SUBSTITUTE(INDEX(급여대장_원본!$A$1:$AZ$400,(설정!$B$8+34),IFERROR(MATCH(설정!$C$17,INDEX(급여대장_원본!$A$1:$AZ$400,설정!$B$8,0),0),""))&amp;"",",","")),""))</f>
        <v/>
      </c>
      <c r="O40" s="2">
        <f>IF(OR(설정!$C$18="",IFERROR(MATCH(설정!$C$18,INDEX(급여대장_원본!$A$1:$AZ$400,설정!$B$8,0),0),"")=""),"",IFERROR(VALUE(SUBSTITUTE(INDEX(급여대장_원본!$A$1:$AZ$400,(설정!$B$8+34),IFERROR(MATCH(설정!$C$18,INDEX(급여대장_원본!$A$1:$AZ$400,설정!$B$8,0),0),""))&amp;"",",","")),""))</f>
        <v/>
      </c>
      <c r="P40" s="2">
        <f>IF(OR(설정!$C$19="",IFERROR(MATCH(설정!$C$19,INDEX(급여대장_원본!$A$1:$AZ$400,설정!$B$8,0),0),"")=""),"",IFERROR(VALUE(SUBSTITUTE(INDEX(급여대장_원본!$A$1:$AZ$400,(설정!$B$8+34),IFERROR(MATCH(설정!$C$19,INDEX(급여대장_원본!$A$1:$AZ$400,설정!$B$8,0),0),""))&amp;"",",","")),""))</f>
        <v/>
      </c>
      <c r="Q40" s="2">
        <f>IF(OR(설정!$C$20="",IFERROR(MATCH(설정!$C$20,INDEX(급여대장_원본!$A$1:$AZ$400,설정!$B$8,0),0),"")=""),"",IFERROR(VALUE(SUBSTITUTE(INDEX(급여대장_원본!$A$1:$AZ$400,(설정!$B$8+34),IFERROR(MATCH(설정!$C$20,INDEX(급여대장_원본!$A$1:$AZ$400,설정!$B$8,0),0),""))&amp;"",",","")),""))</f>
        <v/>
      </c>
      <c r="R40" s="2">
        <f>IF(OR(설정!$C$21="",IFERROR(MATCH(설정!$C$21,INDEX(급여대장_원본!$A$1:$AZ$400,설정!$B$8,0),0),"")=""),"",IFERROR(VALUE(SUBSTITUTE(INDEX(급여대장_원본!$A$1:$AZ$400,(설정!$B$8+34),IFERROR(MATCH(설정!$C$21,INDEX(급여대장_원본!$A$1:$AZ$400,설정!$B$8,0),0),""))&amp;"",",","")),""))</f>
        <v/>
      </c>
      <c r="S40" s="2">
        <f>IF(OR(설정!$C$22="",IFERROR(MATCH(설정!$C$22,INDEX(급여대장_원본!$A$1:$AZ$400,설정!$B$8,0),0),"")=""),"",IFERROR(VALUE(SUBSTITUTE(INDEX(급여대장_원본!$A$1:$AZ$400,(설정!$B$8+34),IFERROR(MATCH(설정!$C$22,INDEX(급여대장_원본!$A$1:$AZ$400,설정!$B$8,0),0),""))&amp;"",",","")),""))</f>
        <v/>
      </c>
      <c r="T40" s="2">
        <f>IF(OR(설정!$C$23="",IFERROR(MATCH(설정!$C$23,INDEX(급여대장_원본!$A$1:$AZ$400,설정!$B$8,0),0),"")=""),"",IFERROR(VALUE(SUBSTITUTE(INDEX(급여대장_원본!$A$1:$AZ$400,(설정!$B$8+34),IFERROR(MATCH(설정!$C$23,INDEX(급여대장_원본!$A$1:$AZ$400,설정!$B$8,0),0),""))&amp;"",",","")),""))</f>
        <v/>
      </c>
      <c r="U40" s="2">
        <f>IF(OR(설정!$C$24="",IFERROR(MATCH(설정!$C$24,INDEX(급여대장_원본!$A$1:$AZ$400,설정!$B$8,0),0),"")=""),"",IFERROR(VALUE(SUBSTITUTE(INDEX(급여대장_원본!$A$1:$AZ$400,(설정!$B$8+34),IFERROR(MATCH(설정!$C$24,INDEX(급여대장_원본!$A$1:$AZ$400,설정!$B$8,0),0),""))&amp;"",",","")),""))</f>
        <v/>
      </c>
      <c r="V40" s="27">
        <f>SUM(F40:M40)</f>
        <v/>
      </c>
      <c r="W40" s="27">
        <f>IF(설정!$D$26="",0,IFERROR(VALUE(SUBSTITUTE(SUBSTITUTE(INDEX(급여대장_원본!$A$1:$AZ$400,(설정!$B$8+34),설정!$D$26)&amp;"",",",""),"　","")),0))</f>
        <v/>
      </c>
      <c r="X40" s="27">
        <f>IF(설정!$D$27="",0,IFERROR(VALUE(SUBSTITUTE(SUBSTITUTE(INDEX(급여대장_원본!$A$1:$AZ$400,(설정!$B$8+34),설정!$D$27)&amp;"",",",""),"　","")),0))</f>
        <v/>
      </c>
      <c r="Y40" s="27">
        <f>IF(설정!$D$28="",0,IFERROR(VALUE(SUBSTITUTE(SUBSTITUTE(INDEX(급여대장_원본!$A$1:$AZ$400,(설정!$B$8+34),설정!$D$28)&amp;"",",",""),"　","")),0))</f>
        <v/>
      </c>
      <c r="Z40" s="27">
        <f>IF(설정!$D$29="",0,IFERROR(VALUE(SUBSTITUTE(SUBSTITUTE(INDEX(급여대장_원본!$A$1:$AZ$400,(설정!$B$8+34),설정!$D$29)&amp;"",",",""),"　","")),0))</f>
        <v/>
      </c>
      <c r="AA40" s="27">
        <f>IF(설정!$D$30="",0,IFERROR(VALUE(SUBSTITUTE(SUBSTITUTE(INDEX(급여대장_원본!$A$1:$AZ$400,(설정!$B$8+34),설정!$D$30)&amp;"",",",""),"　","")),0))</f>
        <v/>
      </c>
      <c r="AB40" s="27">
        <f>IF(설정!$D$31="",0,IFERROR(VALUE(SUBSTITUTE(SUBSTITUTE(INDEX(급여대장_원본!$A$1:$AZ$400,(설정!$B$8+34),설정!$D$31)&amp;"",",",""),"　","")),0))</f>
        <v/>
      </c>
      <c r="AC40" s="27">
        <f>IF(설정!$D$32="",0,IFERROR(VALUE(SUBSTITUTE(SUBSTITUTE(INDEX(급여대장_원본!$A$1:$AZ$400,(설정!$B$8+34),설정!$D$32)&amp;"",",",""),"　","")),0))</f>
        <v/>
      </c>
      <c r="AD40" s="27">
        <f>IF(설정!$D$33="",0,IFERROR(VALUE(SUBSTITUTE(SUBSTITUTE(INDEX(급여대장_원본!$A$1:$AZ$400,(설정!$B$8+34),설정!$D$33)&amp;"",",",""),"　","")),0))</f>
        <v/>
      </c>
      <c r="AE40" s="27">
        <f>SUM(W40:AD40)</f>
        <v/>
      </c>
      <c r="AF40" s="27">
        <f>V40-AE40</f>
        <v/>
      </c>
      <c r="AG40" s="27">
        <f>IF(설정!$D$35="","",IF(설정!$D$35="",0,IFERROR(VALUE(SUBSTITUTE(SUBSTITUTE(INDEX(급여대장_원본!$A$1:$AZ$400,(설정!$B$8+34),설정!$D$35)&amp;"",",",""),"　","")),0)))</f>
        <v/>
      </c>
      <c r="AH40" s="27">
        <f>IF(설정!$D$36="","",IF(설정!$D$36="",0,IFERROR(VALUE(SUBSTITUTE(SUBSTITUTE(INDEX(급여대장_원본!$A$1:$AZ$400,(설정!$B$8+34),설정!$D$36)&amp;"",",",""),"　","")),0)))</f>
        <v/>
      </c>
      <c r="AI40" s="27">
        <f>IF(설정!$D$37="","",IF(설정!$D$37="",0,IFERROR(VALUE(SUBSTITUTE(SUBSTITUTE(INDEX(급여대장_원본!$A$1:$AZ$400,(설정!$B$8+34),설정!$D$37)&amp;"",",",""),"　","")),0)))</f>
        <v/>
      </c>
      <c r="AJ40" s="2">
        <f>IFERROR(INDEX($D$7:$D$306,MATCH(34,$B$7:$B$306,0)),"")</f>
        <v/>
      </c>
    </row>
    <row r="41">
      <c r="A41" s="2">
        <f>IF(AND(D41&lt;&gt;"",D41&lt;&gt;"합계",D41&lt;&gt;"총계",D41&lt;&gt;"소계",D41&lt;&gt;"계"),1,0)</f>
        <v/>
      </c>
      <c r="B41" s="2">
        <f>IF(A41=1,SUM($A$7:A41),"")</f>
        <v/>
      </c>
      <c r="C41" s="2">
        <f>IF(설정!$D$13="","",TRIM(SUBSTITUTE(INDEX(급여대장_원본!$A$1:$AZ$400,(설정!$B$8+35),설정!$D$13)&amp;"","　"," ")))</f>
        <v/>
      </c>
      <c r="D41" s="2">
        <f>IF(설정!$D$14="","",TRIM(SUBSTITUTE(INDEX(급여대장_원본!$A$1:$AZ$400,(설정!$B$8+35),설정!$D$14)&amp;"","　"," ")))</f>
        <v/>
      </c>
      <c r="E41" s="2">
        <f>IF(설정!$D$15="","",TRIM(SUBSTITUTE(INDEX(급여대장_원본!$A$1:$AZ$400,(설정!$B$8+35),설정!$D$15)&amp;"","　"," ")))</f>
        <v/>
      </c>
      <c r="F41" s="27">
        <f>IF(설정!$D$17="",0,IFERROR(VALUE(SUBSTITUTE(SUBSTITUTE(INDEX(급여대장_원본!$A$1:$AZ$400,(설정!$B$8+35),설정!$D$17)&amp;"",",",""),"　","")),0))</f>
        <v/>
      </c>
      <c r="G41" s="27">
        <f>IF(설정!$D$18="",0,IFERROR(VALUE(SUBSTITUTE(SUBSTITUTE(INDEX(급여대장_원본!$A$1:$AZ$400,(설정!$B$8+35),설정!$D$18)&amp;"",",",""),"　","")),0))</f>
        <v/>
      </c>
      <c r="H41" s="27">
        <f>IF(설정!$D$19="",0,IFERROR(VALUE(SUBSTITUTE(SUBSTITUTE(INDEX(급여대장_원본!$A$1:$AZ$400,(설정!$B$8+35),설정!$D$19)&amp;"",",",""),"　","")),0))</f>
        <v/>
      </c>
      <c r="I41" s="27">
        <f>IF(설정!$D$20="",0,IFERROR(VALUE(SUBSTITUTE(SUBSTITUTE(INDEX(급여대장_원본!$A$1:$AZ$400,(설정!$B$8+35),설정!$D$20)&amp;"",",",""),"　","")),0))</f>
        <v/>
      </c>
      <c r="J41" s="27">
        <f>IF(설정!$D$21="",0,IFERROR(VALUE(SUBSTITUTE(SUBSTITUTE(INDEX(급여대장_원본!$A$1:$AZ$400,(설정!$B$8+35),설정!$D$21)&amp;"",",",""),"　","")),0))</f>
        <v/>
      </c>
      <c r="K41" s="27">
        <f>IF(설정!$D$22="",0,IFERROR(VALUE(SUBSTITUTE(SUBSTITUTE(INDEX(급여대장_원본!$A$1:$AZ$400,(설정!$B$8+35),설정!$D$22)&amp;"",",",""),"　","")),0))</f>
        <v/>
      </c>
      <c r="L41" s="27">
        <f>IF(설정!$D$23="",0,IFERROR(VALUE(SUBSTITUTE(SUBSTITUTE(INDEX(급여대장_원본!$A$1:$AZ$400,(설정!$B$8+35),설정!$D$23)&amp;"",",",""),"　","")),0))</f>
        <v/>
      </c>
      <c r="M41" s="27">
        <f>IF(설정!$D$24="",0,IFERROR(VALUE(SUBSTITUTE(SUBSTITUTE(INDEX(급여대장_원본!$A$1:$AZ$400,(설정!$B$8+35),설정!$D$24)&amp;"",",",""),"　","")),0))</f>
        <v/>
      </c>
      <c r="N41" s="2">
        <f>IF(OR(설정!$C$17="",IFERROR(MATCH(설정!$C$17,INDEX(급여대장_원본!$A$1:$AZ$400,설정!$B$8,0),0),"")=""),"",IFERROR(VALUE(SUBSTITUTE(INDEX(급여대장_원본!$A$1:$AZ$400,(설정!$B$8+35),IFERROR(MATCH(설정!$C$17,INDEX(급여대장_원본!$A$1:$AZ$400,설정!$B$8,0),0),""))&amp;"",",","")),""))</f>
        <v/>
      </c>
      <c r="O41" s="2">
        <f>IF(OR(설정!$C$18="",IFERROR(MATCH(설정!$C$18,INDEX(급여대장_원본!$A$1:$AZ$400,설정!$B$8,0),0),"")=""),"",IFERROR(VALUE(SUBSTITUTE(INDEX(급여대장_원본!$A$1:$AZ$400,(설정!$B$8+35),IFERROR(MATCH(설정!$C$18,INDEX(급여대장_원본!$A$1:$AZ$400,설정!$B$8,0),0),""))&amp;"",",","")),""))</f>
        <v/>
      </c>
      <c r="P41" s="2">
        <f>IF(OR(설정!$C$19="",IFERROR(MATCH(설정!$C$19,INDEX(급여대장_원본!$A$1:$AZ$400,설정!$B$8,0),0),"")=""),"",IFERROR(VALUE(SUBSTITUTE(INDEX(급여대장_원본!$A$1:$AZ$400,(설정!$B$8+35),IFERROR(MATCH(설정!$C$19,INDEX(급여대장_원본!$A$1:$AZ$400,설정!$B$8,0),0),""))&amp;"",",","")),""))</f>
        <v/>
      </c>
      <c r="Q41" s="2">
        <f>IF(OR(설정!$C$20="",IFERROR(MATCH(설정!$C$20,INDEX(급여대장_원본!$A$1:$AZ$400,설정!$B$8,0),0),"")=""),"",IFERROR(VALUE(SUBSTITUTE(INDEX(급여대장_원본!$A$1:$AZ$400,(설정!$B$8+35),IFERROR(MATCH(설정!$C$20,INDEX(급여대장_원본!$A$1:$AZ$400,설정!$B$8,0),0),""))&amp;"",",","")),""))</f>
        <v/>
      </c>
      <c r="R41" s="2">
        <f>IF(OR(설정!$C$21="",IFERROR(MATCH(설정!$C$21,INDEX(급여대장_원본!$A$1:$AZ$400,설정!$B$8,0),0),"")=""),"",IFERROR(VALUE(SUBSTITUTE(INDEX(급여대장_원본!$A$1:$AZ$400,(설정!$B$8+35),IFERROR(MATCH(설정!$C$21,INDEX(급여대장_원본!$A$1:$AZ$400,설정!$B$8,0),0),""))&amp;"",",","")),""))</f>
        <v/>
      </c>
      <c r="S41" s="2">
        <f>IF(OR(설정!$C$22="",IFERROR(MATCH(설정!$C$22,INDEX(급여대장_원본!$A$1:$AZ$400,설정!$B$8,0),0),"")=""),"",IFERROR(VALUE(SUBSTITUTE(INDEX(급여대장_원본!$A$1:$AZ$400,(설정!$B$8+35),IFERROR(MATCH(설정!$C$22,INDEX(급여대장_원본!$A$1:$AZ$400,설정!$B$8,0),0),""))&amp;"",",","")),""))</f>
        <v/>
      </c>
      <c r="T41" s="2">
        <f>IF(OR(설정!$C$23="",IFERROR(MATCH(설정!$C$23,INDEX(급여대장_원본!$A$1:$AZ$400,설정!$B$8,0),0),"")=""),"",IFERROR(VALUE(SUBSTITUTE(INDEX(급여대장_원본!$A$1:$AZ$400,(설정!$B$8+35),IFERROR(MATCH(설정!$C$23,INDEX(급여대장_원본!$A$1:$AZ$400,설정!$B$8,0),0),""))&amp;"",",","")),""))</f>
        <v/>
      </c>
      <c r="U41" s="2">
        <f>IF(OR(설정!$C$24="",IFERROR(MATCH(설정!$C$24,INDEX(급여대장_원본!$A$1:$AZ$400,설정!$B$8,0),0),"")=""),"",IFERROR(VALUE(SUBSTITUTE(INDEX(급여대장_원본!$A$1:$AZ$400,(설정!$B$8+35),IFERROR(MATCH(설정!$C$24,INDEX(급여대장_원본!$A$1:$AZ$400,설정!$B$8,0),0),""))&amp;"",",","")),""))</f>
        <v/>
      </c>
      <c r="V41" s="27">
        <f>SUM(F41:M41)</f>
        <v/>
      </c>
      <c r="W41" s="27">
        <f>IF(설정!$D$26="",0,IFERROR(VALUE(SUBSTITUTE(SUBSTITUTE(INDEX(급여대장_원본!$A$1:$AZ$400,(설정!$B$8+35),설정!$D$26)&amp;"",",",""),"　","")),0))</f>
        <v/>
      </c>
      <c r="X41" s="27">
        <f>IF(설정!$D$27="",0,IFERROR(VALUE(SUBSTITUTE(SUBSTITUTE(INDEX(급여대장_원본!$A$1:$AZ$400,(설정!$B$8+35),설정!$D$27)&amp;"",",",""),"　","")),0))</f>
        <v/>
      </c>
      <c r="Y41" s="27">
        <f>IF(설정!$D$28="",0,IFERROR(VALUE(SUBSTITUTE(SUBSTITUTE(INDEX(급여대장_원본!$A$1:$AZ$400,(설정!$B$8+35),설정!$D$28)&amp;"",",",""),"　","")),0))</f>
        <v/>
      </c>
      <c r="Z41" s="27">
        <f>IF(설정!$D$29="",0,IFERROR(VALUE(SUBSTITUTE(SUBSTITUTE(INDEX(급여대장_원본!$A$1:$AZ$400,(설정!$B$8+35),설정!$D$29)&amp;"",",",""),"　","")),0))</f>
        <v/>
      </c>
      <c r="AA41" s="27">
        <f>IF(설정!$D$30="",0,IFERROR(VALUE(SUBSTITUTE(SUBSTITUTE(INDEX(급여대장_원본!$A$1:$AZ$400,(설정!$B$8+35),설정!$D$30)&amp;"",",",""),"　","")),0))</f>
        <v/>
      </c>
      <c r="AB41" s="27">
        <f>IF(설정!$D$31="",0,IFERROR(VALUE(SUBSTITUTE(SUBSTITUTE(INDEX(급여대장_원본!$A$1:$AZ$400,(설정!$B$8+35),설정!$D$31)&amp;"",",",""),"　","")),0))</f>
        <v/>
      </c>
      <c r="AC41" s="27">
        <f>IF(설정!$D$32="",0,IFERROR(VALUE(SUBSTITUTE(SUBSTITUTE(INDEX(급여대장_원본!$A$1:$AZ$400,(설정!$B$8+35),설정!$D$32)&amp;"",",",""),"　","")),0))</f>
        <v/>
      </c>
      <c r="AD41" s="27">
        <f>IF(설정!$D$33="",0,IFERROR(VALUE(SUBSTITUTE(SUBSTITUTE(INDEX(급여대장_원본!$A$1:$AZ$400,(설정!$B$8+35),설정!$D$33)&amp;"",",",""),"　","")),0))</f>
        <v/>
      </c>
      <c r="AE41" s="27">
        <f>SUM(W41:AD41)</f>
        <v/>
      </c>
      <c r="AF41" s="27">
        <f>V41-AE41</f>
        <v/>
      </c>
      <c r="AG41" s="27">
        <f>IF(설정!$D$35="","",IF(설정!$D$35="",0,IFERROR(VALUE(SUBSTITUTE(SUBSTITUTE(INDEX(급여대장_원본!$A$1:$AZ$400,(설정!$B$8+35),설정!$D$35)&amp;"",",",""),"　","")),0)))</f>
        <v/>
      </c>
      <c r="AH41" s="27">
        <f>IF(설정!$D$36="","",IF(설정!$D$36="",0,IFERROR(VALUE(SUBSTITUTE(SUBSTITUTE(INDEX(급여대장_원본!$A$1:$AZ$400,(설정!$B$8+35),설정!$D$36)&amp;"",",",""),"　","")),0)))</f>
        <v/>
      </c>
      <c r="AI41" s="27">
        <f>IF(설정!$D$37="","",IF(설정!$D$37="",0,IFERROR(VALUE(SUBSTITUTE(SUBSTITUTE(INDEX(급여대장_원본!$A$1:$AZ$400,(설정!$B$8+35),설정!$D$37)&amp;"",",",""),"　","")),0)))</f>
        <v/>
      </c>
      <c r="AJ41" s="2">
        <f>IFERROR(INDEX($D$7:$D$306,MATCH(35,$B$7:$B$306,0)),"")</f>
        <v/>
      </c>
    </row>
    <row r="42">
      <c r="A42" s="2">
        <f>IF(AND(D42&lt;&gt;"",D42&lt;&gt;"합계",D42&lt;&gt;"총계",D42&lt;&gt;"소계",D42&lt;&gt;"계"),1,0)</f>
        <v/>
      </c>
      <c r="B42" s="2">
        <f>IF(A42=1,SUM($A$7:A42),"")</f>
        <v/>
      </c>
      <c r="C42" s="2">
        <f>IF(설정!$D$13="","",TRIM(SUBSTITUTE(INDEX(급여대장_원본!$A$1:$AZ$400,(설정!$B$8+36),설정!$D$13)&amp;"","　"," ")))</f>
        <v/>
      </c>
      <c r="D42" s="2">
        <f>IF(설정!$D$14="","",TRIM(SUBSTITUTE(INDEX(급여대장_원본!$A$1:$AZ$400,(설정!$B$8+36),설정!$D$14)&amp;"","　"," ")))</f>
        <v/>
      </c>
      <c r="E42" s="2">
        <f>IF(설정!$D$15="","",TRIM(SUBSTITUTE(INDEX(급여대장_원본!$A$1:$AZ$400,(설정!$B$8+36),설정!$D$15)&amp;"","　"," ")))</f>
        <v/>
      </c>
      <c r="F42" s="27">
        <f>IF(설정!$D$17="",0,IFERROR(VALUE(SUBSTITUTE(SUBSTITUTE(INDEX(급여대장_원본!$A$1:$AZ$400,(설정!$B$8+36),설정!$D$17)&amp;"",",",""),"　","")),0))</f>
        <v/>
      </c>
      <c r="G42" s="27">
        <f>IF(설정!$D$18="",0,IFERROR(VALUE(SUBSTITUTE(SUBSTITUTE(INDEX(급여대장_원본!$A$1:$AZ$400,(설정!$B$8+36),설정!$D$18)&amp;"",",",""),"　","")),0))</f>
        <v/>
      </c>
      <c r="H42" s="27">
        <f>IF(설정!$D$19="",0,IFERROR(VALUE(SUBSTITUTE(SUBSTITUTE(INDEX(급여대장_원본!$A$1:$AZ$400,(설정!$B$8+36),설정!$D$19)&amp;"",",",""),"　","")),0))</f>
        <v/>
      </c>
      <c r="I42" s="27">
        <f>IF(설정!$D$20="",0,IFERROR(VALUE(SUBSTITUTE(SUBSTITUTE(INDEX(급여대장_원본!$A$1:$AZ$400,(설정!$B$8+36),설정!$D$20)&amp;"",",",""),"　","")),0))</f>
        <v/>
      </c>
      <c r="J42" s="27">
        <f>IF(설정!$D$21="",0,IFERROR(VALUE(SUBSTITUTE(SUBSTITUTE(INDEX(급여대장_원본!$A$1:$AZ$400,(설정!$B$8+36),설정!$D$21)&amp;"",",",""),"　","")),0))</f>
        <v/>
      </c>
      <c r="K42" s="27">
        <f>IF(설정!$D$22="",0,IFERROR(VALUE(SUBSTITUTE(SUBSTITUTE(INDEX(급여대장_원본!$A$1:$AZ$400,(설정!$B$8+36),설정!$D$22)&amp;"",",",""),"　","")),0))</f>
        <v/>
      </c>
      <c r="L42" s="27">
        <f>IF(설정!$D$23="",0,IFERROR(VALUE(SUBSTITUTE(SUBSTITUTE(INDEX(급여대장_원본!$A$1:$AZ$400,(설정!$B$8+36),설정!$D$23)&amp;"",",",""),"　","")),0))</f>
        <v/>
      </c>
      <c r="M42" s="27">
        <f>IF(설정!$D$24="",0,IFERROR(VALUE(SUBSTITUTE(SUBSTITUTE(INDEX(급여대장_원본!$A$1:$AZ$400,(설정!$B$8+36),설정!$D$24)&amp;"",",",""),"　","")),0))</f>
        <v/>
      </c>
      <c r="N42" s="2">
        <f>IF(OR(설정!$C$17="",IFERROR(MATCH(설정!$C$17,INDEX(급여대장_원본!$A$1:$AZ$400,설정!$B$8,0),0),"")=""),"",IFERROR(VALUE(SUBSTITUTE(INDEX(급여대장_원본!$A$1:$AZ$400,(설정!$B$8+36),IFERROR(MATCH(설정!$C$17,INDEX(급여대장_원본!$A$1:$AZ$400,설정!$B$8,0),0),""))&amp;"",",","")),""))</f>
        <v/>
      </c>
      <c r="O42" s="2">
        <f>IF(OR(설정!$C$18="",IFERROR(MATCH(설정!$C$18,INDEX(급여대장_원본!$A$1:$AZ$400,설정!$B$8,0),0),"")=""),"",IFERROR(VALUE(SUBSTITUTE(INDEX(급여대장_원본!$A$1:$AZ$400,(설정!$B$8+36),IFERROR(MATCH(설정!$C$18,INDEX(급여대장_원본!$A$1:$AZ$400,설정!$B$8,0),0),""))&amp;"",",","")),""))</f>
        <v/>
      </c>
      <c r="P42" s="2">
        <f>IF(OR(설정!$C$19="",IFERROR(MATCH(설정!$C$19,INDEX(급여대장_원본!$A$1:$AZ$400,설정!$B$8,0),0),"")=""),"",IFERROR(VALUE(SUBSTITUTE(INDEX(급여대장_원본!$A$1:$AZ$400,(설정!$B$8+36),IFERROR(MATCH(설정!$C$19,INDEX(급여대장_원본!$A$1:$AZ$400,설정!$B$8,0),0),""))&amp;"",",","")),""))</f>
        <v/>
      </c>
      <c r="Q42" s="2">
        <f>IF(OR(설정!$C$20="",IFERROR(MATCH(설정!$C$20,INDEX(급여대장_원본!$A$1:$AZ$400,설정!$B$8,0),0),"")=""),"",IFERROR(VALUE(SUBSTITUTE(INDEX(급여대장_원본!$A$1:$AZ$400,(설정!$B$8+36),IFERROR(MATCH(설정!$C$20,INDEX(급여대장_원본!$A$1:$AZ$400,설정!$B$8,0),0),""))&amp;"",",","")),""))</f>
        <v/>
      </c>
      <c r="R42" s="2">
        <f>IF(OR(설정!$C$21="",IFERROR(MATCH(설정!$C$21,INDEX(급여대장_원본!$A$1:$AZ$400,설정!$B$8,0),0),"")=""),"",IFERROR(VALUE(SUBSTITUTE(INDEX(급여대장_원본!$A$1:$AZ$400,(설정!$B$8+36),IFERROR(MATCH(설정!$C$21,INDEX(급여대장_원본!$A$1:$AZ$400,설정!$B$8,0),0),""))&amp;"",",","")),""))</f>
        <v/>
      </c>
      <c r="S42" s="2">
        <f>IF(OR(설정!$C$22="",IFERROR(MATCH(설정!$C$22,INDEX(급여대장_원본!$A$1:$AZ$400,설정!$B$8,0),0),"")=""),"",IFERROR(VALUE(SUBSTITUTE(INDEX(급여대장_원본!$A$1:$AZ$400,(설정!$B$8+36),IFERROR(MATCH(설정!$C$22,INDEX(급여대장_원본!$A$1:$AZ$400,설정!$B$8,0),0),""))&amp;"",",","")),""))</f>
        <v/>
      </c>
      <c r="T42" s="2">
        <f>IF(OR(설정!$C$23="",IFERROR(MATCH(설정!$C$23,INDEX(급여대장_원본!$A$1:$AZ$400,설정!$B$8,0),0),"")=""),"",IFERROR(VALUE(SUBSTITUTE(INDEX(급여대장_원본!$A$1:$AZ$400,(설정!$B$8+36),IFERROR(MATCH(설정!$C$23,INDEX(급여대장_원본!$A$1:$AZ$400,설정!$B$8,0),0),""))&amp;"",",","")),""))</f>
        <v/>
      </c>
      <c r="U42" s="2">
        <f>IF(OR(설정!$C$24="",IFERROR(MATCH(설정!$C$24,INDEX(급여대장_원본!$A$1:$AZ$400,설정!$B$8,0),0),"")=""),"",IFERROR(VALUE(SUBSTITUTE(INDEX(급여대장_원본!$A$1:$AZ$400,(설정!$B$8+36),IFERROR(MATCH(설정!$C$24,INDEX(급여대장_원본!$A$1:$AZ$400,설정!$B$8,0),0),""))&amp;"",",","")),""))</f>
        <v/>
      </c>
      <c r="V42" s="27">
        <f>SUM(F42:M42)</f>
        <v/>
      </c>
      <c r="W42" s="27">
        <f>IF(설정!$D$26="",0,IFERROR(VALUE(SUBSTITUTE(SUBSTITUTE(INDEX(급여대장_원본!$A$1:$AZ$400,(설정!$B$8+36),설정!$D$26)&amp;"",",",""),"　","")),0))</f>
        <v/>
      </c>
      <c r="X42" s="27">
        <f>IF(설정!$D$27="",0,IFERROR(VALUE(SUBSTITUTE(SUBSTITUTE(INDEX(급여대장_원본!$A$1:$AZ$400,(설정!$B$8+36),설정!$D$27)&amp;"",",",""),"　","")),0))</f>
        <v/>
      </c>
      <c r="Y42" s="27">
        <f>IF(설정!$D$28="",0,IFERROR(VALUE(SUBSTITUTE(SUBSTITUTE(INDEX(급여대장_원본!$A$1:$AZ$400,(설정!$B$8+36),설정!$D$28)&amp;"",",",""),"　","")),0))</f>
        <v/>
      </c>
      <c r="Z42" s="27">
        <f>IF(설정!$D$29="",0,IFERROR(VALUE(SUBSTITUTE(SUBSTITUTE(INDEX(급여대장_원본!$A$1:$AZ$400,(설정!$B$8+36),설정!$D$29)&amp;"",",",""),"　","")),0))</f>
        <v/>
      </c>
      <c r="AA42" s="27">
        <f>IF(설정!$D$30="",0,IFERROR(VALUE(SUBSTITUTE(SUBSTITUTE(INDEX(급여대장_원본!$A$1:$AZ$400,(설정!$B$8+36),설정!$D$30)&amp;"",",",""),"　","")),0))</f>
        <v/>
      </c>
      <c r="AB42" s="27">
        <f>IF(설정!$D$31="",0,IFERROR(VALUE(SUBSTITUTE(SUBSTITUTE(INDEX(급여대장_원본!$A$1:$AZ$400,(설정!$B$8+36),설정!$D$31)&amp;"",",",""),"　","")),0))</f>
        <v/>
      </c>
      <c r="AC42" s="27">
        <f>IF(설정!$D$32="",0,IFERROR(VALUE(SUBSTITUTE(SUBSTITUTE(INDEX(급여대장_원본!$A$1:$AZ$400,(설정!$B$8+36),설정!$D$32)&amp;"",",",""),"　","")),0))</f>
        <v/>
      </c>
      <c r="AD42" s="27">
        <f>IF(설정!$D$33="",0,IFERROR(VALUE(SUBSTITUTE(SUBSTITUTE(INDEX(급여대장_원본!$A$1:$AZ$400,(설정!$B$8+36),설정!$D$33)&amp;"",",",""),"　","")),0))</f>
        <v/>
      </c>
      <c r="AE42" s="27">
        <f>SUM(W42:AD42)</f>
        <v/>
      </c>
      <c r="AF42" s="27">
        <f>V42-AE42</f>
        <v/>
      </c>
      <c r="AG42" s="27">
        <f>IF(설정!$D$35="","",IF(설정!$D$35="",0,IFERROR(VALUE(SUBSTITUTE(SUBSTITUTE(INDEX(급여대장_원본!$A$1:$AZ$400,(설정!$B$8+36),설정!$D$35)&amp;"",",",""),"　","")),0)))</f>
        <v/>
      </c>
      <c r="AH42" s="27">
        <f>IF(설정!$D$36="","",IF(설정!$D$36="",0,IFERROR(VALUE(SUBSTITUTE(SUBSTITUTE(INDEX(급여대장_원본!$A$1:$AZ$400,(설정!$B$8+36),설정!$D$36)&amp;"",",",""),"　","")),0)))</f>
        <v/>
      </c>
      <c r="AI42" s="27">
        <f>IF(설정!$D$37="","",IF(설정!$D$37="",0,IFERROR(VALUE(SUBSTITUTE(SUBSTITUTE(INDEX(급여대장_원본!$A$1:$AZ$400,(설정!$B$8+36),설정!$D$37)&amp;"",",",""),"　","")),0)))</f>
        <v/>
      </c>
      <c r="AJ42" s="2">
        <f>IFERROR(INDEX($D$7:$D$306,MATCH(36,$B$7:$B$306,0)),"")</f>
        <v/>
      </c>
    </row>
    <row r="43">
      <c r="A43" s="2">
        <f>IF(AND(D43&lt;&gt;"",D43&lt;&gt;"합계",D43&lt;&gt;"총계",D43&lt;&gt;"소계",D43&lt;&gt;"계"),1,0)</f>
        <v/>
      </c>
      <c r="B43" s="2">
        <f>IF(A43=1,SUM($A$7:A43),"")</f>
        <v/>
      </c>
      <c r="C43" s="2">
        <f>IF(설정!$D$13="","",TRIM(SUBSTITUTE(INDEX(급여대장_원본!$A$1:$AZ$400,(설정!$B$8+37),설정!$D$13)&amp;"","　"," ")))</f>
        <v/>
      </c>
      <c r="D43" s="2">
        <f>IF(설정!$D$14="","",TRIM(SUBSTITUTE(INDEX(급여대장_원본!$A$1:$AZ$400,(설정!$B$8+37),설정!$D$14)&amp;"","　"," ")))</f>
        <v/>
      </c>
      <c r="E43" s="2">
        <f>IF(설정!$D$15="","",TRIM(SUBSTITUTE(INDEX(급여대장_원본!$A$1:$AZ$400,(설정!$B$8+37),설정!$D$15)&amp;"","　"," ")))</f>
        <v/>
      </c>
      <c r="F43" s="27">
        <f>IF(설정!$D$17="",0,IFERROR(VALUE(SUBSTITUTE(SUBSTITUTE(INDEX(급여대장_원본!$A$1:$AZ$400,(설정!$B$8+37),설정!$D$17)&amp;"",",",""),"　","")),0))</f>
        <v/>
      </c>
      <c r="G43" s="27">
        <f>IF(설정!$D$18="",0,IFERROR(VALUE(SUBSTITUTE(SUBSTITUTE(INDEX(급여대장_원본!$A$1:$AZ$400,(설정!$B$8+37),설정!$D$18)&amp;"",",",""),"　","")),0))</f>
        <v/>
      </c>
      <c r="H43" s="27">
        <f>IF(설정!$D$19="",0,IFERROR(VALUE(SUBSTITUTE(SUBSTITUTE(INDEX(급여대장_원본!$A$1:$AZ$400,(설정!$B$8+37),설정!$D$19)&amp;"",",",""),"　","")),0))</f>
        <v/>
      </c>
      <c r="I43" s="27">
        <f>IF(설정!$D$20="",0,IFERROR(VALUE(SUBSTITUTE(SUBSTITUTE(INDEX(급여대장_원본!$A$1:$AZ$400,(설정!$B$8+37),설정!$D$20)&amp;"",",",""),"　","")),0))</f>
        <v/>
      </c>
      <c r="J43" s="27">
        <f>IF(설정!$D$21="",0,IFERROR(VALUE(SUBSTITUTE(SUBSTITUTE(INDEX(급여대장_원본!$A$1:$AZ$400,(설정!$B$8+37),설정!$D$21)&amp;"",",",""),"　","")),0))</f>
        <v/>
      </c>
      <c r="K43" s="27">
        <f>IF(설정!$D$22="",0,IFERROR(VALUE(SUBSTITUTE(SUBSTITUTE(INDEX(급여대장_원본!$A$1:$AZ$400,(설정!$B$8+37),설정!$D$22)&amp;"",",",""),"　","")),0))</f>
        <v/>
      </c>
      <c r="L43" s="27">
        <f>IF(설정!$D$23="",0,IFERROR(VALUE(SUBSTITUTE(SUBSTITUTE(INDEX(급여대장_원본!$A$1:$AZ$400,(설정!$B$8+37),설정!$D$23)&amp;"",",",""),"　","")),0))</f>
        <v/>
      </c>
      <c r="M43" s="27">
        <f>IF(설정!$D$24="",0,IFERROR(VALUE(SUBSTITUTE(SUBSTITUTE(INDEX(급여대장_원본!$A$1:$AZ$400,(설정!$B$8+37),설정!$D$24)&amp;"",",",""),"　","")),0))</f>
        <v/>
      </c>
      <c r="N43" s="2">
        <f>IF(OR(설정!$C$17="",IFERROR(MATCH(설정!$C$17,INDEX(급여대장_원본!$A$1:$AZ$400,설정!$B$8,0),0),"")=""),"",IFERROR(VALUE(SUBSTITUTE(INDEX(급여대장_원본!$A$1:$AZ$400,(설정!$B$8+37),IFERROR(MATCH(설정!$C$17,INDEX(급여대장_원본!$A$1:$AZ$400,설정!$B$8,0),0),""))&amp;"",",","")),""))</f>
        <v/>
      </c>
      <c r="O43" s="2">
        <f>IF(OR(설정!$C$18="",IFERROR(MATCH(설정!$C$18,INDEX(급여대장_원본!$A$1:$AZ$400,설정!$B$8,0),0),"")=""),"",IFERROR(VALUE(SUBSTITUTE(INDEX(급여대장_원본!$A$1:$AZ$400,(설정!$B$8+37),IFERROR(MATCH(설정!$C$18,INDEX(급여대장_원본!$A$1:$AZ$400,설정!$B$8,0),0),""))&amp;"",",","")),""))</f>
        <v/>
      </c>
      <c r="P43" s="2">
        <f>IF(OR(설정!$C$19="",IFERROR(MATCH(설정!$C$19,INDEX(급여대장_원본!$A$1:$AZ$400,설정!$B$8,0),0),"")=""),"",IFERROR(VALUE(SUBSTITUTE(INDEX(급여대장_원본!$A$1:$AZ$400,(설정!$B$8+37),IFERROR(MATCH(설정!$C$19,INDEX(급여대장_원본!$A$1:$AZ$400,설정!$B$8,0),0),""))&amp;"",",","")),""))</f>
        <v/>
      </c>
      <c r="Q43" s="2">
        <f>IF(OR(설정!$C$20="",IFERROR(MATCH(설정!$C$20,INDEX(급여대장_원본!$A$1:$AZ$400,설정!$B$8,0),0),"")=""),"",IFERROR(VALUE(SUBSTITUTE(INDEX(급여대장_원본!$A$1:$AZ$400,(설정!$B$8+37),IFERROR(MATCH(설정!$C$20,INDEX(급여대장_원본!$A$1:$AZ$400,설정!$B$8,0),0),""))&amp;"",",","")),""))</f>
        <v/>
      </c>
      <c r="R43" s="2">
        <f>IF(OR(설정!$C$21="",IFERROR(MATCH(설정!$C$21,INDEX(급여대장_원본!$A$1:$AZ$400,설정!$B$8,0),0),"")=""),"",IFERROR(VALUE(SUBSTITUTE(INDEX(급여대장_원본!$A$1:$AZ$400,(설정!$B$8+37),IFERROR(MATCH(설정!$C$21,INDEX(급여대장_원본!$A$1:$AZ$400,설정!$B$8,0),0),""))&amp;"",",","")),""))</f>
        <v/>
      </c>
      <c r="S43" s="2">
        <f>IF(OR(설정!$C$22="",IFERROR(MATCH(설정!$C$22,INDEX(급여대장_원본!$A$1:$AZ$400,설정!$B$8,0),0),"")=""),"",IFERROR(VALUE(SUBSTITUTE(INDEX(급여대장_원본!$A$1:$AZ$400,(설정!$B$8+37),IFERROR(MATCH(설정!$C$22,INDEX(급여대장_원본!$A$1:$AZ$400,설정!$B$8,0),0),""))&amp;"",",","")),""))</f>
        <v/>
      </c>
      <c r="T43" s="2">
        <f>IF(OR(설정!$C$23="",IFERROR(MATCH(설정!$C$23,INDEX(급여대장_원본!$A$1:$AZ$400,설정!$B$8,0),0),"")=""),"",IFERROR(VALUE(SUBSTITUTE(INDEX(급여대장_원본!$A$1:$AZ$400,(설정!$B$8+37),IFERROR(MATCH(설정!$C$23,INDEX(급여대장_원본!$A$1:$AZ$400,설정!$B$8,0),0),""))&amp;"",",","")),""))</f>
        <v/>
      </c>
      <c r="U43" s="2">
        <f>IF(OR(설정!$C$24="",IFERROR(MATCH(설정!$C$24,INDEX(급여대장_원본!$A$1:$AZ$400,설정!$B$8,0),0),"")=""),"",IFERROR(VALUE(SUBSTITUTE(INDEX(급여대장_원본!$A$1:$AZ$400,(설정!$B$8+37),IFERROR(MATCH(설정!$C$24,INDEX(급여대장_원본!$A$1:$AZ$400,설정!$B$8,0),0),""))&amp;"",",","")),""))</f>
        <v/>
      </c>
      <c r="V43" s="27">
        <f>SUM(F43:M43)</f>
        <v/>
      </c>
      <c r="W43" s="27">
        <f>IF(설정!$D$26="",0,IFERROR(VALUE(SUBSTITUTE(SUBSTITUTE(INDEX(급여대장_원본!$A$1:$AZ$400,(설정!$B$8+37),설정!$D$26)&amp;"",",",""),"　","")),0))</f>
        <v/>
      </c>
      <c r="X43" s="27">
        <f>IF(설정!$D$27="",0,IFERROR(VALUE(SUBSTITUTE(SUBSTITUTE(INDEX(급여대장_원본!$A$1:$AZ$400,(설정!$B$8+37),설정!$D$27)&amp;"",",",""),"　","")),0))</f>
        <v/>
      </c>
      <c r="Y43" s="27">
        <f>IF(설정!$D$28="",0,IFERROR(VALUE(SUBSTITUTE(SUBSTITUTE(INDEX(급여대장_원본!$A$1:$AZ$400,(설정!$B$8+37),설정!$D$28)&amp;"",",",""),"　","")),0))</f>
        <v/>
      </c>
      <c r="Z43" s="27">
        <f>IF(설정!$D$29="",0,IFERROR(VALUE(SUBSTITUTE(SUBSTITUTE(INDEX(급여대장_원본!$A$1:$AZ$400,(설정!$B$8+37),설정!$D$29)&amp;"",",",""),"　","")),0))</f>
        <v/>
      </c>
      <c r="AA43" s="27">
        <f>IF(설정!$D$30="",0,IFERROR(VALUE(SUBSTITUTE(SUBSTITUTE(INDEX(급여대장_원본!$A$1:$AZ$400,(설정!$B$8+37),설정!$D$30)&amp;"",",",""),"　","")),0))</f>
        <v/>
      </c>
      <c r="AB43" s="27">
        <f>IF(설정!$D$31="",0,IFERROR(VALUE(SUBSTITUTE(SUBSTITUTE(INDEX(급여대장_원본!$A$1:$AZ$400,(설정!$B$8+37),설정!$D$31)&amp;"",",",""),"　","")),0))</f>
        <v/>
      </c>
      <c r="AC43" s="27">
        <f>IF(설정!$D$32="",0,IFERROR(VALUE(SUBSTITUTE(SUBSTITUTE(INDEX(급여대장_원본!$A$1:$AZ$400,(설정!$B$8+37),설정!$D$32)&amp;"",",",""),"　","")),0))</f>
        <v/>
      </c>
      <c r="AD43" s="27">
        <f>IF(설정!$D$33="",0,IFERROR(VALUE(SUBSTITUTE(SUBSTITUTE(INDEX(급여대장_원본!$A$1:$AZ$400,(설정!$B$8+37),설정!$D$33)&amp;"",",",""),"　","")),0))</f>
        <v/>
      </c>
      <c r="AE43" s="27">
        <f>SUM(W43:AD43)</f>
        <v/>
      </c>
      <c r="AF43" s="27">
        <f>V43-AE43</f>
        <v/>
      </c>
      <c r="AG43" s="27">
        <f>IF(설정!$D$35="","",IF(설정!$D$35="",0,IFERROR(VALUE(SUBSTITUTE(SUBSTITUTE(INDEX(급여대장_원본!$A$1:$AZ$400,(설정!$B$8+37),설정!$D$35)&amp;"",",",""),"　","")),0)))</f>
        <v/>
      </c>
      <c r="AH43" s="27">
        <f>IF(설정!$D$36="","",IF(설정!$D$36="",0,IFERROR(VALUE(SUBSTITUTE(SUBSTITUTE(INDEX(급여대장_원본!$A$1:$AZ$400,(설정!$B$8+37),설정!$D$36)&amp;"",",",""),"　","")),0)))</f>
        <v/>
      </c>
      <c r="AI43" s="27">
        <f>IF(설정!$D$37="","",IF(설정!$D$37="",0,IFERROR(VALUE(SUBSTITUTE(SUBSTITUTE(INDEX(급여대장_원본!$A$1:$AZ$400,(설정!$B$8+37),설정!$D$37)&amp;"",",",""),"　","")),0)))</f>
        <v/>
      </c>
      <c r="AJ43" s="2">
        <f>IFERROR(INDEX($D$7:$D$306,MATCH(37,$B$7:$B$306,0)),"")</f>
        <v/>
      </c>
    </row>
    <row r="44">
      <c r="A44" s="2">
        <f>IF(AND(D44&lt;&gt;"",D44&lt;&gt;"합계",D44&lt;&gt;"총계",D44&lt;&gt;"소계",D44&lt;&gt;"계"),1,0)</f>
        <v/>
      </c>
      <c r="B44" s="2">
        <f>IF(A44=1,SUM($A$7:A44),"")</f>
        <v/>
      </c>
      <c r="C44" s="2">
        <f>IF(설정!$D$13="","",TRIM(SUBSTITUTE(INDEX(급여대장_원본!$A$1:$AZ$400,(설정!$B$8+38),설정!$D$13)&amp;"","　"," ")))</f>
        <v/>
      </c>
      <c r="D44" s="2">
        <f>IF(설정!$D$14="","",TRIM(SUBSTITUTE(INDEX(급여대장_원본!$A$1:$AZ$400,(설정!$B$8+38),설정!$D$14)&amp;"","　"," ")))</f>
        <v/>
      </c>
      <c r="E44" s="2">
        <f>IF(설정!$D$15="","",TRIM(SUBSTITUTE(INDEX(급여대장_원본!$A$1:$AZ$400,(설정!$B$8+38),설정!$D$15)&amp;"","　"," ")))</f>
        <v/>
      </c>
      <c r="F44" s="27">
        <f>IF(설정!$D$17="",0,IFERROR(VALUE(SUBSTITUTE(SUBSTITUTE(INDEX(급여대장_원본!$A$1:$AZ$400,(설정!$B$8+38),설정!$D$17)&amp;"",",",""),"　","")),0))</f>
        <v/>
      </c>
      <c r="G44" s="27">
        <f>IF(설정!$D$18="",0,IFERROR(VALUE(SUBSTITUTE(SUBSTITUTE(INDEX(급여대장_원본!$A$1:$AZ$400,(설정!$B$8+38),설정!$D$18)&amp;"",",",""),"　","")),0))</f>
        <v/>
      </c>
      <c r="H44" s="27">
        <f>IF(설정!$D$19="",0,IFERROR(VALUE(SUBSTITUTE(SUBSTITUTE(INDEX(급여대장_원본!$A$1:$AZ$400,(설정!$B$8+38),설정!$D$19)&amp;"",",",""),"　","")),0))</f>
        <v/>
      </c>
      <c r="I44" s="27">
        <f>IF(설정!$D$20="",0,IFERROR(VALUE(SUBSTITUTE(SUBSTITUTE(INDEX(급여대장_원본!$A$1:$AZ$400,(설정!$B$8+38),설정!$D$20)&amp;"",",",""),"　","")),0))</f>
        <v/>
      </c>
      <c r="J44" s="27">
        <f>IF(설정!$D$21="",0,IFERROR(VALUE(SUBSTITUTE(SUBSTITUTE(INDEX(급여대장_원본!$A$1:$AZ$400,(설정!$B$8+38),설정!$D$21)&amp;"",",",""),"　","")),0))</f>
        <v/>
      </c>
      <c r="K44" s="27">
        <f>IF(설정!$D$22="",0,IFERROR(VALUE(SUBSTITUTE(SUBSTITUTE(INDEX(급여대장_원본!$A$1:$AZ$400,(설정!$B$8+38),설정!$D$22)&amp;"",",",""),"　","")),0))</f>
        <v/>
      </c>
      <c r="L44" s="27">
        <f>IF(설정!$D$23="",0,IFERROR(VALUE(SUBSTITUTE(SUBSTITUTE(INDEX(급여대장_원본!$A$1:$AZ$400,(설정!$B$8+38),설정!$D$23)&amp;"",",",""),"　","")),0))</f>
        <v/>
      </c>
      <c r="M44" s="27">
        <f>IF(설정!$D$24="",0,IFERROR(VALUE(SUBSTITUTE(SUBSTITUTE(INDEX(급여대장_원본!$A$1:$AZ$400,(설정!$B$8+38),설정!$D$24)&amp;"",",",""),"　","")),0))</f>
        <v/>
      </c>
      <c r="N44" s="2">
        <f>IF(OR(설정!$C$17="",IFERROR(MATCH(설정!$C$17,INDEX(급여대장_원본!$A$1:$AZ$400,설정!$B$8,0),0),"")=""),"",IFERROR(VALUE(SUBSTITUTE(INDEX(급여대장_원본!$A$1:$AZ$400,(설정!$B$8+38),IFERROR(MATCH(설정!$C$17,INDEX(급여대장_원본!$A$1:$AZ$400,설정!$B$8,0),0),""))&amp;"",",","")),""))</f>
        <v/>
      </c>
      <c r="O44" s="2">
        <f>IF(OR(설정!$C$18="",IFERROR(MATCH(설정!$C$18,INDEX(급여대장_원본!$A$1:$AZ$400,설정!$B$8,0),0),"")=""),"",IFERROR(VALUE(SUBSTITUTE(INDEX(급여대장_원본!$A$1:$AZ$400,(설정!$B$8+38),IFERROR(MATCH(설정!$C$18,INDEX(급여대장_원본!$A$1:$AZ$400,설정!$B$8,0),0),""))&amp;"",",","")),""))</f>
        <v/>
      </c>
      <c r="P44" s="2">
        <f>IF(OR(설정!$C$19="",IFERROR(MATCH(설정!$C$19,INDEX(급여대장_원본!$A$1:$AZ$400,설정!$B$8,0),0),"")=""),"",IFERROR(VALUE(SUBSTITUTE(INDEX(급여대장_원본!$A$1:$AZ$400,(설정!$B$8+38),IFERROR(MATCH(설정!$C$19,INDEX(급여대장_원본!$A$1:$AZ$400,설정!$B$8,0),0),""))&amp;"",",","")),""))</f>
        <v/>
      </c>
      <c r="Q44" s="2">
        <f>IF(OR(설정!$C$20="",IFERROR(MATCH(설정!$C$20,INDEX(급여대장_원본!$A$1:$AZ$400,설정!$B$8,0),0),"")=""),"",IFERROR(VALUE(SUBSTITUTE(INDEX(급여대장_원본!$A$1:$AZ$400,(설정!$B$8+38),IFERROR(MATCH(설정!$C$20,INDEX(급여대장_원본!$A$1:$AZ$400,설정!$B$8,0),0),""))&amp;"",",","")),""))</f>
        <v/>
      </c>
      <c r="R44" s="2">
        <f>IF(OR(설정!$C$21="",IFERROR(MATCH(설정!$C$21,INDEX(급여대장_원본!$A$1:$AZ$400,설정!$B$8,0),0),"")=""),"",IFERROR(VALUE(SUBSTITUTE(INDEX(급여대장_원본!$A$1:$AZ$400,(설정!$B$8+38),IFERROR(MATCH(설정!$C$21,INDEX(급여대장_원본!$A$1:$AZ$400,설정!$B$8,0),0),""))&amp;"",",","")),""))</f>
        <v/>
      </c>
      <c r="S44" s="2">
        <f>IF(OR(설정!$C$22="",IFERROR(MATCH(설정!$C$22,INDEX(급여대장_원본!$A$1:$AZ$400,설정!$B$8,0),0),"")=""),"",IFERROR(VALUE(SUBSTITUTE(INDEX(급여대장_원본!$A$1:$AZ$400,(설정!$B$8+38),IFERROR(MATCH(설정!$C$22,INDEX(급여대장_원본!$A$1:$AZ$400,설정!$B$8,0),0),""))&amp;"",",","")),""))</f>
        <v/>
      </c>
      <c r="T44" s="2">
        <f>IF(OR(설정!$C$23="",IFERROR(MATCH(설정!$C$23,INDEX(급여대장_원본!$A$1:$AZ$400,설정!$B$8,0),0),"")=""),"",IFERROR(VALUE(SUBSTITUTE(INDEX(급여대장_원본!$A$1:$AZ$400,(설정!$B$8+38),IFERROR(MATCH(설정!$C$23,INDEX(급여대장_원본!$A$1:$AZ$400,설정!$B$8,0),0),""))&amp;"",",","")),""))</f>
        <v/>
      </c>
      <c r="U44" s="2">
        <f>IF(OR(설정!$C$24="",IFERROR(MATCH(설정!$C$24,INDEX(급여대장_원본!$A$1:$AZ$400,설정!$B$8,0),0),"")=""),"",IFERROR(VALUE(SUBSTITUTE(INDEX(급여대장_원본!$A$1:$AZ$400,(설정!$B$8+38),IFERROR(MATCH(설정!$C$24,INDEX(급여대장_원본!$A$1:$AZ$400,설정!$B$8,0),0),""))&amp;"",",","")),""))</f>
        <v/>
      </c>
      <c r="V44" s="27">
        <f>SUM(F44:M44)</f>
        <v/>
      </c>
      <c r="W44" s="27">
        <f>IF(설정!$D$26="",0,IFERROR(VALUE(SUBSTITUTE(SUBSTITUTE(INDEX(급여대장_원본!$A$1:$AZ$400,(설정!$B$8+38),설정!$D$26)&amp;"",",",""),"　","")),0))</f>
        <v/>
      </c>
      <c r="X44" s="27">
        <f>IF(설정!$D$27="",0,IFERROR(VALUE(SUBSTITUTE(SUBSTITUTE(INDEX(급여대장_원본!$A$1:$AZ$400,(설정!$B$8+38),설정!$D$27)&amp;"",",",""),"　","")),0))</f>
        <v/>
      </c>
      <c r="Y44" s="27">
        <f>IF(설정!$D$28="",0,IFERROR(VALUE(SUBSTITUTE(SUBSTITUTE(INDEX(급여대장_원본!$A$1:$AZ$400,(설정!$B$8+38),설정!$D$28)&amp;"",",",""),"　","")),0))</f>
        <v/>
      </c>
      <c r="Z44" s="27">
        <f>IF(설정!$D$29="",0,IFERROR(VALUE(SUBSTITUTE(SUBSTITUTE(INDEX(급여대장_원본!$A$1:$AZ$400,(설정!$B$8+38),설정!$D$29)&amp;"",",",""),"　","")),0))</f>
        <v/>
      </c>
      <c r="AA44" s="27">
        <f>IF(설정!$D$30="",0,IFERROR(VALUE(SUBSTITUTE(SUBSTITUTE(INDEX(급여대장_원본!$A$1:$AZ$400,(설정!$B$8+38),설정!$D$30)&amp;"",",",""),"　","")),0))</f>
        <v/>
      </c>
      <c r="AB44" s="27">
        <f>IF(설정!$D$31="",0,IFERROR(VALUE(SUBSTITUTE(SUBSTITUTE(INDEX(급여대장_원본!$A$1:$AZ$400,(설정!$B$8+38),설정!$D$31)&amp;"",",",""),"　","")),0))</f>
        <v/>
      </c>
      <c r="AC44" s="27">
        <f>IF(설정!$D$32="",0,IFERROR(VALUE(SUBSTITUTE(SUBSTITUTE(INDEX(급여대장_원본!$A$1:$AZ$400,(설정!$B$8+38),설정!$D$32)&amp;"",",",""),"　","")),0))</f>
        <v/>
      </c>
      <c r="AD44" s="27">
        <f>IF(설정!$D$33="",0,IFERROR(VALUE(SUBSTITUTE(SUBSTITUTE(INDEX(급여대장_원본!$A$1:$AZ$400,(설정!$B$8+38),설정!$D$33)&amp;"",",",""),"　","")),0))</f>
        <v/>
      </c>
      <c r="AE44" s="27">
        <f>SUM(W44:AD44)</f>
        <v/>
      </c>
      <c r="AF44" s="27">
        <f>V44-AE44</f>
        <v/>
      </c>
      <c r="AG44" s="27">
        <f>IF(설정!$D$35="","",IF(설정!$D$35="",0,IFERROR(VALUE(SUBSTITUTE(SUBSTITUTE(INDEX(급여대장_원본!$A$1:$AZ$400,(설정!$B$8+38),설정!$D$35)&amp;"",",",""),"　","")),0)))</f>
        <v/>
      </c>
      <c r="AH44" s="27">
        <f>IF(설정!$D$36="","",IF(설정!$D$36="",0,IFERROR(VALUE(SUBSTITUTE(SUBSTITUTE(INDEX(급여대장_원본!$A$1:$AZ$400,(설정!$B$8+38),설정!$D$36)&amp;"",",",""),"　","")),0)))</f>
        <v/>
      </c>
      <c r="AI44" s="27">
        <f>IF(설정!$D$37="","",IF(설정!$D$37="",0,IFERROR(VALUE(SUBSTITUTE(SUBSTITUTE(INDEX(급여대장_원본!$A$1:$AZ$400,(설정!$B$8+38),설정!$D$37)&amp;"",",",""),"　","")),0)))</f>
        <v/>
      </c>
      <c r="AJ44" s="2">
        <f>IFERROR(INDEX($D$7:$D$306,MATCH(38,$B$7:$B$306,0)),"")</f>
        <v/>
      </c>
    </row>
    <row r="45">
      <c r="A45" s="2">
        <f>IF(AND(D45&lt;&gt;"",D45&lt;&gt;"합계",D45&lt;&gt;"총계",D45&lt;&gt;"소계",D45&lt;&gt;"계"),1,0)</f>
        <v/>
      </c>
      <c r="B45" s="2">
        <f>IF(A45=1,SUM($A$7:A45),"")</f>
        <v/>
      </c>
      <c r="C45" s="2">
        <f>IF(설정!$D$13="","",TRIM(SUBSTITUTE(INDEX(급여대장_원본!$A$1:$AZ$400,(설정!$B$8+39),설정!$D$13)&amp;"","　"," ")))</f>
        <v/>
      </c>
      <c r="D45" s="2">
        <f>IF(설정!$D$14="","",TRIM(SUBSTITUTE(INDEX(급여대장_원본!$A$1:$AZ$400,(설정!$B$8+39),설정!$D$14)&amp;"","　"," ")))</f>
        <v/>
      </c>
      <c r="E45" s="2">
        <f>IF(설정!$D$15="","",TRIM(SUBSTITUTE(INDEX(급여대장_원본!$A$1:$AZ$400,(설정!$B$8+39),설정!$D$15)&amp;"","　"," ")))</f>
        <v/>
      </c>
      <c r="F45" s="27">
        <f>IF(설정!$D$17="",0,IFERROR(VALUE(SUBSTITUTE(SUBSTITUTE(INDEX(급여대장_원본!$A$1:$AZ$400,(설정!$B$8+39),설정!$D$17)&amp;"",",",""),"　","")),0))</f>
        <v/>
      </c>
      <c r="G45" s="27">
        <f>IF(설정!$D$18="",0,IFERROR(VALUE(SUBSTITUTE(SUBSTITUTE(INDEX(급여대장_원본!$A$1:$AZ$400,(설정!$B$8+39),설정!$D$18)&amp;"",",",""),"　","")),0))</f>
        <v/>
      </c>
      <c r="H45" s="27">
        <f>IF(설정!$D$19="",0,IFERROR(VALUE(SUBSTITUTE(SUBSTITUTE(INDEX(급여대장_원본!$A$1:$AZ$400,(설정!$B$8+39),설정!$D$19)&amp;"",",",""),"　","")),0))</f>
        <v/>
      </c>
      <c r="I45" s="27">
        <f>IF(설정!$D$20="",0,IFERROR(VALUE(SUBSTITUTE(SUBSTITUTE(INDEX(급여대장_원본!$A$1:$AZ$400,(설정!$B$8+39),설정!$D$20)&amp;"",",",""),"　","")),0))</f>
        <v/>
      </c>
      <c r="J45" s="27">
        <f>IF(설정!$D$21="",0,IFERROR(VALUE(SUBSTITUTE(SUBSTITUTE(INDEX(급여대장_원본!$A$1:$AZ$400,(설정!$B$8+39),설정!$D$21)&amp;"",",",""),"　","")),0))</f>
        <v/>
      </c>
      <c r="K45" s="27">
        <f>IF(설정!$D$22="",0,IFERROR(VALUE(SUBSTITUTE(SUBSTITUTE(INDEX(급여대장_원본!$A$1:$AZ$400,(설정!$B$8+39),설정!$D$22)&amp;"",",",""),"　","")),0))</f>
        <v/>
      </c>
      <c r="L45" s="27">
        <f>IF(설정!$D$23="",0,IFERROR(VALUE(SUBSTITUTE(SUBSTITUTE(INDEX(급여대장_원본!$A$1:$AZ$400,(설정!$B$8+39),설정!$D$23)&amp;"",",",""),"　","")),0))</f>
        <v/>
      </c>
      <c r="M45" s="27">
        <f>IF(설정!$D$24="",0,IFERROR(VALUE(SUBSTITUTE(SUBSTITUTE(INDEX(급여대장_원본!$A$1:$AZ$400,(설정!$B$8+39),설정!$D$24)&amp;"",",",""),"　","")),0))</f>
        <v/>
      </c>
      <c r="N45" s="2">
        <f>IF(OR(설정!$C$17="",IFERROR(MATCH(설정!$C$17,INDEX(급여대장_원본!$A$1:$AZ$400,설정!$B$8,0),0),"")=""),"",IFERROR(VALUE(SUBSTITUTE(INDEX(급여대장_원본!$A$1:$AZ$400,(설정!$B$8+39),IFERROR(MATCH(설정!$C$17,INDEX(급여대장_원본!$A$1:$AZ$400,설정!$B$8,0),0),""))&amp;"",",","")),""))</f>
        <v/>
      </c>
      <c r="O45" s="2">
        <f>IF(OR(설정!$C$18="",IFERROR(MATCH(설정!$C$18,INDEX(급여대장_원본!$A$1:$AZ$400,설정!$B$8,0),0),"")=""),"",IFERROR(VALUE(SUBSTITUTE(INDEX(급여대장_원본!$A$1:$AZ$400,(설정!$B$8+39),IFERROR(MATCH(설정!$C$18,INDEX(급여대장_원본!$A$1:$AZ$400,설정!$B$8,0),0),""))&amp;"",",","")),""))</f>
        <v/>
      </c>
      <c r="P45" s="2">
        <f>IF(OR(설정!$C$19="",IFERROR(MATCH(설정!$C$19,INDEX(급여대장_원본!$A$1:$AZ$400,설정!$B$8,0),0),"")=""),"",IFERROR(VALUE(SUBSTITUTE(INDEX(급여대장_원본!$A$1:$AZ$400,(설정!$B$8+39),IFERROR(MATCH(설정!$C$19,INDEX(급여대장_원본!$A$1:$AZ$400,설정!$B$8,0),0),""))&amp;"",",","")),""))</f>
        <v/>
      </c>
      <c r="Q45" s="2">
        <f>IF(OR(설정!$C$20="",IFERROR(MATCH(설정!$C$20,INDEX(급여대장_원본!$A$1:$AZ$400,설정!$B$8,0),0),"")=""),"",IFERROR(VALUE(SUBSTITUTE(INDEX(급여대장_원본!$A$1:$AZ$400,(설정!$B$8+39),IFERROR(MATCH(설정!$C$20,INDEX(급여대장_원본!$A$1:$AZ$400,설정!$B$8,0),0),""))&amp;"",",","")),""))</f>
        <v/>
      </c>
      <c r="R45" s="2">
        <f>IF(OR(설정!$C$21="",IFERROR(MATCH(설정!$C$21,INDEX(급여대장_원본!$A$1:$AZ$400,설정!$B$8,0),0),"")=""),"",IFERROR(VALUE(SUBSTITUTE(INDEX(급여대장_원본!$A$1:$AZ$400,(설정!$B$8+39),IFERROR(MATCH(설정!$C$21,INDEX(급여대장_원본!$A$1:$AZ$400,설정!$B$8,0),0),""))&amp;"",",","")),""))</f>
        <v/>
      </c>
      <c r="S45" s="2">
        <f>IF(OR(설정!$C$22="",IFERROR(MATCH(설정!$C$22,INDEX(급여대장_원본!$A$1:$AZ$400,설정!$B$8,0),0),"")=""),"",IFERROR(VALUE(SUBSTITUTE(INDEX(급여대장_원본!$A$1:$AZ$400,(설정!$B$8+39),IFERROR(MATCH(설정!$C$22,INDEX(급여대장_원본!$A$1:$AZ$400,설정!$B$8,0),0),""))&amp;"",",","")),""))</f>
        <v/>
      </c>
      <c r="T45" s="2">
        <f>IF(OR(설정!$C$23="",IFERROR(MATCH(설정!$C$23,INDEX(급여대장_원본!$A$1:$AZ$400,설정!$B$8,0),0),"")=""),"",IFERROR(VALUE(SUBSTITUTE(INDEX(급여대장_원본!$A$1:$AZ$400,(설정!$B$8+39),IFERROR(MATCH(설정!$C$23,INDEX(급여대장_원본!$A$1:$AZ$400,설정!$B$8,0),0),""))&amp;"",",","")),""))</f>
        <v/>
      </c>
      <c r="U45" s="2">
        <f>IF(OR(설정!$C$24="",IFERROR(MATCH(설정!$C$24,INDEX(급여대장_원본!$A$1:$AZ$400,설정!$B$8,0),0),"")=""),"",IFERROR(VALUE(SUBSTITUTE(INDEX(급여대장_원본!$A$1:$AZ$400,(설정!$B$8+39),IFERROR(MATCH(설정!$C$24,INDEX(급여대장_원본!$A$1:$AZ$400,설정!$B$8,0),0),""))&amp;"",",","")),""))</f>
        <v/>
      </c>
      <c r="V45" s="27">
        <f>SUM(F45:M45)</f>
        <v/>
      </c>
      <c r="W45" s="27">
        <f>IF(설정!$D$26="",0,IFERROR(VALUE(SUBSTITUTE(SUBSTITUTE(INDEX(급여대장_원본!$A$1:$AZ$400,(설정!$B$8+39),설정!$D$26)&amp;"",",",""),"　","")),0))</f>
        <v/>
      </c>
      <c r="X45" s="27">
        <f>IF(설정!$D$27="",0,IFERROR(VALUE(SUBSTITUTE(SUBSTITUTE(INDEX(급여대장_원본!$A$1:$AZ$400,(설정!$B$8+39),설정!$D$27)&amp;"",",",""),"　","")),0))</f>
        <v/>
      </c>
      <c r="Y45" s="27">
        <f>IF(설정!$D$28="",0,IFERROR(VALUE(SUBSTITUTE(SUBSTITUTE(INDEX(급여대장_원본!$A$1:$AZ$400,(설정!$B$8+39),설정!$D$28)&amp;"",",",""),"　","")),0))</f>
        <v/>
      </c>
      <c r="Z45" s="27">
        <f>IF(설정!$D$29="",0,IFERROR(VALUE(SUBSTITUTE(SUBSTITUTE(INDEX(급여대장_원본!$A$1:$AZ$400,(설정!$B$8+39),설정!$D$29)&amp;"",",",""),"　","")),0))</f>
        <v/>
      </c>
      <c r="AA45" s="27">
        <f>IF(설정!$D$30="",0,IFERROR(VALUE(SUBSTITUTE(SUBSTITUTE(INDEX(급여대장_원본!$A$1:$AZ$400,(설정!$B$8+39),설정!$D$30)&amp;"",",",""),"　","")),0))</f>
        <v/>
      </c>
      <c r="AB45" s="27">
        <f>IF(설정!$D$31="",0,IFERROR(VALUE(SUBSTITUTE(SUBSTITUTE(INDEX(급여대장_원본!$A$1:$AZ$400,(설정!$B$8+39),설정!$D$31)&amp;"",",",""),"　","")),0))</f>
        <v/>
      </c>
      <c r="AC45" s="27">
        <f>IF(설정!$D$32="",0,IFERROR(VALUE(SUBSTITUTE(SUBSTITUTE(INDEX(급여대장_원본!$A$1:$AZ$400,(설정!$B$8+39),설정!$D$32)&amp;"",",",""),"　","")),0))</f>
        <v/>
      </c>
      <c r="AD45" s="27">
        <f>IF(설정!$D$33="",0,IFERROR(VALUE(SUBSTITUTE(SUBSTITUTE(INDEX(급여대장_원본!$A$1:$AZ$400,(설정!$B$8+39),설정!$D$33)&amp;"",",",""),"　","")),0))</f>
        <v/>
      </c>
      <c r="AE45" s="27">
        <f>SUM(W45:AD45)</f>
        <v/>
      </c>
      <c r="AF45" s="27">
        <f>V45-AE45</f>
        <v/>
      </c>
      <c r="AG45" s="27">
        <f>IF(설정!$D$35="","",IF(설정!$D$35="",0,IFERROR(VALUE(SUBSTITUTE(SUBSTITUTE(INDEX(급여대장_원본!$A$1:$AZ$400,(설정!$B$8+39),설정!$D$35)&amp;"",",",""),"　","")),0)))</f>
        <v/>
      </c>
      <c r="AH45" s="27">
        <f>IF(설정!$D$36="","",IF(설정!$D$36="",0,IFERROR(VALUE(SUBSTITUTE(SUBSTITUTE(INDEX(급여대장_원본!$A$1:$AZ$400,(설정!$B$8+39),설정!$D$36)&amp;"",",",""),"　","")),0)))</f>
        <v/>
      </c>
      <c r="AI45" s="27">
        <f>IF(설정!$D$37="","",IF(설정!$D$37="",0,IFERROR(VALUE(SUBSTITUTE(SUBSTITUTE(INDEX(급여대장_원본!$A$1:$AZ$400,(설정!$B$8+39),설정!$D$37)&amp;"",",",""),"　","")),0)))</f>
        <v/>
      </c>
      <c r="AJ45" s="2">
        <f>IFERROR(INDEX($D$7:$D$306,MATCH(39,$B$7:$B$306,0)),"")</f>
        <v/>
      </c>
    </row>
    <row r="46">
      <c r="A46" s="2">
        <f>IF(AND(D46&lt;&gt;"",D46&lt;&gt;"합계",D46&lt;&gt;"총계",D46&lt;&gt;"소계",D46&lt;&gt;"계"),1,0)</f>
        <v/>
      </c>
      <c r="B46" s="2">
        <f>IF(A46=1,SUM($A$7:A46),"")</f>
        <v/>
      </c>
      <c r="C46" s="2">
        <f>IF(설정!$D$13="","",TRIM(SUBSTITUTE(INDEX(급여대장_원본!$A$1:$AZ$400,(설정!$B$8+40),설정!$D$13)&amp;"","　"," ")))</f>
        <v/>
      </c>
      <c r="D46" s="2">
        <f>IF(설정!$D$14="","",TRIM(SUBSTITUTE(INDEX(급여대장_원본!$A$1:$AZ$400,(설정!$B$8+40),설정!$D$14)&amp;"","　"," ")))</f>
        <v/>
      </c>
      <c r="E46" s="2">
        <f>IF(설정!$D$15="","",TRIM(SUBSTITUTE(INDEX(급여대장_원본!$A$1:$AZ$400,(설정!$B$8+40),설정!$D$15)&amp;"","　"," ")))</f>
        <v/>
      </c>
      <c r="F46" s="27">
        <f>IF(설정!$D$17="",0,IFERROR(VALUE(SUBSTITUTE(SUBSTITUTE(INDEX(급여대장_원본!$A$1:$AZ$400,(설정!$B$8+40),설정!$D$17)&amp;"",",",""),"　","")),0))</f>
        <v/>
      </c>
      <c r="G46" s="27">
        <f>IF(설정!$D$18="",0,IFERROR(VALUE(SUBSTITUTE(SUBSTITUTE(INDEX(급여대장_원본!$A$1:$AZ$400,(설정!$B$8+40),설정!$D$18)&amp;"",",",""),"　","")),0))</f>
        <v/>
      </c>
      <c r="H46" s="27">
        <f>IF(설정!$D$19="",0,IFERROR(VALUE(SUBSTITUTE(SUBSTITUTE(INDEX(급여대장_원본!$A$1:$AZ$400,(설정!$B$8+40),설정!$D$19)&amp;"",",",""),"　","")),0))</f>
        <v/>
      </c>
      <c r="I46" s="27">
        <f>IF(설정!$D$20="",0,IFERROR(VALUE(SUBSTITUTE(SUBSTITUTE(INDEX(급여대장_원본!$A$1:$AZ$400,(설정!$B$8+40),설정!$D$20)&amp;"",",",""),"　","")),0))</f>
        <v/>
      </c>
      <c r="J46" s="27">
        <f>IF(설정!$D$21="",0,IFERROR(VALUE(SUBSTITUTE(SUBSTITUTE(INDEX(급여대장_원본!$A$1:$AZ$400,(설정!$B$8+40),설정!$D$21)&amp;"",",",""),"　","")),0))</f>
        <v/>
      </c>
      <c r="K46" s="27">
        <f>IF(설정!$D$22="",0,IFERROR(VALUE(SUBSTITUTE(SUBSTITUTE(INDEX(급여대장_원본!$A$1:$AZ$400,(설정!$B$8+40),설정!$D$22)&amp;"",",",""),"　","")),0))</f>
        <v/>
      </c>
      <c r="L46" s="27">
        <f>IF(설정!$D$23="",0,IFERROR(VALUE(SUBSTITUTE(SUBSTITUTE(INDEX(급여대장_원본!$A$1:$AZ$400,(설정!$B$8+40),설정!$D$23)&amp;"",",",""),"　","")),0))</f>
        <v/>
      </c>
      <c r="M46" s="27">
        <f>IF(설정!$D$24="",0,IFERROR(VALUE(SUBSTITUTE(SUBSTITUTE(INDEX(급여대장_원본!$A$1:$AZ$400,(설정!$B$8+40),설정!$D$24)&amp;"",",",""),"　","")),0))</f>
        <v/>
      </c>
      <c r="N46" s="2">
        <f>IF(OR(설정!$C$17="",IFERROR(MATCH(설정!$C$17,INDEX(급여대장_원본!$A$1:$AZ$400,설정!$B$8,0),0),"")=""),"",IFERROR(VALUE(SUBSTITUTE(INDEX(급여대장_원본!$A$1:$AZ$400,(설정!$B$8+40),IFERROR(MATCH(설정!$C$17,INDEX(급여대장_원본!$A$1:$AZ$400,설정!$B$8,0),0),""))&amp;"",",","")),""))</f>
        <v/>
      </c>
      <c r="O46" s="2">
        <f>IF(OR(설정!$C$18="",IFERROR(MATCH(설정!$C$18,INDEX(급여대장_원본!$A$1:$AZ$400,설정!$B$8,0),0),"")=""),"",IFERROR(VALUE(SUBSTITUTE(INDEX(급여대장_원본!$A$1:$AZ$400,(설정!$B$8+40),IFERROR(MATCH(설정!$C$18,INDEX(급여대장_원본!$A$1:$AZ$400,설정!$B$8,0),0),""))&amp;"",",","")),""))</f>
        <v/>
      </c>
      <c r="P46" s="2">
        <f>IF(OR(설정!$C$19="",IFERROR(MATCH(설정!$C$19,INDEX(급여대장_원본!$A$1:$AZ$400,설정!$B$8,0),0),"")=""),"",IFERROR(VALUE(SUBSTITUTE(INDEX(급여대장_원본!$A$1:$AZ$400,(설정!$B$8+40),IFERROR(MATCH(설정!$C$19,INDEX(급여대장_원본!$A$1:$AZ$400,설정!$B$8,0),0),""))&amp;"",",","")),""))</f>
        <v/>
      </c>
      <c r="Q46" s="2">
        <f>IF(OR(설정!$C$20="",IFERROR(MATCH(설정!$C$20,INDEX(급여대장_원본!$A$1:$AZ$400,설정!$B$8,0),0),"")=""),"",IFERROR(VALUE(SUBSTITUTE(INDEX(급여대장_원본!$A$1:$AZ$400,(설정!$B$8+40),IFERROR(MATCH(설정!$C$20,INDEX(급여대장_원본!$A$1:$AZ$400,설정!$B$8,0),0),""))&amp;"",",","")),""))</f>
        <v/>
      </c>
      <c r="R46" s="2">
        <f>IF(OR(설정!$C$21="",IFERROR(MATCH(설정!$C$21,INDEX(급여대장_원본!$A$1:$AZ$400,설정!$B$8,0),0),"")=""),"",IFERROR(VALUE(SUBSTITUTE(INDEX(급여대장_원본!$A$1:$AZ$400,(설정!$B$8+40),IFERROR(MATCH(설정!$C$21,INDEX(급여대장_원본!$A$1:$AZ$400,설정!$B$8,0),0),""))&amp;"",",","")),""))</f>
        <v/>
      </c>
      <c r="S46" s="2">
        <f>IF(OR(설정!$C$22="",IFERROR(MATCH(설정!$C$22,INDEX(급여대장_원본!$A$1:$AZ$400,설정!$B$8,0),0),"")=""),"",IFERROR(VALUE(SUBSTITUTE(INDEX(급여대장_원본!$A$1:$AZ$400,(설정!$B$8+40),IFERROR(MATCH(설정!$C$22,INDEX(급여대장_원본!$A$1:$AZ$400,설정!$B$8,0),0),""))&amp;"",",","")),""))</f>
        <v/>
      </c>
      <c r="T46" s="2">
        <f>IF(OR(설정!$C$23="",IFERROR(MATCH(설정!$C$23,INDEX(급여대장_원본!$A$1:$AZ$400,설정!$B$8,0),0),"")=""),"",IFERROR(VALUE(SUBSTITUTE(INDEX(급여대장_원본!$A$1:$AZ$400,(설정!$B$8+40),IFERROR(MATCH(설정!$C$23,INDEX(급여대장_원본!$A$1:$AZ$400,설정!$B$8,0),0),""))&amp;"",",","")),""))</f>
        <v/>
      </c>
      <c r="U46" s="2">
        <f>IF(OR(설정!$C$24="",IFERROR(MATCH(설정!$C$24,INDEX(급여대장_원본!$A$1:$AZ$400,설정!$B$8,0),0),"")=""),"",IFERROR(VALUE(SUBSTITUTE(INDEX(급여대장_원본!$A$1:$AZ$400,(설정!$B$8+40),IFERROR(MATCH(설정!$C$24,INDEX(급여대장_원본!$A$1:$AZ$400,설정!$B$8,0),0),""))&amp;"",",","")),""))</f>
        <v/>
      </c>
      <c r="V46" s="27">
        <f>SUM(F46:M46)</f>
        <v/>
      </c>
      <c r="W46" s="27">
        <f>IF(설정!$D$26="",0,IFERROR(VALUE(SUBSTITUTE(SUBSTITUTE(INDEX(급여대장_원본!$A$1:$AZ$400,(설정!$B$8+40),설정!$D$26)&amp;"",",",""),"　","")),0))</f>
        <v/>
      </c>
      <c r="X46" s="27">
        <f>IF(설정!$D$27="",0,IFERROR(VALUE(SUBSTITUTE(SUBSTITUTE(INDEX(급여대장_원본!$A$1:$AZ$400,(설정!$B$8+40),설정!$D$27)&amp;"",",",""),"　","")),0))</f>
        <v/>
      </c>
      <c r="Y46" s="27">
        <f>IF(설정!$D$28="",0,IFERROR(VALUE(SUBSTITUTE(SUBSTITUTE(INDEX(급여대장_원본!$A$1:$AZ$400,(설정!$B$8+40),설정!$D$28)&amp;"",",",""),"　","")),0))</f>
        <v/>
      </c>
      <c r="Z46" s="27">
        <f>IF(설정!$D$29="",0,IFERROR(VALUE(SUBSTITUTE(SUBSTITUTE(INDEX(급여대장_원본!$A$1:$AZ$400,(설정!$B$8+40),설정!$D$29)&amp;"",",",""),"　","")),0))</f>
        <v/>
      </c>
      <c r="AA46" s="27">
        <f>IF(설정!$D$30="",0,IFERROR(VALUE(SUBSTITUTE(SUBSTITUTE(INDEX(급여대장_원본!$A$1:$AZ$400,(설정!$B$8+40),설정!$D$30)&amp;"",",",""),"　","")),0))</f>
        <v/>
      </c>
      <c r="AB46" s="27">
        <f>IF(설정!$D$31="",0,IFERROR(VALUE(SUBSTITUTE(SUBSTITUTE(INDEX(급여대장_원본!$A$1:$AZ$400,(설정!$B$8+40),설정!$D$31)&amp;"",",",""),"　","")),0))</f>
        <v/>
      </c>
      <c r="AC46" s="27">
        <f>IF(설정!$D$32="",0,IFERROR(VALUE(SUBSTITUTE(SUBSTITUTE(INDEX(급여대장_원본!$A$1:$AZ$400,(설정!$B$8+40),설정!$D$32)&amp;"",",",""),"　","")),0))</f>
        <v/>
      </c>
      <c r="AD46" s="27">
        <f>IF(설정!$D$33="",0,IFERROR(VALUE(SUBSTITUTE(SUBSTITUTE(INDEX(급여대장_원본!$A$1:$AZ$400,(설정!$B$8+40),설정!$D$33)&amp;"",",",""),"　","")),0))</f>
        <v/>
      </c>
      <c r="AE46" s="27">
        <f>SUM(W46:AD46)</f>
        <v/>
      </c>
      <c r="AF46" s="27">
        <f>V46-AE46</f>
        <v/>
      </c>
      <c r="AG46" s="27">
        <f>IF(설정!$D$35="","",IF(설정!$D$35="",0,IFERROR(VALUE(SUBSTITUTE(SUBSTITUTE(INDEX(급여대장_원본!$A$1:$AZ$400,(설정!$B$8+40),설정!$D$35)&amp;"",",",""),"　","")),0)))</f>
        <v/>
      </c>
      <c r="AH46" s="27">
        <f>IF(설정!$D$36="","",IF(설정!$D$36="",0,IFERROR(VALUE(SUBSTITUTE(SUBSTITUTE(INDEX(급여대장_원본!$A$1:$AZ$400,(설정!$B$8+40),설정!$D$36)&amp;"",",",""),"　","")),0)))</f>
        <v/>
      </c>
      <c r="AI46" s="27">
        <f>IF(설정!$D$37="","",IF(설정!$D$37="",0,IFERROR(VALUE(SUBSTITUTE(SUBSTITUTE(INDEX(급여대장_원본!$A$1:$AZ$400,(설정!$B$8+40),설정!$D$37)&amp;"",",",""),"　","")),0)))</f>
        <v/>
      </c>
      <c r="AJ46" s="2">
        <f>IFERROR(INDEX($D$7:$D$306,MATCH(40,$B$7:$B$306,0)),"")</f>
        <v/>
      </c>
    </row>
    <row r="47">
      <c r="A47" s="2">
        <f>IF(AND(D47&lt;&gt;"",D47&lt;&gt;"합계",D47&lt;&gt;"총계",D47&lt;&gt;"소계",D47&lt;&gt;"계"),1,0)</f>
        <v/>
      </c>
      <c r="B47" s="2">
        <f>IF(A47=1,SUM($A$7:A47),"")</f>
        <v/>
      </c>
      <c r="C47" s="2">
        <f>IF(설정!$D$13="","",TRIM(SUBSTITUTE(INDEX(급여대장_원본!$A$1:$AZ$400,(설정!$B$8+41),설정!$D$13)&amp;"","　"," ")))</f>
        <v/>
      </c>
      <c r="D47" s="2">
        <f>IF(설정!$D$14="","",TRIM(SUBSTITUTE(INDEX(급여대장_원본!$A$1:$AZ$400,(설정!$B$8+41),설정!$D$14)&amp;"","　"," ")))</f>
        <v/>
      </c>
      <c r="E47" s="2">
        <f>IF(설정!$D$15="","",TRIM(SUBSTITUTE(INDEX(급여대장_원본!$A$1:$AZ$400,(설정!$B$8+41),설정!$D$15)&amp;"","　"," ")))</f>
        <v/>
      </c>
      <c r="F47" s="27">
        <f>IF(설정!$D$17="",0,IFERROR(VALUE(SUBSTITUTE(SUBSTITUTE(INDEX(급여대장_원본!$A$1:$AZ$400,(설정!$B$8+41),설정!$D$17)&amp;"",",",""),"　","")),0))</f>
        <v/>
      </c>
      <c r="G47" s="27">
        <f>IF(설정!$D$18="",0,IFERROR(VALUE(SUBSTITUTE(SUBSTITUTE(INDEX(급여대장_원본!$A$1:$AZ$400,(설정!$B$8+41),설정!$D$18)&amp;"",",",""),"　","")),0))</f>
        <v/>
      </c>
      <c r="H47" s="27">
        <f>IF(설정!$D$19="",0,IFERROR(VALUE(SUBSTITUTE(SUBSTITUTE(INDEX(급여대장_원본!$A$1:$AZ$400,(설정!$B$8+41),설정!$D$19)&amp;"",",",""),"　","")),0))</f>
        <v/>
      </c>
      <c r="I47" s="27">
        <f>IF(설정!$D$20="",0,IFERROR(VALUE(SUBSTITUTE(SUBSTITUTE(INDEX(급여대장_원본!$A$1:$AZ$400,(설정!$B$8+41),설정!$D$20)&amp;"",",",""),"　","")),0))</f>
        <v/>
      </c>
      <c r="J47" s="27">
        <f>IF(설정!$D$21="",0,IFERROR(VALUE(SUBSTITUTE(SUBSTITUTE(INDEX(급여대장_원본!$A$1:$AZ$400,(설정!$B$8+41),설정!$D$21)&amp;"",",",""),"　","")),0))</f>
        <v/>
      </c>
      <c r="K47" s="27">
        <f>IF(설정!$D$22="",0,IFERROR(VALUE(SUBSTITUTE(SUBSTITUTE(INDEX(급여대장_원본!$A$1:$AZ$400,(설정!$B$8+41),설정!$D$22)&amp;"",",",""),"　","")),0))</f>
        <v/>
      </c>
      <c r="L47" s="27">
        <f>IF(설정!$D$23="",0,IFERROR(VALUE(SUBSTITUTE(SUBSTITUTE(INDEX(급여대장_원본!$A$1:$AZ$400,(설정!$B$8+41),설정!$D$23)&amp;"",",",""),"　","")),0))</f>
        <v/>
      </c>
      <c r="M47" s="27">
        <f>IF(설정!$D$24="",0,IFERROR(VALUE(SUBSTITUTE(SUBSTITUTE(INDEX(급여대장_원본!$A$1:$AZ$400,(설정!$B$8+41),설정!$D$24)&amp;"",",",""),"　","")),0))</f>
        <v/>
      </c>
      <c r="N47" s="2">
        <f>IF(OR(설정!$C$17="",IFERROR(MATCH(설정!$C$17,INDEX(급여대장_원본!$A$1:$AZ$400,설정!$B$8,0),0),"")=""),"",IFERROR(VALUE(SUBSTITUTE(INDEX(급여대장_원본!$A$1:$AZ$400,(설정!$B$8+41),IFERROR(MATCH(설정!$C$17,INDEX(급여대장_원본!$A$1:$AZ$400,설정!$B$8,0),0),""))&amp;"",",","")),""))</f>
        <v/>
      </c>
      <c r="O47" s="2">
        <f>IF(OR(설정!$C$18="",IFERROR(MATCH(설정!$C$18,INDEX(급여대장_원본!$A$1:$AZ$400,설정!$B$8,0),0),"")=""),"",IFERROR(VALUE(SUBSTITUTE(INDEX(급여대장_원본!$A$1:$AZ$400,(설정!$B$8+41),IFERROR(MATCH(설정!$C$18,INDEX(급여대장_원본!$A$1:$AZ$400,설정!$B$8,0),0),""))&amp;"",",","")),""))</f>
        <v/>
      </c>
      <c r="P47" s="2">
        <f>IF(OR(설정!$C$19="",IFERROR(MATCH(설정!$C$19,INDEX(급여대장_원본!$A$1:$AZ$400,설정!$B$8,0),0),"")=""),"",IFERROR(VALUE(SUBSTITUTE(INDEX(급여대장_원본!$A$1:$AZ$400,(설정!$B$8+41),IFERROR(MATCH(설정!$C$19,INDEX(급여대장_원본!$A$1:$AZ$400,설정!$B$8,0),0),""))&amp;"",",","")),""))</f>
        <v/>
      </c>
      <c r="Q47" s="2">
        <f>IF(OR(설정!$C$20="",IFERROR(MATCH(설정!$C$20,INDEX(급여대장_원본!$A$1:$AZ$400,설정!$B$8,0),0),"")=""),"",IFERROR(VALUE(SUBSTITUTE(INDEX(급여대장_원본!$A$1:$AZ$400,(설정!$B$8+41),IFERROR(MATCH(설정!$C$20,INDEX(급여대장_원본!$A$1:$AZ$400,설정!$B$8,0),0),""))&amp;"",",","")),""))</f>
        <v/>
      </c>
      <c r="R47" s="2">
        <f>IF(OR(설정!$C$21="",IFERROR(MATCH(설정!$C$21,INDEX(급여대장_원본!$A$1:$AZ$400,설정!$B$8,0),0),"")=""),"",IFERROR(VALUE(SUBSTITUTE(INDEX(급여대장_원본!$A$1:$AZ$400,(설정!$B$8+41),IFERROR(MATCH(설정!$C$21,INDEX(급여대장_원본!$A$1:$AZ$400,설정!$B$8,0),0),""))&amp;"",",","")),""))</f>
        <v/>
      </c>
      <c r="S47" s="2">
        <f>IF(OR(설정!$C$22="",IFERROR(MATCH(설정!$C$22,INDEX(급여대장_원본!$A$1:$AZ$400,설정!$B$8,0),0),"")=""),"",IFERROR(VALUE(SUBSTITUTE(INDEX(급여대장_원본!$A$1:$AZ$400,(설정!$B$8+41),IFERROR(MATCH(설정!$C$22,INDEX(급여대장_원본!$A$1:$AZ$400,설정!$B$8,0),0),""))&amp;"",",","")),""))</f>
        <v/>
      </c>
      <c r="T47" s="2">
        <f>IF(OR(설정!$C$23="",IFERROR(MATCH(설정!$C$23,INDEX(급여대장_원본!$A$1:$AZ$400,설정!$B$8,0),0),"")=""),"",IFERROR(VALUE(SUBSTITUTE(INDEX(급여대장_원본!$A$1:$AZ$400,(설정!$B$8+41),IFERROR(MATCH(설정!$C$23,INDEX(급여대장_원본!$A$1:$AZ$400,설정!$B$8,0),0),""))&amp;"",",","")),""))</f>
        <v/>
      </c>
      <c r="U47" s="2">
        <f>IF(OR(설정!$C$24="",IFERROR(MATCH(설정!$C$24,INDEX(급여대장_원본!$A$1:$AZ$400,설정!$B$8,0),0),"")=""),"",IFERROR(VALUE(SUBSTITUTE(INDEX(급여대장_원본!$A$1:$AZ$400,(설정!$B$8+41),IFERROR(MATCH(설정!$C$24,INDEX(급여대장_원본!$A$1:$AZ$400,설정!$B$8,0),0),""))&amp;"",",","")),""))</f>
        <v/>
      </c>
      <c r="V47" s="27">
        <f>SUM(F47:M47)</f>
        <v/>
      </c>
      <c r="W47" s="27">
        <f>IF(설정!$D$26="",0,IFERROR(VALUE(SUBSTITUTE(SUBSTITUTE(INDEX(급여대장_원본!$A$1:$AZ$400,(설정!$B$8+41),설정!$D$26)&amp;"",",",""),"　","")),0))</f>
        <v/>
      </c>
      <c r="X47" s="27">
        <f>IF(설정!$D$27="",0,IFERROR(VALUE(SUBSTITUTE(SUBSTITUTE(INDEX(급여대장_원본!$A$1:$AZ$400,(설정!$B$8+41),설정!$D$27)&amp;"",",",""),"　","")),0))</f>
        <v/>
      </c>
      <c r="Y47" s="27">
        <f>IF(설정!$D$28="",0,IFERROR(VALUE(SUBSTITUTE(SUBSTITUTE(INDEX(급여대장_원본!$A$1:$AZ$400,(설정!$B$8+41),설정!$D$28)&amp;"",",",""),"　","")),0))</f>
        <v/>
      </c>
      <c r="Z47" s="27">
        <f>IF(설정!$D$29="",0,IFERROR(VALUE(SUBSTITUTE(SUBSTITUTE(INDEX(급여대장_원본!$A$1:$AZ$400,(설정!$B$8+41),설정!$D$29)&amp;"",",",""),"　","")),0))</f>
        <v/>
      </c>
      <c r="AA47" s="27">
        <f>IF(설정!$D$30="",0,IFERROR(VALUE(SUBSTITUTE(SUBSTITUTE(INDEX(급여대장_원본!$A$1:$AZ$400,(설정!$B$8+41),설정!$D$30)&amp;"",",",""),"　","")),0))</f>
        <v/>
      </c>
      <c r="AB47" s="27">
        <f>IF(설정!$D$31="",0,IFERROR(VALUE(SUBSTITUTE(SUBSTITUTE(INDEX(급여대장_원본!$A$1:$AZ$400,(설정!$B$8+41),설정!$D$31)&amp;"",",",""),"　","")),0))</f>
        <v/>
      </c>
      <c r="AC47" s="27">
        <f>IF(설정!$D$32="",0,IFERROR(VALUE(SUBSTITUTE(SUBSTITUTE(INDEX(급여대장_원본!$A$1:$AZ$400,(설정!$B$8+41),설정!$D$32)&amp;"",",",""),"　","")),0))</f>
        <v/>
      </c>
      <c r="AD47" s="27">
        <f>IF(설정!$D$33="",0,IFERROR(VALUE(SUBSTITUTE(SUBSTITUTE(INDEX(급여대장_원본!$A$1:$AZ$400,(설정!$B$8+41),설정!$D$33)&amp;"",",",""),"　","")),0))</f>
        <v/>
      </c>
      <c r="AE47" s="27">
        <f>SUM(W47:AD47)</f>
        <v/>
      </c>
      <c r="AF47" s="27">
        <f>V47-AE47</f>
        <v/>
      </c>
      <c r="AG47" s="27">
        <f>IF(설정!$D$35="","",IF(설정!$D$35="",0,IFERROR(VALUE(SUBSTITUTE(SUBSTITUTE(INDEX(급여대장_원본!$A$1:$AZ$400,(설정!$B$8+41),설정!$D$35)&amp;"",",",""),"　","")),0)))</f>
        <v/>
      </c>
      <c r="AH47" s="27">
        <f>IF(설정!$D$36="","",IF(설정!$D$36="",0,IFERROR(VALUE(SUBSTITUTE(SUBSTITUTE(INDEX(급여대장_원본!$A$1:$AZ$400,(설정!$B$8+41),설정!$D$36)&amp;"",",",""),"　","")),0)))</f>
        <v/>
      </c>
      <c r="AI47" s="27">
        <f>IF(설정!$D$37="","",IF(설정!$D$37="",0,IFERROR(VALUE(SUBSTITUTE(SUBSTITUTE(INDEX(급여대장_원본!$A$1:$AZ$400,(설정!$B$8+41),설정!$D$37)&amp;"",",",""),"　","")),0)))</f>
        <v/>
      </c>
      <c r="AJ47" s="2">
        <f>IFERROR(INDEX($D$7:$D$306,MATCH(41,$B$7:$B$306,0)),"")</f>
        <v/>
      </c>
    </row>
    <row r="48">
      <c r="A48" s="2">
        <f>IF(AND(D48&lt;&gt;"",D48&lt;&gt;"합계",D48&lt;&gt;"총계",D48&lt;&gt;"소계",D48&lt;&gt;"계"),1,0)</f>
        <v/>
      </c>
      <c r="B48" s="2">
        <f>IF(A48=1,SUM($A$7:A48),"")</f>
        <v/>
      </c>
      <c r="C48" s="2">
        <f>IF(설정!$D$13="","",TRIM(SUBSTITUTE(INDEX(급여대장_원본!$A$1:$AZ$400,(설정!$B$8+42),설정!$D$13)&amp;"","　"," ")))</f>
        <v/>
      </c>
      <c r="D48" s="2">
        <f>IF(설정!$D$14="","",TRIM(SUBSTITUTE(INDEX(급여대장_원본!$A$1:$AZ$400,(설정!$B$8+42),설정!$D$14)&amp;"","　"," ")))</f>
        <v/>
      </c>
      <c r="E48" s="2">
        <f>IF(설정!$D$15="","",TRIM(SUBSTITUTE(INDEX(급여대장_원본!$A$1:$AZ$400,(설정!$B$8+42),설정!$D$15)&amp;"","　"," ")))</f>
        <v/>
      </c>
      <c r="F48" s="27">
        <f>IF(설정!$D$17="",0,IFERROR(VALUE(SUBSTITUTE(SUBSTITUTE(INDEX(급여대장_원본!$A$1:$AZ$400,(설정!$B$8+42),설정!$D$17)&amp;"",",",""),"　","")),0))</f>
        <v/>
      </c>
      <c r="G48" s="27">
        <f>IF(설정!$D$18="",0,IFERROR(VALUE(SUBSTITUTE(SUBSTITUTE(INDEX(급여대장_원본!$A$1:$AZ$400,(설정!$B$8+42),설정!$D$18)&amp;"",",",""),"　","")),0))</f>
        <v/>
      </c>
      <c r="H48" s="27">
        <f>IF(설정!$D$19="",0,IFERROR(VALUE(SUBSTITUTE(SUBSTITUTE(INDEX(급여대장_원본!$A$1:$AZ$400,(설정!$B$8+42),설정!$D$19)&amp;"",",",""),"　","")),0))</f>
        <v/>
      </c>
      <c r="I48" s="27">
        <f>IF(설정!$D$20="",0,IFERROR(VALUE(SUBSTITUTE(SUBSTITUTE(INDEX(급여대장_원본!$A$1:$AZ$400,(설정!$B$8+42),설정!$D$20)&amp;"",",",""),"　","")),0))</f>
        <v/>
      </c>
      <c r="J48" s="27">
        <f>IF(설정!$D$21="",0,IFERROR(VALUE(SUBSTITUTE(SUBSTITUTE(INDEX(급여대장_원본!$A$1:$AZ$400,(설정!$B$8+42),설정!$D$21)&amp;"",",",""),"　","")),0))</f>
        <v/>
      </c>
      <c r="K48" s="27">
        <f>IF(설정!$D$22="",0,IFERROR(VALUE(SUBSTITUTE(SUBSTITUTE(INDEX(급여대장_원본!$A$1:$AZ$400,(설정!$B$8+42),설정!$D$22)&amp;"",",",""),"　","")),0))</f>
        <v/>
      </c>
      <c r="L48" s="27">
        <f>IF(설정!$D$23="",0,IFERROR(VALUE(SUBSTITUTE(SUBSTITUTE(INDEX(급여대장_원본!$A$1:$AZ$400,(설정!$B$8+42),설정!$D$23)&amp;"",",",""),"　","")),0))</f>
        <v/>
      </c>
      <c r="M48" s="27">
        <f>IF(설정!$D$24="",0,IFERROR(VALUE(SUBSTITUTE(SUBSTITUTE(INDEX(급여대장_원본!$A$1:$AZ$400,(설정!$B$8+42),설정!$D$24)&amp;"",",",""),"　","")),0))</f>
        <v/>
      </c>
      <c r="N48" s="2">
        <f>IF(OR(설정!$C$17="",IFERROR(MATCH(설정!$C$17,INDEX(급여대장_원본!$A$1:$AZ$400,설정!$B$8,0),0),"")=""),"",IFERROR(VALUE(SUBSTITUTE(INDEX(급여대장_원본!$A$1:$AZ$400,(설정!$B$8+42),IFERROR(MATCH(설정!$C$17,INDEX(급여대장_원본!$A$1:$AZ$400,설정!$B$8,0),0),""))&amp;"",",","")),""))</f>
        <v/>
      </c>
      <c r="O48" s="2">
        <f>IF(OR(설정!$C$18="",IFERROR(MATCH(설정!$C$18,INDEX(급여대장_원본!$A$1:$AZ$400,설정!$B$8,0),0),"")=""),"",IFERROR(VALUE(SUBSTITUTE(INDEX(급여대장_원본!$A$1:$AZ$400,(설정!$B$8+42),IFERROR(MATCH(설정!$C$18,INDEX(급여대장_원본!$A$1:$AZ$400,설정!$B$8,0),0),""))&amp;"",",","")),""))</f>
        <v/>
      </c>
      <c r="P48" s="2">
        <f>IF(OR(설정!$C$19="",IFERROR(MATCH(설정!$C$19,INDEX(급여대장_원본!$A$1:$AZ$400,설정!$B$8,0),0),"")=""),"",IFERROR(VALUE(SUBSTITUTE(INDEX(급여대장_원본!$A$1:$AZ$400,(설정!$B$8+42),IFERROR(MATCH(설정!$C$19,INDEX(급여대장_원본!$A$1:$AZ$400,설정!$B$8,0),0),""))&amp;"",",","")),""))</f>
        <v/>
      </c>
      <c r="Q48" s="2">
        <f>IF(OR(설정!$C$20="",IFERROR(MATCH(설정!$C$20,INDEX(급여대장_원본!$A$1:$AZ$400,설정!$B$8,0),0),"")=""),"",IFERROR(VALUE(SUBSTITUTE(INDEX(급여대장_원본!$A$1:$AZ$400,(설정!$B$8+42),IFERROR(MATCH(설정!$C$20,INDEX(급여대장_원본!$A$1:$AZ$400,설정!$B$8,0),0),""))&amp;"",",","")),""))</f>
        <v/>
      </c>
      <c r="R48" s="2">
        <f>IF(OR(설정!$C$21="",IFERROR(MATCH(설정!$C$21,INDEX(급여대장_원본!$A$1:$AZ$400,설정!$B$8,0),0),"")=""),"",IFERROR(VALUE(SUBSTITUTE(INDEX(급여대장_원본!$A$1:$AZ$400,(설정!$B$8+42),IFERROR(MATCH(설정!$C$21,INDEX(급여대장_원본!$A$1:$AZ$400,설정!$B$8,0),0),""))&amp;"",",","")),""))</f>
        <v/>
      </c>
      <c r="S48" s="2">
        <f>IF(OR(설정!$C$22="",IFERROR(MATCH(설정!$C$22,INDEX(급여대장_원본!$A$1:$AZ$400,설정!$B$8,0),0),"")=""),"",IFERROR(VALUE(SUBSTITUTE(INDEX(급여대장_원본!$A$1:$AZ$400,(설정!$B$8+42),IFERROR(MATCH(설정!$C$22,INDEX(급여대장_원본!$A$1:$AZ$400,설정!$B$8,0),0),""))&amp;"",",","")),""))</f>
        <v/>
      </c>
      <c r="T48" s="2">
        <f>IF(OR(설정!$C$23="",IFERROR(MATCH(설정!$C$23,INDEX(급여대장_원본!$A$1:$AZ$400,설정!$B$8,0),0),"")=""),"",IFERROR(VALUE(SUBSTITUTE(INDEX(급여대장_원본!$A$1:$AZ$400,(설정!$B$8+42),IFERROR(MATCH(설정!$C$23,INDEX(급여대장_원본!$A$1:$AZ$400,설정!$B$8,0),0),""))&amp;"",",","")),""))</f>
        <v/>
      </c>
      <c r="U48" s="2">
        <f>IF(OR(설정!$C$24="",IFERROR(MATCH(설정!$C$24,INDEX(급여대장_원본!$A$1:$AZ$400,설정!$B$8,0),0),"")=""),"",IFERROR(VALUE(SUBSTITUTE(INDEX(급여대장_원본!$A$1:$AZ$400,(설정!$B$8+42),IFERROR(MATCH(설정!$C$24,INDEX(급여대장_원본!$A$1:$AZ$400,설정!$B$8,0),0),""))&amp;"",",","")),""))</f>
        <v/>
      </c>
      <c r="V48" s="27">
        <f>SUM(F48:M48)</f>
        <v/>
      </c>
      <c r="W48" s="27">
        <f>IF(설정!$D$26="",0,IFERROR(VALUE(SUBSTITUTE(SUBSTITUTE(INDEX(급여대장_원본!$A$1:$AZ$400,(설정!$B$8+42),설정!$D$26)&amp;"",",",""),"　","")),0))</f>
        <v/>
      </c>
      <c r="X48" s="27">
        <f>IF(설정!$D$27="",0,IFERROR(VALUE(SUBSTITUTE(SUBSTITUTE(INDEX(급여대장_원본!$A$1:$AZ$400,(설정!$B$8+42),설정!$D$27)&amp;"",",",""),"　","")),0))</f>
        <v/>
      </c>
      <c r="Y48" s="27">
        <f>IF(설정!$D$28="",0,IFERROR(VALUE(SUBSTITUTE(SUBSTITUTE(INDEX(급여대장_원본!$A$1:$AZ$400,(설정!$B$8+42),설정!$D$28)&amp;"",",",""),"　","")),0))</f>
        <v/>
      </c>
      <c r="Z48" s="27">
        <f>IF(설정!$D$29="",0,IFERROR(VALUE(SUBSTITUTE(SUBSTITUTE(INDEX(급여대장_원본!$A$1:$AZ$400,(설정!$B$8+42),설정!$D$29)&amp;"",",",""),"　","")),0))</f>
        <v/>
      </c>
      <c r="AA48" s="27">
        <f>IF(설정!$D$30="",0,IFERROR(VALUE(SUBSTITUTE(SUBSTITUTE(INDEX(급여대장_원본!$A$1:$AZ$400,(설정!$B$8+42),설정!$D$30)&amp;"",",",""),"　","")),0))</f>
        <v/>
      </c>
      <c r="AB48" s="27">
        <f>IF(설정!$D$31="",0,IFERROR(VALUE(SUBSTITUTE(SUBSTITUTE(INDEX(급여대장_원본!$A$1:$AZ$400,(설정!$B$8+42),설정!$D$31)&amp;"",",",""),"　","")),0))</f>
        <v/>
      </c>
      <c r="AC48" s="27">
        <f>IF(설정!$D$32="",0,IFERROR(VALUE(SUBSTITUTE(SUBSTITUTE(INDEX(급여대장_원본!$A$1:$AZ$400,(설정!$B$8+42),설정!$D$32)&amp;"",",",""),"　","")),0))</f>
        <v/>
      </c>
      <c r="AD48" s="27">
        <f>IF(설정!$D$33="",0,IFERROR(VALUE(SUBSTITUTE(SUBSTITUTE(INDEX(급여대장_원본!$A$1:$AZ$400,(설정!$B$8+42),설정!$D$33)&amp;"",",",""),"　","")),0))</f>
        <v/>
      </c>
      <c r="AE48" s="27">
        <f>SUM(W48:AD48)</f>
        <v/>
      </c>
      <c r="AF48" s="27">
        <f>V48-AE48</f>
        <v/>
      </c>
      <c r="AG48" s="27">
        <f>IF(설정!$D$35="","",IF(설정!$D$35="",0,IFERROR(VALUE(SUBSTITUTE(SUBSTITUTE(INDEX(급여대장_원본!$A$1:$AZ$400,(설정!$B$8+42),설정!$D$35)&amp;"",",",""),"　","")),0)))</f>
        <v/>
      </c>
      <c r="AH48" s="27">
        <f>IF(설정!$D$36="","",IF(설정!$D$36="",0,IFERROR(VALUE(SUBSTITUTE(SUBSTITUTE(INDEX(급여대장_원본!$A$1:$AZ$400,(설정!$B$8+42),설정!$D$36)&amp;"",",",""),"　","")),0)))</f>
        <v/>
      </c>
      <c r="AI48" s="27">
        <f>IF(설정!$D$37="","",IF(설정!$D$37="",0,IFERROR(VALUE(SUBSTITUTE(SUBSTITUTE(INDEX(급여대장_원본!$A$1:$AZ$400,(설정!$B$8+42),설정!$D$37)&amp;"",",",""),"　","")),0)))</f>
        <v/>
      </c>
      <c r="AJ48" s="2">
        <f>IFERROR(INDEX($D$7:$D$306,MATCH(42,$B$7:$B$306,0)),"")</f>
        <v/>
      </c>
    </row>
    <row r="49">
      <c r="A49" s="2">
        <f>IF(AND(D49&lt;&gt;"",D49&lt;&gt;"합계",D49&lt;&gt;"총계",D49&lt;&gt;"소계",D49&lt;&gt;"계"),1,0)</f>
        <v/>
      </c>
      <c r="B49" s="2">
        <f>IF(A49=1,SUM($A$7:A49),"")</f>
        <v/>
      </c>
      <c r="C49" s="2">
        <f>IF(설정!$D$13="","",TRIM(SUBSTITUTE(INDEX(급여대장_원본!$A$1:$AZ$400,(설정!$B$8+43),설정!$D$13)&amp;"","　"," ")))</f>
        <v/>
      </c>
      <c r="D49" s="2">
        <f>IF(설정!$D$14="","",TRIM(SUBSTITUTE(INDEX(급여대장_원본!$A$1:$AZ$400,(설정!$B$8+43),설정!$D$14)&amp;"","　"," ")))</f>
        <v/>
      </c>
      <c r="E49" s="2">
        <f>IF(설정!$D$15="","",TRIM(SUBSTITUTE(INDEX(급여대장_원본!$A$1:$AZ$400,(설정!$B$8+43),설정!$D$15)&amp;"","　"," ")))</f>
        <v/>
      </c>
      <c r="F49" s="27">
        <f>IF(설정!$D$17="",0,IFERROR(VALUE(SUBSTITUTE(SUBSTITUTE(INDEX(급여대장_원본!$A$1:$AZ$400,(설정!$B$8+43),설정!$D$17)&amp;"",",",""),"　","")),0))</f>
        <v/>
      </c>
      <c r="G49" s="27">
        <f>IF(설정!$D$18="",0,IFERROR(VALUE(SUBSTITUTE(SUBSTITUTE(INDEX(급여대장_원본!$A$1:$AZ$400,(설정!$B$8+43),설정!$D$18)&amp;"",",",""),"　","")),0))</f>
        <v/>
      </c>
      <c r="H49" s="27">
        <f>IF(설정!$D$19="",0,IFERROR(VALUE(SUBSTITUTE(SUBSTITUTE(INDEX(급여대장_원본!$A$1:$AZ$400,(설정!$B$8+43),설정!$D$19)&amp;"",",",""),"　","")),0))</f>
        <v/>
      </c>
      <c r="I49" s="27">
        <f>IF(설정!$D$20="",0,IFERROR(VALUE(SUBSTITUTE(SUBSTITUTE(INDEX(급여대장_원본!$A$1:$AZ$400,(설정!$B$8+43),설정!$D$20)&amp;"",",",""),"　","")),0))</f>
        <v/>
      </c>
      <c r="J49" s="27">
        <f>IF(설정!$D$21="",0,IFERROR(VALUE(SUBSTITUTE(SUBSTITUTE(INDEX(급여대장_원본!$A$1:$AZ$400,(설정!$B$8+43),설정!$D$21)&amp;"",",",""),"　","")),0))</f>
        <v/>
      </c>
      <c r="K49" s="27">
        <f>IF(설정!$D$22="",0,IFERROR(VALUE(SUBSTITUTE(SUBSTITUTE(INDEX(급여대장_원본!$A$1:$AZ$400,(설정!$B$8+43),설정!$D$22)&amp;"",",",""),"　","")),0))</f>
        <v/>
      </c>
      <c r="L49" s="27">
        <f>IF(설정!$D$23="",0,IFERROR(VALUE(SUBSTITUTE(SUBSTITUTE(INDEX(급여대장_원본!$A$1:$AZ$400,(설정!$B$8+43),설정!$D$23)&amp;"",",",""),"　","")),0))</f>
        <v/>
      </c>
      <c r="M49" s="27">
        <f>IF(설정!$D$24="",0,IFERROR(VALUE(SUBSTITUTE(SUBSTITUTE(INDEX(급여대장_원본!$A$1:$AZ$400,(설정!$B$8+43),설정!$D$24)&amp;"",",",""),"　","")),0))</f>
        <v/>
      </c>
      <c r="N49" s="2">
        <f>IF(OR(설정!$C$17="",IFERROR(MATCH(설정!$C$17,INDEX(급여대장_원본!$A$1:$AZ$400,설정!$B$8,0),0),"")=""),"",IFERROR(VALUE(SUBSTITUTE(INDEX(급여대장_원본!$A$1:$AZ$400,(설정!$B$8+43),IFERROR(MATCH(설정!$C$17,INDEX(급여대장_원본!$A$1:$AZ$400,설정!$B$8,0),0),""))&amp;"",",","")),""))</f>
        <v/>
      </c>
      <c r="O49" s="2">
        <f>IF(OR(설정!$C$18="",IFERROR(MATCH(설정!$C$18,INDEX(급여대장_원본!$A$1:$AZ$400,설정!$B$8,0),0),"")=""),"",IFERROR(VALUE(SUBSTITUTE(INDEX(급여대장_원본!$A$1:$AZ$400,(설정!$B$8+43),IFERROR(MATCH(설정!$C$18,INDEX(급여대장_원본!$A$1:$AZ$400,설정!$B$8,0),0),""))&amp;"",",","")),""))</f>
        <v/>
      </c>
      <c r="P49" s="2">
        <f>IF(OR(설정!$C$19="",IFERROR(MATCH(설정!$C$19,INDEX(급여대장_원본!$A$1:$AZ$400,설정!$B$8,0),0),"")=""),"",IFERROR(VALUE(SUBSTITUTE(INDEX(급여대장_원본!$A$1:$AZ$400,(설정!$B$8+43),IFERROR(MATCH(설정!$C$19,INDEX(급여대장_원본!$A$1:$AZ$400,설정!$B$8,0),0),""))&amp;"",",","")),""))</f>
        <v/>
      </c>
      <c r="Q49" s="2">
        <f>IF(OR(설정!$C$20="",IFERROR(MATCH(설정!$C$20,INDEX(급여대장_원본!$A$1:$AZ$400,설정!$B$8,0),0),"")=""),"",IFERROR(VALUE(SUBSTITUTE(INDEX(급여대장_원본!$A$1:$AZ$400,(설정!$B$8+43),IFERROR(MATCH(설정!$C$20,INDEX(급여대장_원본!$A$1:$AZ$400,설정!$B$8,0),0),""))&amp;"",",","")),""))</f>
        <v/>
      </c>
      <c r="R49" s="2">
        <f>IF(OR(설정!$C$21="",IFERROR(MATCH(설정!$C$21,INDEX(급여대장_원본!$A$1:$AZ$400,설정!$B$8,0),0),"")=""),"",IFERROR(VALUE(SUBSTITUTE(INDEX(급여대장_원본!$A$1:$AZ$400,(설정!$B$8+43),IFERROR(MATCH(설정!$C$21,INDEX(급여대장_원본!$A$1:$AZ$400,설정!$B$8,0),0),""))&amp;"",",","")),""))</f>
        <v/>
      </c>
      <c r="S49" s="2">
        <f>IF(OR(설정!$C$22="",IFERROR(MATCH(설정!$C$22,INDEX(급여대장_원본!$A$1:$AZ$400,설정!$B$8,0),0),"")=""),"",IFERROR(VALUE(SUBSTITUTE(INDEX(급여대장_원본!$A$1:$AZ$400,(설정!$B$8+43),IFERROR(MATCH(설정!$C$22,INDEX(급여대장_원본!$A$1:$AZ$400,설정!$B$8,0),0),""))&amp;"",",","")),""))</f>
        <v/>
      </c>
      <c r="T49" s="2">
        <f>IF(OR(설정!$C$23="",IFERROR(MATCH(설정!$C$23,INDEX(급여대장_원본!$A$1:$AZ$400,설정!$B$8,0),0),"")=""),"",IFERROR(VALUE(SUBSTITUTE(INDEX(급여대장_원본!$A$1:$AZ$400,(설정!$B$8+43),IFERROR(MATCH(설정!$C$23,INDEX(급여대장_원본!$A$1:$AZ$400,설정!$B$8,0),0),""))&amp;"",",","")),""))</f>
        <v/>
      </c>
      <c r="U49" s="2">
        <f>IF(OR(설정!$C$24="",IFERROR(MATCH(설정!$C$24,INDEX(급여대장_원본!$A$1:$AZ$400,설정!$B$8,0),0),"")=""),"",IFERROR(VALUE(SUBSTITUTE(INDEX(급여대장_원본!$A$1:$AZ$400,(설정!$B$8+43),IFERROR(MATCH(설정!$C$24,INDEX(급여대장_원본!$A$1:$AZ$400,설정!$B$8,0),0),""))&amp;"",",","")),""))</f>
        <v/>
      </c>
      <c r="V49" s="27">
        <f>SUM(F49:M49)</f>
        <v/>
      </c>
      <c r="W49" s="27">
        <f>IF(설정!$D$26="",0,IFERROR(VALUE(SUBSTITUTE(SUBSTITUTE(INDEX(급여대장_원본!$A$1:$AZ$400,(설정!$B$8+43),설정!$D$26)&amp;"",",",""),"　","")),0))</f>
        <v/>
      </c>
      <c r="X49" s="27">
        <f>IF(설정!$D$27="",0,IFERROR(VALUE(SUBSTITUTE(SUBSTITUTE(INDEX(급여대장_원본!$A$1:$AZ$400,(설정!$B$8+43),설정!$D$27)&amp;"",",",""),"　","")),0))</f>
        <v/>
      </c>
      <c r="Y49" s="27">
        <f>IF(설정!$D$28="",0,IFERROR(VALUE(SUBSTITUTE(SUBSTITUTE(INDEX(급여대장_원본!$A$1:$AZ$400,(설정!$B$8+43),설정!$D$28)&amp;"",",",""),"　","")),0))</f>
        <v/>
      </c>
      <c r="Z49" s="27">
        <f>IF(설정!$D$29="",0,IFERROR(VALUE(SUBSTITUTE(SUBSTITUTE(INDEX(급여대장_원본!$A$1:$AZ$400,(설정!$B$8+43),설정!$D$29)&amp;"",",",""),"　","")),0))</f>
        <v/>
      </c>
      <c r="AA49" s="27">
        <f>IF(설정!$D$30="",0,IFERROR(VALUE(SUBSTITUTE(SUBSTITUTE(INDEX(급여대장_원본!$A$1:$AZ$400,(설정!$B$8+43),설정!$D$30)&amp;"",",",""),"　","")),0))</f>
        <v/>
      </c>
      <c r="AB49" s="27">
        <f>IF(설정!$D$31="",0,IFERROR(VALUE(SUBSTITUTE(SUBSTITUTE(INDEX(급여대장_원본!$A$1:$AZ$400,(설정!$B$8+43),설정!$D$31)&amp;"",",",""),"　","")),0))</f>
        <v/>
      </c>
      <c r="AC49" s="27">
        <f>IF(설정!$D$32="",0,IFERROR(VALUE(SUBSTITUTE(SUBSTITUTE(INDEX(급여대장_원본!$A$1:$AZ$400,(설정!$B$8+43),설정!$D$32)&amp;"",",",""),"　","")),0))</f>
        <v/>
      </c>
      <c r="AD49" s="27">
        <f>IF(설정!$D$33="",0,IFERROR(VALUE(SUBSTITUTE(SUBSTITUTE(INDEX(급여대장_원본!$A$1:$AZ$400,(설정!$B$8+43),설정!$D$33)&amp;"",",",""),"　","")),0))</f>
        <v/>
      </c>
      <c r="AE49" s="27">
        <f>SUM(W49:AD49)</f>
        <v/>
      </c>
      <c r="AF49" s="27">
        <f>V49-AE49</f>
        <v/>
      </c>
      <c r="AG49" s="27">
        <f>IF(설정!$D$35="","",IF(설정!$D$35="",0,IFERROR(VALUE(SUBSTITUTE(SUBSTITUTE(INDEX(급여대장_원본!$A$1:$AZ$400,(설정!$B$8+43),설정!$D$35)&amp;"",",",""),"　","")),0)))</f>
        <v/>
      </c>
      <c r="AH49" s="27">
        <f>IF(설정!$D$36="","",IF(설정!$D$36="",0,IFERROR(VALUE(SUBSTITUTE(SUBSTITUTE(INDEX(급여대장_원본!$A$1:$AZ$400,(설정!$B$8+43),설정!$D$36)&amp;"",",",""),"　","")),0)))</f>
        <v/>
      </c>
      <c r="AI49" s="27">
        <f>IF(설정!$D$37="","",IF(설정!$D$37="",0,IFERROR(VALUE(SUBSTITUTE(SUBSTITUTE(INDEX(급여대장_원본!$A$1:$AZ$400,(설정!$B$8+43),설정!$D$37)&amp;"",",",""),"　","")),0)))</f>
        <v/>
      </c>
      <c r="AJ49" s="2">
        <f>IFERROR(INDEX($D$7:$D$306,MATCH(43,$B$7:$B$306,0)),"")</f>
        <v/>
      </c>
    </row>
    <row r="50">
      <c r="A50" s="2">
        <f>IF(AND(D50&lt;&gt;"",D50&lt;&gt;"합계",D50&lt;&gt;"총계",D50&lt;&gt;"소계",D50&lt;&gt;"계"),1,0)</f>
        <v/>
      </c>
      <c r="B50" s="2">
        <f>IF(A50=1,SUM($A$7:A50),"")</f>
        <v/>
      </c>
      <c r="C50" s="2">
        <f>IF(설정!$D$13="","",TRIM(SUBSTITUTE(INDEX(급여대장_원본!$A$1:$AZ$400,(설정!$B$8+44),설정!$D$13)&amp;"","　"," ")))</f>
        <v/>
      </c>
      <c r="D50" s="2">
        <f>IF(설정!$D$14="","",TRIM(SUBSTITUTE(INDEX(급여대장_원본!$A$1:$AZ$400,(설정!$B$8+44),설정!$D$14)&amp;"","　"," ")))</f>
        <v/>
      </c>
      <c r="E50" s="2">
        <f>IF(설정!$D$15="","",TRIM(SUBSTITUTE(INDEX(급여대장_원본!$A$1:$AZ$400,(설정!$B$8+44),설정!$D$15)&amp;"","　"," ")))</f>
        <v/>
      </c>
      <c r="F50" s="27">
        <f>IF(설정!$D$17="",0,IFERROR(VALUE(SUBSTITUTE(SUBSTITUTE(INDEX(급여대장_원본!$A$1:$AZ$400,(설정!$B$8+44),설정!$D$17)&amp;"",",",""),"　","")),0))</f>
        <v/>
      </c>
      <c r="G50" s="27">
        <f>IF(설정!$D$18="",0,IFERROR(VALUE(SUBSTITUTE(SUBSTITUTE(INDEX(급여대장_원본!$A$1:$AZ$400,(설정!$B$8+44),설정!$D$18)&amp;"",",",""),"　","")),0))</f>
        <v/>
      </c>
      <c r="H50" s="27">
        <f>IF(설정!$D$19="",0,IFERROR(VALUE(SUBSTITUTE(SUBSTITUTE(INDEX(급여대장_원본!$A$1:$AZ$400,(설정!$B$8+44),설정!$D$19)&amp;"",",",""),"　","")),0))</f>
        <v/>
      </c>
      <c r="I50" s="27">
        <f>IF(설정!$D$20="",0,IFERROR(VALUE(SUBSTITUTE(SUBSTITUTE(INDEX(급여대장_원본!$A$1:$AZ$400,(설정!$B$8+44),설정!$D$20)&amp;"",",",""),"　","")),0))</f>
        <v/>
      </c>
      <c r="J50" s="27">
        <f>IF(설정!$D$21="",0,IFERROR(VALUE(SUBSTITUTE(SUBSTITUTE(INDEX(급여대장_원본!$A$1:$AZ$400,(설정!$B$8+44),설정!$D$21)&amp;"",",",""),"　","")),0))</f>
        <v/>
      </c>
      <c r="K50" s="27">
        <f>IF(설정!$D$22="",0,IFERROR(VALUE(SUBSTITUTE(SUBSTITUTE(INDEX(급여대장_원본!$A$1:$AZ$400,(설정!$B$8+44),설정!$D$22)&amp;"",",",""),"　","")),0))</f>
        <v/>
      </c>
      <c r="L50" s="27">
        <f>IF(설정!$D$23="",0,IFERROR(VALUE(SUBSTITUTE(SUBSTITUTE(INDEX(급여대장_원본!$A$1:$AZ$400,(설정!$B$8+44),설정!$D$23)&amp;"",",",""),"　","")),0))</f>
        <v/>
      </c>
      <c r="M50" s="27">
        <f>IF(설정!$D$24="",0,IFERROR(VALUE(SUBSTITUTE(SUBSTITUTE(INDEX(급여대장_원본!$A$1:$AZ$400,(설정!$B$8+44),설정!$D$24)&amp;"",",",""),"　","")),0))</f>
        <v/>
      </c>
      <c r="N50" s="2">
        <f>IF(OR(설정!$C$17="",IFERROR(MATCH(설정!$C$17,INDEX(급여대장_원본!$A$1:$AZ$400,설정!$B$8,0),0),"")=""),"",IFERROR(VALUE(SUBSTITUTE(INDEX(급여대장_원본!$A$1:$AZ$400,(설정!$B$8+44),IFERROR(MATCH(설정!$C$17,INDEX(급여대장_원본!$A$1:$AZ$400,설정!$B$8,0),0),""))&amp;"",",","")),""))</f>
        <v/>
      </c>
      <c r="O50" s="2">
        <f>IF(OR(설정!$C$18="",IFERROR(MATCH(설정!$C$18,INDEX(급여대장_원본!$A$1:$AZ$400,설정!$B$8,0),0),"")=""),"",IFERROR(VALUE(SUBSTITUTE(INDEX(급여대장_원본!$A$1:$AZ$400,(설정!$B$8+44),IFERROR(MATCH(설정!$C$18,INDEX(급여대장_원본!$A$1:$AZ$400,설정!$B$8,0),0),""))&amp;"",",","")),""))</f>
        <v/>
      </c>
      <c r="P50" s="2">
        <f>IF(OR(설정!$C$19="",IFERROR(MATCH(설정!$C$19,INDEX(급여대장_원본!$A$1:$AZ$400,설정!$B$8,0),0),"")=""),"",IFERROR(VALUE(SUBSTITUTE(INDEX(급여대장_원본!$A$1:$AZ$400,(설정!$B$8+44),IFERROR(MATCH(설정!$C$19,INDEX(급여대장_원본!$A$1:$AZ$400,설정!$B$8,0),0),""))&amp;"",",","")),""))</f>
        <v/>
      </c>
      <c r="Q50" s="2">
        <f>IF(OR(설정!$C$20="",IFERROR(MATCH(설정!$C$20,INDEX(급여대장_원본!$A$1:$AZ$400,설정!$B$8,0),0),"")=""),"",IFERROR(VALUE(SUBSTITUTE(INDEX(급여대장_원본!$A$1:$AZ$400,(설정!$B$8+44),IFERROR(MATCH(설정!$C$20,INDEX(급여대장_원본!$A$1:$AZ$400,설정!$B$8,0),0),""))&amp;"",",","")),""))</f>
        <v/>
      </c>
      <c r="R50" s="2">
        <f>IF(OR(설정!$C$21="",IFERROR(MATCH(설정!$C$21,INDEX(급여대장_원본!$A$1:$AZ$400,설정!$B$8,0),0),"")=""),"",IFERROR(VALUE(SUBSTITUTE(INDEX(급여대장_원본!$A$1:$AZ$400,(설정!$B$8+44),IFERROR(MATCH(설정!$C$21,INDEX(급여대장_원본!$A$1:$AZ$400,설정!$B$8,0),0),""))&amp;"",",","")),""))</f>
        <v/>
      </c>
      <c r="S50" s="2">
        <f>IF(OR(설정!$C$22="",IFERROR(MATCH(설정!$C$22,INDEX(급여대장_원본!$A$1:$AZ$400,설정!$B$8,0),0),"")=""),"",IFERROR(VALUE(SUBSTITUTE(INDEX(급여대장_원본!$A$1:$AZ$400,(설정!$B$8+44),IFERROR(MATCH(설정!$C$22,INDEX(급여대장_원본!$A$1:$AZ$400,설정!$B$8,0),0),""))&amp;"",",","")),""))</f>
        <v/>
      </c>
      <c r="T50" s="2">
        <f>IF(OR(설정!$C$23="",IFERROR(MATCH(설정!$C$23,INDEX(급여대장_원본!$A$1:$AZ$400,설정!$B$8,0),0),"")=""),"",IFERROR(VALUE(SUBSTITUTE(INDEX(급여대장_원본!$A$1:$AZ$400,(설정!$B$8+44),IFERROR(MATCH(설정!$C$23,INDEX(급여대장_원본!$A$1:$AZ$400,설정!$B$8,0),0),""))&amp;"",",","")),""))</f>
        <v/>
      </c>
      <c r="U50" s="2">
        <f>IF(OR(설정!$C$24="",IFERROR(MATCH(설정!$C$24,INDEX(급여대장_원본!$A$1:$AZ$400,설정!$B$8,0),0),"")=""),"",IFERROR(VALUE(SUBSTITUTE(INDEX(급여대장_원본!$A$1:$AZ$400,(설정!$B$8+44),IFERROR(MATCH(설정!$C$24,INDEX(급여대장_원본!$A$1:$AZ$400,설정!$B$8,0),0),""))&amp;"",",","")),""))</f>
        <v/>
      </c>
      <c r="V50" s="27">
        <f>SUM(F50:M50)</f>
        <v/>
      </c>
      <c r="W50" s="27">
        <f>IF(설정!$D$26="",0,IFERROR(VALUE(SUBSTITUTE(SUBSTITUTE(INDEX(급여대장_원본!$A$1:$AZ$400,(설정!$B$8+44),설정!$D$26)&amp;"",",",""),"　","")),0))</f>
        <v/>
      </c>
      <c r="X50" s="27">
        <f>IF(설정!$D$27="",0,IFERROR(VALUE(SUBSTITUTE(SUBSTITUTE(INDEX(급여대장_원본!$A$1:$AZ$400,(설정!$B$8+44),설정!$D$27)&amp;"",",",""),"　","")),0))</f>
        <v/>
      </c>
      <c r="Y50" s="27">
        <f>IF(설정!$D$28="",0,IFERROR(VALUE(SUBSTITUTE(SUBSTITUTE(INDEX(급여대장_원본!$A$1:$AZ$400,(설정!$B$8+44),설정!$D$28)&amp;"",",",""),"　","")),0))</f>
        <v/>
      </c>
      <c r="Z50" s="27">
        <f>IF(설정!$D$29="",0,IFERROR(VALUE(SUBSTITUTE(SUBSTITUTE(INDEX(급여대장_원본!$A$1:$AZ$400,(설정!$B$8+44),설정!$D$29)&amp;"",",",""),"　","")),0))</f>
        <v/>
      </c>
      <c r="AA50" s="27">
        <f>IF(설정!$D$30="",0,IFERROR(VALUE(SUBSTITUTE(SUBSTITUTE(INDEX(급여대장_원본!$A$1:$AZ$400,(설정!$B$8+44),설정!$D$30)&amp;"",",",""),"　","")),0))</f>
        <v/>
      </c>
      <c r="AB50" s="27">
        <f>IF(설정!$D$31="",0,IFERROR(VALUE(SUBSTITUTE(SUBSTITUTE(INDEX(급여대장_원본!$A$1:$AZ$400,(설정!$B$8+44),설정!$D$31)&amp;"",",",""),"　","")),0))</f>
        <v/>
      </c>
      <c r="AC50" s="27">
        <f>IF(설정!$D$32="",0,IFERROR(VALUE(SUBSTITUTE(SUBSTITUTE(INDEX(급여대장_원본!$A$1:$AZ$400,(설정!$B$8+44),설정!$D$32)&amp;"",",",""),"　","")),0))</f>
        <v/>
      </c>
      <c r="AD50" s="27">
        <f>IF(설정!$D$33="",0,IFERROR(VALUE(SUBSTITUTE(SUBSTITUTE(INDEX(급여대장_원본!$A$1:$AZ$400,(설정!$B$8+44),설정!$D$33)&amp;"",",",""),"　","")),0))</f>
        <v/>
      </c>
      <c r="AE50" s="27">
        <f>SUM(W50:AD50)</f>
        <v/>
      </c>
      <c r="AF50" s="27">
        <f>V50-AE50</f>
        <v/>
      </c>
      <c r="AG50" s="27">
        <f>IF(설정!$D$35="","",IF(설정!$D$35="",0,IFERROR(VALUE(SUBSTITUTE(SUBSTITUTE(INDEX(급여대장_원본!$A$1:$AZ$400,(설정!$B$8+44),설정!$D$35)&amp;"",",",""),"　","")),0)))</f>
        <v/>
      </c>
      <c r="AH50" s="27">
        <f>IF(설정!$D$36="","",IF(설정!$D$36="",0,IFERROR(VALUE(SUBSTITUTE(SUBSTITUTE(INDEX(급여대장_원본!$A$1:$AZ$400,(설정!$B$8+44),설정!$D$36)&amp;"",",",""),"　","")),0)))</f>
        <v/>
      </c>
      <c r="AI50" s="27">
        <f>IF(설정!$D$37="","",IF(설정!$D$37="",0,IFERROR(VALUE(SUBSTITUTE(SUBSTITUTE(INDEX(급여대장_원본!$A$1:$AZ$400,(설정!$B$8+44),설정!$D$37)&amp;"",",",""),"　","")),0)))</f>
        <v/>
      </c>
      <c r="AJ50" s="2">
        <f>IFERROR(INDEX($D$7:$D$306,MATCH(44,$B$7:$B$306,0)),"")</f>
        <v/>
      </c>
    </row>
    <row r="51">
      <c r="A51" s="2">
        <f>IF(AND(D51&lt;&gt;"",D51&lt;&gt;"합계",D51&lt;&gt;"총계",D51&lt;&gt;"소계",D51&lt;&gt;"계"),1,0)</f>
        <v/>
      </c>
      <c r="B51" s="2">
        <f>IF(A51=1,SUM($A$7:A51),"")</f>
        <v/>
      </c>
      <c r="C51" s="2">
        <f>IF(설정!$D$13="","",TRIM(SUBSTITUTE(INDEX(급여대장_원본!$A$1:$AZ$400,(설정!$B$8+45),설정!$D$13)&amp;"","　"," ")))</f>
        <v/>
      </c>
      <c r="D51" s="2">
        <f>IF(설정!$D$14="","",TRIM(SUBSTITUTE(INDEX(급여대장_원본!$A$1:$AZ$400,(설정!$B$8+45),설정!$D$14)&amp;"","　"," ")))</f>
        <v/>
      </c>
      <c r="E51" s="2">
        <f>IF(설정!$D$15="","",TRIM(SUBSTITUTE(INDEX(급여대장_원본!$A$1:$AZ$400,(설정!$B$8+45),설정!$D$15)&amp;"","　"," ")))</f>
        <v/>
      </c>
      <c r="F51" s="27">
        <f>IF(설정!$D$17="",0,IFERROR(VALUE(SUBSTITUTE(SUBSTITUTE(INDEX(급여대장_원본!$A$1:$AZ$400,(설정!$B$8+45),설정!$D$17)&amp;"",",",""),"　","")),0))</f>
        <v/>
      </c>
      <c r="G51" s="27">
        <f>IF(설정!$D$18="",0,IFERROR(VALUE(SUBSTITUTE(SUBSTITUTE(INDEX(급여대장_원본!$A$1:$AZ$400,(설정!$B$8+45),설정!$D$18)&amp;"",",",""),"　","")),0))</f>
        <v/>
      </c>
      <c r="H51" s="27">
        <f>IF(설정!$D$19="",0,IFERROR(VALUE(SUBSTITUTE(SUBSTITUTE(INDEX(급여대장_원본!$A$1:$AZ$400,(설정!$B$8+45),설정!$D$19)&amp;"",",",""),"　","")),0))</f>
        <v/>
      </c>
      <c r="I51" s="27">
        <f>IF(설정!$D$20="",0,IFERROR(VALUE(SUBSTITUTE(SUBSTITUTE(INDEX(급여대장_원본!$A$1:$AZ$400,(설정!$B$8+45),설정!$D$20)&amp;"",",",""),"　","")),0))</f>
        <v/>
      </c>
      <c r="J51" s="27">
        <f>IF(설정!$D$21="",0,IFERROR(VALUE(SUBSTITUTE(SUBSTITUTE(INDEX(급여대장_원본!$A$1:$AZ$400,(설정!$B$8+45),설정!$D$21)&amp;"",",",""),"　","")),0))</f>
        <v/>
      </c>
      <c r="K51" s="27">
        <f>IF(설정!$D$22="",0,IFERROR(VALUE(SUBSTITUTE(SUBSTITUTE(INDEX(급여대장_원본!$A$1:$AZ$400,(설정!$B$8+45),설정!$D$22)&amp;"",",",""),"　","")),0))</f>
        <v/>
      </c>
      <c r="L51" s="27">
        <f>IF(설정!$D$23="",0,IFERROR(VALUE(SUBSTITUTE(SUBSTITUTE(INDEX(급여대장_원본!$A$1:$AZ$400,(설정!$B$8+45),설정!$D$23)&amp;"",",",""),"　","")),0))</f>
        <v/>
      </c>
      <c r="M51" s="27">
        <f>IF(설정!$D$24="",0,IFERROR(VALUE(SUBSTITUTE(SUBSTITUTE(INDEX(급여대장_원본!$A$1:$AZ$400,(설정!$B$8+45),설정!$D$24)&amp;"",",",""),"　","")),0))</f>
        <v/>
      </c>
      <c r="N51" s="2">
        <f>IF(OR(설정!$C$17="",IFERROR(MATCH(설정!$C$17,INDEX(급여대장_원본!$A$1:$AZ$400,설정!$B$8,0),0),"")=""),"",IFERROR(VALUE(SUBSTITUTE(INDEX(급여대장_원본!$A$1:$AZ$400,(설정!$B$8+45),IFERROR(MATCH(설정!$C$17,INDEX(급여대장_원본!$A$1:$AZ$400,설정!$B$8,0),0),""))&amp;"",",","")),""))</f>
        <v/>
      </c>
      <c r="O51" s="2">
        <f>IF(OR(설정!$C$18="",IFERROR(MATCH(설정!$C$18,INDEX(급여대장_원본!$A$1:$AZ$400,설정!$B$8,0),0),"")=""),"",IFERROR(VALUE(SUBSTITUTE(INDEX(급여대장_원본!$A$1:$AZ$400,(설정!$B$8+45),IFERROR(MATCH(설정!$C$18,INDEX(급여대장_원본!$A$1:$AZ$400,설정!$B$8,0),0),""))&amp;"",",","")),""))</f>
        <v/>
      </c>
      <c r="P51" s="2">
        <f>IF(OR(설정!$C$19="",IFERROR(MATCH(설정!$C$19,INDEX(급여대장_원본!$A$1:$AZ$400,설정!$B$8,0),0),"")=""),"",IFERROR(VALUE(SUBSTITUTE(INDEX(급여대장_원본!$A$1:$AZ$400,(설정!$B$8+45),IFERROR(MATCH(설정!$C$19,INDEX(급여대장_원본!$A$1:$AZ$400,설정!$B$8,0),0),""))&amp;"",",","")),""))</f>
        <v/>
      </c>
      <c r="Q51" s="2">
        <f>IF(OR(설정!$C$20="",IFERROR(MATCH(설정!$C$20,INDEX(급여대장_원본!$A$1:$AZ$400,설정!$B$8,0),0),"")=""),"",IFERROR(VALUE(SUBSTITUTE(INDEX(급여대장_원본!$A$1:$AZ$400,(설정!$B$8+45),IFERROR(MATCH(설정!$C$20,INDEX(급여대장_원본!$A$1:$AZ$400,설정!$B$8,0),0),""))&amp;"",",","")),""))</f>
        <v/>
      </c>
      <c r="R51" s="2">
        <f>IF(OR(설정!$C$21="",IFERROR(MATCH(설정!$C$21,INDEX(급여대장_원본!$A$1:$AZ$400,설정!$B$8,0),0),"")=""),"",IFERROR(VALUE(SUBSTITUTE(INDEX(급여대장_원본!$A$1:$AZ$400,(설정!$B$8+45),IFERROR(MATCH(설정!$C$21,INDEX(급여대장_원본!$A$1:$AZ$400,설정!$B$8,0),0),""))&amp;"",",","")),""))</f>
        <v/>
      </c>
      <c r="S51" s="2">
        <f>IF(OR(설정!$C$22="",IFERROR(MATCH(설정!$C$22,INDEX(급여대장_원본!$A$1:$AZ$400,설정!$B$8,0),0),"")=""),"",IFERROR(VALUE(SUBSTITUTE(INDEX(급여대장_원본!$A$1:$AZ$400,(설정!$B$8+45),IFERROR(MATCH(설정!$C$22,INDEX(급여대장_원본!$A$1:$AZ$400,설정!$B$8,0),0),""))&amp;"",",","")),""))</f>
        <v/>
      </c>
      <c r="T51" s="2">
        <f>IF(OR(설정!$C$23="",IFERROR(MATCH(설정!$C$23,INDEX(급여대장_원본!$A$1:$AZ$400,설정!$B$8,0),0),"")=""),"",IFERROR(VALUE(SUBSTITUTE(INDEX(급여대장_원본!$A$1:$AZ$400,(설정!$B$8+45),IFERROR(MATCH(설정!$C$23,INDEX(급여대장_원본!$A$1:$AZ$400,설정!$B$8,0),0),""))&amp;"",",","")),""))</f>
        <v/>
      </c>
      <c r="U51" s="2">
        <f>IF(OR(설정!$C$24="",IFERROR(MATCH(설정!$C$24,INDEX(급여대장_원본!$A$1:$AZ$400,설정!$B$8,0),0),"")=""),"",IFERROR(VALUE(SUBSTITUTE(INDEX(급여대장_원본!$A$1:$AZ$400,(설정!$B$8+45),IFERROR(MATCH(설정!$C$24,INDEX(급여대장_원본!$A$1:$AZ$400,설정!$B$8,0),0),""))&amp;"",",","")),""))</f>
        <v/>
      </c>
      <c r="V51" s="27">
        <f>SUM(F51:M51)</f>
        <v/>
      </c>
      <c r="W51" s="27">
        <f>IF(설정!$D$26="",0,IFERROR(VALUE(SUBSTITUTE(SUBSTITUTE(INDEX(급여대장_원본!$A$1:$AZ$400,(설정!$B$8+45),설정!$D$26)&amp;"",",",""),"　","")),0))</f>
        <v/>
      </c>
      <c r="X51" s="27">
        <f>IF(설정!$D$27="",0,IFERROR(VALUE(SUBSTITUTE(SUBSTITUTE(INDEX(급여대장_원본!$A$1:$AZ$400,(설정!$B$8+45),설정!$D$27)&amp;"",",",""),"　","")),0))</f>
        <v/>
      </c>
      <c r="Y51" s="27">
        <f>IF(설정!$D$28="",0,IFERROR(VALUE(SUBSTITUTE(SUBSTITUTE(INDEX(급여대장_원본!$A$1:$AZ$400,(설정!$B$8+45),설정!$D$28)&amp;"",",",""),"　","")),0))</f>
        <v/>
      </c>
      <c r="Z51" s="27">
        <f>IF(설정!$D$29="",0,IFERROR(VALUE(SUBSTITUTE(SUBSTITUTE(INDEX(급여대장_원본!$A$1:$AZ$400,(설정!$B$8+45),설정!$D$29)&amp;"",",",""),"　","")),0))</f>
        <v/>
      </c>
      <c r="AA51" s="27">
        <f>IF(설정!$D$30="",0,IFERROR(VALUE(SUBSTITUTE(SUBSTITUTE(INDEX(급여대장_원본!$A$1:$AZ$400,(설정!$B$8+45),설정!$D$30)&amp;"",",",""),"　","")),0))</f>
        <v/>
      </c>
      <c r="AB51" s="27">
        <f>IF(설정!$D$31="",0,IFERROR(VALUE(SUBSTITUTE(SUBSTITUTE(INDEX(급여대장_원본!$A$1:$AZ$400,(설정!$B$8+45),설정!$D$31)&amp;"",",",""),"　","")),0))</f>
        <v/>
      </c>
      <c r="AC51" s="27">
        <f>IF(설정!$D$32="",0,IFERROR(VALUE(SUBSTITUTE(SUBSTITUTE(INDEX(급여대장_원본!$A$1:$AZ$400,(설정!$B$8+45),설정!$D$32)&amp;"",",",""),"　","")),0))</f>
        <v/>
      </c>
      <c r="AD51" s="27">
        <f>IF(설정!$D$33="",0,IFERROR(VALUE(SUBSTITUTE(SUBSTITUTE(INDEX(급여대장_원본!$A$1:$AZ$400,(설정!$B$8+45),설정!$D$33)&amp;"",",",""),"　","")),0))</f>
        <v/>
      </c>
      <c r="AE51" s="27">
        <f>SUM(W51:AD51)</f>
        <v/>
      </c>
      <c r="AF51" s="27">
        <f>V51-AE51</f>
        <v/>
      </c>
      <c r="AG51" s="27">
        <f>IF(설정!$D$35="","",IF(설정!$D$35="",0,IFERROR(VALUE(SUBSTITUTE(SUBSTITUTE(INDEX(급여대장_원본!$A$1:$AZ$400,(설정!$B$8+45),설정!$D$35)&amp;"",",",""),"　","")),0)))</f>
        <v/>
      </c>
      <c r="AH51" s="27">
        <f>IF(설정!$D$36="","",IF(설정!$D$36="",0,IFERROR(VALUE(SUBSTITUTE(SUBSTITUTE(INDEX(급여대장_원본!$A$1:$AZ$400,(설정!$B$8+45),설정!$D$36)&amp;"",",",""),"　","")),0)))</f>
        <v/>
      </c>
      <c r="AI51" s="27">
        <f>IF(설정!$D$37="","",IF(설정!$D$37="",0,IFERROR(VALUE(SUBSTITUTE(SUBSTITUTE(INDEX(급여대장_원본!$A$1:$AZ$400,(설정!$B$8+45),설정!$D$37)&amp;"",",",""),"　","")),0)))</f>
        <v/>
      </c>
      <c r="AJ51" s="2">
        <f>IFERROR(INDEX($D$7:$D$306,MATCH(45,$B$7:$B$306,0)),"")</f>
        <v/>
      </c>
    </row>
    <row r="52">
      <c r="A52" s="2">
        <f>IF(AND(D52&lt;&gt;"",D52&lt;&gt;"합계",D52&lt;&gt;"총계",D52&lt;&gt;"소계",D52&lt;&gt;"계"),1,0)</f>
        <v/>
      </c>
      <c r="B52" s="2">
        <f>IF(A52=1,SUM($A$7:A52),"")</f>
        <v/>
      </c>
      <c r="C52" s="2">
        <f>IF(설정!$D$13="","",TRIM(SUBSTITUTE(INDEX(급여대장_원본!$A$1:$AZ$400,(설정!$B$8+46),설정!$D$13)&amp;"","　"," ")))</f>
        <v/>
      </c>
      <c r="D52" s="2">
        <f>IF(설정!$D$14="","",TRIM(SUBSTITUTE(INDEX(급여대장_원본!$A$1:$AZ$400,(설정!$B$8+46),설정!$D$14)&amp;"","　"," ")))</f>
        <v/>
      </c>
      <c r="E52" s="2">
        <f>IF(설정!$D$15="","",TRIM(SUBSTITUTE(INDEX(급여대장_원본!$A$1:$AZ$400,(설정!$B$8+46),설정!$D$15)&amp;"","　"," ")))</f>
        <v/>
      </c>
      <c r="F52" s="27">
        <f>IF(설정!$D$17="",0,IFERROR(VALUE(SUBSTITUTE(SUBSTITUTE(INDEX(급여대장_원본!$A$1:$AZ$400,(설정!$B$8+46),설정!$D$17)&amp;"",",",""),"　","")),0))</f>
        <v/>
      </c>
      <c r="G52" s="27">
        <f>IF(설정!$D$18="",0,IFERROR(VALUE(SUBSTITUTE(SUBSTITUTE(INDEX(급여대장_원본!$A$1:$AZ$400,(설정!$B$8+46),설정!$D$18)&amp;"",",",""),"　","")),0))</f>
        <v/>
      </c>
      <c r="H52" s="27">
        <f>IF(설정!$D$19="",0,IFERROR(VALUE(SUBSTITUTE(SUBSTITUTE(INDEX(급여대장_원본!$A$1:$AZ$400,(설정!$B$8+46),설정!$D$19)&amp;"",",",""),"　","")),0))</f>
        <v/>
      </c>
      <c r="I52" s="27">
        <f>IF(설정!$D$20="",0,IFERROR(VALUE(SUBSTITUTE(SUBSTITUTE(INDEX(급여대장_원본!$A$1:$AZ$400,(설정!$B$8+46),설정!$D$20)&amp;"",",",""),"　","")),0))</f>
        <v/>
      </c>
      <c r="J52" s="27">
        <f>IF(설정!$D$21="",0,IFERROR(VALUE(SUBSTITUTE(SUBSTITUTE(INDEX(급여대장_원본!$A$1:$AZ$400,(설정!$B$8+46),설정!$D$21)&amp;"",",",""),"　","")),0))</f>
        <v/>
      </c>
      <c r="K52" s="27">
        <f>IF(설정!$D$22="",0,IFERROR(VALUE(SUBSTITUTE(SUBSTITUTE(INDEX(급여대장_원본!$A$1:$AZ$400,(설정!$B$8+46),설정!$D$22)&amp;"",",",""),"　","")),0))</f>
        <v/>
      </c>
      <c r="L52" s="27">
        <f>IF(설정!$D$23="",0,IFERROR(VALUE(SUBSTITUTE(SUBSTITUTE(INDEX(급여대장_원본!$A$1:$AZ$400,(설정!$B$8+46),설정!$D$23)&amp;"",",",""),"　","")),0))</f>
        <v/>
      </c>
      <c r="M52" s="27">
        <f>IF(설정!$D$24="",0,IFERROR(VALUE(SUBSTITUTE(SUBSTITUTE(INDEX(급여대장_원본!$A$1:$AZ$400,(설정!$B$8+46),설정!$D$24)&amp;"",",",""),"　","")),0))</f>
        <v/>
      </c>
      <c r="N52" s="2">
        <f>IF(OR(설정!$C$17="",IFERROR(MATCH(설정!$C$17,INDEX(급여대장_원본!$A$1:$AZ$400,설정!$B$8,0),0),"")=""),"",IFERROR(VALUE(SUBSTITUTE(INDEX(급여대장_원본!$A$1:$AZ$400,(설정!$B$8+46),IFERROR(MATCH(설정!$C$17,INDEX(급여대장_원본!$A$1:$AZ$400,설정!$B$8,0),0),""))&amp;"",",","")),""))</f>
        <v/>
      </c>
      <c r="O52" s="2">
        <f>IF(OR(설정!$C$18="",IFERROR(MATCH(설정!$C$18,INDEX(급여대장_원본!$A$1:$AZ$400,설정!$B$8,0),0),"")=""),"",IFERROR(VALUE(SUBSTITUTE(INDEX(급여대장_원본!$A$1:$AZ$400,(설정!$B$8+46),IFERROR(MATCH(설정!$C$18,INDEX(급여대장_원본!$A$1:$AZ$400,설정!$B$8,0),0),""))&amp;"",",","")),""))</f>
        <v/>
      </c>
      <c r="P52" s="2">
        <f>IF(OR(설정!$C$19="",IFERROR(MATCH(설정!$C$19,INDEX(급여대장_원본!$A$1:$AZ$400,설정!$B$8,0),0),"")=""),"",IFERROR(VALUE(SUBSTITUTE(INDEX(급여대장_원본!$A$1:$AZ$400,(설정!$B$8+46),IFERROR(MATCH(설정!$C$19,INDEX(급여대장_원본!$A$1:$AZ$400,설정!$B$8,0),0),""))&amp;"",",","")),""))</f>
        <v/>
      </c>
      <c r="Q52" s="2">
        <f>IF(OR(설정!$C$20="",IFERROR(MATCH(설정!$C$20,INDEX(급여대장_원본!$A$1:$AZ$400,설정!$B$8,0),0),"")=""),"",IFERROR(VALUE(SUBSTITUTE(INDEX(급여대장_원본!$A$1:$AZ$400,(설정!$B$8+46),IFERROR(MATCH(설정!$C$20,INDEX(급여대장_원본!$A$1:$AZ$400,설정!$B$8,0),0),""))&amp;"",",","")),""))</f>
        <v/>
      </c>
      <c r="R52" s="2">
        <f>IF(OR(설정!$C$21="",IFERROR(MATCH(설정!$C$21,INDEX(급여대장_원본!$A$1:$AZ$400,설정!$B$8,0),0),"")=""),"",IFERROR(VALUE(SUBSTITUTE(INDEX(급여대장_원본!$A$1:$AZ$400,(설정!$B$8+46),IFERROR(MATCH(설정!$C$21,INDEX(급여대장_원본!$A$1:$AZ$400,설정!$B$8,0),0),""))&amp;"",",","")),""))</f>
        <v/>
      </c>
      <c r="S52" s="2">
        <f>IF(OR(설정!$C$22="",IFERROR(MATCH(설정!$C$22,INDEX(급여대장_원본!$A$1:$AZ$400,설정!$B$8,0),0),"")=""),"",IFERROR(VALUE(SUBSTITUTE(INDEX(급여대장_원본!$A$1:$AZ$400,(설정!$B$8+46),IFERROR(MATCH(설정!$C$22,INDEX(급여대장_원본!$A$1:$AZ$400,설정!$B$8,0),0),""))&amp;"",",","")),""))</f>
        <v/>
      </c>
      <c r="T52" s="2">
        <f>IF(OR(설정!$C$23="",IFERROR(MATCH(설정!$C$23,INDEX(급여대장_원본!$A$1:$AZ$400,설정!$B$8,0),0),"")=""),"",IFERROR(VALUE(SUBSTITUTE(INDEX(급여대장_원본!$A$1:$AZ$400,(설정!$B$8+46),IFERROR(MATCH(설정!$C$23,INDEX(급여대장_원본!$A$1:$AZ$400,설정!$B$8,0),0),""))&amp;"",",","")),""))</f>
        <v/>
      </c>
      <c r="U52" s="2">
        <f>IF(OR(설정!$C$24="",IFERROR(MATCH(설정!$C$24,INDEX(급여대장_원본!$A$1:$AZ$400,설정!$B$8,0),0),"")=""),"",IFERROR(VALUE(SUBSTITUTE(INDEX(급여대장_원본!$A$1:$AZ$400,(설정!$B$8+46),IFERROR(MATCH(설정!$C$24,INDEX(급여대장_원본!$A$1:$AZ$400,설정!$B$8,0),0),""))&amp;"",",","")),""))</f>
        <v/>
      </c>
      <c r="V52" s="27">
        <f>SUM(F52:M52)</f>
        <v/>
      </c>
      <c r="W52" s="27">
        <f>IF(설정!$D$26="",0,IFERROR(VALUE(SUBSTITUTE(SUBSTITUTE(INDEX(급여대장_원본!$A$1:$AZ$400,(설정!$B$8+46),설정!$D$26)&amp;"",",",""),"　","")),0))</f>
        <v/>
      </c>
      <c r="X52" s="27">
        <f>IF(설정!$D$27="",0,IFERROR(VALUE(SUBSTITUTE(SUBSTITUTE(INDEX(급여대장_원본!$A$1:$AZ$400,(설정!$B$8+46),설정!$D$27)&amp;"",",",""),"　","")),0))</f>
        <v/>
      </c>
      <c r="Y52" s="27">
        <f>IF(설정!$D$28="",0,IFERROR(VALUE(SUBSTITUTE(SUBSTITUTE(INDEX(급여대장_원본!$A$1:$AZ$400,(설정!$B$8+46),설정!$D$28)&amp;"",",",""),"　","")),0))</f>
        <v/>
      </c>
      <c r="Z52" s="27">
        <f>IF(설정!$D$29="",0,IFERROR(VALUE(SUBSTITUTE(SUBSTITUTE(INDEX(급여대장_원본!$A$1:$AZ$400,(설정!$B$8+46),설정!$D$29)&amp;"",",",""),"　","")),0))</f>
        <v/>
      </c>
      <c r="AA52" s="27">
        <f>IF(설정!$D$30="",0,IFERROR(VALUE(SUBSTITUTE(SUBSTITUTE(INDEX(급여대장_원본!$A$1:$AZ$400,(설정!$B$8+46),설정!$D$30)&amp;"",",",""),"　","")),0))</f>
        <v/>
      </c>
      <c r="AB52" s="27">
        <f>IF(설정!$D$31="",0,IFERROR(VALUE(SUBSTITUTE(SUBSTITUTE(INDEX(급여대장_원본!$A$1:$AZ$400,(설정!$B$8+46),설정!$D$31)&amp;"",",",""),"　","")),0))</f>
        <v/>
      </c>
      <c r="AC52" s="27">
        <f>IF(설정!$D$32="",0,IFERROR(VALUE(SUBSTITUTE(SUBSTITUTE(INDEX(급여대장_원본!$A$1:$AZ$400,(설정!$B$8+46),설정!$D$32)&amp;"",",",""),"　","")),0))</f>
        <v/>
      </c>
      <c r="AD52" s="27">
        <f>IF(설정!$D$33="",0,IFERROR(VALUE(SUBSTITUTE(SUBSTITUTE(INDEX(급여대장_원본!$A$1:$AZ$400,(설정!$B$8+46),설정!$D$33)&amp;"",",",""),"　","")),0))</f>
        <v/>
      </c>
      <c r="AE52" s="27">
        <f>SUM(W52:AD52)</f>
        <v/>
      </c>
      <c r="AF52" s="27">
        <f>V52-AE52</f>
        <v/>
      </c>
      <c r="AG52" s="27">
        <f>IF(설정!$D$35="","",IF(설정!$D$35="",0,IFERROR(VALUE(SUBSTITUTE(SUBSTITUTE(INDEX(급여대장_원본!$A$1:$AZ$400,(설정!$B$8+46),설정!$D$35)&amp;"",",",""),"　","")),0)))</f>
        <v/>
      </c>
      <c r="AH52" s="27">
        <f>IF(설정!$D$36="","",IF(설정!$D$36="",0,IFERROR(VALUE(SUBSTITUTE(SUBSTITUTE(INDEX(급여대장_원본!$A$1:$AZ$400,(설정!$B$8+46),설정!$D$36)&amp;"",",",""),"　","")),0)))</f>
        <v/>
      </c>
      <c r="AI52" s="27">
        <f>IF(설정!$D$37="","",IF(설정!$D$37="",0,IFERROR(VALUE(SUBSTITUTE(SUBSTITUTE(INDEX(급여대장_원본!$A$1:$AZ$400,(설정!$B$8+46),설정!$D$37)&amp;"",",",""),"　","")),0)))</f>
        <v/>
      </c>
      <c r="AJ52" s="2">
        <f>IFERROR(INDEX($D$7:$D$306,MATCH(46,$B$7:$B$306,0)),"")</f>
        <v/>
      </c>
    </row>
    <row r="53">
      <c r="A53" s="2">
        <f>IF(AND(D53&lt;&gt;"",D53&lt;&gt;"합계",D53&lt;&gt;"총계",D53&lt;&gt;"소계",D53&lt;&gt;"계"),1,0)</f>
        <v/>
      </c>
      <c r="B53" s="2">
        <f>IF(A53=1,SUM($A$7:A53),"")</f>
        <v/>
      </c>
      <c r="C53" s="2">
        <f>IF(설정!$D$13="","",TRIM(SUBSTITUTE(INDEX(급여대장_원본!$A$1:$AZ$400,(설정!$B$8+47),설정!$D$13)&amp;"","　"," ")))</f>
        <v/>
      </c>
      <c r="D53" s="2">
        <f>IF(설정!$D$14="","",TRIM(SUBSTITUTE(INDEX(급여대장_원본!$A$1:$AZ$400,(설정!$B$8+47),설정!$D$14)&amp;"","　"," ")))</f>
        <v/>
      </c>
      <c r="E53" s="2">
        <f>IF(설정!$D$15="","",TRIM(SUBSTITUTE(INDEX(급여대장_원본!$A$1:$AZ$400,(설정!$B$8+47),설정!$D$15)&amp;"","　"," ")))</f>
        <v/>
      </c>
      <c r="F53" s="27">
        <f>IF(설정!$D$17="",0,IFERROR(VALUE(SUBSTITUTE(SUBSTITUTE(INDEX(급여대장_원본!$A$1:$AZ$400,(설정!$B$8+47),설정!$D$17)&amp;"",",",""),"　","")),0))</f>
        <v/>
      </c>
      <c r="G53" s="27">
        <f>IF(설정!$D$18="",0,IFERROR(VALUE(SUBSTITUTE(SUBSTITUTE(INDEX(급여대장_원본!$A$1:$AZ$400,(설정!$B$8+47),설정!$D$18)&amp;"",",",""),"　","")),0))</f>
        <v/>
      </c>
      <c r="H53" s="27">
        <f>IF(설정!$D$19="",0,IFERROR(VALUE(SUBSTITUTE(SUBSTITUTE(INDEX(급여대장_원본!$A$1:$AZ$400,(설정!$B$8+47),설정!$D$19)&amp;"",",",""),"　","")),0))</f>
        <v/>
      </c>
      <c r="I53" s="27">
        <f>IF(설정!$D$20="",0,IFERROR(VALUE(SUBSTITUTE(SUBSTITUTE(INDEX(급여대장_원본!$A$1:$AZ$400,(설정!$B$8+47),설정!$D$20)&amp;"",",",""),"　","")),0))</f>
        <v/>
      </c>
      <c r="J53" s="27">
        <f>IF(설정!$D$21="",0,IFERROR(VALUE(SUBSTITUTE(SUBSTITUTE(INDEX(급여대장_원본!$A$1:$AZ$400,(설정!$B$8+47),설정!$D$21)&amp;"",",",""),"　","")),0))</f>
        <v/>
      </c>
      <c r="K53" s="27">
        <f>IF(설정!$D$22="",0,IFERROR(VALUE(SUBSTITUTE(SUBSTITUTE(INDEX(급여대장_원본!$A$1:$AZ$400,(설정!$B$8+47),설정!$D$22)&amp;"",",",""),"　","")),0))</f>
        <v/>
      </c>
      <c r="L53" s="27">
        <f>IF(설정!$D$23="",0,IFERROR(VALUE(SUBSTITUTE(SUBSTITUTE(INDEX(급여대장_원본!$A$1:$AZ$400,(설정!$B$8+47),설정!$D$23)&amp;"",",",""),"　","")),0))</f>
        <v/>
      </c>
      <c r="M53" s="27">
        <f>IF(설정!$D$24="",0,IFERROR(VALUE(SUBSTITUTE(SUBSTITUTE(INDEX(급여대장_원본!$A$1:$AZ$400,(설정!$B$8+47),설정!$D$24)&amp;"",",",""),"　","")),0))</f>
        <v/>
      </c>
      <c r="N53" s="2">
        <f>IF(OR(설정!$C$17="",IFERROR(MATCH(설정!$C$17,INDEX(급여대장_원본!$A$1:$AZ$400,설정!$B$8,0),0),"")=""),"",IFERROR(VALUE(SUBSTITUTE(INDEX(급여대장_원본!$A$1:$AZ$400,(설정!$B$8+47),IFERROR(MATCH(설정!$C$17,INDEX(급여대장_원본!$A$1:$AZ$400,설정!$B$8,0),0),""))&amp;"",",","")),""))</f>
        <v/>
      </c>
      <c r="O53" s="2">
        <f>IF(OR(설정!$C$18="",IFERROR(MATCH(설정!$C$18,INDEX(급여대장_원본!$A$1:$AZ$400,설정!$B$8,0),0),"")=""),"",IFERROR(VALUE(SUBSTITUTE(INDEX(급여대장_원본!$A$1:$AZ$400,(설정!$B$8+47),IFERROR(MATCH(설정!$C$18,INDEX(급여대장_원본!$A$1:$AZ$400,설정!$B$8,0),0),""))&amp;"",",","")),""))</f>
        <v/>
      </c>
      <c r="P53" s="2">
        <f>IF(OR(설정!$C$19="",IFERROR(MATCH(설정!$C$19,INDEX(급여대장_원본!$A$1:$AZ$400,설정!$B$8,0),0),"")=""),"",IFERROR(VALUE(SUBSTITUTE(INDEX(급여대장_원본!$A$1:$AZ$400,(설정!$B$8+47),IFERROR(MATCH(설정!$C$19,INDEX(급여대장_원본!$A$1:$AZ$400,설정!$B$8,0),0),""))&amp;"",",","")),""))</f>
        <v/>
      </c>
      <c r="Q53" s="2">
        <f>IF(OR(설정!$C$20="",IFERROR(MATCH(설정!$C$20,INDEX(급여대장_원본!$A$1:$AZ$400,설정!$B$8,0),0),"")=""),"",IFERROR(VALUE(SUBSTITUTE(INDEX(급여대장_원본!$A$1:$AZ$400,(설정!$B$8+47),IFERROR(MATCH(설정!$C$20,INDEX(급여대장_원본!$A$1:$AZ$400,설정!$B$8,0),0),""))&amp;"",",","")),""))</f>
        <v/>
      </c>
      <c r="R53" s="2">
        <f>IF(OR(설정!$C$21="",IFERROR(MATCH(설정!$C$21,INDEX(급여대장_원본!$A$1:$AZ$400,설정!$B$8,0),0),"")=""),"",IFERROR(VALUE(SUBSTITUTE(INDEX(급여대장_원본!$A$1:$AZ$400,(설정!$B$8+47),IFERROR(MATCH(설정!$C$21,INDEX(급여대장_원본!$A$1:$AZ$400,설정!$B$8,0),0),""))&amp;"",",","")),""))</f>
        <v/>
      </c>
      <c r="S53" s="2">
        <f>IF(OR(설정!$C$22="",IFERROR(MATCH(설정!$C$22,INDEX(급여대장_원본!$A$1:$AZ$400,설정!$B$8,0),0),"")=""),"",IFERROR(VALUE(SUBSTITUTE(INDEX(급여대장_원본!$A$1:$AZ$400,(설정!$B$8+47),IFERROR(MATCH(설정!$C$22,INDEX(급여대장_원본!$A$1:$AZ$400,설정!$B$8,0),0),""))&amp;"",",","")),""))</f>
        <v/>
      </c>
      <c r="T53" s="2">
        <f>IF(OR(설정!$C$23="",IFERROR(MATCH(설정!$C$23,INDEX(급여대장_원본!$A$1:$AZ$400,설정!$B$8,0),0),"")=""),"",IFERROR(VALUE(SUBSTITUTE(INDEX(급여대장_원본!$A$1:$AZ$400,(설정!$B$8+47),IFERROR(MATCH(설정!$C$23,INDEX(급여대장_원본!$A$1:$AZ$400,설정!$B$8,0),0),""))&amp;"",",","")),""))</f>
        <v/>
      </c>
      <c r="U53" s="2">
        <f>IF(OR(설정!$C$24="",IFERROR(MATCH(설정!$C$24,INDEX(급여대장_원본!$A$1:$AZ$400,설정!$B$8,0),0),"")=""),"",IFERROR(VALUE(SUBSTITUTE(INDEX(급여대장_원본!$A$1:$AZ$400,(설정!$B$8+47),IFERROR(MATCH(설정!$C$24,INDEX(급여대장_원본!$A$1:$AZ$400,설정!$B$8,0),0),""))&amp;"",",","")),""))</f>
        <v/>
      </c>
      <c r="V53" s="27">
        <f>SUM(F53:M53)</f>
        <v/>
      </c>
      <c r="W53" s="27">
        <f>IF(설정!$D$26="",0,IFERROR(VALUE(SUBSTITUTE(SUBSTITUTE(INDEX(급여대장_원본!$A$1:$AZ$400,(설정!$B$8+47),설정!$D$26)&amp;"",",",""),"　","")),0))</f>
        <v/>
      </c>
      <c r="X53" s="27">
        <f>IF(설정!$D$27="",0,IFERROR(VALUE(SUBSTITUTE(SUBSTITUTE(INDEX(급여대장_원본!$A$1:$AZ$400,(설정!$B$8+47),설정!$D$27)&amp;"",",",""),"　","")),0))</f>
        <v/>
      </c>
      <c r="Y53" s="27">
        <f>IF(설정!$D$28="",0,IFERROR(VALUE(SUBSTITUTE(SUBSTITUTE(INDEX(급여대장_원본!$A$1:$AZ$400,(설정!$B$8+47),설정!$D$28)&amp;"",",",""),"　","")),0))</f>
        <v/>
      </c>
      <c r="Z53" s="27">
        <f>IF(설정!$D$29="",0,IFERROR(VALUE(SUBSTITUTE(SUBSTITUTE(INDEX(급여대장_원본!$A$1:$AZ$400,(설정!$B$8+47),설정!$D$29)&amp;"",",",""),"　","")),0))</f>
        <v/>
      </c>
      <c r="AA53" s="27">
        <f>IF(설정!$D$30="",0,IFERROR(VALUE(SUBSTITUTE(SUBSTITUTE(INDEX(급여대장_원본!$A$1:$AZ$400,(설정!$B$8+47),설정!$D$30)&amp;"",",",""),"　","")),0))</f>
        <v/>
      </c>
      <c r="AB53" s="27">
        <f>IF(설정!$D$31="",0,IFERROR(VALUE(SUBSTITUTE(SUBSTITUTE(INDEX(급여대장_원본!$A$1:$AZ$400,(설정!$B$8+47),설정!$D$31)&amp;"",",",""),"　","")),0))</f>
        <v/>
      </c>
      <c r="AC53" s="27">
        <f>IF(설정!$D$32="",0,IFERROR(VALUE(SUBSTITUTE(SUBSTITUTE(INDEX(급여대장_원본!$A$1:$AZ$400,(설정!$B$8+47),설정!$D$32)&amp;"",",",""),"　","")),0))</f>
        <v/>
      </c>
      <c r="AD53" s="27">
        <f>IF(설정!$D$33="",0,IFERROR(VALUE(SUBSTITUTE(SUBSTITUTE(INDEX(급여대장_원본!$A$1:$AZ$400,(설정!$B$8+47),설정!$D$33)&amp;"",",",""),"　","")),0))</f>
        <v/>
      </c>
      <c r="AE53" s="27">
        <f>SUM(W53:AD53)</f>
        <v/>
      </c>
      <c r="AF53" s="27">
        <f>V53-AE53</f>
        <v/>
      </c>
      <c r="AG53" s="27">
        <f>IF(설정!$D$35="","",IF(설정!$D$35="",0,IFERROR(VALUE(SUBSTITUTE(SUBSTITUTE(INDEX(급여대장_원본!$A$1:$AZ$400,(설정!$B$8+47),설정!$D$35)&amp;"",",",""),"　","")),0)))</f>
        <v/>
      </c>
      <c r="AH53" s="27">
        <f>IF(설정!$D$36="","",IF(설정!$D$36="",0,IFERROR(VALUE(SUBSTITUTE(SUBSTITUTE(INDEX(급여대장_원본!$A$1:$AZ$400,(설정!$B$8+47),설정!$D$36)&amp;"",",",""),"　","")),0)))</f>
        <v/>
      </c>
      <c r="AI53" s="27">
        <f>IF(설정!$D$37="","",IF(설정!$D$37="",0,IFERROR(VALUE(SUBSTITUTE(SUBSTITUTE(INDEX(급여대장_원본!$A$1:$AZ$400,(설정!$B$8+47),설정!$D$37)&amp;"",",",""),"　","")),0)))</f>
        <v/>
      </c>
      <c r="AJ53" s="2">
        <f>IFERROR(INDEX($D$7:$D$306,MATCH(47,$B$7:$B$306,0)),"")</f>
        <v/>
      </c>
    </row>
    <row r="54">
      <c r="A54" s="2">
        <f>IF(AND(D54&lt;&gt;"",D54&lt;&gt;"합계",D54&lt;&gt;"총계",D54&lt;&gt;"소계",D54&lt;&gt;"계"),1,0)</f>
        <v/>
      </c>
      <c r="B54" s="2">
        <f>IF(A54=1,SUM($A$7:A54),"")</f>
        <v/>
      </c>
      <c r="C54" s="2">
        <f>IF(설정!$D$13="","",TRIM(SUBSTITUTE(INDEX(급여대장_원본!$A$1:$AZ$400,(설정!$B$8+48),설정!$D$13)&amp;"","　"," ")))</f>
        <v/>
      </c>
      <c r="D54" s="2">
        <f>IF(설정!$D$14="","",TRIM(SUBSTITUTE(INDEX(급여대장_원본!$A$1:$AZ$400,(설정!$B$8+48),설정!$D$14)&amp;"","　"," ")))</f>
        <v/>
      </c>
      <c r="E54" s="2">
        <f>IF(설정!$D$15="","",TRIM(SUBSTITUTE(INDEX(급여대장_원본!$A$1:$AZ$400,(설정!$B$8+48),설정!$D$15)&amp;"","　"," ")))</f>
        <v/>
      </c>
      <c r="F54" s="27">
        <f>IF(설정!$D$17="",0,IFERROR(VALUE(SUBSTITUTE(SUBSTITUTE(INDEX(급여대장_원본!$A$1:$AZ$400,(설정!$B$8+48),설정!$D$17)&amp;"",",",""),"　","")),0))</f>
        <v/>
      </c>
      <c r="G54" s="27">
        <f>IF(설정!$D$18="",0,IFERROR(VALUE(SUBSTITUTE(SUBSTITUTE(INDEX(급여대장_원본!$A$1:$AZ$400,(설정!$B$8+48),설정!$D$18)&amp;"",",",""),"　","")),0))</f>
        <v/>
      </c>
      <c r="H54" s="27">
        <f>IF(설정!$D$19="",0,IFERROR(VALUE(SUBSTITUTE(SUBSTITUTE(INDEX(급여대장_원본!$A$1:$AZ$400,(설정!$B$8+48),설정!$D$19)&amp;"",",",""),"　","")),0))</f>
        <v/>
      </c>
      <c r="I54" s="27">
        <f>IF(설정!$D$20="",0,IFERROR(VALUE(SUBSTITUTE(SUBSTITUTE(INDEX(급여대장_원본!$A$1:$AZ$400,(설정!$B$8+48),설정!$D$20)&amp;"",",",""),"　","")),0))</f>
        <v/>
      </c>
      <c r="J54" s="27">
        <f>IF(설정!$D$21="",0,IFERROR(VALUE(SUBSTITUTE(SUBSTITUTE(INDEX(급여대장_원본!$A$1:$AZ$400,(설정!$B$8+48),설정!$D$21)&amp;"",",",""),"　","")),0))</f>
        <v/>
      </c>
      <c r="K54" s="27">
        <f>IF(설정!$D$22="",0,IFERROR(VALUE(SUBSTITUTE(SUBSTITUTE(INDEX(급여대장_원본!$A$1:$AZ$400,(설정!$B$8+48),설정!$D$22)&amp;"",",",""),"　","")),0))</f>
        <v/>
      </c>
      <c r="L54" s="27">
        <f>IF(설정!$D$23="",0,IFERROR(VALUE(SUBSTITUTE(SUBSTITUTE(INDEX(급여대장_원본!$A$1:$AZ$400,(설정!$B$8+48),설정!$D$23)&amp;"",",",""),"　","")),0))</f>
        <v/>
      </c>
      <c r="M54" s="27">
        <f>IF(설정!$D$24="",0,IFERROR(VALUE(SUBSTITUTE(SUBSTITUTE(INDEX(급여대장_원본!$A$1:$AZ$400,(설정!$B$8+48),설정!$D$24)&amp;"",",",""),"　","")),0))</f>
        <v/>
      </c>
      <c r="N54" s="2">
        <f>IF(OR(설정!$C$17="",IFERROR(MATCH(설정!$C$17,INDEX(급여대장_원본!$A$1:$AZ$400,설정!$B$8,0),0),"")=""),"",IFERROR(VALUE(SUBSTITUTE(INDEX(급여대장_원본!$A$1:$AZ$400,(설정!$B$8+48),IFERROR(MATCH(설정!$C$17,INDEX(급여대장_원본!$A$1:$AZ$400,설정!$B$8,0),0),""))&amp;"",",","")),""))</f>
        <v/>
      </c>
      <c r="O54" s="2">
        <f>IF(OR(설정!$C$18="",IFERROR(MATCH(설정!$C$18,INDEX(급여대장_원본!$A$1:$AZ$400,설정!$B$8,0),0),"")=""),"",IFERROR(VALUE(SUBSTITUTE(INDEX(급여대장_원본!$A$1:$AZ$400,(설정!$B$8+48),IFERROR(MATCH(설정!$C$18,INDEX(급여대장_원본!$A$1:$AZ$400,설정!$B$8,0),0),""))&amp;"",",","")),""))</f>
        <v/>
      </c>
      <c r="P54" s="2">
        <f>IF(OR(설정!$C$19="",IFERROR(MATCH(설정!$C$19,INDEX(급여대장_원본!$A$1:$AZ$400,설정!$B$8,0),0),"")=""),"",IFERROR(VALUE(SUBSTITUTE(INDEX(급여대장_원본!$A$1:$AZ$400,(설정!$B$8+48),IFERROR(MATCH(설정!$C$19,INDEX(급여대장_원본!$A$1:$AZ$400,설정!$B$8,0),0),""))&amp;"",",","")),""))</f>
        <v/>
      </c>
      <c r="Q54" s="2">
        <f>IF(OR(설정!$C$20="",IFERROR(MATCH(설정!$C$20,INDEX(급여대장_원본!$A$1:$AZ$400,설정!$B$8,0),0),"")=""),"",IFERROR(VALUE(SUBSTITUTE(INDEX(급여대장_원본!$A$1:$AZ$400,(설정!$B$8+48),IFERROR(MATCH(설정!$C$20,INDEX(급여대장_원본!$A$1:$AZ$400,설정!$B$8,0),0),""))&amp;"",",","")),""))</f>
        <v/>
      </c>
      <c r="R54" s="2">
        <f>IF(OR(설정!$C$21="",IFERROR(MATCH(설정!$C$21,INDEX(급여대장_원본!$A$1:$AZ$400,설정!$B$8,0),0),"")=""),"",IFERROR(VALUE(SUBSTITUTE(INDEX(급여대장_원본!$A$1:$AZ$400,(설정!$B$8+48),IFERROR(MATCH(설정!$C$21,INDEX(급여대장_원본!$A$1:$AZ$400,설정!$B$8,0),0),""))&amp;"",",","")),""))</f>
        <v/>
      </c>
      <c r="S54" s="2">
        <f>IF(OR(설정!$C$22="",IFERROR(MATCH(설정!$C$22,INDEX(급여대장_원본!$A$1:$AZ$400,설정!$B$8,0),0),"")=""),"",IFERROR(VALUE(SUBSTITUTE(INDEX(급여대장_원본!$A$1:$AZ$400,(설정!$B$8+48),IFERROR(MATCH(설정!$C$22,INDEX(급여대장_원본!$A$1:$AZ$400,설정!$B$8,0),0),""))&amp;"",",","")),""))</f>
        <v/>
      </c>
      <c r="T54" s="2">
        <f>IF(OR(설정!$C$23="",IFERROR(MATCH(설정!$C$23,INDEX(급여대장_원본!$A$1:$AZ$400,설정!$B$8,0),0),"")=""),"",IFERROR(VALUE(SUBSTITUTE(INDEX(급여대장_원본!$A$1:$AZ$400,(설정!$B$8+48),IFERROR(MATCH(설정!$C$23,INDEX(급여대장_원본!$A$1:$AZ$400,설정!$B$8,0),0),""))&amp;"",",","")),""))</f>
        <v/>
      </c>
      <c r="U54" s="2">
        <f>IF(OR(설정!$C$24="",IFERROR(MATCH(설정!$C$24,INDEX(급여대장_원본!$A$1:$AZ$400,설정!$B$8,0),0),"")=""),"",IFERROR(VALUE(SUBSTITUTE(INDEX(급여대장_원본!$A$1:$AZ$400,(설정!$B$8+48),IFERROR(MATCH(설정!$C$24,INDEX(급여대장_원본!$A$1:$AZ$400,설정!$B$8,0),0),""))&amp;"",",","")),""))</f>
        <v/>
      </c>
      <c r="V54" s="27">
        <f>SUM(F54:M54)</f>
        <v/>
      </c>
      <c r="W54" s="27">
        <f>IF(설정!$D$26="",0,IFERROR(VALUE(SUBSTITUTE(SUBSTITUTE(INDEX(급여대장_원본!$A$1:$AZ$400,(설정!$B$8+48),설정!$D$26)&amp;"",",",""),"　","")),0))</f>
        <v/>
      </c>
      <c r="X54" s="27">
        <f>IF(설정!$D$27="",0,IFERROR(VALUE(SUBSTITUTE(SUBSTITUTE(INDEX(급여대장_원본!$A$1:$AZ$400,(설정!$B$8+48),설정!$D$27)&amp;"",",",""),"　","")),0))</f>
        <v/>
      </c>
      <c r="Y54" s="27">
        <f>IF(설정!$D$28="",0,IFERROR(VALUE(SUBSTITUTE(SUBSTITUTE(INDEX(급여대장_원본!$A$1:$AZ$400,(설정!$B$8+48),설정!$D$28)&amp;"",",",""),"　","")),0))</f>
        <v/>
      </c>
      <c r="Z54" s="27">
        <f>IF(설정!$D$29="",0,IFERROR(VALUE(SUBSTITUTE(SUBSTITUTE(INDEX(급여대장_원본!$A$1:$AZ$400,(설정!$B$8+48),설정!$D$29)&amp;"",",",""),"　","")),0))</f>
        <v/>
      </c>
      <c r="AA54" s="27">
        <f>IF(설정!$D$30="",0,IFERROR(VALUE(SUBSTITUTE(SUBSTITUTE(INDEX(급여대장_원본!$A$1:$AZ$400,(설정!$B$8+48),설정!$D$30)&amp;"",",",""),"　","")),0))</f>
        <v/>
      </c>
      <c r="AB54" s="27">
        <f>IF(설정!$D$31="",0,IFERROR(VALUE(SUBSTITUTE(SUBSTITUTE(INDEX(급여대장_원본!$A$1:$AZ$400,(설정!$B$8+48),설정!$D$31)&amp;"",",",""),"　","")),0))</f>
        <v/>
      </c>
      <c r="AC54" s="27">
        <f>IF(설정!$D$32="",0,IFERROR(VALUE(SUBSTITUTE(SUBSTITUTE(INDEX(급여대장_원본!$A$1:$AZ$400,(설정!$B$8+48),설정!$D$32)&amp;"",",",""),"　","")),0))</f>
        <v/>
      </c>
      <c r="AD54" s="27">
        <f>IF(설정!$D$33="",0,IFERROR(VALUE(SUBSTITUTE(SUBSTITUTE(INDEX(급여대장_원본!$A$1:$AZ$400,(설정!$B$8+48),설정!$D$33)&amp;"",",",""),"　","")),0))</f>
        <v/>
      </c>
      <c r="AE54" s="27">
        <f>SUM(W54:AD54)</f>
        <v/>
      </c>
      <c r="AF54" s="27">
        <f>V54-AE54</f>
        <v/>
      </c>
      <c r="AG54" s="27">
        <f>IF(설정!$D$35="","",IF(설정!$D$35="",0,IFERROR(VALUE(SUBSTITUTE(SUBSTITUTE(INDEX(급여대장_원본!$A$1:$AZ$400,(설정!$B$8+48),설정!$D$35)&amp;"",",",""),"　","")),0)))</f>
        <v/>
      </c>
      <c r="AH54" s="27">
        <f>IF(설정!$D$36="","",IF(설정!$D$36="",0,IFERROR(VALUE(SUBSTITUTE(SUBSTITUTE(INDEX(급여대장_원본!$A$1:$AZ$400,(설정!$B$8+48),설정!$D$36)&amp;"",",",""),"　","")),0)))</f>
        <v/>
      </c>
      <c r="AI54" s="27">
        <f>IF(설정!$D$37="","",IF(설정!$D$37="",0,IFERROR(VALUE(SUBSTITUTE(SUBSTITUTE(INDEX(급여대장_원본!$A$1:$AZ$400,(설정!$B$8+48),설정!$D$37)&amp;"",",",""),"　","")),0)))</f>
        <v/>
      </c>
      <c r="AJ54" s="2">
        <f>IFERROR(INDEX($D$7:$D$306,MATCH(48,$B$7:$B$306,0)),"")</f>
        <v/>
      </c>
    </row>
    <row r="55">
      <c r="A55" s="2">
        <f>IF(AND(D55&lt;&gt;"",D55&lt;&gt;"합계",D55&lt;&gt;"총계",D55&lt;&gt;"소계",D55&lt;&gt;"계"),1,0)</f>
        <v/>
      </c>
      <c r="B55" s="2">
        <f>IF(A55=1,SUM($A$7:A55),"")</f>
        <v/>
      </c>
      <c r="C55" s="2">
        <f>IF(설정!$D$13="","",TRIM(SUBSTITUTE(INDEX(급여대장_원본!$A$1:$AZ$400,(설정!$B$8+49),설정!$D$13)&amp;"","　"," ")))</f>
        <v/>
      </c>
      <c r="D55" s="2">
        <f>IF(설정!$D$14="","",TRIM(SUBSTITUTE(INDEX(급여대장_원본!$A$1:$AZ$400,(설정!$B$8+49),설정!$D$14)&amp;"","　"," ")))</f>
        <v/>
      </c>
      <c r="E55" s="2">
        <f>IF(설정!$D$15="","",TRIM(SUBSTITUTE(INDEX(급여대장_원본!$A$1:$AZ$400,(설정!$B$8+49),설정!$D$15)&amp;"","　"," ")))</f>
        <v/>
      </c>
      <c r="F55" s="27">
        <f>IF(설정!$D$17="",0,IFERROR(VALUE(SUBSTITUTE(SUBSTITUTE(INDEX(급여대장_원본!$A$1:$AZ$400,(설정!$B$8+49),설정!$D$17)&amp;"",",",""),"　","")),0))</f>
        <v/>
      </c>
      <c r="G55" s="27">
        <f>IF(설정!$D$18="",0,IFERROR(VALUE(SUBSTITUTE(SUBSTITUTE(INDEX(급여대장_원본!$A$1:$AZ$400,(설정!$B$8+49),설정!$D$18)&amp;"",",",""),"　","")),0))</f>
        <v/>
      </c>
      <c r="H55" s="27">
        <f>IF(설정!$D$19="",0,IFERROR(VALUE(SUBSTITUTE(SUBSTITUTE(INDEX(급여대장_원본!$A$1:$AZ$400,(설정!$B$8+49),설정!$D$19)&amp;"",",",""),"　","")),0))</f>
        <v/>
      </c>
      <c r="I55" s="27">
        <f>IF(설정!$D$20="",0,IFERROR(VALUE(SUBSTITUTE(SUBSTITUTE(INDEX(급여대장_원본!$A$1:$AZ$400,(설정!$B$8+49),설정!$D$20)&amp;"",",",""),"　","")),0))</f>
        <v/>
      </c>
      <c r="J55" s="27">
        <f>IF(설정!$D$21="",0,IFERROR(VALUE(SUBSTITUTE(SUBSTITUTE(INDEX(급여대장_원본!$A$1:$AZ$400,(설정!$B$8+49),설정!$D$21)&amp;"",",",""),"　","")),0))</f>
        <v/>
      </c>
      <c r="K55" s="27">
        <f>IF(설정!$D$22="",0,IFERROR(VALUE(SUBSTITUTE(SUBSTITUTE(INDEX(급여대장_원본!$A$1:$AZ$400,(설정!$B$8+49),설정!$D$22)&amp;"",",",""),"　","")),0))</f>
        <v/>
      </c>
      <c r="L55" s="27">
        <f>IF(설정!$D$23="",0,IFERROR(VALUE(SUBSTITUTE(SUBSTITUTE(INDEX(급여대장_원본!$A$1:$AZ$400,(설정!$B$8+49),설정!$D$23)&amp;"",",",""),"　","")),0))</f>
        <v/>
      </c>
      <c r="M55" s="27">
        <f>IF(설정!$D$24="",0,IFERROR(VALUE(SUBSTITUTE(SUBSTITUTE(INDEX(급여대장_원본!$A$1:$AZ$400,(설정!$B$8+49),설정!$D$24)&amp;"",",",""),"　","")),0))</f>
        <v/>
      </c>
      <c r="N55" s="2">
        <f>IF(OR(설정!$C$17="",IFERROR(MATCH(설정!$C$17,INDEX(급여대장_원본!$A$1:$AZ$400,설정!$B$8,0),0),"")=""),"",IFERROR(VALUE(SUBSTITUTE(INDEX(급여대장_원본!$A$1:$AZ$400,(설정!$B$8+49),IFERROR(MATCH(설정!$C$17,INDEX(급여대장_원본!$A$1:$AZ$400,설정!$B$8,0),0),""))&amp;"",",","")),""))</f>
        <v/>
      </c>
      <c r="O55" s="2">
        <f>IF(OR(설정!$C$18="",IFERROR(MATCH(설정!$C$18,INDEX(급여대장_원본!$A$1:$AZ$400,설정!$B$8,0),0),"")=""),"",IFERROR(VALUE(SUBSTITUTE(INDEX(급여대장_원본!$A$1:$AZ$400,(설정!$B$8+49),IFERROR(MATCH(설정!$C$18,INDEX(급여대장_원본!$A$1:$AZ$400,설정!$B$8,0),0),""))&amp;"",",","")),""))</f>
        <v/>
      </c>
      <c r="P55" s="2">
        <f>IF(OR(설정!$C$19="",IFERROR(MATCH(설정!$C$19,INDEX(급여대장_원본!$A$1:$AZ$400,설정!$B$8,0),0),"")=""),"",IFERROR(VALUE(SUBSTITUTE(INDEX(급여대장_원본!$A$1:$AZ$400,(설정!$B$8+49),IFERROR(MATCH(설정!$C$19,INDEX(급여대장_원본!$A$1:$AZ$400,설정!$B$8,0),0),""))&amp;"",",","")),""))</f>
        <v/>
      </c>
      <c r="Q55" s="2">
        <f>IF(OR(설정!$C$20="",IFERROR(MATCH(설정!$C$20,INDEX(급여대장_원본!$A$1:$AZ$400,설정!$B$8,0),0),"")=""),"",IFERROR(VALUE(SUBSTITUTE(INDEX(급여대장_원본!$A$1:$AZ$400,(설정!$B$8+49),IFERROR(MATCH(설정!$C$20,INDEX(급여대장_원본!$A$1:$AZ$400,설정!$B$8,0),0),""))&amp;"",",","")),""))</f>
        <v/>
      </c>
      <c r="R55" s="2">
        <f>IF(OR(설정!$C$21="",IFERROR(MATCH(설정!$C$21,INDEX(급여대장_원본!$A$1:$AZ$400,설정!$B$8,0),0),"")=""),"",IFERROR(VALUE(SUBSTITUTE(INDEX(급여대장_원본!$A$1:$AZ$400,(설정!$B$8+49),IFERROR(MATCH(설정!$C$21,INDEX(급여대장_원본!$A$1:$AZ$400,설정!$B$8,0),0),""))&amp;"",",","")),""))</f>
        <v/>
      </c>
      <c r="S55" s="2">
        <f>IF(OR(설정!$C$22="",IFERROR(MATCH(설정!$C$22,INDEX(급여대장_원본!$A$1:$AZ$400,설정!$B$8,0),0),"")=""),"",IFERROR(VALUE(SUBSTITUTE(INDEX(급여대장_원본!$A$1:$AZ$400,(설정!$B$8+49),IFERROR(MATCH(설정!$C$22,INDEX(급여대장_원본!$A$1:$AZ$400,설정!$B$8,0),0),""))&amp;"",",","")),""))</f>
        <v/>
      </c>
      <c r="T55" s="2">
        <f>IF(OR(설정!$C$23="",IFERROR(MATCH(설정!$C$23,INDEX(급여대장_원본!$A$1:$AZ$400,설정!$B$8,0),0),"")=""),"",IFERROR(VALUE(SUBSTITUTE(INDEX(급여대장_원본!$A$1:$AZ$400,(설정!$B$8+49),IFERROR(MATCH(설정!$C$23,INDEX(급여대장_원본!$A$1:$AZ$400,설정!$B$8,0),0),""))&amp;"",",","")),""))</f>
        <v/>
      </c>
      <c r="U55" s="2">
        <f>IF(OR(설정!$C$24="",IFERROR(MATCH(설정!$C$24,INDEX(급여대장_원본!$A$1:$AZ$400,설정!$B$8,0),0),"")=""),"",IFERROR(VALUE(SUBSTITUTE(INDEX(급여대장_원본!$A$1:$AZ$400,(설정!$B$8+49),IFERROR(MATCH(설정!$C$24,INDEX(급여대장_원본!$A$1:$AZ$400,설정!$B$8,0),0),""))&amp;"",",","")),""))</f>
        <v/>
      </c>
      <c r="V55" s="27">
        <f>SUM(F55:M55)</f>
        <v/>
      </c>
      <c r="W55" s="27">
        <f>IF(설정!$D$26="",0,IFERROR(VALUE(SUBSTITUTE(SUBSTITUTE(INDEX(급여대장_원본!$A$1:$AZ$400,(설정!$B$8+49),설정!$D$26)&amp;"",",",""),"　","")),0))</f>
        <v/>
      </c>
      <c r="X55" s="27">
        <f>IF(설정!$D$27="",0,IFERROR(VALUE(SUBSTITUTE(SUBSTITUTE(INDEX(급여대장_원본!$A$1:$AZ$400,(설정!$B$8+49),설정!$D$27)&amp;"",",",""),"　","")),0))</f>
        <v/>
      </c>
      <c r="Y55" s="27">
        <f>IF(설정!$D$28="",0,IFERROR(VALUE(SUBSTITUTE(SUBSTITUTE(INDEX(급여대장_원본!$A$1:$AZ$400,(설정!$B$8+49),설정!$D$28)&amp;"",",",""),"　","")),0))</f>
        <v/>
      </c>
      <c r="Z55" s="27">
        <f>IF(설정!$D$29="",0,IFERROR(VALUE(SUBSTITUTE(SUBSTITUTE(INDEX(급여대장_원본!$A$1:$AZ$400,(설정!$B$8+49),설정!$D$29)&amp;"",",",""),"　","")),0))</f>
        <v/>
      </c>
      <c r="AA55" s="27">
        <f>IF(설정!$D$30="",0,IFERROR(VALUE(SUBSTITUTE(SUBSTITUTE(INDEX(급여대장_원본!$A$1:$AZ$400,(설정!$B$8+49),설정!$D$30)&amp;"",",",""),"　","")),0))</f>
        <v/>
      </c>
      <c r="AB55" s="27">
        <f>IF(설정!$D$31="",0,IFERROR(VALUE(SUBSTITUTE(SUBSTITUTE(INDEX(급여대장_원본!$A$1:$AZ$400,(설정!$B$8+49),설정!$D$31)&amp;"",",",""),"　","")),0))</f>
        <v/>
      </c>
      <c r="AC55" s="27">
        <f>IF(설정!$D$32="",0,IFERROR(VALUE(SUBSTITUTE(SUBSTITUTE(INDEX(급여대장_원본!$A$1:$AZ$400,(설정!$B$8+49),설정!$D$32)&amp;"",",",""),"　","")),0))</f>
        <v/>
      </c>
      <c r="AD55" s="27">
        <f>IF(설정!$D$33="",0,IFERROR(VALUE(SUBSTITUTE(SUBSTITUTE(INDEX(급여대장_원본!$A$1:$AZ$400,(설정!$B$8+49),설정!$D$33)&amp;"",",",""),"　","")),0))</f>
        <v/>
      </c>
      <c r="AE55" s="27">
        <f>SUM(W55:AD55)</f>
        <v/>
      </c>
      <c r="AF55" s="27">
        <f>V55-AE55</f>
        <v/>
      </c>
      <c r="AG55" s="27">
        <f>IF(설정!$D$35="","",IF(설정!$D$35="",0,IFERROR(VALUE(SUBSTITUTE(SUBSTITUTE(INDEX(급여대장_원본!$A$1:$AZ$400,(설정!$B$8+49),설정!$D$35)&amp;"",",",""),"　","")),0)))</f>
        <v/>
      </c>
      <c r="AH55" s="27">
        <f>IF(설정!$D$36="","",IF(설정!$D$36="",0,IFERROR(VALUE(SUBSTITUTE(SUBSTITUTE(INDEX(급여대장_원본!$A$1:$AZ$400,(설정!$B$8+49),설정!$D$36)&amp;"",",",""),"　","")),0)))</f>
        <v/>
      </c>
      <c r="AI55" s="27">
        <f>IF(설정!$D$37="","",IF(설정!$D$37="",0,IFERROR(VALUE(SUBSTITUTE(SUBSTITUTE(INDEX(급여대장_원본!$A$1:$AZ$400,(설정!$B$8+49),설정!$D$37)&amp;"",",",""),"　","")),0)))</f>
        <v/>
      </c>
      <c r="AJ55" s="2">
        <f>IFERROR(INDEX($D$7:$D$306,MATCH(49,$B$7:$B$306,0)),"")</f>
        <v/>
      </c>
    </row>
    <row r="56">
      <c r="A56" s="2">
        <f>IF(AND(D56&lt;&gt;"",D56&lt;&gt;"합계",D56&lt;&gt;"총계",D56&lt;&gt;"소계",D56&lt;&gt;"계"),1,0)</f>
        <v/>
      </c>
      <c r="B56" s="2">
        <f>IF(A56=1,SUM($A$7:A56),"")</f>
        <v/>
      </c>
      <c r="C56" s="2">
        <f>IF(설정!$D$13="","",TRIM(SUBSTITUTE(INDEX(급여대장_원본!$A$1:$AZ$400,(설정!$B$8+50),설정!$D$13)&amp;"","　"," ")))</f>
        <v/>
      </c>
      <c r="D56" s="2">
        <f>IF(설정!$D$14="","",TRIM(SUBSTITUTE(INDEX(급여대장_원본!$A$1:$AZ$400,(설정!$B$8+50),설정!$D$14)&amp;"","　"," ")))</f>
        <v/>
      </c>
      <c r="E56" s="2">
        <f>IF(설정!$D$15="","",TRIM(SUBSTITUTE(INDEX(급여대장_원본!$A$1:$AZ$400,(설정!$B$8+50),설정!$D$15)&amp;"","　"," ")))</f>
        <v/>
      </c>
      <c r="F56" s="27">
        <f>IF(설정!$D$17="",0,IFERROR(VALUE(SUBSTITUTE(SUBSTITUTE(INDEX(급여대장_원본!$A$1:$AZ$400,(설정!$B$8+50),설정!$D$17)&amp;"",",",""),"　","")),0))</f>
        <v/>
      </c>
      <c r="G56" s="27">
        <f>IF(설정!$D$18="",0,IFERROR(VALUE(SUBSTITUTE(SUBSTITUTE(INDEX(급여대장_원본!$A$1:$AZ$400,(설정!$B$8+50),설정!$D$18)&amp;"",",",""),"　","")),0))</f>
        <v/>
      </c>
      <c r="H56" s="27">
        <f>IF(설정!$D$19="",0,IFERROR(VALUE(SUBSTITUTE(SUBSTITUTE(INDEX(급여대장_원본!$A$1:$AZ$400,(설정!$B$8+50),설정!$D$19)&amp;"",",",""),"　","")),0))</f>
        <v/>
      </c>
      <c r="I56" s="27">
        <f>IF(설정!$D$20="",0,IFERROR(VALUE(SUBSTITUTE(SUBSTITUTE(INDEX(급여대장_원본!$A$1:$AZ$400,(설정!$B$8+50),설정!$D$20)&amp;"",",",""),"　","")),0))</f>
        <v/>
      </c>
      <c r="J56" s="27">
        <f>IF(설정!$D$21="",0,IFERROR(VALUE(SUBSTITUTE(SUBSTITUTE(INDEX(급여대장_원본!$A$1:$AZ$400,(설정!$B$8+50),설정!$D$21)&amp;"",",",""),"　","")),0))</f>
        <v/>
      </c>
      <c r="K56" s="27">
        <f>IF(설정!$D$22="",0,IFERROR(VALUE(SUBSTITUTE(SUBSTITUTE(INDEX(급여대장_원본!$A$1:$AZ$400,(설정!$B$8+50),설정!$D$22)&amp;"",",",""),"　","")),0))</f>
        <v/>
      </c>
      <c r="L56" s="27">
        <f>IF(설정!$D$23="",0,IFERROR(VALUE(SUBSTITUTE(SUBSTITUTE(INDEX(급여대장_원본!$A$1:$AZ$400,(설정!$B$8+50),설정!$D$23)&amp;"",",",""),"　","")),0))</f>
        <v/>
      </c>
      <c r="M56" s="27">
        <f>IF(설정!$D$24="",0,IFERROR(VALUE(SUBSTITUTE(SUBSTITUTE(INDEX(급여대장_원본!$A$1:$AZ$400,(설정!$B$8+50),설정!$D$24)&amp;"",",",""),"　","")),0))</f>
        <v/>
      </c>
      <c r="N56" s="2">
        <f>IF(OR(설정!$C$17="",IFERROR(MATCH(설정!$C$17,INDEX(급여대장_원본!$A$1:$AZ$400,설정!$B$8,0),0),"")=""),"",IFERROR(VALUE(SUBSTITUTE(INDEX(급여대장_원본!$A$1:$AZ$400,(설정!$B$8+50),IFERROR(MATCH(설정!$C$17,INDEX(급여대장_원본!$A$1:$AZ$400,설정!$B$8,0),0),""))&amp;"",",","")),""))</f>
        <v/>
      </c>
      <c r="O56" s="2">
        <f>IF(OR(설정!$C$18="",IFERROR(MATCH(설정!$C$18,INDEX(급여대장_원본!$A$1:$AZ$400,설정!$B$8,0),0),"")=""),"",IFERROR(VALUE(SUBSTITUTE(INDEX(급여대장_원본!$A$1:$AZ$400,(설정!$B$8+50),IFERROR(MATCH(설정!$C$18,INDEX(급여대장_원본!$A$1:$AZ$400,설정!$B$8,0),0),""))&amp;"",",","")),""))</f>
        <v/>
      </c>
      <c r="P56" s="2">
        <f>IF(OR(설정!$C$19="",IFERROR(MATCH(설정!$C$19,INDEX(급여대장_원본!$A$1:$AZ$400,설정!$B$8,0),0),"")=""),"",IFERROR(VALUE(SUBSTITUTE(INDEX(급여대장_원본!$A$1:$AZ$400,(설정!$B$8+50),IFERROR(MATCH(설정!$C$19,INDEX(급여대장_원본!$A$1:$AZ$400,설정!$B$8,0),0),""))&amp;"",",","")),""))</f>
        <v/>
      </c>
      <c r="Q56" s="2">
        <f>IF(OR(설정!$C$20="",IFERROR(MATCH(설정!$C$20,INDEX(급여대장_원본!$A$1:$AZ$400,설정!$B$8,0),0),"")=""),"",IFERROR(VALUE(SUBSTITUTE(INDEX(급여대장_원본!$A$1:$AZ$400,(설정!$B$8+50),IFERROR(MATCH(설정!$C$20,INDEX(급여대장_원본!$A$1:$AZ$400,설정!$B$8,0),0),""))&amp;"",",","")),""))</f>
        <v/>
      </c>
      <c r="R56" s="2">
        <f>IF(OR(설정!$C$21="",IFERROR(MATCH(설정!$C$21,INDEX(급여대장_원본!$A$1:$AZ$400,설정!$B$8,0),0),"")=""),"",IFERROR(VALUE(SUBSTITUTE(INDEX(급여대장_원본!$A$1:$AZ$400,(설정!$B$8+50),IFERROR(MATCH(설정!$C$21,INDEX(급여대장_원본!$A$1:$AZ$400,설정!$B$8,0),0),""))&amp;"",",","")),""))</f>
        <v/>
      </c>
      <c r="S56" s="2">
        <f>IF(OR(설정!$C$22="",IFERROR(MATCH(설정!$C$22,INDEX(급여대장_원본!$A$1:$AZ$400,설정!$B$8,0),0),"")=""),"",IFERROR(VALUE(SUBSTITUTE(INDEX(급여대장_원본!$A$1:$AZ$400,(설정!$B$8+50),IFERROR(MATCH(설정!$C$22,INDEX(급여대장_원본!$A$1:$AZ$400,설정!$B$8,0),0),""))&amp;"",",","")),""))</f>
        <v/>
      </c>
      <c r="T56" s="2">
        <f>IF(OR(설정!$C$23="",IFERROR(MATCH(설정!$C$23,INDEX(급여대장_원본!$A$1:$AZ$400,설정!$B$8,0),0),"")=""),"",IFERROR(VALUE(SUBSTITUTE(INDEX(급여대장_원본!$A$1:$AZ$400,(설정!$B$8+50),IFERROR(MATCH(설정!$C$23,INDEX(급여대장_원본!$A$1:$AZ$400,설정!$B$8,0),0),""))&amp;"",",","")),""))</f>
        <v/>
      </c>
      <c r="U56" s="2">
        <f>IF(OR(설정!$C$24="",IFERROR(MATCH(설정!$C$24,INDEX(급여대장_원본!$A$1:$AZ$400,설정!$B$8,0),0),"")=""),"",IFERROR(VALUE(SUBSTITUTE(INDEX(급여대장_원본!$A$1:$AZ$400,(설정!$B$8+50),IFERROR(MATCH(설정!$C$24,INDEX(급여대장_원본!$A$1:$AZ$400,설정!$B$8,0),0),""))&amp;"",",","")),""))</f>
        <v/>
      </c>
      <c r="V56" s="27">
        <f>SUM(F56:M56)</f>
        <v/>
      </c>
      <c r="W56" s="27">
        <f>IF(설정!$D$26="",0,IFERROR(VALUE(SUBSTITUTE(SUBSTITUTE(INDEX(급여대장_원본!$A$1:$AZ$400,(설정!$B$8+50),설정!$D$26)&amp;"",",",""),"　","")),0))</f>
        <v/>
      </c>
      <c r="X56" s="27">
        <f>IF(설정!$D$27="",0,IFERROR(VALUE(SUBSTITUTE(SUBSTITUTE(INDEX(급여대장_원본!$A$1:$AZ$400,(설정!$B$8+50),설정!$D$27)&amp;"",",",""),"　","")),0))</f>
        <v/>
      </c>
      <c r="Y56" s="27">
        <f>IF(설정!$D$28="",0,IFERROR(VALUE(SUBSTITUTE(SUBSTITUTE(INDEX(급여대장_원본!$A$1:$AZ$400,(설정!$B$8+50),설정!$D$28)&amp;"",",",""),"　","")),0))</f>
        <v/>
      </c>
      <c r="Z56" s="27">
        <f>IF(설정!$D$29="",0,IFERROR(VALUE(SUBSTITUTE(SUBSTITUTE(INDEX(급여대장_원본!$A$1:$AZ$400,(설정!$B$8+50),설정!$D$29)&amp;"",",",""),"　","")),0))</f>
        <v/>
      </c>
      <c r="AA56" s="27">
        <f>IF(설정!$D$30="",0,IFERROR(VALUE(SUBSTITUTE(SUBSTITUTE(INDEX(급여대장_원본!$A$1:$AZ$400,(설정!$B$8+50),설정!$D$30)&amp;"",",",""),"　","")),0))</f>
        <v/>
      </c>
      <c r="AB56" s="27">
        <f>IF(설정!$D$31="",0,IFERROR(VALUE(SUBSTITUTE(SUBSTITUTE(INDEX(급여대장_원본!$A$1:$AZ$400,(설정!$B$8+50),설정!$D$31)&amp;"",",",""),"　","")),0))</f>
        <v/>
      </c>
      <c r="AC56" s="27">
        <f>IF(설정!$D$32="",0,IFERROR(VALUE(SUBSTITUTE(SUBSTITUTE(INDEX(급여대장_원본!$A$1:$AZ$400,(설정!$B$8+50),설정!$D$32)&amp;"",",",""),"　","")),0))</f>
        <v/>
      </c>
      <c r="AD56" s="27">
        <f>IF(설정!$D$33="",0,IFERROR(VALUE(SUBSTITUTE(SUBSTITUTE(INDEX(급여대장_원본!$A$1:$AZ$400,(설정!$B$8+50),설정!$D$33)&amp;"",",",""),"　","")),0))</f>
        <v/>
      </c>
      <c r="AE56" s="27">
        <f>SUM(W56:AD56)</f>
        <v/>
      </c>
      <c r="AF56" s="27">
        <f>V56-AE56</f>
        <v/>
      </c>
      <c r="AG56" s="27">
        <f>IF(설정!$D$35="","",IF(설정!$D$35="",0,IFERROR(VALUE(SUBSTITUTE(SUBSTITUTE(INDEX(급여대장_원본!$A$1:$AZ$400,(설정!$B$8+50),설정!$D$35)&amp;"",",",""),"　","")),0)))</f>
        <v/>
      </c>
      <c r="AH56" s="27">
        <f>IF(설정!$D$36="","",IF(설정!$D$36="",0,IFERROR(VALUE(SUBSTITUTE(SUBSTITUTE(INDEX(급여대장_원본!$A$1:$AZ$400,(설정!$B$8+50),설정!$D$36)&amp;"",",",""),"　","")),0)))</f>
        <v/>
      </c>
      <c r="AI56" s="27">
        <f>IF(설정!$D$37="","",IF(설정!$D$37="",0,IFERROR(VALUE(SUBSTITUTE(SUBSTITUTE(INDEX(급여대장_원본!$A$1:$AZ$400,(설정!$B$8+50),설정!$D$37)&amp;"",",",""),"　","")),0)))</f>
        <v/>
      </c>
      <c r="AJ56" s="2">
        <f>IFERROR(INDEX($D$7:$D$306,MATCH(50,$B$7:$B$306,0)),"")</f>
        <v/>
      </c>
    </row>
    <row r="57">
      <c r="A57" s="2">
        <f>IF(AND(D57&lt;&gt;"",D57&lt;&gt;"합계",D57&lt;&gt;"총계",D57&lt;&gt;"소계",D57&lt;&gt;"계"),1,0)</f>
        <v/>
      </c>
      <c r="B57" s="2">
        <f>IF(A57=1,SUM($A$7:A57),"")</f>
        <v/>
      </c>
      <c r="C57" s="2">
        <f>IF(설정!$D$13="","",TRIM(SUBSTITUTE(INDEX(급여대장_원본!$A$1:$AZ$400,(설정!$B$8+51),설정!$D$13)&amp;"","　"," ")))</f>
        <v/>
      </c>
      <c r="D57" s="2">
        <f>IF(설정!$D$14="","",TRIM(SUBSTITUTE(INDEX(급여대장_원본!$A$1:$AZ$400,(설정!$B$8+51),설정!$D$14)&amp;"","　"," ")))</f>
        <v/>
      </c>
      <c r="E57" s="2">
        <f>IF(설정!$D$15="","",TRIM(SUBSTITUTE(INDEX(급여대장_원본!$A$1:$AZ$400,(설정!$B$8+51),설정!$D$15)&amp;"","　"," ")))</f>
        <v/>
      </c>
      <c r="F57" s="27">
        <f>IF(설정!$D$17="",0,IFERROR(VALUE(SUBSTITUTE(SUBSTITUTE(INDEX(급여대장_원본!$A$1:$AZ$400,(설정!$B$8+51),설정!$D$17)&amp;"",",",""),"　","")),0))</f>
        <v/>
      </c>
      <c r="G57" s="27">
        <f>IF(설정!$D$18="",0,IFERROR(VALUE(SUBSTITUTE(SUBSTITUTE(INDEX(급여대장_원본!$A$1:$AZ$400,(설정!$B$8+51),설정!$D$18)&amp;"",",",""),"　","")),0))</f>
        <v/>
      </c>
      <c r="H57" s="27">
        <f>IF(설정!$D$19="",0,IFERROR(VALUE(SUBSTITUTE(SUBSTITUTE(INDEX(급여대장_원본!$A$1:$AZ$400,(설정!$B$8+51),설정!$D$19)&amp;"",",",""),"　","")),0))</f>
        <v/>
      </c>
      <c r="I57" s="27">
        <f>IF(설정!$D$20="",0,IFERROR(VALUE(SUBSTITUTE(SUBSTITUTE(INDEX(급여대장_원본!$A$1:$AZ$400,(설정!$B$8+51),설정!$D$20)&amp;"",",",""),"　","")),0))</f>
        <v/>
      </c>
      <c r="J57" s="27">
        <f>IF(설정!$D$21="",0,IFERROR(VALUE(SUBSTITUTE(SUBSTITUTE(INDEX(급여대장_원본!$A$1:$AZ$400,(설정!$B$8+51),설정!$D$21)&amp;"",",",""),"　","")),0))</f>
        <v/>
      </c>
      <c r="K57" s="27">
        <f>IF(설정!$D$22="",0,IFERROR(VALUE(SUBSTITUTE(SUBSTITUTE(INDEX(급여대장_원본!$A$1:$AZ$400,(설정!$B$8+51),설정!$D$22)&amp;"",",",""),"　","")),0))</f>
        <v/>
      </c>
      <c r="L57" s="27">
        <f>IF(설정!$D$23="",0,IFERROR(VALUE(SUBSTITUTE(SUBSTITUTE(INDEX(급여대장_원본!$A$1:$AZ$400,(설정!$B$8+51),설정!$D$23)&amp;"",",",""),"　","")),0))</f>
        <v/>
      </c>
      <c r="M57" s="27">
        <f>IF(설정!$D$24="",0,IFERROR(VALUE(SUBSTITUTE(SUBSTITUTE(INDEX(급여대장_원본!$A$1:$AZ$400,(설정!$B$8+51),설정!$D$24)&amp;"",",",""),"　","")),0))</f>
        <v/>
      </c>
      <c r="N57" s="2">
        <f>IF(OR(설정!$C$17="",IFERROR(MATCH(설정!$C$17,INDEX(급여대장_원본!$A$1:$AZ$400,설정!$B$8,0),0),"")=""),"",IFERROR(VALUE(SUBSTITUTE(INDEX(급여대장_원본!$A$1:$AZ$400,(설정!$B$8+51),IFERROR(MATCH(설정!$C$17,INDEX(급여대장_원본!$A$1:$AZ$400,설정!$B$8,0),0),""))&amp;"",",","")),""))</f>
        <v/>
      </c>
      <c r="O57" s="2">
        <f>IF(OR(설정!$C$18="",IFERROR(MATCH(설정!$C$18,INDEX(급여대장_원본!$A$1:$AZ$400,설정!$B$8,0),0),"")=""),"",IFERROR(VALUE(SUBSTITUTE(INDEX(급여대장_원본!$A$1:$AZ$400,(설정!$B$8+51),IFERROR(MATCH(설정!$C$18,INDEX(급여대장_원본!$A$1:$AZ$400,설정!$B$8,0),0),""))&amp;"",",","")),""))</f>
        <v/>
      </c>
      <c r="P57" s="2">
        <f>IF(OR(설정!$C$19="",IFERROR(MATCH(설정!$C$19,INDEX(급여대장_원본!$A$1:$AZ$400,설정!$B$8,0),0),"")=""),"",IFERROR(VALUE(SUBSTITUTE(INDEX(급여대장_원본!$A$1:$AZ$400,(설정!$B$8+51),IFERROR(MATCH(설정!$C$19,INDEX(급여대장_원본!$A$1:$AZ$400,설정!$B$8,0),0),""))&amp;"",",","")),""))</f>
        <v/>
      </c>
      <c r="Q57" s="2">
        <f>IF(OR(설정!$C$20="",IFERROR(MATCH(설정!$C$20,INDEX(급여대장_원본!$A$1:$AZ$400,설정!$B$8,0),0),"")=""),"",IFERROR(VALUE(SUBSTITUTE(INDEX(급여대장_원본!$A$1:$AZ$400,(설정!$B$8+51),IFERROR(MATCH(설정!$C$20,INDEX(급여대장_원본!$A$1:$AZ$400,설정!$B$8,0),0),""))&amp;"",",","")),""))</f>
        <v/>
      </c>
      <c r="R57" s="2">
        <f>IF(OR(설정!$C$21="",IFERROR(MATCH(설정!$C$21,INDEX(급여대장_원본!$A$1:$AZ$400,설정!$B$8,0),0),"")=""),"",IFERROR(VALUE(SUBSTITUTE(INDEX(급여대장_원본!$A$1:$AZ$400,(설정!$B$8+51),IFERROR(MATCH(설정!$C$21,INDEX(급여대장_원본!$A$1:$AZ$400,설정!$B$8,0),0),""))&amp;"",",","")),""))</f>
        <v/>
      </c>
      <c r="S57" s="2">
        <f>IF(OR(설정!$C$22="",IFERROR(MATCH(설정!$C$22,INDEX(급여대장_원본!$A$1:$AZ$400,설정!$B$8,0),0),"")=""),"",IFERROR(VALUE(SUBSTITUTE(INDEX(급여대장_원본!$A$1:$AZ$400,(설정!$B$8+51),IFERROR(MATCH(설정!$C$22,INDEX(급여대장_원본!$A$1:$AZ$400,설정!$B$8,0),0),""))&amp;"",",","")),""))</f>
        <v/>
      </c>
      <c r="T57" s="2">
        <f>IF(OR(설정!$C$23="",IFERROR(MATCH(설정!$C$23,INDEX(급여대장_원본!$A$1:$AZ$400,설정!$B$8,0),0),"")=""),"",IFERROR(VALUE(SUBSTITUTE(INDEX(급여대장_원본!$A$1:$AZ$400,(설정!$B$8+51),IFERROR(MATCH(설정!$C$23,INDEX(급여대장_원본!$A$1:$AZ$400,설정!$B$8,0),0),""))&amp;"",",","")),""))</f>
        <v/>
      </c>
      <c r="U57" s="2">
        <f>IF(OR(설정!$C$24="",IFERROR(MATCH(설정!$C$24,INDEX(급여대장_원본!$A$1:$AZ$400,설정!$B$8,0),0),"")=""),"",IFERROR(VALUE(SUBSTITUTE(INDEX(급여대장_원본!$A$1:$AZ$400,(설정!$B$8+51),IFERROR(MATCH(설정!$C$24,INDEX(급여대장_원본!$A$1:$AZ$400,설정!$B$8,0),0),""))&amp;"",",","")),""))</f>
        <v/>
      </c>
      <c r="V57" s="27">
        <f>SUM(F57:M57)</f>
        <v/>
      </c>
      <c r="W57" s="27">
        <f>IF(설정!$D$26="",0,IFERROR(VALUE(SUBSTITUTE(SUBSTITUTE(INDEX(급여대장_원본!$A$1:$AZ$400,(설정!$B$8+51),설정!$D$26)&amp;"",",",""),"　","")),0))</f>
        <v/>
      </c>
      <c r="X57" s="27">
        <f>IF(설정!$D$27="",0,IFERROR(VALUE(SUBSTITUTE(SUBSTITUTE(INDEX(급여대장_원본!$A$1:$AZ$400,(설정!$B$8+51),설정!$D$27)&amp;"",",",""),"　","")),0))</f>
        <v/>
      </c>
      <c r="Y57" s="27">
        <f>IF(설정!$D$28="",0,IFERROR(VALUE(SUBSTITUTE(SUBSTITUTE(INDEX(급여대장_원본!$A$1:$AZ$400,(설정!$B$8+51),설정!$D$28)&amp;"",",",""),"　","")),0))</f>
        <v/>
      </c>
      <c r="Z57" s="27">
        <f>IF(설정!$D$29="",0,IFERROR(VALUE(SUBSTITUTE(SUBSTITUTE(INDEX(급여대장_원본!$A$1:$AZ$400,(설정!$B$8+51),설정!$D$29)&amp;"",",",""),"　","")),0))</f>
        <v/>
      </c>
      <c r="AA57" s="27">
        <f>IF(설정!$D$30="",0,IFERROR(VALUE(SUBSTITUTE(SUBSTITUTE(INDEX(급여대장_원본!$A$1:$AZ$400,(설정!$B$8+51),설정!$D$30)&amp;"",",",""),"　","")),0))</f>
        <v/>
      </c>
      <c r="AB57" s="27">
        <f>IF(설정!$D$31="",0,IFERROR(VALUE(SUBSTITUTE(SUBSTITUTE(INDEX(급여대장_원본!$A$1:$AZ$400,(설정!$B$8+51),설정!$D$31)&amp;"",",",""),"　","")),0))</f>
        <v/>
      </c>
      <c r="AC57" s="27">
        <f>IF(설정!$D$32="",0,IFERROR(VALUE(SUBSTITUTE(SUBSTITUTE(INDEX(급여대장_원본!$A$1:$AZ$400,(설정!$B$8+51),설정!$D$32)&amp;"",",",""),"　","")),0))</f>
        <v/>
      </c>
      <c r="AD57" s="27">
        <f>IF(설정!$D$33="",0,IFERROR(VALUE(SUBSTITUTE(SUBSTITUTE(INDEX(급여대장_원본!$A$1:$AZ$400,(설정!$B$8+51),설정!$D$33)&amp;"",",",""),"　","")),0))</f>
        <v/>
      </c>
      <c r="AE57" s="27">
        <f>SUM(W57:AD57)</f>
        <v/>
      </c>
      <c r="AF57" s="27">
        <f>V57-AE57</f>
        <v/>
      </c>
      <c r="AG57" s="27">
        <f>IF(설정!$D$35="","",IF(설정!$D$35="",0,IFERROR(VALUE(SUBSTITUTE(SUBSTITUTE(INDEX(급여대장_원본!$A$1:$AZ$400,(설정!$B$8+51),설정!$D$35)&amp;"",",",""),"　","")),0)))</f>
        <v/>
      </c>
      <c r="AH57" s="27">
        <f>IF(설정!$D$36="","",IF(설정!$D$36="",0,IFERROR(VALUE(SUBSTITUTE(SUBSTITUTE(INDEX(급여대장_원본!$A$1:$AZ$400,(설정!$B$8+51),설정!$D$36)&amp;"",",",""),"　","")),0)))</f>
        <v/>
      </c>
      <c r="AI57" s="27">
        <f>IF(설정!$D$37="","",IF(설정!$D$37="",0,IFERROR(VALUE(SUBSTITUTE(SUBSTITUTE(INDEX(급여대장_원본!$A$1:$AZ$400,(설정!$B$8+51),설정!$D$37)&amp;"",",",""),"　","")),0)))</f>
        <v/>
      </c>
      <c r="AJ57" s="2">
        <f>IFERROR(INDEX($D$7:$D$306,MATCH(51,$B$7:$B$306,0)),"")</f>
        <v/>
      </c>
    </row>
    <row r="58">
      <c r="A58" s="2">
        <f>IF(AND(D58&lt;&gt;"",D58&lt;&gt;"합계",D58&lt;&gt;"총계",D58&lt;&gt;"소계",D58&lt;&gt;"계"),1,0)</f>
        <v/>
      </c>
      <c r="B58" s="2">
        <f>IF(A58=1,SUM($A$7:A58),"")</f>
        <v/>
      </c>
      <c r="C58" s="2">
        <f>IF(설정!$D$13="","",TRIM(SUBSTITUTE(INDEX(급여대장_원본!$A$1:$AZ$400,(설정!$B$8+52),설정!$D$13)&amp;"","　"," ")))</f>
        <v/>
      </c>
      <c r="D58" s="2">
        <f>IF(설정!$D$14="","",TRIM(SUBSTITUTE(INDEX(급여대장_원본!$A$1:$AZ$400,(설정!$B$8+52),설정!$D$14)&amp;"","　"," ")))</f>
        <v/>
      </c>
      <c r="E58" s="2">
        <f>IF(설정!$D$15="","",TRIM(SUBSTITUTE(INDEX(급여대장_원본!$A$1:$AZ$400,(설정!$B$8+52),설정!$D$15)&amp;"","　"," ")))</f>
        <v/>
      </c>
      <c r="F58" s="27">
        <f>IF(설정!$D$17="",0,IFERROR(VALUE(SUBSTITUTE(SUBSTITUTE(INDEX(급여대장_원본!$A$1:$AZ$400,(설정!$B$8+52),설정!$D$17)&amp;"",",",""),"　","")),0))</f>
        <v/>
      </c>
      <c r="G58" s="27">
        <f>IF(설정!$D$18="",0,IFERROR(VALUE(SUBSTITUTE(SUBSTITUTE(INDEX(급여대장_원본!$A$1:$AZ$400,(설정!$B$8+52),설정!$D$18)&amp;"",",",""),"　","")),0))</f>
        <v/>
      </c>
      <c r="H58" s="27">
        <f>IF(설정!$D$19="",0,IFERROR(VALUE(SUBSTITUTE(SUBSTITUTE(INDEX(급여대장_원본!$A$1:$AZ$400,(설정!$B$8+52),설정!$D$19)&amp;"",",",""),"　","")),0))</f>
        <v/>
      </c>
      <c r="I58" s="27">
        <f>IF(설정!$D$20="",0,IFERROR(VALUE(SUBSTITUTE(SUBSTITUTE(INDEX(급여대장_원본!$A$1:$AZ$400,(설정!$B$8+52),설정!$D$20)&amp;"",",",""),"　","")),0))</f>
        <v/>
      </c>
      <c r="J58" s="27">
        <f>IF(설정!$D$21="",0,IFERROR(VALUE(SUBSTITUTE(SUBSTITUTE(INDEX(급여대장_원본!$A$1:$AZ$400,(설정!$B$8+52),설정!$D$21)&amp;"",",",""),"　","")),0))</f>
        <v/>
      </c>
      <c r="K58" s="27">
        <f>IF(설정!$D$22="",0,IFERROR(VALUE(SUBSTITUTE(SUBSTITUTE(INDEX(급여대장_원본!$A$1:$AZ$400,(설정!$B$8+52),설정!$D$22)&amp;"",",",""),"　","")),0))</f>
        <v/>
      </c>
      <c r="L58" s="27">
        <f>IF(설정!$D$23="",0,IFERROR(VALUE(SUBSTITUTE(SUBSTITUTE(INDEX(급여대장_원본!$A$1:$AZ$400,(설정!$B$8+52),설정!$D$23)&amp;"",",",""),"　","")),0))</f>
        <v/>
      </c>
      <c r="M58" s="27">
        <f>IF(설정!$D$24="",0,IFERROR(VALUE(SUBSTITUTE(SUBSTITUTE(INDEX(급여대장_원본!$A$1:$AZ$400,(설정!$B$8+52),설정!$D$24)&amp;"",",",""),"　","")),0))</f>
        <v/>
      </c>
      <c r="N58" s="2">
        <f>IF(OR(설정!$C$17="",IFERROR(MATCH(설정!$C$17,INDEX(급여대장_원본!$A$1:$AZ$400,설정!$B$8,0),0),"")=""),"",IFERROR(VALUE(SUBSTITUTE(INDEX(급여대장_원본!$A$1:$AZ$400,(설정!$B$8+52),IFERROR(MATCH(설정!$C$17,INDEX(급여대장_원본!$A$1:$AZ$400,설정!$B$8,0),0),""))&amp;"",",","")),""))</f>
        <v/>
      </c>
      <c r="O58" s="2">
        <f>IF(OR(설정!$C$18="",IFERROR(MATCH(설정!$C$18,INDEX(급여대장_원본!$A$1:$AZ$400,설정!$B$8,0),0),"")=""),"",IFERROR(VALUE(SUBSTITUTE(INDEX(급여대장_원본!$A$1:$AZ$400,(설정!$B$8+52),IFERROR(MATCH(설정!$C$18,INDEX(급여대장_원본!$A$1:$AZ$400,설정!$B$8,0),0),""))&amp;"",",","")),""))</f>
        <v/>
      </c>
      <c r="P58" s="2">
        <f>IF(OR(설정!$C$19="",IFERROR(MATCH(설정!$C$19,INDEX(급여대장_원본!$A$1:$AZ$400,설정!$B$8,0),0),"")=""),"",IFERROR(VALUE(SUBSTITUTE(INDEX(급여대장_원본!$A$1:$AZ$400,(설정!$B$8+52),IFERROR(MATCH(설정!$C$19,INDEX(급여대장_원본!$A$1:$AZ$400,설정!$B$8,0),0),""))&amp;"",",","")),""))</f>
        <v/>
      </c>
      <c r="Q58" s="2">
        <f>IF(OR(설정!$C$20="",IFERROR(MATCH(설정!$C$20,INDEX(급여대장_원본!$A$1:$AZ$400,설정!$B$8,0),0),"")=""),"",IFERROR(VALUE(SUBSTITUTE(INDEX(급여대장_원본!$A$1:$AZ$400,(설정!$B$8+52),IFERROR(MATCH(설정!$C$20,INDEX(급여대장_원본!$A$1:$AZ$400,설정!$B$8,0),0),""))&amp;"",",","")),""))</f>
        <v/>
      </c>
      <c r="R58" s="2">
        <f>IF(OR(설정!$C$21="",IFERROR(MATCH(설정!$C$21,INDEX(급여대장_원본!$A$1:$AZ$400,설정!$B$8,0),0),"")=""),"",IFERROR(VALUE(SUBSTITUTE(INDEX(급여대장_원본!$A$1:$AZ$400,(설정!$B$8+52),IFERROR(MATCH(설정!$C$21,INDEX(급여대장_원본!$A$1:$AZ$400,설정!$B$8,0),0),""))&amp;"",",","")),""))</f>
        <v/>
      </c>
      <c r="S58" s="2">
        <f>IF(OR(설정!$C$22="",IFERROR(MATCH(설정!$C$22,INDEX(급여대장_원본!$A$1:$AZ$400,설정!$B$8,0),0),"")=""),"",IFERROR(VALUE(SUBSTITUTE(INDEX(급여대장_원본!$A$1:$AZ$400,(설정!$B$8+52),IFERROR(MATCH(설정!$C$22,INDEX(급여대장_원본!$A$1:$AZ$400,설정!$B$8,0),0),""))&amp;"",",","")),""))</f>
        <v/>
      </c>
      <c r="T58" s="2">
        <f>IF(OR(설정!$C$23="",IFERROR(MATCH(설정!$C$23,INDEX(급여대장_원본!$A$1:$AZ$400,설정!$B$8,0),0),"")=""),"",IFERROR(VALUE(SUBSTITUTE(INDEX(급여대장_원본!$A$1:$AZ$400,(설정!$B$8+52),IFERROR(MATCH(설정!$C$23,INDEX(급여대장_원본!$A$1:$AZ$400,설정!$B$8,0),0),""))&amp;"",",","")),""))</f>
        <v/>
      </c>
      <c r="U58" s="2">
        <f>IF(OR(설정!$C$24="",IFERROR(MATCH(설정!$C$24,INDEX(급여대장_원본!$A$1:$AZ$400,설정!$B$8,0),0),"")=""),"",IFERROR(VALUE(SUBSTITUTE(INDEX(급여대장_원본!$A$1:$AZ$400,(설정!$B$8+52),IFERROR(MATCH(설정!$C$24,INDEX(급여대장_원본!$A$1:$AZ$400,설정!$B$8,0),0),""))&amp;"",",","")),""))</f>
        <v/>
      </c>
      <c r="V58" s="27">
        <f>SUM(F58:M58)</f>
        <v/>
      </c>
      <c r="W58" s="27">
        <f>IF(설정!$D$26="",0,IFERROR(VALUE(SUBSTITUTE(SUBSTITUTE(INDEX(급여대장_원본!$A$1:$AZ$400,(설정!$B$8+52),설정!$D$26)&amp;"",",",""),"　","")),0))</f>
        <v/>
      </c>
      <c r="X58" s="27">
        <f>IF(설정!$D$27="",0,IFERROR(VALUE(SUBSTITUTE(SUBSTITUTE(INDEX(급여대장_원본!$A$1:$AZ$400,(설정!$B$8+52),설정!$D$27)&amp;"",",",""),"　","")),0))</f>
        <v/>
      </c>
      <c r="Y58" s="27">
        <f>IF(설정!$D$28="",0,IFERROR(VALUE(SUBSTITUTE(SUBSTITUTE(INDEX(급여대장_원본!$A$1:$AZ$400,(설정!$B$8+52),설정!$D$28)&amp;"",",",""),"　","")),0))</f>
        <v/>
      </c>
      <c r="Z58" s="27">
        <f>IF(설정!$D$29="",0,IFERROR(VALUE(SUBSTITUTE(SUBSTITUTE(INDEX(급여대장_원본!$A$1:$AZ$400,(설정!$B$8+52),설정!$D$29)&amp;"",",",""),"　","")),0))</f>
        <v/>
      </c>
      <c r="AA58" s="27">
        <f>IF(설정!$D$30="",0,IFERROR(VALUE(SUBSTITUTE(SUBSTITUTE(INDEX(급여대장_원본!$A$1:$AZ$400,(설정!$B$8+52),설정!$D$30)&amp;"",",",""),"　","")),0))</f>
        <v/>
      </c>
      <c r="AB58" s="27">
        <f>IF(설정!$D$31="",0,IFERROR(VALUE(SUBSTITUTE(SUBSTITUTE(INDEX(급여대장_원본!$A$1:$AZ$400,(설정!$B$8+52),설정!$D$31)&amp;"",",",""),"　","")),0))</f>
        <v/>
      </c>
      <c r="AC58" s="27">
        <f>IF(설정!$D$32="",0,IFERROR(VALUE(SUBSTITUTE(SUBSTITUTE(INDEX(급여대장_원본!$A$1:$AZ$400,(설정!$B$8+52),설정!$D$32)&amp;"",",",""),"　","")),0))</f>
        <v/>
      </c>
      <c r="AD58" s="27">
        <f>IF(설정!$D$33="",0,IFERROR(VALUE(SUBSTITUTE(SUBSTITUTE(INDEX(급여대장_원본!$A$1:$AZ$400,(설정!$B$8+52),설정!$D$33)&amp;"",",",""),"　","")),0))</f>
        <v/>
      </c>
      <c r="AE58" s="27">
        <f>SUM(W58:AD58)</f>
        <v/>
      </c>
      <c r="AF58" s="27">
        <f>V58-AE58</f>
        <v/>
      </c>
      <c r="AG58" s="27">
        <f>IF(설정!$D$35="","",IF(설정!$D$35="",0,IFERROR(VALUE(SUBSTITUTE(SUBSTITUTE(INDEX(급여대장_원본!$A$1:$AZ$400,(설정!$B$8+52),설정!$D$35)&amp;"",",",""),"　","")),0)))</f>
        <v/>
      </c>
      <c r="AH58" s="27">
        <f>IF(설정!$D$36="","",IF(설정!$D$36="",0,IFERROR(VALUE(SUBSTITUTE(SUBSTITUTE(INDEX(급여대장_원본!$A$1:$AZ$400,(설정!$B$8+52),설정!$D$36)&amp;"",",",""),"　","")),0)))</f>
        <v/>
      </c>
      <c r="AI58" s="27">
        <f>IF(설정!$D$37="","",IF(설정!$D$37="",0,IFERROR(VALUE(SUBSTITUTE(SUBSTITUTE(INDEX(급여대장_원본!$A$1:$AZ$400,(설정!$B$8+52),설정!$D$37)&amp;"",",",""),"　","")),0)))</f>
        <v/>
      </c>
      <c r="AJ58" s="2">
        <f>IFERROR(INDEX($D$7:$D$306,MATCH(52,$B$7:$B$306,0)),"")</f>
        <v/>
      </c>
    </row>
    <row r="59">
      <c r="A59" s="2">
        <f>IF(AND(D59&lt;&gt;"",D59&lt;&gt;"합계",D59&lt;&gt;"총계",D59&lt;&gt;"소계",D59&lt;&gt;"계"),1,0)</f>
        <v/>
      </c>
      <c r="B59" s="2">
        <f>IF(A59=1,SUM($A$7:A59),"")</f>
        <v/>
      </c>
      <c r="C59" s="2">
        <f>IF(설정!$D$13="","",TRIM(SUBSTITUTE(INDEX(급여대장_원본!$A$1:$AZ$400,(설정!$B$8+53),설정!$D$13)&amp;"","　"," ")))</f>
        <v/>
      </c>
      <c r="D59" s="2">
        <f>IF(설정!$D$14="","",TRIM(SUBSTITUTE(INDEX(급여대장_원본!$A$1:$AZ$400,(설정!$B$8+53),설정!$D$14)&amp;"","　"," ")))</f>
        <v/>
      </c>
      <c r="E59" s="2">
        <f>IF(설정!$D$15="","",TRIM(SUBSTITUTE(INDEX(급여대장_원본!$A$1:$AZ$400,(설정!$B$8+53),설정!$D$15)&amp;"","　"," ")))</f>
        <v/>
      </c>
      <c r="F59" s="27">
        <f>IF(설정!$D$17="",0,IFERROR(VALUE(SUBSTITUTE(SUBSTITUTE(INDEX(급여대장_원본!$A$1:$AZ$400,(설정!$B$8+53),설정!$D$17)&amp;"",",",""),"　","")),0))</f>
        <v/>
      </c>
      <c r="G59" s="27">
        <f>IF(설정!$D$18="",0,IFERROR(VALUE(SUBSTITUTE(SUBSTITUTE(INDEX(급여대장_원본!$A$1:$AZ$400,(설정!$B$8+53),설정!$D$18)&amp;"",",",""),"　","")),0))</f>
        <v/>
      </c>
      <c r="H59" s="27">
        <f>IF(설정!$D$19="",0,IFERROR(VALUE(SUBSTITUTE(SUBSTITUTE(INDEX(급여대장_원본!$A$1:$AZ$400,(설정!$B$8+53),설정!$D$19)&amp;"",",",""),"　","")),0))</f>
        <v/>
      </c>
      <c r="I59" s="27">
        <f>IF(설정!$D$20="",0,IFERROR(VALUE(SUBSTITUTE(SUBSTITUTE(INDEX(급여대장_원본!$A$1:$AZ$400,(설정!$B$8+53),설정!$D$20)&amp;"",",",""),"　","")),0))</f>
        <v/>
      </c>
      <c r="J59" s="27">
        <f>IF(설정!$D$21="",0,IFERROR(VALUE(SUBSTITUTE(SUBSTITUTE(INDEX(급여대장_원본!$A$1:$AZ$400,(설정!$B$8+53),설정!$D$21)&amp;"",",",""),"　","")),0))</f>
        <v/>
      </c>
      <c r="K59" s="27">
        <f>IF(설정!$D$22="",0,IFERROR(VALUE(SUBSTITUTE(SUBSTITUTE(INDEX(급여대장_원본!$A$1:$AZ$400,(설정!$B$8+53),설정!$D$22)&amp;"",",",""),"　","")),0))</f>
        <v/>
      </c>
      <c r="L59" s="27">
        <f>IF(설정!$D$23="",0,IFERROR(VALUE(SUBSTITUTE(SUBSTITUTE(INDEX(급여대장_원본!$A$1:$AZ$400,(설정!$B$8+53),설정!$D$23)&amp;"",",",""),"　","")),0))</f>
        <v/>
      </c>
      <c r="M59" s="27">
        <f>IF(설정!$D$24="",0,IFERROR(VALUE(SUBSTITUTE(SUBSTITUTE(INDEX(급여대장_원본!$A$1:$AZ$400,(설정!$B$8+53),설정!$D$24)&amp;"",",",""),"　","")),0))</f>
        <v/>
      </c>
      <c r="N59" s="2">
        <f>IF(OR(설정!$C$17="",IFERROR(MATCH(설정!$C$17,INDEX(급여대장_원본!$A$1:$AZ$400,설정!$B$8,0),0),"")=""),"",IFERROR(VALUE(SUBSTITUTE(INDEX(급여대장_원본!$A$1:$AZ$400,(설정!$B$8+53),IFERROR(MATCH(설정!$C$17,INDEX(급여대장_원본!$A$1:$AZ$400,설정!$B$8,0),0),""))&amp;"",",","")),""))</f>
        <v/>
      </c>
      <c r="O59" s="2">
        <f>IF(OR(설정!$C$18="",IFERROR(MATCH(설정!$C$18,INDEX(급여대장_원본!$A$1:$AZ$400,설정!$B$8,0),0),"")=""),"",IFERROR(VALUE(SUBSTITUTE(INDEX(급여대장_원본!$A$1:$AZ$400,(설정!$B$8+53),IFERROR(MATCH(설정!$C$18,INDEX(급여대장_원본!$A$1:$AZ$400,설정!$B$8,0),0),""))&amp;"",",","")),""))</f>
        <v/>
      </c>
      <c r="P59" s="2">
        <f>IF(OR(설정!$C$19="",IFERROR(MATCH(설정!$C$19,INDEX(급여대장_원본!$A$1:$AZ$400,설정!$B$8,0),0),"")=""),"",IFERROR(VALUE(SUBSTITUTE(INDEX(급여대장_원본!$A$1:$AZ$400,(설정!$B$8+53),IFERROR(MATCH(설정!$C$19,INDEX(급여대장_원본!$A$1:$AZ$400,설정!$B$8,0),0),""))&amp;"",",","")),""))</f>
        <v/>
      </c>
      <c r="Q59" s="2">
        <f>IF(OR(설정!$C$20="",IFERROR(MATCH(설정!$C$20,INDEX(급여대장_원본!$A$1:$AZ$400,설정!$B$8,0),0),"")=""),"",IFERROR(VALUE(SUBSTITUTE(INDEX(급여대장_원본!$A$1:$AZ$400,(설정!$B$8+53),IFERROR(MATCH(설정!$C$20,INDEX(급여대장_원본!$A$1:$AZ$400,설정!$B$8,0),0),""))&amp;"",",","")),""))</f>
        <v/>
      </c>
      <c r="R59" s="2">
        <f>IF(OR(설정!$C$21="",IFERROR(MATCH(설정!$C$21,INDEX(급여대장_원본!$A$1:$AZ$400,설정!$B$8,0),0),"")=""),"",IFERROR(VALUE(SUBSTITUTE(INDEX(급여대장_원본!$A$1:$AZ$400,(설정!$B$8+53),IFERROR(MATCH(설정!$C$21,INDEX(급여대장_원본!$A$1:$AZ$400,설정!$B$8,0),0),""))&amp;"",",","")),""))</f>
        <v/>
      </c>
      <c r="S59" s="2">
        <f>IF(OR(설정!$C$22="",IFERROR(MATCH(설정!$C$22,INDEX(급여대장_원본!$A$1:$AZ$400,설정!$B$8,0),0),"")=""),"",IFERROR(VALUE(SUBSTITUTE(INDEX(급여대장_원본!$A$1:$AZ$400,(설정!$B$8+53),IFERROR(MATCH(설정!$C$22,INDEX(급여대장_원본!$A$1:$AZ$400,설정!$B$8,0),0),""))&amp;"",",","")),""))</f>
        <v/>
      </c>
      <c r="T59" s="2">
        <f>IF(OR(설정!$C$23="",IFERROR(MATCH(설정!$C$23,INDEX(급여대장_원본!$A$1:$AZ$400,설정!$B$8,0),0),"")=""),"",IFERROR(VALUE(SUBSTITUTE(INDEX(급여대장_원본!$A$1:$AZ$400,(설정!$B$8+53),IFERROR(MATCH(설정!$C$23,INDEX(급여대장_원본!$A$1:$AZ$400,설정!$B$8,0),0),""))&amp;"",",","")),""))</f>
        <v/>
      </c>
      <c r="U59" s="2">
        <f>IF(OR(설정!$C$24="",IFERROR(MATCH(설정!$C$24,INDEX(급여대장_원본!$A$1:$AZ$400,설정!$B$8,0),0),"")=""),"",IFERROR(VALUE(SUBSTITUTE(INDEX(급여대장_원본!$A$1:$AZ$400,(설정!$B$8+53),IFERROR(MATCH(설정!$C$24,INDEX(급여대장_원본!$A$1:$AZ$400,설정!$B$8,0),0),""))&amp;"",",","")),""))</f>
        <v/>
      </c>
      <c r="V59" s="27">
        <f>SUM(F59:M59)</f>
        <v/>
      </c>
      <c r="W59" s="27">
        <f>IF(설정!$D$26="",0,IFERROR(VALUE(SUBSTITUTE(SUBSTITUTE(INDEX(급여대장_원본!$A$1:$AZ$400,(설정!$B$8+53),설정!$D$26)&amp;"",",",""),"　","")),0))</f>
        <v/>
      </c>
      <c r="X59" s="27">
        <f>IF(설정!$D$27="",0,IFERROR(VALUE(SUBSTITUTE(SUBSTITUTE(INDEX(급여대장_원본!$A$1:$AZ$400,(설정!$B$8+53),설정!$D$27)&amp;"",",",""),"　","")),0))</f>
        <v/>
      </c>
      <c r="Y59" s="27">
        <f>IF(설정!$D$28="",0,IFERROR(VALUE(SUBSTITUTE(SUBSTITUTE(INDEX(급여대장_원본!$A$1:$AZ$400,(설정!$B$8+53),설정!$D$28)&amp;"",",",""),"　","")),0))</f>
        <v/>
      </c>
      <c r="Z59" s="27">
        <f>IF(설정!$D$29="",0,IFERROR(VALUE(SUBSTITUTE(SUBSTITUTE(INDEX(급여대장_원본!$A$1:$AZ$400,(설정!$B$8+53),설정!$D$29)&amp;"",",",""),"　","")),0))</f>
        <v/>
      </c>
      <c r="AA59" s="27">
        <f>IF(설정!$D$30="",0,IFERROR(VALUE(SUBSTITUTE(SUBSTITUTE(INDEX(급여대장_원본!$A$1:$AZ$400,(설정!$B$8+53),설정!$D$30)&amp;"",",",""),"　","")),0))</f>
        <v/>
      </c>
      <c r="AB59" s="27">
        <f>IF(설정!$D$31="",0,IFERROR(VALUE(SUBSTITUTE(SUBSTITUTE(INDEX(급여대장_원본!$A$1:$AZ$400,(설정!$B$8+53),설정!$D$31)&amp;"",",",""),"　","")),0))</f>
        <v/>
      </c>
      <c r="AC59" s="27">
        <f>IF(설정!$D$32="",0,IFERROR(VALUE(SUBSTITUTE(SUBSTITUTE(INDEX(급여대장_원본!$A$1:$AZ$400,(설정!$B$8+53),설정!$D$32)&amp;"",",",""),"　","")),0))</f>
        <v/>
      </c>
      <c r="AD59" s="27">
        <f>IF(설정!$D$33="",0,IFERROR(VALUE(SUBSTITUTE(SUBSTITUTE(INDEX(급여대장_원본!$A$1:$AZ$400,(설정!$B$8+53),설정!$D$33)&amp;"",",",""),"　","")),0))</f>
        <v/>
      </c>
      <c r="AE59" s="27">
        <f>SUM(W59:AD59)</f>
        <v/>
      </c>
      <c r="AF59" s="27">
        <f>V59-AE59</f>
        <v/>
      </c>
      <c r="AG59" s="27">
        <f>IF(설정!$D$35="","",IF(설정!$D$35="",0,IFERROR(VALUE(SUBSTITUTE(SUBSTITUTE(INDEX(급여대장_원본!$A$1:$AZ$400,(설정!$B$8+53),설정!$D$35)&amp;"",",",""),"　","")),0)))</f>
        <v/>
      </c>
      <c r="AH59" s="27">
        <f>IF(설정!$D$36="","",IF(설정!$D$36="",0,IFERROR(VALUE(SUBSTITUTE(SUBSTITUTE(INDEX(급여대장_원본!$A$1:$AZ$400,(설정!$B$8+53),설정!$D$36)&amp;"",",",""),"　","")),0)))</f>
        <v/>
      </c>
      <c r="AI59" s="27">
        <f>IF(설정!$D$37="","",IF(설정!$D$37="",0,IFERROR(VALUE(SUBSTITUTE(SUBSTITUTE(INDEX(급여대장_원본!$A$1:$AZ$400,(설정!$B$8+53),설정!$D$37)&amp;"",",",""),"　","")),0)))</f>
        <v/>
      </c>
      <c r="AJ59" s="2">
        <f>IFERROR(INDEX($D$7:$D$306,MATCH(53,$B$7:$B$306,0)),"")</f>
        <v/>
      </c>
    </row>
    <row r="60">
      <c r="A60" s="2">
        <f>IF(AND(D60&lt;&gt;"",D60&lt;&gt;"합계",D60&lt;&gt;"총계",D60&lt;&gt;"소계",D60&lt;&gt;"계"),1,0)</f>
        <v/>
      </c>
      <c r="B60" s="2">
        <f>IF(A60=1,SUM($A$7:A60),"")</f>
        <v/>
      </c>
      <c r="C60" s="2">
        <f>IF(설정!$D$13="","",TRIM(SUBSTITUTE(INDEX(급여대장_원본!$A$1:$AZ$400,(설정!$B$8+54),설정!$D$13)&amp;"","　"," ")))</f>
        <v/>
      </c>
      <c r="D60" s="2">
        <f>IF(설정!$D$14="","",TRIM(SUBSTITUTE(INDEX(급여대장_원본!$A$1:$AZ$400,(설정!$B$8+54),설정!$D$14)&amp;"","　"," ")))</f>
        <v/>
      </c>
      <c r="E60" s="2">
        <f>IF(설정!$D$15="","",TRIM(SUBSTITUTE(INDEX(급여대장_원본!$A$1:$AZ$400,(설정!$B$8+54),설정!$D$15)&amp;"","　"," ")))</f>
        <v/>
      </c>
      <c r="F60" s="27">
        <f>IF(설정!$D$17="",0,IFERROR(VALUE(SUBSTITUTE(SUBSTITUTE(INDEX(급여대장_원본!$A$1:$AZ$400,(설정!$B$8+54),설정!$D$17)&amp;"",",",""),"　","")),0))</f>
        <v/>
      </c>
      <c r="G60" s="27">
        <f>IF(설정!$D$18="",0,IFERROR(VALUE(SUBSTITUTE(SUBSTITUTE(INDEX(급여대장_원본!$A$1:$AZ$400,(설정!$B$8+54),설정!$D$18)&amp;"",",",""),"　","")),0))</f>
        <v/>
      </c>
      <c r="H60" s="27">
        <f>IF(설정!$D$19="",0,IFERROR(VALUE(SUBSTITUTE(SUBSTITUTE(INDEX(급여대장_원본!$A$1:$AZ$400,(설정!$B$8+54),설정!$D$19)&amp;"",",",""),"　","")),0))</f>
        <v/>
      </c>
      <c r="I60" s="27">
        <f>IF(설정!$D$20="",0,IFERROR(VALUE(SUBSTITUTE(SUBSTITUTE(INDEX(급여대장_원본!$A$1:$AZ$400,(설정!$B$8+54),설정!$D$20)&amp;"",",",""),"　","")),0))</f>
        <v/>
      </c>
      <c r="J60" s="27">
        <f>IF(설정!$D$21="",0,IFERROR(VALUE(SUBSTITUTE(SUBSTITUTE(INDEX(급여대장_원본!$A$1:$AZ$400,(설정!$B$8+54),설정!$D$21)&amp;"",",",""),"　","")),0))</f>
        <v/>
      </c>
      <c r="K60" s="27">
        <f>IF(설정!$D$22="",0,IFERROR(VALUE(SUBSTITUTE(SUBSTITUTE(INDEX(급여대장_원본!$A$1:$AZ$400,(설정!$B$8+54),설정!$D$22)&amp;"",",",""),"　","")),0))</f>
        <v/>
      </c>
      <c r="L60" s="27">
        <f>IF(설정!$D$23="",0,IFERROR(VALUE(SUBSTITUTE(SUBSTITUTE(INDEX(급여대장_원본!$A$1:$AZ$400,(설정!$B$8+54),설정!$D$23)&amp;"",",",""),"　","")),0))</f>
        <v/>
      </c>
      <c r="M60" s="27">
        <f>IF(설정!$D$24="",0,IFERROR(VALUE(SUBSTITUTE(SUBSTITUTE(INDEX(급여대장_원본!$A$1:$AZ$400,(설정!$B$8+54),설정!$D$24)&amp;"",",",""),"　","")),0))</f>
        <v/>
      </c>
      <c r="N60" s="2">
        <f>IF(OR(설정!$C$17="",IFERROR(MATCH(설정!$C$17,INDEX(급여대장_원본!$A$1:$AZ$400,설정!$B$8,0),0),"")=""),"",IFERROR(VALUE(SUBSTITUTE(INDEX(급여대장_원본!$A$1:$AZ$400,(설정!$B$8+54),IFERROR(MATCH(설정!$C$17,INDEX(급여대장_원본!$A$1:$AZ$400,설정!$B$8,0),0),""))&amp;"",",","")),""))</f>
        <v/>
      </c>
      <c r="O60" s="2">
        <f>IF(OR(설정!$C$18="",IFERROR(MATCH(설정!$C$18,INDEX(급여대장_원본!$A$1:$AZ$400,설정!$B$8,0),0),"")=""),"",IFERROR(VALUE(SUBSTITUTE(INDEX(급여대장_원본!$A$1:$AZ$400,(설정!$B$8+54),IFERROR(MATCH(설정!$C$18,INDEX(급여대장_원본!$A$1:$AZ$400,설정!$B$8,0),0),""))&amp;"",",","")),""))</f>
        <v/>
      </c>
      <c r="P60" s="2">
        <f>IF(OR(설정!$C$19="",IFERROR(MATCH(설정!$C$19,INDEX(급여대장_원본!$A$1:$AZ$400,설정!$B$8,0),0),"")=""),"",IFERROR(VALUE(SUBSTITUTE(INDEX(급여대장_원본!$A$1:$AZ$400,(설정!$B$8+54),IFERROR(MATCH(설정!$C$19,INDEX(급여대장_원본!$A$1:$AZ$400,설정!$B$8,0),0),""))&amp;"",",","")),""))</f>
        <v/>
      </c>
      <c r="Q60" s="2">
        <f>IF(OR(설정!$C$20="",IFERROR(MATCH(설정!$C$20,INDEX(급여대장_원본!$A$1:$AZ$400,설정!$B$8,0),0),"")=""),"",IFERROR(VALUE(SUBSTITUTE(INDEX(급여대장_원본!$A$1:$AZ$400,(설정!$B$8+54),IFERROR(MATCH(설정!$C$20,INDEX(급여대장_원본!$A$1:$AZ$400,설정!$B$8,0),0),""))&amp;"",",","")),""))</f>
        <v/>
      </c>
      <c r="R60" s="2">
        <f>IF(OR(설정!$C$21="",IFERROR(MATCH(설정!$C$21,INDEX(급여대장_원본!$A$1:$AZ$400,설정!$B$8,0),0),"")=""),"",IFERROR(VALUE(SUBSTITUTE(INDEX(급여대장_원본!$A$1:$AZ$400,(설정!$B$8+54),IFERROR(MATCH(설정!$C$21,INDEX(급여대장_원본!$A$1:$AZ$400,설정!$B$8,0),0),""))&amp;"",",","")),""))</f>
        <v/>
      </c>
      <c r="S60" s="2">
        <f>IF(OR(설정!$C$22="",IFERROR(MATCH(설정!$C$22,INDEX(급여대장_원본!$A$1:$AZ$400,설정!$B$8,0),0),"")=""),"",IFERROR(VALUE(SUBSTITUTE(INDEX(급여대장_원본!$A$1:$AZ$400,(설정!$B$8+54),IFERROR(MATCH(설정!$C$22,INDEX(급여대장_원본!$A$1:$AZ$400,설정!$B$8,0),0),""))&amp;"",",","")),""))</f>
        <v/>
      </c>
      <c r="T60" s="2">
        <f>IF(OR(설정!$C$23="",IFERROR(MATCH(설정!$C$23,INDEX(급여대장_원본!$A$1:$AZ$400,설정!$B$8,0),0),"")=""),"",IFERROR(VALUE(SUBSTITUTE(INDEX(급여대장_원본!$A$1:$AZ$400,(설정!$B$8+54),IFERROR(MATCH(설정!$C$23,INDEX(급여대장_원본!$A$1:$AZ$400,설정!$B$8,0),0),""))&amp;"",",","")),""))</f>
        <v/>
      </c>
      <c r="U60" s="2">
        <f>IF(OR(설정!$C$24="",IFERROR(MATCH(설정!$C$24,INDEX(급여대장_원본!$A$1:$AZ$400,설정!$B$8,0),0),"")=""),"",IFERROR(VALUE(SUBSTITUTE(INDEX(급여대장_원본!$A$1:$AZ$400,(설정!$B$8+54),IFERROR(MATCH(설정!$C$24,INDEX(급여대장_원본!$A$1:$AZ$400,설정!$B$8,0),0),""))&amp;"",",","")),""))</f>
        <v/>
      </c>
      <c r="V60" s="27">
        <f>SUM(F60:M60)</f>
        <v/>
      </c>
      <c r="W60" s="27">
        <f>IF(설정!$D$26="",0,IFERROR(VALUE(SUBSTITUTE(SUBSTITUTE(INDEX(급여대장_원본!$A$1:$AZ$400,(설정!$B$8+54),설정!$D$26)&amp;"",",",""),"　","")),0))</f>
        <v/>
      </c>
      <c r="X60" s="27">
        <f>IF(설정!$D$27="",0,IFERROR(VALUE(SUBSTITUTE(SUBSTITUTE(INDEX(급여대장_원본!$A$1:$AZ$400,(설정!$B$8+54),설정!$D$27)&amp;"",",",""),"　","")),0))</f>
        <v/>
      </c>
      <c r="Y60" s="27">
        <f>IF(설정!$D$28="",0,IFERROR(VALUE(SUBSTITUTE(SUBSTITUTE(INDEX(급여대장_원본!$A$1:$AZ$400,(설정!$B$8+54),설정!$D$28)&amp;"",",",""),"　","")),0))</f>
        <v/>
      </c>
      <c r="Z60" s="27">
        <f>IF(설정!$D$29="",0,IFERROR(VALUE(SUBSTITUTE(SUBSTITUTE(INDEX(급여대장_원본!$A$1:$AZ$400,(설정!$B$8+54),설정!$D$29)&amp;"",",",""),"　","")),0))</f>
        <v/>
      </c>
      <c r="AA60" s="27">
        <f>IF(설정!$D$30="",0,IFERROR(VALUE(SUBSTITUTE(SUBSTITUTE(INDEX(급여대장_원본!$A$1:$AZ$400,(설정!$B$8+54),설정!$D$30)&amp;"",",",""),"　","")),0))</f>
        <v/>
      </c>
      <c r="AB60" s="27">
        <f>IF(설정!$D$31="",0,IFERROR(VALUE(SUBSTITUTE(SUBSTITUTE(INDEX(급여대장_원본!$A$1:$AZ$400,(설정!$B$8+54),설정!$D$31)&amp;"",",",""),"　","")),0))</f>
        <v/>
      </c>
      <c r="AC60" s="27">
        <f>IF(설정!$D$32="",0,IFERROR(VALUE(SUBSTITUTE(SUBSTITUTE(INDEX(급여대장_원본!$A$1:$AZ$400,(설정!$B$8+54),설정!$D$32)&amp;"",",",""),"　","")),0))</f>
        <v/>
      </c>
      <c r="AD60" s="27">
        <f>IF(설정!$D$33="",0,IFERROR(VALUE(SUBSTITUTE(SUBSTITUTE(INDEX(급여대장_원본!$A$1:$AZ$400,(설정!$B$8+54),설정!$D$33)&amp;"",",",""),"　","")),0))</f>
        <v/>
      </c>
      <c r="AE60" s="27">
        <f>SUM(W60:AD60)</f>
        <v/>
      </c>
      <c r="AF60" s="27">
        <f>V60-AE60</f>
        <v/>
      </c>
      <c r="AG60" s="27">
        <f>IF(설정!$D$35="","",IF(설정!$D$35="",0,IFERROR(VALUE(SUBSTITUTE(SUBSTITUTE(INDEX(급여대장_원본!$A$1:$AZ$400,(설정!$B$8+54),설정!$D$35)&amp;"",",",""),"　","")),0)))</f>
        <v/>
      </c>
      <c r="AH60" s="27">
        <f>IF(설정!$D$36="","",IF(설정!$D$36="",0,IFERROR(VALUE(SUBSTITUTE(SUBSTITUTE(INDEX(급여대장_원본!$A$1:$AZ$400,(설정!$B$8+54),설정!$D$36)&amp;"",",",""),"　","")),0)))</f>
        <v/>
      </c>
      <c r="AI60" s="27">
        <f>IF(설정!$D$37="","",IF(설정!$D$37="",0,IFERROR(VALUE(SUBSTITUTE(SUBSTITUTE(INDEX(급여대장_원본!$A$1:$AZ$400,(설정!$B$8+54),설정!$D$37)&amp;"",",",""),"　","")),0)))</f>
        <v/>
      </c>
      <c r="AJ60" s="2">
        <f>IFERROR(INDEX($D$7:$D$306,MATCH(54,$B$7:$B$306,0)),"")</f>
        <v/>
      </c>
    </row>
    <row r="61">
      <c r="A61" s="2">
        <f>IF(AND(D61&lt;&gt;"",D61&lt;&gt;"합계",D61&lt;&gt;"총계",D61&lt;&gt;"소계",D61&lt;&gt;"계"),1,0)</f>
        <v/>
      </c>
      <c r="B61" s="2">
        <f>IF(A61=1,SUM($A$7:A61),"")</f>
        <v/>
      </c>
      <c r="C61" s="2">
        <f>IF(설정!$D$13="","",TRIM(SUBSTITUTE(INDEX(급여대장_원본!$A$1:$AZ$400,(설정!$B$8+55),설정!$D$13)&amp;"","　"," ")))</f>
        <v/>
      </c>
      <c r="D61" s="2">
        <f>IF(설정!$D$14="","",TRIM(SUBSTITUTE(INDEX(급여대장_원본!$A$1:$AZ$400,(설정!$B$8+55),설정!$D$14)&amp;"","　"," ")))</f>
        <v/>
      </c>
      <c r="E61" s="2">
        <f>IF(설정!$D$15="","",TRIM(SUBSTITUTE(INDEX(급여대장_원본!$A$1:$AZ$400,(설정!$B$8+55),설정!$D$15)&amp;"","　"," ")))</f>
        <v/>
      </c>
      <c r="F61" s="27">
        <f>IF(설정!$D$17="",0,IFERROR(VALUE(SUBSTITUTE(SUBSTITUTE(INDEX(급여대장_원본!$A$1:$AZ$400,(설정!$B$8+55),설정!$D$17)&amp;"",",",""),"　","")),0))</f>
        <v/>
      </c>
      <c r="G61" s="27">
        <f>IF(설정!$D$18="",0,IFERROR(VALUE(SUBSTITUTE(SUBSTITUTE(INDEX(급여대장_원본!$A$1:$AZ$400,(설정!$B$8+55),설정!$D$18)&amp;"",",",""),"　","")),0))</f>
        <v/>
      </c>
      <c r="H61" s="27">
        <f>IF(설정!$D$19="",0,IFERROR(VALUE(SUBSTITUTE(SUBSTITUTE(INDEX(급여대장_원본!$A$1:$AZ$400,(설정!$B$8+55),설정!$D$19)&amp;"",",",""),"　","")),0))</f>
        <v/>
      </c>
      <c r="I61" s="27">
        <f>IF(설정!$D$20="",0,IFERROR(VALUE(SUBSTITUTE(SUBSTITUTE(INDEX(급여대장_원본!$A$1:$AZ$400,(설정!$B$8+55),설정!$D$20)&amp;"",",",""),"　","")),0))</f>
        <v/>
      </c>
      <c r="J61" s="27">
        <f>IF(설정!$D$21="",0,IFERROR(VALUE(SUBSTITUTE(SUBSTITUTE(INDEX(급여대장_원본!$A$1:$AZ$400,(설정!$B$8+55),설정!$D$21)&amp;"",",",""),"　","")),0))</f>
        <v/>
      </c>
      <c r="K61" s="27">
        <f>IF(설정!$D$22="",0,IFERROR(VALUE(SUBSTITUTE(SUBSTITUTE(INDEX(급여대장_원본!$A$1:$AZ$400,(설정!$B$8+55),설정!$D$22)&amp;"",",",""),"　","")),0))</f>
        <v/>
      </c>
      <c r="L61" s="27">
        <f>IF(설정!$D$23="",0,IFERROR(VALUE(SUBSTITUTE(SUBSTITUTE(INDEX(급여대장_원본!$A$1:$AZ$400,(설정!$B$8+55),설정!$D$23)&amp;"",",",""),"　","")),0))</f>
        <v/>
      </c>
      <c r="M61" s="27">
        <f>IF(설정!$D$24="",0,IFERROR(VALUE(SUBSTITUTE(SUBSTITUTE(INDEX(급여대장_원본!$A$1:$AZ$400,(설정!$B$8+55),설정!$D$24)&amp;"",",",""),"　","")),0))</f>
        <v/>
      </c>
      <c r="N61" s="2">
        <f>IF(OR(설정!$C$17="",IFERROR(MATCH(설정!$C$17,INDEX(급여대장_원본!$A$1:$AZ$400,설정!$B$8,0),0),"")=""),"",IFERROR(VALUE(SUBSTITUTE(INDEX(급여대장_원본!$A$1:$AZ$400,(설정!$B$8+55),IFERROR(MATCH(설정!$C$17,INDEX(급여대장_원본!$A$1:$AZ$400,설정!$B$8,0),0),""))&amp;"",",","")),""))</f>
        <v/>
      </c>
      <c r="O61" s="2">
        <f>IF(OR(설정!$C$18="",IFERROR(MATCH(설정!$C$18,INDEX(급여대장_원본!$A$1:$AZ$400,설정!$B$8,0),0),"")=""),"",IFERROR(VALUE(SUBSTITUTE(INDEX(급여대장_원본!$A$1:$AZ$400,(설정!$B$8+55),IFERROR(MATCH(설정!$C$18,INDEX(급여대장_원본!$A$1:$AZ$400,설정!$B$8,0),0),""))&amp;"",",","")),""))</f>
        <v/>
      </c>
      <c r="P61" s="2">
        <f>IF(OR(설정!$C$19="",IFERROR(MATCH(설정!$C$19,INDEX(급여대장_원본!$A$1:$AZ$400,설정!$B$8,0),0),"")=""),"",IFERROR(VALUE(SUBSTITUTE(INDEX(급여대장_원본!$A$1:$AZ$400,(설정!$B$8+55),IFERROR(MATCH(설정!$C$19,INDEX(급여대장_원본!$A$1:$AZ$400,설정!$B$8,0),0),""))&amp;"",",","")),""))</f>
        <v/>
      </c>
      <c r="Q61" s="2">
        <f>IF(OR(설정!$C$20="",IFERROR(MATCH(설정!$C$20,INDEX(급여대장_원본!$A$1:$AZ$400,설정!$B$8,0),0),"")=""),"",IFERROR(VALUE(SUBSTITUTE(INDEX(급여대장_원본!$A$1:$AZ$400,(설정!$B$8+55),IFERROR(MATCH(설정!$C$20,INDEX(급여대장_원본!$A$1:$AZ$400,설정!$B$8,0),0),""))&amp;"",",","")),""))</f>
        <v/>
      </c>
      <c r="R61" s="2">
        <f>IF(OR(설정!$C$21="",IFERROR(MATCH(설정!$C$21,INDEX(급여대장_원본!$A$1:$AZ$400,설정!$B$8,0),0),"")=""),"",IFERROR(VALUE(SUBSTITUTE(INDEX(급여대장_원본!$A$1:$AZ$400,(설정!$B$8+55),IFERROR(MATCH(설정!$C$21,INDEX(급여대장_원본!$A$1:$AZ$400,설정!$B$8,0),0),""))&amp;"",",","")),""))</f>
        <v/>
      </c>
      <c r="S61" s="2">
        <f>IF(OR(설정!$C$22="",IFERROR(MATCH(설정!$C$22,INDEX(급여대장_원본!$A$1:$AZ$400,설정!$B$8,0),0),"")=""),"",IFERROR(VALUE(SUBSTITUTE(INDEX(급여대장_원본!$A$1:$AZ$400,(설정!$B$8+55),IFERROR(MATCH(설정!$C$22,INDEX(급여대장_원본!$A$1:$AZ$400,설정!$B$8,0),0),""))&amp;"",",","")),""))</f>
        <v/>
      </c>
      <c r="T61" s="2">
        <f>IF(OR(설정!$C$23="",IFERROR(MATCH(설정!$C$23,INDEX(급여대장_원본!$A$1:$AZ$400,설정!$B$8,0),0),"")=""),"",IFERROR(VALUE(SUBSTITUTE(INDEX(급여대장_원본!$A$1:$AZ$400,(설정!$B$8+55),IFERROR(MATCH(설정!$C$23,INDEX(급여대장_원본!$A$1:$AZ$400,설정!$B$8,0),0),""))&amp;"",",","")),""))</f>
        <v/>
      </c>
      <c r="U61" s="2">
        <f>IF(OR(설정!$C$24="",IFERROR(MATCH(설정!$C$24,INDEX(급여대장_원본!$A$1:$AZ$400,설정!$B$8,0),0),"")=""),"",IFERROR(VALUE(SUBSTITUTE(INDEX(급여대장_원본!$A$1:$AZ$400,(설정!$B$8+55),IFERROR(MATCH(설정!$C$24,INDEX(급여대장_원본!$A$1:$AZ$400,설정!$B$8,0),0),""))&amp;"",",","")),""))</f>
        <v/>
      </c>
      <c r="V61" s="27">
        <f>SUM(F61:M61)</f>
        <v/>
      </c>
      <c r="W61" s="27">
        <f>IF(설정!$D$26="",0,IFERROR(VALUE(SUBSTITUTE(SUBSTITUTE(INDEX(급여대장_원본!$A$1:$AZ$400,(설정!$B$8+55),설정!$D$26)&amp;"",",",""),"　","")),0))</f>
        <v/>
      </c>
      <c r="X61" s="27">
        <f>IF(설정!$D$27="",0,IFERROR(VALUE(SUBSTITUTE(SUBSTITUTE(INDEX(급여대장_원본!$A$1:$AZ$400,(설정!$B$8+55),설정!$D$27)&amp;"",",",""),"　","")),0))</f>
        <v/>
      </c>
      <c r="Y61" s="27">
        <f>IF(설정!$D$28="",0,IFERROR(VALUE(SUBSTITUTE(SUBSTITUTE(INDEX(급여대장_원본!$A$1:$AZ$400,(설정!$B$8+55),설정!$D$28)&amp;"",",",""),"　","")),0))</f>
        <v/>
      </c>
      <c r="Z61" s="27">
        <f>IF(설정!$D$29="",0,IFERROR(VALUE(SUBSTITUTE(SUBSTITUTE(INDEX(급여대장_원본!$A$1:$AZ$400,(설정!$B$8+55),설정!$D$29)&amp;"",",",""),"　","")),0))</f>
        <v/>
      </c>
      <c r="AA61" s="27">
        <f>IF(설정!$D$30="",0,IFERROR(VALUE(SUBSTITUTE(SUBSTITUTE(INDEX(급여대장_원본!$A$1:$AZ$400,(설정!$B$8+55),설정!$D$30)&amp;"",",",""),"　","")),0))</f>
        <v/>
      </c>
      <c r="AB61" s="27">
        <f>IF(설정!$D$31="",0,IFERROR(VALUE(SUBSTITUTE(SUBSTITUTE(INDEX(급여대장_원본!$A$1:$AZ$400,(설정!$B$8+55),설정!$D$31)&amp;"",",",""),"　","")),0))</f>
        <v/>
      </c>
      <c r="AC61" s="27">
        <f>IF(설정!$D$32="",0,IFERROR(VALUE(SUBSTITUTE(SUBSTITUTE(INDEX(급여대장_원본!$A$1:$AZ$400,(설정!$B$8+55),설정!$D$32)&amp;"",",",""),"　","")),0))</f>
        <v/>
      </c>
      <c r="AD61" s="27">
        <f>IF(설정!$D$33="",0,IFERROR(VALUE(SUBSTITUTE(SUBSTITUTE(INDEX(급여대장_원본!$A$1:$AZ$400,(설정!$B$8+55),설정!$D$33)&amp;"",",",""),"　","")),0))</f>
        <v/>
      </c>
      <c r="AE61" s="27">
        <f>SUM(W61:AD61)</f>
        <v/>
      </c>
      <c r="AF61" s="27">
        <f>V61-AE61</f>
        <v/>
      </c>
      <c r="AG61" s="27">
        <f>IF(설정!$D$35="","",IF(설정!$D$35="",0,IFERROR(VALUE(SUBSTITUTE(SUBSTITUTE(INDEX(급여대장_원본!$A$1:$AZ$400,(설정!$B$8+55),설정!$D$35)&amp;"",",",""),"　","")),0)))</f>
        <v/>
      </c>
      <c r="AH61" s="27">
        <f>IF(설정!$D$36="","",IF(설정!$D$36="",0,IFERROR(VALUE(SUBSTITUTE(SUBSTITUTE(INDEX(급여대장_원본!$A$1:$AZ$400,(설정!$B$8+55),설정!$D$36)&amp;"",",",""),"　","")),0)))</f>
        <v/>
      </c>
      <c r="AI61" s="27">
        <f>IF(설정!$D$37="","",IF(설정!$D$37="",0,IFERROR(VALUE(SUBSTITUTE(SUBSTITUTE(INDEX(급여대장_원본!$A$1:$AZ$400,(설정!$B$8+55),설정!$D$37)&amp;"",",",""),"　","")),0)))</f>
        <v/>
      </c>
      <c r="AJ61" s="2">
        <f>IFERROR(INDEX($D$7:$D$306,MATCH(55,$B$7:$B$306,0)),"")</f>
        <v/>
      </c>
    </row>
    <row r="62">
      <c r="A62" s="2">
        <f>IF(AND(D62&lt;&gt;"",D62&lt;&gt;"합계",D62&lt;&gt;"총계",D62&lt;&gt;"소계",D62&lt;&gt;"계"),1,0)</f>
        <v/>
      </c>
      <c r="B62" s="2">
        <f>IF(A62=1,SUM($A$7:A62),"")</f>
        <v/>
      </c>
      <c r="C62" s="2">
        <f>IF(설정!$D$13="","",TRIM(SUBSTITUTE(INDEX(급여대장_원본!$A$1:$AZ$400,(설정!$B$8+56),설정!$D$13)&amp;"","　"," ")))</f>
        <v/>
      </c>
      <c r="D62" s="2">
        <f>IF(설정!$D$14="","",TRIM(SUBSTITUTE(INDEX(급여대장_원본!$A$1:$AZ$400,(설정!$B$8+56),설정!$D$14)&amp;"","　"," ")))</f>
        <v/>
      </c>
      <c r="E62" s="2">
        <f>IF(설정!$D$15="","",TRIM(SUBSTITUTE(INDEX(급여대장_원본!$A$1:$AZ$400,(설정!$B$8+56),설정!$D$15)&amp;"","　"," ")))</f>
        <v/>
      </c>
      <c r="F62" s="27">
        <f>IF(설정!$D$17="",0,IFERROR(VALUE(SUBSTITUTE(SUBSTITUTE(INDEX(급여대장_원본!$A$1:$AZ$400,(설정!$B$8+56),설정!$D$17)&amp;"",",",""),"　","")),0))</f>
        <v/>
      </c>
      <c r="G62" s="27">
        <f>IF(설정!$D$18="",0,IFERROR(VALUE(SUBSTITUTE(SUBSTITUTE(INDEX(급여대장_원본!$A$1:$AZ$400,(설정!$B$8+56),설정!$D$18)&amp;"",",",""),"　","")),0))</f>
        <v/>
      </c>
      <c r="H62" s="27">
        <f>IF(설정!$D$19="",0,IFERROR(VALUE(SUBSTITUTE(SUBSTITUTE(INDEX(급여대장_원본!$A$1:$AZ$400,(설정!$B$8+56),설정!$D$19)&amp;"",",",""),"　","")),0))</f>
        <v/>
      </c>
      <c r="I62" s="27">
        <f>IF(설정!$D$20="",0,IFERROR(VALUE(SUBSTITUTE(SUBSTITUTE(INDEX(급여대장_원본!$A$1:$AZ$400,(설정!$B$8+56),설정!$D$20)&amp;"",",",""),"　","")),0))</f>
        <v/>
      </c>
      <c r="J62" s="27">
        <f>IF(설정!$D$21="",0,IFERROR(VALUE(SUBSTITUTE(SUBSTITUTE(INDEX(급여대장_원본!$A$1:$AZ$400,(설정!$B$8+56),설정!$D$21)&amp;"",",",""),"　","")),0))</f>
        <v/>
      </c>
      <c r="K62" s="27">
        <f>IF(설정!$D$22="",0,IFERROR(VALUE(SUBSTITUTE(SUBSTITUTE(INDEX(급여대장_원본!$A$1:$AZ$400,(설정!$B$8+56),설정!$D$22)&amp;"",",",""),"　","")),0))</f>
        <v/>
      </c>
      <c r="L62" s="27">
        <f>IF(설정!$D$23="",0,IFERROR(VALUE(SUBSTITUTE(SUBSTITUTE(INDEX(급여대장_원본!$A$1:$AZ$400,(설정!$B$8+56),설정!$D$23)&amp;"",",",""),"　","")),0))</f>
        <v/>
      </c>
      <c r="M62" s="27">
        <f>IF(설정!$D$24="",0,IFERROR(VALUE(SUBSTITUTE(SUBSTITUTE(INDEX(급여대장_원본!$A$1:$AZ$400,(설정!$B$8+56),설정!$D$24)&amp;"",",",""),"　","")),0))</f>
        <v/>
      </c>
      <c r="N62" s="2">
        <f>IF(OR(설정!$C$17="",IFERROR(MATCH(설정!$C$17,INDEX(급여대장_원본!$A$1:$AZ$400,설정!$B$8,0),0),"")=""),"",IFERROR(VALUE(SUBSTITUTE(INDEX(급여대장_원본!$A$1:$AZ$400,(설정!$B$8+56),IFERROR(MATCH(설정!$C$17,INDEX(급여대장_원본!$A$1:$AZ$400,설정!$B$8,0),0),""))&amp;"",",","")),""))</f>
        <v/>
      </c>
      <c r="O62" s="2">
        <f>IF(OR(설정!$C$18="",IFERROR(MATCH(설정!$C$18,INDEX(급여대장_원본!$A$1:$AZ$400,설정!$B$8,0),0),"")=""),"",IFERROR(VALUE(SUBSTITUTE(INDEX(급여대장_원본!$A$1:$AZ$400,(설정!$B$8+56),IFERROR(MATCH(설정!$C$18,INDEX(급여대장_원본!$A$1:$AZ$400,설정!$B$8,0),0),""))&amp;"",",","")),""))</f>
        <v/>
      </c>
      <c r="P62" s="2">
        <f>IF(OR(설정!$C$19="",IFERROR(MATCH(설정!$C$19,INDEX(급여대장_원본!$A$1:$AZ$400,설정!$B$8,0),0),"")=""),"",IFERROR(VALUE(SUBSTITUTE(INDEX(급여대장_원본!$A$1:$AZ$400,(설정!$B$8+56),IFERROR(MATCH(설정!$C$19,INDEX(급여대장_원본!$A$1:$AZ$400,설정!$B$8,0),0),""))&amp;"",",","")),""))</f>
        <v/>
      </c>
      <c r="Q62" s="2">
        <f>IF(OR(설정!$C$20="",IFERROR(MATCH(설정!$C$20,INDEX(급여대장_원본!$A$1:$AZ$400,설정!$B$8,0),0),"")=""),"",IFERROR(VALUE(SUBSTITUTE(INDEX(급여대장_원본!$A$1:$AZ$400,(설정!$B$8+56),IFERROR(MATCH(설정!$C$20,INDEX(급여대장_원본!$A$1:$AZ$400,설정!$B$8,0),0),""))&amp;"",",","")),""))</f>
        <v/>
      </c>
      <c r="R62" s="2">
        <f>IF(OR(설정!$C$21="",IFERROR(MATCH(설정!$C$21,INDEX(급여대장_원본!$A$1:$AZ$400,설정!$B$8,0),0),"")=""),"",IFERROR(VALUE(SUBSTITUTE(INDEX(급여대장_원본!$A$1:$AZ$400,(설정!$B$8+56),IFERROR(MATCH(설정!$C$21,INDEX(급여대장_원본!$A$1:$AZ$400,설정!$B$8,0),0),""))&amp;"",",","")),""))</f>
        <v/>
      </c>
      <c r="S62" s="2">
        <f>IF(OR(설정!$C$22="",IFERROR(MATCH(설정!$C$22,INDEX(급여대장_원본!$A$1:$AZ$400,설정!$B$8,0),0),"")=""),"",IFERROR(VALUE(SUBSTITUTE(INDEX(급여대장_원본!$A$1:$AZ$400,(설정!$B$8+56),IFERROR(MATCH(설정!$C$22,INDEX(급여대장_원본!$A$1:$AZ$400,설정!$B$8,0),0),""))&amp;"",",","")),""))</f>
        <v/>
      </c>
      <c r="T62" s="2">
        <f>IF(OR(설정!$C$23="",IFERROR(MATCH(설정!$C$23,INDEX(급여대장_원본!$A$1:$AZ$400,설정!$B$8,0),0),"")=""),"",IFERROR(VALUE(SUBSTITUTE(INDEX(급여대장_원본!$A$1:$AZ$400,(설정!$B$8+56),IFERROR(MATCH(설정!$C$23,INDEX(급여대장_원본!$A$1:$AZ$400,설정!$B$8,0),0),""))&amp;"",",","")),""))</f>
        <v/>
      </c>
      <c r="U62" s="2">
        <f>IF(OR(설정!$C$24="",IFERROR(MATCH(설정!$C$24,INDEX(급여대장_원본!$A$1:$AZ$400,설정!$B$8,0),0),"")=""),"",IFERROR(VALUE(SUBSTITUTE(INDEX(급여대장_원본!$A$1:$AZ$400,(설정!$B$8+56),IFERROR(MATCH(설정!$C$24,INDEX(급여대장_원본!$A$1:$AZ$400,설정!$B$8,0),0),""))&amp;"",",","")),""))</f>
        <v/>
      </c>
      <c r="V62" s="27">
        <f>SUM(F62:M62)</f>
        <v/>
      </c>
      <c r="W62" s="27">
        <f>IF(설정!$D$26="",0,IFERROR(VALUE(SUBSTITUTE(SUBSTITUTE(INDEX(급여대장_원본!$A$1:$AZ$400,(설정!$B$8+56),설정!$D$26)&amp;"",",",""),"　","")),0))</f>
        <v/>
      </c>
      <c r="X62" s="27">
        <f>IF(설정!$D$27="",0,IFERROR(VALUE(SUBSTITUTE(SUBSTITUTE(INDEX(급여대장_원본!$A$1:$AZ$400,(설정!$B$8+56),설정!$D$27)&amp;"",",",""),"　","")),0))</f>
        <v/>
      </c>
      <c r="Y62" s="27">
        <f>IF(설정!$D$28="",0,IFERROR(VALUE(SUBSTITUTE(SUBSTITUTE(INDEX(급여대장_원본!$A$1:$AZ$400,(설정!$B$8+56),설정!$D$28)&amp;"",",",""),"　","")),0))</f>
        <v/>
      </c>
      <c r="Z62" s="27">
        <f>IF(설정!$D$29="",0,IFERROR(VALUE(SUBSTITUTE(SUBSTITUTE(INDEX(급여대장_원본!$A$1:$AZ$400,(설정!$B$8+56),설정!$D$29)&amp;"",",",""),"　","")),0))</f>
        <v/>
      </c>
      <c r="AA62" s="27">
        <f>IF(설정!$D$30="",0,IFERROR(VALUE(SUBSTITUTE(SUBSTITUTE(INDEX(급여대장_원본!$A$1:$AZ$400,(설정!$B$8+56),설정!$D$30)&amp;"",",",""),"　","")),0))</f>
        <v/>
      </c>
      <c r="AB62" s="27">
        <f>IF(설정!$D$31="",0,IFERROR(VALUE(SUBSTITUTE(SUBSTITUTE(INDEX(급여대장_원본!$A$1:$AZ$400,(설정!$B$8+56),설정!$D$31)&amp;"",",",""),"　","")),0))</f>
        <v/>
      </c>
      <c r="AC62" s="27">
        <f>IF(설정!$D$32="",0,IFERROR(VALUE(SUBSTITUTE(SUBSTITUTE(INDEX(급여대장_원본!$A$1:$AZ$400,(설정!$B$8+56),설정!$D$32)&amp;"",",",""),"　","")),0))</f>
        <v/>
      </c>
      <c r="AD62" s="27">
        <f>IF(설정!$D$33="",0,IFERROR(VALUE(SUBSTITUTE(SUBSTITUTE(INDEX(급여대장_원본!$A$1:$AZ$400,(설정!$B$8+56),설정!$D$33)&amp;"",",",""),"　","")),0))</f>
        <v/>
      </c>
      <c r="AE62" s="27">
        <f>SUM(W62:AD62)</f>
        <v/>
      </c>
      <c r="AF62" s="27">
        <f>V62-AE62</f>
        <v/>
      </c>
      <c r="AG62" s="27">
        <f>IF(설정!$D$35="","",IF(설정!$D$35="",0,IFERROR(VALUE(SUBSTITUTE(SUBSTITUTE(INDEX(급여대장_원본!$A$1:$AZ$400,(설정!$B$8+56),설정!$D$35)&amp;"",",",""),"　","")),0)))</f>
        <v/>
      </c>
      <c r="AH62" s="27">
        <f>IF(설정!$D$36="","",IF(설정!$D$36="",0,IFERROR(VALUE(SUBSTITUTE(SUBSTITUTE(INDEX(급여대장_원본!$A$1:$AZ$400,(설정!$B$8+56),설정!$D$36)&amp;"",",",""),"　","")),0)))</f>
        <v/>
      </c>
      <c r="AI62" s="27">
        <f>IF(설정!$D$37="","",IF(설정!$D$37="",0,IFERROR(VALUE(SUBSTITUTE(SUBSTITUTE(INDEX(급여대장_원본!$A$1:$AZ$400,(설정!$B$8+56),설정!$D$37)&amp;"",",",""),"　","")),0)))</f>
        <v/>
      </c>
      <c r="AJ62" s="2">
        <f>IFERROR(INDEX($D$7:$D$306,MATCH(56,$B$7:$B$306,0)),"")</f>
        <v/>
      </c>
    </row>
    <row r="63">
      <c r="A63" s="2">
        <f>IF(AND(D63&lt;&gt;"",D63&lt;&gt;"합계",D63&lt;&gt;"총계",D63&lt;&gt;"소계",D63&lt;&gt;"계"),1,0)</f>
        <v/>
      </c>
      <c r="B63" s="2">
        <f>IF(A63=1,SUM($A$7:A63),"")</f>
        <v/>
      </c>
      <c r="C63" s="2">
        <f>IF(설정!$D$13="","",TRIM(SUBSTITUTE(INDEX(급여대장_원본!$A$1:$AZ$400,(설정!$B$8+57),설정!$D$13)&amp;"","　"," ")))</f>
        <v/>
      </c>
      <c r="D63" s="2">
        <f>IF(설정!$D$14="","",TRIM(SUBSTITUTE(INDEX(급여대장_원본!$A$1:$AZ$400,(설정!$B$8+57),설정!$D$14)&amp;"","　"," ")))</f>
        <v/>
      </c>
      <c r="E63" s="2">
        <f>IF(설정!$D$15="","",TRIM(SUBSTITUTE(INDEX(급여대장_원본!$A$1:$AZ$400,(설정!$B$8+57),설정!$D$15)&amp;"","　"," ")))</f>
        <v/>
      </c>
      <c r="F63" s="27">
        <f>IF(설정!$D$17="",0,IFERROR(VALUE(SUBSTITUTE(SUBSTITUTE(INDEX(급여대장_원본!$A$1:$AZ$400,(설정!$B$8+57),설정!$D$17)&amp;"",",",""),"　","")),0))</f>
        <v/>
      </c>
      <c r="G63" s="27">
        <f>IF(설정!$D$18="",0,IFERROR(VALUE(SUBSTITUTE(SUBSTITUTE(INDEX(급여대장_원본!$A$1:$AZ$400,(설정!$B$8+57),설정!$D$18)&amp;"",",",""),"　","")),0))</f>
        <v/>
      </c>
      <c r="H63" s="27">
        <f>IF(설정!$D$19="",0,IFERROR(VALUE(SUBSTITUTE(SUBSTITUTE(INDEX(급여대장_원본!$A$1:$AZ$400,(설정!$B$8+57),설정!$D$19)&amp;"",",",""),"　","")),0))</f>
        <v/>
      </c>
      <c r="I63" s="27">
        <f>IF(설정!$D$20="",0,IFERROR(VALUE(SUBSTITUTE(SUBSTITUTE(INDEX(급여대장_원본!$A$1:$AZ$400,(설정!$B$8+57),설정!$D$20)&amp;"",",",""),"　","")),0))</f>
        <v/>
      </c>
      <c r="J63" s="27">
        <f>IF(설정!$D$21="",0,IFERROR(VALUE(SUBSTITUTE(SUBSTITUTE(INDEX(급여대장_원본!$A$1:$AZ$400,(설정!$B$8+57),설정!$D$21)&amp;"",",",""),"　","")),0))</f>
        <v/>
      </c>
      <c r="K63" s="27">
        <f>IF(설정!$D$22="",0,IFERROR(VALUE(SUBSTITUTE(SUBSTITUTE(INDEX(급여대장_원본!$A$1:$AZ$400,(설정!$B$8+57),설정!$D$22)&amp;"",",",""),"　","")),0))</f>
        <v/>
      </c>
      <c r="L63" s="27">
        <f>IF(설정!$D$23="",0,IFERROR(VALUE(SUBSTITUTE(SUBSTITUTE(INDEX(급여대장_원본!$A$1:$AZ$400,(설정!$B$8+57),설정!$D$23)&amp;"",",",""),"　","")),0))</f>
        <v/>
      </c>
      <c r="M63" s="27">
        <f>IF(설정!$D$24="",0,IFERROR(VALUE(SUBSTITUTE(SUBSTITUTE(INDEX(급여대장_원본!$A$1:$AZ$400,(설정!$B$8+57),설정!$D$24)&amp;"",",",""),"　","")),0))</f>
        <v/>
      </c>
      <c r="N63" s="2">
        <f>IF(OR(설정!$C$17="",IFERROR(MATCH(설정!$C$17,INDEX(급여대장_원본!$A$1:$AZ$400,설정!$B$8,0),0),"")=""),"",IFERROR(VALUE(SUBSTITUTE(INDEX(급여대장_원본!$A$1:$AZ$400,(설정!$B$8+57),IFERROR(MATCH(설정!$C$17,INDEX(급여대장_원본!$A$1:$AZ$400,설정!$B$8,0),0),""))&amp;"",",","")),""))</f>
        <v/>
      </c>
      <c r="O63" s="2">
        <f>IF(OR(설정!$C$18="",IFERROR(MATCH(설정!$C$18,INDEX(급여대장_원본!$A$1:$AZ$400,설정!$B$8,0),0),"")=""),"",IFERROR(VALUE(SUBSTITUTE(INDEX(급여대장_원본!$A$1:$AZ$400,(설정!$B$8+57),IFERROR(MATCH(설정!$C$18,INDEX(급여대장_원본!$A$1:$AZ$400,설정!$B$8,0),0),""))&amp;"",",","")),""))</f>
        <v/>
      </c>
      <c r="P63" s="2">
        <f>IF(OR(설정!$C$19="",IFERROR(MATCH(설정!$C$19,INDEX(급여대장_원본!$A$1:$AZ$400,설정!$B$8,0),0),"")=""),"",IFERROR(VALUE(SUBSTITUTE(INDEX(급여대장_원본!$A$1:$AZ$400,(설정!$B$8+57),IFERROR(MATCH(설정!$C$19,INDEX(급여대장_원본!$A$1:$AZ$400,설정!$B$8,0),0),""))&amp;"",",","")),""))</f>
        <v/>
      </c>
      <c r="Q63" s="2">
        <f>IF(OR(설정!$C$20="",IFERROR(MATCH(설정!$C$20,INDEX(급여대장_원본!$A$1:$AZ$400,설정!$B$8,0),0),"")=""),"",IFERROR(VALUE(SUBSTITUTE(INDEX(급여대장_원본!$A$1:$AZ$400,(설정!$B$8+57),IFERROR(MATCH(설정!$C$20,INDEX(급여대장_원본!$A$1:$AZ$400,설정!$B$8,0),0),""))&amp;"",",","")),""))</f>
        <v/>
      </c>
      <c r="R63" s="2">
        <f>IF(OR(설정!$C$21="",IFERROR(MATCH(설정!$C$21,INDEX(급여대장_원본!$A$1:$AZ$400,설정!$B$8,0),0),"")=""),"",IFERROR(VALUE(SUBSTITUTE(INDEX(급여대장_원본!$A$1:$AZ$400,(설정!$B$8+57),IFERROR(MATCH(설정!$C$21,INDEX(급여대장_원본!$A$1:$AZ$400,설정!$B$8,0),0),""))&amp;"",",","")),""))</f>
        <v/>
      </c>
      <c r="S63" s="2">
        <f>IF(OR(설정!$C$22="",IFERROR(MATCH(설정!$C$22,INDEX(급여대장_원본!$A$1:$AZ$400,설정!$B$8,0),0),"")=""),"",IFERROR(VALUE(SUBSTITUTE(INDEX(급여대장_원본!$A$1:$AZ$400,(설정!$B$8+57),IFERROR(MATCH(설정!$C$22,INDEX(급여대장_원본!$A$1:$AZ$400,설정!$B$8,0),0),""))&amp;"",",","")),""))</f>
        <v/>
      </c>
      <c r="T63" s="2">
        <f>IF(OR(설정!$C$23="",IFERROR(MATCH(설정!$C$23,INDEX(급여대장_원본!$A$1:$AZ$400,설정!$B$8,0),0),"")=""),"",IFERROR(VALUE(SUBSTITUTE(INDEX(급여대장_원본!$A$1:$AZ$400,(설정!$B$8+57),IFERROR(MATCH(설정!$C$23,INDEX(급여대장_원본!$A$1:$AZ$400,설정!$B$8,0),0),""))&amp;"",",","")),""))</f>
        <v/>
      </c>
      <c r="U63" s="2">
        <f>IF(OR(설정!$C$24="",IFERROR(MATCH(설정!$C$24,INDEX(급여대장_원본!$A$1:$AZ$400,설정!$B$8,0),0),"")=""),"",IFERROR(VALUE(SUBSTITUTE(INDEX(급여대장_원본!$A$1:$AZ$400,(설정!$B$8+57),IFERROR(MATCH(설정!$C$24,INDEX(급여대장_원본!$A$1:$AZ$400,설정!$B$8,0),0),""))&amp;"",",","")),""))</f>
        <v/>
      </c>
      <c r="V63" s="27">
        <f>SUM(F63:M63)</f>
        <v/>
      </c>
      <c r="W63" s="27">
        <f>IF(설정!$D$26="",0,IFERROR(VALUE(SUBSTITUTE(SUBSTITUTE(INDEX(급여대장_원본!$A$1:$AZ$400,(설정!$B$8+57),설정!$D$26)&amp;"",",",""),"　","")),0))</f>
        <v/>
      </c>
      <c r="X63" s="27">
        <f>IF(설정!$D$27="",0,IFERROR(VALUE(SUBSTITUTE(SUBSTITUTE(INDEX(급여대장_원본!$A$1:$AZ$400,(설정!$B$8+57),설정!$D$27)&amp;"",",",""),"　","")),0))</f>
        <v/>
      </c>
      <c r="Y63" s="27">
        <f>IF(설정!$D$28="",0,IFERROR(VALUE(SUBSTITUTE(SUBSTITUTE(INDEX(급여대장_원본!$A$1:$AZ$400,(설정!$B$8+57),설정!$D$28)&amp;"",",",""),"　","")),0))</f>
        <v/>
      </c>
      <c r="Z63" s="27">
        <f>IF(설정!$D$29="",0,IFERROR(VALUE(SUBSTITUTE(SUBSTITUTE(INDEX(급여대장_원본!$A$1:$AZ$400,(설정!$B$8+57),설정!$D$29)&amp;"",",",""),"　","")),0))</f>
        <v/>
      </c>
      <c r="AA63" s="27">
        <f>IF(설정!$D$30="",0,IFERROR(VALUE(SUBSTITUTE(SUBSTITUTE(INDEX(급여대장_원본!$A$1:$AZ$400,(설정!$B$8+57),설정!$D$30)&amp;"",",",""),"　","")),0))</f>
        <v/>
      </c>
      <c r="AB63" s="27">
        <f>IF(설정!$D$31="",0,IFERROR(VALUE(SUBSTITUTE(SUBSTITUTE(INDEX(급여대장_원본!$A$1:$AZ$400,(설정!$B$8+57),설정!$D$31)&amp;"",",",""),"　","")),0))</f>
        <v/>
      </c>
      <c r="AC63" s="27">
        <f>IF(설정!$D$32="",0,IFERROR(VALUE(SUBSTITUTE(SUBSTITUTE(INDEX(급여대장_원본!$A$1:$AZ$400,(설정!$B$8+57),설정!$D$32)&amp;"",",",""),"　","")),0))</f>
        <v/>
      </c>
      <c r="AD63" s="27">
        <f>IF(설정!$D$33="",0,IFERROR(VALUE(SUBSTITUTE(SUBSTITUTE(INDEX(급여대장_원본!$A$1:$AZ$400,(설정!$B$8+57),설정!$D$33)&amp;"",",",""),"　","")),0))</f>
        <v/>
      </c>
      <c r="AE63" s="27">
        <f>SUM(W63:AD63)</f>
        <v/>
      </c>
      <c r="AF63" s="27">
        <f>V63-AE63</f>
        <v/>
      </c>
      <c r="AG63" s="27">
        <f>IF(설정!$D$35="","",IF(설정!$D$35="",0,IFERROR(VALUE(SUBSTITUTE(SUBSTITUTE(INDEX(급여대장_원본!$A$1:$AZ$400,(설정!$B$8+57),설정!$D$35)&amp;"",",",""),"　","")),0)))</f>
        <v/>
      </c>
      <c r="AH63" s="27">
        <f>IF(설정!$D$36="","",IF(설정!$D$36="",0,IFERROR(VALUE(SUBSTITUTE(SUBSTITUTE(INDEX(급여대장_원본!$A$1:$AZ$400,(설정!$B$8+57),설정!$D$36)&amp;"",",",""),"　","")),0)))</f>
        <v/>
      </c>
      <c r="AI63" s="27">
        <f>IF(설정!$D$37="","",IF(설정!$D$37="",0,IFERROR(VALUE(SUBSTITUTE(SUBSTITUTE(INDEX(급여대장_원본!$A$1:$AZ$400,(설정!$B$8+57),설정!$D$37)&amp;"",",",""),"　","")),0)))</f>
        <v/>
      </c>
      <c r="AJ63" s="2">
        <f>IFERROR(INDEX($D$7:$D$306,MATCH(57,$B$7:$B$306,0)),"")</f>
        <v/>
      </c>
    </row>
    <row r="64">
      <c r="A64" s="2">
        <f>IF(AND(D64&lt;&gt;"",D64&lt;&gt;"합계",D64&lt;&gt;"총계",D64&lt;&gt;"소계",D64&lt;&gt;"계"),1,0)</f>
        <v/>
      </c>
      <c r="B64" s="2">
        <f>IF(A64=1,SUM($A$7:A64),"")</f>
        <v/>
      </c>
      <c r="C64" s="2">
        <f>IF(설정!$D$13="","",TRIM(SUBSTITUTE(INDEX(급여대장_원본!$A$1:$AZ$400,(설정!$B$8+58),설정!$D$13)&amp;"","　"," ")))</f>
        <v/>
      </c>
      <c r="D64" s="2">
        <f>IF(설정!$D$14="","",TRIM(SUBSTITUTE(INDEX(급여대장_원본!$A$1:$AZ$400,(설정!$B$8+58),설정!$D$14)&amp;"","　"," ")))</f>
        <v/>
      </c>
      <c r="E64" s="2">
        <f>IF(설정!$D$15="","",TRIM(SUBSTITUTE(INDEX(급여대장_원본!$A$1:$AZ$400,(설정!$B$8+58),설정!$D$15)&amp;"","　"," ")))</f>
        <v/>
      </c>
      <c r="F64" s="27">
        <f>IF(설정!$D$17="",0,IFERROR(VALUE(SUBSTITUTE(SUBSTITUTE(INDEX(급여대장_원본!$A$1:$AZ$400,(설정!$B$8+58),설정!$D$17)&amp;"",",",""),"　","")),0))</f>
        <v/>
      </c>
      <c r="G64" s="27">
        <f>IF(설정!$D$18="",0,IFERROR(VALUE(SUBSTITUTE(SUBSTITUTE(INDEX(급여대장_원본!$A$1:$AZ$400,(설정!$B$8+58),설정!$D$18)&amp;"",",",""),"　","")),0))</f>
        <v/>
      </c>
      <c r="H64" s="27">
        <f>IF(설정!$D$19="",0,IFERROR(VALUE(SUBSTITUTE(SUBSTITUTE(INDEX(급여대장_원본!$A$1:$AZ$400,(설정!$B$8+58),설정!$D$19)&amp;"",",",""),"　","")),0))</f>
        <v/>
      </c>
      <c r="I64" s="27">
        <f>IF(설정!$D$20="",0,IFERROR(VALUE(SUBSTITUTE(SUBSTITUTE(INDEX(급여대장_원본!$A$1:$AZ$400,(설정!$B$8+58),설정!$D$20)&amp;"",",",""),"　","")),0))</f>
        <v/>
      </c>
      <c r="J64" s="27">
        <f>IF(설정!$D$21="",0,IFERROR(VALUE(SUBSTITUTE(SUBSTITUTE(INDEX(급여대장_원본!$A$1:$AZ$400,(설정!$B$8+58),설정!$D$21)&amp;"",",",""),"　","")),0))</f>
        <v/>
      </c>
      <c r="K64" s="27">
        <f>IF(설정!$D$22="",0,IFERROR(VALUE(SUBSTITUTE(SUBSTITUTE(INDEX(급여대장_원본!$A$1:$AZ$400,(설정!$B$8+58),설정!$D$22)&amp;"",",",""),"　","")),0))</f>
        <v/>
      </c>
      <c r="L64" s="27">
        <f>IF(설정!$D$23="",0,IFERROR(VALUE(SUBSTITUTE(SUBSTITUTE(INDEX(급여대장_원본!$A$1:$AZ$400,(설정!$B$8+58),설정!$D$23)&amp;"",",",""),"　","")),0))</f>
        <v/>
      </c>
      <c r="M64" s="27">
        <f>IF(설정!$D$24="",0,IFERROR(VALUE(SUBSTITUTE(SUBSTITUTE(INDEX(급여대장_원본!$A$1:$AZ$400,(설정!$B$8+58),설정!$D$24)&amp;"",",",""),"　","")),0))</f>
        <v/>
      </c>
      <c r="N64" s="2">
        <f>IF(OR(설정!$C$17="",IFERROR(MATCH(설정!$C$17,INDEX(급여대장_원본!$A$1:$AZ$400,설정!$B$8,0),0),"")=""),"",IFERROR(VALUE(SUBSTITUTE(INDEX(급여대장_원본!$A$1:$AZ$400,(설정!$B$8+58),IFERROR(MATCH(설정!$C$17,INDEX(급여대장_원본!$A$1:$AZ$400,설정!$B$8,0),0),""))&amp;"",",","")),""))</f>
        <v/>
      </c>
      <c r="O64" s="2">
        <f>IF(OR(설정!$C$18="",IFERROR(MATCH(설정!$C$18,INDEX(급여대장_원본!$A$1:$AZ$400,설정!$B$8,0),0),"")=""),"",IFERROR(VALUE(SUBSTITUTE(INDEX(급여대장_원본!$A$1:$AZ$400,(설정!$B$8+58),IFERROR(MATCH(설정!$C$18,INDEX(급여대장_원본!$A$1:$AZ$400,설정!$B$8,0),0),""))&amp;"",",","")),""))</f>
        <v/>
      </c>
      <c r="P64" s="2">
        <f>IF(OR(설정!$C$19="",IFERROR(MATCH(설정!$C$19,INDEX(급여대장_원본!$A$1:$AZ$400,설정!$B$8,0),0),"")=""),"",IFERROR(VALUE(SUBSTITUTE(INDEX(급여대장_원본!$A$1:$AZ$400,(설정!$B$8+58),IFERROR(MATCH(설정!$C$19,INDEX(급여대장_원본!$A$1:$AZ$400,설정!$B$8,0),0),""))&amp;"",",","")),""))</f>
        <v/>
      </c>
      <c r="Q64" s="2">
        <f>IF(OR(설정!$C$20="",IFERROR(MATCH(설정!$C$20,INDEX(급여대장_원본!$A$1:$AZ$400,설정!$B$8,0),0),"")=""),"",IFERROR(VALUE(SUBSTITUTE(INDEX(급여대장_원본!$A$1:$AZ$400,(설정!$B$8+58),IFERROR(MATCH(설정!$C$20,INDEX(급여대장_원본!$A$1:$AZ$400,설정!$B$8,0),0),""))&amp;"",",","")),""))</f>
        <v/>
      </c>
      <c r="R64" s="2">
        <f>IF(OR(설정!$C$21="",IFERROR(MATCH(설정!$C$21,INDEX(급여대장_원본!$A$1:$AZ$400,설정!$B$8,0),0),"")=""),"",IFERROR(VALUE(SUBSTITUTE(INDEX(급여대장_원본!$A$1:$AZ$400,(설정!$B$8+58),IFERROR(MATCH(설정!$C$21,INDEX(급여대장_원본!$A$1:$AZ$400,설정!$B$8,0),0),""))&amp;"",",","")),""))</f>
        <v/>
      </c>
      <c r="S64" s="2">
        <f>IF(OR(설정!$C$22="",IFERROR(MATCH(설정!$C$22,INDEX(급여대장_원본!$A$1:$AZ$400,설정!$B$8,0),0),"")=""),"",IFERROR(VALUE(SUBSTITUTE(INDEX(급여대장_원본!$A$1:$AZ$400,(설정!$B$8+58),IFERROR(MATCH(설정!$C$22,INDEX(급여대장_원본!$A$1:$AZ$400,설정!$B$8,0),0),""))&amp;"",",","")),""))</f>
        <v/>
      </c>
      <c r="T64" s="2">
        <f>IF(OR(설정!$C$23="",IFERROR(MATCH(설정!$C$23,INDEX(급여대장_원본!$A$1:$AZ$400,설정!$B$8,0),0),"")=""),"",IFERROR(VALUE(SUBSTITUTE(INDEX(급여대장_원본!$A$1:$AZ$400,(설정!$B$8+58),IFERROR(MATCH(설정!$C$23,INDEX(급여대장_원본!$A$1:$AZ$400,설정!$B$8,0),0),""))&amp;"",",","")),""))</f>
        <v/>
      </c>
      <c r="U64" s="2">
        <f>IF(OR(설정!$C$24="",IFERROR(MATCH(설정!$C$24,INDEX(급여대장_원본!$A$1:$AZ$400,설정!$B$8,0),0),"")=""),"",IFERROR(VALUE(SUBSTITUTE(INDEX(급여대장_원본!$A$1:$AZ$400,(설정!$B$8+58),IFERROR(MATCH(설정!$C$24,INDEX(급여대장_원본!$A$1:$AZ$400,설정!$B$8,0),0),""))&amp;"",",","")),""))</f>
        <v/>
      </c>
      <c r="V64" s="27">
        <f>SUM(F64:M64)</f>
        <v/>
      </c>
      <c r="W64" s="27">
        <f>IF(설정!$D$26="",0,IFERROR(VALUE(SUBSTITUTE(SUBSTITUTE(INDEX(급여대장_원본!$A$1:$AZ$400,(설정!$B$8+58),설정!$D$26)&amp;"",",",""),"　","")),0))</f>
        <v/>
      </c>
      <c r="X64" s="27">
        <f>IF(설정!$D$27="",0,IFERROR(VALUE(SUBSTITUTE(SUBSTITUTE(INDEX(급여대장_원본!$A$1:$AZ$400,(설정!$B$8+58),설정!$D$27)&amp;"",",",""),"　","")),0))</f>
        <v/>
      </c>
      <c r="Y64" s="27">
        <f>IF(설정!$D$28="",0,IFERROR(VALUE(SUBSTITUTE(SUBSTITUTE(INDEX(급여대장_원본!$A$1:$AZ$400,(설정!$B$8+58),설정!$D$28)&amp;"",",",""),"　","")),0))</f>
        <v/>
      </c>
      <c r="Z64" s="27">
        <f>IF(설정!$D$29="",0,IFERROR(VALUE(SUBSTITUTE(SUBSTITUTE(INDEX(급여대장_원본!$A$1:$AZ$400,(설정!$B$8+58),설정!$D$29)&amp;"",",",""),"　","")),0))</f>
        <v/>
      </c>
      <c r="AA64" s="27">
        <f>IF(설정!$D$30="",0,IFERROR(VALUE(SUBSTITUTE(SUBSTITUTE(INDEX(급여대장_원본!$A$1:$AZ$400,(설정!$B$8+58),설정!$D$30)&amp;"",",",""),"　","")),0))</f>
        <v/>
      </c>
      <c r="AB64" s="27">
        <f>IF(설정!$D$31="",0,IFERROR(VALUE(SUBSTITUTE(SUBSTITUTE(INDEX(급여대장_원본!$A$1:$AZ$400,(설정!$B$8+58),설정!$D$31)&amp;"",",",""),"　","")),0))</f>
        <v/>
      </c>
      <c r="AC64" s="27">
        <f>IF(설정!$D$32="",0,IFERROR(VALUE(SUBSTITUTE(SUBSTITUTE(INDEX(급여대장_원본!$A$1:$AZ$400,(설정!$B$8+58),설정!$D$32)&amp;"",",",""),"　","")),0))</f>
        <v/>
      </c>
      <c r="AD64" s="27">
        <f>IF(설정!$D$33="",0,IFERROR(VALUE(SUBSTITUTE(SUBSTITUTE(INDEX(급여대장_원본!$A$1:$AZ$400,(설정!$B$8+58),설정!$D$33)&amp;"",",",""),"　","")),0))</f>
        <v/>
      </c>
      <c r="AE64" s="27">
        <f>SUM(W64:AD64)</f>
        <v/>
      </c>
      <c r="AF64" s="27">
        <f>V64-AE64</f>
        <v/>
      </c>
      <c r="AG64" s="27">
        <f>IF(설정!$D$35="","",IF(설정!$D$35="",0,IFERROR(VALUE(SUBSTITUTE(SUBSTITUTE(INDEX(급여대장_원본!$A$1:$AZ$400,(설정!$B$8+58),설정!$D$35)&amp;"",",",""),"　","")),0)))</f>
        <v/>
      </c>
      <c r="AH64" s="27">
        <f>IF(설정!$D$36="","",IF(설정!$D$36="",0,IFERROR(VALUE(SUBSTITUTE(SUBSTITUTE(INDEX(급여대장_원본!$A$1:$AZ$400,(설정!$B$8+58),설정!$D$36)&amp;"",",",""),"　","")),0)))</f>
        <v/>
      </c>
      <c r="AI64" s="27">
        <f>IF(설정!$D$37="","",IF(설정!$D$37="",0,IFERROR(VALUE(SUBSTITUTE(SUBSTITUTE(INDEX(급여대장_원본!$A$1:$AZ$400,(설정!$B$8+58),설정!$D$37)&amp;"",",",""),"　","")),0)))</f>
        <v/>
      </c>
      <c r="AJ64" s="2">
        <f>IFERROR(INDEX($D$7:$D$306,MATCH(58,$B$7:$B$306,0)),"")</f>
        <v/>
      </c>
    </row>
    <row r="65">
      <c r="A65" s="2">
        <f>IF(AND(D65&lt;&gt;"",D65&lt;&gt;"합계",D65&lt;&gt;"총계",D65&lt;&gt;"소계",D65&lt;&gt;"계"),1,0)</f>
        <v/>
      </c>
      <c r="B65" s="2">
        <f>IF(A65=1,SUM($A$7:A65),"")</f>
        <v/>
      </c>
      <c r="C65" s="2">
        <f>IF(설정!$D$13="","",TRIM(SUBSTITUTE(INDEX(급여대장_원본!$A$1:$AZ$400,(설정!$B$8+59),설정!$D$13)&amp;"","　"," ")))</f>
        <v/>
      </c>
      <c r="D65" s="2">
        <f>IF(설정!$D$14="","",TRIM(SUBSTITUTE(INDEX(급여대장_원본!$A$1:$AZ$400,(설정!$B$8+59),설정!$D$14)&amp;"","　"," ")))</f>
        <v/>
      </c>
      <c r="E65" s="2">
        <f>IF(설정!$D$15="","",TRIM(SUBSTITUTE(INDEX(급여대장_원본!$A$1:$AZ$400,(설정!$B$8+59),설정!$D$15)&amp;"","　"," ")))</f>
        <v/>
      </c>
      <c r="F65" s="27">
        <f>IF(설정!$D$17="",0,IFERROR(VALUE(SUBSTITUTE(SUBSTITUTE(INDEX(급여대장_원본!$A$1:$AZ$400,(설정!$B$8+59),설정!$D$17)&amp;"",",",""),"　","")),0))</f>
        <v/>
      </c>
      <c r="G65" s="27">
        <f>IF(설정!$D$18="",0,IFERROR(VALUE(SUBSTITUTE(SUBSTITUTE(INDEX(급여대장_원본!$A$1:$AZ$400,(설정!$B$8+59),설정!$D$18)&amp;"",",",""),"　","")),0))</f>
        <v/>
      </c>
      <c r="H65" s="27">
        <f>IF(설정!$D$19="",0,IFERROR(VALUE(SUBSTITUTE(SUBSTITUTE(INDEX(급여대장_원본!$A$1:$AZ$400,(설정!$B$8+59),설정!$D$19)&amp;"",",",""),"　","")),0))</f>
        <v/>
      </c>
      <c r="I65" s="27">
        <f>IF(설정!$D$20="",0,IFERROR(VALUE(SUBSTITUTE(SUBSTITUTE(INDEX(급여대장_원본!$A$1:$AZ$400,(설정!$B$8+59),설정!$D$20)&amp;"",",",""),"　","")),0))</f>
        <v/>
      </c>
      <c r="J65" s="27">
        <f>IF(설정!$D$21="",0,IFERROR(VALUE(SUBSTITUTE(SUBSTITUTE(INDEX(급여대장_원본!$A$1:$AZ$400,(설정!$B$8+59),설정!$D$21)&amp;"",",",""),"　","")),0))</f>
        <v/>
      </c>
      <c r="K65" s="27">
        <f>IF(설정!$D$22="",0,IFERROR(VALUE(SUBSTITUTE(SUBSTITUTE(INDEX(급여대장_원본!$A$1:$AZ$400,(설정!$B$8+59),설정!$D$22)&amp;"",",",""),"　","")),0))</f>
        <v/>
      </c>
      <c r="L65" s="27">
        <f>IF(설정!$D$23="",0,IFERROR(VALUE(SUBSTITUTE(SUBSTITUTE(INDEX(급여대장_원본!$A$1:$AZ$400,(설정!$B$8+59),설정!$D$23)&amp;"",",",""),"　","")),0))</f>
        <v/>
      </c>
      <c r="M65" s="27">
        <f>IF(설정!$D$24="",0,IFERROR(VALUE(SUBSTITUTE(SUBSTITUTE(INDEX(급여대장_원본!$A$1:$AZ$400,(설정!$B$8+59),설정!$D$24)&amp;"",",",""),"　","")),0))</f>
        <v/>
      </c>
      <c r="N65" s="2">
        <f>IF(OR(설정!$C$17="",IFERROR(MATCH(설정!$C$17,INDEX(급여대장_원본!$A$1:$AZ$400,설정!$B$8,0),0),"")=""),"",IFERROR(VALUE(SUBSTITUTE(INDEX(급여대장_원본!$A$1:$AZ$400,(설정!$B$8+59),IFERROR(MATCH(설정!$C$17,INDEX(급여대장_원본!$A$1:$AZ$400,설정!$B$8,0),0),""))&amp;"",",","")),""))</f>
        <v/>
      </c>
      <c r="O65" s="2">
        <f>IF(OR(설정!$C$18="",IFERROR(MATCH(설정!$C$18,INDEX(급여대장_원본!$A$1:$AZ$400,설정!$B$8,0),0),"")=""),"",IFERROR(VALUE(SUBSTITUTE(INDEX(급여대장_원본!$A$1:$AZ$400,(설정!$B$8+59),IFERROR(MATCH(설정!$C$18,INDEX(급여대장_원본!$A$1:$AZ$400,설정!$B$8,0),0),""))&amp;"",",","")),""))</f>
        <v/>
      </c>
      <c r="P65" s="2">
        <f>IF(OR(설정!$C$19="",IFERROR(MATCH(설정!$C$19,INDEX(급여대장_원본!$A$1:$AZ$400,설정!$B$8,0),0),"")=""),"",IFERROR(VALUE(SUBSTITUTE(INDEX(급여대장_원본!$A$1:$AZ$400,(설정!$B$8+59),IFERROR(MATCH(설정!$C$19,INDEX(급여대장_원본!$A$1:$AZ$400,설정!$B$8,0),0),""))&amp;"",",","")),""))</f>
        <v/>
      </c>
      <c r="Q65" s="2">
        <f>IF(OR(설정!$C$20="",IFERROR(MATCH(설정!$C$20,INDEX(급여대장_원본!$A$1:$AZ$400,설정!$B$8,0),0),"")=""),"",IFERROR(VALUE(SUBSTITUTE(INDEX(급여대장_원본!$A$1:$AZ$400,(설정!$B$8+59),IFERROR(MATCH(설정!$C$20,INDEX(급여대장_원본!$A$1:$AZ$400,설정!$B$8,0),0),""))&amp;"",",","")),""))</f>
        <v/>
      </c>
      <c r="R65" s="2">
        <f>IF(OR(설정!$C$21="",IFERROR(MATCH(설정!$C$21,INDEX(급여대장_원본!$A$1:$AZ$400,설정!$B$8,0),0),"")=""),"",IFERROR(VALUE(SUBSTITUTE(INDEX(급여대장_원본!$A$1:$AZ$400,(설정!$B$8+59),IFERROR(MATCH(설정!$C$21,INDEX(급여대장_원본!$A$1:$AZ$400,설정!$B$8,0),0),""))&amp;"",",","")),""))</f>
        <v/>
      </c>
      <c r="S65" s="2">
        <f>IF(OR(설정!$C$22="",IFERROR(MATCH(설정!$C$22,INDEX(급여대장_원본!$A$1:$AZ$400,설정!$B$8,0),0),"")=""),"",IFERROR(VALUE(SUBSTITUTE(INDEX(급여대장_원본!$A$1:$AZ$400,(설정!$B$8+59),IFERROR(MATCH(설정!$C$22,INDEX(급여대장_원본!$A$1:$AZ$400,설정!$B$8,0),0),""))&amp;"",",","")),""))</f>
        <v/>
      </c>
      <c r="T65" s="2">
        <f>IF(OR(설정!$C$23="",IFERROR(MATCH(설정!$C$23,INDEX(급여대장_원본!$A$1:$AZ$400,설정!$B$8,0),0),"")=""),"",IFERROR(VALUE(SUBSTITUTE(INDEX(급여대장_원본!$A$1:$AZ$400,(설정!$B$8+59),IFERROR(MATCH(설정!$C$23,INDEX(급여대장_원본!$A$1:$AZ$400,설정!$B$8,0),0),""))&amp;"",",","")),""))</f>
        <v/>
      </c>
      <c r="U65" s="2">
        <f>IF(OR(설정!$C$24="",IFERROR(MATCH(설정!$C$24,INDEX(급여대장_원본!$A$1:$AZ$400,설정!$B$8,0),0),"")=""),"",IFERROR(VALUE(SUBSTITUTE(INDEX(급여대장_원본!$A$1:$AZ$400,(설정!$B$8+59),IFERROR(MATCH(설정!$C$24,INDEX(급여대장_원본!$A$1:$AZ$400,설정!$B$8,0),0),""))&amp;"",",","")),""))</f>
        <v/>
      </c>
      <c r="V65" s="27">
        <f>SUM(F65:M65)</f>
        <v/>
      </c>
      <c r="W65" s="27">
        <f>IF(설정!$D$26="",0,IFERROR(VALUE(SUBSTITUTE(SUBSTITUTE(INDEX(급여대장_원본!$A$1:$AZ$400,(설정!$B$8+59),설정!$D$26)&amp;"",",",""),"　","")),0))</f>
        <v/>
      </c>
      <c r="X65" s="27">
        <f>IF(설정!$D$27="",0,IFERROR(VALUE(SUBSTITUTE(SUBSTITUTE(INDEX(급여대장_원본!$A$1:$AZ$400,(설정!$B$8+59),설정!$D$27)&amp;"",",",""),"　","")),0))</f>
        <v/>
      </c>
      <c r="Y65" s="27">
        <f>IF(설정!$D$28="",0,IFERROR(VALUE(SUBSTITUTE(SUBSTITUTE(INDEX(급여대장_원본!$A$1:$AZ$400,(설정!$B$8+59),설정!$D$28)&amp;"",",",""),"　","")),0))</f>
        <v/>
      </c>
      <c r="Z65" s="27">
        <f>IF(설정!$D$29="",0,IFERROR(VALUE(SUBSTITUTE(SUBSTITUTE(INDEX(급여대장_원본!$A$1:$AZ$400,(설정!$B$8+59),설정!$D$29)&amp;"",",",""),"　","")),0))</f>
        <v/>
      </c>
      <c r="AA65" s="27">
        <f>IF(설정!$D$30="",0,IFERROR(VALUE(SUBSTITUTE(SUBSTITUTE(INDEX(급여대장_원본!$A$1:$AZ$400,(설정!$B$8+59),설정!$D$30)&amp;"",",",""),"　","")),0))</f>
        <v/>
      </c>
      <c r="AB65" s="27">
        <f>IF(설정!$D$31="",0,IFERROR(VALUE(SUBSTITUTE(SUBSTITUTE(INDEX(급여대장_원본!$A$1:$AZ$400,(설정!$B$8+59),설정!$D$31)&amp;"",",",""),"　","")),0))</f>
        <v/>
      </c>
      <c r="AC65" s="27">
        <f>IF(설정!$D$32="",0,IFERROR(VALUE(SUBSTITUTE(SUBSTITUTE(INDEX(급여대장_원본!$A$1:$AZ$400,(설정!$B$8+59),설정!$D$32)&amp;"",",",""),"　","")),0))</f>
        <v/>
      </c>
      <c r="AD65" s="27">
        <f>IF(설정!$D$33="",0,IFERROR(VALUE(SUBSTITUTE(SUBSTITUTE(INDEX(급여대장_원본!$A$1:$AZ$400,(설정!$B$8+59),설정!$D$33)&amp;"",",",""),"　","")),0))</f>
        <v/>
      </c>
      <c r="AE65" s="27">
        <f>SUM(W65:AD65)</f>
        <v/>
      </c>
      <c r="AF65" s="27">
        <f>V65-AE65</f>
        <v/>
      </c>
      <c r="AG65" s="27">
        <f>IF(설정!$D$35="","",IF(설정!$D$35="",0,IFERROR(VALUE(SUBSTITUTE(SUBSTITUTE(INDEX(급여대장_원본!$A$1:$AZ$400,(설정!$B$8+59),설정!$D$35)&amp;"",",",""),"　","")),0)))</f>
        <v/>
      </c>
      <c r="AH65" s="27">
        <f>IF(설정!$D$36="","",IF(설정!$D$36="",0,IFERROR(VALUE(SUBSTITUTE(SUBSTITUTE(INDEX(급여대장_원본!$A$1:$AZ$400,(설정!$B$8+59),설정!$D$36)&amp;"",",",""),"　","")),0)))</f>
        <v/>
      </c>
      <c r="AI65" s="27">
        <f>IF(설정!$D$37="","",IF(설정!$D$37="",0,IFERROR(VALUE(SUBSTITUTE(SUBSTITUTE(INDEX(급여대장_원본!$A$1:$AZ$400,(설정!$B$8+59),설정!$D$37)&amp;"",",",""),"　","")),0)))</f>
        <v/>
      </c>
      <c r="AJ65" s="2">
        <f>IFERROR(INDEX($D$7:$D$306,MATCH(59,$B$7:$B$306,0)),"")</f>
        <v/>
      </c>
    </row>
    <row r="66">
      <c r="A66" s="2">
        <f>IF(AND(D66&lt;&gt;"",D66&lt;&gt;"합계",D66&lt;&gt;"총계",D66&lt;&gt;"소계",D66&lt;&gt;"계"),1,0)</f>
        <v/>
      </c>
      <c r="B66" s="2">
        <f>IF(A66=1,SUM($A$7:A66),"")</f>
        <v/>
      </c>
      <c r="C66" s="2">
        <f>IF(설정!$D$13="","",TRIM(SUBSTITUTE(INDEX(급여대장_원본!$A$1:$AZ$400,(설정!$B$8+60),설정!$D$13)&amp;"","　"," ")))</f>
        <v/>
      </c>
      <c r="D66" s="2">
        <f>IF(설정!$D$14="","",TRIM(SUBSTITUTE(INDEX(급여대장_원본!$A$1:$AZ$400,(설정!$B$8+60),설정!$D$14)&amp;"","　"," ")))</f>
        <v/>
      </c>
      <c r="E66" s="2">
        <f>IF(설정!$D$15="","",TRIM(SUBSTITUTE(INDEX(급여대장_원본!$A$1:$AZ$400,(설정!$B$8+60),설정!$D$15)&amp;"","　"," ")))</f>
        <v/>
      </c>
      <c r="F66" s="27">
        <f>IF(설정!$D$17="",0,IFERROR(VALUE(SUBSTITUTE(SUBSTITUTE(INDEX(급여대장_원본!$A$1:$AZ$400,(설정!$B$8+60),설정!$D$17)&amp;"",",",""),"　","")),0))</f>
        <v/>
      </c>
      <c r="G66" s="27">
        <f>IF(설정!$D$18="",0,IFERROR(VALUE(SUBSTITUTE(SUBSTITUTE(INDEX(급여대장_원본!$A$1:$AZ$400,(설정!$B$8+60),설정!$D$18)&amp;"",",",""),"　","")),0))</f>
        <v/>
      </c>
      <c r="H66" s="27">
        <f>IF(설정!$D$19="",0,IFERROR(VALUE(SUBSTITUTE(SUBSTITUTE(INDEX(급여대장_원본!$A$1:$AZ$400,(설정!$B$8+60),설정!$D$19)&amp;"",",",""),"　","")),0))</f>
        <v/>
      </c>
      <c r="I66" s="27">
        <f>IF(설정!$D$20="",0,IFERROR(VALUE(SUBSTITUTE(SUBSTITUTE(INDEX(급여대장_원본!$A$1:$AZ$400,(설정!$B$8+60),설정!$D$20)&amp;"",",",""),"　","")),0))</f>
        <v/>
      </c>
      <c r="J66" s="27">
        <f>IF(설정!$D$21="",0,IFERROR(VALUE(SUBSTITUTE(SUBSTITUTE(INDEX(급여대장_원본!$A$1:$AZ$400,(설정!$B$8+60),설정!$D$21)&amp;"",",",""),"　","")),0))</f>
        <v/>
      </c>
      <c r="K66" s="27">
        <f>IF(설정!$D$22="",0,IFERROR(VALUE(SUBSTITUTE(SUBSTITUTE(INDEX(급여대장_원본!$A$1:$AZ$400,(설정!$B$8+60),설정!$D$22)&amp;"",",",""),"　","")),0))</f>
        <v/>
      </c>
      <c r="L66" s="27">
        <f>IF(설정!$D$23="",0,IFERROR(VALUE(SUBSTITUTE(SUBSTITUTE(INDEX(급여대장_원본!$A$1:$AZ$400,(설정!$B$8+60),설정!$D$23)&amp;"",",",""),"　","")),0))</f>
        <v/>
      </c>
      <c r="M66" s="27">
        <f>IF(설정!$D$24="",0,IFERROR(VALUE(SUBSTITUTE(SUBSTITUTE(INDEX(급여대장_원본!$A$1:$AZ$400,(설정!$B$8+60),설정!$D$24)&amp;"",",",""),"　","")),0))</f>
        <v/>
      </c>
      <c r="N66" s="2">
        <f>IF(OR(설정!$C$17="",IFERROR(MATCH(설정!$C$17,INDEX(급여대장_원본!$A$1:$AZ$400,설정!$B$8,0),0),"")=""),"",IFERROR(VALUE(SUBSTITUTE(INDEX(급여대장_원본!$A$1:$AZ$400,(설정!$B$8+60),IFERROR(MATCH(설정!$C$17,INDEX(급여대장_원본!$A$1:$AZ$400,설정!$B$8,0),0),""))&amp;"",",","")),""))</f>
        <v/>
      </c>
      <c r="O66" s="2">
        <f>IF(OR(설정!$C$18="",IFERROR(MATCH(설정!$C$18,INDEX(급여대장_원본!$A$1:$AZ$400,설정!$B$8,0),0),"")=""),"",IFERROR(VALUE(SUBSTITUTE(INDEX(급여대장_원본!$A$1:$AZ$400,(설정!$B$8+60),IFERROR(MATCH(설정!$C$18,INDEX(급여대장_원본!$A$1:$AZ$400,설정!$B$8,0),0),""))&amp;"",",","")),""))</f>
        <v/>
      </c>
      <c r="P66" s="2">
        <f>IF(OR(설정!$C$19="",IFERROR(MATCH(설정!$C$19,INDEX(급여대장_원본!$A$1:$AZ$400,설정!$B$8,0),0),"")=""),"",IFERROR(VALUE(SUBSTITUTE(INDEX(급여대장_원본!$A$1:$AZ$400,(설정!$B$8+60),IFERROR(MATCH(설정!$C$19,INDEX(급여대장_원본!$A$1:$AZ$400,설정!$B$8,0),0),""))&amp;"",",","")),""))</f>
        <v/>
      </c>
      <c r="Q66" s="2">
        <f>IF(OR(설정!$C$20="",IFERROR(MATCH(설정!$C$20,INDEX(급여대장_원본!$A$1:$AZ$400,설정!$B$8,0),0),"")=""),"",IFERROR(VALUE(SUBSTITUTE(INDEX(급여대장_원본!$A$1:$AZ$400,(설정!$B$8+60),IFERROR(MATCH(설정!$C$20,INDEX(급여대장_원본!$A$1:$AZ$400,설정!$B$8,0),0),""))&amp;"",",","")),""))</f>
        <v/>
      </c>
      <c r="R66" s="2">
        <f>IF(OR(설정!$C$21="",IFERROR(MATCH(설정!$C$21,INDEX(급여대장_원본!$A$1:$AZ$400,설정!$B$8,0),0),"")=""),"",IFERROR(VALUE(SUBSTITUTE(INDEX(급여대장_원본!$A$1:$AZ$400,(설정!$B$8+60),IFERROR(MATCH(설정!$C$21,INDEX(급여대장_원본!$A$1:$AZ$400,설정!$B$8,0),0),""))&amp;"",",","")),""))</f>
        <v/>
      </c>
      <c r="S66" s="2">
        <f>IF(OR(설정!$C$22="",IFERROR(MATCH(설정!$C$22,INDEX(급여대장_원본!$A$1:$AZ$400,설정!$B$8,0),0),"")=""),"",IFERROR(VALUE(SUBSTITUTE(INDEX(급여대장_원본!$A$1:$AZ$400,(설정!$B$8+60),IFERROR(MATCH(설정!$C$22,INDEX(급여대장_원본!$A$1:$AZ$400,설정!$B$8,0),0),""))&amp;"",",","")),""))</f>
        <v/>
      </c>
      <c r="T66" s="2">
        <f>IF(OR(설정!$C$23="",IFERROR(MATCH(설정!$C$23,INDEX(급여대장_원본!$A$1:$AZ$400,설정!$B$8,0),0),"")=""),"",IFERROR(VALUE(SUBSTITUTE(INDEX(급여대장_원본!$A$1:$AZ$400,(설정!$B$8+60),IFERROR(MATCH(설정!$C$23,INDEX(급여대장_원본!$A$1:$AZ$400,설정!$B$8,0),0),""))&amp;"",",","")),""))</f>
        <v/>
      </c>
      <c r="U66" s="2">
        <f>IF(OR(설정!$C$24="",IFERROR(MATCH(설정!$C$24,INDEX(급여대장_원본!$A$1:$AZ$400,설정!$B$8,0),0),"")=""),"",IFERROR(VALUE(SUBSTITUTE(INDEX(급여대장_원본!$A$1:$AZ$400,(설정!$B$8+60),IFERROR(MATCH(설정!$C$24,INDEX(급여대장_원본!$A$1:$AZ$400,설정!$B$8,0),0),""))&amp;"",",","")),""))</f>
        <v/>
      </c>
      <c r="V66" s="27">
        <f>SUM(F66:M66)</f>
        <v/>
      </c>
      <c r="W66" s="27">
        <f>IF(설정!$D$26="",0,IFERROR(VALUE(SUBSTITUTE(SUBSTITUTE(INDEX(급여대장_원본!$A$1:$AZ$400,(설정!$B$8+60),설정!$D$26)&amp;"",",",""),"　","")),0))</f>
        <v/>
      </c>
      <c r="X66" s="27">
        <f>IF(설정!$D$27="",0,IFERROR(VALUE(SUBSTITUTE(SUBSTITUTE(INDEX(급여대장_원본!$A$1:$AZ$400,(설정!$B$8+60),설정!$D$27)&amp;"",",",""),"　","")),0))</f>
        <v/>
      </c>
      <c r="Y66" s="27">
        <f>IF(설정!$D$28="",0,IFERROR(VALUE(SUBSTITUTE(SUBSTITUTE(INDEX(급여대장_원본!$A$1:$AZ$400,(설정!$B$8+60),설정!$D$28)&amp;"",",",""),"　","")),0))</f>
        <v/>
      </c>
      <c r="Z66" s="27">
        <f>IF(설정!$D$29="",0,IFERROR(VALUE(SUBSTITUTE(SUBSTITUTE(INDEX(급여대장_원본!$A$1:$AZ$400,(설정!$B$8+60),설정!$D$29)&amp;"",",",""),"　","")),0))</f>
        <v/>
      </c>
      <c r="AA66" s="27">
        <f>IF(설정!$D$30="",0,IFERROR(VALUE(SUBSTITUTE(SUBSTITUTE(INDEX(급여대장_원본!$A$1:$AZ$400,(설정!$B$8+60),설정!$D$30)&amp;"",",",""),"　","")),0))</f>
        <v/>
      </c>
      <c r="AB66" s="27">
        <f>IF(설정!$D$31="",0,IFERROR(VALUE(SUBSTITUTE(SUBSTITUTE(INDEX(급여대장_원본!$A$1:$AZ$400,(설정!$B$8+60),설정!$D$31)&amp;"",",",""),"　","")),0))</f>
        <v/>
      </c>
      <c r="AC66" s="27">
        <f>IF(설정!$D$32="",0,IFERROR(VALUE(SUBSTITUTE(SUBSTITUTE(INDEX(급여대장_원본!$A$1:$AZ$400,(설정!$B$8+60),설정!$D$32)&amp;"",",",""),"　","")),0))</f>
        <v/>
      </c>
      <c r="AD66" s="27">
        <f>IF(설정!$D$33="",0,IFERROR(VALUE(SUBSTITUTE(SUBSTITUTE(INDEX(급여대장_원본!$A$1:$AZ$400,(설정!$B$8+60),설정!$D$33)&amp;"",",",""),"　","")),0))</f>
        <v/>
      </c>
      <c r="AE66" s="27">
        <f>SUM(W66:AD66)</f>
        <v/>
      </c>
      <c r="AF66" s="27">
        <f>V66-AE66</f>
        <v/>
      </c>
      <c r="AG66" s="27">
        <f>IF(설정!$D$35="","",IF(설정!$D$35="",0,IFERROR(VALUE(SUBSTITUTE(SUBSTITUTE(INDEX(급여대장_원본!$A$1:$AZ$400,(설정!$B$8+60),설정!$D$35)&amp;"",",",""),"　","")),0)))</f>
        <v/>
      </c>
      <c r="AH66" s="27">
        <f>IF(설정!$D$36="","",IF(설정!$D$36="",0,IFERROR(VALUE(SUBSTITUTE(SUBSTITUTE(INDEX(급여대장_원본!$A$1:$AZ$400,(설정!$B$8+60),설정!$D$36)&amp;"",",",""),"　","")),0)))</f>
        <v/>
      </c>
      <c r="AI66" s="27">
        <f>IF(설정!$D$37="","",IF(설정!$D$37="",0,IFERROR(VALUE(SUBSTITUTE(SUBSTITUTE(INDEX(급여대장_원본!$A$1:$AZ$400,(설정!$B$8+60),설정!$D$37)&amp;"",",",""),"　","")),0)))</f>
        <v/>
      </c>
      <c r="AJ66" s="2">
        <f>IFERROR(INDEX($D$7:$D$306,MATCH(60,$B$7:$B$306,0)),"")</f>
        <v/>
      </c>
    </row>
    <row r="67">
      <c r="A67" s="2">
        <f>IF(AND(D67&lt;&gt;"",D67&lt;&gt;"합계",D67&lt;&gt;"총계",D67&lt;&gt;"소계",D67&lt;&gt;"계"),1,0)</f>
        <v/>
      </c>
      <c r="B67" s="2">
        <f>IF(A67=1,SUM($A$7:A67),"")</f>
        <v/>
      </c>
      <c r="C67" s="2">
        <f>IF(설정!$D$13="","",TRIM(SUBSTITUTE(INDEX(급여대장_원본!$A$1:$AZ$400,(설정!$B$8+61),설정!$D$13)&amp;"","　"," ")))</f>
        <v/>
      </c>
      <c r="D67" s="2">
        <f>IF(설정!$D$14="","",TRIM(SUBSTITUTE(INDEX(급여대장_원본!$A$1:$AZ$400,(설정!$B$8+61),설정!$D$14)&amp;"","　"," ")))</f>
        <v/>
      </c>
      <c r="E67" s="2">
        <f>IF(설정!$D$15="","",TRIM(SUBSTITUTE(INDEX(급여대장_원본!$A$1:$AZ$400,(설정!$B$8+61),설정!$D$15)&amp;"","　"," ")))</f>
        <v/>
      </c>
      <c r="F67" s="27">
        <f>IF(설정!$D$17="",0,IFERROR(VALUE(SUBSTITUTE(SUBSTITUTE(INDEX(급여대장_원본!$A$1:$AZ$400,(설정!$B$8+61),설정!$D$17)&amp;"",",",""),"　","")),0))</f>
        <v/>
      </c>
      <c r="G67" s="27">
        <f>IF(설정!$D$18="",0,IFERROR(VALUE(SUBSTITUTE(SUBSTITUTE(INDEX(급여대장_원본!$A$1:$AZ$400,(설정!$B$8+61),설정!$D$18)&amp;"",",",""),"　","")),0))</f>
        <v/>
      </c>
      <c r="H67" s="27">
        <f>IF(설정!$D$19="",0,IFERROR(VALUE(SUBSTITUTE(SUBSTITUTE(INDEX(급여대장_원본!$A$1:$AZ$400,(설정!$B$8+61),설정!$D$19)&amp;"",",",""),"　","")),0))</f>
        <v/>
      </c>
      <c r="I67" s="27">
        <f>IF(설정!$D$20="",0,IFERROR(VALUE(SUBSTITUTE(SUBSTITUTE(INDEX(급여대장_원본!$A$1:$AZ$400,(설정!$B$8+61),설정!$D$20)&amp;"",",",""),"　","")),0))</f>
        <v/>
      </c>
      <c r="J67" s="27">
        <f>IF(설정!$D$21="",0,IFERROR(VALUE(SUBSTITUTE(SUBSTITUTE(INDEX(급여대장_원본!$A$1:$AZ$400,(설정!$B$8+61),설정!$D$21)&amp;"",",",""),"　","")),0))</f>
        <v/>
      </c>
      <c r="K67" s="27">
        <f>IF(설정!$D$22="",0,IFERROR(VALUE(SUBSTITUTE(SUBSTITUTE(INDEX(급여대장_원본!$A$1:$AZ$400,(설정!$B$8+61),설정!$D$22)&amp;"",",",""),"　","")),0))</f>
        <v/>
      </c>
      <c r="L67" s="27">
        <f>IF(설정!$D$23="",0,IFERROR(VALUE(SUBSTITUTE(SUBSTITUTE(INDEX(급여대장_원본!$A$1:$AZ$400,(설정!$B$8+61),설정!$D$23)&amp;"",",",""),"　","")),0))</f>
        <v/>
      </c>
      <c r="M67" s="27">
        <f>IF(설정!$D$24="",0,IFERROR(VALUE(SUBSTITUTE(SUBSTITUTE(INDEX(급여대장_원본!$A$1:$AZ$400,(설정!$B$8+61),설정!$D$24)&amp;"",",",""),"　","")),0))</f>
        <v/>
      </c>
      <c r="N67" s="2">
        <f>IF(OR(설정!$C$17="",IFERROR(MATCH(설정!$C$17,INDEX(급여대장_원본!$A$1:$AZ$400,설정!$B$8,0),0),"")=""),"",IFERROR(VALUE(SUBSTITUTE(INDEX(급여대장_원본!$A$1:$AZ$400,(설정!$B$8+61),IFERROR(MATCH(설정!$C$17,INDEX(급여대장_원본!$A$1:$AZ$400,설정!$B$8,0),0),""))&amp;"",",","")),""))</f>
        <v/>
      </c>
      <c r="O67" s="2">
        <f>IF(OR(설정!$C$18="",IFERROR(MATCH(설정!$C$18,INDEX(급여대장_원본!$A$1:$AZ$400,설정!$B$8,0),0),"")=""),"",IFERROR(VALUE(SUBSTITUTE(INDEX(급여대장_원본!$A$1:$AZ$400,(설정!$B$8+61),IFERROR(MATCH(설정!$C$18,INDEX(급여대장_원본!$A$1:$AZ$400,설정!$B$8,0),0),""))&amp;"",",","")),""))</f>
        <v/>
      </c>
      <c r="P67" s="2">
        <f>IF(OR(설정!$C$19="",IFERROR(MATCH(설정!$C$19,INDEX(급여대장_원본!$A$1:$AZ$400,설정!$B$8,0),0),"")=""),"",IFERROR(VALUE(SUBSTITUTE(INDEX(급여대장_원본!$A$1:$AZ$400,(설정!$B$8+61),IFERROR(MATCH(설정!$C$19,INDEX(급여대장_원본!$A$1:$AZ$400,설정!$B$8,0),0),""))&amp;"",",","")),""))</f>
        <v/>
      </c>
      <c r="Q67" s="2">
        <f>IF(OR(설정!$C$20="",IFERROR(MATCH(설정!$C$20,INDEX(급여대장_원본!$A$1:$AZ$400,설정!$B$8,0),0),"")=""),"",IFERROR(VALUE(SUBSTITUTE(INDEX(급여대장_원본!$A$1:$AZ$400,(설정!$B$8+61),IFERROR(MATCH(설정!$C$20,INDEX(급여대장_원본!$A$1:$AZ$400,설정!$B$8,0),0),""))&amp;"",",","")),""))</f>
        <v/>
      </c>
      <c r="R67" s="2">
        <f>IF(OR(설정!$C$21="",IFERROR(MATCH(설정!$C$21,INDEX(급여대장_원본!$A$1:$AZ$400,설정!$B$8,0),0),"")=""),"",IFERROR(VALUE(SUBSTITUTE(INDEX(급여대장_원본!$A$1:$AZ$400,(설정!$B$8+61),IFERROR(MATCH(설정!$C$21,INDEX(급여대장_원본!$A$1:$AZ$400,설정!$B$8,0),0),""))&amp;"",",","")),""))</f>
        <v/>
      </c>
      <c r="S67" s="2">
        <f>IF(OR(설정!$C$22="",IFERROR(MATCH(설정!$C$22,INDEX(급여대장_원본!$A$1:$AZ$400,설정!$B$8,0),0),"")=""),"",IFERROR(VALUE(SUBSTITUTE(INDEX(급여대장_원본!$A$1:$AZ$400,(설정!$B$8+61),IFERROR(MATCH(설정!$C$22,INDEX(급여대장_원본!$A$1:$AZ$400,설정!$B$8,0),0),""))&amp;"",",","")),""))</f>
        <v/>
      </c>
      <c r="T67" s="2">
        <f>IF(OR(설정!$C$23="",IFERROR(MATCH(설정!$C$23,INDEX(급여대장_원본!$A$1:$AZ$400,설정!$B$8,0),0),"")=""),"",IFERROR(VALUE(SUBSTITUTE(INDEX(급여대장_원본!$A$1:$AZ$400,(설정!$B$8+61),IFERROR(MATCH(설정!$C$23,INDEX(급여대장_원본!$A$1:$AZ$400,설정!$B$8,0),0),""))&amp;"",",","")),""))</f>
        <v/>
      </c>
      <c r="U67" s="2">
        <f>IF(OR(설정!$C$24="",IFERROR(MATCH(설정!$C$24,INDEX(급여대장_원본!$A$1:$AZ$400,설정!$B$8,0),0),"")=""),"",IFERROR(VALUE(SUBSTITUTE(INDEX(급여대장_원본!$A$1:$AZ$400,(설정!$B$8+61),IFERROR(MATCH(설정!$C$24,INDEX(급여대장_원본!$A$1:$AZ$400,설정!$B$8,0),0),""))&amp;"",",","")),""))</f>
        <v/>
      </c>
      <c r="V67" s="27">
        <f>SUM(F67:M67)</f>
        <v/>
      </c>
      <c r="W67" s="27">
        <f>IF(설정!$D$26="",0,IFERROR(VALUE(SUBSTITUTE(SUBSTITUTE(INDEX(급여대장_원본!$A$1:$AZ$400,(설정!$B$8+61),설정!$D$26)&amp;"",",",""),"　","")),0))</f>
        <v/>
      </c>
      <c r="X67" s="27">
        <f>IF(설정!$D$27="",0,IFERROR(VALUE(SUBSTITUTE(SUBSTITUTE(INDEX(급여대장_원본!$A$1:$AZ$400,(설정!$B$8+61),설정!$D$27)&amp;"",",",""),"　","")),0))</f>
        <v/>
      </c>
      <c r="Y67" s="27">
        <f>IF(설정!$D$28="",0,IFERROR(VALUE(SUBSTITUTE(SUBSTITUTE(INDEX(급여대장_원본!$A$1:$AZ$400,(설정!$B$8+61),설정!$D$28)&amp;"",",",""),"　","")),0))</f>
        <v/>
      </c>
      <c r="Z67" s="27">
        <f>IF(설정!$D$29="",0,IFERROR(VALUE(SUBSTITUTE(SUBSTITUTE(INDEX(급여대장_원본!$A$1:$AZ$400,(설정!$B$8+61),설정!$D$29)&amp;"",",",""),"　","")),0))</f>
        <v/>
      </c>
      <c r="AA67" s="27">
        <f>IF(설정!$D$30="",0,IFERROR(VALUE(SUBSTITUTE(SUBSTITUTE(INDEX(급여대장_원본!$A$1:$AZ$400,(설정!$B$8+61),설정!$D$30)&amp;"",",",""),"　","")),0))</f>
        <v/>
      </c>
      <c r="AB67" s="27">
        <f>IF(설정!$D$31="",0,IFERROR(VALUE(SUBSTITUTE(SUBSTITUTE(INDEX(급여대장_원본!$A$1:$AZ$400,(설정!$B$8+61),설정!$D$31)&amp;"",",",""),"　","")),0))</f>
        <v/>
      </c>
      <c r="AC67" s="27">
        <f>IF(설정!$D$32="",0,IFERROR(VALUE(SUBSTITUTE(SUBSTITUTE(INDEX(급여대장_원본!$A$1:$AZ$400,(설정!$B$8+61),설정!$D$32)&amp;"",",",""),"　","")),0))</f>
        <v/>
      </c>
      <c r="AD67" s="27">
        <f>IF(설정!$D$33="",0,IFERROR(VALUE(SUBSTITUTE(SUBSTITUTE(INDEX(급여대장_원본!$A$1:$AZ$400,(설정!$B$8+61),설정!$D$33)&amp;"",",",""),"　","")),0))</f>
        <v/>
      </c>
      <c r="AE67" s="27">
        <f>SUM(W67:AD67)</f>
        <v/>
      </c>
      <c r="AF67" s="27">
        <f>V67-AE67</f>
        <v/>
      </c>
      <c r="AG67" s="27">
        <f>IF(설정!$D$35="","",IF(설정!$D$35="",0,IFERROR(VALUE(SUBSTITUTE(SUBSTITUTE(INDEX(급여대장_원본!$A$1:$AZ$400,(설정!$B$8+61),설정!$D$35)&amp;"",",",""),"　","")),0)))</f>
        <v/>
      </c>
      <c r="AH67" s="27">
        <f>IF(설정!$D$36="","",IF(설정!$D$36="",0,IFERROR(VALUE(SUBSTITUTE(SUBSTITUTE(INDEX(급여대장_원본!$A$1:$AZ$400,(설정!$B$8+61),설정!$D$36)&amp;"",",",""),"　","")),0)))</f>
        <v/>
      </c>
      <c r="AI67" s="27">
        <f>IF(설정!$D$37="","",IF(설정!$D$37="",0,IFERROR(VALUE(SUBSTITUTE(SUBSTITUTE(INDEX(급여대장_원본!$A$1:$AZ$400,(설정!$B$8+61),설정!$D$37)&amp;"",",",""),"　","")),0)))</f>
        <v/>
      </c>
      <c r="AJ67" s="2">
        <f>IFERROR(INDEX($D$7:$D$306,MATCH(61,$B$7:$B$306,0)),"")</f>
        <v/>
      </c>
    </row>
    <row r="68">
      <c r="A68" s="2">
        <f>IF(AND(D68&lt;&gt;"",D68&lt;&gt;"합계",D68&lt;&gt;"총계",D68&lt;&gt;"소계",D68&lt;&gt;"계"),1,0)</f>
        <v/>
      </c>
      <c r="B68" s="2">
        <f>IF(A68=1,SUM($A$7:A68),"")</f>
        <v/>
      </c>
      <c r="C68" s="2">
        <f>IF(설정!$D$13="","",TRIM(SUBSTITUTE(INDEX(급여대장_원본!$A$1:$AZ$400,(설정!$B$8+62),설정!$D$13)&amp;"","　"," ")))</f>
        <v/>
      </c>
      <c r="D68" s="2">
        <f>IF(설정!$D$14="","",TRIM(SUBSTITUTE(INDEX(급여대장_원본!$A$1:$AZ$400,(설정!$B$8+62),설정!$D$14)&amp;"","　"," ")))</f>
        <v/>
      </c>
      <c r="E68" s="2">
        <f>IF(설정!$D$15="","",TRIM(SUBSTITUTE(INDEX(급여대장_원본!$A$1:$AZ$400,(설정!$B$8+62),설정!$D$15)&amp;"","　"," ")))</f>
        <v/>
      </c>
      <c r="F68" s="27">
        <f>IF(설정!$D$17="",0,IFERROR(VALUE(SUBSTITUTE(SUBSTITUTE(INDEX(급여대장_원본!$A$1:$AZ$400,(설정!$B$8+62),설정!$D$17)&amp;"",",",""),"　","")),0))</f>
        <v/>
      </c>
      <c r="G68" s="27">
        <f>IF(설정!$D$18="",0,IFERROR(VALUE(SUBSTITUTE(SUBSTITUTE(INDEX(급여대장_원본!$A$1:$AZ$400,(설정!$B$8+62),설정!$D$18)&amp;"",",",""),"　","")),0))</f>
        <v/>
      </c>
      <c r="H68" s="27">
        <f>IF(설정!$D$19="",0,IFERROR(VALUE(SUBSTITUTE(SUBSTITUTE(INDEX(급여대장_원본!$A$1:$AZ$400,(설정!$B$8+62),설정!$D$19)&amp;"",",",""),"　","")),0))</f>
        <v/>
      </c>
      <c r="I68" s="27">
        <f>IF(설정!$D$20="",0,IFERROR(VALUE(SUBSTITUTE(SUBSTITUTE(INDEX(급여대장_원본!$A$1:$AZ$400,(설정!$B$8+62),설정!$D$20)&amp;"",",",""),"　","")),0))</f>
        <v/>
      </c>
      <c r="J68" s="27">
        <f>IF(설정!$D$21="",0,IFERROR(VALUE(SUBSTITUTE(SUBSTITUTE(INDEX(급여대장_원본!$A$1:$AZ$400,(설정!$B$8+62),설정!$D$21)&amp;"",",",""),"　","")),0))</f>
        <v/>
      </c>
      <c r="K68" s="27">
        <f>IF(설정!$D$22="",0,IFERROR(VALUE(SUBSTITUTE(SUBSTITUTE(INDEX(급여대장_원본!$A$1:$AZ$400,(설정!$B$8+62),설정!$D$22)&amp;"",",",""),"　","")),0))</f>
        <v/>
      </c>
      <c r="L68" s="27">
        <f>IF(설정!$D$23="",0,IFERROR(VALUE(SUBSTITUTE(SUBSTITUTE(INDEX(급여대장_원본!$A$1:$AZ$400,(설정!$B$8+62),설정!$D$23)&amp;"",",",""),"　","")),0))</f>
        <v/>
      </c>
      <c r="M68" s="27">
        <f>IF(설정!$D$24="",0,IFERROR(VALUE(SUBSTITUTE(SUBSTITUTE(INDEX(급여대장_원본!$A$1:$AZ$400,(설정!$B$8+62),설정!$D$24)&amp;"",",",""),"　","")),0))</f>
        <v/>
      </c>
      <c r="N68" s="2">
        <f>IF(OR(설정!$C$17="",IFERROR(MATCH(설정!$C$17,INDEX(급여대장_원본!$A$1:$AZ$400,설정!$B$8,0),0),"")=""),"",IFERROR(VALUE(SUBSTITUTE(INDEX(급여대장_원본!$A$1:$AZ$400,(설정!$B$8+62),IFERROR(MATCH(설정!$C$17,INDEX(급여대장_원본!$A$1:$AZ$400,설정!$B$8,0),0),""))&amp;"",",","")),""))</f>
        <v/>
      </c>
      <c r="O68" s="2">
        <f>IF(OR(설정!$C$18="",IFERROR(MATCH(설정!$C$18,INDEX(급여대장_원본!$A$1:$AZ$400,설정!$B$8,0),0),"")=""),"",IFERROR(VALUE(SUBSTITUTE(INDEX(급여대장_원본!$A$1:$AZ$400,(설정!$B$8+62),IFERROR(MATCH(설정!$C$18,INDEX(급여대장_원본!$A$1:$AZ$400,설정!$B$8,0),0),""))&amp;"",",","")),""))</f>
        <v/>
      </c>
      <c r="P68" s="2">
        <f>IF(OR(설정!$C$19="",IFERROR(MATCH(설정!$C$19,INDEX(급여대장_원본!$A$1:$AZ$400,설정!$B$8,0),0),"")=""),"",IFERROR(VALUE(SUBSTITUTE(INDEX(급여대장_원본!$A$1:$AZ$400,(설정!$B$8+62),IFERROR(MATCH(설정!$C$19,INDEX(급여대장_원본!$A$1:$AZ$400,설정!$B$8,0),0),""))&amp;"",",","")),""))</f>
        <v/>
      </c>
      <c r="Q68" s="2">
        <f>IF(OR(설정!$C$20="",IFERROR(MATCH(설정!$C$20,INDEX(급여대장_원본!$A$1:$AZ$400,설정!$B$8,0),0),"")=""),"",IFERROR(VALUE(SUBSTITUTE(INDEX(급여대장_원본!$A$1:$AZ$400,(설정!$B$8+62),IFERROR(MATCH(설정!$C$20,INDEX(급여대장_원본!$A$1:$AZ$400,설정!$B$8,0),0),""))&amp;"",",","")),""))</f>
        <v/>
      </c>
      <c r="R68" s="2">
        <f>IF(OR(설정!$C$21="",IFERROR(MATCH(설정!$C$21,INDEX(급여대장_원본!$A$1:$AZ$400,설정!$B$8,0),0),"")=""),"",IFERROR(VALUE(SUBSTITUTE(INDEX(급여대장_원본!$A$1:$AZ$400,(설정!$B$8+62),IFERROR(MATCH(설정!$C$21,INDEX(급여대장_원본!$A$1:$AZ$400,설정!$B$8,0),0),""))&amp;"",",","")),""))</f>
        <v/>
      </c>
      <c r="S68" s="2">
        <f>IF(OR(설정!$C$22="",IFERROR(MATCH(설정!$C$22,INDEX(급여대장_원본!$A$1:$AZ$400,설정!$B$8,0),0),"")=""),"",IFERROR(VALUE(SUBSTITUTE(INDEX(급여대장_원본!$A$1:$AZ$400,(설정!$B$8+62),IFERROR(MATCH(설정!$C$22,INDEX(급여대장_원본!$A$1:$AZ$400,설정!$B$8,0),0),""))&amp;"",",","")),""))</f>
        <v/>
      </c>
      <c r="T68" s="2">
        <f>IF(OR(설정!$C$23="",IFERROR(MATCH(설정!$C$23,INDEX(급여대장_원본!$A$1:$AZ$400,설정!$B$8,0),0),"")=""),"",IFERROR(VALUE(SUBSTITUTE(INDEX(급여대장_원본!$A$1:$AZ$400,(설정!$B$8+62),IFERROR(MATCH(설정!$C$23,INDEX(급여대장_원본!$A$1:$AZ$400,설정!$B$8,0),0),""))&amp;"",",","")),""))</f>
        <v/>
      </c>
      <c r="U68" s="2">
        <f>IF(OR(설정!$C$24="",IFERROR(MATCH(설정!$C$24,INDEX(급여대장_원본!$A$1:$AZ$400,설정!$B$8,0),0),"")=""),"",IFERROR(VALUE(SUBSTITUTE(INDEX(급여대장_원본!$A$1:$AZ$400,(설정!$B$8+62),IFERROR(MATCH(설정!$C$24,INDEX(급여대장_원본!$A$1:$AZ$400,설정!$B$8,0),0),""))&amp;"",",","")),""))</f>
        <v/>
      </c>
      <c r="V68" s="27">
        <f>SUM(F68:M68)</f>
        <v/>
      </c>
      <c r="W68" s="27">
        <f>IF(설정!$D$26="",0,IFERROR(VALUE(SUBSTITUTE(SUBSTITUTE(INDEX(급여대장_원본!$A$1:$AZ$400,(설정!$B$8+62),설정!$D$26)&amp;"",",",""),"　","")),0))</f>
        <v/>
      </c>
      <c r="X68" s="27">
        <f>IF(설정!$D$27="",0,IFERROR(VALUE(SUBSTITUTE(SUBSTITUTE(INDEX(급여대장_원본!$A$1:$AZ$400,(설정!$B$8+62),설정!$D$27)&amp;"",",",""),"　","")),0))</f>
        <v/>
      </c>
      <c r="Y68" s="27">
        <f>IF(설정!$D$28="",0,IFERROR(VALUE(SUBSTITUTE(SUBSTITUTE(INDEX(급여대장_원본!$A$1:$AZ$400,(설정!$B$8+62),설정!$D$28)&amp;"",",",""),"　","")),0))</f>
        <v/>
      </c>
      <c r="Z68" s="27">
        <f>IF(설정!$D$29="",0,IFERROR(VALUE(SUBSTITUTE(SUBSTITUTE(INDEX(급여대장_원본!$A$1:$AZ$400,(설정!$B$8+62),설정!$D$29)&amp;"",",",""),"　","")),0))</f>
        <v/>
      </c>
      <c r="AA68" s="27">
        <f>IF(설정!$D$30="",0,IFERROR(VALUE(SUBSTITUTE(SUBSTITUTE(INDEX(급여대장_원본!$A$1:$AZ$400,(설정!$B$8+62),설정!$D$30)&amp;"",",",""),"　","")),0))</f>
        <v/>
      </c>
      <c r="AB68" s="27">
        <f>IF(설정!$D$31="",0,IFERROR(VALUE(SUBSTITUTE(SUBSTITUTE(INDEX(급여대장_원본!$A$1:$AZ$400,(설정!$B$8+62),설정!$D$31)&amp;"",",",""),"　","")),0))</f>
        <v/>
      </c>
      <c r="AC68" s="27">
        <f>IF(설정!$D$32="",0,IFERROR(VALUE(SUBSTITUTE(SUBSTITUTE(INDEX(급여대장_원본!$A$1:$AZ$400,(설정!$B$8+62),설정!$D$32)&amp;"",",",""),"　","")),0))</f>
        <v/>
      </c>
      <c r="AD68" s="27">
        <f>IF(설정!$D$33="",0,IFERROR(VALUE(SUBSTITUTE(SUBSTITUTE(INDEX(급여대장_원본!$A$1:$AZ$400,(설정!$B$8+62),설정!$D$33)&amp;"",",",""),"　","")),0))</f>
        <v/>
      </c>
      <c r="AE68" s="27">
        <f>SUM(W68:AD68)</f>
        <v/>
      </c>
      <c r="AF68" s="27">
        <f>V68-AE68</f>
        <v/>
      </c>
      <c r="AG68" s="27">
        <f>IF(설정!$D$35="","",IF(설정!$D$35="",0,IFERROR(VALUE(SUBSTITUTE(SUBSTITUTE(INDEX(급여대장_원본!$A$1:$AZ$400,(설정!$B$8+62),설정!$D$35)&amp;"",",",""),"　","")),0)))</f>
        <v/>
      </c>
      <c r="AH68" s="27">
        <f>IF(설정!$D$36="","",IF(설정!$D$36="",0,IFERROR(VALUE(SUBSTITUTE(SUBSTITUTE(INDEX(급여대장_원본!$A$1:$AZ$400,(설정!$B$8+62),설정!$D$36)&amp;"",",",""),"　","")),0)))</f>
        <v/>
      </c>
      <c r="AI68" s="27">
        <f>IF(설정!$D$37="","",IF(설정!$D$37="",0,IFERROR(VALUE(SUBSTITUTE(SUBSTITUTE(INDEX(급여대장_원본!$A$1:$AZ$400,(설정!$B$8+62),설정!$D$37)&amp;"",",",""),"　","")),0)))</f>
        <v/>
      </c>
      <c r="AJ68" s="2">
        <f>IFERROR(INDEX($D$7:$D$306,MATCH(62,$B$7:$B$306,0)),"")</f>
        <v/>
      </c>
    </row>
    <row r="69">
      <c r="A69" s="2">
        <f>IF(AND(D69&lt;&gt;"",D69&lt;&gt;"합계",D69&lt;&gt;"총계",D69&lt;&gt;"소계",D69&lt;&gt;"계"),1,0)</f>
        <v/>
      </c>
      <c r="B69" s="2">
        <f>IF(A69=1,SUM($A$7:A69),"")</f>
        <v/>
      </c>
      <c r="C69" s="2">
        <f>IF(설정!$D$13="","",TRIM(SUBSTITUTE(INDEX(급여대장_원본!$A$1:$AZ$400,(설정!$B$8+63),설정!$D$13)&amp;"","　"," ")))</f>
        <v/>
      </c>
      <c r="D69" s="2">
        <f>IF(설정!$D$14="","",TRIM(SUBSTITUTE(INDEX(급여대장_원본!$A$1:$AZ$400,(설정!$B$8+63),설정!$D$14)&amp;"","　"," ")))</f>
        <v/>
      </c>
      <c r="E69" s="2">
        <f>IF(설정!$D$15="","",TRIM(SUBSTITUTE(INDEX(급여대장_원본!$A$1:$AZ$400,(설정!$B$8+63),설정!$D$15)&amp;"","　"," ")))</f>
        <v/>
      </c>
      <c r="F69" s="27">
        <f>IF(설정!$D$17="",0,IFERROR(VALUE(SUBSTITUTE(SUBSTITUTE(INDEX(급여대장_원본!$A$1:$AZ$400,(설정!$B$8+63),설정!$D$17)&amp;"",",",""),"　","")),0))</f>
        <v/>
      </c>
      <c r="G69" s="27">
        <f>IF(설정!$D$18="",0,IFERROR(VALUE(SUBSTITUTE(SUBSTITUTE(INDEX(급여대장_원본!$A$1:$AZ$400,(설정!$B$8+63),설정!$D$18)&amp;"",",",""),"　","")),0))</f>
        <v/>
      </c>
      <c r="H69" s="27">
        <f>IF(설정!$D$19="",0,IFERROR(VALUE(SUBSTITUTE(SUBSTITUTE(INDEX(급여대장_원본!$A$1:$AZ$400,(설정!$B$8+63),설정!$D$19)&amp;"",",",""),"　","")),0))</f>
        <v/>
      </c>
      <c r="I69" s="27">
        <f>IF(설정!$D$20="",0,IFERROR(VALUE(SUBSTITUTE(SUBSTITUTE(INDEX(급여대장_원본!$A$1:$AZ$400,(설정!$B$8+63),설정!$D$20)&amp;"",",",""),"　","")),0))</f>
        <v/>
      </c>
      <c r="J69" s="27">
        <f>IF(설정!$D$21="",0,IFERROR(VALUE(SUBSTITUTE(SUBSTITUTE(INDEX(급여대장_원본!$A$1:$AZ$400,(설정!$B$8+63),설정!$D$21)&amp;"",",",""),"　","")),0))</f>
        <v/>
      </c>
      <c r="K69" s="27">
        <f>IF(설정!$D$22="",0,IFERROR(VALUE(SUBSTITUTE(SUBSTITUTE(INDEX(급여대장_원본!$A$1:$AZ$400,(설정!$B$8+63),설정!$D$22)&amp;"",",",""),"　","")),0))</f>
        <v/>
      </c>
      <c r="L69" s="27">
        <f>IF(설정!$D$23="",0,IFERROR(VALUE(SUBSTITUTE(SUBSTITUTE(INDEX(급여대장_원본!$A$1:$AZ$400,(설정!$B$8+63),설정!$D$23)&amp;"",",",""),"　","")),0))</f>
        <v/>
      </c>
      <c r="M69" s="27">
        <f>IF(설정!$D$24="",0,IFERROR(VALUE(SUBSTITUTE(SUBSTITUTE(INDEX(급여대장_원본!$A$1:$AZ$400,(설정!$B$8+63),설정!$D$24)&amp;"",",",""),"　","")),0))</f>
        <v/>
      </c>
      <c r="N69" s="2">
        <f>IF(OR(설정!$C$17="",IFERROR(MATCH(설정!$C$17,INDEX(급여대장_원본!$A$1:$AZ$400,설정!$B$8,0),0),"")=""),"",IFERROR(VALUE(SUBSTITUTE(INDEX(급여대장_원본!$A$1:$AZ$400,(설정!$B$8+63),IFERROR(MATCH(설정!$C$17,INDEX(급여대장_원본!$A$1:$AZ$400,설정!$B$8,0),0),""))&amp;"",",","")),""))</f>
        <v/>
      </c>
      <c r="O69" s="2">
        <f>IF(OR(설정!$C$18="",IFERROR(MATCH(설정!$C$18,INDEX(급여대장_원본!$A$1:$AZ$400,설정!$B$8,0),0),"")=""),"",IFERROR(VALUE(SUBSTITUTE(INDEX(급여대장_원본!$A$1:$AZ$400,(설정!$B$8+63),IFERROR(MATCH(설정!$C$18,INDEX(급여대장_원본!$A$1:$AZ$400,설정!$B$8,0),0),""))&amp;"",",","")),""))</f>
        <v/>
      </c>
      <c r="P69" s="2">
        <f>IF(OR(설정!$C$19="",IFERROR(MATCH(설정!$C$19,INDEX(급여대장_원본!$A$1:$AZ$400,설정!$B$8,0),0),"")=""),"",IFERROR(VALUE(SUBSTITUTE(INDEX(급여대장_원본!$A$1:$AZ$400,(설정!$B$8+63),IFERROR(MATCH(설정!$C$19,INDEX(급여대장_원본!$A$1:$AZ$400,설정!$B$8,0),0),""))&amp;"",",","")),""))</f>
        <v/>
      </c>
      <c r="Q69" s="2">
        <f>IF(OR(설정!$C$20="",IFERROR(MATCH(설정!$C$20,INDEX(급여대장_원본!$A$1:$AZ$400,설정!$B$8,0),0),"")=""),"",IFERROR(VALUE(SUBSTITUTE(INDEX(급여대장_원본!$A$1:$AZ$400,(설정!$B$8+63),IFERROR(MATCH(설정!$C$20,INDEX(급여대장_원본!$A$1:$AZ$400,설정!$B$8,0),0),""))&amp;"",",","")),""))</f>
        <v/>
      </c>
      <c r="R69" s="2">
        <f>IF(OR(설정!$C$21="",IFERROR(MATCH(설정!$C$21,INDEX(급여대장_원본!$A$1:$AZ$400,설정!$B$8,0),0),"")=""),"",IFERROR(VALUE(SUBSTITUTE(INDEX(급여대장_원본!$A$1:$AZ$400,(설정!$B$8+63),IFERROR(MATCH(설정!$C$21,INDEX(급여대장_원본!$A$1:$AZ$400,설정!$B$8,0),0),""))&amp;"",",","")),""))</f>
        <v/>
      </c>
      <c r="S69" s="2">
        <f>IF(OR(설정!$C$22="",IFERROR(MATCH(설정!$C$22,INDEX(급여대장_원본!$A$1:$AZ$400,설정!$B$8,0),0),"")=""),"",IFERROR(VALUE(SUBSTITUTE(INDEX(급여대장_원본!$A$1:$AZ$400,(설정!$B$8+63),IFERROR(MATCH(설정!$C$22,INDEX(급여대장_원본!$A$1:$AZ$400,설정!$B$8,0),0),""))&amp;"",",","")),""))</f>
        <v/>
      </c>
      <c r="T69" s="2">
        <f>IF(OR(설정!$C$23="",IFERROR(MATCH(설정!$C$23,INDEX(급여대장_원본!$A$1:$AZ$400,설정!$B$8,0),0),"")=""),"",IFERROR(VALUE(SUBSTITUTE(INDEX(급여대장_원본!$A$1:$AZ$400,(설정!$B$8+63),IFERROR(MATCH(설정!$C$23,INDEX(급여대장_원본!$A$1:$AZ$400,설정!$B$8,0),0),""))&amp;"",",","")),""))</f>
        <v/>
      </c>
      <c r="U69" s="2">
        <f>IF(OR(설정!$C$24="",IFERROR(MATCH(설정!$C$24,INDEX(급여대장_원본!$A$1:$AZ$400,설정!$B$8,0),0),"")=""),"",IFERROR(VALUE(SUBSTITUTE(INDEX(급여대장_원본!$A$1:$AZ$400,(설정!$B$8+63),IFERROR(MATCH(설정!$C$24,INDEX(급여대장_원본!$A$1:$AZ$400,설정!$B$8,0),0),""))&amp;"",",","")),""))</f>
        <v/>
      </c>
      <c r="V69" s="27">
        <f>SUM(F69:M69)</f>
        <v/>
      </c>
      <c r="W69" s="27">
        <f>IF(설정!$D$26="",0,IFERROR(VALUE(SUBSTITUTE(SUBSTITUTE(INDEX(급여대장_원본!$A$1:$AZ$400,(설정!$B$8+63),설정!$D$26)&amp;"",",",""),"　","")),0))</f>
        <v/>
      </c>
      <c r="X69" s="27">
        <f>IF(설정!$D$27="",0,IFERROR(VALUE(SUBSTITUTE(SUBSTITUTE(INDEX(급여대장_원본!$A$1:$AZ$400,(설정!$B$8+63),설정!$D$27)&amp;"",",",""),"　","")),0))</f>
        <v/>
      </c>
      <c r="Y69" s="27">
        <f>IF(설정!$D$28="",0,IFERROR(VALUE(SUBSTITUTE(SUBSTITUTE(INDEX(급여대장_원본!$A$1:$AZ$400,(설정!$B$8+63),설정!$D$28)&amp;"",",",""),"　","")),0))</f>
        <v/>
      </c>
      <c r="Z69" s="27">
        <f>IF(설정!$D$29="",0,IFERROR(VALUE(SUBSTITUTE(SUBSTITUTE(INDEX(급여대장_원본!$A$1:$AZ$400,(설정!$B$8+63),설정!$D$29)&amp;"",",",""),"　","")),0))</f>
        <v/>
      </c>
      <c r="AA69" s="27">
        <f>IF(설정!$D$30="",0,IFERROR(VALUE(SUBSTITUTE(SUBSTITUTE(INDEX(급여대장_원본!$A$1:$AZ$400,(설정!$B$8+63),설정!$D$30)&amp;"",",",""),"　","")),0))</f>
        <v/>
      </c>
      <c r="AB69" s="27">
        <f>IF(설정!$D$31="",0,IFERROR(VALUE(SUBSTITUTE(SUBSTITUTE(INDEX(급여대장_원본!$A$1:$AZ$400,(설정!$B$8+63),설정!$D$31)&amp;"",",",""),"　","")),0))</f>
        <v/>
      </c>
      <c r="AC69" s="27">
        <f>IF(설정!$D$32="",0,IFERROR(VALUE(SUBSTITUTE(SUBSTITUTE(INDEX(급여대장_원본!$A$1:$AZ$400,(설정!$B$8+63),설정!$D$32)&amp;"",",",""),"　","")),0))</f>
        <v/>
      </c>
      <c r="AD69" s="27">
        <f>IF(설정!$D$33="",0,IFERROR(VALUE(SUBSTITUTE(SUBSTITUTE(INDEX(급여대장_원본!$A$1:$AZ$400,(설정!$B$8+63),설정!$D$33)&amp;"",",",""),"　","")),0))</f>
        <v/>
      </c>
      <c r="AE69" s="27">
        <f>SUM(W69:AD69)</f>
        <v/>
      </c>
      <c r="AF69" s="27">
        <f>V69-AE69</f>
        <v/>
      </c>
      <c r="AG69" s="27">
        <f>IF(설정!$D$35="","",IF(설정!$D$35="",0,IFERROR(VALUE(SUBSTITUTE(SUBSTITUTE(INDEX(급여대장_원본!$A$1:$AZ$400,(설정!$B$8+63),설정!$D$35)&amp;"",",",""),"　","")),0)))</f>
        <v/>
      </c>
      <c r="AH69" s="27">
        <f>IF(설정!$D$36="","",IF(설정!$D$36="",0,IFERROR(VALUE(SUBSTITUTE(SUBSTITUTE(INDEX(급여대장_원본!$A$1:$AZ$400,(설정!$B$8+63),설정!$D$36)&amp;"",",",""),"　","")),0)))</f>
        <v/>
      </c>
      <c r="AI69" s="27">
        <f>IF(설정!$D$37="","",IF(설정!$D$37="",0,IFERROR(VALUE(SUBSTITUTE(SUBSTITUTE(INDEX(급여대장_원본!$A$1:$AZ$400,(설정!$B$8+63),설정!$D$37)&amp;"",",",""),"　","")),0)))</f>
        <v/>
      </c>
      <c r="AJ69" s="2">
        <f>IFERROR(INDEX($D$7:$D$306,MATCH(63,$B$7:$B$306,0)),"")</f>
        <v/>
      </c>
    </row>
    <row r="70">
      <c r="A70" s="2">
        <f>IF(AND(D70&lt;&gt;"",D70&lt;&gt;"합계",D70&lt;&gt;"총계",D70&lt;&gt;"소계",D70&lt;&gt;"계"),1,0)</f>
        <v/>
      </c>
      <c r="B70" s="2">
        <f>IF(A70=1,SUM($A$7:A70),"")</f>
        <v/>
      </c>
      <c r="C70" s="2">
        <f>IF(설정!$D$13="","",TRIM(SUBSTITUTE(INDEX(급여대장_원본!$A$1:$AZ$400,(설정!$B$8+64),설정!$D$13)&amp;"","　"," ")))</f>
        <v/>
      </c>
      <c r="D70" s="2">
        <f>IF(설정!$D$14="","",TRIM(SUBSTITUTE(INDEX(급여대장_원본!$A$1:$AZ$400,(설정!$B$8+64),설정!$D$14)&amp;"","　"," ")))</f>
        <v/>
      </c>
      <c r="E70" s="2">
        <f>IF(설정!$D$15="","",TRIM(SUBSTITUTE(INDEX(급여대장_원본!$A$1:$AZ$400,(설정!$B$8+64),설정!$D$15)&amp;"","　"," ")))</f>
        <v/>
      </c>
      <c r="F70" s="27">
        <f>IF(설정!$D$17="",0,IFERROR(VALUE(SUBSTITUTE(SUBSTITUTE(INDEX(급여대장_원본!$A$1:$AZ$400,(설정!$B$8+64),설정!$D$17)&amp;"",",",""),"　","")),0))</f>
        <v/>
      </c>
      <c r="G70" s="27">
        <f>IF(설정!$D$18="",0,IFERROR(VALUE(SUBSTITUTE(SUBSTITUTE(INDEX(급여대장_원본!$A$1:$AZ$400,(설정!$B$8+64),설정!$D$18)&amp;"",",",""),"　","")),0))</f>
        <v/>
      </c>
      <c r="H70" s="27">
        <f>IF(설정!$D$19="",0,IFERROR(VALUE(SUBSTITUTE(SUBSTITUTE(INDEX(급여대장_원본!$A$1:$AZ$400,(설정!$B$8+64),설정!$D$19)&amp;"",",",""),"　","")),0))</f>
        <v/>
      </c>
      <c r="I70" s="27">
        <f>IF(설정!$D$20="",0,IFERROR(VALUE(SUBSTITUTE(SUBSTITUTE(INDEX(급여대장_원본!$A$1:$AZ$400,(설정!$B$8+64),설정!$D$20)&amp;"",",",""),"　","")),0))</f>
        <v/>
      </c>
      <c r="J70" s="27">
        <f>IF(설정!$D$21="",0,IFERROR(VALUE(SUBSTITUTE(SUBSTITUTE(INDEX(급여대장_원본!$A$1:$AZ$400,(설정!$B$8+64),설정!$D$21)&amp;"",",",""),"　","")),0))</f>
        <v/>
      </c>
      <c r="K70" s="27">
        <f>IF(설정!$D$22="",0,IFERROR(VALUE(SUBSTITUTE(SUBSTITUTE(INDEX(급여대장_원본!$A$1:$AZ$400,(설정!$B$8+64),설정!$D$22)&amp;"",",",""),"　","")),0))</f>
        <v/>
      </c>
      <c r="L70" s="27">
        <f>IF(설정!$D$23="",0,IFERROR(VALUE(SUBSTITUTE(SUBSTITUTE(INDEX(급여대장_원본!$A$1:$AZ$400,(설정!$B$8+64),설정!$D$23)&amp;"",",",""),"　","")),0))</f>
        <v/>
      </c>
      <c r="M70" s="27">
        <f>IF(설정!$D$24="",0,IFERROR(VALUE(SUBSTITUTE(SUBSTITUTE(INDEX(급여대장_원본!$A$1:$AZ$400,(설정!$B$8+64),설정!$D$24)&amp;"",",",""),"　","")),0))</f>
        <v/>
      </c>
      <c r="N70" s="2">
        <f>IF(OR(설정!$C$17="",IFERROR(MATCH(설정!$C$17,INDEX(급여대장_원본!$A$1:$AZ$400,설정!$B$8,0),0),"")=""),"",IFERROR(VALUE(SUBSTITUTE(INDEX(급여대장_원본!$A$1:$AZ$400,(설정!$B$8+64),IFERROR(MATCH(설정!$C$17,INDEX(급여대장_원본!$A$1:$AZ$400,설정!$B$8,0),0),""))&amp;"",",","")),""))</f>
        <v/>
      </c>
      <c r="O70" s="2">
        <f>IF(OR(설정!$C$18="",IFERROR(MATCH(설정!$C$18,INDEX(급여대장_원본!$A$1:$AZ$400,설정!$B$8,0),0),"")=""),"",IFERROR(VALUE(SUBSTITUTE(INDEX(급여대장_원본!$A$1:$AZ$400,(설정!$B$8+64),IFERROR(MATCH(설정!$C$18,INDEX(급여대장_원본!$A$1:$AZ$400,설정!$B$8,0),0),""))&amp;"",",","")),""))</f>
        <v/>
      </c>
      <c r="P70" s="2">
        <f>IF(OR(설정!$C$19="",IFERROR(MATCH(설정!$C$19,INDEX(급여대장_원본!$A$1:$AZ$400,설정!$B$8,0),0),"")=""),"",IFERROR(VALUE(SUBSTITUTE(INDEX(급여대장_원본!$A$1:$AZ$400,(설정!$B$8+64),IFERROR(MATCH(설정!$C$19,INDEX(급여대장_원본!$A$1:$AZ$400,설정!$B$8,0),0),""))&amp;"",",","")),""))</f>
        <v/>
      </c>
      <c r="Q70" s="2">
        <f>IF(OR(설정!$C$20="",IFERROR(MATCH(설정!$C$20,INDEX(급여대장_원본!$A$1:$AZ$400,설정!$B$8,0),0),"")=""),"",IFERROR(VALUE(SUBSTITUTE(INDEX(급여대장_원본!$A$1:$AZ$400,(설정!$B$8+64),IFERROR(MATCH(설정!$C$20,INDEX(급여대장_원본!$A$1:$AZ$400,설정!$B$8,0),0),""))&amp;"",",","")),""))</f>
        <v/>
      </c>
      <c r="R70" s="2">
        <f>IF(OR(설정!$C$21="",IFERROR(MATCH(설정!$C$21,INDEX(급여대장_원본!$A$1:$AZ$400,설정!$B$8,0),0),"")=""),"",IFERROR(VALUE(SUBSTITUTE(INDEX(급여대장_원본!$A$1:$AZ$400,(설정!$B$8+64),IFERROR(MATCH(설정!$C$21,INDEX(급여대장_원본!$A$1:$AZ$400,설정!$B$8,0),0),""))&amp;"",",","")),""))</f>
        <v/>
      </c>
      <c r="S70" s="2">
        <f>IF(OR(설정!$C$22="",IFERROR(MATCH(설정!$C$22,INDEX(급여대장_원본!$A$1:$AZ$400,설정!$B$8,0),0),"")=""),"",IFERROR(VALUE(SUBSTITUTE(INDEX(급여대장_원본!$A$1:$AZ$400,(설정!$B$8+64),IFERROR(MATCH(설정!$C$22,INDEX(급여대장_원본!$A$1:$AZ$400,설정!$B$8,0),0),""))&amp;"",",","")),""))</f>
        <v/>
      </c>
      <c r="T70" s="2">
        <f>IF(OR(설정!$C$23="",IFERROR(MATCH(설정!$C$23,INDEX(급여대장_원본!$A$1:$AZ$400,설정!$B$8,0),0),"")=""),"",IFERROR(VALUE(SUBSTITUTE(INDEX(급여대장_원본!$A$1:$AZ$400,(설정!$B$8+64),IFERROR(MATCH(설정!$C$23,INDEX(급여대장_원본!$A$1:$AZ$400,설정!$B$8,0),0),""))&amp;"",",","")),""))</f>
        <v/>
      </c>
      <c r="U70" s="2">
        <f>IF(OR(설정!$C$24="",IFERROR(MATCH(설정!$C$24,INDEX(급여대장_원본!$A$1:$AZ$400,설정!$B$8,0),0),"")=""),"",IFERROR(VALUE(SUBSTITUTE(INDEX(급여대장_원본!$A$1:$AZ$400,(설정!$B$8+64),IFERROR(MATCH(설정!$C$24,INDEX(급여대장_원본!$A$1:$AZ$400,설정!$B$8,0),0),""))&amp;"",",","")),""))</f>
        <v/>
      </c>
      <c r="V70" s="27">
        <f>SUM(F70:M70)</f>
        <v/>
      </c>
      <c r="W70" s="27">
        <f>IF(설정!$D$26="",0,IFERROR(VALUE(SUBSTITUTE(SUBSTITUTE(INDEX(급여대장_원본!$A$1:$AZ$400,(설정!$B$8+64),설정!$D$26)&amp;"",",",""),"　","")),0))</f>
        <v/>
      </c>
      <c r="X70" s="27">
        <f>IF(설정!$D$27="",0,IFERROR(VALUE(SUBSTITUTE(SUBSTITUTE(INDEX(급여대장_원본!$A$1:$AZ$400,(설정!$B$8+64),설정!$D$27)&amp;"",",",""),"　","")),0))</f>
        <v/>
      </c>
      <c r="Y70" s="27">
        <f>IF(설정!$D$28="",0,IFERROR(VALUE(SUBSTITUTE(SUBSTITUTE(INDEX(급여대장_원본!$A$1:$AZ$400,(설정!$B$8+64),설정!$D$28)&amp;"",",",""),"　","")),0))</f>
        <v/>
      </c>
      <c r="Z70" s="27">
        <f>IF(설정!$D$29="",0,IFERROR(VALUE(SUBSTITUTE(SUBSTITUTE(INDEX(급여대장_원본!$A$1:$AZ$400,(설정!$B$8+64),설정!$D$29)&amp;"",",",""),"　","")),0))</f>
        <v/>
      </c>
      <c r="AA70" s="27">
        <f>IF(설정!$D$30="",0,IFERROR(VALUE(SUBSTITUTE(SUBSTITUTE(INDEX(급여대장_원본!$A$1:$AZ$400,(설정!$B$8+64),설정!$D$30)&amp;"",",",""),"　","")),0))</f>
        <v/>
      </c>
      <c r="AB70" s="27">
        <f>IF(설정!$D$31="",0,IFERROR(VALUE(SUBSTITUTE(SUBSTITUTE(INDEX(급여대장_원본!$A$1:$AZ$400,(설정!$B$8+64),설정!$D$31)&amp;"",",",""),"　","")),0))</f>
        <v/>
      </c>
      <c r="AC70" s="27">
        <f>IF(설정!$D$32="",0,IFERROR(VALUE(SUBSTITUTE(SUBSTITUTE(INDEX(급여대장_원본!$A$1:$AZ$400,(설정!$B$8+64),설정!$D$32)&amp;"",",",""),"　","")),0))</f>
        <v/>
      </c>
      <c r="AD70" s="27">
        <f>IF(설정!$D$33="",0,IFERROR(VALUE(SUBSTITUTE(SUBSTITUTE(INDEX(급여대장_원본!$A$1:$AZ$400,(설정!$B$8+64),설정!$D$33)&amp;"",",",""),"　","")),0))</f>
        <v/>
      </c>
      <c r="AE70" s="27">
        <f>SUM(W70:AD70)</f>
        <v/>
      </c>
      <c r="AF70" s="27">
        <f>V70-AE70</f>
        <v/>
      </c>
      <c r="AG70" s="27">
        <f>IF(설정!$D$35="","",IF(설정!$D$35="",0,IFERROR(VALUE(SUBSTITUTE(SUBSTITUTE(INDEX(급여대장_원본!$A$1:$AZ$400,(설정!$B$8+64),설정!$D$35)&amp;"",",",""),"　","")),0)))</f>
        <v/>
      </c>
      <c r="AH70" s="27">
        <f>IF(설정!$D$36="","",IF(설정!$D$36="",0,IFERROR(VALUE(SUBSTITUTE(SUBSTITUTE(INDEX(급여대장_원본!$A$1:$AZ$400,(설정!$B$8+64),설정!$D$36)&amp;"",",",""),"　","")),0)))</f>
        <v/>
      </c>
      <c r="AI70" s="27">
        <f>IF(설정!$D$37="","",IF(설정!$D$37="",0,IFERROR(VALUE(SUBSTITUTE(SUBSTITUTE(INDEX(급여대장_원본!$A$1:$AZ$400,(설정!$B$8+64),설정!$D$37)&amp;"",",",""),"　","")),0)))</f>
        <v/>
      </c>
      <c r="AJ70" s="2">
        <f>IFERROR(INDEX($D$7:$D$306,MATCH(64,$B$7:$B$306,0)),"")</f>
        <v/>
      </c>
    </row>
    <row r="71">
      <c r="A71" s="2">
        <f>IF(AND(D71&lt;&gt;"",D71&lt;&gt;"합계",D71&lt;&gt;"총계",D71&lt;&gt;"소계",D71&lt;&gt;"계"),1,0)</f>
        <v/>
      </c>
      <c r="B71" s="2">
        <f>IF(A71=1,SUM($A$7:A71),"")</f>
        <v/>
      </c>
      <c r="C71" s="2">
        <f>IF(설정!$D$13="","",TRIM(SUBSTITUTE(INDEX(급여대장_원본!$A$1:$AZ$400,(설정!$B$8+65),설정!$D$13)&amp;"","　"," ")))</f>
        <v/>
      </c>
      <c r="D71" s="2">
        <f>IF(설정!$D$14="","",TRIM(SUBSTITUTE(INDEX(급여대장_원본!$A$1:$AZ$400,(설정!$B$8+65),설정!$D$14)&amp;"","　"," ")))</f>
        <v/>
      </c>
      <c r="E71" s="2">
        <f>IF(설정!$D$15="","",TRIM(SUBSTITUTE(INDEX(급여대장_원본!$A$1:$AZ$400,(설정!$B$8+65),설정!$D$15)&amp;"","　"," ")))</f>
        <v/>
      </c>
      <c r="F71" s="27">
        <f>IF(설정!$D$17="",0,IFERROR(VALUE(SUBSTITUTE(SUBSTITUTE(INDEX(급여대장_원본!$A$1:$AZ$400,(설정!$B$8+65),설정!$D$17)&amp;"",",",""),"　","")),0))</f>
        <v/>
      </c>
      <c r="G71" s="27">
        <f>IF(설정!$D$18="",0,IFERROR(VALUE(SUBSTITUTE(SUBSTITUTE(INDEX(급여대장_원본!$A$1:$AZ$400,(설정!$B$8+65),설정!$D$18)&amp;"",",",""),"　","")),0))</f>
        <v/>
      </c>
      <c r="H71" s="27">
        <f>IF(설정!$D$19="",0,IFERROR(VALUE(SUBSTITUTE(SUBSTITUTE(INDEX(급여대장_원본!$A$1:$AZ$400,(설정!$B$8+65),설정!$D$19)&amp;"",",",""),"　","")),0))</f>
        <v/>
      </c>
      <c r="I71" s="27">
        <f>IF(설정!$D$20="",0,IFERROR(VALUE(SUBSTITUTE(SUBSTITUTE(INDEX(급여대장_원본!$A$1:$AZ$400,(설정!$B$8+65),설정!$D$20)&amp;"",",",""),"　","")),0))</f>
        <v/>
      </c>
      <c r="J71" s="27">
        <f>IF(설정!$D$21="",0,IFERROR(VALUE(SUBSTITUTE(SUBSTITUTE(INDEX(급여대장_원본!$A$1:$AZ$400,(설정!$B$8+65),설정!$D$21)&amp;"",",",""),"　","")),0))</f>
        <v/>
      </c>
      <c r="K71" s="27">
        <f>IF(설정!$D$22="",0,IFERROR(VALUE(SUBSTITUTE(SUBSTITUTE(INDEX(급여대장_원본!$A$1:$AZ$400,(설정!$B$8+65),설정!$D$22)&amp;"",",",""),"　","")),0))</f>
        <v/>
      </c>
      <c r="L71" s="27">
        <f>IF(설정!$D$23="",0,IFERROR(VALUE(SUBSTITUTE(SUBSTITUTE(INDEX(급여대장_원본!$A$1:$AZ$400,(설정!$B$8+65),설정!$D$23)&amp;"",",",""),"　","")),0))</f>
        <v/>
      </c>
      <c r="M71" s="27">
        <f>IF(설정!$D$24="",0,IFERROR(VALUE(SUBSTITUTE(SUBSTITUTE(INDEX(급여대장_원본!$A$1:$AZ$400,(설정!$B$8+65),설정!$D$24)&amp;"",",",""),"　","")),0))</f>
        <v/>
      </c>
      <c r="N71" s="2">
        <f>IF(OR(설정!$C$17="",IFERROR(MATCH(설정!$C$17,INDEX(급여대장_원본!$A$1:$AZ$400,설정!$B$8,0),0),"")=""),"",IFERROR(VALUE(SUBSTITUTE(INDEX(급여대장_원본!$A$1:$AZ$400,(설정!$B$8+65),IFERROR(MATCH(설정!$C$17,INDEX(급여대장_원본!$A$1:$AZ$400,설정!$B$8,0),0),""))&amp;"",",","")),""))</f>
        <v/>
      </c>
      <c r="O71" s="2">
        <f>IF(OR(설정!$C$18="",IFERROR(MATCH(설정!$C$18,INDEX(급여대장_원본!$A$1:$AZ$400,설정!$B$8,0),0),"")=""),"",IFERROR(VALUE(SUBSTITUTE(INDEX(급여대장_원본!$A$1:$AZ$400,(설정!$B$8+65),IFERROR(MATCH(설정!$C$18,INDEX(급여대장_원본!$A$1:$AZ$400,설정!$B$8,0),0),""))&amp;"",",","")),""))</f>
        <v/>
      </c>
      <c r="P71" s="2">
        <f>IF(OR(설정!$C$19="",IFERROR(MATCH(설정!$C$19,INDEX(급여대장_원본!$A$1:$AZ$400,설정!$B$8,0),0),"")=""),"",IFERROR(VALUE(SUBSTITUTE(INDEX(급여대장_원본!$A$1:$AZ$400,(설정!$B$8+65),IFERROR(MATCH(설정!$C$19,INDEX(급여대장_원본!$A$1:$AZ$400,설정!$B$8,0),0),""))&amp;"",",","")),""))</f>
        <v/>
      </c>
      <c r="Q71" s="2">
        <f>IF(OR(설정!$C$20="",IFERROR(MATCH(설정!$C$20,INDEX(급여대장_원본!$A$1:$AZ$400,설정!$B$8,0),0),"")=""),"",IFERROR(VALUE(SUBSTITUTE(INDEX(급여대장_원본!$A$1:$AZ$400,(설정!$B$8+65),IFERROR(MATCH(설정!$C$20,INDEX(급여대장_원본!$A$1:$AZ$400,설정!$B$8,0),0),""))&amp;"",",","")),""))</f>
        <v/>
      </c>
      <c r="R71" s="2">
        <f>IF(OR(설정!$C$21="",IFERROR(MATCH(설정!$C$21,INDEX(급여대장_원본!$A$1:$AZ$400,설정!$B$8,0),0),"")=""),"",IFERROR(VALUE(SUBSTITUTE(INDEX(급여대장_원본!$A$1:$AZ$400,(설정!$B$8+65),IFERROR(MATCH(설정!$C$21,INDEX(급여대장_원본!$A$1:$AZ$400,설정!$B$8,0),0),""))&amp;"",",","")),""))</f>
        <v/>
      </c>
      <c r="S71" s="2">
        <f>IF(OR(설정!$C$22="",IFERROR(MATCH(설정!$C$22,INDEX(급여대장_원본!$A$1:$AZ$400,설정!$B$8,0),0),"")=""),"",IFERROR(VALUE(SUBSTITUTE(INDEX(급여대장_원본!$A$1:$AZ$400,(설정!$B$8+65),IFERROR(MATCH(설정!$C$22,INDEX(급여대장_원본!$A$1:$AZ$400,설정!$B$8,0),0),""))&amp;"",",","")),""))</f>
        <v/>
      </c>
      <c r="T71" s="2">
        <f>IF(OR(설정!$C$23="",IFERROR(MATCH(설정!$C$23,INDEX(급여대장_원본!$A$1:$AZ$400,설정!$B$8,0),0),"")=""),"",IFERROR(VALUE(SUBSTITUTE(INDEX(급여대장_원본!$A$1:$AZ$400,(설정!$B$8+65),IFERROR(MATCH(설정!$C$23,INDEX(급여대장_원본!$A$1:$AZ$400,설정!$B$8,0),0),""))&amp;"",",","")),""))</f>
        <v/>
      </c>
      <c r="U71" s="2">
        <f>IF(OR(설정!$C$24="",IFERROR(MATCH(설정!$C$24,INDEX(급여대장_원본!$A$1:$AZ$400,설정!$B$8,0),0),"")=""),"",IFERROR(VALUE(SUBSTITUTE(INDEX(급여대장_원본!$A$1:$AZ$400,(설정!$B$8+65),IFERROR(MATCH(설정!$C$24,INDEX(급여대장_원본!$A$1:$AZ$400,설정!$B$8,0),0),""))&amp;"",",","")),""))</f>
        <v/>
      </c>
      <c r="V71" s="27">
        <f>SUM(F71:M71)</f>
        <v/>
      </c>
      <c r="W71" s="27">
        <f>IF(설정!$D$26="",0,IFERROR(VALUE(SUBSTITUTE(SUBSTITUTE(INDEX(급여대장_원본!$A$1:$AZ$400,(설정!$B$8+65),설정!$D$26)&amp;"",",",""),"　","")),0))</f>
        <v/>
      </c>
      <c r="X71" s="27">
        <f>IF(설정!$D$27="",0,IFERROR(VALUE(SUBSTITUTE(SUBSTITUTE(INDEX(급여대장_원본!$A$1:$AZ$400,(설정!$B$8+65),설정!$D$27)&amp;"",",",""),"　","")),0))</f>
        <v/>
      </c>
      <c r="Y71" s="27">
        <f>IF(설정!$D$28="",0,IFERROR(VALUE(SUBSTITUTE(SUBSTITUTE(INDEX(급여대장_원본!$A$1:$AZ$400,(설정!$B$8+65),설정!$D$28)&amp;"",",",""),"　","")),0))</f>
        <v/>
      </c>
      <c r="Z71" s="27">
        <f>IF(설정!$D$29="",0,IFERROR(VALUE(SUBSTITUTE(SUBSTITUTE(INDEX(급여대장_원본!$A$1:$AZ$400,(설정!$B$8+65),설정!$D$29)&amp;"",",",""),"　","")),0))</f>
        <v/>
      </c>
      <c r="AA71" s="27">
        <f>IF(설정!$D$30="",0,IFERROR(VALUE(SUBSTITUTE(SUBSTITUTE(INDEX(급여대장_원본!$A$1:$AZ$400,(설정!$B$8+65),설정!$D$30)&amp;"",",",""),"　","")),0))</f>
        <v/>
      </c>
      <c r="AB71" s="27">
        <f>IF(설정!$D$31="",0,IFERROR(VALUE(SUBSTITUTE(SUBSTITUTE(INDEX(급여대장_원본!$A$1:$AZ$400,(설정!$B$8+65),설정!$D$31)&amp;"",",",""),"　","")),0))</f>
        <v/>
      </c>
      <c r="AC71" s="27">
        <f>IF(설정!$D$32="",0,IFERROR(VALUE(SUBSTITUTE(SUBSTITUTE(INDEX(급여대장_원본!$A$1:$AZ$400,(설정!$B$8+65),설정!$D$32)&amp;"",",",""),"　","")),0))</f>
        <v/>
      </c>
      <c r="AD71" s="27">
        <f>IF(설정!$D$33="",0,IFERROR(VALUE(SUBSTITUTE(SUBSTITUTE(INDEX(급여대장_원본!$A$1:$AZ$400,(설정!$B$8+65),설정!$D$33)&amp;"",",",""),"　","")),0))</f>
        <v/>
      </c>
      <c r="AE71" s="27">
        <f>SUM(W71:AD71)</f>
        <v/>
      </c>
      <c r="AF71" s="27">
        <f>V71-AE71</f>
        <v/>
      </c>
      <c r="AG71" s="27">
        <f>IF(설정!$D$35="","",IF(설정!$D$35="",0,IFERROR(VALUE(SUBSTITUTE(SUBSTITUTE(INDEX(급여대장_원본!$A$1:$AZ$400,(설정!$B$8+65),설정!$D$35)&amp;"",",",""),"　","")),0)))</f>
        <v/>
      </c>
      <c r="AH71" s="27">
        <f>IF(설정!$D$36="","",IF(설정!$D$36="",0,IFERROR(VALUE(SUBSTITUTE(SUBSTITUTE(INDEX(급여대장_원본!$A$1:$AZ$400,(설정!$B$8+65),설정!$D$36)&amp;"",",",""),"　","")),0)))</f>
        <v/>
      </c>
      <c r="AI71" s="27">
        <f>IF(설정!$D$37="","",IF(설정!$D$37="",0,IFERROR(VALUE(SUBSTITUTE(SUBSTITUTE(INDEX(급여대장_원본!$A$1:$AZ$400,(설정!$B$8+65),설정!$D$37)&amp;"",",",""),"　","")),0)))</f>
        <v/>
      </c>
      <c r="AJ71" s="2">
        <f>IFERROR(INDEX($D$7:$D$306,MATCH(65,$B$7:$B$306,0)),"")</f>
        <v/>
      </c>
    </row>
    <row r="72">
      <c r="A72" s="2">
        <f>IF(AND(D72&lt;&gt;"",D72&lt;&gt;"합계",D72&lt;&gt;"총계",D72&lt;&gt;"소계",D72&lt;&gt;"계"),1,0)</f>
        <v/>
      </c>
      <c r="B72" s="2">
        <f>IF(A72=1,SUM($A$7:A72),"")</f>
        <v/>
      </c>
      <c r="C72" s="2">
        <f>IF(설정!$D$13="","",TRIM(SUBSTITUTE(INDEX(급여대장_원본!$A$1:$AZ$400,(설정!$B$8+66),설정!$D$13)&amp;"","　"," ")))</f>
        <v/>
      </c>
      <c r="D72" s="2">
        <f>IF(설정!$D$14="","",TRIM(SUBSTITUTE(INDEX(급여대장_원본!$A$1:$AZ$400,(설정!$B$8+66),설정!$D$14)&amp;"","　"," ")))</f>
        <v/>
      </c>
      <c r="E72" s="2">
        <f>IF(설정!$D$15="","",TRIM(SUBSTITUTE(INDEX(급여대장_원본!$A$1:$AZ$400,(설정!$B$8+66),설정!$D$15)&amp;"","　"," ")))</f>
        <v/>
      </c>
      <c r="F72" s="27">
        <f>IF(설정!$D$17="",0,IFERROR(VALUE(SUBSTITUTE(SUBSTITUTE(INDEX(급여대장_원본!$A$1:$AZ$400,(설정!$B$8+66),설정!$D$17)&amp;"",",",""),"　","")),0))</f>
        <v/>
      </c>
      <c r="G72" s="27">
        <f>IF(설정!$D$18="",0,IFERROR(VALUE(SUBSTITUTE(SUBSTITUTE(INDEX(급여대장_원본!$A$1:$AZ$400,(설정!$B$8+66),설정!$D$18)&amp;"",",",""),"　","")),0))</f>
        <v/>
      </c>
      <c r="H72" s="27">
        <f>IF(설정!$D$19="",0,IFERROR(VALUE(SUBSTITUTE(SUBSTITUTE(INDEX(급여대장_원본!$A$1:$AZ$400,(설정!$B$8+66),설정!$D$19)&amp;"",",",""),"　","")),0))</f>
        <v/>
      </c>
      <c r="I72" s="27">
        <f>IF(설정!$D$20="",0,IFERROR(VALUE(SUBSTITUTE(SUBSTITUTE(INDEX(급여대장_원본!$A$1:$AZ$400,(설정!$B$8+66),설정!$D$20)&amp;"",",",""),"　","")),0))</f>
        <v/>
      </c>
      <c r="J72" s="27">
        <f>IF(설정!$D$21="",0,IFERROR(VALUE(SUBSTITUTE(SUBSTITUTE(INDEX(급여대장_원본!$A$1:$AZ$400,(설정!$B$8+66),설정!$D$21)&amp;"",",",""),"　","")),0))</f>
        <v/>
      </c>
      <c r="K72" s="27">
        <f>IF(설정!$D$22="",0,IFERROR(VALUE(SUBSTITUTE(SUBSTITUTE(INDEX(급여대장_원본!$A$1:$AZ$400,(설정!$B$8+66),설정!$D$22)&amp;"",",",""),"　","")),0))</f>
        <v/>
      </c>
      <c r="L72" s="27">
        <f>IF(설정!$D$23="",0,IFERROR(VALUE(SUBSTITUTE(SUBSTITUTE(INDEX(급여대장_원본!$A$1:$AZ$400,(설정!$B$8+66),설정!$D$23)&amp;"",",",""),"　","")),0))</f>
        <v/>
      </c>
      <c r="M72" s="27">
        <f>IF(설정!$D$24="",0,IFERROR(VALUE(SUBSTITUTE(SUBSTITUTE(INDEX(급여대장_원본!$A$1:$AZ$400,(설정!$B$8+66),설정!$D$24)&amp;"",",",""),"　","")),0))</f>
        <v/>
      </c>
      <c r="N72" s="2">
        <f>IF(OR(설정!$C$17="",IFERROR(MATCH(설정!$C$17,INDEX(급여대장_원본!$A$1:$AZ$400,설정!$B$8,0),0),"")=""),"",IFERROR(VALUE(SUBSTITUTE(INDEX(급여대장_원본!$A$1:$AZ$400,(설정!$B$8+66),IFERROR(MATCH(설정!$C$17,INDEX(급여대장_원본!$A$1:$AZ$400,설정!$B$8,0),0),""))&amp;"",",","")),""))</f>
        <v/>
      </c>
      <c r="O72" s="2">
        <f>IF(OR(설정!$C$18="",IFERROR(MATCH(설정!$C$18,INDEX(급여대장_원본!$A$1:$AZ$400,설정!$B$8,0),0),"")=""),"",IFERROR(VALUE(SUBSTITUTE(INDEX(급여대장_원본!$A$1:$AZ$400,(설정!$B$8+66),IFERROR(MATCH(설정!$C$18,INDEX(급여대장_원본!$A$1:$AZ$400,설정!$B$8,0),0),""))&amp;"",",","")),""))</f>
        <v/>
      </c>
      <c r="P72" s="2">
        <f>IF(OR(설정!$C$19="",IFERROR(MATCH(설정!$C$19,INDEX(급여대장_원본!$A$1:$AZ$400,설정!$B$8,0),0),"")=""),"",IFERROR(VALUE(SUBSTITUTE(INDEX(급여대장_원본!$A$1:$AZ$400,(설정!$B$8+66),IFERROR(MATCH(설정!$C$19,INDEX(급여대장_원본!$A$1:$AZ$400,설정!$B$8,0),0),""))&amp;"",",","")),""))</f>
        <v/>
      </c>
      <c r="Q72" s="2">
        <f>IF(OR(설정!$C$20="",IFERROR(MATCH(설정!$C$20,INDEX(급여대장_원본!$A$1:$AZ$400,설정!$B$8,0),0),"")=""),"",IFERROR(VALUE(SUBSTITUTE(INDEX(급여대장_원본!$A$1:$AZ$400,(설정!$B$8+66),IFERROR(MATCH(설정!$C$20,INDEX(급여대장_원본!$A$1:$AZ$400,설정!$B$8,0),0),""))&amp;"",",","")),""))</f>
        <v/>
      </c>
      <c r="R72" s="2">
        <f>IF(OR(설정!$C$21="",IFERROR(MATCH(설정!$C$21,INDEX(급여대장_원본!$A$1:$AZ$400,설정!$B$8,0),0),"")=""),"",IFERROR(VALUE(SUBSTITUTE(INDEX(급여대장_원본!$A$1:$AZ$400,(설정!$B$8+66),IFERROR(MATCH(설정!$C$21,INDEX(급여대장_원본!$A$1:$AZ$400,설정!$B$8,0),0),""))&amp;"",",","")),""))</f>
        <v/>
      </c>
      <c r="S72" s="2">
        <f>IF(OR(설정!$C$22="",IFERROR(MATCH(설정!$C$22,INDEX(급여대장_원본!$A$1:$AZ$400,설정!$B$8,0),0),"")=""),"",IFERROR(VALUE(SUBSTITUTE(INDEX(급여대장_원본!$A$1:$AZ$400,(설정!$B$8+66),IFERROR(MATCH(설정!$C$22,INDEX(급여대장_원본!$A$1:$AZ$400,설정!$B$8,0),0),""))&amp;"",",","")),""))</f>
        <v/>
      </c>
      <c r="T72" s="2">
        <f>IF(OR(설정!$C$23="",IFERROR(MATCH(설정!$C$23,INDEX(급여대장_원본!$A$1:$AZ$400,설정!$B$8,0),0),"")=""),"",IFERROR(VALUE(SUBSTITUTE(INDEX(급여대장_원본!$A$1:$AZ$400,(설정!$B$8+66),IFERROR(MATCH(설정!$C$23,INDEX(급여대장_원본!$A$1:$AZ$400,설정!$B$8,0),0),""))&amp;"",",","")),""))</f>
        <v/>
      </c>
      <c r="U72" s="2">
        <f>IF(OR(설정!$C$24="",IFERROR(MATCH(설정!$C$24,INDEX(급여대장_원본!$A$1:$AZ$400,설정!$B$8,0),0),"")=""),"",IFERROR(VALUE(SUBSTITUTE(INDEX(급여대장_원본!$A$1:$AZ$400,(설정!$B$8+66),IFERROR(MATCH(설정!$C$24,INDEX(급여대장_원본!$A$1:$AZ$400,설정!$B$8,0),0),""))&amp;"",",","")),""))</f>
        <v/>
      </c>
      <c r="V72" s="27">
        <f>SUM(F72:M72)</f>
        <v/>
      </c>
      <c r="W72" s="27">
        <f>IF(설정!$D$26="",0,IFERROR(VALUE(SUBSTITUTE(SUBSTITUTE(INDEX(급여대장_원본!$A$1:$AZ$400,(설정!$B$8+66),설정!$D$26)&amp;"",",",""),"　","")),0))</f>
        <v/>
      </c>
      <c r="X72" s="27">
        <f>IF(설정!$D$27="",0,IFERROR(VALUE(SUBSTITUTE(SUBSTITUTE(INDEX(급여대장_원본!$A$1:$AZ$400,(설정!$B$8+66),설정!$D$27)&amp;"",",",""),"　","")),0))</f>
        <v/>
      </c>
      <c r="Y72" s="27">
        <f>IF(설정!$D$28="",0,IFERROR(VALUE(SUBSTITUTE(SUBSTITUTE(INDEX(급여대장_원본!$A$1:$AZ$400,(설정!$B$8+66),설정!$D$28)&amp;"",",",""),"　","")),0))</f>
        <v/>
      </c>
      <c r="Z72" s="27">
        <f>IF(설정!$D$29="",0,IFERROR(VALUE(SUBSTITUTE(SUBSTITUTE(INDEX(급여대장_원본!$A$1:$AZ$400,(설정!$B$8+66),설정!$D$29)&amp;"",",",""),"　","")),0))</f>
        <v/>
      </c>
      <c r="AA72" s="27">
        <f>IF(설정!$D$30="",0,IFERROR(VALUE(SUBSTITUTE(SUBSTITUTE(INDEX(급여대장_원본!$A$1:$AZ$400,(설정!$B$8+66),설정!$D$30)&amp;"",",",""),"　","")),0))</f>
        <v/>
      </c>
      <c r="AB72" s="27">
        <f>IF(설정!$D$31="",0,IFERROR(VALUE(SUBSTITUTE(SUBSTITUTE(INDEX(급여대장_원본!$A$1:$AZ$400,(설정!$B$8+66),설정!$D$31)&amp;"",",",""),"　","")),0))</f>
        <v/>
      </c>
      <c r="AC72" s="27">
        <f>IF(설정!$D$32="",0,IFERROR(VALUE(SUBSTITUTE(SUBSTITUTE(INDEX(급여대장_원본!$A$1:$AZ$400,(설정!$B$8+66),설정!$D$32)&amp;"",",",""),"　","")),0))</f>
        <v/>
      </c>
      <c r="AD72" s="27">
        <f>IF(설정!$D$33="",0,IFERROR(VALUE(SUBSTITUTE(SUBSTITUTE(INDEX(급여대장_원본!$A$1:$AZ$400,(설정!$B$8+66),설정!$D$33)&amp;"",",",""),"　","")),0))</f>
        <v/>
      </c>
      <c r="AE72" s="27">
        <f>SUM(W72:AD72)</f>
        <v/>
      </c>
      <c r="AF72" s="27">
        <f>V72-AE72</f>
        <v/>
      </c>
      <c r="AG72" s="27">
        <f>IF(설정!$D$35="","",IF(설정!$D$35="",0,IFERROR(VALUE(SUBSTITUTE(SUBSTITUTE(INDEX(급여대장_원본!$A$1:$AZ$400,(설정!$B$8+66),설정!$D$35)&amp;"",",",""),"　","")),0)))</f>
        <v/>
      </c>
      <c r="AH72" s="27">
        <f>IF(설정!$D$36="","",IF(설정!$D$36="",0,IFERROR(VALUE(SUBSTITUTE(SUBSTITUTE(INDEX(급여대장_원본!$A$1:$AZ$400,(설정!$B$8+66),설정!$D$36)&amp;"",",",""),"　","")),0)))</f>
        <v/>
      </c>
      <c r="AI72" s="27">
        <f>IF(설정!$D$37="","",IF(설정!$D$37="",0,IFERROR(VALUE(SUBSTITUTE(SUBSTITUTE(INDEX(급여대장_원본!$A$1:$AZ$400,(설정!$B$8+66),설정!$D$37)&amp;"",",",""),"　","")),0)))</f>
        <v/>
      </c>
      <c r="AJ72" s="2">
        <f>IFERROR(INDEX($D$7:$D$306,MATCH(66,$B$7:$B$306,0)),"")</f>
        <v/>
      </c>
    </row>
    <row r="73">
      <c r="A73" s="2">
        <f>IF(AND(D73&lt;&gt;"",D73&lt;&gt;"합계",D73&lt;&gt;"총계",D73&lt;&gt;"소계",D73&lt;&gt;"계"),1,0)</f>
        <v/>
      </c>
      <c r="B73" s="2">
        <f>IF(A73=1,SUM($A$7:A73),"")</f>
        <v/>
      </c>
      <c r="C73" s="2">
        <f>IF(설정!$D$13="","",TRIM(SUBSTITUTE(INDEX(급여대장_원본!$A$1:$AZ$400,(설정!$B$8+67),설정!$D$13)&amp;"","　"," ")))</f>
        <v/>
      </c>
      <c r="D73" s="2">
        <f>IF(설정!$D$14="","",TRIM(SUBSTITUTE(INDEX(급여대장_원본!$A$1:$AZ$400,(설정!$B$8+67),설정!$D$14)&amp;"","　"," ")))</f>
        <v/>
      </c>
      <c r="E73" s="2">
        <f>IF(설정!$D$15="","",TRIM(SUBSTITUTE(INDEX(급여대장_원본!$A$1:$AZ$400,(설정!$B$8+67),설정!$D$15)&amp;"","　"," ")))</f>
        <v/>
      </c>
      <c r="F73" s="27">
        <f>IF(설정!$D$17="",0,IFERROR(VALUE(SUBSTITUTE(SUBSTITUTE(INDEX(급여대장_원본!$A$1:$AZ$400,(설정!$B$8+67),설정!$D$17)&amp;"",",",""),"　","")),0))</f>
        <v/>
      </c>
      <c r="G73" s="27">
        <f>IF(설정!$D$18="",0,IFERROR(VALUE(SUBSTITUTE(SUBSTITUTE(INDEX(급여대장_원본!$A$1:$AZ$400,(설정!$B$8+67),설정!$D$18)&amp;"",",",""),"　","")),0))</f>
        <v/>
      </c>
      <c r="H73" s="27">
        <f>IF(설정!$D$19="",0,IFERROR(VALUE(SUBSTITUTE(SUBSTITUTE(INDEX(급여대장_원본!$A$1:$AZ$400,(설정!$B$8+67),설정!$D$19)&amp;"",",",""),"　","")),0))</f>
        <v/>
      </c>
      <c r="I73" s="27">
        <f>IF(설정!$D$20="",0,IFERROR(VALUE(SUBSTITUTE(SUBSTITUTE(INDEX(급여대장_원본!$A$1:$AZ$400,(설정!$B$8+67),설정!$D$20)&amp;"",",",""),"　","")),0))</f>
        <v/>
      </c>
      <c r="J73" s="27">
        <f>IF(설정!$D$21="",0,IFERROR(VALUE(SUBSTITUTE(SUBSTITUTE(INDEX(급여대장_원본!$A$1:$AZ$400,(설정!$B$8+67),설정!$D$21)&amp;"",",",""),"　","")),0))</f>
        <v/>
      </c>
      <c r="K73" s="27">
        <f>IF(설정!$D$22="",0,IFERROR(VALUE(SUBSTITUTE(SUBSTITUTE(INDEX(급여대장_원본!$A$1:$AZ$400,(설정!$B$8+67),설정!$D$22)&amp;"",",",""),"　","")),0))</f>
        <v/>
      </c>
      <c r="L73" s="27">
        <f>IF(설정!$D$23="",0,IFERROR(VALUE(SUBSTITUTE(SUBSTITUTE(INDEX(급여대장_원본!$A$1:$AZ$400,(설정!$B$8+67),설정!$D$23)&amp;"",",",""),"　","")),0))</f>
        <v/>
      </c>
      <c r="M73" s="27">
        <f>IF(설정!$D$24="",0,IFERROR(VALUE(SUBSTITUTE(SUBSTITUTE(INDEX(급여대장_원본!$A$1:$AZ$400,(설정!$B$8+67),설정!$D$24)&amp;"",",",""),"　","")),0))</f>
        <v/>
      </c>
      <c r="N73" s="2">
        <f>IF(OR(설정!$C$17="",IFERROR(MATCH(설정!$C$17,INDEX(급여대장_원본!$A$1:$AZ$400,설정!$B$8,0),0),"")=""),"",IFERROR(VALUE(SUBSTITUTE(INDEX(급여대장_원본!$A$1:$AZ$400,(설정!$B$8+67),IFERROR(MATCH(설정!$C$17,INDEX(급여대장_원본!$A$1:$AZ$400,설정!$B$8,0),0),""))&amp;"",",","")),""))</f>
        <v/>
      </c>
      <c r="O73" s="2">
        <f>IF(OR(설정!$C$18="",IFERROR(MATCH(설정!$C$18,INDEX(급여대장_원본!$A$1:$AZ$400,설정!$B$8,0),0),"")=""),"",IFERROR(VALUE(SUBSTITUTE(INDEX(급여대장_원본!$A$1:$AZ$400,(설정!$B$8+67),IFERROR(MATCH(설정!$C$18,INDEX(급여대장_원본!$A$1:$AZ$400,설정!$B$8,0),0),""))&amp;"",",","")),""))</f>
        <v/>
      </c>
      <c r="P73" s="2">
        <f>IF(OR(설정!$C$19="",IFERROR(MATCH(설정!$C$19,INDEX(급여대장_원본!$A$1:$AZ$400,설정!$B$8,0),0),"")=""),"",IFERROR(VALUE(SUBSTITUTE(INDEX(급여대장_원본!$A$1:$AZ$400,(설정!$B$8+67),IFERROR(MATCH(설정!$C$19,INDEX(급여대장_원본!$A$1:$AZ$400,설정!$B$8,0),0),""))&amp;"",",","")),""))</f>
        <v/>
      </c>
      <c r="Q73" s="2">
        <f>IF(OR(설정!$C$20="",IFERROR(MATCH(설정!$C$20,INDEX(급여대장_원본!$A$1:$AZ$400,설정!$B$8,0),0),"")=""),"",IFERROR(VALUE(SUBSTITUTE(INDEX(급여대장_원본!$A$1:$AZ$400,(설정!$B$8+67),IFERROR(MATCH(설정!$C$20,INDEX(급여대장_원본!$A$1:$AZ$400,설정!$B$8,0),0),""))&amp;"",",","")),""))</f>
        <v/>
      </c>
      <c r="R73" s="2">
        <f>IF(OR(설정!$C$21="",IFERROR(MATCH(설정!$C$21,INDEX(급여대장_원본!$A$1:$AZ$400,설정!$B$8,0),0),"")=""),"",IFERROR(VALUE(SUBSTITUTE(INDEX(급여대장_원본!$A$1:$AZ$400,(설정!$B$8+67),IFERROR(MATCH(설정!$C$21,INDEX(급여대장_원본!$A$1:$AZ$400,설정!$B$8,0),0),""))&amp;"",",","")),""))</f>
        <v/>
      </c>
      <c r="S73" s="2">
        <f>IF(OR(설정!$C$22="",IFERROR(MATCH(설정!$C$22,INDEX(급여대장_원본!$A$1:$AZ$400,설정!$B$8,0),0),"")=""),"",IFERROR(VALUE(SUBSTITUTE(INDEX(급여대장_원본!$A$1:$AZ$400,(설정!$B$8+67),IFERROR(MATCH(설정!$C$22,INDEX(급여대장_원본!$A$1:$AZ$400,설정!$B$8,0),0),""))&amp;"",",","")),""))</f>
        <v/>
      </c>
      <c r="T73" s="2">
        <f>IF(OR(설정!$C$23="",IFERROR(MATCH(설정!$C$23,INDEX(급여대장_원본!$A$1:$AZ$400,설정!$B$8,0),0),"")=""),"",IFERROR(VALUE(SUBSTITUTE(INDEX(급여대장_원본!$A$1:$AZ$400,(설정!$B$8+67),IFERROR(MATCH(설정!$C$23,INDEX(급여대장_원본!$A$1:$AZ$400,설정!$B$8,0),0),""))&amp;"",",","")),""))</f>
        <v/>
      </c>
      <c r="U73" s="2">
        <f>IF(OR(설정!$C$24="",IFERROR(MATCH(설정!$C$24,INDEX(급여대장_원본!$A$1:$AZ$400,설정!$B$8,0),0),"")=""),"",IFERROR(VALUE(SUBSTITUTE(INDEX(급여대장_원본!$A$1:$AZ$400,(설정!$B$8+67),IFERROR(MATCH(설정!$C$24,INDEX(급여대장_원본!$A$1:$AZ$400,설정!$B$8,0),0),""))&amp;"",",","")),""))</f>
        <v/>
      </c>
      <c r="V73" s="27">
        <f>SUM(F73:M73)</f>
        <v/>
      </c>
      <c r="W73" s="27">
        <f>IF(설정!$D$26="",0,IFERROR(VALUE(SUBSTITUTE(SUBSTITUTE(INDEX(급여대장_원본!$A$1:$AZ$400,(설정!$B$8+67),설정!$D$26)&amp;"",",",""),"　","")),0))</f>
        <v/>
      </c>
      <c r="X73" s="27">
        <f>IF(설정!$D$27="",0,IFERROR(VALUE(SUBSTITUTE(SUBSTITUTE(INDEX(급여대장_원본!$A$1:$AZ$400,(설정!$B$8+67),설정!$D$27)&amp;"",",",""),"　","")),0))</f>
        <v/>
      </c>
      <c r="Y73" s="27">
        <f>IF(설정!$D$28="",0,IFERROR(VALUE(SUBSTITUTE(SUBSTITUTE(INDEX(급여대장_원본!$A$1:$AZ$400,(설정!$B$8+67),설정!$D$28)&amp;"",",",""),"　","")),0))</f>
        <v/>
      </c>
      <c r="Z73" s="27">
        <f>IF(설정!$D$29="",0,IFERROR(VALUE(SUBSTITUTE(SUBSTITUTE(INDEX(급여대장_원본!$A$1:$AZ$400,(설정!$B$8+67),설정!$D$29)&amp;"",",",""),"　","")),0))</f>
        <v/>
      </c>
      <c r="AA73" s="27">
        <f>IF(설정!$D$30="",0,IFERROR(VALUE(SUBSTITUTE(SUBSTITUTE(INDEX(급여대장_원본!$A$1:$AZ$400,(설정!$B$8+67),설정!$D$30)&amp;"",",",""),"　","")),0))</f>
        <v/>
      </c>
      <c r="AB73" s="27">
        <f>IF(설정!$D$31="",0,IFERROR(VALUE(SUBSTITUTE(SUBSTITUTE(INDEX(급여대장_원본!$A$1:$AZ$400,(설정!$B$8+67),설정!$D$31)&amp;"",",",""),"　","")),0))</f>
        <v/>
      </c>
      <c r="AC73" s="27">
        <f>IF(설정!$D$32="",0,IFERROR(VALUE(SUBSTITUTE(SUBSTITUTE(INDEX(급여대장_원본!$A$1:$AZ$400,(설정!$B$8+67),설정!$D$32)&amp;"",",",""),"　","")),0))</f>
        <v/>
      </c>
      <c r="AD73" s="27">
        <f>IF(설정!$D$33="",0,IFERROR(VALUE(SUBSTITUTE(SUBSTITUTE(INDEX(급여대장_원본!$A$1:$AZ$400,(설정!$B$8+67),설정!$D$33)&amp;"",",",""),"　","")),0))</f>
        <v/>
      </c>
      <c r="AE73" s="27">
        <f>SUM(W73:AD73)</f>
        <v/>
      </c>
      <c r="AF73" s="27">
        <f>V73-AE73</f>
        <v/>
      </c>
      <c r="AG73" s="27">
        <f>IF(설정!$D$35="","",IF(설정!$D$35="",0,IFERROR(VALUE(SUBSTITUTE(SUBSTITUTE(INDEX(급여대장_원본!$A$1:$AZ$400,(설정!$B$8+67),설정!$D$35)&amp;"",",",""),"　","")),0)))</f>
        <v/>
      </c>
      <c r="AH73" s="27">
        <f>IF(설정!$D$36="","",IF(설정!$D$36="",0,IFERROR(VALUE(SUBSTITUTE(SUBSTITUTE(INDEX(급여대장_원본!$A$1:$AZ$400,(설정!$B$8+67),설정!$D$36)&amp;"",",",""),"　","")),0)))</f>
        <v/>
      </c>
      <c r="AI73" s="27">
        <f>IF(설정!$D$37="","",IF(설정!$D$37="",0,IFERROR(VALUE(SUBSTITUTE(SUBSTITUTE(INDEX(급여대장_원본!$A$1:$AZ$400,(설정!$B$8+67),설정!$D$37)&amp;"",",",""),"　","")),0)))</f>
        <v/>
      </c>
      <c r="AJ73" s="2">
        <f>IFERROR(INDEX($D$7:$D$306,MATCH(67,$B$7:$B$306,0)),"")</f>
        <v/>
      </c>
    </row>
    <row r="74">
      <c r="A74" s="2">
        <f>IF(AND(D74&lt;&gt;"",D74&lt;&gt;"합계",D74&lt;&gt;"총계",D74&lt;&gt;"소계",D74&lt;&gt;"계"),1,0)</f>
        <v/>
      </c>
      <c r="B74" s="2">
        <f>IF(A74=1,SUM($A$7:A74),"")</f>
        <v/>
      </c>
      <c r="C74" s="2">
        <f>IF(설정!$D$13="","",TRIM(SUBSTITUTE(INDEX(급여대장_원본!$A$1:$AZ$400,(설정!$B$8+68),설정!$D$13)&amp;"","　"," ")))</f>
        <v/>
      </c>
      <c r="D74" s="2">
        <f>IF(설정!$D$14="","",TRIM(SUBSTITUTE(INDEX(급여대장_원본!$A$1:$AZ$400,(설정!$B$8+68),설정!$D$14)&amp;"","　"," ")))</f>
        <v/>
      </c>
      <c r="E74" s="2">
        <f>IF(설정!$D$15="","",TRIM(SUBSTITUTE(INDEX(급여대장_원본!$A$1:$AZ$400,(설정!$B$8+68),설정!$D$15)&amp;"","　"," ")))</f>
        <v/>
      </c>
      <c r="F74" s="27">
        <f>IF(설정!$D$17="",0,IFERROR(VALUE(SUBSTITUTE(SUBSTITUTE(INDEX(급여대장_원본!$A$1:$AZ$400,(설정!$B$8+68),설정!$D$17)&amp;"",",",""),"　","")),0))</f>
        <v/>
      </c>
      <c r="G74" s="27">
        <f>IF(설정!$D$18="",0,IFERROR(VALUE(SUBSTITUTE(SUBSTITUTE(INDEX(급여대장_원본!$A$1:$AZ$400,(설정!$B$8+68),설정!$D$18)&amp;"",",",""),"　","")),0))</f>
        <v/>
      </c>
      <c r="H74" s="27">
        <f>IF(설정!$D$19="",0,IFERROR(VALUE(SUBSTITUTE(SUBSTITUTE(INDEX(급여대장_원본!$A$1:$AZ$400,(설정!$B$8+68),설정!$D$19)&amp;"",",",""),"　","")),0))</f>
        <v/>
      </c>
      <c r="I74" s="27">
        <f>IF(설정!$D$20="",0,IFERROR(VALUE(SUBSTITUTE(SUBSTITUTE(INDEX(급여대장_원본!$A$1:$AZ$400,(설정!$B$8+68),설정!$D$20)&amp;"",",",""),"　","")),0))</f>
        <v/>
      </c>
      <c r="J74" s="27">
        <f>IF(설정!$D$21="",0,IFERROR(VALUE(SUBSTITUTE(SUBSTITUTE(INDEX(급여대장_원본!$A$1:$AZ$400,(설정!$B$8+68),설정!$D$21)&amp;"",",",""),"　","")),0))</f>
        <v/>
      </c>
      <c r="K74" s="27">
        <f>IF(설정!$D$22="",0,IFERROR(VALUE(SUBSTITUTE(SUBSTITUTE(INDEX(급여대장_원본!$A$1:$AZ$400,(설정!$B$8+68),설정!$D$22)&amp;"",",",""),"　","")),0))</f>
        <v/>
      </c>
      <c r="L74" s="27">
        <f>IF(설정!$D$23="",0,IFERROR(VALUE(SUBSTITUTE(SUBSTITUTE(INDEX(급여대장_원본!$A$1:$AZ$400,(설정!$B$8+68),설정!$D$23)&amp;"",",",""),"　","")),0))</f>
        <v/>
      </c>
      <c r="M74" s="27">
        <f>IF(설정!$D$24="",0,IFERROR(VALUE(SUBSTITUTE(SUBSTITUTE(INDEX(급여대장_원본!$A$1:$AZ$400,(설정!$B$8+68),설정!$D$24)&amp;"",",",""),"　","")),0))</f>
        <v/>
      </c>
      <c r="N74" s="2">
        <f>IF(OR(설정!$C$17="",IFERROR(MATCH(설정!$C$17,INDEX(급여대장_원본!$A$1:$AZ$400,설정!$B$8,0),0),"")=""),"",IFERROR(VALUE(SUBSTITUTE(INDEX(급여대장_원본!$A$1:$AZ$400,(설정!$B$8+68),IFERROR(MATCH(설정!$C$17,INDEX(급여대장_원본!$A$1:$AZ$400,설정!$B$8,0),0),""))&amp;"",",","")),""))</f>
        <v/>
      </c>
      <c r="O74" s="2">
        <f>IF(OR(설정!$C$18="",IFERROR(MATCH(설정!$C$18,INDEX(급여대장_원본!$A$1:$AZ$400,설정!$B$8,0),0),"")=""),"",IFERROR(VALUE(SUBSTITUTE(INDEX(급여대장_원본!$A$1:$AZ$400,(설정!$B$8+68),IFERROR(MATCH(설정!$C$18,INDEX(급여대장_원본!$A$1:$AZ$400,설정!$B$8,0),0),""))&amp;"",",","")),""))</f>
        <v/>
      </c>
      <c r="P74" s="2">
        <f>IF(OR(설정!$C$19="",IFERROR(MATCH(설정!$C$19,INDEX(급여대장_원본!$A$1:$AZ$400,설정!$B$8,0),0),"")=""),"",IFERROR(VALUE(SUBSTITUTE(INDEX(급여대장_원본!$A$1:$AZ$400,(설정!$B$8+68),IFERROR(MATCH(설정!$C$19,INDEX(급여대장_원본!$A$1:$AZ$400,설정!$B$8,0),0),""))&amp;"",",","")),""))</f>
        <v/>
      </c>
      <c r="Q74" s="2">
        <f>IF(OR(설정!$C$20="",IFERROR(MATCH(설정!$C$20,INDEX(급여대장_원본!$A$1:$AZ$400,설정!$B$8,0),0),"")=""),"",IFERROR(VALUE(SUBSTITUTE(INDEX(급여대장_원본!$A$1:$AZ$400,(설정!$B$8+68),IFERROR(MATCH(설정!$C$20,INDEX(급여대장_원본!$A$1:$AZ$400,설정!$B$8,0),0),""))&amp;"",",","")),""))</f>
        <v/>
      </c>
      <c r="R74" s="2">
        <f>IF(OR(설정!$C$21="",IFERROR(MATCH(설정!$C$21,INDEX(급여대장_원본!$A$1:$AZ$400,설정!$B$8,0),0),"")=""),"",IFERROR(VALUE(SUBSTITUTE(INDEX(급여대장_원본!$A$1:$AZ$400,(설정!$B$8+68),IFERROR(MATCH(설정!$C$21,INDEX(급여대장_원본!$A$1:$AZ$400,설정!$B$8,0),0),""))&amp;"",",","")),""))</f>
        <v/>
      </c>
      <c r="S74" s="2">
        <f>IF(OR(설정!$C$22="",IFERROR(MATCH(설정!$C$22,INDEX(급여대장_원본!$A$1:$AZ$400,설정!$B$8,0),0),"")=""),"",IFERROR(VALUE(SUBSTITUTE(INDEX(급여대장_원본!$A$1:$AZ$400,(설정!$B$8+68),IFERROR(MATCH(설정!$C$22,INDEX(급여대장_원본!$A$1:$AZ$400,설정!$B$8,0),0),""))&amp;"",",","")),""))</f>
        <v/>
      </c>
      <c r="T74" s="2">
        <f>IF(OR(설정!$C$23="",IFERROR(MATCH(설정!$C$23,INDEX(급여대장_원본!$A$1:$AZ$400,설정!$B$8,0),0),"")=""),"",IFERROR(VALUE(SUBSTITUTE(INDEX(급여대장_원본!$A$1:$AZ$400,(설정!$B$8+68),IFERROR(MATCH(설정!$C$23,INDEX(급여대장_원본!$A$1:$AZ$400,설정!$B$8,0),0),""))&amp;"",",","")),""))</f>
        <v/>
      </c>
      <c r="U74" s="2">
        <f>IF(OR(설정!$C$24="",IFERROR(MATCH(설정!$C$24,INDEX(급여대장_원본!$A$1:$AZ$400,설정!$B$8,0),0),"")=""),"",IFERROR(VALUE(SUBSTITUTE(INDEX(급여대장_원본!$A$1:$AZ$400,(설정!$B$8+68),IFERROR(MATCH(설정!$C$24,INDEX(급여대장_원본!$A$1:$AZ$400,설정!$B$8,0),0),""))&amp;"",",","")),""))</f>
        <v/>
      </c>
      <c r="V74" s="27">
        <f>SUM(F74:M74)</f>
        <v/>
      </c>
      <c r="W74" s="27">
        <f>IF(설정!$D$26="",0,IFERROR(VALUE(SUBSTITUTE(SUBSTITUTE(INDEX(급여대장_원본!$A$1:$AZ$400,(설정!$B$8+68),설정!$D$26)&amp;"",",",""),"　","")),0))</f>
        <v/>
      </c>
      <c r="X74" s="27">
        <f>IF(설정!$D$27="",0,IFERROR(VALUE(SUBSTITUTE(SUBSTITUTE(INDEX(급여대장_원본!$A$1:$AZ$400,(설정!$B$8+68),설정!$D$27)&amp;"",",",""),"　","")),0))</f>
        <v/>
      </c>
      <c r="Y74" s="27">
        <f>IF(설정!$D$28="",0,IFERROR(VALUE(SUBSTITUTE(SUBSTITUTE(INDEX(급여대장_원본!$A$1:$AZ$400,(설정!$B$8+68),설정!$D$28)&amp;"",",",""),"　","")),0))</f>
        <v/>
      </c>
      <c r="Z74" s="27">
        <f>IF(설정!$D$29="",0,IFERROR(VALUE(SUBSTITUTE(SUBSTITUTE(INDEX(급여대장_원본!$A$1:$AZ$400,(설정!$B$8+68),설정!$D$29)&amp;"",",",""),"　","")),0))</f>
        <v/>
      </c>
      <c r="AA74" s="27">
        <f>IF(설정!$D$30="",0,IFERROR(VALUE(SUBSTITUTE(SUBSTITUTE(INDEX(급여대장_원본!$A$1:$AZ$400,(설정!$B$8+68),설정!$D$30)&amp;"",",",""),"　","")),0))</f>
        <v/>
      </c>
      <c r="AB74" s="27">
        <f>IF(설정!$D$31="",0,IFERROR(VALUE(SUBSTITUTE(SUBSTITUTE(INDEX(급여대장_원본!$A$1:$AZ$400,(설정!$B$8+68),설정!$D$31)&amp;"",",",""),"　","")),0))</f>
        <v/>
      </c>
      <c r="AC74" s="27">
        <f>IF(설정!$D$32="",0,IFERROR(VALUE(SUBSTITUTE(SUBSTITUTE(INDEX(급여대장_원본!$A$1:$AZ$400,(설정!$B$8+68),설정!$D$32)&amp;"",",",""),"　","")),0))</f>
        <v/>
      </c>
      <c r="AD74" s="27">
        <f>IF(설정!$D$33="",0,IFERROR(VALUE(SUBSTITUTE(SUBSTITUTE(INDEX(급여대장_원본!$A$1:$AZ$400,(설정!$B$8+68),설정!$D$33)&amp;"",",",""),"　","")),0))</f>
        <v/>
      </c>
      <c r="AE74" s="27">
        <f>SUM(W74:AD74)</f>
        <v/>
      </c>
      <c r="AF74" s="27">
        <f>V74-AE74</f>
        <v/>
      </c>
      <c r="AG74" s="27">
        <f>IF(설정!$D$35="","",IF(설정!$D$35="",0,IFERROR(VALUE(SUBSTITUTE(SUBSTITUTE(INDEX(급여대장_원본!$A$1:$AZ$400,(설정!$B$8+68),설정!$D$35)&amp;"",",",""),"　","")),0)))</f>
        <v/>
      </c>
      <c r="AH74" s="27">
        <f>IF(설정!$D$36="","",IF(설정!$D$36="",0,IFERROR(VALUE(SUBSTITUTE(SUBSTITUTE(INDEX(급여대장_원본!$A$1:$AZ$400,(설정!$B$8+68),설정!$D$36)&amp;"",",",""),"　","")),0)))</f>
        <v/>
      </c>
      <c r="AI74" s="27">
        <f>IF(설정!$D$37="","",IF(설정!$D$37="",0,IFERROR(VALUE(SUBSTITUTE(SUBSTITUTE(INDEX(급여대장_원본!$A$1:$AZ$400,(설정!$B$8+68),설정!$D$37)&amp;"",",",""),"　","")),0)))</f>
        <v/>
      </c>
      <c r="AJ74" s="2">
        <f>IFERROR(INDEX($D$7:$D$306,MATCH(68,$B$7:$B$306,0)),"")</f>
        <v/>
      </c>
    </row>
    <row r="75">
      <c r="A75" s="2">
        <f>IF(AND(D75&lt;&gt;"",D75&lt;&gt;"합계",D75&lt;&gt;"총계",D75&lt;&gt;"소계",D75&lt;&gt;"계"),1,0)</f>
        <v/>
      </c>
      <c r="B75" s="2">
        <f>IF(A75=1,SUM($A$7:A75),"")</f>
        <v/>
      </c>
      <c r="C75" s="2">
        <f>IF(설정!$D$13="","",TRIM(SUBSTITUTE(INDEX(급여대장_원본!$A$1:$AZ$400,(설정!$B$8+69),설정!$D$13)&amp;"","　"," ")))</f>
        <v/>
      </c>
      <c r="D75" s="2">
        <f>IF(설정!$D$14="","",TRIM(SUBSTITUTE(INDEX(급여대장_원본!$A$1:$AZ$400,(설정!$B$8+69),설정!$D$14)&amp;"","　"," ")))</f>
        <v/>
      </c>
      <c r="E75" s="2">
        <f>IF(설정!$D$15="","",TRIM(SUBSTITUTE(INDEX(급여대장_원본!$A$1:$AZ$400,(설정!$B$8+69),설정!$D$15)&amp;"","　"," ")))</f>
        <v/>
      </c>
      <c r="F75" s="27">
        <f>IF(설정!$D$17="",0,IFERROR(VALUE(SUBSTITUTE(SUBSTITUTE(INDEX(급여대장_원본!$A$1:$AZ$400,(설정!$B$8+69),설정!$D$17)&amp;"",",",""),"　","")),0))</f>
        <v/>
      </c>
      <c r="G75" s="27">
        <f>IF(설정!$D$18="",0,IFERROR(VALUE(SUBSTITUTE(SUBSTITUTE(INDEX(급여대장_원본!$A$1:$AZ$400,(설정!$B$8+69),설정!$D$18)&amp;"",",",""),"　","")),0))</f>
        <v/>
      </c>
      <c r="H75" s="27">
        <f>IF(설정!$D$19="",0,IFERROR(VALUE(SUBSTITUTE(SUBSTITUTE(INDEX(급여대장_원본!$A$1:$AZ$400,(설정!$B$8+69),설정!$D$19)&amp;"",",",""),"　","")),0))</f>
        <v/>
      </c>
      <c r="I75" s="27">
        <f>IF(설정!$D$20="",0,IFERROR(VALUE(SUBSTITUTE(SUBSTITUTE(INDEX(급여대장_원본!$A$1:$AZ$400,(설정!$B$8+69),설정!$D$20)&amp;"",",",""),"　","")),0))</f>
        <v/>
      </c>
      <c r="J75" s="27">
        <f>IF(설정!$D$21="",0,IFERROR(VALUE(SUBSTITUTE(SUBSTITUTE(INDEX(급여대장_원본!$A$1:$AZ$400,(설정!$B$8+69),설정!$D$21)&amp;"",",",""),"　","")),0))</f>
        <v/>
      </c>
      <c r="K75" s="27">
        <f>IF(설정!$D$22="",0,IFERROR(VALUE(SUBSTITUTE(SUBSTITUTE(INDEX(급여대장_원본!$A$1:$AZ$400,(설정!$B$8+69),설정!$D$22)&amp;"",",",""),"　","")),0))</f>
        <v/>
      </c>
      <c r="L75" s="27">
        <f>IF(설정!$D$23="",0,IFERROR(VALUE(SUBSTITUTE(SUBSTITUTE(INDEX(급여대장_원본!$A$1:$AZ$400,(설정!$B$8+69),설정!$D$23)&amp;"",",",""),"　","")),0))</f>
        <v/>
      </c>
      <c r="M75" s="27">
        <f>IF(설정!$D$24="",0,IFERROR(VALUE(SUBSTITUTE(SUBSTITUTE(INDEX(급여대장_원본!$A$1:$AZ$400,(설정!$B$8+69),설정!$D$24)&amp;"",",",""),"　","")),0))</f>
        <v/>
      </c>
      <c r="N75" s="2">
        <f>IF(OR(설정!$C$17="",IFERROR(MATCH(설정!$C$17,INDEX(급여대장_원본!$A$1:$AZ$400,설정!$B$8,0),0),"")=""),"",IFERROR(VALUE(SUBSTITUTE(INDEX(급여대장_원본!$A$1:$AZ$400,(설정!$B$8+69),IFERROR(MATCH(설정!$C$17,INDEX(급여대장_원본!$A$1:$AZ$400,설정!$B$8,0),0),""))&amp;"",",","")),""))</f>
        <v/>
      </c>
      <c r="O75" s="2">
        <f>IF(OR(설정!$C$18="",IFERROR(MATCH(설정!$C$18,INDEX(급여대장_원본!$A$1:$AZ$400,설정!$B$8,0),0),"")=""),"",IFERROR(VALUE(SUBSTITUTE(INDEX(급여대장_원본!$A$1:$AZ$400,(설정!$B$8+69),IFERROR(MATCH(설정!$C$18,INDEX(급여대장_원본!$A$1:$AZ$400,설정!$B$8,0),0),""))&amp;"",",","")),""))</f>
        <v/>
      </c>
      <c r="P75" s="2">
        <f>IF(OR(설정!$C$19="",IFERROR(MATCH(설정!$C$19,INDEX(급여대장_원본!$A$1:$AZ$400,설정!$B$8,0),0),"")=""),"",IFERROR(VALUE(SUBSTITUTE(INDEX(급여대장_원본!$A$1:$AZ$400,(설정!$B$8+69),IFERROR(MATCH(설정!$C$19,INDEX(급여대장_원본!$A$1:$AZ$400,설정!$B$8,0),0),""))&amp;"",",","")),""))</f>
        <v/>
      </c>
      <c r="Q75" s="2">
        <f>IF(OR(설정!$C$20="",IFERROR(MATCH(설정!$C$20,INDEX(급여대장_원본!$A$1:$AZ$400,설정!$B$8,0),0),"")=""),"",IFERROR(VALUE(SUBSTITUTE(INDEX(급여대장_원본!$A$1:$AZ$400,(설정!$B$8+69),IFERROR(MATCH(설정!$C$20,INDEX(급여대장_원본!$A$1:$AZ$400,설정!$B$8,0),0),""))&amp;"",",","")),""))</f>
        <v/>
      </c>
      <c r="R75" s="2">
        <f>IF(OR(설정!$C$21="",IFERROR(MATCH(설정!$C$21,INDEX(급여대장_원본!$A$1:$AZ$400,설정!$B$8,0),0),"")=""),"",IFERROR(VALUE(SUBSTITUTE(INDEX(급여대장_원본!$A$1:$AZ$400,(설정!$B$8+69),IFERROR(MATCH(설정!$C$21,INDEX(급여대장_원본!$A$1:$AZ$400,설정!$B$8,0),0),""))&amp;"",",","")),""))</f>
        <v/>
      </c>
      <c r="S75" s="2">
        <f>IF(OR(설정!$C$22="",IFERROR(MATCH(설정!$C$22,INDEX(급여대장_원본!$A$1:$AZ$400,설정!$B$8,0),0),"")=""),"",IFERROR(VALUE(SUBSTITUTE(INDEX(급여대장_원본!$A$1:$AZ$400,(설정!$B$8+69),IFERROR(MATCH(설정!$C$22,INDEX(급여대장_원본!$A$1:$AZ$400,설정!$B$8,0),0),""))&amp;"",",","")),""))</f>
        <v/>
      </c>
      <c r="T75" s="2">
        <f>IF(OR(설정!$C$23="",IFERROR(MATCH(설정!$C$23,INDEX(급여대장_원본!$A$1:$AZ$400,설정!$B$8,0),0),"")=""),"",IFERROR(VALUE(SUBSTITUTE(INDEX(급여대장_원본!$A$1:$AZ$400,(설정!$B$8+69),IFERROR(MATCH(설정!$C$23,INDEX(급여대장_원본!$A$1:$AZ$400,설정!$B$8,0),0),""))&amp;"",",","")),""))</f>
        <v/>
      </c>
      <c r="U75" s="2">
        <f>IF(OR(설정!$C$24="",IFERROR(MATCH(설정!$C$24,INDEX(급여대장_원본!$A$1:$AZ$400,설정!$B$8,0),0),"")=""),"",IFERROR(VALUE(SUBSTITUTE(INDEX(급여대장_원본!$A$1:$AZ$400,(설정!$B$8+69),IFERROR(MATCH(설정!$C$24,INDEX(급여대장_원본!$A$1:$AZ$400,설정!$B$8,0),0),""))&amp;"",",","")),""))</f>
        <v/>
      </c>
      <c r="V75" s="27">
        <f>SUM(F75:M75)</f>
        <v/>
      </c>
      <c r="W75" s="27">
        <f>IF(설정!$D$26="",0,IFERROR(VALUE(SUBSTITUTE(SUBSTITUTE(INDEX(급여대장_원본!$A$1:$AZ$400,(설정!$B$8+69),설정!$D$26)&amp;"",",",""),"　","")),0))</f>
        <v/>
      </c>
      <c r="X75" s="27">
        <f>IF(설정!$D$27="",0,IFERROR(VALUE(SUBSTITUTE(SUBSTITUTE(INDEX(급여대장_원본!$A$1:$AZ$400,(설정!$B$8+69),설정!$D$27)&amp;"",",",""),"　","")),0))</f>
        <v/>
      </c>
      <c r="Y75" s="27">
        <f>IF(설정!$D$28="",0,IFERROR(VALUE(SUBSTITUTE(SUBSTITUTE(INDEX(급여대장_원본!$A$1:$AZ$400,(설정!$B$8+69),설정!$D$28)&amp;"",",",""),"　","")),0))</f>
        <v/>
      </c>
      <c r="Z75" s="27">
        <f>IF(설정!$D$29="",0,IFERROR(VALUE(SUBSTITUTE(SUBSTITUTE(INDEX(급여대장_원본!$A$1:$AZ$400,(설정!$B$8+69),설정!$D$29)&amp;"",",",""),"　","")),0))</f>
        <v/>
      </c>
      <c r="AA75" s="27">
        <f>IF(설정!$D$30="",0,IFERROR(VALUE(SUBSTITUTE(SUBSTITUTE(INDEX(급여대장_원본!$A$1:$AZ$400,(설정!$B$8+69),설정!$D$30)&amp;"",",",""),"　","")),0))</f>
        <v/>
      </c>
      <c r="AB75" s="27">
        <f>IF(설정!$D$31="",0,IFERROR(VALUE(SUBSTITUTE(SUBSTITUTE(INDEX(급여대장_원본!$A$1:$AZ$400,(설정!$B$8+69),설정!$D$31)&amp;"",",",""),"　","")),0))</f>
        <v/>
      </c>
      <c r="AC75" s="27">
        <f>IF(설정!$D$32="",0,IFERROR(VALUE(SUBSTITUTE(SUBSTITUTE(INDEX(급여대장_원본!$A$1:$AZ$400,(설정!$B$8+69),설정!$D$32)&amp;"",",",""),"　","")),0))</f>
        <v/>
      </c>
      <c r="AD75" s="27">
        <f>IF(설정!$D$33="",0,IFERROR(VALUE(SUBSTITUTE(SUBSTITUTE(INDEX(급여대장_원본!$A$1:$AZ$400,(설정!$B$8+69),설정!$D$33)&amp;"",",",""),"　","")),0))</f>
        <v/>
      </c>
      <c r="AE75" s="27">
        <f>SUM(W75:AD75)</f>
        <v/>
      </c>
      <c r="AF75" s="27">
        <f>V75-AE75</f>
        <v/>
      </c>
      <c r="AG75" s="27">
        <f>IF(설정!$D$35="","",IF(설정!$D$35="",0,IFERROR(VALUE(SUBSTITUTE(SUBSTITUTE(INDEX(급여대장_원본!$A$1:$AZ$400,(설정!$B$8+69),설정!$D$35)&amp;"",",",""),"　","")),0)))</f>
        <v/>
      </c>
      <c r="AH75" s="27">
        <f>IF(설정!$D$36="","",IF(설정!$D$36="",0,IFERROR(VALUE(SUBSTITUTE(SUBSTITUTE(INDEX(급여대장_원본!$A$1:$AZ$400,(설정!$B$8+69),설정!$D$36)&amp;"",",",""),"　","")),0)))</f>
        <v/>
      </c>
      <c r="AI75" s="27">
        <f>IF(설정!$D$37="","",IF(설정!$D$37="",0,IFERROR(VALUE(SUBSTITUTE(SUBSTITUTE(INDEX(급여대장_원본!$A$1:$AZ$400,(설정!$B$8+69),설정!$D$37)&amp;"",",",""),"　","")),0)))</f>
        <v/>
      </c>
      <c r="AJ75" s="2">
        <f>IFERROR(INDEX($D$7:$D$306,MATCH(69,$B$7:$B$306,0)),"")</f>
        <v/>
      </c>
    </row>
    <row r="76">
      <c r="A76" s="2">
        <f>IF(AND(D76&lt;&gt;"",D76&lt;&gt;"합계",D76&lt;&gt;"총계",D76&lt;&gt;"소계",D76&lt;&gt;"계"),1,0)</f>
        <v/>
      </c>
      <c r="B76" s="2">
        <f>IF(A76=1,SUM($A$7:A76),"")</f>
        <v/>
      </c>
      <c r="C76" s="2">
        <f>IF(설정!$D$13="","",TRIM(SUBSTITUTE(INDEX(급여대장_원본!$A$1:$AZ$400,(설정!$B$8+70),설정!$D$13)&amp;"","　"," ")))</f>
        <v/>
      </c>
      <c r="D76" s="2">
        <f>IF(설정!$D$14="","",TRIM(SUBSTITUTE(INDEX(급여대장_원본!$A$1:$AZ$400,(설정!$B$8+70),설정!$D$14)&amp;"","　"," ")))</f>
        <v/>
      </c>
      <c r="E76" s="2">
        <f>IF(설정!$D$15="","",TRIM(SUBSTITUTE(INDEX(급여대장_원본!$A$1:$AZ$400,(설정!$B$8+70),설정!$D$15)&amp;"","　"," ")))</f>
        <v/>
      </c>
      <c r="F76" s="27">
        <f>IF(설정!$D$17="",0,IFERROR(VALUE(SUBSTITUTE(SUBSTITUTE(INDEX(급여대장_원본!$A$1:$AZ$400,(설정!$B$8+70),설정!$D$17)&amp;"",",",""),"　","")),0))</f>
        <v/>
      </c>
      <c r="G76" s="27">
        <f>IF(설정!$D$18="",0,IFERROR(VALUE(SUBSTITUTE(SUBSTITUTE(INDEX(급여대장_원본!$A$1:$AZ$400,(설정!$B$8+70),설정!$D$18)&amp;"",",",""),"　","")),0))</f>
        <v/>
      </c>
      <c r="H76" s="27">
        <f>IF(설정!$D$19="",0,IFERROR(VALUE(SUBSTITUTE(SUBSTITUTE(INDEX(급여대장_원본!$A$1:$AZ$400,(설정!$B$8+70),설정!$D$19)&amp;"",",",""),"　","")),0))</f>
        <v/>
      </c>
      <c r="I76" s="27">
        <f>IF(설정!$D$20="",0,IFERROR(VALUE(SUBSTITUTE(SUBSTITUTE(INDEX(급여대장_원본!$A$1:$AZ$400,(설정!$B$8+70),설정!$D$20)&amp;"",",",""),"　","")),0))</f>
        <v/>
      </c>
      <c r="J76" s="27">
        <f>IF(설정!$D$21="",0,IFERROR(VALUE(SUBSTITUTE(SUBSTITUTE(INDEX(급여대장_원본!$A$1:$AZ$400,(설정!$B$8+70),설정!$D$21)&amp;"",",",""),"　","")),0))</f>
        <v/>
      </c>
      <c r="K76" s="27">
        <f>IF(설정!$D$22="",0,IFERROR(VALUE(SUBSTITUTE(SUBSTITUTE(INDEX(급여대장_원본!$A$1:$AZ$400,(설정!$B$8+70),설정!$D$22)&amp;"",",",""),"　","")),0))</f>
        <v/>
      </c>
      <c r="L76" s="27">
        <f>IF(설정!$D$23="",0,IFERROR(VALUE(SUBSTITUTE(SUBSTITUTE(INDEX(급여대장_원본!$A$1:$AZ$400,(설정!$B$8+70),설정!$D$23)&amp;"",",",""),"　","")),0))</f>
        <v/>
      </c>
      <c r="M76" s="27">
        <f>IF(설정!$D$24="",0,IFERROR(VALUE(SUBSTITUTE(SUBSTITUTE(INDEX(급여대장_원본!$A$1:$AZ$400,(설정!$B$8+70),설정!$D$24)&amp;"",",",""),"　","")),0))</f>
        <v/>
      </c>
      <c r="N76" s="2">
        <f>IF(OR(설정!$C$17="",IFERROR(MATCH(설정!$C$17,INDEX(급여대장_원본!$A$1:$AZ$400,설정!$B$8,0),0),"")=""),"",IFERROR(VALUE(SUBSTITUTE(INDEX(급여대장_원본!$A$1:$AZ$400,(설정!$B$8+70),IFERROR(MATCH(설정!$C$17,INDEX(급여대장_원본!$A$1:$AZ$400,설정!$B$8,0),0),""))&amp;"",",","")),""))</f>
        <v/>
      </c>
      <c r="O76" s="2">
        <f>IF(OR(설정!$C$18="",IFERROR(MATCH(설정!$C$18,INDEX(급여대장_원본!$A$1:$AZ$400,설정!$B$8,0),0),"")=""),"",IFERROR(VALUE(SUBSTITUTE(INDEX(급여대장_원본!$A$1:$AZ$400,(설정!$B$8+70),IFERROR(MATCH(설정!$C$18,INDEX(급여대장_원본!$A$1:$AZ$400,설정!$B$8,0),0),""))&amp;"",",","")),""))</f>
        <v/>
      </c>
      <c r="P76" s="2">
        <f>IF(OR(설정!$C$19="",IFERROR(MATCH(설정!$C$19,INDEX(급여대장_원본!$A$1:$AZ$400,설정!$B$8,0),0),"")=""),"",IFERROR(VALUE(SUBSTITUTE(INDEX(급여대장_원본!$A$1:$AZ$400,(설정!$B$8+70),IFERROR(MATCH(설정!$C$19,INDEX(급여대장_원본!$A$1:$AZ$400,설정!$B$8,0),0),""))&amp;"",",","")),""))</f>
        <v/>
      </c>
      <c r="Q76" s="2">
        <f>IF(OR(설정!$C$20="",IFERROR(MATCH(설정!$C$20,INDEX(급여대장_원본!$A$1:$AZ$400,설정!$B$8,0),0),"")=""),"",IFERROR(VALUE(SUBSTITUTE(INDEX(급여대장_원본!$A$1:$AZ$400,(설정!$B$8+70),IFERROR(MATCH(설정!$C$20,INDEX(급여대장_원본!$A$1:$AZ$400,설정!$B$8,0),0),""))&amp;"",",","")),""))</f>
        <v/>
      </c>
      <c r="R76" s="2">
        <f>IF(OR(설정!$C$21="",IFERROR(MATCH(설정!$C$21,INDEX(급여대장_원본!$A$1:$AZ$400,설정!$B$8,0),0),"")=""),"",IFERROR(VALUE(SUBSTITUTE(INDEX(급여대장_원본!$A$1:$AZ$400,(설정!$B$8+70),IFERROR(MATCH(설정!$C$21,INDEX(급여대장_원본!$A$1:$AZ$400,설정!$B$8,0),0),""))&amp;"",",","")),""))</f>
        <v/>
      </c>
      <c r="S76" s="2">
        <f>IF(OR(설정!$C$22="",IFERROR(MATCH(설정!$C$22,INDEX(급여대장_원본!$A$1:$AZ$400,설정!$B$8,0),0),"")=""),"",IFERROR(VALUE(SUBSTITUTE(INDEX(급여대장_원본!$A$1:$AZ$400,(설정!$B$8+70),IFERROR(MATCH(설정!$C$22,INDEX(급여대장_원본!$A$1:$AZ$400,설정!$B$8,0),0),""))&amp;"",",","")),""))</f>
        <v/>
      </c>
      <c r="T76" s="2">
        <f>IF(OR(설정!$C$23="",IFERROR(MATCH(설정!$C$23,INDEX(급여대장_원본!$A$1:$AZ$400,설정!$B$8,0),0),"")=""),"",IFERROR(VALUE(SUBSTITUTE(INDEX(급여대장_원본!$A$1:$AZ$400,(설정!$B$8+70),IFERROR(MATCH(설정!$C$23,INDEX(급여대장_원본!$A$1:$AZ$400,설정!$B$8,0),0),""))&amp;"",",","")),""))</f>
        <v/>
      </c>
      <c r="U76" s="2">
        <f>IF(OR(설정!$C$24="",IFERROR(MATCH(설정!$C$24,INDEX(급여대장_원본!$A$1:$AZ$400,설정!$B$8,0),0),"")=""),"",IFERROR(VALUE(SUBSTITUTE(INDEX(급여대장_원본!$A$1:$AZ$400,(설정!$B$8+70),IFERROR(MATCH(설정!$C$24,INDEX(급여대장_원본!$A$1:$AZ$400,설정!$B$8,0),0),""))&amp;"",",","")),""))</f>
        <v/>
      </c>
      <c r="V76" s="27">
        <f>SUM(F76:M76)</f>
        <v/>
      </c>
      <c r="W76" s="27">
        <f>IF(설정!$D$26="",0,IFERROR(VALUE(SUBSTITUTE(SUBSTITUTE(INDEX(급여대장_원본!$A$1:$AZ$400,(설정!$B$8+70),설정!$D$26)&amp;"",",",""),"　","")),0))</f>
        <v/>
      </c>
      <c r="X76" s="27">
        <f>IF(설정!$D$27="",0,IFERROR(VALUE(SUBSTITUTE(SUBSTITUTE(INDEX(급여대장_원본!$A$1:$AZ$400,(설정!$B$8+70),설정!$D$27)&amp;"",",",""),"　","")),0))</f>
        <v/>
      </c>
      <c r="Y76" s="27">
        <f>IF(설정!$D$28="",0,IFERROR(VALUE(SUBSTITUTE(SUBSTITUTE(INDEX(급여대장_원본!$A$1:$AZ$400,(설정!$B$8+70),설정!$D$28)&amp;"",",",""),"　","")),0))</f>
        <v/>
      </c>
      <c r="Z76" s="27">
        <f>IF(설정!$D$29="",0,IFERROR(VALUE(SUBSTITUTE(SUBSTITUTE(INDEX(급여대장_원본!$A$1:$AZ$400,(설정!$B$8+70),설정!$D$29)&amp;"",",",""),"　","")),0))</f>
        <v/>
      </c>
      <c r="AA76" s="27">
        <f>IF(설정!$D$30="",0,IFERROR(VALUE(SUBSTITUTE(SUBSTITUTE(INDEX(급여대장_원본!$A$1:$AZ$400,(설정!$B$8+70),설정!$D$30)&amp;"",",",""),"　","")),0))</f>
        <v/>
      </c>
      <c r="AB76" s="27">
        <f>IF(설정!$D$31="",0,IFERROR(VALUE(SUBSTITUTE(SUBSTITUTE(INDEX(급여대장_원본!$A$1:$AZ$400,(설정!$B$8+70),설정!$D$31)&amp;"",",",""),"　","")),0))</f>
        <v/>
      </c>
      <c r="AC76" s="27">
        <f>IF(설정!$D$32="",0,IFERROR(VALUE(SUBSTITUTE(SUBSTITUTE(INDEX(급여대장_원본!$A$1:$AZ$400,(설정!$B$8+70),설정!$D$32)&amp;"",",",""),"　","")),0))</f>
        <v/>
      </c>
      <c r="AD76" s="27">
        <f>IF(설정!$D$33="",0,IFERROR(VALUE(SUBSTITUTE(SUBSTITUTE(INDEX(급여대장_원본!$A$1:$AZ$400,(설정!$B$8+70),설정!$D$33)&amp;"",",",""),"　","")),0))</f>
        <v/>
      </c>
      <c r="AE76" s="27">
        <f>SUM(W76:AD76)</f>
        <v/>
      </c>
      <c r="AF76" s="27">
        <f>V76-AE76</f>
        <v/>
      </c>
      <c r="AG76" s="27">
        <f>IF(설정!$D$35="","",IF(설정!$D$35="",0,IFERROR(VALUE(SUBSTITUTE(SUBSTITUTE(INDEX(급여대장_원본!$A$1:$AZ$400,(설정!$B$8+70),설정!$D$35)&amp;"",",",""),"　","")),0)))</f>
        <v/>
      </c>
      <c r="AH76" s="27">
        <f>IF(설정!$D$36="","",IF(설정!$D$36="",0,IFERROR(VALUE(SUBSTITUTE(SUBSTITUTE(INDEX(급여대장_원본!$A$1:$AZ$400,(설정!$B$8+70),설정!$D$36)&amp;"",",",""),"　","")),0)))</f>
        <v/>
      </c>
      <c r="AI76" s="27">
        <f>IF(설정!$D$37="","",IF(설정!$D$37="",0,IFERROR(VALUE(SUBSTITUTE(SUBSTITUTE(INDEX(급여대장_원본!$A$1:$AZ$400,(설정!$B$8+70),설정!$D$37)&amp;"",",",""),"　","")),0)))</f>
        <v/>
      </c>
      <c r="AJ76" s="2">
        <f>IFERROR(INDEX($D$7:$D$306,MATCH(70,$B$7:$B$306,0)),"")</f>
        <v/>
      </c>
    </row>
    <row r="77">
      <c r="A77" s="2">
        <f>IF(AND(D77&lt;&gt;"",D77&lt;&gt;"합계",D77&lt;&gt;"총계",D77&lt;&gt;"소계",D77&lt;&gt;"계"),1,0)</f>
        <v/>
      </c>
      <c r="B77" s="2">
        <f>IF(A77=1,SUM($A$7:A77),"")</f>
        <v/>
      </c>
      <c r="C77" s="2">
        <f>IF(설정!$D$13="","",TRIM(SUBSTITUTE(INDEX(급여대장_원본!$A$1:$AZ$400,(설정!$B$8+71),설정!$D$13)&amp;"","　"," ")))</f>
        <v/>
      </c>
      <c r="D77" s="2">
        <f>IF(설정!$D$14="","",TRIM(SUBSTITUTE(INDEX(급여대장_원본!$A$1:$AZ$400,(설정!$B$8+71),설정!$D$14)&amp;"","　"," ")))</f>
        <v/>
      </c>
      <c r="E77" s="2">
        <f>IF(설정!$D$15="","",TRIM(SUBSTITUTE(INDEX(급여대장_원본!$A$1:$AZ$400,(설정!$B$8+71),설정!$D$15)&amp;"","　"," ")))</f>
        <v/>
      </c>
      <c r="F77" s="27">
        <f>IF(설정!$D$17="",0,IFERROR(VALUE(SUBSTITUTE(SUBSTITUTE(INDEX(급여대장_원본!$A$1:$AZ$400,(설정!$B$8+71),설정!$D$17)&amp;"",",",""),"　","")),0))</f>
        <v/>
      </c>
      <c r="G77" s="27">
        <f>IF(설정!$D$18="",0,IFERROR(VALUE(SUBSTITUTE(SUBSTITUTE(INDEX(급여대장_원본!$A$1:$AZ$400,(설정!$B$8+71),설정!$D$18)&amp;"",",",""),"　","")),0))</f>
        <v/>
      </c>
      <c r="H77" s="27">
        <f>IF(설정!$D$19="",0,IFERROR(VALUE(SUBSTITUTE(SUBSTITUTE(INDEX(급여대장_원본!$A$1:$AZ$400,(설정!$B$8+71),설정!$D$19)&amp;"",",",""),"　","")),0))</f>
        <v/>
      </c>
      <c r="I77" s="27">
        <f>IF(설정!$D$20="",0,IFERROR(VALUE(SUBSTITUTE(SUBSTITUTE(INDEX(급여대장_원본!$A$1:$AZ$400,(설정!$B$8+71),설정!$D$20)&amp;"",",",""),"　","")),0))</f>
        <v/>
      </c>
      <c r="J77" s="27">
        <f>IF(설정!$D$21="",0,IFERROR(VALUE(SUBSTITUTE(SUBSTITUTE(INDEX(급여대장_원본!$A$1:$AZ$400,(설정!$B$8+71),설정!$D$21)&amp;"",",",""),"　","")),0))</f>
        <v/>
      </c>
      <c r="K77" s="27">
        <f>IF(설정!$D$22="",0,IFERROR(VALUE(SUBSTITUTE(SUBSTITUTE(INDEX(급여대장_원본!$A$1:$AZ$400,(설정!$B$8+71),설정!$D$22)&amp;"",",",""),"　","")),0))</f>
        <v/>
      </c>
      <c r="L77" s="27">
        <f>IF(설정!$D$23="",0,IFERROR(VALUE(SUBSTITUTE(SUBSTITUTE(INDEX(급여대장_원본!$A$1:$AZ$400,(설정!$B$8+71),설정!$D$23)&amp;"",",",""),"　","")),0))</f>
        <v/>
      </c>
      <c r="M77" s="27">
        <f>IF(설정!$D$24="",0,IFERROR(VALUE(SUBSTITUTE(SUBSTITUTE(INDEX(급여대장_원본!$A$1:$AZ$400,(설정!$B$8+71),설정!$D$24)&amp;"",",",""),"　","")),0))</f>
        <v/>
      </c>
      <c r="N77" s="2">
        <f>IF(OR(설정!$C$17="",IFERROR(MATCH(설정!$C$17,INDEX(급여대장_원본!$A$1:$AZ$400,설정!$B$8,0),0),"")=""),"",IFERROR(VALUE(SUBSTITUTE(INDEX(급여대장_원본!$A$1:$AZ$400,(설정!$B$8+71),IFERROR(MATCH(설정!$C$17,INDEX(급여대장_원본!$A$1:$AZ$400,설정!$B$8,0),0),""))&amp;"",",","")),""))</f>
        <v/>
      </c>
      <c r="O77" s="2">
        <f>IF(OR(설정!$C$18="",IFERROR(MATCH(설정!$C$18,INDEX(급여대장_원본!$A$1:$AZ$400,설정!$B$8,0),0),"")=""),"",IFERROR(VALUE(SUBSTITUTE(INDEX(급여대장_원본!$A$1:$AZ$400,(설정!$B$8+71),IFERROR(MATCH(설정!$C$18,INDEX(급여대장_원본!$A$1:$AZ$400,설정!$B$8,0),0),""))&amp;"",",","")),""))</f>
        <v/>
      </c>
      <c r="P77" s="2">
        <f>IF(OR(설정!$C$19="",IFERROR(MATCH(설정!$C$19,INDEX(급여대장_원본!$A$1:$AZ$400,설정!$B$8,0),0),"")=""),"",IFERROR(VALUE(SUBSTITUTE(INDEX(급여대장_원본!$A$1:$AZ$400,(설정!$B$8+71),IFERROR(MATCH(설정!$C$19,INDEX(급여대장_원본!$A$1:$AZ$400,설정!$B$8,0),0),""))&amp;"",",","")),""))</f>
        <v/>
      </c>
      <c r="Q77" s="2">
        <f>IF(OR(설정!$C$20="",IFERROR(MATCH(설정!$C$20,INDEX(급여대장_원본!$A$1:$AZ$400,설정!$B$8,0),0),"")=""),"",IFERROR(VALUE(SUBSTITUTE(INDEX(급여대장_원본!$A$1:$AZ$400,(설정!$B$8+71),IFERROR(MATCH(설정!$C$20,INDEX(급여대장_원본!$A$1:$AZ$400,설정!$B$8,0),0),""))&amp;"",",","")),""))</f>
        <v/>
      </c>
      <c r="R77" s="2">
        <f>IF(OR(설정!$C$21="",IFERROR(MATCH(설정!$C$21,INDEX(급여대장_원본!$A$1:$AZ$400,설정!$B$8,0),0),"")=""),"",IFERROR(VALUE(SUBSTITUTE(INDEX(급여대장_원본!$A$1:$AZ$400,(설정!$B$8+71),IFERROR(MATCH(설정!$C$21,INDEX(급여대장_원본!$A$1:$AZ$400,설정!$B$8,0),0),""))&amp;"",",","")),""))</f>
        <v/>
      </c>
      <c r="S77" s="2">
        <f>IF(OR(설정!$C$22="",IFERROR(MATCH(설정!$C$22,INDEX(급여대장_원본!$A$1:$AZ$400,설정!$B$8,0),0),"")=""),"",IFERROR(VALUE(SUBSTITUTE(INDEX(급여대장_원본!$A$1:$AZ$400,(설정!$B$8+71),IFERROR(MATCH(설정!$C$22,INDEX(급여대장_원본!$A$1:$AZ$400,설정!$B$8,0),0),""))&amp;"",",","")),""))</f>
        <v/>
      </c>
      <c r="T77" s="2">
        <f>IF(OR(설정!$C$23="",IFERROR(MATCH(설정!$C$23,INDEX(급여대장_원본!$A$1:$AZ$400,설정!$B$8,0),0),"")=""),"",IFERROR(VALUE(SUBSTITUTE(INDEX(급여대장_원본!$A$1:$AZ$400,(설정!$B$8+71),IFERROR(MATCH(설정!$C$23,INDEX(급여대장_원본!$A$1:$AZ$400,설정!$B$8,0),0),""))&amp;"",",","")),""))</f>
        <v/>
      </c>
      <c r="U77" s="2">
        <f>IF(OR(설정!$C$24="",IFERROR(MATCH(설정!$C$24,INDEX(급여대장_원본!$A$1:$AZ$400,설정!$B$8,0),0),"")=""),"",IFERROR(VALUE(SUBSTITUTE(INDEX(급여대장_원본!$A$1:$AZ$400,(설정!$B$8+71),IFERROR(MATCH(설정!$C$24,INDEX(급여대장_원본!$A$1:$AZ$400,설정!$B$8,0),0),""))&amp;"",",","")),""))</f>
        <v/>
      </c>
      <c r="V77" s="27">
        <f>SUM(F77:M77)</f>
        <v/>
      </c>
      <c r="W77" s="27">
        <f>IF(설정!$D$26="",0,IFERROR(VALUE(SUBSTITUTE(SUBSTITUTE(INDEX(급여대장_원본!$A$1:$AZ$400,(설정!$B$8+71),설정!$D$26)&amp;"",",",""),"　","")),0))</f>
        <v/>
      </c>
      <c r="X77" s="27">
        <f>IF(설정!$D$27="",0,IFERROR(VALUE(SUBSTITUTE(SUBSTITUTE(INDEX(급여대장_원본!$A$1:$AZ$400,(설정!$B$8+71),설정!$D$27)&amp;"",",",""),"　","")),0))</f>
        <v/>
      </c>
      <c r="Y77" s="27">
        <f>IF(설정!$D$28="",0,IFERROR(VALUE(SUBSTITUTE(SUBSTITUTE(INDEX(급여대장_원본!$A$1:$AZ$400,(설정!$B$8+71),설정!$D$28)&amp;"",",",""),"　","")),0))</f>
        <v/>
      </c>
      <c r="Z77" s="27">
        <f>IF(설정!$D$29="",0,IFERROR(VALUE(SUBSTITUTE(SUBSTITUTE(INDEX(급여대장_원본!$A$1:$AZ$400,(설정!$B$8+71),설정!$D$29)&amp;"",",",""),"　","")),0))</f>
        <v/>
      </c>
      <c r="AA77" s="27">
        <f>IF(설정!$D$30="",0,IFERROR(VALUE(SUBSTITUTE(SUBSTITUTE(INDEX(급여대장_원본!$A$1:$AZ$400,(설정!$B$8+71),설정!$D$30)&amp;"",",",""),"　","")),0))</f>
        <v/>
      </c>
      <c r="AB77" s="27">
        <f>IF(설정!$D$31="",0,IFERROR(VALUE(SUBSTITUTE(SUBSTITUTE(INDEX(급여대장_원본!$A$1:$AZ$400,(설정!$B$8+71),설정!$D$31)&amp;"",",",""),"　","")),0))</f>
        <v/>
      </c>
      <c r="AC77" s="27">
        <f>IF(설정!$D$32="",0,IFERROR(VALUE(SUBSTITUTE(SUBSTITUTE(INDEX(급여대장_원본!$A$1:$AZ$400,(설정!$B$8+71),설정!$D$32)&amp;"",",",""),"　","")),0))</f>
        <v/>
      </c>
      <c r="AD77" s="27">
        <f>IF(설정!$D$33="",0,IFERROR(VALUE(SUBSTITUTE(SUBSTITUTE(INDEX(급여대장_원본!$A$1:$AZ$400,(설정!$B$8+71),설정!$D$33)&amp;"",",",""),"　","")),0))</f>
        <v/>
      </c>
      <c r="AE77" s="27">
        <f>SUM(W77:AD77)</f>
        <v/>
      </c>
      <c r="AF77" s="27">
        <f>V77-AE77</f>
        <v/>
      </c>
      <c r="AG77" s="27">
        <f>IF(설정!$D$35="","",IF(설정!$D$35="",0,IFERROR(VALUE(SUBSTITUTE(SUBSTITUTE(INDEX(급여대장_원본!$A$1:$AZ$400,(설정!$B$8+71),설정!$D$35)&amp;"",",",""),"　","")),0)))</f>
        <v/>
      </c>
      <c r="AH77" s="27">
        <f>IF(설정!$D$36="","",IF(설정!$D$36="",0,IFERROR(VALUE(SUBSTITUTE(SUBSTITUTE(INDEX(급여대장_원본!$A$1:$AZ$400,(설정!$B$8+71),설정!$D$36)&amp;"",",",""),"　","")),0)))</f>
        <v/>
      </c>
      <c r="AI77" s="27">
        <f>IF(설정!$D$37="","",IF(설정!$D$37="",0,IFERROR(VALUE(SUBSTITUTE(SUBSTITUTE(INDEX(급여대장_원본!$A$1:$AZ$400,(설정!$B$8+71),설정!$D$37)&amp;"",",",""),"　","")),0)))</f>
        <v/>
      </c>
      <c r="AJ77" s="2">
        <f>IFERROR(INDEX($D$7:$D$306,MATCH(71,$B$7:$B$306,0)),"")</f>
        <v/>
      </c>
    </row>
    <row r="78">
      <c r="A78" s="2">
        <f>IF(AND(D78&lt;&gt;"",D78&lt;&gt;"합계",D78&lt;&gt;"총계",D78&lt;&gt;"소계",D78&lt;&gt;"계"),1,0)</f>
        <v/>
      </c>
      <c r="B78" s="2">
        <f>IF(A78=1,SUM($A$7:A78),"")</f>
        <v/>
      </c>
      <c r="C78" s="2">
        <f>IF(설정!$D$13="","",TRIM(SUBSTITUTE(INDEX(급여대장_원본!$A$1:$AZ$400,(설정!$B$8+72),설정!$D$13)&amp;"","　"," ")))</f>
        <v/>
      </c>
      <c r="D78" s="2">
        <f>IF(설정!$D$14="","",TRIM(SUBSTITUTE(INDEX(급여대장_원본!$A$1:$AZ$400,(설정!$B$8+72),설정!$D$14)&amp;"","　"," ")))</f>
        <v/>
      </c>
      <c r="E78" s="2">
        <f>IF(설정!$D$15="","",TRIM(SUBSTITUTE(INDEX(급여대장_원본!$A$1:$AZ$400,(설정!$B$8+72),설정!$D$15)&amp;"","　"," ")))</f>
        <v/>
      </c>
      <c r="F78" s="27">
        <f>IF(설정!$D$17="",0,IFERROR(VALUE(SUBSTITUTE(SUBSTITUTE(INDEX(급여대장_원본!$A$1:$AZ$400,(설정!$B$8+72),설정!$D$17)&amp;"",",",""),"　","")),0))</f>
        <v/>
      </c>
      <c r="G78" s="27">
        <f>IF(설정!$D$18="",0,IFERROR(VALUE(SUBSTITUTE(SUBSTITUTE(INDEX(급여대장_원본!$A$1:$AZ$400,(설정!$B$8+72),설정!$D$18)&amp;"",",",""),"　","")),0))</f>
        <v/>
      </c>
      <c r="H78" s="27">
        <f>IF(설정!$D$19="",0,IFERROR(VALUE(SUBSTITUTE(SUBSTITUTE(INDEX(급여대장_원본!$A$1:$AZ$400,(설정!$B$8+72),설정!$D$19)&amp;"",",",""),"　","")),0))</f>
        <v/>
      </c>
      <c r="I78" s="27">
        <f>IF(설정!$D$20="",0,IFERROR(VALUE(SUBSTITUTE(SUBSTITUTE(INDEX(급여대장_원본!$A$1:$AZ$400,(설정!$B$8+72),설정!$D$20)&amp;"",",",""),"　","")),0))</f>
        <v/>
      </c>
      <c r="J78" s="27">
        <f>IF(설정!$D$21="",0,IFERROR(VALUE(SUBSTITUTE(SUBSTITUTE(INDEX(급여대장_원본!$A$1:$AZ$400,(설정!$B$8+72),설정!$D$21)&amp;"",",",""),"　","")),0))</f>
        <v/>
      </c>
      <c r="K78" s="27">
        <f>IF(설정!$D$22="",0,IFERROR(VALUE(SUBSTITUTE(SUBSTITUTE(INDEX(급여대장_원본!$A$1:$AZ$400,(설정!$B$8+72),설정!$D$22)&amp;"",",",""),"　","")),0))</f>
        <v/>
      </c>
      <c r="L78" s="27">
        <f>IF(설정!$D$23="",0,IFERROR(VALUE(SUBSTITUTE(SUBSTITUTE(INDEX(급여대장_원본!$A$1:$AZ$400,(설정!$B$8+72),설정!$D$23)&amp;"",",",""),"　","")),0))</f>
        <v/>
      </c>
      <c r="M78" s="27">
        <f>IF(설정!$D$24="",0,IFERROR(VALUE(SUBSTITUTE(SUBSTITUTE(INDEX(급여대장_원본!$A$1:$AZ$400,(설정!$B$8+72),설정!$D$24)&amp;"",",",""),"　","")),0))</f>
        <v/>
      </c>
      <c r="N78" s="2">
        <f>IF(OR(설정!$C$17="",IFERROR(MATCH(설정!$C$17,INDEX(급여대장_원본!$A$1:$AZ$400,설정!$B$8,0),0),"")=""),"",IFERROR(VALUE(SUBSTITUTE(INDEX(급여대장_원본!$A$1:$AZ$400,(설정!$B$8+72),IFERROR(MATCH(설정!$C$17,INDEX(급여대장_원본!$A$1:$AZ$400,설정!$B$8,0),0),""))&amp;"",",","")),""))</f>
        <v/>
      </c>
      <c r="O78" s="2">
        <f>IF(OR(설정!$C$18="",IFERROR(MATCH(설정!$C$18,INDEX(급여대장_원본!$A$1:$AZ$400,설정!$B$8,0),0),"")=""),"",IFERROR(VALUE(SUBSTITUTE(INDEX(급여대장_원본!$A$1:$AZ$400,(설정!$B$8+72),IFERROR(MATCH(설정!$C$18,INDEX(급여대장_원본!$A$1:$AZ$400,설정!$B$8,0),0),""))&amp;"",",","")),""))</f>
        <v/>
      </c>
      <c r="P78" s="2">
        <f>IF(OR(설정!$C$19="",IFERROR(MATCH(설정!$C$19,INDEX(급여대장_원본!$A$1:$AZ$400,설정!$B$8,0),0),"")=""),"",IFERROR(VALUE(SUBSTITUTE(INDEX(급여대장_원본!$A$1:$AZ$400,(설정!$B$8+72),IFERROR(MATCH(설정!$C$19,INDEX(급여대장_원본!$A$1:$AZ$400,설정!$B$8,0),0),""))&amp;"",",","")),""))</f>
        <v/>
      </c>
      <c r="Q78" s="2">
        <f>IF(OR(설정!$C$20="",IFERROR(MATCH(설정!$C$20,INDEX(급여대장_원본!$A$1:$AZ$400,설정!$B$8,0),0),"")=""),"",IFERROR(VALUE(SUBSTITUTE(INDEX(급여대장_원본!$A$1:$AZ$400,(설정!$B$8+72),IFERROR(MATCH(설정!$C$20,INDEX(급여대장_원본!$A$1:$AZ$400,설정!$B$8,0),0),""))&amp;"",",","")),""))</f>
        <v/>
      </c>
      <c r="R78" s="2">
        <f>IF(OR(설정!$C$21="",IFERROR(MATCH(설정!$C$21,INDEX(급여대장_원본!$A$1:$AZ$400,설정!$B$8,0),0),"")=""),"",IFERROR(VALUE(SUBSTITUTE(INDEX(급여대장_원본!$A$1:$AZ$400,(설정!$B$8+72),IFERROR(MATCH(설정!$C$21,INDEX(급여대장_원본!$A$1:$AZ$400,설정!$B$8,0),0),""))&amp;"",",","")),""))</f>
        <v/>
      </c>
      <c r="S78" s="2">
        <f>IF(OR(설정!$C$22="",IFERROR(MATCH(설정!$C$22,INDEX(급여대장_원본!$A$1:$AZ$400,설정!$B$8,0),0),"")=""),"",IFERROR(VALUE(SUBSTITUTE(INDEX(급여대장_원본!$A$1:$AZ$400,(설정!$B$8+72),IFERROR(MATCH(설정!$C$22,INDEX(급여대장_원본!$A$1:$AZ$400,설정!$B$8,0),0),""))&amp;"",",","")),""))</f>
        <v/>
      </c>
      <c r="T78" s="2">
        <f>IF(OR(설정!$C$23="",IFERROR(MATCH(설정!$C$23,INDEX(급여대장_원본!$A$1:$AZ$400,설정!$B$8,0),0),"")=""),"",IFERROR(VALUE(SUBSTITUTE(INDEX(급여대장_원본!$A$1:$AZ$400,(설정!$B$8+72),IFERROR(MATCH(설정!$C$23,INDEX(급여대장_원본!$A$1:$AZ$400,설정!$B$8,0),0),""))&amp;"",",","")),""))</f>
        <v/>
      </c>
      <c r="U78" s="2">
        <f>IF(OR(설정!$C$24="",IFERROR(MATCH(설정!$C$24,INDEX(급여대장_원본!$A$1:$AZ$400,설정!$B$8,0),0),"")=""),"",IFERROR(VALUE(SUBSTITUTE(INDEX(급여대장_원본!$A$1:$AZ$400,(설정!$B$8+72),IFERROR(MATCH(설정!$C$24,INDEX(급여대장_원본!$A$1:$AZ$400,설정!$B$8,0),0),""))&amp;"",",","")),""))</f>
        <v/>
      </c>
      <c r="V78" s="27">
        <f>SUM(F78:M78)</f>
        <v/>
      </c>
      <c r="W78" s="27">
        <f>IF(설정!$D$26="",0,IFERROR(VALUE(SUBSTITUTE(SUBSTITUTE(INDEX(급여대장_원본!$A$1:$AZ$400,(설정!$B$8+72),설정!$D$26)&amp;"",",",""),"　","")),0))</f>
        <v/>
      </c>
      <c r="X78" s="27">
        <f>IF(설정!$D$27="",0,IFERROR(VALUE(SUBSTITUTE(SUBSTITUTE(INDEX(급여대장_원본!$A$1:$AZ$400,(설정!$B$8+72),설정!$D$27)&amp;"",",",""),"　","")),0))</f>
        <v/>
      </c>
      <c r="Y78" s="27">
        <f>IF(설정!$D$28="",0,IFERROR(VALUE(SUBSTITUTE(SUBSTITUTE(INDEX(급여대장_원본!$A$1:$AZ$400,(설정!$B$8+72),설정!$D$28)&amp;"",",",""),"　","")),0))</f>
        <v/>
      </c>
      <c r="Z78" s="27">
        <f>IF(설정!$D$29="",0,IFERROR(VALUE(SUBSTITUTE(SUBSTITUTE(INDEX(급여대장_원본!$A$1:$AZ$400,(설정!$B$8+72),설정!$D$29)&amp;"",",",""),"　","")),0))</f>
        <v/>
      </c>
      <c r="AA78" s="27">
        <f>IF(설정!$D$30="",0,IFERROR(VALUE(SUBSTITUTE(SUBSTITUTE(INDEX(급여대장_원본!$A$1:$AZ$400,(설정!$B$8+72),설정!$D$30)&amp;"",",",""),"　","")),0))</f>
        <v/>
      </c>
      <c r="AB78" s="27">
        <f>IF(설정!$D$31="",0,IFERROR(VALUE(SUBSTITUTE(SUBSTITUTE(INDEX(급여대장_원본!$A$1:$AZ$400,(설정!$B$8+72),설정!$D$31)&amp;"",",",""),"　","")),0))</f>
        <v/>
      </c>
      <c r="AC78" s="27">
        <f>IF(설정!$D$32="",0,IFERROR(VALUE(SUBSTITUTE(SUBSTITUTE(INDEX(급여대장_원본!$A$1:$AZ$400,(설정!$B$8+72),설정!$D$32)&amp;"",",",""),"　","")),0))</f>
        <v/>
      </c>
      <c r="AD78" s="27">
        <f>IF(설정!$D$33="",0,IFERROR(VALUE(SUBSTITUTE(SUBSTITUTE(INDEX(급여대장_원본!$A$1:$AZ$400,(설정!$B$8+72),설정!$D$33)&amp;"",",",""),"　","")),0))</f>
        <v/>
      </c>
      <c r="AE78" s="27">
        <f>SUM(W78:AD78)</f>
        <v/>
      </c>
      <c r="AF78" s="27">
        <f>V78-AE78</f>
        <v/>
      </c>
      <c r="AG78" s="27">
        <f>IF(설정!$D$35="","",IF(설정!$D$35="",0,IFERROR(VALUE(SUBSTITUTE(SUBSTITUTE(INDEX(급여대장_원본!$A$1:$AZ$400,(설정!$B$8+72),설정!$D$35)&amp;"",",",""),"　","")),0)))</f>
        <v/>
      </c>
      <c r="AH78" s="27">
        <f>IF(설정!$D$36="","",IF(설정!$D$36="",0,IFERROR(VALUE(SUBSTITUTE(SUBSTITUTE(INDEX(급여대장_원본!$A$1:$AZ$400,(설정!$B$8+72),설정!$D$36)&amp;"",",",""),"　","")),0)))</f>
        <v/>
      </c>
      <c r="AI78" s="27">
        <f>IF(설정!$D$37="","",IF(설정!$D$37="",0,IFERROR(VALUE(SUBSTITUTE(SUBSTITUTE(INDEX(급여대장_원본!$A$1:$AZ$400,(설정!$B$8+72),설정!$D$37)&amp;"",",",""),"　","")),0)))</f>
        <v/>
      </c>
      <c r="AJ78" s="2">
        <f>IFERROR(INDEX($D$7:$D$306,MATCH(72,$B$7:$B$306,0)),"")</f>
        <v/>
      </c>
    </row>
    <row r="79">
      <c r="A79" s="2">
        <f>IF(AND(D79&lt;&gt;"",D79&lt;&gt;"합계",D79&lt;&gt;"총계",D79&lt;&gt;"소계",D79&lt;&gt;"계"),1,0)</f>
        <v/>
      </c>
      <c r="B79" s="2">
        <f>IF(A79=1,SUM($A$7:A79),"")</f>
        <v/>
      </c>
      <c r="C79" s="2">
        <f>IF(설정!$D$13="","",TRIM(SUBSTITUTE(INDEX(급여대장_원본!$A$1:$AZ$400,(설정!$B$8+73),설정!$D$13)&amp;"","　"," ")))</f>
        <v/>
      </c>
      <c r="D79" s="2">
        <f>IF(설정!$D$14="","",TRIM(SUBSTITUTE(INDEX(급여대장_원본!$A$1:$AZ$400,(설정!$B$8+73),설정!$D$14)&amp;"","　"," ")))</f>
        <v/>
      </c>
      <c r="E79" s="2">
        <f>IF(설정!$D$15="","",TRIM(SUBSTITUTE(INDEX(급여대장_원본!$A$1:$AZ$400,(설정!$B$8+73),설정!$D$15)&amp;"","　"," ")))</f>
        <v/>
      </c>
      <c r="F79" s="27">
        <f>IF(설정!$D$17="",0,IFERROR(VALUE(SUBSTITUTE(SUBSTITUTE(INDEX(급여대장_원본!$A$1:$AZ$400,(설정!$B$8+73),설정!$D$17)&amp;"",",",""),"　","")),0))</f>
        <v/>
      </c>
      <c r="G79" s="27">
        <f>IF(설정!$D$18="",0,IFERROR(VALUE(SUBSTITUTE(SUBSTITUTE(INDEX(급여대장_원본!$A$1:$AZ$400,(설정!$B$8+73),설정!$D$18)&amp;"",",",""),"　","")),0))</f>
        <v/>
      </c>
      <c r="H79" s="27">
        <f>IF(설정!$D$19="",0,IFERROR(VALUE(SUBSTITUTE(SUBSTITUTE(INDEX(급여대장_원본!$A$1:$AZ$400,(설정!$B$8+73),설정!$D$19)&amp;"",",",""),"　","")),0))</f>
        <v/>
      </c>
      <c r="I79" s="27">
        <f>IF(설정!$D$20="",0,IFERROR(VALUE(SUBSTITUTE(SUBSTITUTE(INDEX(급여대장_원본!$A$1:$AZ$400,(설정!$B$8+73),설정!$D$20)&amp;"",",",""),"　","")),0))</f>
        <v/>
      </c>
      <c r="J79" s="27">
        <f>IF(설정!$D$21="",0,IFERROR(VALUE(SUBSTITUTE(SUBSTITUTE(INDEX(급여대장_원본!$A$1:$AZ$400,(설정!$B$8+73),설정!$D$21)&amp;"",",",""),"　","")),0))</f>
        <v/>
      </c>
      <c r="K79" s="27">
        <f>IF(설정!$D$22="",0,IFERROR(VALUE(SUBSTITUTE(SUBSTITUTE(INDEX(급여대장_원본!$A$1:$AZ$400,(설정!$B$8+73),설정!$D$22)&amp;"",",",""),"　","")),0))</f>
        <v/>
      </c>
      <c r="L79" s="27">
        <f>IF(설정!$D$23="",0,IFERROR(VALUE(SUBSTITUTE(SUBSTITUTE(INDEX(급여대장_원본!$A$1:$AZ$400,(설정!$B$8+73),설정!$D$23)&amp;"",",",""),"　","")),0))</f>
        <v/>
      </c>
      <c r="M79" s="27">
        <f>IF(설정!$D$24="",0,IFERROR(VALUE(SUBSTITUTE(SUBSTITUTE(INDEX(급여대장_원본!$A$1:$AZ$400,(설정!$B$8+73),설정!$D$24)&amp;"",",",""),"　","")),0))</f>
        <v/>
      </c>
      <c r="N79" s="2">
        <f>IF(OR(설정!$C$17="",IFERROR(MATCH(설정!$C$17,INDEX(급여대장_원본!$A$1:$AZ$400,설정!$B$8,0),0),"")=""),"",IFERROR(VALUE(SUBSTITUTE(INDEX(급여대장_원본!$A$1:$AZ$400,(설정!$B$8+73),IFERROR(MATCH(설정!$C$17,INDEX(급여대장_원본!$A$1:$AZ$400,설정!$B$8,0),0),""))&amp;"",",","")),""))</f>
        <v/>
      </c>
      <c r="O79" s="2">
        <f>IF(OR(설정!$C$18="",IFERROR(MATCH(설정!$C$18,INDEX(급여대장_원본!$A$1:$AZ$400,설정!$B$8,0),0),"")=""),"",IFERROR(VALUE(SUBSTITUTE(INDEX(급여대장_원본!$A$1:$AZ$400,(설정!$B$8+73),IFERROR(MATCH(설정!$C$18,INDEX(급여대장_원본!$A$1:$AZ$400,설정!$B$8,0),0),""))&amp;"",",","")),""))</f>
        <v/>
      </c>
      <c r="P79" s="2">
        <f>IF(OR(설정!$C$19="",IFERROR(MATCH(설정!$C$19,INDEX(급여대장_원본!$A$1:$AZ$400,설정!$B$8,0),0),"")=""),"",IFERROR(VALUE(SUBSTITUTE(INDEX(급여대장_원본!$A$1:$AZ$400,(설정!$B$8+73),IFERROR(MATCH(설정!$C$19,INDEX(급여대장_원본!$A$1:$AZ$400,설정!$B$8,0),0),""))&amp;"",",","")),""))</f>
        <v/>
      </c>
      <c r="Q79" s="2">
        <f>IF(OR(설정!$C$20="",IFERROR(MATCH(설정!$C$20,INDEX(급여대장_원본!$A$1:$AZ$400,설정!$B$8,0),0),"")=""),"",IFERROR(VALUE(SUBSTITUTE(INDEX(급여대장_원본!$A$1:$AZ$400,(설정!$B$8+73),IFERROR(MATCH(설정!$C$20,INDEX(급여대장_원본!$A$1:$AZ$400,설정!$B$8,0),0),""))&amp;"",",","")),""))</f>
        <v/>
      </c>
      <c r="R79" s="2">
        <f>IF(OR(설정!$C$21="",IFERROR(MATCH(설정!$C$21,INDEX(급여대장_원본!$A$1:$AZ$400,설정!$B$8,0),0),"")=""),"",IFERROR(VALUE(SUBSTITUTE(INDEX(급여대장_원본!$A$1:$AZ$400,(설정!$B$8+73),IFERROR(MATCH(설정!$C$21,INDEX(급여대장_원본!$A$1:$AZ$400,설정!$B$8,0),0),""))&amp;"",",","")),""))</f>
        <v/>
      </c>
      <c r="S79" s="2">
        <f>IF(OR(설정!$C$22="",IFERROR(MATCH(설정!$C$22,INDEX(급여대장_원본!$A$1:$AZ$400,설정!$B$8,0),0),"")=""),"",IFERROR(VALUE(SUBSTITUTE(INDEX(급여대장_원본!$A$1:$AZ$400,(설정!$B$8+73),IFERROR(MATCH(설정!$C$22,INDEX(급여대장_원본!$A$1:$AZ$400,설정!$B$8,0),0),""))&amp;"",",","")),""))</f>
        <v/>
      </c>
      <c r="T79" s="2">
        <f>IF(OR(설정!$C$23="",IFERROR(MATCH(설정!$C$23,INDEX(급여대장_원본!$A$1:$AZ$400,설정!$B$8,0),0),"")=""),"",IFERROR(VALUE(SUBSTITUTE(INDEX(급여대장_원본!$A$1:$AZ$400,(설정!$B$8+73),IFERROR(MATCH(설정!$C$23,INDEX(급여대장_원본!$A$1:$AZ$400,설정!$B$8,0),0),""))&amp;"",",","")),""))</f>
        <v/>
      </c>
      <c r="U79" s="2">
        <f>IF(OR(설정!$C$24="",IFERROR(MATCH(설정!$C$24,INDEX(급여대장_원본!$A$1:$AZ$400,설정!$B$8,0),0),"")=""),"",IFERROR(VALUE(SUBSTITUTE(INDEX(급여대장_원본!$A$1:$AZ$400,(설정!$B$8+73),IFERROR(MATCH(설정!$C$24,INDEX(급여대장_원본!$A$1:$AZ$400,설정!$B$8,0),0),""))&amp;"",",","")),""))</f>
        <v/>
      </c>
      <c r="V79" s="27">
        <f>SUM(F79:M79)</f>
        <v/>
      </c>
      <c r="W79" s="27">
        <f>IF(설정!$D$26="",0,IFERROR(VALUE(SUBSTITUTE(SUBSTITUTE(INDEX(급여대장_원본!$A$1:$AZ$400,(설정!$B$8+73),설정!$D$26)&amp;"",",",""),"　","")),0))</f>
        <v/>
      </c>
      <c r="X79" s="27">
        <f>IF(설정!$D$27="",0,IFERROR(VALUE(SUBSTITUTE(SUBSTITUTE(INDEX(급여대장_원본!$A$1:$AZ$400,(설정!$B$8+73),설정!$D$27)&amp;"",",",""),"　","")),0))</f>
        <v/>
      </c>
      <c r="Y79" s="27">
        <f>IF(설정!$D$28="",0,IFERROR(VALUE(SUBSTITUTE(SUBSTITUTE(INDEX(급여대장_원본!$A$1:$AZ$400,(설정!$B$8+73),설정!$D$28)&amp;"",",",""),"　","")),0))</f>
        <v/>
      </c>
      <c r="Z79" s="27">
        <f>IF(설정!$D$29="",0,IFERROR(VALUE(SUBSTITUTE(SUBSTITUTE(INDEX(급여대장_원본!$A$1:$AZ$400,(설정!$B$8+73),설정!$D$29)&amp;"",",",""),"　","")),0))</f>
        <v/>
      </c>
      <c r="AA79" s="27">
        <f>IF(설정!$D$30="",0,IFERROR(VALUE(SUBSTITUTE(SUBSTITUTE(INDEX(급여대장_원본!$A$1:$AZ$400,(설정!$B$8+73),설정!$D$30)&amp;"",",",""),"　","")),0))</f>
        <v/>
      </c>
      <c r="AB79" s="27">
        <f>IF(설정!$D$31="",0,IFERROR(VALUE(SUBSTITUTE(SUBSTITUTE(INDEX(급여대장_원본!$A$1:$AZ$400,(설정!$B$8+73),설정!$D$31)&amp;"",",",""),"　","")),0))</f>
        <v/>
      </c>
      <c r="AC79" s="27">
        <f>IF(설정!$D$32="",0,IFERROR(VALUE(SUBSTITUTE(SUBSTITUTE(INDEX(급여대장_원본!$A$1:$AZ$400,(설정!$B$8+73),설정!$D$32)&amp;"",",",""),"　","")),0))</f>
        <v/>
      </c>
      <c r="AD79" s="27">
        <f>IF(설정!$D$33="",0,IFERROR(VALUE(SUBSTITUTE(SUBSTITUTE(INDEX(급여대장_원본!$A$1:$AZ$400,(설정!$B$8+73),설정!$D$33)&amp;"",",",""),"　","")),0))</f>
        <v/>
      </c>
      <c r="AE79" s="27">
        <f>SUM(W79:AD79)</f>
        <v/>
      </c>
      <c r="AF79" s="27">
        <f>V79-AE79</f>
        <v/>
      </c>
      <c r="AG79" s="27">
        <f>IF(설정!$D$35="","",IF(설정!$D$35="",0,IFERROR(VALUE(SUBSTITUTE(SUBSTITUTE(INDEX(급여대장_원본!$A$1:$AZ$400,(설정!$B$8+73),설정!$D$35)&amp;"",",",""),"　","")),0)))</f>
        <v/>
      </c>
      <c r="AH79" s="27">
        <f>IF(설정!$D$36="","",IF(설정!$D$36="",0,IFERROR(VALUE(SUBSTITUTE(SUBSTITUTE(INDEX(급여대장_원본!$A$1:$AZ$400,(설정!$B$8+73),설정!$D$36)&amp;"",",",""),"　","")),0)))</f>
        <v/>
      </c>
      <c r="AI79" s="27">
        <f>IF(설정!$D$37="","",IF(설정!$D$37="",0,IFERROR(VALUE(SUBSTITUTE(SUBSTITUTE(INDEX(급여대장_원본!$A$1:$AZ$400,(설정!$B$8+73),설정!$D$37)&amp;"",",",""),"　","")),0)))</f>
        <v/>
      </c>
      <c r="AJ79" s="2">
        <f>IFERROR(INDEX($D$7:$D$306,MATCH(73,$B$7:$B$306,0)),"")</f>
        <v/>
      </c>
    </row>
    <row r="80">
      <c r="A80" s="2">
        <f>IF(AND(D80&lt;&gt;"",D80&lt;&gt;"합계",D80&lt;&gt;"총계",D80&lt;&gt;"소계",D80&lt;&gt;"계"),1,0)</f>
        <v/>
      </c>
      <c r="B80" s="2">
        <f>IF(A80=1,SUM($A$7:A80),"")</f>
        <v/>
      </c>
      <c r="C80" s="2">
        <f>IF(설정!$D$13="","",TRIM(SUBSTITUTE(INDEX(급여대장_원본!$A$1:$AZ$400,(설정!$B$8+74),설정!$D$13)&amp;"","　"," ")))</f>
        <v/>
      </c>
      <c r="D80" s="2">
        <f>IF(설정!$D$14="","",TRIM(SUBSTITUTE(INDEX(급여대장_원본!$A$1:$AZ$400,(설정!$B$8+74),설정!$D$14)&amp;"","　"," ")))</f>
        <v/>
      </c>
      <c r="E80" s="2">
        <f>IF(설정!$D$15="","",TRIM(SUBSTITUTE(INDEX(급여대장_원본!$A$1:$AZ$400,(설정!$B$8+74),설정!$D$15)&amp;"","　"," ")))</f>
        <v/>
      </c>
      <c r="F80" s="27">
        <f>IF(설정!$D$17="",0,IFERROR(VALUE(SUBSTITUTE(SUBSTITUTE(INDEX(급여대장_원본!$A$1:$AZ$400,(설정!$B$8+74),설정!$D$17)&amp;"",",",""),"　","")),0))</f>
        <v/>
      </c>
      <c r="G80" s="27">
        <f>IF(설정!$D$18="",0,IFERROR(VALUE(SUBSTITUTE(SUBSTITUTE(INDEX(급여대장_원본!$A$1:$AZ$400,(설정!$B$8+74),설정!$D$18)&amp;"",",",""),"　","")),0))</f>
        <v/>
      </c>
      <c r="H80" s="27">
        <f>IF(설정!$D$19="",0,IFERROR(VALUE(SUBSTITUTE(SUBSTITUTE(INDEX(급여대장_원본!$A$1:$AZ$400,(설정!$B$8+74),설정!$D$19)&amp;"",",",""),"　","")),0))</f>
        <v/>
      </c>
      <c r="I80" s="27">
        <f>IF(설정!$D$20="",0,IFERROR(VALUE(SUBSTITUTE(SUBSTITUTE(INDEX(급여대장_원본!$A$1:$AZ$400,(설정!$B$8+74),설정!$D$20)&amp;"",",",""),"　","")),0))</f>
        <v/>
      </c>
      <c r="J80" s="27">
        <f>IF(설정!$D$21="",0,IFERROR(VALUE(SUBSTITUTE(SUBSTITUTE(INDEX(급여대장_원본!$A$1:$AZ$400,(설정!$B$8+74),설정!$D$21)&amp;"",",",""),"　","")),0))</f>
        <v/>
      </c>
      <c r="K80" s="27">
        <f>IF(설정!$D$22="",0,IFERROR(VALUE(SUBSTITUTE(SUBSTITUTE(INDEX(급여대장_원본!$A$1:$AZ$400,(설정!$B$8+74),설정!$D$22)&amp;"",",",""),"　","")),0))</f>
        <v/>
      </c>
      <c r="L80" s="27">
        <f>IF(설정!$D$23="",0,IFERROR(VALUE(SUBSTITUTE(SUBSTITUTE(INDEX(급여대장_원본!$A$1:$AZ$400,(설정!$B$8+74),설정!$D$23)&amp;"",",",""),"　","")),0))</f>
        <v/>
      </c>
      <c r="M80" s="27">
        <f>IF(설정!$D$24="",0,IFERROR(VALUE(SUBSTITUTE(SUBSTITUTE(INDEX(급여대장_원본!$A$1:$AZ$400,(설정!$B$8+74),설정!$D$24)&amp;"",",",""),"　","")),0))</f>
        <v/>
      </c>
      <c r="N80" s="2">
        <f>IF(OR(설정!$C$17="",IFERROR(MATCH(설정!$C$17,INDEX(급여대장_원본!$A$1:$AZ$400,설정!$B$8,0),0),"")=""),"",IFERROR(VALUE(SUBSTITUTE(INDEX(급여대장_원본!$A$1:$AZ$400,(설정!$B$8+74),IFERROR(MATCH(설정!$C$17,INDEX(급여대장_원본!$A$1:$AZ$400,설정!$B$8,0),0),""))&amp;"",",","")),""))</f>
        <v/>
      </c>
      <c r="O80" s="2">
        <f>IF(OR(설정!$C$18="",IFERROR(MATCH(설정!$C$18,INDEX(급여대장_원본!$A$1:$AZ$400,설정!$B$8,0),0),"")=""),"",IFERROR(VALUE(SUBSTITUTE(INDEX(급여대장_원본!$A$1:$AZ$400,(설정!$B$8+74),IFERROR(MATCH(설정!$C$18,INDEX(급여대장_원본!$A$1:$AZ$400,설정!$B$8,0),0),""))&amp;"",",","")),""))</f>
        <v/>
      </c>
      <c r="P80" s="2">
        <f>IF(OR(설정!$C$19="",IFERROR(MATCH(설정!$C$19,INDEX(급여대장_원본!$A$1:$AZ$400,설정!$B$8,0),0),"")=""),"",IFERROR(VALUE(SUBSTITUTE(INDEX(급여대장_원본!$A$1:$AZ$400,(설정!$B$8+74),IFERROR(MATCH(설정!$C$19,INDEX(급여대장_원본!$A$1:$AZ$400,설정!$B$8,0),0),""))&amp;"",",","")),""))</f>
        <v/>
      </c>
      <c r="Q80" s="2">
        <f>IF(OR(설정!$C$20="",IFERROR(MATCH(설정!$C$20,INDEX(급여대장_원본!$A$1:$AZ$400,설정!$B$8,0),0),"")=""),"",IFERROR(VALUE(SUBSTITUTE(INDEX(급여대장_원본!$A$1:$AZ$400,(설정!$B$8+74),IFERROR(MATCH(설정!$C$20,INDEX(급여대장_원본!$A$1:$AZ$400,설정!$B$8,0),0),""))&amp;"",",","")),""))</f>
        <v/>
      </c>
      <c r="R80" s="2">
        <f>IF(OR(설정!$C$21="",IFERROR(MATCH(설정!$C$21,INDEX(급여대장_원본!$A$1:$AZ$400,설정!$B$8,0),0),"")=""),"",IFERROR(VALUE(SUBSTITUTE(INDEX(급여대장_원본!$A$1:$AZ$400,(설정!$B$8+74),IFERROR(MATCH(설정!$C$21,INDEX(급여대장_원본!$A$1:$AZ$400,설정!$B$8,0),0),""))&amp;"",",","")),""))</f>
        <v/>
      </c>
      <c r="S80" s="2">
        <f>IF(OR(설정!$C$22="",IFERROR(MATCH(설정!$C$22,INDEX(급여대장_원본!$A$1:$AZ$400,설정!$B$8,0),0),"")=""),"",IFERROR(VALUE(SUBSTITUTE(INDEX(급여대장_원본!$A$1:$AZ$400,(설정!$B$8+74),IFERROR(MATCH(설정!$C$22,INDEX(급여대장_원본!$A$1:$AZ$400,설정!$B$8,0),0),""))&amp;"",",","")),""))</f>
        <v/>
      </c>
      <c r="T80" s="2">
        <f>IF(OR(설정!$C$23="",IFERROR(MATCH(설정!$C$23,INDEX(급여대장_원본!$A$1:$AZ$400,설정!$B$8,0),0),"")=""),"",IFERROR(VALUE(SUBSTITUTE(INDEX(급여대장_원본!$A$1:$AZ$400,(설정!$B$8+74),IFERROR(MATCH(설정!$C$23,INDEX(급여대장_원본!$A$1:$AZ$400,설정!$B$8,0),0),""))&amp;"",",","")),""))</f>
        <v/>
      </c>
      <c r="U80" s="2">
        <f>IF(OR(설정!$C$24="",IFERROR(MATCH(설정!$C$24,INDEX(급여대장_원본!$A$1:$AZ$400,설정!$B$8,0),0),"")=""),"",IFERROR(VALUE(SUBSTITUTE(INDEX(급여대장_원본!$A$1:$AZ$400,(설정!$B$8+74),IFERROR(MATCH(설정!$C$24,INDEX(급여대장_원본!$A$1:$AZ$400,설정!$B$8,0),0),""))&amp;"",",","")),""))</f>
        <v/>
      </c>
      <c r="V80" s="27">
        <f>SUM(F80:M80)</f>
        <v/>
      </c>
      <c r="W80" s="27">
        <f>IF(설정!$D$26="",0,IFERROR(VALUE(SUBSTITUTE(SUBSTITUTE(INDEX(급여대장_원본!$A$1:$AZ$400,(설정!$B$8+74),설정!$D$26)&amp;"",",",""),"　","")),0))</f>
        <v/>
      </c>
      <c r="X80" s="27">
        <f>IF(설정!$D$27="",0,IFERROR(VALUE(SUBSTITUTE(SUBSTITUTE(INDEX(급여대장_원본!$A$1:$AZ$400,(설정!$B$8+74),설정!$D$27)&amp;"",",",""),"　","")),0))</f>
        <v/>
      </c>
      <c r="Y80" s="27">
        <f>IF(설정!$D$28="",0,IFERROR(VALUE(SUBSTITUTE(SUBSTITUTE(INDEX(급여대장_원본!$A$1:$AZ$400,(설정!$B$8+74),설정!$D$28)&amp;"",",",""),"　","")),0))</f>
        <v/>
      </c>
      <c r="Z80" s="27">
        <f>IF(설정!$D$29="",0,IFERROR(VALUE(SUBSTITUTE(SUBSTITUTE(INDEX(급여대장_원본!$A$1:$AZ$400,(설정!$B$8+74),설정!$D$29)&amp;"",",",""),"　","")),0))</f>
        <v/>
      </c>
      <c r="AA80" s="27">
        <f>IF(설정!$D$30="",0,IFERROR(VALUE(SUBSTITUTE(SUBSTITUTE(INDEX(급여대장_원본!$A$1:$AZ$400,(설정!$B$8+74),설정!$D$30)&amp;"",",",""),"　","")),0))</f>
        <v/>
      </c>
      <c r="AB80" s="27">
        <f>IF(설정!$D$31="",0,IFERROR(VALUE(SUBSTITUTE(SUBSTITUTE(INDEX(급여대장_원본!$A$1:$AZ$400,(설정!$B$8+74),설정!$D$31)&amp;"",",",""),"　","")),0))</f>
        <v/>
      </c>
      <c r="AC80" s="27">
        <f>IF(설정!$D$32="",0,IFERROR(VALUE(SUBSTITUTE(SUBSTITUTE(INDEX(급여대장_원본!$A$1:$AZ$400,(설정!$B$8+74),설정!$D$32)&amp;"",",",""),"　","")),0))</f>
        <v/>
      </c>
      <c r="AD80" s="27">
        <f>IF(설정!$D$33="",0,IFERROR(VALUE(SUBSTITUTE(SUBSTITUTE(INDEX(급여대장_원본!$A$1:$AZ$400,(설정!$B$8+74),설정!$D$33)&amp;"",",",""),"　","")),0))</f>
        <v/>
      </c>
      <c r="AE80" s="27">
        <f>SUM(W80:AD80)</f>
        <v/>
      </c>
      <c r="AF80" s="27">
        <f>V80-AE80</f>
        <v/>
      </c>
      <c r="AG80" s="27">
        <f>IF(설정!$D$35="","",IF(설정!$D$35="",0,IFERROR(VALUE(SUBSTITUTE(SUBSTITUTE(INDEX(급여대장_원본!$A$1:$AZ$400,(설정!$B$8+74),설정!$D$35)&amp;"",",",""),"　","")),0)))</f>
        <v/>
      </c>
      <c r="AH80" s="27">
        <f>IF(설정!$D$36="","",IF(설정!$D$36="",0,IFERROR(VALUE(SUBSTITUTE(SUBSTITUTE(INDEX(급여대장_원본!$A$1:$AZ$400,(설정!$B$8+74),설정!$D$36)&amp;"",",",""),"　","")),0)))</f>
        <v/>
      </c>
      <c r="AI80" s="27">
        <f>IF(설정!$D$37="","",IF(설정!$D$37="",0,IFERROR(VALUE(SUBSTITUTE(SUBSTITUTE(INDEX(급여대장_원본!$A$1:$AZ$400,(설정!$B$8+74),설정!$D$37)&amp;"",",",""),"　","")),0)))</f>
        <v/>
      </c>
      <c r="AJ80" s="2">
        <f>IFERROR(INDEX($D$7:$D$306,MATCH(74,$B$7:$B$306,0)),"")</f>
        <v/>
      </c>
    </row>
    <row r="81">
      <c r="A81" s="2">
        <f>IF(AND(D81&lt;&gt;"",D81&lt;&gt;"합계",D81&lt;&gt;"총계",D81&lt;&gt;"소계",D81&lt;&gt;"계"),1,0)</f>
        <v/>
      </c>
      <c r="B81" s="2">
        <f>IF(A81=1,SUM($A$7:A81),"")</f>
        <v/>
      </c>
      <c r="C81" s="2">
        <f>IF(설정!$D$13="","",TRIM(SUBSTITUTE(INDEX(급여대장_원본!$A$1:$AZ$400,(설정!$B$8+75),설정!$D$13)&amp;"","　"," ")))</f>
        <v/>
      </c>
      <c r="D81" s="2">
        <f>IF(설정!$D$14="","",TRIM(SUBSTITUTE(INDEX(급여대장_원본!$A$1:$AZ$400,(설정!$B$8+75),설정!$D$14)&amp;"","　"," ")))</f>
        <v/>
      </c>
      <c r="E81" s="2">
        <f>IF(설정!$D$15="","",TRIM(SUBSTITUTE(INDEX(급여대장_원본!$A$1:$AZ$400,(설정!$B$8+75),설정!$D$15)&amp;"","　"," ")))</f>
        <v/>
      </c>
      <c r="F81" s="27">
        <f>IF(설정!$D$17="",0,IFERROR(VALUE(SUBSTITUTE(SUBSTITUTE(INDEX(급여대장_원본!$A$1:$AZ$400,(설정!$B$8+75),설정!$D$17)&amp;"",",",""),"　","")),0))</f>
        <v/>
      </c>
      <c r="G81" s="27">
        <f>IF(설정!$D$18="",0,IFERROR(VALUE(SUBSTITUTE(SUBSTITUTE(INDEX(급여대장_원본!$A$1:$AZ$400,(설정!$B$8+75),설정!$D$18)&amp;"",",",""),"　","")),0))</f>
        <v/>
      </c>
      <c r="H81" s="27">
        <f>IF(설정!$D$19="",0,IFERROR(VALUE(SUBSTITUTE(SUBSTITUTE(INDEX(급여대장_원본!$A$1:$AZ$400,(설정!$B$8+75),설정!$D$19)&amp;"",",",""),"　","")),0))</f>
        <v/>
      </c>
      <c r="I81" s="27">
        <f>IF(설정!$D$20="",0,IFERROR(VALUE(SUBSTITUTE(SUBSTITUTE(INDEX(급여대장_원본!$A$1:$AZ$400,(설정!$B$8+75),설정!$D$20)&amp;"",",",""),"　","")),0))</f>
        <v/>
      </c>
      <c r="J81" s="27">
        <f>IF(설정!$D$21="",0,IFERROR(VALUE(SUBSTITUTE(SUBSTITUTE(INDEX(급여대장_원본!$A$1:$AZ$400,(설정!$B$8+75),설정!$D$21)&amp;"",",",""),"　","")),0))</f>
        <v/>
      </c>
      <c r="K81" s="27">
        <f>IF(설정!$D$22="",0,IFERROR(VALUE(SUBSTITUTE(SUBSTITUTE(INDEX(급여대장_원본!$A$1:$AZ$400,(설정!$B$8+75),설정!$D$22)&amp;"",",",""),"　","")),0))</f>
        <v/>
      </c>
      <c r="L81" s="27">
        <f>IF(설정!$D$23="",0,IFERROR(VALUE(SUBSTITUTE(SUBSTITUTE(INDEX(급여대장_원본!$A$1:$AZ$400,(설정!$B$8+75),설정!$D$23)&amp;"",",",""),"　","")),0))</f>
        <v/>
      </c>
      <c r="M81" s="27">
        <f>IF(설정!$D$24="",0,IFERROR(VALUE(SUBSTITUTE(SUBSTITUTE(INDEX(급여대장_원본!$A$1:$AZ$400,(설정!$B$8+75),설정!$D$24)&amp;"",",",""),"　","")),0))</f>
        <v/>
      </c>
      <c r="N81" s="2">
        <f>IF(OR(설정!$C$17="",IFERROR(MATCH(설정!$C$17,INDEX(급여대장_원본!$A$1:$AZ$400,설정!$B$8,0),0),"")=""),"",IFERROR(VALUE(SUBSTITUTE(INDEX(급여대장_원본!$A$1:$AZ$400,(설정!$B$8+75),IFERROR(MATCH(설정!$C$17,INDEX(급여대장_원본!$A$1:$AZ$400,설정!$B$8,0),0),""))&amp;"",",","")),""))</f>
        <v/>
      </c>
      <c r="O81" s="2">
        <f>IF(OR(설정!$C$18="",IFERROR(MATCH(설정!$C$18,INDEX(급여대장_원본!$A$1:$AZ$400,설정!$B$8,0),0),"")=""),"",IFERROR(VALUE(SUBSTITUTE(INDEX(급여대장_원본!$A$1:$AZ$400,(설정!$B$8+75),IFERROR(MATCH(설정!$C$18,INDEX(급여대장_원본!$A$1:$AZ$400,설정!$B$8,0),0),""))&amp;"",",","")),""))</f>
        <v/>
      </c>
      <c r="P81" s="2">
        <f>IF(OR(설정!$C$19="",IFERROR(MATCH(설정!$C$19,INDEX(급여대장_원본!$A$1:$AZ$400,설정!$B$8,0),0),"")=""),"",IFERROR(VALUE(SUBSTITUTE(INDEX(급여대장_원본!$A$1:$AZ$400,(설정!$B$8+75),IFERROR(MATCH(설정!$C$19,INDEX(급여대장_원본!$A$1:$AZ$400,설정!$B$8,0),0),""))&amp;"",",","")),""))</f>
        <v/>
      </c>
      <c r="Q81" s="2">
        <f>IF(OR(설정!$C$20="",IFERROR(MATCH(설정!$C$20,INDEX(급여대장_원본!$A$1:$AZ$400,설정!$B$8,0),0),"")=""),"",IFERROR(VALUE(SUBSTITUTE(INDEX(급여대장_원본!$A$1:$AZ$400,(설정!$B$8+75),IFERROR(MATCH(설정!$C$20,INDEX(급여대장_원본!$A$1:$AZ$400,설정!$B$8,0),0),""))&amp;"",",","")),""))</f>
        <v/>
      </c>
      <c r="R81" s="2">
        <f>IF(OR(설정!$C$21="",IFERROR(MATCH(설정!$C$21,INDEX(급여대장_원본!$A$1:$AZ$400,설정!$B$8,0),0),"")=""),"",IFERROR(VALUE(SUBSTITUTE(INDEX(급여대장_원본!$A$1:$AZ$400,(설정!$B$8+75),IFERROR(MATCH(설정!$C$21,INDEX(급여대장_원본!$A$1:$AZ$400,설정!$B$8,0),0),""))&amp;"",",","")),""))</f>
        <v/>
      </c>
      <c r="S81" s="2">
        <f>IF(OR(설정!$C$22="",IFERROR(MATCH(설정!$C$22,INDEX(급여대장_원본!$A$1:$AZ$400,설정!$B$8,0),0),"")=""),"",IFERROR(VALUE(SUBSTITUTE(INDEX(급여대장_원본!$A$1:$AZ$400,(설정!$B$8+75),IFERROR(MATCH(설정!$C$22,INDEX(급여대장_원본!$A$1:$AZ$400,설정!$B$8,0),0),""))&amp;"",",","")),""))</f>
        <v/>
      </c>
      <c r="T81" s="2">
        <f>IF(OR(설정!$C$23="",IFERROR(MATCH(설정!$C$23,INDEX(급여대장_원본!$A$1:$AZ$400,설정!$B$8,0),0),"")=""),"",IFERROR(VALUE(SUBSTITUTE(INDEX(급여대장_원본!$A$1:$AZ$400,(설정!$B$8+75),IFERROR(MATCH(설정!$C$23,INDEX(급여대장_원본!$A$1:$AZ$400,설정!$B$8,0),0),""))&amp;"",",","")),""))</f>
        <v/>
      </c>
      <c r="U81" s="2">
        <f>IF(OR(설정!$C$24="",IFERROR(MATCH(설정!$C$24,INDEX(급여대장_원본!$A$1:$AZ$400,설정!$B$8,0),0),"")=""),"",IFERROR(VALUE(SUBSTITUTE(INDEX(급여대장_원본!$A$1:$AZ$400,(설정!$B$8+75),IFERROR(MATCH(설정!$C$24,INDEX(급여대장_원본!$A$1:$AZ$400,설정!$B$8,0),0),""))&amp;"",",","")),""))</f>
        <v/>
      </c>
      <c r="V81" s="27">
        <f>SUM(F81:M81)</f>
        <v/>
      </c>
      <c r="W81" s="27">
        <f>IF(설정!$D$26="",0,IFERROR(VALUE(SUBSTITUTE(SUBSTITUTE(INDEX(급여대장_원본!$A$1:$AZ$400,(설정!$B$8+75),설정!$D$26)&amp;"",",",""),"　","")),0))</f>
        <v/>
      </c>
      <c r="X81" s="27">
        <f>IF(설정!$D$27="",0,IFERROR(VALUE(SUBSTITUTE(SUBSTITUTE(INDEX(급여대장_원본!$A$1:$AZ$400,(설정!$B$8+75),설정!$D$27)&amp;"",",",""),"　","")),0))</f>
        <v/>
      </c>
      <c r="Y81" s="27">
        <f>IF(설정!$D$28="",0,IFERROR(VALUE(SUBSTITUTE(SUBSTITUTE(INDEX(급여대장_원본!$A$1:$AZ$400,(설정!$B$8+75),설정!$D$28)&amp;"",",",""),"　","")),0))</f>
        <v/>
      </c>
      <c r="Z81" s="27">
        <f>IF(설정!$D$29="",0,IFERROR(VALUE(SUBSTITUTE(SUBSTITUTE(INDEX(급여대장_원본!$A$1:$AZ$400,(설정!$B$8+75),설정!$D$29)&amp;"",",",""),"　","")),0))</f>
        <v/>
      </c>
      <c r="AA81" s="27">
        <f>IF(설정!$D$30="",0,IFERROR(VALUE(SUBSTITUTE(SUBSTITUTE(INDEX(급여대장_원본!$A$1:$AZ$400,(설정!$B$8+75),설정!$D$30)&amp;"",",",""),"　","")),0))</f>
        <v/>
      </c>
      <c r="AB81" s="27">
        <f>IF(설정!$D$31="",0,IFERROR(VALUE(SUBSTITUTE(SUBSTITUTE(INDEX(급여대장_원본!$A$1:$AZ$400,(설정!$B$8+75),설정!$D$31)&amp;"",",",""),"　","")),0))</f>
        <v/>
      </c>
      <c r="AC81" s="27">
        <f>IF(설정!$D$32="",0,IFERROR(VALUE(SUBSTITUTE(SUBSTITUTE(INDEX(급여대장_원본!$A$1:$AZ$400,(설정!$B$8+75),설정!$D$32)&amp;"",",",""),"　","")),0))</f>
        <v/>
      </c>
      <c r="AD81" s="27">
        <f>IF(설정!$D$33="",0,IFERROR(VALUE(SUBSTITUTE(SUBSTITUTE(INDEX(급여대장_원본!$A$1:$AZ$400,(설정!$B$8+75),설정!$D$33)&amp;"",",",""),"　","")),0))</f>
        <v/>
      </c>
      <c r="AE81" s="27">
        <f>SUM(W81:AD81)</f>
        <v/>
      </c>
      <c r="AF81" s="27">
        <f>V81-AE81</f>
        <v/>
      </c>
      <c r="AG81" s="27">
        <f>IF(설정!$D$35="","",IF(설정!$D$35="",0,IFERROR(VALUE(SUBSTITUTE(SUBSTITUTE(INDEX(급여대장_원본!$A$1:$AZ$400,(설정!$B$8+75),설정!$D$35)&amp;"",",",""),"　","")),0)))</f>
        <v/>
      </c>
      <c r="AH81" s="27">
        <f>IF(설정!$D$36="","",IF(설정!$D$36="",0,IFERROR(VALUE(SUBSTITUTE(SUBSTITUTE(INDEX(급여대장_원본!$A$1:$AZ$400,(설정!$B$8+75),설정!$D$36)&amp;"",",",""),"　","")),0)))</f>
        <v/>
      </c>
      <c r="AI81" s="27">
        <f>IF(설정!$D$37="","",IF(설정!$D$37="",0,IFERROR(VALUE(SUBSTITUTE(SUBSTITUTE(INDEX(급여대장_원본!$A$1:$AZ$400,(설정!$B$8+75),설정!$D$37)&amp;"",",",""),"　","")),0)))</f>
        <v/>
      </c>
      <c r="AJ81" s="2">
        <f>IFERROR(INDEX($D$7:$D$306,MATCH(75,$B$7:$B$306,0)),"")</f>
        <v/>
      </c>
    </row>
    <row r="82">
      <c r="A82" s="2">
        <f>IF(AND(D82&lt;&gt;"",D82&lt;&gt;"합계",D82&lt;&gt;"총계",D82&lt;&gt;"소계",D82&lt;&gt;"계"),1,0)</f>
        <v/>
      </c>
      <c r="B82" s="2">
        <f>IF(A82=1,SUM($A$7:A82),"")</f>
        <v/>
      </c>
      <c r="C82" s="2">
        <f>IF(설정!$D$13="","",TRIM(SUBSTITUTE(INDEX(급여대장_원본!$A$1:$AZ$400,(설정!$B$8+76),설정!$D$13)&amp;"","　"," ")))</f>
        <v/>
      </c>
      <c r="D82" s="2">
        <f>IF(설정!$D$14="","",TRIM(SUBSTITUTE(INDEX(급여대장_원본!$A$1:$AZ$400,(설정!$B$8+76),설정!$D$14)&amp;"","　"," ")))</f>
        <v/>
      </c>
      <c r="E82" s="2">
        <f>IF(설정!$D$15="","",TRIM(SUBSTITUTE(INDEX(급여대장_원본!$A$1:$AZ$400,(설정!$B$8+76),설정!$D$15)&amp;"","　"," ")))</f>
        <v/>
      </c>
      <c r="F82" s="27">
        <f>IF(설정!$D$17="",0,IFERROR(VALUE(SUBSTITUTE(SUBSTITUTE(INDEX(급여대장_원본!$A$1:$AZ$400,(설정!$B$8+76),설정!$D$17)&amp;"",",",""),"　","")),0))</f>
        <v/>
      </c>
      <c r="G82" s="27">
        <f>IF(설정!$D$18="",0,IFERROR(VALUE(SUBSTITUTE(SUBSTITUTE(INDEX(급여대장_원본!$A$1:$AZ$400,(설정!$B$8+76),설정!$D$18)&amp;"",",",""),"　","")),0))</f>
        <v/>
      </c>
      <c r="H82" s="27">
        <f>IF(설정!$D$19="",0,IFERROR(VALUE(SUBSTITUTE(SUBSTITUTE(INDEX(급여대장_원본!$A$1:$AZ$400,(설정!$B$8+76),설정!$D$19)&amp;"",",",""),"　","")),0))</f>
        <v/>
      </c>
      <c r="I82" s="27">
        <f>IF(설정!$D$20="",0,IFERROR(VALUE(SUBSTITUTE(SUBSTITUTE(INDEX(급여대장_원본!$A$1:$AZ$400,(설정!$B$8+76),설정!$D$20)&amp;"",",",""),"　","")),0))</f>
        <v/>
      </c>
      <c r="J82" s="27">
        <f>IF(설정!$D$21="",0,IFERROR(VALUE(SUBSTITUTE(SUBSTITUTE(INDEX(급여대장_원본!$A$1:$AZ$400,(설정!$B$8+76),설정!$D$21)&amp;"",",",""),"　","")),0))</f>
        <v/>
      </c>
      <c r="K82" s="27">
        <f>IF(설정!$D$22="",0,IFERROR(VALUE(SUBSTITUTE(SUBSTITUTE(INDEX(급여대장_원본!$A$1:$AZ$400,(설정!$B$8+76),설정!$D$22)&amp;"",",",""),"　","")),0))</f>
        <v/>
      </c>
      <c r="L82" s="27">
        <f>IF(설정!$D$23="",0,IFERROR(VALUE(SUBSTITUTE(SUBSTITUTE(INDEX(급여대장_원본!$A$1:$AZ$400,(설정!$B$8+76),설정!$D$23)&amp;"",",",""),"　","")),0))</f>
        <v/>
      </c>
      <c r="M82" s="27">
        <f>IF(설정!$D$24="",0,IFERROR(VALUE(SUBSTITUTE(SUBSTITUTE(INDEX(급여대장_원본!$A$1:$AZ$400,(설정!$B$8+76),설정!$D$24)&amp;"",",",""),"　","")),0))</f>
        <v/>
      </c>
      <c r="N82" s="2">
        <f>IF(OR(설정!$C$17="",IFERROR(MATCH(설정!$C$17,INDEX(급여대장_원본!$A$1:$AZ$400,설정!$B$8,0),0),"")=""),"",IFERROR(VALUE(SUBSTITUTE(INDEX(급여대장_원본!$A$1:$AZ$400,(설정!$B$8+76),IFERROR(MATCH(설정!$C$17,INDEX(급여대장_원본!$A$1:$AZ$400,설정!$B$8,0),0),""))&amp;"",",","")),""))</f>
        <v/>
      </c>
      <c r="O82" s="2">
        <f>IF(OR(설정!$C$18="",IFERROR(MATCH(설정!$C$18,INDEX(급여대장_원본!$A$1:$AZ$400,설정!$B$8,0),0),"")=""),"",IFERROR(VALUE(SUBSTITUTE(INDEX(급여대장_원본!$A$1:$AZ$400,(설정!$B$8+76),IFERROR(MATCH(설정!$C$18,INDEX(급여대장_원본!$A$1:$AZ$400,설정!$B$8,0),0),""))&amp;"",",","")),""))</f>
        <v/>
      </c>
      <c r="P82" s="2">
        <f>IF(OR(설정!$C$19="",IFERROR(MATCH(설정!$C$19,INDEX(급여대장_원본!$A$1:$AZ$400,설정!$B$8,0),0),"")=""),"",IFERROR(VALUE(SUBSTITUTE(INDEX(급여대장_원본!$A$1:$AZ$400,(설정!$B$8+76),IFERROR(MATCH(설정!$C$19,INDEX(급여대장_원본!$A$1:$AZ$400,설정!$B$8,0),0),""))&amp;"",",","")),""))</f>
        <v/>
      </c>
      <c r="Q82" s="2">
        <f>IF(OR(설정!$C$20="",IFERROR(MATCH(설정!$C$20,INDEX(급여대장_원본!$A$1:$AZ$400,설정!$B$8,0),0),"")=""),"",IFERROR(VALUE(SUBSTITUTE(INDEX(급여대장_원본!$A$1:$AZ$400,(설정!$B$8+76),IFERROR(MATCH(설정!$C$20,INDEX(급여대장_원본!$A$1:$AZ$400,설정!$B$8,0),0),""))&amp;"",",","")),""))</f>
        <v/>
      </c>
      <c r="R82" s="2">
        <f>IF(OR(설정!$C$21="",IFERROR(MATCH(설정!$C$21,INDEX(급여대장_원본!$A$1:$AZ$400,설정!$B$8,0),0),"")=""),"",IFERROR(VALUE(SUBSTITUTE(INDEX(급여대장_원본!$A$1:$AZ$400,(설정!$B$8+76),IFERROR(MATCH(설정!$C$21,INDEX(급여대장_원본!$A$1:$AZ$400,설정!$B$8,0),0),""))&amp;"",",","")),""))</f>
        <v/>
      </c>
      <c r="S82" s="2">
        <f>IF(OR(설정!$C$22="",IFERROR(MATCH(설정!$C$22,INDEX(급여대장_원본!$A$1:$AZ$400,설정!$B$8,0),0),"")=""),"",IFERROR(VALUE(SUBSTITUTE(INDEX(급여대장_원본!$A$1:$AZ$400,(설정!$B$8+76),IFERROR(MATCH(설정!$C$22,INDEX(급여대장_원본!$A$1:$AZ$400,설정!$B$8,0),0),""))&amp;"",",","")),""))</f>
        <v/>
      </c>
      <c r="T82" s="2">
        <f>IF(OR(설정!$C$23="",IFERROR(MATCH(설정!$C$23,INDEX(급여대장_원본!$A$1:$AZ$400,설정!$B$8,0),0),"")=""),"",IFERROR(VALUE(SUBSTITUTE(INDEX(급여대장_원본!$A$1:$AZ$400,(설정!$B$8+76),IFERROR(MATCH(설정!$C$23,INDEX(급여대장_원본!$A$1:$AZ$400,설정!$B$8,0),0),""))&amp;"",",","")),""))</f>
        <v/>
      </c>
      <c r="U82" s="2">
        <f>IF(OR(설정!$C$24="",IFERROR(MATCH(설정!$C$24,INDEX(급여대장_원본!$A$1:$AZ$400,설정!$B$8,0),0),"")=""),"",IFERROR(VALUE(SUBSTITUTE(INDEX(급여대장_원본!$A$1:$AZ$400,(설정!$B$8+76),IFERROR(MATCH(설정!$C$24,INDEX(급여대장_원본!$A$1:$AZ$400,설정!$B$8,0),0),""))&amp;"",",","")),""))</f>
        <v/>
      </c>
      <c r="V82" s="27">
        <f>SUM(F82:M82)</f>
        <v/>
      </c>
      <c r="W82" s="27">
        <f>IF(설정!$D$26="",0,IFERROR(VALUE(SUBSTITUTE(SUBSTITUTE(INDEX(급여대장_원본!$A$1:$AZ$400,(설정!$B$8+76),설정!$D$26)&amp;"",",",""),"　","")),0))</f>
        <v/>
      </c>
      <c r="X82" s="27">
        <f>IF(설정!$D$27="",0,IFERROR(VALUE(SUBSTITUTE(SUBSTITUTE(INDEX(급여대장_원본!$A$1:$AZ$400,(설정!$B$8+76),설정!$D$27)&amp;"",",",""),"　","")),0))</f>
        <v/>
      </c>
      <c r="Y82" s="27">
        <f>IF(설정!$D$28="",0,IFERROR(VALUE(SUBSTITUTE(SUBSTITUTE(INDEX(급여대장_원본!$A$1:$AZ$400,(설정!$B$8+76),설정!$D$28)&amp;"",",",""),"　","")),0))</f>
        <v/>
      </c>
      <c r="Z82" s="27">
        <f>IF(설정!$D$29="",0,IFERROR(VALUE(SUBSTITUTE(SUBSTITUTE(INDEX(급여대장_원본!$A$1:$AZ$400,(설정!$B$8+76),설정!$D$29)&amp;"",",",""),"　","")),0))</f>
        <v/>
      </c>
      <c r="AA82" s="27">
        <f>IF(설정!$D$30="",0,IFERROR(VALUE(SUBSTITUTE(SUBSTITUTE(INDEX(급여대장_원본!$A$1:$AZ$400,(설정!$B$8+76),설정!$D$30)&amp;"",",",""),"　","")),0))</f>
        <v/>
      </c>
      <c r="AB82" s="27">
        <f>IF(설정!$D$31="",0,IFERROR(VALUE(SUBSTITUTE(SUBSTITUTE(INDEX(급여대장_원본!$A$1:$AZ$400,(설정!$B$8+76),설정!$D$31)&amp;"",",",""),"　","")),0))</f>
        <v/>
      </c>
      <c r="AC82" s="27">
        <f>IF(설정!$D$32="",0,IFERROR(VALUE(SUBSTITUTE(SUBSTITUTE(INDEX(급여대장_원본!$A$1:$AZ$400,(설정!$B$8+76),설정!$D$32)&amp;"",",",""),"　","")),0))</f>
        <v/>
      </c>
      <c r="AD82" s="27">
        <f>IF(설정!$D$33="",0,IFERROR(VALUE(SUBSTITUTE(SUBSTITUTE(INDEX(급여대장_원본!$A$1:$AZ$400,(설정!$B$8+76),설정!$D$33)&amp;"",",",""),"　","")),0))</f>
        <v/>
      </c>
      <c r="AE82" s="27">
        <f>SUM(W82:AD82)</f>
        <v/>
      </c>
      <c r="AF82" s="27">
        <f>V82-AE82</f>
        <v/>
      </c>
      <c r="AG82" s="27">
        <f>IF(설정!$D$35="","",IF(설정!$D$35="",0,IFERROR(VALUE(SUBSTITUTE(SUBSTITUTE(INDEX(급여대장_원본!$A$1:$AZ$400,(설정!$B$8+76),설정!$D$35)&amp;"",",",""),"　","")),0)))</f>
        <v/>
      </c>
      <c r="AH82" s="27">
        <f>IF(설정!$D$36="","",IF(설정!$D$36="",0,IFERROR(VALUE(SUBSTITUTE(SUBSTITUTE(INDEX(급여대장_원본!$A$1:$AZ$400,(설정!$B$8+76),설정!$D$36)&amp;"",",",""),"　","")),0)))</f>
        <v/>
      </c>
      <c r="AI82" s="27">
        <f>IF(설정!$D$37="","",IF(설정!$D$37="",0,IFERROR(VALUE(SUBSTITUTE(SUBSTITUTE(INDEX(급여대장_원본!$A$1:$AZ$400,(설정!$B$8+76),설정!$D$37)&amp;"",",",""),"　","")),0)))</f>
        <v/>
      </c>
      <c r="AJ82" s="2">
        <f>IFERROR(INDEX($D$7:$D$306,MATCH(76,$B$7:$B$306,0)),"")</f>
        <v/>
      </c>
    </row>
    <row r="83">
      <c r="A83" s="2">
        <f>IF(AND(D83&lt;&gt;"",D83&lt;&gt;"합계",D83&lt;&gt;"총계",D83&lt;&gt;"소계",D83&lt;&gt;"계"),1,0)</f>
        <v/>
      </c>
      <c r="B83" s="2">
        <f>IF(A83=1,SUM($A$7:A83),"")</f>
        <v/>
      </c>
      <c r="C83" s="2">
        <f>IF(설정!$D$13="","",TRIM(SUBSTITUTE(INDEX(급여대장_원본!$A$1:$AZ$400,(설정!$B$8+77),설정!$D$13)&amp;"","　"," ")))</f>
        <v/>
      </c>
      <c r="D83" s="2">
        <f>IF(설정!$D$14="","",TRIM(SUBSTITUTE(INDEX(급여대장_원본!$A$1:$AZ$400,(설정!$B$8+77),설정!$D$14)&amp;"","　"," ")))</f>
        <v/>
      </c>
      <c r="E83" s="2">
        <f>IF(설정!$D$15="","",TRIM(SUBSTITUTE(INDEX(급여대장_원본!$A$1:$AZ$400,(설정!$B$8+77),설정!$D$15)&amp;"","　"," ")))</f>
        <v/>
      </c>
      <c r="F83" s="27">
        <f>IF(설정!$D$17="",0,IFERROR(VALUE(SUBSTITUTE(SUBSTITUTE(INDEX(급여대장_원본!$A$1:$AZ$400,(설정!$B$8+77),설정!$D$17)&amp;"",",",""),"　","")),0))</f>
        <v/>
      </c>
      <c r="G83" s="27">
        <f>IF(설정!$D$18="",0,IFERROR(VALUE(SUBSTITUTE(SUBSTITUTE(INDEX(급여대장_원본!$A$1:$AZ$400,(설정!$B$8+77),설정!$D$18)&amp;"",",",""),"　","")),0))</f>
        <v/>
      </c>
      <c r="H83" s="27">
        <f>IF(설정!$D$19="",0,IFERROR(VALUE(SUBSTITUTE(SUBSTITUTE(INDEX(급여대장_원본!$A$1:$AZ$400,(설정!$B$8+77),설정!$D$19)&amp;"",",",""),"　","")),0))</f>
        <v/>
      </c>
      <c r="I83" s="27">
        <f>IF(설정!$D$20="",0,IFERROR(VALUE(SUBSTITUTE(SUBSTITUTE(INDEX(급여대장_원본!$A$1:$AZ$400,(설정!$B$8+77),설정!$D$20)&amp;"",",",""),"　","")),0))</f>
        <v/>
      </c>
      <c r="J83" s="27">
        <f>IF(설정!$D$21="",0,IFERROR(VALUE(SUBSTITUTE(SUBSTITUTE(INDEX(급여대장_원본!$A$1:$AZ$400,(설정!$B$8+77),설정!$D$21)&amp;"",",",""),"　","")),0))</f>
        <v/>
      </c>
      <c r="K83" s="27">
        <f>IF(설정!$D$22="",0,IFERROR(VALUE(SUBSTITUTE(SUBSTITUTE(INDEX(급여대장_원본!$A$1:$AZ$400,(설정!$B$8+77),설정!$D$22)&amp;"",",",""),"　","")),0))</f>
        <v/>
      </c>
      <c r="L83" s="27">
        <f>IF(설정!$D$23="",0,IFERROR(VALUE(SUBSTITUTE(SUBSTITUTE(INDEX(급여대장_원본!$A$1:$AZ$400,(설정!$B$8+77),설정!$D$23)&amp;"",",",""),"　","")),0))</f>
        <v/>
      </c>
      <c r="M83" s="27">
        <f>IF(설정!$D$24="",0,IFERROR(VALUE(SUBSTITUTE(SUBSTITUTE(INDEX(급여대장_원본!$A$1:$AZ$400,(설정!$B$8+77),설정!$D$24)&amp;"",",",""),"　","")),0))</f>
        <v/>
      </c>
      <c r="N83" s="2">
        <f>IF(OR(설정!$C$17="",IFERROR(MATCH(설정!$C$17,INDEX(급여대장_원본!$A$1:$AZ$400,설정!$B$8,0),0),"")=""),"",IFERROR(VALUE(SUBSTITUTE(INDEX(급여대장_원본!$A$1:$AZ$400,(설정!$B$8+77),IFERROR(MATCH(설정!$C$17,INDEX(급여대장_원본!$A$1:$AZ$400,설정!$B$8,0),0),""))&amp;"",",","")),""))</f>
        <v/>
      </c>
      <c r="O83" s="2">
        <f>IF(OR(설정!$C$18="",IFERROR(MATCH(설정!$C$18,INDEX(급여대장_원본!$A$1:$AZ$400,설정!$B$8,0),0),"")=""),"",IFERROR(VALUE(SUBSTITUTE(INDEX(급여대장_원본!$A$1:$AZ$400,(설정!$B$8+77),IFERROR(MATCH(설정!$C$18,INDEX(급여대장_원본!$A$1:$AZ$400,설정!$B$8,0),0),""))&amp;"",",","")),""))</f>
        <v/>
      </c>
      <c r="P83" s="2">
        <f>IF(OR(설정!$C$19="",IFERROR(MATCH(설정!$C$19,INDEX(급여대장_원본!$A$1:$AZ$400,설정!$B$8,0),0),"")=""),"",IFERROR(VALUE(SUBSTITUTE(INDEX(급여대장_원본!$A$1:$AZ$400,(설정!$B$8+77),IFERROR(MATCH(설정!$C$19,INDEX(급여대장_원본!$A$1:$AZ$400,설정!$B$8,0),0),""))&amp;"",",","")),""))</f>
        <v/>
      </c>
      <c r="Q83" s="2">
        <f>IF(OR(설정!$C$20="",IFERROR(MATCH(설정!$C$20,INDEX(급여대장_원본!$A$1:$AZ$400,설정!$B$8,0),0),"")=""),"",IFERROR(VALUE(SUBSTITUTE(INDEX(급여대장_원본!$A$1:$AZ$400,(설정!$B$8+77),IFERROR(MATCH(설정!$C$20,INDEX(급여대장_원본!$A$1:$AZ$400,설정!$B$8,0),0),""))&amp;"",",","")),""))</f>
        <v/>
      </c>
      <c r="R83" s="2">
        <f>IF(OR(설정!$C$21="",IFERROR(MATCH(설정!$C$21,INDEX(급여대장_원본!$A$1:$AZ$400,설정!$B$8,0),0),"")=""),"",IFERROR(VALUE(SUBSTITUTE(INDEX(급여대장_원본!$A$1:$AZ$400,(설정!$B$8+77),IFERROR(MATCH(설정!$C$21,INDEX(급여대장_원본!$A$1:$AZ$400,설정!$B$8,0),0),""))&amp;"",",","")),""))</f>
        <v/>
      </c>
      <c r="S83" s="2">
        <f>IF(OR(설정!$C$22="",IFERROR(MATCH(설정!$C$22,INDEX(급여대장_원본!$A$1:$AZ$400,설정!$B$8,0),0),"")=""),"",IFERROR(VALUE(SUBSTITUTE(INDEX(급여대장_원본!$A$1:$AZ$400,(설정!$B$8+77),IFERROR(MATCH(설정!$C$22,INDEX(급여대장_원본!$A$1:$AZ$400,설정!$B$8,0),0),""))&amp;"",",","")),""))</f>
        <v/>
      </c>
      <c r="T83" s="2">
        <f>IF(OR(설정!$C$23="",IFERROR(MATCH(설정!$C$23,INDEX(급여대장_원본!$A$1:$AZ$400,설정!$B$8,0),0),"")=""),"",IFERROR(VALUE(SUBSTITUTE(INDEX(급여대장_원본!$A$1:$AZ$400,(설정!$B$8+77),IFERROR(MATCH(설정!$C$23,INDEX(급여대장_원본!$A$1:$AZ$400,설정!$B$8,0),0),""))&amp;"",",","")),""))</f>
        <v/>
      </c>
      <c r="U83" s="2">
        <f>IF(OR(설정!$C$24="",IFERROR(MATCH(설정!$C$24,INDEX(급여대장_원본!$A$1:$AZ$400,설정!$B$8,0),0),"")=""),"",IFERROR(VALUE(SUBSTITUTE(INDEX(급여대장_원본!$A$1:$AZ$400,(설정!$B$8+77),IFERROR(MATCH(설정!$C$24,INDEX(급여대장_원본!$A$1:$AZ$400,설정!$B$8,0),0),""))&amp;"",",","")),""))</f>
        <v/>
      </c>
      <c r="V83" s="27">
        <f>SUM(F83:M83)</f>
        <v/>
      </c>
      <c r="W83" s="27">
        <f>IF(설정!$D$26="",0,IFERROR(VALUE(SUBSTITUTE(SUBSTITUTE(INDEX(급여대장_원본!$A$1:$AZ$400,(설정!$B$8+77),설정!$D$26)&amp;"",",",""),"　","")),0))</f>
        <v/>
      </c>
      <c r="X83" s="27">
        <f>IF(설정!$D$27="",0,IFERROR(VALUE(SUBSTITUTE(SUBSTITUTE(INDEX(급여대장_원본!$A$1:$AZ$400,(설정!$B$8+77),설정!$D$27)&amp;"",",",""),"　","")),0))</f>
        <v/>
      </c>
      <c r="Y83" s="27">
        <f>IF(설정!$D$28="",0,IFERROR(VALUE(SUBSTITUTE(SUBSTITUTE(INDEX(급여대장_원본!$A$1:$AZ$400,(설정!$B$8+77),설정!$D$28)&amp;"",",",""),"　","")),0))</f>
        <v/>
      </c>
      <c r="Z83" s="27">
        <f>IF(설정!$D$29="",0,IFERROR(VALUE(SUBSTITUTE(SUBSTITUTE(INDEX(급여대장_원본!$A$1:$AZ$400,(설정!$B$8+77),설정!$D$29)&amp;"",",",""),"　","")),0))</f>
        <v/>
      </c>
      <c r="AA83" s="27">
        <f>IF(설정!$D$30="",0,IFERROR(VALUE(SUBSTITUTE(SUBSTITUTE(INDEX(급여대장_원본!$A$1:$AZ$400,(설정!$B$8+77),설정!$D$30)&amp;"",",",""),"　","")),0))</f>
        <v/>
      </c>
      <c r="AB83" s="27">
        <f>IF(설정!$D$31="",0,IFERROR(VALUE(SUBSTITUTE(SUBSTITUTE(INDEX(급여대장_원본!$A$1:$AZ$400,(설정!$B$8+77),설정!$D$31)&amp;"",",",""),"　","")),0))</f>
        <v/>
      </c>
      <c r="AC83" s="27">
        <f>IF(설정!$D$32="",0,IFERROR(VALUE(SUBSTITUTE(SUBSTITUTE(INDEX(급여대장_원본!$A$1:$AZ$400,(설정!$B$8+77),설정!$D$32)&amp;"",",",""),"　","")),0))</f>
        <v/>
      </c>
      <c r="AD83" s="27">
        <f>IF(설정!$D$33="",0,IFERROR(VALUE(SUBSTITUTE(SUBSTITUTE(INDEX(급여대장_원본!$A$1:$AZ$400,(설정!$B$8+77),설정!$D$33)&amp;"",",",""),"　","")),0))</f>
        <v/>
      </c>
      <c r="AE83" s="27">
        <f>SUM(W83:AD83)</f>
        <v/>
      </c>
      <c r="AF83" s="27">
        <f>V83-AE83</f>
        <v/>
      </c>
      <c r="AG83" s="27">
        <f>IF(설정!$D$35="","",IF(설정!$D$35="",0,IFERROR(VALUE(SUBSTITUTE(SUBSTITUTE(INDEX(급여대장_원본!$A$1:$AZ$400,(설정!$B$8+77),설정!$D$35)&amp;"",",",""),"　","")),0)))</f>
        <v/>
      </c>
      <c r="AH83" s="27">
        <f>IF(설정!$D$36="","",IF(설정!$D$36="",0,IFERROR(VALUE(SUBSTITUTE(SUBSTITUTE(INDEX(급여대장_원본!$A$1:$AZ$400,(설정!$B$8+77),설정!$D$36)&amp;"",",",""),"　","")),0)))</f>
        <v/>
      </c>
      <c r="AI83" s="27">
        <f>IF(설정!$D$37="","",IF(설정!$D$37="",0,IFERROR(VALUE(SUBSTITUTE(SUBSTITUTE(INDEX(급여대장_원본!$A$1:$AZ$400,(설정!$B$8+77),설정!$D$37)&amp;"",",",""),"　","")),0)))</f>
        <v/>
      </c>
      <c r="AJ83" s="2">
        <f>IFERROR(INDEX($D$7:$D$306,MATCH(77,$B$7:$B$306,0)),"")</f>
        <v/>
      </c>
    </row>
    <row r="84">
      <c r="A84" s="2">
        <f>IF(AND(D84&lt;&gt;"",D84&lt;&gt;"합계",D84&lt;&gt;"총계",D84&lt;&gt;"소계",D84&lt;&gt;"계"),1,0)</f>
        <v/>
      </c>
      <c r="B84" s="2">
        <f>IF(A84=1,SUM($A$7:A84),"")</f>
        <v/>
      </c>
      <c r="C84" s="2">
        <f>IF(설정!$D$13="","",TRIM(SUBSTITUTE(INDEX(급여대장_원본!$A$1:$AZ$400,(설정!$B$8+78),설정!$D$13)&amp;"","　"," ")))</f>
        <v/>
      </c>
      <c r="D84" s="2">
        <f>IF(설정!$D$14="","",TRIM(SUBSTITUTE(INDEX(급여대장_원본!$A$1:$AZ$400,(설정!$B$8+78),설정!$D$14)&amp;"","　"," ")))</f>
        <v/>
      </c>
      <c r="E84" s="2">
        <f>IF(설정!$D$15="","",TRIM(SUBSTITUTE(INDEX(급여대장_원본!$A$1:$AZ$400,(설정!$B$8+78),설정!$D$15)&amp;"","　"," ")))</f>
        <v/>
      </c>
      <c r="F84" s="27">
        <f>IF(설정!$D$17="",0,IFERROR(VALUE(SUBSTITUTE(SUBSTITUTE(INDEX(급여대장_원본!$A$1:$AZ$400,(설정!$B$8+78),설정!$D$17)&amp;"",",",""),"　","")),0))</f>
        <v/>
      </c>
      <c r="G84" s="27">
        <f>IF(설정!$D$18="",0,IFERROR(VALUE(SUBSTITUTE(SUBSTITUTE(INDEX(급여대장_원본!$A$1:$AZ$400,(설정!$B$8+78),설정!$D$18)&amp;"",",",""),"　","")),0))</f>
        <v/>
      </c>
      <c r="H84" s="27">
        <f>IF(설정!$D$19="",0,IFERROR(VALUE(SUBSTITUTE(SUBSTITUTE(INDEX(급여대장_원본!$A$1:$AZ$400,(설정!$B$8+78),설정!$D$19)&amp;"",",",""),"　","")),0))</f>
        <v/>
      </c>
      <c r="I84" s="27">
        <f>IF(설정!$D$20="",0,IFERROR(VALUE(SUBSTITUTE(SUBSTITUTE(INDEX(급여대장_원본!$A$1:$AZ$400,(설정!$B$8+78),설정!$D$20)&amp;"",",",""),"　","")),0))</f>
        <v/>
      </c>
      <c r="J84" s="27">
        <f>IF(설정!$D$21="",0,IFERROR(VALUE(SUBSTITUTE(SUBSTITUTE(INDEX(급여대장_원본!$A$1:$AZ$400,(설정!$B$8+78),설정!$D$21)&amp;"",",",""),"　","")),0))</f>
        <v/>
      </c>
      <c r="K84" s="27">
        <f>IF(설정!$D$22="",0,IFERROR(VALUE(SUBSTITUTE(SUBSTITUTE(INDEX(급여대장_원본!$A$1:$AZ$400,(설정!$B$8+78),설정!$D$22)&amp;"",",",""),"　","")),0))</f>
        <v/>
      </c>
      <c r="L84" s="27">
        <f>IF(설정!$D$23="",0,IFERROR(VALUE(SUBSTITUTE(SUBSTITUTE(INDEX(급여대장_원본!$A$1:$AZ$400,(설정!$B$8+78),설정!$D$23)&amp;"",",",""),"　","")),0))</f>
        <v/>
      </c>
      <c r="M84" s="27">
        <f>IF(설정!$D$24="",0,IFERROR(VALUE(SUBSTITUTE(SUBSTITUTE(INDEX(급여대장_원본!$A$1:$AZ$400,(설정!$B$8+78),설정!$D$24)&amp;"",",",""),"　","")),0))</f>
        <v/>
      </c>
      <c r="N84" s="2">
        <f>IF(OR(설정!$C$17="",IFERROR(MATCH(설정!$C$17,INDEX(급여대장_원본!$A$1:$AZ$400,설정!$B$8,0),0),"")=""),"",IFERROR(VALUE(SUBSTITUTE(INDEX(급여대장_원본!$A$1:$AZ$400,(설정!$B$8+78),IFERROR(MATCH(설정!$C$17,INDEX(급여대장_원본!$A$1:$AZ$400,설정!$B$8,0),0),""))&amp;"",",","")),""))</f>
        <v/>
      </c>
      <c r="O84" s="2">
        <f>IF(OR(설정!$C$18="",IFERROR(MATCH(설정!$C$18,INDEX(급여대장_원본!$A$1:$AZ$400,설정!$B$8,0),0),"")=""),"",IFERROR(VALUE(SUBSTITUTE(INDEX(급여대장_원본!$A$1:$AZ$400,(설정!$B$8+78),IFERROR(MATCH(설정!$C$18,INDEX(급여대장_원본!$A$1:$AZ$400,설정!$B$8,0),0),""))&amp;"",",","")),""))</f>
        <v/>
      </c>
      <c r="P84" s="2">
        <f>IF(OR(설정!$C$19="",IFERROR(MATCH(설정!$C$19,INDEX(급여대장_원본!$A$1:$AZ$400,설정!$B$8,0),0),"")=""),"",IFERROR(VALUE(SUBSTITUTE(INDEX(급여대장_원본!$A$1:$AZ$400,(설정!$B$8+78),IFERROR(MATCH(설정!$C$19,INDEX(급여대장_원본!$A$1:$AZ$400,설정!$B$8,0),0),""))&amp;"",",","")),""))</f>
        <v/>
      </c>
      <c r="Q84" s="2">
        <f>IF(OR(설정!$C$20="",IFERROR(MATCH(설정!$C$20,INDEX(급여대장_원본!$A$1:$AZ$400,설정!$B$8,0),0),"")=""),"",IFERROR(VALUE(SUBSTITUTE(INDEX(급여대장_원본!$A$1:$AZ$400,(설정!$B$8+78),IFERROR(MATCH(설정!$C$20,INDEX(급여대장_원본!$A$1:$AZ$400,설정!$B$8,0),0),""))&amp;"",",","")),""))</f>
        <v/>
      </c>
      <c r="R84" s="2">
        <f>IF(OR(설정!$C$21="",IFERROR(MATCH(설정!$C$21,INDEX(급여대장_원본!$A$1:$AZ$400,설정!$B$8,0),0),"")=""),"",IFERROR(VALUE(SUBSTITUTE(INDEX(급여대장_원본!$A$1:$AZ$400,(설정!$B$8+78),IFERROR(MATCH(설정!$C$21,INDEX(급여대장_원본!$A$1:$AZ$400,설정!$B$8,0),0),""))&amp;"",",","")),""))</f>
        <v/>
      </c>
      <c r="S84" s="2">
        <f>IF(OR(설정!$C$22="",IFERROR(MATCH(설정!$C$22,INDEX(급여대장_원본!$A$1:$AZ$400,설정!$B$8,0),0),"")=""),"",IFERROR(VALUE(SUBSTITUTE(INDEX(급여대장_원본!$A$1:$AZ$400,(설정!$B$8+78),IFERROR(MATCH(설정!$C$22,INDEX(급여대장_원본!$A$1:$AZ$400,설정!$B$8,0),0),""))&amp;"",",","")),""))</f>
        <v/>
      </c>
      <c r="T84" s="2">
        <f>IF(OR(설정!$C$23="",IFERROR(MATCH(설정!$C$23,INDEX(급여대장_원본!$A$1:$AZ$400,설정!$B$8,0),0),"")=""),"",IFERROR(VALUE(SUBSTITUTE(INDEX(급여대장_원본!$A$1:$AZ$400,(설정!$B$8+78),IFERROR(MATCH(설정!$C$23,INDEX(급여대장_원본!$A$1:$AZ$400,설정!$B$8,0),0),""))&amp;"",",","")),""))</f>
        <v/>
      </c>
      <c r="U84" s="2">
        <f>IF(OR(설정!$C$24="",IFERROR(MATCH(설정!$C$24,INDEX(급여대장_원본!$A$1:$AZ$400,설정!$B$8,0),0),"")=""),"",IFERROR(VALUE(SUBSTITUTE(INDEX(급여대장_원본!$A$1:$AZ$400,(설정!$B$8+78),IFERROR(MATCH(설정!$C$24,INDEX(급여대장_원본!$A$1:$AZ$400,설정!$B$8,0),0),""))&amp;"",",","")),""))</f>
        <v/>
      </c>
      <c r="V84" s="27">
        <f>SUM(F84:M84)</f>
        <v/>
      </c>
      <c r="W84" s="27">
        <f>IF(설정!$D$26="",0,IFERROR(VALUE(SUBSTITUTE(SUBSTITUTE(INDEX(급여대장_원본!$A$1:$AZ$400,(설정!$B$8+78),설정!$D$26)&amp;"",",",""),"　","")),0))</f>
        <v/>
      </c>
      <c r="X84" s="27">
        <f>IF(설정!$D$27="",0,IFERROR(VALUE(SUBSTITUTE(SUBSTITUTE(INDEX(급여대장_원본!$A$1:$AZ$400,(설정!$B$8+78),설정!$D$27)&amp;"",",",""),"　","")),0))</f>
        <v/>
      </c>
      <c r="Y84" s="27">
        <f>IF(설정!$D$28="",0,IFERROR(VALUE(SUBSTITUTE(SUBSTITUTE(INDEX(급여대장_원본!$A$1:$AZ$400,(설정!$B$8+78),설정!$D$28)&amp;"",",",""),"　","")),0))</f>
        <v/>
      </c>
      <c r="Z84" s="27">
        <f>IF(설정!$D$29="",0,IFERROR(VALUE(SUBSTITUTE(SUBSTITUTE(INDEX(급여대장_원본!$A$1:$AZ$400,(설정!$B$8+78),설정!$D$29)&amp;"",",",""),"　","")),0))</f>
        <v/>
      </c>
      <c r="AA84" s="27">
        <f>IF(설정!$D$30="",0,IFERROR(VALUE(SUBSTITUTE(SUBSTITUTE(INDEX(급여대장_원본!$A$1:$AZ$400,(설정!$B$8+78),설정!$D$30)&amp;"",",",""),"　","")),0))</f>
        <v/>
      </c>
      <c r="AB84" s="27">
        <f>IF(설정!$D$31="",0,IFERROR(VALUE(SUBSTITUTE(SUBSTITUTE(INDEX(급여대장_원본!$A$1:$AZ$400,(설정!$B$8+78),설정!$D$31)&amp;"",",",""),"　","")),0))</f>
        <v/>
      </c>
      <c r="AC84" s="27">
        <f>IF(설정!$D$32="",0,IFERROR(VALUE(SUBSTITUTE(SUBSTITUTE(INDEX(급여대장_원본!$A$1:$AZ$400,(설정!$B$8+78),설정!$D$32)&amp;"",",",""),"　","")),0))</f>
        <v/>
      </c>
      <c r="AD84" s="27">
        <f>IF(설정!$D$33="",0,IFERROR(VALUE(SUBSTITUTE(SUBSTITUTE(INDEX(급여대장_원본!$A$1:$AZ$400,(설정!$B$8+78),설정!$D$33)&amp;"",",",""),"　","")),0))</f>
        <v/>
      </c>
      <c r="AE84" s="27">
        <f>SUM(W84:AD84)</f>
        <v/>
      </c>
      <c r="AF84" s="27">
        <f>V84-AE84</f>
        <v/>
      </c>
      <c r="AG84" s="27">
        <f>IF(설정!$D$35="","",IF(설정!$D$35="",0,IFERROR(VALUE(SUBSTITUTE(SUBSTITUTE(INDEX(급여대장_원본!$A$1:$AZ$400,(설정!$B$8+78),설정!$D$35)&amp;"",",",""),"　","")),0)))</f>
        <v/>
      </c>
      <c r="AH84" s="27">
        <f>IF(설정!$D$36="","",IF(설정!$D$36="",0,IFERROR(VALUE(SUBSTITUTE(SUBSTITUTE(INDEX(급여대장_원본!$A$1:$AZ$400,(설정!$B$8+78),설정!$D$36)&amp;"",",",""),"　","")),0)))</f>
        <v/>
      </c>
      <c r="AI84" s="27">
        <f>IF(설정!$D$37="","",IF(설정!$D$37="",0,IFERROR(VALUE(SUBSTITUTE(SUBSTITUTE(INDEX(급여대장_원본!$A$1:$AZ$400,(설정!$B$8+78),설정!$D$37)&amp;"",",",""),"　","")),0)))</f>
        <v/>
      </c>
      <c r="AJ84" s="2">
        <f>IFERROR(INDEX($D$7:$D$306,MATCH(78,$B$7:$B$306,0)),"")</f>
        <v/>
      </c>
    </row>
    <row r="85">
      <c r="A85" s="2">
        <f>IF(AND(D85&lt;&gt;"",D85&lt;&gt;"합계",D85&lt;&gt;"총계",D85&lt;&gt;"소계",D85&lt;&gt;"계"),1,0)</f>
        <v/>
      </c>
      <c r="B85" s="2">
        <f>IF(A85=1,SUM($A$7:A85),"")</f>
        <v/>
      </c>
      <c r="C85" s="2">
        <f>IF(설정!$D$13="","",TRIM(SUBSTITUTE(INDEX(급여대장_원본!$A$1:$AZ$400,(설정!$B$8+79),설정!$D$13)&amp;"","　"," ")))</f>
        <v/>
      </c>
      <c r="D85" s="2">
        <f>IF(설정!$D$14="","",TRIM(SUBSTITUTE(INDEX(급여대장_원본!$A$1:$AZ$400,(설정!$B$8+79),설정!$D$14)&amp;"","　"," ")))</f>
        <v/>
      </c>
      <c r="E85" s="2">
        <f>IF(설정!$D$15="","",TRIM(SUBSTITUTE(INDEX(급여대장_원본!$A$1:$AZ$400,(설정!$B$8+79),설정!$D$15)&amp;"","　"," ")))</f>
        <v/>
      </c>
      <c r="F85" s="27">
        <f>IF(설정!$D$17="",0,IFERROR(VALUE(SUBSTITUTE(SUBSTITUTE(INDEX(급여대장_원본!$A$1:$AZ$400,(설정!$B$8+79),설정!$D$17)&amp;"",",",""),"　","")),0))</f>
        <v/>
      </c>
      <c r="G85" s="27">
        <f>IF(설정!$D$18="",0,IFERROR(VALUE(SUBSTITUTE(SUBSTITUTE(INDEX(급여대장_원본!$A$1:$AZ$400,(설정!$B$8+79),설정!$D$18)&amp;"",",",""),"　","")),0))</f>
        <v/>
      </c>
      <c r="H85" s="27">
        <f>IF(설정!$D$19="",0,IFERROR(VALUE(SUBSTITUTE(SUBSTITUTE(INDEX(급여대장_원본!$A$1:$AZ$400,(설정!$B$8+79),설정!$D$19)&amp;"",",",""),"　","")),0))</f>
        <v/>
      </c>
      <c r="I85" s="27">
        <f>IF(설정!$D$20="",0,IFERROR(VALUE(SUBSTITUTE(SUBSTITUTE(INDEX(급여대장_원본!$A$1:$AZ$400,(설정!$B$8+79),설정!$D$20)&amp;"",",",""),"　","")),0))</f>
        <v/>
      </c>
      <c r="J85" s="27">
        <f>IF(설정!$D$21="",0,IFERROR(VALUE(SUBSTITUTE(SUBSTITUTE(INDEX(급여대장_원본!$A$1:$AZ$400,(설정!$B$8+79),설정!$D$21)&amp;"",",",""),"　","")),0))</f>
        <v/>
      </c>
      <c r="K85" s="27">
        <f>IF(설정!$D$22="",0,IFERROR(VALUE(SUBSTITUTE(SUBSTITUTE(INDEX(급여대장_원본!$A$1:$AZ$400,(설정!$B$8+79),설정!$D$22)&amp;"",",",""),"　","")),0))</f>
        <v/>
      </c>
      <c r="L85" s="27">
        <f>IF(설정!$D$23="",0,IFERROR(VALUE(SUBSTITUTE(SUBSTITUTE(INDEX(급여대장_원본!$A$1:$AZ$400,(설정!$B$8+79),설정!$D$23)&amp;"",",",""),"　","")),0))</f>
        <v/>
      </c>
      <c r="M85" s="27">
        <f>IF(설정!$D$24="",0,IFERROR(VALUE(SUBSTITUTE(SUBSTITUTE(INDEX(급여대장_원본!$A$1:$AZ$400,(설정!$B$8+79),설정!$D$24)&amp;"",",",""),"　","")),0))</f>
        <v/>
      </c>
      <c r="N85" s="2">
        <f>IF(OR(설정!$C$17="",IFERROR(MATCH(설정!$C$17,INDEX(급여대장_원본!$A$1:$AZ$400,설정!$B$8,0),0),"")=""),"",IFERROR(VALUE(SUBSTITUTE(INDEX(급여대장_원본!$A$1:$AZ$400,(설정!$B$8+79),IFERROR(MATCH(설정!$C$17,INDEX(급여대장_원본!$A$1:$AZ$400,설정!$B$8,0),0),""))&amp;"",",","")),""))</f>
        <v/>
      </c>
      <c r="O85" s="2">
        <f>IF(OR(설정!$C$18="",IFERROR(MATCH(설정!$C$18,INDEX(급여대장_원본!$A$1:$AZ$400,설정!$B$8,0),0),"")=""),"",IFERROR(VALUE(SUBSTITUTE(INDEX(급여대장_원본!$A$1:$AZ$400,(설정!$B$8+79),IFERROR(MATCH(설정!$C$18,INDEX(급여대장_원본!$A$1:$AZ$400,설정!$B$8,0),0),""))&amp;"",",","")),""))</f>
        <v/>
      </c>
      <c r="P85" s="2">
        <f>IF(OR(설정!$C$19="",IFERROR(MATCH(설정!$C$19,INDEX(급여대장_원본!$A$1:$AZ$400,설정!$B$8,0),0),"")=""),"",IFERROR(VALUE(SUBSTITUTE(INDEX(급여대장_원본!$A$1:$AZ$400,(설정!$B$8+79),IFERROR(MATCH(설정!$C$19,INDEX(급여대장_원본!$A$1:$AZ$400,설정!$B$8,0),0),""))&amp;"",",","")),""))</f>
        <v/>
      </c>
      <c r="Q85" s="2">
        <f>IF(OR(설정!$C$20="",IFERROR(MATCH(설정!$C$20,INDEX(급여대장_원본!$A$1:$AZ$400,설정!$B$8,0),0),"")=""),"",IFERROR(VALUE(SUBSTITUTE(INDEX(급여대장_원본!$A$1:$AZ$400,(설정!$B$8+79),IFERROR(MATCH(설정!$C$20,INDEX(급여대장_원본!$A$1:$AZ$400,설정!$B$8,0),0),""))&amp;"",",","")),""))</f>
        <v/>
      </c>
      <c r="R85" s="2">
        <f>IF(OR(설정!$C$21="",IFERROR(MATCH(설정!$C$21,INDEX(급여대장_원본!$A$1:$AZ$400,설정!$B$8,0),0),"")=""),"",IFERROR(VALUE(SUBSTITUTE(INDEX(급여대장_원본!$A$1:$AZ$400,(설정!$B$8+79),IFERROR(MATCH(설정!$C$21,INDEX(급여대장_원본!$A$1:$AZ$400,설정!$B$8,0),0),""))&amp;"",",","")),""))</f>
        <v/>
      </c>
      <c r="S85" s="2">
        <f>IF(OR(설정!$C$22="",IFERROR(MATCH(설정!$C$22,INDEX(급여대장_원본!$A$1:$AZ$400,설정!$B$8,0),0),"")=""),"",IFERROR(VALUE(SUBSTITUTE(INDEX(급여대장_원본!$A$1:$AZ$400,(설정!$B$8+79),IFERROR(MATCH(설정!$C$22,INDEX(급여대장_원본!$A$1:$AZ$400,설정!$B$8,0),0),""))&amp;"",",","")),""))</f>
        <v/>
      </c>
      <c r="T85" s="2">
        <f>IF(OR(설정!$C$23="",IFERROR(MATCH(설정!$C$23,INDEX(급여대장_원본!$A$1:$AZ$400,설정!$B$8,0),0),"")=""),"",IFERROR(VALUE(SUBSTITUTE(INDEX(급여대장_원본!$A$1:$AZ$400,(설정!$B$8+79),IFERROR(MATCH(설정!$C$23,INDEX(급여대장_원본!$A$1:$AZ$400,설정!$B$8,0),0),""))&amp;"",",","")),""))</f>
        <v/>
      </c>
      <c r="U85" s="2">
        <f>IF(OR(설정!$C$24="",IFERROR(MATCH(설정!$C$24,INDEX(급여대장_원본!$A$1:$AZ$400,설정!$B$8,0),0),"")=""),"",IFERROR(VALUE(SUBSTITUTE(INDEX(급여대장_원본!$A$1:$AZ$400,(설정!$B$8+79),IFERROR(MATCH(설정!$C$24,INDEX(급여대장_원본!$A$1:$AZ$400,설정!$B$8,0),0),""))&amp;"",",","")),""))</f>
        <v/>
      </c>
      <c r="V85" s="27">
        <f>SUM(F85:M85)</f>
        <v/>
      </c>
      <c r="W85" s="27">
        <f>IF(설정!$D$26="",0,IFERROR(VALUE(SUBSTITUTE(SUBSTITUTE(INDEX(급여대장_원본!$A$1:$AZ$400,(설정!$B$8+79),설정!$D$26)&amp;"",",",""),"　","")),0))</f>
        <v/>
      </c>
      <c r="X85" s="27">
        <f>IF(설정!$D$27="",0,IFERROR(VALUE(SUBSTITUTE(SUBSTITUTE(INDEX(급여대장_원본!$A$1:$AZ$400,(설정!$B$8+79),설정!$D$27)&amp;"",",",""),"　","")),0))</f>
        <v/>
      </c>
      <c r="Y85" s="27">
        <f>IF(설정!$D$28="",0,IFERROR(VALUE(SUBSTITUTE(SUBSTITUTE(INDEX(급여대장_원본!$A$1:$AZ$400,(설정!$B$8+79),설정!$D$28)&amp;"",",",""),"　","")),0))</f>
        <v/>
      </c>
      <c r="Z85" s="27">
        <f>IF(설정!$D$29="",0,IFERROR(VALUE(SUBSTITUTE(SUBSTITUTE(INDEX(급여대장_원본!$A$1:$AZ$400,(설정!$B$8+79),설정!$D$29)&amp;"",",",""),"　","")),0))</f>
        <v/>
      </c>
      <c r="AA85" s="27">
        <f>IF(설정!$D$30="",0,IFERROR(VALUE(SUBSTITUTE(SUBSTITUTE(INDEX(급여대장_원본!$A$1:$AZ$400,(설정!$B$8+79),설정!$D$30)&amp;"",",",""),"　","")),0))</f>
        <v/>
      </c>
      <c r="AB85" s="27">
        <f>IF(설정!$D$31="",0,IFERROR(VALUE(SUBSTITUTE(SUBSTITUTE(INDEX(급여대장_원본!$A$1:$AZ$400,(설정!$B$8+79),설정!$D$31)&amp;"",",",""),"　","")),0))</f>
        <v/>
      </c>
      <c r="AC85" s="27">
        <f>IF(설정!$D$32="",0,IFERROR(VALUE(SUBSTITUTE(SUBSTITUTE(INDEX(급여대장_원본!$A$1:$AZ$400,(설정!$B$8+79),설정!$D$32)&amp;"",",",""),"　","")),0))</f>
        <v/>
      </c>
      <c r="AD85" s="27">
        <f>IF(설정!$D$33="",0,IFERROR(VALUE(SUBSTITUTE(SUBSTITUTE(INDEX(급여대장_원본!$A$1:$AZ$400,(설정!$B$8+79),설정!$D$33)&amp;"",",",""),"　","")),0))</f>
        <v/>
      </c>
      <c r="AE85" s="27">
        <f>SUM(W85:AD85)</f>
        <v/>
      </c>
      <c r="AF85" s="27">
        <f>V85-AE85</f>
        <v/>
      </c>
      <c r="AG85" s="27">
        <f>IF(설정!$D$35="","",IF(설정!$D$35="",0,IFERROR(VALUE(SUBSTITUTE(SUBSTITUTE(INDEX(급여대장_원본!$A$1:$AZ$400,(설정!$B$8+79),설정!$D$35)&amp;"",",",""),"　","")),0)))</f>
        <v/>
      </c>
      <c r="AH85" s="27">
        <f>IF(설정!$D$36="","",IF(설정!$D$36="",0,IFERROR(VALUE(SUBSTITUTE(SUBSTITUTE(INDEX(급여대장_원본!$A$1:$AZ$400,(설정!$B$8+79),설정!$D$36)&amp;"",",",""),"　","")),0)))</f>
        <v/>
      </c>
      <c r="AI85" s="27">
        <f>IF(설정!$D$37="","",IF(설정!$D$37="",0,IFERROR(VALUE(SUBSTITUTE(SUBSTITUTE(INDEX(급여대장_원본!$A$1:$AZ$400,(설정!$B$8+79),설정!$D$37)&amp;"",",",""),"　","")),0)))</f>
        <v/>
      </c>
      <c r="AJ85" s="2">
        <f>IFERROR(INDEX($D$7:$D$306,MATCH(79,$B$7:$B$306,0)),"")</f>
        <v/>
      </c>
    </row>
    <row r="86">
      <c r="A86" s="2">
        <f>IF(AND(D86&lt;&gt;"",D86&lt;&gt;"합계",D86&lt;&gt;"총계",D86&lt;&gt;"소계",D86&lt;&gt;"계"),1,0)</f>
        <v/>
      </c>
      <c r="B86" s="2">
        <f>IF(A86=1,SUM($A$7:A86),"")</f>
        <v/>
      </c>
      <c r="C86" s="2">
        <f>IF(설정!$D$13="","",TRIM(SUBSTITUTE(INDEX(급여대장_원본!$A$1:$AZ$400,(설정!$B$8+80),설정!$D$13)&amp;"","　"," ")))</f>
        <v/>
      </c>
      <c r="D86" s="2">
        <f>IF(설정!$D$14="","",TRIM(SUBSTITUTE(INDEX(급여대장_원본!$A$1:$AZ$400,(설정!$B$8+80),설정!$D$14)&amp;"","　"," ")))</f>
        <v/>
      </c>
      <c r="E86" s="2">
        <f>IF(설정!$D$15="","",TRIM(SUBSTITUTE(INDEX(급여대장_원본!$A$1:$AZ$400,(설정!$B$8+80),설정!$D$15)&amp;"","　"," ")))</f>
        <v/>
      </c>
      <c r="F86" s="27">
        <f>IF(설정!$D$17="",0,IFERROR(VALUE(SUBSTITUTE(SUBSTITUTE(INDEX(급여대장_원본!$A$1:$AZ$400,(설정!$B$8+80),설정!$D$17)&amp;"",",",""),"　","")),0))</f>
        <v/>
      </c>
      <c r="G86" s="27">
        <f>IF(설정!$D$18="",0,IFERROR(VALUE(SUBSTITUTE(SUBSTITUTE(INDEX(급여대장_원본!$A$1:$AZ$400,(설정!$B$8+80),설정!$D$18)&amp;"",",",""),"　","")),0))</f>
        <v/>
      </c>
      <c r="H86" s="27">
        <f>IF(설정!$D$19="",0,IFERROR(VALUE(SUBSTITUTE(SUBSTITUTE(INDEX(급여대장_원본!$A$1:$AZ$400,(설정!$B$8+80),설정!$D$19)&amp;"",",",""),"　","")),0))</f>
        <v/>
      </c>
      <c r="I86" s="27">
        <f>IF(설정!$D$20="",0,IFERROR(VALUE(SUBSTITUTE(SUBSTITUTE(INDEX(급여대장_원본!$A$1:$AZ$400,(설정!$B$8+80),설정!$D$20)&amp;"",",",""),"　","")),0))</f>
        <v/>
      </c>
      <c r="J86" s="27">
        <f>IF(설정!$D$21="",0,IFERROR(VALUE(SUBSTITUTE(SUBSTITUTE(INDEX(급여대장_원본!$A$1:$AZ$400,(설정!$B$8+80),설정!$D$21)&amp;"",",",""),"　","")),0))</f>
        <v/>
      </c>
      <c r="K86" s="27">
        <f>IF(설정!$D$22="",0,IFERROR(VALUE(SUBSTITUTE(SUBSTITUTE(INDEX(급여대장_원본!$A$1:$AZ$400,(설정!$B$8+80),설정!$D$22)&amp;"",",",""),"　","")),0))</f>
        <v/>
      </c>
      <c r="L86" s="27">
        <f>IF(설정!$D$23="",0,IFERROR(VALUE(SUBSTITUTE(SUBSTITUTE(INDEX(급여대장_원본!$A$1:$AZ$400,(설정!$B$8+80),설정!$D$23)&amp;"",",",""),"　","")),0))</f>
        <v/>
      </c>
      <c r="M86" s="27">
        <f>IF(설정!$D$24="",0,IFERROR(VALUE(SUBSTITUTE(SUBSTITUTE(INDEX(급여대장_원본!$A$1:$AZ$400,(설정!$B$8+80),설정!$D$24)&amp;"",",",""),"　","")),0))</f>
        <v/>
      </c>
      <c r="N86" s="2">
        <f>IF(OR(설정!$C$17="",IFERROR(MATCH(설정!$C$17,INDEX(급여대장_원본!$A$1:$AZ$400,설정!$B$8,0),0),"")=""),"",IFERROR(VALUE(SUBSTITUTE(INDEX(급여대장_원본!$A$1:$AZ$400,(설정!$B$8+80),IFERROR(MATCH(설정!$C$17,INDEX(급여대장_원본!$A$1:$AZ$400,설정!$B$8,0),0),""))&amp;"",",","")),""))</f>
        <v/>
      </c>
      <c r="O86" s="2">
        <f>IF(OR(설정!$C$18="",IFERROR(MATCH(설정!$C$18,INDEX(급여대장_원본!$A$1:$AZ$400,설정!$B$8,0),0),"")=""),"",IFERROR(VALUE(SUBSTITUTE(INDEX(급여대장_원본!$A$1:$AZ$400,(설정!$B$8+80),IFERROR(MATCH(설정!$C$18,INDEX(급여대장_원본!$A$1:$AZ$400,설정!$B$8,0),0),""))&amp;"",",","")),""))</f>
        <v/>
      </c>
      <c r="P86" s="2">
        <f>IF(OR(설정!$C$19="",IFERROR(MATCH(설정!$C$19,INDEX(급여대장_원본!$A$1:$AZ$400,설정!$B$8,0),0),"")=""),"",IFERROR(VALUE(SUBSTITUTE(INDEX(급여대장_원본!$A$1:$AZ$400,(설정!$B$8+80),IFERROR(MATCH(설정!$C$19,INDEX(급여대장_원본!$A$1:$AZ$400,설정!$B$8,0),0),""))&amp;"",",","")),""))</f>
        <v/>
      </c>
      <c r="Q86" s="2">
        <f>IF(OR(설정!$C$20="",IFERROR(MATCH(설정!$C$20,INDEX(급여대장_원본!$A$1:$AZ$400,설정!$B$8,0),0),"")=""),"",IFERROR(VALUE(SUBSTITUTE(INDEX(급여대장_원본!$A$1:$AZ$400,(설정!$B$8+80),IFERROR(MATCH(설정!$C$20,INDEX(급여대장_원본!$A$1:$AZ$400,설정!$B$8,0),0),""))&amp;"",",","")),""))</f>
        <v/>
      </c>
      <c r="R86" s="2">
        <f>IF(OR(설정!$C$21="",IFERROR(MATCH(설정!$C$21,INDEX(급여대장_원본!$A$1:$AZ$400,설정!$B$8,0),0),"")=""),"",IFERROR(VALUE(SUBSTITUTE(INDEX(급여대장_원본!$A$1:$AZ$400,(설정!$B$8+80),IFERROR(MATCH(설정!$C$21,INDEX(급여대장_원본!$A$1:$AZ$400,설정!$B$8,0),0),""))&amp;"",",","")),""))</f>
        <v/>
      </c>
      <c r="S86" s="2">
        <f>IF(OR(설정!$C$22="",IFERROR(MATCH(설정!$C$22,INDEX(급여대장_원본!$A$1:$AZ$400,설정!$B$8,0),0),"")=""),"",IFERROR(VALUE(SUBSTITUTE(INDEX(급여대장_원본!$A$1:$AZ$400,(설정!$B$8+80),IFERROR(MATCH(설정!$C$22,INDEX(급여대장_원본!$A$1:$AZ$400,설정!$B$8,0),0),""))&amp;"",",","")),""))</f>
        <v/>
      </c>
      <c r="T86" s="2">
        <f>IF(OR(설정!$C$23="",IFERROR(MATCH(설정!$C$23,INDEX(급여대장_원본!$A$1:$AZ$400,설정!$B$8,0),0),"")=""),"",IFERROR(VALUE(SUBSTITUTE(INDEX(급여대장_원본!$A$1:$AZ$400,(설정!$B$8+80),IFERROR(MATCH(설정!$C$23,INDEX(급여대장_원본!$A$1:$AZ$400,설정!$B$8,0),0),""))&amp;"",",","")),""))</f>
        <v/>
      </c>
      <c r="U86" s="2">
        <f>IF(OR(설정!$C$24="",IFERROR(MATCH(설정!$C$24,INDEX(급여대장_원본!$A$1:$AZ$400,설정!$B$8,0),0),"")=""),"",IFERROR(VALUE(SUBSTITUTE(INDEX(급여대장_원본!$A$1:$AZ$400,(설정!$B$8+80),IFERROR(MATCH(설정!$C$24,INDEX(급여대장_원본!$A$1:$AZ$400,설정!$B$8,0),0),""))&amp;"",",","")),""))</f>
        <v/>
      </c>
      <c r="V86" s="27">
        <f>SUM(F86:M86)</f>
        <v/>
      </c>
      <c r="W86" s="27">
        <f>IF(설정!$D$26="",0,IFERROR(VALUE(SUBSTITUTE(SUBSTITUTE(INDEX(급여대장_원본!$A$1:$AZ$400,(설정!$B$8+80),설정!$D$26)&amp;"",",",""),"　","")),0))</f>
        <v/>
      </c>
      <c r="X86" s="27">
        <f>IF(설정!$D$27="",0,IFERROR(VALUE(SUBSTITUTE(SUBSTITUTE(INDEX(급여대장_원본!$A$1:$AZ$400,(설정!$B$8+80),설정!$D$27)&amp;"",",",""),"　","")),0))</f>
        <v/>
      </c>
      <c r="Y86" s="27">
        <f>IF(설정!$D$28="",0,IFERROR(VALUE(SUBSTITUTE(SUBSTITUTE(INDEX(급여대장_원본!$A$1:$AZ$400,(설정!$B$8+80),설정!$D$28)&amp;"",",",""),"　","")),0))</f>
        <v/>
      </c>
      <c r="Z86" s="27">
        <f>IF(설정!$D$29="",0,IFERROR(VALUE(SUBSTITUTE(SUBSTITUTE(INDEX(급여대장_원본!$A$1:$AZ$400,(설정!$B$8+80),설정!$D$29)&amp;"",",",""),"　","")),0))</f>
        <v/>
      </c>
      <c r="AA86" s="27">
        <f>IF(설정!$D$30="",0,IFERROR(VALUE(SUBSTITUTE(SUBSTITUTE(INDEX(급여대장_원본!$A$1:$AZ$400,(설정!$B$8+80),설정!$D$30)&amp;"",",",""),"　","")),0))</f>
        <v/>
      </c>
      <c r="AB86" s="27">
        <f>IF(설정!$D$31="",0,IFERROR(VALUE(SUBSTITUTE(SUBSTITUTE(INDEX(급여대장_원본!$A$1:$AZ$400,(설정!$B$8+80),설정!$D$31)&amp;"",",",""),"　","")),0))</f>
        <v/>
      </c>
      <c r="AC86" s="27">
        <f>IF(설정!$D$32="",0,IFERROR(VALUE(SUBSTITUTE(SUBSTITUTE(INDEX(급여대장_원본!$A$1:$AZ$400,(설정!$B$8+80),설정!$D$32)&amp;"",",",""),"　","")),0))</f>
        <v/>
      </c>
      <c r="AD86" s="27">
        <f>IF(설정!$D$33="",0,IFERROR(VALUE(SUBSTITUTE(SUBSTITUTE(INDEX(급여대장_원본!$A$1:$AZ$400,(설정!$B$8+80),설정!$D$33)&amp;"",",",""),"　","")),0))</f>
        <v/>
      </c>
      <c r="AE86" s="27">
        <f>SUM(W86:AD86)</f>
        <v/>
      </c>
      <c r="AF86" s="27">
        <f>V86-AE86</f>
        <v/>
      </c>
      <c r="AG86" s="27">
        <f>IF(설정!$D$35="","",IF(설정!$D$35="",0,IFERROR(VALUE(SUBSTITUTE(SUBSTITUTE(INDEX(급여대장_원본!$A$1:$AZ$400,(설정!$B$8+80),설정!$D$35)&amp;"",",",""),"　","")),0)))</f>
        <v/>
      </c>
      <c r="AH86" s="27">
        <f>IF(설정!$D$36="","",IF(설정!$D$36="",0,IFERROR(VALUE(SUBSTITUTE(SUBSTITUTE(INDEX(급여대장_원본!$A$1:$AZ$400,(설정!$B$8+80),설정!$D$36)&amp;"",",",""),"　","")),0)))</f>
        <v/>
      </c>
      <c r="AI86" s="27">
        <f>IF(설정!$D$37="","",IF(설정!$D$37="",0,IFERROR(VALUE(SUBSTITUTE(SUBSTITUTE(INDEX(급여대장_원본!$A$1:$AZ$400,(설정!$B$8+80),설정!$D$37)&amp;"",",",""),"　","")),0)))</f>
        <v/>
      </c>
      <c r="AJ86" s="2">
        <f>IFERROR(INDEX($D$7:$D$306,MATCH(80,$B$7:$B$306,0)),"")</f>
        <v/>
      </c>
    </row>
    <row r="87">
      <c r="A87" s="2">
        <f>IF(AND(D87&lt;&gt;"",D87&lt;&gt;"합계",D87&lt;&gt;"총계",D87&lt;&gt;"소계",D87&lt;&gt;"계"),1,0)</f>
        <v/>
      </c>
      <c r="B87" s="2">
        <f>IF(A87=1,SUM($A$7:A87),"")</f>
        <v/>
      </c>
      <c r="C87" s="2">
        <f>IF(설정!$D$13="","",TRIM(SUBSTITUTE(INDEX(급여대장_원본!$A$1:$AZ$400,(설정!$B$8+81),설정!$D$13)&amp;"","　"," ")))</f>
        <v/>
      </c>
      <c r="D87" s="2">
        <f>IF(설정!$D$14="","",TRIM(SUBSTITUTE(INDEX(급여대장_원본!$A$1:$AZ$400,(설정!$B$8+81),설정!$D$14)&amp;"","　"," ")))</f>
        <v/>
      </c>
      <c r="E87" s="2">
        <f>IF(설정!$D$15="","",TRIM(SUBSTITUTE(INDEX(급여대장_원본!$A$1:$AZ$400,(설정!$B$8+81),설정!$D$15)&amp;"","　"," ")))</f>
        <v/>
      </c>
      <c r="F87" s="27">
        <f>IF(설정!$D$17="",0,IFERROR(VALUE(SUBSTITUTE(SUBSTITUTE(INDEX(급여대장_원본!$A$1:$AZ$400,(설정!$B$8+81),설정!$D$17)&amp;"",",",""),"　","")),0))</f>
        <v/>
      </c>
      <c r="G87" s="27">
        <f>IF(설정!$D$18="",0,IFERROR(VALUE(SUBSTITUTE(SUBSTITUTE(INDEX(급여대장_원본!$A$1:$AZ$400,(설정!$B$8+81),설정!$D$18)&amp;"",",",""),"　","")),0))</f>
        <v/>
      </c>
      <c r="H87" s="27">
        <f>IF(설정!$D$19="",0,IFERROR(VALUE(SUBSTITUTE(SUBSTITUTE(INDEX(급여대장_원본!$A$1:$AZ$400,(설정!$B$8+81),설정!$D$19)&amp;"",",",""),"　","")),0))</f>
        <v/>
      </c>
      <c r="I87" s="27">
        <f>IF(설정!$D$20="",0,IFERROR(VALUE(SUBSTITUTE(SUBSTITUTE(INDEX(급여대장_원본!$A$1:$AZ$400,(설정!$B$8+81),설정!$D$20)&amp;"",",",""),"　","")),0))</f>
        <v/>
      </c>
      <c r="J87" s="27">
        <f>IF(설정!$D$21="",0,IFERROR(VALUE(SUBSTITUTE(SUBSTITUTE(INDEX(급여대장_원본!$A$1:$AZ$400,(설정!$B$8+81),설정!$D$21)&amp;"",",",""),"　","")),0))</f>
        <v/>
      </c>
      <c r="K87" s="27">
        <f>IF(설정!$D$22="",0,IFERROR(VALUE(SUBSTITUTE(SUBSTITUTE(INDEX(급여대장_원본!$A$1:$AZ$400,(설정!$B$8+81),설정!$D$22)&amp;"",",",""),"　","")),0))</f>
        <v/>
      </c>
      <c r="L87" s="27">
        <f>IF(설정!$D$23="",0,IFERROR(VALUE(SUBSTITUTE(SUBSTITUTE(INDEX(급여대장_원본!$A$1:$AZ$400,(설정!$B$8+81),설정!$D$23)&amp;"",",",""),"　","")),0))</f>
        <v/>
      </c>
      <c r="M87" s="27">
        <f>IF(설정!$D$24="",0,IFERROR(VALUE(SUBSTITUTE(SUBSTITUTE(INDEX(급여대장_원본!$A$1:$AZ$400,(설정!$B$8+81),설정!$D$24)&amp;"",",",""),"　","")),0))</f>
        <v/>
      </c>
      <c r="N87" s="2">
        <f>IF(OR(설정!$C$17="",IFERROR(MATCH(설정!$C$17,INDEX(급여대장_원본!$A$1:$AZ$400,설정!$B$8,0),0),"")=""),"",IFERROR(VALUE(SUBSTITUTE(INDEX(급여대장_원본!$A$1:$AZ$400,(설정!$B$8+81),IFERROR(MATCH(설정!$C$17,INDEX(급여대장_원본!$A$1:$AZ$400,설정!$B$8,0),0),""))&amp;"",",","")),""))</f>
        <v/>
      </c>
      <c r="O87" s="2">
        <f>IF(OR(설정!$C$18="",IFERROR(MATCH(설정!$C$18,INDEX(급여대장_원본!$A$1:$AZ$400,설정!$B$8,0),0),"")=""),"",IFERROR(VALUE(SUBSTITUTE(INDEX(급여대장_원본!$A$1:$AZ$400,(설정!$B$8+81),IFERROR(MATCH(설정!$C$18,INDEX(급여대장_원본!$A$1:$AZ$400,설정!$B$8,0),0),""))&amp;"",",","")),""))</f>
        <v/>
      </c>
      <c r="P87" s="2">
        <f>IF(OR(설정!$C$19="",IFERROR(MATCH(설정!$C$19,INDEX(급여대장_원본!$A$1:$AZ$400,설정!$B$8,0),0),"")=""),"",IFERROR(VALUE(SUBSTITUTE(INDEX(급여대장_원본!$A$1:$AZ$400,(설정!$B$8+81),IFERROR(MATCH(설정!$C$19,INDEX(급여대장_원본!$A$1:$AZ$400,설정!$B$8,0),0),""))&amp;"",",","")),""))</f>
        <v/>
      </c>
      <c r="Q87" s="2">
        <f>IF(OR(설정!$C$20="",IFERROR(MATCH(설정!$C$20,INDEX(급여대장_원본!$A$1:$AZ$400,설정!$B$8,0),0),"")=""),"",IFERROR(VALUE(SUBSTITUTE(INDEX(급여대장_원본!$A$1:$AZ$400,(설정!$B$8+81),IFERROR(MATCH(설정!$C$20,INDEX(급여대장_원본!$A$1:$AZ$400,설정!$B$8,0),0),""))&amp;"",",","")),""))</f>
        <v/>
      </c>
      <c r="R87" s="2">
        <f>IF(OR(설정!$C$21="",IFERROR(MATCH(설정!$C$21,INDEX(급여대장_원본!$A$1:$AZ$400,설정!$B$8,0),0),"")=""),"",IFERROR(VALUE(SUBSTITUTE(INDEX(급여대장_원본!$A$1:$AZ$400,(설정!$B$8+81),IFERROR(MATCH(설정!$C$21,INDEX(급여대장_원본!$A$1:$AZ$400,설정!$B$8,0),0),""))&amp;"",",","")),""))</f>
        <v/>
      </c>
      <c r="S87" s="2">
        <f>IF(OR(설정!$C$22="",IFERROR(MATCH(설정!$C$22,INDEX(급여대장_원본!$A$1:$AZ$400,설정!$B$8,0),0),"")=""),"",IFERROR(VALUE(SUBSTITUTE(INDEX(급여대장_원본!$A$1:$AZ$400,(설정!$B$8+81),IFERROR(MATCH(설정!$C$22,INDEX(급여대장_원본!$A$1:$AZ$400,설정!$B$8,0),0),""))&amp;"",",","")),""))</f>
        <v/>
      </c>
      <c r="T87" s="2">
        <f>IF(OR(설정!$C$23="",IFERROR(MATCH(설정!$C$23,INDEX(급여대장_원본!$A$1:$AZ$400,설정!$B$8,0),0),"")=""),"",IFERROR(VALUE(SUBSTITUTE(INDEX(급여대장_원본!$A$1:$AZ$400,(설정!$B$8+81),IFERROR(MATCH(설정!$C$23,INDEX(급여대장_원본!$A$1:$AZ$400,설정!$B$8,0),0),""))&amp;"",",","")),""))</f>
        <v/>
      </c>
      <c r="U87" s="2">
        <f>IF(OR(설정!$C$24="",IFERROR(MATCH(설정!$C$24,INDEX(급여대장_원본!$A$1:$AZ$400,설정!$B$8,0),0),"")=""),"",IFERROR(VALUE(SUBSTITUTE(INDEX(급여대장_원본!$A$1:$AZ$400,(설정!$B$8+81),IFERROR(MATCH(설정!$C$24,INDEX(급여대장_원본!$A$1:$AZ$400,설정!$B$8,0),0),""))&amp;"",",","")),""))</f>
        <v/>
      </c>
      <c r="V87" s="27">
        <f>SUM(F87:M87)</f>
        <v/>
      </c>
      <c r="W87" s="27">
        <f>IF(설정!$D$26="",0,IFERROR(VALUE(SUBSTITUTE(SUBSTITUTE(INDEX(급여대장_원본!$A$1:$AZ$400,(설정!$B$8+81),설정!$D$26)&amp;"",",",""),"　","")),0))</f>
        <v/>
      </c>
      <c r="X87" s="27">
        <f>IF(설정!$D$27="",0,IFERROR(VALUE(SUBSTITUTE(SUBSTITUTE(INDEX(급여대장_원본!$A$1:$AZ$400,(설정!$B$8+81),설정!$D$27)&amp;"",",",""),"　","")),0))</f>
        <v/>
      </c>
      <c r="Y87" s="27">
        <f>IF(설정!$D$28="",0,IFERROR(VALUE(SUBSTITUTE(SUBSTITUTE(INDEX(급여대장_원본!$A$1:$AZ$400,(설정!$B$8+81),설정!$D$28)&amp;"",",",""),"　","")),0))</f>
        <v/>
      </c>
      <c r="Z87" s="27">
        <f>IF(설정!$D$29="",0,IFERROR(VALUE(SUBSTITUTE(SUBSTITUTE(INDEX(급여대장_원본!$A$1:$AZ$400,(설정!$B$8+81),설정!$D$29)&amp;"",",",""),"　","")),0))</f>
        <v/>
      </c>
      <c r="AA87" s="27">
        <f>IF(설정!$D$30="",0,IFERROR(VALUE(SUBSTITUTE(SUBSTITUTE(INDEX(급여대장_원본!$A$1:$AZ$400,(설정!$B$8+81),설정!$D$30)&amp;"",",",""),"　","")),0))</f>
        <v/>
      </c>
      <c r="AB87" s="27">
        <f>IF(설정!$D$31="",0,IFERROR(VALUE(SUBSTITUTE(SUBSTITUTE(INDEX(급여대장_원본!$A$1:$AZ$400,(설정!$B$8+81),설정!$D$31)&amp;"",",",""),"　","")),0))</f>
        <v/>
      </c>
      <c r="AC87" s="27">
        <f>IF(설정!$D$32="",0,IFERROR(VALUE(SUBSTITUTE(SUBSTITUTE(INDEX(급여대장_원본!$A$1:$AZ$400,(설정!$B$8+81),설정!$D$32)&amp;"",",",""),"　","")),0))</f>
        <v/>
      </c>
      <c r="AD87" s="27">
        <f>IF(설정!$D$33="",0,IFERROR(VALUE(SUBSTITUTE(SUBSTITUTE(INDEX(급여대장_원본!$A$1:$AZ$400,(설정!$B$8+81),설정!$D$33)&amp;"",",",""),"　","")),0))</f>
        <v/>
      </c>
      <c r="AE87" s="27">
        <f>SUM(W87:AD87)</f>
        <v/>
      </c>
      <c r="AF87" s="27">
        <f>V87-AE87</f>
        <v/>
      </c>
      <c r="AG87" s="27">
        <f>IF(설정!$D$35="","",IF(설정!$D$35="",0,IFERROR(VALUE(SUBSTITUTE(SUBSTITUTE(INDEX(급여대장_원본!$A$1:$AZ$400,(설정!$B$8+81),설정!$D$35)&amp;"",",",""),"　","")),0)))</f>
        <v/>
      </c>
      <c r="AH87" s="27">
        <f>IF(설정!$D$36="","",IF(설정!$D$36="",0,IFERROR(VALUE(SUBSTITUTE(SUBSTITUTE(INDEX(급여대장_원본!$A$1:$AZ$400,(설정!$B$8+81),설정!$D$36)&amp;"",",",""),"　","")),0)))</f>
        <v/>
      </c>
      <c r="AI87" s="27">
        <f>IF(설정!$D$37="","",IF(설정!$D$37="",0,IFERROR(VALUE(SUBSTITUTE(SUBSTITUTE(INDEX(급여대장_원본!$A$1:$AZ$400,(설정!$B$8+81),설정!$D$37)&amp;"",",",""),"　","")),0)))</f>
        <v/>
      </c>
      <c r="AJ87" s="2">
        <f>IFERROR(INDEX($D$7:$D$306,MATCH(81,$B$7:$B$306,0)),"")</f>
        <v/>
      </c>
    </row>
    <row r="88">
      <c r="A88" s="2">
        <f>IF(AND(D88&lt;&gt;"",D88&lt;&gt;"합계",D88&lt;&gt;"총계",D88&lt;&gt;"소계",D88&lt;&gt;"계"),1,0)</f>
        <v/>
      </c>
      <c r="B88" s="2">
        <f>IF(A88=1,SUM($A$7:A88),"")</f>
        <v/>
      </c>
      <c r="C88" s="2">
        <f>IF(설정!$D$13="","",TRIM(SUBSTITUTE(INDEX(급여대장_원본!$A$1:$AZ$400,(설정!$B$8+82),설정!$D$13)&amp;"","　"," ")))</f>
        <v/>
      </c>
      <c r="D88" s="2">
        <f>IF(설정!$D$14="","",TRIM(SUBSTITUTE(INDEX(급여대장_원본!$A$1:$AZ$400,(설정!$B$8+82),설정!$D$14)&amp;"","　"," ")))</f>
        <v/>
      </c>
      <c r="E88" s="2">
        <f>IF(설정!$D$15="","",TRIM(SUBSTITUTE(INDEX(급여대장_원본!$A$1:$AZ$400,(설정!$B$8+82),설정!$D$15)&amp;"","　"," ")))</f>
        <v/>
      </c>
      <c r="F88" s="27">
        <f>IF(설정!$D$17="",0,IFERROR(VALUE(SUBSTITUTE(SUBSTITUTE(INDEX(급여대장_원본!$A$1:$AZ$400,(설정!$B$8+82),설정!$D$17)&amp;"",",",""),"　","")),0))</f>
        <v/>
      </c>
      <c r="G88" s="27">
        <f>IF(설정!$D$18="",0,IFERROR(VALUE(SUBSTITUTE(SUBSTITUTE(INDEX(급여대장_원본!$A$1:$AZ$400,(설정!$B$8+82),설정!$D$18)&amp;"",",",""),"　","")),0))</f>
        <v/>
      </c>
      <c r="H88" s="27">
        <f>IF(설정!$D$19="",0,IFERROR(VALUE(SUBSTITUTE(SUBSTITUTE(INDEX(급여대장_원본!$A$1:$AZ$400,(설정!$B$8+82),설정!$D$19)&amp;"",",",""),"　","")),0))</f>
        <v/>
      </c>
      <c r="I88" s="27">
        <f>IF(설정!$D$20="",0,IFERROR(VALUE(SUBSTITUTE(SUBSTITUTE(INDEX(급여대장_원본!$A$1:$AZ$400,(설정!$B$8+82),설정!$D$20)&amp;"",",",""),"　","")),0))</f>
        <v/>
      </c>
      <c r="J88" s="27">
        <f>IF(설정!$D$21="",0,IFERROR(VALUE(SUBSTITUTE(SUBSTITUTE(INDEX(급여대장_원본!$A$1:$AZ$400,(설정!$B$8+82),설정!$D$21)&amp;"",",",""),"　","")),0))</f>
        <v/>
      </c>
      <c r="K88" s="27">
        <f>IF(설정!$D$22="",0,IFERROR(VALUE(SUBSTITUTE(SUBSTITUTE(INDEX(급여대장_원본!$A$1:$AZ$400,(설정!$B$8+82),설정!$D$22)&amp;"",",",""),"　","")),0))</f>
        <v/>
      </c>
      <c r="L88" s="27">
        <f>IF(설정!$D$23="",0,IFERROR(VALUE(SUBSTITUTE(SUBSTITUTE(INDEX(급여대장_원본!$A$1:$AZ$400,(설정!$B$8+82),설정!$D$23)&amp;"",",",""),"　","")),0))</f>
        <v/>
      </c>
      <c r="M88" s="27">
        <f>IF(설정!$D$24="",0,IFERROR(VALUE(SUBSTITUTE(SUBSTITUTE(INDEX(급여대장_원본!$A$1:$AZ$400,(설정!$B$8+82),설정!$D$24)&amp;"",",",""),"　","")),0))</f>
        <v/>
      </c>
      <c r="N88" s="2">
        <f>IF(OR(설정!$C$17="",IFERROR(MATCH(설정!$C$17,INDEX(급여대장_원본!$A$1:$AZ$400,설정!$B$8,0),0),"")=""),"",IFERROR(VALUE(SUBSTITUTE(INDEX(급여대장_원본!$A$1:$AZ$400,(설정!$B$8+82),IFERROR(MATCH(설정!$C$17,INDEX(급여대장_원본!$A$1:$AZ$400,설정!$B$8,0),0),""))&amp;"",",","")),""))</f>
        <v/>
      </c>
      <c r="O88" s="2">
        <f>IF(OR(설정!$C$18="",IFERROR(MATCH(설정!$C$18,INDEX(급여대장_원본!$A$1:$AZ$400,설정!$B$8,0),0),"")=""),"",IFERROR(VALUE(SUBSTITUTE(INDEX(급여대장_원본!$A$1:$AZ$400,(설정!$B$8+82),IFERROR(MATCH(설정!$C$18,INDEX(급여대장_원본!$A$1:$AZ$400,설정!$B$8,0),0),""))&amp;"",",","")),""))</f>
        <v/>
      </c>
      <c r="P88" s="2">
        <f>IF(OR(설정!$C$19="",IFERROR(MATCH(설정!$C$19,INDEX(급여대장_원본!$A$1:$AZ$400,설정!$B$8,0),0),"")=""),"",IFERROR(VALUE(SUBSTITUTE(INDEX(급여대장_원본!$A$1:$AZ$400,(설정!$B$8+82),IFERROR(MATCH(설정!$C$19,INDEX(급여대장_원본!$A$1:$AZ$400,설정!$B$8,0),0),""))&amp;"",",","")),""))</f>
        <v/>
      </c>
      <c r="Q88" s="2">
        <f>IF(OR(설정!$C$20="",IFERROR(MATCH(설정!$C$20,INDEX(급여대장_원본!$A$1:$AZ$400,설정!$B$8,0),0),"")=""),"",IFERROR(VALUE(SUBSTITUTE(INDEX(급여대장_원본!$A$1:$AZ$400,(설정!$B$8+82),IFERROR(MATCH(설정!$C$20,INDEX(급여대장_원본!$A$1:$AZ$400,설정!$B$8,0),0),""))&amp;"",",","")),""))</f>
        <v/>
      </c>
      <c r="R88" s="2">
        <f>IF(OR(설정!$C$21="",IFERROR(MATCH(설정!$C$21,INDEX(급여대장_원본!$A$1:$AZ$400,설정!$B$8,0),0),"")=""),"",IFERROR(VALUE(SUBSTITUTE(INDEX(급여대장_원본!$A$1:$AZ$400,(설정!$B$8+82),IFERROR(MATCH(설정!$C$21,INDEX(급여대장_원본!$A$1:$AZ$400,설정!$B$8,0),0),""))&amp;"",",","")),""))</f>
        <v/>
      </c>
      <c r="S88" s="2">
        <f>IF(OR(설정!$C$22="",IFERROR(MATCH(설정!$C$22,INDEX(급여대장_원본!$A$1:$AZ$400,설정!$B$8,0),0),"")=""),"",IFERROR(VALUE(SUBSTITUTE(INDEX(급여대장_원본!$A$1:$AZ$400,(설정!$B$8+82),IFERROR(MATCH(설정!$C$22,INDEX(급여대장_원본!$A$1:$AZ$400,설정!$B$8,0),0),""))&amp;"",",","")),""))</f>
        <v/>
      </c>
      <c r="T88" s="2">
        <f>IF(OR(설정!$C$23="",IFERROR(MATCH(설정!$C$23,INDEX(급여대장_원본!$A$1:$AZ$400,설정!$B$8,0),0),"")=""),"",IFERROR(VALUE(SUBSTITUTE(INDEX(급여대장_원본!$A$1:$AZ$400,(설정!$B$8+82),IFERROR(MATCH(설정!$C$23,INDEX(급여대장_원본!$A$1:$AZ$400,설정!$B$8,0),0),""))&amp;"",",","")),""))</f>
        <v/>
      </c>
      <c r="U88" s="2">
        <f>IF(OR(설정!$C$24="",IFERROR(MATCH(설정!$C$24,INDEX(급여대장_원본!$A$1:$AZ$400,설정!$B$8,0),0),"")=""),"",IFERROR(VALUE(SUBSTITUTE(INDEX(급여대장_원본!$A$1:$AZ$400,(설정!$B$8+82),IFERROR(MATCH(설정!$C$24,INDEX(급여대장_원본!$A$1:$AZ$400,설정!$B$8,0),0),""))&amp;"",",","")),""))</f>
        <v/>
      </c>
      <c r="V88" s="27">
        <f>SUM(F88:M88)</f>
        <v/>
      </c>
      <c r="W88" s="27">
        <f>IF(설정!$D$26="",0,IFERROR(VALUE(SUBSTITUTE(SUBSTITUTE(INDEX(급여대장_원본!$A$1:$AZ$400,(설정!$B$8+82),설정!$D$26)&amp;"",",",""),"　","")),0))</f>
        <v/>
      </c>
      <c r="X88" s="27">
        <f>IF(설정!$D$27="",0,IFERROR(VALUE(SUBSTITUTE(SUBSTITUTE(INDEX(급여대장_원본!$A$1:$AZ$400,(설정!$B$8+82),설정!$D$27)&amp;"",",",""),"　","")),0))</f>
        <v/>
      </c>
      <c r="Y88" s="27">
        <f>IF(설정!$D$28="",0,IFERROR(VALUE(SUBSTITUTE(SUBSTITUTE(INDEX(급여대장_원본!$A$1:$AZ$400,(설정!$B$8+82),설정!$D$28)&amp;"",",",""),"　","")),0))</f>
        <v/>
      </c>
      <c r="Z88" s="27">
        <f>IF(설정!$D$29="",0,IFERROR(VALUE(SUBSTITUTE(SUBSTITUTE(INDEX(급여대장_원본!$A$1:$AZ$400,(설정!$B$8+82),설정!$D$29)&amp;"",",",""),"　","")),0))</f>
        <v/>
      </c>
      <c r="AA88" s="27">
        <f>IF(설정!$D$30="",0,IFERROR(VALUE(SUBSTITUTE(SUBSTITUTE(INDEX(급여대장_원본!$A$1:$AZ$400,(설정!$B$8+82),설정!$D$30)&amp;"",",",""),"　","")),0))</f>
        <v/>
      </c>
      <c r="AB88" s="27">
        <f>IF(설정!$D$31="",0,IFERROR(VALUE(SUBSTITUTE(SUBSTITUTE(INDEX(급여대장_원본!$A$1:$AZ$400,(설정!$B$8+82),설정!$D$31)&amp;"",",",""),"　","")),0))</f>
        <v/>
      </c>
      <c r="AC88" s="27">
        <f>IF(설정!$D$32="",0,IFERROR(VALUE(SUBSTITUTE(SUBSTITUTE(INDEX(급여대장_원본!$A$1:$AZ$400,(설정!$B$8+82),설정!$D$32)&amp;"",",",""),"　","")),0))</f>
        <v/>
      </c>
      <c r="AD88" s="27">
        <f>IF(설정!$D$33="",0,IFERROR(VALUE(SUBSTITUTE(SUBSTITUTE(INDEX(급여대장_원본!$A$1:$AZ$400,(설정!$B$8+82),설정!$D$33)&amp;"",",",""),"　","")),0))</f>
        <v/>
      </c>
      <c r="AE88" s="27">
        <f>SUM(W88:AD88)</f>
        <v/>
      </c>
      <c r="AF88" s="27">
        <f>V88-AE88</f>
        <v/>
      </c>
      <c r="AG88" s="27">
        <f>IF(설정!$D$35="","",IF(설정!$D$35="",0,IFERROR(VALUE(SUBSTITUTE(SUBSTITUTE(INDEX(급여대장_원본!$A$1:$AZ$400,(설정!$B$8+82),설정!$D$35)&amp;"",",",""),"　","")),0)))</f>
        <v/>
      </c>
      <c r="AH88" s="27">
        <f>IF(설정!$D$36="","",IF(설정!$D$36="",0,IFERROR(VALUE(SUBSTITUTE(SUBSTITUTE(INDEX(급여대장_원본!$A$1:$AZ$400,(설정!$B$8+82),설정!$D$36)&amp;"",",",""),"　","")),0)))</f>
        <v/>
      </c>
      <c r="AI88" s="27">
        <f>IF(설정!$D$37="","",IF(설정!$D$37="",0,IFERROR(VALUE(SUBSTITUTE(SUBSTITUTE(INDEX(급여대장_원본!$A$1:$AZ$400,(설정!$B$8+82),설정!$D$37)&amp;"",",",""),"　","")),0)))</f>
        <v/>
      </c>
      <c r="AJ88" s="2">
        <f>IFERROR(INDEX($D$7:$D$306,MATCH(82,$B$7:$B$306,0)),"")</f>
        <v/>
      </c>
    </row>
    <row r="89">
      <c r="A89" s="2">
        <f>IF(AND(D89&lt;&gt;"",D89&lt;&gt;"합계",D89&lt;&gt;"총계",D89&lt;&gt;"소계",D89&lt;&gt;"계"),1,0)</f>
        <v/>
      </c>
      <c r="B89" s="2">
        <f>IF(A89=1,SUM($A$7:A89),"")</f>
        <v/>
      </c>
      <c r="C89" s="2">
        <f>IF(설정!$D$13="","",TRIM(SUBSTITUTE(INDEX(급여대장_원본!$A$1:$AZ$400,(설정!$B$8+83),설정!$D$13)&amp;"","　"," ")))</f>
        <v/>
      </c>
      <c r="D89" s="2">
        <f>IF(설정!$D$14="","",TRIM(SUBSTITUTE(INDEX(급여대장_원본!$A$1:$AZ$400,(설정!$B$8+83),설정!$D$14)&amp;"","　"," ")))</f>
        <v/>
      </c>
      <c r="E89" s="2">
        <f>IF(설정!$D$15="","",TRIM(SUBSTITUTE(INDEX(급여대장_원본!$A$1:$AZ$400,(설정!$B$8+83),설정!$D$15)&amp;"","　"," ")))</f>
        <v/>
      </c>
      <c r="F89" s="27">
        <f>IF(설정!$D$17="",0,IFERROR(VALUE(SUBSTITUTE(SUBSTITUTE(INDEX(급여대장_원본!$A$1:$AZ$400,(설정!$B$8+83),설정!$D$17)&amp;"",",",""),"　","")),0))</f>
        <v/>
      </c>
      <c r="G89" s="27">
        <f>IF(설정!$D$18="",0,IFERROR(VALUE(SUBSTITUTE(SUBSTITUTE(INDEX(급여대장_원본!$A$1:$AZ$400,(설정!$B$8+83),설정!$D$18)&amp;"",",",""),"　","")),0))</f>
        <v/>
      </c>
      <c r="H89" s="27">
        <f>IF(설정!$D$19="",0,IFERROR(VALUE(SUBSTITUTE(SUBSTITUTE(INDEX(급여대장_원본!$A$1:$AZ$400,(설정!$B$8+83),설정!$D$19)&amp;"",",",""),"　","")),0))</f>
        <v/>
      </c>
      <c r="I89" s="27">
        <f>IF(설정!$D$20="",0,IFERROR(VALUE(SUBSTITUTE(SUBSTITUTE(INDEX(급여대장_원본!$A$1:$AZ$400,(설정!$B$8+83),설정!$D$20)&amp;"",",",""),"　","")),0))</f>
        <v/>
      </c>
      <c r="J89" s="27">
        <f>IF(설정!$D$21="",0,IFERROR(VALUE(SUBSTITUTE(SUBSTITUTE(INDEX(급여대장_원본!$A$1:$AZ$400,(설정!$B$8+83),설정!$D$21)&amp;"",",",""),"　","")),0))</f>
        <v/>
      </c>
      <c r="K89" s="27">
        <f>IF(설정!$D$22="",0,IFERROR(VALUE(SUBSTITUTE(SUBSTITUTE(INDEX(급여대장_원본!$A$1:$AZ$400,(설정!$B$8+83),설정!$D$22)&amp;"",",",""),"　","")),0))</f>
        <v/>
      </c>
      <c r="L89" s="27">
        <f>IF(설정!$D$23="",0,IFERROR(VALUE(SUBSTITUTE(SUBSTITUTE(INDEX(급여대장_원본!$A$1:$AZ$400,(설정!$B$8+83),설정!$D$23)&amp;"",",",""),"　","")),0))</f>
        <v/>
      </c>
      <c r="M89" s="27">
        <f>IF(설정!$D$24="",0,IFERROR(VALUE(SUBSTITUTE(SUBSTITUTE(INDEX(급여대장_원본!$A$1:$AZ$400,(설정!$B$8+83),설정!$D$24)&amp;"",",",""),"　","")),0))</f>
        <v/>
      </c>
      <c r="N89" s="2">
        <f>IF(OR(설정!$C$17="",IFERROR(MATCH(설정!$C$17,INDEX(급여대장_원본!$A$1:$AZ$400,설정!$B$8,0),0),"")=""),"",IFERROR(VALUE(SUBSTITUTE(INDEX(급여대장_원본!$A$1:$AZ$400,(설정!$B$8+83),IFERROR(MATCH(설정!$C$17,INDEX(급여대장_원본!$A$1:$AZ$400,설정!$B$8,0),0),""))&amp;"",",","")),""))</f>
        <v/>
      </c>
      <c r="O89" s="2">
        <f>IF(OR(설정!$C$18="",IFERROR(MATCH(설정!$C$18,INDEX(급여대장_원본!$A$1:$AZ$400,설정!$B$8,0),0),"")=""),"",IFERROR(VALUE(SUBSTITUTE(INDEX(급여대장_원본!$A$1:$AZ$400,(설정!$B$8+83),IFERROR(MATCH(설정!$C$18,INDEX(급여대장_원본!$A$1:$AZ$400,설정!$B$8,0),0),""))&amp;"",",","")),""))</f>
        <v/>
      </c>
      <c r="P89" s="2">
        <f>IF(OR(설정!$C$19="",IFERROR(MATCH(설정!$C$19,INDEX(급여대장_원본!$A$1:$AZ$400,설정!$B$8,0),0),"")=""),"",IFERROR(VALUE(SUBSTITUTE(INDEX(급여대장_원본!$A$1:$AZ$400,(설정!$B$8+83),IFERROR(MATCH(설정!$C$19,INDEX(급여대장_원본!$A$1:$AZ$400,설정!$B$8,0),0),""))&amp;"",",","")),""))</f>
        <v/>
      </c>
      <c r="Q89" s="2">
        <f>IF(OR(설정!$C$20="",IFERROR(MATCH(설정!$C$20,INDEX(급여대장_원본!$A$1:$AZ$400,설정!$B$8,0),0),"")=""),"",IFERROR(VALUE(SUBSTITUTE(INDEX(급여대장_원본!$A$1:$AZ$400,(설정!$B$8+83),IFERROR(MATCH(설정!$C$20,INDEX(급여대장_원본!$A$1:$AZ$400,설정!$B$8,0),0),""))&amp;"",",","")),""))</f>
        <v/>
      </c>
      <c r="R89" s="2">
        <f>IF(OR(설정!$C$21="",IFERROR(MATCH(설정!$C$21,INDEX(급여대장_원본!$A$1:$AZ$400,설정!$B$8,0),0),"")=""),"",IFERROR(VALUE(SUBSTITUTE(INDEX(급여대장_원본!$A$1:$AZ$400,(설정!$B$8+83),IFERROR(MATCH(설정!$C$21,INDEX(급여대장_원본!$A$1:$AZ$400,설정!$B$8,0),0),""))&amp;"",",","")),""))</f>
        <v/>
      </c>
      <c r="S89" s="2">
        <f>IF(OR(설정!$C$22="",IFERROR(MATCH(설정!$C$22,INDEX(급여대장_원본!$A$1:$AZ$400,설정!$B$8,0),0),"")=""),"",IFERROR(VALUE(SUBSTITUTE(INDEX(급여대장_원본!$A$1:$AZ$400,(설정!$B$8+83),IFERROR(MATCH(설정!$C$22,INDEX(급여대장_원본!$A$1:$AZ$400,설정!$B$8,0),0),""))&amp;"",",","")),""))</f>
        <v/>
      </c>
      <c r="T89" s="2">
        <f>IF(OR(설정!$C$23="",IFERROR(MATCH(설정!$C$23,INDEX(급여대장_원본!$A$1:$AZ$400,설정!$B$8,0),0),"")=""),"",IFERROR(VALUE(SUBSTITUTE(INDEX(급여대장_원본!$A$1:$AZ$400,(설정!$B$8+83),IFERROR(MATCH(설정!$C$23,INDEX(급여대장_원본!$A$1:$AZ$400,설정!$B$8,0),0),""))&amp;"",",","")),""))</f>
        <v/>
      </c>
      <c r="U89" s="2">
        <f>IF(OR(설정!$C$24="",IFERROR(MATCH(설정!$C$24,INDEX(급여대장_원본!$A$1:$AZ$400,설정!$B$8,0),0),"")=""),"",IFERROR(VALUE(SUBSTITUTE(INDEX(급여대장_원본!$A$1:$AZ$400,(설정!$B$8+83),IFERROR(MATCH(설정!$C$24,INDEX(급여대장_원본!$A$1:$AZ$400,설정!$B$8,0),0),""))&amp;"",",","")),""))</f>
        <v/>
      </c>
      <c r="V89" s="27">
        <f>SUM(F89:M89)</f>
        <v/>
      </c>
      <c r="W89" s="27">
        <f>IF(설정!$D$26="",0,IFERROR(VALUE(SUBSTITUTE(SUBSTITUTE(INDEX(급여대장_원본!$A$1:$AZ$400,(설정!$B$8+83),설정!$D$26)&amp;"",",",""),"　","")),0))</f>
        <v/>
      </c>
      <c r="X89" s="27">
        <f>IF(설정!$D$27="",0,IFERROR(VALUE(SUBSTITUTE(SUBSTITUTE(INDEX(급여대장_원본!$A$1:$AZ$400,(설정!$B$8+83),설정!$D$27)&amp;"",",",""),"　","")),0))</f>
        <v/>
      </c>
      <c r="Y89" s="27">
        <f>IF(설정!$D$28="",0,IFERROR(VALUE(SUBSTITUTE(SUBSTITUTE(INDEX(급여대장_원본!$A$1:$AZ$400,(설정!$B$8+83),설정!$D$28)&amp;"",",",""),"　","")),0))</f>
        <v/>
      </c>
      <c r="Z89" s="27">
        <f>IF(설정!$D$29="",0,IFERROR(VALUE(SUBSTITUTE(SUBSTITUTE(INDEX(급여대장_원본!$A$1:$AZ$400,(설정!$B$8+83),설정!$D$29)&amp;"",",",""),"　","")),0))</f>
        <v/>
      </c>
      <c r="AA89" s="27">
        <f>IF(설정!$D$30="",0,IFERROR(VALUE(SUBSTITUTE(SUBSTITUTE(INDEX(급여대장_원본!$A$1:$AZ$400,(설정!$B$8+83),설정!$D$30)&amp;"",",",""),"　","")),0))</f>
        <v/>
      </c>
      <c r="AB89" s="27">
        <f>IF(설정!$D$31="",0,IFERROR(VALUE(SUBSTITUTE(SUBSTITUTE(INDEX(급여대장_원본!$A$1:$AZ$400,(설정!$B$8+83),설정!$D$31)&amp;"",",",""),"　","")),0))</f>
        <v/>
      </c>
      <c r="AC89" s="27">
        <f>IF(설정!$D$32="",0,IFERROR(VALUE(SUBSTITUTE(SUBSTITUTE(INDEX(급여대장_원본!$A$1:$AZ$400,(설정!$B$8+83),설정!$D$32)&amp;"",",",""),"　","")),0))</f>
        <v/>
      </c>
      <c r="AD89" s="27">
        <f>IF(설정!$D$33="",0,IFERROR(VALUE(SUBSTITUTE(SUBSTITUTE(INDEX(급여대장_원본!$A$1:$AZ$400,(설정!$B$8+83),설정!$D$33)&amp;"",",",""),"　","")),0))</f>
        <v/>
      </c>
      <c r="AE89" s="27">
        <f>SUM(W89:AD89)</f>
        <v/>
      </c>
      <c r="AF89" s="27">
        <f>V89-AE89</f>
        <v/>
      </c>
      <c r="AG89" s="27">
        <f>IF(설정!$D$35="","",IF(설정!$D$35="",0,IFERROR(VALUE(SUBSTITUTE(SUBSTITUTE(INDEX(급여대장_원본!$A$1:$AZ$400,(설정!$B$8+83),설정!$D$35)&amp;"",",",""),"　","")),0)))</f>
        <v/>
      </c>
      <c r="AH89" s="27">
        <f>IF(설정!$D$36="","",IF(설정!$D$36="",0,IFERROR(VALUE(SUBSTITUTE(SUBSTITUTE(INDEX(급여대장_원본!$A$1:$AZ$400,(설정!$B$8+83),설정!$D$36)&amp;"",",",""),"　","")),0)))</f>
        <v/>
      </c>
      <c r="AI89" s="27">
        <f>IF(설정!$D$37="","",IF(설정!$D$37="",0,IFERROR(VALUE(SUBSTITUTE(SUBSTITUTE(INDEX(급여대장_원본!$A$1:$AZ$400,(설정!$B$8+83),설정!$D$37)&amp;"",",",""),"　","")),0)))</f>
        <v/>
      </c>
      <c r="AJ89" s="2">
        <f>IFERROR(INDEX($D$7:$D$306,MATCH(83,$B$7:$B$306,0)),"")</f>
        <v/>
      </c>
    </row>
    <row r="90">
      <c r="A90" s="2">
        <f>IF(AND(D90&lt;&gt;"",D90&lt;&gt;"합계",D90&lt;&gt;"총계",D90&lt;&gt;"소계",D90&lt;&gt;"계"),1,0)</f>
        <v/>
      </c>
      <c r="B90" s="2">
        <f>IF(A90=1,SUM($A$7:A90),"")</f>
        <v/>
      </c>
      <c r="C90" s="2">
        <f>IF(설정!$D$13="","",TRIM(SUBSTITUTE(INDEX(급여대장_원본!$A$1:$AZ$400,(설정!$B$8+84),설정!$D$13)&amp;"","　"," ")))</f>
        <v/>
      </c>
      <c r="D90" s="2">
        <f>IF(설정!$D$14="","",TRIM(SUBSTITUTE(INDEX(급여대장_원본!$A$1:$AZ$400,(설정!$B$8+84),설정!$D$14)&amp;"","　"," ")))</f>
        <v/>
      </c>
      <c r="E90" s="2">
        <f>IF(설정!$D$15="","",TRIM(SUBSTITUTE(INDEX(급여대장_원본!$A$1:$AZ$400,(설정!$B$8+84),설정!$D$15)&amp;"","　"," ")))</f>
        <v/>
      </c>
      <c r="F90" s="27">
        <f>IF(설정!$D$17="",0,IFERROR(VALUE(SUBSTITUTE(SUBSTITUTE(INDEX(급여대장_원본!$A$1:$AZ$400,(설정!$B$8+84),설정!$D$17)&amp;"",",",""),"　","")),0))</f>
        <v/>
      </c>
      <c r="G90" s="27">
        <f>IF(설정!$D$18="",0,IFERROR(VALUE(SUBSTITUTE(SUBSTITUTE(INDEX(급여대장_원본!$A$1:$AZ$400,(설정!$B$8+84),설정!$D$18)&amp;"",",",""),"　","")),0))</f>
        <v/>
      </c>
      <c r="H90" s="27">
        <f>IF(설정!$D$19="",0,IFERROR(VALUE(SUBSTITUTE(SUBSTITUTE(INDEX(급여대장_원본!$A$1:$AZ$400,(설정!$B$8+84),설정!$D$19)&amp;"",",",""),"　","")),0))</f>
        <v/>
      </c>
      <c r="I90" s="27">
        <f>IF(설정!$D$20="",0,IFERROR(VALUE(SUBSTITUTE(SUBSTITUTE(INDEX(급여대장_원본!$A$1:$AZ$400,(설정!$B$8+84),설정!$D$20)&amp;"",",",""),"　","")),0))</f>
        <v/>
      </c>
      <c r="J90" s="27">
        <f>IF(설정!$D$21="",0,IFERROR(VALUE(SUBSTITUTE(SUBSTITUTE(INDEX(급여대장_원본!$A$1:$AZ$400,(설정!$B$8+84),설정!$D$21)&amp;"",",",""),"　","")),0))</f>
        <v/>
      </c>
      <c r="K90" s="27">
        <f>IF(설정!$D$22="",0,IFERROR(VALUE(SUBSTITUTE(SUBSTITUTE(INDEX(급여대장_원본!$A$1:$AZ$400,(설정!$B$8+84),설정!$D$22)&amp;"",",",""),"　","")),0))</f>
        <v/>
      </c>
      <c r="L90" s="27">
        <f>IF(설정!$D$23="",0,IFERROR(VALUE(SUBSTITUTE(SUBSTITUTE(INDEX(급여대장_원본!$A$1:$AZ$400,(설정!$B$8+84),설정!$D$23)&amp;"",",",""),"　","")),0))</f>
        <v/>
      </c>
      <c r="M90" s="27">
        <f>IF(설정!$D$24="",0,IFERROR(VALUE(SUBSTITUTE(SUBSTITUTE(INDEX(급여대장_원본!$A$1:$AZ$400,(설정!$B$8+84),설정!$D$24)&amp;"",",",""),"　","")),0))</f>
        <v/>
      </c>
      <c r="N90" s="2">
        <f>IF(OR(설정!$C$17="",IFERROR(MATCH(설정!$C$17,INDEX(급여대장_원본!$A$1:$AZ$400,설정!$B$8,0),0),"")=""),"",IFERROR(VALUE(SUBSTITUTE(INDEX(급여대장_원본!$A$1:$AZ$400,(설정!$B$8+84),IFERROR(MATCH(설정!$C$17,INDEX(급여대장_원본!$A$1:$AZ$400,설정!$B$8,0),0),""))&amp;"",",","")),""))</f>
        <v/>
      </c>
      <c r="O90" s="2">
        <f>IF(OR(설정!$C$18="",IFERROR(MATCH(설정!$C$18,INDEX(급여대장_원본!$A$1:$AZ$400,설정!$B$8,0),0),"")=""),"",IFERROR(VALUE(SUBSTITUTE(INDEX(급여대장_원본!$A$1:$AZ$400,(설정!$B$8+84),IFERROR(MATCH(설정!$C$18,INDEX(급여대장_원본!$A$1:$AZ$400,설정!$B$8,0),0),""))&amp;"",",","")),""))</f>
        <v/>
      </c>
      <c r="P90" s="2">
        <f>IF(OR(설정!$C$19="",IFERROR(MATCH(설정!$C$19,INDEX(급여대장_원본!$A$1:$AZ$400,설정!$B$8,0),0),"")=""),"",IFERROR(VALUE(SUBSTITUTE(INDEX(급여대장_원본!$A$1:$AZ$400,(설정!$B$8+84),IFERROR(MATCH(설정!$C$19,INDEX(급여대장_원본!$A$1:$AZ$400,설정!$B$8,0),0),""))&amp;"",",","")),""))</f>
        <v/>
      </c>
      <c r="Q90" s="2">
        <f>IF(OR(설정!$C$20="",IFERROR(MATCH(설정!$C$20,INDEX(급여대장_원본!$A$1:$AZ$400,설정!$B$8,0),0),"")=""),"",IFERROR(VALUE(SUBSTITUTE(INDEX(급여대장_원본!$A$1:$AZ$400,(설정!$B$8+84),IFERROR(MATCH(설정!$C$20,INDEX(급여대장_원본!$A$1:$AZ$400,설정!$B$8,0),0),""))&amp;"",",","")),""))</f>
        <v/>
      </c>
      <c r="R90" s="2">
        <f>IF(OR(설정!$C$21="",IFERROR(MATCH(설정!$C$21,INDEX(급여대장_원본!$A$1:$AZ$400,설정!$B$8,0),0),"")=""),"",IFERROR(VALUE(SUBSTITUTE(INDEX(급여대장_원본!$A$1:$AZ$400,(설정!$B$8+84),IFERROR(MATCH(설정!$C$21,INDEX(급여대장_원본!$A$1:$AZ$400,설정!$B$8,0),0),""))&amp;"",",","")),""))</f>
        <v/>
      </c>
      <c r="S90" s="2">
        <f>IF(OR(설정!$C$22="",IFERROR(MATCH(설정!$C$22,INDEX(급여대장_원본!$A$1:$AZ$400,설정!$B$8,0),0),"")=""),"",IFERROR(VALUE(SUBSTITUTE(INDEX(급여대장_원본!$A$1:$AZ$400,(설정!$B$8+84),IFERROR(MATCH(설정!$C$22,INDEX(급여대장_원본!$A$1:$AZ$400,설정!$B$8,0),0),""))&amp;"",",","")),""))</f>
        <v/>
      </c>
      <c r="T90" s="2">
        <f>IF(OR(설정!$C$23="",IFERROR(MATCH(설정!$C$23,INDEX(급여대장_원본!$A$1:$AZ$400,설정!$B$8,0),0),"")=""),"",IFERROR(VALUE(SUBSTITUTE(INDEX(급여대장_원본!$A$1:$AZ$400,(설정!$B$8+84),IFERROR(MATCH(설정!$C$23,INDEX(급여대장_원본!$A$1:$AZ$400,설정!$B$8,0),0),""))&amp;"",",","")),""))</f>
        <v/>
      </c>
      <c r="U90" s="2">
        <f>IF(OR(설정!$C$24="",IFERROR(MATCH(설정!$C$24,INDEX(급여대장_원본!$A$1:$AZ$400,설정!$B$8,0),0),"")=""),"",IFERROR(VALUE(SUBSTITUTE(INDEX(급여대장_원본!$A$1:$AZ$400,(설정!$B$8+84),IFERROR(MATCH(설정!$C$24,INDEX(급여대장_원본!$A$1:$AZ$400,설정!$B$8,0),0),""))&amp;"",",","")),""))</f>
        <v/>
      </c>
      <c r="V90" s="27">
        <f>SUM(F90:M90)</f>
        <v/>
      </c>
      <c r="W90" s="27">
        <f>IF(설정!$D$26="",0,IFERROR(VALUE(SUBSTITUTE(SUBSTITUTE(INDEX(급여대장_원본!$A$1:$AZ$400,(설정!$B$8+84),설정!$D$26)&amp;"",",",""),"　","")),0))</f>
        <v/>
      </c>
      <c r="X90" s="27">
        <f>IF(설정!$D$27="",0,IFERROR(VALUE(SUBSTITUTE(SUBSTITUTE(INDEX(급여대장_원본!$A$1:$AZ$400,(설정!$B$8+84),설정!$D$27)&amp;"",",",""),"　","")),0))</f>
        <v/>
      </c>
      <c r="Y90" s="27">
        <f>IF(설정!$D$28="",0,IFERROR(VALUE(SUBSTITUTE(SUBSTITUTE(INDEX(급여대장_원본!$A$1:$AZ$400,(설정!$B$8+84),설정!$D$28)&amp;"",",",""),"　","")),0))</f>
        <v/>
      </c>
      <c r="Z90" s="27">
        <f>IF(설정!$D$29="",0,IFERROR(VALUE(SUBSTITUTE(SUBSTITUTE(INDEX(급여대장_원본!$A$1:$AZ$400,(설정!$B$8+84),설정!$D$29)&amp;"",",",""),"　","")),0))</f>
        <v/>
      </c>
      <c r="AA90" s="27">
        <f>IF(설정!$D$30="",0,IFERROR(VALUE(SUBSTITUTE(SUBSTITUTE(INDEX(급여대장_원본!$A$1:$AZ$400,(설정!$B$8+84),설정!$D$30)&amp;"",",",""),"　","")),0))</f>
        <v/>
      </c>
      <c r="AB90" s="27">
        <f>IF(설정!$D$31="",0,IFERROR(VALUE(SUBSTITUTE(SUBSTITUTE(INDEX(급여대장_원본!$A$1:$AZ$400,(설정!$B$8+84),설정!$D$31)&amp;"",",",""),"　","")),0))</f>
        <v/>
      </c>
      <c r="AC90" s="27">
        <f>IF(설정!$D$32="",0,IFERROR(VALUE(SUBSTITUTE(SUBSTITUTE(INDEX(급여대장_원본!$A$1:$AZ$400,(설정!$B$8+84),설정!$D$32)&amp;"",",",""),"　","")),0))</f>
        <v/>
      </c>
      <c r="AD90" s="27">
        <f>IF(설정!$D$33="",0,IFERROR(VALUE(SUBSTITUTE(SUBSTITUTE(INDEX(급여대장_원본!$A$1:$AZ$400,(설정!$B$8+84),설정!$D$33)&amp;"",",",""),"　","")),0))</f>
        <v/>
      </c>
      <c r="AE90" s="27">
        <f>SUM(W90:AD90)</f>
        <v/>
      </c>
      <c r="AF90" s="27">
        <f>V90-AE90</f>
        <v/>
      </c>
      <c r="AG90" s="27">
        <f>IF(설정!$D$35="","",IF(설정!$D$35="",0,IFERROR(VALUE(SUBSTITUTE(SUBSTITUTE(INDEX(급여대장_원본!$A$1:$AZ$400,(설정!$B$8+84),설정!$D$35)&amp;"",",",""),"　","")),0)))</f>
        <v/>
      </c>
      <c r="AH90" s="27">
        <f>IF(설정!$D$36="","",IF(설정!$D$36="",0,IFERROR(VALUE(SUBSTITUTE(SUBSTITUTE(INDEX(급여대장_원본!$A$1:$AZ$400,(설정!$B$8+84),설정!$D$36)&amp;"",",",""),"　","")),0)))</f>
        <v/>
      </c>
      <c r="AI90" s="27">
        <f>IF(설정!$D$37="","",IF(설정!$D$37="",0,IFERROR(VALUE(SUBSTITUTE(SUBSTITUTE(INDEX(급여대장_원본!$A$1:$AZ$400,(설정!$B$8+84),설정!$D$37)&amp;"",",",""),"　","")),0)))</f>
        <v/>
      </c>
      <c r="AJ90" s="2">
        <f>IFERROR(INDEX($D$7:$D$306,MATCH(84,$B$7:$B$306,0)),"")</f>
        <v/>
      </c>
    </row>
    <row r="91">
      <c r="A91" s="2">
        <f>IF(AND(D91&lt;&gt;"",D91&lt;&gt;"합계",D91&lt;&gt;"총계",D91&lt;&gt;"소계",D91&lt;&gt;"계"),1,0)</f>
        <v/>
      </c>
      <c r="B91" s="2">
        <f>IF(A91=1,SUM($A$7:A91),"")</f>
        <v/>
      </c>
      <c r="C91" s="2">
        <f>IF(설정!$D$13="","",TRIM(SUBSTITUTE(INDEX(급여대장_원본!$A$1:$AZ$400,(설정!$B$8+85),설정!$D$13)&amp;"","　"," ")))</f>
        <v/>
      </c>
      <c r="D91" s="2">
        <f>IF(설정!$D$14="","",TRIM(SUBSTITUTE(INDEX(급여대장_원본!$A$1:$AZ$400,(설정!$B$8+85),설정!$D$14)&amp;"","　"," ")))</f>
        <v/>
      </c>
      <c r="E91" s="2">
        <f>IF(설정!$D$15="","",TRIM(SUBSTITUTE(INDEX(급여대장_원본!$A$1:$AZ$400,(설정!$B$8+85),설정!$D$15)&amp;"","　"," ")))</f>
        <v/>
      </c>
      <c r="F91" s="27">
        <f>IF(설정!$D$17="",0,IFERROR(VALUE(SUBSTITUTE(SUBSTITUTE(INDEX(급여대장_원본!$A$1:$AZ$400,(설정!$B$8+85),설정!$D$17)&amp;"",",",""),"　","")),0))</f>
        <v/>
      </c>
      <c r="G91" s="27">
        <f>IF(설정!$D$18="",0,IFERROR(VALUE(SUBSTITUTE(SUBSTITUTE(INDEX(급여대장_원본!$A$1:$AZ$400,(설정!$B$8+85),설정!$D$18)&amp;"",",",""),"　","")),0))</f>
        <v/>
      </c>
      <c r="H91" s="27">
        <f>IF(설정!$D$19="",0,IFERROR(VALUE(SUBSTITUTE(SUBSTITUTE(INDEX(급여대장_원본!$A$1:$AZ$400,(설정!$B$8+85),설정!$D$19)&amp;"",",",""),"　","")),0))</f>
        <v/>
      </c>
      <c r="I91" s="27">
        <f>IF(설정!$D$20="",0,IFERROR(VALUE(SUBSTITUTE(SUBSTITUTE(INDEX(급여대장_원본!$A$1:$AZ$400,(설정!$B$8+85),설정!$D$20)&amp;"",",",""),"　","")),0))</f>
        <v/>
      </c>
      <c r="J91" s="27">
        <f>IF(설정!$D$21="",0,IFERROR(VALUE(SUBSTITUTE(SUBSTITUTE(INDEX(급여대장_원본!$A$1:$AZ$400,(설정!$B$8+85),설정!$D$21)&amp;"",",",""),"　","")),0))</f>
        <v/>
      </c>
      <c r="K91" s="27">
        <f>IF(설정!$D$22="",0,IFERROR(VALUE(SUBSTITUTE(SUBSTITUTE(INDEX(급여대장_원본!$A$1:$AZ$400,(설정!$B$8+85),설정!$D$22)&amp;"",",",""),"　","")),0))</f>
        <v/>
      </c>
      <c r="L91" s="27">
        <f>IF(설정!$D$23="",0,IFERROR(VALUE(SUBSTITUTE(SUBSTITUTE(INDEX(급여대장_원본!$A$1:$AZ$400,(설정!$B$8+85),설정!$D$23)&amp;"",",",""),"　","")),0))</f>
        <v/>
      </c>
      <c r="M91" s="27">
        <f>IF(설정!$D$24="",0,IFERROR(VALUE(SUBSTITUTE(SUBSTITUTE(INDEX(급여대장_원본!$A$1:$AZ$400,(설정!$B$8+85),설정!$D$24)&amp;"",",",""),"　","")),0))</f>
        <v/>
      </c>
      <c r="N91" s="2">
        <f>IF(OR(설정!$C$17="",IFERROR(MATCH(설정!$C$17,INDEX(급여대장_원본!$A$1:$AZ$400,설정!$B$8,0),0),"")=""),"",IFERROR(VALUE(SUBSTITUTE(INDEX(급여대장_원본!$A$1:$AZ$400,(설정!$B$8+85),IFERROR(MATCH(설정!$C$17,INDEX(급여대장_원본!$A$1:$AZ$400,설정!$B$8,0),0),""))&amp;"",",","")),""))</f>
        <v/>
      </c>
      <c r="O91" s="2">
        <f>IF(OR(설정!$C$18="",IFERROR(MATCH(설정!$C$18,INDEX(급여대장_원본!$A$1:$AZ$400,설정!$B$8,0),0),"")=""),"",IFERROR(VALUE(SUBSTITUTE(INDEX(급여대장_원본!$A$1:$AZ$400,(설정!$B$8+85),IFERROR(MATCH(설정!$C$18,INDEX(급여대장_원본!$A$1:$AZ$400,설정!$B$8,0),0),""))&amp;"",",","")),""))</f>
        <v/>
      </c>
      <c r="P91" s="2">
        <f>IF(OR(설정!$C$19="",IFERROR(MATCH(설정!$C$19,INDEX(급여대장_원본!$A$1:$AZ$400,설정!$B$8,0),0),"")=""),"",IFERROR(VALUE(SUBSTITUTE(INDEX(급여대장_원본!$A$1:$AZ$400,(설정!$B$8+85),IFERROR(MATCH(설정!$C$19,INDEX(급여대장_원본!$A$1:$AZ$400,설정!$B$8,0),0),""))&amp;"",",","")),""))</f>
        <v/>
      </c>
      <c r="Q91" s="2">
        <f>IF(OR(설정!$C$20="",IFERROR(MATCH(설정!$C$20,INDEX(급여대장_원본!$A$1:$AZ$400,설정!$B$8,0),0),"")=""),"",IFERROR(VALUE(SUBSTITUTE(INDEX(급여대장_원본!$A$1:$AZ$400,(설정!$B$8+85),IFERROR(MATCH(설정!$C$20,INDEX(급여대장_원본!$A$1:$AZ$400,설정!$B$8,0),0),""))&amp;"",",","")),""))</f>
        <v/>
      </c>
      <c r="R91" s="2">
        <f>IF(OR(설정!$C$21="",IFERROR(MATCH(설정!$C$21,INDEX(급여대장_원본!$A$1:$AZ$400,설정!$B$8,0),0),"")=""),"",IFERROR(VALUE(SUBSTITUTE(INDEX(급여대장_원본!$A$1:$AZ$400,(설정!$B$8+85),IFERROR(MATCH(설정!$C$21,INDEX(급여대장_원본!$A$1:$AZ$400,설정!$B$8,0),0),""))&amp;"",",","")),""))</f>
        <v/>
      </c>
      <c r="S91" s="2">
        <f>IF(OR(설정!$C$22="",IFERROR(MATCH(설정!$C$22,INDEX(급여대장_원본!$A$1:$AZ$400,설정!$B$8,0),0),"")=""),"",IFERROR(VALUE(SUBSTITUTE(INDEX(급여대장_원본!$A$1:$AZ$400,(설정!$B$8+85),IFERROR(MATCH(설정!$C$22,INDEX(급여대장_원본!$A$1:$AZ$400,설정!$B$8,0),0),""))&amp;"",",","")),""))</f>
        <v/>
      </c>
      <c r="T91" s="2">
        <f>IF(OR(설정!$C$23="",IFERROR(MATCH(설정!$C$23,INDEX(급여대장_원본!$A$1:$AZ$400,설정!$B$8,0),0),"")=""),"",IFERROR(VALUE(SUBSTITUTE(INDEX(급여대장_원본!$A$1:$AZ$400,(설정!$B$8+85),IFERROR(MATCH(설정!$C$23,INDEX(급여대장_원본!$A$1:$AZ$400,설정!$B$8,0),0),""))&amp;"",",","")),""))</f>
        <v/>
      </c>
      <c r="U91" s="2">
        <f>IF(OR(설정!$C$24="",IFERROR(MATCH(설정!$C$24,INDEX(급여대장_원본!$A$1:$AZ$400,설정!$B$8,0),0),"")=""),"",IFERROR(VALUE(SUBSTITUTE(INDEX(급여대장_원본!$A$1:$AZ$400,(설정!$B$8+85),IFERROR(MATCH(설정!$C$24,INDEX(급여대장_원본!$A$1:$AZ$400,설정!$B$8,0),0),""))&amp;"",",","")),""))</f>
        <v/>
      </c>
      <c r="V91" s="27">
        <f>SUM(F91:M91)</f>
        <v/>
      </c>
      <c r="W91" s="27">
        <f>IF(설정!$D$26="",0,IFERROR(VALUE(SUBSTITUTE(SUBSTITUTE(INDEX(급여대장_원본!$A$1:$AZ$400,(설정!$B$8+85),설정!$D$26)&amp;"",",",""),"　","")),0))</f>
        <v/>
      </c>
      <c r="X91" s="27">
        <f>IF(설정!$D$27="",0,IFERROR(VALUE(SUBSTITUTE(SUBSTITUTE(INDEX(급여대장_원본!$A$1:$AZ$400,(설정!$B$8+85),설정!$D$27)&amp;"",",",""),"　","")),0))</f>
        <v/>
      </c>
      <c r="Y91" s="27">
        <f>IF(설정!$D$28="",0,IFERROR(VALUE(SUBSTITUTE(SUBSTITUTE(INDEX(급여대장_원본!$A$1:$AZ$400,(설정!$B$8+85),설정!$D$28)&amp;"",",",""),"　","")),0))</f>
        <v/>
      </c>
      <c r="Z91" s="27">
        <f>IF(설정!$D$29="",0,IFERROR(VALUE(SUBSTITUTE(SUBSTITUTE(INDEX(급여대장_원본!$A$1:$AZ$400,(설정!$B$8+85),설정!$D$29)&amp;"",",",""),"　","")),0))</f>
        <v/>
      </c>
      <c r="AA91" s="27">
        <f>IF(설정!$D$30="",0,IFERROR(VALUE(SUBSTITUTE(SUBSTITUTE(INDEX(급여대장_원본!$A$1:$AZ$400,(설정!$B$8+85),설정!$D$30)&amp;"",",",""),"　","")),0))</f>
        <v/>
      </c>
      <c r="AB91" s="27">
        <f>IF(설정!$D$31="",0,IFERROR(VALUE(SUBSTITUTE(SUBSTITUTE(INDEX(급여대장_원본!$A$1:$AZ$400,(설정!$B$8+85),설정!$D$31)&amp;"",",",""),"　","")),0))</f>
        <v/>
      </c>
      <c r="AC91" s="27">
        <f>IF(설정!$D$32="",0,IFERROR(VALUE(SUBSTITUTE(SUBSTITUTE(INDEX(급여대장_원본!$A$1:$AZ$400,(설정!$B$8+85),설정!$D$32)&amp;"",",",""),"　","")),0))</f>
        <v/>
      </c>
      <c r="AD91" s="27">
        <f>IF(설정!$D$33="",0,IFERROR(VALUE(SUBSTITUTE(SUBSTITUTE(INDEX(급여대장_원본!$A$1:$AZ$400,(설정!$B$8+85),설정!$D$33)&amp;"",",",""),"　","")),0))</f>
        <v/>
      </c>
      <c r="AE91" s="27">
        <f>SUM(W91:AD91)</f>
        <v/>
      </c>
      <c r="AF91" s="27">
        <f>V91-AE91</f>
        <v/>
      </c>
      <c r="AG91" s="27">
        <f>IF(설정!$D$35="","",IF(설정!$D$35="",0,IFERROR(VALUE(SUBSTITUTE(SUBSTITUTE(INDEX(급여대장_원본!$A$1:$AZ$400,(설정!$B$8+85),설정!$D$35)&amp;"",",",""),"　","")),0)))</f>
        <v/>
      </c>
      <c r="AH91" s="27">
        <f>IF(설정!$D$36="","",IF(설정!$D$36="",0,IFERROR(VALUE(SUBSTITUTE(SUBSTITUTE(INDEX(급여대장_원본!$A$1:$AZ$400,(설정!$B$8+85),설정!$D$36)&amp;"",",",""),"　","")),0)))</f>
        <v/>
      </c>
      <c r="AI91" s="27">
        <f>IF(설정!$D$37="","",IF(설정!$D$37="",0,IFERROR(VALUE(SUBSTITUTE(SUBSTITUTE(INDEX(급여대장_원본!$A$1:$AZ$400,(설정!$B$8+85),설정!$D$37)&amp;"",",",""),"　","")),0)))</f>
        <v/>
      </c>
      <c r="AJ91" s="2">
        <f>IFERROR(INDEX($D$7:$D$306,MATCH(85,$B$7:$B$306,0)),"")</f>
        <v/>
      </c>
    </row>
    <row r="92">
      <c r="A92" s="2">
        <f>IF(AND(D92&lt;&gt;"",D92&lt;&gt;"합계",D92&lt;&gt;"총계",D92&lt;&gt;"소계",D92&lt;&gt;"계"),1,0)</f>
        <v/>
      </c>
      <c r="B92" s="2">
        <f>IF(A92=1,SUM($A$7:A92),"")</f>
        <v/>
      </c>
      <c r="C92" s="2">
        <f>IF(설정!$D$13="","",TRIM(SUBSTITUTE(INDEX(급여대장_원본!$A$1:$AZ$400,(설정!$B$8+86),설정!$D$13)&amp;"","　"," ")))</f>
        <v/>
      </c>
      <c r="D92" s="2">
        <f>IF(설정!$D$14="","",TRIM(SUBSTITUTE(INDEX(급여대장_원본!$A$1:$AZ$400,(설정!$B$8+86),설정!$D$14)&amp;"","　"," ")))</f>
        <v/>
      </c>
      <c r="E92" s="2">
        <f>IF(설정!$D$15="","",TRIM(SUBSTITUTE(INDEX(급여대장_원본!$A$1:$AZ$400,(설정!$B$8+86),설정!$D$15)&amp;"","　"," ")))</f>
        <v/>
      </c>
      <c r="F92" s="27">
        <f>IF(설정!$D$17="",0,IFERROR(VALUE(SUBSTITUTE(SUBSTITUTE(INDEX(급여대장_원본!$A$1:$AZ$400,(설정!$B$8+86),설정!$D$17)&amp;"",",",""),"　","")),0))</f>
        <v/>
      </c>
      <c r="G92" s="27">
        <f>IF(설정!$D$18="",0,IFERROR(VALUE(SUBSTITUTE(SUBSTITUTE(INDEX(급여대장_원본!$A$1:$AZ$400,(설정!$B$8+86),설정!$D$18)&amp;"",",",""),"　","")),0))</f>
        <v/>
      </c>
      <c r="H92" s="27">
        <f>IF(설정!$D$19="",0,IFERROR(VALUE(SUBSTITUTE(SUBSTITUTE(INDEX(급여대장_원본!$A$1:$AZ$400,(설정!$B$8+86),설정!$D$19)&amp;"",",",""),"　","")),0))</f>
        <v/>
      </c>
      <c r="I92" s="27">
        <f>IF(설정!$D$20="",0,IFERROR(VALUE(SUBSTITUTE(SUBSTITUTE(INDEX(급여대장_원본!$A$1:$AZ$400,(설정!$B$8+86),설정!$D$20)&amp;"",",",""),"　","")),0))</f>
        <v/>
      </c>
      <c r="J92" s="27">
        <f>IF(설정!$D$21="",0,IFERROR(VALUE(SUBSTITUTE(SUBSTITUTE(INDEX(급여대장_원본!$A$1:$AZ$400,(설정!$B$8+86),설정!$D$21)&amp;"",",",""),"　","")),0))</f>
        <v/>
      </c>
      <c r="K92" s="27">
        <f>IF(설정!$D$22="",0,IFERROR(VALUE(SUBSTITUTE(SUBSTITUTE(INDEX(급여대장_원본!$A$1:$AZ$400,(설정!$B$8+86),설정!$D$22)&amp;"",",",""),"　","")),0))</f>
        <v/>
      </c>
      <c r="L92" s="27">
        <f>IF(설정!$D$23="",0,IFERROR(VALUE(SUBSTITUTE(SUBSTITUTE(INDEX(급여대장_원본!$A$1:$AZ$400,(설정!$B$8+86),설정!$D$23)&amp;"",",",""),"　","")),0))</f>
        <v/>
      </c>
      <c r="M92" s="27">
        <f>IF(설정!$D$24="",0,IFERROR(VALUE(SUBSTITUTE(SUBSTITUTE(INDEX(급여대장_원본!$A$1:$AZ$400,(설정!$B$8+86),설정!$D$24)&amp;"",",",""),"　","")),0))</f>
        <v/>
      </c>
      <c r="N92" s="2">
        <f>IF(OR(설정!$C$17="",IFERROR(MATCH(설정!$C$17,INDEX(급여대장_원본!$A$1:$AZ$400,설정!$B$8,0),0),"")=""),"",IFERROR(VALUE(SUBSTITUTE(INDEX(급여대장_원본!$A$1:$AZ$400,(설정!$B$8+86),IFERROR(MATCH(설정!$C$17,INDEX(급여대장_원본!$A$1:$AZ$400,설정!$B$8,0),0),""))&amp;"",",","")),""))</f>
        <v/>
      </c>
      <c r="O92" s="2">
        <f>IF(OR(설정!$C$18="",IFERROR(MATCH(설정!$C$18,INDEX(급여대장_원본!$A$1:$AZ$400,설정!$B$8,0),0),"")=""),"",IFERROR(VALUE(SUBSTITUTE(INDEX(급여대장_원본!$A$1:$AZ$400,(설정!$B$8+86),IFERROR(MATCH(설정!$C$18,INDEX(급여대장_원본!$A$1:$AZ$400,설정!$B$8,0),0),""))&amp;"",",","")),""))</f>
        <v/>
      </c>
      <c r="P92" s="2">
        <f>IF(OR(설정!$C$19="",IFERROR(MATCH(설정!$C$19,INDEX(급여대장_원본!$A$1:$AZ$400,설정!$B$8,0),0),"")=""),"",IFERROR(VALUE(SUBSTITUTE(INDEX(급여대장_원본!$A$1:$AZ$400,(설정!$B$8+86),IFERROR(MATCH(설정!$C$19,INDEX(급여대장_원본!$A$1:$AZ$400,설정!$B$8,0),0),""))&amp;"",",","")),""))</f>
        <v/>
      </c>
      <c r="Q92" s="2">
        <f>IF(OR(설정!$C$20="",IFERROR(MATCH(설정!$C$20,INDEX(급여대장_원본!$A$1:$AZ$400,설정!$B$8,0),0),"")=""),"",IFERROR(VALUE(SUBSTITUTE(INDEX(급여대장_원본!$A$1:$AZ$400,(설정!$B$8+86),IFERROR(MATCH(설정!$C$20,INDEX(급여대장_원본!$A$1:$AZ$400,설정!$B$8,0),0),""))&amp;"",",","")),""))</f>
        <v/>
      </c>
      <c r="R92" s="2">
        <f>IF(OR(설정!$C$21="",IFERROR(MATCH(설정!$C$21,INDEX(급여대장_원본!$A$1:$AZ$400,설정!$B$8,0),0),"")=""),"",IFERROR(VALUE(SUBSTITUTE(INDEX(급여대장_원본!$A$1:$AZ$400,(설정!$B$8+86),IFERROR(MATCH(설정!$C$21,INDEX(급여대장_원본!$A$1:$AZ$400,설정!$B$8,0),0),""))&amp;"",",","")),""))</f>
        <v/>
      </c>
      <c r="S92" s="2">
        <f>IF(OR(설정!$C$22="",IFERROR(MATCH(설정!$C$22,INDEX(급여대장_원본!$A$1:$AZ$400,설정!$B$8,0),0),"")=""),"",IFERROR(VALUE(SUBSTITUTE(INDEX(급여대장_원본!$A$1:$AZ$400,(설정!$B$8+86),IFERROR(MATCH(설정!$C$22,INDEX(급여대장_원본!$A$1:$AZ$400,설정!$B$8,0),0),""))&amp;"",",","")),""))</f>
        <v/>
      </c>
      <c r="T92" s="2">
        <f>IF(OR(설정!$C$23="",IFERROR(MATCH(설정!$C$23,INDEX(급여대장_원본!$A$1:$AZ$400,설정!$B$8,0),0),"")=""),"",IFERROR(VALUE(SUBSTITUTE(INDEX(급여대장_원본!$A$1:$AZ$400,(설정!$B$8+86),IFERROR(MATCH(설정!$C$23,INDEX(급여대장_원본!$A$1:$AZ$400,설정!$B$8,0),0),""))&amp;"",",","")),""))</f>
        <v/>
      </c>
      <c r="U92" s="2">
        <f>IF(OR(설정!$C$24="",IFERROR(MATCH(설정!$C$24,INDEX(급여대장_원본!$A$1:$AZ$400,설정!$B$8,0),0),"")=""),"",IFERROR(VALUE(SUBSTITUTE(INDEX(급여대장_원본!$A$1:$AZ$400,(설정!$B$8+86),IFERROR(MATCH(설정!$C$24,INDEX(급여대장_원본!$A$1:$AZ$400,설정!$B$8,0),0),""))&amp;"",",","")),""))</f>
        <v/>
      </c>
      <c r="V92" s="27">
        <f>SUM(F92:M92)</f>
        <v/>
      </c>
      <c r="W92" s="27">
        <f>IF(설정!$D$26="",0,IFERROR(VALUE(SUBSTITUTE(SUBSTITUTE(INDEX(급여대장_원본!$A$1:$AZ$400,(설정!$B$8+86),설정!$D$26)&amp;"",",",""),"　","")),0))</f>
        <v/>
      </c>
      <c r="X92" s="27">
        <f>IF(설정!$D$27="",0,IFERROR(VALUE(SUBSTITUTE(SUBSTITUTE(INDEX(급여대장_원본!$A$1:$AZ$400,(설정!$B$8+86),설정!$D$27)&amp;"",",",""),"　","")),0))</f>
        <v/>
      </c>
      <c r="Y92" s="27">
        <f>IF(설정!$D$28="",0,IFERROR(VALUE(SUBSTITUTE(SUBSTITUTE(INDEX(급여대장_원본!$A$1:$AZ$400,(설정!$B$8+86),설정!$D$28)&amp;"",",",""),"　","")),0))</f>
        <v/>
      </c>
      <c r="Z92" s="27">
        <f>IF(설정!$D$29="",0,IFERROR(VALUE(SUBSTITUTE(SUBSTITUTE(INDEX(급여대장_원본!$A$1:$AZ$400,(설정!$B$8+86),설정!$D$29)&amp;"",",",""),"　","")),0))</f>
        <v/>
      </c>
      <c r="AA92" s="27">
        <f>IF(설정!$D$30="",0,IFERROR(VALUE(SUBSTITUTE(SUBSTITUTE(INDEX(급여대장_원본!$A$1:$AZ$400,(설정!$B$8+86),설정!$D$30)&amp;"",",",""),"　","")),0))</f>
        <v/>
      </c>
      <c r="AB92" s="27">
        <f>IF(설정!$D$31="",0,IFERROR(VALUE(SUBSTITUTE(SUBSTITUTE(INDEX(급여대장_원본!$A$1:$AZ$400,(설정!$B$8+86),설정!$D$31)&amp;"",",",""),"　","")),0))</f>
        <v/>
      </c>
      <c r="AC92" s="27">
        <f>IF(설정!$D$32="",0,IFERROR(VALUE(SUBSTITUTE(SUBSTITUTE(INDEX(급여대장_원본!$A$1:$AZ$400,(설정!$B$8+86),설정!$D$32)&amp;"",",",""),"　","")),0))</f>
        <v/>
      </c>
      <c r="AD92" s="27">
        <f>IF(설정!$D$33="",0,IFERROR(VALUE(SUBSTITUTE(SUBSTITUTE(INDEX(급여대장_원본!$A$1:$AZ$400,(설정!$B$8+86),설정!$D$33)&amp;"",",",""),"　","")),0))</f>
        <v/>
      </c>
      <c r="AE92" s="27">
        <f>SUM(W92:AD92)</f>
        <v/>
      </c>
      <c r="AF92" s="27">
        <f>V92-AE92</f>
        <v/>
      </c>
      <c r="AG92" s="27">
        <f>IF(설정!$D$35="","",IF(설정!$D$35="",0,IFERROR(VALUE(SUBSTITUTE(SUBSTITUTE(INDEX(급여대장_원본!$A$1:$AZ$400,(설정!$B$8+86),설정!$D$35)&amp;"",",",""),"　","")),0)))</f>
        <v/>
      </c>
      <c r="AH92" s="27">
        <f>IF(설정!$D$36="","",IF(설정!$D$36="",0,IFERROR(VALUE(SUBSTITUTE(SUBSTITUTE(INDEX(급여대장_원본!$A$1:$AZ$400,(설정!$B$8+86),설정!$D$36)&amp;"",",",""),"　","")),0)))</f>
        <v/>
      </c>
      <c r="AI92" s="27">
        <f>IF(설정!$D$37="","",IF(설정!$D$37="",0,IFERROR(VALUE(SUBSTITUTE(SUBSTITUTE(INDEX(급여대장_원본!$A$1:$AZ$400,(설정!$B$8+86),설정!$D$37)&amp;"",",",""),"　","")),0)))</f>
        <v/>
      </c>
      <c r="AJ92" s="2">
        <f>IFERROR(INDEX($D$7:$D$306,MATCH(86,$B$7:$B$306,0)),"")</f>
        <v/>
      </c>
    </row>
    <row r="93">
      <c r="A93" s="2">
        <f>IF(AND(D93&lt;&gt;"",D93&lt;&gt;"합계",D93&lt;&gt;"총계",D93&lt;&gt;"소계",D93&lt;&gt;"계"),1,0)</f>
        <v/>
      </c>
      <c r="B93" s="2">
        <f>IF(A93=1,SUM($A$7:A93),"")</f>
        <v/>
      </c>
      <c r="C93" s="2">
        <f>IF(설정!$D$13="","",TRIM(SUBSTITUTE(INDEX(급여대장_원본!$A$1:$AZ$400,(설정!$B$8+87),설정!$D$13)&amp;"","　"," ")))</f>
        <v/>
      </c>
      <c r="D93" s="2">
        <f>IF(설정!$D$14="","",TRIM(SUBSTITUTE(INDEX(급여대장_원본!$A$1:$AZ$400,(설정!$B$8+87),설정!$D$14)&amp;"","　"," ")))</f>
        <v/>
      </c>
      <c r="E93" s="2">
        <f>IF(설정!$D$15="","",TRIM(SUBSTITUTE(INDEX(급여대장_원본!$A$1:$AZ$400,(설정!$B$8+87),설정!$D$15)&amp;"","　"," ")))</f>
        <v/>
      </c>
      <c r="F93" s="27">
        <f>IF(설정!$D$17="",0,IFERROR(VALUE(SUBSTITUTE(SUBSTITUTE(INDEX(급여대장_원본!$A$1:$AZ$400,(설정!$B$8+87),설정!$D$17)&amp;"",",",""),"　","")),0))</f>
        <v/>
      </c>
      <c r="G93" s="27">
        <f>IF(설정!$D$18="",0,IFERROR(VALUE(SUBSTITUTE(SUBSTITUTE(INDEX(급여대장_원본!$A$1:$AZ$400,(설정!$B$8+87),설정!$D$18)&amp;"",",",""),"　","")),0))</f>
        <v/>
      </c>
      <c r="H93" s="27">
        <f>IF(설정!$D$19="",0,IFERROR(VALUE(SUBSTITUTE(SUBSTITUTE(INDEX(급여대장_원본!$A$1:$AZ$400,(설정!$B$8+87),설정!$D$19)&amp;"",",",""),"　","")),0))</f>
        <v/>
      </c>
      <c r="I93" s="27">
        <f>IF(설정!$D$20="",0,IFERROR(VALUE(SUBSTITUTE(SUBSTITUTE(INDEX(급여대장_원본!$A$1:$AZ$400,(설정!$B$8+87),설정!$D$20)&amp;"",",",""),"　","")),0))</f>
        <v/>
      </c>
      <c r="J93" s="27">
        <f>IF(설정!$D$21="",0,IFERROR(VALUE(SUBSTITUTE(SUBSTITUTE(INDEX(급여대장_원본!$A$1:$AZ$400,(설정!$B$8+87),설정!$D$21)&amp;"",",",""),"　","")),0))</f>
        <v/>
      </c>
      <c r="K93" s="27">
        <f>IF(설정!$D$22="",0,IFERROR(VALUE(SUBSTITUTE(SUBSTITUTE(INDEX(급여대장_원본!$A$1:$AZ$400,(설정!$B$8+87),설정!$D$22)&amp;"",",",""),"　","")),0))</f>
        <v/>
      </c>
      <c r="L93" s="27">
        <f>IF(설정!$D$23="",0,IFERROR(VALUE(SUBSTITUTE(SUBSTITUTE(INDEX(급여대장_원본!$A$1:$AZ$400,(설정!$B$8+87),설정!$D$23)&amp;"",",",""),"　","")),0))</f>
        <v/>
      </c>
      <c r="M93" s="27">
        <f>IF(설정!$D$24="",0,IFERROR(VALUE(SUBSTITUTE(SUBSTITUTE(INDEX(급여대장_원본!$A$1:$AZ$400,(설정!$B$8+87),설정!$D$24)&amp;"",",",""),"　","")),0))</f>
        <v/>
      </c>
      <c r="N93" s="2">
        <f>IF(OR(설정!$C$17="",IFERROR(MATCH(설정!$C$17,INDEX(급여대장_원본!$A$1:$AZ$400,설정!$B$8,0),0),"")=""),"",IFERROR(VALUE(SUBSTITUTE(INDEX(급여대장_원본!$A$1:$AZ$400,(설정!$B$8+87),IFERROR(MATCH(설정!$C$17,INDEX(급여대장_원본!$A$1:$AZ$400,설정!$B$8,0),0),""))&amp;"",",","")),""))</f>
        <v/>
      </c>
      <c r="O93" s="2">
        <f>IF(OR(설정!$C$18="",IFERROR(MATCH(설정!$C$18,INDEX(급여대장_원본!$A$1:$AZ$400,설정!$B$8,0),0),"")=""),"",IFERROR(VALUE(SUBSTITUTE(INDEX(급여대장_원본!$A$1:$AZ$400,(설정!$B$8+87),IFERROR(MATCH(설정!$C$18,INDEX(급여대장_원본!$A$1:$AZ$400,설정!$B$8,0),0),""))&amp;"",",","")),""))</f>
        <v/>
      </c>
      <c r="P93" s="2">
        <f>IF(OR(설정!$C$19="",IFERROR(MATCH(설정!$C$19,INDEX(급여대장_원본!$A$1:$AZ$400,설정!$B$8,0),0),"")=""),"",IFERROR(VALUE(SUBSTITUTE(INDEX(급여대장_원본!$A$1:$AZ$400,(설정!$B$8+87),IFERROR(MATCH(설정!$C$19,INDEX(급여대장_원본!$A$1:$AZ$400,설정!$B$8,0),0),""))&amp;"",",","")),""))</f>
        <v/>
      </c>
      <c r="Q93" s="2">
        <f>IF(OR(설정!$C$20="",IFERROR(MATCH(설정!$C$20,INDEX(급여대장_원본!$A$1:$AZ$400,설정!$B$8,0),0),"")=""),"",IFERROR(VALUE(SUBSTITUTE(INDEX(급여대장_원본!$A$1:$AZ$400,(설정!$B$8+87),IFERROR(MATCH(설정!$C$20,INDEX(급여대장_원본!$A$1:$AZ$400,설정!$B$8,0),0),""))&amp;"",",","")),""))</f>
        <v/>
      </c>
      <c r="R93" s="2">
        <f>IF(OR(설정!$C$21="",IFERROR(MATCH(설정!$C$21,INDEX(급여대장_원본!$A$1:$AZ$400,설정!$B$8,0),0),"")=""),"",IFERROR(VALUE(SUBSTITUTE(INDEX(급여대장_원본!$A$1:$AZ$400,(설정!$B$8+87),IFERROR(MATCH(설정!$C$21,INDEX(급여대장_원본!$A$1:$AZ$400,설정!$B$8,0),0),""))&amp;"",",","")),""))</f>
        <v/>
      </c>
      <c r="S93" s="2">
        <f>IF(OR(설정!$C$22="",IFERROR(MATCH(설정!$C$22,INDEX(급여대장_원본!$A$1:$AZ$400,설정!$B$8,0),0),"")=""),"",IFERROR(VALUE(SUBSTITUTE(INDEX(급여대장_원본!$A$1:$AZ$400,(설정!$B$8+87),IFERROR(MATCH(설정!$C$22,INDEX(급여대장_원본!$A$1:$AZ$400,설정!$B$8,0),0),""))&amp;"",",","")),""))</f>
        <v/>
      </c>
      <c r="T93" s="2">
        <f>IF(OR(설정!$C$23="",IFERROR(MATCH(설정!$C$23,INDEX(급여대장_원본!$A$1:$AZ$400,설정!$B$8,0),0),"")=""),"",IFERROR(VALUE(SUBSTITUTE(INDEX(급여대장_원본!$A$1:$AZ$400,(설정!$B$8+87),IFERROR(MATCH(설정!$C$23,INDEX(급여대장_원본!$A$1:$AZ$400,설정!$B$8,0),0),""))&amp;"",",","")),""))</f>
        <v/>
      </c>
      <c r="U93" s="2">
        <f>IF(OR(설정!$C$24="",IFERROR(MATCH(설정!$C$24,INDEX(급여대장_원본!$A$1:$AZ$400,설정!$B$8,0),0),"")=""),"",IFERROR(VALUE(SUBSTITUTE(INDEX(급여대장_원본!$A$1:$AZ$400,(설정!$B$8+87),IFERROR(MATCH(설정!$C$24,INDEX(급여대장_원본!$A$1:$AZ$400,설정!$B$8,0),0),""))&amp;"",",","")),""))</f>
        <v/>
      </c>
      <c r="V93" s="27">
        <f>SUM(F93:M93)</f>
        <v/>
      </c>
      <c r="W93" s="27">
        <f>IF(설정!$D$26="",0,IFERROR(VALUE(SUBSTITUTE(SUBSTITUTE(INDEX(급여대장_원본!$A$1:$AZ$400,(설정!$B$8+87),설정!$D$26)&amp;"",",",""),"　","")),0))</f>
        <v/>
      </c>
      <c r="X93" s="27">
        <f>IF(설정!$D$27="",0,IFERROR(VALUE(SUBSTITUTE(SUBSTITUTE(INDEX(급여대장_원본!$A$1:$AZ$400,(설정!$B$8+87),설정!$D$27)&amp;"",",",""),"　","")),0))</f>
        <v/>
      </c>
      <c r="Y93" s="27">
        <f>IF(설정!$D$28="",0,IFERROR(VALUE(SUBSTITUTE(SUBSTITUTE(INDEX(급여대장_원본!$A$1:$AZ$400,(설정!$B$8+87),설정!$D$28)&amp;"",",",""),"　","")),0))</f>
        <v/>
      </c>
      <c r="Z93" s="27">
        <f>IF(설정!$D$29="",0,IFERROR(VALUE(SUBSTITUTE(SUBSTITUTE(INDEX(급여대장_원본!$A$1:$AZ$400,(설정!$B$8+87),설정!$D$29)&amp;"",",",""),"　","")),0))</f>
        <v/>
      </c>
      <c r="AA93" s="27">
        <f>IF(설정!$D$30="",0,IFERROR(VALUE(SUBSTITUTE(SUBSTITUTE(INDEX(급여대장_원본!$A$1:$AZ$400,(설정!$B$8+87),설정!$D$30)&amp;"",",",""),"　","")),0))</f>
        <v/>
      </c>
      <c r="AB93" s="27">
        <f>IF(설정!$D$31="",0,IFERROR(VALUE(SUBSTITUTE(SUBSTITUTE(INDEX(급여대장_원본!$A$1:$AZ$400,(설정!$B$8+87),설정!$D$31)&amp;"",",",""),"　","")),0))</f>
        <v/>
      </c>
      <c r="AC93" s="27">
        <f>IF(설정!$D$32="",0,IFERROR(VALUE(SUBSTITUTE(SUBSTITUTE(INDEX(급여대장_원본!$A$1:$AZ$400,(설정!$B$8+87),설정!$D$32)&amp;"",",",""),"　","")),0))</f>
        <v/>
      </c>
      <c r="AD93" s="27">
        <f>IF(설정!$D$33="",0,IFERROR(VALUE(SUBSTITUTE(SUBSTITUTE(INDEX(급여대장_원본!$A$1:$AZ$400,(설정!$B$8+87),설정!$D$33)&amp;"",",",""),"　","")),0))</f>
        <v/>
      </c>
      <c r="AE93" s="27">
        <f>SUM(W93:AD93)</f>
        <v/>
      </c>
      <c r="AF93" s="27">
        <f>V93-AE93</f>
        <v/>
      </c>
      <c r="AG93" s="27">
        <f>IF(설정!$D$35="","",IF(설정!$D$35="",0,IFERROR(VALUE(SUBSTITUTE(SUBSTITUTE(INDEX(급여대장_원본!$A$1:$AZ$400,(설정!$B$8+87),설정!$D$35)&amp;"",",",""),"　","")),0)))</f>
        <v/>
      </c>
      <c r="AH93" s="27">
        <f>IF(설정!$D$36="","",IF(설정!$D$36="",0,IFERROR(VALUE(SUBSTITUTE(SUBSTITUTE(INDEX(급여대장_원본!$A$1:$AZ$400,(설정!$B$8+87),설정!$D$36)&amp;"",",",""),"　","")),0)))</f>
        <v/>
      </c>
      <c r="AI93" s="27">
        <f>IF(설정!$D$37="","",IF(설정!$D$37="",0,IFERROR(VALUE(SUBSTITUTE(SUBSTITUTE(INDEX(급여대장_원본!$A$1:$AZ$400,(설정!$B$8+87),설정!$D$37)&amp;"",",",""),"　","")),0)))</f>
        <v/>
      </c>
      <c r="AJ93" s="2">
        <f>IFERROR(INDEX($D$7:$D$306,MATCH(87,$B$7:$B$306,0)),"")</f>
        <v/>
      </c>
    </row>
    <row r="94">
      <c r="A94" s="2">
        <f>IF(AND(D94&lt;&gt;"",D94&lt;&gt;"합계",D94&lt;&gt;"총계",D94&lt;&gt;"소계",D94&lt;&gt;"계"),1,0)</f>
        <v/>
      </c>
      <c r="B94" s="2">
        <f>IF(A94=1,SUM($A$7:A94),"")</f>
        <v/>
      </c>
      <c r="C94" s="2">
        <f>IF(설정!$D$13="","",TRIM(SUBSTITUTE(INDEX(급여대장_원본!$A$1:$AZ$400,(설정!$B$8+88),설정!$D$13)&amp;"","　"," ")))</f>
        <v/>
      </c>
      <c r="D94" s="2">
        <f>IF(설정!$D$14="","",TRIM(SUBSTITUTE(INDEX(급여대장_원본!$A$1:$AZ$400,(설정!$B$8+88),설정!$D$14)&amp;"","　"," ")))</f>
        <v/>
      </c>
      <c r="E94" s="2">
        <f>IF(설정!$D$15="","",TRIM(SUBSTITUTE(INDEX(급여대장_원본!$A$1:$AZ$400,(설정!$B$8+88),설정!$D$15)&amp;"","　"," ")))</f>
        <v/>
      </c>
      <c r="F94" s="27">
        <f>IF(설정!$D$17="",0,IFERROR(VALUE(SUBSTITUTE(SUBSTITUTE(INDEX(급여대장_원본!$A$1:$AZ$400,(설정!$B$8+88),설정!$D$17)&amp;"",",",""),"　","")),0))</f>
        <v/>
      </c>
      <c r="G94" s="27">
        <f>IF(설정!$D$18="",0,IFERROR(VALUE(SUBSTITUTE(SUBSTITUTE(INDEX(급여대장_원본!$A$1:$AZ$400,(설정!$B$8+88),설정!$D$18)&amp;"",",",""),"　","")),0))</f>
        <v/>
      </c>
      <c r="H94" s="27">
        <f>IF(설정!$D$19="",0,IFERROR(VALUE(SUBSTITUTE(SUBSTITUTE(INDEX(급여대장_원본!$A$1:$AZ$400,(설정!$B$8+88),설정!$D$19)&amp;"",",",""),"　","")),0))</f>
        <v/>
      </c>
      <c r="I94" s="27">
        <f>IF(설정!$D$20="",0,IFERROR(VALUE(SUBSTITUTE(SUBSTITUTE(INDEX(급여대장_원본!$A$1:$AZ$400,(설정!$B$8+88),설정!$D$20)&amp;"",",",""),"　","")),0))</f>
        <v/>
      </c>
      <c r="J94" s="27">
        <f>IF(설정!$D$21="",0,IFERROR(VALUE(SUBSTITUTE(SUBSTITUTE(INDEX(급여대장_원본!$A$1:$AZ$400,(설정!$B$8+88),설정!$D$21)&amp;"",",",""),"　","")),0))</f>
        <v/>
      </c>
      <c r="K94" s="27">
        <f>IF(설정!$D$22="",0,IFERROR(VALUE(SUBSTITUTE(SUBSTITUTE(INDEX(급여대장_원본!$A$1:$AZ$400,(설정!$B$8+88),설정!$D$22)&amp;"",",",""),"　","")),0))</f>
        <v/>
      </c>
      <c r="L94" s="27">
        <f>IF(설정!$D$23="",0,IFERROR(VALUE(SUBSTITUTE(SUBSTITUTE(INDEX(급여대장_원본!$A$1:$AZ$400,(설정!$B$8+88),설정!$D$23)&amp;"",",",""),"　","")),0))</f>
        <v/>
      </c>
      <c r="M94" s="27">
        <f>IF(설정!$D$24="",0,IFERROR(VALUE(SUBSTITUTE(SUBSTITUTE(INDEX(급여대장_원본!$A$1:$AZ$400,(설정!$B$8+88),설정!$D$24)&amp;"",",",""),"　","")),0))</f>
        <v/>
      </c>
      <c r="N94" s="2">
        <f>IF(OR(설정!$C$17="",IFERROR(MATCH(설정!$C$17,INDEX(급여대장_원본!$A$1:$AZ$400,설정!$B$8,0),0),"")=""),"",IFERROR(VALUE(SUBSTITUTE(INDEX(급여대장_원본!$A$1:$AZ$400,(설정!$B$8+88),IFERROR(MATCH(설정!$C$17,INDEX(급여대장_원본!$A$1:$AZ$400,설정!$B$8,0),0),""))&amp;"",",","")),""))</f>
        <v/>
      </c>
      <c r="O94" s="2">
        <f>IF(OR(설정!$C$18="",IFERROR(MATCH(설정!$C$18,INDEX(급여대장_원본!$A$1:$AZ$400,설정!$B$8,0),0),"")=""),"",IFERROR(VALUE(SUBSTITUTE(INDEX(급여대장_원본!$A$1:$AZ$400,(설정!$B$8+88),IFERROR(MATCH(설정!$C$18,INDEX(급여대장_원본!$A$1:$AZ$400,설정!$B$8,0),0),""))&amp;"",",","")),""))</f>
        <v/>
      </c>
      <c r="P94" s="2">
        <f>IF(OR(설정!$C$19="",IFERROR(MATCH(설정!$C$19,INDEX(급여대장_원본!$A$1:$AZ$400,설정!$B$8,0),0),"")=""),"",IFERROR(VALUE(SUBSTITUTE(INDEX(급여대장_원본!$A$1:$AZ$400,(설정!$B$8+88),IFERROR(MATCH(설정!$C$19,INDEX(급여대장_원본!$A$1:$AZ$400,설정!$B$8,0),0),""))&amp;"",",","")),""))</f>
        <v/>
      </c>
      <c r="Q94" s="2">
        <f>IF(OR(설정!$C$20="",IFERROR(MATCH(설정!$C$20,INDEX(급여대장_원본!$A$1:$AZ$400,설정!$B$8,0),0),"")=""),"",IFERROR(VALUE(SUBSTITUTE(INDEX(급여대장_원본!$A$1:$AZ$400,(설정!$B$8+88),IFERROR(MATCH(설정!$C$20,INDEX(급여대장_원본!$A$1:$AZ$400,설정!$B$8,0),0),""))&amp;"",",","")),""))</f>
        <v/>
      </c>
      <c r="R94" s="2">
        <f>IF(OR(설정!$C$21="",IFERROR(MATCH(설정!$C$21,INDEX(급여대장_원본!$A$1:$AZ$400,설정!$B$8,0),0),"")=""),"",IFERROR(VALUE(SUBSTITUTE(INDEX(급여대장_원본!$A$1:$AZ$400,(설정!$B$8+88),IFERROR(MATCH(설정!$C$21,INDEX(급여대장_원본!$A$1:$AZ$400,설정!$B$8,0),0),""))&amp;"",",","")),""))</f>
        <v/>
      </c>
      <c r="S94" s="2">
        <f>IF(OR(설정!$C$22="",IFERROR(MATCH(설정!$C$22,INDEX(급여대장_원본!$A$1:$AZ$400,설정!$B$8,0),0),"")=""),"",IFERROR(VALUE(SUBSTITUTE(INDEX(급여대장_원본!$A$1:$AZ$400,(설정!$B$8+88),IFERROR(MATCH(설정!$C$22,INDEX(급여대장_원본!$A$1:$AZ$400,설정!$B$8,0),0),""))&amp;"",",","")),""))</f>
        <v/>
      </c>
      <c r="T94" s="2">
        <f>IF(OR(설정!$C$23="",IFERROR(MATCH(설정!$C$23,INDEX(급여대장_원본!$A$1:$AZ$400,설정!$B$8,0),0),"")=""),"",IFERROR(VALUE(SUBSTITUTE(INDEX(급여대장_원본!$A$1:$AZ$400,(설정!$B$8+88),IFERROR(MATCH(설정!$C$23,INDEX(급여대장_원본!$A$1:$AZ$400,설정!$B$8,0),0),""))&amp;"",",","")),""))</f>
        <v/>
      </c>
      <c r="U94" s="2">
        <f>IF(OR(설정!$C$24="",IFERROR(MATCH(설정!$C$24,INDEX(급여대장_원본!$A$1:$AZ$400,설정!$B$8,0),0),"")=""),"",IFERROR(VALUE(SUBSTITUTE(INDEX(급여대장_원본!$A$1:$AZ$400,(설정!$B$8+88),IFERROR(MATCH(설정!$C$24,INDEX(급여대장_원본!$A$1:$AZ$400,설정!$B$8,0),0),""))&amp;"",",","")),""))</f>
        <v/>
      </c>
      <c r="V94" s="27">
        <f>SUM(F94:M94)</f>
        <v/>
      </c>
      <c r="W94" s="27">
        <f>IF(설정!$D$26="",0,IFERROR(VALUE(SUBSTITUTE(SUBSTITUTE(INDEX(급여대장_원본!$A$1:$AZ$400,(설정!$B$8+88),설정!$D$26)&amp;"",",",""),"　","")),0))</f>
        <v/>
      </c>
      <c r="X94" s="27">
        <f>IF(설정!$D$27="",0,IFERROR(VALUE(SUBSTITUTE(SUBSTITUTE(INDEX(급여대장_원본!$A$1:$AZ$400,(설정!$B$8+88),설정!$D$27)&amp;"",",",""),"　","")),0))</f>
        <v/>
      </c>
      <c r="Y94" s="27">
        <f>IF(설정!$D$28="",0,IFERROR(VALUE(SUBSTITUTE(SUBSTITUTE(INDEX(급여대장_원본!$A$1:$AZ$400,(설정!$B$8+88),설정!$D$28)&amp;"",",",""),"　","")),0))</f>
        <v/>
      </c>
      <c r="Z94" s="27">
        <f>IF(설정!$D$29="",0,IFERROR(VALUE(SUBSTITUTE(SUBSTITUTE(INDEX(급여대장_원본!$A$1:$AZ$400,(설정!$B$8+88),설정!$D$29)&amp;"",",",""),"　","")),0))</f>
        <v/>
      </c>
      <c r="AA94" s="27">
        <f>IF(설정!$D$30="",0,IFERROR(VALUE(SUBSTITUTE(SUBSTITUTE(INDEX(급여대장_원본!$A$1:$AZ$400,(설정!$B$8+88),설정!$D$30)&amp;"",",",""),"　","")),0))</f>
        <v/>
      </c>
      <c r="AB94" s="27">
        <f>IF(설정!$D$31="",0,IFERROR(VALUE(SUBSTITUTE(SUBSTITUTE(INDEX(급여대장_원본!$A$1:$AZ$400,(설정!$B$8+88),설정!$D$31)&amp;"",",",""),"　","")),0))</f>
        <v/>
      </c>
      <c r="AC94" s="27">
        <f>IF(설정!$D$32="",0,IFERROR(VALUE(SUBSTITUTE(SUBSTITUTE(INDEX(급여대장_원본!$A$1:$AZ$400,(설정!$B$8+88),설정!$D$32)&amp;"",",",""),"　","")),0))</f>
        <v/>
      </c>
      <c r="AD94" s="27">
        <f>IF(설정!$D$33="",0,IFERROR(VALUE(SUBSTITUTE(SUBSTITUTE(INDEX(급여대장_원본!$A$1:$AZ$400,(설정!$B$8+88),설정!$D$33)&amp;"",",",""),"　","")),0))</f>
        <v/>
      </c>
      <c r="AE94" s="27">
        <f>SUM(W94:AD94)</f>
        <v/>
      </c>
      <c r="AF94" s="27">
        <f>V94-AE94</f>
        <v/>
      </c>
      <c r="AG94" s="27">
        <f>IF(설정!$D$35="","",IF(설정!$D$35="",0,IFERROR(VALUE(SUBSTITUTE(SUBSTITUTE(INDEX(급여대장_원본!$A$1:$AZ$400,(설정!$B$8+88),설정!$D$35)&amp;"",",",""),"　","")),0)))</f>
        <v/>
      </c>
      <c r="AH94" s="27">
        <f>IF(설정!$D$36="","",IF(설정!$D$36="",0,IFERROR(VALUE(SUBSTITUTE(SUBSTITUTE(INDEX(급여대장_원본!$A$1:$AZ$400,(설정!$B$8+88),설정!$D$36)&amp;"",",",""),"　","")),0)))</f>
        <v/>
      </c>
      <c r="AI94" s="27">
        <f>IF(설정!$D$37="","",IF(설정!$D$37="",0,IFERROR(VALUE(SUBSTITUTE(SUBSTITUTE(INDEX(급여대장_원본!$A$1:$AZ$400,(설정!$B$8+88),설정!$D$37)&amp;"",",",""),"　","")),0)))</f>
        <v/>
      </c>
      <c r="AJ94" s="2">
        <f>IFERROR(INDEX($D$7:$D$306,MATCH(88,$B$7:$B$306,0)),"")</f>
        <v/>
      </c>
    </row>
    <row r="95">
      <c r="A95" s="2">
        <f>IF(AND(D95&lt;&gt;"",D95&lt;&gt;"합계",D95&lt;&gt;"총계",D95&lt;&gt;"소계",D95&lt;&gt;"계"),1,0)</f>
        <v/>
      </c>
      <c r="B95" s="2">
        <f>IF(A95=1,SUM($A$7:A95),"")</f>
        <v/>
      </c>
      <c r="C95" s="2">
        <f>IF(설정!$D$13="","",TRIM(SUBSTITUTE(INDEX(급여대장_원본!$A$1:$AZ$400,(설정!$B$8+89),설정!$D$13)&amp;"","　"," ")))</f>
        <v/>
      </c>
      <c r="D95" s="2">
        <f>IF(설정!$D$14="","",TRIM(SUBSTITUTE(INDEX(급여대장_원본!$A$1:$AZ$400,(설정!$B$8+89),설정!$D$14)&amp;"","　"," ")))</f>
        <v/>
      </c>
      <c r="E95" s="2">
        <f>IF(설정!$D$15="","",TRIM(SUBSTITUTE(INDEX(급여대장_원본!$A$1:$AZ$400,(설정!$B$8+89),설정!$D$15)&amp;"","　"," ")))</f>
        <v/>
      </c>
      <c r="F95" s="27">
        <f>IF(설정!$D$17="",0,IFERROR(VALUE(SUBSTITUTE(SUBSTITUTE(INDEX(급여대장_원본!$A$1:$AZ$400,(설정!$B$8+89),설정!$D$17)&amp;"",",",""),"　","")),0))</f>
        <v/>
      </c>
      <c r="G95" s="27">
        <f>IF(설정!$D$18="",0,IFERROR(VALUE(SUBSTITUTE(SUBSTITUTE(INDEX(급여대장_원본!$A$1:$AZ$400,(설정!$B$8+89),설정!$D$18)&amp;"",",",""),"　","")),0))</f>
        <v/>
      </c>
      <c r="H95" s="27">
        <f>IF(설정!$D$19="",0,IFERROR(VALUE(SUBSTITUTE(SUBSTITUTE(INDEX(급여대장_원본!$A$1:$AZ$400,(설정!$B$8+89),설정!$D$19)&amp;"",",",""),"　","")),0))</f>
        <v/>
      </c>
      <c r="I95" s="27">
        <f>IF(설정!$D$20="",0,IFERROR(VALUE(SUBSTITUTE(SUBSTITUTE(INDEX(급여대장_원본!$A$1:$AZ$400,(설정!$B$8+89),설정!$D$20)&amp;"",",",""),"　","")),0))</f>
        <v/>
      </c>
      <c r="J95" s="27">
        <f>IF(설정!$D$21="",0,IFERROR(VALUE(SUBSTITUTE(SUBSTITUTE(INDEX(급여대장_원본!$A$1:$AZ$400,(설정!$B$8+89),설정!$D$21)&amp;"",",",""),"　","")),0))</f>
        <v/>
      </c>
      <c r="K95" s="27">
        <f>IF(설정!$D$22="",0,IFERROR(VALUE(SUBSTITUTE(SUBSTITUTE(INDEX(급여대장_원본!$A$1:$AZ$400,(설정!$B$8+89),설정!$D$22)&amp;"",",",""),"　","")),0))</f>
        <v/>
      </c>
      <c r="L95" s="27">
        <f>IF(설정!$D$23="",0,IFERROR(VALUE(SUBSTITUTE(SUBSTITUTE(INDEX(급여대장_원본!$A$1:$AZ$400,(설정!$B$8+89),설정!$D$23)&amp;"",",",""),"　","")),0))</f>
        <v/>
      </c>
      <c r="M95" s="27">
        <f>IF(설정!$D$24="",0,IFERROR(VALUE(SUBSTITUTE(SUBSTITUTE(INDEX(급여대장_원본!$A$1:$AZ$400,(설정!$B$8+89),설정!$D$24)&amp;"",",",""),"　","")),0))</f>
        <v/>
      </c>
      <c r="N95" s="2">
        <f>IF(OR(설정!$C$17="",IFERROR(MATCH(설정!$C$17,INDEX(급여대장_원본!$A$1:$AZ$400,설정!$B$8,0),0),"")=""),"",IFERROR(VALUE(SUBSTITUTE(INDEX(급여대장_원본!$A$1:$AZ$400,(설정!$B$8+89),IFERROR(MATCH(설정!$C$17,INDEX(급여대장_원본!$A$1:$AZ$400,설정!$B$8,0),0),""))&amp;"",",","")),""))</f>
        <v/>
      </c>
      <c r="O95" s="2">
        <f>IF(OR(설정!$C$18="",IFERROR(MATCH(설정!$C$18,INDEX(급여대장_원본!$A$1:$AZ$400,설정!$B$8,0),0),"")=""),"",IFERROR(VALUE(SUBSTITUTE(INDEX(급여대장_원본!$A$1:$AZ$400,(설정!$B$8+89),IFERROR(MATCH(설정!$C$18,INDEX(급여대장_원본!$A$1:$AZ$400,설정!$B$8,0),0),""))&amp;"",",","")),""))</f>
        <v/>
      </c>
      <c r="P95" s="2">
        <f>IF(OR(설정!$C$19="",IFERROR(MATCH(설정!$C$19,INDEX(급여대장_원본!$A$1:$AZ$400,설정!$B$8,0),0),"")=""),"",IFERROR(VALUE(SUBSTITUTE(INDEX(급여대장_원본!$A$1:$AZ$400,(설정!$B$8+89),IFERROR(MATCH(설정!$C$19,INDEX(급여대장_원본!$A$1:$AZ$400,설정!$B$8,0),0),""))&amp;"",",","")),""))</f>
        <v/>
      </c>
      <c r="Q95" s="2">
        <f>IF(OR(설정!$C$20="",IFERROR(MATCH(설정!$C$20,INDEX(급여대장_원본!$A$1:$AZ$400,설정!$B$8,0),0),"")=""),"",IFERROR(VALUE(SUBSTITUTE(INDEX(급여대장_원본!$A$1:$AZ$400,(설정!$B$8+89),IFERROR(MATCH(설정!$C$20,INDEX(급여대장_원본!$A$1:$AZ$400,설정!$B$8,0),0),""))&amp;"",",","")),""))</f>
        <v/>
      </c>
      <c r="R95" s="2">
        <f>IF(OR(설정!$C$21="",IFERROR(MATCH(설정!$C$21,INDEX(급여대장_원본!$A$1:$AZ$400,설정!$B$8,0),0),"")=""),"",IFERROR(VALUE(SUBSTITUTE(INDEX(급여대장_원본!$A$1:$AZ$400,(설정!$B$8+89),IFERROR(MATCH(설정!$C$21,INDEX(급여대장_원본!$A$1:$AZ$400,설정!$B$8,0),0),""))&amp;"",",","")),""))</f>
        <v/>
      </c>
      <c r="S95" s="2">
        <f>IF(OR(설정!$C$22="",IFERROR(MATCH(설정!$C$22,INDEX(급여대장_원본!$A$1:$AZ$400,설정!$B$8,0),0),"")=""),"",IFERROR(VALUE(SUBSTITUTE(INDEX(급여대장_원본!$A$1:$AZ$400,(설정!$B$8+89),IFERROR(MATCH(설정!$C$22,INDEX(급여대장_원본!$A$1:$AZ$400,설정!$B$8,0),0),""))&amp;"",",","")),""))</f>
        <v/>
      </c>
      <c r="T95" s="2">
        <f>IF(OR(설정!$C$23="",IFERROR(MATCH(설정!$C$23,INDEX(급여대장_원본!$A$1:$AZ$400,설정!$B$8,0),0),"")=""),"",IFERROR(VALUE(SUBSTITUTE(INDEX(급여대장_원본!$A$1:$AZ$400,(설정!$B$8+89),IFERROR(MATCH(설정!$C$23,INDEX(급여대장_원본!$A$1:$AZ$400,설정!$B$8,0),0),""))&amp;"",",","")),""))</f>
        <v/>
      </c>
      <c r="U95" s="2">
        <f>IF(OR(설정!$C$24="",IFERROR(MATCH(설정!$C$24,INDEX(급여대장_원본!$A$1:$AZ$400,설정!$B$8,0),0),"")=""),"",IFERROR(VALUE(SUBSTITUTE(INDEX(급여대장_원본!$A$1:$AZ$400,(설정!$B$8+89),IFERROR(MATCH(설정!$C$24,INDEX(급여대장_원본!$A$1:$AZ$400,설정!$B$8,0),0),""))&amp;"",",","")),""))</f>
        <v/>
      </c>
      <c r="V95" s="27">
        <f>SUM(F95:M95)</f>
        <v/>
      </c>
      <c r="W95" s="27">
        <f>IF(설정!$D$26="",0,IFERROR(VALUE(SUBSTITUTE(SUBSTITUTE(INDEX(급여대장_원본!$A$1:$AZ$400,(설정!$B$8+89),설정!$D$26)&amp;"",",",""),"　","")),0))</f>
        <v/>
      </c>
      <c r="X95" s="27">
        <f>IF(설정!$D$27="",0,IFERROR(VALUE(SUBSTITUTE(SUBSTITUTE(INDEX(급여대장_원본!$A$1:$AZ$400,(설정!$B$8+89),설정!$D$27)&amp;"",",",""),"　","")),0))</f>
        <v/>
      </c>
      <c r="Y95" s="27">
        <f>IF(설정!$D$28="",0,IFERROR(VALUE(SUBSTITUTE(SUBSTITUTE(INDEX(급여대장_원본!$A$1:$AZ$400,(설정!$B$8+89),설정!$D$28)&amp;"",",",""),"　","")),0))</f>
        <v/>
      </c>
      <c r="Z95" s="27">
        <f>IF(설정!$D$29="",0,IFERROR(VALUE(SUBSTITUTE(SUBSTITUTE(INDEX(급여대장_원본!$A$1:$AZ$400,(설정!$B$8+89),설정!$D$29)&amp;"",",",""),"　","")),0))</f>
        <v/>
      </c>
      <c r="AA95" s="27">
        <f>IF(설정!$D$30="",0,IFERROR(VALUE(SUBSTITUTE(SUBSTITUTE(INDEX(급여대장_원본!$A$1:$AZ$400,(설정!$B$8+89),설정!$D$30)&amp;"",",",""),"　","")),0))</f>
        <v/>
      </c>
      <c r="AB95" s="27">
        <f>IF(설정!$D$31="",0,IFERROR(VALUE(SUBSTITUTE(SUBSTITUTE(INDEX(급여대장_원본!$A$1:$AZ$400,(설정!$B$8+89),설정!$D$31)&amp;"",",",""),"　","")),0))</f>
        <v/>
      </c>
      <c r="AC95" s="27">
        <f>IF(설정!$D$32="",0,IFERROR(VALUE(SUBSTITUTE(SUBSTITUTE(INDEX(급여대장_원본!$A$1:$AZ$400,(설정!$B$8+89),설정!$D$32)&amp;"",",",""),"　","")),0))</f>
        <v/>
      </c>
      <c r="AD95" s="27">
        <f>IF(설정!$D$33="",0,IFERROR(VALUE(SUBSTITUTE(SUBSTITUTE(INDEX(급여대장_원본!$A$1:$AZ$400,(설정!$B$8+89),설정!$D$33)&amp;"",",",""),"　","")),0))</f>
        <v/>
      </c>
      <c r="AE95" s="27">
        <f>SUM(W95:AD95)</f>
        <v/>
      </c>
      <c r="AF95" s="27">
        <f>V95-AE95</f>
        <v/>
      </c>
      <c r="AG95" s="27">
        <f>IF(설정!$D$35="","",IF(설정!$D$35="",0,IFERROR(VALUE(SUBSTITUTE(SUBSTITUTE(INDEX(급여대장_원본!$A$1:$AZ$400,(설정!$B$8+89),설정!$D$35)&amp;"",",",""),"　","")),0)))</f>
        <v/>
      </c>
      <c r="AH95" s="27">
        <f>IF(설정!$D$36="","",IF(설정!$D$36="",0,IFERROR(VALUE(SUBSTITUTE(SUBSTITUTE(INDEX(급여대장_원본!$A$1:$AZ$400,(설정!$B$8+89),설정!$D$36)&amp;"",",",""),"　","")),0)))</f>
        <v/>
      </c>
      <c r="AI95" s="27">
        <f>IF(설정!$D$37="","",IF(설정!$D$37="",0,IFERROR(VALUE(SUBSTITUTE(SUBSTITUTE(INDEX(급여대장_원본!$A$1:$AZ$400,(설정!$B$8+89),설정!$D$37)&amp;"",",",""),"　","")),0)))</f>
        <v/>
      </c>
      <c r="AJ95" s="2">
        <f>IFERROR(INDEX($D$7:$D$306,MATCH(89,$B$7:$B$306,0)),"")</f>
        <v/>
      </c>
    </row>
    <row r="96">
      <c r="A96" s="2">
        <f>IF(AND(D96&lt;&gt;"",D96&lt;&gt;"합계",D96&lt;&gt;"총계",D96&lt;&gt;"소계",D96&lt;&gt;"계"),1,0)</f>
        <v/>
      </c>
      <c r="B96" s="2">
        <f>IF(A96=1,SUM($A$7:A96),"")</f>
        <v/>
      </c>
      <c r="C96" s="2">
        <f>IF(설정!$D$13="","",TRIM(SUBSTITUTE(INDEX(급여대장_원본!$A$1:$AZ$400,(설정!$B$8+90),설정!$D$13)&amp;"","　"," ")))</f>
        <v/>
      </c>
      <c r="D96" s="2">
        <f>IF(설정!$D$14="","",TRIM(SUBSTITUTE(INDEX(급여대장_원본!$A$1:$AZ$400,(설정!$B$8+90),설정!$D$14)&amp;"","　"," ")))</f>
        <v/>
      </c>
      <c r="E96" s="2">
        <f>IF(설정!$D$15="","",TRIM(SUBSTITUTE(INDEX(급여대장_원본!$A$1:$AZ$400,(설정!$B$8+90),설정!$D$15)&amp;"","　"," ")))</f>
        <v/>
      </c>
      <c r="F96" s="27">
        <f>IF(설정!$D$17="",0,IFERROR(VALUE(SUBSTITUTE(SUBSTITUTE(INDEX(급여대장_원본!$A$1:$AZ$400,(설정!$B$8+90),설정!$D$17)&amp;"",",",""),"　","")),0))</f>
        <v/>
      </c>
      <c r="G96" s="27">
        <f>IF(설정!$D$18="",0,IFERROR(VALUE(SUBSTITUTE(SUBSTITUTE(INDEX(급여대장_원본!$A$1:$AZ$400,(설정!$B$8+90),설정!$D$18)&amp;"",",",""),"　","")),0))</f>
        <v/>
      </c>
      <c r="H96" s="27">
        <f>IF(설정!$D$19="",0,IFERROR(VALUE(SUBSTITUTE(SUBSTITUTE(INDEX(급여대장_원본!$A$1:$AZ$400,(설정!$B$8+90),설정!$D$19)&amp;"",",",""),"　","")),0))</f>
        <v/>
      </c>
      <c r="I96" s="27">
        <f>IF(설정!$D$20="",0,IFERROR(VALUE(SUBSTITUTE(SUBSTITUTE(INDEX(급여대장_원본!$A$1:$AZ$400,(설정!$B$8+90),설정!$D$20)&amp;"",",",""),"　","")),0))</f>
        <v/>
      </c>
      <c r="J96" s="27">
        <f>IF(설정!$D$21="",0,IFERROR(VALUE(SUBSTITUTE(SUBSTITUTE(INDEX(급여대장_원본!$A$1:$AZ$400,(설정!$B$8+90),설정!$D$21)&amp;"",",",""),"　","")),0))</f>
        <v/>
      </c>
      <c r="K96" s="27">
        <f>IF(설정!$D$22="",0,IFERROR(VALUE(SUBSTITUTE(SUBSTITUTE(INDEX(급여대장_원본!$A$1:$AZ$400,(설정!$B$8+90),설정!$D$22)&amp;"",",",""),"　","")),0))</f>
        <v/>
      </c>
      <c r="L96" s="27">
        <f>IF(설정!$D$23="",0,IFERROR(VALUE(SUBSTITUTE(SUBSTITUTE(INDEX(급여대장_원본!$A$1:$AZ$400,(설정!$B$8+90),설정!$D$23)&amp;"",",",""),"　","")),0))</f>
        <v/>
      </c>
      <c r="M96" s="27">
        <f>IF(설정!$D$24="",0,IFERROR(VALUE(SUBSTITUTE(SUBSTITUTE(INDEX(급여대장_원본!$A$1:$AZ$400,(설정!$B$8+90),설정!$D$24)&amp;"",",",""),"　","")),0))</f>
        <v/>
      </c>
      <c r="N96" s="2">
        <f>IF(OR(설정!$C$17="",IFERROR(MATCH(설정!$C$17,INDEX(급여대장_원본!$A$1:$AZ$400,설정!$B$8,0),0),"")=""),"",IFERROR(VALUE(SUBSTITUTE(INDEX(급여대장_원본!$A$1:$AZ$400,(설정!$B$8+90),IFERROR(MATCH(설정!$C$17,INDEX(급여대장_원본!$A$1:$AZ$400,설정!$B$8,0),0),""))&amp;"",",","")),""))</f>
        <v/>
      </c>
      <c r="O96" s="2">
        <f>IF(OR(설정!$C$18="",IFERROR(MATCH(설정!$C$18,INDEX(급여대장_원본!$A$1:$AZ$400,설정!$B$8,0),0),"")=""),"",IFERROR(VALUE(SUBSTITUTE(INDEX(급여대장_원본!$A$1:$AZ$400,(설정!$B$8+90),IFERROR(MATCH(설정!$C$18,INDEX(급여대장_원본!$A$1:$AZ$400,설정!$B$8,0),0),""))&amp;"",",","")),""))</f>
        <v/>
      </c>
      <c r="P96" s="2">
        <f>IF(OR(설정!$C$19="",IFERROR(MATCH(설정!$C$19,INDEX(급여대장_원본!$A$1:$AZ$400,설정!$B$8,0),0),"")=""),"",IFERROR(VALUE(SUBSTITUTE(INDEX(급여대장_원본!$A$1:$AZ$400,(설정!$B$8+90),IFERROR(MATCH(설정!$C$19,INDEX(급여대장_원본!$A$1:$AZ$400,설정!$B$8,0),0),""))&amp;"",",","")),""))</f>
        <v/>
      </c>
      <c r="Q96" s="2">
        <f>IF(OR(설정!$C$20="",IFERROR(MATCH(설정!$C$20,INDEX(급여대장_원본!$A$1:$AZ$400,설정!$B$8,0),0),"")=""),"",IFERROR(VALUE(SUBSTITUTE(INDEX(급여대장_원본!$A$1:$AZ$400,(설정!$B$8+90),IFERROR(MATCH(설정!$C$20,INDEX(급여대장_원본!$A$1:$AZ$400,설정!$B$8,0),0),""))&amp;"",",","")),""))</f>
        <v/>
      </c>
      <c r="R96" s="2">
        <f>IF(OR(설정!$C$21="",IFERROR(MATCH(설정!$C$21,INDEX(급여대장_원본!$A$1:$AZ$400,설정!$B$8,0),0),"")=""),"",IFERROR(VALUE(SUBSTITUTE(INDEX(급여대장_원본!$A$1:$AZ$400,(설정!$B$8+90),IFERROR(MATCH(설정!$C$21,INDEX(급여대장_원본!$A$1:$AZ$400,설정!$B$8,0),0),""))&amp;"",",","")),""))</f>
        <v/>
      </c>
      <c r="S96" s="2">
        <f>IF(OR(설정!$C$22="",IFERROR(MATCH(설정!$C$22,INDEX(급여대장_원본!$A$1:$AZ$400,설정!$B$8,0),0),"")=""),"",IFERROR(VALUE(SUBSTITUTE(INDEX(급여대장_원본!$A$1:$AZ$400,(설정!$B$8+90),IFERROR(MATCH(설정!$C$22,INDEX(급여대장_원본!$A$1:$AZ$400,설정!$B$8,0),0),""))&amp;"",",","")),""))</f>
        <v/>
      </c>
      <c r="T96" s="2">
        <f>IF(OR(설정!$C$23="",IFERROR(MATCH(설정!$C$23,INDEX(급여대장_원본!$A$1:$AZ$400,설정!$B$8,0),0),"")=""),"",IFERROR(VALUE(SUBSTITUTE(INDEX(급여대장_원본!$A$1:$AZ$400,(설정!$B$8+90),IFERROR(MATCH(설정!$C$23,INDEX(급여대장_원본!$A$1:$AZ$400,설정!$B$8,0),0),""))&amp;"",",","")),""))</f>
        <v/>
      </c>
      <c r="U96" s="2">
        <f>IF(OR(설정!$C$24="",IFERROR(MATCH(설정!$C$24,INDEX(급여대장_원본!$A$1:$AZ$400,설정!$B$8,0),0),"")=""),"",IFERROR(VALUE(SUBSTITUTE(INDEX(급여대장_원본!$A$1:$AZ$400,(설정!$B$8+90),IFERROR(MATCH(설정!$C$24,INDEX(급여대장_원본!$A$1:$AZ$400,설정!$B$8,0),0),""))&amp;"",",","")),""))</f>
        <v/>
      </c>
      <c r="V96" s="27">
        <f>SUM(F96:M96)</f>
        <v/>
      </c>
      <c r="W96" s="27">
        <f>IF(설정!$D$26="",0,IFERROR(VALUE(SUBSTITUTE(SUBSTITUTE(INDEX(급여대장_원본!$A$1:$AZ$400,(설정!$B$8+90),설정!$D$26)&amp;"",",",""),"　","")),0))</f>
        <v/>
      </c>
      <c r="X96" s="27">
        <f>IF(설정!$D$27="",0,IFERROR(VALUE(SUBSTITUTE(SUBSTITUTE(INDEX(급여대장_원본!$A$1:$AZ$400,(설정!$B$8+90),설정!$D$27)&amp;"",",",""),"　","")),0))</f>
        <v/>
      </c>
      <c r="Y96" s="27">
        <f>IF(설정!$D$28="",0,IFERROR(VALUE(SUBSTITUTE(SUBSTITUTE(INDEX(급여대장_원본!$A$1:$AZ$400,(설정!$B$8+90),설정!$D$28)&amp;"",",",""),"　","")),0))</f>
        <v/>
      </c>
      <c r="Z96" s="27">
        <f>IF(설정!$D$29="",0,IFERROR(VALUE(SUBSTITUTE(SUBSTITUTE(INDEX(급여대장_원본!$A$1:$AZ$400,(설정!$B$8+90),설정!$D$29)&amp;"",",",""),"　","")),0))</f>
        <v/>
      </c>
      <c r="AA96" s="27">
        <f>IF(설정!$D$30="",0,IFERROR(VALUE(SUBSTITUTE(SUBSTITUTE(INDEX(급여대장_원본!$A$1:$AZ$400,(설정!$B$8+90),설정!$D$30)&amp;"",",",""),"　","")),0))</f>
        <v/>
      </c>
      <c r="AB96" s="27">
        <f>IF(설정!$D$31="",0,IFERROR(VALUE(SUBSTITUTE(SUBSTITUTE(INDEX(급여대장_원본!$A$1:$AZ$400,(설정!$B$8+90),설정!$D$31)&amp;"",",",""),"　","")),0))</f>
        <v/>
      </c>
      <c r="AC96" s="27">
        <f>IF(설정!$D$32="",0,IFERROR(VALUE(SUBSTITUTE(SUBSTITUTE(INDEX(급여대장_원본!$A$1:$AZ$400,(설정!$B$8+90),설정!$D$32)&amp;"",",",""),"　","")),0))</f>
        <v/>
      </c>
      <c r="AD96" s="27">
        <f>IF(설정!$D$33="",0,IFERROR(VALUE(SUBSTITUTE(SUBSTITUTE(INDEX(급여대장_원본!$A$1:$AZ$400,(설정!$B$8+90),설정!$D$33)&amp;"",",",""),"　","")),0))</f>
        <v/>
      </c>
      <c r="AE96" s="27">
        <f>SUM(W96:AD96)</f>
        <v/>
      </c>
      <c r="AF96" s="27">
        <f>V96-AE96</f>
        <v/>
      </c>
      <c r="AG96" s="27">
        <f>IF(설정!$D$35="","",IF(설정!$D$35="",0,IFERROR(VALUE(SUBSTITUTE(SUBSTITUTE(INDEX(급여대장_원본!$A$1:$AZ$400,(설정!$B$8+90),설정!$D$35)&amp;"",",",""),"　","")),0)))</f>
        <v/>
      </c>
      <c r="AH96" s="27">
        <f>IF(설정!$D$36="","",IF(설정!$D$36="",0,IFERROR(VALUE(SUBSTITUTE(SUBSTITUTE(INDEX(급여대장_원본!$A$1:$AZ$400,(설정!$B$8+90),설정!$D$36)&amp;"",",",""),"　","")),0)))</f>
        <v/>
      </c>
      <c r="AI96" s="27">
        <f>IF(설정!$D$37="","",IF(설정!$D$37="",0,IFERROR(VALUE(SUBSTITUTE(SUBSTITUTE(INDEX(급여대장_원본!$A$1:$AZ$400,(설정!$B$8+90),설정!$D$37)&amp;"",",",""),"　","")),0)))</f>
        <v/>
      </c>
      <c r="AJ96" s="2">
        <f>IFERROR(INDEX($D$7:$D$306,MATCH(90,$B$7:$B$306,0)),"")</f>
        <v/>
      </c>
    </row>
    <row r="97">
      <c r="A97" s="2">
        <f>IF(AND(D97&lt;&gt;"",D97&lt;&gt;"합계",D97&lt;&gt;"총계",D97&lt;&gt;"소계",D97&lt;&gt;"계"),1,0)</f>
        <v/>
      </c>
      <c r="B97" s="2">
        <f>IF(A97=1,SUM($A$7:A97),"")</f>
        <v/>
      </c>
      <c r="C97" s="2">
        <f>IF(설정!$D$13="","",TRIM(SUBSTITUTE(INDEX(급여대장_원본!$A$1:$AZ$400,(설정!$B$8+91),설정!$D$13)&amp;"","　"," ")))</f>
        <v/>
      </c>
      <c r="D97" s="2">
        <f>IF(설정!$D$14="","",TRIM(SUBSTITUTE(INDEX(급여대장_원본!$A$1:$AZ$400,(설정!$B$8+91),설정!$D$14)&amp;"","　"," ")))</f>
        <v/>
      </c>
      <c r="E97" s="2">
        <f>IF(설정!$D$15="","",TRIM(SUBSTITUTE(INDEX(급여대장_원본!$A$1:$AZ$400,(설정!$B$8+91),설정!$D$15)&amp;"","　"," ")))</f>
        <v/>
      </c>
      <c r="F97" s="27">
        <f>IF(설정!$D$17="",0,IFERROR(VALUE(SUBSTITUTE(SUBSTITUTE(INDEX(급여대장_원본!$A$1:$AZ$400,(설정!$B$8+91),설정!$D$17)&amp;"",",",""),"　","")),0))</f>
        <v/>
      </c>
      <c r="G97" s="27">
        <f>IF(설정!$D$18="",0,IFERROR(VALUE(SUBSTITUTE(SUBSTITUTE(INDEX(급여대장_원본!$A$1:$AZ$400,(설정!$B$8+91),설정!$D$18)&amp;"",",",""),"　","")),0))</f>
        <v/>
      </c>
      <c r="H97" s="27">
        <f>IF(설정!$D$19="",0,IFERROR(VALUE(SUBSTITUTE(SUBSTITUTE(INDEX(급여대장_원본!$A$1:$AZ$400,(설정!$B$8+91),설정!$D$19)&amp;"",",",""),"　","")),0))</f>
        <v/>
      </c>
      <c r="I97" s="27">
        <f>IF(설정!$D$20="",0,IFERROR(VALUE(SUBSTITUTE(SUBSTITUTE(INDEX(급여대장_원본!$A$1:$AZ$400,(설정!$B$8+91),설정!$D$20)&amp;"",",",""),"　","")),0))</f>
        <v/>
      </c>
      <c r="J97" s="27">
        <f>IF(설정!$D$21="",0,IFERROR(VALUE(SUBSTITUTE(SUBSTITUTE(INDEX(급여대장_원본!$A$1:$AZ$400,(설정!$B$8+91),설정!$D$21)&amp;"",",",""),"　","")),0))</f>
        <v/>
      </c>
      <c r="K97" s="27">
        <f>IF(설정!$D$22="",0,IFERROR(VALUE(SUBSTITUTE(SUBSTITUTE(INDEX(급여대장_원본!$A$1:$AZ$400,(설정!$B$8+91),설정!$D$22)&amp;"",",",""),"　","")),0))</f>
        <v/>
      </c>
      <c r="L97" s="27">
        <f>IF(설정!$D$23="",0,IFERROR(VALUE(SUBSTITUTE(SUBSTITUTE(INDEX(급여대장_원본!$A$1:$AZ$400,(설정!$B$8+91),설정!$D$23)&amp;"",",",""),"　","")),0))</f>
        <v/>
      </c>
      <c r="M97" s="27">
        <f>IF(설정!$D$24="",0,IFERROR(VALUE(SUBSTITUTE(SUBSTITUTE(INDEX(급여대장_원본!$A$1:$AZ$400,(설정!$B$8+91),설정!$D$24)&amp;"",",",""),"　","")),0))</f>
        <v/>
      </c>
      <c r="N97" s="2">
        <f>IF(OR(설정!$C$17="",IFERROR(MATCH(설정!$C$17,INDEX(급여대장_원본!$A$1:$AZ$400,설정!$B$8,0),0),"")=""),"",IFERROR(VALUE(SUBSTITUTE(INDEX(급여대장_원본!$A$1:$AZ$400,(설정!$B$8+91),IFERROR(MATCH(설정!$C$17,INDEX(급여대장_원본!$A$1:$AZ$400,설정!$B$8,0),0),""))&amp;"",",","")),""))</f>
        <v/>
      </c>
      <c r="O97" s="2">
        <f>IF(OR(설정!$C$18="",IFERROR(MATCH(설정!$C$18,INDEX(급여대장_원본!$A$1:$AZ$400,설정!$B$8,0),0),"")=""),"",IFERROR(VALUE(SUBSTITUTE(INDEX(급여대장_원본!$A$1:$AZ$400,(설정!$B$8+91),IFERROR(MATCH(설정!$C$18,INDEX(급여대장_원본!$A$1:$AZ$400,설정!$B$8,0),0),""))&amp;"",",","")),""))</f>
        <v/>
      </c>
      <c r="P97" s="2">
        <f>IF(OR(설정!$C$19="",IFERROR(MATCH(설정!$C$19,INDEX(급여대장_원본!$A$1:$AZ$400,설정!$B$8,0),0),"")=""),"",IFERROR(VALUE(SUBSTITUTE(INDEX(급여대장_원본!$A$1:$AZ$400,(설정!$B$8+91),IFERROR(MATCH(설정!$C$19,INDEX(급여대장_원본!$A$1:$AZ$400,설정!$B$8,0),0),""))&amp;"",",","")),""))</f>
        <v/>
      </c>
      <c r="Q97" s="2">
        <f>IF(OR(설정!$C$20="",IFERROR(MATCH(설정!$C$20,INDEX(급여대장_원본!$A$1:$AZ$400,설정!$B$8,0),0),"")=""),"",IFERROR(VALUE(SUBSTITUTE(INDEX(급여대장_원본!$A$1:$AZ$400,(설정!$B$8+91),IFERROR(MATCH(설정!$C$20,INDEX(급여대장_원본!$A$1:$AZ$400,설정!$B$8,0),0),""))&amp;"",",","")),""))</f>
        <v/>
      </c>
      <c r="R97" s="2">
        <f>IF(OR(설정!$C$21="",IFERROR(MATCH(설정!$C$21,INDEX(급여대장_원본!$A$1:$AZ$400,설정!$B$8,0),0),"")=""),"",IFERROR(VALUE(SUBSTITUTE(INDEX(급여대장_원본!$A$1:$AZ$400,(설정!$B$8+91),IFERROR(MATCH(설정!$C$21,INDEX(급여대장_원본!$A$1:$AZ$400,설정!$B$8,0),0),""))&amp;"",",","")),""))</f>
        <v/>
      </c>
      <c r="S97" s="2">
        <f>IF(OR(설정!$C$22="",IFERROR(MATCH(설정!$C$22,INDEX(급여대장_원본!$A$1:$AZ$400,설정!$B$8,0),0),"")=""),"",IFERROR(VALUE(SUBSTITUTE(INDEX(급여대장_원본!$A$1:$AZ$400,(설정!$B$8+91),IFERROR(MATCH(설정!$C$22,INDEX(급여대장_원본!$A$1:$AZ$400,설정!$B$8,0),0),""))&amp;"",",","")),""))</f>
        <v/>
      </c>
      <c r="T97" s="2">
        <f>IF(OR(설정!$C$23="",IFERROR(MATCH(설정!$C$23,INDEX(급여대장_원본!$A$1:$AZ$400,설정!$B$8,0),0),"")=""),"",IFERROR(VALUE(SUBSTITUTE(INDEX(급여대장_원본!$A$1:$AZ$400,(설정!$B$8+91),IFERROR(MATCH(설정!$C$23,INDEX(급여대장_원본!$A$1:$AZ$400,설정!$B$8,0),0),""))&amp;"",",","")),""))</f>
        <v/>
      </c>
      <c r="U97" s="2">
        <f>IF(OR(설정!$C$24="",IFERROR(MATCH(설정!$C$24,INDEX(급여대장_원본!$A$1:$AZ$400,설정!$B$8,0),0),"")=""),"",IFERROR(VALUE(SUBSTITUTE(INDEX(급여대장_원본!$A$1:$AZ$400,(설정!$B$8+91),IFERROR(MATCH(설정!$C$24,INDEX(급여대장_원본!$A$1:$AZ$400,설정!$B$8,0),0),""))&amp;"",",","")),""))</f>
        <v/>
      </c>
      <c r="V97" s="27">
        <f>SUM(F97:M97)</f>
        <v/>
      </c>
      <c r="W97" s="27">
        <f>IF(설정!$D$26="",0,IFERROR(VALUE(SUBSTITUTE(SUBSTITUTE(INDEX(급여대장_원본!$A$1:$AZ$400,(설정!$B$8+91),설정!$D$26)&amp;"",",",""),"　","")),0))</f>
        <v/>
      </c>
      <c r="X97" s="27">
        <f>IF(설정!$D$27="",0,IFERROR(VALUE(SUBSTITUTE(SUBSTITUTE(INDEX(급여대장_원본!$A$1:$AZ$400,(설정!$B$8+91),설정!$D$27)&amp;"",",",""),"　","")),0))</f>
        <v/>
      </c>
      <c r="Y97" s="27">
        <f>IF(설정!$D$28="",0,IFERROR(VALUE(SUBSTITUTE(SUBSTITUTE(INDEX(급여대장_원본!$A$1:$AZ$400,(설정!$B$8+91),설정!$D$28)&amp;"",",",""),"　","")),0))</f>
        <v/>
      </c>
      <c r="Z97" s="27">
        <f>IF(설정!$D$29="",0,IFERROR(VALUE(SUBSTITUTE(SUBSTITUTE(INDEX(급여대장_원본!$A$1:$AZ$400,(설정!$B$8+91),설정!$D$29)&amp;"",",",""),"　","")),0))</f>
        <v/>
      </c>
      <c r="AA97" s="27">
        <f>IF(설정!$D$30="",0,IFERROR(VALUE(SUBSTITUTE(SUBSTITUTE(INDEX(급여대장_원본!$A$1:$AZ$400,(설정!$B$8+91),설정!$D$30)&amp;"",",",""),"　","")),0))</f>
        <v/>
      </c>
      <c r="AB97" s="27">
        <f>IF(설정!$D$31="",0,IFERROR(VALUE(SUBSTITUTE(SUBSTITUTE(INDEX(급여대장_원본!$A$1:$AZ$400,(설정!$B$8+91),설정!$D$31)&amp;"",",",""),"　","")),0))</f>
        <v/>
      </c>
      <c r="AC97" s="27">
        <f>IF(설정!$D$32="",0,IFERROR(VALUE(SUBSTITUTE(SUBSTITUTE(INDEX(급여대장_원본!$A$1:$AZ$400,(설정!$B$8+91),설정!$D$32)&amp;"",",",""),"　","")),0))</f>
        <v/>
      </c>
      <c r="AD97" s="27">
        <f>IF(설정!$D$33="",0,IFERROR(VALUE(SUBSTITUTE(SUBSTITUTE(INDEX(급여대장_원본!$A$1:$AZ$400,(설정!$B$8+91),설정!$D$33)&amp;"",",",""),"　","")),0))</f>
        <v/>
      </c>
      <c r="AE97" s="27">
        <f>SUM(W97:AD97)</f>
        <v/>
      </c>
      <c r="AF97" s="27">
        <f>V97-AE97</f>
        <v/>
      </c>
      <c r="AG97" s="27">
        <f>IF(설정!$D$35="","",IF(설정!$D$35="",0,IFERROR(VALUE(SUBSTITUTE(SUBSTITUTE(INDEX(급여대장_원본!$A$1:$AZ$400,(설정!$B$8+91),설정!$D$35)&amp;"",",",""),"　","")),0)))</f>
        <v/>
      </c>
      <c r="AH97" s="27">
        <f>IF(설정!$D$36="","",IF(설정!$D$36="",0,IFERROR(VALUE(SUBSTITUTE(SUBSTITUTE(INDEX(급여대장_원본!$A$1:$AZ$400,(설정!$B$8+91),설정!$D$36)&amp;"",",",""),"　","")),0)))</f>
        <v/>
      </c>
      <c r="AI97" s="27">
        <f>IF(설정!$D$37="","",IF(설정!$D$37="",0,IFERROR(VALUE(SUBSTITUTE(SUBSTITUTE(INDEX(급여대장_원본!$A$1:$AZ$400,(설정!$B$8+91),설정!$D$37)&amp;"",",",""),"　","")),0)))</f>
        <v/>
      </c>
      <c r="AJ97" s="2">
        <f>IFERROR(INDEX($D$7:$D$306,MATCH(91,$B$7:$B$306,0)),"")</f>
        <v/>
      </c>
    </row>
    <row r="98">
      <c r="A98" s="2">
        <f>IF(AND(D98&lt;&gt;"",D98&lt;&gt;"합계",D98&lt;&gt;"총계",D98&lt;&gt;"소계",D98&lt;&gt;"계"),1,0)</f>
        <v/>
      </c>
      <c r="B98" s="2">
        <f>IF(A98=1,SUM($A$7:A98),"")</f>
        <v/>
      </c>
      <c r="C98" s="2">
        <f>IF(설정!$D$13="","",TRIM(SUBSTITUTE(INDEX(급여대장_원본!$A$1:$AZ$400,(설정!$B$8+92),설정!$D$13)&amp;"","　"," ")))</f>
        <v/>
      </c>
      <c r="D98" s="2">
        <f>IF(설정!$D$14="","",TRIM(SUBSTITUTE(INDEX(급여대장_원본!$A$1:$AZ$400,(설정!$B$8+92),설정!$D$14)&amp;"","　"," ")))</f>
        <v/>
      </c>
      <c r="E98" s="2">
        <f>IF(설정!$D$15="","",TRIM(SUBSTITUTE(INDEX(급여대장_원본!$A$1:$AZ$400,(설정!$B$8+92),설정!$D$15)&amp;"","　"," ")))</f>
        <v/>
      </c>
      <c r="F98" s="27">
        <f>IF(설정!$D$17="",0,IFERROR(VALUE(SUBSTITUTE(SUBSTITUTE(INDEX(급여대장_원본!$A$1:$AZ$400,(설정!$B$8+92),설정!$D$17)&amp;"",",",""),"　","")),0))</f>
        <v/>
      </c>
      <c r="G98" s="27">
        <f>IF(설정!$D$18="",0,IFERROR(VALUE(SUBSTITUTE(SUBSTITUTE(INDEX(급여대장_원본!$A$1:$AZ$400,(설정!$B$8+92),설정!$D$18)&amp;"",",",""),"　","")),0))</f>
        <v/>
      </c>
      <c r="H98" s="27">
        <f>IF(설정!$D$19="",0,IFERROR(VALUE(SUBSTITUTE(SUBSTITUTE(INDEX(급여대장_원본!$A$1:$AZ$400,(설정!$B$8+92),설정!$D$19)&amp;"",",",""),"　","")),0))</f>
        <v/>
      </c>
      <c r="I98" s="27">
        <f>IF(설정!$D$20="",0,IFERROR(VALUE(SUBSTITUTE(SUBSTITUTE(INDEX(급여대장_원본!$A$1:$AZ$400,(설정!$B$8+92),설정!$D$20)&amp;"",",",""),"　","")),0))</f>
        <v/>
      </c>
      <c r="J98" s="27">
        <f>IF(설정!$D$21="",0,IFERROR(VALUE(SUBSTITUTE(SUBSTITUTE(INDEX(급여대장_원본!$A$1:$AZ$400,(설정!$B$8+92),설정!$D$21)&amp;"",",",""),"　","")),0))</f>
        <v/>
      </c>
      <c r="K98" s="27">
        <f>IF(설정!$D$22="",0,IFERROR(VALUE(SUBSTITUTE(SUBSTITUTE(INDEX(급여대장_원본!$A$1:$AZ$400,(설정!$B$8+92),설정!$D$22)&amp;"",",",""),"　","")),0))</f>
        <v/>
      </c>
      <c r="L98" s="27">
        <f>IF(설정!$D$23="",0,IFERROR(VALUE(SUBSTITUTE(SUBSTITUTE(INDEX(급여대장_원본!$A$1:$AZ$400,(설정!$B$8+92),설정!$D$23)&amp;"",",",""),"　","")),0))</f>
        <v/>
      </c>
      <c r="M98" s="27">
        <f>IF(설정!$D$24="",0,IFERROR(VALUE(SUBSTITUTE(SUBSTITUTE(INDEX(급여대장_원본!$A$1:$AZ$400,(설정!$B$8+92),설정!$D$24)&amp;"",",",""),"　","")),0))</f>
        <v/>
      </c>
      <c r="N98" s="2">
        <f>IF(OR(설정!$C$17="",IFERROR(MATCH(설정!$C$17,INDEX(급여대장_원본!$A$1:$AZ$400,설정!$B$8,0),0),"")=""),"",IFERROR(VALUE(SUBSTITUTE(INDEX(급여대장_원본!$A$1:$AZ$400,(설정!$B$8+92),IFERROR(MATCH(설정!$C$17,INDEX(급여대장_원본!$A$1:$AZ$400,설정!$B$8,0),0),""))&amp;"",",","")),""))</f>
        <v/>
      </c>
      <c r="O98" s="2">
        <f>IF(OR(설정!$C$18="",IFERROR(MATCH(설정!$C$18,INDEX(급여대장_원본!$A$1:$AZ$400,설정!$B$8,0),0),"")=""),"",IFERROR(VALUE(SUBSTITUTE(INDEX(급여대장_원본!$A$1:$AZ$400,(설정!$B$8+92),IFERROR(MATCH(설정!$C$18,INDEX(급여대장_원본!$A$1:$AZ$400,설정!$B$8,0),0),""))&amp;"",",","")),""))</f>
        <v/>
      </c>
      <c r="P98" s="2">
        <f>IF(OR(설정!$C$19="",IFERROR(MATCH(설정!$C$19,INDEX(급여대장_원본!$A$1:$AZ$400,설정!$B$8,0),0),"")=""),"",IFERROR(VALUE(SUBSTITUTE(INDEX(급여대장_원본!$A$1:$AZ$400,(설정!$B$8+92),IFERROR(MATCH(설정!$C$19,INDEX(급여대장_원본!$A$1:$AZ$400,설정!$B$8,0),0),""))&amp;"",",","")),""))</f>
        <v/>
      </c>
      <c r="Q98" s="2">
        <f>IF(OR(설정!$C$20="",IFERROR(MATCH(설정!$C$20,INDEX(급여대장_원본!$A$1:$AZ$400,설정!$B$8,0),0),"")=""),"",IFERROR(VALUE(SUBSTITUTE(INDEX(급여대장_원본!$A$1:$AZ$400,(설정!$B$8+92),IFERROR(MATCH(설정!$C$20,INDEX(급여대장_원본!$A$1:$AZ$400,설정!$B$8,0),0),""))&amp;"",",","")),""))</f>
        <v/>
      </c>
      <c r="R98" s="2">
        <f>IF(OR(설정!$C$21="",IFERROR(MATCH(설정!$C$21,INDEX(급여대장_원본!$A$1:$AZ$400,설정!$B$8,0),0),"")=""),"",IFERROR(VALUE(SUBSTITUTE(INDEX(급여대장_원본!$A$1:$AZ$400,(설정!$B$8+92),IFERROR(MATCH(설정!$C$21,INDEX(급여대장_원본!$A$1:$AZ$400,설정!$B$8,0),0),""))&amp;"",",","")),""))</f>
        <v/>
      </c>
      <c r="S98" s="2">
        <f>IF(OR(설정!$C$22="",IFERROR(MATCH(설정!$C$22,INDEX(급여대장_원본!$A$1:$AZ$400,설정!$B$8,0),0),"")=""),"",IFERROR(VALUE(SUBSTITUTE(INDEX(급여대장_원본!$A$1:$AZ$400,(설정!$B$8+92),IFERROR(MATCH(설정!$C$22,INDEX(급여대장_원본!$A$1:$AZ$400,설정!$B$8,0),0),""))&amp;"",",","")),""))</f>
        <v/>
      </c>
      <c r="T98" s="2">
        <f>IF(OR(설정!$C$23="",IFERROR(MATCH(설정!$C$23,INDEX(급여대장_원본!$A$1:$AZ$400,설정!$B$8,0),0),"")=""),"",IFERROR(VALUE(SUBSTITUTE(INDEX(급여대장_원본!$A$1:$AZ$400,(설정!$B$8+92),IFERROR(MATCH(설정!$C$23,INDEX(급여대장_원본!$A$1:$AZ$400,설정!$B$8,0),0),""))&amp;"",",","")),""))</f>
        <v/>
      </c>
      <c r="U98" s="2">
        <f>IF(OR(설정!$C$24="",IFERROR(MATCH(설정!$C$24,INDEX(급여대장_원본!$A$1:$AZ$400,설정!$B$8,0),0),"")=""),"",IFERROR(VALUE(SUBSTITUTE(INDEX(급여대장_원본!$A$1:$AZ$400,(설정!$B$8+92),IFERROR(MATCH(설정!$C$24,INDEX(급여대장_원본!$A$1:$AZ$400,설정!$B$8,0),0),""))&amp;"",",","")),""))</f>
        <v/>
      </c>
      <c r="V98" s="27">
        <f>SUM(F98:M98)</f>
        <v/>
      </c>
      <c r="W98" s="27">
        <f>IF(설정!$D$26="",0,IFERROR(VALUE(SUBSTITUTE(SUBSTITUTE(INDEX(급여대장_원본!$A$1:$AZ$400,(설정!$B$8+92),설정!$D$26)&amp;"",",",""),"　","")),0))</f>
        <v/>
      </c>
      <c r="X98" s="27">
        <f>IF(설정!$D$27="",0,IFERROR(VALUE(SUBSTITUTE(SUBSTITUTE(INDEX(급여대장_원본!$A$1:$AZ$400,(설정!$B$8+92),설정!$D$27)&amp;"",",",""),"　","")),0))</f>
        <v/>
      </c>
      <c r="Y98" s="27">
        <f>IF(설정!$D$28="",0,IFERROR(VALUE(SUBSTITUTE(SUBSTITUTE(INDEX(급여대장_원본!$A$1:$AZ$400,(설정!$B$8+92),설정!$D$28)&amp;"",",",""),"　","")),0))</f>
        <v/>
      </c>
      <c r="Z98" s="27">
        <f>IF(설정!$D$29="",0,IFERROR(VALUE(SUBSTITUTE(SUBSTITUTE(INDEX(급여대장_원본!$A$1:$AZ$400,(설정!$B$8+92),설정!$D$29)&amp;"",",",""),"　","")),0))</f>
        <v/>
      </c>
      <c r="AA98" s="27">
        <f>IF(설정!$D$30="",0,IFERROR(VALUE(SUBSTITUTE(SUBSTITUTE(INDEX(급여대장_원본!$A$1:$AZ$400,(설정!$B$8+92),설정!$D$30)&amp;"",",",""),"　","")),0))</f>
        <v/>
      </c>
      <c r="AB98" s="27">
        <f>IF(설정!$D$31="",0,IFERROR(VALUE(SUBSTITUTE(SUBSTITUTE(INDEX(급여대장_원본!$A$1:$AZ$400,(설정!$B$8+92),설정!$D$31)&amp;"",",",""),"　","")),0))</f>
        <v/>
      </c>
      <c r="AC98" s="27">
        <f>IF(설정!$D$32="",0,IFERROR(VALUE(SUBSTITUTE(SUBSTITUTE(INDEX(급여대장_원본!$A$1:$AZ$400,(설정!$B$8+92),설정!$D$32)&amp;"",",",""),"　","")),0))</f>
        <v/>
      </c>
      <c r="AD98" s="27">
        <f>IF(설정!$D$33="",0,IFERROR(VALUE(SUBSTITUTE(SUBSTITUTE(INDEX(급여대장_원본!$A$1:$AZ$400,(설정!$B$8+92),설정!$D$33)&amp;"",",",""),"　","")),0))</f>
        <v/>
      </c>
      <c r="AE98" s="27">
        <f>SUM(W98:AD98)</f>
        <v/>
      </c>
      <c r="AF98" s="27">
        <f>V98-AE98</f>
        <v/>
      </c>
      <c r="AG98" s="27">
        <f>IF(설정!$D$35="","",IF(설정!$D$35="",0,IFERROR(VALUE(SUBSTITUTE(SUBSTITUTE(INDEX(급여대장_원본!$A$1:$AZ$400,(설정!$B$8+92),설정!$D$35)&amp;"",",",""),"　","")),0)))</f>
        <v/>
      </c>
      <c r="AH98" s="27">
        <f>IF(설정!$D$36="","",IF(설정!$D$36="",0,IFERROR(VALUE(SUBSTITUTE(SUBSTITUTE(INDEX(급여대장_원본!$A$1:$AZ$400,(설정!$B$8+92),설정!$D$36)&amp;"",",",""),"　","")),0)))</f>
        <v/>
      </c>
      <c r="AI98" s="27">
        <f>IF(설정!$D$37="","",IF(설정!$D$37="",0,IFERROR(VALUE(SUBSTITUTE(SUBSTITUTE(INDEX(급여대장_원본!$A$1:$AZ$400,(설정!$B$8+92),설정!$D$37)&amp;"",",",""),"　","")),0)))</f>
        <v/>
      </c>
      <c r="AJ98" s="2">
        <f>IFERROR(INDEX($D$7:$D$306,MATCH(92,$B$7:$B$306,0)),"")</f>
        <v/>
      </c>
    </row>
    <row r="99">
      <c r="A99" s="2">
        <f>IF(AND(D99&lt;&gt;"",D99&lt;&gt;"합계",D99&lt;&gt;"총계",D99&lt;&gt;"소계",D99&lt;&gt;"계"),1,0)</f>
        <v/>
      </c>
      <c r="B99" s="2">
        <f>IF(A99=1,SUM($A$7:A99),"")</f>
        <v/>
      </c>
      <c r="C99" s="2">
        <f>IF(설정!$D$13="","",TRIM(SUBSTITUTE(INDEX(급여대장_원본!$A$1:$AZ$400,(설정!$B$8+93),설정!$D$13)&amp;"","　"," ")))</f>
        <v/>
      </c>
      <c r="D99" s="2">
        <f>IF(설정!$D$14="","",TRIM(SUBSTITUTE(INDEX(급여대장_원본!$A$1:$AZ$400,(설정!$B$8+93),설정!$D$14)&amp;"","　"," ")))</f>
        <v/>
      </c>
      <c r="E99" s="2">
        <f>IF(설정!$D$15="","",TRIM(SUBSTITUTE(INDEX(급여대장_원본!$A$1:$AZ$400,(설정!$B$8+93),설정!$D$15)&amp;"","　"," ")))</f>
        <v/>
      </c>
      <c r="F99" s="27">
        <f>IF(설정!$D$17="",0,IFERROR(VALUE(SUBSTITUTE(SUBSTITUTE(INDEX(급여대장_원본!$A$1:$AZ$400,(설정!$B$8+93),설정!$D$17)&amp;"",",",""),"　","")),0))</f>
        <v/>
      </c>
      <c r="G99" s="27">
        <f>IF(설정!$D$18="",0,IFERROR(VALUE(SUBSTITUTE(SUBSTITUTE(INDEX(급여대장_원본!$A$1:$AZ$400,(설정!$B$8+93),설정!$D$18)&amp;"",",",""),"　","")),0))</f>
        <v/>
      </c>
      <c r="H99" s="27">
        <f>IF(설정!$D$19="",0,IFERROR(VALUE(SUBSTITUTE(SUBSTITUTE(INDEX(급여대장_원본!$A$1:$AZ$400,(설정!$B$8+93),설정!$D$19)&amp;"",",",""),"　","")),0))</f>
        <v/>
      </c>
      <c r="I99" s="27">
        <f>IF(설정!$D$20="",0,IFERROR(VALUE(SUBSTITUTE(SUBSTITUTE(INDEX(급여대장_원본!$A$1:$AZ$400,(설정!$B$8+93),설정!$D$20)&amp;"",",",""),"　","")),0))</f>
        <v/>
      </c>
      <c r="J99" s="27">
        <f>IF(설정!$D$21="",0,IFERROR(VALUE(SUBSTITUTE(SUBSTITUTE(INDEX(급여대장_원본!$A$1:$AZ$400,(설정!$B$8+93),설정!$D$21)&amp;"",",",""),"　","")),0))</f>
        <v/>
      </c>
      <c r="K99" s="27">
        <f>IF(설정!$D$22="",0,IFERROR(VALUE(SUBSTITUTE(SUBSTITUTE(INDEX(급여대장_원본!$A$1:$AZ$400,(설정!$B$8+93),설정!$D$22)&amp;"",",",""),"　","")),0))</f>
        <v/>
      </c>
      <c r="L99" s="27">
        <f>IF(설정!$D$23="",0,IFERROR(VALUE(SUBSTITUTE(SUBSTITUTE(INDEX(급여대장_원본!$A$1:$AZ$400,(설정!$B$8+93),설정!$D$23)&amp;"",",",""),"　","")),0))</f>
        <v/>
      </c>
      <c r="M99" s="27">
        <f>IF(설정!$D$24="",0,IFERROR(VALUE(SUBSTITUTE(SUBSTITUTE(INDEX(급여대장_원본!$A$1:$AZ$400,(설정!$B$8+93),설정!$D$24)&amp;"",",",""),"　","")),0))</f>
        <v/>
      </c>
      <c r="N99" s="2">
        <f>IF(OR(설정!$C$17="",IFERROR(MATCH(설정!$C$17,INDEX(급여대장_원본!$A$1:$AZ$400,설정!$B$8,0),0),"")=""),"",IFERROR(VALUE(SUBSTITUTE(INDEX(급여대장_원본!$A$1:$AZ$400,(설정!$B$8+93),IFERROR(MATCH(설정!$C$17,INDEX(급여대장_원본!$A$1:$AZ$400,설정!$B$8,0),0),""))&amp;"",",","")),""))</f>
        <v/>
      </c>
      <c r="O99" s="2">
        <f>IF(OR(설정!$C$18="",IFERROR(MATCH(설정!$C$18,INDEX(급여대장_원본!$A$1:$AZ$400,설정!$B$8,0),0),"")=""),"",IFERROR(VALUE(SUBSTITUTE(INDEX(급여대장_원본!$A$1:$AZ$400,(설정!$B$8+93),IFERROR(MATCH(설정!$C$18,INDEX(급여대장_원본!$A$1:$AZ$400,설정!$B$8,0),0),""))&amp;"",",","")),""))</f>
        <v/>
      </c>
      <c r="P99" s="2">
        <f>IF(OR(설정!$C$19="",IFERROR(MATCH(설정!$C$19,INDEX(급여대장_원본!$A$1:$AZ$400,설정!$B$8,0),0),"")=""),"",IFERROR(VALUE(SUBSTITUTE(INDEX(급여대장_원본!$A$1:$AZ$400,(설정!$B$8+93),IFERROR(MATCH(설정!$C$19,INDEX(급여대장_원본!$A$1:$AZ$400,설정!$B$8,0),0),""))&amp;"",",","")),""))</f>
        <v/>
      </c>
      <c r="Q99" s="2">
        <f>IF(OR(설정!$C$20="",IFERROR(MATCH(설정!$C$20,INDEX(급여대장_원본!$A$1:$AZ$400,설정!$B$8,0),0),"")=""),"",IFERROR(VALUE(SUBSTITUTE(INDEX(급여대장_원본!$A$1:$AZ$400,(설정!$B$8+93),IFERROR(MATCH(설정!$C$20,INDEX(급여대장_원본!$A$1:$AZ$400,설정!$B$8,0),0),""))&amp;"",",","")),""))</f>
        <v/>
      </c>
      <c r="R99" s="2">
        <f>IF(OR(설정!$C$21="",IFERROR(MATCH(설정!$C$21,INDEX(급여대장_원본!$A$1:$AZ$400,설정!$B$8,0),0),"")=""),"",IFERROR(VALUE(SUBSTITUTE(INDEX(급여대장_원본!$A$1:$AZ$400,(설정!$B$8+93),IFERROR(MATCH(설정!$C$21,INDEX(급여대장_원본!$A$1:$AZ$400,설정!$B$8,0),0),""))&amp;"",",","")),""))</f>
        <v/>
      </c>
      <c r="S99" s="2">
        <f>IF(OR(설정!$C$22="",IFERROR(MATCH(설정!$C$22,INDEX(급여대장_원본!$A$1:$AZ$400,설정!$B$8,0),0),"")=""),"",IFERROR(VALUE(SUBSTITUTE(INDEX(급여대장_원본!$A$1:$AZ$400,(설정!$B$8+93),IFERROR(MATCH(설정!$C$22,INDEX(급여대장_원본!$A$1:$AZ$400,설정!$B$8,0),0),""))&amp;"",",","")),""))</f>
        <v/>
      </c>
      <c r="T99" s="2">
        <f>IF(OR(설정!$C$23="",IFERROR(MATCH(설정!$C$23,INDEX(급여대장_원본!$A$1:$AZ$400,설정!$B$8,0),0),"")=""),"",IFERROR(VALUE(SUBSTITUTE(INDEX(급여대장_원본!$A$1:$AZ$400,(설정!$B$8+93),IFERROR(MATCH(설정!$C$23,INDEX(급여대장_원본!$A$1:$AZ$400,설정!$B$8,0),0),""))&amp;"",",","")),""))</f>
        <v/>
      </c>
      <c r="U99" s="2">
        <f>IF(OR(설정!$C$24="",IFERROR(MATCH(설정!$C$24,INDEX(급여대장_원본!$A$1:$AZ$400,설정!$B$8,0),0),"")=""),"",IFERROR(VALUE(SUBSTITUTE(INDEX(급여대장_원본!$A$1:$AZ$400,(설정!$B$8+93),IFERROR(MATCH(설정!$C$24,INDEX(급여대장_원본!$A$1:$AZ$400,설정!$B$8,0),0),""))&amp;"",",","")),""))</f>
        <v/>
      </c>
      <c r="V99" s="27">
        <f>SUM(F99:M99)</f>
        <v/>
      </c>
      <c r="W99" s="27">
        <f>IF(설정!$D$26="",0,IFERROR(VALUE(SUBSTITUTE(SUBSTITUTE(INDEX(급여대장_원본!$A$1:$AZ$400,(설정!$B$8+93),설정!$D$26)&amp;"",",",""),"　","")),0))</f>
        <v/>
      </c>
      <c r="X99" s="27">
        <f>IF(설정!$D$27="",0,IFERROR(VALUE(SUBSTITUTE(SUBSTITUTE(INDEX(급여대장_원본!$A$1:$AZ$400,(설정!$B$8+93),설정!$D$27)&amp;"",",",""),"　","")),0))</f>
        <v/>
      </c>
      <c r="Y99" s="27">
        <f>IF(설정!$D$28="",0,IFERROR(VALUE(SUBSTITUTE(SUBSTITUTE(INDEX(급여대장_원본!$A$1:$AZ$400,(설정!$B$8+93),설정!$D$28)&amp;"",",",""),"　","")),0))</f>
        <v/>
      </c>
      <c r="Z99" s="27">
        <f>IF(설정!$D$29="",0,IFERROR(VALUE(SUBSTITUTE(SUBSTITUTE(INDEX(급여대장_원본!$A$1:$AZ$400,(설정!$B$8+93),설정!$D$29)&amp;"",",",""),"　","")),0))</f>
        <v/>
      </c>
      <c r="AA99" s="27">
        <f>IF(설정!$D$30="",0,IFERROR(VALUE(SUBSTITUTE(SUBSTITUTE(INDEX(급여대장_원본!$A$1:$AZ$400,(설정!$B$8+93),설정!$D$30)&amp;"",",",""),"　","")),0))</f>
        <v/>
      </c>
      <c r="AB99" s="27">
        <f>IF(설정!$D$31="",0,IFERROR(VALUE(SUBSTITUTE(SUBSTITUTE(INDEX(급여대장_원본!$A$1:$AZ$400,(설정!$B$8+93),설정!$D$31)&amp;"",",",""),"　","")),0))</f>
        <v/>
      </c>
      <c r="AC99" s="27">
        <f>IF(설정!$D$32="",0,IFERROR(VALUE(SUBSTITUTE(SUBSTITUTE(INDEX(급여대장_원본!$A$1:$AZ$400,(설정!$B$8+93),설정!$D$32)&amp;"",",",""),"　","")),0))</f>
        <v/>
      </c>
      <c r="AD99" s="27">
        <f>IF(설정!$D$33="",0,IFERROR(VALUE(SUBSTITUTE(SUBSTITUTE(INDEX(급여대장_원본!$A$1:$AZ$400,(설정!$B$8+93),설정!$D$33)&amp;"",",",""),"　","")),0))</f>
        <v/>
      </c>
      <c r="AE99" s="27">
        <f>SUM(W99:AD99)</f>
        <v/>
      </c>
      <c r="AF99" s="27">
        <f>V99-AE99</f>
        <v/>
      </c>
      <c r="AG99" s="27">
        <f>IF(설정!$D$35="","",IF(설정!$D$35="",0,IFERROR(VALUE(SUBSTITUTE(SUBSTITUTE(INDEX(급여대장_원본!$A$1:$AZ$400,(설정!$B$8+93),설정!$D$35)&amp;"",",",""),"　","")),0)))</f>
        <v/>
      </c>
      <c r="AH99" s="27">
        <f>IF(설정!$D$36="","",IF(설정!$D$36="",0,IFERROR(VALUE(SUBSTITUTE(SUBSTITUTE(INDEX(급여대장_원본!$A$1:$AZ$400,(설정!$B$8+93),설정!$D$36)&amp;"",",",""),"　","")),0)))</f>
        <v/>
      </c>
      <c r="AI99" s="27">
        <f>IF(설정!$D$37="","",IF(설정!$D$37="",0,IFERROR(VALUE(SUBSTITUTE(SUBSTITUTE(INDEX(급여대장_원본!$A$1:$AZ$400,(설정!$B$8+93),설정!$D$37)&amp;"",",",""),"　","")),0)))</f>
        <v/>
      </c>
      <c r="AJ99" s="2">
        <f>IFERROR(INDEX($D$7:$D$306,MATCH(93,$B$7:$B$306,0)),"")</f>
        <v/>
      </c>
    </row>
    <row r="100">
      <c r="A100" s="2">
        <f>IF(AND(D100&lt;&gt;"",D100&lt;&gt;"합계",D100&lt;&gt;"총계",D100&lt;&gt;"소계",D100&lt;&gt;"계"),1,0)</f>
        <v/>
      </c>
      <c r="B100" s="2">
        <f>IF(A100=1,SUM($A$7:A100),"")</f>
        <v/>
      </c>
      <c r="C100" s="2">
        <f>IF(설정!$D$13="","",TRIM(SUBSTITUTE(INDEX(급여대장_원본!$A$1:$AZ$400,(설정!$B$8+94),설정!$D$13)&amp;"","　"," ")))</f>
        <v/>
      </c>
      <c r="D100" s="2">
        <f>IF(설정!$D$14="","",TRIM(SUBSTITUTE(INDEX(급여대장_원본!$A$1:$AZ$400,(설정!$B$8+94),설정!$D$14)&amp;"","　"," ")))</f>
        <v/>
      </c>
      <c r="E100" s="2">
        <f>IF(설정!$D$15="","",TRIM(SUBSTITUTE(INDEX(급여대장_원본!$A$1:$AZ$400,(설정!$B$8+94),설정!$D$15)&amp;"","　"," ")))</f>
        <v/>
      </c>
      <c r="F100" s="27">
        <f>IF(설정!$D$17="",0,IFERROR(VALUE(SUBSTITUTE(SUBSTITUTE(INDEX(급여대장_원본!$A$1:$AZ$400,(설정!$B$8+94),설정!$D$17)&amp;"",",",""),"　","")),0))</f>
        <v/>
      </c>
      <c r="G100" s="27">
        <f>IF(설정!$D$18="",0,IFERROR(VALUE(SUBSTITUTE(SUBSTITUTE(INDEX(급여대장_원본!$A$1:$AZ$400,(설정!$B$8+94),설정!$D$18)&amp;"",",",""),"　","")),0))</f>
        <v/>
      </c>
      <c r="H100" s="27">
        <f>IF(설정!$D$19="",0,IFERROR(VALUE(SUBSTITUTE(SUBSTITUTE(INDEX(급여대장_원본!$A$1:$AZ$400,(설정!$B$8+94),설정!$D$19)&amp;"",",",""),"　","")),0))</f>
        <v/>
      </c>
      <c r="I100" s="27">
        <f>IF(설정!$D$20="",0,IFERROR(VALUE(SUBSTITUTE(SUBSTITUTE(INDEX(급여대장_원본!$A$1:$AZ$400,(설정!$B$8+94),설정!$D$20)&amp;"",",",""),"　","")),0))</f>
        <v/>
      </c>
      <c r="J100" s="27">
        <f>IF(설정!$D$21="",0,IFERROR(VALUE(SUBSTITUTE(SUBSTITUTE(INDEX(급여대장_원본!$A$1:$AZ$400,(설정!$B$8+94),설정!$D$21)&amp;"",",",""),"　","")),0))</f>
        <v/>
      </c>
      <c r="K100" s="27">
        <f>IF(설정!$D$22="",0,IFERROR(VALUE(SUBSTITUTE(SUBSTITUTE(INDEX(급여대장_원본!$A$1:$AZ$400,(설정!$B$8+94),설정!$D$22)&amp;"",",",""),"　","")),0))</f>
        <v/>
      </c>
      <c r="L100" s="27">
        <f>IF(설정!$D$23="",0,IFERROR(VALUE(SUBSTITUTE(SUBSTITUTE(INDEX(급여대장_원본!$A$1:$AZ$400,(설정!$B$8+94),설정!$D$23)&amp;"",",",""),"　","")),0))</f>
        <v/>
      </c>
      <c r="M100" s="27">
        <f>IF(설정!$D$24="",0,IFERROR(VALUE(SUBSTITUTE(SUBSTITUTE(INDEX(급여대장_원본!$A$1:$AZ$400,(설정!$B$8+94),설정!$D$24)&amp;"",",",""),"　","")),0))</f>
        <v/>
      </c>
      <c r="N100" s="2">
        <f>IF(OR(설정!$C$17="",IFERROR(MATCH(설정!$C$17,INDEX(급여대장_원본!$A$1:$AZ$400,설정!$B$8,0),0),"")=""),"",IFERROR(VALUE(SUBSTITUTE(INDEX(급여대장_원본!$A$1:$AZ$400,(설정!$B$8+94),IFERROR(MATCH(설정!$C$17,INDEX(급여대장_원본!$A$1:$AZ$400,설정!$B$8,0),0),""))&amp;"",",","")),""))</f>
        <v/>
      </c>
      <c r="O100" s="2">
        <f>IF(OR(설정!$C$18="",IFERROR(MATCH(설정!$C$18,INDEX(급여대장_원본!$A$1:$AZ$400,설정!$B$8,0),0),"")=""),"",IFERROR(VALUE(SUBSTITUTE(INDEX(급여대장_원본!$A$1:$AZ$400,(설정!$B$8+94),IFERROR(MATCH(설정!$C$18,INDEX(급여대장_원본!$A$1:$AZ$400,설정!$B$8,0),0),""))&amp;"",",","")),""))</f>
        <v/>
      </c>
      <c r="P100" s="2">
        <f>IF(OR(설정!$C$19="",IFERROR(MATCH(설정!$C$19,INDEX(급여대장_원본!$A$1:$AZ$400,설정!$B$8,0),0),"")=""),"",IFERROR(VALUE(SUBSTITUTE(INDEX(급여대장_원본!$A$1:$AZ$400,(설정!$B$8+94),IFERROR(MATCH(설정!$C$19,INDEX(급여대장_원본!$A$1:$AZ$400,설정!$B$8,0),0),""))&amp;"",",","")),""))</f>
        <v/>
      </c>
      <c r="Q100" s="2">
        <f>IF(OR(설정!$C$20="",IFERROR(MATCH(설정!$C$20,INDEX(급여대장_원본!$A$1:$AZ$400,설정!$B$8,0),0),"")=""),"",IFERROR(VALUE(SUBSTITUTE(INDEX(급여대장_원본!$A$1:$AZ$400,(설정!$B$8+94),IFERROR(MATCH(설정!$C$20,INDEX(급여대장_원본!$A$1:$AZ$400,설정!$B$8,0),0),""))&amp;"",",","")),""))</f>
        <v/>
      </c>
      <c r="R100" s="2">
        <f>IF(OR(설정!$C$21="",IFERROR(MATCH(설정!$C$21,INDEX(급여대장_원본!$A$1:$AZ$400,설정!$B$8,0),0),"")=""),"",IFERROR(VALUE(SUBSTITUTE(INDEX(급여대장_원본!$A$1:$AZ$400,(설정!$B$8+94),IFERROR(MATCH(설정!$C$21,INDEX(급여대장_원본!$A$1:$AZ$400,설정!$B$8,0),0),""))&amp;"",",","")),""))</f>
        <v/>
      </c>
      <c r="S100" s="2">
        <f>IF(OR(설정!$C$22="",IFERROR(MATCH(설정!$C$22,INDEX(급여대장_원본!$A$1:$AZ$400,설정!$B$8,0),0),"")=""),"",IFERROR(VALUE(SUBSTITUTE(INDEX(급여대장_원본!$A$1:$AZ$400,(설정!$B$8+94),IFERROR(MATCH(설정!$C$22,INDEX(급여대장_원본!$A$1:$AZ$400,설정!$B$8,0),0),""))&amp;"",",","")),""))</f>
        <v/>
      </c>
      <c r="T100" s="2">
        <f>IF(OR(설정!$C$23="",IFERROR(MATCH(설정!$C$23,INDEX(급여대장_원본!$A$1:$AZ$400,설정!$B$8,0),0),"")=""),"",IFERROR(VALUE(SUBSTITUTE(INDEX(급여대장_원본!$A$1:$AZ$400,(설정!$B$8+94),IFERROR(MATCH(설정!$C$23,INDEX(급여대장_원본!$A$1:$AZ$400,설정!$B$8,0),0),""))&amp;"",",","")),""))</f>
        <v/>
      </c>
      <c r="U100" s="2">
        <f>IF(OR(설정!$C$24="",IFERROR(MATCH(설정!$C$24,INDEX(급여대장_원본!$A$1:$AZ$400,설정!$B$8,0),0),"")=""),"",IFERROR(VALUE(SUBSTITUTE(INDEX(급여대장_원본!$A$1:$AZ$400,(설정!$B$8+94),IFERROR(MATCH(설정!$C$24,INDEX(급여대장_원본!$A$1:$AZ$400,설정!$B$8,0),0),""))&amp;"",",","")),""))</f>
        <v/>
      </c>
      <c r="V100" s="27">
        <f>SUM(F100:M100)</f>
        <v/>
      </c>
      <c r="W100" s="27">
        <f>IF(설정!$D$26="",0,IFERROR(VALUE(SUBSTITUTE(SUBSTITUTE(INDEX(급여대장_원본!$A$1:$AZ$400,(설정!$B$8+94),설정!$D$26)&amp;"",",",""),"　","")),0))</f>
        <v/>
      </c>
      <c r="X100" s="27">
        <f>IF(설정!$D$27="",0,IFERROR(VALUE(SUBSTITUTE(SUBSTITUTE(INDEX(급여대장_원본!$A$1:$AZ$400,(설정!$B$8+94),설정!$D$27)&amp;"",",",""),"　","")),0))</f>
        <v/>
      </c>
      <c r="Y100" s="27">
        <f>IF(설정!$D$28="",0,IFERROR(VALUE(SUBSTITUTE(SUBSTITUTE(INDEX(급여대장_원본!$A$1:$AZ$400,(설정!$B$8+94),설정!$D$28)&amp;"",",",""),"　","")),0))</f>
        <v/>
      </c>
      <c r="Z100" s="27">
        <f>IF(설정!$D$29="",0,IFERROR(VALUE(SUBSTITUTE(SUBSTITUTE(INDEX(급여대장_원본!$A$1:$AZ$400,(설정!$B$8+94),설정!$D$29)&amp;"",",",""),"　","")),0))</f>
        <v/>
      </c>
      <c r="AA100" s="27">
        <f>IF(설정!$D$30="",0,IFERROR(VALUE(SUBSTITUTE(SUBSTITUTE(INDEX(급여대장_원본!$A$1:$AZ$400,(설정!$B$8+94),설정!$D$30)&amp;"",",",""),"　","")),0))</f>
        <v/>
      </c>
      <c r="AB100" s="27">
        <f>IF(설정!$D$31="",0,IFERROR(VALUE(SUBSTITUTE(SUBSTITUTE(INDEX(급여대장_원본!$A$1:$AZ$400,(설정!$B$8+94),설정!$D$31)&amp;"",",",""),"　","")),0))</f>
        <v/>
      </c>
      <c r="AC100" s="27">
        <f>IF(설정!$D$32="",0,IFERROR(VALUE(SUBSTITUTE(SUBSTITUTE(INDEX(급여대장_원본!$A$1:$AZ$400,(설정!$B$8+94),설정!$D$32)&amp;"",",",""),"　","")),0))</f>
        <v/>
      </c>
      <c r="AD100" s="27">
        <f>IF(설정!$D$33="",0,IFERROR(VALUE(SUBSTITUTE(SUBSTITUTE(INDEX(급여대장_원본!$A$1:$AZ$400,(설정!$B$8+94),설정!$D$33)&amp;"",",",""),"　","")),0))</f>
        <v/>
      </c>
      <c r="AE100" s="27">
        <f>SUM(W100:AD100)</f>
        <v/>
      </c>
      <c r="AF100" s="27">
        <f>V100-AE100</f>
        <v/>
      </c>
      <c r="AG100" s="27">
        <f>IF(설정!$D$35="","",IF(설정!$D$35="",0,IFERROR(VALUE(SUBSTITUTE(SUBSTITUTE(INDEX(급여대장_원본!$A$1:$AZ$400,(설정!$B$8+94),설정!$D$35)&amp;"",",",""),"　","")),0)))</f>
        <v/>
      </c>
      <c r="AH100" s="27">
        <f>IF(설정!$D$36="","",IF(설정!$D$36="",0,IFERROR(VALUE(SUBSTITUTE(SUBSTITUTE(INDEX(급여대장_원본!$A$1:$AZ$400,(설정!$B$8+94),설정!$D$36)&amp;"",",",""),"　","")),0)))</f>
        <v/>
      </c>
      <c r="AI100" s="27">
        <f>IF(설정!$D$37="","",IF(설정!$D$37="",0,IFERROR(VALUE(SUBSTITUTE(SUBSTITUTE(INDEX(급여대장_원본!$A$1:$AZ$400,(설정!$B$8+94),설정!$D$37)&amp;"",",",""),"　","")),0)))</f>
        <v/>
      </c>
      <c r="AJ100" s="2">
        <f>IFERROR(INDEX($D$7:$D$306,MATCH(94,$B$7:$B$306,0)),"")</f>
        <v/>
      </c>
    </row>
    <row r="101">
      <c r="A101" s="2">
        <f>IF(AND(D101&lt;&gt;"",D101&lt;&gt;"합계",D101&lt;&gt;"총계",D101&lt;&gt;"소계",D101&lt;&gt;"계"),1,0)</f>
        <v/>
      </c>
      <c r="B101" s="2">
        <f>IF(A101=1,SUM($A$7:A101),"")</f>
        <v/>
      </c>
      <c r="C101" s="2">
        <f>IF(설정!$D$13="","",TRIM(SUBSTITUTE(INDEX(급여대장_원본!$A$1:$AZ$400,(설정!$B$8+95),설정!$D$13)&amp;"","　"," ")))</f>
        <v/>
      </c>
      <c r="D101" s="2">
        <f>IF(설정!$D$14="","",TRIM(SUBSTITUTE(INDEX(급여대장_원본!$A$1:$AZ$400,(설정!$B$8+95),설정!$D$14)&amp;"","　"," ")))</f>
        <v/>
      </c>
      <c r="E101" s="2">
        <f>IF(설정!$D$15="","",TRIM(SUBSTITUTE(INDEX(급여대장_원본!$A$1:$AZ$400,(설정!$B$8+95),설정!$D$15)&amp;"","　"," ")))</f>
        <v/>
      </c>
      <c r="F101" s="27">
        <f>IF(설정!$D$17="",0,IFERROR(VALUE(SUBSTITUTE(SUBSTITUTE(INDEX(급여대장_원본!$A$1:$AZ$400,(설정!$B$8+95),설정!$D$17)&amp;"",",",""),"　","")),0))</f>
        <v/>
      </c>
      <c r="G101" s="27">
        <f>IF(설정!$D$18="",0,IFERROR(VALUE(SUBSTITUTE(SUBSTITUTE(INDEX(급여대장_원본!$A$1:$AZ$400,(설정!$B$8+95),설정!$D$18)&amp;"",",",""),"　","")),0))</f>
        <v/>
      </c>
      <c r="H101" s="27">
        <f>IF(설정!$D$19="",0,IFERROR(VALUE(SUBSTITUTE(SUBSTITUTE(INDEX(급여대장_원본!$A$1:$AZ$400,(설정!$B$8+95),설정!$D$19)&amp;"",",",""),"　","")),0))</f>
        <v/>
      </c>
      <c r="I101" s="27">
        <f>IF(설정!$D$20="",0,IFERROR(VALUE(SUBSTITUTE(SUBSTITUTE(INDEX(급여대장_원본!$A$1:$AZ$400,(설정!$B$8+95),설정!$D$20)&amp;"",",",""),"　","")),0))</f>
        <v/>
      </c>
      <c r="J101" s="27">
        <f>IF(설정!$D$21="",0,IFERROR(VALUE(SUBSTITUTE(SUBSTITUTE(INDEX(급여대장_원본!$A$1:$AZ$400,(설정!$B$8+95),설정!$D$21)&amp;"",",",""),"　","")),0))</f>
        <v/>
      </c>
      <c r="K101" s="27">
        <f>IF(설정!$D$22="",0,IFERROR(VALUE(SUBSTITUTE(SUBSTITUTE(INDEX(급여대장_원본!$A$1:$AZ$400,(설정!$B$8+95),설정!$D$22)&amp;"",",",""),"　","")),0))</f>
        <v/>
      </c>
      <c r="L101" s="27">
        <f>IF(설정!$D$23="",0,IFERROR(VALUE(SUBSTITUTE(SUBSTITUTE(INDEX(급여대장_원본!$A$1:$AZ$400,(설정!$B$8+95),설정!$D$23)&amp;"",",",""),"　","")),0))</f>
        <v/>
      </c>
      <c r="M101" s="27">
        <f>IF(설정!$D$24="",0,IFERROR(VALUE(SUBSTITUTE(SUBSTITUTE(INDEX(급여대장_원본!$A$1:$AZ$400,(설정!$B$8+95),설정!$D$24)&amp;"",",",""),"　","")),0))</f>
        <v/>
      </c>
      <c r="N101" s="2">
        <f>IF(OR(설정!$C$17="",IFERROR(MATCH(설정!$C$17,INDEX(급여대장_원본!$A$1:$AZ$400,설정!$B$8,0),0),"")=""),"",IFERROR(VALUE(SUBSTITUTE(INDEX(급여대장_원본!$A$1:$AZ$400,(설정!$B$8+95),IFERROR(MATCH(설정!$C$17,INDEX(급여대장_원본!$A$1:$AZ$400,설정!$B$8,0),0),""))&amp;"",",","")),""))</f>
        <v/>
      </c>
      <c r="O101" s="2">
        <f>IF(OR(설정!$C$18="",IFERROR(MATCH(설정!$C$18,INDEX(급여대장_원본!$A$1:$AZ$400,설정!$B$8,0),0),"")=""),"",IFERROR(VALUE(SUBSTITUTE(INDEX(급여대장_원본!$A$1:$AZ$400,(설정!$B$8+95),IFERROR(MATCH(설정!$C$18,INDEX(급여대장_원본!$A$1:$AZ$400,설정!$B$8,0),0),""))&amp;"",",","")),""))</f>
        <v/>
      </c>
      <c r="P101" s="2">
        <f>IF(OR(설정!$C$19="",IFERROR(MATCH(설정!$C$19,INDEX(급여대장_원본!$A$1:$AZ$400,설정!$B$8,0),0),"")=""),"",IFERROR(VALUE(SUBSTITUTE(INDEX(급여대장_원본!$A$1:$AZ$400,(설정!$B$8+95),IFERROR(MATCH(설정!$C$19,INDEX(급여대장_원본!$A$1:$AZ$400,설정!$B$8,0),0),""))&amp;"",",","")),""))</f>
        <v/>
      </c>
      <c r="Q101" s="2">
        <f>IF(OR(설정!$C$20="",IFERROR(MATCH(설정!$C$20,INDEX(급여대장_원본!$A$1:$AZ$400,설정!$B$8,0),0),"")=""),"",IFERROR(VALUE(SUBSTITUTE(INDEX(급여대장_원본!$A$1:$AZ$400,(설정!$B$8+95),IFERROR(MATCH(설정!$C$20,INDEX(급여대장_원본!$A$1:$AZ$400,설정!$B$8,0),0),""))&amp;"",",","")),""))</f>
        <v/>
      </c>
      <c r="R101" s="2">
        <f>IF(OR(설정!$C$21="",IFERROR(MATCH(설정!$C$21,INDEX(급여대장_원본!$A$1:$AZ$400,설정!$B$8,0),0),"")=""),"",IFERROR(VALUE(SUBSTITUTE(INDEX(급여대장_원본!$A$1:$AZ$400,(설정!$B$8+95),IFERROR(MATCH(설정!$C$21,INDEX(급여대장_원본!$A$1:$AZ$400,설정!$B$8,0),0),""))&amp;"",",","")),""))</f>
        <v/>
      </c>
      <c r="S101" s="2">
        <f>IF(OR(설정!$C$22="",IFERROR(MATCH(설정!$C$22,INDEX(급여대장_원본!$A$1:$AZ$400,설정!$B$8,0),0),"")=""),"",IFERROR(VALUE(SUBSTITUTE(INDEX(급여대장_원본!$A$1:$AZ$400,(설정!$B$8+95),IFERROR(MATCH(설정!$C$22,INDEX(급여대장_원본!$A$1:$AZ$400,설정!$B$8,0),0),""))&amp;"",",","")),""))</f>
        <v/>
      </c>
      <c r="T101" s="2">
        <f>IF(OR(설정!$C$23="",IFERROR(MATCH(설정!$C$23,INDEX(급여대장_원본!$A$1:$AZ$400,설정!$B$8,0),0),"")=""),"",IFERROR(VALUE(SUBSTITUTE(INDEX(급여대장_원본!$A$1:$AZ$400,(설정!$B$8+95),IFERROR(MATCH(설정!$C$23,INDEX(급여대장_원본!$A$1:$AZ$400,설정!$B$8,0),0),""))&amp;"",",","")),""))</f>
        <v/>
      </c>
      <c r="U101" s="2">
        <f>IF(OR(설정!$C$24="",IFERROR(MATCH(설정!$C$24,INDEX(급여대장_원본!$A$1:$AZ$400,설정!$B$8,0),0),"")=""),"",IFERROR(VALUE(SUBSTITUTE(INDEX(급여대장_원본!$A$1:$AZ$400,(설정!$B$8+95),IFERROR(MATCH(설정!$C$24,INDEX(급여대장_원본!$A$1:$AZ$400,설정!$B$8,0),0),""))&amp;"",",","")),""))</f>
        <v/>
      </c>
      <c r="V101" s="27">
        <f>SUM(F101:M101)</f>
        <v/>
      </c>
      <c r="W101" s="27">
        <f>IF(설정!$D$26="",0,IFERROR(VALUE(SUBSTITUTE(SUBSTITUTE(INDEX(급여대장_원본!$A$1:$AZ$400,(설정!$B$8+95),설정!$D$26)&amp;"",",",""),"　","")),0))</f>
        <v/>
      </c>
      <c r="X101" s="27">
        <f>IF(설정!$D$27="",0,IFERROR(VALUE(SUBSTITUTE(SUBSTITUTE(INDEX(급여대장_원본!$A$1:$AZ$400,(설정!$B$8+95),설정!$D$27)&amp;"",",",""),"　","")),0))</f>
        <v/>
      </c>
      <c r="Y101" s="27">
        <f>IF(설정!$D$28="",0,IFERROR(VALUE(SUBSTITUTE(SUBSTITUTE(INDEX(급여대장_원본!$A$1:$AZ$400,(설정!$B$8+95),설정!$D$28)&amp;"",",",""),"　","")),0))</f>
        <v/>
      </c>
      <c r="Z101" s="27">
        <f>IF(설정!$D$29="",0,IFERROR(VALUE(SUBSTITUTE(SUBSTITUTE(INDEX(급여대장_원본!$A$1:$AZ$400,(설정!$B$8+95),설정!$D$29)&amp;"",",",""),"　","")),0))</f>
        <v/>
      </c>
      <c r="AA101" s="27">
        <f>IF(설정!$D$30="",0,IFERROR(VALUE(SUBSTITUTE(SUBSTITUTE(INDEX(급여대장_원본!$A$1:$AZ$400,(설정!$B$8+95),설정!$D$30)&amp;"",",",""),"　","")),0))</f>
        <v/>
      </c>
      <c r="AB101" s="27">
        <f>IF(설정!$D$31="",0,IFERROR(VALUE(SUBSTITUTE(SUBSTITUTE(INDEX(급여대장_원본!$A$1:$AZ$400,(설정!$B$8+95),설정!$D$31)&amp;"",",",""),"　","")),0))</f>
        <v/>
      </c>
      <c r="AC101" s="27">
        <f>IF(설정!$D$32="",0,IFERROR(VALUE(SUBSTITUTE(SUBSTITUTE(INDEX(급여대장_원본!$A$1:$AZ$400,(설정!$B$8+95),설정!$D$32)&amp;"",",",""),"　","")),0))</f>
        <v/>
      </c>
      <c r="AD101" s="27">
        <f>IF(설정!$D$33="",0,IFERROR(VALUE(SUBSTITUTE(SUBSTITUTE(INDEX(급여대장_원본!$A$1:$AZ$400,(설정!$B$8+95),설정!$D$33)&amp;"",",",""),"　","")),0))</f>
        <v/>
      </c>
      <c r="AE101" s="27">
        <f>SUM(W101:AD101)</f>
        <v/>
      </c>
      <c r="AF101" s="27">
        <f>V101-AE101</f>
        <v/>
      </c>
      <c r="AG101" s="27">
        <f>IF(설정!$D$35="","",IF(설정!$D$35="",0,IFERROR(VALUE(SUBSTITUTE(SUBSTITUTE(INDEX(급여대장_원본!$A$1:$AZ$400,(설정!$B$8+95),설정!$D$35)&amp;"",",",""),"　","")),0)))</f>
        <v/>
      </c>
      <c r="AH101" s="27">
        <f>IF(설정!$D$36="","",IF(설정!$D$36="",0,IFERROR(VALUE(SUBSTITUTE(SUBSTITUTE(INDEX(급여대장_원본!$A$1:$AZ$400,(설정!$B$8+95),설정!$D$36)&amp;"",",",""),"　","")),0)))</f>
        <v/>
      </c>
      <c r="AI101" s="27">
        <f>IF(설정!$D$37="","",IF(설정!$D$37="",0,IFERROR(VALUE(SUBSTITUTE(SUBSTITUTE(INDEX(급여대장_원본!$A$1:$AZ$400,(설정!$B$8+95),설정!$D$37)&amp;"",",",""),"　","")),0)))</f>
        <v/>
      </c>
      <c r="AJ101" s="2">
        <f>IFERROR(INDEX($D$7:$D$306,MATCH(95,$B$7:$B$306,0)),"")</f>
        <v/>
      </c>
    </row>
    <row r="102">
      <c r="A102" s="2">
        <f>IF(AND(D102&lt;&gt;"",D102&lt;&gt;"합계",D102&lt;&gt;"총계",D102&lt;&gt;"소계",D102&lt;&gt;"계"),1,0)</f>
        <v/>
      </c>
      <c r="B102" s="2">
        <f>IF(A102=1,SUM($A$7:A102),"")</f>
        <v/>
      </c>
      <c r="C102" s="2">
        <f>IF(설정!$D$13="","",TRIM(SUBSTITUTE(INDEX(급여대장_원본!$A$1:$AZ$400,(설정!$B$8+96),설정!$D$13)&amp;"","　"," ")))</f>
        <v/>
      </c>
      <c r="D102" s="2">
        <f>IF(설정!$D$14="","",TRIM(SUBSTITUTE(INDEX(급여대장_원본!$A$1:$AZ$400,(설정!$B$8+96),설정!$D$14)&amp;"","　"," ")))</f>
        <v/>
      </c>
      <c r="E102" s="2">
        <f>IF(설정!$D$15="","",TRIM(SUBSTITUTE(INDEX(급여대장_원본!$A$1:$AZ$400,(설정!$B$8+96),설정!$D$15)&amp;"","　"," ")))</f>
        <v/>
      </c>
      <c r="F102" s="27">
        <f>IF(설정!$D$17="",0,IFERROR(VALUE(SUBSTITUTE(SUBSTITUTE(INDEX(급여대장_원본!$A$1:$AZ$400,(설정!$B$8+96),설정!$D$17)&amp;"",",",""),"　","")),0))</f>
        <v/>
      </c>
      <c r="G102" s="27">
        <f>IF(설정!$D$18="",0,IFERROR(VALUE(SUBSTITUTE(SUBSTITUTE(INDEX(급여대장_원본!$A$1:$AZ$400,(설정!$B$8+96),설정!$D$18)&amp;"",",",""),"　","")),0))</f>
        <v/>
      </c>
      <c r="H102" s="27">
        <f>IF(설정!$D$19="",0,IFERROR(VALUE(SUBSTITUTE(SUBSTITUTE(INDEX(급여대장_원본!$A$1:$AZ$400,(설정!$B$8+96),설정!$D$19)&amp;"",",",""),"　","")),0))</f>
        <v/>
      </c>
      <c r="I102" s="27">
        <f>IF(설정!$D$20="",0,IFERROR(VALUE(SUBSTITUTE(SUBSTITUTE(INDEX(급여대장_원본!$A$1:$AZ$400,(설정!$B$8+96),설정!$D$20)&amp;"",",",""),"　","")),0))</f>
        <v/>
      </c>
      <c r="J102" s="27">
        <f>IF(설정!$D$21="",0,IFERROR(VALUE(SUBSTITUTE(SUBSTITUTE(INDEX(급여대장_원본!$A$1:$AZ$400,(설정!$B$8+96),설정!$D$21)&amp;"",",",""),"　","")),0))</f>
        <v/>
      </c>
      <c r="K102" s="27">
        <f>IF(설정!$D$22="",0,IFERROR(VALUE(SUBSTITUTE(SUBSTITUTE(INDEX(급여대장_원본!$A$1:$AZ$400,(설정!$B$8+96),설정!$D$22)&amp;"",",",""),"　","")),0))</f>
        <v/>
      </c>
      <c r="L102" s="27">
        <f>IF(설정!$D$23="",0,IFERROR(VALUE(SUBSTITUTE(SUBSTITUTE(INDEX(급여대장_원본!$A$1:$AZ$400,(설정!$B$8+96),설정!$D$23)&amp;"",",",""),"　","")),0))</f>
        <v/>
      </c>
      <c r="M102" s="27">
        <f>IF(설정!$D$24="",0,IFERROR(VALUE(SUBSTITUTE(SUBSTITUTE(INDEX(급여대장_원본!$A$1:$AZ$400,(설정!$B$8+96),설정!$D$24)&amp;"",",",""),"　","")),0))</f>
        <v/>
      </c>
      <c r="N102" s="2">
        <f>IF(OR(설정!$C$17="",IFERROR(MATCH(설정!$C$17,INDEX(급여대장_원본!$A$1:$AZ$400,설정!$B$8,0),0),"")=""),"",IFERROR(VALUE(SUBSTITUTE(INDEX(급여대장_원본!$A$1:$AZ$400,(설정!$B$8+96),IFERROR(MATCH(설정!$C$17,INDEX(급여대장_원본!$A$1:$AZ$400,설정!$B$8,0),0),""))&amp;"",",","")),""))</f>
        <v/>
      </c>
      <c r="O102" s="2">
        <f>IF(OR(설정!$C$18="",IFERROR(MATCH(설정!$C$18,INDEX(급여대장_원본!$A$1:$AZ$400,설정!$B$8,0),0),"")=""),"",IFERROR(VALUE(SUBSTITUTE(INDEX(급여대장_원본!$A$1:$AZ$400,(설정!$B$8+96),IFERROR(MATCH(설정!$C$18,INDEX(급여대장_원본!$A$1:$AZ$400,설정!$B$8,0),0),""))&amp;"",",","")),""))</f>
        <v/>
      </c>
      <c r="P102" s="2">
        <f>IF(OR(설정!$C$19="",IFERROR(MATCH(설정!$C$19,INDEX(급여대장_원본!$A$1:$AZ$400,설정!$B$8,0),0),"")=""),"",IFERROR(VALUE(SUBSTITUTE(INDEX(급여대장_원본!$A$1:$AZ$400,(설정!$B$8+96),IFERROR(MATCH(설정!$C$19,INDEX(급여대장_원본!$A$1:$AZ$400,설정!$B$8,0),0),""))&amp;"",",","")),""))</f>
        <v/>
      </c>
      <c r="Q102" s="2">
        <f>IF(OR(설정!$C$20="",IFERROR(MATCH(설정!$C$20,INDEX(급여대장_원본!$A$1:$AZ$400,설정!$B$8,0),0),"")=""),"",IFERROR(VALUE(SUBSTITUTE(INDEX(급여대장_원본!$A$1:$AZ$400,(설정!$B$8+96),IFERROR(MATCH(설정!$C$20,INDEX(급여대장_원본!$A$1:$AZ$400,설정!$B$8,0),0),""))&amp;"",",","")),""))</f>
        <v/>
      </c>
      <c r="R102" s="2">
        <f>IF(OR(설정!$C$21="",IFERROR(MATCH(설정!$C$21,INDEX(급여대장_원본!$A$1:$AZ$400,설정!$B$8,0),0),"")=""),"",IFERROR(VALUE(SUBSTITUTE(INDEX(급여대장_원본!$A$1:$AZ$400,(설정!$B$8+96),IFERROR(MATCH(설정!$C$21,INDEX(급여대장_원본!$A$1:$AZ$400,설정!$B$8,0),0),""))&amp;"",",","")),""))</f>
        <v/>
      </c>
      <c r="S102" s="2">
        <f>IF(OR(설정!$C$22="",IFERROR(MATCH(설정!$C$22,INDEX(급여대장_원본!$A$1:$AZ$400,설정!$B$8,0),0),"")=""),"",IFERROR(VALUE(SUBSTITUTE(INDEX(급여대장_원본!$A$1:$AZ$400,(설정!$B$8+96),IFERROR(MATCH(설정!$C$22,INDEX(급여대장_원본!$A$1:$AZ$400,설정!$B$8,0),0),""))&amp;"",",","")),""))</f>
        <v/>
      </c>
      <c r="T102" s="2">
        <f>IF(OR(설정!$C$23="",IFERROR(MATCH(설정!$C$23,INDEX(급여대장_원본!$A$1:$AZ$400,설정!$B$8,0),0),"")=""),"",IFERROR(VALUE(SUBSTITUTE(INDEX(급여대장_원본!$A$1:$AZ$400,(설정!$B$8+96),IFERROR(MATCH(설정!$C$23,INDEX(급여대장_원본!$A$1:$AZ$400,설정!$B$8,0),0),""))&amp;"",",","")),""))</f>
        <v/>
      </c>
      <c r="U102" s="2">
        <f>IF(OR(설정!$C$24="",IFERROR(MATCH(설정!$C$24,INDEX(급여대장_원본!$A$1:$AZ$400,설정!$B$8,0),0),"")=""),"",IFERROR(VALUE(SUBSTITUTE(INDEX(급여대장_원본!$A$1:$AZ$400,(설정!$B$8+96),IFERROR(MATCH(설정!$C$24,INDEX(급여대장_원본!$A$1:$AZ$400,설정!$B$8,0),0),""))&amp;"",",","")),""))</f>
        <v/>
      </c>
      <c r="V102" s="27">
        <f>SUM(F102:M102)</f>
        <v/>
      </c>
      <c r="W102" s="27">
        <f>IF(설정!$D$26="",0,IFERROR(VALUE(SUBSTITUTE(SUBSTITUTE(INDEX(급여대장_원본!$A$1:$AZ$400,(설정!$B$8+96),설정!$D$26)&amp;"",",",""),"　","")),0))</f>
        <v/>
      </c>
      <c r="X102" s="27">
        <f>IF(설정!$D$27="",0,IFERROR(VALUE(SUBSTITUTE(SUBSTITUTE(INDEX(급여대장_원본!$A$1:$AZ$400,(설정!$B$8+96),설정!$D$27)&amp;"",",",""),"　","")),0))</f>
        <v/>
      </c>
      <c r="Y102" s="27">
        <f>IF(설정!$D$28="",0,IFERROR(VALUE(SUBSTITUTE(SUBSTITUTE(INDEX(급여대장_원본!$A$1:$AZ$400,(설정!$B$8+96),설정!$D$28)&amp;"",",",""),"　","")),0))</f>
        <v/>
      </c>
      <c r="Z102" s="27">
        <f>IF(설정!$D$29="",0,IFERROR(VALUE(SUBSTITUTE(SUBSTITUTE(INDEX(급여대장_원본!$A$1:$AZ$400,(설정!$B$8+96),설정!$D$29)&amp;"",",",""),"　","")),0))</f>
        <v/>
      </c>
      <c r="AA102" s="27">
        <f>IF(설정!$D$30="",0,IFERROR(VALUE(SUBSTITUTE(SUBSTITUTE(INDEX(급여대장_원본!$A$1:$AZ$400,(설정!$B$8+96),설정!$D$30)&amp;"",",",""),"　","")),0))</f>
        <v/>
      </c>
      <c r="AB102" s="27">
        <f>IF(설정!$D$31="",0,IFERROR(VALUE(SUBSTITUTE(SUBSTITUTE(INDEX(급여대장_원본!$A$1:$AZ$400,(설정!$B$8+96),설정!$D$31)&amp;"",",",""),"　","")),0))</f>
        <v/>
      </c>
      <c r="AC102" s="27">
        <f>IF(설정!$D$32="",0,IFERROR(VALUE(SUBSTITUTE(SUBSTITUTE(INDEX(급여대장_원본!$A$1:$AZ$400,(설정!$B$8+96),설정!$D$32)&amp;"",",",""),"　","")),0))</f>
        <v/>
      </c>
      <c r="AD102" s="27">
        <f>IF(설정!$D$33="",0,IFERROR(VALUE(SUBSTITUTE(SUBSTITUTE(INDEX(급여대장_원본!$A$1:$AZ$400,(설정!$B$8+96),설정!$D$33)&amp;"",",",""),"　","")),0))</f>
        <v/>
      </c>
      <c r="AE102" s="27">
        <f>SUM(W102:AD102)</f>
        <v/>
      </c>
      <c r="AF102" s="27">
        <f>V102-AE102</f>
        <v/>
      </c>
      <c r="AG102" s="27">
        <f>IF(설정!$D$35="","",IF(설정!$D$35="",0,IFERROR(VALUE(SUBSTITUTE(SUBSTITUTE(INDEX(급여대장_원본!$A$1:$AZ$400,(설정!$B$8+96),설정!$D$35)&amp;"",",",""),"　","")),0)))</f>
        <v/>
      </c>
      <c r="AH102" s="27">
        <f>IF(설정!$D$36="","",IF(설정!$D$36="",0,IFERROR(VALUE(SUBSTITUTE(SUBSTITUTE(INDEX(급여대장_원본!$A$1:$AZ$400,(설정!$B$8+96),설정!$D$36)&amp;"",",",""),"　","")),0)))</f>
        <v/>
      </c>
      <c r="AI102" s="27">
        <f>IF(설정!$D$37="","",IF(설정!$D$37="",0,IFERROR(VALUE(SUBSTITUTE(SUBSTITUTE(INDEX(급여대장_원본!$A$1:$AZ$400,(설정!$B$8+96),설정!$D$37)&amp;"",",",""),"　","")),0)))</f>
        <v/>
      </c>
      <c r="AJ102" s="2">
        <f>IFERROR(INDEX($D$7:$D$306,MATCH(96,$B$7:$B$306,0)),"")</f>
        <v/>
      </c>
    </row>
    <row r="103">
      <c r="A103" s="2">
        <f>IF(AND(D103&lt;&gt;"",D103&lt;&gt;"합계",D103&lt;&gt;"총계",D103&lt;&gt;"소계",D103&lt;&gt;"계"),1,0)</f>
        <v/>
      </c>
      <c r="B103" s="2">
        <f>IF(A103=1,SUM($A$7:A103),"")</f>
        <v/>
      </c>
      <c r="C103" s="2">
        <f>IF(설정!$D$13="","",TRIM(SUBSTITUTE(INDEX(급여대장_원본!$A$1:$AZ$400,(설정!$B$8+97),설정!$D$13)&amp;"","　"," ")))</f>
        <v/>
      </c>
      <c r="D103" s="2">
        <f>IF(설정!$D$14="","",TRIM(SUBSTITUTE(INDEX(급여대장_원본!$A$1:$AZ$400,(설정!$B$8+97),설정!$D$14)&amp;"","　"," ")))</f>
        <v/>
      </c>
      <c r="E103" s="2">
        <f>IF(설정!$D$15="","",TRIM(SUBSTITUTE(INDEX(급여대장_원본!$A$1:$AZ$400,(설정!$B$8+97),설정!$D$15)&amp;"","　"," ")))</f>
        <v/>
      </c>
      <c r="F103" s="27">
        <f>IF(설정!$D$17="",0,IFERROR(VALUE(SUBSTITUTE(SUBSTITUTE(INDEX(급여대장_원본!$A$1:$AZ$400,(설정!$B$8+97),설정!$D$17)&amp;"",",",""),"　","")),0))</f>
        <v/>
      </c>
      <c r="G103" s="27">
        <f>IF(설정!$D$18="",0,IFERROR(VALUE(SUBSTITUTE(SUBSTITUTE(INDEX(급여대장_원본!$A$1:$AZ$400,(설정!$B$8+97),설정!$D$18)&amp;"",",",""),"　","")),0))</f>
        <v/>
      </c>
      <c r="H103" s="27">
        <f>IF(설정!$D$19="",0,IFERROR(VALUE(SUBSTITUTE(SUBSTITUTE(INDEX(급여대장_원본!$A$1:$AZ$400,(설정!$B$8+97),설정!$D$19)&amp;"",",",""),"　","")),0))</f>
        <v/>
      </c>
      <c r="I103" s="27">
        <f>IF(설정!$D$20="",0,IFERROR(VALUE(SUBSTITUTE(SUBSTITUTE(INDEX(급여대장_원본!$A$1:$AZ$400,(설정!$B$8+97),설정!$D$20)&amp;"",",",""),"　","")),0))</f>
        <v/>
      </c>
      <c r="J103" s="27">
        <f>IF(설정!$D$21="",0,IFERROR(VALUE(SUBSTITUTE(SUBSTITUTE(INDEX(급여대장_원본!$A$1:$AZ$400,(설정!$B$8+97),설정!$D$21)&amp;"",",",""),"　","")),0))</f>
        <v/>
      </c>
      <c r="K103" s="27">
        <f>IF(설정!$D$22="",0,IFERROR(VALUE(SUBSTITUTE(SUBSTITUTE(INDEX(급여대장_원본!$A$1:$AZ$400,(설정!$B$8+97),설정!$D$22)&amp;"",",",""),"　","")),0))</f>
        <v/>
      </c>
      <c r="L103" s="27">
        <f>IF(설정!$D$23="",0,IFERROR(VALUE(SUBSTITUTE(SUBSTITUTE(INDEX(급여대장_원본!$A$1:$AZ$400,(설정!$B$8+97),설정!$D$23)&amp;"",",",""),"　","")),0))</f>
        <v/>
      </c>
      <c r="M103" s="27">
        <f>IF(설정!$D$24="",0,IFERROR(VALUE(SUBSTITUTE(SUBSTITUTE(INDEX(급여대장_원본!$A$1:$AZ$400,(설정!$B$8+97),설정!$D$24)&amp;"",",",""),"　","")),0))</f>
        <v/>
      </c>
      <c r="N103" s="2">
        <f>IF(OR(설정!$C$17="",IFERROR(MATCH(설정!$C$17,INDEX(급여대장_원본!$A$1:$AZ$400,설정!$B$8,0),0),"")=""),"",IFERROR(VALUE(SUBSTITUTE(INDEX(급여대장_원본!$A$1:$AZ$400,(설정!$B$8+97),IFERROR(MATCH(설정!$C$17,INDEX(급여대장_원본!$A$1:$AZ$400,설정!$B$8,0),0),""))&amp;"",",","")),""))</f>
        <v/>
      </c>
      <c r="O103" s="2">
        <f>IF(OR(설정!$C$18="",IFERROR(MATCH(설정!$C$18,INDEX(급여대장_원본!$A$1:$AZ$400,설정!$B$8,0),0),"")=""),"",IFERROR(VALUE(SUBSTITUTE(INDEX(급여대장_원본!$A$1:$AZ$400,(설정!$B$8+97),IFERROR(MATCH(설정!$C$18,INDEX(급여대장_원본!$A$1:$AZ$400,설정!$B$8,0),0),""))&amp;"",",","")),""))</f>
        <v/>
      </c>
      <c r="P103" s="2">
        <f>IF(OR(설정!$C$19="",IFERROR(MATCH(설정!$C$19,INDEX(급여대장_원본!$A$1:$AZ$400,설정!$B$8,0),0),"")=""),"",IFERROR(VALUE(SUBSTITUTE(INDEX(급여대장_원본!$A$1:$AZ$400,(설정!$B$8+97),IFERROR(MATCH(설정!$C$19,INDEX(급여대장_원본!$A$1:$AZ$400,설정!$B$8,0),0),""))&amp;"",",","")),""))</f>
        <v/>
      </c>
      <c r="Q103" s="2">
        <f>IF(OR(설정!$C$20="",IFERROR(MATCH(설정!$C$20,INDEX(급여대장_원본!$A$1:$AZ$400,설정!$B$8,0),0),"")=""),"",IFERROR(VALUE(SUBSTITUTE(INDEX(급여대장_원본!$A$1:$AZ$400,(설정!$B$8+97),IFERROR(MATCH(설정!$C$20,INDEX(급여대장_원본!$A$1:$AZ$400,설정!$B$8,0),0),""))&amp;"",",","")),""))</f>
        <v/>
      </c>
      <c r="R103" s="2">
        <f>IF(OR(설정!$C$21="",IFERROR(MATCH(설정!$C$21,INDEX(급여대장_원본!$A$1:$AZ$400,설정!$B$8,0),0),"")=""),"",IFERROR(VALUE(SUBSTITUTE(INDEX(급여대장_원본!$A$1:$AZ$400,(설정!$B$8+97),IFERROR(MATCH(설정!$C$21,INDEX(급여대장_원본!$A$1:$AZ$400,설정!$B$8,0),0),""))&amp;"",",","")),""))</f>
        <v/>
      </c>
      <c r="S103" s="2">
        <f>IF(OR(설정!$C$22="",IFERROR(MATCH(설정!$C$22,INDEX(급여대장_원본!$A$1:$AZ$400,설정!$B$8,0),0),"")=""),"",IFERROR(VALUE(SUBSTITUTE(INDEX(급여대장_원본!$A$1:$AZ$400,(설정!$B$8+97),IFERROR(MATCH(설정!$C$22,INDEX(급여대장_원본!$A$1:$AZ$400,설정!$B$8,0),0),""))&amp;"",",","")),""))</f>
        <v/>
      </c>
      <c r="T103" s="2">
        <f>IF(OR(설정!$C$23="",IFERROR(MATCH(설정!$C$23,INDEX(급여대장_원본!$A$1:$AZ$400,설정!$B$8,0),0),"")=""),"",IFERROR(VALUE(SUBSTITUTE(INDEX(급여대장_원본!$A$1:$AZ$400,(설정!$B$8+97),IFERROR(MATCH(설정!$C$23,INDEX(급여대장_원본!$A$1:$AZ$400,설정!$B$8,0),0),""))&amp;"",",","")),""))</f>
        <v/>
      </c>
      <c r="U103" s="2">
        <f>IF(OR(설정!$C$24="",IFERROR(MATCH(설정!$C$24,INDEX(급여대장_원본!$A$1:$AZ$400,설정!$B$8,0),0),"")=""),"",IFERROR(VALUE(SUBSTITUTE(INDEX(급여대장_원본!$A$1:$AZ$400,(설정!$B$8+97),IFERROR(MATCH(설정!$C$24,INDEX(급여대장_원본!$A$1:$AZ$400,설정!$B$8,0),0),""))&amp;"",",","")),""))</f>
        <v/>
      </c>
      <c r="V103" s="27">
        <f>SUM(F103:M103)</f>
        <v/>
      </c>
      <c r="W103" s="27">
        <f>IF(설정!$D$26="",0,IFERROR(VALUE(SUBSTITUTE(SUBSTITUTE(INDEX(급여대장_원본!$A$1:$AZ$400,(설정!$B$8+97),설정!$D$26)&amp;"",",",""),"　","")),0))</f>
        <v/>
      </c>
      <c r="X103" s="27">
        <f>IF(설정!$D$27="",0,IFERROR(VALUE(SUBSTITUTE(SUBSTITUTE(INDEX(급여대장_원본!$A$1:$AZ$400,(설정!$B$8+97),설정!$D$27)&amp;"",",",""),"　","")),0))</f>
        <v/>
      </c>
      <c r="Y103" s="27">
        <f>IF(설정!$D$28="",0,IFERROR(VALUE(SUBSTITUTE(SUBSTITUTE(INDEX(급여대장_원본!$A$1:$AZ$400,(설정!$B$8+97),설정!$D$28)&amp;"",",",""),"　","")),0))</f>
        <v/>
      </c>
      <c r="Z103" s="27">
        <f>IF(설정!$D$29="",0,IFERROR(VALUE(SUBSTITUTE(SUBSTITUTE(INDEX(급여대장_원본!$A$1:$AZ$400,(설정!$B$8+97),설정!$D$29)&amp;"",",",""),"　","")),0))</f>
        <v/>
      </c>
      <c r="AA103" s="27">
        <f>IF(설정!$D$30="",0,IFERROR(VALUE(SUBSTITUTE(SUBSTITUTE(INDEX(급여대장_원본!$A$1:$AZ$400,(설정!$B$8+97),설정!$D$30)&amp;"",",",""),"　","")),0))</f>
        <v/>
      </c>
      <c r="AB103" s="27">
        <f>IF(설정!$D$31="",0,IFERROR(VALUE(SUBSTITUTE(SUBSTITUTE(INDEX(급여대장_원본!$A$1:$AZ$400,(설정!$B$8+97),설정!$D$31)&amp;"",",",""),"　","")),0))</f>
        <v/>
      </c>
      <c r="AC103" s="27">
        <f>IF(설정!$D$32="",0,IFERROR(VALUE(SUBSTITUTE(SUBSTITUTE(INDEX(급여대장_원본!$A$1:$AZ$400,(설정!$B$8+97),설정!$D$32)&amp;"",",",""),"　","")),0))</f>
        <v/>
      </c>
      <c r="AD103" s="27">
        <f>IF(설정!$D$33="",0,IFERROR(VALUE(SUBSTITUTE(SUBSTITUTE(INDEX(급여대장_원본!$A$1:$AZ$400,(설정!$B$8+97),설정!$D$33)&amp;"",",",""),"　","")),0))</f>
        <v/>
      </c>
      <c r="AE103" s="27">
        <f>SUM(W103:AD103)</f>
        <v/>
      </c>
      <c r="AF103" s="27">
        <f>V103-AE103</f>
        <v/>
      </c>
      <c r="AG103" s="27">
        <f>IF(설정!$D$35="","",IF(설정!$D$35="",0,IFERROR(VALUE(SUBSTITUTE(SUBSTITUTE(INDEX(급여대장_원본!$A$1:$AZ$400,(설정!$B$8+97),설정!$D$35)&amp;"",",",""),"　","")),0)))</f>
        <v/>
      </c>
      <c r="AH103" s="27">
        <f>IF(설정!$D$36="","",IF(설정!$D$36="",0,IFERROR(VALUE(SUBSTITUTE(SUBSTITUTE(INDEX(급여대장_원본!$A$1:$AZ$400,(설정!$B$8+97),설정!$D$36)&amp;"",",",""),"　","")),0)))</f>
        <v/>
      </c>
      <c r="AI103" s="27">
        <f>IF(설정!$D$37="","",IF(설정!$D$37="",0,IFERROR(VALUE(SUBSTITUTE(SUBSTITUTE(INDEX(급여대장_원본!$A$1:$AZ$400,(설정!$B$8+97),설정!$D$37)&amp;"",",",""),"　","")),0)))</f>
        <v/>
      </c>
      <c r="AJ103" s="2">
        <f>IFERROR(INDEX($D$7:$D$306,MATCH(97,$B$7:$B$306,0)),"")</f>
        <v/>
      </c>
    </row>
    <row r="104">
      <c r="A104" s="2">
        <f>IF(AND(D104&lt;&gt;"",D104&lt;&gt;"합계",D104&lt;&gt;"총계",D104&lt;&gt;"소계",D104&lt;&gt;"계"),1,0)</f>
        <v/>
      </c>
      <c r="B104" s="2">
        <f>IF(A104=1,SUM($A$7:A104),"")</f>
        <v/>
      </c>
      <c r="C104" s="2">
        <f>IF(설정!$D$13="","",TRIM(SUBSTITUTE(INDEX(급여대장_원본!$A$1:$AZ$400,(설정!$B$8+98),설정!$D$13)&amp;"","　"," ")))</f>
        <v/>
      </c>
      <c r="D104" s="2">
        <f>IF(설정!$D$14="","",TRIM(SUBSTITUTE(INDEX(급여대장_원본!$A$1:$AZ$400,(설정!$B$8+98),설정!$D$14)&amp;"","　"," ")))</f>
        <v/>
      </c>
      <c r="E104" s="2">
        <f>IF(설정!$D$15="","",TRIM(SUBSTITUTE(INDEX(급여대장_원본!$A$1:$AZ$400,(설정!$B$8+98),설정!$D$15)&amp;"","　"," ")))</f>
        <v/>
      </c>
      <c r="F104" s="27">
        <f>IF(설정!$D$17="",0,IFERROR(VALUE(SUBSTITUTE(SUBSTITUTE(INDEX(급여대장_원본!$A$1:$AZ$400,(설정!$B$8+98),설정!$D$17)&amp;"",",",""),"　","")),0))</f>
        <v/>
      </c>
      <c r="G104" s="27">
        <f>IF(설정!$D$18="",0,IFERROR(VALUE(SUBSTITUTE(SUBSTITUTE(INDEX(급여대장_원본!$A$1:$AZ$400,(설정!$B$8+98),설정!$D$18)&amp;"",",",""),"　","")),0))</f>
        <v/>
      </c>
      <c r="H104" s="27">
        <f>IF(설정!$D$19="",0,IFERROR(VALUE(SUBSTITUTE(SUBSTITUTE(INDEX(급여대장_원본!$A$1:$AZ$400,(설정!$B$8+98),설정!$D$19)&amp;"",",",""),"　","")),0))</f>
        <v/>
      </c>
      <c r="I104" s="27">
        <f>IF(설정!$D$20="",0,IFERROR(VALUE(SUBSTITUTE(SUBSTITUTE(INDEX(급여대장_원본!$A$1:$AZ$400,(설정!$B$8+98),설정!$D$20)&amp;"",",",""),"　","")),0))</f>
        <v/>
      </c>
      <c r="J104" s="27">
        <f>IF(설정!$D$21="",0,IFERROR(VALUE(SUBSTITUTE(SUBSTITUTE(INDEX(급여대장_원본!$A$1:$AZ$400,(설정!$B$8+98),설정!$D$21)&amp;"",",",""),"　","")),0))</f>
        <v/>
      </c>
      <c r="K104" s="27">
        <f>IF(설정!$D$22="",0,IFERROR(VALUE(SUBSTITUTE(SUBSTITUTE(INDEX(급여대장_원본!$A$1:$AZ$400,(설정!$B$8+98),설정!$D$22)&amp;"",",",""),"　","")),0))</f>
        <v/>
      </c>
      <c r="L104" s="27">
        <f>IF(설정!$D$23="",0,IFERROR(VALUE(SUBSTITUTE(SUBSTITUTE(INDEX(급여대장_원본!$A$1:$AZ$400,(설정!$B$8+98),설정!$D$23)&amp;"",",",""),"　","")),0))</f>
        <v/>
      </c>
      <c r="M104" s="27">
        <f>IF(설정!$D$24="",0,IFERROR(VALUE(SUBSTITUTE(SUBSTITUTE(INDEX(급여대장_원본!$A$1:$AZ$400,(설정!$B$8+98),설정!$D$24)&amp;"",",",""),"　","")),0))</f>
        <v/>
      </c>
      <c r="N104" s="2">
        <f>IF(OR(설정!$C$17="",IFERROR(MATCH(설정!$C$17,INDEX(급여대장_원본!$A$1:$AZ$400,설정!$B$8,0),0),"")=""),"",IFERROR(VALUE(SUBSTITUTE(INDEX(급여대장_원본!$A$1:$AZ$400,(설정!$B$8+98),IFERROR(MATCH(설정!$C$17,INDEX(급여대장_원본!$A$1:$AZ$400,설정!$B$8,0),0),""))&amp;"",",","")),""))</f>
        <v/>
      </c>
      <c r="O104" s="2">
        <f>IF(OR(설정!$C$18="",IFERROR(MATCH(설정!$C$18,INDEX(급여대장_원본!$A$1:$AZ$400,설정!$B$8,0),0),"")=""),"",IFERROR(VALUE(SUBSTITUTE(INDEX(급여대장_원본!$A$1:$AZ$400,(설정!$B$8+98),IFERROR(MATCH(설정!$C$18,INDEX(급여대장_원본!$A$1:$AZ$400,설정!$B$8,0),0),""))&amp;"",",","")),""))</f>
        <v/>
      </c>
      <c r="P104" s="2">
        <f>IF(OR(설정!$C$19="",IFERROR(MATCH(설정!$C$19,INDEX(급여대장_원본!$A$1:$AZ$400,설정!$B$8,0),0),"")=""),"",IFERROR(VALUE(SUBSTITUTE(INDEX(급여대장_원본!$A$1:$AZ$400,(설정!$B$8+98),IFERROR(MATCH(설정!$C$19,INDEX(급여대장_원본!$A$1:$AZ$400,설정!$B$8,0),0),""))&amp;"",",","")),""))</f>
        <v/>
      </c>
      <c r="Q104" s="2">
        <f>IF(OR(설정!$C$20="",IFERROR(MATCH(설정!$C$20,INDEX(급여대장_원본!$A$1:$AZ$400,설정!$B$8,0),0),"")=""),"",IFERROR(VALUE(SUBSTITUTE(INDEX(급여대장_원본!$A$1:$AZ$400,(설정!$B$8+98),IFERROR(MATCH(설정!$C$20,INDEX(급여대장_원본!$A$1:$AZ$400,설정!$B$8,0),0),""))&amp;"",",","")),""))</f>
        <v/>
      </c>
      <c r="R104" s="2">
        <f>IF(OR(설정!$C$21="",IFERROR(MATCH(설정!$C$21,INDEX(급여대장_원본!$A$1:$AZ$400,설정!$B$8,0),0),"")=""),"",IFERROR(VALUE(SUBSTITUTE(INDEX(급여대장_원본!$A$1:$AZ$400,(설정!$B$8+98),IFERROR(MATCH(설정!$C$21,INDEX(급여대장_원본!$A$1:$AZ$400,설정!$B$8,0),0),""))&amp;"",",","")),""))</f>
        <v/>
      </c>
      <c r="S104" s="2">
        <f>IF(OR(설정!$C$22="",IFERROR(MATCH(설정!$C$22,INDEX(급여대장_원본!$A$1:$AZ$400,설정!$B$8,0),0),"")=""),"",IFERROR(VALUE(SUBSTITUTE(INDEX(급여대장_원본!$A$1:$AZ$400,(설정!$B$8+98),IFERROR(MATCH(설정!$C$22,INDEX(급여대장_원본!$A$1:$AZ$400,설정!$B$8,0),0),""))&amp;"",",","")),""))</f>
        <v/>
      </c>
      <c r="T104" s="2">
        <f>IF(OR(설정!$C$23="",IFERROR(MATCH(설정!$C$23,INDEX(급여대장_원본!$A$1:$AZ$400,설정!$B$8,0),0),"")=""),"",IFERROR(VALUE(SUBSTITUTE(INDEX(급여대장_원본!$A$1:$AZ$400,(설정!$B$8+98),IFERROR(MATCH(설정!$C$23,INDEX(급여대장_원본!$A$1:$AZ$400,설정!$B$8,0),0),""))&amp;"",",","")),""))</f>
        <v/>
      </c>
      <c r="U104" s="2">
        <f>IF(OR(설정!$C$24="",IFERROR(MATCH(설정!$C$24,INDEX(급여대장_원본!$A$1:$AZ$400,설정!$B$8,0),0),"")=""),"",IFERROR(VALUE(SUBSTITUTE(INDEX(급여대장_원본!$A$1:$AZ$400,(설정!$B$8+98),IFERROR(MATCH(설정!$C$24,INDEX(급여대장_원본!$A$1:$AZ$400,설정!$B$8,0),0),""))&amp;"",",","")),""))</f>
        <v/>
      </c>
      <c r="V104" s="27">
        <f>SUM(F104:M104)</f>
        <v/>
      </c>
      <c r="W104" s="27">
        <f>IF(설정!$D$26="",0,IFERROR(VALUE(SUBSTITUTE(SUBSTITUTE(INDEX(급여대장_원본!$A$1:$AZ$400,(설정!$B$8+98),설정!$D$26)&amp;"",",",""),"　","")),0))</f>
        <v/>
      </c>
      <c r="X104" s="27">
        <f>IF(설정!$D$27="",0,IFERROR(VALUE(SUBSTITUTE(SUBSTITUTE(INDEX(급여대장_원본!$A$1:$AZ$400,(설정!$B$8+98),설정!$D$27)&amp;"",",",""),"　","")),0))</f>
        <v/>
      </c>
      <c r="Y104" s="27">
        <f>IF(설정!$D$28="",0,IFERROR(VALUE(SUBSTITUTE(SUBSTITUTE(INDEX(급여대장_원본!$A$1:$AZ$400,(설정!$B$8+98),설정!$D$28)&amp;"",",",""),"　","")),0))</f>
        <v/>
      </c>
      <c r="Z104" s="27">
        <f>IF(설정!$D$29="",0,IFERROR(VALUE(SUBSTITUTE(SUBSTITUTE(INDEX(급여대장_원본!$A$1:$AZ$400,(설정!$B$8+98),설정!$D$29)&amp;"",",",""),"　","")),0))</f>
        <v/>
      </c>
      <c r="AA104" s="27">
        <f>IF(설정!$D$30="",0,IFERROR(VALUE(SUBSTITUTE(SUBSTITUTE(INDEX(급여대장_원본!$A$1:$AZ$400,(설정!$B$8+98),설정!$D$30)&amp;"",",",""),"　","")),0))</f>
        <v/>
      </c>
      <c r="AB104" s="27">
        <f>IF(설정!$D$31="",0,IFERROR(VALUE(SUBSTITUTE(SUBSTITUTE(INDEX(급여대장_원본!$A$1:$AZ$400,(설정!$B$8+98),설정!$D$31)&amp;"",",",""),"　","")),0))</f>
        <v/>
      </c>
      <c r="AC104" s="27">
        <f>IF(설정!$D$32="",0,IFERROR(VALUE(SUBSTITUTE(SUBSTITUTE(INDEX(급여대장_원본!$A$1:$AZ$400,(설정!$B$8+98),설정!$D$32)&amp;"",",",""),"　","")),0))</f>
        <v/>
      </c>
      <c r="AD104" s="27">
        <f>IF(설정!$D$33="",0,IFERROR(VALUE(SUBSTITUTE(SUBSTITUTE(INDEX(급여대장_원본!$A$1:$AZ$400,(설정!$B$8+98),설정!$D$33)&amp;"",",",""),"　","")),0))</f>
        <v/>
      </c>
      <c r="AE104" s="27">
        <f>SUM(W104:AD104)</f>
        <v/>
      </c>
      <c r="AF104" s="27">
        <f>V104-AE104</f>
        <v/>
      </c>
      <c r="AG104" s="27">
        <f>IF(설정!$D$35="","",IF(설정!$D$35="",0,IFERROR(VALUE(SUBSTITUTE(SUBSTITUTE(INDEX(급여대장_원본!$A$1:$AZ$400,(설정!$B$8+98),설정!$D$35)&amp;"",",",""),"　","")),0)))</f>
        <v/>
      </c>
      <c r="AH104" s="27">
        <f>IF(설정!$D$36="","",IF(설정!$D$36="",0,IFERROR(VALUE(SUBSTITUTE(SUBSTITUTE(INDEX(급여대장_원본!$A$1:$AZ$400,(설정!$B$8+98),설정!$D$36)&amp;"",",",""),"　","")),0)))</f>
        <v/>
      </c>
      <c r="AI104" s="27">
        <f>IF(설정!$D$37="","",IF(설정!$D$37="",0,IFERROR(VALUE(SUBSTITUTE(SUBSTITUTE(INDEX(급여대장_원본!$A$1:$AZ$400,(설정!$B$8+98),설정!$D$37)&amp;"",",",""),"　","")),0)))</f>
        <v/>
      </c>
      <c r="AJ104" s="2">
        <f>IFERROR(INDEX($D$7:$D$306,MATCH(98,$B$7:$B$306,0)),"")</f>
        <v/>
      </c>
    </row>
    <row r="105">
      <c r="A105" s="2">
        <f>IF(AND(D105&lt;&gt;"",D105&lt;&gt;"합계",D105&lt;&gt;"총계",D105&lt;&gt;"소계",D105&lt;&gt;"계"),1,0)</f>
        <v/>
      </c>
      <c r="B105" s="2">
        <f>IF(A105=1,SUM($A$7:A105),"")</f>
        <v/>
      </c>
      <c r="C105" s="2">
        <f>IF(설정!$D$13="","",TRIM(SUBSTITUTE(INDEX(급여대장_원본!$A$1:$AZ$400,(설정!$B$8+99),설정!$D$13)&amp;"","　"," ")))</f>
        <v/>
      </c>
      <c r="D105" s="2">
        <f>IF(설정!$D$14="","",TRIM(SUBSTITUTE(INDEX(급여대장_원본!$A$1:$AZ$400,(설정!$B$8+99),설정!$D$14)&amp;"","　"," ")))</f>
        <v/>
      </c>
      <c r="E105" s="2">
        <f>IF(설정!$D$15="","",TRIM(SUBSTITUTE(INDEX(급여대장_원본!$A$1:$AZ$400,(설정!$B$8+99),설정!$D$15)&amp;"","　"," ")))</f>
        <v/>
      </c>
      <c r="F105" s="27">
        <f>IF(설정!$D$17="",0,IFERROR(VALUE(SUBSTITUTE(SUBSTITUTE(INDEX(급여대장_원본!$A$1:$AZ$400,(설정!$B$8+99),설정!$D$17)&amp;"",",",""),"　","")),0))</f>
        <v/>
      </c>
      <c r="G105" s="27">
        <f>IF(설정!$D$18="",0,IFERROR(VALUE(SUBSTITUTE(SUBSTITUTE(INDEX(급여대장_원본!$A$1:$AZ$400,(설정!$B$8+99),설정!$D$18)&amp;"",",",""),"　","")),0))</f>
        <v/>
      </c>
      <c r="H105" s="27">
        <f>IF(설정!$D$19="",0,IFERROR(VALUE(SUBSTITUTE(SUBSTITUTE(INDEX(급여대장_원본!$A$1:$AZ$400,(설정!$B$8+99),설정!$D$19)&amp;"",",",""),"　","")),0))</f>
        <v/>
      </c>
      <c r="I105" s="27">
        <f>IF(설정!$D$20="",0,IFERROR(VALUE(SUBSTITUTE(SUBSTITUTE(INDEX(급여대장_원본!$A$1:$AZ$400,(설정!$B$8+99),설정!$D$20)&amp;"",",",""),"　","")),0))</f>
        <v/>
      </c>
      <c r="J105" s="27">
        <f>IF(설정!$D$21="",0,IFERROR(VALUE(SUBSTITUTE(SUBSTITUTE(INDEX(급여대장_원본!$A$1:$AZ$400,(설정!$B$8+99),설정!$D$21)&amp;"",",",""),"　","")),0))</f>
        <v/>
      </c>
      <c r="K105" s="27">
        <f>IF(설정!$D$22="",0,IFERROR(VALUE(SUBSTITUTE(SUBSTITUTE(INDEX(급여대장_원본!$A$1:$AZ$400,(설정!$B$8+99),설정!$D$22)&amp;"",",",""),"　","")),0))</f>
        <v/>
      </c>
      <c r="L105" s="27">
        <f>IF(설정!$D$23="",0,IFERROR(VALUE(SUBSTITUTE(SUBSTITUTE(INDEX(급여대장_원본!$A$1:$AZ$400,(설정!$B$8+99),설정!$D$23)&amp;"",",",""),"　","")),0))</f>
        <v/>
      </c>
      <c r="M105" s="27">
        <f>IF(설정!$D$24="",0,IFERROR(VALUE(SUBSTITUTE(SUBSTITUTE(INDEX(급여대장_원본!$A$1:$AZ$400,(설정!$B$8+99),설정!$D$24)&amp;"",",",""),"　","")),0))</f>
        <v/>
      </c>
      <c r="N105" s="2">
        <f>IF(OR(설정!$C$17="",IFERROR(MATCH(설정!$C$17,INDEX(급여대장_원본!$A$1:$AZ$400,설정!$B$8,0),0),"")=""),"",IFERROR(VALUE(SUBSTITUTE(INDEX(급여대장_원본!$A$1:$AZ$400,(설정!$B$8+99),IFERROR(MATCH(설정!$C$17,INDEX(급여대장_원본!$A$1:$AZ$400,설정!$B$8,0),0),""))&amp;"",",","")),""))</f>
        <v/>
      </c>
      <c r="O105" s="2">
        <f>IF(OR(설정!$C$18="",IFERROR(MATCH(설정!$C$18,INDEX(급여대장_원본!$A$1:$AZ$400,설정!$B$8,0),0),"")=""),"",IFERROR(VALUE(SUBSTITUTE(INDEX(급여대장_원본!$A$1:$AZ$400,(설정!$B$8+99),IFERROR(MATCH(설정!$C$18,INDEX(급여대장_원본!$A$1:$AZ$400,설정!$B$8,0),0),""))&amp;"",",","")),""))</f>
        <v/>
      </c>
      <c r="P105" s="2">
        <f>IF(OR(설정!$C$19="",IFERROR(MATCH(설정!$C$19,INDEX(급여대장_원본!$A$1:$AZ$400,설정!$B$8,0),0),"")=""),"",IFERROR(VALUE(SUBSTITUTE(INDEX(급여대장_원본!$A$1:$AZ$400,(설정!$B$8+99),IFERROR(MATCH(설정!$C$19,INDEX(급여대장_원본!$A$1:$AZ$400,설정!$B$8,0),0),""))&amp;"",",","")),""))</f>
        <v/>
      </c>
      <c r="Q105" s="2">
        <f>IF(OR(설정!$C$20="",IFERROR(MATCH(설정!$C$20,INDEX(급여대장_원본!$A$1:$AZ$400,설정!$B$8,0),0),"")=""),"",IFERROR(VALUE(SUBSTITUTE(INDEX(급여대장_원본!$A$1:$AZ$400,(설정!$B$8+99),IFERROR(MATCH(설정!$C$20,INDEX(급여대장_원본!$A$1:$AZ$400,설정!$B$8,0),0),""))&amp;"",",","")),""))</f>
        <v/>
      </c>
      <c r="R105" s="2">
        <f>IF(OR(설정!$C$21="",IFERROR(MATCH(설정!$C$21,INDEX(급여대장_원본!$A$1:$AZ$400,설정!$B$8,0),0),"")=""),"",IFERROR(VALUE(SUBSTITUTE(INDEX(급여대장_원본!$A$1:$AZ$400,(설정!$B$8+99),IFERROR(MATCH(설정!$C$21,INDEX(급여대장_원본!$A$1:$AZ$400,설정!$B$8,0),0),""))&amp;"",",","")),""))</f>
        <v/>
      </c>
      <c r="S105" s="2">
        <f>IF(OR(설정!$C$22="",IFERROR(MATCH(설정!$C$22,INDEX(급여대장_원본!$A$1:$AZ$400,설정!$B$8,0),0),"")=""),"",IFERROR(VALUE(SUBSTITUTE(INDEX(급여대장_원본!$A$1:$AZ$400,(설정!$B$8+99),IFERROR(MATCH(설정!$C$22,INDEX(급여대장_원본!$A$1:$AZ$400,설정!$B$8,0),0),""))&amp;"",",","")),""))</f>
        <v/>
      </c>
      <c r="T105" s="2">
        <f>IF(OR(설정!$C$23="",IFERROR(MATCH(설정!$C$23,INDEX(급여대장_원본!$A$1:$AZ$400,설정!$B$8,0),0),"")=""),"",IFERROR(VALUE(SUBSTITUTE(INDEX(급여대장_원본!$A$1:$AZ$400,(설정!$B$8+99),IFERROR(MATCH(설정!$C$23,INDEX(급여대장_원본!$A$1:$AZ$400,설정!$B$8,0),0),""))&amp;"",",","")),""))</f>
        <v/>
      </c>
      <c r="U105" s="2">
        <f>IF(OR(설정!$C$24="",IFERROR(MATCH(설정!$C$24,INDEX(급여대장_원본!$A$1:$AZ$400,설정!$B$8,0),0),"")=""),"",IFERROR(VALUE(SUBSTITUTE(INDEX(급여대장_원본!$A$1:$AZ$400,(설정!$B$8+99),IFERROR(MATCH(설정!$C$24,INDEX(급여대장_원본!$A$1:$AZ$400,설정!$B$8,0),0),""))&amp;"",",","")),""))</f>
        <v/>
      </c>
      <c r="V105" s="27">
        <f>SUM(F105:M105)</f>
        <v/>
      </c>
      <c r="W105" s="27">
        <f>IF(설정!$D$26="",0,IFERROR(VALUE(SUBSTITUTE(SUBSTITUTE(INDEX(급여대장_원본!$A$1:$AZ$400,(설정!$B$8+99),설정!$D$26)&amp;"",",",""),"　","")),0))</f>
        <v/>
      </c>
      <c r="X105" s="27">
        <f>IF(설정!$D$27="",0,IFERROR(VALUE(SUBSTITUTE(SUBSTITUTE(INDEX(급여대장_원본!$A$1:$AZ$400,(설정!$B$8+99),설정!$D$27)&amp;"",",",""),"　","")),0))</f>
        <v/>
      </c>
      <c r="Y105" s="27">
        <f>IF(설정!$D$28="",0,IFERROR(VALUE(SUBSTITUTE(SUBSTITUTE(INDEX(급여대장_원본!$A$1:$AZ$400,(설정!$B$8+99),설정!$D$28)&amp;"",",",""),"　","")),0))</f>
        <v/>
      </c>
      <c r="Z105" s="27">
        <f>IF(설정!$D$29="",0,IFERROR(VALUE(SUBSTITUTE(SUBSTITUTE(INDEX(급여대장_원본!$A$1:$AZ$400,(설정!$B$8+99),설정!$D$29)&amp;"",",",""),"　","")),0))</f>
        <v/>
      </c>
      <c r="AA105" s="27">
        <f>IF(설정!$D$30="",0,IFERROR(VALUE(SUBSTITUTE(SUBSTITUTE(INDEX(급여대장_원본!$A$1:$AZ$400,(설정!$B$8+99),설정!$D$30)&amp;"",",",""),"　","")),0))</f>
        <v/>
      </c>
      <c r="AB105" s="27">
        <f>IF(설정!$D$31="",0,IFERROR(VALUE(SUBSTITUTE(SUBSTITUTE(INDEX(급여대장_원본!$A$1:$AZ$400,(설정!$B$8+99),설정!$D$31)&amp;"",",",""),"　","")),0))</f>
        <v/>
      </c>
      <c r="AC105" s="27">
        <f>IF(설정!$D$32="",0,IFERROR(VALUE(SUBSTITUTE(SUBSTITUTE(INDEX(급여대장_원본!$A$1:$AZ$400,(설정!$B$8+99),설정!$D$32)&amp;"",",",""),"　","")),0))</f>
        <v/>
      </c>
      <c r="AD105" s="27">
        <f>IF(설정!$D$33="",0,IFERROR(VALUE(SUBSTITUTE(SUBSTITUTE(INDEX(급여대장_원본!$A$1:$AZ$400,(설정!$B$8+99),설정!$D$33)&amp;"",",",""),"　","")),0))</f>
        <v/>
      </c>
      <c r="AE105" s="27">
        <f>SUM(W105:AD105)</f>
        <v/>
      </c>
      <c r="AF105" s="27">
        <f>V105-AE105</f>
        <v/>
      </c>
      <c r="AG105" s="27">
        <f>IF(설정!$D$35="","",IF(설정!$D$35="",0,IFERROR(VALUE(SUBSTITUTE(SUBSTITUTE(INDEX(급여대장_원본!$A$1:$AZ$400,(설정!$B$8+99),설정!$D$35)&amp;"",",",""),"　","")),0)))</f>
        <v/>
      </c>
      <c r="AH105" s="27">
        <f>IF(설정!$D$36="","",IF(설정!$D$36="",0,IFERROR(VALUE(SUBSTITUTE(SUBSTITUTE(INDEX(급여대장_원본!$A$1:$AZ$400,(설정!$B$8+99),설정!$D$36)&amp;"",",",""),"　","")),0)))</f>
        <v/>
      </c>
      <c r="AI105" s="27">
        <f>IF(설정!$D$37="","",IF(설정!$D$37="",0,IFERROR(VALUE(SUBSTITUTE(SUBSTITUTE(INDEX(급여대장_원본!$A$1:$AZ$400,(설정!$B$8+99),설정!$D$37)&amp;"",",",""),"　","")),0)))</f>
        <v/>
      </c>
      <c r="AJ105" s="2">
        <f>IFERROR(INDEX($D$7:$D$306,MATCH(99,$B$7:$B$306,0)),"")</f>
        <v/>
      </c>
    </row>
    <row r="106">
      <c r="A106" s="2">
        <f>IF(AND(D106&lt;&gt;"",D106&lt;&gt;"합계",D106&lt;&gt;"총계",D106&lt;&gt;"소계",D106&lt;&gt;"계"),1,0)</f>
        <v/>
      </c>
      <c r="B106" s="2">
        <f>IF(A106=1,SUM($A$7:A106),"")</f>
        <v/>
      </c>
      <c r="C106" s="2">
        <f>IF(설정!$D$13="","",TRIM(SUBSTITUTE(INDEX(급여대장_원본!$A$1:$AZ$400,(설정!$B$8+100),설정!$D$13)&amp;"","　"," ")))</f>
        <v/>
      </c>
      <c r="D106" s="2">
        <f>IF(설정!$D$14="","",TRIM(SUBSTITUTE(INDEX(급여대장_원본!$A$1:$AZ$400,(설정!$B$8+100),설정!$D$14)&amp;"","　"," ")))</f>
        <v/>
      </c>
      <c r="E106" s="2">
        <f>IF(설정!$D$15="","",TRIM(SUBSTITUTE(INDEX(급여대장_원본!$A$1:$AZ$400,(설정!$B$8+100),설정!$D$15)&amp;"","　"," ")))</f>
        <v/>
      </c>
      <c r="F106" s="27">
        <f>IF(설정!$D$17="",0,IFERROR(VALUE(SUBSTITUTE(SUBSTITUTE(INDEX(급여대장_원본!$A$1:$AZ$400,(설정!$B$8+100),설정!$D$17)&amp;"",",",""),"　","")),0))</f>
        <v/>
      </c>
      <c r="G106" s="27">
        <f>IF(설정!$D$18="",0,IFERROR(VALUE(SUBSTITUTE(SUBSTITUTE(INDEX(급여대장_원본!$A$1:$AZ$400,(설정!$B$8+100),설정!$D$18)&amp;"",",",""),"　","")),0))</f>
        <v/>
      </c>
      <c r="H106" s="27">
        <f>IF(설정!$D$19="",0,IFERROR(VALUE(SUBSTITUTE(SUBSTITUTE(INDEX(급여대장_원본!$A$1:$AZ$400,(설정!$B$8+100),설정!$D$19)&amp;"",",",""),"　","")),0))</f>
        <v/>
      </c>
      <c r="I106" s="27">
        <f>IF(설정!$D$20="",0,IFERROR(VALUE(SUBSTITUTE(SUBSTITUTE(INDEX(급여대장_원본!$A$1:$AZ$400,(설정!$B$8+100),설정!$D$20)&amp;"",",",""),"　","")),0))</f>
        <v/>
      </c>
      <c r="J106" s="27">
        <f>IF(설정!$D$21="",0,IFERROR(VALUE(SUBSTITUTE(SUBSTITUTE(INDEX(급여대장_원본!$A$1:$AZ$400,(설정!$B$8+100),설정!$D$21)&amp;"",",",""),"　","")),0))</f>
        <v/>
      </c>
      <c r="K106" s="27">
        <f>IF(설정!$D$22="",0,IFERROR(VALUE(SUBSTITUTE(SUBSTITUTE(INDEX(급여대장_원본!$A$1:$AZ$400,(설정!$B$8+100),설정!$D$22)&amp;"",",",""),"　","")),0))</f>
        <v/>
      </c>
      <c r="L106" s="27">
        <f>IF(설정!$D$23="",0,IFERROR(VALUE(SUBSTITUTE(SUBSTITUTE(INDEX(급여대장_원본!$A$1:$AZ$400,(설정!$B$8+100),설정!$D$23)&amp;"",",",""),"　","")),0))</f>
        <v/>
      </c>
      <c r="M106" s="27">
        <f>IF(설정!$D$24="",0,IFERROR(VALUE(SUBSTITUTE(SUBSTITUTE(INDEX(급여대장_원본!$A$1:$AZ$400,(설정!$B$8+100),설정!$D$24)&amp;"",",",""),"　","")),0))</f>
        <v/>
      </c>
      <c r="N106" s="2">
        <f>IF(OR(설정!$C$17="",IFERROR(MATCH(설정!$C$17,INDEX(급여대장_원본!$A$1:$AZ$400,설정!$B$8,0),0),"")=""),"",IFERROR(VALUE(SUBSTITUTE(INDEX(급여대장_원본!$A$1:$AZ$400,(설정!$B$8+100),IFERROR(MATCH(설정!$C$17,INDEX(급여대장_원본!$A$1:$AZ$400,설정!$B$8,0),0),""))&amp;"",",","")),""))</f>
        <v/>
      </c>
      <c r="O106" s="2">
        <f>IF(OR(설정!$C$18="",IFERROR(MATCH(설정!$C$18,INDEX(급여대장_원본!$A$1:$AZ$400,설정!$B$8,0),0),"")=""),"",IFERROR(VALUE(SUBSTITUTE(INDEX(급여대장_원본!$A$1:$AZ$400,(설정!$B$8+100),IFERROR(MATCH(설정!$C$18,INDEX(급여대장_원본!$A$1:$AZ$400,설정!$B$8,0),0),""))&amp;"",",","")),""))</f>
        <v/>
      </c>
      <c r="P106" s="2">
        <f>IF(OR(설정!$C$19="",IFERROR(MATCH(설정!$C$19,INDEX(급여대장_원본!$A$1:$AZ$400,설정!$B$8,0),0),"")=""),"",IFERROR(VALUE(SUBSTITUTE(INDEX(급여대장_원본!$A$1:$AZ$400,(설정!$B$8+100),IFERROR(MATCH(설정!$C$19,INDEX(급여대장_원본!$A$1:$AZ$400,설정!$B$8,0),0),""))&amp;"",",","")),""))</f>
        <v/>
      </c>
      <c r="Q106" s="2">
        <f>IF(OR(설정!$C$20="",IFERROR(MATCH(설정!$C$20,INDEX(급여대장_원본!$A$1:$AZ$400,설정!$B$8,0),0),"")=""),"",IFERROR(VALUE(SUBSTITUTE(INDEX(급여대장_원본!$A$1:$AZ$400,(설정!$B$8+100),IFERROR(MATCH(설정!$C$20,INDEX(급여대장_원본!$A$1:$AZ$400,설정!$B$8,0),0),""))&amp;"",",","")),""))</f>
        <v/>
      </c>
      <c r="R106" s="2">
        <f>IF(OR(설정!$C$21="",IFERROR(MATCH(설정!$C$21,INDEX(급여대장_원본!$A$1:$AZ$400,설정!$B$8,0),0),"")=""),"",IFERROR(VALUE(SUBSTITUTE(INDEX(급여대장_원본!$A$1:$AZ$400,(설정!$B$8+100),IFERROR(MATCH(설정!$C$21,INDEX(급여대장_원본!$A$1:$AZ$400,설정!$B$8,0),0),""))&amp;"",",","")),""))</f>
        <v/>
      </c>
      <c r="S106" s="2">
        <f>IF(OR(설정!$C$22="",IFERROR(MATCH(설정!$C$22,INDEX(급여대장_원본!$A$1:$AZ$400,설정!$B$8,0),0),"")=""),"",IFERROR(VALUE(SUBSTITUTE(INDEX(급여대장_원본!$A$1:$AZ$400,(설정!$B$8+100),IFERROR(MATCH(설정!$C$22,INDEX(급여대장_원본!$A$1:$AZ$400,설정!$B$8,0),0),""))&amp;"",",","")),""))</f>
        <v/>
      </c>
      <c r="T106" s="2">
        <f>IF(OR(설정!$C$23="",IFERROR(MATCH(설정!$C$23,INDEX(급여대장_원본!$A$1:$AZ$400,설정!$B$8,0),0),"")=""),"",IFERROR(VALUE(SUBSTITUTE(INDEX(급여대장_원본!$A$1:$AZ$400,(설정!$B$8+100),IFERROR(MATCH(설정!$C$23,INDEX(급여대장_원본!$A$1:$AZ$400,설정!$B$8,0),0),""))&amp;"",",","")),""))</f>
        <v/>
      </c>
      <c r="U106" s="2">
        <f>IF(OR(설정!$C$24="",IFERROR(MATCH(설정!$C$24,INDEX(급여대장_원본!$A$1:$AZ$400,설정!$B$8,0),0),"")=""),"",IFERROR(VALUE(SUBSTITUTE(INDEX(급여대장_원본!$A$1:$AZ$400,(설정!$B$8+100),IFERROR(MATCH(설정!$C$24,INDEX(급여대장_원본!$A$1:$AZ$400,설정!$B$8,0),0),""))&amp;"",",","")),""))</f>
        <v/>
      </c>
      <c r="V106" s="27">
        <f>SUM(F106:M106)</f>
        <v/>
      </c>
      <c r="W106" s="27">
        <f>IF(설정!$D$26="",0,IFERROR(VALUE(SUBSTITUTE(SUBSTITUTE(INDEX(급여대장_원본!$A$1:$AZ$400,(설정!$B$8+100),설정!$D$26)&amp;"",",",""),"　","")),0))</f>
        <v/>
      </c>
      <c r="X106" s="27">
        <f>IF(설정!$D$27="",0,IFERROR(VALUE(SUBSTITUTE(SUBSTITUTE(INDEX(급여대장_원본!$A$1:$AZ$400,(설정!$B$8+100),설정!$D$27)&amp;"",",",""),"　","")),0))</f>
        <v/>
      </c>
      <c r="Y106" s="27">
        <f>IF(설정!$D$28="",0,IFERROR(VALUE(SUBSTITUTE(SUBSTITUTE(INDEX(급여대장_원본!$A$1:$AZ$400,(설정!$B$8+100),설정!$D$28)&amp;"",",",""),"　","")),0))</f>
        <v/>
      </c>
      <c r="Z106" s="27">
        <f>IF(설정!$D$29="",0,IFERROR(VALUE(SUBSTITUTE(SUBSTITUTE(INDEX(급여대장_원본!$A$1:$AZ$400,(설정!$B$8+100),설정!$D$29)&amp;"",",",""),"　","")),0))</f>
        <v/>
      </c>
      <c r="AA106" s="27">
        <f>IF(설정!$D$30="",0,IFERROR(VALUE(SUBSTITUTE(SUBSTITUTE(INDEX(급여대장_원본!$A$1:$AZ$400,(설정!$B$8+100),설정!$D$30)&amp;"",",",""),"　","")),0))</f>
        <v/>
      </c>
      <c r="AB106" s="27">
        <f>IF(설정!$D$31="",0,IFERROR(VALUE(SUBSTITUTE(SUBSTITUTE(INDEX(급여대장_원본!$A$1:$AZ$400,(설정!$B$8+100),설정!$D$31)&amp;"",",",""),"　","")),0))</f>
        <v/>
      </c>
      <c r="AC106" s="27">
        <f>IF(설정!$D$32="",0,IFERROR(VALUE(SUBSTITUTE(SUBSTITUTE(INDEX(급여대장_원본!$A$1:$AZ$400,(설정!$B$8+100),설정!$D$32)&amp;"",",",""),"　","")),0))</f>
        <v/>
      </c>
      <c r="AD106" s="27">
        <f>IF(설정!$D$33="",0,IFERROR(VALUE(SUBSTITUTE(SUBSTITUTE(INDEX(급여대장_원본!$A$1:$AZ$400,(설정!$B$8+100),설정!$D$33)&amp;"",",",""),"　","")),0))</f>
        <v/>
      </c>
      <c r="AE106" s="27">
        <f>SUM(W106:AD106)</f>
        <v/>
      </c>
      <c r="AF106" s="27">
        <f>V106-AE106</f>
        <v/>
      </c>
      <c r="AG106" s="27">
        <f>IF(설정!$D$35="","",IF(설정!$D$35="",0,IFERROR(VALUE(SUBSTITUTE(SUBSTITUTE(INDEX(급여대장_원본!$A$1:$AZ$400,(설정!$B$8+100),설정!$D$35)&amp;"",",",""),"　","")),0)))</f>
        <v/>
      </c>
      <c r="AH106" s="27">
        <f>IF(설정!$D$36="","",IF(설정!$D$36="",0,IFERROR(VALUE(SUBSTITUTE(SUBSTITUTE(INDEX(급여대장_원본!$A$1:$AZ$400,(설정!$B$8+100),설정!$D$36)&amp;"",",",""),"　","")),0)))</f>
        <v/>
      </c>
      <c r="AI106" s="27">
        <f>IF(설정!$D$37="","",IF(설정!$D$37="",0,IFERROR(VALUE(SUBSTITUTE(SUBSTITUTE(INDEX(급여대장_원본!$A$1:$AZ$400,(설정!$B$8+100),설정!$D$37)&amp;"",",",""),"　","")),0)))</f>
        <v/>
      </c>
      <c r="AJ106" s="2">
        <f>IFERROR(INDEX($D$7:$D$306,MATCH(100,$B$7:$B$306,0)),"")</f>
        <v/>
      </c>
    </row>
    <row r="107">
      <c r="A107" s="2">
        <f>IF(AND(D107&lt;&gt;"",D107&lt;&gt;"합계",D107&lt;&gt;"총계",D107&lt;&gt;"소계",D107&lt;&gt;"계"),1,0)</f>
        <v/>
      </c>
      <c r="B107" s="2">
        <f>IF(A107=1,SUM($A$7:A107),"")</f>
        <v/>
      </c>
      <c r="C107" s="2">
        <f>IF(설정!$D$13="","",TRIM(SUBSTITUTE(INDEX(급여대장_원본!$A$1:$AZ$400,(설정!$B$8+101),설정!$D$13)&amp;"","　"," ")))</f>
        <v/>
      </c>
      <c r="D107" s="2">
        <f>IF(설정!$D$14="","",TRIM(SUBSTITUTE(INDEX(급여대장_원본!$A$1:$AZ$400,(설정!$B$8+101),설정!$D$14)&amp;"","　"," ")))</f>
        <v/>
      </c>
      <c r="E107" s="2">
        <f>IF(설정!$D$15="","",TRIM(SUBSTITUTE(INDEX(급여대장_원본!$A$1:$AZ$400,(설정!$B$8+101),설정!$D$15)&amp;"","　"," ")))</f>
        <v/>
      </c>
      <c r="F107" s="27">
        <f>IF(설정!$D$17="",0,IFERROR(VALUE(SUBSTITUTE(SUBSTITUTE(INDEX(급여대장_원본!$A$1:$AZ$400,(설정!$B$8+101),설정!$D$17)&amp;"",",",""),"　","")),0))</f>
        <v/>
      </c>
      <c r="G107" s="27">
        <f>IF(설정!$D$18="",0,IFERROR(VALUE(SUBSTITUTE(SUBSTITUTE(INDEX(급여대장_원본!$A$1:$AZ$400,(설정!$B$8+101),설정!$D$18)&amp;"",",",""),"　","")),0))</f>
        <v/>
      </c>
      <c r="H107" s="27">
        <f>IF(설정!$D$19="",0,IFERROR(VALUE(SUBSTITUTE(SUBSTITUTE(INDEX(급여대장_원본!$A$1:$AZ$400,(설정!$B$8+101),설정!$D$19)&amp;"",",",""),"　","")),0))</f>
        <v/>
      </c>
      <c r="I107" s="27">
        <f>IF(설정!$D$20="",0,IFERROR(VALUE(SUBSTITUTE(SUBSTITUTE(INDEX(급여대장_원본!$A$1:$AZ$400,(설정!$B$8+101),설정!$D$20)&amp;"",",",""),"　","")),0))</f>
        <v/>
      </c>
      <c r="J107" s="27">
        <f>IF(설정!$D$21="",0,IFERROR(VALUE(SUBSTITUTE(SUBSTITUTE(INDEX(급여대장_원본!$A$1:$AZ$400,(설정!$B$8+101),설정!$D$21)&amp;"",",",""),"　","")),0))</f>
        <v/>
      </c>
      <c r="K107" s="27">
        <f>IF(설정!$D$22="",0,IFERROR(VALUE(SUBSTITUTE(SUBSTITUTE(INDEX(급여대장_원본!$A$1:$AZ$400,(설정!$B$8+101),설정!$D$22)&amp;"",",",""),"　","")),0))</f>
        <v/>
      </c>
      <c r="L107" s="27">
        <f>IF(설정!$D$23="",0,IFERROR(VALUE(SUBSTITUTE(SUBSTITUTE(INDEX(급여대장_원본!$A$1:$AZ$400,(설정!$B$8+101),설정!$D$23)&amp;"",",",""),"　","")),0))</f>
        <v/>
      </c>
      <c r="M107" s="27">
        <f>IF(설정!$D$24="",0,IFERROR(VALUE(SUBSTITUTE(SUBSTITUTE(INDEX(급여대장_원본!$A$1:$AZ$400,(설정!$B$8+101),설정!$D$24)&amp;"",",",""),"　","")),0))</f>
        <v/>
      </c>
      <c r="N107" s="2">
        <f>IF(OR(설정!$C$17="",IFERROR(MATCH(설정!$C$17,INDEX(급여대장_원본!$A$1:$AZ$400,설정!$B$8,0),0),"")=""),"",IFERROR(VALUE(SUBSTITUTE(INDEX(급여대장_원본!$A$1:$AZ$400,(설정!$B$8+101),IFERROR(MATCH(설정!$C$17,INDEX(급여대장_원본!$A$1:$AZ$400,설정!$B$8,0),0),""))&amp;"",",","")),""))</f>
        <v/>
      </c>
      <c r="O107" s="2">
        <f>IF(OR(설정!$C$18="",IFERROR(MATCH(설정!$C$18,INDEX(급여대장_원본!$A$1:$AZ$400,설정!$B$8,0),0),"")=""),"",IFERROR(VALUE(SUBSTITUTE(INDEX(급여대장_원본!$A$1:$AZ$400,(설정!$B$8+101),IFERROR(MATCH(설정!$C$18,INDEX(급여대장_원본!$A$1:$AZ$400,설정!$B$8,0),0),""))&amp;"",",","")),""))</f>
        <v/>
      </c>
      <c r="P107" s="2">
        <f>IF(OR(설정!$C$19="",IFERROR(MATCH(설정!$C$19,INDEX(급여대장_원본!$A$1:$AZ$400,설정!$B$8,0),0),"")=""),"",IFERROR(VALUE(SUBSTITUTE(INDEX(급여대장_원본!$A$1:$AZ$400,(설정!$B$8+101),IFERROR(MATCH(설정!$C$19,INDEX(급여대장_원본!$A$1:$AZ$400,설정!$B$8,0),0),""))&amp;"",",","")),""))</f>
        <v/>
      </c>
      <c r="Q107" s="2">
        <f>IF(OR(설정!$C$20="",IFERROR(MATCH(설정!$C$20,INDEX(급여대장_원본!$A$1:$AZ$400,설정!$B$8,0),0),"")=""),"",IFERROR(VALUE(SUBSTITUTE(INDEX(급여대장_원본!$A$1:$AZ$400,(설정!$B$8+101),IFERROR(MATCH(설정!$C$20,INDEX(급여대장_원본!$A$1:$AZ$400,설정!$B$8,0),0),""))&amp;"",",","")),""))</f>
        <v/>
      </c>
      <c r="R107" s="2">
        <f>IF(OR(설정!$C$21="",IFERROR(MATCH(설정!$C$21,INDEX(급여대장_원본!$A$1:$AZ$400,설정!$B$8,0),0),"")=""),"",IFERROR(VALUE(SUBSTITUTE(INDEX(급여대장_원본!$A$1:$AZ$400,(설정!$B$8+101),IFERROR(MATCH(설정!$C$21,INDEX(급여대장_원본!$A$1:$AZ$400,설정!$B$8,0),0),""))&amp;"",",","")),""))</f>
        <v/>
      </c>
      <c r="S107" s="2">
        <f>IF(OR(설정!$C$22="",IFERROR(MATCH(설정!$C$22,INDEX(급여대장_원본!$A$1:$AZ$400,설정!$B$8,0),0),"")=""),"",IFERROR(VALUE(SUBSTITUTE(INDEX(급여대장_원본!$A$1:$AZ$400,(설정!$B$8+101),IFERROR(MATCH(설정!$C$22,INDEX(급여대장_원본!$A$1:$AZ$400,설정!$B$8,0),0),""))&amp;"",",","")),""))</f>
        <v/>
      </c>
      <c r="T107" s="2">
        <f>IF(OR(설정!$C$23="",IFERROR(MATCH(설정!$C$23,INDEX(급여대장_원본!$A$1:$AZ$400,설정!$B$8,0),0),"")=""),"",IFERROR(VALUE(SUBSTITUTE(INDEX(급여대장_원본!$A$1:$AZ$400,(설정!$B$8+101),IFERROR(MATCH(설정!$C$23,INDEX(급여대장_원본!$A$1:$AZ$400,설정!$B$8,0),0),""))&amp;"",",","")),""))</f>
        <v/>
      </c>
      <c r="U107" s="2">
        <f>IF(OR(설정!$C$24="",IFERROR(MATCH(설정!$C$24,INDEX(급여대장_원본!$A$1:$AZ$400,설정!$B$8,0),0),"")=""),"",IFERROR(VALUE(SUBSTITUTE(INDEX(급여대장_원본!$A$1:$AZ$400,(설정!$B$8+101),IFERROR(MATCH(설정!$C$24,INDEX(급여대장_원본!$A$1:$AZ$400,설정!$B$8,0),0),""))&amp;"",",","")),""))</f>
        <v/>
      </c>
      <c r="V107" s="27">
        <f>SUM(F107:M107)</f>
        <v/>
      </c>
      <c r="W107" s="27">
        <f>IF(설정!$D$26="",0,IFERROR(VALUE(SUBSTITUTE(SUBSTITUTE(INDEX(급여대장_원본!$A$1:$AZ$400,(설정!$B$8+101),설정!$D$26)&amp;"",",",""),"　","")),0))</f>
        <v/>
      </c>
      <c r="X107" s="27">
        <f>IF(설정!$D$27="",0,IFERROR(VALUE(SUBSTITUTE(SUBSTITUTE(INDEX(급여대장_원본!$A$1:$AZ$400,(설정!$B$8+101),설정!$D$27)&amp;"",",",""),"　","")),0))</f>
        <v/>
      </c>
      <c r="Y107" s="27">
        <f>IF(설정!$D$28="",0,IFERROR(VALUE(SUBSTITUTE(SUBSTITUTE(INDEX(급여대장_원본!$A$1:$AZ$400,(설정!$B$8+101),설정!$D$28)&amp;"",",",""),"　","")),0))</f>
        <v/>
      </c>
      <c r="Z107" s="27">
        <f>IF(설정!$D$29="",0,IFERROR(VALUE(SUBSTITUTE(SUBSTITUTE(INDEX(급여대장_원본!$A$1:$AZ$400,(설정!$B$8+101),설정!$D$29)&amp;"",",",""),"　","")),0))</f>
        <v/>
      </c>
      <c r="AA107" s="27">
        <f>IF(설정!$D$30="",0,IFERROR(VALUE(SUBSTITUTE(SUBSTITUTE(INDEX(급여대장_원본!$A$1:$AZ$400,(설정!$B$8+101),설정!$D$30)&amp;"",",",""),"　","")),0))</f>
        <v/>
      </c>
      <c r="AB107" s="27">
        <f>IF(설정!$D$31="",0,IFERROR(VALUE(SUBSTITUTE(SUBSTITUTE(INDEX(급여대장_원본!$A$1:$AZ$400,(설정!$B$8+101),설정!$D$31)&amp;"",",",""),"　","")),0))</f>
        <v/>
      </c>
      <c r="AC107" s="27">
        <f>IF(설정!$D$32="",0,IFERROR(VALUE(SUBSTITUTE(SUBSTITUTE(INDEX(급여대장_원본!$A$1:$AZ$400,(설정!$B$8+101),설정!$D$32)&amp;"",",",""),"　","")),0))</f>
        <v/>
      </c>
      <c r="AD107" s="27">
        <f>IF(설정!$D$33="",0,IFERROR(VALUE(SUBSTITUTE(SUBSTITUTE(INDEX(급여대장_원본!$A$1:$AZ$400,(설정!$B$8+101),설정!$D$33)&amp;"",",",""),"　","")),0))</f>
        <v/>
      </c>
      <c r="AE107" s="27">
        <f>SUM(W107:AD107)</f>
        <v/>
      </c>
      <c r="AF107" s="27">
        <f>V107-AE107</f>
        <v/>
      </c>
      <c r="AG107" s="27">
        <f>IF(설정!$D$35="","",IF(설정!$D$35="",0,IFERROR(VALUE(SUBSTITUTE(SUBSTITUTE(INDEX(급여대장_원본!$A$1:$AZ$400,(설정!$B$8+101),설정!$D$35)&amp;"",",",""),"　","")),0)))</f>
        <v/>
      </c>
      <c r="AH107" s="27">
        <f>IF(설정!$D$36="","",IF(설정!$D$36="",0,IFERROR(VALUE(SUBSTITUTE(SUBSTITUTE(INDEX(급여대장_원본!$A$1:$AZ$400,(설정!$B$8+101),설정!$D$36)&amp;"",",",""),"　","")),0)))</f>
        <v/>
      </c>
      <c r="AI107" s="27">
        <f>IF(설정!$D$37="","",IF(설정!$D$37="",0,IFERROR(VALUE(SUBSTITUTE(SUBSTITUTE(INDEX(급여대장_원본!$A$1:$AZ$400,(설정!$B$8+101),설정!$D$37)&amp;"",",",""),"　","")),0)))</f>
        <v/>
      </c>
      <c r="AJ107" s="2">
        <f>IFERROR(INDEX($D$7:$D$306,MATCH(101,$B$7:$B$306,0)),"")</f>
        <v/>
      </c>
    </row>
    <row r="108">
      <c r="A108" s="2">
        <f>IF(AND(D108&lt;&gt;"",D108&lt;&gt;"합계",D108&lt;&gt;"총계",D108&lt;&gt;"소계",D108&lt;&gt;"계"),1,0)</f>
        <v/>
      </c>
      <c r="B108" s="2">
        <f>IF(A108=1,SUM($A$7:A108),"")</f>
        <v/>
      </c>
      <c r="C108" s="2">
        <f>IF(설정!$D$13="","",TRIM(SUBSTITUTE(INDEX(급여대장_원본!$A$1:$AZ$400,(설정!$B$8+102),설정!$D$13)&amp;"","　"," ")))</f>
        <v/>
      </c>
      <c r="D108" s="2">
        <f>IF(설정!$D$14="","",TRIM(SUBSTITUTE(INDEX(급여대장_원본!$A$1:$AZ$400,(설정!$B$8+102),설정!$D$14)&amp;"","　"," ")))</f>
        <v/>
      </c>
      <c r="E108" s="2">
        <f>IF(설정!$D$15="","",TRIM(SUBSTITUTE(INDEX(급여대장_원본!$A$1:$AZ$400,(설정!$B$8+102),설정!$D$15)&amp;"","　"," ")))</f>
        <v/>
      </c>
      <c r="F108" s="27">
        <f>IF(설정!$D$17="",0,IFERROR(VALUE(SUBSTITUTE(SUBSTITUTE(INDEX(급여대장_원본!$A$1:$AZ$400,(설정!$B$8+102),설정!$D$17)&amp;"",",",""),"　","")),0))</f>
        <v/>
      </c>
      <c r="G108" s="27">
        <f>IF(설정!$D$18="",0,IFERROR(VALUE(SUBSTITUTE(SUBSTITUTE(INDEX(급여대장_원본!$A$1:$AZ$400,(설정!$B$8+102),설정!$D$18)&amp;"",",",""),"　","")),0))</f>
        <v/>
      </c>
      <c r="H108" s="27">
        <f>IF(설정!$D$19="",0,IFERROR(VALUE(SUBSTITUTE(SUBSTITUTE(INDEX(급여대장_원본!$A$1:$AZ$400,(설정!$B$8+102),설정!$D$19)&amp;"",",",""),"　","")),0))</f>
        <v/>
      </c>
      <c r="I108" s="27">
        <f>IF(설정!$D$20="",0,IFERROR(VALUE(SUBSTITUTE(SUBSTITUTE(INDEX(급여대장_원본!$A$1:$AZ$400,(설정!$B$8+102),설정!$D$20)&amp;"",",",""),"　","")),0))</f>
        <v/>
      </c>
      <c r="J108" s="27">
        <f>IF(설정!$D$21="",0,IFERROR(VALUE(SUBSTITUTE(SUBSTITUTE(INDEX(급여대장_원본!$A$1:$AZ$400,(설정!$B$8+102),설정!$D$21)&amp;"",",",""),"　","")),0))</f>
        <v/>
      </c>
      <c r="K108" s="27">
        <f>IF(설정!$D$22="",0,IFERROR(VALUE(SUBSTITUTE(SUBSTITUTE(INDEX(급여대장_원본!$A$1:$AZ$400,(설정!$B$8+102),설정!$D$22)&amp;"",",",""),"　","")),0))</f>
        <v/>
      </c>
      <c r="L108" s="27">
        <f>IF(설정!$D$23="",0,IFERROR(VALUE(SUBSTITUTE(SUBSTITUTE(INDEX(급여대장_원본!$A$1:$AZ$400,(설정!$B$8+102),설정!$D$23)&amp;"",",",""),"　","")),0))</f>
        <v/>
      </c>
      <c r="M108" s="27">
        <f>IF(설정!$D$24="",0,IFERROR(VALUE(SUBSTITUTE(SUBSTITUTE(INDEX(급여대장_원본!$A$1:$AZ$400,(설정!$B$8+102),설정!$D$24)&amp;"",",",""),"　","")),0))</f>
        <v/>
      </c>
      <c r="N108" s="2">
        <f>IF(OR(설정!$C$17="",IFERROR(MATCH(설정!$C$17,INDEX(급여대장_원본!$A$1:$AZ$400,설정!$B$8,0),0),"")=""),"",IFERROR(VALUE(SUBSTITUTE(INDEX(급여대장_원본!$A$1:$AZ$400,(설정!$B$8+102),IFERROR(MATCH(설정!$C$17,INDEX(급여대장_원본!$A$1:$AZ$400,설정!$B$8,0),0),""))&amp;"",",","")),""))</f>
        <v/>
      </c>
      <c r="O108" s="2">
        <f>IF(OR(설정!$C$18="",IFERROR(MATCH(설정!$C$18,INDEX(급여대장_원본!$A$1:$AZ$400,설정!$B$8,0),0),"")=""),"",IFERROR(VALUE(SUBSTITUTE(INDEX(급여대장_원본!$A$1:$AZ$400,(설정!$B$8+102),IFERROR(MATCH(설정!$C$18,INDEX(급여대장_원본!$A$1:$AZ$400,설정!$B$8,0),0),""))&amp;"",",","")),""))</f>
        <v/>
      </c>
      <c r="P108" s="2">
        <f>IF(OR(설정!$C$19="",IFERROR(MATCH(설정!$C$19,INDEX(급여대장_원본!$A$1:$AZ$400,설정!$B$8,0),0),"")=""),"",IFERROR(VALUE(SUBSTITUTE(INDEX(급여대장_원본!$A$1:$AZ$400,(설정!$B$8+102),IFERROR(MATCH(설정!$C$19,INDEX(급여대장_원본!$A$1:$AZ$400,설정!$B$8,0),0),""))&amp;"",",","")),""))</f>
        <v/>
      </c>
      <c r="Q108" s="2">
        <f>IF(OR(설정!$C$20="",IFERROR(MATCH(설정!$C$20,INDEX(급여대장_원본!$A$1:$AZ$400,설정!$B$8,0),0),"")=""),"",IFERROR(VALUE(SUBSTITUTE(INDEX(급여대장_원본!$A$1:$AZ$400,(설정!$B$8+102),IFERROR(MATCH(설정!$C$20,INDEX(급여대장_원본!$A$1:$AZ$400,설정!$B$8,0),0),""))&amp;"",",","")),""))</f>
        <v/>
      </c>
      <c r="R108" s="2">
        <f>IF(OR(설정!$C$21="",IFERROR(MATCH(설정!$C$21,INDEX(급여대장_원본!$A$1:$AZ$400,설정!$B$8,0),0),"")=""),"",IFERROR(VALUE(SUBSTITUTE(INDEX(급여대장_원본!$A$1:$AZ$400,(설정!$B$8+102),IFERROR(MATCH(설정!$C$21,INDEX(급여대장_원본!$A$1:$AZ$400,설정!$B$8,0),0),""))&amp;"",",","")),""))</f>
        <v/>
      </c>
      <c r="S108" s="2">
        <f>IF(OR(설정!$C$22="",IFERROR(MATCH(설정!$C$22,INDEX(급여대장_원본!$A$1:$AZ$400,설정!$B$8,0),0),"")=""),"",IFERROR(VALUE(SUBSTITUTE(INDEX(급여대장_원본!$A$1:$AZ$400,(설정!$B$8+102),IFERROR(MATCH(설정!$C$22,INDEX(급여대장_원본!$A$1:$AZ$400,설정!$B$8,0),0),""))&amp;"",",","")),""))</f>
        <v/>
      </c>
      <c r="T108" s="2">
        <f>IF(OR(설정!$C$23="",IFERROR(MATCH(설정!$C$23,INDEX(급여대장_원본!$A$1:$AZ$400,설정!$B$8,0),0),"")=""),"",IFERROR(VALUE(SUBSTITUTE(INDEX(급여대장_원본!$A$1:$AZ$400,(설정!$B$8+102),IFERROR(MATCH(설정!$C$23,INDEX(급여대장_원본!$A$1:$AZ$400,설정!$B$8,0),0),""))&amp;"",",","")),""))</f>
        <v/>
      </c>
      <c r="U108" s="2">
        <f>IF(OR(설정!$C$24="",IFERROR(MATCH(설정!$C$24,INDEX(급여대장_원본!$A$1:$AZ$400,설정!$B$8,0),0),"")=""),"",IFERROR(VALUE(SUBSTITUTE(INDEX(급여대장_원본!$A$1:$AZ$400,(설정!$B$8+102),IFERROR(MATCH(설정!$C$24,INDEX(급여대장_원본!$A$1:$AZ$400,설정!$B$8,0),0),""))&amp;"",",","")),""))</f>
        <v/>
      </c>
      <c r="V108" s="27">
        <f>SUM(F108:M108)</f>
        <v/>
      </c>
      <c r="W108" s="27">
        <f>IF(설정!$D$26="",0,IFERROR(VALUE(SUBSTITUTE(SUBSTITUTE(INDEX(급여대장_원본!$A$1:$AZ$400,(설정!$B$8+102),설정!$D$26)&amp;"",",",""),"　","")),0))</f>
        <v/>
      </c>
      <c r="X108" s="27">
        <f>IF(설정!$D$27="",0,IFERROR(VALUE(SUBSTITUTE(SUBSTITUTE(INDEX(급여대장_원본!$A$1:$AZ$400,(설정!$B$8+102),설정!$D$27)&amp;"",",",""),"　","")),0))</f>
        <v/>
      </c>
      <c r="Y108" s="27">
        <f>IF(설정!$D$28="",0,IFERROR(VALUE(SUBSTITUTE(SUBSTITUTE(INDEX(급여대장_원본!$A$1:$AZ$400,(설정!$B$8+102),설정!$D$28)&amp;"",",",""),"　","")),0))</f>
        <v/>
      </c>
      <c r="Z108" s="27">
        <f>IF(설정!$D$29="",0,IFERROR(VALUE(SUBSTITUTE(SUBSTITUTE(INDEX(급여대장_원본!$A$1:$AZ$400,(설정!$B$8+102),설정!$D$29)&amp;"",",",""),"　","")),0))</f>
        <v/>
      </c>
      <c r="AA108" s="27">
        <f>IF(설정!$D$30="",0,IFERROR(VALUE(SUBSTITUTE(SUBSTITUTE(INDEX(급여대장_원본!$A$1:$AZ$400,(설정!$B$8+102),설정!$D$30)&amp;"",",",""),"　","")),0))</f>
        <v/>
      </c>
      <c r="AB108" s="27">
        <f>IF(설정!$D$31="",0,IFERROR(VALUE(SUBSTITUTE(SUBSTITUTE(INDEX(급여대장_원본!$A$1:$AZ$400,(설정!$B$8+102),설정!$D$31)&amp;"",",",""),"　","")),0))</f>
        <v/>
      </c>
      <c r="AC108" s="27">
        <f>IF(설정!$D$32="",0,IFERROR(VALUE(SUBSTITUTE(SUBSTITUTE(INDEX(급여대장_원본!$A$1:$AZ$400,(설정!$B$8+102),설정!$D$32)&amp;"",",",""),"　","")),0))</f>
        <v/>
      </c>
      <c r="AD108" s="27">
        <f>IF(설정!$D$33="",0,IFERROR(VALUE(SUBSTITUTE(SUBSTITUTE(INDEX(급여대장_원본!$A$1:$AZ$400,(설정!$B$8+102),설정!$D$33)&amp;"",",",""),"　","")),0))</f>
        <v/>
      </c>
      <c r="AE108" s="27">
        <f>SUM(W108:AD108)</f>
        <v/>
      </c>
      <c r="AF108" s="27">
        <f>V108-AE108</f>
        <v/>
      </c>
      <c r="AG108" s="27">
        <f>IF(설정!$D$35="","",IF(설정!$D$35="",0,IFERROR(VALUE(SUBSTITUTE(SUBSTITUTE(INDEX(급여대장_원본!$A$1:$AZ$400,(설정!$B$8+102),설정!$D$35)&amp;"",",",""),"　","")),0)))</f>
        <v/>
      </c>
      <c r="AH108" s="27">
        <f>IF(설정!$D$36="","",IF(설정!$D$36="",0,IFERROR(VALUE(SUBSTITUTE(SUBSTITUTE(INDEX(급여대장_원본!$A$1:$AZ$400,(설정!$B$8+102),설정!$D$36)&amp;"",",",""),"　","")),0)))</f>
        <v/>
      </c>
      <c r="AI108" s="27">
        <f>IF(설정!$D$37="","",IF(설정!$D$37="",0,IFERROR(VALUE(SUBSTITUTE(SUBSTITUTE(INDEX(급여대장_원본!$A$1:$AZ$400,(설정!$B$8+102),설정!$D$37)&amp;"",",",""),"　","")),0)))</f>
        <v/>
      </c>
      <c r="AJ108" s="2">
        <f>IFERROR(INDEX($D$7:$D$306,MATCH(102,$B$7:$B$306,0)),"")</f>
        <v/>
      </c>
    </row>
    <row r="109">
      <c r="A109" s="2">
        <f>IF(AND(D109&lt;&gt;"",D109&lt;&gt;"합계",D109&lt;&gt;"총계",D109&lt;&gt;"소계",D109&lt;&gt;"계"),1,0)</f>
        <v/>
      </c>
      <c r="B109" s="2">
        <f>IF(A109=1,SUM($A$7:A109),"")</f>
        <v/>
      </c>
      <c r="C109" s="2">
        <f>IF(설정!$D$13="","",TRIM(SUBSTITUTE(INDEX(급여대장_원본!$A$1:$AZ$400,(설정!$B$8+103),설정!$D$13)&amp;"","　"," ")))</f>
        <v/>
      </c>
      <c r="D109" s="2">
        <f>IF(설정!$D$14="","",TRIM(SUBSTITUTE(INDEX(급여대장_원본!$A$1:$AZ$400,(설정!$B$8+103),설정!$D$14)&amp;"","　"," ")))</f>
        <v/>
      </c>
      <c r="E109" s="2">
        <f>IF(설정!$D$15="","",TRIM(SUBSTITUTE(INDEX(급여대장_원본!$A$1:$AZ$400,(설정!$B$8+103),설정!$D$15)&amp;"","　"," ")))</f>
        <v/>
      </c>
      <c r="F109" s="27">
        <f>IF(설정!$D$17="",0,IFERROR(VALUE(SUBSTITUTE(SUBSTITUTE(INDEX(급여대장_원본!$A$1:$AZ$400,(설정!$B$8+103),설정!$D$17)&amp;"",",",""),"　","")),0))</f>
        <v/>
      </c>
      <c r="G109" s="27">
        <f>IF(설정!$D$18="",0,IFERROR(VALUE(SUBSTITUTE(SUBSTITUTE(INDEX(급여대장_원본!$A$1:$AZ$400,(설정!$B$8+103),설정!$D$18)&amp;"",",",""),"　","")),0))</f>
        <v/>
      </c>
      <c r="H109" s="27">
        <f>IF(설정!$D$19="",0,IFERROR(VALUE(SUBSTITUTE(SUBSTITUTE(INDEX(급여대장_원본!$A$1:$AZ$400,(설정!$B$8+103),설정!$D$19)&amp;"",",",""),"　","")),0))</f>
        <v/>
      </c>
      <c r="I109" s="27">
        <f>IF(설정!$D$20="",0,IFERROR(VALUE(SUBSTITUTE(SUBSTITUTE(INDEX(급여대장_원본!$A$1:$AZ$400,(설정!$B$8+103),설정!$D$20)&amp;"",",",""),"　","")),0))</f>
        <v/>
      </c>
      <c r="J109" s="27">
        <f>IF(설정!$D$21="",0,IFERROR(VALUE(SUBSTITUTE(SUBSTITUTE(INDEX(급여대장_원본!$A$1:$AZ$400,(설정!$B$8+103),설정!$D$21)&amp;"",",",""),"　","")),0))</f>
        <v/>
      </c>
      <c r="K109" s="27">
        <f>IF(설정!$D$22="",0,IFERROR(VALUE(SUBSTITUTE(SUBSTITUTE(INDEX(급여대장_원본!$A$1:$AZ$400,(설정!$B$8+103),설정!$D$22)&amp;"",",",""),"　","")),0))</f>
        <v/>
      </c>
      <c r="L109" s="27">
        <f>IF(설정!$D$23="",0,IFERROR(VALUE(SUBSTITUTE(SUBSTITUTE(INDEX(급여대장_원본!$A$1:$AZ$400,(설정!$B$8+103),설정!$D$23)&amp;"",",",""),"　","")),0))</f>
        <v/>
      </c>
      <c r="M109" s="27">
        <f>IF(설정!$D$24="",0,IFERROR(VALUE(SUBSTITUTE(SUBSTITUTE(INDEX(급여대장_원본!$A$1:$AZ$400,(설정!$B$8+103),설정!$D$24)&amp;"",",",""),"　","")),0))</f>
        <v/>
      </c>
      <c r="N109" s="2">
        <f>IF(OR(설정!$C$17="",IFERROR(MATCH(설정!$C$17,INDEX(급여대장_원본!$A$1:$AZ$400,설정!$B$8,0),0),"")=""),"",IFERROR(VALUE(SUBSTITUTE(INDEX(급여대장_원본!$A$1:$AZ$400,(설정!$B$8+103),IFERROR(MATCH(설정!$C$17,INDEX(급여대장_원본!$A$1:$AZ$400,설정!$B$8,0),0),""))&amp;"",",","")),""))</f>
        <v/>
      </c>
      <c r="O109" s="2">
        <f>IF(OR(설정!$C$18="",IFERROR(MATCH(설정!$C$18,INDEX(급여대장_원본!$A$1:$AZ$400,설정!$B$8,0),0),"")=""),"",IFERROR(VALUE(SUBSTITUTE(INDEX(급여대장_원본!$A$1:$AZ$400,(설정!$B$8+103),IFERROR(MATCH(설정!$C$18,INDEX(급여대장_원본!$A$1:$AZ$400,설정!$B$8,0),0),""))&amp;"",",","")),""))</f>
        <v/>
      </c>
      <c r="P109" s="2">
        <f>IF(OR(설정!$C$19="",IFERROR(MATCH(설정!$C$19,INDEX(급여대장_원본!$A$1:$AZ$400,설정!$B$8,0),0),"")=""),"",IFERROR(VALUE(SUBSTITUTE(INDEX(급여대장_원본!$A$1:$AZ$400,(설정!$B$8+103),IFERROR(MATCH(설정!$C$19,INDEX(급여대장_원본!$A$1:$AZ$400,설정!$B$8,0),0),""))&amp;"",",","")),""))</f>
        <v/>
      </c>
      <c r="Q109" s="2">
        <f>IF(OR(설정!$C$20="",IFERROR(MATCH(설정!$C$20,INDEX(급여대장_원본!$A$1:$AZ$400,설정!$B$8,0),0),"")=""),"",IFERROR(VALUE(SUBSTITUTE(INDEX(급여대장_원본!$A$1:$AZ$400,(설정!$B$8+103),IFERROR(MATCH(설정!$C$20,INDEX(급여대장_원본!$A$1:$AZ$400,설정!$B$8,0),0),""))&amp;"",",","")),""))</f>
        <v/>
      </c>
      <c r="R109" s="2">
        <f>IF(OR(설정!$C$21="",IFERROR(MATCH(설정!$C$21,INDEX(급여대장_원본!$A$1:$AZ$400,설정!$B$8,0),0),"")=""),"",IFERROR(VALUE(SUBSTITUTE(INDEX(급여대장_원본!$A$1:$AZ$400,(설정!$B$8+103),IFERROR(MATCH(설정!$C$21,INDEX(급여대장_원본!$A$1:$AZ$400,설정!$B$8,0),0),""))&amp;"",",","")),""))</f>
        <v/>
      </c>
      <c r="S109" s="2">
        <f>IF(OR(설정!$C$22="",IFERROR(MATCH(설정!$C$22,INDEX(급여대장_원본!$A$1:$AZ$400,설정!$B$8,0),0),"")=""),"",IFERROR(VALUE(SUBSTITUTE(INDEX(급여대장_원본!$A$1:$AZ$400,(설정!$B$8+103),IFERROR(MATCH(설정!$C$22,INDEX(급여대장_원본!$A$1:$AZ$400,설정!$B$8,0),0),""))&amp;"",",","")),""))</f>
        <v/>
      </c>
      <c r="T109" s="2">
        <f>IF(OR(설정!$C$23="",IFERROR(MATCH(설정!$C$23,INDEX(급여대장_원본!$A$1:$AZ$400,설정!$B$8,0),0),"")=""),"",IFERROR(VALUE(SUBSTITUTE(INDEX(급여대장_원본!$A$1:$AZ$400,(설정!$B$8+103),IFERROR(MATCH(설정!$C$23,INDEX(급여대장_원본!$A$1:$AZ$400,설정!$B$8,0),0),""))&amp;"",",","")),""))</f>
        <v/>
      </c>
      <c r="U109" s="2">
        <f>IF(OR(설정!$C$24="",IFERROR(MATCH(설정!$C$24,INDEX(급여대장_원본!$A$1:$AZ$400,설정!$B$8,0),0),"")=""),"",IFERROR(VALUE(SUBSTITUTE(INDEX(급여대장_원본!$A$1:$AZ$400,(설정!$B$8+103),IFERROR(MATCH(설정!$C$24,INDEX(급여대장_원본!$A$1:$AZ$400,설정!$B$8,0),0),""))&amp;"",",","")),""))</f>
        <v/>
      </c>
      <c r="V109" s="27">
        <f>SUM(F109:M109)</f>
        <v/>
      </c>
      <c r="W109" s="27">
        <f>IF(설정!$D$26="",0,IFERROR(VALUE(SUBSTITUTE(SUBSTITUTE(INDEX(급여대장_원본!$A$1:$AZ$400,(설정!$B$8+103),설정!$D$26)&amp;"",",",""),"　","")),0))</f>
        <v/>
      </c>
      <c r="X109" s="27">
        <f>IF(설정!$D$27="",0,IFERROR(VALUE(SUBSTITUTE(SUBSTITUTE(INDEX(급여대장_원본!$A$1:$AZ$400,(설정!$B$8+103),설정!$D$27)&amp;"",",",""),"　","")),0))</f>
        <v/>
      </c>
      <c r="Y109" s="27">
        <f>IF(설정!$D$28="",0,IFERROR(VALUE(SUBSTITUTE(SUBSTITUTE(INDEX(급여대장_원본!$A$1:$AZ$400,(설정!$B$8+103),설정!$D$28)&amp;"",",",""),"　","")),0))</f>
        <v/>
      </c>
      <c r="Z109" s="27">
        <f>IF(설정!$D$29="",0,IFERROR(VALUE(SUBSTITUTE(SUBSTITUTE(INDEX(급여대장_원본!$A$1:$AZ$400,(설정!$B$8+103),설정!$D$29)&amp;"",",",""),"　","")),0))</f>
        <v/>
      </c>
      <c r="AA109" s="27">
        <f>IF(설정!$D$30="",0,IFERROR(VALUE(SUBSTITUTE(SUBSTITUTE(INDEX(급여대장_원본!$A$1:$AZ$400,(설정!$B$8+103),설정!$D$30)&amp;"",",",""),"　","")),0))</f>
        <v/>
      </c>
      <c r="AB109" s="27">
        <f>IF(설정!$D$31="",0,IFERROR(VALUE(SUBSTITUTE(SUBSTITUTE(INDEX(급여대장_원본!$A$1:$AZ$400,(설정!$B$8+103),설정!$D$31)&amp;"",",",""),"　","")),0))</f>
        <v/>
      </c>
      <c r="AC109" s="27">
        <f>IF(설정!$D$32="",0,IFERROR(VALUE(SUBSTITUTE(SUBSTITUTE(INDEX(급여대장_원본!$A$1:$AZ$400,(설정!$B$8+103),설정!$D$32)&amp;"",",",""),"　","")),0))</f>
        <v/>
      </c>
      <c r="AD109" s="27">
        <f>IF(설정!$D$33="",0,IFERROR(VALUE(SUBSTITUTE(SUBSTITUTE(INDEX(급여대장_원본!$A$1:$AZ$400,(설정!$B$8+103),설정!$D$33)&amp;"",",",""),"　","")),0))</f>
        <v/>
      </c>
      <c r="AE109" s="27">
        <f>SUM(W109:AD109)</f>
        <v/>
      </c>
      <c r="AF109" s="27">
        <f>V109-AE109</f>
        <v/>
      </c>
      <c r="AG109" s="27">
        <f>IF(설정!$D$35="","",IF(설정!$D$35="",0,IFERROR(VALUE(SUBSTITUTE(SUBSTITUTE(INDEX(급여대장_원본!$A$1:$AZ$400,(설정!$B$8+103),설정!$D$35)&amp;"",",",""),"　","")),0)))</f>
        <v/>
      </c>
      <c r="AH109" s="27">
        <f>IF(설정!$D$36="","",IF(설정!$D$36="",0,IFERROR(VALUE(SUBSTITUTE(SUBSTITUTE(INDEX(급여대장_원본!$A$1:$AZ$400,(설정!$B$8+103),설정!$D$36)&amp;"",",",""),"　","")),0)))</f>
        <v/>
      </c>
      <c r="AI109" s="27">
        <f>IF(설정!$D$37="","",IF(설정!$D$37="",0,IFERROR(VALUE(SUBSTITUTE(SUBSTITUTE(INDEX(급여대장_원본!$A$1:$AZ$400,(설정!$B$8+103),설정!$D$37)&amp;"",",",""),"　","")),0)))</f>
        <v/>
      </c>
      <c r="AJ109" s="2">
        <f>IFERROR(INDEX($D$7:$D$306,MATCH(103,$B$7:$B$306,0)),"")</f>
        <v/>
      </c>
    </row>
    <row r="110">
      <c r="A110" s="2">
        <f>IF(AND(D110&lt;&gt;"",D110&lt;&gt;"합계",D110&lt;&gt;"총계",D110&lt;&gt;"소계",D110&lt;&gt;"계"),1,0)</f>
        <v/>
      </c>
      <c r="B110" s="2">
        <f>IF(A110=1,SUM($A$7:A110),"")</f>
        <v/>
      </c>
      <c r="C110" s="2">
        <f>IF(설정!$D$13="","",TRIM(SUBSTITUTE(INDEX(급여대장_원본!$A$1:$AZ$400,(설정!$B$8+104),설정!$D$13)&amp;"","　"," ")))</f>
        <v/>
      </c>
      <c r="D110" s="2">
        <f>IF(설정!$D$14="","",TRIM(SUBSTITUTE(INDEX(급여대장_원본!$A$1:$AZ$400,(설정!$B$8+104),설정!$D$14)&amp;"","　"," ")))</f>
        <v/>
      </c>
      <c r="E110" s="2">
        <f>IF(설정!$D$15="","",TRIM(SUBSTITUTE(INDEX(급여대장_원본!$A$1:$AZ$400,(설정!$B$8+104),설정!$D$15)&amp;"","　"," ")))</f>
        <v/>
      </c>
      <c r="F110" s="27">
        <f>IF(설정!$D$17="",0,IFERROR(VALUE(SUBSTITUTE(SUBSTITUTE(INDEX(급여대장_원본!$A$1:$AZ$400,(설정!$B$8+104),설정!$D$17)&amp;"",",",""),"　","")),0))</f>
        <v/>
      </c>
      <c r="G110" s="27">
        <f>IF(설정!$D$18="",0,IFERROR(VALUE(SUBSTITUTE(SUBSTITUTE(INDEX(급여대장_원본!$A$1:$AZ$400,(설정!$B$8+104),설정!$D$18)&amp;"",",",""),"　","")),0))</f>
        <v/>
      </c>
      <c r="H110" s="27">
        <f>IF(설정!$D$19="",0,IFERROR(VALUE(SUBSTITUTE(SUBSTITUTE(INDEX(급여대장_원본!$A$1:$AZ$400,(설정!$B$8+104),설정!$D$19)&amp;"",",",""),"　","")),0))</f>
        <v/>
      </c>
      <c r="I110" s="27">
        <f>IF(설정!$D$20="",0,IFERROR(VALUE(SUBSTITUTE(SUBSTITUTE(INDEX(급여대장_원본!$A$1:$AZ$400,(설정!$B$8+104),설정!$D$20)&amp;"",",",""),"　","")),0))</f>
        <v/>
      </c>
      <c r="J110" s="27">
        <f>IF(설정!$D$21="",0,IFERROR(VALUE(SUBSTITUTE(SUBSTITUTE(INDEX(급여대장_원본!$A$1:$AZ$400,(설정!$B$8+104),설정!$D$21)&amp;"",",",""),"　","")),0))</f>
        <v/>
      </c>
      <c r="K110" s="27">
        <f>IF(설정!$D$22="",0,IFERROR(VALUE(SUBSTITUTE(SUBSTITUTE(INDEX(급여대장_원본!$A$1:$AZ$400,(설정!$B$8+104),설정!$D$22)&amp;"",",",""),"　","")),0))</f>
        <v/>
      </c>
      <c r="L110" s="27">
        <f>IF(설정!$D$23="",0,IFERROR(VALUE(SUBSTITUTE(SUBSTITUTE(INDEX(급여대장_원본!$A$1:$AZ$400,(설정!$B$8+104),설정!$D$23)&amp;"",",",""),"　","")),0))</f>
        <v/>
      </c>
      <c r="M110" s="27">
        <f>IF(설정!$D$24="",0,IFERROR(VALUE(SUBSTITUTE(SUBSTITUTE(INDEX(급여대장_원본!$A$1:$AZ$400,(설정!$B$8+104),설정!$D$24)&amp;"",",",""),"　","")),0))</f>
        <v/>
      </c>
      <c r="N110" s="2">
        <f>IF(OR(설정!$C$17="",IFERROR(MATCH(설정!$C$17,INDEX(급여대장_원본!$A$1:$AZ$400,설정!$B$8,0),0),"")=""),"",IFERROR(VALUE(SUBSTITUTE(INDEX(급여대장_원본!$A$1:$AZ$400,(설정!$B$8+104),IFERROR(MATCH(설정!$C$17,INDEX(급여대장_원본!$A$1:$AZ$400,설정!$B$8,0),0),""))&amp;"",",","")),""))</f>
        <v/>
      </c>
      <c r="O110" s="2">
        <f>IF(OR(설정!$C$18="",IFERROR(MATCH(설정!$C$18,INDEX(급여대장_원본!$A$1:$AZ$400,설정!$B$8,0),0),"")=""),"",IFERROR(VALUE(SUBSTITUTE(INDEX(급여대장_원본!$A$1:$AZ$400,(설정!$B$8+104),IFERROR(MATCH(설정!$C$18,INDEX(급여대장_원본!$A$1:$AZ$400,설정!$B$8,0),0),""))&amp;"",",","")),""))</f>
        <v/>
      </c>
      <c r="P110" s="2">
        <f>IF(OR(설정!$C$19="",IFERROR(MATCH(설정!$C$19,INDEX(급여대장_원본!$A$1:$AZ$400,설정!$B$8,0),0),"")=""),"",IFERROR(VALUE(SUBSTITUTE(INDEX(급여대장_원본!$A$1:$AZ$400,(설정!$B$8+104),IFERROR(MATCH(설정!$C$19,INDEX(급여대장_원본!$A$1:$AZ$400,설정!$B$8,0),0),""))&amp;"",",","")),""))</f>
        <v/>
      </c>
      <c r="Q110" s="2">
        <f>IF(OR(설정!$C$20="",IFERROR(MATCH(설정!$C$20,INDEX(급여대장_원본!$A$1:$AZ$400,설정!$B$8,0),0),"")=""),"",IFERROR(VALUE(SUBSTITUTE(INDEX(급여대장_원본!$A$1:$AZ$400,(설정!$B$8+104),IFERROR(MATCH(설정!$C$20,INDEX(급여대장_원본!$A$1:$AZ$400,설정!$B$8,0),0),""))&amp;"",",","")),""))</f>
        <v/>
      </c>
      <c r="R110" s="2">
        <f>IF(OR(설정!$C$21="",IFERROR(MATCH(설정!$C$21,INDEX(급여대장_원본!$A$1:$AZ$400,설정!$B$8,0),0),"")=""),"",IFERROR(VALUE(SUBSTITUTE(INDEX(급여대장_원본!$A$1:$AZ$400,(설정!$B$8+104),IFERROR(MATCH(설정!$C$21,INDEX(급여대장_원본!$A$1:$AZ$400,설정!$B$8,0),0),""))&amp;"",",","")),""))</f>
        <v/>
      </c>
      <c r="S110" s="2">
        <f>IF(OR(설정!$C$22="",IFERROR(MATCH(설정!$C$22,INDEX(급여대장_원본!$A$1:$AZ$400,설정!$B$8,0),0),"")=""),"",IFERROR(VALUE(SUBSTITUTE(INDEX(급여대장_원본!$A$1:$AZ$400,(설정!$B$8+104),IFERROR(MATCH(설정!$C$22,INDEX(급여대장_원본!$A$1:$AZ$400,설정!$B$8,0),0),""))&amp;"",",","")),""))</f>
        <v/>
      </c>
      <c r="T110" s="2">
        <f>IF(OR(설정!$C$23="",IFERROR(MATCH(설정!$C$23,INDEX(급여대장_원본!$A$1:$AZ$400,설정!$B$8,0),0),"")=""),"",IFERROR(VALUE(SUBSTITUTE(INDEX(급여대장_원본!$A$1:$AZ$400,(설정!$B$8+104),IFERROR(MATCH(설정!$C$23,INDEX(급여대장_원본!$A$1:$AZ$400,설정!$B$8,0),0),""))&amp;"",",","")),""))</f>
        <v/>
      </c>
      <c r="U110" s="2">
        <f>IF(OR(설정!$C$24="",IFERROR(MATCH(설정!$C$24,INDEX(급여대장_원본!$A$1:$AZ$400,설정!$B$8,0),0),"")=""),"",IFERROR(VALUE(SUBSTITUTE(INDEX(급여대장_원본!$A$1:$AZ$400,(설정!$B$8+104),IFERROR(MATCH(설정!$C$24,INDEX(급여대장_원본!$A$1:$AZ$400,설정!$B$8,0),0),""))&amp;"",",","")),""))</f>
        <v/>
      </c>
      <c r="V110" s="27">
        <f>SUM(F110:M110)</f>
        <v/>
      </c>
      <c r="W110" s="27">
        <f>IF(설정!$D$26="",0,IFERROR(VALUE(SUBSTITUTE(SUBSTITUTE(INDEX(급여대장_원본!$A$1:$AZ$400,(설정!$B$8+104),설정!$D$26)&amp;"",",",""),"　","")),0))</f>
        <v/>
      </c>
      <c r="X110" s="27">
        <f>IF(설정!$D$27="",0,IFERROR(VALUE(SUBSTITUTE(SUBSTITUTE(INDEX(급여대장_원본!$A$1:$AZ$400,(설정!$B$8+104),설정!$D$27)&amp;"",",",""),"　","")),0))</f>
        <v/>
      </c>
      <c r="Y110" s="27">
        <f>IF(설정!$D$28="",0,IFERROR(VALUE(SUBSTITUTE(SUBSTITUTE(INDEX(급여대장_원본!$A$1:$AZ$400,(설정!$B$8+104),설정!$D$28)&amp;"",",",""),"　","")),0))</f>
        <v/>
      </c>
      <c r="Z110" s="27">
        <f>IF(설정!$D$29="",0,IFERROR(VALUE(SUBSTITUTE(SUBSTITUTE(INDEX(급여대장_원본!$A$1:$AZ$400,(설정!$B$8+104),설정!$D$29)&amp;"",",",""),"　","")),0))</f>
        <v/>
      </c>
      <c r="AA110" s="27">
        <f>IF(설정!$D$30="",0,IFERROR(VALUE(SUBSTITUTE(SUBSTITUTE(INDEX(급여대장_원본!$A$1:$AZ$400,(설정!$B$8+104),설정!$D$30)&amp;"",",",""),"　","")),0))</f>
        <v/>
      </c>
      <c r="AB110" s="27">
        <f>IF(설정!$D$31="",0,IFERROR(VALUE(SUBSTITUTE(SUBSTITUTE(INDEX(급여대장_원본!$A$1:$AZ$400,(설정!$B$8+104),설정!$D$31)&amp;"",",",""),"　","")),0))</f>
        <v/>
      </c>
      <c r="AC110" s="27">
        <f>IF(설정!$D$32="",0,IFERROR(VALUE(SUBSTITUTE(SUBSTITUTE(INDEX(급여대장_원본!$A$1:$AZ$400,(설정!$B$8+104),설정!$D$32)&amp;"",",",""),"　","")),0))</f>
        <v/>
      </c>
      <c r="AD110" s="27">
        <f>IF(설정!$D$33="",0,IFERROR(VALUE(SUBSTITUTE(SUBSTITUTE(INDEX(급여대장_원본!$A$1:$AZ$400,(설정!$B$8+104),설정!$D$33)&amp;"",",",""),"　","")),0))</f>
        <v/>
      </c>
      <c r="AE110" s="27">
        <f>SUM(W110:AD110)</f>
        <v/>
      </c>
      <c r="AF110" s="27">
        <f>V110-AE110</f>
        <v/>
      </c>
      <c r="AG110" s="27">
        <f>IF(설정!$D$35="","",IF(설정!$D$35="",0,IFERROR(VALUE(SUBSTITUTE(SUBSTITUTE(INDEX(급여대장_원본!$A$1:$AZ$400,(설정!$B$8+104),설정!$D$35)&amp;"",",",""),"　","")),0)))</f>
        <v/>
      </c>
      <c r="AH110" s="27">
        <f>IF(설정!$D$36="","",IF(설정!$D$36="",0,IFERROR(VALUE(SUBSTITUTE(SUBSTITUTE(INDEX(급여대장_원본!$A$1:$AZ$400,(설정!$B$8+104),설정!$D$36)&amp;"",",",""),"　","")),0)))</f>
        <v/>
      </c>
      <c r="AI110" s="27">
        <f>IF(설정!$D$37="","",IF(설정!$D$37="",0,IFERROR(VALUE(SUBSTITUTE(SUBSTITUTE(INDEX(급여대장_원본!$A$1:$AZ$400,(설정!$B$8+104),설정!$D$37)&amp;"",",",""),"　","")),0)))</f>
        <v/>
      </c>
      <c r="AJ110" s="2">
        <f>IFERROR(INDEX($D$7:$D$306,MATCH(104,$B$7:$B$306,0)),"")</f>
        <v/>
      </c>
    </row>
    <row r="111">
      <c r="A111" s="2">
        <f>IF(AND(D111&lt;&gt;"",D111&lt;&gt;"합계",D111&lt;&gt;"총계",D111&lt;&gt;"소계",D111&lt;&gt;"계"),1,0)</f>
        <v/>
      </c>
      <c r="B111" s="2">
        <f>IF(A111=1,SUM($A$7:A111),"")</f>
        <v/>
      </c>
      <c r="C111" s="2">
        <f>IF(설정!$D$13="","",TRIM(SUBSTITUTE(INDEX(급여대장_원본!$A$1:$AZ$400,(설정!$B$8+105),설정!$D$13)&amp;"","　"," ")))</f>
        <v/>
      </c>
      <c r="D111" s="2">
        <f>IF(설정!$D$14="","",TRIM(SUBSTITUTE(INDEX(급여대장_원본!$A$1:$AZ$400,(설정!$B$8+105),설정!$D$14)&amp;"","　"," ")))</f>
        <v/>
      </c>
      <c r="E111" s="2">
        <f>IF(설정!$D$15="","",TRIM(SUBSTITUTE(INDEX(급여대장_원본!$A$1:$AZ$400,(설정!$B$8+105),설정!$D$15)&amp;"","　"," ")))</f>
        <v/>
      </c>
      <c r="F111" s="27">
        <f>IF(설정!$D$17="",0,IFERROR(VALUE(SUBSTITUTE(SUBSTITUTE(INDEX(급여대장_원본!$A$1:$AZ$400,(설정!$B$8+105),설정!$D$17)&amp;"",",",""),"　","")),0))</f>
        <v/>
      </c>
      <c r="G111" s="27">
        <f>IF(설정!$D$18="",0,IFERROR(VALUE(SUBSTITUTE(SUBSTITUTE(INDEX(급여대장_원본!$A$1:$AZ$400,(설정!$B$8+105),설정!$D$18)&amp;"",",",""),"　","")),0))</f>
        <v/>
      </c>
      <c r="H111" s="27">
        <f>IF(설정!$D$19="",0,IFERROR(VALUE(SUBSTITUTE(SUBSTITUTE(INDEX(급여대장_원본!$A$1:$AZ$400,(설정!$B$8+105),설정!$D$19)&amp;"",",",""),"　","")),0))</f>
        <v/>
      </c>
      <c r="I111" s="27">
        <f>IF(설정!$D$20="",0,IFERROR(VALUE(SUBSTITUTE(SUBSTITUTE(INDEX(급여대장_원본!$A$1:$AZ$400,(설정!$B$8+105),설정!$D$20)&amp;"",",",""),"　","")),0))</f>
        <v/>
      </c>
      <c r="J111" s="27">
        <f>IF(설정!$D$21="",0,IFERROR(VALUE(SUBSTITUTE(SUBSTITUTE(INDEX(급여대장_원본!$A$1:$AZ$400,(설정!$B$8+105),설정!$D$21)&amp;"",",",""),"　","")),0))</f>
        <v/>
      </c>
      <c r="K111" s="27">
        <f>IF(설정!$D$22="",0,IFERROR(VALUE(SUBSTITUTE(SUBSTITUTE(INDEX(급여대장_원본!$A$1:$AZ$400,(설정!$B$8+105),설정!$D$22)&amp;"",",",""),"　","")),0))</f>
        <v/>
      </c>
      <c r="L111" s="27">
        <f>IF(설정!$D$23="",0,IFERROR(VALUE(SUBSTITUTE(SUBSTITUTE(INDEX(급여대장_원본!$A$1:$AZ$400,(설정!$B$8+105),설정!$D$23)&amp;"",",",""),"　","")),0))</f>
        <v/>
      </c>
      <c r="M111" s="27">
        <f>IF(설정!$D$24="",0,IFERROR(VALUE(SUBSTITUTE(SUBSTITUTE(INDEX(급여대장_원본!$A$1:$AZ$400,(설정!$B$8+105),설정!$D$24)&amp;"",",",""),"　","")),0))</f>
        <v/>
      </c>
      <c r="N111" s="2">
        <f>IF(OR(설정!$C$17="",IFERROR(MATCH(설정!$C$17,INDEX(급여대장_원본!$A$1:$AZ$400,설정!$B$8,0),0),"")=""),"",IFERROR(VALUE(SUBSTITUTE(INDEX(급여대장_원본!$A$1:$AZ$400,(설정!$B$8+105),IFERROR(MATCH(설정!$C$17,INDEX(급여대장_원본!$A$1:$AZ$400,설정!$B$8,0),0),""))&amp;"",",","")),""))</f>
        <v/>
      </c>
      <c r="O111" s="2">
        <f>IF(OR(설정!$C$18="",IFERROR(MATCH(설정!$C$18,INDEX(급여대장_원본!$A$1:$AZ$400,설정!$B$8,0),0),"")=""),"",IFERROR(VALUE(SUBSTITUTE(INDEX(급여대장_원본!$A$1:$AZ$400,(설정!$B$8+105),IFERROR(MATCH(설정!$C$18,INDEX(급여대장_원본!$A$1:$AZ$400,설정!$B$8,0),0),""))&amp;"",",","")),""))</f>
        <v/>
      </c>
      <c r="P111" s="2">
        <f>IF(OR(설정!$C$19="",IFERROR(MATCH(설정!$C$19,INDEX(급여대장_원본!$A$1:$AZ$400,설정!$B$8,0),0),"")=""),"",IFERROR(VALUE(SUBSTITUTE(INDEX(급여대장_원본!$A$1:$AZ$400,(설정!$B$8+105),IFERROR(MATCH(설정!$C$19,INDEX(급여대장_원본!$A$1:$AZ$400,설정!$B$8,0),0),""))&amp;"",",","")),""))</f>
        <v/>
      </c>
      <c r="Q111" s="2">
        <f>IF(OR(설정!$C$20="",IFERROR(MATCH(설정!$C$20,INDEX(급여대장_원본!$A$1:$AZ$400,설정!$B$8,0),0),"")=""),"",IFERROR(VALUE(SUBSTITUTE(INDEX(급여대장_원본!$A$1:$AZ$400,(설정!$B$8+105),IFERROR(MATCH(설정!$C$20,INDEX(급여대장_원본!$A$1:$AZ$400,설정!$B$8,0),0),""))&amp;"",",","")),""))</f>
        <v/>
      </c>
      <c r="R111" s="2">
        <f>IF(OR(설정!$C$21="",IFERROR(MATCH(설정!$C$21,INDEX(급여대장_원본!$A$1:$AZ$400,설정!$B$8,0),0),"")=""),"",IFERROR(VALUE(SUBSTITUTE(INDEX(급여대장_원본!$A$1:$AZ$400,(설정!$B$8+105),IFERROR(MATCH(설정!$C$21,INDEX(급여대장_원본!$A$1:$AZ$400,설정!$B$8,0),0),""))&amp;"",",","")),""))</f>
        <v/>
      </c>
      <c r="S111" s="2">
        <f>IF(OR(설정!$C$22="",IFERROR(MATCH(설정!$C$22,INDEX(급여대장_원본!$A$1:$AZ$400,설정!$B$8,0),0),"")=""),"",IFERROR(VALUE(SUBSTITUTE(INDEX(급여대장_원본!$A$1:$AZ$400,(설정!$B$8+105),IFERROR(MATCH(설정!$C$22,INDEX(급여대장_원본!$A$1:$AZ$400,설정!$B$8,0),0),""))&amp;"",",","")),""))</f>
        <v/>
      </c>
      <c r="T111" s="2">
        <f>IF(OR(설정!$C$23="",IFERROR(MATCH(설정!$C$23,INDEX(급여대장_원본!$A$1:$AZ$400,설정!$B$8,0),0),"")=""),"",IFERROR(VALUE(SUBSTITUTE(INDEX(급여대장_원본!$A$1:$AZ$400,(설정!$B$8+105),IFERROR(MATCH(설정!$C$23,INDEX(급여대장_원본!$A$1:$AZ$400,설정!$B$8,0),0),""))&amp;"",",","")),""))</f>
        <v/>
      </c>
      <c r="U111" s="2">
        <f>IF(OR(설정!$C$24="",IFERROR(MATCH(설정!$C$24,INDEX(급여대장_원본!$A$1:$AZ$400,설정!$B$8,0),0),"")=""),"",IFERROR(VALUE(SUBSTITUTE(INDEX(급여대장_원본!$A$1:$AZ$400,(설정!$B$8+105),IFERROR(MATCH(설정!$C$24,INDEX(급여대장_원본!$A$1:$AZ$400,설정!$B$8,0),0),""))&amp;"",",","")),""))</f>
        <v/>
      </c>
      <c r="V111" s="27">
        <f>SUM(F111:M111)</f>
        <v/>
      </c>
      <c r="W111" s="27">
        <f>IF(설정!$D$26="",0,IFERROR(VALUE(SUBSTITUTE(SUBSTITUTE(INDEX(급여대장_원본!$A$1:$AZ$400,(설정!$B$8+105),설정!$D$26)&amp;"",",",""),"　","")),0))</f>
        <v/>
      </c>
      <c r="X111" s="27">
        <f>IF(설정!$D$27="",0,IFERROR(VALUE(SUBSTITUTE(SUBSTITUTE(INDEX(급여대장_원본!$A$1:$AZ$400,(설정!$B$8+105),설정!$D$27)&amp;"",",",""),"　","")),0))</f>
        <v/>
      </c>
      <c r="Y111" s="27">
        <f>IF(설정!$D$28="",0,IFERROR(VALUE(SUBSTITUTE(SUBSTITUTE(INDEX(급여대장_원본!$A$1:$AZ$400,(설정!$B$8+105),설정!$D$28)&amp;"",",",""),"　","")),0))</f>
        <v/>
      </c>
      <c r="Z111" s="27">
        <f>IF(설정!$D$29="",0,IFERROR(VALUE(SUBSTITUTE(SUBSTITUTE(INDEX(급여대장_원본!$A$1:$AZ$400,(설정!$B$8+105),설정!$D$29)&amp;"",",",""),"　","")),0))</f>
        <v/>
      </c>
      <c r="AA111" s="27">
        <f>IF(설정!$D$30="",0,IFERROR(VALUE(SUBSTITUTE(SUBSTITUTE(INDEX(급여대장_원본!$A$1:$AZ$400,(설정!$B$8+105),설정!$D$30)&amp;"",",",""),"　","")),0))</f>
        <v/>
      </c>
      <c r="AB111" s="27">
        <f>IF(설정!$D$31="",0,IFERROR(VALUE(SUBSTITUTE(SUBSTITUTE(INDEX(급여대장_원본!$A$1:$AZ$400,(설정!$B$8+105),설정!$D$31)&amp;"",",",""),"　","")),0))</f>
        <v/>
      </c>
      <c r="AC111" s="27">
        <f>IF(설정!$D$32="",0,IFERROR(VALUE(SUBSTITUTE(SUBSTITUTE(INDEX(급여대장_원본!$A$1:$AZ$400,(설정!$B$8+105),설정!$D$32)&amp;"",",",""),"　","")),0))</f>
        <v/>
      </c>
      <c r="AD111" s="27">
        <f>IF(설정!$D$33="",0,IFERROR(VALUE(SUBSTITUTE(SUBSTITUTE(INDEX(급여대장_원본!$A$1:$AZ$400,(설정!$B$8+105),설정!$D$33)&amp;"",",",""),"　","")),0))</f>
        <v/>
      </c>
      <c r="AE111" s="27">
        <f>SUM(W111:AD111)</f>
        <v/>
      </c>
      <c r="AF111" s="27">
        <f>V111-AE111</f>
        <v/>
      </c>
      <c r="AG111" s="27">
        <f>IF(설정!$D$35="","",IF(설정!$D$35="",0,IFERROR(VALUE(SUBSTITUTE(SUBSTITUTE(INDEX(급여대장_원본!$A$1:$AZ$400,(설정!$B$8+105),설정!$D$35)&amp;"",",",""),"　","")),0)))</f>
        <v/>
      </c>
      <c r="AH111" s="27">
        <f>IF(설정!$D$36="","",IF(설정!$D$36="",0,IFERROR(VALUE(SUBSTITUTE(SUBSTITUTE(INDEX(급여대장_원본!$A$1:$AZ$400,(설정!$B$8+105),설정!$D$36)&amp;"",",",""),"　","")),0)))</f>
        <v/>
      </c>
      <c r="AI111" s="27">
        <f>IF(설정!$D$37="","",IF(설정!$D$37="",0,IFERROR(VALUE(SUBSTITUTE(SUBSTITUTE(INDEX(급여대장_원본!$A$1:$AZ$400,(설정!$B$8+105),설정!$D$37)&amp;"",",",""),"　","")),0)))</f>
        <v/>
      </c>
      <c r="AJ111" s="2">
        <f>IFERROR(INDEX($D$7:$D$306,MATCH(105,$B$7:$B$306,0)),"")</f>
        <v/>
      </c>
    </row>
    <row r="112">
      <c r="A112" s="2">
        <f>IF(AND(D112&lt;&gt;"",D112&lt;&gt;"합계",D112&lt;&gt;"총계",D112&lt;&gt;"소계",D112&lt;&gt;"계"),1,0)</f>
        <v/>
      </c>
      <c r="B112" s="2">
        <f>IF(A112=1,SUM($A$7:A112),"")</f>
        <v/>
      </c>
      <c r="C112" s="2">
        <f>IF(설정!$D$13="","",TRIM(SUBSTITUTE(INDEX(급여대장_원본!$A$1:$AZ$400,(설정!$B$8+106),설정!$D$13)&amp;"","　"," ")))</f>
        <v/>
      </c>
      <c r="D112" s="2">
        <f>IF(설정!$D$14="","",TRIM(SUBSTITUTE(INDEX(급여대장_원본!$A$1:$AZ$400,(설정!$B$8+106),설정!$D$14)&amp;"","　"," ")))</f>
        <v/>
      </c>
      <c r="E112" s="2">
        <f>IF(설정!$D$15="","",TRIM(SUBSTITUTE(INDEX(급여대장_원본!$A$1:$AZ$400,(설정!$B$8+106),설정!$D$15)&amp;"","　"," ")))</f>
        <v/>
      </c>
      <c r="F112" s="27">
        <f>IF(설정!$D$17="",0,IFERROR(VALUE(SUBSTITUTE(SUBSTITUTE(INDEX(급여대장_원본!$A$1:$AZ$400,(설정!$B$8+106),설정!$D$17)&amp;"",",",""),"　","")),0))</f>
        <v/>
      </c>
      <c r="G112" s="27">
        <f>IF(설정!$D$18="",0,IFERROR(VALUE(SUBSTITUTE(SUBSTITUTE(INDEX(급여대장_원본!$A$1:$AZ$400,(설정!$B$8+106),설정!$D$18)&amp;"",",",""),"　","")),0))</f>
        <v/>
      </c>
      <c r="H112" s="27">
        <f>IF(설정!$D$19="",0,IFERROR(VALUE(SUBSTITUTE(SUBSTITUTE(INDEX(급여대장_원본!$A$1:$AZ$400,(설정!$B$8+106),설정!$D$19)&amp;"",",",""),"　","")),0))</f>
        <v/>
      </c>
      <c r="I112" s="27">
        <f>IF(설정!$D$20="",0,IFERROR(VALUE(SUBSTITUTE(SUBSTITUTE(INDEX(급여대장_원본!$A$1:$AZ$400,(설정!$B$8+106),설정!$D$20)&amp;"",",",""),"　","")),0))</f>
        <v/>
      </c>
      <c r="J112" s="27">
        <f>IF(설정!$D$21="",0,IFERROR(VALUE(SUBSTITUTE(SUBSTITUTE(INDEX(급여대장_원본!$A$1:$AZ$400,(설정!$B$8+106),설정!$D$21)&amp;"",",",""),"　","")),0))</f>
        <v/>
      </c>
      <c r="K112" s="27">
        <f>IF(설정!$D$22="",0,IFERROR(VALUE(SUBSTITUTE(SUBSTITUTE(INDEX(급여대장_원본!$A$1:$AZ$400,(설정!$B$8+106),설정!$D$22)&amp;"",",",""),"　","")),0))</f>
        <v/>
      </c>
      <c r="L112" s="27">
        <f>IF(설정!$D$23="",0,IFERROR(VALUE(SUBSTITUTE(SUBSTITUTE(INDEX(급여대장_원본!$A$1:$AZ$400,(설정!$B$8+106),설정!$D$23)&amp;"",",",""),"　","")),0))</f>
        <v/>
      </c>
      <c r="M112" s="27">
        <f>IF(설정!$D$24="",0,IFERROR(VALUE(SUBSTITUTE(SUBSTITUTE(INDEX(급여대장_원본!$A$1:$AZ$400,(설정!$B$8+106),설정!$D$24)&amp;"",",",""),"　","")),0))</f>
        <v/>
      </c>
      <c r="N112" s="2">
        <f>IF(OR(설정!$C$17="",IFERROR(MATCH(설정!$C$17,INDEX(급여대장_원본!$A$1:$AZ$400,설정!$B$8,0),0),"")=""),"",IFERROR(VALUE(SUBSTITUTE(INDEX(급여대장_원본!$A$1:$AZ$400,(설정!$B$8+106),IFERROR(MATCH(설정!$C$17,INDEX(급여대장_원본!$A$1:$AZ$400,설정!$B$8,0),0),""))&amp;"",",","")),""))</f>
        <v/>
      </c>
      <c r="O112" s="2">
        <f>IF(OR(설정!$C$18="",IFERROR(MATCH(설정!$C$18,INDEX(급여대장_원본!$A$1:$AZ$400,설정!$B$8,0),0),"")=""),"",IFERROR(VALUE(SUBSTITUTE(INDEX(급여대장_원본!$A$1:$AZ$400,(설정!$B$8+106),IFERROR(MATCH(설정!$C$18,INDEX(급여대장_원본!$A$1:$AZ$400,설정!$B$8,0),0),""))&amp;"",",","")),""))</f>
        <v/>
      </c>
      <c r="P112" s="2">
        <f>IF(OR(설정!$C$19="",IFERROR(MATCH(설정!$C$19,INDEX(급여대장_원본!$A$1:$AZ$400,설정!$B$8,0),0),"")=""),"",IFERROR(VALUE(SUBSTITUTE(INDEX(급여대장_원본!$A$1:$AZ$400,(설정!$B$8+106),IFERROR(MATCH(설정!$C$19,INDEX(급여대장_원본!$A$1:$AZ$400,설정!$B$8,0),0),""))&amp;"",",","")),""))</f>
        <v/>
      </c>
      <c r="Q112" s="2">
        <f>IF(OR(설정!$C$20="",IFERROR(MATCH(설정!$C$20,INDEX(급여대장_원본!$A$1:$AZ$400,설정!$B$8,0),0),"")=""),"",IFERROR(VALUE(SUBSTITUTE(INDEX(급여대장_원본!$A$1:$AZ$400,(설정!$B$8+106),IFERROR(MATCH(설정!$C$20,INDEX(급여대장_원본!$A$1:$AZ$400,설정!$B$8,0),0),""))&amp;"",",","")),""))</f>
        <v/>
      </c>
      <c r="R112" s="2">
        <f>IF(OR(설정!$C$21="",IFERROR(MATCH(설정!$C$21,INDEX(급여대장_원본!$A$1:$AZ$400,설정!$B$8,0),0),"")=""),"",IFERROR(VALUE(SUBSTITUTE(INDEX(급여대장_원본!$A$1:$AZ$400,(설정!$B$8+106),IFERROR(MATCH(설정!$C$21,INDEX(급여대장_원본!$A$1:$AZ$400,설정!$B$8,0),0),""))&amp;"",",","")),""))</f>
        <v/>
      </c>
      <c r="S112" s="2">
        <f>IF(OR(설정!$C$22="",IFERROR(MATCH(설정!$C$22,INDEX(급여대장_원본!$A$1:$AZ$400,설정!$B$8,0),0),"")=""),"",IFERROR(VALUE(SUBSTITUTE(INDEX(급여대장_원본!$A$1:$AZ$400,(설정!$B$8+106),IFERROR(MATCH(설정!$C$22,INDEX(급여대장_원본!$A$1:$AZ$400,설정!$B$8,0),0),""))&amp;"",",","")),""))</f>
        <v/>
      </c>
      <c r="T112" s="2">
        <f>IF(OR(설정!$C$23="",IFERROR(MATCH(설정!$C$23,INDEX(급여대장_원본!$A$1:$AZ$400,설정!$B$8,0),0),"")=""),"",IFERROR(VALUE(SUBSTITUTE(INDEX(급여대장_원본!$A$1:$AZ$400,(설정!$B$8+106),IFERROR(MATCH(설정!$C$23,INDEX(급여대장_원본!$A$1:$AZ$400,설정!$B$8,0),0),""))&amp;"",",","")),""))</f>
        <v/>
      </c>
      <c r="U112" s="2">
        <f>IF(OR(설정!$C$24="",IFERROR(MATCH(설정!$C$24,INDEX(급여대장_원본!$A$1:$AZ$400,설정!$B$8,0),0),"")=""),"",IFERROR(VALUE(SUBSTITUTE(INDEX(급여대장_원본!$A$1:$AZ$400,(설정!$B$8+106),IFERROR(MATCH(설정!$C$24,INDEX(급여대장_원본!$A$1:$AZ$400,설정!$B$8,0),0),""))&amp;"",",","")),""))</f>
        <v/>
      </c>
      <c r="V112" s="27">
        <f>SUM(F112:M112)</f>
        <v/>
      </c>
      <c r="W112" s="27">
        <f>IF(설정!$D$26="",0,IFERROR(VALUE(SUBSTITUTE(SUBSTITUTE(INDEX(급여대장_원본!$A$1:$AZ$400,(설정!$B$8+106),설정!$D$26)&amp;"",",",""),"　","")),0))</f>
        <v/>
      </c>
      <c r="X112" s="27">
        <f>IF(설정!$D$27="",0,IFERROR(VALUE(SUBSTITUTE(SUBSTITUTE(INDEX(급여대장_원본!$A$1:$AZ$400,(설정!$B$8+106),설정!$D$27)&amp;"",",",""),"　","")),0))</f>
        <v/>
      </c>
      <c r="Y112" s="27">
        <f>IF(설정!$D$28="",0,IFERROR(VALUE(SUBSTITUTE(SUBSTITUTE(INDEX(급여대장_원본!$A$1:$AZ$400,(설정!$B$8+106),설정!$D$28)&amp;"",",",""),"　","")),0))</f>
        <v/>
      </c>
      <c r="Z112" s="27">
        <f>IF(설정!$D$29="",0,IFERROR(VALUE(SUBSTITUTE(SUBSTITUTE(INDEX(급여대장_원본!$A$1:$AZ$400,(설정!$B$8+106),설정!$D$29)&amp;"",",",""),"　","")),0))</f>
        <v/>
      </c>
      <c r="AA112" s="27">
        <f>IF(설정!$D$30="",0,IFERROR(VALUE(SUBSTITUTE(SUBSTITUTE(INDEX(급여대장_원본!$A$1:$AZ$400,(설정!$B$8+106),설정!$D$30)&amp;"",",",""),"　","")),0))</f>
        <v/>
      </c>
      <c r="AB112" s="27">
        <f>IF(설정!$D$31="",0,IFERROR(VALUE(SUBSTITUTE(SUBSTITUTE(INDEX(급여대장_원본!$A$1:$AZ$400,(설정!$B$8+106),설정!$D$31)&amp;"",",",""),"　","")),0))</f>
        <v/>
      </c>
      <c r="AC112" s="27">
        <f>IF(설정!$D$32="",0,IFERROR(VALUE(SUBSTITUTE(SUBSTITUTE(INDEX(급여대장_원본!$A$1:$AZ$400,(설정!$B$8+106),설정!$D$32)&amp;"",",",""),"　","")),0))</f>
        <v/>
      </c>
      <c r="AD112" s="27">
        <f>IF(설정!$D$33="",0,IFERROR(VALUE(SUBSTITUTE(SUBSTITUTE(INDEX(급여대장_원본!$A$1:$AZ$400,(설정!$B$8+106),설정!$D$33)&amp;"",",",""),"　","")),0))</f>
        <v/>
      </c>
      <c r="AE112" s="27">
        <f>SUM(W112:AD112)</f>
        <v/>
      </c>
      <c r="AF112" s="27">
        <f>V112-AE112</f>
        <v/>
      </c>
      <c r="AG112" s="27">
        <f>IF(설정!$D$35="","",IF(설정!$D$35="",0,IFERROR(VALUE(SUBSTITUTE(SUBSTITUTE(INDEX(급여대장_원본!$A$1:$AZ$400,(설정!$B$8+106),설정!$D$35)&amp;"",",",""),"　","")),0)))</f>
        <v/>
      </c>
      <c r="AH112" s="27">
        <f>IF(설정!$D$36="","",IF(설정!$D$36="",0,IFERROR(VALUE(SUBSTITUTE(SUBSTITUTE(INDEX(급여대장_원본!$A$1:$AZ$400,(설정!$B$8+106),설정!$D$36)&amp;"",",",""),"　","")),0)))</f>
        <v/>
      </c>
      <c r="AI112" s="27">
        <f>IF(설정!$D$37="","",IF(설정!$D$37="",0,IFERROR(VALUE(SUBSTITUTE(SUBSTITUTE(INDEX(급여대장_원본!$A$1:$AZ$400,(설정!$B$8+106),설정!$D$37)&amp;"",",",""),"　","")),0)))</f>
        <v/>
      </c>
      <c r="AJ112" s="2">
        <f>IFERROR(INDEX($D$7:$D$306,MATCH(106,$B$7:$B$306,0)),"")</f>
        <v/>
      </c>
    </row>
    <row r="113">
      <c r="A113" s="2">
        <f>IF(AND(D113&lt;&gt;"",D113&lt;&gt;"합계",D113&lt;&gt;"총계",D113&lt;&gt;"소계",D113&lt;&gt;"계"),1,0)</f>
        <v/>
      </c>
      <c r="B113" s="2">
        <f>IF(A113=1,SUM($A$7:A113),"")</f>
        <v/>
      </c>
      <c r="C113" s="2">
        <f>IF(설정!$D$13="","",TRIM(SUBSTITUTE(INDEX(급여대장_원본!$A$1:$AZ$400,(설정!$B$8+107),설정!$D$13)&amp;"","　"," ")))</f>
        <v/>
      </c>
      <c r="D113" s="2">
        <f>IF(설정!$D$14="","",TRIM(SUBSTITUTE(INDEX(급여대장_원본!$A$1:$AZ$400,(설정!$B$8+107),설정!$D$14)&amp;"","　"," ")))</f>
        <v/>
      </c>
      <c r="E113" s="2">
        <f>IF(설정!$D$15="","",TRIM(SUBSTITUTE(INDEX(급여대장_원본!$A$1:$AZ$400,(설정!$B$8+107),설정!$D$15)&amp;"","　"," ")))</f>
        <v/>
      </c>
      <c r="F113" s="27">
        <f>IF(설정!$D$17="",0,IFERROR(VALUE(SUBSTITUTE(SUBSTITUTE(INDEX(급여대장_원본!$A$1:$AZ$400,(설정!$B$8+107),설정!$D$17)&amp;"",",",""),"　","")),0))</f>
        <v/>
      </c>
      <c r="G113" s="27">
        <f>IF(설정!$D$18="",0,IFERROR(VALUE(SUBSTITUTE(SUBSTITUTE(INDEX(급여대장_원본!$A$1:$AZ$400,(설정!$B$8+107),설정!$D$18)&amp;"",",",""),"　","")),0))</f>
        <v/>
      </c>
      <c r="H113" s="27">
        <f>IF(설정!$D$19="",0,IFERROR(VALUE(SUBSTITUTE(SUBSTITUTE(INDEX(급여대장_원본!$A$1:$AZ$400,(설정!$B$8+107),설정!$D$19)&amp;"",",",""),"　","")),0))</f>
        <v/>
      </c>
      <c r="I113" s="27">
        <f>IF(설정!$D$20="",0,IFERROR(VALUE(SUBSTITUTE(SUBSTITUTE(INDEX(급여대장_원본!$A$1:$AZ$400,(설정!$B$8+107),설정!$D$20)&amp;"",",",""),"　","")),0))</f>
        <v/>
      </c>
      <c r="J113" s="27">
        <f>IF(설정!$D$21="",0,IFERROR(VALUE(SUBSTITUTE(SUBSTITUTE(INDEX(급여대장_원본!$A$1:$AZ$400,(설정!$B$8+107),설정!$D$21)&amp;"",",",""),"　","")),0))</f>
        <v/>
      </c>
      <c r="K113" s="27">
        <f>IF(설정!$D$22="",0,IFERROR(VALUE(SUBSTITUTE(SUBSTITUTE(INDEX(급여대장_원본!$A$1:$AZ$400,(설정!$B$8+107),설정!$D$22)&amp;"",",",""),"　","")),0))</f>
        <v/>
      </c>
      <c r="L113" s="27">
        <f>IF(설정!$D$23="",0,IFERROR(VALUE(SUBSTITUTE(SUBSTITUTE(INDEX(급여대장_원본!$A$1:$AZ$400,(설정!$B$8+107),설정!$D$23)&amp;"",",",""),"　","")),0))</f>
        <v/>
      </c>
      <c r="M113" s="27">
        <f>IF(설정!$D$24="",0,IFERROR(VALUE(SUBSTITUTE(SUBSTITUTE(INDEX(급여대장_원본!$A$1:$AZ$400,(설정!$B$8+107),설정!$D$24)&amp;"",",",""),"　","")),0))</f>
        <v/>
      </c>
      <c r="N113" s="2">
        <f>IF(OR(설정!$C$17="",IFERROR(MATCH(설정!$C$17,INDEX(급여대장_원본!$A$1:$AZ$400,설정!$B$8,0),0),"")=""),"",IFERROR(VALUE(SUBSTITUTE(INDEX(급여대장_원본!$A$1:$AZ$400,(설정!$B$8+107),IFERROR(MATCH(설정!$C$17,INDEX(급여대장_원본!$A$1:$AZ$400,설정!$B$8,0),0),""))&amp;"",",","")),""))</f>
        <v/>
      </c>
      <c r="O113" s="2">
        <f>IF(OR(설정!$C$18="",IFERROR(MATCH(설정!$C$18,INDEX(급여대장_원본!$A$1:$AZ$400,설정!$B$8,0),0),"")=""),"",IFERROR(VALUE(SUBSTITUTE(INDEX(급여대장_원본!$A$1:$AZ$400,(설정!$B$8+107),IFERROR(MATCH(설정!$C$18,INDEX(급여대장_원본!$A$1:$AZ$400,설정!$B$8,0),0),""))&amp;"",",","")),""))</f>
        <v/>
      </c>
      <c r="P113" s="2">
        <f>IF(OR(설정!$C$19="",IFERROR(MATCH(설정!$C$19,INDEX(급여대장_원본!$A$1:$AZ$400,설정!$B$8,0),0),"")=""),"",IFERROR(VALUE(SUBSTITUTE(INDEX(급여대장_원본!$A$1:$AZ$400,(설정!$B$8+107),IFERROR(MATCH(설정!$C$19,INDEX(급여대장_원본!$A$1:$AZ$400,설정!$B$8,0),0),""))&amp;"",",","")),""))</f>
        <v/>
      </c>
      <c r="Q113" s="2">
        <f>IF(OR(설정!$C$20="",IFERROR(MATCH(설정!$C$20,INDEX(급여대장_원본!$A$1:$AZ$400,설정!$B$8,0),0),"")=""),"",IFERROR(VALUE(SUBSTITUTE(INDEX(급여대장_원본!$A$1:$AZ$400,(설정!$B$8+107),IFERROR(MATCH(설정!$C$20,INDEX(급여대장_원본!$A$1:$AZ$400,설정!$B$8,0),0),""))&amp;"",",","")),""))</f>
        <v/>
      </c>
      <c r="R113" s="2">
        <f>IF(OR(설정!$C$21="",IFERROR(MATCH(설정!$C$21,INDEX(급여대장_원본!$A$1:$AZ$400,설정!$B$8,0),0),"")=""),"",IFERROR(VALUE(SUBSTITUTE(INDEX(급여대장_원본!$A$1:$AZ$400,(설정!$B$8+107),IFERROR(MATCH(설정!$C$21,INDEX(급여대장_원본!$A$1:$AZ$400,설정!$B$8,0),0),""))&amp;"",",","")),""))</f>
        <v/>
      </c>
      <c r="S113" s="2">
        <f>IF(OR(설정!$C$22="",IFERROR(MATCH(설정!$C$22,INDEX(급여대장_원본!$A$1:$AZ$400,설정!$B$8,0),0),"")=""),"",IFERROR(VALUE(SUBSTITUTE(INDEX(급여대장_원본!$A$1:$AZ$400,(설정!$B$8+107),IFERROR(MATCH(설정!$C$22,INDEX(급여대장_원본!$A$1:$AZ$400,설정!$B$8,0),0),""))&amp;"",",","")),""))</f>
        <v/>
      </c>
      <c r="T113" s="2">
        <f>IF(OR(설정!$C$23="",IFERROR(MATCH(설정!$C$23,INDEX(급여대장_원본!$A$1:$AZ$400,설정!$B$8,0),0),"")=""),"",IFERROR(VALUE(SUBSTITUTE(INDEX(급여대장_원본!$A$1:$AZ$400,(설정!$B$8+107),IFERROR(MATCH(설정!$C$23,INDEX(급여대장_원본!$A$1:$AZ$400,설정!$B$8,0),0),""))&amp;"",",","")),""))</f>
        <v/>
      </c>
      <c r="U113" s="2">
        <f>IF(OR(설정!$C$24="",IFERROR(MATCH(설정!$C$24,INDEX(급여대장_원본!$A$1:$AZ$400,설정!$B$8,0),0),"")=""),"",IFERROR(VALUE(SUBSTITUTE(INDEX(급여대장_원본!$A$1:$AZ$400,(설정!$B$8+107),IFERROR(MATCH(설정!$C$24,INDEX(급여대장_원본!$A$1:$AZ$400,설정!$B$8,0),0),""))&amp;"",",","")),""))</f>
        <v/>
      </c>
      <c r="V113" s="27">
        <f>SUM(F113:M113)</f>
        <v/>
      </c>
      <c r="W113" s="27">
        <f>IF(설정!$D$26="",0,IFERROR(VALUE(SUBSTITUTE(SUBSTITUTE(INDEX(급여대장_원본!$A$1:$AZ$400,(설정!$B$8+107),설정!$D$26)&amp;"",",",""),"　","")),0))</f>
        <v/>
      </c>
      <c r="X113" s="27">
        <f>IF(설정!$D$27="",0,IFERROR(VALUE(SUBSTITUTE(SUBSTITUTE(INDEX(급여대장_원본!$A$1:$AZ$400,(설정!$B$8+107),설정!$D$27)&amp;"",",",""),"　","")),0))</f>
        <v/>
      </c>
      <c r="Y113" s="27">
        <f>IF(설정!$D$28="",0,IFERROR(VALUE(SUBSTITUTE(SUBSTITUTE(INDEX(급여대장_원본!$A$1:$AZ$400,(설정!$B$8+107),설정!$D$28)&amp;"",",",""),"　","")),0))</f>
        <v/>
      </c>
      <c r="Z113" s="27">
        <f>IF(설정!$D$29="",0,IFERROR(VALUE(SUBSTITUTE(SUBSTITUTE(INDEX(급여대장_원본!$A$1:$AZ$400,(설정!$B$8+107),설정!$D$29)&amp;"",",",""),"　","")),0))</f>
        <v/>
      </c>
      <c r="AA113" s="27">
        <f>IF(설정!$D$30="",0,IFERROR(VALUE(SUBSTITUTE(SUBSTITUTE(INDEX(급여대장_원본!$A$1:$AZ$400,(설정!$B$8+107),설정!$D$30)&amp;"",",",""),"　","")),0))</f>
        <v/>
      </c>
      <c r="AB113" s="27">
        <f>IF(설정!$D$31="",0,IFERROR(VALUE(SUBSTITUTE(SUBSTITUTE(INDEX(급여대장_원본!$A$1:$AZ$400,(설정!$B$8+107),설정!$D$31)&amp;"",",",""),"　","")),0))</f>
        <v/>
      </c>
      <c r="AC113" s="27">
        <f>IF(설정!$D$32="",0,IFERROR(VALUE(SUBSTITUTE(SUBSTITUTE(INDEX(급여대장_원본!$A$1:$AZ$400,(설정!$B$8+107),설정!$D$32)&amp;"",",",""),"　","")),0))</f>
        <v/>
      </c>
      <c r="AD113" s="27">
        <f>IF(설정!$D$33="",0,IFERROR(VALUE(SUBSTITUTE(SUBSTITUTE(INDEX(급여대장_원본!$A$1:$AZ$400,(설정!$B$8+107),설정!$D$33)&amp;"",",",""),"　","")),0))</f>
        <v/>
      </c>
      <c r="AE113" s="27">
        <f>SUM(W113:AD113)</f>
        <v/>
      </c>
      <c r="AF113" s="27">
        <f>V113-AE113</f>
        <v/>
      </c>
      <c r="AG113" s="27">
        <f>IF(설정!$D$35="","",IF(설정!$D$35="",0,IFERROR(VALUE(SUBSTITUTE(SUBSTITUTE(INDEX(급여대장_원본!$A$1:$AZ$400,(설정!$B$8+107),설정!$D$35)&amp;"",",",""),"　","")),0)))</f>
        <v/>
      </c>
      <c r="AH113" s="27">
        <f>IF(설정!$D$36="","",IF(설정!$D$36="",0,IFERROR(VALUE(SUBSTITUTE(SUBSTITUTE(INDEX(급여대장_원본!$A$1:$AZ$400,(설정!$B$8+107),설정!$D$36)&amp;"",",",""),"　","")),0)))</f>
        <v/>
      </c>
      <c r="AI113" s="27">
        <f>IF(설정!$D$37="","",IF(설정!$D$37="",0,IFERROR(VALUE(SUBSTITUTE(SUBSTITUTE(INDEX(급여대장_원본!$A$1:$AZ$400,(설정!$B$8+107),설정!$D$37)&amp;"",",",""),"　","")),0)))</f>
        <v/>
      </c>
      <c r="AJ113" s="2">
        <f>IFERROR(INDEX($D$7:$D$306,MATCH(107,$B$7:$B$306,0)),"")</f>
        <v/>
      </c>
    </row>
    <row r="114">
      <c r="A114" s="2">
        <f>IF(AND(D114&lt;&gt;"",D114&lt;&gt;"합계",D114&lt;&gt;"총계",D114&lt;&gt;"소계",D114&lt;&gt;"계"),1,0)</f>
        <v/>
      </c>
      <c r="B114" s="2">
        <f>IF(A114=1,SUM($A$7:A114),"")</f>
        <v/>
      </c>
      <c r="C114" s="2">
        <f>IF(설정!$D$13="","",TRIM(SUBSTITUTE(INDEX(급여대장_원본!$A$1:$AZ$400,(설정!$B$8+108),설정!$D$13)&amp;"","　"," ")))</f>
        <v/>
      </c>
      <c r="D114" s="2">
        <f>IF(설정!$D$14="","",TRIM(SUBSTITUTE(INDEX(급여대장_원본!$A$1:$AZ$400,(설정!$B$8+108),설정!$D$14)&amp;"","　"," ")))</f>
        <v/>
      </c>
      <c r="E114" s="2">
        <f>IF(설정!$D$15="","",TRIM(SUBSTITUTE(INDEX(급여대장_원본!$A$1:$AZ$400,(설정!$B$8+108),설정!$D$15)&amp;"","　"," ")))</f>
        <v/>
      </c>
      <c r="F114" s="27">
        <f>IF(설정!$D$17="",0,IFERROR(VALUE(SUBSTITUTE(SUBSTITUTE(INDEX(급여대장_원본!$A$1:$AZ$400,(설정!$B$8+108),설정!$D$17)&amp;"",",",""),"　","")),0))</f>
        <v/>
      </c>
      <c r="G114" s="27">
        <f>IF(설정!$D$18="",0,IFERROR(VALUE(SUBSTITUTE(SUBSTITUTE(INDEX(급여대장_원본!$A$1:$AZ$400,(설정!$B$8+108),설정!$D$18)&amp;"",",",""),"　","")),0))</f>
        <v/>
      </c>
      <c r="H114" s="27">
        <f>IF(설정!$D$19="",0,IFERROR(VALUE(SUBSTITUTE(SUBSTITUTE(INDEX(급여대장_원본!$A$1:$AZ$400,(설정!$B$8+108),설정!$D$19)&amp;"",",",""),"　","")),0))</f>
        <v/>
      </c>
      <c r="I114" s="27">
        <f>IF(설정!$D$20="",0,IFERROR(VALUE(SUBSTITUTE(SUBSTITUTE(INDEX(급여대장_원본!$A$1:$AZ$400,(설정!$B$8+108),설정!$D$20)&amp;"",",",""),"　","")),0))</f>
        <v/>
      </c>
      <c r="J114" s="27">
        <f>IF(설정!$D$21="",0,IFERROR(VALUE(SUBSTITUTE(SUBSTITUTE(INDEX(급여대장_원본!$A$1:$AZ$400,(설정!$B$8+108),설정!$D$21)&amp;"",",",""),"　","")),0))</f>
        <v/>
      </c>
      <c r="K114" s="27">
        <f>IF(설정!$D$22="",0,IFERROR(VALUE(SUBSTITUTE(SUBSTITUTE(INDEX(급여대장_원본!$A$1:$AZ$400,(설정!$B$8+108),설정!$D$22)&amp;"",",",""),"　","")),0))</f>
        <v/>
      </c>
      <c r="L114" s="27">
        <f>IF(설정!$D$23="",0,IFERROR(VALUE(SUBSTITUTE(SUBSTITUTE(INDEX(급여대장_원본!$A$1:$AZ$400,(설정!$B$8+108),설정!$D$23)&amp;"",",",""),"　","")),0))</f>
        <v/>
      </c>
      <c r="M114" s="27">
        <f>IF(설정!$D$24="",0,IFERROR(VALUE(SUBSTITUTE(SUBSTITUTE(INDEX(급여대장_원본!$A$1:$AZ$400,(설정!$B$8+108),설정!$D$24)&amp;"",",",""),"　","")),0))</f>
        <v/>
      </c>
      <c r="N114" s="2">
        <f>IF(OR(설정!$C$17="",IFERROR(MATCH(설정!$C$17,INDEX(급여대장_원본!$A$1:$AZ$400,설정!$B$8,0),0),"")=""),"",IFERROR(VALUE(SUBSTITUTE(INDEX(급여대장_원본!$A$1:$AZ$400,(설정!$B$8+108),IFERROR(MATCH(설정!$C$17,INDEX(급여대장_원본!$A$1:$AZ$400,설정!$B$8,0),0),""))&amp;"",",","")),""))</f>
        <v/>
      </c>
      <c r="O114" s="2">
        <f>IF(OR(설정!$C$18="",IFERROR(MATCH(설정!$C$18,INDEX(급여대장_원본!$A$1:$AZ$400,설정!$B$8,0),0),"")=""),"",IFERROR(VALUE(SUBSTITUTE(INDEX(급여대장_원본!$A$1:$AZ$400,(설정!$B$8+108),IFERROR(MATCH(설정!$C$18,INDEX(급여대장_원본!$A$1:$AZ$400,설정!$B$8,0),0),""))&amp;"",",","")),""))</f>
        <v/>
      </c>
      <c r="P114" s="2">
        <f>IF(OR(설정!$C$19="",IFERROR(MATCH(설정!$C$19,INDEX(급여대장_원본!$A$1:$AZ$400,설정!$B$8,0),0),"")=""),"",IFERROR(VALUE(SUBSTITUTE(INDEX(급여대장_원본!$A$1:$AZ$400,(설정!$B$8+108),IFERROR(MATCH(설정!$C$19,INDEX(급여대장_원본!$A$1:$AZ$400,설정!$B$8,0),0),""))&amp;"",",","")),""))</f>
        <v/>
      </c>
      <c r="Q114" s="2">
        <f>IF(OR(설정!$C$20="",IFERROR(MATCH(설정!$C$20,INDEX(급여대장_원본!$A$1:$AZ$400,설정!$B$8,0),0),"")=""),"",IFERROR(VALUE(SUBSTITUTE(INDEX(급여대장_원본!$A$1:$AZ$400,(설정!$B$8+108),IFERROR(MATCH(설정!$C$20,INDEX(급여대장_원본!$A$1:$AZ$400,설정!$B$8,0),0),""))&amp;"",",","")),""))</f>
        <v/>
      </c>
      <c r="R114" s="2">
        <f>IF(OR(설정!$C$21="",IFERROR(MATCH(설정!$C$21,INDEX(급여대장_원본!$A$1:$AZ$400,설정!$B$8,0),0),"")=""),"",IFERROR(VALUE(SUBSTITUTE(INDEX(급여대장_원본!$A$1:$AZ$400,(설정!$B$8+108),IFERROR(MATCH(설정!$C$21,INDEX(급여대장_원본!$A$1:$AZ$400,설정!$B$8,0),0),""))&amp;"",",","")),""))</f>
        <v/>
      </c>
      <c r="S114" s="2">
        <f>IF(OR(설정!$C$22="",IFERROR(MATCH(설정!$C$22,INDEX(급여대장_원본!$A$1:$AZ$400,설정!$B$8,0),0),"")=""),"",IFERROR(VALUE(SUBSTITUTE(INDEX(급여대장_원본!$A$1:$AZ$400,(설정!$B$8+108),IFERROR(MATCH(설정!$C$22,INDEX(급여대장_원본!$A$1:$AZ$400,설정!$B$8,0),0),""))&amp;"",",","")),""))</f>
        <v/>
      </c>
      <c r="T114" s="2">
        <f>IF(OR(설정!$C$23="",IFERROR(MATCH(설정!$C$23,INDEX(급여대장_원본!$A$1:$AZ$400,설정!$B$8,0),0),"")=""),"",IFERROR(VALUE(SUBSTITUTE(INDEX(급여대장_원본!$A$1:$AZ$400,(설정!$B$8+108),IFERROR(MATCH(설정!$C$23,INDEX(급여대장_원본!$A$1:$AZ$400,설정!$B$8,0),0),""))&amp;"",",","")),""))</f>
        <v/>
      </c>
      <c r="U114" s="2">
        <f>IF(OR(설정!$C$24="",IFERROR(MATCH(설정!$C$24,INDEX(급여대장_원본!$A$1:$AZ$400,설정!$B$8,0),0),"")=""),"",IFERROR(VALUE(SUBSTITUTE(INDEX(급여대장_원본!$A$1:$AZ$400,(설정!$B$8+108),IFERROR(MATCH(설정!$C$24,INDEX(급여대장_원본!$A$1:$AZ$400,설정!$B$8,0),0),""))&amp;"",",","")),""))</f>
        <v/>
      </c>
      <c r="V114" s="27">
        <f>SUM(F114:M114)</f>
        <v/>
      </c>
      <c r="W114" s="27">
        <f>IF(설정!$D$26="",0,IFERROR(VALUE(SUBSTITUTE(SUBSTITUTE(INDEX(급여대장_원본!$A$1:$AZ$400,(설정!$B$8+108),설정!$D$26)&amp;"",",",""),"　","")),0))</f>
        <v/>
      </c>
      <c r="X114" s="27">
        <f>IF(설정!$D$27="",0,IFERROR(VALUE(SUBSTITUTE(SUBSTITUTE(INDEX(급여대장_원본!$A$1:$AZ$400,(설정!$B$8+108),설정!$D$27)&amp;"",",",""),"　","")),0))</f>
        <v/>
      </c>
      <c r="Y114" s="27">
        <f>IF(설정!$D$28="",0,IFERROR(VALUE(SUBSTITUTE(SUBSTITUTE(INDEX(급여대장_원본!$A$1:$AZ$400,(설정!$B$8+108),설정!$D$28)&amp;"",",",""),"　","")),0))</f>
        <v/>
      </c>
      <c r="Z114" s="27">
        <f>IF(설정!$D$29="",0,IFERROR(VALUE(SUBSTITUTE(SUBSTITUTE(INDEX(급여대장_원본!$A$1:$AZ$400,(설정!$B$8+108),설정!$D$29)&amp;"",",",""),"　","")),0))</f>
        <v/>
      </c>
      <c r="AA114" s="27">
        <f>IF(설정!$D$30="",0,IFERROR(VALUE(SUBSTITUTE(SUBSTITUTE(INDEX(급여대장_원본!$A$1:$AZ$400,(설정!$B$8+108),설정!$D$30)&amp;"",",",""),"　","")),0))</f>
        <v/>
      </c>
      <c r="AB114" s="27">
        <f>IF(설정!$D$31="",0,IFERROR(VALUE(SUBSTITUTE(SUBSTITUTE(INDEX(급여대장_원본!$A$1:$AZ$400,(설정!$B$8+108),설정!$D$31)&amp;"",",",""),"　","")),0))</f>
        <v/>
      </c>
      <c r="AC114" s="27">
        <f>IF(설정!$D$32="",0,IFERROR(VALUE(SUBSTITUTE(SUBSTITUTE(INDEX(급여대장_원본!$A$1:$AZ$400,(설정!$B$8+108),설정!$D$32)&amp;"",",",""),"　","")),0))</f>
        <v/>
      </c>
      <c r="AD114" s="27">
        <f>IF(설정!$D$33="",0,IFERROR(VALUE(SUBSTITUTE(SUBSTITUTE(INDEX(급여대장_원본!$A$1:$AZ$400,(설정!$B$8+108),설정!$D$33)&amp;"",",",""),"　","")),0))</f>
        <v/>
      </c>
      <c r="AE114" s="27">
        <f>SUM(W114:AD114)</f>
        <v/>
      </c>
      <c r="AF114" s="27">
        <f>V114-AE114</f>
        <v/>
      </c>
      <c r="AG114" s="27">
        <f>IF(설정!$D$35="","",IF(설정!$D$35="",0,IFERROR(VALUE(SUBSTITUTE(SUBSTITUTE(INDEX(급여대장_원본!$A$1:$AZ$400,(설정!$B$8+108),설정!$D$35)&amp;"",",",""),"　","")),0)))</f>
        <v/>
      </c>
      <c r="AH114" s="27">
        <f>IF(설정!$D$36="","",IF(설정!$D$36="",0,IFERROR(VALUE(SUBSTITUTE(SUBSTITUTE(INDEX(급여대장_원본!$A$1:$AZ$400,(설정!$B$8+108),설정!$D$36)&amp;"",",",""),"　","")),0)))</f>
        <v/>
      </c>
      <c r="AI114" s="27">
        <f>IF(설정!$D$37="","",IF(설정!$D$37="",0,IFERROR(VALUE(SUBSTITUTE(SUBSTITUTE(INDEX(급여대장_원본!$A$1:$AZ$400,(설정!$B$8+108),설정!$D$37)&amp;"",",",""),"　","")),0)))</f>
        <v/>
      </c>
      <c r="AJ114" s="2">
        <f>IFERROR(INDEX($D$7:$D$306,MATCH(108,$B$7:$B$306,0)),"")</f>
        <v/>
      </c>
    </row>
    <row r="115">
      <c r="A115" s="2">
        <f>IF(AND(D115&lt;&gt;"",D115&lt;&gt;"합계",D115&lt;&gt;"총계",D115&lt;&gt;"소계",D115&lt;&gt;"계"),1,0)</f>
        <v/>
      </c>
      <c r="B115" s="2">
        <f>IF(A115=1,SUM($A$7:A115),"")</f>
        <v/>
      </c>
      <c r="C115" s="2">
        <f>IF(설정!$D$13="","",TRIM(SUBSTITUTE(INDEX(급여대장_원본!$A$1:$AZ$400,(설정!$B$8+109),설정!$D$13)&amp;"","　"," ")))</f>
        <v/>
      </c>
      <c r="D115" s="2">
        <f>IF(설정!$D$14="","",TRIM(SUBSTITUTE(INDEX(급여대장_원본!$A$1:$AZ$400,(설정!$B$8+109),설정!$D$14)&amp;"","　"," ")))</f>
        <v/>
      </c>
      <c r="E115" s="2">
        <f>IF(설정!$D$15="","",TRIM(SUBSTITUTE(INDEX(급여대장_원본!$A$1:$AZ$400,(설정!$B$8+109),설정!$D$15)&amp;"","　"," ")))</f>
        <v/>
      </c>
      <c r="F115" s="27">
        <f>IF(설정!$D$17="",0,IFERROR(VALUE(SUBSTITUTE(SUBSTITUTE(INDEX(급여대장_원본!$A$1:$AZ$400,(설정!$B$8+109),설정!$D$17)&amp;"",",",""),"　","")),0))</f>
        <v/>
      </c>
      <c r="G115" s="27">
        <f>IF(설정!$D$18="",0,IFERROR(VALUE(SUBSTITUTE(SUBSTITUTE(INDEX(급여대장_원본!$A$1:$AZ$400,(설정!$B$8+109),설정!$D$18)&amp;"",",",""),"　","")),0))</f>
        <v/>
      </c>
      <c r="H115" s="27">
        <f>IF(설정!$D$19="",0,IFERROR(VALUE(SUBSTITUTE(SUBSTITUTE(INDEX(급여대장_원본!$A$1:$AZ$400,(설정!$B$8+109),설정!$D$19)&amp;"",",",""),"　","")),0))</f>
        <v/>
      </c>
      <c r="I115" s="27">
        <f>IF(설정!$D$20="",0,IFERROR(VALUE(SUBSTITUTE(SUBSTITUTE(INDEX(급여대장_원본!$A$1:$AZ$400,(설정!$B$8+109),설정!$D$20)&amp;"",",",""),"　","")),0))</f>
        <v/>
      </c>
      <c r="J115" s="27">
        <f>IF(설정!$D$21="",0,IFERROR(VALUE(SUBSTITUTE(SUBSTITUTE(INDEX(급여대장_원본!$A$1:$AZ$400,(설정!$B$8+109),설정!$D$21)&amp;"",",",""),"　","")),0))</f>
        <v/>
      </c>
      <c r="K115" s="27">
        <f>IF(설정!$D$22="",0,IFERROR(VALUE(SUBSTITUTE(SUBSTITUTE(INDEX(급여대장_원본!$A$1:$AZ$400,(설정!$B$8+109),설정!$D$22)&amp;"",",",""),"　","")),0))</f>
        <v/>
      </c>
      <c r="L115" s="27">
        <f>IF(설정!$D$23="",0,IFERROR(VALUE(SUBSTITUTE(SUBSTITUTE(INDEX(급여대장_원본!$A$1:$AZ$400,(설정!$B$8+109),설정!$D$23)&amp;"",",",""),"　","")),0))</f>
        <v/>
      </c>
      <c r="M115" s="27">
        <f>IF(설정!$D$24="",0,IFERROR(VALUE(SUBSTITUTE(SUBSTITUTE(INDEX(급여대장_원본!$A$1:$AZ$400,(설정!$B$8+109),설정!$D$24)&amp;"",",",""),"　","")),0))</f>
        <v/>
      </c>
      <c r="N115" s="2">
        <f>IF(OR(설정!$C$17="",IFERROR(MATCH(설정!$C$17,INDEX(급여대장_원본!$A$1:$AZ$400,설정!$B$8,0),0),"")=""),"",IFERROR(VALUE(SUBSTITUTE(INDEX(급여대장_원본!$A$1:$AZ$400,(설정!$B$8+109),IFERROR(MATCH(설정!$C$17,INDEX(급여대장_원본!$A$1:$AZ$400,설정!$B$8,0),0),""))&amp;"",",","")),""))</f>
        <v/>
      </c>
      <c r="O115" s="2">
        <f>IF(OR(설정!$C$18="",IFERROR(MATCH(설정!$C$18,INDEX(급여대장_원본!$A$1:$AZ$400,설정!$B$8,0),0),"")=""),"",IFERROR(VALUE(SUBSTITUTE(INDEX(급여대장_원본!$A$1:$AZ$400,(설정!$B$8+109),IFERROR(MATCH(설정!$C$18,INDEX(급여대장_원본!$A$1:$AZ$400,설정!$B$8,0),0),""))&amp;"",",","")),""))</f>
        <v/>
      </c>
      <c r="P115" s="2">
        <f>IF(OR(설정!$C$19="",IFERROR(MATCH(설정!$C$19,INDEX(급여대장_원본!$A$1:$AZ$400,설정!$B$8,0),0),"")=""),"",IFERROR(VALUE(SUBSTITUTE(INDEX(급여대장_원본!$A$1:$AZ$400,(설정!$B$8+109),IFERROR(MATCH(설정!$C$19,INDEX(급여대장_원본!$A$1:$AZ$400,설정!$B$8,0),0),""))&amp;"",",","")),""))</f>
        <v/>
      </c>
      <c r="Q115" s="2">
        <f>IF(OR(설정!$C$20="",IFERROR(MATCH(설정!$C$20,INDEX(급여대장_원본!$A$1:$AZ$400,설정!$B$8,0),0),"")=""),"",IFERROR(VALUE(SUBSTITUTE(INDEX(급여대장_원본!$A$1:$AZ$400,(설정!$B$8+109),IFERROR(MATCH(설정!$C$20,INDEX(급여대장_원본!$A$1:$AZ$400,설정!$B$8,0),0),""))&amp;"",",","")),""))</f>
        <v/>
      </c>
      <c r="R115" s="2">
        <f>IF(OR(설정!$C$21="",IFERROR(MATCH(설정!$C$21,INDEX(급여대장_원본!$A$1:$AZ$400,설정!$B$8,0),0),"")=""),"",IFERROR(VALUE(SUBSTITUTE(INDEX(급여대장_원본!$A$1:$AZ$400,(설정!$B$8+109),IFERROR(MATCH(설정!$C$21,INDEX(급여대장_원본!$A$1:$AZ$400,설정!$B$8,0),0),""))&amp;"",",","")),""))</f>
        <v/>
      </c>
      <c r="S115" s="2">
        <f>IF(OR(설정!$C$22="",IFERROR(MATCH(설정!$C$22,INDEX(급여대장_원본!$A$1:$AZ$400,설정!$B$8,0),0),"")=""),"",IFERROR(VALUE(SUBSTITUTE(INDEX(급여대장_원본!$A$1:$AZ$400,(설정!$B$8+109),IFERROR(MATCH(설정!$C$22,INDEX(급여대장_원본!$A$1:$AZ$400,설정!$B$8,0),0),""))&amp;"",",","")),""))</f>
        <v/>
      </c>
      <c r="T115" s="2">
        <f>IF(OR(설정!$C$23="",IFERROR(MATCH(설정!$C$23,INDEX(급여대장_원본!$A$1:$AZ$400,설정!$B$8,0),0),"")=""),"",IFERROR(VALUE(SUBSTITUTE(INDEX(급여대장_원본!$A$1:$AZ$400,(설정!$B$8+109),IFERROR(MATCH(설정!$C$23,INDEX(급여대장_원본!$A$1:$AZ$400,설정!$B$8,0),0),""))&amp;"",",","")),""))</f>
        <v/>
      </c>
      <c r="U115" s="2">
        <f>IF(OR(설정!$C$24="",IFERROR(MATCH(설정!$C$24,INDEX(급여대장_원본!$A$1:$AZ$400,설정!$B$8,0),0),"")=""),"",IFERROR(VALUE(SUBSTITUTE(INDEX(급여대장_원본!$A$1:$AZ$400,(설정!$B$8+109),IFERROR(MATCH(설정!$C$24,INDEX(급여대장_원본!$A$1:$AZ$400,설정!$B$8,0),0),""))&amp;"",",","")),""))</f>
        <v/>
      </c>
      <c r="V115" s="27">
        <f>SUM(F115:M115)</f>
        <v/>
      </c>
      <c r="W115" s="27">
        <f>IF(설정!$D$26="",0,IFERROR(VALUE(SUBSTITUTE(SUBSTITUTE(INDEX(급여대장_원본!$A$1:$AZ$400,(설정!$B$8+109),설정!$D$26)&amp;"",",",""),"　","")),0))</f>
        <v/>
      </c>
      <c r="X115" s="27">
        <f>IF(설정!$D$27="",0,IFERROR(VALUE(SUBSTITUTE(SUBSTITUTE(INDEX(급여대장_원본!$A$1:$AZ$400,(설정!$B$8+109),설정!$D$27)&amp;"",",",""),"　","")),0))</f>
        <v/>
      </c>
      <c r="Y115" s="27">
        <f>IF(설정!$D$28="",0,IFERROR(VALUE(SUBSTITUTE(SUBSTITUTE(INDEX(급여대장_원본!$A$1:$AZ$400,(설정!$B$8+109),설정!$D$28)&amp;"",",",""),"　","")),0))</f>
        <v/>
      </c>
      <c r="Z115" s="27">
        <f>IF(설정!$D$29="",0,IFERROR(VALUE(SUBSTITUTE(SUBSTITUTE(INDEX(급여대장_원본!$A$1:$AZ$400,(설정!$B$8+109),설정!$D$29)&amp;"",",",""),"　","")),0))</f>
        <v/>
      </c>
      <c r="AA115" s="27">
        <f>IF(설정!$D$30="",0,IFERROR(VALUE(SUBSTITUTE(SUBSTITUTE(INDEX(급여대장_원본!$A$1:$AZ$400,(설정!$B$8+109),설정!$D$30)&amp;"",",",""),"　","")),0))</f>
        <v/>
      </c>
      <c r="AB115" s="27">
        <f>IF(설정!$D$31="",0,IFERROR(VALUE(SUBSTITUTE(SUBSTITUTE(INDEX(급여대장_원본!$A$1:$AZ$400,(설정!$B$8+109),설정!$D$31)&amp;"",",",""),"　","")),0))</f>
        <v/>
      </c>
      <c r="AC115" s="27">
        <f>IF(설정!$D$32="",0,IFERROR(VALUE(SUBSTITUTE(SUBSTITUTE(INDEX(급여대장_원본!$A$1:$AZ$400,(설정!$B$8+109),설정!$D$32)&amp;"",",",""),"　","")),0))</f>
        <v/>
      </c>
      <c r="AD115" s="27">
        <f>IF(설정!$D$33="",0,IFERROR(VALUE(SUBSTITUTE(SUBSTITUTE(INDEX(급여대장_원본!$A$1:$AZ$400,(설정!$B$8+109),설정!$D$33)&amp;"",",",""),"　","")),0))</f>
        <v/>
      </c>
      <c r="AE115" s="27">
        <f>SUM(W115:AD115)</f>
        <v/>
      </c>
      <c r="AF115" s="27">
        <f>V115-AE115</f>
        <v/>
      </c>
      <c r="AG115" s="27">
        <f>IF(설정!$D$35="","",IF(설정!$D$35="",0,IFERROR(VALUE(SUBSTITUTE(SUBSTITUTE(INDEX(급여대장_원본!$A$1:$AZ$400,(설정!$B$8+109),설정!$D$35)&amp;"",",",""),"　","")),0)))</f>
        <v/>
      </c>
      <c r="AH115" s="27">
        <f>IF(설정!$D$36="","",IF(설정!$D$36="",0,IFERROR(VALUE(SUBSTITUTE(SUBSTITUTE(INDEX(급여대장_원본!$A$1:$AZ$400,(설정!$B$8+109),설정!$D$36)&amp;"",",",""),"　","")),0)))</f>
        <v/>
      </c>
      <c r="AI115" s="27">
        <f>IF(설정!$D$37="","",IF(설정!$D$37="",0,IFERROR(VALUE(SUBSTITUTE(SUBSTITUTE(INDEX(급여대장_원본!$A$1:$AZ$400,(설정!$B$8+109),설정!$D$37)&amp;"",",",""),"　","")),0)))</f>
        <v/>
      </c>
      <c r="AJ115" s="2">
        <f>IFERROR(INDEX($D$7:$D$306,MATCH(109,$B$7:$B$306,0)),"")</f>
        <v/>
      </c>
    </row>
    <row r="116">
      <c r="A116" s="2">
        <f>IF(AND(D116&lt;&gt;"",D116&lt;&gt;"합계",D116&lt;&gt;"총계",D116&lt;&gt;"소계",D116&lt;&gt;"계"),1,0)</f>
        <v/>
      </c>
      <c r="B116" s="2">
        <f>IF(A116=1,SUM($A$7:A116),"")</f>
        <v/>
      </c>
      <c r="C116" s="2">
        <f>IF(설정!$D$13="","",TRIM(SUBSTITUTE(INDEX(급여대장_원본!$A$1:$AZ$400,(설정!$B$8+110),설정!$D$13)&amp;"","　"," ")))</f>
        <v/>
      </c>
      <c r="D116" s="2">
        <f>IF(설정!$D$14="","",TRIM(SUBSTITUTE(INDEX(급여대장_원본!$A$1:$AZ$400,(설정!$B$8+110),설정!$D$14)&amp;"","　"," ")))</f>
        <v/>
      </c>
      <c r="E116" s="2">
        <f>IF(설정!$D$15="","",TRIM(SUBSTITUTE(INDEX(급여대장_원본!$A$1:$AZ$400,(설정!$B$8+110),설정!$D$15)&amp;"","　"," ")))</f>
        <v/>
      </c>
      <c r="F116" s="27">
        <f>IF(설정!$D$17="",0,IFERROR(VALUE(SUBSTITUTE(SUBSTITUTE(INDEX(급여대장_원본!$A$1:$AZ$400,(설정!$B$8+110),설정!$D$17)&amp;"",",",""),"　","")),0))</f>
        <v/>
      </c>
      <c r="G116" s="27">
        <f>IF(설정!$D$18="",0,IFERROR(VALUE(SUBSTITUTE(SUBSTITUTE(INDEX(급여대장_원본!$A$1:$AZ$400,(설정!$B$8+110),설정!$D$18)&amp;"",",",""),"　","")),0))</f>
        <v/>
      </c>
      <c r="H116" s="27">
        <f>IF(설정!$D$19="",0,IFERROR(VALUE(SUBSTITUTE(SUBSTITUTE(INDEX(급여대장_원본!$A$1:$AZ$400,(설정!$B$8+110),설정!$D$19)&amp;"",",",""),"　","")),0))</f>
        <v/>
      </c>
      <c r="I116" s="27">
        <f>IF(설정!$D$20="",0,IFERROR(VALUE(SUBSTITUTE(SUBSTITUTE(INDEX(급여대장_원본!$A$1:$AZ$400,(설정!$B$8+110),설정!$D$20)&amp;"",",",""),"　","")),0))</f>
        <v/>
      </c>
      <c r="J116" s="27">
        <f>IF(설정!$D$21="",0,IFERROR(VALUE(SUBSTITUTE(SUBSTITUTE(INDEX(급여대장_원본!$A$1:$AZ$400,(설정!$B$8+110),설정!$D$21)&amp;"",",",""),"　","")),0))</f>
        <v/>
      </c>
      <c r="K116" s="27">
        <f>IF(설정!$D$22="",0,IFERROR(VALUE(SUBSTITUTE(SUBSTITUTE(INDEX(급여대장_원본!$A$1:$AZ$400,(설정!$B$8+110),설정!$D$22)&amp;"",",",""),"　","")),0))</f>
        <v/>
      </c>
      <c r="L116" s="27">
        <f>IF(설정!$D$23="",0,IFERROR(VALUE(SUBSTITUTE(SUBSTITUTE(INDEX(급여대장_원본!$A$1:$AZ$400,(설정!$B$8+110),설정!$D$23)&amp;"",",",""),"　","")),0))</f>
        <v/>
      </c>
      <c r="M116" s="27">
        <f>IF(설정!$D$24="",0,IFERROR(VALUE(SUBSTITUTE(SUBSTITUTE(INDEX(급여대장_원본!$A$1:$AZ$400,(설정!$B$8+110),설정!$D$24)&amp;"",",",""),"　","")),0))</f>
        <v/>
      </c>
      <c r="N116" s="2">
        <f>IF(OR(설정!$C$17="",IFERROR(MATCH(설정!$C$17,INDEX(급여대장_원본!$A$1:$AZ$400,설정!$B$8,0),0),"")=""),"",IFERROR(VALUE(SUBSTITUTE(INDEX(급여대장_원본!$A$1:$AZ$400,(설정!$B$8+110),IFERROR(MATCH(설정!$C$17,INDEX(급여대장_원본!$A$1:$AZ$400,설정!$B$8,0),0),""))&amp;"",",","")),""))</f>
        <v/>
      </c>
      <c r="O116" s="2">
        <f>IF(OR(설정!$C$18="",IFERROR(MATCH(설정!$C$18,INDEX(급여대장_원본!$A$1:$AZ$400,설정!$B$8,0),0),"")=""),"",IFERROR(VALUE(SUBSTITUTE(INDEX(급여대장_원본!$A$1:$AZ$400,(설정!$B$8+110),IFERROR(MATCH(설정!$C$18,INDEX(급여대장_원본!$A$1:$AZ$400,설정!$B$8,0),0),""))&amp;"",",","")),""))</f>
        <v/>
      </c>
      <c r="P116" s="2">
        <f>IF(OR(설정!$C$19="",IFERROR(MATCH(설정!$C$19,INDEX(급여대장_원본!$A$1:$AZ$400,설정!$B$8,0),0),"")=""),"",IFERROR(VALUE(SUBSTITUTE(INDEX(급여대장_원본!$A$1:$AZ$400,(설정!$B$8+110),IFERROR(MATCH(설정!$C$19,INDEX(급여대장_원본!$A$1:$AZ$400,설정!$B$8,0),0),""))&amp;"",",","")),""))</f>
        <v/>
      </c>
      <c r="Q116" s="2">
        <f>IF(OR(설정!$C$20="",IFERROR(MATCH(설정!$C$20,INDEX(급여대장_원본!$A$1:$AZ$400,설정!$B$8,0),0),"")=""),"",IFERROR(VALUE(SUBSTITUTE(INDEX(급여대장_원본!$A$1:$AZ$400,(설정!$B$8+110),IFERROR(MATCH(설정!$C$20,INDEX(급여대장_원본!$A$1:$AZ$400,설정!$B$8,0),0),""))&amp;"",",","")),""))</f>
        <v/>
      </c>
      <c r="R116" s="2">
        <f>IF(OR(설정!$C$21="",IFERROR(MATCH(설정!$C$21,INDEX(급여대장_원본!$A$1:$AZ$400,설정!$B$8,0),0),"")=""),"",IFERROR(VALUE(SUBSTITUTE(INDEX(급여대장_원본!$A$1:$AZ$400,(설정!$B$8+110),IFERROR(MATCH(설정!$C$21,INDEX(급여대장_원본!$A$1:$AZ$400,설정!$B$8,0),0),""))&amp;"",",","")),""))</f>
        <v/>
      </c>
      <c r="S116" s="2">
        <f>IF(OR(설정!$C$22="",IFERROR(MATCH(설정!$C$22,INDEX(급여대장_원본!$A$1:$AZ$400,설정!$B$8,0),0),"")=""),"",IFERROR(VALUE(SUBSTITUTE(INDEX(급여대장_원본!$A$1:$AZ$400,(설정!$B$8+110),IFERROR(MATCH(설정!$C$22,INDEX(급여대장_원본!$A$1:$AZ$400,설정!$B$8,0),0),""))&amp;"",",","")),""))</f>
        <v/>
      </c>
      <c r="T116" s="2">
        <f>IF(OR(설정!$C$23="",IFERROR(MATCH(설정!$C$23,INDEX(급여대장_원본!$A$1:$AZ$400,설정!$B$8,0),0),"")=""),"",IFERROR(VALUE(SUBSTITUTE(INDEX(급여대장_원본!$A$1:$AZ$400,(설정!$B$8+110),IFERROR(MATCH(설정!$C$23,INDEX(급여대장_원본!$A$1:$AZ$400,설정!$B$8,0),0),""))&amp;"",",","")),""))</f>
        <v/>
      </c>
      <c r="U116" s="2">
        <f>IF(OR(설정!$C$24="",IFERROR(MATCH(설정!$C$24,INDEX(급여대장_원본!$A$1:$AZ$400,설정!$B$8,0),0),"")=""),"",IFERROR(VALUE(SUBSTITUTE(INDEX(급여대장_원본!$A$1:$AZ$400,(설정!$B$8+110),IFERROR(MATCH(설정!$C$24,INDEX(급여대장_원본!$A$1:$AZ$400,설정!$B$8,0),0),""))&amp;"",",","")),""))</f>
        <v/>
      </c>
      <c r="V116" s="27">
        <f>SUM(F116:M116)</f>
        <v/>
      </c>
      <c r="W116" s="27">
        <f>IF(설정!$D$26="",0,IFERROR(VALUE(SUBSTITUTE(SUBSTITUTE(INDEX(급여대장_원본!$A$1:$AZ$400,(설정!$B$8+110),설정!$D$26)&amp;"",",",""),"　","")),0))</f>
        <v/>
      </c>
      <c r="X116" s="27">
        <f>IF(설정!$D$27="",0,IFERROR(VALUE(SUBSTITUTE(SUBSTITUTE(INDEX(급여대장_원본!$A$1:$AZ$400,(설정!$B$8+110),설정!$D$27)&amp;"",",",""),"　","")),0))</f>
        <v/>
      </c>
      <c r="Y116" s="27">
        <f>IF(설정!$D$28="",0,IFERROR(VALUE(SUBSTITUTE(SUBSTITUTE(INDEX(급여대장_원본!$A$1:$AZ$400,(설정!$B$8+110),설정!$D$28)&amp;"",",",""),"　","")),0))</f>
        <v/>
      </c>
      <c r="Z116" s="27">
        <f>IF(설정!$D$29="",0,IFERROR(VALUE(SUBSTITUTE(SUBSTITUTE(INDEX(급여대장_원본!$A$1:$AZ$400,(설정!$B$8+110),설정!$D$29)&amp;"",",",""),"　","")),0))</f>
        <v/>
      </c>
      <c r="AA116" s="27">
        <f>IF(설정!$D$30="",0,IFERROR(VALUE(SUBSTITUTE(SUBSTITUTE(INDEX(급여대장_원본!$A$1:$AZ$400,(설정!$B$8+110),설정!$D$30)&amp;"",",",""),"　","")),0))</f>
        <v/>
      </c>
      <c r="AB116" s="27">
        <f>IF(설정!$D$31="",0,IFERROR(VALUE(SUBSTITUTE(SUBSTITUTE(INDEX(급여대장_원본!$A$1:$AZ$400,(설정!$B$8+110),설정!$D$31)&amp;"",",",""),"　","")),0))</f>
        <v/>
      </c>
      <c r="AC116" s="27">
        <f>IF(설정!$D$32="",0,IFERROR(VALUE(SUBSTITUTE(SUBSTITUTE(INDEX(급여대장_원본!$A$1:$AZ$400,(설정!$B$8+110),설정!$D$32)&amp;"",",",""),"　","")),0))</f>
        <v/>
      </c>
      <c r="AD116" s="27">
        <f>IF(설정!$D$33="",0,IFERROR(VALUE(SUBSTITUTE(SUBSTITUTE(INDEX(급여대장_원본!$A$1:$AZ$400,(설정!$B$8+110),설정!$D$33)&amp;"",",",""),"　","")),0))</f>
        <v/>
      </c>
      <c r="AE116" s="27">
        <f>SUM(W116:AD116)</f>
        <v/>
      </c>
      <c r="AF116" s="27">
        <f>V116-AE116</f>
        <v/>
      </c>
      <c r="AG116" s="27">
        <f>IF(설정!$D$35="","",IF(설정!$D$35="",0,IFERROR(VALUE(SUBSTITUTE(SUBSTITUTE(INDEX(급여대장_원본!$A$1:$AZ$400,(설정!$B$8+110),설정!$D$35)&amp;"",",",""),"　","")),0)))</f>
        <v/>
      </c>
      <c r="AH116" s="27">
        <f>IF(설정!$D$36="","",IF(설정!$D$36="",0,IFERROR(VALUE(SUBSTITUTE(SUBSTITUTE(INDEX(급여대장_원본!$A$1:$AZ$400,(설정!$B$8+110),설정!$D$36)&amp;"",",",""),"　","")),0)))</f>
        <v/>
      </c>
      <c r="AI116" s="27">
        <f>IF(설정!$D$37="","",IF(설정!$D$37="",0,IFERROR(VALUE(SUBSTITUTE(SUBSTITUTE(INDEX(급여대장_원본!$A$1:$AZ$400,(설정!$B$8+110),설정!$D$37)&amp;"",",",""),"　","")),0)))</f>
        <v/>
      </c>
      <c r="AJ116" s="2">
        <f>IFERROR(INDEX($D$7:$D$306,MATCH(110,$B$7:$B$306,0)),"")</f>
        <v/>
      </c>
    </row>
    <row r="117">
      <c r="A117" s="2">
        <f>IF(AND(D117&lt;&gt;"",D117&lt;&gt;"합계",D117&lt;&gt;"총계",D117&lt;&gt;"소계",D117&lt;&gt;"계"),1,0)</f>
        <v/>
      </c>
      <c r="B117" s="2">
        <f>IF(A117=1,SUM($A$7:A117),"")</f>
        <v/>
      </c>
      <c r="C117" s="2">
        <f>IF(설정!$D$13="","",TRIM(SUBSTITUTE(INDEX(급여대장_원본!$A$1:$AZ$400,(설정!$B$8+111),설정!$D$13)&amp;"","　"," ")))</f>
        <v/>
      </c>
      <c r="D117" s="2">
        <f>IF(설정!$D$14="","",TRIM(SUBSTITUTE(INDEX(급여대장_원본!$A$1:$AZ$400,(설정!$B$8+111),설정!$D$14)&amp;"","　"," ")))</f>
        <v/>
      </c>
      <c r="E117" s="2">
        <f>IF(설정!$D$15="","",TRIM(SUBSTITUTE(INDEX(급여대장_원본!$A$1:$AZ$400,(설정!$B$8+111),설정!$D$15)&amp;"","　"," ")))</f>
        <v/>
      </c>
      <c r="F117" s="27">
        <f>IF(설정!$D$17="",0,IFERROR(VALUE(SUBSTITUTE(SUBSTITUTE(INDEX(급여대장_원본!$A$1:$AZ$400,(설정!$B$8+111),설정!$D$17)&amp;"",",",""),"　","")),0))</f>
        <v/>
      </c>
      <c r="G117" s="27">
        <f>IF(설정!$D$18="",0,IFERROR(VALUE(SUBSTITUTE(SUBSTITUTE(INDEX(급여대장_원본!$A$1:$AZ$400,(설정!$B$8+111),설정!$D$18)&amp;"",",",""),"　","")),0))</f>
        <v/>
      </c>
      <c r="H117" s="27">
        <f>IF(설정!$D$19="",0,IFERROR(VALUE(SUBSTITUTE(SUBSTITUTE(INDEX(급여대장_원본!$A$1:$AZ$400,(설정!$B$8+111),설정!$D$19)&amp;"",",",""),"　","")),0))</f>
        <v/>
      </c>
      <c r="I117" s="27">
        <f>IF(설정!$D$20="",0,IFERROR(VALUE(SUBSTITUTE(SUBSTITUTE(INDEX(급여대장_원본!$A$1:$AZ$400,(설정!$B$8+111),설정!$D$20)&amp;"",",",""),"　","")),0))</f>
        <v/>
      </c>
      <c r="J117" s="27">
        <f>IF(설정!$D$21="",0,IFERROR(VALUE(SUBSTITUTE(SUBSTITUTE(INDEX(급여대장_원본!$A$1:$AZ$400,(설정!$B$8+111),설정!$D$21)&amp;"",",",""),"　","")),0))</f>
        <v/>
      </c>
      <c r="K117" s="27">
        <f>IF(설정!$D$22="",0,IFERROR(VALUE(SUBSTITUTE(SUBSTITUTE(INDEX(급여대장_원본!$A$1:$AZ$400,(설정!$B$8+111),설정!$D$22)&amp;"",",",""),"　","")),0))</f>
        <v/>
      </c>
      <c r="L117" s="27">
        <f>IF(설정!$D$23="",0,IFERROR(VALUE(SUBSTITUTE(SUBSTITUTE(INDEX(급여대장_원본!$A$1:$AZ$400,(설정!$B$8+111),설정!$D$23)&amp;"",",",""),"　","")),0))</f>
        <v/>
      </c>
      <c r="M117" s="27">
        <f>IF(설정!$D$24="",0,IFERROR(VALUE(SUBSTITUTE(SUBSTITUTE(INDEX(급여대장_원본!$A$1:$AZ$400,(설정!$B$8+111),설정!$D$24)&amp;"",",",""),"　","")),0))</f>
        <v/>
      </c>
      <c r="N117" s="2">
        <f>IF(OR(설정!$C$17="",IFERROR(MATCH(설정!$C$17,INDEX(급여대장_원본!$A$1:$AZ$400,설정!$B$8,0),0),"")=""),"",IFERROR(VALUE(SUBSTITUTE(INDEX(급여대장_원본!$A$1:$AZ$400,(설정!$B$8+111),IFERROR(MATCH(설정!$C$17,INDEX(급여대장_원본!$A$1:$AZ$400,설정!$B$8,0),0),""))&amp;"",",","")),""))</f>
        <v/>
      </c>
      <c r="O117" s="2">
        <f>IF(OR(설정!$C$18="",IFERROR(MATCH(설정!$C$18,INDEX(급여대장_원본!$A$1:$AZ$400,설정!$B$8,0),0),"")=""),"",IFERROR(VALUE(SUBSTITUTE(INDEX(급여대장_원본!$A$1:$AZ$400,(설정!$B$8+111),IFERROR(MATCH(설정!$C$18,INDEX(급여대장_원본!$A$1:$AZ$400,설정!$B$8,0),0),""))&amp;"",",","")),""))</f>
        <v/>
      </c>
      <c r="P117" s="2">
        <f>IF(OR(설정!$C$19="",IFERROR(MATCH(설정!$C$19,INDEX(급여대장_원본!$A$1:$AZ$400,설정!$B$8,0),0),"")=""),"",IFERROR(VALUE(SUBSTITUTE(INDEX(급여대장_원본!$A$1:$AZ$400,(설정!$B$8+111),IFERROR(MATCH(설정!$C$19,INDEX(급여대장_원본!$A$1:$AZ$400,설정!$B$8,0),0),""))&amp;"",",","")),""))</f>
        <v/>
      </c>
      <c r="Q117" s="2">
        <f>IF(OR(설정!$C$20="",IFERROR(MATCH(설정!$C$20,INDEX(급여대장_원본!$A$1:$AZ$400,설정!$B$8,0),0),"")=""),"",IFERROR(VALUE(SUBSTITUTE(INDEX(급여대장_원본!$A$1:$AZ$400,(설정!$B$8+111),IFERROR(MATCH(설정!$C$20,INDEX(급여대장_원본!$A$1:$AZ$400,설정!$B$8,0),0),""))&amp;"",",","")),""))</f>
        <v/>
      </c>
      <c r="R117" s="2">
        <f>IF(OR(설정!$C$21="",IFERROR(MATCH(설정!$C$21,INDEX(급여대장_원본!$A$1:$AZ$400,설정!$B$8,0),0),"")=""),"",IFERROR(VALUE(SUBSTITUTE(INDEX(급여대장_원본!$A$1:$AZ$400,(설정!$B$8+111),IFERROR(MATCH(설정!$C$21,INDEX(급여대장_원본!$A$1:$AZ$400,설정!$B$8,0),0),""))&amp;"",",","")),""))</f>
        <v/>
      </c>
      <c r="S117" s="2">
        <f>IF(OR(설정!$C$22="",IFERROR(MATCH(설정!$C$22,INDEX(급여대장_원본!$A$1:$AZ$400,설정!$B$8,0),0),"")=""),"",IFERROR(VALUE(SUBSTITUTE(INDEX(급여대장_원본!$A$1:$AZ$400,(설정!$B$8+111),IFERROR(MATCH(설정!$C$22,INDEX(급여대장_원본!$A$1:$AZ$400,설정!$B$8,0),0),""))&amp;"",",","")),""))</f>
        <v/>
      </c>
      <c r="T117" s="2">
        <f>IF(OR(설정!$C$23="",IFERROR(MATCH(설정!$C$23,INDEX(급여대장_원본!$A$1:$AZ$400,설정!$B$8,0),0),"")=""),"",IFERROR(VALUE(SUBSTITUTE(INDEX(급여대장_원본!$A$1:$AZ$400,(설정!$B$8+111),IFERROR(MATCH(설정!$C$23,INDEX(급여대장_원본!$A$1:$AZ$400,설정!$B$8,0),0),""))&amp;"",",","")),""))</f>
        <v/>
      </c>
      <c r="U117" s="2">
        <f>IF(OR(설정!$C$24="",IFERROR(MATCH(설정!$C$24,INDEX(급여대장_원본!$A$1:$AZ$400,설정!$B$8,0),0),"")=""),"",IFERROR(VALUE(SUBSTITUTE(INDEX(급여대장_원본!$A$1:$AZ$400,(설정!$B$8+111),IFERROR(MATCH(설정!$C$24,INDEX(급여대장_원본!$A$1:$AZ$400,설정!$B$8,0),0),""))&amp;"",",","")),""))</f>
        <v/>
      </c>
      <c r="V117" s="27">
        <f>SUM(F117:M117)</f>
        <v/>
      </c>
      <c r="W117" s="27">
        <f>IF(설정!$D$26="",0,IFERROR(VALUE(SUBSTITUTE(SUBSTITUTE(INDEX(급여대장_원본!$A$1:$AZ$400,(설정!$B$8+111),설정!$D$26)&amp;"",",",""),"　","")),0))</f>
        <v/>
      </c>
      <c r="X117" s="27">
        <f>IF(설정!$D$27="",0,IFERROR(VALUE(SUBSTITUTE(SUBSTITUTE(INDEX(급여대장_원본!$A$1:$AZ$400,(설정!$B$8+111),설정!$D$27)&amp;"",",",""),"　","")),0))</f>
        <v/>
      </c>
      <c r="Y117" s="27">
        <f>IF(설정!$D$28="",0,IFERROR(VALUE(SUBSTITUTE(SUBSTITUTE(INDEX(급여대장_원본!$A$1:$AZ$400,(설정!$B$8+111),설정!$D$28)&amp;"",",",""),"　","")),0))</f>
        <v/>
      </c>
      <c r="Z117" s="27">
        <f>IF(설정!$D$29="",0,IFERROR(VALUE(SUBSTITUTE(SUBSTITUTE(INDEX(급여대장_원본!$A$1:$AZ$400,(설정!$B$8+111),설정!$D$29)&amp;"",",",""),"　","")),0))</f>
        <v/>
      </c>
      <c r="AA117" s="27">
        <f>IF(설정!$D$30="",0,IFERROR(VALUE(SUBSTITUTE(SUBSTITUTE(INDEX(급여대장_원본!$A$1:$AZ$400,(설정!$B$8+111),설정!$D$30)&amp;"",",",""),"　","")),0))</f>
        <v/>
      </c>
      <c r="AB117" s="27">
        <f>IF(설정!$D$31="",0,IFERROR(VALUE(SUBSTITUTE(SUBSTITUTE(INDEX(급여대장_원본!$A$1:$AZ$400,(설정!$B$8+111),설정!$D$31)&amp;"",",",""),"　","")),0))</f>
        <v/>
      </c>
      <c r="AC117" s="27">
        <f>IF(설정!$D$32="",0,IFERROR(VALUE(SUBSTITUTE(SUBSTITUTE(INDEX(급여대장_원본!$A$1:$AZ$400,(설정!$B$8+111),설정!$D$32)&amp;"",",",""),"　","")),0))</f>
        <v/>
      </c>
      <c r="AD117" s="27">
        <f>IF(설정!$D$33="",0,IFERROR(VALUE(SUBSTITUTE(SUBSTITUTE(INDEX(급여대장_원본!$A$1:$AZ$400,(설정!$B$8+111),설정!$D$33)&amp;"",",",""),"　","")),0))</f>
        <v/>
      </c>
      <c r="AE117" s="27">
        <f>SUM(W117:AD117)</f>
        <v/>
      </c>
      <c r="AF117" s="27">
        <f>V117-AE117</f>
        <v/>
      </c>
      <c r="AG117" s="27">
        <f>IF(설정!$D$35="","",IF(설정!$D$35="",0,IFERROR(VALUE(SUBSTITUTE(SUBSTITUTE(INDEX(급여대장_원본!$A$1:$AZ$400,(설정!$B$8+111),설정!$D$35)&amp;"",",",""),"　","")),0)))</f>
        <v/>
      </c>
      <c r="AH117" s="27">
        <f>IF(설정!$D$36="","",IF(설정!$D$36="",0,IFERROR(VALUE(SUBSTITUTE(SUBSTITUTE(INDEX(급여대장_원본!$A$1:$AZ$400,(설정!$B$8+111),설정!$D$36)&amp;"",",",""),"　","")),0)))</f>
        <v/>
      </c>
      <c r="AI117" s="27">
        <f>IF(설정!$D$37="","",IF(설정!$D$37="",0,IFERROR(VALUE(SUBSTITUTE(SUBSTITUTE(INDEX(급여대장_원본!$A$1:$AZ$400,(설정!$B$8+111),설정!$D$37)&amp;"",",",""),"　","")),0)))</f>
        <v/>
      </c>
      <c r="AJ117" s="2">
        <f>IFERROR(INDEX($D$7:$D$306,MATCH(111,$B$7:$B$306,0)),"")</f>
        <v/>
      </c>
    </row>
    <row r="118">
      <c r="A118" s="2">
        <f>IF(AND(D118&lt;&gt;"",D118&lt;&gt;"합계",D118&lt;&gt;"총계",D118&lt;&gt;"소계",D118&lt;&gt;"계"),1,0)</f>
        <v/>
      </c>
      <c r="B118" s="2">
        <f>IF(A118=1,SUM($A$7:A118),"")</f>
        <v/>
      </c>
      <c r="C118" s="2">
        <f>IF(설정!$D$13="","",TRIM(SUBSTITUTE(INDEX(급여대장_원본!$A$1:$AZ$400,(설정!$B$8+112),설정!$D$13)&amp;"","　"," ")))</f>
        <v/>
      </c>
      <c r="D118" s="2">
        <f>IF(설정!$D$14="","",TRIM(SUBSTITUTE(INDEX(급여대장_원본!$A$1:$AZ$400,(설정!$B$8+112),설정!$D$14)&amp;"","　"," ")))</f>
        <v/>
      </c>
      <c r="E118" s="2">
        <f>IF(설정!$D$15="","",TRIM(SUBSTITUTE(INDEX(급여대장_원본!$A$1:$AZ$400,(설정!$B$8+112),설정!$D$15)&amp;"","　"," ")))</f>
        <v/>
      </c>
      <c r="F118" s="27">
        <f>IF(설정!$D$17="",0,IFERROR(VALUE(SUBSTITUTE(SUBSTITUTE(INDEX(급여대장_원본!$A$1:$AZ$400,(설정!$B$8+112),설정!$D$17)&amp;"",",",""),"　","")),0))</f>
        <v/>
      </c>
      <c r="G118" s="27">
        <f>IF(설정!$D$18="",0,IFERROR(VALUE(SUBSTITUTE(SUBSTITUTE(INDEX(급여대장_원본!$A$1:$AZ$400,(설정!$B$8+112),설정!$D$18)&amp;"",",",""),"　","")),0))</f>
        <v/>
      </c>
      <c r="H118" s="27">
        <f>IF(설정!$D$19="",0,IFERROR(VALUE(SUBSTITUTE(SUBSTITUTE(INDEX(급여대장_원본!$A$1:$AZ$400,(설정!$B$8+112),설정!$D$19)&amp;"",",",""),"　","")),0))</f>
        <v/>
      </c>
      <c r="I118" s="27">
        <f>IF(설정!$D$20="",0,IFERROR(VALUE(SUBSTITUTE(SUBSTITUTE(INDEX(급여대장_원본!$A$1:$AZ$400,(설정!$B$8+112),설정!$D$20)&amp;"",",",""),"　","")),0))</f>
        <v/>
      </c>
      <c r="J118" s="27">
        <f>IF(설정!$D$21="",0,IFERROR(VALUE(SUBSTITUTE(SUBSTITUTE(INDEX(급여대장_원본!$A$1:$AZ$400,(설정!$B$8+112),설정!$D$21)&amp;"",",",""),"　","")),0))</f>
        <v/>
      </c>
      <c r="K118" s="27">
        <f>IF(설정!$D$22="",0,IFERROR(VALUE(SUBSTITUTE(SUBSTITUTE(INDEX(급여대장_원본!$A$1:$AZ$400,(설정!$B$8+112),설정!$D$22)&amp;"",",",""),"　","")),0))</f>
        <v/>
      </c>
      <c r="L118" s="27">
        <f>IF(설정!$D$23="",0,IFERROR(VALUE(SUBSTITUTE(SUBSTITUTE(INDEX(급여대장_원본!$A$1:$AZ$400,(설정!$B$8+112),설정!$D$23)&amp;"",",",""),"　","")),0))</f>
        <v/>
      </c>
      <c r="M118" s="27">
        <f>IF(설정!$D$24="",0,IFERROR(VALUE(SUBSTITUTE(SUBSTITUTE(INDEX(급여대장_원본!$A$1:$AZ$400,(설정!$B$8+112),설정!$D$24)&amp;"",",",""),"　","")),0))</f>
        <v/>
      </c>
      <c r="N118" s="2">
        <f>IF(OR(설정!$C$17="",IFERROR(MATCH(설정!$C$17,INDEX(급여대장_원본!$A$1:$AZ$400,설정!$B$8,0),0),"")=""),"",IFERROR(VALUE(SUBSTITUTE(INDEX(급여대장_원본!$A$1:$AZ$400,(설정!$B$8+112),IFERROR(MATCH(설정!$C$17,INDEX(급여대장_원본!$A$1:$AZ$400,설정!$B$8,0),0),""))&amp;"",",","")),""))</f>
        <v/>
      </c>
      <c r="O118" s="2">
        <f>IF(OR(설정!$C$18="",IFERROR(MATCH(설정!$C$18,INDEX(급여대장_원본!$A$1:$AZ$400,설정!$B$8,0),0),"")=""),"",IFERROR(VALUE(SUBSTITUTE(INDEX(급여대장_원본!$A$1:$AZ$400,(설정!$B$8+112),IFERROR(MATCH(설정!$C$18,INDEX(급여대장_원본!$A$1:$AZ$400,설정!$B$8,0),0),""))&amp;"",",","")),""))</f>
        <v/>
      </c>
      <c r="P118" s="2">
        <f>IF(OR(설정!$C$19="",IFERROR(MATCH(설정!$C$19,INDEX(급여대장_원본!$A$1:$AZ$400,설정!$B$8,0),0),"")=""),"",IFERROR(VALUE(SUBSTITUTE(INDEX(급여대장_원본!$A$1:$AZ$400,(설정!$B$8+112),IFERROR(MATCH(설정!$C$19,INDEX(급여대장_원본!$A$1:$AZ$400,설정!$B$8,0),0),""))&amp;"",",","")),""))</f>
        <v/>
      </c>
      <c r="Q118" s="2">
        <f>IF(OR(설정!$C$20="",IFERROR(MATCH(설정!$C$20,INDEX(급여대장_원본!$A$1:$AZ$400,설정!$B$8,0),0),"")=""),"",IFERROR(VALUE(SUBSTITUTE(INDEX(급여대장_원본!$A$1:$AZ$400,(설정!$B$8+112),IFERROR(MATCH(설정!$C$20,INDEX(급여대장_원본!$A$1:$AZ$400,설정!$B$8,0),0),""))&amp;"",",","")),""))</f>
        <v/>
      </c>
      <c r="R118" s="2">
        <f>IF(OR(설정!$C$21="",IFERROR(MATCH(설정!$C$21,INDEX(급여대장_원본!$A$1:$AZ$400,설정!$B$8,0),0),"")=""),"",IFERROR(VALUE(SUBSTITUTE(INDEX(급여대장_원본!$A$1:$AZ$400,(설정!$B$8+112),IFERROR(MATCH(설정!$C$21,INDEX(급여대장_원본!$A$1:$AZ$400,설정!$B$8,0),0),""))&amp;"",",","")),""))</f>
        <v/>
      </c>
      <c r="S118" s="2">
        <f>IF(OR(설정!$C$22="",IFERROR(MATCH(설정!$C$22,INDEX(급여대장_원본!$A$1:$AZ$400,설정!$B$8,0),0),"")=""),"",IFERROR(VALUE(SUBSTITUTE(INDEX(급여대장_원본!$A$1:$AZ$400,(설정!$B$8+112),IFERROR(MATCH(설정!$C$22,INDEX(급여대장_원본!$A$1:$AZ$400,설정!$B$8,0),0),""))&amp;"",",","")),""))</f>
        <v/>
      </c>
      <c r="T118" s="2">
        <f>IF(OR(설정!$C$23="",IFERROR(MATCH(설정!$C$23,INDEX(급여대장_원본!$A$1:$AZ$400,설정!$B$8,0),0),"")=""),"",IFERROR(VALUE(SUBSTITUTE(INDEX(급여대장_원본!$A$1:$AZ$400,(설정!$B$8+112),IFERROR(MATCH(설정!$C$23,INDEX(급여대장_원본!$A$1:$AZ$400,설정!$B$8,0),0),""))&amp;"",",","")),""))</f>
        <v/>
      </c>
      <c r="U118" s="2">
        <f>IF(OR(설정!$C$24="",IFERROR(MATCH(설정!$C$24,INDEX(급여대장_원본!$A$1:$AZ$400,설정!$B$8,0),0),"")=""),"",IFERROR(VALUE(SUBSTITUTE(INDEX(급여대장_원본!$A$1:$AZ$400,(설정!$B$8+112),IFERROR(MATCH(설정!$C$24,INDEX(급여대장_원본!$A$1:$AZ$400,설정!$B$8,0),0),""))&amp;"",",","")),""))</f>
        <v/>
      </c>
      <c r="V118" s="27">
        <f>SUM(F118:M118)</f>
        <v/>
      </c>
      <c r="W118" s="27">
        <f>IF(설정!$D$26="",0,IFERROR(VALUE(SUBSTITUTE(SUBSTITUTE(INDEX(급여대장_원본!$A$1:$AZ$400,(설정!$B$8+112),설정!$D$26)&amp;"",",",""),"　","")),0))</f>
        <v/>
      </c>
      <c r="X118" s="27">
        <f>IF(설정!$D$27="",0,IFERROR(VALUE(SUBSTITUTE(SUBSTITUTE(INDEX(급여대장_원본!$A$1:$AZ$400,(설정!$B$8+112),설정!$D$27)&amp;"",",",""),"　","")),0))</f>
        <v/>
      </c>
      <c r="Y118" s="27">
        <f>IF(설정!$D$28="",0,IFERROR(VALUE(SUBSTITUTE(SUBSTITUTE(INDEX(급여대장_원본!$A$1:$AZ$400,(설정!$B$8+112),설정!$D$28)&amp;"",",",""),"　","")),0))</f>
        <v/>
      </c>
      <c r="Z118" s="27">
        <f>IF(설정!$D$29="",0,IFERROR(VALUE(SUBSTITUTE(SUBSTITUTE(INDEX(급여대장_원본!$A$1:$AZ$400,(설정!$B$8+112),설정!$D$29)&amp;"",",",""),"　","")),0))</f>
        <v/>
      </c>
      <c r="AA118" s="27">
        <f>IF(설정!$D$30="",0,IFERROR(VALUE(SUBSTITUTE(SUBSTITUTE(INDEX(급여대장_원본!$A$1:$AZ$400,(설정!$B$8+112),설정!$D$30)&amp;"",",",""),"　","")),0))</f>
        <v/>
      </c>
      <c r="AB118" s="27">
        <f>IF(설정!$D$31="",0,IFERROR(VALUE(SUBSTITUTE(SUBSTITUTE(INDEX(급여대장_원본!$A$1:$AZ$400,(설정!$B$8+112),설정!$D$31)&amp;"",",",""),"　","")),0))</f>
        <v/>
      </c>
      <c r="AC118" s="27">
        <f>IF(설정!$D$32="",0,IFERROR(VALUE(SUBSTITUTE(SUBSTITUTE(INDEX(급여대장_원본!$A$1:$AZ$400,(설정!$B$8+112),설정!$D$32)&amp;"",",",""),"　","")),0))</f>
        <v/>
      </c>
      <c r="AD118" s="27">
        <f>IF(설정!$D$33="",0,IFERROR(VALUE(SUBSTITUTE(SUBSTITUTE(INDEX(급여대장_원본!$A$1:$AZ$400,(설정!$B$8+112),설정!$D$33)&amp;"",",",""),"　","")),0))</f>
        <v/>
      </c>
      <c r="AE118" s="27">
        <f>SUM(W118:AD118)</f>
        <v/>
      </c>
      <c r="AF118" s="27">
        <f>V118-AE118</f>
        <v/>
      </c>
      <c r="AG118" s="27">
        <f>IF(설정!$D$35="","",IF(설정!$D$35="",0,IFERROR(VALUE(SUBSTITUTE(SUBSTITUTE(INDEX(급여대장_원본!$A$1:$AZ$400,(설정!$B$8+112),설정!$D$35)&amp;"",",",""),"　","")),0)))</f>
        <v/>
      </c>
      <c r="AH118" s="27">
        <f>IF(설정!$D$36="","",IF(설정!$D$36="",0,IFERROR(VALUE(SUBSTITUTE(SUBSTITUTE(INDEX(급여대장_원본!$A$1:$AZ$400,(설정!$B$8+112),설정!$D$36)&amp;"",",",""),"　","")),0)))</f>
        <v/>
      </c>
      <c r="AI118" s="27">
        <f>IF(설정!$D$37="","",IF(설정!$D$37="",0,IFERROR(VALUE(SUBSTITUTE(SUBSTITUTE(INDEX(급여대장_원본!$A$1:$AZ$400,(설정!$B$8+112),설정!$D$37)&amp;"",",",""),"　","")),0)))</f>
        <v/>
      </c>
      <c r="AJ118" s="2">
        <f>IFERROR(INDEX($D$7:$D$306,MATCH(112,$B$7:$B$306,0)),"")</f>
        <v/>
      </c>
    </row>
    <row r="119">
      <c r="A119" s="2">
        <f>IF(AND(D119&lt;&gt;"",D119&lt;&gt;"합계",D119&lt;&gt;"총계",D119&lt;&gt;"소계",D119&lt;&gt;"계"),1,0)</f>
        <v/>
      </c>
      <c r="B119" s="2">
        <f>IF(A119=1,SUM($A$7:A119),"")</f>
        <v/>
      </c>
      <c r="C119" s="2">
        <f>IF(설정!$D$13="","",TRIM(SUBSTITUTE(INDEX(급여대장_원본!$A$1:$AZ$400,(설정!$B$8+113),설정!$D$13)&amp;"","　"," ")))</f>
        <v/>
      </c>
      <c r="D119" s="2">
        <f>IF(설정!$D$14="","",TRIM(SUBSTITUTE(INDEX(급여대장_원본!$A$1:$AZ$400,(설정!$B$8+113),설정!$D$14)&amp;"","　"," ")))</f>
        <v/>
      </c>
      <c r="E119" s="2">
        <f>IF(설정!$D$15="","",TRIM(SUBSTITUTE(INDEX(급여대장_원본!$A$1:$AZ$400,(설정!$B$8+113),설정!$D$15)&amp;"","　"," ")))</f>
        <v/>
      </c>
      <c r="F119" s="27">
        <f>IF(설정!$D$17="",0,IFERROR(VALUE(SUBSTITUTE(SUBSTITUTE(INDEX(급여대장_원본!$A$1:$AZ$400,(설정!$B$8+113),설정!$D$17)&amp;"",",",""),"　","")),0))</f>
        <v/>
      </c>
      <c r="G119" s="27">
        <f>IF(설정!$D$18="",0,IFERROR(VALUE(SUBSTITUTE(SUBSTITUTE(INDEX(급여대장_원본!$A$1:$AZ$400,(설정!$B$8+113),설정!$D$18)&amp;"",",",""),"　","")),0))</f>
        <v/>
      </c>
      <c r="H119" s="27">
        <f>IF(설정!$D$19="",0,IFERROR(VALUE(SUBSTITUTE(SUBSTITUTE(INDEX(급여대장_원본!$A$1:$AZ$400,(설정!$B$8+113),설정!$D$19)&amp;"",",",""),"　","")),0))</f>
        <v/>
      </c>
      <c r="I119" s="27">
        <f>IF(설정!$D$20="",0,IFERROR(VALUE(SUBSTITUTE(SUBSTITUTE(INDEX(급여대장_원본!$A$1:$AZ$400,(설정!$B$8+113),설정!$D$20)&amp;"",",",""),"　","")),0))</f>
        <v/>
      </c>
      <c r="J119" s="27">
        <f>IF(설정!$D$21="",0,IFERROR(VALUE(SUBSTITUTE(SUBSTITUTE(INDEX(급여대장_원본!$A$1:$AZ$400,(설정!$B$8+113),설정!$D$21)&amp;"",",",""),"　","")),0))</f>
        <v/>
      </c>
      <c r="K119" s="27">
        <f>IF(설정!$D$22="",0,IFERROR(VALUE(SUBSTITUTE(SUBSTITUTE(INDEX(급여대장_원본!$A$1:$AZ$400,(설정!$B$8+113),설정!$D$22)&amp;"",",",""),"　","")),0))</f>
        <v/>
      </c>
      <c r="L119" s="27">
        <f>IF(설정!$D$23="",0,IFERROR(VALUE(SUBSTITUTE(SUBSTITUTE(INDEX(급여대장_원본!$A$1:$AZ$400,(설정!$B$8+113),설정!$D$23)&amp;"",",",""),"　","")),0))</f>
        <v/>
      </c>
      <c r="M119" s="27">
        <f>IF(설정!$D$24="",0,IFERROR(VALUE(SUBSTITUTE(SUBSTITUTE(INDEX(급여대장_원본!$A$1:$AZ$400,(설정!$B$8+113),설정!$D$24)&amp;"",",",""),"　","")),0))</f>
        <v/>
      </c>
      <c r="N119" s="2">
        <f>IF(OR(설정!$C$17="",IFERROR(MATCH(설정!$C$17,INDEX(급여대장_원본!$A$1:$AZ$400,설정!$B$8,0),0),"")=""),"",IFERROR(VALUE(SUBSTITUTE(INDEX(급여대장_원본!$A$1:$AZ$400,(설정!$B$8+113),IFERROR(MATCH(설정!$C$17,INDEX(급여대장_원본!$A$1:$AZ$400,설정!$B$8,0),0),""))&amp;"",",","")),""))</f>
        <v/>
      </c>
      <c r="O119" s="2">
        <f>IF(OR(설정!$C$18="",IFERROR(MATCH(설정!$C$18,INDEX(급여대장_원본!$A$1:$AZ$400,설정!$B$8,0),0),"")=""),"",IFERROR(VALUE(SUBSTITUTE(INDEX(급여대장_원본!$A$1:$AZ$400,(설정!$B$8+113),IFERROR(MATCH(설정!$C$18,INDEX(급여대장_원본!$A$1:$AZ$400,설정!$B$8,0),0),""))&amp;"",",","")),""))</f>
        <v/>
      </c>
      <c r="P119" s="2">
        <f>IF(OR(설정!$C$19="",IFERROR(MATCH(설정!$C$19,INDEX(급여대장_원본!$A$1:$AZ$400,설정!$B$8,0),0),"")=""),"",IFERROR(VALUE(SUBSTITUTE(INDEX(급여대장_원본!$A$1:$AZ$400,(설정!$B$8+113),IFERROR(MATCH(설정!$C$19,INDEX(급여대장_원본!$A$1:$AZ$400,설정!$B$8,0),0),""))&amp;"",",","")),""))</f>
        <v/>
      </c>
      <c r="Q119" s="2">
        <f>IF(OR(설정!$C$20="",IFERROR(MATCH(설정!$C$20,INDEX(급여대장_원본!$A$1:$AZ$400,설정!$B$8,0),0),"")=""),"",IFERROR(VALUE(SUBSTITUTE(INDEX(급여대장_원본!$A$1:$AZ$400,(설정!$B$8+113),IFERROR(MATCH(설정!$C$20,INDEX(급여대장_원본!$A$1:$AZ$400,설정!$B$8,0),0),""))&amp;"",",","")),""))</f>
        <v/>
      </c>
      <c r="R119" s="2">
        <f>IF(OR(설정!$C$21="",IFERROR(MATCH(설정!$C$21,INDEX(급여대장_원본!$A$1:$AZ$400,설정!$B$8,0),0),"")=""),"",IFERROR(VALUE(SUBSTITUTE(INDEX(급여대장_원본!$A$1:$AZ$400,(설정!$B$8+113),IFERROR(MATCH(설정!$C$21,INDEX(급여대장_원본!$A$1:$AZ$400,설정!$B$8,0),0),""))&amp;"",",","")),""))</f>
        <v/>
      </c>
      <c r="S119" s="2">
        <f>IF(OR(설정!$C$22="",IFERROR(MATCH(설정!$C$22,INDEX(급여대장_원본!$A$1:$AZ$400,설정!$B$8,0),0),"")=""),"",IFERROR(VALUE(SUBSTITUTE(INDEX(급여대장_원본!$A$1:$AZ$400,(설정!$B$8+113),IFERROR(MATCH(설정!$C$22,INDEX(급여대장_원본!$A$1:$AZ$400,설정!$B$8,0),0),""))&amp;"",",","")),""))</f>
        <v/>
      </c>
      <c r="T119" s="2">
        <f>IF(OR(설정!$C$23="",IFERROR(MATCH(설정!$C$23,INDEX(급여대장_원본!$A$1:$AZ$400,설정!$B$8,0),0),"")=""),"",IFERROR(VALUE(SUBSTITUTE(INDEX(급여대장_원본!$A$1:$AZ$400,(설정!$B$8+113),IFERROR(MATCH(설정!$C$23,INDEX(급여대장_원본!$A$1:$AZ$400,설정!$B$8,0),0),""))&amp;"",",","")),""))</f>
        <v/>
      </c>
      <c r="U119" s="2">
        <f>IF(OR(설정!$C$24="",IFERROR(MATCH(설정!$C$24,INDEX(급여대장_원본!$A$1:$AZ$400,설정!$B$8,0),0),"")=""),"",IFERROR(VALUE(SUBSTITUTE(INDEX(급여대장_원본!$A$1:$AZ$400,(설정!$B$8+113),IFERROR(MATCH(설정!$C$24,INDEX(급여대장_원본!$A$1:$AZ$400,설정!$B$8,0),0),""))&amp;"",",","")),""))</f>
        <v/>
      </c>
      <c r="V119" s="27">
        <f>SUM(F119:M119)</f>
        <v/>
      </c>
      <c r="W119" s="27">
        <f>IF(설정!$D$26="",0,IFERROR(VALUE(SUBSTITUTE(SUBSTITUTE(INDEX(급여대장_원본!$A$1:$AZ$400,(설정!$B$8+113),설정!$D$26)&amp;"",",",""),"　","")),0))</f>
        <v/>
      </c>
      <c r="X119" s="27">
        <f>IF(설정!$D$27="",0,IFERROR(VALUE(SUBSTITUTE(SUBSTITUTE(INDEX(급여대장_원본!$A$1:$AZ$400,(설정!$B$8+113),설정!$D$27)&amp;"",",",""),"　","")),0))</f>
        <v/>
      </c>
      <c r="Y119" s="27">
        <f>IF(설정!$D$28="",0,IFERROR(VALUE(SUBSTITUTE(SUBSTITUTE(INDEX(급여대장_원본!$A$1:$AZ$400,(설정!$B$8+113),설정!$D$28)&amp;"",",",""),"　","")),0))</f>
        <v/>
      </c>
      <c r="Z119" s="27">
        <f>IF(설정!$D$29="",0,IFERROR(VALUE(SUBSTITUTE(SUBSTITUTE(INDEX(급여대장_원본!$A$1:$AZ$400,(설정!$B$8+113),설정!$D$29)&amp;"",",",""),"　","")),0))</f>
        <v/>
      </c>
      <c r="AA119" s="27">
        <f>IF(설정!$D$30="",0,IFERROR(VALUE(SUBSTITUTE(SUBSTITUTE(INDEX(급여대장_원본!$A$1:$AZ$400,(설정!$B$8+113),설정!$D$30)&amp;"",",",""),"　","")),0))</f>
        <v/>
      </c>
      <c r="AB119" s="27">
        <f>IF(설정!$D$31="",0,IFERROR(VALUE(SUBSTITUTE(SUBSTITUTE(INDEX(급여대장_원본!$A$1:$AZ$400,(설정!$B$8+113),설정!$D$31)&amp;"",",",""),"　","")),0))</f>
        <v/>
      </c>
      <c r="AC119" s="27">
        <f>IF(설정!$D$32="",0,IFERROR(VALUE(SUBSTITUTE(SUBSTITUTE(INDEX(급여대장_원본!$A$1:$AZ$400,(설정!$B$8+113),설정!$D$32)&amp;"",",",""),"　","")),0))</f>
        <v/>
      </c>
      <c r="AD119" s="27">
        <f>IF(설정!$D$33="",0,IFERROR(VALUE(SUBSTITUTE(SUBSTITUTE(INDEX(급여대장_원본!$A$1:$AZ$400,(설정!$B$8+113),설정!$D$33)&amp;"",",",""),"　","")),0))</f>
        <v/>
      </c>
      <c r="AE119" s="27">
        <f>SUM(W119:AD119)</f>
        <v/>
      </c>
      <c r="AF119" s="27">
        <f>V119-AE119</f>
        <v/>
      </c>
      <c r="AG119" s="27">
        <f>IF(설정!$D$35="","",IF(설정!$D$35="",0,IFERROR(VALUE(SUBSTITUTE(SUBSTITUTE(INDEX(급여대장_원본!$A$1:$AZ$400,(설정!$B$8+113),설정!$D$35)&amp;"",",",""),"　","")),0)))</f>
        <v/>
      </c>
      <c r="AH119" s="27">
        <f>IF(설정!$D$36="","",IF(설정!$D$36="",0,IFERROR(VALUE(SUBSTITUTE(SUBSTITUTE(INDEX(급여대장_원본!$A$1:$AZ$400,(설정!$B$8+113),설정!$D$36)&amp;"",",",""),"　","")),0)))</f>
        <v/>
      </c>
      <c r="AI119" s="27">
        <f>IF(설정!$D$37="","",IF(설정!$D$37="",0,IFERROR(VALUE(SUBSTITUTE(SUBSTITUTE(INDEX(급여대장_원본!$A$1:$AZ$400,(설정!$B$8+113),설정!$D$37)&amp;"",",",""),"　","")),0)))</f>
        <v/>
      </c>
      <c r="AJ119" s="2">
        <f>IFERROR(INDEX($D$7:$D$306,MATCH(113,$B$7:$B$306,0)),"")</f>
        <v/>
      </c>
    </row>
    <row r="120">
      <c r="A120" s="2">
        <f>IF(AND(D120&lt;&gt;"",D120&lt;&gt;"합계",D120&lt;&gt;"총계",D120&lt;&gt;"소계",D120&lt;&gt;"계"),1,0)</f>
        <v/>
      </c>
      <c r="B120" s="2">
        <f>IF(A120=1,SUM($A$7:A120),"")</f>
        <v/>
      </c>
      <c r="C120" s="2">
        <f>IF(설정!$D$13="","",TRIM(SUBSTITUTE(INDEX(급여대장_원본!$A$1:$AZ$400,(설정!$B$8+114),설정!$D$13)&amp;"","　"," ")))</f>
        <v/>
      </c>
      <c r="D120" s="2">
        <f>IF(설정!$D$14="","",TRIM(SUBSTITUTE(INDEX(급여대장_원본!$A$1:$AZ$400,(설정!$B$8+114),설정!$D$14)&amp;"","　"," ")))</f>
        <v/>
      </c>
      <c r="E120" s="2">
        <f>IF(설정!$D$15="","",TRIM(SUBSTITUTE(INDEX(급여대장_원본!$A$1:$AZ$400,(설정!$B$8+114),설정!$D$15)&amp;"","　"," ")))</f>
        <v/>
      </c>
      <c r="F120" s="27">
        <f>IF(설정!$D$17="",0,IFERROR(VALUE(SUBSTITUTE(SUBSTITUTE(INDEX(급여대장_원본!$A$1:$AZ$400,(설정!$B$8+114),설정!$D$17)&amp;"",",",""),"　","")),0))</f>
        <v/>
      </c>
      <c r="G120" s="27">
        <f>IF(설정!$D$18="",0,IFERROR(VALUE(SUBSTITUTE(SUBSTITUTE(INDEX(급여대장_원본!$A$1:$AZ$400,(설정!$B$8+114),설정!$D$18)&amp;"",",",""),"　","")),0))</f>
        <v/>
      </c>
      <c r="H120" s="27">
        <f>IF(설정!$D$19="",0,IFERROR(VALUE(SUBSTITUTE(SUBSTITUTE(INDEX(급여대장_원본!$A$1:$AZ$400,(설정!$B$8+114),설정!$D$19)&amp;"",",",""),"　","")),0))</f>
        <v/>
      </c>
      <c r="I120" s="27">
        <f>IF(설정!$D$20="",0,IFERROR(VALUE(SUBSTITUTE(SUBSTITUTE(INDEX(급여대장_원본!$A$1:$AZ$400,(설정!$B$8+114),설정!$D$20)&amp;"",",",""),"　","")),0))</f>
        <v/>
      </c>
      <c r="J120" s="27">
        <f>IF(설정!$D$21="",0,IFERROR(VALUE(SUBSTITUTE(SUBSTITUTE(INDEX(급여대장_원본!$A$1:$AZ$400,(설정!$B$8+114),설정!$D$21)&amp;"",",",""),"　","")),0))</f>
        <v/>
      </c>
      <c r="K120" s="27">
        <f>IF(설정!$D$22="",0,IFERROR(VALUE(SUBSTITUTE(SUBSTITUTE(INDEX(급여대장_원본!$A$1:$AZ$400,(설정!$B$8+114),설정!$D$22)&amp;"",",",""),"　","")),0))</f>
        <v/>
      </c>
      <c r="L120" s="27">
        <f>IF(설정!$D$23="",0,IFERROR(VALUE(SUBSTITUTE(SUBSTITUTE(INDEX(급여대장_원본!$A$1:$AZ$400,(설정!$B$8+114),설정!$D$23)&amp;"",",",""),"　","")),0))</f>
        <v/>
      </c>
      <c r="M120" s="27">
        <f>IF(설정!$D$24="",0,IFERROR(VALUE(SUBSTITUTE(SUBSTITUTE(INDEX(급여대장_원본!$A$1:$AZ$400,(설정!$B$8+114),설정!$D$24)&amp;"",",",""),"　","")),0))</f>
        <v/>
      </c>
      <c r="N120" s="2">
        <f>IF(OR(설정!$C$17="",IFERROR(MATCH(설정!$C$17,INDEX(급여대장_원본!$A$1:$AZ$400,설정!$B$8,0),0),"")=""),"",IFERROR(VALUE(SUBSTITUTE(INDEX(급여대장_원본!$A$1:$AZ$400,(설정!$B$8+114),IFERROR(MATCH(설정!$C$17,INDEX(급여대장_원본!$A$1:$AZ$400,설정!$B$8,0),0),""))&amp;"",",","")),""))</f>
        <v/>
      </c>
      <c r="O120" s="2">
        <f>IF(OR(설정!$C$18="",IFERROR(MATCH(설정!$C$18,INDEX(급여대장_원본!$A$1:$AZ$400,설정!$B$8,0),0),"")=""),"",IFERROR(VALUE(SUBSTITUTE(INDEX(급여대장_원본!$A$1:$AZ$400,(설정!$B$8+114),IFERROR(MATCH(설정!$C$18,INDEX(급여대장_원본!$A$1:$AZ$400,설정!$B$8,0),0),""))&amp;"",",","")),""))</f>
        <v/>
      </c>
      <c r="P120" s="2">
        <f>IF(OR(설정!$C$19="",IFERROR(MATCH(설정!$C$19,INDEX(급여대장_원본!$A$1:$AZ$400,설정!$B$8,0),0),"")=""),"",IFERROR(VALUE(SUBSTITUTE(INDEX(급여대장_원본!$A$1:$AZ$400,(설정!$B$8+114),IFERROR(MATCH(설정!$C$19,INDEX(급여대장_원본!$A$1:$AZ$400,설정!$B$8,0),0),""))&amp;"",",","")),""))</f>
        <v/>
      </c>
      <c r="Q120" s="2">
        <f>IF(OR(설정!$C$20="",IFERROR(MATCH(설정!$C$20,INDEX(급여대장_원본!$A$1:$AZ$400,설정!$B$8,0),0),"")=""),"",IFERROR(VALUE(SUBSTITUTE(INDEX(급여대장_원본!$A$1:$AZ$400,(설정!$B$8+114),IFERROR(MATCH(설정!$C$20,INDEX(급여대장_원본!$A$1:$AZ$400,설정!$B$8,0),0),""))&amp;"",",","")),""))</f>
        <v/>
      </c>
      <c r="R120" s="2">
        <f>IF(OR(설정!$C$21="",IFERROR(MATCH(설정!$C$21,INDEX(급여대장_원본!$A$1:$AZ$400,설정!$B$8,0),0),"")=""),"",IFERROR(VALUE(SUBSTITUTE(INDEX(급여대장_원본!$A$1:$AZ$400,(설정!$B$8+114),IFERROR(MATCH(설정!$C$21,INDEX(급여대장_원본!$A$1:$AZ$400,설정!$B$8,0),0),""))&amp;"",",","")),""))</f>
        <v/>
      </c>
      <c r="S120" s="2">
        <f>IF(OR(설정!$C$22="",IFERROR(MATCH(설정!$C$22,INDEX(급여대장_원본!$A$1:$AZ$400,설정!$B$8,0),0),"")=""),"",IFERROR(VALUE(SUBSTITUTE(INDEX(급여대장_원본!$A$1:$AZ$400,(설정!$B$8+114),IFERROR(MATCH(설정!$C$22,INDEX(급여대장_원본!$A$1:$AZ$400,설정!$B$8,0),0),""))&amp;"",",","")),""))</f>
        <v/>
      </c>
      <c r="T120" s="2">
        <f>IF(OR(설정!$C$23="",IFERROR(MATCH(설정!$C$23,INDEX(급여대장_원본!$A$1:$AZ$400,설정!$B$8,0),0),"")=""),"",IFERROR(VALUE(SUBSTITUTE(INDEX(급여대장_원본!$A$1:$AZ$400,(설정!$B$8+114),IFERROR(MATCH(설정!$C$23,INDEX(급여대장_원본!$A$1:$AZ$400,설정!$B$8,0),0),""))&amp;"",",","")),""))</f>
        <v/>
      </c>
      <c r="U120" s="2">
        <f>IF(OR(설정!$C$24="",IFERROR(MATCH(설정!$C$24,INDEX(급여대장_원본!$A$1:$AZ$400,설정!$B$8,0),0),"")=""),"",IFERROR(VALUE(SUBSTITUTE(INDEX(급여대장_원본!$A$1:$AZ$400,(설정!$B$8+114),IFERROR(MATCH(설정!$C$24,INDEX(급여대장_원본!$A$1:$AZ$400,설정!$B$8,0),0),""))&amp;"",",","")),""))</f>
        <v/>
      </c>
      <c r="V120" s="27">
        <f>SUM(F120:M120)</f>
        <v/>
      </c>
      <c r="W120" s="27">
        <f>IF(설정!$D$26="",0,IFERROR(VALUE(SUBSTITUTE(SUBSTITUTE(INDEX(급여대장_원본!$A$1:$AZ$400,(설정!$B$8+114),설정!$D$26)&amp;"",",",""),"　","")),0))</f>
        <v/>
      </c>
      <c r="X120" s="27">
        <f>IF(설정!$D$27="",0,IFERROR(VALUE(SUBSTITUTE(SUBSTITUTE(INDEX(급여대장_원본!$A$1:$AZ$400,(설정!$B$8+114),설정!$D$27)&amp;"",",",""),"　","")),0))</f>
        <v/>
      </c>
      <c r="Y120" s="27">
        <f>IF(설정!$D$28="",0,IFERROR(VALUE(SUBSTITUTE(SUBSTITUTE(INDEX(급여대장_원본!$A$1:$AZ$400,(설정!$B$8+114),설정!$D$28)&amp;"",",",""),"　","")),0))</f>
        <v/>
      </c>
      <c r="Z120" s="27">
        <f>IF(설정!$D$29="",0,IFERROR(VALUE(SUBSTITUTE(SUBSTITUTE(INDEX(급여대장_원본!$A$1:$AZ$400,(설정!$B$8+114),설정!$D$29)&amp;"",",",""),"　","")),0))</f>
        <v/>
      </c>
      <c r="AA120" s="27">
        <f>IF(설정!$D$30="",0,IFERROR(VALUE(SUBSTITUTE(SUBSTITUTE(INDEX(급여대장_원본!$A$1:$AZ$400,(설정!$B$8+114),설정!$D$30)&amp;"",",",""),"　","")),0))</f>
        <v/>
      </c>
      <c r="AB120" s="27">
        <f>IF(설정!$D$31="",0,IFERROR(VALUE(SUBSTITUTE(SUBSTITUTE(INDEX(급여대장_원본!$A$1:$AZ$400,(설정!$B$8+114),설정!$D$31)&amp;"",",",""),"　","")),0))</f>
        <v/>
      </c>
      <c r="AC120" s="27">
        <f>IF(설정!$D$32="",0,IFERROR(VALUE(SUBSTITUTE(SUBSTITUTE(INDEX(급여대장_원본!$A$1:$AZ$400,(설정!$B$8+114),설정!$D$32)&amp;"",",",""),"　","")),0))</f>
        <v/>
      </c>
      <c r="AD120" s="27">
        <f>IF(설정!$D$33="",0,IFERROR(VALUE(SUBSTITUTE(SUBSTITUTE(INDEX(급여대장_원본!$A$1:$AZ$400,(설정!$B$8+114),설정!$D$33)&amp;"",",",""),"　","")),0))</f>
        <v/>
      </c>
      <c r="AE120" s="27">
        <f>SUM(W120:AD120)</f>
        <v/>
      </c>
      <c r="AF120" s="27">
        <f>V120-AE120</f>
        <v/>
      </c>
      <c r="AG120" s="27">
        <f>IF(설정!$D$35="","",IF(설정!$D$35="",0,IFERROR(VALUE(SUBSTITUTE(SUBSTITUTE(INDEX(급여대장_원본!$A$1:$AZ$400,(설정!$B$8+114),설정!$D$35)&amp;"",",",""),"　","")),0)))</f>
        <v/>
      </c>
      <c r="AH120" s="27">
        <f>IF(설정!$D$36="","",IF(설정!$D$36="",0,IFERROR(VALUE(SUBSTITUTE(SUBSTITUTE(INDEX(급여대장_원본!$A$1:$AZ$400,(설정!$B$8+114),설정!$D$36)&amp;"",",",""),"　","")),0)))</f>
        <v/>
      </c>
      <c r="AI120" s="27">
        <f>IF(설정!$D$37="","",IF(설정!$D$37="",0,IFERROR(VALUE(SUBSTITUTE(SUBSTITUTE(INDEX(급여대장_원본!$A$1:$AZ$400,(설정!$B$8+114),설정!$D$37)&amp;"",",",""),"　","")),0)))</f>
        <v/>
      </c>
      <c r="AJ120" s="2">
        <f>IFERROR(INDEX($D$7:$D$306,MATCH(114,$B$7:$B$306,0)),"")</f>
        <v/>
      </c>
    </row>
    <row r="121">
      <c r="A121" s="2">
        <f>IF(AND(D121&lt;&gt;"",D121&lt;&gt;"합계",D121&lt;&gt;"총계",D121&lt;&gt;"소계",D121&lt;&gt;"계"),1,0)</f>
        <v/>
      </c>
      <c r="B121" s="2">
        <f>IF(A121=1,SUM($A$7:A121),"")</f>
        <v/>
      </c>
      <c r="C121" s="2">
        <f>IF(설정!$D$13="","",TRIM(SUBSTITUTE(INDEX(급여대장_원본!$A$1:$AZ$400,(설정!$B$8+115),설정!$D$13)&amp;"","　"," ")))</f>
        <v/>
      </c>
      <c r="D121" s="2">
        <f>IF(설정!$D$14="","",TRIM(SUBSTITUTE(INDEX(급여대장_원본!$A$1:$AZ$400,(설정!$B$8+115),설정!$D$14)&amp;"","　"," ")))</f>
        <v/>
      </c>
      <c r="E121" s="2">
        <f>IF(설정!$D$15="","",TRIM(SUBSTITUTE(INDEX(급여대장_원본!$A$1:$AZ$400,(설정!$B$8+115),설정!$D$15)&amp;"","　"," ")))</f>
        <v/>
      </c>
      <c r="F121" s="27">
        <f>IF(설정!$D$17="",0,IFERROR(VALUE(SUBSTITUTE(SUBSTITUTE(INDEX(급여대장_원본!$A$1:$AZ$400,(설정!$B$8+115),설정!$D$17)&amp;"",",",""),"　","")),0))</f>
        <v/>
      </c>
      <c r="G121" s="27">
        <f>IF(설정!$D$18="",0,IFERROR(VALUE(SUBSTITUTE(SUBSTITUTE(INDEX(급여대장_원본!$A$1:$AZ$400,(설정!$B$8+115),설정!$D$18)&amp;"",",",""),"　","")),0))</f>
        <v/>
      </c>
      <c r="H121" s="27">
        <f>IF(설정!$D$19="",0,IFERROR(VALUE(SUBSTITUTE(SUBSTITUTE(INDEX(급여대장_원본!$A$1:$AZ$400,(설정!$B$8+115),설정!$D$19)&amp;"",",",""),"　","")),0))</f>
        <v/>
      </c>
      <c r="I121" s="27">
        <f>IF(설정!$D$20="",0,IFERROR(VALUE(SUBSTITUTE(SUBSTITUTE(INDEX(급여대장_원본!$A$1:$AZ$400,(설정!$B$8+115),설정!$D$20)&amp;"",",",""),"　","")),0))</f>
        <v/>
      </c>
      <c r="J121" s="27">
        <f>IF(설정!$D$21="",0,IFERROR(VALUE(SUBSTITUTE(SUBSTITUTE(INDEX(급여대장_원본!$A$1:$AZ$400,(설정!$B$8+115),설정!$D$21)&amp;"",",",""),"　","")),0))</f>
        <v/>
      </c>
      <c r="K121" s="27">
        <f>IF(설정!$D$22="",0,IFERROR(VALUE(SUBSTITUTE(SUBSTITUTE(INDEX(급여대장_원본!$A$1:$AZ$400,(설정!$B$8+115),설정!$D$22)&amp;"",",",""),"　","")),0))</f>
        <v/>
      </c>
      <c r="L121" s="27">
        <f>IF(설정!$D$23="",0,IFERROR(VALUE(SUBSTITUTE(SUBSTITUTE(INDEX(급여대장_원본!$A$1:$AZ$400,(설정!$B$8+115),설정!$D$23)&amp;"",",",""),"　","")),0))</f>
        <v/>
      </c>
      <c r="M121" s="27">
        <f>IF(설정!$D$24="",0,IFERROR(VALUE(SUBSTITUTE(SUBSTITUTE(INDEX(급여대장_원본!$A$1:$AZ$400,(설정!$B$8+115),설정!$D$24)&amp;"",",",""),"　","")),0))</f>
        <v/>
      </c>
      <c r="N121" s="2">
        <f>IF(OR(설정!$C$17="",IFERROR(MATCH(설정!$C$17,INDEX(급여대장_원본!$A$1:$AZ$400,설정!$B$8,0),0),"")=""),"",IFERROR(VALUE(SUBSTITUTE(INDEX(급여대장_원본!$A$1:$AZ$400,(설정!$B$8+115),IFERROR(MATCH(설정!$C$17,INDEX(급여대장_원본!$A$1:$AZ$400,설정!$B$8,0),0),""))&amp;"",",","")),""))</f>
        <v/>
      </c>
      <c r="O121" s="2">
        <f>IF(OR(설정!$C$18="",IFERROR(MATCH(설정!$C$18,INDEX(급여대장_원본!$A$1:$AZ$400,설정!$B$8,0),0),"")=""),"",IFERROR(VALUE(SUBSTITUTE(INDEX(급여대장_원본!$A$1:$AZ$400,(설정!$B$8+115),IFERROR(MATCH(설정!$C$18,INDEX(급여대장_원본!$A$1:$AZ$400,설정!$B$8,0),0),""))&amp;"",",","")),""))</f>
        <v/>
      </c>
      <c r="P121" s="2">
        <f>IF(OR(설정!$C$19="",IFERROR(MATCH(설정!$C$19,INDEX(급여대장_원본!$A$1:$AZ$400,설정!$B$8,0),0),"")=""),"",IFERROR(VALUE(SUBSTITUTE(INDEX(급여대장_원본!$A$1:$AZ$400,(설정!$B$8+115),IFERROR(MATCH(설정!$C$19,INDEX(급여대장_원본!$A$1:$AZ$400,설정!$B$8,0),0),""))&amp;"",",","")),""))</f>
        <v/>
      </c>
      <c r="Q121" s="2">
        <f>IF(OR(설정!$C$20="",IFERROR(MATCH(설정!$C$20,INDEX(급여대장_원본!$A$1:$AZ$400,설정!$B$8,0),0),"")=""),"",IFERROR(VALUE(SUBSTITUTE(INDEX(급여대장_원본!$A$1:$AZ$400,(설정!$B$8+115),IFERROR(MATCH(설정!$C$20,INDEX(급여대장_원본!$A$1:$AZ$400,설정!$B$8,0),0),""))&amp;"",",","")),""))</f>
        <v/>
      </c>
      <c r="R121" s="2">
        <f>IF(OR(설정!$C$21="",IFERROR(MATCH(설정!$C$21,INDEX(급여대장_원본!$A$1:$AZ$400,설정!$B$8,0),0),"")=""),"",IFERROR(VALUE(SUBSTITUTE(INDEX(급여대장_원본!$A$1:$AZ$400,(설정!$B$8+115),IFERROR(MATCH(설정!$C$21,INDEX(급여대장_원본!$A$1:$AZ$400,설정!$B$8,0),0),""))&amp;"",",","")),""))</f>
        <v/>
      </c>
      <c r="S121" s="2">
        <f>IF(OR(설정!$C$22="",IFERROR(MATCH(설정!$C$22,INDEX(급여대장_원본!$A$1:$AZ$400,설정!$B$8,0),0),"")=""),"",IFERROR(VALUE(SUBSTITUTE(INDEX(급여대장_원본!$A$1:$AZ$400,(설정!$B$8+115),IFERROR(MATCH(설정!$C$22,INDEX(급여대장_원본!$A$1:$AZ$400,설정!$B$8,0),0),""))&amp;"",",","")),""))</f>
        <v/>
      </c>
      <c r="T121" s="2">
        <f>IF(OR(설정!$C$23="",IFERROR(MATCH(설정!$C$23,INDEX(급여대장_원본!$A$1:$AZ$400,설정!$B$8,0),0),"")=""),"",IFERROR(VALUE(SUBSTITUTE(INDEX(급여대장_원본!$A$1:$AZ$400,(설정!$B$8+115),IFERROR(MATCH(설정!$C$23,INDEX(급여대장_원본!$A$1:$AZ$400,설정!$B$8,0),0),""))&amp;"",",","")),""))</f>
        <v/>
      </c>
      <c r="U121" s="2">
        <f>IF(OR(설정!$C$24="",IFERROR(MATCH(설정!$C$24,INDEX(급여대장_원본!$A$1:$AZ$400,설정!$B$8,0),0),"")=""),"",IFERROR(VALUE(SUBSTITUTE(INDEX(급여대장_원본!$A$1:$AZ$400,(설정!$B$8+115),IFERROR(MATCH(설정!$C$24,INDEX(급여대장_원본!$A$1:$AZ$400,설정!$B$8,0),0),""))&amp;"",",","")),""))</f>
        <v/>
      </c>
      <c r="V121" s="27">
        <f>SUM(F121:M121)</f>
        <v/>
      </c>
      <c r="W121" s="27">
        <f>IF(설정!$D$26="",0,IFERROR(VALUE(SUBSTITUTE(SUBSTITUTE(INDEX(급여대장_원본!$A$1:$AZ$400,(설정!$B$8+115),설정!$D$26)&amp;"",",",""),"　","")),0))</f>
        <v/>
      </c>
      <c r="X121" s="27">
        <f>IF(설정!$D$27="",0,IFERROR(VALUE(SUBSTITUTE(SUBSTITUTE(INDEX(급여대장_원본!$A$1:$AZ$400,(설정!$B$8+115),설정!$D$27)&amp;"",",",""),"　","")),0))</f>
        <v/>
      </c>
      <c r="Y121" s="27">
        <f>IF(설정!$D$28="",0,IFERROR(VALUE(SUBSTITUTE(SUBSTITUTE(INDEX(급여대장_원본!$A$1:$AZ$400,(설정!$B$8+115),설정!$D$28)&amp;"",",",""),"　","")),0))</f>
        <v/>
      </c>
      <c r="Z121" s="27">
        <f>IF(설정!$D$29="",0,IFERROR(VALUE(SUBSTITUTE(SUBSTITUTE(INDEX(급여대장_원본!$A$1:$AZ$400,(설정!$B$8+115),설정!$D$29)&amp;"",",",""),"　","")),0))</f>
        <v/>
      </c>
      <c r="AA121" s="27">
        <f>IF(설정!$D$30="",0,IFERROR(VALUE(SUBSTITUTE(SUBSTITUTE(INDEX(급여대장_원본!$A$1:$AZ$400,(설정!$B$8+115),설정!$D$30)&amp;"",",",""),"　","")),0))</f>
        <v/>
      </c>
      <c r="AB121" s="27">
        <f>IF(설정!$D$31="",0,IFERROR(VALUE(SUBSTITUTE(SUBSTITUTE(INDEX(급여대장_원본!$A$1:$AZ$400,(설정!$B$8+115),설정!$D$31)&amp;"",",",""),"　","")),0))</f>
        <v/>
      </c>
      <c r="AC121" s="27">
        <f>IF(설정!$D$32="",0,IFERROR(VALUE(SUBSTITUTE(SUBSTITUTE(INDEX(급여대장_원본!$A$1:$AZ$400,(설정!$B$8+115),설정!$D$32)&amp;"",",",""),"　","")),0))</f>
        <v/>
      </c>
      <c r="AD121" s="27">
        <f>IF(설정!$D$33="",0,IFERROR(VALUE(SUBSTITUTE(SUBSTITUTE(INDEX(급여대장_원본!$A$1:$AZ$400,(설정!$B$8+115),설정!$D$33)&amp;"",",",""),"　","")),0))</f>
        <v/>
      </c>
      <c r="AE121" s="27">
        <f>SUM(W121:AD121)</f>
        <v/>
      </c>
      <c r="AF121" s="27">
        <f>V121-AE121</f>
        <v/>
      </c>
      <c r="AG121" s="27">
        <f>IF(설정!$D$35="","",IF(설정!$D$35="",0,IFERROR(VALUE(SUBSTITUTE(SUBSTITUTE(INDEX(급여대장_원본!$A$1:$AZ$400,(설정!$B$8+115),설정!$D$35)&amp;"",",",""),"　","")),0)))</f>
        <v/>
      </c>
      <c r="AH121" s="27">
        <f>IF(설정!$D$36="","",IF(설정!$D$36="",0,IFERROR(VALUE(SUBSTITUTE(SUBSTITUTE(INDEX(급여대장_원본!$A$1:$AZ$400,(설정!$B$8+115),설정!$D$36)&amp;"",",",""),"　","")),0)))</f>
        <v/>
      </c>
      <c r="AI121" s="27">
        <f>IF(설정!$D$37="","",IF(설정!$D$37="",0,IFERROR(VALUE(SUBSTITUTE(SUBSTITUTE(INDEX(급여대장_원본!$A$1:$AZ$400,(설정!$B$8+115),설정!$D$37)&amp;"",",",""),"　","")),0)))</f>
        <v/>
      </c>
      <c r="AJ121" s="2">
        <f>IFERROR(INDEX($D$7:$D$306,MATCH(115,$B$7:$B$306,0)),"")</f>
        <v/>
      </c>
    </row>
    <row r="122">
      <c r="A122" s="2">
        <f>IF(AND(D122&lt;&gt;"",D122&lt;&gt;"합계",D122&lt;&gt;"총계",D122&lt;&gt;"소계",D122&lt;&gt;"계"),1,0)</f>
        <v/>
      </c>
      <c r="B122" s="2">
        <f>IF(A122=1,SUM($A$7:A122),"")</f>
        <v/>
      </c>
      <c r="C122" s="2">
        <f>IF(설정!$D$13="","",TRIM(SUBSTITUTE(INDEX(급여대장_원본!$A$1:$AZ$400,(설정!$B$8+116),설정!$D$13)&amp;"","　"," ")))</f>
        <v/>
      </c>
      <c r="D122" s="2">
        <f>IF(설정!$D$14="","",TRIM(SUBSTITUTE(INDEX(급여대장_원본!$A$1:$AZ$400,(설정!$B$8+116),설정!$D$14)&amp;"","　"," ")))</f>
        <v/>
      </c>
      <c r="E122" s="2">
        <f>IF(설정!$D$15="","",TRIM(SUBSTITUTE(INDEX(급여대장_원본!$A$1:$AZ$400,(설정!$B$8+116),설정!$D$15)&amp;"","　"," ")))</f>
        <v/>
      </c>
      <c r="F122" s="27">
        <f>IF(설정!$D$17="",0,IFERROR(VALUE(SUBSTITUTE(SUBSTITUTE(INDEX(급여대장_원본!$A$1:$AZ$400,(설정!$B$8+116),설정!$D$17)&amp;"",",",""),"　","")),0))</f>
        <v/>
      </c>
      <c r="G122" s="27">
        <f>IF(설정!$D$18="",0,IFERROR(VALUE(SUBSTITUTE(SUBSTITUTE(INDEX(급여대장_원본!$A$1:$AZ$400,(설정!$B$8+116),설정!$D$18)&amp;"",",",""),"　","")),0))</f>
        <v/>
      </c>
      <c r="H122" s="27">
        <f>IF(설정!$D$19="",0,IFERROR(VALUE(SUBSTITUTE(SUBSTITUTE(INDEX(급여대장_원본!$A$1:$AZ$400,(설정!$B$8+116),설정!$D$19)&amp;"",",",""),"　","")),0))</f>
        <v/>
      </c>
      <c r="I122" s="27">
        <f>IF(설정!$D$20="",0,IFERROR(VALUE(SUBSTITUTE(SUBSTITUTE(INDEX(급여대장_원본!$A$1:$AZ$400,(설정!$B$8+116),설정!$D$20)&amp;"",",",""),"　","")),0))</f>
        <v/>
      </c>
      <c r="J122" s="27">
        <f>IF(설정!$D$21="",0,IFERROR(VALUE(SUBSTITUTE(SUBSTITUTE(INDEX(급여대장_원본!$A$1:$AZ$400,(설정!$B$8+116),설정!$D$21)&amp;"",",",""),"　","")),0))</f>
        <v/>
      </c>
      <c r="K122" s="27">
        <f>IF(설정!$D$22="",0,IFERROR(VALUE(SUBSTITUTE(SUBSTITUTE(INDEX(급여대장_원본!$A$1:$AZ$400,(설정!$B$8+116),설정!$D$22)&amp;"",",",""),"　","")),0))</f>
        <v/>
      </c>
      <c r="L122" s="27">
        <f>IF(설정!$D$23="",0,IFERROR(VALUE(SUBSTITUTE(SUBSTITUTE(INDEX(급여대장_원본!$A$1:$AZ$400,(설정!$B$8+116),설정!$D$23)&amp;"",",",""),"　","")),0))</f>
        <v/>
      </c>
      <c r="M122" s="27">
        <f>IF(설정!$D$24="",0,IFERROR(VALUE(SUBSTITUTE(SUBSTITUTE(INDEX(급여대장_원본!$A$1:$AZ$400,(설정!$B$8+116),설정!$D$24)&amp;"",",",""),"　","")),0))</f>
        <v/>
      </c>
      <c r="N122" s="2">
        <f>IF(OR(설정!$C$17="",IFERROR(MATCH(설정!$C$17,INDEX(급여대장_원본!$A$1:$AZ$400,설정!$B$8,0),0),"")=""),"",IFERROR(VALUE(SUBSTITUTE(INDEX(급여대장_원본!$A$1:$AZ$400,(설정!$B$8+116),IFERROR(MATCH(설정!$C$17,INDEX(급여대장_원본!$A$1:$AZ$400,설정!$B$8,0),0),""))&amp;"",",","")),""))</f>
        <v/>
      </c>
      <c r="O122" s="2">
        <f>IF(OR(설정!$C$18="",IFERROR(MATCH(설정!$C$18,INDEX(급여대장_원본!$A$1:$AZ$400,설정!$B$8,0),0),"")=""),"",IFERROR(VALUE(SUBSTITUTE(INDEX(급여대장_원본!$A$1:$AZ$400,(설정!$B$8+116),IFERROR(MATCH(설정!$C$18,INDEX(급여대장_원본!$A$1:$AZ$400,설정!$B$8,0),0),""))&amp;"",",","")),""))</f>
        <v/>
      </c>
      <c r="P122" s="2">
        <f>IF(OR(설정!$C$19="",IFERROR(MATCH(설정!$C$19,INDEX(급여대장_원본!$A$1:$AZ$400,설정!$B$8,0),0),"")=""),"",IFERROR(VALUE(SUBSTITUTE(INDEX(급여대장_원본!$A$1:$AZ$400,(설정!$B$8+116),IFERROR(MATCH(설정!$C$19,INDEX(급여대장_원본!$A$1:$AZ$400,설정!$B$8,0),0),""))&amp;"",",","")),""))</f>
        <v/>
      </c>
      <c r="Q122" s="2">
        <f>IF(OR(설정!$C$20="",IFERROR(MATCH(설정!$C$20,INDEX(급여대장_원본!$A$1:$AZ$400,설정!$B$8,0),0),"")=""),"",IFERROR(VALUE(SUBSTITUTE(INDEX(급여대장_원본!$A$1:$AZ$400,(설정!$B$8+116),IFERROR(MATCH(설정!$C$20,INDEX(급여대장_원본!$A$1:$AZ$400,설정!$B$8,0),0),""))&amp;"",",","")),""))</f>
        <v/>
      </c>
      <c r="R122" s="2">
        <f>IF(OR(설정!$C$21="",IFERROR(MATCH(설정!$C$21,INDEX(급여대장_원본!$A$1:$AZ$400,설정!$B$8,0),0),"")=""),"",IFERROR(VALUE(SUBSTITUTE(INDEX(급여대장_원본!$A$1:$AZ$400,(설정!$B$8+116),IFERROR(MATCH(설정!$C$21,INDEX(급여대장_원본!$A$1:$AZ$400,설정!$B$8,0),0),""))&amp;"",",","")),""))</f>
        <v/>
      </c>
      <c r="S122" s="2">
        <f>IF(OR(설정!$C$22="",IFERROR(MATCH(설정!$C$22,INDEX(급여대장_원본!$A$1:$AZ$400,설정!$B$8,0),0),"")=""),"",IFERROR(VALUE(SUBSTITUTE(INDEX(급여대장_원본!$A$1:$AZ$400,(설정!$B$8+116),IFERROR(MATCH(설정!$C$22,INDEX(급여대장_원본!$A$1:$AZ$400,설정!$B$8,0),0),""))&amp;"",",","")),""))</f>
        <v/>
      </c>
      <c r="T122" s="2">
        <f>IF(OR(설정!$C$23="",IFERROR(MATCH(설정!$C$23,INDEX(급여대장_원본!$A$1:$AZ$400,설정!$B$8,0),0),"")=""),"",IFERROR(VALUE(SUBSTITUTE(INDEX(급여대장_원본!$A$1:$AZ$400,(설정!$B$8+116),IFERROR(MATCH(설정!$C$23,INDEX(급여대장_원본!$A$1:$AZ$400,설정!$B$8,0),0),""))&amp;"",",","")),""))</f>
        <v/>
      </c>
      <c r="U122" s="2">
        <f>IF(OR(설정!$C$24="",IFERROR(MATCH(설정!$C$24,INDEX(급여대장_원본!$A$1:$AZ$400,설정!$B$8,0),0),"")=""),"",IFERROR(VALUE(SUBSTITUTE(INDEX(급여대장_원본!$A$1:$AZ$400,(설정!$B$8+116),IFERROR(MATCH(설정!$C$24,INDEX(급여대장_원본!$A$1:$AZ$400,설정!$B$8,0),0),""))&amp;"",",","")),""))</f>
        <v/>
      </c>
      <c r="V122" s="27">
        <f>SUM(F122:M122)</f>
        <v/>
      </c>
      <c r="W122" s="27">
        <f>IF(설정!$D$26="",0,IFERROR(VALUE(SUBSTITUTE(SUBSTITUTE(INDEX(급여대장_원본!$A$1:$AZ$400,(설정!$B$8+116),설정!$D$26)&amp;"",",",""),"　","")),0))</f>
        <v/>
      </c>
      <c r="X122" s="27">
        <f>IF(설정!$D$27="",0,IFERROR(VALUE(SUBSTITUTE(SUBSTITUTE(INDEX(급여대장_원본!$A$1:$AZ$400,(설정!$B$8+116),설정!$D$27)&amp;"",",",""),"　","")),0))</f>
        <v/>
      </c>
      <c r="Y122" s="27">
        <f>IF(설정!$D$28="",0,IFERROR(VALUE(SUBSTITUTE(SUBSTITUTE(INDEX(급여대장_원본!$A$1:$AZ$400,(설정!$B$8+116),설정!$D$28)&amp;"",",",""),"　","")),0))</f>
        <v/>
      </c>
      <c r="Z122" s="27">
        <f>IF(설정!$D$29="",0,IFERROR(VALUE(SUBSTITUTE(SUBSTITUTE(INDEX(급여대장_원본!$A$1:$AZ$400,(설정!$B$8+116),설정!$D$29)&amp;"",",",""),"　","")),0))</f>
        <v/>
      </c>
      <c r="AA122" s="27">
        <f>IF(설정!$D$30="",0,IFERROR(VALUE(SUBSTITUTE(SUBSTITUTE(INDEX(급여대장_원본!$A$1:$AZ$400,(설정!$B$8+116),설정!$D$30)&amp;"",",",""),"　","")),0))</f>
        <v/>
      </c>
      <c r="AB122" s="27">
        <f>IF(설정!$D$31="",0,IFERROR(VALUE(SUBSTITUTE(SUBSTITUTE(INDEX(급여대장_원본!$A$1:$AZ$400,(설정!$B$8+116),설정!$D$31)&amp;"",",",""),"　","")),0))</f>
        <v/>
      </c>
      <c r="AC122" s="27">
        <f>IF(설정!$D$32="",0,IFERROR(VALUE(SUBSTITUTE(SUBSTITUTE(INDEX(급여대장_원본!$A$1:$AZ$400,(설정!$B$8+116),설정!$D$32)&amp;"",",",""),"　","")),0))</f>
        <v/>
      </c>
      <c r="AD122" s="27">
        <f>IF(설정!$D$33="",0,IFERROR(VALUE(SUBSTITUTE(SUBSTITUTE(INDEX(급여대장_원본!$A$1:$AZ$400,(설정!$B$8+116),설정!$D$33)&amp;"",",",""),"　","")),0))</f>
        <v/>
      </c>
      <c r="AE122" s="27">
        <f>SUM(W122:AD122)</f>
        <v/>
      </c>
      <c r="AF122" s="27">
        <f>V122-AE122</f>
        <v/>
      </c>
      <c r="AG122" s="27">
        <f>IF(설정!$D$35="","",IF(설정!$D$35="",0,IFERROR(VALUE(SUBSTITUTE(SUBSTITUTE(INDEX(급여대장_원본!$A$1:$AZ$400,(설정!$B$8+116),설정!$D$35)&amp;"",",",""),"　","")),0)))</f>
        <v/>
      </c>
      <c r="AH122" s="27">
        <f>IF(설정!$D$36="","",IF(설정!$D$36="",0,IFERROR(VALUE(SUBSTITUTE(SUBSTITUTE(INDEX(급여대장_원본!$A$1:$AZ$400,(설정!$B$8+116),설정!$D$36)&amp;"",",",""),"　","")),0)))</f>
        <v/>
      </c>
      <c r="AI122" s="27">
        <f>IF(설정!$D$37="","",IF(설정!$D$37="",0,IFERROR(VALUE(SUBSTITUTE(SUBSTITUTE(INDEX(급여대장_원본!$A$1:$AZ$400,(설정!$B$8+116),설정!$D$37)&amp;"",",",""),"　","")),0)))</f>
        <v/>
      </c>
      <c r="AJ122" s="2">
        <f>IFERROR(INDEX($D$7:$D$306,MATCH(116,$B$7:$B$306,0)),"")</f>
        <v/>
      </c>
    </row>
    <row r="123">
      <c r="A123" s="2">
        <f>IF(AND(D123&lt;&gt;"",D123&lt;&gt;"합계",D123&lt;&gt;"총계",D123&lt;&gt;"소계",D123&lt;&gt;"계"),1,0)</f>
        <v/>
      </c>
      <c r="B123" s="2">
        <f>IF(A123=1,SUM($A$7:A123),"")</f>
        <v/>
      </c>
      <c r="C123" s="2">
        <f>IF(설정!$D$13="","",TRIM(SUBSTITUTE(INDEX(급여대장_원본!$A$1:$AZ$400,(설정!$B$8+117),설정!$D$13)&amp;"","　"," ")))</f>
        <v/>
      </c>
      <c r="D123" s="2">
        <f>IF(설정!$D$14="","",TRIM(SUBSTITUTE(INDEX(급여대장_원본!$A$1:$AZ$400,(설정!$B$8+117),설정!$D$14)&amp;"","　"," ")))</f>
        <v/>
      </c>
      <c r="E123" s="2">
        <f>IF(설정!$D$15="","",TRIM(SUBSTITUTE(INDEX(급여대장_원본!$A$1:$AZ$400,(설정!$B$8+117),설정!$D$15)&amp;"","　"," ")))</f>
        <v/>
      </c>
      <c r="F123" s="27">
        <f>IF(설정!$D$17="",0,IFERROR(VALUE(SUBSTITUTE(SUBSTITUTE(INDEX(급여대장_원본!$A$1:$AZ$400,(설정!$B$8+117),설정!$D$17)&amp;"",",",""),"　","")),0))</f>
        <v/>
      </c>
      <c r="G123" s="27">
        <f>IF(설정!$D$18="",0,IFERROR(VALUE(SUBSTITUTE(SUBSTITUTE(INDEX(급여대장_원본!$A$1:$AZ$400,(설정!$B$8+117),설정!$D$18)&amp;"",",",""),"　","")),0))</f>
        <v/>
      </c>
      <c r="H123" s="27">
        <f>IF(설정!$D$19="",0,IFERROR(VALUE(SUBSTITUTE(SUBSTITUTE(INDEX(급여대장_원본!$A$1:$AZ$400,(설정!$B$8+117),설정!$D$19)&amp;"",",",""),"　","")),0))</f>
        <v/>
      </c>
      <c r="I123" s="27">
        <f>IF(설정!$D$20="",0,IFERROR(VALUE(SUBSTITUTE(SUBSTITUTE(INDEX(급여대장_원본!$A$1:$AZ$400,(설정!$B$8+117),설정!$D$20)&amp;"",",",""),"　","")),0))</f>
        <v/>
      </c>
      <c r="J123" s="27">
        <f>IF(설정!$D$21="",0,IFERROR(VALUE(SUBSTITUTE(SUBSTITUTE(INDEX(급여대장_원본!$A$1:$AZ$400,(설정!$B$8+117),설정!$D$21)&amp;"",",",""),"　","")),0))</f>
        <v/>
      </c>
      <c r="K123" s="27">
        <f>IF(설정!$D$22="",0,IFERROR(VALUE(SUBSTITUTE(SUBSTITUTE(INDEX(급여대장_원본!$A$1:$AZ$400,(설정!$B$8+117),설정!$D$22)&amp;"",",",""),"　","")),0))</f>
        <v/>
      </c>
      <c r="L123" s="27">
        <f>IF(설정!$D$23="",0,IFERROR(VALUE(SUBSTITUTE(SUBSTITUTE(INDEX(급여대장_원본!$A$1:$AZ$400,(설정!$B$8+117),설정!$D$23)&amp;"",",",""),"　","")),0))</f>
        <v/>
      </c>
      <c r="M123" s="27">
        <f>IF(설정!$D$24="",0,IFERROR(VALUE(SUBSTITUTE(SUBSTITUTE(INDEX(급여대장_원본!$A$1:$AZ$400,(설정!$B$8+117),설정!$D$24)&amp;"",",",""),"　","")),0))</f>
        <v/>
      </c>
      <c r="N123" s="2">
        <f>IF(OR(설정!$C$17="",IFERROR(MATCH(설정!$C$17,INDEX(급여대장_원본!$A$1:$AZ$400,설정!$B$8,0),0),"")=""),"",IFERROR(VALUE(SUBSTITUTE(INDEX(급여대장_원본!$A$1:$AZ$400,(설정!$B$8+117),IFERROR(MATCH(설정!$C$17,INDEX(급여대장_원본!$A$1:$AZ$400,설정!$B$8,0),0),""))&amp;"",",","")),""))</f>
        <v/>
      </c>
      <c r="O123" s="2">
        <f>IF(OR(설정!$C$18="",IFERROR(MATCH(설정!$C$18,INDEX(급여대장_원본!$A$1:$AZ$400,설정!$B$8,0),0),"")=""),"",IFERROR(VALUE(SUBSTITUTE(INDEX(급여대장_원본!$A$1:$AZ$400,(설정!$B$8+117),IFERROR(MATCH(설정!$C$18,INDEX(급여대장_원본!$A$1:$AZ$400,설정!$B$8,0),0),""))&amp;"",",","")),""))</f>
        <v/>
      </c>
      <c r="P123" s="2">
        <f>IF(OR(설정!$C$19="",IFERROR(MATCH(설정!$C$19,INDEX(급여대장_원본!$A$1:$AZ$400,설정!$B$8,0),0),"")=""),"",IFERROR(VALUE(SUBSTITUTE(INDEX(급여대장_원본!$A$1:$AZ$400,(설정!$B$8+117),IFERROR(MATCH(설정!$C$19,INDEX(급여대장_원본!$A$1:$AZ$400,설정!$B$8,0),0),""))&amp;"",",","")),""))</f>
        <v/>
      </c>
      <c r="Q123" s="2">
        <f>IF(OR(설정!$C$20="",IFERROR(MATCH(설정!$C$20,INDEX(급여대장_원본!$A$1:$AZ$400,설정!$B$8,0),0),"")=""),"",IFERROR(VALUE(SUBSTITUTE(INDEX(급여대장_원본!$A$1:$AZ$400,(설정!$B$8+117),IFERROR(MATCH(설정!$C$20,INDEX(급여대장_원본!$A$1:$AZ$400,설정!$B$8,0),0),""))&amp;"",",","")),""))</f>
        <v/>
      </c>
      <c r="R123" s="2">
        <f>IF(OR(설정!$C$21="",IFERROR(MATCH(설정!$C$21,INDEX(급여대장_원본!$A$1:$AZ$400,설정!$B$8,0),0),"")=""),"",IFERROR(VALUE(SUBSTITUTE(INDEX(급여대장_원본!$A$1:$AZ$400,(설정!$B$8+117),IFERROR(MATCH(설정!$C$21,INDEX(급여대장_원본!$A$1:$AZ$400,설정!$B$8,0),0),""))&amp;"",",","")),""))</f>
        <v/>
      </c>
      <c r="S123" s="2">
        <f>IF(OR(설정!$C$22="",IFERROR(MATCH(설정!$C$22,INDEX(급여대장_원본!$A$1:$AZ$400,설정!$B$8,0),0),"")=""),"",IFERROR(VALUE(SUBSTITUTE(INDEX(급여대장_원본!$A$1:$AZ$400,(설정!$B$8+117),IFERROR(MATCH(설정!$C$22,INDEX(급여대장_원본!$A$1:$AZ$400,설정!$B$8,0),0),""))&amp;"",",","")),""))</f>
        <v/>
      </c>
      <c r="T123" s="2">
        <f>IF(OR(설정!$C$23="",IFERROR(MATCH(설정!$C$23,INDEX(급여대장_원본!$A$1:$AZ$400,설정!$B$8,0),0),"")=""),"",IFERROR(VALUE(SUBSTITUTE(INDEX(급여대장_원본!$A$1:$AZ$400,(설정!$B$8+117),IFERROR(MATCH(설정!$C$23,INDEX(급여대장_원본!$A$1:$AZ$400,설정!$B$8,0),0),""))&amp;"",",","")),""))</f>
        <v/>
      </c>
      <c r="U123" s="2">
        <f>IF(OR(설정!$C$24="",IFERROR(MATCH(설정!$C$24,INDEX(급여대장_원본!$A$1:$AZ$400,설정!$B$8,0),0),"")=""),"",IFERROR(VALUE(SUBSTITUTE(INDEX(급여대장_원본!$A$1:$AZ$400,(설정!$B$8+117),IFERROR(MATCH(설정!$C$24,INDEX(급여대장_원본!$A$1:$AZ$400,설정!$B$8,0),0),""))&amp;"",",","")),""))</f>
        <v/>
      </c>
      <c r="V123" s="27">
        <f>SUM(F123:M123)</f>
        <v/>
      </c>
      <c r="W123" s="27">
        <f>IF(설정!$D$26="",0,IFERROR(VALUE(SUBSTITUTE(SUBSTITUTE(INDEX(급여대장_원본!$A$1:$AZ$400,(설정!$B$8+117),설정!$D$26)&amp;"",",",""),"　","")),0))</f>
        <v/>
      </c>
      <c r="X123" s="27">
        <f>IF(설정!$D$27="",0,IFERROR(VALUE(SUBSTITUTE(SUBSTITUTE(INDEX(급여대장_원본!$A$1:$AZ$400,(설정!$B$8+117),설정!$D$27)&amp;"",",",""),"　","")),0))</f>
        <v/>
      </c>
      <c r="Y123" s="27">
        <f>IF(설정!$D$28="",0,IFERROR(VALUE(SUBSTITUTE(SUBSTITUTE(INDEX(급여대장_원본!$A$1:$AZ$400,(설정!$B$8+117),설정!$D$28)&amp;"",",",""),"　","")),0))</f>
        <v/>
      </c>
      <c r="Z123" s="27">
        <f>IF(설정!$D$29="",0,IFERROR(VALUE(SUBSTITUTE(SUBSTITUTE(INDEX(급여대장_원본!$A$1:$AZ$400,(설정!$B$8+117),설정!$D$29)&amp;"",",",""),"　","")),0))</f>
        <v/>
      </c>
      <c r="AA123" s="27">
        <f>IF(설정!$D$30="",0,IFERROR(VALUE(SUBSTITUTE(SUBSTITUTE(INDEX(급여대장_원본!$A$1:$AZ$400,(설정!$B$8+117),설정!$D$30)&amp;"",",",""),"　","")),0))</f>
        <v/>
      </c>
      <c r="AB123" s="27">
        <f>IF(설정!$D$31="",0,IFERROR(VALUE(SUBSTITUTE(SUBSTITUTE(INDEX(급여대장_원본!$A$1:$AZ$400,(설정!$B$8+117),설정!$D$31)&amp;"",",",""),"　","")),0))</f>
        <v/>
      </c>
      <c r="AC123" s="27">
        <f>IF(설정!$D$32="",0,IFERROR(VALUE(SUBSTITUTE(SUBSTITUTE(INDEX(급여대장_원본!$A$1:$AZ$400,(설정!$B$8+117),설정!$D$32)&amp;"",",",""),"　","")),0))</f>
        <v/>
      </c>
      <c r="AD123" s="27">
        <f>IF(설정!$D$33="",0,IFERROR(VALUE(SUBSTITUTE(SUBSTITUTE(INDEX(급여대장_원본!$A$1:$AZ$400,(설정!$B$8+117),설정!$D$33)&amp;"",",",""),"　","")),0))</f>
        <v/>
      </c>
      <c r="AE123" s="27">
        <f>SUM(W123:AD123)</f>
        <v/>
      </c>
      <c r="AF123" s="27">
        <f>V123-AE123</f>
        <v/>
      </c>
      <c r="AG123" s="27">
        <f>IF(설정!$D$35="","",IF(설정!$D$35="",0,IFERROR(VALUE(SUBSTITUTE(SUBSTITUTE(INDEX(급여대장_원본!$A$1:$AZ$400,(설정!$B$8+117),설정!$D$35)&amp;"",",",""),"　","")),0)))</f>
        <v/>
      </c>
      <c r="AH123" s="27">
        <f>IF(설정!$D$36="","",IF(설정!$D$36="",0,IFERROR(VALUE(SUBSTITUTE(SUBSTITUTE(INDEX(급여대장_원본!$A$1:$AZ$400,(설정!$B$8+117),설정!$D$36)&amp;"",",",""),"　","")),0)))</f>
        <v/>
      </c>
      <c r="AI123" s="27">
        <f>IF(설정!$D$37="","",IF(설정!$D$37="",0,IFERROR(VALUE(SUBSTITUTE(SUBSTITUTE(INDEX(급여대장_원본!$A$1:$AZ$400,(설정!$B$8+117),설정!$D$37)&amp;"",",",""),"　","")),0)))</f>
        <v/>
      </c>
      <c r="AJ123" s="2">
        <f>IFERROR(INDEX($D$7:$D$306,MATCH(117,$B$7:$B$306,0)),"")</f>
        <v/>
      </c>
    </row>
    <row r="124">
      <c r="A124" s="2">
        <f>IF(AND(D124&lt;&gt;"",D124&lt;&gt;"합계",D124&lt;&gt;"총계",D124&lt;&gt;"소계",D124&lt;&gt;"계"),1,0)</f>
        <v/>
      </c>
      <c r="B124" s="2">
        <f>IF(A124=1,SUM($A$7:A124),"")</f>
        <v/>
      </c>
      <c r="C124" s="2">
        <f>IF(설정!$D$13="","",TRIM(SUBSTITUTE(INDEX(급여대장_원본!$A$1:$AZ$400,(설정!$B$8+118),설정!$D$13)&amp;"","　"," ")))</f>
        <v/>
      </c>
      <c r="D124" s="2">
        <f>IF(설정!$D$14="","",TRIM(SUBSTITUTE(INDEX(급여대장_원본!$A$1:$AZ$400,(설정!$B$8+118),설정!$D$14)&amp;"","　"," ")))</f>
        <v/>
      </c>
      <c r="E124" s="2">
        <f>IF(설정!$D$15="","",TRIM(SUBSTITUTE(INDEX(급여대장_원본!$A$1:$AZ$400,(설정!$B$8+118),설정!$D$15)&amp;"","　"," ")))</f>
        <v/>
      </c>
      <c r="F124" s="27">
        <f>IF(설정!$D$17="",0,IFERROR(VALUE(SUBSTITUTE(SUBSTITUTE(INDEX(급여대장_원본!$A$1:$AZ$400,(설정!$B$8+118),설정!$D$17)&amp;"",",",""),"　","")),0))</f>
        <v/>
      </c>
      <c r="G124" s="27">
        <f>IF(설정!$D$18="",0,IFERROR(VALUE(SUBSTITUTE(SUBSTITUTE(INDEX(급여대장_원본!$A$1:$AZ$400,(설정!$B$8+118),설정!$D$18)&amp;"",",",""),"　","")),0))</f>
        <v/>
      </c>
      <c r="H124" s="27">
        <f>IF(설정!$D$19="",0,IFERROR(VALUE(SUBSTITUTE(SUBSTITUTE(INDEX(급여대장_원본!$A$1:$AZ$400,(설정!$B$8+118),설정!$D$19)&amp;"",",",""),"　","")),0))</f>
        <v/>
      </c>
      <c r="I124" s="27">
        <f>IF(설정!$D$20="",0,IFERROR(VALUE(SUBSTITUTE(SUBSTITUTE(INDEX(급여대장_원본!$A$1:$AZ$400,(설정!$B$8+118),설정!$D$20)&amp;"",",",""),"　","")),0))</f>
        <v/>
      </c>
      <c r="J124" s="27">
        <f>IF(설정!$D$21="",0,IFERROR(VALUE(SUBSTITUTE(SUBSTITUTE(INDEX(급여대장_원본!$A$1:$AZ$400,(설정!$B$8+118),설정!$D$21)&amp;"",",",""),"　","")),0))</f>
        <v/>
      </c>
      <c r="K124" s="27">
        <f>IF(설정!$D$22="",0,IFERROR(VALUE(SUBSTITUTE(SUBSTITUTE(INDEX(급여대장_원본!$A$1:$AZ$400,(설정!$B$8+118),설정!$D$22)&amp;"",",",""),"　","")),0))</f>
        <v/>
      </c>
      <c r="L124" s="27">
        <f>IF(설정!$D$23="",0,IFERROR(VALUE(SUBSTITUTE(SUBSTITUTE(INDEX(급여대장_원본!$A$1:$AZ$400,(설정!$B$8+118),설정!$D$23)&amp;"",",",""),"　","")),0))</f>
        <v/>
      </c>
      <c r="M124" s="27">
        <f>IF(설정!$D$24="",0,IFERROR(VALUE(SUBSTITUTE(SUBSTITUTE(INDEX(급여대장_원본!$A$1:$AZ$400,(설정!$B$8+118),설정!$D$24)&amp;"",",",""),"　","")),0))</f>
        <v/>
      </c>
      <c r="N124" s="2">
        <f>IF(OR(설정!$C$17="",IFERROR(MATCH(설정!$C$17,INDEX(급여대장_원본!$A$1:$AZ$400,설정!$B$8,0),0),"")=""),"",IFERROR(VALUE(SUBSTITUTE(INDEX(급여대장_원본!$A$1:$AZ$400,(설정!$B$8+118),IFERROR(MATCH(설정!$C$17,INDEX(급여대장_원본!$A$1:$AZ$400,설정!$B$8,0),0),""))&amp;"",",","")),""))</f>
        <v/>
      </c>
      <c r="O124" s="2">
        <f>IF(OR(설정!$C$18="",IFERROR(MATCH(설정!$C$18,INDEX(급여대장_원본!$A$1:$AZ$400,설정!$B$8,0),0),"")=""),"",IFERROR(VALUE(SUBSTITUTE(INDEX(급여대장_원본!$A$1:$AZ$400,(설정!$B$8+118),IFERROR(MATCH(설정!$C$18,INDEX(급여대장_원본!$A$1:$AZ$400,설정!$B$8,0),0),""))&amp;"",",","")),""))</f>
        <v/>
      </c>
      <c r="P124" s="2">
        <f>IF(OR(설정!$C$19="",IFERROR(MATCH(설정!$C$19,INDEX(급여대장_원본!$A$1:$AZ$400,설정!$B$8,0),0),"")=""),"",IFERROR(VALUE(SUBSTITUTE(INDEX(급여대장_원본!$A$1:$AZ$400,(설정!$B$8+118),IFERROR(MATCH(설정!$C$19,INDEX(급여대장_원본!$A$1:$AZ$400,설정!$B$8,0),0),""))&amp;"",",","")),""))</f>
        <v/>
      </c>
      <c r="Q124" s="2">
        <f>IF(OR(설정!$C$20="",IFERROR(MATCH(설정!$C$20,INDEX(급여대장_원본!$A$1:$AZ$400,설정!$B$8,0),0),"")=""),"",IFERROR(VALUE(SUBSTITUTE(INDEX(급여대장_원본!$A$1:$AZ$400,(설정!$B$8+118),IFERROR(MATCH(설정!$C$20,INDEX(급여대장_원본!$A$1:$AZ$400,설정!$B$8,0),0),""))&amp;"",",","")),""))</f>
        <v/>
      </c>
      <c r="R124" s="2">
        <f>IF(OR(설정!$C$21="",IFERROR(MATCH(설정!$C$21,INDEX(급여대장_원본!$A$1:$AZ$400,설정!$B$8,0),0),"")=""),"",IFERROR(VALUE(SUBSTITUTE(INDEX(급여대장_원본!$A$1:$AZ$400,(설정!$B$8+118),IFERROR(MATCH(설정!$C$21,INDEX(급여대장_원본!$A$1:$AZ$400,설정!$B$8,0),0),""))&amp;"",",","")),""))</f>
        <v/>
      </c>
      <c r="S124" s="2">
        <f>IF(OR(설정!$C$22="",IFERROR(MATCH(설정!$C$22,INDEX(급여대장_원본!$A$1:$AZ$400,설정!$B$8,0),0),"")=""),"",IFERROR(VALUE(SUBSTITUTE(INDEX(급여대장_원본!$A$1:$AZ$400,(설정!$B$8+118),IFERROR(MATCH(설정!$C$22,INDEX(급여대장_원본!$A$1:$AZ$400,설정!$B$8,0),0),""))&amp;"",",","")),""))</f>
        <v/>
      </c>
      <c r="T124" s="2">
        <f>IF(OR(설정!$C$23="",IFERROR(MATCH(설정!$C$23,INDEX(급여대장_원본!$A$1:$AZ$400,설정!$B$8,0),0),"")=""),"",IFERROR(VALUE(SUBSTITUTE(INDEX(급여대장_원본!$A$1:$AZ$400,(설정!$B$8+118),IFERROR(MATCH(설정!$C$23,INDEX(급여대장_원본!$A$1:$AZ$400,설정!$B$8,0),0),""))&amp;"",",","")),""))</f>
        <v/>
      </c>
      <c r="U124" s="2">
        <f>IF(OR(설정!$C$24="",IFERROR(MATCH(설정!$C$24,INDEX(급여대장_원본!$A$1:$AZ$400,설정!$B$8,0),0),"")=""),"",IFERROR(VALUE(SUBSTITUTE(INDEX(급여대장_원본!$A$1:$AZ$400,(설정!$B$8+118),IFERROR(MATCH(설정!$C$24,INDEX(급여대장_원본!$A$1:$AZ$400,설정!$B$8,0),0),""))&amp;"",",","")),""))</f>
        <v/>
      </c>
      <c r="V124" s="27">
        <f>SUM(F124:M124)</f>
        <v/>
      </c>
      <c r="W124" s="27">
        <f>IF(설정!$D$26="",0,IFERROR(VALUE(SUBSTITUTE(SUBSTITUTE(INDEX(급여대장_원본!$A$1:$AZ$400,(설정!$B$8+118),설정!$D$26)&amp;"",",",""),"　","")),0))</f>
        <v/>
      </c>
      <c r="X124" s="27">
        <f>IF(설정!$D$27="",0,IFERROR(VALUE(SUBSTITUTE(SUBSTITUTE(INDEX(급여대장_원본!$A$1:$AZ$400,(설정!$B$8+118),설정!$D$27)&amp;"",",",""),"　","")),0))</f>
        <v/>
      </c>
      <c r="Y124" s="27">
        <f>IF(설정!$D$28="",0,IFERROR(VALUE(SUBSTITUTE(SUBSTITUTE(INDEX(급여대장_원본!$A$1:$AZ$400,(설정!$B$8+118),설정!$D$28)&amp;"",",",""),"　","")),0))</f>
        <v/>
      </c>
      <c r="Z124" s="27">
        <f>IF(설정!$D$29="",0,IFERROR(VALUE(SUBSTITUTE(SUBSTITUTE(INDEX(급여대장_원본!$A$1:$AZ$400,(설정!$B$8+118),설정!$D$29)&amp;"",",",""),"　","")),0))</f>
        <v/>
      </c>
      <c r="AA124" s="27">
        <f>IF(설정!$D$30="",0,IFERROR(VALUE(SUBSTITUTE(SUBSTITUTE(INDEX(급여대장_원본!$A$1:$AZ$400,(설정!$B$8+118),설정!$D$30)&amp;"",",",""),"　","")),0))</f>
        <v/>
      </c>
      <c r="AB124" s="27">
        <f>IF(설정!$D$31="",0,IFERROR(VALUE(SUBSTITUTE(SUBSTITUTE(INDEX(급여대장_원본!$A$1:$AZ$400,(설정!$B$8+118),설정!$D$31)&amp;"",",",""),"　","")),0))</f>
        <v/>
      </c>
      <c r="AC124" s="27">
        <f>IF(설정!$D$32="",0,IFERROR(VALUE(SUBSTITUTE(SUBSTITUTE(INDEX(급여대장_원본!$A$1:$AZ$400,(설정!$B$8+118),설정!$D$32)&amp;"",",",""),"　","")),0))</f>
        <v/>
      </c>
      <c r="AD124" s="27">
        <f>IF(설정!$D$33="",0,IFERROR(VALUE(SUBSTITUTE(SUBSTITUTE(INDEX(급여대장_원본!$A$1:$AZ$400,(설정!$B$8+118),설정!$D$33)&amp;"",",",""),"　","")),0))</f>
        <v/>
      </c>
      <c r="AE124" s="27">
        <f>SUM(W124:AD124)</f>
        <v/>
      </c>
      <c r="AF124" s="27">
        <f>V124-AE124</f>
        <v/>
      </c>
      <c r="AG124" s="27">
        <f>IF(설정!$D$35="","",IF(설정!$D$35="",0,IFERROR(VALUE(SUBSTITUTE(SUBSTITUTE(INDEX(급여대장_원본!$A$1:$AZ$400,(설정!$B$8+118),설정!$D$35)&amp;"",",",""),"　","")),0)))</f>
        <v/>
      </c>
      <c r="AH124" s="27">
        <f>IF(설정!$D$36="","",IF(설정!$D$36="",0,IFERROR(VALUE(SUBSTITUTE(SUBSTITUTE(INDEX(급여대장_원본!$A$1:$AZ$400,(설정!$B$8+118),설정!$D$36)&amp;"",",",""),"　","")),0)))</f>
        <v/>
      </c>
      <c r="AI124" s="27">
        <f>IF(설정!$D$37="","",IF(설정!$D$37="",0,IFERROR(VALUE(SUBSTITUTE(SUBSTITUTE(INDEX(급여대장_원본!$A$1:$AZ$400,(설정!$B$8+118),설정!$D$37)&amp;"",",",""),"　","")),0)))</f>
        <v/>
      </c>
      <c r="AJ124" s="2">
        <f>IFERROR(INDEX($D$7:$D$306,MATCH(118,$B$7:$B$306,0)),"")</f>
        <v/>
      </c>
    </row>
    <row r="125">
      <c r="A125" s="2">
        <f>IF(AND(D125&lt;&gt;"",D125&lt;&gt;"합계",D125&lt;&gt;"총계",D125&lt;&gt;"소계",D125&lt;&gt;"계"),1,0)</f>
        <v/>
      </c>
      <c r="B125" s="2">
        <f>IF(A125=1,SUM($A$7:A125),"")</f>
        <v/>
      </c>
      <c r="C125" s="2">
        <f>IF(설정!$D$13="","",TRIM(SUBSTITUTE(INDEX(급여대장_원본!$A$1:$AZ$400,(설정!$B$8+119),설정!$D$13)&amp;"","　"," ")))</f>
        <v/>
      </c>
      <c r="D125" s="2">
        <f>IF(설정!$D$14="","",TRIM(SUBSTITUTE(INDEX(급여대장_원본!$A$1:$AZ$400,(설정!$B$8+119),설정!$D$14)&amp;"","　"," ")))</f>
        <v/>
      </c>
      <c r="E125" s="2">
        <f>IF(설정!$D$15="","",TRIM(SUBSTITUTE(INDEX(급여대장_원본!$A$1:$AZ$400,(설정!$B$8+119),설정!$D$15)&amp;"","　"," ")))</f>
        <v/>
      </c>
      <c r="F125" s="27">
        <f>IF(설정!$D$17="",0,IFERROR(VALUE(SUBSTITUTE(SUBSTITUTE(INDEX(급여대장_원본!$A$1:$AZ$400,(설정!$B$8+119),설정!$D$17)&amp;"",",",""),"　","")),0))</f>
        <v/>
      </c>
      <c r="G125" s="27">
        <f>IF(설정!$D$18="",0,IFERROR(VALUE(SUBSTITUTE(SUBSTITUTE(INDEX(급여대장_원본!$A$1:$AZ$400,(설정!$B$8+119),설정!$D$18)&amp;"",",",""),"　","")),0))</f>
        <v/>
      </c>
      <c r="H125" s="27">
        <f>IF(설정!$D$19="",0,IFERROR(VALUE(SUBSTITUTE(SUBSTITUTE(INDEX(급여대장_원본!$A$1:$AZ$400,(설정!$B$8+119),설정!$D$19)&amp;"",",",""),"　","")),0))</f>
        <v/>
      </c>
      <c r="I125" s="27">
        <f>IF(설정!$D$20="",0,IFERROR(VALUE(SUBSTITUTE(SUBSTITUTE(INDEX(급여대장_원본!$A$1:$AZ$400,(설정!$B$8+119),설정!$D$20)&amp;"",",",""),"　","")),0))</f>
        <v/>
      </c>
      <c r="J125" s="27">
        <f>IF(설정!$D$21="",0,IFERROR(VALUE(SUBSTITUTE(SUBSTITUTE(INDEX(급여대장_원본!$A$1:$AZ$400,(설정!$B$8+119),설정!$D$21)&amp;"",",",""),"　","")),0))</f>
        <v/>
      </c>
      <c r="K125" s="27">
        <f>IF(설정!$D$22="",0,IFERROR(VALUE(SUBSTITUTE(SUBSTITUTE(INDEX(급여대장_원본!$A$1:$AZ$400,(설정!$B$8+119),설정!$D$22)&amp;"",",",""),"　","")),0))</f>
        <v/>
      </c>
      <c r="L125" s="27">
        <f>IF(설정!$D$23="",0,IFERROR(VALUE(SUBSTITUTE(SUBSTITUTE(INDEX(급여대장_원본!$A$1:$AZ$400,(설정!$B$8+119),설정!$D$23)&amp;"",",",""),"　","")),0))</f>
        <v/>
      </c>
      <c r="M125" s="27">
        <f>IF(설정!$D$24="",0,IFERROR(VALUE(SUBSTITUTE(SUBSTITUTE(INDEX(급여대장_원본!$A$1:$AZ$400,(설정!$B$8+119),설정!$D$24)&amp;"",",",""),"　","")),0))</f>
        <v/>
      </c>
      <c r="N125" s="2">
        <f>IF(OR(설정!$C$17="",IFERROR(MATCH(설정!$C$17,INDEX(급여대장_원본!$A$1:$AZ$400,설정!$B$8,0),0),"")=""),"",IFERROR(VALUE(SUBSTITUTE(INDEX(급여대장_원본!$A$1:$AZ$400,(설정!$B$8+119),IFERROR(MATCH(설정!$C$17,INDEX(급여대장_원본!$A$1:$AZ$400,설정!$B$8,0),0),""))&amp;"",",","")),""))</f>
        <v/>
      </c>
      <c r="O125" s="2">
        <f>IF(OR(설정!$C$18="",IFERROR(MATCH(설정!$C$18,INDEX(급여대장_원본!$A$1:$AZ$400,설정!$B$8,0),0),"")=""),"",IFERROR(VALUE(SUBSTITUTE(INDEX(급여대장_원본!$A$1:$AZ$400,(설정!$B$8+119),IFERROR(MATCH(설정!$C$18,INDEX(급여대장_원본!$A$1:$AZ$400,설정!$B$8,0),0),""))&amp;"",",","")),""))</f>
        <v/>
      </c>
      <c r="P125" s="2">
        <f>IF(OR(설정!$C$19="",IFERROR(MATCH(설정!$C$19,INDEX(급여대장_원본!$A$1:$AZ$400,설정!$B$8,0),0),"")=""),"",IFERROR(VALUE(SUBSTITUTE(INDEX(급여대장_원본!$A$1:$AZ$400,(설정!$B$8+119),IFERROR(MATCH(설정!$C$19,INDEX(급여대장_원본!$A$1:$AZ$400,설정!$B$8,0),0),""))&amp;"",",","")),""))</f>
        <v/>
      </c>
      <c r="Q125" s="2">
        <f>IF(OR(설정!$C$20="",IFERROR(MATCH(설정!$C$20,INDEX(급여대장_원본!$A$1:$AZ$400,설정!$B$8,0),0),"")=""),"",IFERROR(VALUE(SUBSTITUTE(INDEX(급여대장_원본!$A$1:$AZ$400,(설정!$B$8+119),IFERROR(MATCH(설정!$C$20,INDEX(급여대장_원본!$A$1:$AZ$400,설정!$B$8,0),0),""))&amp;"",",","")),""))</f>
        <v/>
      </c>
      <c r="R125" s="2">
        <f>IF(OR(설정!$C$21="",IFERROR(MATCH(설정!$C$21,INDEX(급여대장_원본!$A$1:$AZ$400,설정!$B$8,0),0),"")=""),"",IFERROR(VALUE(SUBSTITUTE(INDEX(급여대장_원본!$A$1:$AZ$400,(설정!$B$8+119),IFERROR(MATCH(설정!$C$21,INDEX(급여대장_원본!$A$1:$AZ$400,설정!$B$8,0),0),""))&amp;"",",","")),""))</f>
        <v/>
      </c>
      <c r="S125" s="2">
        <f>IF(OR(설정!$C$22="",IFERROR(MATCH(설정!$C$22,INDEX(급여대장_원본!$A$1:$AZ$400,설정!$B$8,0),0),"")=""),"",IFERROR(VALUE(SUBSTITUTE(INDEX(급여대장_원본!$A$1:$AZ$400,(설정!$B$8+119),IFERROR(MATCH(설정!$C$22,INDEX(급여대장_원본!$A$1:$AZ$400,설정!$B$8,0),0),""))&amp;"",",","")),""))</f>
        <v/>
      </c>
      <c r="T125" s="2">
        <f>IF(OR(설정!$C$23="",IFERROR(MATCH(설정!$C$23,INDEX(급여대장_원본!$A$1:$AZ$400,설정!$B$8,0),0),"")=""),"",IFERROR(VALUE(SUBSTITUTE(INDEX(급여대장_원본!$A$1:$AZ$400,(설정!$B$8+119),IFERROR(MATCH(설정!$C$23,INDEX(급여대장_원본!$A$1:$AZ$400,설정!$B$8,0),0),""))&amp;"",",","")),""))</f>
        <v/>
      </c>
      <c r="U125" s="2">
        <f>IF(OR(설정!$C$24="",IFERROR(MATCH(설정!$C$24,INDEX(급여대장_원본!$A$1:$AZ$400,설정!$B$8,0),0),"")=""),"",IFERROR(VALUE(SUBSTITUTE(INDEX(급여대장_원본!$A$1:$AZ$400,(설정!$B$8+119),IFERROR(MATCH(설정!$C$24,INDEX(급여대장_원본!$A$1:$AZ$400,설정!$B$8,0),0),""))&amp;"",",","")),""))</f>
        <v/>
      </c>
      <c r="V125" s="27">
        <f>SUM(F125:M125)</f>
        <v/>
      </c>
      <c r="W125" s="27">
        <f>IF(설정!$D$26="",0,IFERROR(VALUE(SUBSTITUTE(SUBSTITUTE(INDEX(급여대장_원본!$A$1:$AZ$400,(설정!$B$8+119),설정!$D$26)&amp;"",",",""),"　","")),0))</f>
        <v/>
      </c>
      <c r="X125" s="27">
        <f>IF(설정!$D$27="",0,IFERROR(VALUE(SUBSTITUTE(SUBSTITUTE(INDEX(급여대장_원본!$A$1:$AZ$400,(설정!$B$8+119),설정!$D$27)&amp;"",",",""),"　","")),0))</f>
        <v/>
      </c>
      <c r="Y125" s="27">
        <f>IF(설정!$D$28="",0,IFERROR(VALUE(SUBSTITUTE(SUBSTITUTE(INDEX(급여대장_원본!$A$1:$AZ$400,(설정!$B$8+119),설정!$D$28)&amp;"",",",""),"　","")),0))</f>
        <v/>
      </c>
      <c r="Z125" s="27">
        <f>IF(설정!$D$29="",0,IFERROR(VALUE(SUBSTITUTE(SUBSTITUTE(INDEX(급여대장_원본!$A$1:$AZ$400,(설정!$B$8+119),설정!$D$29)&amp;"",",",""),"　","")),0))</f>
        <v/>
      </c>
      <c r="AA125" s="27">
        <f>IF(설정!$D$30="",0,IFERROR(VALUE(SUBSTITUTE(SUBSTITUTE(INDEX(급여대장_원본!$A$1:$AZ$400,(설정!$B$8+119),설정!$D$30)&amp;"",",",""),"　","")),0))</f>
        <v/>
      </c>
      <c r="AB125" s="27">
        <f>IF(설정!$D$31="",0,IFERROR(VALUE(SUBSTITUTE(SUBSTITUTE(INDEX(급여대장_원본!$A$1:$AZ$400,(설정!$B$8+119),설정!$D$31)&amp;"",",",""),"　","")),0))</f>
        <v/>
      </c>
      <c r="AC125" s="27">
        <f>IF(설정!$D$32="",0,IFERROR(VALUE(SUBSTITUTE(SUBSTITUTE(INDEX(급여대장_원본!$A$1:$AZ$400,(설정!$B$8+119),설정!$D$32)&amp;"",",",""),"　","")),0))</f>
        <v/>
      </c>
      <c r="AD125" s="27">
        <f>IF(설정!$D$33="",0,IFERROR(VALUE(SUBSTITUTE(SUBSTITUTE(INDEX(급여대장_원본!$A$1:$AZ$400,(설정!$B$8+119),설정!$D$33)&amp;"",",",""),"　","")),0))</f>
        <v/>
      </c>
      <c r="AE125" s="27">
        <f>SUM(W125:AD125)</f>
        <v/>
      </c>
      <c r="AF125" s="27">
        <f>V125-AE125</f>
        <v/>
      </c>
      <c r="AG125" s="27">
        <f>IF(설정!$D$35="","",IF(설정!$D$35="",0,IFERROR(VALUE(SUBSTITUTE(SUBSTITUTE(INDEX(급여대장_원본!$A$1:$AZ$400,(설정!$B$8+119),설정!$D$35)&amp;"",",",""),"　","")),0)))</f>
        <v/>
      </c>
      <c r="AH125" s="27">
        <f>IF(설정!$D$36="","",IF(설정!$D$36="",0,IFERROR(VALUE(SUBSTITUTE(SUBSTITUTE(INDEX(급여대장_원본!$A$1:$AZ$400,(설정!$B$8+119),설정!$D$36)&amp;"",",",""),"　","")),0)))</f>
        <v/>
      </c>
      <c r="AI125" s="27">
        <f>IF(설정!$D$37="","",IF(설정!$D$37="",0,IFERROR(VALUE(SUBSTITUTE(SUBSTITUTE(INDEX(급여대장_원본!$A$1:$AZ$400,(설정!$B$8+119),설정!$D$37)&amp;"",",",""),"　","")),0)))</f>
        <v/>
      </c>
      <c r="AJ125" s="2">
        <f>IFERROR(INDEX($D$7:$D$306,MATCH(119,$B$7:$B$306,0)),"")</f>
        <v/>
      </c>
    </row>
    <row r="126">
      <c r="A126" s="2">
        <f>IF(AND(D126&lt;&gt;"",D126&lt;&gt;"합계",D126&lt;&gt;"총계",D126&lt;&gt;"소계",D126&lt;&gt;"계"),1,0)</f>
        <v/>
      </c>
      <c r="B126" s="2">
        <f>IF(A126=1,SUM($A$7:A126),"")</f>
        <v/>
      </c>
      <c r="C126" s="2">
        <f>IF(설정!$D$13="","",TRIM(SUBSTITUTE(INDEX(급여대장_원본!$A$1:$AZ$400,(설정!$B$8+120),설정!$D$13)&amp;"","　"," ")))</f>
        <v/>
      </c>
      <c r="D126" s="2">
        <f>IF(설정!$D$14="","",TRIM(SUBSTITUTE(INDEX(급여대장_원본!$A$1:$AZ$400,(설정!$B$8+120),설정!$D$14)&amp;"","　"," ")))</f>
        <v/>
      </c>
      <c r="E126" s="2">
        <f>IF(설정!$D$15="","",TRIM(SUBSTITUTE(INDEX(급여대장_원본!$A$1:$AZ$400,(설정!$B$8+120),설정!$D$15)&amp;"","　"," ")))</f>
        <v/>
      </c>
      <c r="F126" s="27">
        <f>IF(설정!$D$17="",0,IFERROR(VALUE(SUBSTITUTE(SUBSTITUTE(INDEX(급여대장_원본!$A$1:$AZ$400,(설정!$B$8+120),설정!$D$17)&amp;"",",",""),"　","")),0))</f>
        <v/>
      </c>
      <c r="G126" s="27">
        <f>IF(설정!$D$18="",0,IFERROR(VALUE(SUBSTITUTE(SUBSTITUTE(INDEX(급여대장_원본!$A$1:$AZ$400,(설정!$B$8+120),설정!$D$18)&amp;"",",",""),"　","")),0))</f>
        <v/>
      </c>
      <c r="H126" s="27">
        <f>IF(설정!$D$19="",0,IFERROR(VALUE(SUBSTITUTE(SUBSTITUTE(INDEX(급여대장_원본!$A$1:$AZ$400,(설정!$B$8+120),설정!$D$19)&amp;"",",",""),"　","")),0))</f>
        <v/>
      </c>
      <c r="I126" s="27">
        <f>IF(설정!$D$20="",0,IFERROR(VALUE(SUBSTITUTE(SUBSTITUTE(INDEX(급여대장_원본!$A$1:$AZ$400,(설정!$B$8+120),설정!$D$20)&amp;"",",",""),"　","")),0))</f>
        <v/>
      </c>
      <c r="J126" s="27">
        <f>IF(설정!$D$21="",0,IFERROR(VALUE(SUBSTITUTE(SUBSTITUTE(INDEX(급여대장_원본!$A$1:$AZ$400,(설정!$B$8+120),설정!$D$21)&amp;"",",",""),"　","")),0))</f>
        <v/>
      </c>
      <c r="K126" s="27">
        <f>IF(설정!$D$22="",0,IFERROR(VALUE(SUBSTITUTE(SUBSTITUTE(INDEX(급여대장_원본!$A$1:$AZ$400,(설정!$B$8+120),설정!$D$22)&amp;"",",",""),"　","")),0))</f>
        <v/>
      </c>
      <c r="L126" s="27">
        <f>IF(설정!$D$23="",0,IFERROR(VALUE(SUBSTITUTE(SUBSTITUTE(INDEX(급여대장_원본!$A$1:$AZ$400,(설정!$B$8+120),설정!$D$23)&amp;"",",",""),"　","")),0))</f>
        <v/>
      </c>
      <c r="M126" s="27">
        <f>IF(설정!$D$24="",0,IFERROR(VALUE(SUBSTITUTE(SUBSTITUTE(INDEX(급여대장_원본!$A$1:$AZ$400,(설정!$B$8+120),설정!$D$24)&amp;"",",",""),"　","")),0))</f>
        <v/>
      </c>
      <c r="N126" s="2">
        <f>IF(OR(설정!$C$17="",IFERROR(MATCH(설정!$C$17,INDEX(급여대장_원본!$A$1:$AZ$400,설정!$B$8,0),0),"")=""),"",IFERROR(VALUE(SUBSTITUTE(INDEX(급여대장_원본!$A$1:$AZ$400,(설정!$B$8+120),IFERROR(MATCH(설정!$C$17,INDEX(급여대장_원본!$A$1:$AZ$400,설정!$B$8,0),0),""))&amp;"",",","")),""))</f>
        <v/>
      </c>
      <c r="O126" s="2">
        <f>IF(OR(설정!$C$18="",IFERROR(MATCH(설정!$C$18,INDEX(급여대장_원본!$A$1:$AZ$400,설정!$B$8,0),0),"")=""),"",IFERROR(VALUE(SUBSTITUTE(INDEX(급여대장_원본!$A$1:$AZ$400,(설정!$B$8+120),IFERROR(MATCH(설정!$C$18,INDEX(급여대장_원본!$A$1:$AZ$400,설정!$B$8,0),0),""))&amp;"",",","")),""))</f>
        <v/>
      </c>
      <c r="P126" s="2">
        <f>IF(OR(설정!$C$19="",IFERROR(MATCH(설정!$C$19,INDEX(급여대장_원본!$A$1:$AZ$400,설정!$B$8,0),0),"")=""),"",IFERROR(VALUE(SUBSTITUTE(INDEX(급여대장_원본!$A$1:$AZ$400,(설정!$B$8+120),IFERROR(MATCH(설정!$C$19,INDEX(급여대장_원본!$A$1:$AZ$400,설정!$B$8,0),0),""))&amp;"",",","")),""))</f>
        <v/>
      </c>
      <c r="Q126" s="2">
        <f>IF(OR(설정!$C$20="",IFERROR(MATCH(설정!$C$20,INDEX(급여대장_원본!$A$1:$AZ$400,설정!$B$8,0),0),"")=""),"",IFERROR(VALUE(SUBSTITUTE(INDEX(급여대장_원본!$A$1:$AZ$400,(설정!$B$8+120),IFERROR(MATCH(설정!$C$20,INDEX(급여대장_원본!$A$1:$AZ$400,설정!$B$8,0),0),""))&amp;"",",","")),""))</f>
        <v/>
      </c>
      <c r="R126" s="2">
        <f>IF(OR(설정!$C$21="",IFERROR(MATCH(설정!$C$21,INDEX(급여대장_원본!$A$1:$AZ$400,설정!$B$8,0),0),"")=""),"",IFERROR(VALUE(SUBSTITUTE(INDEX(급여대장_원본!$A$1:$AZ$400,(설정!$B$8+120),IFERROR(MATCH(설정!$C$21,INDEX(급여대장_원본!$A$1:$AZ$400,설정!$B$8,0),0),""))&amp;"",",","")),""))</f>
        <v/>
      </c>
      <c r="S126" s="2">
        <f>IF(OR(설정!$C$22="",IFERROR(MATCH(설정!$C$22,INDEX(급여대장_원본!$A$1:$AZ$400,설정!$B$8,0),0),"")=""),"",IFERROR(VALUE(SUBSTITUTE(INDEX(급여대장_원본!$A$1:$AZ$400,(설정!$B$8+120),IFERROR(MATCH(설정!$C$22,INDEX(급여대장_원본!$A$1:$AZ$400,설정!$B$8,0),0),""))&amp;"",",","")),""))</f>
        <v/>
      </c>
      <c r="T126" s="2">
        <f>IF(OR(설정!$C$23="",IFERROR(MATCH(설정!$C$23,INDEX(급여대장_원본!$A$1:$AZ$400,설정!$B$8,0),0),"")=""),"",IFERROR(VALUE(SUBSTITUTE(INDEX(급여대장_원본!$A$1:$AZ$400,(설정!$B$8+120),IFERROR(MATCH(설정!$C$23,INDEX(급여대장_원본!$A$1:$AZ$400,설정!$B$8,0),0),""))&amp;"",",","")),""))</f>
        <v/>
      </c>
      <c r="U126" s="2">
        <f>IF(OR(설정!$C$24="",IFERROR(MATCH(설정!$C$24,INDEX(급여대장_원본!$A$1:$AZ$400,설정!$B$8,0),0),"")=""),"",IFERROR(VALUE(SUBSTITUTE(INDEX(급여대장_원본!$A$1:$AZ$400,(설정!$B$8+120),IFERROR(MATCH(설정!$C$24,INDEX(급여대장_원본!$A$1:$AZ$400,설정!$B$8,0),0),""))&amp;"",",","")),""))</f>
        <v/>
      </c>
      <c r="V126" s="27">
        <f>SUM(F126:M126)</f>
        <v/>
      </c>
      <c r="W126" s="27">
        <f>IF(설정!$D$26="",0,IFERROR(VALUE(SUBSTITUTE(SUBSTITUTE(INDEX(급여대장_원본!$A$1:$AZ$400,(설정!$B$8+120),설정!$D$26)&amp;"",",",""),"　","")),0))</f>
        <v/>
      </c>
      <c r="X126" s="27">
        <f>IF(설정!$D$27="",0,IFERROR(VALUE(SUBSTITUTE(SUBSTITUTE(INDEX(급여대장_원본!$A$1:$AZ$400,(설정!$B$8+120),설정!$D$27)&amp;"",",",""),"　","")),0))</f>
        <v/>
      </c>
      <c r="Y126" s="27">
        <f>IF(설정!$D$28="",0,IFERROR(VALUE(SUBSTITUTE(SUBSTITUTE(INDEX(급여대장_원본!$A$1:$AZ$400,(설정!$B$8+120),설정!$D$28)&amp;"",",",""),"　","")),0))</f>
        <v/>
      </c>
      <c r="Z126" s="27">
        <f>IF(설정!$D$29="",0,IFERROR(VALUE(SUBSTITUTE(SUBSTITUTE(INDEX(급여대장_원본!$A$1:$AZ$400,(설정!$B$8+120),설정!$D$29)&amp;"",",",""),"　","")),0))</f>
        <v/>
      </c>
      <c r="AA126" s="27">
        <f>IF(설정!$D$30="",0,IFERROR(VALUE(SUBSTITUTE(SUBSTITUTE(INDEX(급여대장_원본!$A$1:$AZ$400,(설정!$B$8+120),설정!$D$30)&amp;"",",",""),"　","")),0))</f>
        <v/>
      </c>
      <c r="AB126" s="27">
        <f>IF(설정!$D$31="",0,IFERROR(VALUE(SUBSTITUTE(SUBSTITUTE(INDEX(급여대장_원본!$A$1:$AZ$400,(설정!$B$8+120),설정!$D$31)&amp;"",",",""),"　","")),0))</f>
        <v/>
      </c>
      <c r="AC126" s="27">
        <f>IF(설정!$D$32="",0,IFERROR(VALUE(SUBSTITUTE(SUBSTITUTE(INDEX(급여대장_원본!$A$1:$AZ$400,(설정!$B$8+120),설정!$D$32)&amp;"",",",""),"　","")),0))</f>
        <v/>
      </c>
      <c r="AD126" s="27">
        <f>IF(설정!$D$33="",0,IFERROR(VALUE(SUBSTITUTE(SUBSTITUTE(INDEX(급여대장_원본!$A$1:$AZ$400,(설정!$B$8+120),설정!$D$33)&amp;"",",",""),"　","")),0))</f>
        <v/>
      </c>
      <c r="AE126" s="27">
        <f>SUM(W126:AD126)</f>
        <v/>
      </c>
      <c r="AF126" s="27">
        <f>V126-AE126</f>
        <v/>
      </c>
      <c r="AG126" s="27">
        <f>IF(설정!$D$35="","",IF(설정!$D$35="",0,IFERROR(VALUE(SUBSTITUTE(SUBSTITUTE(INDEX(급여대장_원본!$A$1:$AZ$400,(설정!$B$8+120),설정!$D$35)&amp;"",",",""),"　","")),0)))</f>
        <v/>
      </c>
      <c r="AH126" s="27">
        <f>IF(설정!$D$36="","",IF(설정!$D$36="",0,IFERROR(VALUE(SUBSTITUTE(SUBSTITUTE(INDEX(급여대장_원본!$A$1:$AZ$400,(설정!$B$8+120),설정!$D$36)&amp;"",",",""),"　","")),0)))</f>
        <v/>
      </c>
      <c r="AI126" s="27">
        <f>IF(설정!$D$37="","",IF(설정!$D$37="",0,IFERROR(VALUE(SUBSTITUTE(SUBSTITUTE(INDEX(급여대장_원본!$A$1:$AZ$400,(설정!$B$8+120),설정!$D$37)&amp;"",",",""),"　","")),0)))</f>
        <v/>
      </c>
      <c r="AJ126" s="2">
        <f>IFERROR(INDEX($D$7:$D$306,MATCH(120,$B$7:$B$306,0)),"")</f>
        <v/>
      </c>
    </row>
    <row r="127">
      <c r="A127" s="2">
        <f>IF(AND(D127&lt;&gt;"",D127&lt;&gt;"합계",D127&lt;&gt;"총계",D127&lt;&gt;"소계",D127&lt;&gt;"계"),1,0)</f>
        <v/>
      </c>
      <c r="B127" s="2">
        <f>IF(A127=1,SUM($A$7:A127),"")</f>
        <v/>
      </c>
      <c r="C127" s="2">
        <f>IF(설정!$D$13="","",TRIM(SUBSTITUTE(INDEX(급여대장_원본!$A$1:$AZ$400,(설정!$B$8+121),설정!$D$13)&amp;"","　"," ")))</f>
        <v/>
      </c>
      <c r="D127" s="2">
        <f>IF(설정!$D$14="","",TRIM(SUBSTITUTE(INDEX(급여대장_원본!$A$1:$AZ$400,(설정!$B$8+121),설정!$D$14)&amp;"","　"," ")))</f>
        <v/>
      </c>
      <c r="E127" s="2">
        <f>IF(설정!$D$15="","",TRIM(SUBSTITUTE(INDEX(급여대장_원본!$A$1:$AZ$400,(설정!$B$8+121),설정!$D$15)&amp;"","　"," ")))</f>
        <v/>
      </c>
      <c r="F127" s="27">
        <f>IF(설정!$D$17="",0,IFERROR(VALUE(SUBSTITUTE(SUBSTITUTE(INDEX(급여대장_원본!$A$1:$AZ$400,(설정!$B$8+121),설정!$D$17)&amp;"",",",""),"　","")),0))</f>
        <v/>
      </c>
      <c r="G127" s="27">
        <f>IF(설정!$D$18="",0,IFERROR(VALUE(SUBSTITUTE(SUBSTITUTE(INDEX(급여대장_원본!$A$1:$AZ$400,(설정!$B$8+121),설정!$D$18)&amp;"",",",""),"　","")),0))</f>
        <v/>
      </c>
      <c r="H127" s="27">
        <f>IF(설정!$D$19="",0,IFERROR(VALUE(SUBSTITUTE(SUBSTITUTE(INDEX(급여대장_원본!$A$1:$AZ$400,(설정!$B$8+121),설정!$D$19)&amp;"",",",""),"　","")),0))</f>
        <v/>
      </c>
      <c r="I127" s="27">
        <f>IF(설정!$D$20="",0,IFERROR(VALUE(SUBSTITUTE(SUBSTITUTE(INDEX(급여대장_원본!$A$1:$AZ$400,(설정!$B$8+121),설정!$D$20)&amp;"",",",""),"　","")),0))</f>
        <v/>
      </c>
      <c r="J127" s="27">
        <f>IF(설정!$D$21="",0,IFERROR(VALUE(SUBSTITUTE(SUBSTITUTE(INDEX(급여대장_원본!$A$1:$AZ$400,(설정!$B$8+121),설정!$D$21)&amp;"",",",""),"　","")),0))</f>
        <v/>
      </c>
      <c r="K127" s="27">
        <f>IF(설정!$D$22="",0,IFERROR(VALUE(SUBSTITUTE(SUBSTITUTE(INDEX(급여대장_원본!$A$1:$AZ$400,(설정!$B$8+121),설정!$D$22)&amp;"",",",""),"　","")),0))</f>
        <v/>
      </c>
      <c r="L127" s="27">
        <f>IF(설정!$D$23="",0,IFERROR(VALUE(SUBSTITUTE(SUBSTITUTE(INDEX(급여대장_원본!$A$1:$AZ$400,(설정!$B$8+121),설정!$D$23)&amp;"",",",""),"　","")),0))</f>
        <v/>
      </c>
      <c r="M127" s="27">
        <f>IF(설정!$D$24="",0,IFERROR(VALUE(SUBSTITUTE(SUBSTITUTE(INDEX(급여대장_원본!$A$1:$AZ$400,(설정!$B$8+121),설정!$D$24)&amp;"",",",""),"　","")),0))</f>
        <v/>
      </c>
      <c r="N127" s="2">
        <f>IF(OR(설정!$C$17="",IFERROR(MATCH(설정!$C$17,INDEX(급여대장_원본!$A$1:$AZ$400,설정!$B$8,0),0),"")=""),"",IFERROR(VALUE(SUBSTITUTE(INDEX(급여대장_원본!$A$1:$AZ$400,(설정!$B$8+121),IFERROR(MATCH(설정!$C$17,INDEX(급여대장_원본!$A$1:$AZ$400,설정!$B$8,0),0),""))&amp;"",",","")),""))</f>
        <v/>
      </c>
      <c r="O127" s="2">
        <f>IF(OR(설정!$C$18="",IFERROR(MATCH(설정!$C$18,INDEX(급여대장_원본!$A$1:$AZ$400,설정!$B$8,0),0),"")=""),"",IFERROR(VALUE(SUBSTITUTE(INDEX(급여대장_원본!$A$1:$AZ$400,(설정!$B$8+121),IFERROR(MATCH(설정!$C$18,INDEX(급여대장_원본!$A$1:$AZ$400,설정!$B$8,0),0),""))&amp;"",",","")),""))</f>
        <v/>
      </c>
      <c r="P127" s="2">
        <f>IF(OR(설정!$C$19="",IFERROR(MATCH(설정!$C$19,INDEX(급여대장_원본!$A$1:$AZ$400,설정!$B$8,0),0),"")=""),"",IFERROR(VALUE(SUBSTITUTE(INDEX(급여대장_원본!$A$1:$AZ$400,(설정!$B$8+121),IFERROR(MATCH(설정!$C$19,INDEX(급여대장_원본!$A$1:$AZ$400,설정!$B$8,0),0),""))&amp;"",",","")),""))</f>
        <v/>
      </c>
      <c r="Q127" s="2">
        <f>IF(OR(설정!$C$20="",IFERROR(MATCH(설정!$C$20,INDEX(급여대장_원본!$A$1:$AZ$400,설정!$B$8,0),0),"")=""),"",IFERROR(VALUE(SUBSTITUTE(INDEX(급여대장_원본!$A$1:$AZ$400,(설정!$B$8+121),IFERROR(MATCH(설정!$C$20,INDEX(급여대장_원본!$A$1:$AZ$400,설정!$B$8,0),0),""))&amp;"",",","")),""))</f>
        <v/>
      </c>
      <c r="R127" s="2">
        <f>IF(OR(설정!$C$21="",IFERROR(MATCH(설정!$C$21,INDEX(급여대장_원본!$A$1:$AZ$400,설정!$B$8,0),0),"")=""),"",IFERROR(VALUE(SUBSTITUTE(INDEX(급여대장_원본!$A$1:$AZ$400,(설정!$B$8+121),IFERROR(MATCH(설정!$C$21,INDEX(급여대장_원본!$A$1:$AZ$400,설정!$B$8,0),0),""))&amp;"",",","")),""))</f>
        <v/>
      </c>
      <c r="S127" s="2">
        <f>IF(OR(설정!$C$22="",IFERROR(MATCH(설정!$C$22,INDEX(급여대장_원본!$A$1:$AZ$400,설정!$B$8,0),0),"")=""),"",IFERROR(VALUE(SUBSTITUTE(INDEX(급여대장_원본!$A$1:$AZ$400,(설정!$B$8+121),IFERROR(MATCH(설정!$C$22,INDEX(급여대장_원본!$A$1:$AZ$400,설정!$B$8,0),0),""))&amp;"",",","")),""))</f>
        <v/>
      </c>
      <c r="T127" s="2">
        <f>IF(OR(설정!$C$23="",IFERROR(MATCH(설정!$C$23,INDEX(급여대장_원본!$A$1:$AZ$400,설정!$B$8,0),0),"")=""),"",IFERROR(VALUE(SUBSTITUTE(INDEX(급여대장_원본!$A$1:$AZ$400,(설정!$B$8+121),IFERROR(MATCH(설정!$C$23,INDEX(급여대장_원본!$A$1:$AZ$400,설정!$B$8,0),0),""))&amp;"",",","")),""))</f>
        <v/>
      </c>
      <c r="U127" s="2">
        <f>IF(OR(설정!$C$24="",IFERROR(MATCH(설정!$C$24,INDEX(급여대장_원본!$A$1:$AZ$400,설정!$B$8,0),0),"")=""),"",IFERROR(VALUE(SUBSTITUTE(INDEX(급여대장_원본!$A$1:$AZ$400,(설정!$B$8+121),IFERROR(MATCH(설정!$C$24,INDEX(급여대장_원본!$A$1:$AZ$400,설정!$B$8,0),0),""))&amp;"",",","")),""))</f>
        <v/>
      </c>
      <c r="V127" s="27">
        <f>SUM(F127:M127)</f>
        <v/>
      </c>
      <c r="W127" s="27">
        <f>IF(설정!$D$26="",0,IFERROR(VALUE(SUBSTITUTE(SUBSTITUTE(INDEX(급여대장_원본!$A$1:$AZ$400,(설정!$B$8+121),설정!$D$26)&amp;"",",",""),"　","")),0))</f>
        <v/>
      </c>
      <c r="X127" s="27">
        <f>IF(설정!$D$27="",0,IFERROR(VALUE(SUBSTITUTE(SUBSTITUTE(INDEX(급여대장_원본!$A$1:$AZ$400,(설정!$B$8+121),설정!$D$27)&amp;"",",",""),"　","")),0))</f>
        <v/>
      </c>
      <c r="Y127" s="27">
        <f>IF(설정!$D$28="",0,IFERROR(VALUE(SUBSTITUTE(SUBSTITUTE(INDEX(급여대장_원본!$A$1:$AZ$400,(설정!$B$8+121),설정!$D$28)&amp;"",",",""),"　","")),0))</f>
        <v/>
      </c>
      <c r="Z127" s="27">
        <f>IF(설정!$D$29="",0,IFERROR(VALUE(SUBSTITUTE(SUBSTITUTE(INDEX(급여대장_원본!$A$1:$AZ$400,(설정!$B$8+121),설정!$D$29)&amp;"",",",""),"　","")),0))</f>
        <v/>
      </c>
      <c r="AA127" s="27">
        <f>IF(설정!$D$30="",0,IFERROR(VALUE(SUBSTITUTE(SUBSTITUTE(INDEX(급여대장_원본!$A$1:$AZ$400,(설정!$B$8+121),설정!$D$30)&amp;"",",",""),"　","")),0))</f>
        <v/>
      </c>
      <c r="AB127" s="27">
        <f>IF(설정!$D$31="",0,IFERROR(VALUE(SUBSTITUTE(SUBSTITUTE(INDEX(급여대장_원본!$A$1:$AZ$400,(설정!$B$8+121),설정!$D$31)&amp;"",",",""),"　","")),0))</f>
        <v/>
      </c>
      <c r="AC127" s="27">
        <f>IF(설정!$D$32="",0,IFERROR(VALUE(SUBSTITUTE(SUBSTITUTE(INDEX(급여대장_원본!$A$1:$AZ$400,(설정!$B$8+121),설정!$D$32)&amp;"",",",""),"　","")),0))</f>
        <v/>
      </c>
      <c r="AD127" s="27">
        <f>IF(설정!$D$33="",0,IFERROR(VALUE(SUBSTITUTE(SUBSTITUTE(INDEX(급여대장_원본!$A$1:$AZ$400,(설정!$B$8+121),설정!$D$33)&amp;"",",",""),"　","")),0))</f>
        <v/>
      </c>
      <c r="AE127" s="27">
        <f>SUM(W127:AD127)</f>
        <v/>
      </c>
      <c r="AF127" s="27">
        <f>V127-AE127</f>
        <v/>
      </c>
      <c r="AG127" s="27">
        <f>IF(설정!$D$35="","",IF(설정!$D$35="",0,IFERROR(VALUE(SUBSTITUTE(SUBSTITUTE(INDEX(급여대장_원본!$A$1:$AZ$400,(설정!$B$8+121),설정!$D$35)&amp;"",",",""),"　","")),0)))</f>
        <v/>
      </c>
      <c r="AH127" s="27">
        <f>IF(설정!$D$36="","",IF(설정!$D$36="",0,IFERROR(VALUE(SUBSTITUTE(SUBSTITUTE(INDEX(급여대장_원본!$A$1:$AZ$400,(설정!$B$8+121),설정!$D$36)&amp;"",",",""),"　","")),0)))</f>
        <v/>
      </c>
      <c r="AI127" s="27">
        <f>IF(설정!$D$37="","",IF(설정!$D$37="",0,IFERROR(VALUE(SUBSTITUTE(SUBSTITUTE(INDEX(급여대장_원본!$A$1:$AZ$400,(설정!$B$8+121),설정!$D$37)&amp;"",",",""),"　","")),0)))</f>
        <v/>
      </c>
      <c r="AJ127" s="2">
        <f>IFERROR(INDEX($D$7:$D$306,MATCH(121,$B$7:$B$306,0)),"")</f>
        <v/>
      </c>
    </row>
    <row r="128">
      <c r="A128" s="2">
        <f>IF(AND(D128&lt;&gt;"",D128&lt;&gt;"합계",D128&lt;&gt;"총계",D128&lt;&gt;"소계",D128&lt;&gt;"계"),1,0)</f>
        <v/>
      </c>
      <c r="B128" s="2">
        <f>IF(A128=1,SUM($A$7:A128),"")</f>
        <v/>
      </c>
      <c r="C128" s="2">
        <f>IF(설정!$D$13="","",TRIM(SUBSTITUTE(INDEX(급여대장_원본!$A$1:$AZ$400,(설정!$B$8+122),설정!$D$13)&amp;"","　"," ")))</f>
        <v/>
      </c>
      <c r="D128" s="2">
        <f>IF(설정!$D$14="","",TRIM(SUBSTITUTE(INDEX(급여대장_원본!$A$1:$AZ$400,(설정!$B$8+122),설정!$D$14)&amp;"","　"," ")))</f>
        <v/>
      </c>
      <c r="E128" s="2">
        <f>IF(설정!$D$15="","",TRIM(SUBSTITUTE(INDEX(급여대장_원본!$A$1:$AZ$400,(설정!$B$8+122),설정!$D$15)&amp;"","　"," ")))</f>
        <v/>
      </c>
      <c r="F128" s="27">
        <f>IF(설정!$D$17="",0,IFERROR(VALUE(SUBSTITUTE(SUBSTITUTE(INDEX(급여대장_원본!$A$1:$AZ$400,(설정!$B$8+122),설정!$D$17)&amp;"",",",""),"　","")),0))</f>
        <v/>
      </c>
      <c r="G128" s="27">
        <f>IF(설정!$D$18="",0,IFERROR(VALUE(SUBSTITUTE(SUBSTITUTE(INDEX(급여대장_원본!$A$1:$AZ$400,(설정!$B$8+122),설정!$D$18)&amp;"",",",""),"　","")),0))</f>
        <v/>
      </c>
      <c r="H128" s="27">
        <f>IF(설정!$D$19="",0,IFERROR(VALUE(SUBSTITUTE(SUBSTITUTE(INDEX(급여대장_원본!$A$1:$AZ$400,(설정!$B$8+122),설정!$D$19)&amp;"",",",""),"　","")),0))</f>
        <v/>
      </c>
      <c r="I128" s="27">
        <f>IF(설정!$D$20="",0,IFERROR(VALUE(SUBSTITUTE(SUBSTITUTE(INDEX(급여대장_원본!$A$1:$AZ$400,(설정!$B$8+122),설정!$D$20)&amp;"",",",""),"　","")),0))</f>
        <v/>
      </c>
      <c r="J128" s="27">
        <f>IF(설정!$D$21="",0,IFERROR(VALUE(SUBSTITUTE(SUBSTITUTE(INDEX(급여대장_원본!$A$1:$AZ$400,(설정!$B$8+122),설정!$D$21)&amp;"",",",""),"　","")),0))</f>
        <v/>
      </c>
      <c r="K128" s="27">
        <f>IF(설정!$D$22="",0,IFERROR(VALUE(SUBSTITUTE(SUBSTITUTE(INDEX(급여대장_원본!$A$1:$AZ$400,(설정!$B$8+122),설정!$D$22)&amp;"",",",""),"　","")),0))</f>
        <v/>
      </c>
      <c r="L128" s="27">
        <f>IF(설정!$D$23="",0,IFERROR(VALUE(SUBSTITUTE(SUBSTITUTE(INDEX(급여대장_원본!$A$1:$AZ$400,(설정!$B$8+122),설정!$D$23)&amp;"",",",""),"　","")),0))</f>
        <v/>
      </c>
      <c r="M128" s="27">
        <f>IF(설정!$D$24="",0,IFERROR(VALUE(SUBSTITUTE(SUBSTITUTE(INDEX(급여대장_원본!$A$1:$AZ$400,(설정!$B$8+122),설정!$D$24)&amp;"",",",""),"　","")),0))</f>
        <v/>
      </c>
      <c r="N128" s="2">
        <f>IF(OR(설정!$C$17="",IFERROR(MATCH(설정!$C$17,INDEX(급여대장_원본!$A$1:$AZ$400,설정!$B$8,0),0),"")=""),"",IFERROR(VALUE(SUBSTITUTE(INDEX(급여대장_원본!$A$1:$AZ$400,(설정!$B$8+122),IFERROR(MATCH(설정!$C$17,INDEX(급여대장_원본!$A$1:$AZ$400,설정!$B$8,0),0),""))&amp;"",",","")),""))</f>
        <v/>
      </c>
      <c r="O128" s="2">
        <f>IF(OR(설정!$C$18="",IFERROR(MATCH(설정!$C$18,INDEX(급여대장_원본!$A$1:$AZ$400,설정!$B$8,0),0),"")=""),"",IFERROR(VALUE(SUBSTITUTE(INDEX(급여대장_원본!$A$1:$AZ$400,(설정!$B$8+122),IFERROR(MATCH(설정!$C$18,INDEX(급여대장_원본!$A$1:$AZ$400,설정!$B$8,0),0),""))&amp;"",",","")),""))</f>
        <v/>
      </c>
      <c r="P128" s="2">
        <f>IF(OR(설정!$C$19="",IFERROR(MATCH(설정!$C$19,INDEX(급여대장_원본!$A$1:$AZ$400,설정!$B$8,0),0),"")=""),"",IFERROR(VALUE(SUBSTITUTE(INDEX(급여대장_원본!$A$1:$AZ$400,(설정!$B$8+122),IFERROR(MATCH(설정!$C$19,INDEX(급여대장_원본!$A$1:$AZ$400,설정!$B$8,0),0),""))&amp;"",",","")),""))</f>
        <v/>
      </c>
      <c r="Q128" s="2">
        <f>IF(OR(설정!$C$20="",IFERROR(MATCH(설정!$C$20,INDEX(급여대장_원본!$A$1:$AZ$400,설정!$B$8,0),0),"")=""),"",IFERROR(VALUE(SUBSTITUTE(INDEX(급여대장_원본!$A$1:$AZ$400,(설정!$B$8+122),IFERROR(MATCH(설정!$C$20,INDEX(급여대장_원본!$A$1:$AZ$400,설정!$B$8,0),0),""))&amp;"",",","")),""))</f>
        <v/>
      </c>
      <c r="R128" s="2">
        <f>IF(OR(설정!$C$21="",IFERROR(MATCH(설정!$C$21,INDEX(급여대장_원본!$A$1:$AZ$400,설정!$B$8,0),0),"")=""),"",IFERROR(VALUE(SUBSTITUTE(INDEX(급여대장_원본!$A$1:$AZ$400,(설정!$B$8+122),IFERROR(MATCH(설정!$C$21,INDEX(급여대장_원본!$A$1:$AZ$400,설정!$B$8,0),0),""))&amp;"",",","")),""))</f>
        <v/>
      </c>
      <c r="S128" s="2">
        <f>IF(OR(설정!$C$22="",IFERROR(MATCH(설정!$C$22,INDEX(급여대장_원본!$A$1:$AZ$400,설정!$B$8,0),0),"")=""),"",IFERROR(VALUE(SUBSTITUTE(INDEX(급여대장_원본!$A$1:$AZ$400,(설정!$B$8+122),IFERROR(MATCH(설정!$C$22,INDEX(급여대장_원본!$A$1:$AZ$400,설정!$B$8,0),0),""))&amp;"",",","")),""))</f>
        <v/>
      </c>
      <c r="T128" s="2">
        <f>IF(OR(설정!$C$23="",IFERROR(MATCH(설정!$C$23,INDEX(급여대장_원본!$A$1:$AZ$400,설정!$B$8,0),0),"")=""),"",IFERROR(VALUE(SUBSTITUTE(INDEX(급여대장_원본!$A$1:$AZ$400,(설정!$B$8+122),IFERROR(MATCH(설정!$C$23,INDEX(급여대장_원본!$A$1:$AZ$400,설정!$B$8,0),0),""))&amp;"",",","")),""))</f>
        <v/>
      </c>
      <c r="U128" s="2">
        <f>IF(OR(설정!$C$24="",IFERROR(MATCH(설정!$C$24,INDEX(급여대장_원본!$A$1:$AZ$400,설정!$B$8,0),0),"")=""),"",IFERROR(VALUE(SUBSTITUTE(INDEX(급여대장_원본!$A$1:$AZ$400,(설정!$B$8+122),IFERROR(MATCH(설정!$C$24,INDEX(급여대장_원본!$A$1:$AZ$400,설정!$B$8,0),0),""))&amp;"",",","")),""))</f>
        <v/>
      </c>
      <c r="V128" s="27">
        <f>SUM(F128:M128)</f>
        <v/>
      </c>
      <c r="W128" s="27">
        <f>IF(설정!$D$26="",0,IFERROR(VALUE(SUBSTITUTE(SUBSTITUTE(INDEX(급여대장_원본!$A$1:$AZ$400,(설정!$B$8+122),설정!$D$26)&amp;"",",",""),"　","")),0))</f>
        <v/>
      </c>
      <c r="X128" s="27">
        <f>IF(설정!$D$27="",0,IFERROR(VALUE(SUBSTITUTE(SUBSTITUTE(INDEX(급여대장_원본!$A$1:$AZ$400,(설정!$B$8+122),설정!$D$27)&amp;"",",",""),"　","")),0))</f>
        <v/>
      </c>
      <c r="Y128" s="27">
        <f>IF(설정!$D$28="",0,IFERROR(VALUE(SUBSTITUTE(SUBSTITUTE(INDEX(급여대장_원본!$A$1:$AZ$400,(설정!$B$8+122),설정!$D$28)&amp;"",",",""),"　","")),0))</f>
        <v/>
      </c>
      <c r="Z128" s="27">
        <f>IF(설정!$D$29="",0,IFERROR(VALUE(SUBSTITUTE(SUBSTITUTE(INDEX(급여대장_원본!$A$1:$AZ$400,(설정!$B$8+122),설정!$D$29)&amp;"",",",""),"　","")),0))</f>
        <v/>
      </c>
      <c r="AA128" s="27">
        <f>IF(설정!$D$30="",0,IFERROR(VALUE(SUBSTITUTE(SUBSTITUTE(INDEX(급여대장_원본!$A$1:$AZ$400,(설정!$B$8+122),설정!$D$30)&amp;"",",",""),"　","")),0))</f>
        <v/>
      </c>
      <c r="AB128" s="27">
        <f>IF(설정!$D$31="",0,IFERROR(VALUE(SUBSTITUTE(SUBSTITUTE(INDEX(급여대장_원본!$A$1:$AZ$400,(설정!$B$8+122),설정!$D$31)&amp;"",",",""),"　","")),0))</f>
        <v/>
      </c>
      <c r="AC128" s="27">
        <f>IF(설정!$D$32="",0,IFERROR(VALUE(SUBSTITUTE(SUBSTITUTE(INDEX(급여대장_원본!$A$1:$AZ$400,(설정!$B$8+122),설정!$D$32)&amp;"",",",""),"　","")),0))</f>
        <v/>
      </c>
      <c r="AD128" s="27">
        <f>IF(설정!$D$33="",0,IFERROR(VALUE(SUBSTITUTE(SUBSTITUTE(INDEX(급여대장_원본!$A$1:$AZ$400,(설정!$B$8+122),설정!$D$33)&amp;"",",",""),"　","")),0))</f>
        <v/>
      </c>
      <c r="AE128" s="27">
        <f>SUM(W128:AD128)</f>
        <v/>
      </c>
      <c r="AF128" s="27">
        <f>V128-AE128</f>
        <v/>
      </c>
      <c r="AG128" s="27">
        <f>IF(설정!$D$35="","",IF(설정!$D$35="",0,IFERROR(VALUE(SUBSTITUTE(SUBSTITUTE(INDEX(급여대장_원본!$A$1:$AZ$400,(설정!$B$8+122),설정!$D$35)&amp;"",",",""),"　","")),0)))</f>
        <v/>
      </c>
      <c r="AH128" s="27">
        <f>IF(설정!$D$36="","",IF(설정!$D$36="",0,IFERROR(VALUE(SUBSTITUTE(SUBSTITUTE(INDEX(급여대장_원본!$A$1:$AZ$400,(설정!$B$8+122),설정!$D$36)&amp;"",",",""),"　","")),0)))</f>
        <v/>
      </c>
      <c r="AI128" s="27">
        <f>IF(설정!$D$37="","",IF(설정!$D$37="",0,IFERROR(VALUE(SUBSTITUTE(SUBSTITUTE(INDEX(급여대장_원본!$A$1:$AZ$400,(설정!$B$8+122),설정!$D$37)&amp;"",",",""),"　","")),0)))</f>
        <v/>
      </c>
      <c r="AJ128" s="2">
        <f>IFERROR(INDEX($D$7:$D$306,MATCH(122,$B$7:$B$306,0)),"")</f>
        <v/>
      </c>
    </row>
    <row r="129">
      <c r="A129" s="2">
        <f>IF(AND(D129&lt;&gt;"",D129&lt;&gt;"합계",D129&lt;&gt;"총계",D129&lt;&gt;"소계",D129&lt;&gt;"계"),1,0)</f>
        <v/>
      </c>
      <c r="B129" s="2">
        <f>IF(A129=1,SUM($A$7:A129),"")</f>
        <v/>
      </c>
      <c r="C129" s="2">
        <f>IF(설정!$D$13="","",TRIM(SUBSTITUTE(INDEX(급여대장_원본!$A$1:$AZ$400,(설정!$B$8+123),설정!$D$13)&amp;"","　"," ")))</f>
        <v/>
      </c>
      <c r="D129" s="2">
        <f>IF(설정!$D$14="","",TRIM(SUBSTITUTE(INDEX(급여대장_원본!$A$1:$AZ$400,(설정!$B$8+123),설정!$D$14)&amp;"","　"," ")))</f>
        <v/>
      </c>
      <c r="E129" s="2">
        <f>IF(설정!$D$15="","",TRIM(SUBSTITUTE(INDEX(급여대장_원본!$A$1:$AZ$400,(설정!$B$8+123),설정!$D$15)&amp;"","　"," ")))</f>
        <v/>
      </c>
      <c r="F129" s="27">
        <f>IF(설정!$D$17="",0,IFERROR(VALUE(SUBSTITUTE(SUBSTITUTE(INDEX(급여대장_원본!$A$1:$AZ$400,(설정!$B$8+123),설정!$D$17)&amp;"",",",""),"　","")),0))</f>
        <v/>
      </c>
      <c r="G129" s="27">
        <f>IF(설정!$D$18="",0,IFERROR(VALUE(SUBSTITUTE(SUBSTITUTE(INDEX(급여대장_원본!$A$1:$AZ$400,(설정!$B$8+123),설정!$D$18)&amp;"",",",""),"　","")),0))</f>
        <v/>
      </c>
      <c r="H129" s="27">
        <f>IF(설정!$D$19="",0,IFERROR(VALUE(SUBSTITUTE(SUBSTITUTE(INDEX(급여대장_원본!$A$1:$AZ$400,(설정!$B$8+123),설정!$D$19)&amp;"",",",""),"　","")),0))</f>
        <v/>
      </c>
      <c r="I129" s="27">
        <f>IF(설정!$D$20="",0,IFERROR(VALUE(SUBSTITUTE(SUBSTITUTE(INDEX(급여대장_원본!$A$1:$AZ$400,(설정!$B$8+123),설정!$D$20)&amp;"",",",""),"　","")),0))</f>
        <v/>
      </c>
      <c r="J129" s="27">
        <f>IF(설정!$D$21="",0,IFERROR(VALUE(SUBSTITUTE(SUBSTITUTE(INDEX(급여대장_원본!$A$1:$AZ$400,(설정!$B$8+123),설정!$D$21)&amp;"",",",""),"　","")),0))</f>
        <v/>
      </c>
      <c r="K129" s="27">
        <f>IF(설정!$D$22="",0,IFERROR(VALUE(SUBSTITUTE(SUBSTITUTE(INDEX(급여대장_원본!$A$1:$AZ$400,(설정!$B$8+123),설정!$D$22)&amp;"",",",""),"　","")),0))</f>
        <v/>
      </c>
      <c r="L129" s="27">
        <f>IF(설정!$D$23="",0,IFERROR(VALUE(SUBSTITUTE(SUBSTITUTE(INDEX(급여대장_원본!$A$1:$AZ$400,(설정!$B$8+123),설정!$D$23)&amp;"",",",""),"　","")),0))</f>
        <v/>
      </c>
      <c r="M129" s="27">
        <f>IF(설정!$D$24="",0,IFERROR(VALUE(SUBSTITUTE(SUBSTITUTE(INDEX(급여대장_원본!$A$1:$AZ$400,(설정!$B$8+123),설정!$D$24)&amp;"",",",""),"　","")),0))</f>
        <v/>
      </c>
      <c r="N129" s="2">
        <f>IF(OR(설정!$C$17="",IFERROR(MATCH(설정!$C$17,INDEX(급여대장_원본!$A$1:$AZ$400,설정!$B$8,0),0),"")=""),"",IFERROR(VALUE(SUBSTITUTE(INDEX(급여대장_원본!$A$1:$AZ$400,(설정!$B$8+123),IFERROR(MATCH(설정!$C$17,INDEX(급여대장_원본!$A$1:$AZ$400,설정!$B$8,0),0),""))&amp;"",",","")),""))</f>
        <v/>
      </c>
      <c r="O129" s="2">
        <f>IF(OR(설정!$C$18="",IFERROR(MATCH(설정!$C$18,INDEX(급여대장_원본!$A$1:$AZ$400,설정!$B$8,0),0),"")=""),"",IFERROR(VALUE(SUBSTITUTE(INDEX(급여대장_원본!$A$1:$AZ$400,(설정!$B$8+123),IFERROR(MATCH(설정!$C$18,INDEX(급여대장_원본!$A$1:$AZ$400,설정!$B$8,0),0),""))&amp;"",",","")),""))</f>
        <v/>
      </c>
      <c r="P129" s="2">
        <f>IF(OR(설정!$C$19="",IFERROR(MATCH(설정!$C$19,INDEX(급여대장_원본!$A$1:$AZ$400,설정!$B$8,0),0),"")=""),"",IFERROR(VALUE(SUBSTITUTE(INDEX(급여대장_원본!$A$1:$AZ$400,(설정!$B$8+123),IFERROR(MATCH(설정!$C$19,INDEX(급여대장_원본!$A$1:$AZ$400,설정!$B$8,0),0),""))&amp;"",",","")),""))</f>
        <v/>
      </c>
      <c r="Q129" s="2">
        <f>IF(OR(설정!$C$20="",IFERROR(MATCH(설정!$C$20,INDEX(급여대장_원본!$A$1:$AZ$400,설정!$B$8,0),0),"")=""),"",IFERROR(VALUE(SUBSTITUTE(INDEX(급여대장_원본!$A$1:$AZ$400,(설정!$B$8+123),IFERROR(MATCH(설정!$C$20,INDEX(급여대장_원본!$A$1:$AZ$400,설정!$B$8,0),0),""))&amp;"",",","")),""))</f>
        <v/>
      </c>
      <c r="R129" s="2">
        <f>IF(OR(설정!$C$21="",IFERROR(MATCH(설정!$C$21,INDEX(급여대장_원본!$A$1:$AZ$400,설정!$B$8,0),0),"")=""),"",IFERROR(VALUE(SUBSTITUTE(INDEX(급여대장_원본!$A$1:$AZ$400,(설정!$B$8+123),IFERROR(MATCH(설정!$C$21,INDEX(급여대장_원본!$A$1:$AZ$400,설정!$B$8,0),0),""))&amp;"",",","")),""))</f>
        <v/>
      </c>
      <c r="S129" s="2">
        <f>IF(OR(설정!$C$22="",IFERROR(MATCH(설정!$C$22,INDEX(급여대장_원본!$A$1:$AZ$400,설정!$B$8,0),0),"")=""),"",IFERROR(VALUE(SUBSTITUTE(INDEX(급여대장_원본!$A$1:$AZ$400,(설정!$B$8+123),IFERROR(MATCH(설정!$C$22,INDEX(급여대장_원본!$A$1:$AZ$400,설정!$B$8,0),0),""))&amp;"",",","")),""))</f>
        <v/>
      </c>
      <c r="T129" s="2">
        <f>IF(OR(설정!$C$23="",IFERROR(MATCH(설정!$C$23,INDEX(급여대장_원본!$A$1:$AZ$400,설정!$B$8,0),0),"")=""),"",IFERROR(VALUE(SUBSTITUTE(INDEX(급여대장_원본!$A$1:$AZ$400,(설정!$B$8+123),IFERROR(MATCH(설정!$C$23,INDEX(급여대장_원본!$A$1:$AZ$400,설정!$B$8,0),0),""))&amp;"",",","")),""))</f>
        <v/>
      </c>
      <c r="U129" s="2">
        <f>IF(OR(설정!$C$24="",IFERROR(MATCH(설정!$C$24,INDEX(급여대장_원본!$A$1:$AZ$400,설정!$B$8,0),0),"")=""),"",IFERROR(VALUE(SUBSTITUTE(INDEX(급여대장_원본!$A$1:$AZ$400,(설정!$B$8+123),IFERROR(MATCH(설정!$C$24,INDEX(급여대장_원본!$A$1:$AZ$400,설정!$B$8,0),0),""))&amp;"",",","")),""))</f>
        <v/>
      </c>
      <c r="V129" s="27">
        <f>SUM(F129:M129)</f>
        <v/>
      </c>
      <c r="W129" s="27">
        <f>IF(설정!$D$26="",0,IFERROR(VALUE(SUBSTITUTE(SUBSTITUTE(INDEX(급여대장_원본!$A$1:$AZ$400,(설정!$B$8+123),설정!$D$26)&amp;"",",",""),"　","")),0))</f>
        <v/>
      </c>
      <c r="X129" s="27">
        <f>IF(설정!$D$27="",0,IFERROR(VALUE(SUBSTITUTE(SUBSTITUTE(INDEX(급여대장_원본!$A$1:$AZ$400,(설정!$B$8+123),설정!$D$27)&amp;"",",",""),"　","")),0))</f>
        <v/>
      </c>
      <c r="Y129" s="27">
        <f>IF(설정!$D$28="",0,IFERROR(VALUE(SUBSTITUTE(SUBSTITUTE(INDEX(급여대장_원본!$A$1:$AZ$400,(설정!$B$8+123),설정!$D$28)&amp;"",",",""),"　","")),0))</f>
        <v/>
      </c>
      <c r="Z129" s="27">
        <f>IF(설정!$D$29="",0,IFERROR(VALUE(SUBSTITUTE(SUBSTITUTE(INDEX(급여대장_원본!$A$1:$AZ$400,(설정!$B$8+123),설정!$D$29)&amp;"",",",""),"　","")),0))</f>
        <v/>
      </c>
      <c r="AA129" s="27">
        <f>IF(설정!$D$30="",0,IFERROR(VALUE(SUBSTITUTE(SUBSTITUTE(INDEX(급여대장_원본!$A$1:$AZ$400,(설정!$B$8+123),설정!$D$30)&amp;"",",",""),"　","")),0))</f>
        <v/>
      </c>
      <c r="AB129" s="27">
        <f>IF(설정!$D$31="",0,IFERROR(VALUE(SUBSTITUTE(SUBSTITUTE(INDEX(급여대장_원본!$A$1:$AZ$400,(설정!$B$8+123),설정!$D$31)&amp;"",",",""),"　","")),0))</f>
        <v/>
      </c>
      <c r="AC129" s="27">
        <f>IF(설정!$D$32="",0,IFERROR(VALUE(SUBSTITUTE(SUBSTITUTE(INDEX(급여대장_원본!$A$1:$AZ$400,(설정!$B$8+123),설정!$D$32)&amp;"",",",""),"　","")),0))</f>
        <v/>
      </c>
      <c r="AD129" s="27">
        <f>IF(설정!$D$33="",0,IFERROR(VALUE(SUBSTITUTE(SUBSTITUTE(INDEX(급여대장_원본!$A$1:$AZ$400,(설정!$B$8+123),설정!$D$33)&amp;"",",",""),"　","")),0))</f>
        <v/>
      </c>
      <c r="AE129" s="27">
        <f>SUM(W129:AD129)</f>
        <v/>
      </c>
      <c r="AF129" s="27">
        <f>V129-AE129</f>
        <v/>
      </c>
      <c r="AG129" s="27">
        <f>IF(설정!$D$35="","",IF(설정!$D$35="",0,IFERROR(VALUE(SUBSTITUTE(SUBSTITUTE(INDEX(급여대장_원본!$A$1:$AZ$400,(설정!$B$8+123),설정!$D$35)&amp;"",",",""),"　","")),0)))</f>
        <v/>
      </c>
      <c r="AH129" s="27">
        <f>IF(설정!$D$36="","",IF(설정!$D$36="",0,IFERROR(VALUE(SUBSTITUTE(SUBSTITUTE(INDEX(급여대장_원본!$A$1:$AZ$400,(설정!$B$8+123),설정!$D$36)&amp;"",",",""),"　","")),0)))</f>
        <v/>
      </c>
      <c r="AI129" s="27">
        <f>IF(설정!$D$37="","",IF(설정!$D$37="",0,IFERROR(VALUE(SUBSTITUTE(SUBSTITUTE(INDEX(급여대장_원본!$A$1:$AZ$400,(설정!$B$8+123),설정!$D$37)&amp;"",",",""),"　","")),0)))</f>
        <v/>
      </c>
      <c r="AJ129" s="2">
        <f>IFERROR(INDEX($D$7:$D$306,MATCH(123,$B$7:$B$306,0)),"")</f>
        <v/>
      </c>
    </row>
    <row r="130">
      <c r="A130" s="2">
        <f>IF(AND(D130&lt;&gt;"",D130&lt;&gt;"합계",D130&lt;&gt;"총계",D130&lt;&gt;"소계",D130&lt;&gt;"계"),1,0)</f>
        <v/>
      </c>
      <c r="B130" s="2">
        <f>IF(A130=1,SUM($A$7:A130),"")</f>
        <v/>
      </c>
      <c r="C130" s="2">
        <f>IF(설정!$D$13="","",TRIM(SUBSTITUTE(INDEX(급여대장_원본!$A$1:$AZ$400,(설정!$B$8+124),설정!$D$13)&amp;"","　"," ")))</f>
        <v/>
      </c>
      <c r="D130" s="2">
        <f>IF(설정!$D$14="","",TRIM(SUBSTITUTE(INDEX(급여대장_원본!$A$1:$AZ$400,(설정!$B$8+124),설정!$D$14)&amp;"","　"," ")))</f>
        <v/>
      </c>
      <c r="E130" s="2">
        <f>IF(설정!$D$15="","",TRIM(SUBSTITUTE(INDEX(급여대장_원본!$A$1:$AZ$400,(설정!$B$8+124),설정!$D$15)&amp;"","　"," ")))</f>
        <v/>
      </c>
      <c r="F130" s="27">
        <f>IF(설정!$D$17="",0,IFERROR(VALUE(SUBSTITUTE(SUBSTITUTE(INDEX(급여대장_원본!$A$1:$AZ$400,(설정!$B$8+124),설정!$D$17)&amp;"",",",""),"　","")),0))</f>
        <v/>
      </c>
      <c r="G130" s="27">
        <f>IF(설정!$D$18="",0,IFERROR(VALUE(SUBSTITUTE(SUBSTITUTE(INDEX(급여대장_원본!$A$1:$AZ$400,(설정!$B$8+124),설정!$D$18)&amp;"",",",""),"　","")),0))</f>
        <v/>
      </c>
      <c r="H130" s="27">
        <f>IF(설정!$D$19="",0,IFERROR(VALUE(SUBSTITUTE(SUBSTITUTE(INDEX(급여대장_원본!$A$1:$AZ$400,(설정!$B$8+124),설정!$D$19)&amp;"",",",""),"　","")),0))</f>
        <v/>
      </c>
      <c r="I130" s="27">
        <f>IF(설정!$D$20="",0,IFERROR(VALUE(SUBSTITUTE(SUBSTITUTE(INDEX(급여대장_원본!$A$1:$AZ$400,(설정!$B$8+124),설정!$D$20)&amp;"",",",""),"　","")),0))</f>
        <v/>
      </c>
      <c r="J130" s="27">
        <f>IF(설정!$D$21="",0,IFERROR(VALUE(SUBSTITUTE(SUBSTITUTE(INDEX(급여대장_원본!$A$1:$AZ$400,(설정!$B$8+124),설정!$D$21)&amp;"",",",""),"　","")),0))</f>
        <v/>
      </c>
      <c r="K130" s="27">
        <f>IF(설정!$D$22="",0,IFERROR(VALUE(SUBSTITUTE(SUBSTITUTE(INDEX(급여대장_원본!$A$1:$AZ$400,(설정!$B$8+124),설정!$D$22)&amp;"",",",""),"　","")),0))</f>
        <v/>
      </c>
      <c r="L130" s="27">
        <f>IF(설정!$D$23="",0,IFERROR(VALUE(SUBSTITUTE(SUBSTITUTE(INDEX(급여대장_원본!$A$1:$AZ$400,(설정!$B$8+124),설정!$D$23)&amp;"",",",""),"　","")),0))</f>
        <v/>
      </c>
      <c r="M130" s="27">
        <f>IF(설정!$D$24="",0,IFERROR(VALUE(SUBSTITUTE(SUBSTITUTE(INDEX(급여대장_원본!$A$1:$AZ$400,(설정!$B$8+124),설정!$D$24)&amp;"",",",""),"　","")),0))</f>
        <v/>
      </c>
      <c r="N130" s="2">
        <f>IF(OR(설정!$C$17="",IFERROR(MATCH(설정!$C$17,INDEX(급여대장_원본!$A$1:$AZ$400,설정!$B$8,0),0),"")=""),"",IFERROR(VALUE(SUBSTITUTE(INDEX(급여대장_원본!$A$1:$AZ$400,(설정!$B$8+124),IFERROR(MATCH(설정!$C$17,INDEX(급여대장_원본!$A$1:$AZ$400,설정!$B$8,0),0),""))&amp;"",",","")),""))</f>
        <v/>
      </c>
      <c r="O130" s="2">
        <f>IF(OR(설정!$C$18="",IFERROR(MATCH(설정!$C$18,INDEX(급여대장_원본!$A$1:$AZ$400,설정!$B$8,0),0),"")=""),"",IFERROR(VALUE(SUBSTITUTE(INDEX(급여대장_원본!$A$1:$AZ$400,(설정!$B$8+124),IFERROR(MATCH(설정!$C$18,INDEX(급여대장_원본!$A$1:$AZ$400,설정!$B$8,0),0),""))&amp;"",",","")),""))</f>
        <v/>
      </c>
      <c r="P130" s="2">
        <f>IF(OR(설정!$C$19="",IFERROR(MATCH(설정!$C$19,INDEX(급여대장_원본!$A$1:$AZ$400,설정!$B$8,0),0),"")=""),"",IFERROR(VALUE(SUBSTITUTE(INDEX(급여대장_원본!$A$1:$AZ$400,(설정!$B$8+124),IFERROR(MATCH(설정!$C$19,INDEX(급여대장_원본!$A$1:$AZ$400,설정!$B$8,0),0),""))&amp;"",",","")),""))</f>
        <v/>
      </c>
      <c r="Q130" s="2">
        <f>IF(OR(설정!$C$20="",IFERROR(MATCH(설정!$C$20,INDEX(급여대장_원본!$A$1:$AZ$400,설정!$B$8,0),0),"")=""),"",IFERROR(VALUE(SUBSTITUTE(INDEX(급여대장_원본!$A$1:$AZ$400,(설정!$B$8+124),IFERROR(MATCH(설정!$C$20,INDEX(급여대장_원본!$A$1:$AZ$400,설정!$B$8,0),0),""))&amp;"",",","")),""))</f>
        <v/>
      </c>
      <c r="R130" s="2">
        <f>IF(OR(설정!$C$21="",IFERROR(MATCH(설정!$C$21,INDEX(급여대장_원본!$A$1:$AZ$400,설정!$B$8,0),0),"")=""),"",IFERROR(VALUE(SUBSTITUTE(INDEX(급여대장_원본!$A$1:$AZ$400,(설정!$B$8+124),IFERROR(MATCH(설정!$C$21,INDEX(급여대장_원본!$A$1:$AZ$400,설정!$B$8,0),0),""))&amp;"",",","")),""))</f>
        <v/>
      </c>
      <c r="S130" s="2">
        <f>IF(OR(설정!$C$22="",IFERROR(MATCH(설정!$C$22,INDEX(급여대장_원본!$A$1:$AZ$400,설정!$B$8,0),0),"")=""),"",IFERROR(VALUE(SUBSTITUTE(INDEX(급여대장_원본!$A$1:$AZ$400,(설정!$B$8+124),IFERROR(MATCH(설정!$C$22,INDEX(급여대장_원본!$A$1:$AZ$400,설정!$B$8,0),0),""))&amp;"",",","")),""))</f>
        <v/>
      </c>
      <c r="T130" s="2">
        <f>IF(OR(설정!$C$23="",IFERROR(MATCH(설정!$C$23,INDEX(급여대장_원본!$A$1:$AZ$400,설정!$B$8,0),0),"")=""),"",IFERROR(VALUE(SUBSTITUTE(INDEX(급여대장_원본!$A$1:$AZ$400,(설정!$B$8+124),IFERROR(MATCH(설정!$C$23,INDEX(급여대장_원본!$A$1:$AZ$400,설정!$B$8,0),0),""))&amp;"",",","")),""))</f>
        <v/>
      </c>
      <c r="U130" s="2">
        <f>IF(OR(설정!$C$24="",IFERROR(MATCH(설정!$C$24,INDEX(급여대장_원본!$A$1:$AZ$400,설정!$B$8,0),0),"")=""),"",IFERROR(VALUE(SUBSTITUTE(INDEX(급여대장_원본!$A$1:$AZ$400,(설정!$B$8+124),IFERROR(MATCH(설정!$C$24,INDEX(급여대장_원본!$A$1:$AZ$400,설정!$B$8,0),0),""))&amp;"",",","")),""))</f>
        <v/>
      </c>
      <c r="V130" s="27">
        <f>SUM(F130:M130)</f>
        <v/>
      </c>
      <c r="W130" s="27">
        <f>IF(설정!$D$26="",0,IFERROR(VALUE(SUBSTITUTE(SUBSTITUTE(INDEX(급여대장_원본!$A$1:$AZ$400,(설정!$B$8+124),설정!$D$26)&amp;"",",",""),"　","")),0))</f>
        <v/>
      </c>
      <c r="X130" s="27">
        <f>IF(설정!$D$27="",0,IFERROR(VALUE(SUBSTITUTE(SUBSTITUTE(INDEX(급여대장_원본!$A$1:$AZ$400,(설정!$B$8+124),설정!$D$27)&amp;"",",",""),"　","")),0))</f>
        <v/>
      </c>
      <c r="Y130" s="27">
        <f>IF(설정!$D$28="",0,IFERROR(VALUE(SUBSTITUTE(SUBSTITUTE(INDEX(급여대장_원본!$A$1:$AZ$400,(설정!$B$8+124),설정!$D$28)&amp;"",",",""),"　","")),0))</f>
        <v/>
      </c>
      <c r="Z130" s="27">
        <f>IF(설정!$D$29="",0,IFERROR(VALUE(SUBSTITUTE(SUBSTITUTE(INDEX(급여대장_원본!$A$1:$AZ$400,(설정!$B$8+124),설정!$D$29)&amp;"",",",""),"　","")),0))</f>
        <v/>
      </c>
      <c r="AA130" s="27">
        <f>IF(설정!$D$30="",0,IFERROR(VALUE(SUBSTITUTE(SUBSTITUTE(INDEX(급여대장_원본!$A$1:$AZ$400,(설정!$B$8+124),설정!$D$30)&amp;"",",",""),"　","")),0))</f>
        <v/>
      </c>
      <c r="AB130" s="27">
        <f>IF(설정!$D$31="",0,IFERROR(VALUE(SUBSTITUTE(SUBSTITUTE(INDEX(급여대장_원본!$A$1:$AZ$400,(설정!$B$8+124),설정!$D$31)&amp;"",",",""),"　","")),0))</f>
        <v/>
      </c>
      <c r="AC130" s="27">
        <f>IF(설정!$D$32="",0,IFERROR(VALUE(SUBSTITUTE(SUBSTITUTE(INDEX(급여대장_원본!$A$1:$AZ$400,(설정!$B$8+124),설정!$D$32)&amp;"",",",""),"　","")),0))</f>
        <v/>
      </c>
      <c r="AD130" s="27">
        <f>IF(설정!$D$33="",0,IFERROR(VALUE(SUBSTITUTE(SUBSTITUTE(INDEX(급여대장_원본!$A$1:$AZ$400,(설정!$B$8+124),설정!$D$33)&amp;"",",",""),"　","")),0))</f>
        <v/>
      </c>
      <c r="AE130" s="27">
        <f>SUM(W130:AD130)</f>
        <v/>
      </c>
      <c r="AF130" s="27">
        <f>V130-AE130</f>
        <v/>
      </c>
      <c r="AG130" s="27">
        <f>IF(설정!$D$35="","",IF(설정!$D$35="",0,IFERROR(VALUE(SUBSTITUTE(SUBSTITUTE(INDEX(급여대장_원본!$A$1:$AZ$400,(설정!$B$8+124),설정!$D$35)&amp;"",",",""),"　","")),0)))</f>
        <v/>
      </c>
      <c r="AH130" s="27">
        <f>IF(설정!$D$36="","",IF(설정!$D$36="",0,IFERROR(VALUE(SUBSTITUTE(SUBSTITUTE(INDEX(급여대장_원본!$A$1:$AZ$400,(설정!$B$8+124),설정!$D$36)&amp;"",",",""),"　","")),0)))</f>
        <v/>
      </c>
      <c r="AI130" s="27">
        <f>IF(설정!$D$37="","",IF(설정!$D$37="",0,IFERROR(VALUE(SUBSTITUTE(SUBSTITUTE(INDEX(급여대장_원본!$A$1:$AZ$400,(설정!$B$8+124),설정!$D$37)&amp;"",",",""),"　","")),0)))</f>
        <v/>
      </c>
      <c r="AJ130" s="2">
        <f>IFERROR(INDEX($D$7:$D$306,MATCH(124,$B$7:$B$306,0)),"")</f>
        <v/>
      </c>
    </row>
    <row r="131">
      <c r="A131" s="2">
        <f>IF(AND(D131&lt;&gt;"",D131&lt;&gt;"합계",D131&lt;&gt;"총계",D131&lt;&gt;"소계",D131&lt;&gt;"계"),1,0)</f>
        <v/>
      </c>
      <c r="B131" s="2">
        <f>IF(A131=1,SUM($A$7:A131),"")</f>
        <v/>
      </c>
      <c r="C131" s="2">
        <f>IF(설정!$D$13="","",TRIM(SUBSTITUTE(INDEX(급여대장_원본!$A$1:$AZ$400,(설정!$B$8+125),설정!$D$13)&amp;"","　"," ")))</f>
        <v/>
      </c>
      <c r="D131" s="2">
        <f>IF(설정!$D$14="","",TRIM(SUBSTITUTE(INDEX(급여대장_원본!$A$1:$AZ$400,(설정!$B$8+125),설정!$D$14)&amp;"","　"," ")))</f>
        <v/>
      </c>
      <c r="E131" s="2">
        <f>IF(설정!$D$15="","",TRIM(SUBSTITUTE(INDEX(급여대장_원본!$A$1:$AZ$400,(설정!$B$8+125),설정!$D$15)&amp;"","　"," ")))</f>
        <v/>
      </c>
      <c r="F131" s="27">
        <f>IF(설정!$D$17="",0,IFERROR(VALUE(SUBSTITUTE(SUBSTITUTE(INDEX(급여대장_원본!$A$1:$AZ$400,(설정!$B$8+125),설정!$D$17)&amp;"",",",""),"　","")),0))</f>
        <v/>
      </c>
      <c r="G131" s="27">
        <f>IF(설정!$D$18="",0,IFERROR(VALUE(SUBSTITUTE(SUBSTITUTE(INDEX(급여대장_원본!$A$1:$AZ$400,(설정!$B$8+125),설정!$D$18)&amp;"",",",""),"　","")),0))</f>
        <v/>
      </c>
      <c r="H131" s="27">
        <f>IF(설정!$D$19="",0,IFERROR(VALUE(SUBSTITUTE(SUBSTITUTE(INDEX(급여대장_원본!$A$1:$AZ$400,(설정!$B$8+125),설정!$D$19)&amp;"",",",""),"　","")),0))</f>
        <v/>
      </c>
      <c r="I131" s="27">
        <f>IF(설정!$D$20="",0,IFERROR(VALUE(SUBSTITUTE(SUBSTITUTE(INDEX(급여대장_원본!$A$1:$AZ$400,(설정!$B$8+125),설정!$D$20)&amp;"",",",""),"　","")),0))</f>
        <v/>
      </c>
      <c r="J131" s="27">
        <f>IF(설정!$D$21="",0,IFERROR(VALUE(SUBSTITUTE(SUBSTITUTE(INDEX(급여대장_원본!$A$1:$AZ$400,(설정!$B$8+125),설정!$D$21)&amp;"",",",""),"　","")),0))</f>
        <v/>
      </c>
      <c r="K131" s="27">
        <f>IF(설정!$D$22="",0,IFERROR(VALUE(SUBSTITUTE(SUBSTITUTE(INDEX(급여대장_원본!$A$1:$AZ$400,(설정!$B$8+125),설정!$D$22)&amp;"",",",""),"　","")),0))</f>
        <v/>
      </c>
      <c r="L131" s="27">
        <f>IF(설정!$D$23="",0,IFERROR(VALUE(SUBSTITUTE(SUBSTITUTE(INDEX(급여대장_원본!$A$1:$AZ$400,(설정!$B$8+125),설정!$D$23)&amp;"",",",""),"　","")),0))</f>
        <v/>
      </c>
      <c r="M131" s="27">
        <f>IF(설정!$D$24="",0,IFERROR(VALUE(SUBSTITUTE(SUBSTITUTE(INDEX(급여대장_원본!$A$1:$AZ$400,(설정!$B$8+125),설정!$D$24)&amp;"",",",""),"　","")),0))</f>
        <v/>
      </c>
      <c r="N131" s="2">
        <f>IF(OR(설정!$C$17="",IFERROR(MATCH(설정!$C$17,INDEX(급여대장_원본!$A$1:$AZ$400,설정!$B$8,0),0),"")=""),"",IFERROR(VALUE(SUBSTITUTE(INDEX(급여대장_원본!$A$1:$AZ$400,(설정!$B$8+125),IFERROR(MATCH(설정!$C$17,INDEX(급여대장_원본!$A$1:$AZ$400,설정!$B$8,0),0),""))&amp;"",",","")),""))</f>
        <v/>
      </c>
      <c r="O131" s="2">
        <f>IF(OR(설정!$C$18="",IFERROR(MATCH(설정!$C$18,INDEX(급여대장_원본!$A$1:$AZ$400,설정!$B$8,0),0),"")=""),"",IFERROR(VALUE(SUBSTITUTE(INDEX(급여대장_원본!$A$1:$AZ$400,(설정!$B$8+125),IFERROR(MATCH(설정!$C$18,INDEX(급여대장_원본!$A$1:$AZ$400,설정!$B$8,0),0),""))&amp;"",",","")),""))</f>
        <v/>
      </c>
      <c r="P131" s="2">
        <f>IF(OR(설정!$C$19="",IFERROR(MATCH(설정!$C$19,INDEX(급여대장_원본!$A$1:$AZ$400,설정!$B$8,0),0),"")=""),"",IFERROR(VALUE(SUBSTITUTE(INDEX(급여대장_원본!$A$1:$AZ$400,(설정!$B$8+125),IFERROR(MATCH(설정!$C$19,INDEX(급여대장_원본!$A$1:$AZ$400,설정!$B$8,0),0),""))&amp;"",",","")),""))</f>
        <v/>
      </c>
      <c r="Q131" s="2">
        <f>IF(OR(설정!$C$20="",IFERROR(MATCH(설정!$C$20,INDEX(급여대장_원본!$A$1:$AZ$400,설정!$B$8,0),0),"")=""),"",IFERROR(VALUE(SUBSTITUTE(INDEX(급여대장_원본!$A$1:$AZ$400,(설정!$B$8+125),IFERROR(MATCH(설정!$C$20,INDEX(급여대장_원본!$A$1:$AZ$400,설정!$B$8,0),0),""))&amp;"",",","")),""))</f>
        <v/>
      </c>
      <c r="R131" s="2">
        <f>IF(OR(설정!$C$21="",IFERROR(MATCH(설정!$C$21,INDEX(급여대장_원본!$A$1:$AZ$400,설정!$B$8,0),0),"")=""),"",IFERROR(VALUE(SUBSTITUTE(INDEX(급여대장_원본!$A$1:$AZ$400,(설정!$B$8+125),IFERROR(MATCH(설정!$C$21,INDEX(급여대장_원본!$A$1:$AZ$400,설정!$B$8,0),0),""))&amp;"",",","")),""))</f>
        <v/>
      </c>
      <c r="S131" s="2">
        <f>IF(OR(설정!$C$22="",IFERROR(MATCH(설정!$C$22,INDEX(급여대장_원본!$A$1:$AZ$400,설정!$B$8,0),0),"")=""),"",IFERROR(VALUE(SUBSTITUTE(INDEX(급여대장_원본!$A$1:$AZ$400,(설정!$B$8+125),IFERROR(MATCH(설정!$C$22,INDEX(급여대장_원본!$A$1:$AZ$400,설정!$B$8,0),0),""))&amp;"",",","")),""))</f>
        <v/>
      </c>
      <c r="T131" s="2">
        <f>IF(OR(설정!$C$23="",IFERROR(MATCH(설정!$C$23,INDEX(급여대장_원본!$A$1:$AZ$400,설정!$B$8,0),0),"")=""),"",IFERROR(VALUE(SUBSTITUTE(INDEX(급여대장_원본!$A$1:$AZ$400,(설정!$B$8+125),IFERROR(MATCH(설정!$C$23,INDEX(급여대장_원본!$A$1:$AZ$400,설정!$B$8,0),0),""))&amp;"",",","")),""))</f>
        <v/>
      </c>
      <c r="U131" s="2">
        <f>IF(OR(설정!$C$24="",IFERROR(MATCH(설정!$C$24,INDEX(급여대장_원본!$A$1:$AZ$400,설정!$B$8,0),0),"")=""),"",IFERROR(VALUE(SUBSTITUTE(INDEX(급여대장_원본!$A$1:$AZ$400,(설정!$B$8+125),IFERROR(MATCH(설정!$C$24,INDEX(급여대장_원본!$A$1:$AZ$400,설정!$B$8,0),0),""))&amp;"",",","")),""))</f>
        <v/>
      </c>
      <c r="V131" s="27">
        <f>SUM(F131:M131)</f>
        <v/>
      </c>
      <c r="W131" s="27">
        <f>IF(설정!$D$26="",0,IFERROR(VALUE(SUBSTITUTE(SUBSTITUTE(INDEX(급여대장_원본!$A$1:$AZ$400,(설정!$B$8+125),설정!$D$26)&amp;"",",",""),"　","")),0))</f>
        <v/>
      </c>
      <c r="X131" s="27">
        <f>IF(설정!$D$27="",0,IFERROR(VALUE(SUBSTITUTE(SUBSTITUTE(INDEX(급여대장_원본!$A$1:$AZ$400,(설정!$B$8+125),설정!$D$27)&amp;"",",",""),"　","")),0))</f>
        <v/>
      </c>
      <c r="Y131" s="27">
        <f>IF(설정!$D$28="",0,IFERROR(VALUE(SUBSTITUTE(SUBSTITUTE(INDEX(급여대장_원본!$A$1:$AZ$400,(설정!$B$8+125),설정!$D$28)&amp;"",",",""),"　","")),0))</f>
        <v/>
      </c>
      <c r="Z131" s="27">
        <f>IF(설정!$D$29="",0,IFERROR(VALUE(SUBSTITUTE(SUBSTITUTE(INDEX(급여대장_원본!$A$1:$AZ$400,(설정!$B$8+125),설정!$D$29)&amp;"",",",""),"　","")),0))</f>
        <v/>
      </c>
      <c r="AA131" s="27">
        <f>IF(설정!$D$30="",0,IFERROR(VALUE(SUBSTITUTE(SUBSTITUTE(INDEX(급여대장_원본!$A$1:$AZ$400,(설정!$B$8+125),설정!$D$30)&amp;"",",",""),"　","")),0))</f>
        <v/>
      </c>
      <c r="AB131" s="27">
        <f>IF(설정!$D$31="",0,IFERROR(VALUE(SUBSTITUTE(SUBSTITUTE(INDEX(급여대장_원본!$A$1:$AZ$400,(설정!$B$8+125),설정!$D$31)&amp;"",",",""),"　","")),0))</f>
        <v/>
      </c>
      <c r="AC131" s="27">
        <f>IF(설정!$D$32="",0,IFERROR(VALUE(SUBSTITUTE(SUBSTITUTE(INDEX(급여대장_원본!$A$1:$AZ$400,(설정!$B$8+125),설정!$D$32)&amp;"",",",""),"　","")),0))</f>
        <v/>
      </c>
      <c r="AD131" s="27">
        <f>IF(설정!$D$33="",0,IFERROR(VALUE(SUBSTITUTE(SUBSTITUTE(INDEX(급여대장_원본!$A$1:$AZ$400,(설정!$B$8+125),설정!$D$33)&amp;"",",",""),"　","")),0))</f>
        <v/>
      </c>
      <c r="AE131" s="27">
        <f>SUM(W131:AD131)</f>
        <v/>
      </c>
      <c r="AF131" s="27">
        <f>V131-AE131</f>
        <v/>
      </c>
      <c r="AG131" s="27">
        <f>IF(설정!$D$35="","",IF(설정!$D$35="",0,IFERROR(VALUE(SUBSTITUTE(SUBSTITUTE(INDEX(급여대장_원본!$A$1:$AZ$400,(설정!$B$8+125),설정!$D$35)&amp;"",",",""),"　","")),0)))</f>
        <v/>
      </c>
      <c r="AH131" s="27">
        <f>IF(설정!$D$36="","",IF(설정!$D$36="",0,IFERROR(VALUE(SUBSTITUTE(SUBSTITUTE(INDEX(급여대장_원본!$A$1:$AZ$400,(설정!$B$8+125),설정!$D$36)&amp;"",",",""),"　","")),0)))</f>
        <v/>
      </c>
      <c r="AI131" s="27">
        <f>IF(설정!$D$37="","",IF(설정!$D$37="",0,IFERROR(VALUE(SUBSTITUTE(SUBSTITUTE(INDEX(급여대장_원본!$A$1:$AZ$400,(설정!$B$8+125),설정!$D$37)&amp;"",",",""),"　","")),0)))</f>
        <v/>
      </c>
      <c r="AJ131" s="2">
        <f>IFERROR(INDEX($D$7:$D$306,MATCH(125,$B$7:$B$306,0)),"")</f>
        <v/>
      </c>
    </row>
    <row r="132">
      <c r="A132" s="2">
        <f>IF(AND(D132&lt;&gt;"",D132&lt;&gt;"합계",D132&lt;&gt;"총계",D132&lt;&gt;"소계",D132&lt;&gt;"계"),1,0)</f>
        <v/>
      </c>
      <c r="B132" s="2">
        <f>IF(A132=1,SUM($A$7:A132),"")</f>
        <v/>
      </c>
      <c r="C132" s="2">
        <f>IF(설정!$D$13="","",TRIM(SUBSTITUTE(INDEX(급여대장_원본!$A$1:$AZ$400,(설정!$B$8+126),설정!$D$13)&amp;"","　"," ")))</f>
        <v/>
      </c>
      <c r="D132" s="2">
        <f>IF(설정!$D$14="","",TRIM(SUBSTITUTE(INDEX(급여대장_원본!$A$1:$AZ$400,(설정!$B$8+126),설정!$D$14)&amp;"","　"," ")))</f>
        <v/>
      </c>
      <c r="E132" s="2">
        <f>IF(설정!$D$15="","",TRIM(SUBSTITUTE(INDEX(급여대장_원본!$A$1:$AZ$400,(설정!$B$8+126),설정!$D$15)&amp;"","　"," ")))</f>
        <v/>
      </c>
      <c r="F132" s="27">
        <f>IF(설정!$D$17="",0,IFERROR(VALUE(SUBSTITUTE(SUBSTITUTE(INDEX(급여대장_원본!$A$1:$AZ$400,(설정!$B$8+126),설정!$D$17)&amp;"",",",""),"　","")),0))</f>
        <v/>
      </c>
      <c r="G132" s="27">
        <f>IF(설정!$D$18="",0,IFERROR(VALUE(SUBSTITUTE(SUBSTITUTE(INDEX(급여대장_원본!$A$1:$AZ$400,(설정!$B$8+126),설정!$D$18)&amp;"",",",""),"　","")),0))</f>
        <v/>
      </c>
      <c r="H132" s="27">
        <f>IF(설정!$D$19="",0,IFERROR(VALUE(SUBSTITUTE(SUBSTITUTE(INDEX(급여대장_원본!$A$1:$AZ$400,(설정!$B$8+126),설정!$D$19)&amp;"",",",""),"　","")),0))</f>
        <v/>
      </c>
      <c r="I132" s="27">
        <f>IF(설정!$D$20="",0,IFERROR(VALUE(SUBSTITUTE(SUBSTITUTE(INDEX(급여대장_원본!$A$1:$AZ$400,(설정!$B$8+126),설정!$D$20)&amp;"",",",""),"　","")),0))</f>
        <v/>
      </c>
      <c r="J132" s="27">
        <f>IF(설정!$D$21="",0,IFERROR(VALUE(SUBSTITUTE(SUBSTITUTE(INDEX(급여대장_원본!$A$1:$AZ$400,(설정!$B$8+126),설정!$D$21)&amp;"",",",""),"　","")),0))</f>
        <v/>
      </c>
      <c r="K132" s="27">
        <f>IF(설정!$D$22="",0,IFERROR(VALUE(SUBSTITUTE(SUBSTITUTE(INDEX(급여대장_원본!$A$1:$AZ$400,(설정!$B$8+126),설정!$D$22)&amp;"",",",""),"　","")),0))</f>
        <v/>
      </c>
      <c r="L132" s="27">
        <f>IF(설정!$D$23="",0,IFERROR(VALUE(SUBSTITUTE(SUBSTITUTE(INDEX(급여대장_원본!$A$1:$AZ$400,(설정!$B$8+126),설정!$D$23)&amp;"",",",""),"　","")),0))</f>
        <v/>
      </c>
      <c r="M132" s="27">
        <f>IF(설정!$D$24="",0,IFERROR(VALUE(SUBSTITUTE(SUBSTITUTE(INDEX(급여대장_원본!$A$1:$AZ$400,(설정!$B$8+126),설정!$D$24)&amp;"",",",""),"　","")),0))</f>
        <v/>
      </c>
      <c r="N132" s="2">
        <f>IF(OR(설정!$C$17="",IFERROR(MATCH(설정!$C$17,INDEX(급여대장_원본!$A$1:$AZ$400,설정!$B$8,0),0),"")=""),"",IFERROR(VALUE(SUBSTITUTE(INDEX(급여대장_원본!$A$1:$AZ$400,(설정!$B$8+126),IFERROR(MATCH(설정!$C$17,INDEX(급여대장_원본!$A$1:$AZ$400,설정!$B$8,0),0),""))&amp;"",",","")),""))</f>
        <v/>
      </c>
      <c r="O132" s="2">
        <f>IF(OR(설정!$C$18="",IFERROR(MATCH(설정!$C$18,INDEX(급여대장_원본!$A$1:$AZ$400,설정!$B$8,0),0),"")=""),"",IFERROR(VALUE(SUBSTITUTE(INDEX(급여대장_원본!$A$1:$AZ$400,(설정!$B$8+126),IFERROR(MATCH(설정!$C$18,INDEX(급여대장_원본!$A$1:$AZ$400,설정!$B$8,0),0),""))&amp;"",",","")),""))</f>
        <v/>
      </c>
      <c r="P132" s="2">
        <f>IF(OR(설정!$C$19="",IFERROR(MATCH(설정!$C$19,INDEX(급여대장_원본!$A$1:$AZ$400,설정!$B$8,0),0),"")=""),"",IFERROR(VALUE(SUBSTITUTE(INDEX(급여대장_원본!$A$1:$AZ$400,(설정!$B$8+126),IFERROR(MATCH(설정!$C$19,INDEX(급여대장_원본!$A$1:$AZ$400,설정!$B$8,0),0),""))&amp;"",",","")),""))</f>
        <v/>
      </c>
      <c r="Q132" s="2">
        <f>IF(OR(설정!$C$20="",IFERROR(MATCH(설정!$C$20,INDEX(급여대장_원본!$A$1:$AZ$400,설정!$B$8,0),0),"")=""),"",IFERROR(VALUE(SUBSTITUTE(INDEX(급여대장_원본!$A$1:$AZ$400,(설정!$B$8+126),IFERROR(MATCH(설정!$C$20,INDEX(급여대장_원본!$A$1:$AZ$400,설정!$B$8,0),0),""))&amp;"",",","")),""))</f>
        <v/>
      </c>
      <c r="R132" s="2">
        <f>IF(OR(설정!$C$21="",IFERROR(MATCH(설정!$C$21,INDEX(급여대장_원본!$A$1:$AZ$400,설정!$B$8,0),0),"")=""),"",IFERROR(VALUE(SUBSTITUTE(INDEX(급여대장_원본!$A$1:$AZ$400,(설정!$B$8+126),IFERROR(MATCH(설정!$C$21,INDEX(급여대장_원본!$A$1:$AZ$400,설정!$B$8,0),0),""))&amp;"",",","")),""))</f>
        <v/>
      </c>
      <c r="S132" s="2">
        <f>IF(OR(설정!$C$22="",IFERROR(MATCH(설정!$C$22,INDEX(급여대장_원본!$A$1:$AZ$400,설정!$B$8,0),0),"")=""),"",IFERROR(VALUE(SUBSTITUTE(INDEX(급여대장_원본!$A$1:$AZ$400,(설정!$B$8+126),IFERROR(MATCH(설정!$C$22,INDEX(급여대장_원본!$A$1:$AZ$400,설정!$B$8,0),0),""))&amp;"",",","")),""))</f>
        <v/>
      </c>
      <c r="T132" s="2">
        <f>IF(OR(설정!$C$23="",IFERROR(MATCH(설정!$C$23,INDEX(급여대장_원본!$A$1:$AZ$400,설정!$B$8,0),0),"")=""),"",IFERROR(VALUE(SUBSTITUTE(INDEX(급여대장_원본!$A$1:$AZ$400,(설정!$B$8+126),IFERROR(MATCH(설정!$C$23,INDEX(급여대장_원본!$A$1:$AZ$400,설정!$B$8,0),0),""))&amp;"",",","")),""))</f>
        <v/>
      </c>
      <c r="U132" s="2">
        <f>IF(OR(설정!$C$24="",IFERROR(MATCH(설정!$C$24,INDEX(급여대장_원본!$A$1:$AZ$400,설정!$B$8,0),0),"")=""),"",IFERROR(VALUE(SUBSTITUTE(INDEX(급여대장_원본!$A$1:$AZ$400,(설정!$B$8+126),IFERROR(MATCH(설정!$C$24,INDEX(급여대장_원본!$A$1:$AZ$400,설정!$B$8,0),0),""))&amp;"",",","")),""))</f>
        <v/>
      </c>
      <c r="V132" s="27">
        <f>SUM(F132:M132)</f>
        <v/>
      </c>
      <c r="W132" s="27">
        <f>IF(설정!$D$26="",0,IFERROR(VALUE(SUBSTITUTE(SUBSTITUTE(INDEX(급여대장_원본!$A$1:$AZ$400,(설정!$B$8+126),설정!$D$26)&amp;"",",",""),"　","")),0))</f>
        <v/>
      </c>
      <c r="X132" s="27">
        <f>IF(설정!$D$27="",0,IFERROR(VALUE(SUBSTITUTE(SUBSTITUTE(INDEX(급여대장_원본!$A$1:$AZ$400,(설정!$B$8+126),설정!$D$27)&amp;"",",",""),"　","")),0))</f>
        <v/>
      </c>
      <c r="Y132" s="27">
        <f>IF(설정!$D$28="",0,IFERROR(VALUE(SUBSTITUTE(SUBSTITUTE(INDEX(급여대장_원본!$A$1:$AZ$400,(설정!$B$8+126),설정!$D$28)&amp;"",",",""),"　","")),0))</f>
        <v/>
      </c>
      <c r="Z132" s="27">
        <f>IF(설정!$D$29="",0,IFERROR(VALUE(SUBSTITUTE(SUBSTITUTE(INDEX(급여대장_원본!$A$1:$AZ$400,(설정!$B$8+126),설정!$D$29)&amp;"",",",""),"　","")),0))</f>
        <v/>
      </c>
      <c r="AA132" s="27">
        <f>IF(설정!$D$30="",0,IFERROR(VALUE(SUBSTITUTE(SUBSTITUTE(INDEX(급여대장_원본!$A$1:$AZ$400,(설정!$B$8+126),설정!$D$30)&amp;"",",",""),"　","")),0))</f>
        <v/>
      </c>
      <c r="AB132" s="27">
        <f>IF(설정!$D$31="",0,IFERROR(VALUE(SUBSTITUTE(SUBSTITUTE(INDEX(급여대장_원본!$A$1:$AZ$400,(설정!$B$8+126),설정!$D$31)&amp;"",",",""),"　","")),0))</f>
        <v/>
      </c>
      <c r="AC132" s="27">
        <f>IF(설정!$D$32="",0,IFERROR(VALUE(SUBSTITUTE(SUBSTITUTE(INDEX(급여대장_원본!$A$1:$AZ$400,(설정!$B$8+126),설정!$D$32)&amp;"",",",""),"　","")),0))</f>
        <v/>
      </c>
      <c r="AD132" s="27">
        <f>IF(설정!$D$33="",0,IFERROR(VALUE(SUBSTITUTE(SUBSTITUTE(INDEX(급여대장_원본!$A$1:$AZ$400,(설정!$B$8+126),설정!$D$33)&amp;"",",",""),"　","")),0))</f>
        <v/>
      </c>
      <c r="AE132" s="27">
        <f>SUM(W132:AD132)</f>
        <v/>
      </c>
      <c r="AF132" s="27">
        <f>V132-AE132</f>
        <v/>
      </c>
      <c r="AG132" s="27">
        <f>IF(설정!$D$35="","",IF(설정!$D$35="",0,IFERROR(VALUE(SUBSTITUTE(SUBSTITUTE(INDEX(급여대장_원본!$A$1:$AZ$400,(설정!$B$8+126),설정!$D$35)&amp;"",",",""),"　","")),0)))</f>
        <v/>
      </c>
      <c r="AH132" s="27">
        <f>IF(설정!$D$36="","",IF(설정!$D$36="",0,IFERROR(VALUE(SUBSTITUTE(SUBSTITUTE(INDEX(급여대장_원본!$A$1:$AZ$400,(설정!$B$8+126),설정!$D$36)&amp;"",",",""),"　","")),0)))</f>
        <v/>
      </c>
      <c r="AI132" s="27">
        <f>IF(설정!$D$37="","",IF(설정!$D$37="",0,IFERROR(VALUE(SUBSTITUTE(SUBSTITUTE(INDEX(급여대장_원본!$A$1:$AZ$400,(설정!$B$8+126),설정!$D$37)&amp;"",",",""),"　","")),0)))</f>
        <v/>
      </c>
      <c r="AJ132" s="2">
        <f>IFERROR(INDEX($D$7:$D$306,MATCH(126,$B$7:$B$306,0)),"")</f>
        <v/>
      </c>
    </row>
    <row r="133">
      <c r="A133" s="2">
        <f>IF(AND(D133&lt;&gt;"",D133&lt;&gt;"합계",D133&lt;&gt;"총계",D133&lt;&gt;"소계",D133&lt;&gt;"계"),1,0)</f>
        <v/>
      </c>
      <c r="B133" s="2">
        <f>IF(A133=1,SUM($A$7:A133),"")</f>
        <v/>
      </c>
      <c r="C133" s="2">
        <f>IF(설정!$D$13="","",TRIM(SUBSTITUTE(INDEX(급여대장_원본!$A$1:$AZ$400,(설정!$B$8+127),설정!$D$13)&amp;"","　"," ")))</f>
        <v/>
      </c>
      <c r="D133" s="2">
        <f>IF(설정!$D$14="","",TRIM(SUBSTITUTE(INDEX(급여대장_원본!$A$1:$AZ$400,(설정!$B$8+127),설정!$D$14)&amp;"","　"," ")))</f>
        <v/>
      </c>
      <c r="E133" s="2">
        <f>IF(설정!$D$15="","",TRIM(SUBSTITUTE(INDEX(급여대장_원본!$A$1:$AZ$400,(설정!$B$8+127),설정!$D$15)&amp;"","　"," ")))</f>
        <v/>
      </c>
      <c r="F133" s="27">
        <f>IF(설정!$D$17="",0,IFERROR(VALUE(SUBSTITUTE(SUBSTITUTE(INDEX(급여대장_원본!$A$1:$AZ$400,(설정!$B$8+127),설정!$D$17)&amp;"",",",""),"　","")),0))</f>
        <v/>
      </c>
      <c r="G133" s="27">
        <f>IF(설정!$D$18="",0,IFERROR(VALUE(SUBSTITUTE(SUBSTITUTE(INDEX(급여대장_원본!$A$1:$AZ$400,(설정!$B$8+127),설정!$D$18)&amp;"",",",""),"　","")),0))</f>
        <v/>
      </c>
      <c r="H133" s="27">
        <f>IF(설정!$D$19="",0,IFERROR(VALUE(SUBSTITUTE(SUBSTITUTE(INDEX(급여대장_원본!$A$1:$AZ$400,(설정!$B$8+127),설정!$D$19)&amp;"",",",""),"　","")),0))</f>
        <v/>
      </c>
      <c r="I133" s="27">
        <f>IF(설정!$D$20="",0,IFERROR(VALUE(SUBSTITUTE(SUBSTITUTE(INDEX(급여대장_원본!$A$1:$AZ$400,(설정!$B$8+127),설정!$D$20)&amp;"",",",""),"　","")),0))</f>
        <v/>
      </c>
      <c r="J133" s="27">
        <f>IF(설정!$D$21="",0,IFERROR(VALUE(SUBSTITUTE(SUBSTITUTE(INDEX(급여대장_원본!$A$1:$AZ$400,(설정!$B$8+127),설정!$D$21)&amp;"",",",""),"　","")),0))</f>
        <v/>
      </c>
      <c r="K133" s="27">
        <f>IF(설정!$D$22="",0,IFERROR(VALUE(SUBSTITUTE(SUBSTITUTE(INDEX(급여대장_원본!$A$1:$AZ$400,(설정!$B$8+127),설정!$D$22)&amp;"",",",""),"　","")),0))</f>
        <v/>
      </c>
      <c r="L133" s="27">
        <f>IF(설정!$D$23="",0,IFERROR(VALUE(SUBSTITUTE(SUBSTITUTE(INDEX(급여대장_원본!$A$1:$AZ$400,(설정!$B$8+127),설정!$D$23)&amp;"",",",""),"　","")),0))</f>
        <v/>
      </c>
      <c r="M133" s="27">
        <f>IF(설정!$D$24="",0,IFERROR(VALUE(SUBSTITUTE(SUBSTITUTE(INDEX(급여대장_원본!$A$1:$AZ$400,(설정!$B$8+127),설정!$D$24)&amp;"",",",""),"　","")),0))</f>
        <v/>
      </c>
      <c r="N133" s="2">
        <f>IF(OR(설정!$C$17="",IFERROR(MATCH(설정!$C$17,INDEX(급여대장_원본!$A$1:$AZ$400,설정!$B$8,0),0),"")=""),"",IFERROR(VALUE(SUBSTITUTE(INDEX(급여대장_원본!$A$1:$AZ$400,(설정!$B$8+127),IFERROR(MATCH(설정!$C$17,INDEX(급여대장_원본!$A$1:$AZ$400,설정!$B$8,0),0),""))&amp;"",",","")),""))</f>
        <v/>
      </c>
      <c r="O133" s="2">
        <f>IF(OR(설정!$C$18="",IFERROR(MATCH(설정!$C$18,INDEX(급여대장_원본!$A$1:$AZ$400,설정!$B$8,0),0),"")=""),"",IFERROR(VALUE(SUBSTITUTE(INDEX(급여대장_원본!$A$1:$AZ$400,(설정!$B$8+127),IFERROR(MATCH(설정!$C$18,INDEX(급여대장_원본!$A$1:$AZ$400,설정!$B$8,0),0),""))&amp;"",",","")),""))</f>
        <v/>
      </c>
      <c r="P133" s="2">
        <f>IF(OR(설정!$C$19="",IFERROR(MATCH(설정!$C$19,INDEX(급여대장_원본!$A$1:$AZ$400,설정!$B$8,0),0),"")=""),"",IFERROR(VALUE(SUBSTITUTE(INDEX(급여대장_원본!$A$1:$AZ$400,(설정!$B$8+127),IFERROR(MATCH(설정!$C$19,INDEX(급여대장_원본!$A$1:$AZ$400,설정!$B$8,0),0),""))&amp;"",",","")),""))</f>
        <v/>
      </c>
      <c r="Q133" s="2">
        <f>IF(OR(설정!$C$20="",IFERROR(MATCH(설정!$C$20,INDEX(급여대장_원본!$A$1:$AZ$400,설정!$B$8,0),0),"")=""),"",IFERROR(VALUE(SUBSTITUTE(INDEX(급여대장_원본!$A$1:$AZ$400,(설정!$B$8+127),IFERROR(MATCH(설정!$C$20,INDEX(급여대장_원본!$A$1:$AZ$400,설정!$B$8,0),0),""))&amp;"",",","")),""))</f>
        <v/>
      </c>
      <c r="R133" s="2">
        <f>IF(OR(설정!$C$21="",IFERROR(MATCH(설정!$C$21,INDEX(급여대장_원본!$A$1:$AZ$400,설정!$B$8,0),0),"")=""),"",IFERROR(VALUE(SUBSTITUTE(INDEX(급여대장_원본!$A$1:$AZ$400,(설정!$B$8+127),IFERROR(MATCH(설정!$C$21,INDEX(급여대장_원본!$A$1:$AZ$400,설정!$B$8,0),0),""))&amp;"",",","")),""))</f>
        <v/>
      </c>
      <c r="S133" s="2">
        <f>IF(OR(설정!$C$22="",IFERROR(MATCH(설정!$C$22,INDEX(급여대장_원본!$A$1:$AZ$400,설정!$B$8,0),0),"")=""),"",IFERROR(VALUE(SUBSTITUTE(INDEX(급여대장_원본!$A$1:$AZ$400,(설정!$B$8+127),IFERROR(MATCH(설정!$C$22,INDEX(급여대장_원본!$A$1:$AZ$400,설정!$B$8,0),0),""))&amp;"",",","")),""))</f>
        <v/>
      </c>
      <c r="T133" s="2">
        <f>IF(OR(설정!$C$23="",IFERROR(MATCH(설정!$C$23,INDEX(급여대장_원본!$A$1:$AZ$400,설정!$B$8,0),0),"")=""),"",IFERROR(VALUE(SUBSTITUTE(INDEX(급여대장_원본!$A$1:$AZ$400,(설정!$B$8+127),IFERROR(MATCH(설정!$C$23,INDEX(급여대장_원본!$A$1:$AZ$400,설정!$B$8,0),0),""))&amp;"",",","")),""))</f>
        <v/>
      </c>
      <c r="U133" s="2">
        <f>IF(OR(설정!$C$24="",IFERROR(MATCH(설정!$C$24,INDEX(급여대장_원본!$A$1:$AZ$400,설정!$B$8,0),0),"")=""),"",IFERROR(VALUE(SUBSTITUTE(INDEX(급여대장_원본!$A$1:$AZ$400,(설정!$B$8+127),IFERROR(MATCH(설정!$C$24,INDEX(급여대장_원본!$A$1:$AZ$400,설정!$B$8,0),0),""))&amp;"",",","")),""))</f>
        <v/>
      </c>
      <c r="V133" s="27">
        <f>SUM(F133:M133)</f>
        <v/>
      </c>
      <c r="W133" s="27">
        <f>IF(설정!$D$26="",0,IFERROR(VALUE(SUBSTITUTE(SUBSTITUTE(INDEX(급여대장_원본!$A$1:$AZ$400,(설정!$B$8+127),설정!$D$26)&amp;"",",",""),"　","")),0))</f>
        <v/>
      </c>
      <c r="X133" s="27">
        <f>IF(설정!$D$27="",0,IFERROR(VALUE(SUBSTITUTE(SUBSTITUTE(INDEX(급여대장_원본!$A$1:$AZ$400,(설정!$B$8+127),설정!$D$27)&amp;"",",",""),"　","")),0))</f>
        <v/>
      </c>
      <c r="Y133" s="27">
        <f>IF(설정!$D$28="",0,IFERROR(VALUE(SUBSTITUTE(SUBSTITUTE(INDEX(급여대장_원본!$A$1:$AZ$400,(설정!$B$8+127),설정!$D$28)&amp;"",",",""),"　","")),0))</f>
        <v/>
      </c>
      <c r="Z133" s="27">
        <f>IF(설정!$D$29="",0,IFERROR(VALUE(SUBSTITUTE(SUBSTITUTE(INDEX(급여대장_원본!$A$1:$AZ$400,(설정!$B$8+127),설정!$D$29)&amp;"",",",""),"　","")),0))</f>
        <v/>
      </c>
      <c r="AA133" s="27">
        <f>IF(설정!$D$30="",0,IFERROR(VALUE(SUBSTITUTE(SUBSTITUTE(INDEX(급여대장_원본!$A$1:$AZ$400,(설정!$B$8+127),설정!$D$30)&amp;"",",",""),"　","")),0))</f>
        <v/>
      </c>
      <c r="AB133" s="27">
        <f>IF(설정!$D$31="",0,IFERROR(VALUE(SUBSTITUTE(SUBSTITUTE(INDEX(급여대장_원본!$A$1:$AZ$400,(설정!$B$8+127),설정!$D$31)&amp;"",",",""),"　","")),0))</f>
        <v/>
      </c>
      <c r="AC133" s="27">
        <f>IF(설정!$D$32="",0,IFERROR(VALUE(SUBSTITUTE(SUBSTITUTE(INDEX(급여대장_원본!$A$1:$AZ$400,(설정!$B$8+127),설정!$D$32)&amp;"",",",""),"　","")),0))</f>
        <v/>
      </c>
      <c r="AD133" s="27">
        <f>IF(설정!$D$33="",0,IFERROR(VALUE(SUBSTITUTE(SUBSTITUTE(INDEX(급여대장_원본!$A$1:$AZ$400,(설정!$B$8+127),설정!$D$33)&amp;"",",",""),"　","")),0))</f>
        <v/>
      </c>
      <c r="AE133" s="27">
        <f>SUM(W133:AD133)</f>
        <v/>
      </c>
      <c r="AF133" s="27">
        <f>V133-AE133</f>
        <v/>
      </c>
      <c r="AG133" s="27">
        <f>IF(설정!$D$35="","",IF(설정!$D$35="",0,IFERROR(VALUE(SUBSTITUTE(SUBSTITUTE(INDEX(급여대장_원본!$A$1:$AZ$400,(설정!$B$8+127),설정!$D$35)&amp;"",",",""),"　","")),0)))</f>
        <v/>
      </c>
      <c r="AH133" s="27">
        <f>IF(설정!$D$36="","",IF(설정!$D$36="",0,IFERROR(VALUE(SUBSTITUTE(SUBSTITUTE(INDEX(급여대장_원본!$A$1:$AZ$400,(설정!$B$8+127),설정!$D$36)&amp;"",",",""),"　","")),0)))</f>
        <v/>
      </c>
      <c r="AI133" s="27">
        <f>IF(설정!$D$37="","",IF(설정!$D$37="",0,IFERROR(VALUE(SUBSTITUTE(SUBSTITUTE(INDEX(급여대장_원본!$A$1:$AZ$400,(설정!$B$8+127),설정!$D$37)&amp;"",",",""),"　","")),0)))</f>
        <v/>
      </c>
      <c r="AJ133" s="2">
        <f>IFERROR(INDEX($D$7:$D$306,MATCH(127,$B$7:$B$306,0)),"")</f>
        <v/>
      </c>
    </row>
    <row r="134">
      <c r="A134" s="2">
        <f>IF(AND(D134&lt;&gt;"",D134&lt;&gt;"합계",D134&lt;&gt;"총계",D134&lt;&gt;"소계",D134&lt;&gt;"계"),1,0)</f>
        <v/>
      </c>
      <c r="B134" s="2">
        <f>IF(A134=1,SUM($A$7:A134),"")</f>
        <v/>
      </c>
      <c r="C134" s="2">
        <f>IF(설정!$D$13="","",TRIM(SUBSTITUTE(INDEX(급여대장_원본!$A$1:$AZ$400,(설정!$B$8+128),설정!$D$13)&amp;"","　"," ")))</f>
        <v/>
      </c>
      <c r="D134" s="2">
        <f>IF(설정!$D$14="","",TRIM(SUBSTITUTE(INDEX(급여대장_원본!$A$1:$AZ$400,(설정!$B$8+128),설정!$D$14)&amp;"","　"," ")))</f>
        <v/>
      </c>
      <c r="E134" s="2">
        <f>IF(설정!$D$15="","",TRIM(SUBSTITUTE(INDEX(급여대장_원본!$A$1:$AZ$400,(설정!$B$8+128),설정!$D$15)&amp;"","　"," ")))</f>
        <v/>
      </c>
      <c r="F134" s="27">
        <f>IF(설정!$D$17="",0,IFERROR(VALUE(SUBSTITUTE(SUBSTITUTE(INDEX(급여대장_원본!$A$1:$AZ$400,(설정!$B$8+128),설정!$D$17)&amp;"",",",""),"　","")),0))</f>
        <v/>
      </c>
      <c r="G134" s="27">
        <f>IF(설정!$D$18="",0,IFERROR(VALUE(SUBSTITUTE(SUBSTITUTE(INDEX(급여대장_원본!$A$1:$AZ$400,(설정!$B$8+128),설정!$D$18)&amp;"",",",""),"　","")),0))</f>
        <v/>
      </c>
      <c r="H134" s="27">
        <f>IF(설정!$D$19="",0,IFERROR(VALUE(SUBSTITUTE(SUBSTITUTE(INDEX(급여대장_원본!$A$1:$AZ$400,(설정!$B$8+128),설정!$D$19)&amp;"",",",""),"　","")),0))</f>
        <v/>
      </c>
      <c r="I134" s="27">
        <f>IF(설정!$D$20="",0,IFERROR(VALUE(SUBSTITUTE(SUBSTITUTE(INDEX(급여대장_원본!$A$1:$AZ$400,(설정!$B$8+128),설정!$D$20)&amp;"",",",""),"　","")),0))</f>
        <v/>
      </c>
      <c r="J134" s="27">
        <f>IF(설정!$D$21="",0,IFERROR(VALUE(SUBSTITUTE(SUBSTITUTE(INDEX(급여대장_원본!$A$1:$AZ$400,(설정!$B$8+128),설정!$D$21)&amp;"",",",""),"　","")),0))</f>
        <v/>
      </c>
      <c r="K134" s="27">
        <f>IF(설정!$D$22="",0,IFERROR(VALUE(SUBSTITUTE(SUBSTITUTE(INDEX(급여대장_원본!$A$1:$AZ$400,(설정!$B$8+128),설정!$D$22)&amp;"",",",""),"　","")),0))</f>
        <v/>
      </c>
      <c r="L134" s="27">
        <f>IF(설정!$D$23="",0,IFERROR(VALUE(SUBSTITUTE(SUBSTITUTE(INDEX(급여대장_원본!$A$1:$AZ$400,(설정!$B$8+128),설정!$D$23)&amp;"",",",""),"　","")),0))</f>
        <v/>
      </c>
      <c r="M134" s="27">
        <f>IF(설정!$D$24="",0,IFERROR(VALUE(SUBSTITUTE(SUBSTITUTE(INDEX(급여대장_원본!$A$1:$AZ$400,(설정!$B$8+128),설정!$D$24)&amp;"",",",""),"　","")),0))</f>
        <v/>
      </c>
      <c r="N134" s="2">
        <f>IF(OR(설정!$C$17="",IFERROR(MATCH(설정!$C$17,INDEX(급여대장_원본!$A$1:$AZ$400,설정!$B$8,0),0),"")=""),"",IFERROR(VALUE(SUBSTITUTE(INDEX(급여대장_원본!$A$1:$AZ$400,(설정!$B$8+128),IFERROR(MATCH(설정!$C$17,INDEX(급여대장_원본!$A$1:$AZ$400,설정!$B$8,0),0),""))&amp;"",",","")),""))</f>
        <v/>
      </c>
      <c r="O134" s="2">
        <f>IF(OR(설정!$C$18="",IFERROR(MATCH(설정!$C$18,INDEX(급여대장_원본!$A$1:$AZ$400,설정!$B$8,0),0),"")=""),"",IFERROR(VALUE(SUBSTITUTE(INDEX(급여대장_원본!$A$1:$AZ$400,(설정!$B$8+128),IFERROR(MATCH(설정!$C$18,INDEX(급여대장_원본!$A$1:$AZ$400,설정!$B$8,0),0),""))&amp;"",",","")),""))</f>
        <v/>
      </c>
      <c r="P134" s="2">
        <f>IF(OR(설정!$C$19="",IFERROR(MATCH(설정!$C$19,INDEX(급여대장_원본!$A$1:$AZ$400,설정!$B$8,0),0),"")=""),"",IFERROR(VALUE(SUBSTITUTE(INDEX(급여대장_원본!$A$1:$AZ$400,(설정!$B$8+128),IFERROR(MATCH(설정!$C$19,INDEX(급여대장_원본!$A$1:$AZ$400,설정!$B$8,0),0),""))&amp;"",",","")),""))</f>
        <v/>
      </c>
      <c r="Q134" s="2">
        <f>IF(OR(설정!$C$20="",IFERROR(MATCH(설정!$C$20,INDEX(급여대장_원본!$A$1:$AZ$400,설정!$B$8,0),0),"")=""),"",IFERROR(VALUE(SUBSTITUTE(INDEX(급여대장_원본!$A$1:$AZ$400,(설정!$B$8+128),IFERROR(MATCH(설정!$C$20,INDEX(급여대장_원본!$A$1:$AZ$400,설정!$B$8,0),0),""))&amp;"",",","")),""))</f>
        <v/>
      </c>
      <c r="R134" s="2">
        <f>IF(OR(설정!$C$21="",IFERROR(MATCH(설정!$C$21,INDEX(급여대장_원본!$A$1:$AZ$400,설정!$B$8,0),0),"")=""),"",IFERROR(VALUE(SUBSTITUTE(INDEX(급여대장_원본!$A$1:$AZ$400,(설정!$B$8+128),IFERROR(MATCH(설정!$C$21,INDEX(급여대장_원본!$A$1:$AZ$400,설정!$B$8,0),0),""))&amp;"",",","")),""))</f>
        <v/>
      </c>
      <c r="S134" s="2">
        <f>IF(OR(설정!$C$22="",IFERROR(MATCH(설정!$C$22,INDEX(급여대장_원본!$A$1:$AZ$400,설정!$B$8,0),0),"")=""),"",IFERROR(VALUE(SUBSTITUTE(INDEX(급여대장_원본!$A$1:$AZ$400,(설정!$B$8+128),IFERROR(MATCH(설정!$C$22,INDEX(급여대장_원본!$A$1:$AZ$400,설정!$B$8,0),0),""))&amp;"",",","")),""))</f>
        <v/>
      </c>
      <c r="T134" s="2">
        <f>IF(OR(설정!$C$23="",IFERROR(MATCH(설정!$C$23,INDEX(급여대장_원본!$A$1:$AZ$400,설정!$B$8,0),0),"")=""),"",IFERROR(VALUE(SUBSTITUTE(INDEX(급여대장_원본!$A$1:$AZ$400,(설정!$B$8+128),IFERROR(MATCH(설정!$C$23,INDEX(급여대장_원본!$A$1:$AZ$400,설정!$B$8,0),0),""))&amp;"",",","")),""))</f>
        <v/>
      </c>
      <c r="U134" s="2">
        <f>IF(OR(설정!$C$24="",IFERROR(MATCH(설정!$C$24,INDEX(급여대장_원본!$A$1:$AZ$400,설정!$B$8,0),0),"")=""),"",IFERROR(VALUE(SUBSTITUTE(INDEX(급여대장_원본!$A$1:$AZ$400,(설정!$B$8+128),IFERROR(MATCH(설정!$C$24,INDEX(급여대장_원본!$A$1:$AZ$400,설정!$B$8,0),0),""))&amp;"",",","")),""))</f>
        <v/>
      </c>
      <c r="V134" s="27">
        <f>SUM(F134:M134)</f>
        <v/>
      </c>
      <c r="W134" s="27">
        <f>IF(설정!$D$26="",0,IFERROR(VALUE(SUBSTITUTE(SUBSTITUTE(INDEX(급여대장_원본!$A$1:$AZ$400,(설정!$B$8+128),설정!$D$26)&amp;"",",",""),"　","")),0))</f>
        <v/>
      </c>
      <c r="X134" s="27">
        <f>IF(설정!$D$27="",0,IFERROR(VALUE(SUBSTITUTE(SUBSTITUTE(INDEX(급여대장_원본!$A$1:$AZ$400,(설정!$B$8+128),설정!$D$27)&amp;"",",",""),"　","")),0))</f>
        <v/>
      </c>
      <c r="Y134" s="27">
        <f>IF(설정!$D$28="",0,IFERROR(VALUE(SUBSTITUTE(SUBSTITUTE(INDEX(급여대장_원본!$A$1:$AZ$400,(설정!$B$8+128),설정!$D$28)&amp;"",",",""),"　","")),0))</f>
        <v/>
      </c>
      <c r="Z134" s="27">
        <f>IF(설정!$D$29="",0,IFERROR(VALUE(SUBSTITUTE(SUBSTITUTE(INDEX(급여대장_원본!$A$1:$AZ$400,(설정!$B$8+128),설정!$D$29)&amp;"",",",""),"　","")),0))</f>
        <v/>
      </c>
      <c r="AA134" s="27">
        <f>IF(설정!$D$30="",0,IFERROR(VALUE(SUBSTITUTE(SUBSTITUTE(INDEX(급여대장_원본!$A$1:$AZ$400,(설정!$B$8+128),설정!$D$30)&amp;"",",",""),"　","")),0))</f>
        <v/>
      </c>
      <c r="AB134" s="27">
        <f>IF(설정!$D$31="",0,IFERROR(VALUE(SUBSTITUTE(SUBSTITUTE(INDEX(급여대장_원본!$A$1:$AZ$400,(설정!$B$8+128),설정!$D$31)&amp;"",",",""),"　","")),0))</f>
        <v/>
      </c>
      <c r="AC134" s="27">
        <f>IF(설정!$D$32="",0,IFERROR(VALUE(SUBSTITUTE(SUBSTITUTE(INDEX(급여대장_원본!$A$1:$AZ$400,(설정!$B$8+128),설정!$D$32)&amp;"",",",""),"　","")),0))</f>
        <v/>
      </c>
      <c r="AD134" s="27">
        <f>IF(설정!$D$33="",0,IFERROR(VALUE(SUBSTITUTE(SUBSTITUTE(INDEX(급여대장_원본!$A$1:$AZ$400,(설정!$B$8+128),설정!$D$33)&amp;"",",",""),"　","")),0))</f>
        <v/>
      </c>
      <c r="AE134" s="27">
        <f>SUM(W134:AD134)</f>
        <v/>
      </c>
      <c r="AF134" s="27">
        <f>V134-AE134</f>
        <v/>
      </c>
      <c r="AG134" s="27">
        <f>IF(설정!$D$35="","",IF(설정!$D$35="",0,IFERROR(VALUE(SUBSTITUTE(SUBSTITUTE(INDEX(급여대장_원본!$A$1:$AZ$400,(설정!$B$8+128),설정!$D$35)&amp;"",",",""),"　","")),0)))</f>
        <v/>
      </c>
      <c r="AH134" s="27">
        <f>IF(설정!$D$36="","",IF(설정!$D$36="",0,IFERROR(VALUE(SUBSTITUTE(SUBSTITUTE(INDEX(급여대장_원본!$A$1:$AZ$400,(설정!$B$8+128),설정!$D$36)&amp;"",",",""),"　","")),0)))</f>
        <v/>
      </c>
      <c r="AI134" s="27">
        <f>IF(설정!$D$37="","",IF(설정!$D$37="",0,IFERROR(VALUE(SUBSTITUTE(SUBSTITUTE(INDEX(급여대장_원본!$A$1:$AZ$400,(설정!$B$8+128),설정!$D$37)&amp;"",",",""),"　","")),0)))</f>
        <v/>
      </c>
      <c r="AJ134" s="2">
        <f>IFERROR(INDEX($D$7:$D$306,MATCH(128,$B$7:$B$306,0)),"")</f>
        <v/>
      </c>
    </row>
    <row r="135">
      <c r="A135" s="2">
        <f>IF(AND(D135&lt;&gt;"",D135&lt;&gt;"합계",D135&lt;&gt;"총계",D135&lt;&gt;"소계",D135&lt;&gt;"계"),1,0)</f>
        <v/>
      </c>
      <c r="B135" s="2">
        <f>IF(A135=1,SUM($A$7:A135),"")</f>
        <v/>
      </c>
      <c r="C135" s="2">
        <f>IF(설정!$D$13="","",TRIM(SUBSTITUTE(INDEX(급여대장_원본!$A$1:$AZ$400,(설정!$B$8+129),설정!$D$13)&amp;"","　"," ")))</f>
        <v/>
      </c>
      <c r="D135" s="2">
        <f>IF(설정!$D$14="","",TRIM(SUBSTITUTE(INDEX(급여대장_원본!$A$1:$AZ$400,(설정!$B$8+129),설정!$D$14)&amp;"","　"," ")))</f>
        <v/>
      </c>
      <c r="E135" s="2">
        <f>IF(설정!$D$15="","",TRIM(SUBSTITUTE(INDEX(급여대장_원본!$A$1:$AZ$400,(설정!$B$8+129),설정!$D$15)&amp;"","　"," ")))</f>
        <v/>
      </c>
      <c r="F135" s="27">
        <f>IF(설정!$D$17="",0,IFERROR(VALUE(SUBSTITUTE(SUBSTITUTE(INDEX(급여대장_원본!$A$1:$AZ$400,(설정!$B$8+129),설정!$D$17)&amp;"",",",""),"　","")),0))</f>
        <v/>
      </c>
      <c r="G135" s="27">
        <f>IF(설정!$D$18="",0,IFERROR(VALUE(SUBSTITUTE(SUBSTITUTE(INDEX(급여대장_원본!$A$1:$AZ$400,(설정!$B$8+129),설정!$D$18)&amp;"",",",""),"　","")),0))</f>
        <v/>
      </c>
      <c r="H135" s="27">
        <f>IF(설정!$D$19="",0,IFERROR(VALUE(SUBSTITUTE(SUBSTITUTE(INDEX(급여대장_원본!$A$1:$AZ$400,(설정!$B$8+129),설정!$D$19)&amp;"",",",""),"　","")),0))</f>
        <v/>
      </c>
      <c r="I135" s="27">
        <f>IF(설정!$D$20="",0,IFERROR(VALUE(SUBSTITUTE(SUBSTITUTE(INDEX(급여대장_원본!$A$1:$AZ$400,(설정!$B$8+129),설정!$D$20)&amp;"",",",""),"　","")),0))</f>
        <v/>
      </c>
      <c r="J135" s="27">
        <f>IF(설정!$D$21="",0,IFERROR(VALUE(SUBSTITUTE(SUBSTITUTE(INDEX(급여대장_원본!$A$1:$AZ$400,(설정!$B$8+129),설정!$D$21)&amp;"",",",""),"　","")),0))</f>
        <v/>
      </c>
      <c r="K135" s="27">
        <f>IF(설정!$D$22="",0,IFERROR(VALUE(SUBSTITUTE(SUBSTITUTE(INDEX(급여대장_원본!$A$1:$AZ$400,(설정!$B$8+129),설정!$D$22)&amp;"",",",""),"　","")),0))</f>
        <v/>
      </c>
      <c r="L135" s="27">
        <f>IF(설정!$D$23="",0,IFERROR(VALUE(SUBSTITUTE(SUBSTITUTE(INDEX(급여대장_원본!$A$1:$AZ$400,(설정!$B$8+129),설정!$D$23)&amp;"",",",""),"　","")),0))</f>
        <v/>
      </c>
      <c r="M135" s="27">
        <f>IF(설정!$D$24="",0,IFERROR(VALUE(SUBSTITUTE(SUBSTITUTE(INDEX(급여대장_원본!$A$1:$AZ$400,(설정!$B$8+129),설정!$D$24)&amp;"",",",""),"　","")),0))</f>
        <v/>
      </c>
      <c r="N135" s="2">
        <f>IF(OR(설정!$C$17="",IFERROR(MATCH(설정!$C$17,INDEX(급여대장_원본!$A$1:$AZ$400,설정!$B$8,0),0),"")=""),"",IFERROR(VALUE(SUBSTITUTE(INDEX(급여대장_원본!$A$1:$AZ$400,(설정!$B$8+129),IFERROR(MATCH(설정!$C$17,INDEX(급여대장_원본!$A$1:$AZ$400,설정!$B$8,0),0),""))&amp;"",",","")),""))</f>
        <v/>
      </c>
      <c r="O135" s="2">
        <f>IF(OR(설정!$C$18="",IFERROR(MATCH(설정!$C$18,INDEX(급여대장_원본!$A$1:$AZ$400,설정!$B$8,0),0),"")=""),"",IFERROR(VALUE(SUBSTITUTE(INDEX(급여대장_원본!$A$1:$AZ$400,(설정!$B$8+129),IFERROR(MATCH(설정!$C$18,INDEX(급여대장_원본!$A$1:$AZ$400,설정!$B$8,0),0),""))&amp;"",",","")),""))</f>
        <v/>
      </c>
      <c r="P135" s="2">
        <f>IF(OR(설정!$C$19="",IFERROR(MATCH(설정!$C$19,INDEX(급여대장_원본!$A$1:$AZ$400,설정!$B$8,0),0),"")=""),"",IFERROR(VALUE(SUBSTITUTE(INDEX(급여대장_원본!$A$1:$AZ$400,(설정!$B$8+129),IFERROR(MATCH(설정!$C$19,INDEX(급여대장_원본!$A$1:$AZ$400,설정!$B$8,0),0),""))&amp;"",",","")),""))</f>
        <v/>
      </c>
      <c r="Q135" s="2">
        <f>IF(OR(설정!$C$20="",IFERROR(MATCH(설정!$C$20,INDEX(급여대장_원본!$A$1:$AZ$400,설정!$B$8,0),0),"")=""),"",IFERROR(VALUE(SUBSTITUTE(INDEX(급여대장_원본!$A$1:$AZ$400,(설정!$B$8+129),IFERROR(MATCH(설정!$C$20,INDEX(급여대장_원본!$A$1:$AZ$400,설정!$B$8,0),0),""))&amp;"",",","")),""))</f>
        <v/>
      </c>
      <c r="R135" s="2">
        <f>IF(OR(설정!$C$21="",IFERROR(MATCH(설정!$C$21,INDEX(급여대장_원본!$A$1:$AZ$400,설정!$B$8,0),0),"")=""),"",IFERROR(VALUE(SUBSTITUTE(INDEX(급여대장_원본!$A$1:$AZ$400,(설정!$B$8+129),IFERROR(MATCH(설정!$C$21,INDEX(급여대장_원본!$A$1:$AZ$400,설정!$B$8,0),0),""))&amp;"",",","")),""))</f>
        <v/>
      </c>
      <c r="S135" s="2">
        <f>IF(OR(설정!$C$22="",IFERROR(MATCH(설정!$C$22,INDEX(급여대장_원본!$A$1:$AZ$400,설정!$B$8,0),0),"")=""),"",IFERROR(VALUE(SUBSTITUTE(INDEX(급여대장_원본!$A$1:$AZ$400,(설정!$B$8+129),IFERROR(MATCH(설정!$C$22,INDEX(급여대장_원본!$A$1:$AZ$400,설정!$B$8,0),0),""))&amp;"",",","")),""))</f>
        <v/>
      </c>
      <c r="T135" s="2">
        <f>IF(OR(설정!$C$23="",IFERROR(MATCH(설정!$C$23,INDEX(급여대장_원본!$A$1:$AZ$400,설정!$B$8,0),0),"")=""),"",IFERROR(VALUE(SUBSTITUTE(INDEX(급여대장_원본!$A$1:$AZ$400,(설정!$B$8+129),IFERROR(MATCH(설정!$C$23,INDEX(급여대장_원본!$A$1:$AZ$400,설정!$B$8,0),0),""))&amp;"",",","")),""))</f>
        <v/>
      </c>
      <c r="U135" s="2">
        <f>IF(OR(설정!$C$24="",IFERROR(MATCH(설정!$C$24,INDEX(급여대장_원본!$A$1:$AZ$400,설정!$B$8,0),0),"")=""),"",IFERROR(VALUE(SUBSTITUTE(INDEX(급여대장_원본!$A$1:$AZ$400,(설정!$B$8+129),IFERROR(MATCH(설정!$C$24,INDEX(급여대장_원본!$A$1:$AZ$400,설정!$B$8,0),0),""))&amp;"",",","")),""))</f>
        <v/>
      </c>
      <c r="V135" s="27">
        <f>SUM(F135:M135)</f>
        <v/>
      </c>
      <c r="W135" s="27">
        <f>IF(설정!$D$26="",0,IFERROR(VALUE(SUBSTITUTE(SUBSTITUTE(INDEX(급여대장_원본!$A$1:$AZ$400,(설정!$B$8+129),설정!$D$26)&amp;"",",",""),"　","")),0))</f>
        <v/>
      </c>
      <c r="X135" s="27">
        <f>IF(설정!$D$27="",0,IFERROR(VALUE(SUBSTITUTE(SUBSTITUTE(INDEX(급여대장_원본!$A$1:$AZ$400,(설정!$B$8+129),설정!$D$27)&amp;"",",",""),"　","")),0))</f>
        <v/>
      </c>
      <c r="Y135" s="27">
        <f>IF(설정!$D$28="",0,IFERROR(VALUE(SUBSTITUTE(SUBSTITUTE(INDEX(급여대장_원본!$A$1:$AZ$400,(설정!$B$8+129),설정!$D$28)&amp;"",",",""),"　","")),0))</f>
        <v/>
      </c>
      <c r="Z135" s="27">
        <f>IF(설정!$D$29="",0,IFERROR(VALUE(SUBSTITUTE(SUBSTITUTE(INDEX(급여대장_원본!$A$1:$AZ$400,(설정!$B$8+129),설정!$D$29)&amp;"",",",""),"　","")),0))</f>
        <v/>
      </c>
      <c r="AA135" s="27">
        <f>IF(설정!$D$30="",0,IFERROR(VALUE(SUBSTITUTE(SUBSTITUTE(INDEX(급여대장_원본!$A$1:$AZ$400,(설정!$B$8+129),설정!$D$30)&amp;"",",",""),"　","")),0))</f>
        <v/>
      </c>
      <c r="AB135" s="27">
        <f>IF(설정!$D$31="",0,IFERROR(VALUE(SUBSTITUTE(SUBSTITUTE(INDEX(급여대장_원본!$A$1:$AZ$400,(설정!$B$8+129),설정!$D$31)&amp;"",",",""),"　","")),0))</f>
        <v/>
      </c>
      <c r="AC135" s="27">
        <f>IF(설정!$D$32="",0,IFERROR(VALUE(SUBSTITUTE(SUBSTITUTE(INDEX(급여대장_원본!$A$1:$AZ$400,(설정!$B$8+129),설정!$D$32)&amp;"",",",""),"　","")),0))</f>
        <v/>
      </c>
      <c r="AD135" s="27">
        <f>IF(설정!$D$33="",0,IFERROR(VALUE(SUBSTITUTE(SUBSTITUTE(INDEX(급여대장_원본!$A$1:$AZ$400,(설정!$B$8+129),설정!$D$33)&amp;"",",",""),"　","")),0))</f>
        <v/>
      </c>
      <c r="AE135" s="27">
        <f>SUM(W135:AD135)</f>
        <v/>
      </c>
      <c r="AF135" s="27">
        <f>V135-AE135</f>
        <v/>
      </c>
      <c r="AG135" s="27">
        <f>IF(설정!$D$35="","",IF(설정!$D$35="",0,IFERROR(VALUE(SUBSTITUTE(SUBSTITUTE(INDEX(급여대장_원본!$A$1:$AZ$400,(설정!$B$8+129),설정!$D$35)&amp;"",",",""),"　","")),0)))</f>
        <v/>
      </c>
      <c r="AH135" s="27">
        <f>IF(설정!$D$36="","",IF(설정!$D$36="",0,IFERROR(VALUE(SUBSTITUTE(SUBSTITUTE(INDEX(급여대장_원본!$A$1:$AZ$400,(설정!$B$8+129),설정!$D$36)&amp;"",",",""),"　","")),0)))</f>
        <v/>
      </c>
      <c r="AI135" s="27">
        <f>IF(설정!$D$37="","",IF(설정!$D$37="",0,IFERROR(VALUE(SUBSTITUTE(SUBSTITUTE(INDEX(급여대장_원본!$A$1:$AZ$400,(설정!$B$8+129),설정!$D$37)&amp;"",",",""),"　","")),0)))</f>
        <v/>
      </c>
      <c r="AJ135" s="2">
        <f>IFERROR(INDEX($D$7:$D$306,MATCH(129,$B$7:$B$306,0)),"")</f>
        <v/>
      </c>
    </row>
    <row r="136">
      <c r="A136" s="2">
        <f>IF(AND(D136&lt;&gt;"",D136&lt;&gt;"합계",D136&lt;&gt;"총계",D136&lt;&gt;"소계",D136&lt;&gt;"계"),1,0)</f>
        <v/>
      </c>
      <c r="B136" s="2">
        <f>IF(A136=1,SUM($A$7:A136),"")</f>
        <v/>
      </c>
      <c r="C136" s="2">
        <f>IF(설정!$D$13="","",TRIM(SUBSTITUTE(INDEX(급여대장_원본!$A$1:$AZ$400,(설정!$B$8+130),설정!$D$13)&amp;"","　"," ")))</f>
        <v/>
      </c>
      <c r="D136" s="2">
        <f>IF(설정!$D$14="","",TRIM(SUBSTITUTE(INDEX(급여대장_원본!$A$1:$AZ$400,(설정!$B$8+130),설정!$D$14)&amp;"","　"," ")))</f>
        <v/>
      </c>
      <c r="E136" s="2">
        <f>IF(설정!$D$15="","",TRIM(SUBSTITUTE(INDEX(급여대장_원본!$A$1:$AZ$400,(설정!$B$8+130),설정!$D$15)&amp;"","　"," ")))</f>
        <v/>
      </c>
      <c r="F136" s="27">
        <f>IF(설정!$D$17="",0,IFERROR(VALUE(SUBSTITUTE(SUBSTITUTE(INDEX(급여대장_원본!$A$1:$AZ$400,(설정!$B$8+130),설정!$D$17)&amp;"",",",""),"　","")),0))</f>
        <v/>
      </c>
      <c r="G136" s="27">
        <f>IF(설정!$D$18="",0,IFERROR(VALUE(SUBSTITUTE(SUBSTITUTE(INDEX(급여대장_원본!$A$1:$AZ$400,(설정!$B$8+130),설정!$D$18)&amp;"",",",""),"　","")),0))</f>
        <v/>
      </c>
      <c r="H136" s="27">
        <f>IF(설정!$D$19="",0,IFERROR(VALUE(SUBSTITUTE(SUBSTITUTE(INDEX(급여대장_원본!$A$1:$AZ$400,(설정!$B$8+130),설정!$D$19)&amp;"",",",""),"　","")),0))</f>
        <v/>
      </c>
      <c r="I136" s="27">
        <f>IF(설정!$D$20="",0,IFERROR(VALUE(SUBSTITUTE(SUBSTITUTE(INDEX(급여대장_원본!$A$1:$AZ$400,(설정!$B$8+130),설정!$D$20)&amp;"",",",""),"　","")),0))</f>
        <v/>
      </c>
      <c r="J136" s="27">
        <f>IF(설정!$D$21="",0,IFERROR(VALUE(SUBSTITUTE(SUBSTITUTE(INDEX(급여대장_원본!$A$1:$AZ$400,(설정!$B$8+130),설정!$D$21)&amp;"",",",""),"　","")),0))</f>
        <v/>
      </c>
      <c r="K136" s="27">
        <f>IF(설정!$D$22="",0,IFERROR(VALUE(SUBSTITUTE(SUBSTITUTE(INDEX(급여대장_원본!$A$1:$AZ$400,(설정!$B$8+130),설정!$D$22)&amp;"",",",""),"　","")),0))</f>
        <v/>
      </c>
      <c r="L136" s="27">
        <f>IF(설정!$D$23="",0,IFERROR(VALUE(SUBSTITUTE(SUBSTITUTE(INDEX(급여대장_원본!$A$1:$AZ$400,(설정!$B$8+130),설정!$D$23)&amp;"",",",""),"　","")),0))</f>
        <v/>
      </c>
      <c r="M136" s="27">
        <f>IF(설정!$D$24="",0,IFERROR(VALUE(SUBSTITUTE(SUBSTITUTE(INDEX(급여대장_원본!$A$1:$AZ$400,(설정!$B$8+130),설정!$D$24)&amp;"",",",""),"　","")),0))</f>
        <v/>
      </c>
      <c r="N136" s="2">
        <f>IF(OR(설정!$C$17="",IFERROR(MATCH(설정!$C$17,INDEX(급여대장_원본!$A$1:$AZ$400,설정!$B$8,0),0),"")=""),"",IFERROR(VALUE(SUBSTITUTE(INDEX(급여대장_원본!$A$1:$AZ$400,(설정!$B$8+130),IFERROR(MATCH(설정!$C$17,INDEX(급여대장_원본!$A$1:$AZ$400,설정!$B$8,0),0),""))&amp;"",",","")),""))</f>
        <v/>
      </c>
      <c r="O136" s="2">
        <f>IF(OR(설정!$C$18="",IFERROR(MATCH(설정!$C$18,INDEX(급여대장_원본!$A$1:$AZ$400,설정!$B$8,0),0),"")=""),"",IFERROR(VALUE(SUBSTITUTE(INDEX(급여대장_원본!$A$1:$AZ$400,(설정!$B$8+130),IFERROR(MATCH(설정!$C$18,INDEX(급여대장_원본!$A$1:$AZ$400,설정!$B$8,0),0),""))&amp;"",",","")),""))</f>
        <v/>
      </c>
      <c r="P136" s="2">
        <f>IF(OR(설정!$C$19="",IFERROR(MATCH(설정!$C$19,INDEX(급여대장_원본!$A$1:$AZ$400,설정!$B$8,0),0),"")=""),"",IFERROR(VALUE(SUBSTITUTE(INDEX(급여대장_원본!$A$1:$AZ$400,(설정!$B$8+130),IFERROR(MATCH(설정!$C$19,INDEX(급여대장_원본!$A$1:$AZ$400,설정!$B$8,0),0),""))&amp;"",",","")),""))</f>
        <v/>
      </c>
      <c r="Q136" s="2">
        <f>IF(OR(설정!$C$20="",IFERROR(MATCH(설정!$C$20,INDEX(급여대장_원본!$A$1:$AZ$400,설정!$B$8,0),0),"")=""),"",IFERROR(VALUE(SUBSTITUTE(INDEX(급여대장_원본!$A$1:$AZ$400,(설정!$B$8+130),IFERROR(MATCH(설정!$C$20,INDEX(급여대장_원본!$A$1:$AZ$400,설정!$B$8,0),0),""))&amp;"",",","")),""))</f>
        <v/>
      </c>
      <c r="R136" s="2">
        <f>IF(OR(설정!$C$21="",IFERROR(MATCH(설정!$C$21,INDEX(급여대장_원본!$A$1:$AZ$400,설정!$B$8,0),0),"")=""),"",IFERROR(VALUE(SUBSTITUTE(INDEX(급여대장_원본!$A$1:$AZ$400,(설정!$B$8+130),IFERROR(MATCH(설정!$C$21,INDEX(급여대장_원본!$A$1:$AZ$400,설정!$B$8,0),0),""))&amp;"",",","")),""))</f>
        <v/>
      </c>
      <c r="S136" s="2">
        <f>IF(OR(설정!$C$22="",IFERROR(MATCH(설정!$C$22,INDEX(급여대장_원본!$A$1:$AZ$400,설정!$B$8,0),0),"")=""),"",IFERROR(VALUE(SUBSTITUTE(INDEX(급여대장_원본!$A$1:$AZ$400,(설정!$B$8+130),IFERROR(MATCH(설정!$C$22,INDEX(급여대장_원본!$A$1:$AZ$400,설정!$B$8,0),0),""))&amp;"",",","")),""))</f>
        <v/>
      </c>
      <c r="T136" s="2">
        <f>IF(OR(설정!$C$23="",IFERROR(MATCH(설정!$C$23,INDEX(급여대장_원본!$A$1:$AZ$400,설정!$B$8,0),0),"")=""),"",IFERROR(VALUE(SUBSTITUTE(INDEX(급여대장_원본!$A$1:$AZ$400,(설정!$B$8+130),IFERROR(MATCH(설정!$C$23,INDEX(급여대장_원본!$A$1:$AZ$400,설정!$B$8,0),0),""))&amp;"",",","")),""))</f>
        <v/>
      </c>
      <c r="U136" s="2">
        <f>IF(OR(설정!$C$24="",IFERROR(MATCH(설정!$C$24,INDEX(급여대장_원본!$A$1:$AZ$400,설정!$B$8,0),0),"")=""),"",IFERROR(VALUE(SUBSTITUTE(INDEX(급여대장_원본!$A$1:$AZ$400,(설정!$B$8+130),IFERROR(MATCH(설정!$C$24,INDEX(급여대장_원본!$A$1:$AZ$400,설정!$B$8,0),0),""))&amp;"",",","")),""))</f>
        <v/>
      </c>
      <c r="V136" s="27">
        <f>SUM(F136:M136)</f>
        <v/>
      </c>
      <c r="W136" s="27">
        <f>IF(설정!$D$26="",0,IFERROR(VALUE(SUBSTITUTE(SUBSTITUTE(INDEX(급여대장_원본!$A$1:$AZ$400,(설정!$B$8+130),설정!$D$26)&amp;"",",",""),"　","")),0))</f>
        <v/>
      </c>
      <c r="X136" s="27">
        <f>IF(설정!$D$27="",0,IFERROR(VALUE(SUBSTITUTE(SUBSTITUTE(INDEX(급여대장_원본!$A$1:$AZ$400,(설정!$B$8+130),설정!$D$27)&amp;"",",",""),"　","")),0))</f>
        <v/>
      </c>
      <c r="Y136" s="27">
        <f>IF(설정!$D$28="",0,IFERROR(VALUE(SUBSTITUTE(SUBSTITUTE(INDEX(급여대장_원본!$A$1:$AZ$400,(설정!$B$8+130),설정!$D$28)&amp;"",",",""),"　","")),0))</f>
        <v/>
      </c>
      <c r="Z136" s="27">
        <f>IF(설정!$D$29="",0,IFERROR(VALUE(SUBSTITUTE(SUBSTITUTE(INDEX(급여대장_원본!$A$1:$AZ$400,(설정!$B$8+130),설정!$D$29)&amp;"",",",""),"　","")),0))</f>
        <v/>
      </c>
      <c r="AA136" s="27">
        <f>IF(설정!$D$30="",0,IFERROR(VALUE(SUBSTITUTE(SUBSTITUTE(INDEX(급여대장_원본!$A$1:$AZ$400,(설정!$B$8+130),설정!$D$30)&amp;"",",",""),"　","")),0))</f>
        <v/>
      </c>
      <c r="AB136" s="27">
        <f>IF(설정!$D$31="",0,IFERROR(VALUE(SUBSTITUTE(SUBSTITUTE(INDEX(급여대장_원본!$A$1:$AZ$400,(설정!$B$8+130),설정!$D$31)&amp;"",",",""),"　","")),0))</f>
        <v/>
      </c>
      <c r="AC136" s="27">
        <f>IF(설정!$D$32="",0,IFERROR(VALUE(SUBSTITUTE(SUBSTITUTE(INDEX(급여대장_원본!$A$1:$AZ$400,(설정!$B$8+130),설정!$D$32)&amp;"",",",""),"　","")),0))</f>
        <v/>
      </c>
      <c r="AD136" s="27">
        <f>IF(설정!$D$33="",0,IFERROR(VALUE(SUBSTITUTE(SUBSTITUTE(INDEX(급여대장_원본!$A$1:$AZ$400,(설정!$B$8+130),설정!$D$33)&amp;"",",",""),"　","")),0))</f>
        <v/>
      </c>
      <c r="AE136" s="27">
        <f>SUM(W136:AD136)</f>
        <v/>
      </c>
      <c r="AF136" s="27">
        <f>V136-AE136</f>
        <v/>
      </c>
      <c r="AG136" s="27">
        <f>IF(설정!$D$35="","",IF(설정!$D$35="",0,IFERROR(VALUE(SUBSTITUTE(SUBSTITUTE(INDEX(급여대장_원본!$A$1:$AZ$400,(설정!$B$8+130),설정!$D$35)&amp;"",",",""),"　","")),0)))</f>
        <v/>
      </c>
      <c r="AH136" s="27">
        <f>IF(설정!$D$36="","",IF(설정!$D$36="",0,IFERROR(VALUE(SUBSTITUTE(SUBSTITUTE(INDEX(급여대장_원본!$A$1:$AZ$400,(설정!$B$8+130),설정!$D$36)&amp;"",",",""),"　","")),0)))</f>
        <v/>
      </c>
      <c r="AI136" s="27">
        <f>IF(설정!$D$37="","",IF(설정!$D$37="",0,IFERROR(VALUE(SUBSTITUTE(SUBSTITUTE(INDEX(급여대장_원본!$A$1:$AZ$400,(설정!$B$8+130),설정!$D$37)&amp;"",",",""),"　","")),0)))</f>
        <v/>
      </c>
      <c r="AJ136" s="2">
        <f>IFERROR(INDEX($D$7:$D$306,MATCH(130,$B$7:$B$306,0)),"")</f>
        <v/>
      </c>
    </row>
    <row r="137">
      <c r="A137" s="2">
        <f>IF(AND(D137&lt;&gt;"",D137&lt;&gt;"합계",D137&lt;&gt;"총계",D137&lt;&gt;"소계",D137&lt;&gt;"계"),1,0)</f>
        <v/>
      </c>
      <c r="B137" s="2">
        <f>IF(A137=1,SUM($A$7:A137),"")</f>
        <v/>
      </c>
      <c r="C137" s="2">
        <f>IF(설정!$D$13="","",TRIM(SUBSTITUTE(INDEX(급여대장_원본!$A$1:$AZ$400,(설정!$B$8+131),설정!$D$13)&amp;"","　"," ")))</f>
        <v/>
      </c>
      <c r="D137" s="2">
        <f>IF(설정!$D$14="","",TRIM(SUBSTITUTE(INDEX(급여대장_원본!$A$1:$AZ$400,(설정!$B$8+131),설정!$D$14)&amp;"","　"," ")))</f>
        <v/>
      </c>
      <c r="E137" s="2">
        <f>IF(설정!$D$15="","",TRIM(SUBSTITUTE(INDEX(급여대장_원본!$A$1:$AZ$400,(설정!$B$8+131),설정!$D$15)&amp;"","　"," ")))</f>
        <v/>
      </c>
      <c r="F137" s="27">
        <f>IF(설정!$D$17="",0,IFERROR(VALUE(SUBSTITUTE(SUBSTITUTE(INDEX(급여대장_원본!$A$1:$AZ$400,(설정!$B$8+131),설정!$D$17)&amp;"",",",""),"　","")),0))</f>
        <v/>
      </c>
      <c r="G137" s="27">
        <f>IF(설정!$D$18="",0,IFERROR(VALUE(SUBSTITUTE(SUBSTITUTE(INDEX(급여대장_원본!$A$1:$AZ$400,(설정!$B$8+131),설정!$D$18)&amp;"",",",""),"　","")),0))</f>
        <v/>
      </c>
      <c r="H137" s="27">
        <f>IF(설정!$D$19="",0,IFERROR(VALUE(SUBSTITUTE(SUBSTITUTE(INDEX(급여대장_원본!$A$1:$AZ$400,(설정!$B$8+131),설정!$D$19)&amp;"",",",""),"　","")),0))</f>
        <v/>
      </c>
      <c r="I137" s="27">
        <f>IF(설정!$D$20="",0,IFERROR(VALUE(SUBSTITUTE(SUBSTITUTE(INDEX(급여대장_원본!$A$1:$AZ$400,(설정!$B$8+131),설정!$D$20)&amp;"",",",""),"　","")),0))</f>
        <v/>
      </c>
      <c r="J137" s="27">
        <f>IF(설정!$D$21="",0,IFERROR(VALUE(SUBSTITUTE(SUBSTITUTE(INDEX(급여대장_원본!$A$1:$AZ$400,(설정!$B$8+131),설정!$D$21)&amp;"",",",""),"　","")),0))</f>
        <v/>
      </c>
      <c r="K137" s="27">
        <f>IF(설정!$D$22="",0,IFERROR(VALUE(SUBSTITUTE(SUBSTITUTE(INDEX(급여대장_원본!$A$1:$AZ$400,(설정!$B$8+131),설정!$D$22)&amp;"",",",""),"　","")),0))</f>
        <v/>
      </c>
      <c r="L137" s="27">
        <f>IF(설정!$D$23="",0,IFERROR(VALUE(SUBSTITUTE(SUBSTITUTE(INDEX(급여대장_원본!$A$1:$AZ$400,(설정!$B$8+131),설정!$D$23)&amp;"",",",""),"　","")),0))</f>
        <v/>
      </c>
      <c r="M137" s="27">
        <f>IF(설정!$D$24="",0,IFERROR(VALUE(SUBSTITUTE(SUBSTITUTE(INDEX(급여대장_원본!$A$1:$AZ$400,(설정!$B$8+131),설정!$D$24)&amp;"",",",""),"　","")),0))</f>
        <v/>
      </c>
      <c r="N137" s="2">
        <f>IF(OR(설정!$C$17="",IFERROR(MATCH(설정!$C$17,INDEX(급여대장_원본!$A$1:$AZ$400,설정!$B$8,0),0),"")=""),"",IFERROR(VALUE(SUBSTITUTE(INDEX(급여대장_원본!$A$1:$AZ$400,(설정!$B$8+131),IFERROR(MATCH(설정!$C$17,INDEX(급여대장_원본!$A$1:$AZ$400,설정!$B$8,0),0),""))&amp;"",",","")),""))</f>
        <v/>
      </c>
      <c r="O137" s="2">
        <f>IF(OR(설정!$C$18="",IFERROR(MATCH(설정!$C$18,INDEX(급여대장_원본!$A$1:$AZ$400,설정!$B$8,0),0),"")=""),"",IFERROR(VALUE(SUBSTITUTE(INDEX(급여대장_원본!$A$1:$AZ$400,(설정!$B$8+131),IFERROR(MATCH(설정!$C$18,INDEX(급여대장_원본!$A$1:$AZ$400,설정!$B$8,0),0),""))&amp;"",",","")),""))</f>
        <v/>
      </c>
      <c r="P137" s="2">
        <f>IF(OR(설정!$C$19="",IFERROR(MATCH(설정!$C$19,INDEX(급여대장_원본!$A$1:$AZ$400,설정!$B$8,0),0),"")=""),"",IFERROR(VALUE(SUBSTITUTE(INDEX(급여대장_원본!$A$1:$AZ$400,(설정!$B$8+131),IFERROR(MATCH(설정!$C$19,INDEX(급여대장_원본!$A$1:$AZ$400,설정!$B$8,0),0),""))&amp;"",",","")),""))</f>
        <v/>
      </c>
      <c r="Q137" s="2">
        <f>IF(OR(설정!$C$20="",IFERROR(MATCH(설정!$C$20,INDEX(급여대장_원본!$A$1:$AZ$400,설정!$B$8,0),0),"")=""),"",IFERROR(VALUE(SUBSTITUTE(INDEX(급여대장_원본!$A$1:$AZ$400,(설정!$B$8+131),IFERROR(MATCH(설정!$C$20,INDEX(급여대장_원본!$A$1:$AZ$400,설정!$B$8,0),0),""))&amp;"",",","")),""))</f>
        <v/>
      </c>
      <c r="R137" s="2">
        <f>IF(OR(설정!$C$21="",IFERROR(MATCH(설정!$C$21,INDEX(급여대장_원본!$A$1:$AZ$400,설정!$B$8,0),0),"")=""),"",IFERROR(VALUE(SUBSTITUTE(INDEX(급여대장_원본!$A$1:$AZ$400,(설정!$B$8+131),IFERROR(MATCH(설정!$C$21,INDEX(급여대장_원본!$A$1:$AZ$400,설정!$B$8,0),0),""))&amp;"",",","")),""))</f>
        <v/>
      </c>
      <c r="S137" s="2">
        <f>IF(OR(설정!$C$22="",IFERROR(MATCH(설정!$C$22,INDEX(급여대장_원본!$A$1:$AZ$400,설정!$B$8,0),0),"")=""),"",IFERROR(VALUE(SUBSTITUTE(INDEX(급여대장_원본!$A$1:$AZ$400,(설정!$B$8+131),IFERROR(MATCH(설정!$C$22,INDEX(급여대장_원본!$A$1:$AZ$400,설정!$B$8,0),0),""))&amp;"",",","")),""))</f>
        <v/>
      </c>
      <c r="T137" s="2">
        <f>IF(OR(설정!$C$23="",IFERROR(MATCH(설정!$C$23,INDEX(급여대장_원본!$A$1:$AZ$400,설정!$B$8,0),0),"")=""),"",IFERROR(VALUE(SUBSTITUTE(INDEX(급여대장_원본!$A$1:$AZ$400,(설정!$B$8+131),IFERROR(MATCH(설정!$C$23,INDEX(급여대장_원본!$A$1:$AZ$400,설정!$B$8,0),0),""))&amp;"",",","")),""))</f>
        <v/>
      </c>
      <c r="U137" s="2">
        <f>IF(OR(설정!$C$24="",IFERROR(MATCH(설정!$C$24,INDEX(급여대장_원본!$A$1:$AZ$400,설정!$B$8,0),0),"")=""),"",IFERROR(VALUE(SUBSTITUTE(INDEX(급여대장_원본!$A$1:$AZ$400,(설정!$B$8+131),IFERROR(MATCH(설정!$C$24,INDEX(급여대장_원본!$A$1:$AZ$400,설정!$B$8,0),0),""))&amp;"",",","")),""))</f>
        <v/>
      </c>
      <c r="V137" s="27">
        <f>SUM(F137:M137)</f>
        <v/>
      </c>
      <c r="W137" s="27">
        <f>IF(설정!$D$26="",0,IFERROR(VALUE(SUBSTITUTE(SUBSTITUTE(INDEX(급여대장_원본!$A$1:$AZ$400,(설정!$B$8+131),설정!$D$26)&amp;"",",",""),"　","")),0))</f>
        <v/>
      </c>
      <c r="X137" s="27">
        <f>IF(설정!$D$27="",0,IFERROR(VALUE(SUBSTITUTE(SUBSTITUTE(INDEX(급여대장_원본!$A$1:$AZ$400,(설정!$B$8+131),설정!$D$27)&amp;"",",",""),"　","")),0))</f>
        <v/>
      </c>
      <c r="Y137" s="27">
        <f>IF(설정!$D$28="",0,IFERROR(VALUE(SUBSTITUTE(SUBSTITUTE(INDEX(급여대장_원본!$A$1:$AZ$400,(설정!$B$8+131),설정!$D$28)&amp;"",",",""),"　","")),0))</f>
        <v/>
      </c>
      <c r="Z137" s="27">
        <f>IF(설정!$D$29="",0,IFERROR(VALUE(SUBSTITUTE(SUBSTITUTE(INDEX(급여대장_원본!$A$1:$AZ$400,(설정!$B$8+131),설정!$D$29)&amp;"",",",""),"　","")),0))</f>
        <v/>
      </c>
      <c r="AA137" s="27">
        <f>IF(설정!$D$30="",0,IFERROR(VALUE(SUBSTITUTE(SUBSTITUTE(INDEX(급여대장_원본!$A$1:$AZ$400,(설정!$B$8+131),설정!$D$30)&amp;"",",",""),"　","")),0))</f>
        <v/>
      </c>
      <c r="AB137" s="27">
        <f>IF(설정!$D$31="",0,IFERROR(VALUE(SUBSTITUTE(SUBSTITUTE(INDEX(급여대장_원본!$A$1:$AZ$400,(설정!$B$8+131),설정!$D$31)&amp;"",",",""),"　","")),0))</f>
        <v/>
      </c>
      <c r="AC137" s="27">
        <f>IF(설정!$D$32="",0,IFERROR(VALUE(SUBSTITUTE(SUBSTITUTE(INDEX(급여대장_원본!$A$1:$AZ$400,(설정!$B$8+131),설정!$D$32)&amp;"",",",""),"　","")),0))</f>
        <v/>
      </c>
      <c r="AD137" s="27">
        <f>IF(설정!$D$33="",0,IFERROR(VALUE(SUBSTITUTE(SUBSTITUTE(INDEX(급여대장_원본!$A$1:$AZ$400,(설정!$B$8+131),설정!$D$33)&amp;"",",",""),"　","")),0))</f>
        <v/>
      </c>
      <c r="AE137" s="27">
        <f>SUM(W137:AD137)</f>
        <v/>
      </c>
      <c r="AF137" s="27">
        <f>V137-AE137</f>
        <v/>
      </c>
      <c r="AG137" s="27">
        <f>IF(설정!$D$35="","",IF(설정!$D$35="",0,IFERROR(VALUE(SUBSTITUTE(SUBSTITUTE(INDEX(급여대장_원본!$A$1:$AZ$400,(설정!$B$8+131),설정!$D$35)&amp;"",",",""),"　","")),0)))</f>
        <v/>
      </c>
      <c r="AH137" s="27">
        <f>IF(설정!$D$36="","",IF(설정!$D$36="",0,IFERROR(VALUE(SUBSTITUTE(SUBSTITUTE(INDEX(급여대장_원본!$A$1:$AZ$400,(설정!$B$8+131),설정!$D$36)&amp;"",",",""),"　","")),0)))</f>
        <v/>
      </c>
      <c r="AI137" s="27">
        <f>IF(설정!$D$37="","",IF(설정!$D$37="",0,IFERROR(VALUE(SUBSTITUTE(SUBSTITUTE(INDEX(급여대장_원본!$A$1:$AZ$400,(설정!$B$8+131),설정!$D$37)&amp;"",",",""),"　","")),0)))</f>
        <v/>
      </c>
      <c r="AJ137" s="2">
        <f>IFERROR(INDEX($D$7:$D$306,MATCH(131,$B$7:$B$306,0)),"")</f>
        <v/>
      </c>
    </row>
    <row r="138">
      <c r="A138" s="2">
        <f>IF(AND(D138&lt;&gt;"",D138&lt;&gt;"합계",D138&lt;&gt;"총계",D138&lt;&gt;"소계",D138&lt;&gt;"계"),1,0)</f>
        <v/>
      </c>
      <c r="B138" s="2">
        <f>IF(A138=1,SUM($A$7:A138),"")</f>
        <v/>
      </c>
      <c r="C138" s="2">
        <f>IF(설정!$D$13="","",TRIM(SUBSTITUTE(INDEX(급여대장_원본!$A$1:$AZ$400,(설정!$B$8+132),설정!$D$13)&amp;"","　"," ")))</f>
        <v/>
      </c>
      <c r="D138" s="2">
        <f>IF(설정!$D$14="","",TRIM(SUBSTITUTE(INDEX(급여대장_원본!$A$1:$AZ$400,(설정!$B$8+132),설정!$D$14)&amp;"","　"," ")))</f>
        <v/>
      </c>
      <c r="E138" s="2">
        <f>IF(설정!$D$15="","",TRIM(SUBSTITUTE(INDEX(급여대장_원본!$A$1:$AZ$400,(설정!$B$8+132),설정!$D$15)&amp;"","　"," ")))</f>
        <v/>
      </c>
      <c r="F138" s="27">
        <f>IF(설정!$D$17="",0,IFERROR(VALUE(SUBSTITUTE(SUBSTITUTE(INDEX(급여대장_원본!$A$1:$AZ$400,(설정!$B$8+132),설정!$D$17)&amp;"",",",""),"　","")),0))</f>
        <v/>
      </c>
      <c r="G138" s="27">
        <f>IF(설정!$D$18="",0,IFERROR(VALUE(SUBSTITUTE(SUBSTITUTE(INDEX(급여대장_원본!$A$1:$AZ$400,(설정!$B$8+132),설정!$D$18)&amp;"",",",""),"　","")),0))</f>
        <v/>
      </c>
      <c r="H138" s="27">
        <f>IF(설정!$D$19="",0,IFERROR(VALUE(SUBSTITUTE(SUBSTITUTE(INDEX(급여대장_원본!$A$1:$AZ$400,(설정!$B$8+132),설정!$D$19)&amp;"",",",""),"　","")),0))</f>
        <v/>
      </c>
      <c r="I138" s="27">
        <f>IF(설정!$D$20="",0,IFERROR(VALUE(SUBSTITUTE(SUBSTITUTE(INDEX(급여대장_원본!$A$1:$AZ$400,(설정!$B$8+132),설정!$D$20)&amp;"",",",""),"　","")),0))</f>
        <v/>
      </c>
      <c r="J138" s="27">
        <f>IF(설정!$D$21="",0,IFERROR(VALUE(SUBSTITUTE(SUBSTITUTE(INDEX(급여대장_원본!$A$1:$AZ$400,(설정!$B$8+132),설정!$D$21)&amp;"",",",""),"　","")),0))</f>
        <v/>
      </c>
      <c r="K138" s="27">
        <f>IF(설정!$D$22="",0,IFERROR(VALUE(SUBSTITUTE(SUBSTITUTE(INDEX(급여대장_원본!$A$1:$AZ$400,(설정!$B$8+132),설정!$D$22)&amp;"",",",""),"　","")),0))</f>
        <v/>
      </c>
      <c r="L138" s="27">
        <f>IF(설정!$D$23="",0,IFERROR(VALUE(SUBSTITUTE(SUBSTITUTE(INDEX(급여대장_원본!$A$1:$AZ$400,(설정!$B$8+132),설정!$D$23)&amp;"",",",""),"　","")),0))</f>
        <v/>
      </c>
      <c r="M138" s="27">
        <f>IF(설정!$D$24="",0,IFERROR(VALUE(SUBSTITUTE(SUBSTITUTE(INDEX(급여대장_원본!$A$1:$AZ$400,(설정!$B$8+132),설정!$D$24)&amp;"",",",""),"　","")),0))</f>
        <v/>
      </c>
      <c r="N138" s="2">
        <f>IF(OR(설정!$C$17="",IFERROR(MATCH(설정!$C$17,INDEX(급여대장_원본!$A$1:$AZ$400,설정!$B$8,0),0),"")=""),"",IFERROR(VALUE(SUBSTITUTE(INDEX(급여대장_원본!$A$1:$AZ$400,(설정!$B$8+132),IFERROR(MATCH(설정!$C$17,INDEX(급여대장_원본!$A$1:$AZ$400,설정!$B$8,0),0),""))&amp;"",",","")),""))</f>
        <v/>
      </c>
      <c r="O138" s="2">
        <f>IF(OR(설정!$C$18="",IFERROR(MATCH(설정!$C$18,INDEX(급여대장_원본!$A$1:$AZ$400,설정!$B$8,0),0),"")=""),"",IFERROR(VALUE(SUBSTITUTE(INDEX(급여대장_원본!$A$1:$AZ$400,(설정!$B$8+132),IFERROR(MATCH(설정!$C$18,INDEX(급여대장_원본!$A$1:$AZ$400,설정!$B$8,0),0),""))&amp;"",",","")),""))</f>
        <v/>
      </c>
      <c r="P138" s="2">
        <f>IF(OR(설정!$C$19="",IFERROR(MATCH(설정!$C$19,INDEX(급여대장_원본!$A$1:$AZ$400,설정!$B$8,0),0),"")=""),"",IFERROR(VALUE(SUBSTITUTE(INDEX(급여대장_원본!$A$1:$AZ$400,(설정!$B$8+132),IFERROR(MATCH(설정!$C$19,INDEX(급여대장_원본!$A$1:$AZ$400,설정!$B$8,0),0),""))&amp;"",",","")),""))</f>
        <v/>
      </c>
      <c r="Q138" s="2">
        <f>IF(OR(설정!$C$20="",IFERROR(MATCH(설정!$C$20,INDEX(급여대장_원본!$A$1:$AZ$400,설정!$B$8,0),0),"")=""),"",IFERROR(VALUE(SUBSTITUTE(INDEX(급여대장_원본!$A$1:$AZ$400,(설정!$B$8+132),IFERROR(MATCH(설정!$C$20,INDEX(급여대장_원본!$A$1:$AZ$400,설정!$B$8,0),0),""))&amp;"",",","")),""))</f>
        <v/>
      </c>
      <c r="R138" s="2">
        <f>IF(OR(설정!$C$21="",IFERROR(MATCH(설정!$C$21,INDEX(급여대장_원본!$A$1:$AZ$400,설정!$B$8,0),0),"")=""),"",IFERROR(VALUE(SUBSTITUTE(INDEX(급여대장_원본!$A$1:$AZ$400,(설정!$B$8+132),IFERROR(MATCH(설정!$C$21,INDEX(급여대장_원본!$A$1:$AZ$400,설정!$B$8,0),0),""))&amp;"",",","")),""))</f>
        <v/>
      </c>
      <c r="S138" s="2">
        <f>IF(OR(설정!$C$22="",IFERROR(MATCH(설정!$C$22,INDEX(급여대장_원본!$A$1:$AZ$400,설정!$B$8,0),0),"")=""),"",IFERROR(VALUE(SUBSTITUTE(INDEX(급여대장_원본!$A$1:$AZ$400,(설정!$B$8+132),IFERROR(MATCH(설정!$C$22,INDEX(급여대장_원본!$A$1:$AZ$400,설정!$B$8,0),0),""))&amp;"",",","")),""))</f>
        <v/>
      </c>
      <c r="T138" s="2">
        <f>IF(OR(설정!$C$23="",IFERROR(MATCH(설정!$C$23,INDEX(급여대장_원본!$A$1:$AZ$400,설정!$B$8,0),0),"")=""),"",IFERROR(VALUE(SUBSTITUTE(INDEX(급여대장_원본!$A$1:$AZ$400,(설정!$B$8+132),IFERROR(MATCH(설정!$C$23,INDEX(급여대장_원본!$A$1:$AZ$400,설정!$B$8,0),0),""))&amp;"",",","")),""))</f>
        <v/>
      </c>
      <c r="U138" s="2">
        <f>IF(OR(설정!$C$24="",IFERROR(MATCH(설정!$C$24,INDEX(급여대장_원본!$A$1:$AZ$400,설정!$B$8,0),0),"")=""),"",IFERROR(VALUE(SUBSTITUTE(INDEX(급여대장_원본!$A$1:$AZ$400,(설정!$B$8+132),IFERROR(MATCH(설정!$C$24,INDEX(급여대장_원본!$A$1:$AZ$400,설정!$B$8,0),0),""))&amp;"",",","")),""))</f>
        <v/>
      </c>
      <c r="V138" s="27">
        <f>SUM(F138:M138)</f>
        <v/>
      </c>
      <c r="W138" s="27">
        <f>IF(설정!$D$26="",0,IFERROR(VALUE(SUBSTITUTE(SUBSTITUTE(INDEX(급여대장_원본!$A$1:$AZ$400,(설정!$B$8+132),설정!$D$26)&amp;"",",",""),"　","")),0))</f>
        <v/>
      </c>
      <c r="X138" s="27">
        <f>IF(설정!$D$27="",0,IFERROR(VALUE(SUBSTITUTE(SUBSTITUTE(INDEX(급여대장_원본!$A$1:$AZ$400,(설정!$B$8+132),설정!$D$27)&amp;"",",",""),"　","")),0))</f>
        <v/>
      </c>
      <c r="Y138" s="27">
        <f>IF(설정!$D$28="",0,IFERROR(VALUE(SUBSTITUTE(SUBSTITUTE(INDEX(급여대장_원본!$A$1:$AZ$400,(설정!$B$8+132),설정!$D$28)&amp;"",",",""),"　","")),0))</f>
        <v/>
      </c>
      <c r="Z138" s="27">
        <f>IF(설정!$D$29="",0,IFERROR(VALUE(SUBSTITUTE(SUBSTITUTE(INDEX(급여대장_원본!$A$1:$AZ$400,(설정!$B$8+132),설정!$D$29)&amp;"",",",""),"　","")),0))</f>
        <v/>
      </c>
      <c r="AA138" s="27">
        <f>IF(설정!$D$30="",0,IFERROR(VALUE(SUBSTITUTE(SUBSTITUTE(INDEX(급여대장_원본!$A$1:$AZ$400,(설정!$B$8+132),설정!$D$30)&amp;"",",",""),"　","")),0))</f>
        <v/>
      </c>
      <c r="AB138" s="27">
        <f>IF(설정!$D$31="",0,IFERROR(VALUE(SUBSTITUTE(SUBSTITUTE(INDEX(급여대장_원본!$A$1:$AZ$400,(설정!$B$8+132),설정!$D$31)&amp;"",",",""),"　","")),0))</f>
        <v/>
      </c>
      <c r="AC138" s="27">
        <f>IF(설정!$D$32="",0,IFERROR(VALUE(SUBSTITUTE(SUBSTITUTE(INDEX(급여대장_원본!$A$1:$AZ$400,(설정!$B$8+132),설정!$D$32)&amp;"",",",""),"　","")),0))</f>
        <v/>
      </c>
      <c r="AD138" s="27">
        <f>IF(설정!$D$33="",0,IFERROR(VALUE(SUBSTITUTE(SUBSTITUTE(INDEX(급여대장_원본!$A$1:$AZ$400,(설정!$B$8+132),설정!$D$33)&amp;"",",",""),"　","")),0))</f>
        <v/>
      </c>
      <c r="AE138" s="27">
        <f>SUM(W138:AD138)</f>
        <v/>
      </c>
      <c r="AF138" s="27">
        <f>V138-AE138</f>
        <v/>
      </c>
      <c r="AG138" s="27">
        <f>IF(설정!$D$35="","",IF(설정!$D$35="",0,IFERROR(VALUE(SUBSTITUTE(SUBSTITUTE(INDEX(급여대장_원본!$A$1:$AZ$400,(설정!$B$8+132),설정!$D$35)&amp;"",",",""),"　","")),0)))</f>
        <v/>
      </c>
      <c r="AH138" s="27">
        <f>IF(설정!$D$36="","",IF(설정!$D$36="",0,IFERROR(VALUE(SUBSTITUTE(SUBSTITUTE(INDEX(급여대장_원본!$A$1:$AZ$400,(설정!$B$8+132),설정!$D$36)&amp;"",",",""),"　","")),0)))</f>
        <v/>
      </c>
      <c r="AI138" s="27">
        <f>IF(설정!$D$37="","",IF(설정!$D$37="",0,IFERROR(VALUE(SUBSTITUTE(SUBSTITUTE(INDEX(급여대장_원본!$A$1:$AZ$400,(설정!$B$8+132),설정!$D$37)&amp;"",",",""),"　","")),0)))</f>
        <v/>
      </c>
      <c r="AJ138" s="2">
        <f>IFERROR(INDEX($D$7:$D$306,MATCH(132,$B$7:$B$306,0)),"")</f>
        <v/>
      </c>
    </row>
    <row r="139">
      <c r="A139" s="2">
        <f>IF(AND(D139&lt;&gt;"",D139&lt;&gt;"합계",D139&lt;&gt;"총계",D139&lt;&gt;"소계",D139&lt;&gt;"계"),1,0)</f>
        <v/>
      </c>
      <c r="B139" s="2">
        <f>IF(A139=1,SUM($A$7:A139),"")</f>
        <v/>
      </c>
      <c r="C139" s="2">
        <f>IF(설정!$D$13="","",TRIM(SUBSTITUTE(INDEX(급여대장_원본!$A$1:$AZ$400,(설정!$B$8+133),설정!$D$13)&amp;"","　"," ")))</f>
        <v/>
      </c>
      <c r="D139" s="2">
        <f>IF(설정!$D$14="","",TRIM(SUBSTITUTE(INDEX(급여대장_원본!$A$1:$AZ$400,(설정!$B$8+133),설정!$D$14)&amp;"","　"," ")))</f>
        <v/>
      </c>
      <c r="E139" s="2">
        <f>IF(설정!$D$15="","",TRIM(SUBSTITUTE(INDEX(급여대장_원본!$A$1:$AZ$400,(설정!$B$8+133),설정!$D$15)&amp;"","　"," ")))</f>
        <v/>
      </c>
      <c r="F139" s="27">
        <f>IF(설정!$D$17="",0,IFERROR(VALUE(SUBSTITUTE(SUBSTITUTE(INDEX(급여대장_원본!$A$1:$AZ$400,(설정!$B$8+133),설정!$D$17)&amp;"",",",""),"　","")),0))</f>
        <v/>
      </c>
      <c r="G139" s="27">
        <f>IF(설정!$D$18="",0,IFERROR(VALUE(SUBSTITUTE(SUBSTITUTE(INDEX(급여대장_원본!$A$1:$AZ$400,(설정!$B$8+133),설정!$D$18)&amp;"",",",""),"　","")),0))</f>
        <v/>
      </c>
      <c r="H139" s="27">
        <f>IF(설정!$D$19="",0,IFERROR(VALUE(SUBSTITUTE(SUBSTITUTE(INDEX(급여대장_원본!$A$1:$AZ$400,(설정!$B$8+133),설정!$D$19)&amp;"",",",""),"　","")),0))</f>
        <v/>
      </c>
      <c r="I139" s="27">
        <f>IF(설정!$D$20="",0,IFERROR(VALUE(SUBSTITUTE(SUBSTITUTE(INDEX(급여대장_원본!$A$1:$AZ$400,(설정!$B$8+133),설정!$D$20)&amp;"",",",""),"　","")),0))</f>
        <v/>
      </c>
      <c r="J139" s="27">
        <f>IF(설정!$D$21="",0,IFERROR(VALUE(SUBSTITUTE(SUBSTITUTE(INDEX(급여대장_원본!$A$1:$AZ$400,(설정!$B$8+133),설정!$D$21)&amp;"",",",""),"　","")),0))</f>
        <v/>
      </c>
      <c r="K139" s="27">
        <f>IF(설정!$D$22="",0,IFERROR(VALUE(SUBSTITUTE(SUBSTITUTE(INDEX(급여대장_원본!$A$1:$AZ$400,(설정!$B$8+133),설정!$D$22)&amp;"",",",""),"　","")),0))</f>
        <v/>
      </c>
      <c r="L139" s="27">
        <f>IF(설정!$D$23="",0,IFERROR(VALUE(SUBSTITUTE(SUBSTITUTE(INDEX(급여대장_원본!$A$1:$AZ$400,(설정!$B$8+133),설정!$D$23)&amp;"",",",""),"　","")),0))</f>
        <v/>
      </c>
      <c r="M139" s="27">
        <f>IF(설정!$D$24="",0,IFERROR(VALUE(SUBSTITUTE(SUBSTITUTE(INDEX(급여대장_원본!$A$1:$AZ$400,(설정!$B$8+133),설정!$D$24)&amp;"",",",""),"　","")),0))</f>
        <v/>
      </c>
      <c r="N139" s="2">
        <f>IF(OR(설정!$C$17="",IFERROR(MATCH(설정!$C$17,INDEX(급여대장_원본!$A$1:$AZ$400,설정!$B$8,0),0),"")=""),"",IFERROR(VALUE(SUBSTITUTE(INDEX(급여대장_원본!$A$1:$AZ$400,(설정!$B$8+133),IFERROR(MATCH(설정!$C$17,INDEX(급여대장_원본!$A$1:$AZ$400,설정!$B$8,0),0),""))&amp;"",",","")),""))</f>
        <v/>
      </c>
      <c r="O139" s="2">
        <f>IF(OR(설정!$C$18="",IFERROR(MATCH(설정!$C$18,INDEX(급여대장_원본!$A$1:$AZ$400,설정!$B$8,0),0),"")=""),"",IFERROR(VALUE(SUBSTITUTE(INDEX(급여대장_원본!$A$1:$AZ$400,(설정!$B$8+133),IFERROR(MATCH(설정!$C$18,INDEX(급여대장_원본!$A$1:$AZ$400,설정!$B$8,0),0),""))&amp;"",",","")),""))</f>
        <v/>
      </c>
      <c r="P139" s="2">
        <f>IF(OR(설정!$C$19="",IFERROR(MATCH(설정!$C$19,INDEX(급여대장_원본!$A$1:$AZ$400,설정!$B$8,0),0),"")=""),"",IFERROR(VALUE(SUBSTITUTE(INDEX(급여대장_원본!$A$1:$AZ$400,(설정!$B$8+133),IFERROR(MATCH(설정!$C$19,INDEX(급여대장_원본!$A$1:$AZ$400,설정!$B$8,0),0),""))&amp;"",",","")),""))</f>
        <v/>
      </c>
      <c r="Q139" s="2">
        <f>IF(OR(설정!$C$20="",IFERROR(MATCH(설정!$C$20,INDEX(급여대장_원본!$A$1:$AZ$400,설정!$B$8,0),0),"")=""),"",IFERROR(VALUE(SUBSTITUTE(INDEX(급여대장_원본!$A$1:$AZ$400,(설정!$B$8+133),IFERROR(MATCH(설정!$C$20,INDEX(급여대장_원본!$A$1:$AZ$400,설정!$B$8,0),0),""))&amp;"",",","")),""))</f>
        <v/>
      </c>
      <c r="R139" s="2">
        <f>IF(OR(설정!$C$21="",IFERROR(MATCH(설정!$C$21,INDEX(급여대장_원본!$A$1:$AZ$400,설정!$B$8,0),0),"")=""),"",IFERROR(VALUE(SUBSTITUTE(INDEX(급여대장_원본!$A$1:$AZ$400,(설정!$B$8+133),IFERROR(MATCH(설정!$C$21,INDEX(급여대장_원본!$A$1:$AZ$400,설정!$B$8,0),0),""))&amp;"",",","")),""))</f>
        <v/>
      </c>
      <c r="S139" s="2">
        <f>IF(OR(설정!$C$22="",IFERROR(MATCH(설정!$C$22,INDEX(급여대장_원본!$A$1:$AZ$400,설정!$B$8,0),0),"")=""),"",IFERROR(VALUE(SUBSTITUTE(INDEX(급여대장_원본!$A$1:$AZ$400,(설정!$B$8+133),IFERROR(MATCH(설정!$C$22,INDEX(급여대장_원본!$A$1:$AZ$400,설정!$B$8,0),0),""))&amp;"",",","")),""))</f>
        <v/>
      </c>
      <c r="T139" s="2">
        <f>IF(OR(설정!$C$23="",IFERROR(MATCH(설정!$C$23,INDEX(급여대장_원본!$A$1:$AZ$400,설정!$B$8,0),0),"")=""),"",IFERROR(VALUE(SUBSTITUTE(INDEX(급여대장_원본!$A$1:$AZ$400,(설정!$B$8+133),IFERROR(MATCH(설정!$C$23,INDEX(급여대장_원본!$A$1:$AZ$400,설정!$B$8,0),0),""))&amp;"",",","")),""))</f>
        <v/>
      </c>
      <c r="U139" s="2">
        <f>IF(OR(설정!$C$24="",IFERROR(MATCH(설정!$C$24,INDEX(급여대장_원본!$A$1:$AZ$400,설정!$B$8,0),0),"")=""),"",IFERROR(VALUE(SUBSTITUTE(INDEX(급여대장_원본!$A$1:$AZ$400,(설정!$B$8+133),IFERROR(MATCH(설정!$C$24,INDEX(급여대장_원본!$A$1:$AZ$400,설정!$B$8,0),0),""))&amp;"",",","")),""))</f>
        <v/>
      </c>
      <c r="V139" s="27">
        <f>SUM(F139:M139)</f>
        <v/>
      </c>
      <c r="W139" s="27">
        <f>IF(설정!$D$26="",0,IFERROR(VALUE(SUBSTITUTE(SUBSTITUTE(INDEX(급여대장_원본!$A$1:$AZ$400,(설정!$B$8+133),설정!$D$26)&amp;"",",",""),"　","")),0))</f>
        <v/>
      </c>
      <c r="X139" s="27">
        <f>IF(설정!$D$27="",0,IFERROR(VALUE(SUBSTITUTE(SUBSTITUTE(INDEX(급여대장_원본!$A$1:$AZ$400,(설정!$B$8+133),설정!$D$27)&amp;"",",",""),"　","")),0))</f>
        <v/>
      </c>
      <c r="Y139" s="27">
        <f>IF(설정!$D$28="",0,IFERROR(VALUE(SUBSTITUTE(SUBSTITUTE(INDEX(급여대장_원본!$A$1:$AZ$400,(설정!$B$8+133),설정!$D$28)&amp;"",",",""),"　","")),0))</f>
        <v/>
      </c>
      <c r="Z139" s="27">
        <f>IF(설정!$D$29="",0,IFERROR(VALUE(SUBSTITUTE(SUBSTITUTE(INDEX(급여대장_원본!$A$1:$AZ$400,(설정!$B$8+133),설정!$D$29)&amp;"",",",""),"　","")),0))</f>
        <v/>
      </c>
      <c r="AA139" s="27">
        <f>IF(설정!$D$30="",0,IFERROR(VALUE(SUBSTITUTE(SUBSTITUTE(INDEX(급여대장_원본!$A$1:$AZ$400,(설정!$B$8+133),설정!$D$30)&amp;"",",",""),"　","")),0))</f>
        <v/>
      </c>
      <c r="AB139" s="27">
        <f>IF(설정!$D$31="",0,IFERROR(VALUE(SUBSTITUTE(SUBSTITUTE(INDEX(급여대장_원본!$A$1:$AZ$400,(설정!$B$8+133),설정!$D$31)&amp;"",",",""),"　","")),0))</f>
        <v/>
      </c>
      <c r="AC139" s="27">
        <f>IF(설정!$D$32="",0,IFERROR(VALUE(SUBSTITUTE(SUBSTITUTE(INDEX(급여대장_원본!$A$1:$AZ$400,(설정!$B$8+133),설정!$D$32)&amp;"",",",""),"　","")),0))</f>
        <v/>
      </c>
      <c r="AD139" s="27">
        <f>IF(설정!$D$33="",0,IFERROR(VALUE(SUBSTITUTE(SUBSTITUTE(INDEX(급여대장_원본!$A$1:$AZ$400,(설정!$B$8+133),설정!$D$33)&amp;"",",",""),"　","")),0))</f>
        <v/>
      </c>
      <c r="AE139" s="27">
        <f>SUM(W139:AD139)</f>
        <v/>
      </c>
      <c r="AF139" s="27">
        <f>V139-AE139</f>
        <v/>
      </c>
      <c r="AG139" s="27">
        <f>IF(설정!$D$35="","",IF(설정!$D$35="",0,IFERROR(VALUE(SUBSTITUTE(SUBSTITUTE(INDEX(급여대장_원본!$A$1:$AZ$400,(설정!$B$8+133),설정!$D$35)&amp;"",",",""),"　","")),0)))</f>
        <v/>
      </c>
      <c r="AH139" s="27">
        <f>IF(설정!$D$36="","",IF(설정!$D$36="",0,IFERROR(VALUE(SUBSTITUTE(SUBSTITUTE(INDEX(급여대장_원본!$A$1:$AZ$400,(설정!$B$8+133),설정!$D$36)&amp;"",",",""),"　","")),0)))</f>
        <v/>
      </c>
      <c r="AI139" s="27">
        <f>IF(설정!$D$37="","",IF(설정!$D$37="",0,IFERROR(VALUE(SUBSTITUTE(SUBSTITUTE(INDEX(급여대장_원본!$A$1:$AZ$400,(설정!$B$8+133),설정!$D$37)&amp;"",",",""),"　","")),0)))</f>
        <v/>
      </c>
      <c r="AJ139" s="2">
        <f>IFERROR(INDEX($D$7:$D$306,MATCH(133,$B$7:$B$306,0)),"")</f>
        <v/>
      </c>
    </row>
    <row r="140">
      <c r="A140" s="2">
        <f>IF(AND(D140&lt;&gt;"",D140&lt;&gt;"합계",D140&lt;&gt;"총계",D140&lt;&gt;"소계",D140&lt;&gt;"계"),1,0)</f>
        <v/>
      </c>
      <c r="B140" s="2">
        <f>IF(A140=1,SUM($A$7:A140),"")</f>
        <v/>
      </c>
      <c r="C140" s="2">
        <f>IF(설정!$D$13="","",TRIM(SUBSTITUTE(INDEX(급여대장_원본!$A$1:$AZ$400,(설정!$B$8+134),설정!$D$13)&amp;"","　"," ")))</f>
        <v/>
      </c>
      <c r="D140" s="2">
        <f>IF(설정!$D$14="","",TRIM(SUBSTITUTE(INDEX(급여대장_원본!$A$1:$AZ$400,(설정!$B$8+134),설정!$D$14)&amp;"","　"," ")))</f>
        <v/>
      </c>
      <c r="E140" s="2">
        <f>IF(설정!$D$15="","",TRIM(SUBSTITUTE(INDEX(급여대장_원본!$A$1:$AZ$400,(설정!$B$8+134),설정!$D$15)&amp;"","　"," ")))</f>
        <v/>
      </c>
      <c r="F140" s="27">
        <f>IF(설정!$D$17="",0,IFERROR(VALUE(SUBSTITUTE(SUBSTITUTE(INDEX(급여대장_원본!$A$1:$AZ$400,(설정!$B$8+134),설정!$D$17)&amp;"",",",""),"　","")),0))</f>
        <v/>
      </c>
      <c r="G140" s="27">
        <f>IF(설정!$D$18="",0,IFERROR(VALUE(SUBSTITUTE(SUBSTITUTE(INDEX(급여대장_원본!$A$1:$AZ$400,(설정!$B$8+134),설정!$D$18)&amp;"",",",""),"　","")),0))</f>
        <v/>
      </c>
      <c r="H140" s="27">
        <f>IF(설정!$D$19="",0,IFERROR(VALUE(SUBSTITUTE(SUBSTITUTE(INDEX(급여대장_원본!$A$1:$AZ$400,(설정!$B$8+134),설정!$D$19)&amp;"",",",""),"　","")),0))</f>
        <v/>
      </c>
      <c r="I140" s="27">
        <f>IF(설정!$D$20="",0,IFERROR(VALUE(SUBSTITUTE(SUBSTITUTE(INDEX(급여대장_원본!$A$1:$AZ$400,(설정!$B$8+134),설정!$D$20)&amp;"",",",""),"　","")),0))</f>
        <v/>
      </c>
      <c r="J140" s="27">
        <f>IF(설정!$D$21="",0,IFERROR(VALUE(SUBSTITUTE(SUBSTITUTE(INDEX(급여대장_원본!$A$1:$AZ$400,(설정!$B$8+134),설정!$D$21)&amp;"",",",""),"　","")),0))</f>
        <v/>
      </c>
      <c r="K140" s="27">
        <f>IF(설정!$D$22="",0,IFERROR(VALUE(SUBSTITUTE(SUBSTITUTE(INDEX(급여대장_원본!$A$1:$AZ$400,(설정!$B$8+134),설정!$D$22)&amp;"",",",""),"　","")),0))</f>
        <v/>
      </c>
      <c r="L140" s="27">
        <f>IF(설정!$D$23="",0,IFERROR(VALUE(SUBSTITUTE(SUBSTITUTE(INDEX(급여대장_원본!$A$1:$AZ$400,(설정!$B$8+134),설정!$D$23)&amp;"",",",""),"　","")),0))</f>
        <v/>
      </c>
      <c r="M140" s="27">
        <f>IF(설정!$D$24="",0,IFERROR(VALUE(SUBSTITUTE(SUBSTITUTE(INDEX(급여대장_원본!$A$1:$AZ$400,(설정!$B$8+134),설정!$D$24)&amp;"",",",""),"　","")),0))</f>
        <v/>
      </c>
      <c r="N140" s="2">
        <f>IF(OR(설정!$C$17="",IFERROR(MATCH(설정!$C$17,INDEX(급여대장_원본!$A$1:$AZ$400,설정!$B$8,0),0),"")=""),"",IFERROR(VALUE(SUBSTITUTE(INDEX(급여대장_원본!$A$1:$AZ$400,(설정!$B$8+134),IFERROR(MATCH(설정!$C$17,INDEX(급여대장_원본!$A$1:$AZ$400,설정!$B$8,0),0),""))&amp;"",",","")),""))</f>
        <v/>
      </c>
      <c r="O140" s="2">
        <f>IF(OR(설정!$C$18="",IFERROR(MATCH(설정!$C$18,INDEX(급여대장_원본!$A$1:$AZ$400,설정!$B$8,0),0),"")=""),"",IFERROR(VALUE(SUBSTITUTE(INDEX(급여대장_원본!$A$1:$AZ$400,(설정!$B$8+134),IFERROR(MATCH(설정!$C$18,INDEX(급여대장_원본!$A$1:$AZ$400,설정!$B$8,0),0),""))&amp;"",",","")),""))</f>
        <v/>
      </c>
      <c r="P140" s="2">
        <f>IF(OR(설정!$C$19="",IFERROR(MATCH(설정!$C$19,INDEX(급여대장_원본!$A$1:$AZ$400,설정!$B$8,0),0),"")=""),"",IFERROR(VALUE(SUBSTITUTE(INDEX(급여대장_원본!$A$1:$AZ$400,(설정!$B$8+134),IFERROR(MATCH(설정!$C$19,INDEX(급여대장_원본!$A$1:$AZ$400,설정!$B$8,0),0),""))&amp;"",",","")),""))</f>
        <v/>
      </c>
      <c r="Q140" s="2">
        <f>IF(OR(설정!$C$20="",IFERROR(MATCH(설정!$C$20,INDEX(급여대장_원본!$A$1:$AZ$400,설정!$B$8,0),0),"")=""),"",IFERROR(VALUE(SUBSTITUTE(INDEX(급여대장_원본!$A$1:$AZ$400,(설정!$B$8+134),IFERROR(MATCH(설정!$C$20,INDEX(급여대장_원본!$A$1:$AZ$400,설정!$B$8,0),0),""))&amp;"",",","")),""))</f>
        <v/>
      </c>
      <c r="R140" s="2">
        <f>IF(OR(설정!$C$21="",IFERROR(MATCH(설정!$C$21,INDEX(급여대장_원본!$A$1:$AZ$400,설정!$B$8,0),0),"")=""),"",IFERROR(VALUE(SUBSTITUTE(INDEX(급여대장_원본!$A$1:$AZ$400,(설정!$B$8+134),IFERROR(MATCH(설정!$C$21,INDEX(급여대장_원본!$A$1:$AZ$400,설정!$B$8,0),0),""))&amp;"",",","")),""))</f>
        <v/>
      </c>
      <c r="S140" s="2">
        <f>IF(OR(설정!$C$22="",IFERROR(MATCH(설정!$C$22,INDEX(급여대장_원본!$A$1:$AZ$400,설정!$B$8,0),0),"")=""),"",IFERROR(VALUE(SUBSTITUTE(INDEX(급여대장_원본!$A$1:$AZ$400,(설정!$B$8+134),IFERROR(MATCH(설정!$C$22,INDEX(급여대장_원본!$A$1:$AZ$400,설정!$B$8,0),0),""))&amp;"",",","")),""))</f>
        <v/>
      </c>
      <c r="T140" s="2">
        <f>IF(OR(설정!$C$23="",IFERROR(MATCH(설정!$C$23,INDEX(급여대장_원본!$A$1:$AZ$400,설정!$B$8,0),0),"")=""),"",IFERROR(VALUE(SUBSTITUTE(INDEX(급여대장_원본!$A$1:$AZ$400,(설정!$B$8+134),IFERROR(MATCH(설정!$C$23,INDEX(급여대장_원본!$A$1:$AZ$400,설정!$B$8,0),0),""))&amp;"",",","")),""))</f>
        <v/>
      </c>
      <c r="U140" s="2">
        <f>IF(OR(설정!$C$24="",IFERROR(MATCH(설정!$C$24,INDEX(급여대장_원본!$A$1:$AZ$400,설정!$B$8,0),0),"")=""),"",IFERROR(VALUE(SUBSTITUTE(INDEX(급여대장_원본!$A$1:$AZ$400,(설정!$B$8+134),IFERROR(MATCH(설정!$C$24,INDEX(급여대장_원본!$A$1:$AZ$400,설정!$B$8,0),0),""))&amp;"",",","")),""))</f>
        <v/>
      </c>
      <c r="V140" s="27">
        <f>SUM(F140:M140)</f>
        <v/>
      </c>
      <c r="W140" s="27">
        <f>IF(설정!$D$26="",0,IFERROR(VALUE(SUBSTITUTE(SUBSTITUTE(INDEX(급여대장_원본!$A$1:$AZ$400,(설정!$B$8+134),설정!$D$26)&amp;"",",",""),"　","")),0))</f>
        <v/>
      </c>
      <c r="X140" s="27">
        <f>IF(설정!$D$27="",0,IFERROR(VALUE(SUBSTITUTE(SUBSTITUTE(INDEX(급여대장_원본!$A$1:$AZ$400,(설정!$B$8+134),설정!$D$27)&amp;"",",",""),"　","")),0))</f>
        <v/>
      </c>
      <c r="Y140" s="27">
        <f>IF(설정!$D$28="",0,IFERROR(VALUE(SUBSTITUTE(SUBSTITUTE(INDEX(급여대장_원본!$A$1:$AZ$400,(설정!$B$8+134),설정!$D$28)&amp;"",",",""),"　","")),0))</f>
        <v/>
      </c>
      <c r="Z140" s="27">
        <f>IF(설정!$D$29="",0,IFERROR(VALUE(SUBSTITUTE(SUBSTITUTE(INDEX(급여대장_원본!$A$1:$AZ$400,(설정!$B$8+134),설정!$D$29)&amp;"",",",""),"　","")),0))</f>
        <v/>
      </c>
      <c r="AA140" s="27">
        <f>IF(설정!$D$30="",0,IFERROR(VALUE(SUBSTITUTE(SUBSTITUTE(INDEX(급여대장_원본!$A$1:$AZ$400,(설정!$B$8+134),설정!$D$30)&amp;"",",",""),"　","")),0))</f>
        <v/>
      </c>
      <c r="AB140" s="27">
        <f>IF(설정!$D$31="",0,IFERROR(VALUE(SUBSTITUTE(SUBSTITUTE(INDEX(급여대장_원본!$A$1:$AZ$400,(설정!$B$8+134),설정!$D$31)&amp;"",",",""),"　","")),0))</f>
        <v/>
      </c>
      <c r="AC140" s="27">
        <f>IF(설정!$D$32="",0,IFERROR(VALUE(SUBSTITUTE(SUBSTITUTE(INDEX(급여대장_원본!$A$1:$AZ$400,(설정!$B$8+134),설정!$D$32)&amp;"",",",""),"　","")),0))</f>
        <v/>
      </c>
      <c r="AD140" s="27">
        <f>IF(설정!$D$33="",0,IFERROR(VALUE(SUBSTITUTE(SUBSTITUTE(INDEX(급여대장_원본!$A$1:$AZ$400,(설정!$B$8+134),설정!$D$33)&amp;"",",",""),"　","")),0))</f>
        <v/>
      </c>
      <c r="AE140" s="27">
        <f>SUM(W140:AD140)</f>
        <v/>
      </c>
      <c r="AF140" s="27">
        <f>V140-AE140</f>
        <v/>
      </c>
      <c r="AG140" s="27">
        <f>IF(설정!$D$35="","",IF(설정!$D$35="",0,IFERROR(VALUE(SUBSTITUTE(SUBSTITUTE(INDEX(급여대장_원본!$A$1:$AZ$400,(설정!$B$8+134),설정!$D$35)&amp;"",",",""),"　","")),0)))</f>
        <v/>
      </c>
      <c r="AH140" s="27">
        <f>IF(설정!$D$36="","",IF(설정!$D$36="",0,IFERROR(VALUE(SUBSTITUTE(SUBSTITUTE(INDEX(급여대장_원본!$A$1:$AZ$400,(설정!$B$8+134),설정!$D$36)&amp;"",",",""),"　","")),0)))</f>
        <v/>
      </c>
      <c r="AI140" s="27">
        <f>IF(설정!$D$37="","",IF(설정!$D$37="",0,IFERROR(VALUE(SUBSTITUTE(SUBSTITUTE(INDEX(급여대장_원본!$A$1:$AZ$400,(설정!$B$8+134),설정!$D$37)&amp;"",",",""),"　","")),0)))</f>
        <v/>
      </c>
      <c r="AJ140" s="2">
        <f>IFERROR(INDEX($D$7:$D$306,MATCH(134,$B$7:$B$306,0)),"")</f>
        <v/>
      </c>
    </row>
    <row r="141">
      <c r="A141" s="2">
        <f>IF(AND(D141&lt;&gt;"",D141&lt;&gt;"합계",D141&lt;&gt;"총계",D141&lt;&gt;"소계",D141&lt;&gt;"계"),1,0)</f>
        <v/>
      </c>
      <c r="B141" s="2">
        <f>IF(A141=1,SUM($A$7:A141),"")</f>
        <v/>
      </c>
      <c r="C141" s="2">
        <f>IF(설정!$D$13="","",TRIM(SUBSTITUTE(INDEX(급여대장_원본!$A$1:$AZ$400,(설정!$B$8+135),설정!$D$13)&amp;"","　"," ")))</f>
        <v/>
      </c>
      <c r="D141" s="2">
        <f>IF(설정!$D$14="","",TRIM(SUBSTITUTE(INDEX(급여대장_원본!$A$1:$AZ$400,(설정!$B$8+135),설정!$D$14)&amp;"","　"," ")))</f>
        <v/>
      </c>
      <c r="E141" s="2">
        <f>IF(설정!$D$15="","",TRIM(SUBSTITUTE(INDEX(급여대장_원본!$A$1:$AZ$400,(설정!$B$8+135),설정!$D$15)&amp;"","　"," ")))</f>
        <v/>
      </c>
      <c r="F141" s="27">
        <f>IF(설정!$D$17="",0,IFERROR(VALUE(SUBSTITUTE(SUBSTITUTE(INDEX(급여대장_원본!$A$1:$AZ$400,(설정!$B$8+135),설정!$D$17)&amp;"",",",""),"　","")),0))</f>
        <v/>
      </c>
      <c r="G141" s="27">
        <f>IF(설정!$D$18="",0,IFERROR(VALUE(SUBSTITUTE(SUBSTITUTE(INDEX(급여대장_원본!$A$1:$AZ$400,(설정!$B$8+135),설정!$D$18)&amp;"",",",""),"　","")),0))</f>
        <v/>
      </c>
      <c r="H141" s="27">
        <f>IF(설정!$D$19="",0,IFERROR(VALUE(SUBSTITUTE(SUBSTITUTE(INDEX(급여대장_원본!$A$1:$AZ$400,(설정!$B$8+135),설정!$D$19)&amp;"",",",""),"　","")),0))</f>
        <v/>
      </c>
      <c r="I141" s="27">
        <f>IF(설정!$D$20="",0,IFERROR(VALUE(SUBSTITUTE(SUBSTITUTE(INDEX(급여대장_원본!$A$1:$AZ$400,(설정!$B$8+135),설정!$D$20)&amp;"",",",""),"　","")),0))</f>
        <v/>
      </c>
      <c r="J141" s="27">
        <f>IF(설정!$D$21="",0,IFERROR(VALUE(SUBSTITUTE(SUBSTITUTE(INDEX(급여대장_원본!$A$1:$AZ$400,(설정!$B$8+135),설정!$D$21)&amp;"",",",""),"　","")),0))</f>
        <v/>
      </c>
      <c r="K141" s="27">
        <f>IF(설정!$D$22="",0,IFERROR(VALUE(SUBSTITUTE(SUBSTITUTE(INDEX(급여대장_원본!$A$1:$AZ$400,(설정!$B$8+135),설정!$D$22)&amp;"",",",""),"　","")),0))</f>
        <v/>
      </c>
      <c r="L141" s="27">
        <f>IF(설정!$D$23="",0,IFERROR(VALUE(SUBSTITUTE(SUBSTITUTE(INDEX(급여대장_원본!$A$1:$AZ$400,(설정!$B$8+135),설정!$D$23)&amp;"",",",""),"　","")),0))</f>
        <v/>
      </c>
      <c r="M141" s="27">
        <f>IF(설정!$D$24="",0,IFERROR(VALUE(SUBSTITUTE(SUBSTITUTE(INDEX(급여대장_원본!$A$1:$AZ$400,(설정!$B$8+135),설정!$D$24)&amp;"",",",""),"　","")),0))</f>
        <v/>
      </c>
      <c r="N141" s="2">
        <f>IF(OR(설정!$C$17="",IFERROR(MATCH(설정!$C$17,INDEX(급여대장_원본!$A$1:$AZ$400,설정!$B$8,0),0),"")=""),"",IFERROR(VALUE(SUBSTITUTE(INDEX(급여대장_원본!$A$1:$AZ$400,(설정!$B$8+135),IFERROR(MATCH(설정!$C$17,INDEX(급여대장_원본!$A$1:$AZ$400,설정!$B$8,0),0),""))&amp;"",",","")),""))</f>
        <v/>
      </c>
      <c r="O141" s="2">
        <f>IF(OR(설정!$C$18="",IFERROR(MATCH(설정!$C$18,INDEX(급여대장_원본!$A$1:$AZ$400,설정!$B$8,0),0),"")=""),"",IFERROR(VALUE(SUBSTITUTE(INDEX(급여대장_원본!$A$1:$AZ$400,(설정!$B$8+135),IFERROR(MATCH(설정!$C$18,INDEX(급여대장_원본!$A$1:$AZ$400,설정!$B$8,0),0),""))&amp;"",",","")),""))</f>
        <v/>
      </c>
      <c r="P141" s="2">
        <f>IF(OR(설정!$C$19="",IFERROR(MATCH(설정!$C$19,INDEX(급여대장_원본!$A$1:$AZ$400,설정!$B$8,0),0),"")=""),"",IFERROR(VALUE(SUBSTITUTE(INDEX(급여대장_원본!$A$1:$AZ$400,(설정!$B$8+135),IFERROR(MATCH(설정!$C$19,INDEX(급여대장_원본!$A$1:$AZ$400,설정!$B$8,0),0),""))&amp;"",",","")),""))</f>
        <v/>
      </c>
      <c r="Q141" s="2">
        <f>IF(OR(설정!$C$20="",IFERROR(MATCH(설정!$C$20,INDEX(급여대장_원본!$A$1:$AZ$400,설정!$B$8,0),0),"")=""),"",IFERROR(VALUE(SUBSTITUTE(INDEX(급여대장_원본!$A$1:$AZ$400,(설정!$B$8+135),IFERROR(MATCH(설정!$C$20,INDEX(급여대장_원본!$A$1:$AZ$400,설정!$B$8,0),0),""))&amp;"",",","")),""))</f>
        <v/>
      </c>
      <c r="R141" s="2">
        <f>IF(OR(설정!$C$21="",IFERROR(MATCH(설정!$C$21,INDEX(급여대장_원본!$A$1:$AZ$400,설정!$B$8,0),0),"")=""),"",IFERROR(VALUE(SUBSTITUTE(INDEX(급여대장_원본!$A$1:$AZ$400,(설정!$B$8+135),IFERROR(MATCH(설정!$C$21,INDEX(급여대장_원본!$A$1:$AZ$400,설정!$B$8,0),0),""))&amp;"",",","")),""))</f>
        <v/>
      </c>
      <c r="S141" s="2">
        <f>IF(OR(설정!$C$22="",IFERROR(MATCH(설정!$C$22,INDEX(급여대장_원본!$A$1:$AZ$400,설정!$B$8,0),0),"")=""),"",IFERROR(VALUE(SUBSTITUTE(INDEX(급여대장_원본!$A$1:$AZ$400,(설정!$B$8+135),IFERROR(MATCH(설정!$C$22,INDEX(급여대장_원본!$A$1:$AZ$400,설정!$B$8,0),0),""))&amp;"",",","")),""))</f>
        <v/>
      </c>
      <c r="T141" s="2">
        <f>IF(OR(설정!$C$23="",IFERROR(MATCH(설정!$C$23,INDEX(급여대장_원본!$A$1:$AZ$400,설정!$B$8,0),0),"")=""),"",IFERROR(VALUE(SUBSTITUTE(INDEX(급여대장_원본!$A$1:$AZ$400,(설정!$B$8+135),IFERROR(MATCH(설정!$C$23,INDEX(급여대장_원본!$A$1:$AZ$400,설정!$B$8,0),0),""))&amp;"",",","")),""))</f>
        <v/>
      </c>
      <c r="U141" s="2">
        <f>IF(OR(설정!$C$24="",IFERROR(MATCH(설정!$C$24,INDEX(급여대장_원본!$A$1:$AZ$400,설정!$B$8,0),0),"")=""),"",IFERROR(VALUE(SUBSTITUTE(INDEX(급여대장_원본!$A$1:$AZ$400,(설정!$B$8+135),IFERROR(MATCH(설정!$C$24,INDEX(급여대장_원본!$A$1:$AZ$400,설정!$B$8,0),0),""))&amp;"",",","")),""))</f>
        <v/>
      </c>
      <c r="V141" s="27">
        <f>SUM(F141:M141)</f>
        <v/>
      </c>
      <c r="W141" s="27">
        <f>IF(설정!$D$26="",0,IFERROR(VALUE(SUBSTITUTE(SUBSTITUTE(INDEX(급여대장_원본!$A$1:$AZ$400,(설정!$B$8+135),설정!$D$26)&amp;"",",",""),"　","")),0))</f>
        <v/>
      </c>
      <c r="X141" s="27">
        <f>IF(설정!$D$27="",0,IFERROR(VALUE(SUBSTITUTE(SUBSTITUTE(INDEX(급여대장_원본!$A$1:$AZ$400,(설정!$B$8+135),설정!$D$27)&amp;"",",",""),"　","")),0))</f>
        <v/>
      </c>
      <c r="Y141" s="27">
        <f>IF(설정!$D$28="",0,IFERROR(VALUE(SUBSTITUTE(SUBSTITUTE(INDEX(급여대장_원본!$A$1:$AZ$400,(설정!$B$8+135),설정!$D$28)&amp;"",",",""),"　","")),0))</f>
        <v/>
      </c>
      <c r="Z141" s="27">
        <f>IF(설정!$D$29="",0,IFERROR(VALUE(SUBSTITUTE(SUBSTITUTE(INDEX(급여대장_원본!$A$1:$AZ$400,(설정!$B$8+135),설정!$D$29)&amp;"",",",""),"　","")),0))</f>
        <v/>
      </c>
      <c r="AA141" s="27">
        <f>IF(설정!$D$30="",0,IFERROR(VALUE(SUBSTITUTE(SUBSTITUTE(INDEX(급여대장_원본!$A$1:$AZ$400,(설정!$B$8+135),설정!$D$30)&amp;"",",",""),"　","")),0))</f>
        <v/>
      </c>
      <c r="AB141" s="27">
        <f>IF(설정!$D$31="",0,IFERROR(VALUE(SUBSTITUTE(SUBSTITUTE(INDEX(급여대장_원본!$A$1:$AZ$400,(설정!$B$8+135),설정!$D$31)&amp;"",",",""),"　","")),0))</f>
        <v/>
      </c>
      <c r="AC141" s="27">
        <f>IF(설정!$D$32="",0,IFERROR(VALUE(SUBSTITUTE(SUBSTITUTE(INDEX(급여대장_원본!$A$1:$AZ$400,(설정!$B$8+135),설정!$D$32)&amp;"",",",""),"　","")),0))</f>
        <v/>
      </c>
      <c r="AD141" s="27">
        <f>IF(설정!$D$33="",0,IFERROR(VALUE(SUBSTITUTE(SUBSTITUTE(INDEX(급여대장_원본!$A$1:$AZ$400,(설정!$B$8+135),설정!$D$33)&amp;"",",",""),"　","")),0))</f>
        <v/>
      </c>
      <c r="AE141" s="27">
        <f>SUM(W141:AD141)</f>
        <v/>
      </c>
      <c r="AF141" s="27">
        <f>V141-AE141</f>
        <v/>
      </c>
      <c r="AG141" s="27">
        <f>IF(설정!$D$35="","",IF(설정!$D$35="",0,IFERROR(VALUE(SUBSTITUTE(SUBSTITUTE(INDEX(급여대장_원본!$A$1:$AZ$400,(설정!$B$8+135),설정!$D$35)&amp;"",",",""),"　","")),0)))</f>
        <v/>
      </c>
      <c r="AH141" s="27">
        <f>IF(설정!$D$36="","",IF(설정!$D$36="",0,IFERROR(VALUE(SUBSTITUTE(SUBSTITUTE(INDEX(급여대장_원본!$A$1:$AZ$400,(설정!$B$8+135),설정!$D$36)&amp;"",",",""),"　","")),0)))</f>
        <v/>
      </c>
      <c r="AI141" s="27">
        <f>IF(설정!$D$37="","",IF(설정!$D$37="",0,IFERROR(VALUE(SUBSTITUTE(SUBSTITUTE(INDEX(급여대장_원본!$A$1:$AZ$400,(설정!$B$8+135),설정!$D$37)&amp;"",",",""),"　","")),0)))</f>
        <v/>
      </c>
      <c r="AJ141" s="2">
        <f>IFERROR(INDEX($D$7:$D$306,MATCH(135,$B$7:$B$306,0)),"")</f>
        <v/>
      </c>
    </row>
    <row r="142">
      <c r="A142" s="2">
        <f>IF(AND(D142&lt;&gt;"",D142&lt;&gt;"합계",D142&lt;&gt;"총계",D142&lt;&gt;"소계",D142&lt;&gt;"계"),1,0)</f>
        <v/>
      </c>
      <c r="B142" s="2">
        <f>IF(A142=1,SUM($A$7:A142),"")</f>
        <v/>
      </c>
      <c r="C142" s="2">
        <f>IF(설정!$D$13="","",TRIM(SUBSTITUTE(INDEX(급여대장_원본!$A$1:$AZ$400,(설정!$B$8+136),설정!$D$13)&amp;"","　"," ")))</f>
        <v/>
      </c>
      <c r="D142" s="2">
        <f>IF(설정!$D$14="","",TRIM(SUBSTITUTE(INDEX(급여대장_원본!$A$1:$AZ$400,(설정!$B$8+136),설정!$D$14)&amp;"","　"," ")))</f>
        <v/>
      </c>
      <c r="E142" s="2">
        <f>IF(설정!$D$15="","",TRIM(SUBSTITUTE(INDEX(급여대장_원본!$A$1:$AZ$400,(설정!$B$8+136),설정!$D$15)&amp;"","　"," ")))</f>
        <v/>
      </c>
      <c r="F142" s="27">
        <f>IF(설정!$D$17="",0,IFERROR(VALUE(SUBSTITUTE(SUBSTITUTE(INDEX(급여대장_원본!$A$1:$AZ$400,(설정!$B$8+136),설정!$D$17)&amp;"",",",""),"　","")),0))</f>
        <v/>
      </c>
      <c r="G142" s="27">
        <f>IF(설정!$D$18="",0,IFERROR(VALUE(SUBSTITUTE(SUBSTITUTE(INDEX(급여대장_원본!$A$1:$AZ$400,(설정!$B$8+136),설정!$D$18)&amp;"",",",""),"　","")),0))</f>
        <v/>
      </c>
      <c r="H142" s="27">
        <f>IF(설정!$D$19="",0,IFERROR(VALUE(SUBSTITUTE(SUBSTITUTE(INDEX(급여대장_원본!$A$1:$AZ$400,(설정!$B$8+136),설정!$D$19)&amp;"",",",""),"　","")),0))</f>
        <v/>
      </c>
      <c r="I142" s="27">
        <f>IF(설정!$D$20="",0,IFERROR(VALUE(SUBSTITUTE(SUBSTITUTE(INDEX(급여대장_원본!$A$1:$AZ$400,(설정!$B$8+136),설정!$D$20)&amp;"",",",""),"　","")),0))</f>
        <v/>
      </c>
      <c r="J142" s="27">
        <f>IF(설정!$D$21="",0,IFERROR(VALUE(SUBSTITUTE(SUBSTITUTE(INDEX(급여대장_원본!$A$1:$AZ$400,(설정!$B$8+136),설정!$D$21)&amp;"",",",""),"　","")),0))</f>
        <v/>
      </c>
      <c r="K142" s="27">
        <f>IF(설정!$D$22="",0,IFERROR(VALUE(SUBSTITUTE(SUBSTITUTE(INDEX(급여대장_원본!$A$1:$AZ$400,(설정!$B$8+136),설정!$D$22)&amp;"",",",""),"　","")),0))</f>
        <v/>
      </c>
      <c r="L142" s="27">
        <f>IF(설정!$D$23="",0,IFERROR(VALUE(SUBSTITUTE(SUBSTITUTE(INDEX(급여대장_원본!$A$1:$AZ$400,(설정!$B$8+136),설정!$D$23)&amp;"",",",""),"　","")),0))</f>
        <v/>
      </c>
      <c r="M142" s="27">
        <f>IF(설정!$D$24="",0,IFERROR(VALUE(SUBSTITUTE(SUBSTITUTE(INDEX(급여대장_원본!$A$1:$AZ$400,(설정!$B$8+136),설정!$D$24)&amp;"",",",""),"　","")),0))</f>
        <v/>
      </c>
      <c r="N142" s="2">
        <f>IF(OR(설정!$C$17="",IFERROR(MATCH(설정!$C$17,INDEX(급여대장_원본!$A$1:$AZ$400,설정!$B$8,0),0),"")=""),"",IFERROR(VALUE(SUBSTITUTE(INDEX(급여대장_원본!$A$1:$AZ$400,(설정!$B$8+136),IFERROR(MATCH(설정!$C$17,INDEX(급여대장_원본!$A$1:$AZ$400,설정!$B$8,0),0),""))&amp;"",",","")),""))</f>
        <v/>
      </c>
      <c r="O142" s="2">
        <f>IF(OR(설정!$C$18="",IFERROR(MATCH(설정!$C$18,INDEX(급여대장_원본!$A$1:$AZ$400,설정!$B$8,0),0),"")=""),"",IFERROR(VALUE(SUBSTITUTE(INDEX(급여대장_원본!$A$1:$AZ$400,(설정!$B$8+136),IFERROR(MATCH(설정!$C$18,INDEX(급여대장_원본!$A$1:$AZ$400,설정!$B$8,0),0),""))&amp;"",",","")),""))</f>
        <v/>
      </c>
      <c r="P142" s="2">
        <f>IF(OR(설정!$C$19="",IFERROR(MATCH(설정!$C$19,INDEX(급여대장_원본!$A$1:$AZ$400,설정!$B$8,0),0),"")=""),"",IFERROR(VALUE(SUBSTITUTE(INDEX(급여대장_원본!$A$1:$AZ$400,(설정!$B$8+136),IFERROR(MATCH(설정!$C$19,INDEX(급여대장_원본!$A$1:$AZ$400,설정!$B$8,0),0),""))&amp;"",",","")),""))</f>
        <v/>
      </c>
      <c r="Q142" s="2">
        <f>IF(OR(설정!$C$20="",IFERROR(MATCH(설정!$C$20,INDEX(급여대장_원본!$A$1:$AZ$400,설정!$B$8,0),0),"")=""),"",IFERROR(VALUE(SUBSTITUTE(INDEX(급여대장_원본!$A$1:$AZ$400,(설정!$B$8+136),IFERROR(MATCH(설정!$C$20,INDEX(급여대장_원본!$A$1:$AZ$400,설정!$B$8,0),0),""))&amp;"",",","")),""))</f>
        <v/>
      </c>
      <c r="R142" s="2">
        <f>IF(OR(설정!$C$21="",IFERROR(MATCH(설정!$C$21,INDEX(급여대장_원본!$A$1:$AZ$400,설정!$B$8,0),0),"")=""),"",IFERROR(VALUE(SUBSTITUTE(INDEX(급여대장_원본!$A$1:$AZ$400,(설정!$B$8+136),IFERROR(MATCH(설정!$C$21,INDEX(급여대장_원본!$A$1:$AZ$400,설정!$B$8,0),0),""))&amp;"",",","")),""))</f>
        <v/>
      </c>
      <c r="S142" s="2">
        <f>IF(OR(설정!$C$22="",IFERROR(MATCH(설정!$C$22,INDEX(급여대장_원본!$A$1:$AZ$400,설정!$B$8,0),0),"")=""),"",IFERROR(VALUE(SUBSTITUTE(INDEX(급여대장_원본!$A$1:$AZ$400,(설정!$B$8+136),IFERROR(MATCH(설정!$C$22,INDEX(급여대장_원본!$A$1:$AZ$400,설정!$B$8,0),0),""))&amp;"",",","")),""))</f>
        <v/>
      </c>
      <c r="T142" s="2">
        <f>IF(OR(설정!$C$23="",IFERROR(MATCH(설정!$C$23,INDEX(급여대장_원본!$A$1:$AZ$400,설정!$B$8,0),0),"")=""),"",IFERROR(VALUE(SUBSTITUTE(INDEX(급여대장_원본!$A$1:$AZ$400,(설정!$B$8+136),IFERROR(MATCH(설정!$C$23,INDEX(급여대장_원본!$A$1:$AZ$400,설정!$B$8,0),0),""))&amp;"",",","")),""))</f>
        <v/>
      </c>
      <c r="U142" s="2">
        <f>IF(OR(설정!$C$24="",IFERROR(MATCH(설정!$C$24,INDEX(급여대장_원본!$A$1:$AZ$400,설정!$B$8,0),0),"")=""),"",IFERROR(VALUE(SUBSTITUTE(INDEX(급여대장_원본!$A$1:$AZ$400,(설정!$B$8+136),IFERROR(MATCH(설정!$C$24,INDEX(급여대장_원본!$A$1:$AZ$400,설정!$B$8,0),0),""))&amp;"",",","")),""))</f>
        <v/>
      </c>
      <c r="V142" s="27">
        <f>SUM(F142:M142)</f>
        <v/>
      </c>
      <c r="W142" s="27">
        <f>IF(설정!$D$26="",0,IFERROR(VALUE(SUBSTITUTE(SUBSTITUTE(INDEX(급여대장_원본!$A$1:$AZ$400,(설정!$B$8+136),설정!$D$26)&amp;"",",",""),"　","")),0))</f>
        <v/>
      </c>
      <c r="X142" s="27">
        <f>IF(설정!$D$27="",0,IFERROR(VALUE(SUBSTITUTE(SUBSTITUTE(INDEX(급여대장_원본!$A$1:$AZ$400,(설정!$B$8+136),설정!$D$27)&amp;"",",",""),"　","")),0))</f>
        <v/>
      </c>
      <c r="Y142" s="27">
        <f>IF(설정!$D$28="",0,IFERROR(VALUE(SUBSTITUTE(SUBSTITUTE(INDEX(급여대장_원본!$A$1:$AZ$400,(설정!$B$8+136),설정!$D$28)&amp;"",",",""),"　","")),0))</f>
        <v/>
      </c>
      <c r="Z142" s="27">
        <f>IF(설정!$D$29="",0,IFERROR(VALUE(SUBSTITUTE(SUBSTITUTE(INDEX(급여대장_원본!$A$1:$AZ$400,(설정!$B$8+136),설정!$D$29)&amp;"",",",""),"　","")),0))</f>
        <v/>
      </c>
      <c r="AA142" s="27">
        <f>IF(설정!$D$30="",0,IFERROR(VALUE(SUBSTITUTE(SUBSTITUTE(INDEX(급여대장_원본!$A$1:$AZ$400,(설정!$B$8+136),설정!$D$30)&amp;"",",",""),"　","")),0))</f>
        <v/>
      </c>
      <c r="AB142" s="27">
        <f>IF(설정!$D$31="",0,IFERROR(VALUE(SUBSTITUTE(SUBSTITUTE(INDEX(급여대장_원본!$A$1:$AZ$400,(설정!$B$8+136),설정!$D$31)&amp;"",",",""),"　","")),0))</f>
        <v/>
      </c>
      <c r="AC142" s="27">
        <f>IF(설정!$D$32="",0,IFERROR(VALUE(SUBSTITUTE(SUBSTITUTE(INDEX(급여대장_원본!$A$1:$AZ$400,(설정!$B$8+136),설정!$D$32)&amp;"",",",""),"　","")),0))</f>
        <v/>
      </c>
      <c r="AD142" s="27">
        <f>IF(설정!$D$33="",0,IFERROR(VALUE(SUBSTITUTE(SUBSTITUTE(INDEX(급여대장_원본!$A$1:$AZ$400,(설정!$B$8+136),설정!$D$33)&amp;"",",",""),"　","")),0))</f>
        <v/>
      </c>
      <c r="AE142" s="27">
        <f>SUM(W142:AD142)</f>
        <v/>
      </c>
      <c r="AF142" s="27">
        <f>V142-AE142</f>
        <v/>
      </c>
      <c r="AG142" s="27">
        <f>IF(설정!$D$35="","",IF(설정!$D$35="",0,IFERROR(VALUE(SUBSTITUTE(SUBSTITUTE(INDEX(급여대장_원본!$A$1:$AZ$400,(설정!$B$8+136),설정!$D$35)&amp;"",",",""),"　","")),0)))</f>
        <v/>
      </c>
      <c r="AH142" s="27">
        <f>IF(설정!$D$36="","",IF(설정!$D$36="",0,IFERROR(VALUE(SUBSTITUTE(SUBSTITUTE(INDEX(급여대장_원본!$A$1:$AZ$400,(설정!$B$8+136),설정!$D$36)&amp;"",",",""),"　","")),0)))</f>
        <v/>
      </c>
      <c r="AI142" s="27">
        <f>IF(설정!$D$37="","",IF(설정!$D$37="",0,IFERROR(VALUE(SUBSTITUTE(SUBSTITUTE(INDEX(급여대장_원본!$A$1:$AZ$400,(설정!$B$8+136),설정!$D$37)&amp;"",",",""),"　","")),0)))</f>
        <v/>
      </c>
      <c r="AJ142" s="2">
        <f>IFERROR(INDEX($D$7:$D$306,MATCH(136,$B$7:$B$306,0)),"")</f>
        <v/>
      </c>
    </row>
    <row r="143">
      <c r="A143" s="2">
        <f>IF(AND(D143&lt;&gt;"",D143&lt;&gt;"합계",D143&lt;&gt;"총계",D143&lt;&gt;"소계",D143&lt;&gt;"계"),1,0)</f>
        <v/>
      </c>
      <c r="B143" s="2">
        <f>IF(A143=1,SUM($A$7:A143),"")</f>
        <v/>
      </c>
      <c r="C143" s="2">
        <f>IF(설정!$D$13="","",TRIM(SUBSTITUTE(INDEX(급여대장_원본!$A$1:$AZ$400,(설정!$B$8+137),설정!$D$13)&amp;"","　"," ")))</f>
        <v/>
      </c>
      <c r="D143" s="2">
        <f>IF(설정!$D$14="","",TRIM(SUBSTITUTE(INDEX(급여대장_원본!$A$1:$AZ$400,(설정!$B$8+137),설정!$D$14)&amp;"","　"," ")))</f>
        <v/>
      </c>
      <c r="E143" s="2">
        <f>IF(설정!$D$15="","",TRIM(SUBSTITUTE(INDEX(급여대장_원본!$A$1:$AZ$400,(설정!$B$8+137),설정!$D$15)&amp;"","　"," ")))</f>
        <v/>
      </c>
      <c r="F143" s="27">
        <f>IF(설정!$D$17="",0,IFERROR(VALUE(SUBSTITUTE(SUBSTITUTE(INDEX(급여대장_원본!$A$1:$AZ$400,(설정!$B$8+137),설정!$D$17)&amp;"",",",""),"　","")),0))</f>
        <v/>
      </c>
      <c r="G143" s="27">
        <f>IF(설정!$D$18="",0,IFERROR(VALUE(SUBSTITUTE(SUBSTITUTE(INDEX(급여대장_원본!$A$1:$AZ$400,(설정!$B$8+137),설정!$D$18)&amp;"",",",""),"　","")),0))</f>
        <v/>
      </c>
      <c r="H143" s="27">
        <f>IF(설정!$D$19="",0,IFERROR(VALUE(SUBSTITUTE(SUBSTITUTE(INDEX(급여대장_원본!$A$1:$AZ$400,(설정!$B$8+137),설정!$D$19)&amp;"",",",""),"　","")),0))</f>
        <v/>
      </c>
      <c r="I143" s="27">
        <f>IF(설정!$D$20="",0,IFERROR(VALUE(SUBSTITUTE(SUBSTITUTE(INDEX(급여대장_원본!$A$1:$AZ$400,(설정!$B$8+137),설정!$D$20)&amp;"",",",""),"　","")),0))</f>
        <v/>
      </c>
      <c r="J143" s="27">
        <f>IF(설정!$D$21="",0,IFERROR(VALUE(SUBSTITUTE(SUBSTITUTE(INDEX(급여대장_원본!$A$1:$AZ$400,(설정!$B$8+137),설정!$D$21)&amp;"",",",""),"　","")),0))</f>
        <v/>
      </c>
      <c r="K143" s="27">
        <f>IF(설정!$D$22="",0,IFERROR(VALUE(SUBSTITUTE(SUBSTITUTE(INDEX(급여대장_원본!$A$1:$AZ$400,(설정!$B$8+137),설정!$D$22)&amp;"",",",""),"　","")),0))</f>
        <v/>
      </c>
      <c r="L143" s="27">
        <f>IF(설정!$D$23="",0,IFERROR(VALUE(SUBSTITUTE(SUBSTITUTE(INDEX(급여대장_원본!$A$1:$AZ$400,(설정!$B$8+137),설정!$D$23)&amp;"",",",""),"　","")),0))</f>
        <v/>
      </c>
      <c r="M143" s="27">
        <f>IF(설정!$D$24="",0,IFERROR(VALUE(SUBSTITUTE(SUBSTITUTE(INDEX(급여대장_원본!$A$1:$AZ$400,(설정!$B$8+137),설정!$D$24)&amp;"",",",""),"　","")),0))</f>
        <v/>
      </c>
      <c r="N143" s="2">
        <f>IF(OR(설정!$C$17="",IFERROR(MATCH(설정!$C$17,INDEX(급여대장_원본!$A$1:$AZ$400,설정!$B$8,0),0),"")=""),"",IFERROR(VALUE(SUBSTITUTE(INDEX(급여대장_원본!$A$1:$AZ$400,(설정!$B$8+137),IFERROR(MATCH(설정!$C$17,INDEX(급여대장_원본!$A$1:$AZ$400,설정!$B$8,0),0),""))&amp;"",",","")),""))</f>
        <v/>
      </c>
      <c r="O143" s="2">
        <f>IF(OR(설정!$C$18="",IFERROR(MATCH(설정!$C$18,INDEX(급여대장_원본!$A$1:$AZ$400,설정!$B$8,0),0),"")=""),"",IFERROR(VALUE(SUBSTITUTE(INDEX(급여대장_원본!$A$1:$AZ$400,(설정!$B$8+137),IFERROR(MATCH(설정!$C$18,INDEX(급여대장_원본!$A$1:$AZ$400,설정!$B$8,0),0),""))&amp;"",",","")),""))</f>
        <v/>
      </c>
      <c r="P143" s="2">
        <f>IF(OR(설정!$C$19="",IFERROR(MATCH(설정!$C$19,INDEX(급여대장_원본!$A$1:$AZ$400,설정!$B$8,0),0),"")=""),"",IFERROR(VALUE(SUBSTITUTE(INDEX(급여대장_원본!$A$1:$AZ$400,(설정!$B$8+137),IFERROR(MATCH(설정!$C$19,INDEX(급여대장_원본!$A$1:$AZ$400,설정!$B$8,0),0),""))&amp;"",",","")),""))</f>
        <v/>
      </c>
      <c r="Q143" s="2">
        <f>IF(OR(설정!$C$20="",IFERROR(MATCH(설정!$C$20,INDEX(급여대장_원본!$A$1:$AZ$400,설정!$B$8,0),0),"")=""),"",IFERROR(VALUE(SUBSTITUTE(INDEX(급여대장_원본!$A$1:$AZ$400,(설정!$B$8+137),IFERROR(MATCH(설정!$C$20,INDEX(급여대장_원본!$A$1:$AZ$400,설정!$B$8,0),0),""))&amp;"",",","")),""))</f>
        <v/>
      </c>
      <c r="R143" s="2">
        <f>IF(OR(설정!$C$21="",IFERROR(MATCH(설정!$C$21,INDEX(급여대장_원본!$A$1:$AZ$400,설정!$B$8,0),0),"")=""),"",IFERROR(VALUE(SUBSTITUTE(INDEX(급여대장_원본!$A$1:$AZ$400,(설정!$B$8+137),IFERROR(MATCH(설정!$C$21,INDEX(급여대장_원본!$A$1:$AZ$400,설정!$B$8,0),0),""))&amp;"",",","")),""))</f>
        <v/>
      </c>
      <c r="S143" s="2">
        <f>IF(OR(설정!$C$22="",IFERROR(MATCH(설정!$C$22,INDEX(급여대장_원본!$A$1:$AZ$400,설정!$B$8,0),0),"")=""),"",IFERROR(VALUE(SUBSTITUTE(INDEX(급여대장_원본!$A$1:$AZ$400,(설정!$B$8+137),IFERROR(MATCH(설정!$C$22,INDEX(급여대장_원본!$A$1:$AZ$400,설정!$B$8,0),0),""))&amp;"",",","")),""))</f>
        <v/>
      </c>
      <c r="T143" s="2">
        <f>IF(OR(설정!$C$23="",IFERROR(MATCH(설정!$C$23,INDEX(급여대장_원본!$A$1:$AZ$400,설정!$B$8,0),0),"")=""),"",IFERROR(VALUE(SUBSTITUTE(INDEX(급여대장_원본!$A$1:$AZ$400,(설정!$B$8+137),IFERROR(MATCH(설정!$C$23,INDEX(급여대장_원본!$A$1:$AZ$400,설정!$B$8,0),0),""))&amp;"",",","")),""))</f>
        <v/>
      </c>
      <c r="U143" s="2">
        <f>IF(OR(설정!$C$24="",IFERROR(MATCH(설정!$C$24,INDEX(급여대장_원본!$A$1:$AZ$400,설정!$B$8,0),0),"")=""),"",IFERROR(VALUE(SUBSTITUTE(INDEX(급여대장_원본!$A$1:$AZ$400,(설정!$B$8+137),IFERROR(MATCH(설정!$C$24,INDEX(급여대장_원본!$A$1:$AZ$400,설정!$B$8,0),0),""))&amp;"",",","")),""))</f>
        <v/>
      </c>
      <c r="V143" s="27">
        <f>SUM(F143:M143)</f>
        <v/>
      </c>
      <c r="W143" s="27">
        <f>IF(설정!$D$26="",0,IFERROR(VALUE(SUBSTITUTE(SUBSTITUTE(INDEX(급여대장_원본!$A$1:$AZ$400,(설정!$B$8+137),설정!$D$26)&amp;"",",",""),"　","")),0))</f>
        <v/>
      </c>
      <c r="X143" s="27">
        <f>IF(설정!$D$27="",0,IFERROR(VALUE(SUBSTITUTE(SUBSTITUTE(INDEX(급여대장_원본!$A$1:$AZ$400,(설정!$B$8+137),설정!$D$27)&amp;"",",",""),"　","")),0))</f>
        <v/>
      </c>
      <c r="Y143" s="27">
        <f>IF(설정!$D$28="",0,IFERROR(VALUE(SUBSTITUTE(SUBSTITUTE(INDEX(급여대장_원본!$A$1:$AZ$400,(설정!$B$8+137),설정!$D$28)&amp;"",",",""),"　","")),0))</f>
        <v/>
      </c>
      <c r="Z143" s="27">
        <f>IF(설정!$D$29="",0,IFERROR(VALUE(SUBSTITUTE(SUBSTITUTE(INDEX(급여대장_원본!$A$1:$AZ$400,(설정!$B$8+137),설정!$D$29)&amp;"",",",""),"　","")),0))</f>
        <v/>
      </c>
      <c r="AA143" s="27">
        <f>IF(설정!$D$30="",0,IFERROR(VALUE(SUBSTITUTE(SUBSTITUTE(INDEX(급여대장_원본!$A$1:$AZ$400,(설정!$B$8+137),설정!$D$30)&amp;"",",",""),"　","")),0))</f>
        <v/>
      </c>
      <c r="AB143" s="27">
        <f>IF(설정!$D$31="",0,IFERROR(VALUE(SUBSTITUTE(SUBSTITUTE(INDEX(급여대장_원본!$A$1:$AZ$400,(설정!$B$8+137),설정!$D$31)&amp;"",",",""),"　","")),0))</f>
        <v/>
      </c>
      <c r="AC143" s="27">
        <f>IF(설정!$D$32="",0,IFERROR(VALUE(SUBSTITUTE(SUBSTITUTE(INDEX(급여대장_원본!$A$1:$AZ$400,(설정!$B$8+137),설정!$D$32)&amp;"",",",""),"　","")),0))</f>
        <v/>
      </c>
      <c r="AD143" s="27">
        <f>IF(설정!$D$33="",0,IFERROR(VALUE(SUBSTITUTE(SUBSTITUTE(INDEX(급여대장_원본!$A$1:$AZ$400,(설정!$B$8+137),설정!$D$33)&amp;"",",",""),"　","")),0))</f>
        <v/>
      </c>
      <c r="AE143" s="27">
        <f>SUM(W143:AD143)</f>
        <v/>
      </c>
      <c r="AF143" s="27">
        <f>V143-AE143</f>
        <v/>
      </c>
      <c r="AG143" s="27">
        <f>IF(설정!$D$35="","",IF(설정!$D$35="",0,IFERROR(VALUE(SUBSTITUTE(SUBSTITUTE(INDEX(급여대장_원본!$A$1:$AZ$400,(설정!$B$8+137),설정!$D$35)&amp;"",",",""),"　","")),0)))</f>
        <v/>
      </c>
      <c r="AH143" s="27">
        <f>IF(설정!$D$36="","",IF(설정!$D$36="",0,IFERROR(VALUE(SUBSTITUTE(SUBSTITUTE(INDEX(급여대장_원본!$A$1:$AZ$400,(설정!$B$8+137),설정!$D$36)&amp;"",",",""),"　","")),0)))</f>
        <v/>
      </c>
      <c r="AI143" s="27">
        <f>IF(설정!$D$37="","",IF(설정!$D$37="",0,IFERROR(VALUE(SUBSTITUTE(SUBSTITUTE(INDEX(급여대장_원본!$A$1:$AZ$400,(설정!$B$8+137),설정!$D$37)&amp;"",",",""),"　","")),0)))</f>
        <v/>
      </c>
      <c r="AJ143" s="2">
        <f>IFERROR(INDEX($D$7:$D$306,MATCH(137,$B$7:$B$306,0)),"")</f>
        <v/>
      </c>
    </row>
    <row r="144">
      <c r="A144" s="2">
        <f>IF(AND(D144&lt;&gt;"",D144&lt;&gt;"합계",D144&lt;&gt;"총계",D144&lt;&gt;"소계",D144&lt;&gt;"계"),1,0)</f>
        <v/>
      </c>
      <c r="B144" s="2">
        <f>IF(A144=1,SUM($A$7:A144),"")</f>
        <v/>
      </c>
      <c r="C144" s="2">
        <f>IF(설정!$D$13="","",TRIM(SUBSTITUTE(INDEX(급여대장_원본!$A$1:$AZ$400,(설정!$B$8+138),설정!$D$13)&amp;"","　"," ")))</f>
        <v/>
      </c>
      <c r="D144" s="2">
        <f>IF(설정!$D$14="","",TRIM(SUBSTITUTE(INDEX(급여대장_원본!$A$1:$AZ$400,(설정!$B$8+138),설정!$D$14)&amp;"","　"," ")))</f>
        <v/>
      </c>
      <c r="E144" s="2">
        <f>IF(설정!$D$15="","",TRIM(SUBSTITUTE(INDEX(급여대장_원본!$A$1:$AZ$400,(설정!$B$8+138),설정!$D$15)&amp;"","　"," ")))</f>
        <v/>
      </c>
      <c r="F144" s="27">
        <f>IF(설정!$D$17="",0,IFERROR(VALUE(SUBSTITUTE(SUBSTITUTE(INDEX(급여대장_원본!$A$1:$AZ$400,(설정!$B$8+138),설정!$D$17)&amp;"",",",""),"　","")),0))</f>
        <v/>
      </c>
      <c r="G144" s="27">
        <f>IF(설정!$D$18="",0,IFERROR(VALUE(SUBSTITUTE(SUBSTITUTE(INDEX(급여대장_원본!$A$1:$AZ$400,(설정!$B$8+138),설정!$D$18)&amp;"",",",""),"　","")),0))</f>
        <v/>
      </c>
      <c r="H144" s="27">
        <f>IF(설정!$D$19="",0,IFERROR(VALUE(SUBSTITUTE(SUBSTITUTE(INDEX(급여대장_원본!$A$1:$AZ$400,(설정!$B$8+138),설정!$D$19)&amp;"",",",""),"　","")),0))</f>
        <v/>
      </c>
      <c r="I144" s="27">
        <f>IF(설정!$D$20="",0,IFERROR(VALUE(SUBSTITUTE(SUBSTITUTE(INDEX(급여대장_원본!$A$1:$AZ$400,(설정!$B$8+138),설정!$D$20)&amp;"",",",""),"　","")),0))</f>
        <v/>
      </c>
      <c r="J144" s="27">
        <f>IF(설정!$D$21="",0,IFERROR(VALUE(SUBSTITUTE(SUBSTITUTE(INDEX(급여대장_원본!$A$1:$AZ$400,(설정!$B$8+138),설정!$D$21)&amp;"",",",""),"　","")),0))</f>
        <v/>
      </c>
      <c r="K144" s="27">
        <f>IF(설정!$D$22="",0,IFERROR(VALUE(SUBSTITUTE(SUBSTITUTE(INDEX(급여대장_원본!$A$1:$AZ$400,(설정!$B$8+138),설정!$D$22)&amp;"",",",""),"　","")),0))</f>
        <v/>
      </c>
      <c r="L144" s="27">
        <f>IF(설정!$D$23="",0,IFERROR(VALUE(SUBSTITUTE(SUBSTITUTE(INDEX(급여대장_원본!$A$1:$AZ$400,(설정!$B$8+138),설정!$D$23)&amp;"",",",""),"　","")),0))</f>
        <v/>
      </c>
      <c r="M144" s="27">
        <f>IF(설정!$D$24="",0,IFERROR(VALUE(SUBSTITUTE(SUBSTITUTE(INDEX(급여대장_원본!$A$1:$AZ$400,(설정!$B$8+138),설정!$D$24)&amp;"",",",""),"　","")),0))</f>
        <v/>
      </c>
      <c r="N144" s="2">
        <f>IF(OR(설정!$C$17="",IFERROR(MATCH(설정!$C$17,INDEX(급여대장_원본!$A$1:$AZ$400,설정!$B$8,0),0),"")=""),"",IFERROR(VALUE(SUBSTITUTE(INDEX(급여대장_원본!$A$1:$AZ$400,(설정!$B$8+138),IFERROR(MATCH(설정!$C$17,INDEX(급여대장_원본!$A$1:$AZ$400,설정!$B$8,0),0),""))&amp;"",",","")),""))</f>
        <v/>
      </c>
      <c r="O144" s="2">
        <f>IF(OR(설정!$C$18="",IFERROR(MATCH(설정!$C$18,INDEX(급여대장_원본!$A$1:$AZ$400,설정!$B$8,0),0),"")=""),"",IFERROR(VALUE(SUBSTITUTE(INDEX(급여대장_원본!$A$1:$AZ$400,(설정!$B$8+138),IFERROR(MATCH(설정!$C$18,INDEX(급여대장_원본!$A$1:$AZ$400,설정!$B$8,0),0),""))&amp;"",",","")),""))</f>
        <v/>
      </c>
      <c r="P144" s="2">
        <f>IF(OR(설정!$C$19="",IFERROR(MATCH(설정!$C$19,INDEX(급여대장_원본!$A$1:$AZ$400,설정!$B$8,0),0),"")=""),"",IFERROR(VALUE(SUBSTITUTE(INDEX(급여대장_원본!$A$1:$AZ$400,(설정!$B$8+138),IFERROR(MATCH(설정!$C$19,INDEX(급여대장_원본!$A$1:$AZ$400,설정!$B$8,0),0),""))&amp;"",",","")),""))</f>
        <v/>
      </c>
      <c r="Q144" s="2">
        <f>IF(OR(설정!$C$20="",IFERROR(MATCH(설정!$C$20,INDEX(급여대장_원본!$A$1:$AZ$400,설정!$B$8,0),0),"")=""),"",IFERROR(VALUE(SUBSTITUTE(INDEX(급여대장_원본!$A$1:$AZ$400,(설정!$B$8+138),IFERROR(MATCH(설정!$C$20,INDEX(급여대장_원본!$A$1:$AZ$400,설정!$B$8,0),0),""))&amp;"",",","")),""))</f>
        <v/>
      </c>
      <c r="R144" s="2">
        <f>IF(OR(설정!$C$21="",IFERROR(MATCH(설정!$C$21,INDEX(급여대장_원본!$A$1:$AZ$400,설정!$B$8,0),0),"")=""),"",IFERROR(VALUE(SUBSTITUTE(INDEX(급여대장_원본!$A$1:$AZ$400,(설정!$B$8+138),IFERROR(MATCH(설정!$C$21,INDEX(급여대장_원본!$A$1:$AZ$400,설정!$B$8,0),0),""))&amp;"",",","")),""))</f>
        <v/>
      </c>
      <c r="S144" s="2">
        <f>IF(OR(설정!$C$22="",IFERROR(MATCH(설정!$C$22,INDEX(급여대장_원본!$A$1:$AZ$400,설정!$B$8,0),0),"")=""),"",IFERROR(VALUE(SUBSTITUTE(INDEX(급여대장_원본!$A$1:$AZ$400,(설정!$B$8+138),IFERROR(MATCH(설정!$C$22,INDEX(급여대장_원본!$A$1:$AZ$400,설정!$B$8,0),0),""))&amp;"",",","")),""))</f>
        <v/>
      </c>
      <c r="T144" s="2">
        <f>IF(OR(설정!$C$23="",IFERROR(MATCH(설정!$C$23,INDEX(급여대장_원본!$A$1:$AZ$400,설정!$B$8,0),0),"")=""),"",IFERROR(VALUE(SUBSTITUTE(INDEX(급여대장_원본!$A$1:$AZ$400,(설정!$B$8+138),IFERROR(MATCH(설정!$C$23,INDEX(급여대장_원본!$A$1:$AZ$400,설정!$B$8,0),0),""))&amp;"",",","")),""))</f>
        <v/>
      </c>
      <c r="U144" s="2">
        <f>IF(OR(설정!$C$24="",IFERROR(MATCH(설정!$C$24,INDEX(급여대장_원본!$A$1:$AZ$400,설정!$B$8,0),0),"")=""),"",IFERROR(VALUE(SUBSTITUTE(INDEX(급여대장_원본!$A$1:$AZ$400,(설정!$B$8+138),IFERROR(MATCH(설정!$C$24,INDEX(급여대장_원본!$A$1:$AZ$400,설정!$B$8,0),0),""))&amp;"",",","")),""))</f>
        <v/>
      </c>
      <c r="V144" s="27">
        <f>SUM(F144:M144)</f>
        <v/>
      </c>
      <c r="W144" s="27">
        <f>IF(설정!$D$26="",0,IFERROR(VALUE(SUBSTITUTE(SUBSTITUTE(INDEX(급여대장_원본!$A$1:$AZ$400,(설정!$B$8+138),설정!$D$26)&amp;"",",",""),"　","")),0))</f>
        <v/>
      </c>
      <c r="X144" s="27">
        <f>IF(설정!$D$27="",0,IFERROR(VALUE(SUBSTITUTE(SUBSTITUTE(INDEX(급여대장_원본!$A$1:$AZ$400,(설정!$B$8+138),설정!$D$27)&amp;"",",",""),"　","")),0))</f>
        <v/>
      </c>
      <c r="Y144" s="27">
        <f>IF(설정!$D$28="",0,IFERROR(VALUE(SUBSTITUTE(SUBSTITUTE(INDEX(급여대장_원본!$A$1:$AZ$400,(설정!$B$8+138),설정!$D$28)&amp;"",",",""),"　","")),0))</f>
        <v/>
      </c>
      <c r="Z144" s="27">
        <f>IF(설정!$D$29="",0,IFERROR(VALUE(SUBSTITUTE(SUBSTITUTE(INDEX(급여대장_원본!$A$1:$AZ$400,(설정!$B$8+138),설정!$D$29)&amp;"",",",""),"　","")),0))</f>
        <v/>
      </c>
      <c r="AA144" s="27">
        <f>IF(설정!$D$30="",0,IFERROR(VALUE(SUBSTITUTE(SUBSTITUTE(INDEX(급여대장_원본!$A$1:$AZ$400,(설정!$B$8+138),설정!$D$30)&amp;"",",",""),"　","")),0))</f>
        <v/>
      </c>
      <c r="AB144" s="27">
        <f>IF(설정!$D$31="",0,IFERROR(VALUE(SUBSTITUTE(SUBSTITUTE(INDEX(급여대장_원본!$A$1:$AZ$400,(설정!$B$8+138),설정!$D$31)&amp;"",",",""),"　","")),0))</f>
        <v/>
      </c>
      <c r="AC144" s="27">
        <f>IF(설정!$D$32="",0,IFERROR(VALUE(SUBSTITUTE(SUBSTITUTE(INDEX(급여대장_원본!$A$1:$AZ$400,(설정!$B$8+138),설정!$D$32)&amp;"",",",""),"　","")),0))</f>
        <v/>
      </c>
      <c r="AD144" s="27">
        <f>IF(설정!$D$33="",0,IFERROR(VALUE(SUBSTITUTE(SUBSTITUTE(INDEX(급여대장_원본!$A$1:$AZ$400,(설정!$B$8+138),설정!$D$33)&amp;"",",",""),"　","")),0))</f>
        <v/>
      </c>
      <c r="AE144" s="27">
        <f>SUM(W144:AD144)</f>
        <v/>
      </c>
      <c r="AF144" s="27">
        <f>V144-AE144</f>
        <v/>
      </c>
      <c r="AG144" s="27">
        <f>IF(설정!$D$35="","",IF(설정!$D$35="",0,IFERROR(VALUE(SUBSTITUTE(SUBSTITUTE(INDEX(급여대장_원본!$A$1:$AZ$400,(설정!$B$8+138),설정!$D$35)&amp;"",",",""),"　","")),0)))</f>
        <v/>
      </c>
      <c r="AH144" s="27">
        <f>IF(설정!$D$36="","",IF(설정!$D$36="",0,IFERROR(VALUE(SUBSTITUTE(SUBSTITUTE(INDEX(급여대장_원본!$A$1:$AZ$400,(설정!$B$8+138),설정!$D$36)&amp;"",",",""),"　","")),0)))</f>
        <v/>
      </c>
      <c r="AI144" s="27">
        <f>IF(설정!$D$37="","",IF(설정!$D$37="",0,IFERROR(VALUE(SUBSTITUTE(SUBSTITUTE(INDEX(급여대장_원본!$A$1:$AZ$400,(설정!$B$8+138),설정!$D$37)&amp;"",",",""),"　","")),0)))</f>
        <v/>
      </c>
      <c r="AJ144" s="2">
        <f>IFERROR(INDEX($D$7:$D$306,MATCH(138,$B$7:$B$306,0)),"")</f>
        <v/>
      </c>
    </row>
    <row r="145">
      <c r="A145" s="2">
        <f>IF(AND(D145&lt;&gt;"",D145&lt;&gt;"합계",D145&lt;&gt;"총계",D145&lt;&gt;"소계",D145&lt;&gt;"계"),1,0)</f>
        <v/>
      </c>
      <c r="B145" s="2">
        <f>IF(A145=1,SUM($A$7:A145),"")</f>
        <v/>
      </c>
      <c r="C145" s="2">
        <f>IF(설정!$D$13="","",TRIM(SUBSTITUTE(INDEX(급여대장_원본!$A$1:$AZ$400,(설정!$B$8+139),설정!$D$13)&amp;"","　"," ")))</f>
        <v/>
      </c>
      <c r="D145" s="2">
        <f>IF(설정!$D$14="","",TRIM(SUBSTITUTE(INDEX(급여대장_원본!$A$1:$AZ$400,(설정!$B$8+139),설정!$D$14)&amp;"","　"," ")))</f>
        <v/>
      </c>
      <c r="E145" s="2">
        <f>IF(설정!$D$15="","",TRIM(SUBSTITUTE(INDEX(급여대장_원본!$A$1:$AZ$400,(설정!$B$8+139),설정!$D$15)&amp;"","　"," ")))</f>
        <v/>
      </c>
      <c r="F145" s="27">
        <f>IF(설정!$D$17="",0,IFERROR(VALUE(SUBSTITUTE(SUBSTITUTE(INDEX(급여대장_원본!$A$1:$AZ$400,(설정!$B$8+139),설정!$D$17)&amp;"",",",""),"　","")),0))</f>
        <v/>
      </c>
      <c r="G145" s="27">
        <f>IF(설정!$D$18="",0,IFERROR(VALUE(SUBSTITUTE(SUBSTITUTE(INDEX(급여대장_원본!$A$1:$AZ$400,(설정!$B$8+139),설정!$D$18)&amp;"",",",""),"　","")),0))</f>
        <v/>
      </c>
      <c r="H145" s="27">
        <f>IF(설정!$D$19="",0,IFERROR(VALUE(SUBSTITUTE(SUBSTITUTE(INDEX(급여대장_원본!$A$1:$AZ$400,(설정!$B$8+139),설정!$D$19)&amp;"",",",""),"　","")),0))</f>
        <v/>
      </c>
      <c r="I145" s="27">
        <f>IF(설정!$D$20="",0,IFERROR(VALUE(SUBSTITUTE(SUBSTITUTE(INDEX(급여대장_원본!$A$1:$AZ$400,(설정!$B$8+139),설정!$D$20)&amp;"",",",""),"　","")),0))</f>
        <v/>
      </c>
      <c r="J145" s="27">
        <f>IF(설정!$D$21="",0,IFERROR(VALUE(SUBSTITUTE(SUBSTITUTE(INDEX(급여대장_원본!$A$1:$AZ$400,(설정!$B$8+139),설정!$D$21)&amp;"",",",""),"　","")),0))</f>
        <v/>
      </c>
      <c r="K145" s="27">
        <f>IF(설정!$D$22="",0,IFERROR(VALUE(SUBSTITUTE(SUBSTITUTE(INDEX(급여대장_원본!$A$1:$AZ$400,(설정!$B$8+139),설정!$D$22)&amp;"",",",""),"　","")),0))</f>
        <v/>
      </c>
      <c r="L145" s="27">
        <f>IF(설정!$D$23="",0,IFERROR(VALUE(SUBSTITUTE(SUBSTITUTE(INDEX(급여대장_원본!$A$1:$AZ$400,(설정!$B$8+139),설정!$D$23)&amp;"",",",""),"　","")),0))</f>
        <v/>
      </c>
      <c r="M145" s="27">
        <f>IF(설정!$D$24="",0,IFERROR(VALUE(SUBSTITUTE(SUBSTITUTE(INDEX(급여대장_원본!$A$1:$AZ$400,(설정!$B$8+139),설정!$D$24)&amp;"",",",""),"　","")),0))</f>
        <v/>
      </c>
      <c r="N145" s="2">
        <f>IF(OR(설정!$C$17="",IFERROR(MATCH(설정!$C$17,INDEX(급여대장_원본!$A$1:$AZ$400,설정!$B$8,0),0),"")=""),"",IFERROR(VALUE(SUBSTITUTE(INDEX(급여대장_원본!$A$1:$AZ$400,(설정!$B$8+139),IFERROR(MATCH(설정!$C$17,INDEX(급여대장_원본!$A$1:$AZ$400,설정!$B$8,0),0),""))&amp;"",",","")),""))</f>
        <v/>
      </c>
      <c r="O145" s="2">
        <f>IF(OR(설정!$C$18="",IFERROR(MATCH(설정!$C$18,INDEX(급여대장_원본!$A$1:$AZ$400,설정!$B$8,0),0),"")=""),"",IFERROR(VALUE(SUBSTITUTE(INDEX(급여대장_원본!$A$1:$AZ$400,(설정!$B$8+139),IFERROR(MATCH(설정!$C$18,INDEX(급여대장_원본!$A$1:$AZ$400,설정!$B$8,0),0),""))&amp;"",",","")),""))</f>
        <v/>
      </c>
      <c r="P145" s="2">
        <f>IF(OR(설정!$C$19="",IFERROR(MATCH(설정!$C$19,INDEX(급여대장_원본!$A$1:$AZ$400,설정!$B$8,0),0),"")=""),"",IFERROR(VALUE(SUBSTITUTE(INDEX(급여대장_원본!$A$1:$AZ$400,(설정!$B$8+139),IFERROR(MATCH(설정!$C$19,INDEX(급여대장_원본!$A$1:$AZ$400,설정!$B$8,0),0),""))&amp;"",",","")),""))</f>
        <v/>
      </c>
      <c r="Q145" s="2">
        <f>IF(OR(설정!$C$20="",IFERROR(MATCH(설정!$C$20,INDEX(급여대장_원본!$A$1:$AZ$400,설정!$B$8,0),0),"")=""),"",IFERROR(VALUE(SUBSTITUTE(INDEX(급여대장_원본!$A$1:$AZ$400,(설정!$B$8+139),IFERROR(MATCH(설정!$C$20,INDEX(급여대장_원본!$A$1:$AZ$400,설정!$B$8,0),0),""))&amp;"",",","")),""))</f>
        <v/>
      </c>
      <c r="R145" s="2">
        <f>IF(OR(설정!$C$21="",IFERROR(MATCH(설정!$C$21,INDEX(급여대장_원본!$A$1:$AZ$400,설정!$B$8,0),0),"")=""),"",IFERROR(VALUE(SUBSTITUTE(INDEX(급여대장_원본!$A$1:$AZ$400,(설정!$B$8+139),IFERROR(MATCH(설정!$C$21,INDEX(급여대장_원본!$A$1:$AZ$400,설정!$B$8,0),0),""))&amp;"",",","")),""))</f>
        <v/>
      </c>
      <c r="S145" s="2">
        <f>IF(OR(설정!$C$22="",IFERROR(MATCH(설정!$C$22,INDEX(급여대장_원본!$A$1:$AZ$400,설정!$B$8,0),0),"")=""),"",IFERROR(VALUE(SUBSTITUTE(INDEX(급여대장_원본!$A$1:$AZ$400,(설정!$B$8+139),IFERROR(MATCH(설정!$C$22,INDEX(급여대장_원본!$A$1:$AZ$400,설정!$B$8,0),0),""))&amp;"",",","")),""))</f>
        <v/>
      </c>
      <c r="T145" s="2">
        <f>IF(OR(설정!$C$23="",IFERROR(MATCH(설정!$C$23,INDEX(급여대장_원본!$A$1:$AZ$400,설정!$B$8,0),0),"")=""),"",IFERROR(VALUE(SUBSTITUTE(INDEX(급여대장_원본!$A$1:$AZ$400,(설정!$B$8+139),IFERROR(MATCH(설정!$C$23,INDEX(급여대장_원본!$A$1:$AZ$400,설정!$B$8,0),0),""))&amp;"",",","")),""))</f>
        <v/>
      </c>
      <c r="U145" s="2">
        <f>IF(OR(설정!$C$24="",IFERROR(MATCH(설정!$C$24,INDEX(급여대장_원본!$A$1:$AZ$400,설정!$B$8,0),0),"")=""),"",IFERROR(VALUE(SUBSTITUTE(INDEX(급여대장_원본!$A$1:$AZ$400,(설정!$B$8+139),IFERROR(MATCH(설정!$C$24,INDEX(급여대장_원본!$A$1:$AZ$400,설정!$B$8,0),0),""))&amp;"",",","")),""))</f>
        <v/>
      </c>
      <c r="V145" s="27">
        <f>SUM(F145:M145)</f>
        <v/>
      </c>
      <c r="W145" s="27">
        <f>IF(설정!$D$26="",0,IFERROR(VALUE(SUBSTITUTE(SUBSTITUTE(INDEX(급여대장_원본!$A$1:$AZ$400,(설정!$B$8+139),설정!$D$26)&amp;"",",",""),"　","")),0))</f>
        <v/>
      </c>
      <c r="X145" s="27">
        <f>IF(설정!$D$27="",0,IFERROR(VALUE(SUBSTITUTE(SUBSTITUTE(INDEX(급여대장_원본!$A$1:$AZ$400,(설정!$B$8+139),설정!$D$27)&amp;"",",",""),"　","")),0))</f>
        <v/>
      </c>
      <c r="Y145" s="27">
        <f>IF(설정!$D$28="",0,IFERROR(VALUE(SUBSTITUTE(SUBSTITUTE(INDEX(급여대장_원본!$A$1:$AZ$400,(설정!$B$8+139),설정!$D$28)&amp;"",",",""),"　","")),0))</f>
        <v/>
      </c>
      <c r="Z145" s="27">
        <f>IF(설정!$D$29="",0,IFERROR(VALUE(SUBSTITUTE(SUBSTITUTE(INDEX(급여대장_원본!$A$1:$AZ$400,(설정!$B$8+139),설정!$D$29)&amp;"",",",""),"　","")),0))</f>
        <v/>
      </c>
      <c r="AA145" s="27">
        <f>IF(설정!$D$30="",0,IFERROR(VALUE(SUBSTITUTE(SUBSTITUTE(INDEX(급여대장_원본!$A$1:$AZ$400,(설정!$B$8+139),설정!$D$30)&amp;"",",",""),"　","")),0))</f>
        <v/>
      </c>
      <c r="AB145" s="27">
        <f>IF(설정!$D$31="",0,IFERROR(VALUE(SUBSTITUTE(SUBSTITUTE(INDEX(급여대장_원본!$A$1:$AZ$400,(설정!$B$8+139),설정!$D$31)&amp;"",",",""),"　","")),0))</f>
        <v/>
      </c>
      <c r="AC145" s="27">
        <f>IF(설정!$D$32="",0,IFERROR(VALUE(SUBSTITUTE(SUBSTITUTE(INDEX(급여대장_원본!$A$1:$AZ$400,(설정!$B$8+139),설정!$D$32)&amp;"",",",""),"　","")),0))</f>
        <v/>
      </c>
      <c r="AD145" s="27">
        <f>IF(설정!$D$33="",0,IFERROR(VALUE(SUBSTITUTE(SUBSTITUTE(INDEX(급여대장_원본!$A$1:$AZ$400,(설정!$B$8+139),설정!$D$33)&amp;"",",",""),"　","")),0))</f>
        <v/>
      </c>
      <c r="AE145" s="27">
        <f>SUM(W145:AD145)</f>
        <v/>
      </c>
      <c r="AF145" s="27">
        <f>V145-AE145</f>
        <v/>
      </c>
      <c r="AG145" s="27">
        <f>IF(설정!$D$35="","",IF(설정!$D$35="",0,IFERROR(VALUE(SUBSTITUTE(SUBSTITUTE(INDEX(급여대장_원본!$A$1:$AZ$400,(설정!$B$8+139),설정!$D$35)&amp;"",",",""),"　","")),0)))</f>
        <v/>
      </c>
      <c r="AH145" s="27">
        <f>IF(설정!$D$36="","",IF(설정!$D$36="",0,IFERROR(VALUE(SUBSTITUTE(SUBSTITUTE(INDEX(급여대장_원본!$A$1:$AZ$400,(설정!$B$8+139),설정!$D$36)&amp;"",",",""),"　","")),0)))</f>
        <v/>
      </c>
      <c r="AI145" s="27">
        <f>IF(설정!$D$37="","",IF(설정!$D$37="",0,IFERROR(VALUE(SUBSTITUTE(SUBSTITUTE(INDEX(급여대장_원본!$A$1:$AZ$400,(설정!$B$8+139),설정!$D$37)&amp;"",",",""),"　","")),0)))</f>
        <v/>
      </c>
      <c r="AJ145" s="2">
        <f>IFERROR(INDEX($D$7:$D$306,MATCH(139,$B$7:$B$306,0)),"")</f>
        <v/>
      </c>
    </row>
    <row r="146">
      <c r="A146" s="2">
        <f>IF(AND(D146&lt;&gt;"",D146&lt;&gt;"합계",D146&lt;&gt;"총계",D146&lt;&gt;"소계",D146&lt;&gt;"계"),1,0)</f>
        <v/>
      </c>
      <c r="B146" s="2">
        <f>IF(A146=1,SUM($A$7:A146),"")</f>
        <v/>
      </c>
      <c r="C146" s="2">
        <f>IF(설정!$D$13="","",TRIM(SUBSTITUTE(INDEX(급여대장_원본!$A$1:$AZ$400,(설정!$B$8+140),설정!$D$13)&amp;"","　"," ")))</f>
        <v/>
      </c>
      <c r="D146" s="2">
        <f>IF(설정!$D$14="","",TRIM(SUBSTITUTE(INDEX(급여대장_원본!$A$1:$AZ$400,(설정!$B$8+140),설정!$D$14)&amp;"","　"," ")))</f>
        <v/>
      </c>
      <c r="E146" s="2">
        <f>IF(설정!$D$15="","",TRIM(SUBSTITUTE(INDEX(급여대장_원본!$A$1:$AZ$400,(설정!$B$8+140),설정!$D$15)&amp;"","　"," ")))</f>
        <v/>
      </c>
      <c r="F146" s="27">
        <f>IF(설정!$D$17="",0,IFERROR(VALUE(SUBSTITUTE(SUBSTITUTE(INDEX(급여대장_원본!$A$1:$AZ$400,(설정!$B$8+140),설정!$D$17)&amp;"",",",""),"　","")),0))</f>
        <v/>
      </c>
      <c r="G146" s="27">
        <f>IF(설정!$D$18="",0,IFERROR(VALUE(SUBSTITUTE(SUBSTITUTE(INDEX(급여대장_원본!$A$1:$AZ$400,(설정!$B$8+140),설정!$D$18)&amp;"",",",""),"　","")),0))</f>
        <v/>
      </c>
      <c r="H146" s="27">
        <f>IF(설정!$D$19="",0,IFERROR(VALUE(SUBSTITUTE(SUBSTITUTE(INDEX(급여대장_원본!$A$1:$AZ$400,(설정!$B$8+140),설정!$D$19)&amp;"",",",""),"　","")),0))</f>
        <v/>
      </c>
      <c r="I146" s="27">
        <f>IF(설정!$D$20="",0,IFERROR(VALUE(SUBSTITUTE(SUBSTITUTE(INDEX(급여대장_원본!$A$1:$AZ$400,(설정!$B$8+140),설정!$D$20)&amp;"",",",""),"　","")),0))</f>
        <v/>
      </c>
      <c r="J146" s="27">
        <f>IF(설정!$D$21="",0,IFERROR(VALUE(SUBSTITUTE(SUBSTITUTE(INDEX(급여대장_원본!$A$1:$AZ$400,(설정!$B$8+140),설정!$D$21)&amp;"",",",""),"　","")),0))</f>
        <v/>
      </c>
      <c r="K146" s="27">
        <f>IF(설정!$D$22="",0,IFERROR(VALUE(SUBSTITUTE(SUBSTITUTE(INDEX(급여대장_원본!$A$1:$AZ$400,(설정!$B$8+140),설정!$D$22)&amp;"",",",""),"　","")),0))</f>
        <v/>
      </c>
      <c r="L146" s="27">
        <f>IF(설정!$D$23="",0,IFERROR(VALUE(SUBSTITUTE(SUBSTITUTE(INDEX(급여대장_원본!$A$1:$AZ$400,(설정!$B$8+140),설정!$D$23)&amp;"",",",""),"　","")),0))</f>
        <v/>
      </c>
      <c r="M146" s="27">
        <f>IF(설정!$D$24="",0,IFERROR(VALUE(SUBSTITUTE(SUBSTITUTE(INDEX(급여대장_원본!$A$1:$AZ$400,(설정!$B$8+140),설정!$D$24)&amp;"",",",""),"　","")),0))</f>
        <v/>
      </c>
      <c r="N146" s="2">
        <f>IF(OR(설정!$C$17="",IFERROR(MATCH(설정!$C$17,INDEX(급여대장_원본!$A$1:$AZ$400,설정!$B$8,0),0),"")=""),"",IFERROR(VALUE(SUBSTITUTE(INDEX(급여대장_원본!$A$1:$AZ$400,(설정!$B$8+140),IFERROR(MATCH(설정!$C$17,INDEX(급여대장_원본!$A$1:$AZ$400,설정!$B$8,0),0),""))&amp;"",",","")),""))</f>
        <v/>
      </c>
      <c r="O146" s="2">
        <f>IF(OR(설정!$C$18="",IFERROR(MATCH(설정!$C$18,INDEX(급여대장_원본!$A$1:$AZ$400,설정!$B$8,0),0),"")=""),"",IFERROR(VALUE(SUBSTITUTE(INDEX(급여대장_원본!$A$1:$AZ$400,(설정!$B$8+140),IFERROR(MATCH(설정!$C$18,INDEX(급여대장_원본!$A$1:$AZ$400,설정!$B$8,0),0),""))&amp;"",",","")),""))</f>
        <v/>
      </c>
      <c r="P146" s="2">
        <f>IF(OR(설정!$C$19="",IFERROR(MATCH(설정!$C$19,INDEX(급여대장_원본!$A$1:$AZ$400,설정!$B$8,0),0),"")=""),"",IFERROR(VALUE(SUBSTITUTE(INDEX(급여대장_원본!$A$1:$AZ$400,(설정!$B$8+140),IFERROR(MATCH(설정!$C$19,INDEX(급여대장_원본!$A$1:$AZ$400,설정!$B$8,0),0),""))&amp;"",",","")),""))</f>
        <v/>
      </c>
      <c r="Q146" s="2">
        <f>IF(OR(설정!$C$20="",IFERROR(MATCH(설정!$C$20,INDEX(급여대장_원본!$A$1:$AZ$400,설정!$B$8,0),0),"")=""),"",IFERROR(VALUE(SUBSTITUTE(INDEX(급여대장_원본!$A$1:$AZ$400,(설정!$B$8+140),IFERROR(MATCH(설정!$C$20,INDEX(급여대장_원본!$A$1:$AZ$400,설정!$B$8,0),0),""))&amp;"",",","")),""))</f>
        <v/>
      </c>
      <c r="R146" s="2">
        <f>IF(OR(설정!$C$21="",IFERROR(MATCH(설정!$C$21,INDEX(급여대장_원본!$A$1:$AZ$400,설정!$B$8,0),0),"")=""),"",IFERROR(VALUE(SUBSTITUTE(INDEX(급여대장_원본!$A$1:$AZ$400,(설정!$B$8+140),IFERROR(MATCH(설정!$C$21,INDEX(급여대장_원본!$A$1:$AZ$400,설정!$B$8,0),0),""))&amp;"",",","")),""))</f>
        <v/>
      </c>
      <c r="S146" s="2">
        <f>IF(OR(설정!$C$22="",IFERROR(MATCH(설정!$C$22,INDEX(급여대장_원본!$A$1:$AZ$400,설정!$B$8,0),0),"")=""),"",IFERROR(VALUE(SUBSTITUTE(INDEX(급여대장_원본!$A$1:$AZ$400,(설정!$B$8+140),IFERROR(MATCH(설정!$C$22,INDEX(급여대장_원본!$A$1:$AZ$400,설정!$B$8,0),0),""))&amp;"",",","")),""))</f>
        <v/>
      </c>
      <c r="T146" s="2">
        <f>IF(OR(설정!$C$23="",IFERROR(MATCH(설정!$C$23,INDEX(급여대장_원본!$A$1:$AZ$400,설정!$B$8,0),0),"")=""),"",IFERROR(VALUE(SUBSTITUTE(INDEX(급여대장_원본!$A$1:$AZ$400,(설정!$B$8+140),IFERROR(MATCH(설정!$C$23,INDEX(급여대장_원본!$A$1:$AZ$400,설정!$B$8,0),0),""))&amp;"",",","")),""))</f>
        <v/>
      </c>
      <c r="U146" s="2">
        <f>IF(OR(설정!$C$24="",IFERROR(MATCH(설정!$C$24,INDEX(급여대장_원본!$A$1:$AZ$400,설정!$B$8,0),0),"")=""),"",IFERROR(VALUE(SUBSTITUTE(INDEX(급여대장_원본!$A$1:$AZ$400,(설정!$B$8+140),IFERROR(MATCH(설정!$C$24,INDEX(급여대장_원본!$A$1:$AZ$400,설정!$B$8,0),0),""))&amp;"",",","")),""))</f>
        <v/>
      </c>
      <c r="V146" s="27">
        <f>SUM(F146:M146)</f>
        <v/>
      </c>
      <c r="W146" s="27">
        <f>IF(설정!$D$26="",0,IFERROR(VALUE(SUBSTITUTE(SUBSTITUTE(INDEX(급여대장_원본!$A$1:$AZ$400,(설정!$B$8+140),설정!$D$26)&amp;"",",",""),"　","")),0))</f>
        <v/>
      </c>
      <c r="X146" s="27">
        <f>IF(설정!$D$27="",0,IFERROR(VALUE(SUBSTITUTE(SUBSTITUTE(INDEX(급여대장_원본!$A$1:$AZ$400,(설정!$B$8+140),설정!$D$27)&amp;"",",",""),"　","")),0))</f>
        <v/>
      </c>
      <c r="Y146" s="27">
        <f>IF(설정!$D$28="",0,IFERROR(VALUE(SUBSTITUTE(SUBSTITUTE(INDEX(급여대장_원본!$A$1:$AZ$400,(설정!$B$8+140),설정!$D$28)&amp;"",",",""),"　","")),0))</f>
        <v/>
      </c>
      <c r="Z146" s="27">
        <f>IF(설정!$D$29="",0,IFERROR(VALUE(SUBSTITUTE(SUBSTITUTE(INDEX(급여대장_원본!$A$1:$AZ$400,(설정!$B$8+140),설정!$D$29)&amp;"",",",""),"　","")),0))</f>
        <v/>
      </c>
      <c r="AA146" s="27">
        <f>IF(설정!$D$30="",0,IFERROR(VALUE(SUBSTITUTE(SUBSTITUTE(INDEX(급여대장_원본!$A$1:$AZ$400,(설정!$B$8+140),설정!$D$30)&amp;"",",",""),"　","")),0))</f>
        <v/>
      </c>
      <c r="AB146" s="27">
        <f>IF(설정!$D$31="",0,IFERROR(VALUE(SUBSTITUTE(SUBSTITUTE(INDEX(급여대장_원본!$A$1:$AZ$400,(설정!$B$8+140),설정!$D$31)&amp;"",",",""),"　","")),0))</f>
        <v/>
      </c>
      <c r="AC146" s="27">
        <f>IF(설정!$D$32="",0,IFERROR(VALUE(SUBSTITUTE(SUBSTITUTE(INDEX(급여대장_원본!$A$1:$AZ$400,(설정!$B$8+140),설정!$D$32)&amp;"",",",""),"　","")),0))</f>
        <v/>
      </c>
      <c r="AD146" s="27">
        <f>IF(설정!$D$33="",0,IFERROR(VALUE(SUBSTITUTE(SUBSTITUTE(INDEX(급여대장_원본!$A$1:$AZ$400,(설정!$B$8+140),설정!$D$33)&amp;"",",",""),"　","")),0))</f>
        <v/>
      </c>
      <c r="AE146" s="27">
        <f>SUM(W146:AD146)</f>
        <v/>
      </c>
      <c r="AF146" s="27">
        <f>V146-AE146</f>
        <v/>
      </c>
      <c r="AG146" s="27">
        <f>IF(설정!$D$35="","",IF(설정!$D$35="",0,IFERROR(VALUE(SUBSTITUTE(SUBSTITUTE(INDEX(급여대장_원본!$A$1:$AZ$400,(설정!$B$8+140),설정!$D$35)&amp;"",",",""),"　","")),0)))</f>
        <v/>
      </c>
      <c r="AH146" s="27">
        <f>IF(설정!$D$36="","",IF(설정!$D$36="",0,IFERROR(VALUE(SUBSTITUTE(SUBSTITUTE(INDEX(급여대장_원본!$A$1:$AZ$400,(설정!$B$8+140),설정!$D$36)&amp;"",",",""),"　","")),0)))</f>
        <v/>
      </c>
      <c r="AI146" s="27">
        <f>IF(설정!$D$37="","",IF(설정!$D$37="",0,IFERROR(VALUE(SUBSTITUTE(SUBSTITUTE(INDEX(급여대장_원본!$A$1:$AZ$400,(설정!$B$8+140),설정!$D$37)&amp;"",",",""),"　","")),0)))</f>
        <v/>
      </c>
      <c r="AJ146" s="2">
        <f>IFERROR(INDEX($D$7:$D$306,MATCH(140,$B$7:$B$306,0)),"")</f>
        <v/>
      </c>
    </row>
    <row r="147">
      <c r="A147" s="2">
        <f>IF(AND(D147&lt;&gt;"",D147&lt;&gt;"합계",D147&lt;&gt;"총계",D147&lt;&gt;"소계",D147&lt;&gt;"계"),1,0)</f>
        <v/>
      </c>
      <c r="B147" s="2">
        <f>IF(A147=1,SUM($A$7:A147),"")</f>
        <v/>
      </c>
      <c r="C147" s="2">
        <f>IF(설정!$D$13="","",TRIM(SUBSTITUTE(INDEX(급여대장_원본!$A$1:$AZ$400,(설정!$B$8+141),설정!$D$13)&amp;"","　"," ")))</f>
        <v/>
      </c>
      <c r="D147" s="2">
        <f>IF(설정!$D$14="","",TRIM(SUBSTITUTE(INDEX(급여대장_원본!$A$1:$AZ$400,(설정!$B$8+141),설정!$D$14)&amp;"","　"," ")))</f>
        <v/>
      </c>
      <c r="E147" s="2">
        <f>IF(설정!$D$15="","",TRIM(SUBSTITUTE(INDEX(급여대장_원본!$A$1:$AZ$400,(설정!$B$8+141),설정!$D$15)&amp;"","　"," ")))</f>
        <v/>
      </c>
      <c r="F147" s="27">
        <f>IF(설정!$D$17="",0,IFERROR(VALUE(SUBSTITUTE(SUBSTITUTE(INDEX(급여대장_원본!$A$1:$AZ$400,(설정!$B$8+141),설정!$D$17)&amp;"",",",""),"　","")),0))</f>
        <v/>
      </c>
      <c r="G147" s="27">
        <f>IF(설정!$D$18="",0,IFERROR(VALUE(SUBSTITUTE(SUBSTITUTE(INDEX(급여대장_원본!$A$1:$AZ$400,(설정!$B$8+141),설정!$D$18)&amp;"",",",""),"　","")),0))</f>
        <v/>
      </c>
      <c r="H147" s="27">
        <f>IF(설정!$D$19="",0,IFERROR(VALUE(SUBSTITUTE(SUBSTITUTE(INDEX(급여대장_원본!$A$1:$AZ$400,(설정!$B$8+141),설정!$D$19)&amp;"",",",""),"　","")),0))</f>
        <v/>
      </c>
      <c r="I147" s="27">
        <f>IF(설정!$D$20="",0,IFERROR(VALUE(SUBSTITUTE(SUBSTITUTE(INDEX(급여대장_원본!$A$1:$AZ$400,(설정!$B$8+141),설정!$D$20)&amp;"",",",""),"　","")),0))</f>
        <v/>
      </c>
      <c r="J147" s="27">
        <f>IF(설정!$D$21="",0,IFERROR(VALUE(SUBSTITUTE(SUBSTITUTE(INDEX(급여대장_원본!$A$1:$AZ$400,(설정!$B$8+141),설정!$D$21)&amp;"",",",""),"　","")),0))</f>
        <v/>
      </c>
      <c r="K147" s="27">
        <f>IF(설정!$D$22="",0,IFERROR(VALUE(SUBSTITUTE(SUBSTITUTE(INDEX(급여대장_원본!$A$1:$AZ$400,(설정!$B$8+141),설정!$D$22)&amp;"",",",""),"　","")),0))</f>
        <v/>
      </c>
      <c r="L147" s="27">
        <f>IF(설정!$D$23="",0,IFERROR(VALUE(SUBSTITUTE(SUBSTITUTE(INDEX(급여대장_원본!$A$1:$AZ$400,(설정!$B$8+141),설정!$D$23)&amp;"",",",""),"　","")),0))</f>
        <v/>
      </c>
      <c r="M147" s="27">
        <f>IF(설정!$D$24="",0,IFERROR(VALUE(SUBSTITUTE(SUBSTITUTE(INDEX(급여대장_원본!$A$1:$AZ$400,(설정!$B$8+141),설정!$D$24)&amp;"",",",""),"　","")),0))</f>
        <v/>
      </c>
      <c r="N147" s="2">
        <f>IF(OR(설정!$C$17="",IFERROR(MATCH(설정!$C$17,INDEX(급여대장_원본!$A$1:$AZ$400,설정!$B$8,0),0),"")=""),"",IFERROR(VALUE(SUBSTITUTE(INDEX(급여대장_원본!$A$1:$AZ$400,(설정!$B$8+141),IFERROR(MATCH(설정!$C$17,INDEX(급여대장_원본!$A$1:$AZ$400,설정!$B$8,0),0),""))&amp;"",",","")),""))</f>
        <v/>
      </c>
      <c r="O147" s="2">
        <f>IF(OR(설정!$C$18="",IFERROR(MATCH(설정!$C$18,INDEX(급여대장_원본!$A$1:$AZ$400,설정!$B$8,0),0),"")=""),"",IFERROR(VALUE(SUBSTITUTE(INDEX(급여대장_원본!$A$1:$AZ$400,(설정!$B$8+141),IFERROR(MATCH(설정!$C$18,INDEX(급여대장_원본!$A$1:$AZ$400,설정!$B$8,0),0),""))&amp;"",",","")),""))</f>
        <v/>
      </c>
      <c r="P147" s="2">
        <f>IF(OR(설정!$C$19="",IFERROR(MATCH(설정!$C$19,INDEX(급여대장_원본!$A$1:$AZ$400,설정!$B$8,0),0),"")=""),"",IFERROR(VALUE(SUBSTITUTE(INDEX(급여대장_원본!$A$1:$AZ$400,(설정!$B$8+141),IFERROR(MATCH(설정!$C$19,INDEX(급여대장_원본!$A$1:$AZ$400,설정!$B$8,0),0),""))&amp;"",",","")),""))</f>
        <v/>
      </c>
      <c r="Q147" s="2">
        <f>IF(OR(설정!$C$20="",IFERROR(MATCH(설정!$C$20,INDEX(급여대장_원본!$A$1:$AZ$400,설정!$B$8,0),0),"")=""),"",IFERROR(VALUE(SUBSTITUTE(INDEX(급여대장_원본!$A$1:$AZ$400,(설정!$B$8+141),IFERROR(MATCH(설정!$C$20,INDEX(급여대장_원본!$A$1:$AZ$400,설정!$B$8,0),0),""))&amp;"",",","")),""))</f>
        <v/>
      </c>
      <c r="R147" s="2">
        <f>IF(OR(설정!$C$21="",IFERROR(MATCH(설정!$C$21,INDEX(급여대장_원본!$A$1:$AZ$400,설정!$B$8,0),0),"")=""),"",IFERROR(VALUE(SUBSTITUTE(INDEX(급여대장_원본!$A$1:$AZ$400,(설정!$B$8+141),IFERROR(MATCH(설정!$C$21,INDEX(급여대장_원본!$A$1:$AZ$400,설정!$B$8,0),0),""))&amp;"",",","")),""))</f>
        <v/>
      </c>
      <c r="S147" s="2">
        <f>IF(OR(설정!$C$22="",IFERROR(MATCH(설정!$C$22,INDEX(급여대장_원본!$A$1:$AZ$400,설정!$B$8,0),0),"")=""),"",IFERROR(VALUE(SUBSTITUTE(INDEX(급여대장_원본!$A$1:$AZ$400,(설정!$B$8+141),IFERROR(MATCH(설정!$C$22,INDEX(급여대장_원본!$A$1:$AZ$400,설정!$B$8,0),0),""))&amp;"",",","")),""))</f>
        <v/>
      </c>
      <c r="T147" s="2">
        <f>IF(OR(설정!$C$23="",IFERROR(MATCH(설정!$C$23,INDEX(급여대장_원본!$A$1:$AZ$400,설정!$B$8,0),0),"")=""),"",IFERROR(VALUE(SUBSTITUTE(INDEX(급여대장_원본!$A$1:$AZ$400,(설정!$B$8+141),IFERROR(MATCH(설정!$C$23,INDEX(급여대장_원본!$A$1:$AZ$400,설정!$B$8,0),0),""))&amp;"",",","")),""))</f>
        <v/>
      </c>
      <c r="U147" s="2">
        <f>IF(OR(설정!$C$24="",IFERROR(MATCH(설정!$C$24,INDEX(급여대장_원본!$A$1:$AZ$400,설정!$B$8,0),0),"")=""),"",IFERROR(VALUE(SUBSTITUTE(INDEX(급여대장_원본!$A$1:$AZ$400,(설정!$B$8+141),IFERROR(MATCH(설정!$C$24,INDEX(급여대장_원본!$A$1:$AZ$400,설정!$B$8,0),0),""))&amp;"",",","")),""))</f>
        <v/>
      </c>
      <c r="V147" s="27">
        <f>SUM(F147:M147)</f>
        <v/>
      </c>
      <c r="W147" s="27">
        <f>IF(설정!$D$26="",0,IFERROR(VALUE(SUBSTITUTE(SUBSTITUTE(INDEX(급여대장_원본!$A$1:$AZ$400,(설정!$B$8+141),설정!$D$26)&amp;"",",",""),"　","")),0))</f>
        <v/>
      </c>
      <c r="X147" s="27">
        <f>IF(설정!$D$27="",0,IFERROR(VALUE(SUBSTITUTE(SUBSTITUTE(INDEX(급여대장_원본!$A$1:$AZ$400,(설정!$B$8+141),설정!$D$27)&amp;"",",",""),"　","")),0))</f>
        <v/>
      </c>
      <c r="Y147" s="27">
        <f>IF(설정!$D$28="",0,IFERROR(VALUE(SUBSTITUTE(SUBSTITUTE(INDEX(급여대장_원본!$A$1:$AZ$400,(설정!$B$8+141),설정!$D$28)&amp;"",",",""),"　","")),0))</f>
        <v/>
      </c>
      <c r="Z147" s="27">
        <f>IF(설정!$D$29="",0,IFERROR(VALUE(SUBSTITUTE(SUBSTITUTE(INDEX(급여대장_원본!$A$1:$AZ$400,(설정!$B$8+141),설정!$D$29)&amp;"",",",""),"　","")),0))</f>
        <v/>
      </c>
      <c r="AA147" s="27">
        <f>IF(설정!$D$30="",0,IFERROR(VALUE(SUBSTITUTE(SUBSTITUTE(INDEX(급여대장_원본!$A$1:$AZ$400,(설정!$B$8+141),설정!$D$30)&amp;"",",",""),"　","")),0))</f>
        <v/>
      </c>
      <c r="AB147" s="27">
        <f>IF(설정!$D$31="",0,IFERROR(VALUE(SUBSTITUTE(SUBSTITUTE(INDEX(급여대장_원본!$A$1:$AZ$400,(설정!$B$8+141),설정!$D$31)&amp;"",",",""),"　","")),0))</f>
        <v/>
      </c>
      <c r="AC147" s="27">
        <f>IF(설정!$D$32="",0,IFERROR(VALUE(SUBSTITUTE(SUBSTITUTE(INDEX(급여대장_원본!$A$1:$AZ$400,(설정!$B$8+141),설정!$D$32)&amp;"",",",""),"　","")),0))</f>
        <v/>
      </c>
      <c r="AD147" s="27">
        <f>IF(설정!$D$33="",0,IFERROR(VALUE(SUBSTITUTE(SUBSTITUTE(INDEX(급여대장_원본!$A$1:$AZ$400,(설정!$B$8+141),설정!$D$33)&amp;"",",",""),"　","")),0))</f>
        <v/>
      </c>
      <c r="AE147" s="27">
        <f>SUM(W147:AD147)</f>
        <v/>
      </c>
      <c r="AF147" s="27">
        <f>V147-AE147</f>
        <v/>
      </c>
      <c r="AG147" s="27">
        <f>IF(설정!$D$35="","",IF(설정!$D$35="",0,IFERROR(VALUE(SUBSTITUTE(SUBSTITUTE(INDEX(급여대장_원본!$A$1:$AZ$400,(설정!$B$8+141),설정!$D$35)&amp;"",",",""),"　","")),0)))</f>
        <v/>
      </c>
      <c r="AH147" s="27">
        <f>IF(설정!$D$36="","",IF(설정!$D$36="",0,IFERROR(VALUE(SUBSTITUTE(SUBSTITUTE(INDEX(급여대장_원본!$A$1:$AZ$400,(설정!$B$8+141),설정!$D$36)&amp;"",",",""),"　","")),0)))</f>
        <v/>
      </c>
      <c r="AI147" s="27">
        <f>IF(설정!$D$37="","",IF(설정!$D$37="",0,IFERROR(VALUE(SUBSTITUTE(SUBSTITUTE(INDEX(급여대장_원본!$A$1:$AZ$400,(설정!$B$8+141),설정!$D$37)&amp;"",",",""),"　","")),0)))</f>
        <v/>
      </c>
      <c r="AJ147" s="2">
        <f>IFERROR(INDEX($D$7:$D$306,MATCH(141,$B$7:$B$306,0)),"")</f>
        <v/>
      </c>
    </row>
    <row r="148">
      <c r="A148" s="2">
        <f>IF(AND(D148&lt;&gt;"",D148&lt;&gt;"합계",D148&lt;&gt;"총계",D148&lt;&gt;"소계",D148&lt;&gt;"계"),1,0)</f>
        <v/>
      </c>
      <c r="B148" s="2">
        <f>IF(A148=1,SUM($A$7:A148),"")</f>
        <v/>
      </c>
      <c r="C148" s="2">
        <f>IF(설정!$D$13="","",TRIM(SUBSTITUTE(INDEX(급여대장_원본!$A$1:$AZ$400,(설정!$B$8+142),설정!$D$13)&amp;"","　"," ")))</f>
        <v/>
      </c>
      <c r="D148" s="2">
        <f>IF(설정!$D$14="","",TRIM(SUBSTITUTE(INDEX(급여대장_원본!$A$1:$AZ$400,(설정!$B$8+142),설정!$D$14)&amp;"","　"," ")))</f>
        <v/>
      </c>
      <c r="E148" s="2">
        <f>IF(설정!$D$15="","",TRIM(SUBSTITUTE(INDEX(급여대장_원본!$A$1:$AZ$400,(설정!$B$8+142),설정!$D$15)&amp;"","　"," ")))</f>
        <v/>
      </c>
      <c r="F148" s="27">
        <f>IF(설정!$D$17="",0,IFERROR(VALUE(SUBSTITUTE(SUBSTITUTE(INDEX(급여대장_원본!$A$1:$AZ$400,(설정!$B$8+142),설정!$D$17)&amp;"",",",""),"　","")),0))</f>
        <v/>
      </c>
      <c r="G148" s="27">
        <f>IF(설정!$D$18="",0,IFERROR(VALUE(SUBSTITUTE(SUBSTITUTE(INDEX(급여대장_원본!$A$1:$AZ$400,(설정!$B$8+142),설정!$D$18)&amp;"",",",""),"　","")),0))</f>
        <v/>
      </c>
      <c r="H148" s="27">
        <f>IF(설정!$D$19="",0,IFERROR(VALUE(SUBSTITUTE(SUBSTITUTE(INDEX(급여대장_원본!$A$1:$AZ$400,(설정!$B$8+142),설정!$D$19)&amp;"",",",""),"　","")),0))</f>
        <v/>
      </c>
      <c r="I148" s="27">
        <f>IF(설정!$D$20="",0,IFERROR(VALUE(SUBSTITUTE(SUBSTITUTE(INDEX(급여대장_원본!$A$1:$AZ$400,(설정!$B$8+142),설정!$D$20)&amp;"",",",""),"　","")),0))</f>
        <v/>
      </c>
      <c r="J148" s="27">
        <f>IF(설정!$D$21="",0,IFERROR(VALUE(SUBSTITUTE(SUBSTITUTE(INDEX(급여대장_원본!$A$1:$AZ$400,(설정!$B$8+142),설정!$D$21)&amp;"",",",""),"　","")),0))</f>
        <v/>
      </c>
      <c r="K148" s="27">
        <f>IF(설정!$D$22="",0,IFERROR(VALUE(SUBSTITUTE(SUBSTITUTE(INDEX(급여대장_원본!$A$1:$AZ$400,(설정!$B$8+142),설정!$D$22)&amp;"",",",""),"　","")),0))</f>
        <v/>
      </c>
      <c r="L148" s="27">
        <f>IF(설정!$D$23="",0,IFERROR(VALUE(SUBSTITUTE(SUBSTITUTE(INDEX(급여대장_원본!$A$1:$AZ$400,(설정!$B$8+142),설정!$D$23)&amp;"",",",""),"　","")),0))</f>
        <v/>
      </c>
      <c r="M148" s="27">
        <f>IF(설정!$D$24="",0,IFERROR(VALUE(SUBSTITUTE(SUBSTITUTE(INDEX(급여대장_원본!$A$1:$AZ$400,(설정!$B$8+142),설정!$D$24)&amp;"",",",""),"　","")),0))</f>
        <v/>
      </c>
      <c r="N148" s="2">
        <f>IF(OR(설정!$C$17="",IFERROR(MATCH(설정!$C$17,INDEX(급여대장_원본!$A$1:$AZ$400,설정!$B$8,0),0),"")=""),"",IFERROR(VALUE(SUBSTITUTE(INDEX(급여대장_원본!$A$1:$AZ$400,(설정!$B$8+142),IFERROR(MATCH(설정!$C$17,INDEX(급여대장_원본!$A$1:$AZ$400,설정!$B$8,0),0),""))&amp;"",",","")),""))</f>
        <v/>
      </c>
      <c r="O148" s="2">
        <f>IF(OR(설정!$C$18="",IFERROR(MATCH(설정!$C$18,INDEX(급여대장_원본!$A$1:$AZ$400,설정!$B$8,0),0),"")=""),"",IFERROR(VALUE(SUBSTITUTE(INDEX(급여대장_원본!$A$1:$AZ$400,(설정!$B$8+142),IFERROR(MATCH(설정!$C$18,INDEX(급여대장_원본!$A$1:$AZ$400,설정!$B$8,0),0),""))&amp;"",",","")),""))</f>
        <v/>
      </c>
      <c r="P148" s="2">
        <f>IF(OR(설정!$C$19="",IFERROR(MATCH(설정!$C$19,INDEX(급여대장_원본!$A$1:$AZ$400,설정!$B$8,0),0),"")=""),"",IFERROR(VALUE(SUBSTITUTE(INDEX(급여대장_원본!$A$1:$AZ$400,(설정!$B$8+142),IFERROR(MATCH(설정!$C$19,INDEX(급여대장_원본!$A$1:$AZ$400,설정!$B$8,0),0),""))&amp;"",",","")),""))</f>
        <v/>
      </c>
      <c r="Q148" s="2">
        <f>IF(OR(설정!$C$20="",IFERROR(MATCH(설정!$C$20,INDEX(급여대장_원본!$A$1:$AZ$400,설정!$B$8,0),0),"")=""),"",IFERROR(VALUE(SUBSTITUTE(INDEX(급여대장_원본!$A$1:$AZ$400,(설정!$B$8+142),IFERROR(MATCH(설정!$C$20,INDEX(급여대장_원본!$A$1:$AZ$400,설정!$B$8,0),0),""))&amp;"",",","")),""))</f>
        <v/>
      </c>
      <c r="R148" s="2">
        <f>IF(OR(설정!$C$21="",IFERROR(MATCH(설정!$C$21,INDEX(급여대장_원본!$A$1:$AZ$400,설정!$B$8,0),0),"")=""),"",IFERROR(VALUE(SUBSTITUTE(INDEX(급여대장_원본!$A$1:$AZ$400,(설정!$B$8+142),IFERROR(MATCH(설정!$C$21,INDEX(급여대장_원본!$A$1:$AZ$400,설정!$B$8,0),0),""))&amp;"",",","")),""))</f>
        <v/>
      </c>
      <c r="S148" s="2">
        <f>IF(OR(설정!$C$22="",IFERROR(MATCH(설정!$C$22,INDEX(급여대장_원본!$A$1:$AZ$400,설정!$B$8,0),0),"")=""),"",IFERROR(VALUE(SUBSTITUTE(INDEX(급여대장_원본!$A$1:$AZ$400,(설정!$B$8+142),IFERROR(MATCH(설정!$C$22,INDEX(급여대장_원본!$A$1:$AZ$400,설정!$B$8,0),0),""))&amp;"",",","")),""))</f>
        <v/>
      </c>
      <c r="T148" s="2">
        <f>IF(OR(설정!$C$23="",IFERROR(MATCH(설정!$C$23,INDEX(급여대장_원본!$A$1:$AZ$400,설정!$B$8,0),0),"")=""),"",IFERROR(VALUE(SUBSTITUTE(INDEX(급여대장_원본!$A$1:$AZ$400,(설정!$B$8+142),IFERROR(MATCH(설정!$C$23,INDEX(급여대장_원본!$A$1:$AZ$400,설정!$B$8,0),0),""))&amp;"",",","")),""))</f>
        <v/>
      </c>
      <c r="U148" s="2">
        <f>IF(OR(설정!$C$24="",IFERROR(MATCH(설정!$C$24,INDEX(급여대장_원본!$A$1:$AZ$400,설정!$B$8,0),0),"")=""),"",IFERROR(VALUE(SUBSTITUTE(INDEX(급여대장_원본!$A$1:$AZ$400,(설정!$B$8+142),IFERROR(MATCH(설정!$C$24,INDEX(급여대장_원본!$A$1:$AZ$400,설정!$B$8,0),0),""))&amp;"",",","")),""))</f>
        <v/>
      </c>
      <c r="V148" s="27">
        <f>SUM(F148:M148)</f>
        <v/>
      </c>
      <c r="W148" s="27">
        <f>IF(설정!$D$26="",0,IFERROR(VALUE(SUBSTITUTE(SUBSTITUTE(INDEX(급여대장_원본!$A$1:$AZ$400,(설정!$B$8+142),설정!$D$26)&amp;"",",",""),"　","")),0))</f>
        <v/>
      </c>
      <c r="X148" s="27">
        <f>IF(설정!$D$27="",0,IFERROR(VALUE(SUBSTITUTE(SUBSTITUTE(INDEX(급여대장_원본!$A$1:$AZ$400,(설정!$B$8+142),설정!$D$27)&amp;"",",",""),"　","")),0))</f>
        <v/>
      </c>
      <c r="Y148" s="27">
        <f>IF(설정!$D$28="",0,IFERROR(VALUE(SUBSTITUTE(SUBSTITUTE(INDEX(급여대장_원본!$A$1:$AZ$400,(설정!$B$8+142),설정!$D$28)&amp;"",",",""),"　","")),0))</f>
        <v/>
      </c>
      <c r="Z148" s="27">
        <f>IF(설정!$D$29="",0,IFERROR(VALUE(SUBSTITUTE(SUBSTITUTE(INDEX(급여대장_원본!$A$1:$AZ$400,(설정!$B$8+142),설정!$D$29)&amp;"",",",""),"　","")),0))</f>
        <v/>
      </c>
      <c r="AA148" s="27">
        <f>IF(설정!$D$30="",0,IFERROR(VALUE(SUBSTITUTE(SUBSTITUTE(INDEX(급여대장_원본!$A$1:$AZ$400,(설정!$B$8+142),설정!$D$30)&amp;"",",",""),"　","")),0))</f>
        <v/>
      </c>
      <c r="AB148" s="27">
        <f>IF(설정!$D$31="",0,IFERROR(VALUE(SUBSTITUTE(SUBSTITUTE(INDEX(급여대장_원본!$A$1:$AZ$400,(설정!$B$8+142),설정!$D$31)&amp;"",",",""),"　","")),0))</f>
        <v/>
      </c>
      <c r="AC148" s="27">
        <f>IF(설정!$D$32="",0,IFERROR(VALUE(SUBSTITUTE(SUBSTITUTE(INDEX(급여대장_원본!$A$1:$AZ$400,(설정!$B$8+142),설정!$D$32)&amp;"",",",""),"　","")),0))</f>
        <v/>
      </c>
      <c r="AD148" s="27">
        <f>IF(설정!$D$33="",0,IFERROR(VALUE(SUBSTITUTE(SUBSTITUTE(INDEX(급여대장_원본!$A$1:$AZ$400,(설정!$B$8+142),설정!$D$33)&amp;"",",",""),"　","")),0))</f>
        <v/>
      </c>
      <c r="AE148" s="27">
        <f>SUM(W148:AD148)</f>
        <v/>
      </c>
      <c r="AF148" s="27">
        <f>V148-AE148</f>
        <v/>
      </c>
      <c r="AG148" s="27">
        <f>IF(설정!$D$35="","",IF(설정!$D$35="",0,IFERROR(VALUE(SUBSTITUTE(SUBSTITUTE(INDEX(급여대장_원본!$A$1:$AZ$400,(설정!$B$8+142),설정!$D$35)&amp;"",",",""),"　","")),0)))</f>
        <v/>
      </c>
      <c r="AH148" s="27">
        <f>IF(설정!$D$36="","",IF(설정!$D$36="",0,IFERROR(VALUE(SUBSTITUTE(SUBSTITUTE(INDEX(급여대장_원본!$A$1:$AZ$400,(설정!$B$8+142),설정!$D$36)&amp;"",",",""),"　","")),0)))</f>
        <v/>
      </c>
      <c r="AI148" s="27">
        <f>IF(설정!$D$37="","",IF(설정!$D$37="",0,IFERROR(VALUE(SUBSTITUTE(SUBSTITUTE(INDEX(급여대장_원본!$A$1:$AZ$400,(설정!$B$8+142),설정!$D$37)&amp;"",",",""),"　","")),0)))</f>
        <v/>
      </c>
      <c r="AJ148" s="2">
        <f>IFERROR(INDEX($D$7:$D$306,MATCH(142,$B$7:$B$306,0)),"")</f>
        <v/>
      </c>
    </row>
    <row r="149">
      <c r="A149" s="2">
        <f>IF(AND(D149&lt;&gt;"",D149&lt;&gt;"합계",D149&lt;&gt;"총계",D149&lt;&gt;"소계",D149&lt;&gt;"계"),1,0)</f>
        <v/>
      </c>
      <c r="B149" s="2">
        <f>IF(A149=1,SUM($A$7:A149),"")</f>
        <v/>
      </c>
      <c r="C149" s="2">
        <f>IF(설정!$D$13="","",TRIM(SUBSTITUTE(INDEX(급여대장_원본!$A$1:$AZ$400,(설정!$B$8+143),설정!$D$13)&amp;"","　"," ")))</f>
        <v/>
      </c>
      <c r="D149" s="2">
        <f>IF(설정!$D$14="","",TRIM(SUBSTITUTE(INDEX(급여대장_원본!$A$1:$AZ$400,(설정!$B$8+143),설정!$D$14)&amp;"","　"," ")))</f>
        <v/>
      </c>
      <c r="E149" s="2">
        <f>IF(설정!$D$15="","",TRIM(SUBSTITUTE(INDEX(급여대장_원본!$A$1:$AZ$400,(설정!$B$8+143),설정!$D$15)&amp;"","　"," ")))</f>
        <v/>
      </c>
      <c r="F149" s="27">
        <f>IF(설정!$D$17="",0,IFERROR(VALUE(SUBSTITUTE(SUBSTITUTE(INDEX(급여대장_원본!$A$1:$AZ$400,(설정!$B$8+143),설정!$D$17)&amp;"",",",""),"　","")),0))</f>
        <v/>
      </c>
      <c r="G149" s="27">
        <f>IF(설정!$D$18="",0,IFERROR(VALUE(SUBSTITUTE(SUBSTITUTE(INDEX(급여대장_원본!$A$1:$AZ$400,(설정!$B$8+143),설정!$D$18)&amp;"",",",""),"　","")),0))</f>
        <v/>
      </c>
      <c r="H149" s="27">
        <f>IF(설정!$D$19="",0,IFERROR(VALUE(SUBSTITUTE(SUBSTITUTE(INDEX(급여대장_원본!$A$1:$AZ$400,(설정!$B$8+143),설정!$D$19)&amp;"",",",""),"　","")),0))</f>
        <v/>
      </c>
      <c r="I149" s="27">
        <f>IF(설정!$D$20="",0,IFERROR(VALUE(SUBSTITUTE(SUBSTITUTE(INDEX(급여대장_원본!$A$1:$AZ$400,(설정!$B$8+143),설정!$D$20)&amp;"",",",""),"　","")),0))</f>
        <v/>
      </c>
      <c r="J149" s="27">
        <f>IF(설정!$D$21="",0,IFERROR(VALUE(SUBSTITUTE(SUBSTITUTE(INDEX(급여대장_원본!$A$1:$AZ$400,(설정!$B$8+143),설정!$D$21)&amp;"",",",""),"　","")),0))</f>
        <v/>
      </c>
      <c r="K149" s="27">
        <f>IF(설정!$D$22="",0,IFERROR(VALUE(SUBSTITUTE(SUBSTITUTE(INDEX(급여대장_원본!$A$1:$AZ$400,(설정!$B$8+143),설정!$D$22)&amp;"",",",""),"　","")),0))</f>
        <v/>
      </c>
      <c r="L149" s="27">
        <f>IF(설정!$D$23="",0,IFERROR(VALUE(SUBSTITUTE(SUBSTITUTE(INDEX(급여대장_원본!$A$1:$AZ$400,(설정!$B$8+143),설정!$D$23)&amp;"",",",""),"　","")),0))</f>
        <v/>
      </c>
      <c r="M149" s="27">
        <f>IF(설정!$D$24="",0,IFERROR(VALUE(SUBSTITUTE(SUBSTITUTE(INDEX(급여대장_원본!$A$1:$AZ$400,(설정!$B$8+143),설정!$D$24)&amp;"",",",""),"　","")),0))</f>
        <v/>
      </c>
      <c r="N149" s="2">
        <f>IF(OR(설정!$C$17="",IFERROR(MATCH(설정!$C$17,INDEX(급여대장_원본!$A$1:$AZ$400,설정!$B$8,0),0),"")=""),"",IFERROR(VALUE(SUBSTITUTE(INDEX(급여대장_원본!$A$1:$AZ$400,(설정!$B$8+143),IFERROR(MATCH(설정!$C$17,INDEX(급여대장_원본!$A$1:$AZ$400,설정!$B$8,0),0),""))&amp;"",",","")),""))</f>
        <v/>
      </c>
      <c r="O149" s="2">
        <f>IF(OR(설정!$C$18="",IFERROR(MATCH(설정!$C$18,INDEX(급여대장_원본!$A$1:$AZ$400,설정!$B$8,0),0),"")=""),"",IFERROR(VALUE(SUBSTITUTE(INDEX(급여대장_원본!$A$1:$AZ$400,(설정!$B$8+143),IFERROR(MATCH(설정!$C$18,INDEX(급여대장_원본!$A$1:$AZ$400,설정!$B$8,0),0),""))&amp;"",",","")),""))</f>
        <v/>
      </c>
      <c r="P149" s="2">
        <f>IF(OR(설정!$C$19="",IFERROR(MATCH(설정!$C$19,INDEX(급여대장_원본!$A$1:$AZ$400,설정!$B$8,0),0),"")=""),"",IFERROR(VALUE(SUBSTITUTE(INDEX(급여대장_원본!$A$1:$AZ$400,(설정!$B$8+143),IFERROR(MATCH(설정!$C$19,INDEX(급여대장_원본!$A$1:$AZ$400,설정!$B$8,0),0),""))&amp;"",",","")),""))</f>
        <v/>
      </c>
      <c r="Q149" s="2">
        <f>IF(OR(설정!$C$20="",IFERROR(MATCH(설정!$C$20,INDEX(급여대장_원본!$A$1:$AZ$400,설정!$B$8,0),0),"")=""),"",IFERROR(VALUE(SUBSTITUTE(INDEX(급여대장_원본!$A$1:$AZ$400,(설정!$B$8+143),IFERROR(MATCH(설정!$C$20,INDEX(급여대장_원본!$A$1:$AZ$400,설정!$B$8,0),0),""))&amp;"",",","")),""))</f>
        <v/>
      </c>
      <c r="R149" s="2">
        <f>IF(OR(설정!$C$21="",IFERROR(MATCH(설정!$C$21,INDEX(급여대장_원본!$A$1:$AZ$400,설정!$B$8,0),0),"")=""),"",IFERROR(VALUE(SUBSTITUTE(INDEX(급여대장_원본!$A$1:$AZ$400,(설정!$B$8+143),IFERROR(MATCH(설정!$C$21,INDEX(급여대장_원본!$A$1:$AZ$400,설정!$B$8,0),0),""))&amp;"",",","")),""))</f>
        <v/>
      </c>
      <c r="S149" s="2">
        <f>IF(OR(설정!$C$22="",IFERROR(MATCH(설정!$C$22,INDEX(급여대장_원본!$A$1:$AZ$400,설정!$B$8,0),0),"")=""),"",IFERROR(VALUE(SUBSTITUTE(INDEX(급여대장_원본!$A$1:$AZ$400,(설정!$B$8+143),IFERROR(MATCH(설정!$C$22,INDEX(급여대장_원본!$A$1:$AZ$400,설정!$B$8,0),0),""))&amp;"",",","")),""))</f>
        <v/>
      </c>
      <c r="T149" s="2">
        <f>IF(OR(설정!$C$23="",IFERROR(MATCH(설정!$C$23,INDEX(급여대장_원본!$A$1:$AZ$400,설정!$B$8,0),0),"")=""),"",IFERROR(VALUE(SUBSTITUTE(INDEX(급여대장_원본!$A$1:$AZ$400,(설정!$B$8+143),IFERROR(MATCH(설정!$C$23,INDEX(급여대장_원본!$A$1:$AZ$400,설정!$B$8,0),0),""))&amp;"",",","")),""))</f>
        <v/>
      </c>
      <c r="U149" s="2">
        <f>IF(OR(설정!$C$24="",IFERROR(MATCH(설정!$C$24,INDEX(급여대장_원본!$A$1:$AZ$400,설정!$B$8,0),0),"")=""),"",IFERROR(VALUE(SUBSTITUTE(INDEX(급여대장_원본!$A$1:$AZ$400,(설정!$B$8+143),IFERROR(MATCH(설정!$C$24,INDEX(급여대장_원본!$A$1:$AZ$400,설정!$B$8,0),0),""))&amp;"",",","")),""))</f>
        <v/>
      </c>
      <c r="V149" s="27">
        <f>SUM(F149:M149)</f>
        <v/>
      </c>
      <c r="W149" s="27">
        <f>IF(설정!$D$26="",0,IFERROR(VALUE(SUBSTITUTE(SUBSTITUTE(INDEX(급여대장_원본!$A$1:$AZ$400,(설정!$B$8+143),설정!$D$26)&amp;"",",",""),"　","")),0))</f>
        <v/>
      </c>
      <c r="X149" s="27">
        <f>IF(설정!$D$27="",0,IFERROR(VALUE(SUBSTITUTE(SUBSTITUTE(INDEX(급여대장_원본!$A$1:$AZ$400,(설정!$B$8+143),설정!$D$27)&amp;"",",",""),"　","")),0))</f>
        <v/>
      </c>
      <c r="Y149" s="27">
        <f>IF(설정!$D$28="",0,IFERROR(VALUE(SUBSTITUTE(SUBSTITUTE(INDEX(급여대장_원본!$A$1:$AZ$400,(설정!$B$8+143),설정!$D$28)&amp;"",",",""),"　","")),0))</f>
        <v/>
      </c>
      <c r="Z149" s="27">
        <f>IF(설정!$D$29="",0,IFERROR(VALUE(SUBSTITUTE(SUBSTITUTE(INDEX(급여대장_원본!$A$1:$AZ$400,(설정!$B$8+143),설정!$D$29)&amp;"",",",""),"　","")),0))</f>
        <v/>
      </c>
      <c r="AA149" s="27">
        <f>IF(설정!$D$30="",0,IFERROR(VALUE(SUBSTITUTE(SUBSTITUTE(INDEX(급여대장_원본!$A$1:$AZ$400,(설정!$B$8+143),설정!$D$30)&amp;"",",",""),"　","")),0))</f>
        <v/>
      </c>
      <c r="AB149" s="27">
        <f>IF(설정!$D$31="",0,IFERROR(VALUE(SUBSTITUTE(SUBSTITUTE(INDEX(급여대장_원본!$A$1:$AZ$400,(설정!$B$8+143),설정!$D$31)&amp;"",",",""),"　","")),0))</f>
        <v/>
      </c>
      <c r="AC149" s="27">
        <f>IF(설정!$D$32="",0,IFERROR(VALUE(SUBSTITUTE(SUBSTITUTE(INDEX(급여대장_원본!$A$1:$AZ$400,(설정!$B$8+143),설정!$D$32)&amp;"",",",""),"　","")),0))</f>
        <v/>
      </c>
      <c r="AD149" s="27">
        <f>IF(설정!$D$33="",0,IFERROR(VALUE(SUBSTITUTE(SUBSTITUTE(INDEX(급여대장_원본!$A$1:$AZ$400,(설정!$B$8+143),설정!$D$33)&amp;"",",",""),"　","")),0))</f>
        <v/>
      </c>
      <c r="AE149" s="27">
        <f>SUM(W149:AD149)</f>
        <v/>
      </c>
      <c r="AF149" s="27">
        <f>V149-AE149</f>
        <v/>
      </c>
      <c r="AG149" s="27">
        <f>IF(설정!$D$35="","",IF(설정!$D$35="",0,IFERROR(VALUE(SUBSTITUTE(SUBSTITUTE(INDEX(급여대장_원본!$A$1:$AZ$400,(설정!$B$8+143),설정!$D$35)&amp;"",",",""),"　","")),0)))</f>
        <v/>
      </c>
      <c r="AH149" s="27">
        <f>IF(설정!$D$36="","",IF(설정!$D$36="",0,IFERROR(VALUE(SUBSTITUTE(SUBSTITUTE(INDEX(급여대장_원본!$A$1:$AZ$400,(설정!$B$8+143),설정!$D$36)&amp;"",",",""),"　","")),0)))</f>
        <v/>
      </c>
      <c r="AI149" s="27">
        <f>IF(설정!$D$37="","",IF(설정!$D$37="",0,IFERROR(VALUE(SUBSTITUTE(SUBSTITUTE(INDEX(급여대장_원본!$A$1:$AZ$400,(설정!$B$8+143),설정!$D$37)&amp;"",",",""),"　","")),0)))</f>
        <v/>
      </c>
      <c r="AJ149" s="2">
        <f>IFERROR(INDEX($D$7:$D$306,MATCH(143,$B$7:$B$306,0)),"")</f>
        <v/>
      </c>
    </row>
    <row r="150">
      <c r="A150" s="2">
        <f>IF(AND(D150&lt;&gt;"",D150&lt;&gt;"합계",D150&lt;&gt;"총계",D150&lt;&gt;"소계",D150&lt;&gt;"계"),1,0)</f>
        <v/>
      </c>
      <c r="B150" s="2">
        <f>IF(A150=1,SUM($A$7:A150),"")</f>
        <v/>
      </c>
      <c r="C150" s="2">
        <f>IF(설정!$D$13="","",TRIM(SUBSTITUTE(INDEX(급여대장_원본!$A$1:$AZ$400,(설정!$B$8+144),설정!$D$13)&amp;"","　"," ")))</f>
        <v/>
      </c>
      <c r="D150" s="2">
        <f>IF(설정!$D$14="","",TRIM(SUBSTITUTE(INDEX(급여대장_원본!$A$1:$AZ$400,(설정!$B$8+144),설정!$D$14)&amp;"","　"," ")))</f>
        <v/>
      </c>
      <c r="E150" s="2">
        <f>IF(설정!$D$15="","",TRIM(SUBSTITUTE(INDEX(급여대장_원본!$A$1:$AZ$400,(설정!$B$8+144),설정!$D$15)&amp;"","　"," ")))</f>
        <v/>
      </c>
      <c r="F150" s="27">
        <f>IF(설정!$D$17="",0,IFERROR(VALUE(SUBSTITUTE(SUBSTITUTE(INDEX(급여대장_원본!$A$1:$AZ$400,(설정!$B$8+144),설정!$D$17)&amp;"",",",""),"　","")),0))</f>
        <v/>
      </c>
      <c r="G150" s="27">
        <f>IF(설정!$D$18="",0,IFERROR(VALUE(SUBSTITUTE(SUBSTITUTE(INDEX(급여대장_원본!$A$1:$AZ$400,(설정!$B$8+144),설정!$D$18)&amp;"",",",""),"　","")),0))</f>
        <v/>
      </c>
      <c r="H150" s="27">
        <f>IF(설정!$D$19="",0,IFERROR(VALUE(SUBSTITUTE(SUBSTITUTE(INDEX(급여대장_원본!$A$1:$AZ$400,(설정!$B$8+144),설정!$D$19)&amp;"",",",""),"　","")),0))</f>
        <v/>
      </c>
      <c r="I150" s="27">
        <f>IF(설정!$D$20="",0,IFERROR(VALUE(SUBSTITUTE(SUBSTITUTE(INDEX(급여대장_원본!$A$1:$AZ$400,(설정!$B$8+144),설정!$D$20)&amp;"",",",""),"　","")),0))</f>
        <v/>
      </c>
      <c r="J150" s="27">
        <f>IF(설정!$D$21="",0,IFERROR(VALUE(SUBSTITUTE(SUBSTITUTE(INDEX(급여대장_원본!$A$1:$AZ$400,(설정!$B$8+144),설정!$D$21)&amp;"",",",""),"　","")),0))</f>
        <v/>
      </c>
      <c r="K150" s="27">
        <f>IF(설정!$D$22="",0,IFERROR(VALUE(SUBSTITUTE(SUBSTITUTE(INDEX(급여대장_원본!$A$1:$AZ$400,(설정!$B$8+144),설정!$D$22)&amp;"",",",""),"　","")),0))</f>
        <v/>
      </c>
      <c r="L150" s="27">
        <f>IF(설정!$D$23="",0,IFERROR(VALUE(SUBSTITUTE(SUBSTITUTE(INDEX(급여대장_원본!$A$1:$AZ$400,(설정!$B$8+144),설정!$D$23)&amp;"",",",""),"　","")),0))</f>
        <v/>
      </c>
      <c r="M150" s="27">
        <f>IF(설정!$D$24="",0,IFERROR(VALUE(SUBSTITUTE(SUBSTITUTE(INDEX(급여대장_원본!$A$1:$AZ$400,(설정!$B$8+144),설정!$D$24)&amp;"",",",""),"　","")),0))</f>
        <v/>
      </c>
      <c r="N150" s="2">
        <f>IF(OR(설정!$C$17="",IFERROR(MATCH(설정!$C$17,INDEX(급여대장_원본!$A$1:$AZ$400,설정!$B$8,0),0),"")=""),"",IFERROR(VALUE(SUBSTITUTE(INDEX(급여대장_원본!$A$1:$AZ$400,(설정!$B$8+144),IFERROR(MATCH(설정!$C$17,INDEX(급여대장_원본!$A$1:$AZ$400,설정!$B$8,0),0),""))&amp;"",",","")),""))</f>
        <v/>
      </c>
      <c r="O150" s="2">
        <f>IF(OR(설정!$C$18="",IFERROR(MATCH(설정!$C$18,INDEX(급여대장_원본!$A$1:$AZ$400,설정!$B$8,0),0),"")=""),"",IFERROR(VALUE(SUBSTITUTE(INDEX(급여대장_원본!$A$1:$AZ$400,(설정!$B$8+144),IFERROR(MATCH(설정!$C$18,INDEX(급여대장_원본!$A$1:$AZ$400,설정!$B$8,0),0),""))&amp;"",",","")),""))</f>
        <v/>
      </c>
      <c r="P150" s="2">
        <f>IF(OR(설정!$C$19="",IFERROR(MATCH(설정!$C$19,INDEX(급여대장_원본!$A$1:$AZ$400,설정!$B$8,0),0),"")=""),"",IFERROR(VALUE(SUBSTITUTE(INDEX(급여대장_원본!$A$1:$AZ$400,(설정!$B$8+144),IFERROR(MATCH(설정!$C$19,INDEX(급여대장_원본!$A$1:$AZ$400,설정!$B$8,0),0),""))&amp;"",",","")),""))</f>
        <v/>
      </c>
      <c r="Q150" s="2">
        <f>IF(OR(설정!$C$20="",IFERROR(MATCH(설정!$C$20,INDEX(급여대장_원본!$A$1:$AZ$400,설정!$B$8,0),0),"")=""),"",IFERROR(VALUE(SUBSTITUTE(INDEX(급여대장_원본!$A$1:$AZ$400,(설정!$B$8+144),IFERROR(MATCH(설정!$C$20,INDEX(급여대장_원본!$A$1:$AZ$400,설정!$B$8,0),0),""))&amp;"",",","")),""))</f>
        <v/>
      </c>
      <c r="R150" s="2">
        <f>IF(OR(설정!$C$21="",IFERROR(MATCH(설정!$C$21,INDEX(급여대장_원본!$A$1:$AZ$400,설정!$B$8,0),0),"")=""),"",IFERROR(VALUE(SUBSTITUTE(INDEX(급여대장_원본!$A$1:$AZ$400,(설정!$B$8+144),IFERROR(MATCH(설정!$C$21,INDEX(급여대장_원본!$A$1:$AZ$400,설정!$B$8,0),0),""))&amp;"",",","")),""))</f>
        <v/>
      </c>
      <c r="S150" s="2">
        <f>IF(OR(설정!$C$22="",IFERROR(MATCH(설정!$C$22,INDEX(급여대장_원본!$A$1:$AZ$400,설정!$B$8,0),0),"")=""),"",IFERROR(VALUE(SUBSTITUTE(INDEX(급여대장_원본!$A$1:$AZ$400,(설정!$B$8+144),IFERROR(MATCH(설정!$C$22,INDEX(급여대장_원본!$A$1:$AZ$400,설정!$B$8,0),0),""))&amp;"",",","")),""))</f>
        <v/>
      </c>
      <c r="T150" s="2">
        <f>IF(OR(설정!$C$23="",IFERROR(MATCH(설정!$C$23,INDEX(급여대장_원본!$A$1:$AZ$400,설정!$B$8,0),0),"")=""),"",IFERROR(VALUE(SUBSTITUTE(INDEX(급여대장_원본!$A$1:$AZ$400,(설정!$B$8+144),IFERROR(MATCH(설정!$C$23,INDEX(급여대장_원본!$A$1:$AZ$400,설정!$B$8,0),0),""))&amp;"",",","")),""))</f>
        <v/>
      </c>
      <c r="U150" s="2">
        <f>IF(OR(설정!$C$24="",IFERROR(MATCH(설정!$C$24,INDEX(급여대장_원본!$A$1:$AZ$400,설정!$B$8,0),0),"")=""),"",IFERROR(VALUE(SUBSTITUTE(INDEX(급여대장_원본!$A$1:$AZ$400,(설정!$B$8+144),IFERROR(MATCH(설정!$C$24,INDEX(급여대장_원본!$A$1:$AZ$400,설정!$B$8,0),0),""))&amp;"",",","")),""))</f>
        <v/>
      </c>
      <c r="V150" s="27">
        <f>SUM(F150:M150)</f>
        <v/>
      </c>
      <c r="W150" s="27">
        <f>IF(설정!$D$26="",0,IFERROR(VALUE(SUBSTITUTE(SUBSTITUTE(INDEX(급여대장_원본!$A$1:$AZ$400,(설정!$B$8+144),설정!$D$26)&amp;"",",",""),"　","")),0))</f>
        <v/>
      </c>
      <c r="X150" s="27">
        <f>IF(설정!$D$27="",0,IFERROR(VALUE(SUBSTITUTE(SUBSTITUTE(INDEX(급여대장_원본!$A$1:$AZ$400,(설정!$B$8+144),설정!$D$27)&amp;"",",",""),"　","")),0))</f>
        <v/>
      </c>
      <c r="Y150" s="27">
        <f>IF(설정!$D$28="",0,IFERROR(VALUE(SUBSTITUTE(SUBSTITUTE(INDEX(급여대장_원본!$A$1:$AZ$400,(설정!$B$8+144),설정!$D$28)&amp;"",",",""),"　","")),0))</f>
        <v/>
      </c>
      <c r="Z150" s="27">
        <f>IF(설정!$D$29="",0,IFERROR(VALUE(SUBSTITUTE(SUBSTITUTE(INDEX(급여대장_원본!$A$1:$AZ$400,(설정!$B$8+144),설정!$D$29)&amp;"",",",""),"　","")),0))</f>
        <v/>
      </c>
      <c r="AA150" s="27">
        <f>IF(설정!$D$30="",0,IFERROR(VALUE(SUBSTITUTE(SUBSTITUTE(INDEX(급여대장_원본!$A$1:$AZ$400,(설정!$B$8+144),설정!$D$30)&amp;"",",",""),"　","")),0))</f>
        <v/>
      </c>
      <c r="AB150" s="27">
        <f>IF(설정!$D$31="",0,IFERROR(VALUE(SUBSTITUTE(SUBSTITUTE(INDEX(급여대장_원본!$A$1:$AZ$400,(설정!$B$8+144),설정!$D$31)&amp;"",",",""),"　","")),0))</f>
        <v/>
      </c>
      <c r="AC150" s="27">
        <f>IF(설정!$D$32="",0,IFERROR(VALUE(SUBSTITUTE(SUBSTITUTE(INDEX(급여대장_원본!$A$1:$AZ$400,(설정!$B$8+144),설정!$D$32)&amp;"",",",""),"　","")),0))</f>
        <v/>
      </c>
      <c r="AD150" s="27">
        <f>IF(설정!$D$33="",0,IFERROR(VALUE(SUBSTITUTE(SUBSTITUTE(INDEX(급여대장_원본!$A$1:$AZ$400,(설정!$B$8+144),설정!$D$33)&amp;"",",",""),"　","")),0))</f>
        <v/>
      </c>
      <c r="AE150" s="27">
        <f>SUM(W150:AD150)</f>
        <v/>
      </c>
      <c r="AF150" s="27">
        <f>V150-AE150</f>
        <v/>
      </c>
      <c r="AG150" s="27">
        <f>IF(설정!$D$35="","",IF(설정!$D$35="",0,IFERROR(VALUE(SUBSTITUTE(SUBSTITUTE(INDEX(급여대장_원본!$A$1:$AZ$400,(설정!$B$8+144),설정!$D$35)&amp;"",",",""),"　","")),0)))</f>
        <v/>
      </c>
      <c r="AH150" s="27">
        <f>IF(설정!$D$36="","",IF(설정!$D$36="",0,IFERROR(VALUE(SUBSTITUTE(SUBSTITUTE(INDEX(급여대장_원본!$A$1:$AZ$400,(설정!$B$8+144),설정!$D$36)&amp;"",",",""),"　","")),0)))</f>
        <v/>
      </c>
      <c r="AI150" s="27">
        <f>IF(설정!$D$37="","",IF(설정!$D$37="",0,IFERROR(VALUE(SUBSTITUTE(SUBSTITUTE(INDEX(급여대장_원본!$A$1:$AZ$400,(설정!$B$8+144),설정!$D$37)&amp;"",",",""),"　","")),0)))</f>
        <v/>
      </c>
      <c r="AJ150" s="2">
        <f>IFERROR(INDEX($D$7:$D$306,MATCH(144,$B$7:$B$306,0)),"")</f>
        <v/>
      </c>
    </row>
    <row r="151">
      <c r="A151" s="2">
        <f>IF(AND(D151&lt;&gt;"",D151&lt;&gt;"합계",D151&lt;&gt;"총계",D151&lt;&gt;"소계",D151&lt;&gt;"계"),1,0)</f>
        <v/>
      </c>
      <c r="B151" s="2">
        <f>IF(A151=1,SUM($A$7:A151),"")</f>
        <v/>
      </c>
      <c r="C151" s="2">
        <f>IF(설정!$D$13="","",TRIM(SUBSTITUTE(INDEX(급여대장_원본!$A$1:$AZ$400,(설정!$B$8+145),설정!$D$13)&amp;"","　"," ")))</f>
        <v/>
      </c>
      <c r="D151" s="2">
        <f>IF(설정!$D$14="","",TRIM(SUBSTITUTE(INDEX(급여대장_원본!$A$1:$AZ$400,(설정!$B$8+145),설정!$D$14)&amp;"","　"," ")))</f>
        <v/>
      </c>
      <c r="E151" s="2">
        <f>IF(설정!$D$15="","",TRIM(SUBSTITUTE(INDEX(급여대장_원본!$A$1:$AZ$400,(설정!$B$8+145),설정!$D$15)&amp;"","　"," ")))</f>
        <v/>
      </c>
      <c r="F151" s="27">
        <f>IF(설정!$D$17="",0,IFERROR(VALUE(SUBSTITUTE(SUBSTITUTE(INDEX(급여대장_원본!$A$1:$AZ$400,(설정!$B$8+145),설정!$D$17)&amp;"",",",""),"　","")),0))</f>
        <v/>
      </c>
      <c r="G151" s="27">
        <f>IF(설정!$D$18="",0,IFERROR(VALUE(SUBSTITUTE(SUBSTITUTE(INDEX(급여대장_원본!$A$1:$AZ$400,(설정!$B$8+145),설정!$D$18)&amp;"",",",""),"　","")),0))</f>
        <v/>
      </c>
      <c r="H151" s="27">
        <f>IF(설정!$D$19="",0,IFERROR(VALUE(SUBSTITUTE(SUBSTITUTE(INDEX(급여대장_원본!$A$1:$AZ$400,(설정!$B$8+145),설정!$D$19)&amp;"",",",""),"　","")),0))</f>
        <v/>
      </c>
      <c r="I151" s="27">
        <f>IF(설정!$D$20="",0,IFERROR(VALUE(SUBSTITUTE(SUBSTITUTE(INDEX(급여대장_원본!$A$1:$AZ$400,(설정!$B$8+145),설정!$D$20)&amp;"",",",""),"　","")),0))</f>
        <v/>
      </c>
      <c r="J151" s="27">
        <f>IF(설정!$D$21="",0,IFERROR(VALUE(SUBSTITUTE(SUBSTITUTE(INDEX(급여대장_원본!$A$1:$AZ$400,(설정!$B$8+145),설정!$D$21)&amp;"",",",""),"　","")),0))</f>
        <v/>
      </c>
      <c r="K151" s="27">
        <f>IF(설정!$D$22="",0,IFERROR(VALUE(SUBSTITUTE(SUBSTITUTE(INDEX(급여대장_원본!$A$1:$AZ$400,(설정!$B$8+145),설정!$D$22)&amp;"",",",""),"　","")),0))</f>
        <v/>
      </c>
      <c r="L151" s="27">
        <f>IF(설정!$D$23="",0,IFERROR(VALUE(SUBSTITUTE(SUBSTITUTE(INDEX(급여대장_원본!$A$1:$AZ$400,(설정!$B$8+145),설정!$D$23)&amp;"",",",""),"　","")),0))</f>
        <v/>
      </c>
      <c r="M151" s="27">
        <f>IF(설정!$D$24="",0,IFERROR(VALUE(SUBSTITUTE(SUBSTITUTE(INDEX(급여대장_원본!$A$1:$AZ$400,(설정!$B$8+145),설정!$D$24)&amp;"",",",""),"　","")),0))</f>
        <v/>
      </c>
      <c r="N151" s="2">
        <f>IF(OR(설정!$C$17="",IFERROR(MATCH(설정!$C$17,INDEX(급여대장_원본!$A$1:$AZ$400,설정!$B$8,0),0),"")=""),"",IFERROR(VALUE(SUBSTITUTE(INDEX(급여대장_원본!$A$1:$AZ$400,(설정!$B$8+145),IFERROR(MATCH(설정!$C$17,INDEX(급여대장_원본!$A$1:$AZ$400,설정!$B$8,0),0),""))&amp;"",",","")),""))</f>
        <v/>
      </c>
      <c r="O151" s="2">
        <f>IF(OR(설정!$C$18="",IFERROR(MATCH(설정!$C$18,INDEX(급여대장_원본!$A$1:$AZ$400,설정!$B$8,0),0),"")=""),"",IFERROR(VALUE(SUBSTITUTE(INDEX(급여대장_원본!$A$1:$AZ$400,(설정!$B$8+145),IFERROR(MATCH(설정!$C$18,INDEX(급여대장_원본!$A$1:$AZ$400,설정!$B$8,0),0),""))&amp;"",",","")),""))</f>
        <v/>
      </c>
      <c r="P151" s="2">
        <f>IF(OR(설정!$C$19="",IFERROR(MATCH(설정!$C$19,INDEX(급여대장_원본!$A$1:$AZ$400,설정!$B$8,0),0),"")=""),"",IFERROR(VALUE(SUBSTITUTE(INDEX(급여대장_원본!$A$1:$AZ$400,(설정!$B$8+145),IFERROR(MATCH(설정!$C$19,INDEX(급여대장_원본!$A$1:$AZ$400,설정!$B$8,0),0),""))&amp;"",",","")),""))</f>
        <v/>
      </c>
      <c r="Q151" s="2">
        <f>IF(OR(설정!$C$20="",IFERROR(MATCH(설정!$C$20,INDEX(급여대장_원본!$A$1:$AZ$400,설정!$B$8,0),0),"")=""),"",IFERROR(VALUE(SUBSTITUTE(INDEX(급여대장_원본!$A$1:$AZ$400,(설정!$B$8+145),IFERROR(MATCH(설정!$C$20,INDEX(급여대장_원본!$A$1:$AZ$400,설정!$B$8,0),0),""))&amp;"",",","")),""))</f>
        <v/>
      </c>
      <c r="R151" s="2">
        <f>IF(OR(설정!$C$21="",IFERROR(MATCH(설정!$C$21,INDEX(급여대장_원본!$A$1:$AZ$400,설정!$B$8,0),0),"")=""),"",IFERROR(VALUE(SUBSTITUTE(INDEX(급여대장_원본!$A$1:$AZ$400,(설정!$B$8+145),IFERROR(MATCH(설정!$C$21,INDEX(급여대장_원본!$A$1:$AZ$400,설정!$B$8,0),0),""))&amp;"",",","")),""))</f>
        <v/>
      </c>
      <c r="S151" s="2">
        <f>IF(OR(설정!$C$22="",IFERROR(MATCH(설정!$C$22,INDEX(급여대장_원본!$A$1:$AZ$400,설정!$B$8,0),0),"")=""),"",IFERROR(VALUE(SUBSTITUTE(INDEX(급여대장_원본!$A$1:$AZ$400,(설정!$B$8+145),IFERROR(MATCH(설정!$C$22,INDEX(급여대장_원본!$A$1:$AZ$400,설정!$B$8,0),0),""))&amp;"",",","")),""))</f>
        <v/>
      </c>
      <c r="T151" s="2">
        <f>IF(OR(설정!$C$23="",IFERROR(MATCH(설정!$C$23,INDEX(급여대장_원본!$A$1:$AZ$400,설정!$B$8,0),0),"")=""),"",IFERROR(VALUE(SUBSTITUTE(INDEX(급여대장_원본!$A$1:$AZ$400,(설정!$B$8+145),IFERROR(MATCH(설정!$C$23,INDEX(급여대장_원본!$A$1:$AZ$400,설정!$B$8,0),0),""))&amp;"",",","")),""))</f>
        <v/>
      </c>
      <c r="U151" s="2">
        <f>IF(OR(설정!$C$24="",IFERROR(MATCH(설정!$C$24,INDEX(급여대장_원본!$A$1:$AZ$400,설정!$B$8,0),0),"")=""),"",IFERROR(VALUE(SUBSTITUTE(INDEX(급여대장_원본!$A$1:$AZ$400,(설정!$B$8+145),IFERROR(MATCH(설정!$C$24,INDEX(급여대장_원본!$A$1:$AZ$400,설정!$B$8,0),0),""))&amp;"",",","")),""))</f>
        <v/>
      </c>
      <c r="V151" s="27">
        <f>SUM(F151:M151)</f>
        <v/>
      </c>
      <c r="W151" s="27">
        <f>IF(설정!$D$26="",0,IFERROR(VALUE(SUBSTITUTE(SUBSTITUTE(INDEX(급여대장_원본!$A$1:$AZ$400,(설정!$B$8+145),설정!$D$26)&amp;"",",",""),"　","")),0))</f>
        <v/>
      </c>
      <c r="X151" s="27">
        <f>IF(설정!$D$27="",0,IFERROR(VALUE(SUBSTITUTE(SUBSTITUTE(INDEX(급여대장_원본!$A$1:$AZ$400,(설정!$B$8+145),설정!$D$27)&amp;"",",",""),"　","")),0))</f>
        <v/>
      </c>
      <c r="Y151" s="27">
        <f>IF(설정!$D$28="",0,IFERROR(VALUE(SUBSTITUTE(SUBSTITUTE(INDEX(급여대장_원본!$A$1:$AZ$400,(설정!$B$8+145),설정!$D$28)&amp;"",",",""),"　","")),0))</f>
        <v/>
      </c>
      <c r="Z151" s="27">
        <f>IF(설정!$D$29="",0,IFERROR(VALUE(SUBSTITUTE(SUBSTITUTE(INDEX(급여대장_원본!$A$1:$AZ$400,(설정!$B$8+145),설정!$D$29)&amp;"",",",""),"　","")),0))</f>
        <v/>
      </c>
      <c r="AA151" s="27">
        <f>IF(설정!$D$30="",0,IFERROR(VALUE(SUBSTITUTE(SUBSTITUTE(INDEX(급여대장_원본!$A$1:$AZ$400,(설정!$B$8+145),설정!$D$30)&amp;"",",",""),"　","")),0))</f>
        <v/>
      </c>
      <c r="AB151" s="27">
        <f>IF(설정!$D$31="",0,IFERROR(VALUE(SUBSTITUTE(SUBSTITUTE(INDEX(급여대장_원본!$A$1:$AZ$400,(설정!$B$8+145),설정!$D$31)&amp;"",",",""),"　","")),0))</f>
        <v/>
      </c>
      <c r="AC151" s="27">
        <f>IF(설정!$D$32="",0,IFERROR(VALUE(SUBSTITUTE(SUBSTITUTE(INDEX(급여대장_원본!$A$1:$AZ$400,(설정!$B$8+145),설정!$D$32)&amp;"",",",""),"　","")),0))</f>
        <v/>
      </c>
      <c r="AD151" s="27">
        <f>IF(설정!$D$33="",0,IFERROR(VALUE(SUBSTITUTE(SUBSTITUTE(INDEX(급여대장_원본!$A$1:$AZ$400,(설정!$B$8+145),설정!$D$33)&amp;"",",",""),"　","")),0))</f>
        <v/>
      </c>
      <c r="AE151" s="27">
        <f>SUM(W151:AD151)</f>
        <v/>
      </c>
      <c r="AF151" s="27">
        <f>V151-AE151</f>
        <v/>
      </c>
      <c r="AG151" s="27">
        <f>IF(설정!$D$35="","",IF(설정!$D$35="",0,IFERROR(VALUE(SUBSTITUTE(SUBSTITUTE(INDEX(급여대장_원본!$A$1:$AZ$400,(설정!$B$8+145),설정!$D$35)&amp;"",",",""),"　","")),0)))</f>
        <v/>
      </c>
      <c r="AH151" s="27">
        <f>IF(설정!$D$36="","",IF(설정!$D$36="",0,IFERROR(VALUE(SUBSTITUTE(SUBSTITUTE(INDEX(급여대장_원본!$A$1:$AZ$400,(설정!$B$8+145),설정!$D$36)&amp;"",",",""),"　","")),0)))</f>
        <v/>
      </c>
      <c r="AI151" s="27">
        <f>IF(설정!$D$37="","",IF(설정!$D$37="",0,IFERROR(VALUE(SUBSTITUTE(SUBSTITUTE(INDEX(급여대장_원본!$A$1:$AZ$400,(설정!$B$8+145),설정!$D$37)&amp;"",",",""),"　","")),0)))</f>
        <v/>
      </c>
      <c r="AJ151" s="2">
        <f>IFERROR(INDEX($D$7:$D$306,MATCH(145,$B$7:$B$306,0)),"")</f>
        <v/>
      </c>
    </row>
    <row r="152">
      <c r="A152" s="2">
        <f>IF(AND(D152&lt;&gt;"",D152&lt;&gt;"합계",D152&lt;&gt;"총계",D152&lt;&gt;"소계",D152&lt;&gt;"계"),1,0)</f>
        <v/>
      </c>
      <c r="B152" s="2">
        <f>IF(A152=1,SUM($A$7:A152),"")</f>
        <v/>
      </c>
      <c r="C152" s="2">
        <f>IF(설정!$D$13="","",TRIM(SUBSTITUTE(INDEX(급여대장_원본!$A$1:$AZ$400,(설정!$B$8+146),설정!$D$13)&amp;"","　"," ")))</f>
        <v/>
      </c>
      <c r="D152" s="2">
        <f>IF(설정!$D$14="","",TRIM(SUBSTITUTE(INDEX(급여대장_원본!$A$1:$AZ$400,(설정!$B$8+146),설정!$D$14)&amp;"","　"," ")))</f>
        <v/>
      </c>
      <c r="E152" s="2">
        <f>IF(설정!$D$15="","",TRIM(SUBSTITUTE(INDEX(급여대장_원본!$A$1:$AZ$400,(설정!$B$8+146),설정!$D$15)&amp;"","　"," ")))</f>
        <v/>
      </c>
      <c r="F152" s="27">
        <f>IF(설정!$D$17="",0,IFERROR(VALUE(SUBSTITUTE(SUBSTITUTE(INDEX(급여대장_원본!$A$1:$AZ$400,(설정!$B$8+146),설정!$D$17)&amp;"",",",""),"　","")),0))</f>
        <v/>
      </c>
      <c r="G152" s="27">
        <f>IF(설정!$D$18="",0,IFERROR(VALUE(SUBSTITUTE(SUBSTITUTE(INDEX(급여대장_원본!$A$1:$AZ$400,(설정!$B$8+146),설정!$D$18)&amp;"",",",""),"　","")),0))</f>
        <v/>
      </c>
      <c r="H152" s="27">
        <f>IF(설정!$D$19="",0,IFERROR(VALUE(SUBSTITUTE(SUBSTITUTE(INDEX(급여대장_원본!$A$1:$AZ$400,(설정!$B$8+146),설정!$D$19)&amp;"",",",""),"　","")),0))</f>
        <v/>
      </c>
      <c r="I152" s="27">
        <f>IF(설정!$D$20="",0,IFERROR(VALUE(SUBSTITUTE(SUBSTITUTE(INDEX(급여대장_원본!$A$1:$AZ$400,(설정!$B$8+146),설정!$D$20)&amp;"",",",""),"　","")),0))</f>
        <v/>
      </c>
      <c r="J152" s="27">
        <f>IF(설정!$D$21="",0,IFERROR(VALUE(SUBSTITUTE(SUBSTITUTE(INDEX(급여대장_원본!$A$1:$AZ$400,(설정!$B$8+146),설정!$D$21)&amp;"",",",""),"　","")),0))</f>
        <v/>
      </c>
      <c r="K152" s="27">
        <f>IF(설정!$D$22="",0,IFERROR(VALUE(SUBSTITUTE(SUBSTITUTE(INDEX(급여대장_원본!$A$1:$AZ$400,(설정!$B$8+146),설정!$D$22)&amp;"",",",""),"　","")),0))</f>
        <v/>
      </c>
      <c r="L152" s="27">
        <f>IF(설정!$D$23="",0,IFERROR(VALUE(SUBSTITUTE(SUBSTITUTE(INDEX(급여대장_원본!$A$1:$AZ$400,(설정!$B$8+146),설정!$D$23)&amp;"",",",""),"　","")),0))</f>
        <v/>
      </c>
      <c r="M152" s="27">
        <f>IF(설정!$D$24="",0,IFERROR(VALUE(SUBSTITUTE(SUBSTITUTE(INDEX(급여대장_원본!$A$1:$AZ$400,(설정!$B$8+146),설정!$D$24)&amp;"",",",""),"　","")),0))</f>
        <v/>
      </c>
      <c r="N152" s="2">
        <f>IF(OR(설정!$C$17="",IFERROR(MATCH(설정!$C$17,INDEX(급여대장_원본!$A$1:$AZ$400,설정!$B$8,0),0),"")=""),"",IFERROR(VALUE(SUBSTITUTE(INDEX(급여대장_원본!$A$1:$AZ$400,(설정!$B$8+146),IFERROR(MATCH(설정!$C$17,INDEX(급여대장_원본!$A$1:$AZ$400,설정!$B$8,0),0),""))&amp;"",",","")),""))</f>
        <v/>
      </c>
      <c r="O152" s="2">
        <f>IF(OR(설정!$C$18="",IFERROR(MATCH(설정!$C$18,INDEX(급여대장_원본!$A$1:$AZ$400,설정!$B$8,0),0),"")=""),"",IFERROR(VALUE(SUBSTITUTE(INDEX(급여대장_원본!$A$1:$AZ$400,(설정!$B$8+146),IFERROR(MATCH(설정!$C$18,INDEX(급여대장_원본!$A$1:$AZ$400,설정!$B$8,0),0),""))&amp;"",",","")),""))</f>
        <v/>
      </c>
      <c r="P152" s="2">
        <f>IF(OR(설정!$C$19="",IFERROR(MATCH(설정!$C$19,INDEX(급여대장_원본!$A$1:$AZ$400,설정!$B$8,0),0),"")=""),"",IFERROR(VALUE(SUBSTITUTE(INDEX(급여대장_원본!$A$1:$AZ$400,(설정!$B$8+146),IFERROR(MATCH(설정!$C$19,INDEX(급여대장_원본!$A$1:$AZ$400,설정!$B$8,0),0),""))&amp;"",",","")),""))</f>
        <v/>
      </c>
      <c r="Q152" s="2">
        <f>IF(OR(설정!$C$20="",IFERROR(MATCH(설정!$C$20,INDEX(급여대장_원본!$A$1:$AZ$400,설정!$B$8,0),0),"")=""),"",IFERROR(VALUE(SUBSTITUTE(INDEX(급여대장_원본!$A$1:$AZ$400,(설정!$B$8+146),IFERROR(MATCH(설정!$C$20,INDEX(급여대장_원본!$A$1:$AZ$400,설정!$B$8,0),0),""))&amp;"",",","")),""))</f>
        <v/>
      </c>
      <c r="R152" s="2">
        <f>IF(OR(설정!$C$21="",IFERROR(MATCH(설정!$C$21,INDEX(급여대장_원본!$A$1:$AZ$400,설정!$B$8,0),0),"")=""),"",IFERROR(VALUE(SUBSTITUTE(INDEX(급여대장_원본!$A$1:$AZ$400,(설정!$B$8+146),IFERROR(MATCH(설정!$C$21,INDEX(급여대장_원본!$A$1:$AZ$400,설정!$B$8,0),0),""))&amp;"",",","")),""))</f>
        <v/>
      </c>
      <c r="S152" s="2">
        <f>IF(OR(설정!$C$22="",IFERROR(MATCH(설정!$C$22,INDEX(급여대장_원본!$A$1:$AZ$400,설정!$B$8,0),0),"")=""),"",IFERROR(VALUE(SUBSTITUTE(INDEX(급여대장_원본!$A$1:$AZ$400,(설정!$B$8+146),IFERROR(MATCH(설정!$C$22,INDEX(급여대장_원본!$A$1:$AZ$400,설정!$B$8,0),0),""))&amp;"",",","")),""))</f>
        <v/>
      </c>
      <c r="T152" s="2">
        <f>IF(OR(설정!$C$23="",IFERROR(MATCH(설정!$C$23,INDEX(급여대장_원본!$A$1:$AZ$400,설정!$B$8,0),0),"")=""),"",IFERROR(VALUE(SUBSTITUTE(INDEX(급여대장_원본!$A$1:$AZ$400,(설정!$B$8+146),IFERROR(MATCH(설정!$C$23,INDEX(급여대장_원본!$A$1:$AZ$400,설정!$B$8,0),0),""))&amp;"",",","")),""))</f>
        <v/>
      </c>
      <c r="U152" s="2">
        <f>IF(OR(설정!$C$24="",IFERROR(MATCH(설정!$C$24,INDEX(급여대장_원본!$A$1:$AZ$400,설정!$B$8,0),0),"")=""),"",IFERROR(VALUE(SUBSTITUTE(INDEX(급여대장_원본!$A$1:$AZ$400,(설정!$B$8+146),IFERROR(MATCH(설정!$C$24,INDEX(급여대장_원본!$A$1:$AZ$400,설정!$B$8,0),0),""))&amp;"",",","")),""))</f>
        <v/>
      </c>
      <c r="V152" s="27">
        <f>SUM(F152:M152)</f>
        <v/>
      </c>
      <c r="W152" s="27">
        <f>IF(설정!$D$26="",0,IFERROR(VALUE(SUBSTITUTE(SUBSTITUTE(INDEX(급여대장_원본!$A$1:$AZ$400,(설정!$B$8+146),설정!$D$26)&amp;"",",",""),"　","")),0))</f>
        <v/>
      </c>
      <c r="X152" s="27">
        <f>IF(설정!$D$27="",0,IFERROR(VALUE(SUBSTITUTE(SUBSTITUTE(INDEX(급여대장_원본!$A$1:$AZ$400,(설정!$B$8+146),설정!$D$27)&amp;"",",",""),"　","")),0))</f>
        <v/>
      </c>
      <c r="Y152" s="27">
        <f>IF(설정!$D$28="",0,IFERROR(VALUE(SUBSTITUTE(SUBSTITUTE(INDEX(급여대장_원본!$A$1:$AZ$400,(설정!$B$8+146),설정!$D$28)&amp;"",",",""),"　","")),0))</f>
        <v/>
      </c>
      <c r="Z152" s="27">
        <f>IF(설정!$D$29="",0,IFERROR(VALUE(SUBSTITUTE(SUBSTITUTE(INDEX(급여대장_원본!$A$1:$AZ$400,(설정!$B$8+146),설정!$D$29)&amp;"",",",""),"　","")),0))</f>
        <v/>
      </c>
      <c r="AA152" s="27">
        <f>IF(설정!$D$30="",0,IFERROR(VALUE(SUBSTITUTE(SUBSTITUTE(INDEX(급여대장_원본!$A$1:$AZ$400,(설정!$B$8+146),설정!$D$30)&amp;"",",",""),"　","")),0))</f>
        <v/>
      </c>
      <c r="AB152" s="27">
        <f>IF(설정!$D$31="",0,IFERROR(VALUE(SUBSTITUTE(SUBSTITUTE(INDEX(급여대장_원본!$A$1:$AZ$400,(설정!$B$8+146),설정!$D$31)&amp;"",",",""),"　","")),0))</f>
        <v/>
      </c>
      <c r="AC152" s="27">
        <f>IF(설정!$D$32="",0,IFERROR(VALUE(SUBSTITUTE(SUBSTITUTE(INDEX(급여대장_원본!$A$1:$AZ$400,(설정!$B$8+146),설정!$D$32)&amp;"",",",""),"　","")),0))</f>
        <v/>
      </c>
      <c r="AD152" s="27">
        <f>IF(설정!$D$33="",0,IFERROR(VALUE(SUBSTITUTE(SUBSTITUTE(INDEX(급여대장_원본!$A$1:$AZ$400,(설정!$B$8+146),설정!$D$33)&amp;"",",",""),"　","")),0))</f>
        <v/>
      </c>
      <c r="AE152" s="27">
        <f>SUM(W152:AD152)</f>
        <v/>
      </c>
      <c r="AF152" s="27">
        <f>V152-AE152</f>
        <v/>
      </c>
      <c r="AG152" s="27">
        <f>IF(설정!$D$35="","",IF(설정!$D$35="",0,IFERROR(VALUE(SUBSTITUTE(SUBSTITUTE(INDEX(급여대장_원본!$A$1:$AZ$400,(설정!$B$8+146),설정!$D$35)&amp;"",",",""),"　","")),0)))</f>
        <v/>
      </c>
      <c r="AH152" s="27">
        <f>IF(설정!$D$36="","",IF(설정!$D$36="",0,IFERROR(VALUE(SUBSTITUTE(SUBSTITUTE(INDEX(급여대장_원본!$A$1:$AZ$400,(설정!$B$8+146),설정!$D$36)&amp;"",",",""),"　","")),0)))</f>
        <v/>
      </c>
      <c r="AI152" s="27">
        <f>IF(설정!$D$37="","",IF(설정!$D$37="",0,IFERROR(VALUE(SUBSTITUTE(SUBSTITUTE(INDEX(급여대장_원본!$A$1:$AZ$400,(설정!$B$8+146),설정!$D$37)&amp;"",",",""),"　","")),0)))</f>
        <v/>
      </c>
      <c r="AJ152" s="2">
        <f>IFERROR(INDEX($D$7:$D$306,MATCH(146,$B$7:$B$306,0)),"")</f>
        <v/>
      </c>
    </row>
    <row r="153">
      <c r="A153" s="2">
        <f>IF(AND(D153&lt;&gt;"",D153&lt;&gt;"합계",D153&lt;&gt;"총계",D153&lt;&gt;"소계",D153&lt;&gt;"계"),1,0)</f>
        <v/>
      </c>
      <c r="B153" s="2">
        <f>IF(A153=1,SUM($A$7:A153),"")</f>
        <v/>
      </c>
      <c r="C153" s="2">
        <f>IF(설정!$D$13="","",TRIM(SUBSTITUTE(INDEX(급여대장_원본!$A$1:$AZ$400,(설정!$B$8+147),설정!$D$13)&amp;"","　"," ")))</f>
        <v/>
      </c>
      <c r="D153" s="2">
        <f>IF(설정!$D$14="","",TRIM(SUBSTITUTE(INDEX(급여대장_원본!$A$1:$AZ$400,(설정!$B$8+147),설정!$D$14)&amp;"","　"," ")))</f>
        <v/>
      </c>
      <c r="E153" s="2">
        <f>IF(설정!$D$15="","",TRIM(SUBSTITUTE(INDEX(급여대장_원본!$A$1:$AZ$400,(설정!$B$8+147),설정!$D$15)&amp;"","　"," ")))</f>
        <v/>
      </c>
      <c r="F153" s="27">
        <f>IF(설정!$D$17="",0,IFERROR(VALUE(SUBSTITUTE(SUBSTITUTE(INDEX(급여대장_원본!$A$1:$AZ$400,(설정!$B$8+147),설정!$D$17)&amp;"",",",""),"　","")),0))</f>
        <v/>
      </c>
      <c r="G153" s="27">
        <f>IF(설정!$D$18="",0,IFERROR(VALUE(SUBSTITUTE(SUBSTITUTE(INDEX(급여대장_원본!$A$1:$AZ$400,(설정!$B$8+147),설정!$D$18)&amp;"",",",""),"　","")),0))</f>
        <v/>
      </c>
      <c r="H153" s="27">
        <f>IF(설정!$D$19="",0,IFERROR(VALUE(SUBSTITUTE(SUBSTITUTE(INDEX(급여대장_원본!$A$1:$AZ$400,(설정!$B$8+147),설정!$D$19)&amp;"",",",""),"　","")),0))</f>
        <v/>
      </c>
      <c r="I153" s="27">
        <f>IF(설정!$D$20="",0,IFERROR(VALUE(SUBSTITUTE(SUBSTITUTE(INDEX(급여대장_원본!$A$1:$AZ$400,(설정!$B$8+147),설정!$D$20)&amp;"",",",""),"　","")),0))</f>
        <v/>
      </c>
      <c r="J153" s="27">
        <f>IF(설정!$D$21="",0,IFERROR(VALUE(SUBSTITUTE(SUBSTITUTE(INDEX(급여대장_원본!$A$1:$AZ$400,(설정!$B$8+147),설정!$D$21)&amp;"",",",""),"　","")),0))</f>
        <v/>
      </c>
      <c r="K153" s="27">
        <f>IF(설정!$D$22="",0,IFERROR(VALUE(SUBSTITUTE(SUBSTITUTE(INDEX(급여대장_원본!$A$1:$AZ$400,(설정!$B$8+147),설정!$D$22)&amp;"",",",""),"　","")),0))</f>
        <v/>
      </c>
      <c r="L153" s="27">
        <f>IF(설정!$D$23="",0,IFERROR(VALUE(SUBSTITUTE(SUBSTITUTE(INDEX(급여대장_원본!$A$1:$AZ$400,(설정!$B$8+147),설정!$D$23)&amp;"",",",""),"　","")),0))</f>
        <v/>
      </c>
      <c r="M153" s="27">
        <f>IF(설정!$D$24="",0,IFERROR(VALUE(SUBSTITUTE(SUBSTITUTE(INDEX(급여대장_원본!$A$1:$AZ$400,(설정!$B$8+147),설정!$D$24)&amp;"",",",""),"　","")),0))</f>
        <v/>
      </c>
      <c r="N153" s="2">
        <f>IF(OR(설정!$C$17="",IFERROR(MATCH(설정!$C$17,INDEX(급여대장_원본!$A$1:$AZ$400,설정!$B$8,0),0),"")=""),"",IFERROR(VALUE(SUBSTITUTE(INDEX(급여대장_원본!$A$1:$AZ$400,(설정!$B$8+147),IFERROR(MATCH(설정!$C$17,INDEX(급여대장_원본!$A$1:$AZ$400,설정!$B$8,0),0),""))&amp;"",",","")),""))</f>
        <v/>
      </c>
      <c r="O153" s="2">
        <f>IF(OR(설정!$C$18="",IFERROR(MATCH(설정!$C$18,INDEX(급여대장_원본!$A$1:$AZ$400,설정!$B$8,0),0),"")=""),"",IFERROR(VALUE(SUBSTITUTE(INDEX(급여대장_원본!$A$1:$AZ$400,(설정!$B$8+147),IFERROR(MATCH(설정!$C$18,INDEX(급여대장_원본!$A$1:$AZ$400,설정!$B$8,0),0),""))&amp;"",",","")),""))</f>
        <v/>
      </c>
      <c r="P153" s="2">
        <f>IF(OR(설정!$C$19="",IFERROR(MATCH(설정!$C$19,INDEX(급여대장_원본!$A$1:$AZ$400,설정!$B$8,0),0),"")=""),"",IFERROR(VALUE(SUBSTITUTE(INDEX(급여대장_원본!$A$1:$AZ$400,(설정!$B$8+147),IFERROR(MATCH(설정!$C$19,INDEX(급여대장_원본!$A$1:$AZ$400,설정!$B$8,0),0),""))&amp;"",",","")),""))</f>
        <v/>
      </c>
      <c r="Q153" s="2">
        <f>IF(OR(설정!$C$20="",IFERROR(MATCH(설정!$C$20,INDEX(급여대장_원본!$A$1:$AZ$400,설정!$B$8,0),0),"")=""),"",IFERROR(VALUE(SUBSTITUTE(INDEX(급여대장_원본!$A$1:$AZ$400,(설정!$B$8+147),IFERROR(MATCH(설정!$C$20,INDEX(급여대장_원본!$A$1:$AZ$400,설정!$B$8,0),0),""))&amp;"",",","")),""))</f>
        <v/>
      </c>
      <c r="R153" s="2">
        <f>IF(OR(설정!$C$21="",IFERROR(MATCH(설정!$C$21,INDEX(급여대장_원본!$A$1:$AZ$400,설정!$B$8,0),0),"")=""),"",IFERROR(VALUE(SUBSTITUTE(INDEX(급여대장_원본!$A$1:$AZ$400,(설정!$B$8+147),IFERROR(MATCH(설정!$C$21,INDEX(급여대장_원본!$A$1:$AZ$400,설정!$B$8,0),0),""))&amp;"",",","")),""))</f>
        <v/>
      </c>
      <c r="S153" s="2">
        <f>IF(OR(설정!$C$22="",IFERROR(MATCH(설정!$C$22,INDEX(급여대장_원본!$A$1:$AZ$400,설정!$B$8,0),0),"")=""),"",IFERROR(VALUE(SUBSTITUTE(INDEX(급여대장_원본!$A$1:$AZ$400,(설정!$B$8+147),IFERROR(MATCH(설정!$C$22,INDEX(급여대장_원본!$A$1:$AZ$400,설정!$B$8,0),0),""))&amp;"",",","")),""))</f>
        <v/>
      </c>
      <c r="T153" s="2">
        <f>IF(OR(설정!$C$23="",IFERROR(MATCH(설정!$C$23,INDEX(급여대장_원본!$A$1:$AZ$400,설정!$B$8,0),0),"")=""),"",IFERROR(VALUE(SUBSTITUTE(INDEX(급여대장_원본!$A$1:$AZ$400,(설정!$B$8+147),IFERROR(MATCH(설정!$C$23,INDEX(급여대장_원본!$A$1:$AZ$400,설정!$B$8,0),0),""))&amp;"",",","")),""))</f>
        <v/>
      </c>
      <c r="U153" s="2">
        <f>IF(OR(설정!$C$24="",IFERROR(MATCH(설정!$C$24,INDEX(급여대장_원본!$A$1:$AZ$400,설정!$B$8,0),0),"")=""),"",IFERROR(VALUE(SUBSTITUTE(INDEX(급여대장_원본!$A$1:$AZ$400,(설정!$B$8+147),IFERROR(MATCH(설정!$C$24,INDEX(급여대장_원본!$A$1:$AZ$400,설정!$B$8,0),0),""))&amp;"",",","")),""))</f>
        <v/>
      </c>
      <c r="V153" s="27">
        <f>SUM(F153:M153)</f>
        <v/>
      </c>
      <c r="W153" s="27">
        <f>IF(설정!$D$26="",0,IFERROR(VALUE(SUBSTITUTE(SUBSTITUTE(INDEX(급여대장_원본!$A$1:$AZ$400,(설정!$B$8+147),설정!$D$26)&amp;"",",",""),"　","")),0))</f>
        <v/>
      </c>
      <c r="X153" s="27">
        <f>IF(설정!$D$27="",0,IFERROR(VALUE(SUBSTITUTE(SUBSTITUTE(INDEX(급여대장_원본!$A$1:$AZ$400,(설정!$B$8+147),설정!$D$27)&amp;"",",",""),"　","")),0))</f>
        <v/>
      </c>
      <c r="Y153" s="27">
        <f>IF(설정!$D$28="",0,IFERROR(VALUE(SUBSTITUTE(SUBSTITUTE(INDEX(급여대장_원본!$A$1:$AZ$400,(설정!$B$8+147),설정!$D$28)&amp;"",",",""),"　","")),0))</f>
        <v/>
      </c>
      <c r="Z153" s="27">
        <f>IF(설정!$D$29="",0,IFERROR(VALUE(SUBSTITUTE(SUBSTITUTE(INDEX(급여대장_원본!$A$1:$AZ$400,(설정!$B$8+147),설정!$D$29)&amp;"",",",""),"　","")),0))</f>
        <v/>
      </c>
      <c r="AA153" s="27">
        <f>IF(설정!$D$30="",0,IFERROR(VALUE(SUBSTITUTE(SUBSTITUTE(INDEX(급여대장_원본!$A$1:$AZ$400,(설정!$B$8+147),설정!$D$30)&amp;"",",",""),"　","")),0))</f>
        <v/>
      </c>
      <c r="AB153" s="27">
        <f>IF(설정!$D$31="",0,IFERROR(VALUE(SUBSTITUTE(SUBSTITUTE(INDEX(급여대장_원본!$A$1:$AZ$400,(설정!$B$8+147),설정!$D$31)&amp;"",",",""),"　","")),0))</f>
        <v/>
      </c>
      <c r="AC153" s="27">
        <f>IF(설정!$D$32="",0,IFERROR(VALUE(SUBSTITUTE(SUBSTITUTE(INDEX(급여대장_원본!$A$1:$AZ$400,(설정!$B$8+147),설정!$D$32)&amp;"",",",""),"　","")),0))</f>
        <v/>
      </c>
      <c r="AD153" s="27">
        <f>IF(설정!$D$33="",0,IFERROR(VALUE(SUBSTITUTE(SUBSTITUTE(INDEX(급여대장_원본!$A$1:$AZ$400,(설정!$B$8+147),설정!$D$33)&amp;"",",",""),"　","")),0))</f>
        <v/>
      </c>
      <c r="AE153" s="27">
        <f>SUM(W153:AD153)</f>
        <v/>
      </c>
      <c r="AF153" s="27">
        <f>V153-AE153</f>
        <v/>
      </c>
      <c r="AG153" s="27">
        <f>IF(설정!$D$35="","",IF(설정!$D$35="",0,IFERROR(VALUE(SUBSTITUTE(SUBSTITUTE(INDEX(급여대장_원본!$A$1:$AZ$400,(설정!$B$8+147),설정!$D$35)&amp;"",",",""),"　","")),0)))</f>
        <v/>
      </c>
      <c r="AH153" s="27">
        <f>IF(설정!$D$36="","",IF(설정!$D$36="",0,IFERROR(VALUE(SUBSTITUTE(SUBSTITUTE(INDEX(급여대장_원본!$A$1:$AZ$400,(설정!$B$8+147),설정!$D$36)&amp;"",",",""),"　","")),0)))</f>
        <v/>
      </c>
      <c r="AI153" s="27">
        <f>IF(설정!$D$37="","",IF(설정!$D$37="",0,IFERROR(VALUE(SUBSTITUTE(SUBSTITUTE(INDEX(급여대장_원본!$A$1:$AZ$400,(설정!$B$8+147),설정!$D$37)&amp;"",",",""),"　","")),0)))</f>
        <v/>
      </c>
      <c r="AJ153" s="2">
        <f>IFERROR(INDEX($D$7:$D$306,MATCH(147,$B$7:$B$306,0)),"")</f>
        <v/>
      </c>
    </row>
    <row r="154">
      <c r="A154" s="2">
        <f>IF(AND(D154&lt;&gt;"",D154&lt;&gt;"합계",D154&lt;&gt;"총계",D154&lt;&gt;"소계",D154&lt;&gt;"계"),1,0)</f>
        <v/>
      </c>
      <c r="B154" s="2">
        <f>IF(A154=1,SUM($A$7:A154),"")</f>
        <v/>
      </c>
      <c r="C154" s="2">
        <f>IF(설정!$D$13="","",TRIM(SUBSTITUTE(INDEX(급여대장_원본!$A$1:$AZ$400,(설정!$B$8+148),설정!$D$13)&amp;"","　"," ")))</f>
        <v/>
      </c>
      <c r="D154" s="2">
        <f>IF(설정!$D$14="","",TRIM(SUBSTITUTE(INDEX(급여대장_원본!$A$1:$AZ$400,(설정!$B$8+148),설정!$D$14)&amp;"","　"," ")))</f>
        <v/>
      </c>
      <c r="E154" s="2">
        <f>IF(설정!$D$15="","",TRIM(SUBSTITUTE(INDEX(급여대장_원본!$A$1:$AZ$400,(설정!$B$8+148),설정!$D$15)&amp;"","　"," ")))</f>
        <v/>
      </c>
      <c r="F154" s="27">
        <f>IF(설정!$D$17="",0,IFERROR(VALUE(SUBSTITUTE(SUBSTITUTE(INDEX(급여대장_원본!$A$1:$AZ$400,(설정!$B$8+148),설정!$D$17)&amp;"",",",""),"　","")),0))</f>
        <v/>
      </c>
      <c r="G154" s="27">
        <f>IF(설정!$D$18="",0,IFERROR(VALUE(SUBSTITUTE(SUBSTITUTE(INDEX(급여대장_원본!$A$1:$AZ$400,(설정!$B$8+148),설정!$D$18)&amp;"",",",""),"　","")),0))</f>
        <v/>
      </c>
      <c r="H154" s="27">
        <f>IF(설정!$D$19="",0,IFERROR(VALUE(SUBSTITUTE(SUBSTITUTE(INDEX(급여대장_원본!$A$1:$AZ$400,(설정!$B$8+148),설정!$D$19)&amp;"",",",""),"　","")),0))</f>
        <v/>
      </c>
      <c r="I154" s="27">
        <f>IF(설정!$D$20="",0,IFERROR(VALUE(SUBSTITUTE(SUBSTITUTE(INDEX(급여대장_원본!$A$1:$AZ$400,(설정!$B$8+148),설정!$D$20)&amp;"",",",""),"　","")),0))</f>
        <v/>
      </c>
      <c r="J154" s="27">
        <f>IF(설정!$D$21="",0,IFERROR(VALUE(SUBSTITUTE(SUBSTITUTE(INDEX(급여대장_원본!$A$1:$AZ$400,(설정!$B$8+148),설정!$D$21)&amp;"",",",""),"　","")),0))</f>
        <v/>
      </c>
      <c r="K154" s="27">
        <f>IF(설정!$D$22="",0,IFERROR(VALUE(SUBSTITUTE(SUBSTITUTE(INDEX(급여대장_원본!$A$1:$AZ$400,(설정!$B$8+148),설정!$D$22)&amp;"",",",""),"　","")),0))</f>
        <v/>
      </c>
      <c r="L154" s="27">
        <f>IF(설정!$D$23="",0,IFERROR(VALUE(SUBSTITUTE(SUBSTITUTE(INDEX(급여대장_원본!$A$1:$AZ$400,(설정!$B$8+148),설정!$D$23)&amp;"",",",""),"　","")),0))</f>
        <v/>
      </c>
      <c r="M154" s="27">
        <f>IF(설정!$D$24="",0,IFERROR(VALUE(SUBSTITUTE(SUBSTITUTE(INDEX(급여대장_원본!$A$1:$AZ$400,(설정!$B$8+148),설정!$D$24)&amp;"",",",""),"　","")),0))</f>
        <v/>
      </c>
      <c r="N154" s="2">
        <f>IF(OR(설정!$C$17="",IFERROR(MATCH(설정!$C$17,INDEX(급여대장_원본!$A$1:$AZ$400,설정!$B$8,0),0),"")=""),"",IFERROR(VALUE(SUBSTITUTE(INDEX(급여대장_원본!$A$1:$AZ$400,(설정!$B$8+148),IFERROR(MATCH(설정!$C$17,INDEX(급여대장_원본!$A$1:$AZ$400,설정!$B$8,0),0),""))&amp;"",",","")),""))</f>
        <v/>
      </c>
      <c r="O154" s="2">
        <f>IF(OR(설정!$C$18="",IFERROR(MATCH(설정!$C$18,INDEX(급여대장_원본!$A$1:$AZ$400,설정!$B$8,0),0),"")=""),"",IFERROR(VALUE(SUBSTITUTE(INDEX(급여대장_원본!$A$1:$AZ$400,(설정!$B$8+148),IFERROR(MATCH(설정!$C$18,INDEX(급여대장_원본!$A$1:$AZ$400,설정!$B$8,0),0),""))&amp;"",",","")),""))</f>
        <v/>
      </c>
      <c r="P154" s="2">
        <f>IF(OR(설정!$C$19="",IFERROR(MATCH(설정!$C$19,INDEX(급여대장_원본!$A$1:$AZ$400,설정!$B$8,0),0),"")=""),"",IFERROR(VALUE(SUBSTITUTE(INDEX(급여대장_원본!$A$1:$AZ$400,(설정!$B$8+148),IFERROR(MATCH(설정!$C$19,INDEX(급여대장_원본!$A$1:$AZ$400,설정!$B$8,0),0),""))&amp;"",",","")),""))</f>
        <v/>
      </c>
      <c r="Q154" s="2">
        <f>IF(OR(설정!$C$20="",IFERROR(MATCH(설정!$C$20,INDEX(급여대장_원본!$A$1:$AZ$400,설정!$B$8,0),0),"")=""),"",IFERROR(VALUE(SUBSTITUTE(INDEX(급여대장_원본!$A$1:$AZ$400,(설정!$B$8+148),IFERROR(MATCH(설정!$C$20,INDEX(급여대장_원본!$A$1:$AZ$400,설정!$B$8,0),0),""))&amp;"",",","")),""))</f>
        <v/>
      </c>
      <c r="R154" s="2">
        <f>IF(OR(설정!$C$21="",IFERROR(MATCH(설정!$C$21,INDEX(급여대장_원본!$A$1:$AZ$400,설정!$B$8,0),0),"")=""),"",IFERROR(VALUE(SUBSTITUTE(INDEX(급여대장_원본!$A$1:$AZ$400,(설정!$B$8+148),IFERROR(MATCH(설정!$C$21,INDEX(급여대장_원본!$A$1:$AZ$400,설정!$B$8,0),0),""))&amp;"",",","")),""))</f>
        <v/>
      </c>
      <c r="S154" s="2">
        <f>IF(OR(설정!$C$22="",IFERROR(MATCH(설정!$C$22,INDEX(급여대장_원본!$A$1:$AZ$400,설정!$B$8,0),0),"")=""),"",IFERROR(VALUE(SUBSTITUTE(INDEX(급여대장_원본!$A$1:$AZ$400,(설정!$B$8+148),IFERROR(MATCH(설정!$C$22,INDEX(급여대장_원본!$A$1:$AZ$400,설정!$B$8,0),0),""))&amp;"",",","")),""))</f>
        <v/>
      </c>
      <c r="T154" s="2">
        <f>IF(OR(설정!$C$23="",IFERROR(MATCH(설정!$C$23,INDEX(급여대장_원본!$A$1:$AZ$400,설정!$B$8,0),0),"")=""),"",IFERROR(VALUE(SUBSTITUTE(INDEX(급여대장_원본!$A$1:$AZ$400,(설정!$B$8+148),IFERROR(MATCH(설정!$C$23,INDEX(급여대장_원본!$A$1:$AZ$400,설정!$B$8,0),0),""))&amp;"",",","")),""))</f>
        <v/>
      </c>
      <c r="U154" s="2">
        <f>IF(OR(설정!$C$24="",IFERROR(MATCH(설정!$C$24,INDEX(급여대장_원본!$A$1:$AZ$400,설정!$B$8,0),0),"")=""),"",IFERROR(VALUE(SUBSTITUTE(INDEX(급여대장_원본!$A$1:$AZ$400,(설정!$B$8+148),IFERROR(MATCH(설정!$C$24,INDEX(급여대장_원본!$A$1:$AZ$400,설정!$B$8,0),0),""))&amp;"",",","")),""))</f>
        <v/>
      </c>
      <c r="V154" s="27">
        <f>SUM(F154:M154)</f>
        <v/>
      </c>
      <c r="W154" s="27">
        <f>IF(설정!$D$26="",0,IFERROR(VALUE(SUBSTITUTE(SUBSTITUTE(INDEX(급여대장_원본!$A$1:$AZ$400,(설정!$B$8+148),설정!$D$26)&amp;"",",",""),"　","")),0))</f>
        <v/>
      </c>
      <c r="X154" s="27">
        <f>IF(설정!$D$27="",0,IFERROR(VALUE(SUBSTITUTE(SUBSTITUTE(INDEX(급여대장_원본!$A$1:$AZ$400,(설정!$B$8+148),설정!$D$27)&amp;"",",",""),"　","")),0))</f>
        <v/>
      </c>
      <c r="Y154" s="27">
        <f>IF(설정!$D$28="",0,IFERROR(VALUE(SUBSTITUTE(SUBSTITUTE(INDEX(급여대장_원본!$A$1:$AZ$400,(설정!$B$8+148),설정!$D$28)&amp;"",",",""),"　","")),0))</f>
        <v/>
      </c>
      <c r="Z154" s="27">
        <f>IF(설정!$D$29="",0,IFERROR(VALUE(SUBSTITUTE(SUBSTITUTE(INDEX(급여대장_원본!$A$1:$AZ$400,(설정!$B$8+148),설정!$D$29)&amp;"",",",""),"　","")),0))</f>
        <v/>
      </c>
      <c r="AA154" s="27">
        <f>IF(설정!$D$30="",0,IFERROR(VALUE(SUBSTITUTE(SUBSTITUTE(INDEX(급여대장_원본!$A$1:$AZ$400,(설정!$B$8+148),설정!$D$30)&amp;"",",",""),"　","")),0))</f>
        <v/>
      </c>
      <c r="AB154" s="27">
        <f>IF(설정!$D$31="",0,IFERROR(VALUE(SUBSTITUTE(SUBSTITUTE(INDEX(급여대장_원본!$A$1:$AZ$400,(설정!$B$8+148),설정!$D$31)&amp;"",",",""),"　","")),0))</f>
        <v/>
      </c>
      <c r="AC154" s="27">
        <f>IF(설정!$D$32="",0,IFERROR(VALUE(SUBSTITUTE(SUBSTITUTE(INDEX(급여대장_원본!$A$1:$AZ$400,(설정!$B$8+148),설정!$D$32)&amp;"",",",""),"　","")),0))</f>
        <v/>
      </c>
      <c r="AD154" s="27">
        <f>IF(설정!$D$33="",0,IFERROR(VALUE(SUBSTITUTE(SUBSTITUTE(INDEX(급여대장_원본!$A$1:$AZ$400,(설정!$B$8+148),설정!$D$33)&amp;"",",",""),"　","")),0))</f>
        <v/>
      </c>
      <c r="AE154" s="27">
        <f>SUM(W154:AD154)</f>
        <v/>
      </c>
      <c r="AF154" s="27">
        <f>V154-AE154</f>
        <v/>
      </c>
      <c r="AG154" s="27">
        <f>IF(설정!$D$35="","",IF(설정!$D$35="",0,IFERROR(VALUE(SUBSTITUTE(SUBSTITUTE(INDEX(급여대장_원본!$A$1:$AZ$400,(설정!$B$8+148),설정!$D$35)&amp;"",",",""),"　","")),0)))</f>
        <v/>
      </c>
      <c r="AH154" s="27">
        <f>IF(설정!$D$36="","",IF(설정!$D$36="",0,IFERROR(VALUE(SUBSTITUTE(SUBSTITUTE(INDEX(급여대장_원본!$A$1:$AZ$400,(설정!$B$8+148),설정!$D$36)&amp;"",",",""),"　","")),0)))</f>
        <v/>
      </c>
      <c r="AI154" s="27">
        <f>IF(설정!$D$37="","",IF(설정!$D$37="",0,IFERROR(VALUE(SUBSTITUTE(SUBSTITUTE(INDEX(급여대장_원본!$A$1:$AZ$400,(설정!$B$8+148),설정!$D$37)&amp;"",",",""),"　","")),0)))</f>
        <v/>
      </c>
      <c r="AJ154" s="2">
        <f>IFERROR(INDEX($D$7:$D$306,MATCH(148,$B$7:$B$306,0)),"")</f>
        <v/>
      </c>
    </row>
    <row r="155">
      <c r="A155" s="2">
        <f>IF(AND(D155&lt;&gt;"",D155&lt;&gt;"합계",D155&lt;&gt;"총계",D155&lt;&gt;"소계",D155&lt;&gt;"계"),1,0)</f>
        <v/>
      </c>
      <c r="B155" s="2">
        <f>IF(A155=1,SUM($A$7:A155),"")</f>
        <v/>
      </c>
      <c r="C155" s="2">
        <f>IF(설정!$D$13="","",TRIM(SUBSTITUTE(INDEX(급여대장_원본!$A$1:$AZ$400,(설정!$B$8+149),설정!$D$13)&amp;"","　"," ")))</f>
        <v/>
      </c>
      <c r="D155" s="2">
        <f>IF(설정!$D$14="","",TRIM(SUBSTITUTE(INDEX(급여대장_원본!$A$1:$AZ$400,(설정!$B$8+149),설정!$D$14)&amp;"","　"," ")))</f>
        <v/>
      </c>
      <c r="E155" s="2">
        <f>IF(설정!$D$15="","",TRIM(SUBSTITUTE(INDEX(급여대장_원본!$A$1:$AZ$400,(설정!$B$8+149),설정!$D$15)&amp;"","　"," ")))</f>
        <v/>
      </c>
      <c r="F155" s="27">
        <f>IF(설정!$D$17="",0,IFERROR(VALUE(SUBSTITUTE(SUBSTITUTE(INDEX(급여대장_원본!$A$1:$AZ$400,(설정!$B$8+149),설정!$D$17)&amp;"",",",""),"　","")),0))</f>
        <v/>
      </c>
      <c r="G155" s="27">
        <f>IF(설정!$D$18="",0,IFERROR(VALUE(SUBSTITUTE(SUBSTITUTE(INDEX(급여대장_원본!$A$1:$AZ$400,(설정!$B$8+149),설정!$D$18)&amp;"",",",""),"　","")),0))</f>
        <v/>
      </c>
      <c r="H155" s="27">
        <f>IF(설정!$D$19="",0,IFERROR(VALUE(SUBSTITUTE(SUBSTITUTE(INDEX(급여대장_원본!$A$1:$AZ$400,(설정!$B$8+149),설정!$D$19)&amp;"",",",""),"　","")),0))</f>
        <v/>
      </c>
      <c r="I155" s="27">
        <f>IF(설정!$D$20="",0,IFERROR(VALUE(SUBSTITUTE(SUBSTITUTE(INDEX(급여대장_원본!$A$1:$AZ$400,(설정!$B$8+149),설정!$D$20)&amp;"",",",""),"　","")),0))</f>
        <v/>
      </c>
      <c r="J155" s="27">
        <f>IF(설정!$D$21="",0,IFERROR(VALUE(SUBSTITUTE(SUBSTITUTE(INDEX(급여대장_원본!$A$1:$AZ$400,(설정!$B$8+149),설정!$D$21)&amp;"",",",""),"　","")),0))</f>
        <v/>
      </c>
      <c r="K155" s="27">
        <f>IF(설정!$D$22="",0,IFERROR(VALUE(SUBSTITUTE(SUBSTITUTE(INDEX(급여대장_원본!$A$1:$AZ$400,(설정!$B$8+149),설정!$D$22)&amp;"",",",""),"　","")),0))</f>
        <v/>
      </c>
      <c r="L155" s="27">
        <f>IF(설정!$D$23="",0,IFERROR(VALUE(SUBSTITUTE(SUBSTITUTE(INDEX(급여대장_원본!$A$1:$AZ$400,(설정!$B$8+149),설정!$D$23)&amp;"",",",""),"　","")),0))</f>
        <v/>
      </c>
      <c r="M155" s="27">
        <f>IF(설정!$D$24="",0,IFERROR(VALUE(SUBSTITUTE(SUBSTITUTE(INDEX(급여대장_원본!$A$1:$AZ$400,(설정!$B$8+149),설정!$D$24)&amp;"",",",""),"　","")),0))</f>
        <v/>
      </c>
      <c r="N155" s="2">
        <f>IF(OR(설정!$C$17="",IFERROR(MATCH(설정!$C$17,INDEX(급여대장_원본!$A$1:$AZ$400,설정!$B$8,0),0),"")=""),"",IFERROR(VALUE(SUBSTITUTE(INDEX(급여대장_원본!$A$1:$AZ$400,(설정!$B$8+149),IFERROR(MATCH(설정!$C$17,INDEX(급여대장_원본!$A$1:$AZ$400,설정!$B$8,0),0),""))&amp;"",",","")),""))</f>
        <v/>
      </c>
      <c r="O155" s="2">
        <f>IF(OR(설정!$C$18="",IFERROR(MATCH(설정!$C$18,INDEX(급여대장_원본!$A$1:$AZ$400,설정!$B$8,0),0),"")=""),"",IFERROR(VALUE(SUBSTITUTE(INDEX(급여대장_원본!$A$1:$AZ$400,(설정!$B$8+149),IFERROR(MATCH(설정!$C$18,INDEX(급여대장_원본!$A$1:$AZ$400,설정!$B$8,0),0),""))&amp;"",",","")),""))</f>
        <v/>
      </c>
      <c r="P155" s="2">
        <f>IF(OR(설정!$C$19="",IFERROR(MATCH(설정!$C$19,INDEX(급여대장_원본!$A$1:$AZ$400,설정!$B$8,0),0),"")=""),"",IFERROR(VALUE(SUBSTITUTE(INDEX(급여대장_원본!$A$1:$AZ$400,(설정!$B$8+149),IFERROR(MATCH(설정!$C$19,INDEX(급여대장_원본!$A$1:$AZ$400,설정!$B$8,0),0),""))&amp;"",",","")),""))</f>
        <v/>
      </c>
      <c r="Q155" s="2">
        <f>IF(OR(설정!$C$20="",IFERROR(MATCH(설정!$C$20,INDEX(급여대장_원본!$A$1:$AZ$400,설정!$B$8,0),0),"")=""),"",IFERROR(VALUE(SUBSTITUTE(INDEX(급여대장_원본!$A$1:$AZ$400,(설정!$B$8+149),IFERROR(MATCH(설정!$C$20,INDEX(급여대장_원본!$A$1:$AZ$400,설정!$B$8,0),0),""))&amp;"",",","")),""))</f>
        <v/>
      </c>
      <c r="R155" s="2">
        <f>IF(OR(설정!$C$21="",IFERROR(MATCH(설정!$C$21,INDEX(급여대장_원본!$A$1:$AZ$400,설정!$B$8,0),0),"")=""),"",IFERROR(VALUE(SUBSTITUTE(INDEX(급여대장_원본!$A$1:$AZ$400,(설정!$B$8+149),IFERROR(MATCH(설정!$C$21,INDEX(급여대장_원본!$A$1:$AZ$400,설정!$B$8,0),0),""))&amp;"",",","")),""))</f>
        <v/>
      </c>
      <c r="S155" s="2">
        <f>IF(OR(설정!$C$22="",IFERROR(MATCH(설정!$C$22,INDEX(급여대장_원본!$A$1:$AZ$400,설정!$B$8,0),0),"")=""),"",IFERROR(VALUE(SUBSTITUTE(INDEX(급여대장_원본!$A$1:$AZ$400,(설정!$B$8+149),IFERROR(MATCH(설정!$C$22,INDEX(급여대장_원본!$A$1:$AZ$400,설정!$B$8,0),0),""))&amp;"",",","")),""))</f>
        <v/>
      </c>
      <c r="T155" s="2">
        <f>IF(OR(설정!$C$23="",IFERROR(MATCH(설정!$C$23,INDEX(급여대장_원본!$A$1:$AZ$400,설정!$B$8,0),0),"")=""),"",IFERROR(VALUE(SUBSTITUTE(INDEX(급여대장_원본!$A$1:$AZ$400,(설정!$B$8+149),IFERROR(MATCH(설정!$C$23,INDEX(급여대장_원본!$A$1:$AZ$400,설정!$B$8,0),0),""))&amp;"",",","")),""))</f>
        <v/>
      </c>
      <c r="U155" s="2">
        <f>IF(OR(설정!$C$24="",IFERROR(MATCH(설정!$C$24,INDEX(급여대장_원본!$A$1:$AZ$400,설정!$B$8,0),0),"")=""),"",IFERROR(VALUE(SUBSTITUTE(INDEX(급여대장_원본!$A$1:$AZ$400,(설정!$B$8+149),IFERROR(MATCH(설정!$C$24,INDEX(급여대장_원본!$A$1:$AZ$400,설정!$B$8,0),0),""))&amp;"",",","")),""))</f>
        <v/>
      </c>
      <c r="V155" s="27">
        <f>SUM(F155:M155)</f>
        <v/>
      </c>
      <c r="W155" s="27">
        <f>IF(설정!$D$26="",0,IFERROR(VALUE(SUBSTITUTE(SUBSTITUTE(INDEX(급여대장_원본!$A$1:$AZ$400,(설정!$B$8+149),설정!$D$26)&amp;"",",",""),"　","")),0))</f>
        <v/>
      </c>
      <c r="X155" s="27">
        <f>IF(설정!$D$27="",0,IFERROR(VALUE(SUBSTITUTE(SUBSTITUTE(INDEX(급여대장_원본!$A$1:$AZ$400,(설정!$B$8+149),설정!$D$27)&amp;"",",",""),"　","")),0))</f>
        <v/>
      </c>
      <c r="Y155" s="27">
        <f>IF(설정!$D$28="",0,IFERROR(VALUE(SUBSTITUTE(SUBSTITUTE(INDEX(급여대장_원본!$A$1:$AZ$400,(설정!$B$8+149),설정!$D$28)&amp;"",",",""),"　","")),0))</f>
        <v/>
      </c>
      <c r="Z155" s="27">
        <f>IF(설정!$D$29="",0,IFERROR(VALUE(SUBSTITUTE(SUBSTITUTE(INDEX(급여대장_원본!$A$1:$AZ$400,(설정!$B$8+149),설정!$D$29)&amp;"",",",""),"　","")),0))</f>
        <v/>
      </c>
      <c r="AA155" s="27">
        <f>IF(설정!$D$30="",0,IFERROR(VALUE(SUBSTITUTE(SUBSTITUTE(INDEX(급여대장_원본!$A$1:$AZ$400,(설정!$B$8+149),설정!$D$30)&amp;"",",",""),"　","")),0))</f>
        <v/>
      </c>
      <c r="AB155" s="27">
        <f>IF(설정!$D$31="",0,IFERROR(VALUE(SUBSTITUTE(SUBSTITUTE(INDEX(급여대장_원본!$A$1:$AZ$400,(설정!$B$8+149),설정!$D$31)&amp;"",",",""),"　","")),0))</f>
        <v/>
      </c>
      <c r="AC155" s="27">
        <f>IF(설정!$D$32="",0,IFERROR(VALUE(SUBSTITUTE(SUBSTITUTE(INDEX(급여대장_원본!$A$1:$AZ$400,(설정!$B$8+149),설정!$D$32)&amp;"",",",""),"　","")),0))</f>
        <v/>
      </c>
      <c r="AD155" s="27">
        <f>IF(설정!$D$33="",0,IFERROR(VALUE(SUBSTITUTE(SUBSTITUTE(INDEX(급여대장_원본!$A$1:$AZ$400,(설정!$B$8+149),설정!$D$33)&amp;"",",",""),"　","")),0))</f>
        <v/>
      </c>
      <c r="AE155" s="27">
        <f>SUM(W155:AD155)</f>
        <v/>
      </c>
      <c r="AF155" s="27">
        <f>V155-AE155</f>
        <v/>
      </c>
      <c r="AG155" s="27">
        <f>IF(설정!$D$35="","",IF(설정!$D$35="",0,IFERROR(VALUE(SUBSTITUTE(SUBSTITUTE(INDEX(급여대장_원본!$A$1:$AZ$400,(설정!$B$8+149),설정!$D$35)&amp;"",",",""),"　","")),0)))</f>
        <v/>
      </c>
      <c r="AH155" s="27">
        <f>IF(설정!$D$36="","",IF(설정!$D$36="",0,IFERROR(VALUE(SUBSTITUTE(SUBSTITUTE(INDEX(급여대장_원본!$A$1:$AZ$400,(설정!$B$8+149),설정!$D$36)&amp;"",",",""),"　","")),0)))</f>
        <v/>
      </c>
      <c r="AI155" s="27">
        <f>IF(설정!$D$37="","",IF(설정!$D$37="",0,IFERROR(VALUE(SUBSTITUTE(SUBSTITUTE(INDEX(급여대장_원본!$A$1:$AZ$400,(설정!$B$8+149),설정!$D$37)&amp;"",",",""),"　","")),0)))</f>
        <v/>
      </c>
      <c r="AJ155" s="2">
        <f>IFERROR(INDEX($D$7:$D$306,MATCH(149,$B$7:$B$306,0)),"")</f>
        <v/>
      </c>
    </row>
    <row r="156">
      <c r="A156" s="2">
        <f>IF(AND(D156&lt;&gt;"",D156&lt;&gt;"합계",D156&lt;&gt;"총계",D156&lt;&gt;"소계",D156&lt;&gt;"계"),1,0)</f>
        <v/>
      </c>
      <c r="B156" s="2">
        <f>IF(A156=1,SUM($A$7:A156),"")</f>
        <v/>
      </c>
      <c r="C156" s="2">
        <f>IF(설정!$D$13="","",TRIM(SUBSTITUTE(INDEX(급여대장_원본!$A$1:$AZ$400,(설정!$B$8+150),설정!$D$13)&amp;"","　"," ")))</f>
        <v/>
      </c>
      <c r="D156" s="2">
        <f>IF(설정!$D$14="","",TRIM(SUBSTITUTE(INDEX(급여대장_원본!$A$1:$AZ$400,(설정!$B$8+150),설정!$D$14)&amp;"","　"," ")))</f>
        <v/>
      </c>
      <c r="E156" s="2">
        <f>IF(설정!$D$15="","",TRIM(SUBSTITUTE(INDEX(급여대장_원본!$A$1:$AZ$400,(설정!$B$8+150),설정!$D$15)&amp;"","　"," ")))</f>
        <v/>
      </c>
      <c r="F156" s="27">
        <f>IF(설정!$D$17="",0,IFERROR(VALUE(SUBSTITUTE(SUBSTITUTE(INDEX(급여대장_원본!$A$1:$AZ$400,(설정!$B$8+150),설정!$D$17)&amp;"",",",""),"　","")),0))</f>
        <v/>
      </c>
      <c r="G156" s="27">
        <f>IF(설정!$D$18="",0,IFERROR(VALUE(SUBSTITUTE(SUBSTITUTE(INDEX(급여대장_원본!$A$1:$AZ$400,(설정!$B$8+150),설정!$D$18)&amp;"",",",""),"　","")),0))</f>
        <v/>
      </c>
      <c r="H156" s="27">
        <f>IF(설정!$D$19="",0,IFERROR(VALUE(SUBSTITUTE(SUBSTITUTE(INDEX(급여대장_원본!$A$1:$AZ$400,(설정!$B$8+150),설정!$D$19)&amp;"",",",""),"　","")),0))</f>
        <v/>
      </c>
      <c r="I156" s="27">
        <f>IF(설정!$D$20="",0,IFERROR(VALUE(SUBSTITUTE(SUBSTITUTE(INDEX(급여대장_원본!$A$1:$AZ$400,(설정!$B$8+150),설정!$D$20)&amp;"",",",""),"　","")),0))</f>
        <v/>
      </c>
      <c r="J156" s="27">
        <f>IF(설정!$D$21="",0,IFERROR(VALUE(SUBSTITUTE(SUBSTITUTE(INDEX(급여대장_원본!$A$1:$AZ$400,(설정!$B$8+150),설정!$D$21)&amp;"",",",""),"　","")),0))</f>
        <v/>
      </c>
      <c r="K156" s="27">
        <f>IF(설정!$D$22="",0,IFERROR(VALUE(SUBSTITUTE(SUBSTITUTE(INDEX(급여대장_원본!$A$1:$AZ$400,(설정!$B$8+150),설정!$D$22)&amp;"",",",""),"　","")),0))</f>
        <v/>
      </c>
      <c r="L156" s="27">
        <f>IF(설정!$D$23="",0,IFERROR(VALUE(SUBSTITUTE(SUBSTITUTE(INDEX(급여대장_원본!$A$1:$AZ$400,(설정!$B$8+150),설정!$D$23)&amp;"",",",""),"　","")),0))</f>
        <v/>
      </c>
      <c r="M156" s="27">
        <f>IF(설정!$D$24="",0,IFERROR(VALUE(SUBSTITUTE(SUBSTITUTE(INDEX(급여대장_원본!$A$1:$AZ$400,(설정!$B$8+150),설정!$D$24)&amp;"",",",""),"　","")),0))</f>
        <v/>
      </c>
      <c r="N156" s="2">
        <f>IF(OR(설정!$C$17="",IFERROR(MATCH(설정!$C$17,INDEX(급여대장_원본!$A$1:$AZ$400,설정!$B$8,0),0),"")=""),"",IFERROR(VALUE(SUBSTITUTE(INDEX(급여대장_원본!$A$1:$AZ$400,(설정!$B$8+150),IFERROR(MATCH(설정!$C$17,INDEX(급여대장_원본!$A$1:$AZ$400,설정!$B$8,0),0),""))&amp;"",",","")),""))</f>
        <v/>
      </c>
      <c r="O156" s="2">
        <f>IF(OR(설정!$C$18="",IFERROR(MATCH(설정!$C$18,INDEX(급여대장_원본!$A$1:$AZ$400,설정!$B$8,0),0),"")=""),"",IFERROR(VALUE(SUBSTITUTE(INDEX(급여대장_원본!$A$1:$AZ$400,(설정!$B$8+150),IFERROR(MATCH(설정!$C$18,INDEX(급여대장_원본!$A$1:$AZ$400,설정!$B$8,0),0),""))&amp;"",",","")),""))</f>
        <v/>
      </c>
      <c r="P156" s="2">
        <f>IF(OR(설정!$C$19="",IFERROR(MATCH(설정!$C$19,INDEX(급여대장_원본!$A$1:$AZ$400,설정!$B$8,0),0),"")=""),"",IFERROR(VALUE(SUBSTITUTE(INDEX(급여대장_원본!$A$1:$AZ$400,(설정!$B$8+150),IFERROR(MATCH(설정!$C$19,INDEX(급여대장_원본!$A$1:$AZ$400,설정!$B$8,0),0),""))&amp;"",",","")),""))</f>
        <v/>
      </c>
      <c r="Q156" s="2">
        <f>IF(OR(설정!$C$20="",IFERROR(MATCH(설정!$C$20,INDEX(급여대장_원본!$A$1:$AZ$400,설정!$B$8,0),0),"")=""),"",IFERROR(VALUE(SUBSTITUTE(INDEX(급여대장_원본!$A$1:$AZ$400,(설정!$B$8+150),IFERROR(MATCH(설정!$C$20,INDEX(급여대장_원본!$A$1:$AZ$400,설정!$B$8,0),0),""))&amp;"",",","")),""))</f>
        <v/>
      </c>
      <c r="R156" s="2">
        <f>IF(OR(설정!$C$21="",IFERROR(MATCH(설정!$C$21,INDEX(급여대장_원본!$A$1:$AZ$400,설정!$B$8,0),0),"")=""),"",IFERROR(VALUE(SUBSTITUTE(INDEX(급여대장_원본!$A$1:$AZ$400,(설정!$B$8+150),IFERROR(MATCH(설정!$C$21,INDEX(급여대장_원본!$A$1:$AZ$400,설정!$B$8,0),0),""))&amp;"",",","")),""))</f>
        <v/>
      </c>
      <c r="S156" s="2">
        <f>IF(OR(설정!$C$22="",IFERROR(MATCH(설정!$C$22,INDEX(급여대장_원본!$A$1:$AZ$400,설정!$B$8,0),0),"")=""),"",IFERROR(VALUE(SUBSTITUTE(INDEX(급여대장_원본!$A$1:$AZ$400,(설정!$B$8+150),IFERROR(MATCH(설정!$C$22,INDEX(급여대장_원본!$A$1:$AZ$400,설정!$B$8,0),0),""))&amp;"",",","")),""))</f>
        <v/>
      </c>
      <c r="T156" s="2">
        <f>IF(OR(설정!$C$23="",IFERROR(MATCH(설정!$C$23,INDEX(급여대장_원본!$A$1:$AZ$400,설정!$B$8,0),0),"")=""),"",IFERROR(VALUE(SUBSTITUTE(INDEX(급여대장_원본!$A$1:$AZ$400,(설정!$B$8+150),IFERROR(MATCH(설정!$C$23,INDEX(급여대장_원본!$A$1:$AZ$400,설정!$B$8,0),0),""))&amp;"",",","")),""))</f>
        <v/>
      </c>
      <c r="U156" s="2">
        <f>IF(OR(설정!$C$24="",IFERROR(MATCH(설정!$C$24,INDEX(급여대장_원본!$A$1:$AZ$400,설정!$B$8,0),0),"")=""),"",IFERROR(VALUE(SUBSTITUTE(INDEX(급여대장_원본!$A$1:$AZ$400,(설정!$B$8+150),IFERROR(MATCH(설정!$C$24,INDEX(급여대장_원본!$A$1:$AZ$400,설정!$B$8,0),0),""))&amp;"",",","")),""))</f>
        <v/>
      </c>
      <c r="V156" s="27">
        <f>SUM(F156:M156)</f>
        <v/>
      </c>
      <c r="W156" s="27">
        <f>IF(설정!$D$26="",0,IFERROR(VALUE(SUBSTITUTE(SUBSTITUTE(INDEX(급여대장_원본!$A$1:$AZ$400,(설정!$B$8+150),설정!$D$26)&amp;"",",",""),"　","")),0))</f>
        <v/>
      </c>
      <c r="X156" s="27">
        <f>IF(설정!$D$27="",0,IFERROR(VALUE(SUBSTITUTE(SUBSTITUTE(INDEX(급여대장_원본!$A$1:$AZ$400,(설정!$B$8+150),설정!$D$27)&amp;"",",",""),"　","")),0))</f>
        <v/>
      </c>
      <c r="Y156" s="27">
        <f>IF(설정!$D$28="",0,IFERROR(VALUE(SUBSTITUTE(SUBSTITUTE(INDEX(급여대장_원본!$A$1:$AZ$400,(설정!$B$8+150),설정!$D$28)&amp;"",",",""),"　","")),0))</f>
        <v/>
      </c>
      <c r="Z156" s="27">
        <f>IF(설정!$D$29="",0,IFERROR(VALUE(SUBSTITUTE(SUBSTITUTE(INDEX(급여대장_원본!$A$1:$AZ$400,(설정!$B$8+150),설정!$D$29)&amp;"",",",""),"　","")),0))</f>
        <v/>
      </c>
      <c r="AA156" s="27">
        <f>IF(설정!$D$30="",0,IFERROR(VALUE(SUBSTITUTE(SUBSTITUTE(INDEX(급여대장_원본!$A$1:$AZ$400,(설정!$B$8+150),설정!$D$30)&amp;"",",",""),"　","")),0))</f>
        <v/>
      </c>
      <c r="AB156" s="27">
        <f>IF(설정!$D$31="",0,IFERROR(VALUE(SUBSTITUTE(SUBSTITUTE(INDEX(급여대장_원본!$A$1:$AZ$400,(설정!$B$8+150),설정!$D$31)&amp;"",",",""),"　","")),0))</f>
        <v/>
      </c>
      <c r="AC156" s="27">
        <f>IF(설정!$D$32="",0,IFERROR(VALUE(SUBSTITUTE(SUBSTITUTE(INDEX(급여대장_원본!$A$1:$AZ$400,(설정!$B$8+150),설정!$D$32)&amp;"",",",""),"　","")),0))</f>
        <v/>
      </c>
      <c r="AD156" s="27">
        <f>IF(설정!$D$33="",0,IFERROR(VALUE(SUBSTITUTE(SUBSTITUTE(INDEX(급여대장_원본!$A$1:$AZ$400,(설정!$B$8+150),설정!$D$33)&amp;"",",",""),"　","")),0))</f>
        <v/>
      </c>
      <c r="AE156" s="27">
        <f>SUM(W156:AD156)</f>
        <v/>
      </c>
      <c r="AF156" s="27">
        <f>V156-AE156</f>
        <v/>
      </c>
      <c r="AG156" s="27">
        <f>IF(설정!$D$35="","",IF(설정!$D$35="",0,IFERROR(VALUE(SUBSTITUTE(SUBSTITUTE(INDEX(급여대장_원본!$A$1:$AZ$400,(설정!$B$8+150),설정!$D$35)&amp;"",",",""),"　","")),0)))</f>
        <v/>
      </c>
      <c r="AH156" s="27">
        <f>IF(설정!$D$36="","",IF(설정!$D$36="",0,IFERROR(VALUE(SUBSTITUTE(SUBSTITUTE(INDEX(급여대장_원본!$A$1:$AZ$400,(설정!$B$8+150),설정!$D$36)&amp;"",",",""),"　","")),0)))</f>
        <v/>
      </c>
      <c r="AI156" s="27">
        <f>IF(설정!$D$37="","",IF(설정!$D$37="",0,IFERROR(VALUE(SUBSTITUTE(SUBSTITUTE(INDEX(급여대장_원본!$A$1:$AZ$400,(설정!$B$8+150),설정!$D$37)&amp;"",",",""),"　","")),0)))</f>
        <v/>
      </c>
      <c r="AJ156" s="2">
        <f>IFERROR(INDEX($D$7:$D$306,MATCH(150,$B$7:$B$306,0)),"")</f>
        <v/>
      </c>
    </row>
    <row r="157">
      <c r="A157" s="2">
        <f>IF(AND(D157&lt;&gt;"",D157&lt;&gt;"합계",D157&lt;&gt;"총계",D157&lt;&gt;"소계",D157&lt;&gt;"계"),1,0)</f>
        <v/>
      </c>
      <c r="B157" s="2">
        <f>IF(A157=1,SUM($A$7:A157),"")</f>
        <v/>
      </c>
      <c r="C157" s="2">
        <f>IF(설정!$D$13="","",TRIM(SUBSTITUTE(INDEX(급여대장_원본!$A$1:$AZ$400,(설정!$B$8+151),설정!$D$13)&amp;"","　"," ")))</f>
        <v/>
      </c>
      <c r="D157" s="2">
        <f>IF(설정!$D$14="","",TRIM(SUBSTITUTE(INDEX(급여대장_원본!$A$1:$AZ$400,(설정!$B$8+151),설정!$D$14)&amp;"","　"," ")))</f>
        <v/>
      </c>
      <c r="E157" s="2">
        <f>IF(설정!$D$15="","",TRIM(SUBSTITUTE(INDEX(급여대장_원본!$A$1:$AZ$400,(설정!$B$8+151),설정!$D$15)&amp;"","　"," ")))</f>
        <v/>
      </c>
      <c r="F157" s="27">
        <f>IF(설정!$D$17="",0,IFERROR(VALUE(SUBSTITUTE(SUBSTITUTE(INDEX(급여대장_원본!$A$1:$AZ$400,(설정!$B$8+151),설정!$D$17)&amp;"",",",""),"　","")),0))</f>
        <v/>
      </c>
      <c r="G157" s="27">
        <f>IF(설정!$D$18="",0,IFERROR(VALUE(SUBSTITUTE(SUBSTITUTE(INDEX(급여대장_원본!$A$1:$AZ$400,(설정!$B$8+151),설정!$D$18)&amp;"",",",""),"　","")),0))</f>
        <v/>
      </c>
      <c r="H157" s="27">
        <f>IF(설정!$D$19="",0,IFERROR(VALUE(SUBSTITUTE(SUBSTITUTE(INDEX(급여대장_원본!$A$1:$AZ$400,(설정!$B$8+151),설정!$D$19)&amp;"",",",""),"　","")),0))</f>
        <v/>
      </c>
      <c r="I157" s="27">
        <f>IF(설정!$D$20="",0,IFERROR(VALUE(SUBSTITUTE(SUBSTITUTE(INDEX(급여대장_원본!$A$1:$AZ$400,(설정!$B$8+151),설정!$D$20)&amp;"",",",""),"　","")),0))</f>
        <v/>
      </c>
      <c r="J157" s="27">
        <f>IF(설정!$D$21="",0,IFERROR(VALUE(SUBSTITUTE(SUBSTITUTE(INDEX(급여대장_원본!$A$1:$AZ$400,(설정!$B$8+151),설정!$D$21)&amp;"",",",""),"　","")),0))</f>
        <v/>
      </c>
      <c r="K157" s="27">
        <f>IF(설정!$D$22="",0,IFERROR(VALUE(SUBSTITUTE(SUBSTITUTE(INDEX(급여대장_원본!$A$1:$AZ$400,(설정!$B$8+151),설정!$D$22)&amp;"",",",""),"　","")),0))</f>
        <v/>
      </c>
      <c r="L157" s="27">
        <f>IF(설정!$D$23="",0,IFERROR(VALUE(SUBSTITUTE(SUBSTITUTE(INDEX(급여대장_원본!$A$1:$AZ$400,(설정!$B$8+151),설정!$D$23)&amp;"",",",""),"　","")),0))</f>
        <v/>
      </c>
      <c r="M157" s="27">
        <f>IF(설정!$D$24="",0,IFERROR(VALUE(SUBSTITUTE(SUBSTITUTE(INDEX(급여대장_원본!$A$1:$AZ$400,(설정!$B$8+151),설정!$D$24)&amp;"",",",""),"　","")),0))</f>
        <v/>
      </c>
      <c r="N157" s="2">
        <f>IF(OR(설정!$C$17="",IFERROR(MATCH(설정!$C$17,INDEX(급여대장_원본!$A$1:$AZ$400,설정!$B$8,0),0),"")=""),"",IFERROR(VALUE(SUBSTITUTE(INDEX(급여대장_원본!$A$1:$AZ$400,(설정!$B$8+151),IFERROR(MATCH(설정!$C$17,INDEX(급여대장_원본!$A$1:$AZ$400,설정!$B$8,0),0),""))&amp;"",",","")),""))</f>
        <v/>
      </c>
      <c r="O157" s="2">
        <f>IF(OR(설정!$C$18="",IFERROR(MATCH(설정!$C$18,INDEX(급여대장_원본!$A$1:$AZ$400,설정!$B$8,0),0),"")=""),"",IFERROR(VALUE(SUBSTITUTE(INDEX(급여대장_원본!$A$1:$AZ$400,(설정!$B$8+151),IFERROR(MATCH(설정!$C$18,INDEX(급여대장_원본!$A$1:$AZ$400,설정!$B$8,0),0),""))&amp;"",",","")),""))</f>
        <v/>
      </c>
      <c r="P157" s="2">
        <f>IF(OR(설정!$C$19="",IFERROR(MATCH(설정!$C$19,INDEX(급여대장_원본!$A$1:$AZ$400,설정!$B$8,0),0),"")=""),"",IFERROR(VALUE(SUBSTITUTE(INDEX(급여대장_원본!$A$1:$AZ$400,(설정!$B$8+151),IFERROR(MATCH(설정!$C$19,INDEX(급여대장_원본!$A$1:$AZ$400,설정!$B$8,0),0),""))&amp;"",",","")),""))</f>
        <v/>
      </c>
      <c r="Q157" s="2">
        <f>IF(OR(설정!$C$20="",IFERROR(MATCH(설정!$C$20,INDEX(급여대장_원본!$A$1:$AZ$400,설정!$B$8,0),0),"")=""),"",IFERROR(VALUE(SUBSTITUTE(INDEX(급여대장_원본!$A$1:$AZ$400,(설정!$B$8+151),IFERROR(MATCH(설정!$C$20,INDEX(급여대장_원본!$A$1:$AZ$400,설정!$B$8,0),0),""))&amp;"",",","")),""))</f>
        <v/>
      </c>
      <c r="R157" s="2">
        <f>IF(OR(설정!$C$21="",IFERROR(MATCH(설정!$C$21,INDEX(급여대장_원본!$A$1:$AZ$400,설정!$B$8,0),0),"")=""),"",IFERROR(VALUE(SUBSTITUTE(INDEX(급여대장_원본!$A$1:$AZ$400,(설정!$B$8+151),IFERROR(MATCH(설정!$C$21,INDEX(급여대장_원본!$A$1:$AZ$400,설정!$B$8,0),0),""))&amp;"",",","")),""))</f>
        <v/>
      </c>
      <c r="S157" s="2">
        <f>IF(OR(설정!$C$22="",IFERROR(MATCH(설정!$C$22,INDEX(급여대장_원본!$A$1:$AZ$400,설정!$B$8,0),0),"")=""),"",IFERROR(VALUE(SUBSTITUTE(INDEX(급여대장_원본!$A$1:$AZ$400,(설정!$B$8+151),IFERROR(MATCH(설정!$C$22,INDEX(급여대장_원본!$A$1:$AZ$400,설정!$B$8,0),0),""))&amp;"",",","")),""))</f>
        <v/>
      </c>
      <c r="T157" s="2">
        <f>IF(OR(설정!$C$23="",IFERROR(MATCH(설정!$C$23,INDEX(급여대장_원본!$A$1:$AZ$400,설정!$B$8,0),0),"")=""),"",IFERROR(VALUE(SUBSTITUTE(INDEX(급여대장_원본!$A$1:$AZ$400,(설정!$B$8+151),IFERROR(MATCH(설정!$C$23,INDEX(급여대장_원본!$A$1:$AZ$400,설정!$B$8,0),0),""))&amp;"",",","")),""))</f>
        <v/>
      </c>
      <c r="U157" s="2">
        <f>IF(OR(설정!$C$24="",IFERROR(MATCH(설정!$C$24,INDEX(급여대장_원본!$A$1:$AZ$400,설정!$B$8,0),0),"")=""),"",IFERROR(VALUE(SUBSTITUTE(INDEX(급여대장_원본!$A$1:$AZ$400,(설정!$B$8+151),IFERROR(MATCH(설정!$C$24,INDEX(급여대장_원본!$A$1:$AZ$400,설정!$B$8,0),0),""))&amp;"",",","")),""))</f>
        <v/>
      </c>
      <c r="V157" s="27">
        <f>SUM(F157:M157)</f>
        <v/>
      </c>
      <c r="W157" s="27">
        <f>IF(설정!$D$26="",0,IFERROR(VALUE(SUBSTITUTE(SUBSTITUTE(INDEX(급여대장_원본!$A$1:$AZ$400,(설정!$B$8+151),설정!$D$26)&amp;"",",",""),"　","")),0))</f>
        <v/>
      </c>
      <c r="X157" s="27">
        <f>IF(설정!$D$27="",0,IFERROR(VALUE(SUBSTITUTE(SUBSTITUTE(INDEX(급여대장_원본!$A$1:$AZ$400,(설정!$B$8+151),설정!$D$27)&amp;"",",",""),"　","")),0))</f>
        <v/>
      </c>
      <c r="Y157" s="27">
        <f>IF(설정!$D$28="",0,IFERROR(VALUE(SUBSTITUTE(SUBSTITUTE(INDEX(급여대장_원본!$A$1:$AZ$400,(설정!$B$8+151),설정!$D$28)&amp;"",",",""),"　","")),0))</f>
        <v/>
      </c>
      <c r="Z157" s="27">
        <f>IF(설정!$D$29="",0,IFERROR(VALUE(SUBSTITUTE(SUBSTITUTE(INDEX(급여대장_원본!$A$1:$AZ$400,(설정!$B$8+151),설정!$D$29)&amp;"",",",""),"　","")),0))</f>
        <v/>
      </c>
      <c r="AA157" s="27">
        <f>IF(설정!$D$30="",0,IFERROR(VALUE(SUBSTITUTE(SUBSTITUTE(INDEX(급여대장_원본!$A$1:$AZ$400,(설정!$B$8+151),설정!$D$30)&amp;"",",",""),"　","")),0))</f>
        <v/>
      </c>
      <c r="AB157" s="27">
        <f>IF(설정!$D$31="",0,IFERROR(VALUE(SUBSTITUTE(SUBSTITUTE(INDEX(급여대장_원본!$A$1:$AZ$400,(설정!$B$8+151),설정!$D$31)&amp;"",",",""),"　","")),0))</f>
        <v/>
      </c>
      <c r="AC157" s="27">
        <f>IF(설정!$D$32="",0,IFERROR(VALUE(SUBSTITUTE(SUBSTITUTE(INDEX(급여대장_원본!$A$1:$AZ$400,(설정!$B$8+151),설정!$D$32)&amp;"",",",""),"　","")),0))</f>
        <v/>
      </c>
      <c r="AD157" s="27">
        <f>IF(설정!$D$33="",0,IFERROR(VALUE(SUBSTITUTE(SUBSTITUTE(INDEX(급여대장_원본!$A$1:$AZ$400,(설정!$B$8+151),설정!$D$33)&amp;"",",",""),"　","")),0))</f>
        <v/>
      </c>
      <c r="AE157" s="27">
        <f>SUM(W157:AD157)</f>
        <v/>
      </c>
      <c r="AF157" s="27">
        <f>V157-AE157</f>
        <v/>
      </c>
      <c r="AG157" s="27">
        <f>IF(설정!$D$35="","",IF(설정!$D$35="",0,IFERROR(VALUE(SUBSTITUTE(SUBSTITUTE(INDEX(급여대장_원본!$A$1:$AZ$400,(설정!$B$8+151),설정!$D$35)&amp;"",",",""),"　","")),0)))</f>
        <v/>
      </c>
      <c r="AH157" s="27">
        <f>IF(설정!$D$36="","",IF(설정!$D$36="",0,IFERROR(VALUE(SUBSTITUTE(SUBSTITUTE(INDEX(급여대장_원본!$A$1:$AZ$400,(설정!$B$8+151),설정!$D$36)&amp;"",",",""),"　","")),0)))</f>
        <v/>
      </c>
      <c r="AI157" s="27">
        <f>IF(설정!$D$37="","",IF(설정!$D$37="",0,IFERROR(VALUE(SUBSTITUTE(SUBSTITUTE(INDEX(급여대장_원본!$A$1:$AZ$400,(설정!$B$8+151),설정!$D$37)&amp;"",",",""),"　","")),0)))</f>
        <v/>
      </c>
      <c r="AJ157" s="2">
        <f>IFERROR(INDEX($D$7:$D$306,MATCH(151,$B$7:$B$306,0)),"")</f>
        <v/>
      </c>
    </row>
    <row r="158">
      <c r="A158" s="2">
        <f>IF(AND(D158&lt;&gt;"",D158&lt;&gt;"합계",D158&lt;&gt;"총계",D158&lt;&gt;"소계",D158&lt;&gt;"계"),1,0)</f>
        <v/>
      </c>
      <c r="B158" s="2">
        <f>IF(A158=1,SUM($A$7:A158),"")</f>
        <v/>
      </c>
      <c r="C158" s="2">
        <f>IF(설정!$D$13="","",TRIM(SUBSTITUTE(INDEX(급여대장_원본!$A$1:$AZ$400,(설정!$B$8+152),설정!$D$13)&amp;"","　"," ")))</f>
        <v/>
      </c>
      <c r="D158" s="2">
        <f>IF(설정!$D$14="","",TRIM(SUBSTITUTE(INDEX(급여대장_원본!$A$1:$AZ$400,(설정!$B$8+152),설정!$D$14)&amp;"","　"," ")))</f>
        <v/>
      </c>
      <c r="E158" s="2">
        <f>IF(설정!$D$15="","",TRIM(SUBSTITUTE(INDEX(급여대장_원본!$A$1:$AZ$400,(설정!$B$8+152),설정!$D$15)&amp;"","　"," ")))</f>
        <v/>
      </c>
      <c r="F158" s="27">
        <f>IF(설정!$D$17="",0,IFERROR(VALUE(SUBSTITUTE(SUBSTITUTE(INDEX(급여대장_원본!$A$1:$AZ$400,(설정!$B$8+152),설정!$D$17)&amp;"",",",""),"　","")),0))</f>
        <v/>
      </c>
      <c r="G158" s="27">
        <f>IF(설정!$D$18="",0,IFERROR(VALUE(SUBSTITUTE(SUBSTITUTE(INDEX(급여대장_원본!$A$1:$AZ$400,(설정!$B$8+152),설정!$D$18)&amp;"",",",""),"　","")),0))</f>
        <v/>
      </c>
      <c r="H158" s="27">
        <f>IF(설정!$D$19="",0,IFERROR(VALUE(SUBSTITUTE(SUBSTITUTE(INDEX(급여대장_원본!$A$1:$AZ$400,(설정!$B$8+152),설정!$D$19)&amp;"",",",""),"　","")),0))</f>
        <v/>
      </c>
      <c r="I158" s="27">
        <f>IF(설정!$D$20="",0,IFERROR(VALUE(SUBSTITUTE(SUBSTITUTE(INDEX(급여대장_원본!$A$1:$AZ$400,(설정!$B$8+152),설정!$D$20)&amp;"",",",""),"　","")),0))</f>
        <v/>
      </c>
      <c r="J158" s="27">
        <f>IF(설정!$D$21="",0,IFERROR(VALUE(SUBSTITUTE(SUBSTITUTE(INDEX(급여대장_원본!$A$1:$AZ$400,(설정!$B$8+152),설정!$D$21)&amp;"",",",""),"　","")),0))</f>
        <v/>
      </c>
      <c r="K158" s="27">
        <f>IF(설정!$D$22="",0,IFERROR(VALUE(SUBSTITUTE(SUBSTITUTE(INDEX(급여대장_원본!$A$1:$AZ$400,(설정!$B$8+152),설정!$D$22)&amp;"",",",""),"　","")),0))</f>
        <v/>
      </c>
      <c r="L158" s="27">
        <f>IF(설정!$D$23="",0,IFERROR(VALUE(SUBSTITUTE(SUBSTITUTE(INDEX(급여대장_원본!$A$1:$AZ$400,(설정!$B$8+152),설정!$D$23)&amp;"",",",""),"　","")),0))</f>
        <v/>
      </c>
      <c r="M158" s="27">
        <f>IF(설정!$D$24="",0,IFERROR(VALUE(SUBSTITUTE(SUBSTITUTE(INDEX(급여대장_원본!$A$1:$AZ$400,(설정!$B$8+152),설정!$D$24)&amp;"",",",""),"　","")),0))</f>
        <v/>
      </c>
      <c r="N158" s="2">
        <f>IF(OR(설정!$C$17="",IFERROR(MATCH(설정!$C$17,INDEX(급여대장_원본!$A$1:$AZ$400,설정!$B$8,0),0),"")=""),"",IFERROR(VALUE(SUBSTITUTE(INDEX(급여대장_원본!$A$1:$AZ$400,(설정!$B$8+152),IFERROR(MATCH(설정!$C$17,INDEX(급여대장_원본!$A$1:$AZ$400,설정!$B$8,0),0),""))&amp;"",",","")),""))</f>
        <v/>
      </c>
      <c r="O158" s="2">
        <f>IF(OR(설정!$C$18="",IFERROR(MATCH(설정!$C$18,INDEX(급여대장_원본!$A$1:$AZ$400,설정!$B$8,0),0),"")=""),"",IFERROR(VALUE(SUBSTITUTE(INDEX(급여대장_원본!$A$1:$AZ$400,(설정!$B$8+152),IFERROR(MATCH(설정!$C$18,INDEX(급여대장_원본!$A$1:$AZ$400,설정!$B$8,0),0),""))&amp;"",",","")),""))</f>
        <v/>
      </c>
      <c r="P158" s="2">
        <f>IF(OR(설정!$C$19="",IFERROR(MATCH(설정!$C$19,INDEX(급여대장_원본!$A$1:$AZ$400,설정!$B$8,0),0),"")=""),"",IFERROR(VALUE(SUBSTITUTE(INDEX(급여대장_원본!$A$1:$AZ$400,(설정!$B$8+152),IFERROR(MATCH(설정!$C$19,INDEX(급여대장_원본!$A$1:$AZ$400,설정!$B$8,0),0),""))&amp;"",",","")),""))</f>
        <v/>
      </c>
      <c r="Q158" s="2">
        <f>IF(OR(설정!$C$20="",IFERROR(MATCH(설정!$C$20,INDEX(급여대장_원본!$A$1:$AZ$400,설정!$B$8,0),0),"")=""),"",IFERROR(VALUE(SUBSTITUTE(INDEX(급여대장_원본!$A$1:$AZ$400,(설정!$B$8+152),IFERROR(MATCH(설정!$C$20,INDEX(급여대장_원본!$A$1:$AZ$400,설정!$B$8,0),0),""))&amp;"",",","")),""))</f>
        <v/>
      </c>
      <c r="R158" s="2">
        <f>IF(OR(설정!$C$21="",IFERROR(MATCH(설정!$C$21,INDEX(급여대장_원본!$A$1:$AZ$400,설정!$B$8,0),0),"")=""),"",IFERROR(VALUE(SUBSTITUTE(INDEX(급여대장_원본!$A$1:$AZ$400,(설정!$B$8+152),IFERROR(MATCH(설정!$C$21,INDEX(급여대장_원본!$A$1:$AZ$400,설정!$B$8,0),0),""))&amp;"",",","")),""))</f>
        <v/>
      </c>
      <c r="S158" s="2">
        <f>IF(OR(설정!$C$22="",IFERROR(MATCH(설정!$C$22,INDEX(급여대장_원본!$A$1:$AZ$400,설정!$B$8,0),0),"")=""),"",IFERROR(VALUE(SUBSTITUTE(INDEX(급여대장_원본!$A$1:$AZ$400,(설정!$B$8+152),IFERROR(MATCH(설정!$C$22,INDEX(급여대장_원본!$A$1:$AZ$400,설정!$B$8,0),0),""))&amp;"",",","")),""))</f>
        <v/>
      </c>
      <c r="T158" s="2">
        <f>IF(OR(설정!$C$23="",IFERROR(MATCH(설정!$C$23,INDEX(급여대장_원본!$A$1:$AZ$400,설정!$B$8,0),0),"")=""),"",IFERROR(VALUE(SUBSTITUTE(INDEX(급여대장_원본!$A$1:$AZ$400,(설정!$B$8+152),IFERROR(MATCH(설정!$C$23,INDEX(급여대장_원본!$A$1:$AZ$400,설정!$B$8,0),0),""))&amp;"",",","")),""))</f>
        <v/>
      </c>
      <c r="U158" s="2">
        <f>IF(OR(설정!$C$24="",IFERROR(MATCH(설정!$C$24,INDEX(급여대장_원본!$A$1:$AZ$400,설정!$B$8,0),0),"")=""),"",IFERROR(VALUE(SUBSTITUTE(INDEX(급여대장_원본!$A$1:$AZ$400,(설정!$B$8+152),IFERROR(MATCH(설정!$C$24,INDEX(급여대장_원본!$A$1:$AZ$400,설정!$B$8,0),0),""))&amp;"",",","")),""))</f>
        <v/>
      </c>
      <c r="V158" s="27">
        <f>SUM(F158:M158)</f>
        <v/>
      </c>
      <c r="W158" s="27">
        <f>IF(설정!$D$26="",0,IFERROR(VALUE(SUBSTITUTE(SUBSTITUTE(INDEX(급여대장_원본!$A$1:$AZ$400,(설정!$B$8+152),설정!$D$26)&amp;"",",",""),"　","")),0))</f>
        <v/>
      </c>
      <c r="X158" s="27">
        <f>IF(설정!$D$27="",0,IFERROR(VALUE(SUBSTITUTE(SUBSTITUTE(INDEX(급여대장_원본!$A$1:$AZ$400,(설정!$B$8+152),설정!$D$27)&amp;"",",",""),"　","")),0))</f>
        <v/>
      </c>
      <c r="Y158" s="27">
        <f>IF(설정!$D$28="",0,IFERROR(VALUE(SUBSTITUTE(SUBSTITUTE(INDEX(급여대장_원본!$A$1:$AZ$400,(설정!$B$8+152),설정!$D$28)&amp;"",",",""),"　","")),0))</f>
        <v/>
      </c>
      <c r="Z158" s="27">
        <f>IF(설정!$D$29="",0,IFERROR(VALUE(SUBSTITUTE(SUBSTITUTE(INDEX(급여대장_원본!$A$1:$AZ$400,(설정!$B$8+152),설정!$D$29)&amp;"",",",""),"　","")),0))</f>
        <v/>
      </c>
      <c r="AA158" s="27">
        <f>IF(설정!$D$30="",0,IFERROR(VALUE(SUBSTITUTE(SUBSTITUTE(INDEX(급여대장_원본!$A$1:$AZ$400,(설정!$B$8+152),설정!$D$30)&amp;"",",",""),"　","")),0))</f>
        <v/>
      </c>
      <c r="AB158" s="27">
        <f>IF(설정!$D$31="",0,IFERROR(VALUE(SUBSTITUTE(SUBSTITUTE(INDEX(급여대장_원본!$A$1:$AZ$400,(설정!$B$8+152),설정!$D$31)&amp;"",",",""),"　","")),0))</f>
        <v/>
      </c>
      <c r="AC158" s="27">
        <f>IF(설정!$D$32="",0,IFERROR(VALUE(SUBSTITUTE(SUBSTITUTE(INDEX(급여대장_원본!$A$1:$AZ$400,(설정!$B$8+152),설정!$D$32)&amp;"",",",""),"　","")),0))</f>
        <v/>
      </c>
      <c r="AD158" s="27">
        <f>IF(설정!$D$33="",0,IFERROR(VALUE(SUBSTITUTE(SUBSTITUTE(INDEX(급여대장_원본!$A$1:$AZ$400,(설정!$B$8+152),설정!$D$33)&amp;"",",",""),"　","")),0))</f>
        <v/>
      </c>
      <c r="AE158" s="27">
        <f>SUM(W158:AD158)</f>
        <v/>
      </c>
      <c r="AF158" s="27">
        <f>V158-AE158</f>
        <v/>
      </c>
      <c r="AG158" s="27">
        <f>IF(설정!$D$35="","",IF(설정!$D$35="",0,IFERROR(VALUE(SUBSTITUTE(SUBSTITUTE(INDEX(급여대장_원본!$A$1:$AZ$400,(설정!$B$8+152),설정!$D$35)&amp;"",",",""),"　","")),0)))</f>
        <v/>
      </c>
      <c r="AH158" s="27">
        <f>IF(설정!$D$36="","",IF(설정!$D$36="",0,IFERROR(VALUE(SUBSTITUTE(SUBSTITUTE(INDEX(급여대장_원본!$A$1:$AZ$400,(설정!$B$8+152),설정!$D$36)&amp;"",",",""),"　","")),0)))</f>
        <v/>
      </c>
      <c r="AI158" s="27">
        <f>IF(설정!$D$37="","",IF(설정!$D$37="",0,IFERROR(VALUE(SUBSTITUTE(SUBSTITUTE(INDEX(급여대장_원본!$A$1:$AZ$400,(설정!$B$8+152),설정!$D$37)&amp;"",",",""),"　","")),0)))</f>
        <v/>
      </c>
      <c r="AJ158" s="2">
        <f>IFERROR(INDEX($D$7:$D$306,MATCH(152,$B$7:$B$306,0)),"")</f>
        <v/>
      </c>
    </row>
    <row r="159">
      <c r="A159" s="2">
        <f>IF(AND(D159&lt;&gt;"",D159&lt;&gt;"합계",D159&lt;&gt;"총계",D159&lt;&gt;"소계",D159&lt;&gt;"계"),1,0)</f>
        <v/>
      </c>
      <c r="B159" s="2">
        <f>IF(A159=1,SUM($A$7:A159),"")</f>
        <v/>
      </c>
      <c r="C159" s="2">
        <f>IF(설정!$D$13="","",TRIM(SUBSTITUTE(INDEX(급여대장_원본!$A$1:$AZ$400,(설정!$B$8+153),설정!$D$13)&amp;"","　"," ")))</f>
        <v/>
      </c>
      <c r="D159" s="2">
        <f>IF(설정!$D$14="","",TRIM(SUBSTITUTE(INDEX(급여대장_원본!$A$1:$AZ$400,(설정!$B$8+153),설정!$D$14)&amp;"","　"," ")))</f>
        <v/>
      </c>
      <c r="E159" s="2">
        <f>IF(설정!$D$15="","",TRIM(SUBSTITUTE(INDEX(급여대장_원본!$A$1:$AZ$400,(설정!$B$8+153),설정!$D$15)&amp;"","　"," ")))</f>
        <v/>
      </c>
      <c r="F159" s="27">
        <f>IF(설정!$D$17="",0,IFERROR(VALUE(SUBSTITUTE(SUBSTITUTE(INDEX(급여대장_원본!$A$1:$AZ$400,(설정!$B$8+153),설정!$D$17)&amp;"",",",""),"　","")),0))</f>
        <v/>
      </c>
      <c r="G159" s="27">
        <f>IF(설정!$D$18="",0,IFERROR(VALUE(SUBSTITUTE(SUBSTITUTE(INDEX(급여대장_원본!$A$1:$AZ$400,(설정!$B$8+153),설정!$D$18)&amp;"",",",""),"　","")),0))</f>
        <v/>
      </c>
      <c r="H159" s="27">
        <f>IF(설정!$D$19="",0,IFERROR(VALUE(SUBSTITUTE(SUBSTITUTE(INDEX(급여대장_원본!$A$1:$AZ$400,(설정!$B$8+153),설정!$D$19)&amp;"",",",""),"　","")),0))</f>
        <v/>
      </c>
      <c r="I159" s="27">
        <f>IF(설정!$D$20="",0,IFERROR(VALUE(SUBSTITUTE(SUBSTITUTE(INDEX(급여대장_원본!$A$1:$AZ$400,(설정!$B$8+153),설정!$D$20)&amp;"",",",""),"　","")),0))</f>
        <v/>
      </c>
      <c r="J159" s="27">
        <f>IF(설정!$D$21="",0,IFERROR(VALUE(SUBSTITUTE(SUBSTITUTE(INDEX(급여대장_원본!$A$1:$AZ$400,(설정!$B$8+153),설정!$D$21)&amp;"",",",""),"　","")),0))</f>
        <v/>
      </c>
      <c r="K159" s="27">
        <f>IF(설정!$D$22="",0,IFERROR(VALUE(SUBSTITUTE(SUBSTITUTE(INDEX(급여대장_원본!$A$1:$AZ$400,(설정!$B$8+153),설정!$D$22)&amp;"",",",""),"　","")),0))</f>
        <v/>
      </c>
      <c r="L159" s="27">
        <f>IF(설정!$D$23="",0,IFERROR(VALUE(SUBSTITUTE(SUBSTITUTE(INDEX(급여대장_원본!$A$1:$AZ$400,(설정!$B$8+153),설정!$D$23)&amp;"",",",""),"　","")),0))</f>
        <v/>
      </c>
      <c r="M159" s="27">
        <f>IF(설정!$D$24="",0,IFERROR(VALUE(SUBSTITUTE(SUBSTITUTE(INDEX(급여대장_원본!$A$1:$AZ$400,(설정!$B$8+153),설정!$D$24)&amp;"",",",""),"　","")),0))</f>
        <v/>
      </c>
      <c r="N159" s="2">
        <f>IF(OR(설정!$C$17="",IFERROR(MATCH(설정!$C$17,INDEX(급여대장_원본!$A$1:$AZ$400,설정!$B$8,0),0),"")=""),"",IFERROR(VALUE(SUBSTITUTE(INDEX(급여대장_원본!$A$1:$AZ$400,(설정!$B$8+153),IFERROR(MATCH(설정!$C$17,INDEX(급여대장_원본!$A$1:$AZ$400,설정!$B$8,0),0),""))&amp;"",",","")),""))</f>
        <v/>
      </c>
      <c r="O159" s="2">
        <f>IF(OR(설정!$C$18="",IFERROR(MATCH(설정!$C$18,INDEX(급여대장_원본!$A$1:$AZ$400,설정!$B$8,0),0),"")=""),"",IFERROR(VALUE(SUBSTITUTE(INDEX(급여대장_원본!$A$1:$AZ$400,(설정!$B$8+153),IFERROR(MATCH(설정!$C$18,INDEX(급여대장_원본!$A$1:$AZ$400,설정!$B$8,0),0),""))&amp;"",",","")),""))</f>
        <v/>
      </c>
      <c r="P159" s="2">
        <f>IF(OR(설정!$C$19="",IFERROR(MATCH(설정!$C$19,INDEX(급여대장_원본!$A$1:$AZ$400,설정!$B$8,0),0),"")=""),"",IFERROR(VALUE(SUBSTITUTE(INDEX(급여대장_원본!$A$1:$AZ$400,(설정!$B$8+153),IFERROR(MATCH(설정!$C$19,INDEX(급여대장_원본!$A$1:$AZ$400,설정!$B$8,0),0),""))&amp;"",",","")),""))</f>
        <v/>
      </c>
      <c r="Q159" s="2">
        <f>IF(OR(설정!$C$20="",IFERROR(MATCH(설정!$C$20,INDEX(급여대장_원본!$A$1:$AZ$400,설정!$B$8,0),0),"")=""),"",IFERROR(VALUE(SUBSTITUTE(INDEX(급여대장_원본!$A$1:$AZ$400,(설정!$B$8+153),IFERROR(MATCH(설정!$C$20,INDEX(급여대장_원본!$A$1:$AZ$400,설정!$B$8,0),0),""))&amp;"",",","")),""))</f>
        <v/>
      </c>
      <c r="R159" s="2">
        <f>IF(OR(설정!$C$21="",IFERROR(MATCH(설정!$C$21,INDEX(급여대장_원본!$A$1:$AZ$400,설정!$B$8,0),0),"")=""),"",IFERROR(VALUE(SUBSTITUTE(INDEX(급여대장_원본!$A$1:$AZ$400,(설정!$B$8+153),IFERROR(MATCH(설정!$C$21,INDEX(급여대장_원본!$A$1:$AZ$400,설정!$B$8,0),0),""))&amp;"",",","")),""))</f>
        <v/>
      </c>
      <c r="S159" s="2">
        <f>IF(OR(설정!$C$22="",IFERROR(MATCH(설정!$C$22,INDEX(급여대장_원본!$A$1:$AZ$400,설정!$B$8,0),0),"")=""),"",IFERROR(VALUE(SUBSTITUTE(INDEX(급여대장_원본!$A$1:$AZ$400,(설정!$B$8+153),IFERROR(MATCH(설정!$C$22,INDEX(급여대장_원본!$A$1:$AZ$400,설정!$B$8,0),0),""))&amp;"",",","")),""))</f>
        <v/>
      </c>
      <c r="T159" s="2">
        <f>IF(OR(설정!$C$23="",IFERROR(MATCH(설정!$C$23,INDEX(급여대장_원본!$A$1:$AZ$400,설정!$B$8,0),0),"")=""),"",IFERROR(VALUE(SUBSTITUTE(INDEX(급여대장_원본!$A$1:$AZ$400,(설정!$B$8+153),IFERROR(MATCH(설정!$C$23,INDEX(급여대장_원본!$A$1:$AZ$400,설정!$B$8,0),0),""))&amp;"",",","")),""))</f>
        <v/>
      </c>
      <c r="U159" s="2">
        <f>IF(OR(설정!$C$24="",IFERROR(MATCH(설정!$C$24,INDEX(급여대장_원본!$A$1:$AZ$400,설정!$B$8,0),0),"")=""),"",IFERROR(VALUE(SUBSTITUTE(INDEX(급여대장_원본!$A$1:$AZ$400,(설정!$B$8+153),IFERROR(MATCH(설정!$C$24,INDEX(급여대장_원본!$A$1:$AZ$400,설정!$B$8,0),0),""))&amp;"",",","")),""))</f>
        <v/>
      </c>
      <c r="V159" s="27">
        <f>SUM(F159:M159)</f>
        <v/>
      </c>
      <c r="W159" s="27">
        <f>IF(설정!$D$26="",0,IFERROR(VALUE(SUBSTITUTE(SUBSTITUTE(INDEX(급여대장_원본!$A$1:$AZ$400,(설정!$B$8+153),설정!$D$26)&amp;"",",",""),"　","")),0))</f>
        <v/>
      </c>
      <c r="X159" s="27">
        <f>IF(설정!$D$27="",0,IFERROR(VALUE(SUBSTITUTE(SUBSTITUTE(INDEX(급여대장_원본!$A$1:$AZ$400,(설정!$B$8+153),설정!$D$27)&amp;"",",",""),"　","")),0))</f>
        <v/>
      </c>
      <c r="Y159" s="27">
        <f>IF(설정!$D$28="",0,IFERROR(VALUE(SUBSTITUTE(SUBSTITUTE(INDEX(급여대장_원본!$A$1:$AZ$400,(설정!$B$8+153),설정!$D$28)&amp;"",",",""),"　","")),0))</f>
        <v/>
      </c>
      <c r="Z159" s="27">
        <f>IF(설정!$D$29="",0,IFERROR(VALUE(SUBSTITUTE(SUBSTITUTE(INDEX(급여대장_원본!$A$1:$AZ$400,(설정!$B$8+153),설정!$D$29)&amp;"",",",""),"　","")),0))</f>
        <v/>
      </c>
      <c r="AA159" s="27">
        <f>IF(설정!$D$30="",0,IFERROR(VALUE(SUBSTITUTE(SUBSTITUTE(INDEX(급여대장_원본!$A$1:$AZ$400,(설정!$B$8+153),설정!$D$30)&amp;"",",",""),"　","")),0))</f>
        <v/>
      </c>
      <c r="AB159" s="27">
        <f>IF(설정!$D$31="",0,IFERROR(VALUE(SUBSTITUTE(SUBSTITUTE(INDEX(급여대장_원본!$A$1:$AZ$400,(설정!$B$8+153),설정!$D$31)&amp;"",",",""),"　","")),0))</f>
        <v/>
      </c>
      <c r="AC159" s="27">
        <f>IF(설정!$D$32="",0,IFERROR(VALUE(SUBSTITUTE(SUBSTITUTE(INDEX(급여대장_원본!$A$1:$AZ$400,(설정!$B$8+153),설정!$D$32)&amp;"",",",""),"　","")),0))</f>
        <v/>
      </c>
      <c r="AD159" s="27">
        <f>IF(설정!$D$33="",0,IFERROR(VALUE(SUBSTITUTE(SUBSTITUTE(INDEX(급여대장_원본!$A$1:$AZ$400,(설정!$B$8+153),설정!$D$33)&amp;"",",",""),"　","")),0))</f>
        <v/>
      </c>
      <c r="AE159" s="27">
        <f>SUM(W159:AD159)</f>
        <v/>
      </c>
      <c r="AF159" s="27">
        <f>V159-AE159</f>
        <v/>
      </c>
      <c r="AG159" s="27">
        <f>IF(설정!$D$35="","",IF(설정!$D$35="",0,IFERROR(VALUE(SUBSTITUTE(SUBSTITUTE(INDEX(급여대장_원본!$A$1:$AZ$400,(설정!$B$8+153),설정!$D$35)&amp;"",",",""),"　","")),0)))</f>
        <v/>
      </c>
      <c r="AH159" s="27">
        <f>IF(설정!$D$36="","",IF(설정!$D$36="",0,IFERROR(VALUE(SUBSTITUTE(SUBSTITUTE(INDEX(급여대장_원본!$A$1:$AZ$400,(설정!$B$8+153),설정!$D$36)&amp;"",",",""),"　","")),0)))</f>
        <v/>
      </c>
      <c r="AI159" s="27">
        <f>IF(설정!$D$37="","",IF(설정!$D$37="",0,IFERROR(VALUE(SUBSTITUTE(SUBSTITUTE(INDEX(급여대장_원본!$A$1:$AZ$400,(설정!$B$8+153),설정!$D$37)&amp;"",",",""),"　","")),0)))</f>
        <v/>
      </c>
      <c r="AJ159" s="2">
        <f>IFERROR(INDEX($D$7:$D$306,MATCH(153,$B$7:$B$306,0)),"")</f>
        <v/>
      </c>
    </row>
    <row r="160">
      <c r="A160" s="2">
        <f>IF(AND(D160&lt;&gt;"",D160&lt;&gt;"합계",D160&lt;&gt;"총계",D160&lt;&gt;"소계",D160&lt;&gt;"계"),1,0)</f>
        <v/>
      </c>
      <c r="B160" s="2">
        <f>IF(A160=1,SUM($A$7:A160),"")</f>
        <v/>
      </c>
      <c r="C160" s="2">
        <f>IF(설정!$D$13="","",TRIM(SUBSTITUTE(INDEX(급여대장_원본!$A$1:$AZ$400,(설정!$B$8+154),설정!$D$13)&amp;"","　"," ")))</f>
        <v/>
      </c>
      <c r="D160" s="2">
        <f>IF(설정!$D$14="","",TRIM(SUBSTITUTE(INDEX(급여대장_원본!$A$1:$AZ$400,(설정!$B$8+154),설정!$D$14)&amp;"","　"," ")))</f>
        <v/>
      </c>
      <c r="E160" s="2">
        <f>IF(설정!$D$15="","",TRIM(SUBSTITUTE(INDEX(급여대장_원본!$A$1:$AZ$400,(설정!$B$8+154),설정!$D$15)&amp;"","　"," ")))</f>
        <v/>
      </c>
      <c r="F160" s="27">
        <f>IF(설정!$D$17="",0,IFERROR(VALUE(SUBSTITUTE(SUBSTITUTE(INDEX(급여대장_원본!$A$1:$AZ$400,(설정!$B$8+154),설정!$D$17)&amp;"",",",""),"　","")),0))</f>
        <v/>
      </c>
      <c r="G160" s="27">
        <f>IF(설정!$D$18="",0,IFERROR(VALUE(SUBSTITUTE(SUBSTITUTE(INDEX(급여대장_원본!$A$1:$AZ$400,(설정!$B$8+154),설정!$D$18)&amp;"",",",""),"　","")),0))</f>
        <v/>
      </c>
      <c r="H160" s="27">
        <f>IF(설정!$D$19="",0,IFERROR(VALUE(SUBSTITUTE(SUBSTITUTE(INDEX(급여대장_원본!$A$1:$AZ$400,(설정!$B$8+154),설정!$D$19)&amp;"",",",""),"　","")),0))</f>
        <v/>
      </c>
      <c r="I160" s="27">
        <f>IF(설정!$D$20="",0,IFERROR(VALUE(SUBSTITUTE(SUBSTITUTE(INDEX(급여대장_원본!$A$1:$AZ$400,(설정!$B$8+154),설정!$D$20)&amp;"",",",""),"　","")),0))</f>
        <v/>
      </c>
      <c r="J160" s="27">
        <f>IF(설정!$D$21="",0,IFERROR(VALUE(SUBSTITUTE(SUBSTITUTE(INDEX(급여대장_원본!$A$1:$AZ$400,(설정!$B$8+154),설정!$D$21)&amp;"",",",""),"　","")),0))</f>
        <v/>
      </c>
      <c r="K160" s="27">
        <f>IF(설정!$D$22="",0,IFERROR(VALUE(SUBSTITUTE(SUBSTITUTE(INDEX(급여대장_원본!$A$1:$AZ$400,(설정!$B$8+154),설정!$D$22)&amp;"",",",""),"　","")),0))</f>
        <v/>
      </c>
      <c r="L160" s="27">
        <f>IF(설정!$D$23="",0,IFERROR(VALUE(SUBSTITUTE(SUBSTITUTE(INDEX(급여대장_원본!$A$1:$AZ$400,(설정!$B$8+154),설정!$D$23)&amp;"",",",""),"　","")),0))</f>
        <v/>
      </c>
      <c r="M160" s="27">
        <f>IF(설정!$D$24="",0,IFERROR(VALUE(SUBSTITUTE(SUBSTITUTE(INDEX(급여대장_원본!$A$1:$AZ$400,(설정!$B$8+154),설정!$D$24)&amp;"",",",""),"　","")),0))</f>
        <v/>
      </c>
      <c r="N160" s="2">
        <f>IF(OR(설정!$C$17="",IFERROR(MATCH(설정!$C$17,INDEX(급여대장_원본!$A$1:$AZ$400,설정!$B$8,0),0),"")=""),"",IFERROR(VALUE(SUBSTITUTE(INDEX(급여대장_원본!$A$1:$AZ$400,(설정!$B$8+154),IFERROR(MATCH(설정!$C$17,INDEX(급여대장_원본!$A$1:$AZ$400,설정!$B$8,0),0),""))&amp;"",",","")),""))</f>
        <v/>
      </c>
      <c r="O160" s="2">
        <f>IF(OR(설정!$C$18="",IFERROR(MATCH(설정!$C$18,INDEX(급여대장_원본!$A$1:$AZ$400,설정!$B$8,0),0),"")=""),"",IFERROR(VALUE(SUBSTITUTE(INDEX(급여대장_원본!$A$1:$AZ$400,(설정!$B$8+154),IFERROR(MATCH(설정!$C$18,INDEX(급여대장_원본!$A$1:$AZ$400,설정!$B$8,0),0),""))&amp;"",",","")),""))</f>
        <v/>
      </c>
      <c r="P160" s="2">
        <f>IF(OR(설정!$C$19="",IFERROR(MATCH(설정!$C$19,INDEX(급여대장_원본!$A$1:$AZ$400,설정!$B$8,0),0),"")=""),"",IFERROR(VALUE(SUBSTITUTE(INDEX(급여대장_원본!$A$1:$AZ$400,(설정!$B$8+154),IFERROR(MATCH(설정!$C$19,INDEX(급여대장_원본!$A$1:$AZ$400,설정!$B$8,0),0),""))&amp;"",",","")),""))</f>
        <v/>
      </c>
      <c r="Q160" s="2">
        <f>IF(OR(설정!$C$20="",IFERROR(MATCH(설정!$C$20,INDEX(급여대장_원본!$A$1:$AZ$400,설정!$B$8,0),0),"")=""),"",IFERROR(VALUE(SUBSTITUTE(INDEX(급여대장_원본!$A$1:$AZ$400,(설정!$B$8+154),IFERROR(MATCH(설정!$C$20,INDEX(급여대장_원본!$A$1:$AZ$400,설정!$B$8,0),0),""))&amp;"",",","")),""))</f>
        <v/>
      </c>
      <c r="R160" s="2">
        <f>IF(OR(설정!$C$21="",IFERROR(MATCH(설정!$C$21,INDEX(급여대장_원본!$A$1:$AZ$400,설정!$B$8,0),0),"")=""),"",IFERROR(VALUE(SUBSTITUTE(INDEX(급여대장_원본!$A$1:$AZ$400,(설정!$B$8+154),IFERROR(MATCH(설정!$C$21,INDEX(급여대장_원본!$A$1:$AZ$400,설정!$B$8,0),0),""))&amp;"",",","")),""))</f>
        <v/>
      </c>
      <c r="S160" s="2">
        <f>IF(OR(설정!$C$22="",IFERROR(MATCH(설정!$C$22,INDEX(급여대장_원본!$A$1:$AZ$400,설정!$B$8,0),0),"")=""),"",IFERROR(VALUE(SUBSTITUTE(INDEX(급여대장_원본!$A$1:$AZ$400,(설정!$B$8+154),IFERROR(MATCH(설정!$C$22,INDEX(급여대장_원본!$A$1:$AZ$400,설정!$B$8,0),0),""))&amp;"",",","")),""))</f>
        <v/>
      </c>
      <c r="T160" s="2">
        <f>IF(OR(설정!$C$23="",IFERROR(MATCH(설정!$C$23,INDEX(급여대장_원본!$A$1:$AZ$400,설정!$B$8,0),0),"")=""),"",IFERROR(VALUE(SUBSTITUTE(INDEX(급여대장_원본!$A$1:$AZ$400,(설정!$B$8+154),IFERROR(MATCH(설정!$C$23,INDEX(급여대장_원본!$A$1:$AZ$400,설정!$B$8,0),0),""))&amp;"",",","")),""))</f>
        <v/>
      </c>
      <c r="U160" s="2">
        <f>IF(OR(설정!$C$24="",IFERROR(MATCH(설정!$C$24,INDEX(급여대장_원본!$A$1:$AZ$400,설정!$B$8,0),0),"")=""),"",IFERROR(VALUE(SUBSTITUTE(INDEX(급여대장_원본!$A$1:$AZ$400,(설정!$B$8+154),IFERROR(MATCH(설정!$C$24,INDEX(급여대장_원본!$A$1:$AZ$400,설정!$B$8,0),0),""))&amp;"",",","")),""))</f>
        <v/>
      </c>
      <c r="V160" s="27">
        <f>SUM(F160:M160)</f>
        <v/>
      </c>
      <c r="W160" s="27">
        <f>IF(설정!$D$26="",0,IFERROR(VALUE(SUBSTITUTE(SUBSTITUTE(INDEX(급여대장_원본!$A$1:$AZ$400,(설정!$B$8+154),설정!$D$26)&amp;"",",",""),"　","")),0))</f>
        <v/>
      </c>
      <c r="X160" s="27">
        <f>IF(설정!$D$27="",0,IFERROR(VALUE(SUBSTITUTE(SUBSTITUTE(INDEX(급여대장_원본!$A$1:$AZ$400,(설정!$B$8+154),설정!$D$27)&amp;"",",",""),"　","")),0))</f>
        <v/>
      </c>
      <c r="Y160" s="27">
        <f>IF(설정!$D$28="",0,IFERROR(VALUE(SUBSTITUTE(SUBSTITUTE(INDEX(급여대장_원본!$A$1:$AZ$400,(설정!$B$8+154),설정!$D$28)&amp;"",",",""),"　","")),0))</f>
        <v/>
      </c>
      <c r="Z160" s="27">
        <f>IF(설정!$D$29="",0,IFERROR(VALUE(SUBSTITUTE(SUBSTITUTE(INDEX(급여대장_원본!$A$1:$AZ$400,(설정!$B$8+154),설정!$D$29)&amp;"",",",""),"　","")),0))</f>
        <v/>
      </c>
      <c r="AA160" s="27">
        <f>IF(설정!$D$30="",0,IFERROR(VALUE(SUBSTITUTE(SUBSTITUTE(INDEX(급여대장_원본!$A$1:$AZ$400,(설정!$B$8+154),설정!$D$30)&amp;"",",",""),"　","")),0))</f>
        <v/>
      </c>
      <c r="AB160" s="27">
        <f>IF(설정!$D$31="",0,IFERROR(VALUE(SUBSTITUTE(SUBSTITUTE(INDEX(급여대장_원본!$A$1:$AZ$400,(설정!$B$8+154),설정!$D$31)&amp;"",",",""),"　","")),0))</f>
        <v/>
      </c>
      <c r="AC160" s="27">
        <f>IF(설정!$D$32="",0,IFERROR(VALUE(SUBSTITUTE(SUBSTITUTE(INDEX(급여대장_원본!$A$1:$AZ$400,(설정!$B$8+154),설정!$D$32)&amp;"",",",""),"　","")),0))</f>
        <v/>
      </c>
      <c r="AD160" s="27">
        <f>IF(설정!$D$33="",0,IFERROR(VALUE(SUBSTITUTE(SUBSTITUTE(INDEX(급여대장_원본!$A$1:$AZ$400,(설정!$B$8+154),설정!$D$33)&amp;"",",",""),"　","")),0))</f>
        <v/>
      </c>
      <c r="AE160" s="27">
        <f>SUM(W160:AD160)</f>
        <v/>
      </c>
      <c r="AF160" s="27">
        <f>V160-AE160</f>
        <v/>
      </c>
      <c r="AG160" s="27">
        <f>IF(설정!$D$35="","",IF(설정!$D$35="",0,IFERROR(VALUE(SUBSTITUTE(SUBSTITUTE(INDEX(급여대장_원본!$A$1:$AZ$400,(설정!$B$8+154),설정!$D$35)&amp;"",",",""),"　","")),0)))</f>
        <v/>
      </c>
      <c r="AH160" s="27">
        <f>IF(설정!$D$36="","",IF(설정!$D$36="",0,IFERROR(VALUE(SUBSTITUTE(SUBSTITUTE(INDEX(급여대장_원본!$A$1:$AZ$400,(설정!$B$8+154),설정!$D$36)&amp;"",",",""),"　","")),0)))</f>
        <v/>
      </c>
      <c r="AI160" s="27">
        <f>IF(설정!$D$37="","",IF(설정!$D$37="",0,IFERROR(VALUE(SUBSTITUTE(SUBSTITUTE(INDEX(급여대장_원본!$A$1:$AZ$400,(설정!$B$8+154),설정!$D$37)&amp;"",",",""),"　","")),0)))</f>
        <v/>
      </c>
      <c r="AJ160" s="2">
        <f>IFERROR(INDEX($D$7:$D$306,MATCH(154,$B$7:$B$306,0)),"")</f>
        <v/>
      </c>
    </row>
    <row r="161">
      <c r="A161" s="2">
        <f>IF(AND(D161&lt;&gt;"",D161&lt;&gt;"합계",D161&lt;&gt;"총계",D161&lt;&gt;"소계",D161&lt;&gt;"계"),1,0)</f>
        <v/>
      </c>
      <c r="B161" s="2">
        <f>IF(A161=1,SUM($A$7:A161),"")</f>
        <v/>
      </c>
      <c r="C161" s="2">
        <f>IF(설정!$D$13="","",TRIM(SUBSTITUTE(INDEX(급여대장_원본!$A$1:$AZ$400,(설정!$B$8+155),설정!$D$13)&amp;"","　"," ")))</f>
        <v/>
      </c>
      <c r="D161" s="2">
        <f>IF(설정!$D$14="","",TRIM(SUBSTITUTE(INDEX(급여대장_원본!$A$1:$AZ$400,(설정!$B$8+155),설정!$D$14)&amp;"","　"," ")))</f>
        <v/>
      </c>
      <c r="E161" s="2">
        <f>IF(설정!$D$15="","",TRIM(SUBSTITUTE(INDEX(급여대장_원본!$A$1:$AZ$400,(설정!$B$8+155),설정!$D$15)&amp;"","　"," ")))</f>
        <v/>
      </c>
      <c r="F161" s="27">
        <f>IF(설정!$D$17="",0,IFERROR(VALUE(SUBSTITUTE(SUBSTITUTE(INDEX(급여대장_원본!$A$1:$AZ$400,(설정!$B$8+155),설정!$D$17)&amp;"",",",""),"　","")),0))</f>
        <v/>
      </c>
      <c r="G161" s="27">
        <f>IF(설정!$D$18="",0,IFERROR(VALUE(SUBSTITUTE(SUBSTITUTE(INDEX(급여대장_원본!$A$1:$AZ$400,(설정!$B$8+155),설정!$D$18)&amp;"",",",""),"　","")),0))</f>
        <v/>
      </c>
      <c r="H161" s="27">
        <f>IF(설정!$D$19="",0,IFERROR(VALUE(SUBSTITUTE(SUBSTITUTE(INDEX(급여대장_원본!$A$1:$AZ$400,(설정!$B$8+155),설정!$D$19)&amp;"",",",""),"　","")),0))</f>
        <v/>
      </c>
      <c r="I161" s="27">
        <f>IF(설정!$D$20="",0,IFERROR(VALUE(SUBSTITUTE(SUBSTITUTE(INDEX(급여대장_원본!$A$1:$AZ$400,(설정!$B$8+155),설정!$D$20)&amp;"",",",""),"　","")),0))</f>
        <v/>
      </c>
      <c r="J161" s="27">
        <f>IF(설정!$D$21="",0,IFERROR(VALUE(SUBSTITUTE(SUBSTITUTE(INDEX(급여대장_원본!$A$1:$AZ$400,(설정!$B$8+155),설정!$D$21)&amp;"",",",""),"　","")),0))</f>
        <v/>
      </c>
      <c r="K161" s="27">
        <f>IF(설정!$D$22="",0,IFERROR(VALUE(SUBSTITUTE(SUBSTITUTE(INDEX(급여대장_원본!$A$1:$AZ$400,(설정!$B$8+155),설정!$D$22)&amp;"",",",""),"　","")),0))</f>
        <v/>
      </c>
      <c r="L161" s="27">
        <f>IF(설정!$D$23="",0,IFERROR(VALUE(SUBSTITUTE(SUBSTITUTE(INDEX(급여대장_원본!$A$1:$AZ$400,(설정!$B$8+155),설정!$D$23)&amp;"",",",""),"　","")),0))</f>
        <v/>
      </c>
      <c r="M161" s="27">
        <f>IF(설정!$D$24="",0,IFERROR(VALUE(SUBSTITUTE(SUBSTITUTE(INDEX(급여대장_원본!$A$1:$AZ$400,(설정!$B$8+155),설정!$D$24)&amp;"",",",""),"　","")),0))</f>
        <v/>
      </c>
      <c r="N161" s="2">
        <f>IF(OR(설정!$C$17="",IFERROR(MATCH(설정!$C$17,INDEX(급여대장_원본!$A$1:$AZ$400,설정!$B$8,0),0),"")=""),"",IFERROR(VALUE(SUBSTITUTE(INDEX(급여대장_원본!$A$1:$AZ$400,(설정!$B$8+155),IFERROR(MATCH(설정!$C$17,INDEX(급여대장_원본!$A$1:$AZ$400,설정!$B$8,0),0),""))&amp;"",",","")),""))</f>
        <v/>
      </c>
      <c r="O161" s="2">
        <f>IF(OR(설정!$C$18="",IFERROR(MATCH(설정!$C$18,INDEX(급여대장_원본!$A$1:$AZ$400,설정!$B$8,0),0),"")=""),"",IFERROR(VALUE(SUBSTITUTE(INDEX(급여대장_원본!$A$1:$AZ$400,(설정!$B$8+155),IFERROR(MATCH(설정!$C$18,INDEX(급여대장_원본!$A$1:$AZ$400,설정!$B$8,0),0),""))&amp;"",",","")),""))</f>
        <v/>
      </c>
      <c r="P161" s="2">
        <f>IF(OR(설정!$C$19="",IFERROR(MATCH(설정!$C$19,INDEX(급여대장_원본!$A$1:$AZ$400,설정!$B$8,0),0),"")=""),"",IFERROR(VALUE(SUBSTITUTE(INDEX(급여대장_원본!$A$1:$AZ$400,(설정!$B$8+155),IFERROR(MATCH(설정!$C$19,INDEX(급여대장_원본!$A$1:$AZ$400,설정!$B$8,0),0),""))&amp;"",",","")),""))</f>
        <v/>
      </c>
      <c r="Q161" s="2">
        <f>IF(OR(설정!$C$20="",IFERROR(MATCH(설정!$C$20,INDEX(급여대장_원본!$A$1:$AZ$400,설정!$B$8,0),0),"")=""),"",IFERROR(VALUE(SUBSTITUTE(INDEX(급여대장_원본!$A$1:$AZ$400,(설정!$B$8+155),IFERROR(MATCH(설정!$C$20,INDEX(급여대장_원본!$A$1:$AZ$400,설정!$B$8,0),0),""))&amp;"",",","")),""))</f>
        <v/>
      </c>
      <c r="R161" s="2">
        <f>IF(OR(설정!$C$21="",IFERROR(MATCH(설정!$C$21,INDEX(급여대장_원본!$A$1:$AZ$400,설정!$B$8,0),0),"")=""),"",IFERROR(VALUE(SUBSTITUTE(INDEX(급여대장_원본!$A$1:$AZ$400,(설정!$B$8+155),IFERROR(MATCH(설정!$C$21,INDEX(급여대장_원본!$A$1:$AZ$400,설정!$B$8,0),0),""))&amp;"",",","")),""))</f>
        <v/>
      </c>
      <c r="S161" s="2">
        <f>IF(OR(설정!$C$22="",IFERROR(MATCH(설정!$C$22,INDEX(급여대장_원본!$A$1:$AZ$400,설정!$B$8,0),0),"")=""),"",IFERROR(VALUE(SUBSTITUTE(INDEX(급여대장_원본!$A$1:$AZ$400,(설정!$B$8+155),IFERROR(MATCH(설정!$C$22,INDEX(급여대장_원본!$A$1:$AZ$400,설정!$B$8,0),0),""))&amp;"",",","")),""))</f>
        <v/>
      </c>
      <c r="T161" s="2">
        <f>IF(OR(설정!$C$23="",IFERROR(MATCH(설정!$C$23,INDEX(급여대장_원본!$A$1:$AZ$400,설정!$B$8,0),0),"")=""),"",IFERROR(VALUE(SUBSTITUTE(INDEX(급여대장_원본!$A$1:$AZ$400,(설정!$B$8+155),IFERROR(MATCH(설정!$C$23,INDEX(급여대장_원본!$A$1:$AZ$400,설정!$B$8,0),0),""))&amp;"",",","")),""))</f>
        <v/>
      </c>
      <c r="U161" s="2">
        <f>IF(OR(설정!$C$24="",IFERROR(MATCH(설정!$C$24,INDEX(급여대장_원본!$A$1:$AZ$400,설정!$B$8,0),0),"")=""),"",IFERROR(VALUE(SUBSTITUTE(INDEX(급여대장_원본!$A$1:$AZ$400,(설정!$B$8+155),IFERROR(MATCH(설정!$C$24,INDEX(급여대장_원본!$A$1:$AZ$400,설정!$B$8,0),0),""))&amp;"",",","")),""))</f>
        <v/>
      </c>
      <c r="V161" s="27">
        <f>SUM(F161:M161)</f>
        <v/>
      </c>
      <c r="W161" s="27">
        <f>IF(설정!$D$26="",0,IFERROR(VALUE(SUBSTITUTE(SUBSTITUTE(INDEX(급여대장_원본!$A$1:$AZ$400,(설정!$B$8+155),설정!$D$26)&amp;"",",",""),"　","")),0))</f>
        <v/>
      </c>
      <c r="X161" s="27">
        <f>IF(설정!$D$27="",0,IFERROR(VALUE(SUBSTITUTE(SUBSTITUTE(INDEX(급여대장_원본!$A$1:$AZ$400,(설정!$B$8+155),설정!$D$27)&amp;"",",",""),"　","")),0))</f>
        <v/>
      </c>
      <c r="Y161" s="27">
        <f>IF(설정!$D$28="",0,IFERROR(VALUE(SUBSTITUTE(SUBSTITUTE(INDEX(급여대장_원본!$A$1:$AZ$400,(설정!$B$8+155),설정!$D$28)&amp;"",",",""),"　","")),0))</f>
        <v/>
      </c>
      <c r="Z161" s="27">
        <f>IF(설정!$D$29="",0,IFERROR(VALUE(SUBSTITUTE(SUBSTITUTE(INDEX(급여대장_원본!$A$1:$AZ$400,(설정!$B$8+155),설정!$D$29)&amp;"",",",""),"　","")),0))</f>
        <v/>
      </c>
      <c r="AA161" s="27">
        <f>IF(설정!$D$30="",0,IFERROR(VALUE(SUBSTITUTE(SUBSTITUTE(INDEX(급여대장_원본!$A$1:$AZ$400,(설정!$B$8+155),설정!$D$30)&amp;"",",",""),"　","")),0))</f>
        <v/>
      </c>
      <c r="AB161" s="27">
        <f>IF(설정!$D$31="",0,IFERROR(VALUE(SUBSTITUTE(SUBSTITUTE(INDEX(급여대장_원본!$A$1:$AZ$400,(설정!$B$8+155),설정!$D$31)&amp;"",",",""),"　","")),0))</f>
        <v/>
      </c>
      <c r="AC161" s="27">
        <f>IF(설정!$D$32="",0,IFERROR(VALUE(SUBSTITUTE(SUBSTITUTE(INDEX(급여대장_원본!$A$1:$AZ$400,(설정!$B$8+155),설정!$D$32)&amp;"",",",""),"　","")),0))</f>
        <v/>
      </c>
      <c r="AD161" s="27">
        <f>IF(설정!$D$33="",0,IFERROR(VALUE(SUBSTITUTE(SUBSTITUTE(INDEX(급여대장_원본!$A$1:$AZ$400,(설정!$B$8+155),설정!$D$33)&amp;"",",",""),"　","")),0))</f>
        <v/>
      </c>
      <c r="AE161" s="27">
        <f>SUM(W161:AD161)</f>
        <v/>
      </c>
      <c r="AF161" s="27">
        <f>V161-AE161</f>
        <v/>
      </c>
      <c r="AG161" s="27">
        <f>IF(설정!$D$35="","",IF(설정!$D$35="",0,IFERROR(VALUE(SUBSTITUTE(SUBSTITUTE(INDEX(급여대장_원본!$A$1:$AZ$400,(설정!$B$8+155),설정!$D$35)&amp;"",",",""),"　","")),0)))</f>
        <v/>
      </c>
      <c r="AH161" s="27">
        <f>IF(설정!$D$36="","",IF(설정!$D$36="",0,IFERROR(VALUE(SUBSTITUTE(SUBSTITUTE(INDEX(급여대장_원본!$A$1:$AZ$400,(설정!$B$8+155),설정!$D$36)&amp;"",",",""),"　","")),0)))</f>
        <v/>
      </c>
      <c r="AI161" s="27">
        <f>IF(설정!$D$37="","",IF(설정!$D$37="",0,IFERROR(VALUE(SUBSTITUTE(SUBSTITUTE(INDEX(급여대장_원본!$A$1:$AZ$400,(설정!$B$8+155),설정!$D$37)&amp;"",",",""),"　","")),0)))</f>
        <v/>
      </c>
      <c r="AJ161" s="2">
        <f>IFERROR(INDEX($D$7:$D$306,MATCH(155,$B$7:$B$306,0)),"")</f>
        <v/>
      </c>
    </row>
    <row r="162">
      <c r="A162" s="2">
        <f>IF(AND(D162&lt;&gt;"",D162&lt;&gt;"합계",D162&lt;&gt;"총계",D162&lt;&gt;"소계",D162&lt;&gt;"계"),1,0)</f>
        <v/>
      </c>
      <c r="B162" s="2">
        <f>IF(A162=1,SUM($A$7:A162),"")</f>
        <v/>
      </c>
      <c r="C162" s="2">
        <f>IF(설정!$D$13="","",TRIM(SUBSTITUTE(INDEX(급여대장_원본!$A$1:$AZ$400,(설정!$B$8+156),설정!$D$13)&amp;"","　"," ")))</f>
        <v/>
      </c>
      <c r="D162" s="2">
        <f>IF(설정!$D$14="","",TRIM(SUBSTITUTE(INDEX(급여대장_원본!$A$1:$AZ$400,(설정!$B$8+156),설정!$D$14)&amp;"","　"," ")))</f>
        <v/>
      </c>
      <c r="E162" s="2">
        <f>IF(설정!$D$15="","",TRIM(SUBSTITUTE(INDEX(급여대장_원본!$A$1:$AZ$400,(설정!$B$8+156),설정!$D$15)&amp;"","　"," ")))</f>
        <v/>
      </c>
      <c r="F162" s="27">
        <f>IF(설정!$D$17="",0,IFERROR(VALUE(SUBSTITUTE(SUBSTITUTE(INDEX(급여대장_원본!$A$1:$AZ$400,(설정!$B$8+156),설정!$D$17)&amp;"",",",""),"　","")),0))</f>
        <v/>
      </c>
      <c r="G162" s="27">
        <f>IF(설정!$D$18="",0,IFERROR(VALUE(SUBSTITUTE(SUBSTITUTE(INDEX(급여대장_원본!$A$1:$AZ$400,(설정!$B$8+156),설정!$D$18)&amp;"",",",""),"　","")),0))</f>
        <v/>
      </c>
      <c r="H162" s="27">
        <f>IF(설정!$D$19="",0,IFERROR(VALUE(SUBSTITUTE(SUBSTITUTE(INDEX(급여대장_원본!$A$1:$AZ$400,(설정!$B$8+156),설정!$D$19)&amp;"",",",""),"　","")),0))</f>
        <v/>
      </c>
      <c r="I162" s="27">
        <f>IF(설정!$D$20="",0,IFERROR(VALUE(SUBSTITUTE(SUBSTITUTE(INDEX(급여대장_원본!$A$1:$AZ$400,(설정!$B$8+156),설정!$D$20)&amp;"",",",""),"　","")),0))</f>
        <v/>
      </c>
      <c r="J162" s="27">
        <f>IF(설정!$D$21="",0,IFERROR(VALUE(SUBSTITUTE(SUBSTITUTE(INDEX(급여대장_원본!$A$1:$AZ$400,(설정!$B$8+156),설정!$D$21)&amp;"",",",""),"　","")),0))</f>
        <v/>
      </c>
      <c r="K162" s="27">
        <f>IF(설정!$D$22="",0,IFERROR(VALUE(SUBSTITUTE(SUBSTITUTE(INDEX(급여대장_원본!$A$1:$AZ$400,(설정!$B$8+156),설정!$D$22)&amp;"",",",""),"　","")),0))</f>
        <v/>
      </c>
      <c r="L162" s="27">
        <f>IF(설정!$D$23="",0,IFERROR(VALUE(SUBSTITUTE(SUBSTITUTE(INDEX(급여대장_원본!$A$1:$AZ$400,(설정!$B$8+156),설정!$D$23)&amp;"",",",""),"　","")),0))</f>
        <v/>
      </c>
      <c r="M162" s="27">
        <f>IF(설정!$D$24="",0,IFERROR(VALUE(SUBSTITUTE(SUBSTITUTE(INDEX(급여대장_원본!$A$1:$AZ$400,(설정!$B$8+156),설정!$D$24)&amp;"",",",""),"　","")),0))</f>
        <v/>
      </c>
      <c r="N162" s="2">
        <f>IF(OR(설정!$C$17="",IFERROR(MATCH(설정!$C$17,INDEX(급여대장_원본!$A$1:$AZ$400,설정!$B$8,0),0),"")=""),"",IFERROR(VALUE(SUBSTITUTE(INDEX(급여대장_원본!$A$1:$AZ$400,(설정!$B$8+156),IFERROR(MATCH(설정!$C$17,INDEX(급여대장_원본!$A$1:$AZ$400,설정!$B$8,0),0),""))&amp;"",",","")),""))</f>
        <v/>
      </c>
      <c r="O162" s="2">
        <f>IF(OR(설정!$C$18="",IFERROR(MATCH(설정!$C$18,INDEX(급여대장_원본!$A$1:$AZ$400,설정!$B$8,0),0),"")=""),"",IFERROR(VALUE(SUBSTITUTE(INDEX(급여대장_원본!$A$1:$AZ$400,(설정!$B$8+156),IFERROR(MATCH(설정!$C$18,INDEX(급여대장_원본!$A$1:$AZ$400,설정!$B$8,0),0),""))&amp;"",",","")),""))</f>
        <v/>
      </c>
      <c r="P162" s="2">
        <f>IF(OR(설정!$C$19="",IFERROR(MATCH(설정!$C$19,INDEX(급여대장_원본!$A$1:$AZ$400,설정!$B$8,0),0),"")=""),"",IFERROR(VALUE(SUBSTITUTE(INDEX(급여대장_원본!$A$1:$AZ$400,(설정!$B$8+156),IFERROR(MATCH(설정!$C$19,INDEX(급여대장_원본!$A$1:$AZ$400,설정!$B$8,0),0),""))&amp;"",",","")),""))</f>
        <v/>
      </c>
      <c r="Q162" s="2">
        <f>IF(OR(설정!$C$20="",IFERROR(MATCH(설정!$C$20,INDEX(급여대장_원본!$A$1:$AZ$400,설정!$B$8,0),0),"")=""),"",IFERROR(VALUE(SUBSTITUTE(INDEX(급여대장_원본!$A$1:$AZ$400,(설정!$B$8+156),IFERROR(MATCH(설정!$C$20,INDEX(급여대장_원본!$A$1:$AZ$400,설정!$B$8,0),0),""))&amp;"",",","")),""))</f>
        <v/>
      </c>
      <c r="R162" s="2">
        <f>IF(OR(설정!$C$21="",IFERROR(MATCH(설정!$C$21,INDEX(급여대장_원본!$A$1:$AZ$400,설정!$B$8,0),0),"")=""),"",IFERROR(VALUE(SUBSTITUTE(INDEX(급여대장_원본!$A$1:$AZ$400,(설정!$B$8+156),IFERROR(MATCH(설정!$C$21,INDEX(급여대장_원본!$A$1:$AZ$400,설정!$B$8,0),0),""))&amp;"",",","")),""))</f>
        <v/>
      </c>
      <c r="S162" s="2">
        <f>IF(OR(설정!$C$22="",IFERROR(MATCH(설정!$C$22,INDEX(급여대장_원본!$A$1:$AZ$400,설정!$B$8,0),0),"")=""),"",IFERROR(VALUE(SUBSTITUTE(INDEX(급여대장_원본!$A$1:$AZ$400,(설정!$B$8+156),IFERROR(MATCH(설정!$C$22,INDEX(급여대장_원본!$A$1:$AZ$400,설정!$B$8,0),0),""))&amp;"",",","")),""))</f>
        <v/>
      </c>
      <c r="T162" s="2">
        <f>IF(OR(설정!$C$23="",IFERROR(MATCH(설정!$C$23,INDEX(급여대장_원본!$A$1:$AZ$400,설정!$B$8,0),0),"")=""),"",IFERROR(VALUE(SUBSTITUTE(INDEX(급여대장_원본!$A$1:$AZ$400,(설정!$B$8+156),IFERROR(MATCH(설정!$C$23,INDEX(급여대장_원본!$A$1:$AZ$400,설정!$B$8,0),0),""))&amp;"",",","")),""))</f>
        <v/>
      </c>
      <c r="U162" s="2">
        <f>IF(OR(설정!$C$24="",IFERROR(MATCH(설정!$C$24,INDEX(급여대장_원본!$A$1:$AZ$400,설정!$B$8,0),0),"")=""),"",IFERROR(VALUE(SUBSTITUTE(INDEX(급여대장_원본!$A$1:$AZ$400,(설정!$B$8+156),IFERROR(MATCH(설정!$C$24,INDEX(급여대장_원본!$A$1:$AZ$400,설정!$B$8,0),0),""))&amp;"",",","")),""))</f>
        <v/>
      </c>
      <c r="V162" s="27">
        <f>SUM(F162:M162)</f>
        <v/>
      </c>
      <c r="W162" s="27">
        <f>IF(설정!$D$26="",0,IFERROR(VALUE(SUBSTITUTE(SUBSTITUTE(INDEX(급여대장_원본!$A$1:$AZ$400,(설정!$B$8+156),설정!$D$26)&amp;"",",",""),"　","")),0))</f>
        <v/>
      </c>
      <c r="X162" s="27">
        <f>IF(설정!$D$27="",0,IFERROR(VALUE(SUBSTITUTE(SUBSTITUTE(INDEX(급여대장_원본!$A$1:$AZ$400,(설정!$B$8+156),설정!$D$27)&amp;"",",",""),"　","")),0))</f>
        <v/>
      </c>
      <c r="Y162" s="27">
        <f>IF(설정!$D$28="",0,IFERROR(VALUE(SUBSTITUTE(SUBSTITUTE(INDEX(급여대장_원본!$A$1:$AZ$400,(설정!$B$8+156),설정!$D$28)&amp;"",",",""),"　","")),0))</f>
        <v/>
      </c>
      <c r="Z162" s="27">
        <f>IF(설정!$D$29="",0,IFERROR(VALUE(SUBSTITUTE(SUBSTITUTE(INDEX(급여대장_원본!$A$1:$AZ$400,(설정!$B$8+156),설정!$D$29)&amp;"",",",""),"　","")),0))</f>
        <v/>
      </c>
      <c r="AA162" s="27">
        <f>IF(설정!$D$30="",0,IFERROR(VALUE(SUBSTITUTE(SUBSTITUTE(INDEX(급여대장_원본!$A$1:$AZ$400,(설정!$B$8+156),설정!$D$30)&amp;"",",",""),"　","")),0))</f>
        <v/>
      </c>
      <c r="AB162" s="27">
        <f>IF(설정!$D$31="",0,IFERROR(VALUE(SUBSTITUTE(SUBSTITUTE(INDEX(급여대장_원본!$A$1:$AZ$400,(설정!$B$8+156),설정!$D$31)&amp;"",",",""),"　","")),0))</f>
        <v/>
      </c>
      <c r="AC162" s="27">
        <f>IF(설정!$D$32="",0,IFERROR(VALUE(SUBSTITUTE(SUBSTITUTE(INDEX(급여대장_원본!$A$1:$AZ$400,(설정!$B$8+156),설정!$D$32)&amp;"",",",""),"　","")),0))</f>
        <v/>
      </c>
      <c r="AD162" s="27">
        <f>IF(설정!$D$33="",0,IFERROR(VALUE(SUBSTITUTE(SUBSTITUTE(INDEX(급여대장_원본!$A$1:$AZ$400,(설정!$B$8+156),설정!$D$33)&amp;"",",",""),"　","")),0))</f>
        <v/>
      </c>
      <c r="AE162" s="27">
        <f>SUM(W162:AD162)</f>
        <v/>
      </c>
      <c r="AF162" s="27">
        <f>V162-AE162</f>
        <v/>
      </c>
      <c r="AG162" s="27">
        <f>IF(설정!$D$35="","",IF(설정!$D$35="",0,IFERROR(VALUE(SUBSTITUTE(SUBSTITUTE(INDEX(급여대장_원본!$A$1:$AZ$400,(설정!$B$8+156),설정!$D$35)&amp;"",",",""),"　","")),0)))</f>
        <v/>
      </c>
      <c r="AH162" s="27">
        <f>IF(설정!$D$36="","",IF(설정!$D$36="",0,IFERROR(VALUE(SUBSTITUTE(SUBSTITUTE(INDEX(급여대장_원본!$A$1:$AZ$400,(설정!$B$8+156),설정!$D$36)&amp;"",",",""),"　","")),0)))</f>
        <v/>
      </c>
      <c r="AI162" s="27">
        <f>IF(설정!$D$37="","",IF(설정!$D$37="",0,IFERROR(VALUE(SUBSTITUTE(SUBSTITUTE(INDEX(급여대장_원본!$A$1:$AZ$400,(설정!$B$8+156),설정!$D$37)&amp;"",",",""),"　","")),0)))</f>
        <v/>
      </c>
      <c r="AJ162" s="2">
        <f>IFERROR(INDEX($D$7:$D$306,MATCH(156,$B$7:$B$306,0)),"")</f>
        <v/>
      </c>
    </row>
    <row r="163">
      <c r="A163" s="2">
        <f>IF(AND(D163&lt;&gt;"",D163&lt;&gt;"합계",D163&lt;&gt;"총계",D163&lt;&gt;"소계",D163&lt;&gt;"계"),1,0)</f>
        <v/>
      </c>
      <c r="B163" s="2">
        <f>IF(A163=1,SUM($A$7:A163),"")</f>
        <v/>
      </c>
      <c r="C163" s="2">
        <f>IF(설정!$D$13="","",TRIM(SUBSTITUTE(INDEX(급여대장_원본!$A$1:$AZ$400,(설정!$B$8+157),설정!$D$13)&amp;"","　"," ")))</f>
        <v/>
      </c>
      <c r="D163" s="2">
        <f>IF(설정!$D$14="","",TRIM(SUBSTITUTE(INDEX(급여대장_원본!$A$1:$AZ$400,(설정!$B$8+157),설정!$D$14)&amp;"","　"," ")))</f>
        <v/>
      </c>
      <c r="E163" s="2">
        <f>IF(설정!$D$15="","",TRIM(SUBSTITUTE(INDEX(급여대장_원본!$A$1:$AZ$400,(설정!$B$8+157),설정!$D$15)&amp;"","　"," ")))</f>
        <v/>
      </c>
      <c r="F163" s="27">
        <f>IF(설정!$D$17="",0,IFERROR(VALUE(SUBSTITUTE(SUBSTITUTE(INDEX(급여대장_원본!$A$1:$AZ$400,(설정!$B$8+157),설정!$D$17)&amp;"",",",""),"　","")),0))</f>
        <v/>
      </c>
      <c r="G163" s="27">
        <f>IF(설정!$D$18="",0,IFERROR(VALUE(SUBSTITUTE(SUBSTITUTE(INDEX(급여대장_원본!$A$1:$AZ$400,(설정!$B$8+157),설정!$D$18)&amp;"",",",""),"　","")),0))</f>
        <v/>
      </c>
      <c r="H163" s="27">
        <f>IF(설정!$D$19="",0,IFERROR(VALUE(SUBSTITUTE(SUBSTITUTE(INDEX(급여대장_원본!$A$1:$AZ$400,(설정!$B$8+157),설정!$D$19)&amp;"",",",""),"　","")),0))</f>
        <v/>
      </c>
      <c r="I163" s="27">
        <f>IF(설정!$D$20="",0,IFERROR(VALUE(SUBSTITUTE(SUBSTITUTE(INDEX(급여대장_원본!$A$1:$AZ$400,(설정!$B$8+157),설정!$D$20)&amp;"",",",""),"　","")),0))</f>
        <v/>
      </c>
      <c r="J163" s="27">
        <f>IF(설정!$D$21="",0,IFERROR(VALUE(SUBSTITUTE(SUBSTITUTE(INDEX(급여대장_원본!$A$1:$AZ$400,(설정!$B$8+157),설정!$D$21)&amp;"",",",""),"　","")),0))</f>
        <v/>
      </c>
      <c r="K163" s="27">
        <f>IF(설정!$D$22="",0,IFERROR(VALUE(SUBSTITUTE(SUBSTITUTE(INDEX(급여대장_원본!$A$1:$AZ$400,(설정!$B$8+157),설정!$D$22)&amp;"",",",""),"　","")),0))</f>
        <v/>
      </c>
      <c r="L163" s="27">
        <f>IF(설정!$D$23="",0,IFERROR(VALUE(SUBSTITUTE(SUBSTITUTE(INDEX(급여대장_원본!$A$1:$AZ$400,(설정!$B$8+157),설정!$D$23)&amp;"",",",""),"　","")),0))</f>
        <v/>
      </c>
      <c r="M163" s="27">
        <f>IF(설정!$D$24="",0,IFERROR(VALUE(SUBSTITUTE(SUBSTITUTE(INDEX(급여대장_원본!$A$1:$AZ$400,(설정!$B$8+157),설정!$D$24)&amp;"",",",""),"　","")),0))</f>
        <v/>
      </c>
      <c r="N163" s="2">
        <f>IF(OR(설정!$C$17="",IFERROR(MATCH(설정!$C$17,INDEX(급여대장_원본!$A$1:$AZ$400,설정!$B$8,0),0),"")=""),"",IFERROR(VALUE(SUBSTITUTE(INDEX(급여대장_원본!$A$1:$AZ$400,(설정!$B$8+157),IFERROR(MATCH(설정!$C$17,INDEX(급여대장_원본!$A$1:$AZ$400,설정!$B$8,0),0),""))&amp;"",",","")),""))</f>
        <v/>
      </c>
      <c r="O163" s="2">
        <f>IF(OR(설정!$C$18="",IFERROR(MATCH(설정!$C$18,INDEX(급여대장_원본!$A$1:$AZ$400,설정!$B$8,0),0),"")=""),"",IFERROR(VALUE(SUBSTITUTE(INDEX(급여대장_원본!$A$1:$AZ$400,(설정!$B$8+157),IFERROR(MATCH(설정!$C$18,INDEX(급여대장_원본!$A$1:$AZ$400,설정!$B$8,0),0),""))&amp;"",",","")),""))</f>
        <v/>
      </c>
      <c r="P163" s="2">
        <f>IF(OR(설정!$C$19="",IFERROR(MATCH(설정!$C$19,INDEX(급여대장_원본!$A$1:$AZ$400,설정!$B$8,0),0),"")=""),"",IFERROR(VALUE(SUBSTITUTE(INDEX(급여대장_원본!$A$1:$AZ$400,(설정!$B$8+157),IFERROR(MATCH(설정!$C$19,INDEX(급여대장_원본!$A$1:$AZ$400,설정!$B$8,0),0),""))&amp;"",",","")),""))</f>
        <v/>
      </c>
      <c r="Q163" s="2">
        <f>IF(OR(설정!$C$20="",IFERROR(MATCH(설정!$C$20,INDEX(급여대장_원본!$A$1:$AZ$400,설정!$B$8,0),0),"")=""),"",IFERROR(VALUE(SUBSTITUTE(INDEX(급여대장_원본!$A$1:$AZ$400,(설정!$B$8+157),IFERROR(MATCH(설정!$C$20,INDEX(급여대장_원본!$A$1:$AZ$400,설정!$B$8,0),0),""))&amp;"",",","")),""))</f>
        <v/>
      </c>
      <c r="R163" s="2">
        <f>IF(OR(설정!$C$21="",IFERROR(MATCH(설정!$C$21,INDEX(급여대장_원본!$A$1:$AZ$400,설정!$B$8,0),0),"")=""),"",IFERROR(VALUE(SUBSTITUTE(INDEX(급여대장_원본!$A$1:$AZ$400,(설정!$B$8+157),IFERROR(MATCH(설정!$C$21,INDEX(급여대장_원본!$A$1:$AZ$400,설정!$B$8,0),0),""))&amp;"",",","")),""))</f>
        <v/>
      </c>
      <c r="S163" s="2">
        <f>IF(OR(설정!$C$22="",IFERROR(MATCH(설정!$C$22,INDEX(급여대장_원본!$A$1:$AZ$400,설정!$B$8,0),0),"")=""),"",IFERROR(VALUE(SUBSTITUTE(INDEX(급여대장_원본!$A$1:$AZ$400,(설정!$B$8+157),IFERROR(MATCH(설정!$C$22,INDEX(급여대장_원본!$A$1:$AZ$400,설정!$B$8,0),0),""))&amp;"",",","")),""))</f>
        <v/>
      </c>
      <c r="T163" s="2">
        <f>IF(OR(설정!$C$23="",IFERROR(MATCH(설정!$C$23,INDEX(급여대장_원본!$A$1:$AZ$400,설정!$B$8,0),0),"")=""),"",IFERROR(VALUE(SUBSTITUTE(INDEX(급여대장_원본!$A$1:$AZ$400,(설정!$B$8+157),IFERROR(MATCH(설정!$C$23,INDEX(급여대장_원본!$A$1:$AZ$400,설정!$B$8,0),0),""))&amp;"",",","")),""))</f>
        <v/>
      </c>
      <c r="U163" s="2">
        <f>IF(OR(설정!$C$24="",IFERROR(MATCH(설정!$C$24,INDEX(급여대장_원본!$A$1:$AZ$400,설정!$B$8,0),0),"")=""),"",IFERROR(VALUE(SUBSTITUTE(INDEX(급여대장_원본!$A$1:$AZ$400,(설정!$B$8+157),IFERROR(MATCH(설정!$C$24,INDEX(급여대장_원본!$A$1:$AZ$400,설정!$B$8,0),0),""))&amp;"",",","")),""))</f>
        <v/>
      </c>
      <c r="V163" s="27">
        <f>SUM(F163:M163)</f>
        <v/>
      </c>
      <c r="W163" s="27">
        <f>IF(설정!$D$26="",0,IFERROR(VALUE(SUBSTITUTE(SUBSTITUTE(INDEX(급여대장_원본!$A$1:$AZ$400,(설정!$B$8+157),설정!$D$26)&amp;"",",",""),"　","")),0))</f>
        <v/>
      </c>
      <c r="X163" s="27">
        <f>IF(설정!$D$27="",0,IFERROR(VALUE(SUBSTITUTE(SUBSTITUTE(INDEX(급여대장_원본!$A$1:$AZ$400,(설정!$B$8+157),설정!$D$27)&amp;"",",",""),"　","")),0))</f>
        <v/>
      </c>
      <c r="Y163" s="27">
        <f>IF(설정!$D$28="",0,IFERROR(VALUE(SUBSTITUTE(SUBSTITUTE(INDEX(급여대장_원본!$A$1:$AZ$400,(설정!$B$8+157),설정!$D$28)&amp;"",",",""),"　","")),0))</f>
        <v/>
      </c>
      <c r="Z163" s="27">
        <f>IF(설정!$D$29="",0,IFERROR(VALUE(SUBSTITUTE(SUBSTITUTE(INDEX(급여대장_원본!$A$1:$AZ$400,(설정!$B$8+157),설정!$D$29)&amp;"",",",""),"　","")),0))</f>
        <v/>
      </c>
      <c r="AA163" s="27">
        <f>IF(설정!$D$30="",0,IFERROR(VALUE(SUBSTITUTE(SUBSTITUTE(INDEX(급여대장_원본!$A$1:$AZ$400,(설정!$B$8+157),설정!$D$30)&amp;"",",",""),"　","")),0))</f>
        <v/>
      </c>
      <c r="AB163" s="27">
        <f>IF(설정!$D$31="",0,IFERROR(VALUE(SUBSTITUTE(SUBSTITUTE(INDEX(급여대장_원본!$A$1:$AZ$400,(설정!$B$8+157),설정!$D$31)&amp;"",",",""),"　","")),0))</f>
        <v/>
      </c>
      <c r="AC163" s="27">
        <f>IF(설정!$D$32="",0,IFERROR(VALUE(SUBSTITUTE(SUBSTITUTE(INDEX(급여대장_원본!$A$1:$AZ$400,(설정!$B$8+157),설정!$D$32)&amp;"",",",""),"　","")),0))</f>
        <v/>
      </c>
      <c r="AD163" s="27">
        <f>IF(설정!$D$33="",0,IFERROR(VALUE(SUBSTITUTE(SUBSTITUTE(INDEX(급여대장_원본!$A$1:$AZ$400,(설정!$B$8+157),설정!$D$33)&amp;"",",",""),"　","")),0))</f>
        <v/>
      </c>
      <c r="AE163" s="27">
        <f>SUM(W163:AD163)</f>
        <v/>
      </c>
      <c r="AF163" s="27">
        <f>V163-AE163</f>
        <v/>
      </c>
      <c r="AG163" s="27">
        <f>IF(설정!$D$35="","",IF(설정!$D$35="",0,IFERROR(VALUE(SUBSTITUTE(SUBSTITUTE(INDEX(급여대장_원본!$A$1:$AZ$400,(설정!$B$8+157),설정!$D$35)&amp;"",",",""),"　","")),0)))</f>
        <v/>
      </c>
      <c r="AH163" s="27">
        <f>IF(설정!$D$36="","",IF(설정!$D$36="",0,IFERROR(VALUE(SUBSTITUTE(SUBSTITUTE(INDEX(급여대장_원본!$A$1:$AZ$400,(설정!$B$8+157),설정!$D$36)&amp;"",",",""),"　","")),0)))</f>
        <v/>
      </c>
      <c r="AI163" s="27">
        <f>IF(설정!$D$37="","",IF(설정!$D$37="",0,IFERROR(VALUE(SUBSTITUTE(SUBSTITUTE(INDEX(급여대장_원본!$A$1:$AZ$400,(설정!$B$8+157),설정!$D$37)&amp;"",",",""),"　","")),0)))</f>
        <v/>
      </c>
      <c r="AJ163" s="2">
        <f>IFERROR(INDEX($D$7:$D$306,MATCH(157,$B$7:$B$306,0)),"")</f>
        <v/>
      </c>
    </row>
    <row r="164">
      <c r="A164" s="2">
        <f>IF(AND(D164&lt;&gt;"",D164&lt;&gt;"합계",D164&lt;&gt;"총계",D164&lt;&gt;"소계",D164&lt;&gt;"계"),1,0)</f>
        <v/>
      </c>
      <c r="B164" s="2">
        <f>IF(A164=1,SUM($A$7:A164),"")</f>
        <v/>
      </c>
      <c r="C164" s="2">
        <f>IF(설정!$D$13="","",TRIM(SUBSTITUTE(INDEX(급여대장_원본!$A$1:$AZ$400,(설정!$B$8+158),설정!$D$13)&amp;"","　"," ")))</f>
        <v/>
      </c>
      <c r="D164" s="2">
        <f>IF(설정!$D$14="","",TRIM(SUBSTITUTE(INDEX(급여대장_원본!$A$1:$AZ$400,(설정!$B$8+158),설정!$D$14)&amp;"","　"," ")))</f>
        <v/>
      </c>
      <c r="E164" s="2">
        <f>IF(설정!$D$15="","",TRIM(SUBSTITUTE(INDEX(급여대장_원본!$A$1:$AZ$400,(설정!$B$8+158),설정!$D$15)&amp;"","　"," ")))</f>
        <v/>
      </c>
      <c r="F164" s="27">
        <f>IF(설정!$D$17="",0,IFERROR(VALUE(SUBSTITUTE(SUBSTITUTE(INDEX(급여대장_원본!$A$1:$AZ$400,(설정!$B$8+158),설정!$D$17)&amp;"",",",""),"　","")),0))</f>
        <v/>
      </c>
      <c r="G164" s="27">
        <f>IF(설정!$D$18="",0,IFERROR(VALUE(SUBSTITUTE(SUBSTITUTE(INDEX(급여대장_원본!$A$1:$AZ$400,(설정!$B$8+158),설정!$D$18)&amp;"",",",""),"　","")),0))</f>
        <v/>
      </c>
      <c r="H164" s="27">
        <f>IF(설정!$D$19="",0,IFERROR(VALUE(SUBSTITUTE(SUBSTITUTE(INDEX(급여대장_원본!$A$1:$AZ$400,(설정!$B$8+158),설정!$D$19)&amp;"",",",""),"　","")),0))</f>
        <v/>
      </c>
      <c r="I164" s="27">
        <f>IF(설정!$D$20="",0,IFERROR(VALUE(SUBSTITUTE(SUBSTITUTE(INDEX(급여대장_원본!$A$1:$AZ$400,(설정!$B$8+158),설정!$D$20)&amp;"",",",""),"　","")),0))</f>
        <v/>
      </c>
      <c r="J164" s="27">
        <f>IF(설정!$D$21="",0,IFERROR(VALUE(SUBSTITUTE(SUBSTITUTE(INDEX(급여대장_원본!$A$1:$AZ$400,(설정!$B$8+158),설정!$D$21)&amp;"",",",""),"　","")),0))</f>
        <v/>
      </c>
      <c r="K164" s="27">
        <f>IF(설정!$D$22="",0,IFERROR(VALUE(SUBSTITUTE(SUBSTITUTE(INDEX(급여대장_원본!$A$1:$AZ$400,(설정!$B$8+158),설정!$D$22)&amp;"",",",""),"　","")),0))</f>
        <v/>
      </c>
      <c r="L164" s="27">
        <f>IF(설정!$D$23="",0,IFERROR(VALUE(SUBSTITUTE(SUBSTITUTE(INDEX(급여대장_원본!$A$1:$AZ$400,(설정!$B$8+158),설정!$D$23)&amp;"",",",""),"　","")),0))</f>
        <v/>
      </c>
      <c r="M164" s="27">
        <f>IF(설정!$D$24="",0,IFERROR(VALUE(SUBSTITUTE(SUBSTITUTE(INDEX(급여대장_원본!$A$1:$AZ$400,(설정!$B$8+158),설정!$D$24)&amp;"",",",""),"　","")),0))</f>
        <v/>
      </c>
      <c r="N164" s="2">
        <f>IF(OR(설정!$C$17="",IFERROR(MATCH(설정!$C$17,INDEX(급여대장_원본!$A$1:$AZ$400,설정!$B$8,0),0),"")=""),"",IFERROR(VALUE(SUBSTITUTE(INDEX(급여대장_원본!$A$1:$AZ$400,(설정!$B$8+158),IFERROR(MATCH(설정!$C$17,INDEX(급여대장_원본!$A$1:$AZ$400,설정!$B$8,0),0),""))&amp;"",",","")),""))</f>
        <v/>
      </c>
      <c r="O164" s="2">
        <f>IF(OR(설정!$C$18="",IFERROR(MATCH(설정!$C$18,INDEX(급여대장_원본!$A$1:$AZ$400,설정!$B$8,0),0),"")=""),"",IFERROR(VALUE(SUBSTITUTE(INDEX(급여대장_원본!$A$1:$AZ$400,(설정!$B$8+158),IFERROR(MATCH(설정!$C$18,INDEX(급여대장_원본!$A$1:$AZ$400,설정!$B$8,0),0),""))&amp;"",",","")),""))</f>
        <v/>
      </c>
      <c r="P164" s="2">
        <f>IF(OR(설정!$C$19="",IFERROR(MATCH(설정!$C$19,INDEX(급여대장_원본!$A$1:$AZ$400,설정!$B$8,0),0),"")=""),"",IFERROR(VALUE(SUBSTITUTE(INDEX(급여대장_원본!$A$1:$AZ$400,(설정!$B$8+158),IFERROR(MATCH(설정!$C$19,INDEX(급여대장_원본!$A$1:$AZ$400,설정!$B$8,0),0),""))&amp;"",",","")),""))</f>
        <v/>
      </c>
      <c r="Q164" s="2">
        <f>IF(OR(설정!$C$20="",IFERROR(MATCH(설정!$C$20,INDEX(급여대장_원본!$A$1:$AZ$400,설정!$B$8,0),0),"")=""),"",IFERROR(VALUE(SUBSTITUTE(INDEX(급여대장_원본!$A$1:$AZ$400,(설정!$B$8+158),IFERROR(MATCH(설정!$C$20,INDEX(급여대장_원본!$A$1:$AZ$400,설정!$B$8,0),0),""))&amp;"",",","")),""))</f>
        <v/>
      </c>
      <c r="R164" s="2">
        <f>IF(OR(설정!$C$21="",IFERROR(MATCH(설정!$C$21,INDEX(급여대장_원본!$A$1:$AZ$400,설정!$B$8,0),0),"")=""),"",IFERROR(VALUE(SUBSTITUTE(INDEX(급여대장_원본!$A$1:$AZ$400,(설정!$B$8+158),IFERROR(MATCH(설정!$C$21,INDEX(급여대장_원본!$A$1:$AZ$400,설정!$B$8,0),0),""))&amp;"",",","")),""))</f>
        <v/>
      </c>
      <c r="S164" s="2">
        <f>IF(OR(설정!$C$22="",IFERROR(MATCH(설정!$C$22,INDEX(급여대장_원본!$A$1:$AZ$400,설정!$B$8,0),0),"")=""),"",IFERROR(VALUE(SUBSTITUTE(INDEX(급여대장_원본!$A$1:$AZ$400,(설정!$B$8+158),IFERROR(MATCH(설정!$C$22,INDEX(급여대장_원본!$A$1:$AZ$400,설정!$B$8,0),0),""))&amp;"",",","")),""))</f>
        <v/>
      </c>
      <c r="T164" s="2">
        <f>IF(OR(설정!$C$23="",IFERROR(MATCH(설정!$C$23,INDEX(급여대장_원본!$A$1:$AZ$400,설정!$B$8,0),0),"")=""),"",IFERROR(VALUE(SUBSTITUTE(INDEX(급여대장_원본!$A$1:$AZ$400,(설정!$B$8+158),IFERROR(MATCH(설정!$C$23,INDEX(급여대장_원본!$A$1:$AZ$400,설정!$B$8,0),0),""))&amp;"",",","")),""))</f>
        <v/>
      </c>
      <c r="U164" s="2">
        <f>IF(OR(설정!$C$24="",IFERROR(MATCH(설정!$C$24,INDEX(급여대장_원본!$A$1:$AZ$400,설정!$B$8,0),0),"")=""),"",IFERROR(VALUE(SUBSTITUTE(INDEX(급여대장_원본!$A$1:$AZ$400,(설정!$B$8+158),IFERROR(MATCH(설정!$C$24,INDEX(급여대장_원본!$A$1:$AZ$400,설정!$B$8,0),0),""))&amp;"",",","")),""))</f>
        <v/>
      </c>
      <c r="V164" s="27">
        <f>SUM(F164:M164)</f>
        <v/>
      </c>
      <c r="W164" s="27">
        <f>IF(설정!$D$26="",0,IFERROR(VALUE(SUBSTITUTE(SUBSTITUTE(INDEX(급여대장_원본!$A$1:$AZ$400,(설정!$B$8+158),설정!$D$26)&amp;"",",",""),"　","")),0))</f>
        <v/>
      </c>
      <c r="X164" s="27">
        <f>IF(설정!$D$27="",0,IFERROR(VALUE(SUBSTITUTE(SUBSTITUTE(INDEX(급여대장_원본!$A$1:$AZ$400,(설정!$B$8+158),설정!$D$27)&amp;"",",",""),"　","")),0))</f>
        <v/>
      </c>
      <c r="Y164" s="27">
        <f>IF(설정!$D$28="",0,IFERROR(VALUE(SUBSTITUTE(SUBSTITUTE(INDEX(급여대장_원본!$A$1:$AZ$400,(설정!$B$8+158),설정!$D$28)&amp;"",",",""),"　","")),0))</f>
        <v/>
      </c>
      <c r="Z164" s="27">
        <f>IF(설정!$D$29="",0,IFERROR(VALUE(SUBSTITUTE(SUBSTITUTE(INDEX(급여대장_원본!$A$1:$AZ$400,(설정!$B$8+158),설정!$D$29)&amp;"",",",""),"　","")),0))</f>
        <v/>
      </c>
      <c r="AA164" s="27">
        <f>IF(설정!$D$30="",0,IFERROR(VALUE(SUBSTITUTE(SUBSTITUTE(INDEX(급여대장_원본!$A$1:$AZ$400,(설정!$B$8+158),설정!$D$30)&amp;"",",",""),"　","")),0))</f>
        <v/>
      </c>
      <c r="AB164" s="27">
        <f>IF(설정!$D$31="",0,IFERROR(VALUE(SUBSTITUTE(SUBSTITUTE(INDEX(급여대장_원본!$A$1:$AZ$400,(설정!$B$8+158),설정!$D$31)&amp;"",",",""),"　","")),0))</f>
        <v/>
      </c>
      <c r="AC164" s="27">
        <f>IF(설정!$D$32="",0,IFERROR(VALUE(SUBSTITUTE(SUBSTITUTE(INDEX(급여대장_원본!$A$1:$AZ$400,(설정!$B$8+158),설정!$D$32)&amp;"",",",""),"　","")),0))</f>
        <v/>
      </c>
      <c r="AD164" s="27">
        <f>IF(설정!$D$33="",0,IFERROR(VALUE(SUBSTITUTE(SUBSTITUTE(INDEX(급여대장_원본!$A$1:$AZ$400,(설정!$B$8+158),설정!$D$33)&amp;"",",",""),"　","")),0))</f>
        <v/>
      </c>
      <c r="AE164" s="27">
        <f>SUM(W164:AD164)</f>
        <v/>
      </c>
      <c r="AF164" s="27">
        <f>V164-AE164</f>
        <v/>
      </c>
      <c r="AG164" s="27">
        <f>IF(설정!$D$35="","",IF(설정!$D$35="",0,IFERROR(VALUE(SUBSTITUTE(SUBSTITUTE(INDEX(급여대장_원본!$A$1:$AZ$400,(설정!$B$8+158),설정!$D$35)&amp;"",",",""),"　","")),0)))</f>
        <v/>
      </c>
      <c r="AH164" s="27">
        <f>IF(설정!$D$36="","",IF(설정!$D$36="",0,IFERROR(VALUE(SUBSTITUTE(SUBSTITUTE(INDEX(급여대장_원본!$A$1:$AZ$400,(설정!$B$8+158),설정!$D$36)&amp;"",",",""),"　","")),0)))</f>
        <v/>
      </c>
      <c r="AI164" s="27">
        <f>IF(설정!$D$37="","",IF(설정!$D$37="",0,IFERROR(VALUE(SUBSTITUTE(SUBSTITUTE(INDEX(급여대장_원본!$A$1:$AZ$400,(설정!$B$8+158),설정!$D$37)&amp;"",",",""),"　","")),0)))</f>
        <v/>
      </c>
      <c r="AJ164" s="2">
        <f>IFERROR(INDEX($D$7:$D$306,MATCH(158,$B$7:$B$306,0)),"")</f>
        <v/>
      </c>
    </row>
    <row r="165">
      <c r="A165" s="2">
        <f>IF(AND(D165&lt;&gt;"",D165&lt;&gt;"합계",D165&lt;&gt;"총계",D165&lt;&gt;"소계",D165&lt;&gt;"계"),1,0)</f>
        <v/>
      </c>
      <c r="B165" s="2">
        <f>IF(A165=1,SUM($A$7:A165),"")</f>
        <v/>
      </c>
      <c r="C165" s="2">
        <f>IF(설정!$D$13="","",TRIM(SUBSTITUTE(INDEX(급여대장_원본!$A$1:$AZ$400,(설정!$B$8+159),설정!$D$13)&amp;"","　"," ")))</f>
        <v/>
      </c>
      <c r="D165" s="2">
        <f>IF(설정!$D$14="","",TRIM(SUBSTITUTE(INDEX(급여대장_원본!$A$1:$AZ$400,(설정!$B$8+159),설정!$D$14)&amp;"","　"," ")))</f>
        <v/>
      </c>
      <c r="E165" s="2">
        <f>IF(설정!$D$15="","",TRIM(SUBSTITUTE(INDEX(급여대장_원본!$A$1:$AZ$400,(설정!$B$8+159),설정!$D$15)&amp;"","　"," ")))</f>
        <v/>
      </c>
      <c r="F165" s="27">
        <f>IF(설정!$D$17="",0,IFERROR(VALUE(SUBSTITUTE(SUBSTITUTE(INDEX(급여대장_원본!$A$1:$AZ$400,(설정!$B$8+159),설정!$D$17)&amp;"",",",""),"　","")),0))</f>
        <v/>
      </c>
      <c r="G165" s="27">
        <f>IF(설정!$D$18="",0,IFERROR(VALUE(SUBSTITUTE(SUBSTITUTE(INDEX(급여대장_원본!$A$1:$AZ$400,(설정!$B$8+159),설정!$D$18)&amp;"",",",""),"　","")),0))</f>
        <v/>
      </c>
      <c r="H165" s="27">
        <f>IF(설정!$D$19="",0,IFERROR(VALUE(SUBSTITUTE(SUBSTITUTE(INDEX(급여대장_원본!$A$1:$AZ$400,(설정!$B$8+159),설정!$D$19)&amp;"",",",""),"　","")),0))</f>
        <v/>
      </c>
      <c r="I165" s="27">
        <f>IF(설정!$D$20="",0,IFERROR(VALUE(SUBSTITUTE(SUBSTITUTE(INDEX(급여대장_원본!$A$1:$AZ$400,(설정!$B$8+159),설정!$D$20)&amp;"",",",""),"　","")),0))</f>
        <v/>
      </c>
      <c r="J165" s="27">
        <f>IF(설정!$D$21="",0,IFERROR(VALUE(SUBSTITUTE(SUBSTITUTE(INDEX(급여대장_원본!$A$1:$AZ$400,(설정!$B$8+159),설정!$D$21)&amp;"",",",""),"　","")),0))</f>
        <v/>
      </c>
      <c r="K165" s="27">
        <f>IF(설정!$D$22="",0,IFERROR(VALUE(SUBSTITUTE(SUBSTITUTE(INDEX(급여대장_원본!$A$1:$AZ$400,(설정!$B$8+159),설정!$D$22)&amp;"",",",""),"　","")),0))</f>
        <v/>
      </c>
      <c r="L165" s="27">
        <f>IF(설정!$D$23="",0,IFERROR(VALUE(SUBSTITUTE(SUBSTITUTE(INDEX(급여대장_원본!$A$1:$AZ$400,(설정!$B$8+159),설정!$D$23)&amp;"",",",""),"　","")),0))</f>
        <v/>
      </c>
      <c r="M165" s="27">
        <f>IF(설정!$D$24="",0,IFERROR(VALUE(SUBSTITUTE(SUBSTITUTE(INDEX(급여대장_원본!$A$1:$AZ$400,(설정!$B$8+159),설정!$D$24)&amp;"",",",""),"　","")),0))</f>
        <v/>
      </c>
      <c r="N165" s="2">
        <f>IF(OR(설정!$C$17="",IFERROR(MATCH(설정!$C$17,INDEX(급여대장_원본!$A$1:$AZ$400,설정!$B$8,0),0),"")=""),"",IFERROR(VALUE(SUBSTITUTE(INDEX(급여대장_원본!$A$1:$AZ$400,(설정!$B$8+159),IFERROR(MATCH(설정!$C$17,INDEX(급여대장_원본!$A$1:$AZ$400,설정!$B$8,0),0),""))&amp;"",",","")),""))</f>
        <v/>
      </c>
      <c r="O165" s="2">
        <f>IF(OR(설정!$C$18="",IFERROR(MATCH(설정!$C$18,INDEX(급여대장_원본!$A$1:$AZ$400,설정!$B$8,0),0),"")=""),"",IFERROR(VALUE(SUBSTITUTE(INDEX(급여대장_원본!$A$1:$AZ$400,(설정!$B$8+159),IFERROR(MATCH(설정!$C$18,INDEX(급여대장_원본!$A$1:$AZ$400,설정!$B$8,0),0),""))&amp;"",",","")),""))</f>
        <v/>
      </c>
      <c r="P165" s="2">
        <f>IF(OR(설정!$C$19="",IFERROR(MATCH(설정!$C$19,INDEX(급여대장_원본!$A$1:$AZ$400,설정!$B$8,0),0),"")=""),"",IFERROR(VALUE(SUBSTITUTE(INDEX(급여대장_원본!$A$1:$AZ$400,(설정!$B$8+159),IFERROR(MATCH(설정!$C$19,INDEX(급여대장_원본!$A$1:$AZ$400,설정!$B$8,0),0),""))&amp;"",",","")),""))</f>
        <v/>
      </c>
      <c r="Q165" s="2">
        <f>IF(OR(설정!$C$20="",IFERROR(MATCH(설정!$C$20,INDEX(급여대장_원본!$A$1:$AZ$400,설정!$B$8,0),0),"")=""),"",IFERROR(VALUE(SUBSTITUTE(INDEX(급여대장_원본!$A$1:$AZ$400,(설정!$B$8+159),IFERROR(MATCH(설정!$C$20,INDEX(급여대장_원본!$A$1:$AZ$400,설정!$B$8,0),0),""))&amp;"",",","")),""))</f>
        <v/>
      </c>
      <c r="R165" s="2">
        <f>IF(OR(설정!$C$21="",IFERROR(MATCH(설정!$C$21,INDEX(급여대장_원본!$A$1:$AZ$400,설정!$B$8,0),0),"")=""),"",IFERROR(VALUE(SUBSTITUTE(INDEX(급여대장_원본!$A$1:$AZ$400,(설정!$B$8+159),IFERROR(MATCH(설정!$C$21,INDEX(급여대장_원본!$A$1:$AZ$400,설정!$B$8,0),0),""))&amp;"",",","")),""))</f>
        <v/>
      </c>
      <c r="S165" s="2">
        <f>IF(OR(설정!$C$22="",IFERROR(MATCH(설정!$C$22,INDEX(급여대장_원본!$A$1:$AZ$400,설정!$B$8,0),0),"")=""),"",IFERROR(VALUE(SUBSTITUTE(INDEX(급여대장_원본!$A$1:$AZ$400,(설정!$B$8+159),IFERROR(MATCH(설정!$C$22,INDEX(급여대장_원본!$A$1:$AZ$400,설정!$B$8,0),0),""))&amp;"",",","")),""))</f>
        <v/>
      </c>
      <c r="T165" s="2">
        <f>IF(OR(설정!$C$23="",IFERROR(MATCH(설정!$C$23,INDEX(급여대장_원본!$A$1:$AZ$400,설정!$B$8,0),0),"")=""),"",IFERROR(VALUE(SUBSTITUTE(INDEX(급여대장_원본!$A$1:$AZ$400,(설정!$B$8+159),IFERROR(MATCH(설정!$C$23,INDEX(급여대장_원본!$A$1:$AZ$400,설정!$B$8,0),0),""))&amp;"",",","")),""))</f>
        <v/>
      </c>
      <c r="U165" s="2">
        <f>IF(OR(설정!$C$24="",IFERROR(MATCH(설정!$C$24,INDEX(급여대장_원본!$A$1:$AZ$400,설정!$B$8,0),0),"")=""),"",IFERROR(VALUE(SUBSTITUTE(INDEX(급여대장_원본!$A$1:$AZ$400,(설정!$B$8+159),IFERROR(MATCH(설정!$C$24,INDEX(급여대장_원본!$A$1:$AZ$400,설정!$B$8,0),0),""))&amp;"",",","")),""))</f>
        <v/>
      </c>
      <c r="V165" s="27">
        <f>SUM(F165:M165)</f>
        <v/>
      </c>
      <c r="W165" s="27">
        <f>IF(설정!$D$26="",0,IFERROR(VALUE(SUBSTITUTE(SUBSTITUTE(INDEX(급여대장_원본!$A$1:$AZ$400,(설정!$B$8+159),설정!$D$26)&amp;"",",",""),"　","")),0))</f>
        <v/>
      </c>
      <c r="X165" s="27">
        <f>IF(설정!$D$27="",0,IFERROR(VALUE(SUBSTITUTE(SUBSTITUTE(INDEX(급여대장_원본!$A$1:$AZ$400,(설정!$B$8+159),설정!$D$27)&amp;"",",",""),"　","")),0))</f>
        <v/>
      </c>
      <c r="Y165" s="27">
        <f>IF(설정!$D$28="",0,IFERROR(VALUE(SUBSTITUTE(SUBSTITUTE(INDEX(급여대장_원본!$A$1:$AZ$400,(설정!$B$8+159),설정!$D$28)&amp;"",",",""),"　","")),0))</f>
        <v/>
      </c>
      <c r="Z165" s="27">
        <f>IF(설정!$D$29="",0,IFERROR(VALUE(SUBSTITUTE(SUBSTITUTE(INDEX(급여대장_원본!$A$1:$AZ$400,(설정!$B$8+159),설정!$D$29)&amp;"",",",""),"　","")),0))</f>
        <v/>
      </c>
      <c r="AA165" s="27">
        <f>IF(설정!$D$30="",0,IFERROR(VALUE(SUBSTITUTE(SUBSTITUTE(INDEX(급여대장_원본!$A$1:$AZ$400,(설정!$B$8+159),설정!$D$30)&amp;"",",",""),"　","")),0))</f>
        <v/>
      </c>
      <c r="AB165" s="27">
        <f>IF(설정!$D$31="",0,IFERROR(VALUE(SUBSTITUTE(SUBSTITUTE(INDEX(급여대장_원본!$A$1:$AZ$400,(설정!$B$8+159),설정!$D$31)&amp;"",",",""),"　","")),0))</f>
        <v/>
      </c>
      <c r="AC165" s="27">
        <f>IF(설정!$D$32="",0,IFERROR(VALUE(SUBSTITUTE(SUBSTITUTE(INDEX(급여대장_원본!$A$1:$AZ$400,(설정!$B$8+159),설정!$D$32)&amp;"",",",""),"　","")),0))</f>
        <v/>
      </c>
      <c r="AD165" s="27">
        <f>IF(설정!$D$33="",0,IFERROR(VALUE(SUBSTITUTE(SUBSTITUTE(INDEX(급여대장_원본!$A$1:$AZ$400,(설정!$B$8+159),설정!$D$33)&amp;"",",",""),"　","")),0))</f>
        <v/>
      </c>
      <c r="AE165" s="27">
        <f>SUM(W165:AD165)</f>
        <v/>
      </c>
      <c r="AF165" s="27">
        <f>V165-AE165</f>
        <v/>
      </c>
      <c r="AG165" s="27">
        <f>IF(설정!$D$35="","",IF(설정!$D$35="",0,IFERROR(VALUE(SUBSTITUTE(SUBSTITUTE(INDEX(급여대장_원본!$A$1:$AZ$400,(설정!$B$8+159),설정!$D$35)&amp;"",",",""),"　","")),0)))</f>
        <v/>
      </c>
      <c r="AH165" s="27">
        <f>IF(설정!$D$36="","",IF(설정!$D$36="",0,IFERROR(VALUE(SUBSTITUTE(SUBSTITUTE(INDEX(급여대장_원본!$A$1:$AZ$400,(설정!$B$8+159),설정!$D$36)&amp;"",",",""),"　","")),0)))</f>
        <v/>
      </c>
      <c r="AI165" s="27">
        <f>IF(설정!$D$37="","",IF(설정!$D$37="",0,IFERROR(VALUE(SUBSTITUTE(SUBSTITUTE(INDEX(급여대장_원본!$A$1:$AZ$400,(설정!$B$8+159),설정!$D$37)&amp;"",",",""),"　","")),0)))</f>
        <v/>
      </c>
      <c r="AJ165" s="2">
        <f>IFERROR(INDEX($D$7:$D$306,MATCH(159,$B$7:$B$306,0)),"")</f>
        <v/>
      </c>
    </row>
    <row r="166">
      <c r="A166" s="2">
        <f>IF(AND(D166&lt;&gt;"",D166&lt;&gt;"합계",D166&lt;&gt;"총계",D166&lt;&gt;"소계",D166&lt;&gt;"계"),1,0)</f>
        <v/>
      </c>
      <c r="B166" s="2">
        <f>IF(A166=1,SUM($A$7:A166),"")</f>
        <v/>
      </c>
      <c r="C166" s="2">
        <f>IF(설정!$D$13="","",TRIM(SUBSTITUTE(INDEX(급여대장_원본!$A$1:$AZ$400,(설정!$B$8+160),설정!$D$13)&amp;"","　"," ")))</f>
        <v/>
      </c>
      <c r="D166" s="2">
        <f>IF(설정!$D$14="","",TRIM(SUBSTITUTE(INDEX(급여대장_원본!$A$1:$AZ$400,(설정!$B$8+160),설정!$D$14)&amp;"","　"," ")))</f>
        <v/>
      </c>
      <c r="E166" s="2">
        <f>IF(설정!$D$15="","",TRIM(SUBSTITUTE(INDEX(급여대장_원본!$A$1:$AZ$400,(설정!$B$8+160),설정!$D$15)&amp;"","　"," ")))</f>
        <v/>
      </c>
      <c r="F166" s="27">
        <f>IF(설정!$D$17="",0,IFERROR(VALUE(SUBSTITUTE(SUBSTITUTE(INDEX(급여대장_원본!$A$1:$AZ$400,(설정!$B$8+160),설정!$D$17)&amp;"",",",""),"　","")),0))</f>
        <v/>
      </c>
      <c r="G166" s="27">
        <f>IF(설정!$D$18="",0,IFERROR(VALUE(SUBSTITUTE(SUBSTITUTE(INDEX(급여대장_원본!$A$1:$AZ$400,(설정!$B$8+160),설정!$D$18)&amp;"",",",""),"　","")),0))</f>
        <v/>
      </c>
      <c r="H166" s="27">
        <f>IF(설정!$D$19="",0,IFERROR(VALUE(SUBSTITUTE(SUBSTITUTE(INDEX(급여대장_원본!$A$1:$AZ$400,(설정!$B$8+160),설정!$D$19)&amp;"",",",""),"　","")),0))</f>
        <v/>
      </c>
      <c r="I166" s="27">
        <f>IF(설정!$D$20="",0,IFERROR(VALUE(SUBSTITUTE(SUBSTITUTE(INDEX(급여대장_원본!$A$1:$AZ$400,(설정!$B$8+160),설정!$D$20)&amp;"",",",""),"　","")),0))</f>
        <v/>
      </c>
      <c r="J166" s="27">
        <f>IF(설정!$D$21="",0,IFERROR(VALUE(SUBSTITUTE(SUBSTITUTE(INDEX(급여대장_원본!$A$1:$AZ$400,(설정!$B$8+160),설정!$D$21)&amp;"",",",""),"　","")),0))</f>
        <v/>
      </c>
      <c r="K166" s="27">
        <f>IF(설정!$D$22="",0,IFERROR(VALUE(SUBSTITUTE(SUBSTITUTE(INDEX(급여대장_원본!$A$1:$AZ$400,(설정!$B$8+160),설정!$D$22)&amp;"",",",""),"　","")),0))</f>
        <v/>
      </c>
      <c r="L166" s="27">
        <f>IF(설정!$D$23="",0,IFERROR(VALUE(SUBSTITUTE(SUBSTITUTE(INDEX(급여대장_원본!$A$1:$AZ$400,(설정!$B$8+160),설정!$D$23)&amp;"",",",""),"　","")),0))</f>
        <v/>
      </c>
      <c r="M166" s="27">
        <f>IF(설정!$D$24="",0,IFERROR(VALUE(SUBSTITUTE(SUBSTITUTE(INDEX(급여대장_원본!$A$1:$AZ$400,(설정!$B$8+160),설정!$D$24)&amp;"",",",""),"　","")),0))</f>
        <v/>
      </c>
      <c r="N166" s="2">
        <f>IF(OR(설정!$C$17="",IFERROR(MATCH(설정!$C$17,INDEX(급여대장_원본!$A$1:$AZ$400,설정!$B$8,0),0),"")=""),"",IFERROR(VALUE(SUBSTITUTE(INDEX(급여대장_원본!$A$1:$AZ$400,(설정!$B$8+160),IFERROR(MATCH(설정!$C$17,INDEX(급여대장_원본!$A$1:$AZ$400,설정!$B$8,0),0),""))&amp;"",",","")),""))</f>
        <v/>
      </c>
      <c r="O166" s="2">
        <f>IF(OR(설정!$C$18="",IFERROR(MATCH(설정!$C$18,INDEX(급여대장_원본!$A$1:$AZ$400,설정!$B$8,0),0),"")=""),"",IFERROR(VALUE(SUBSTITUTE(INDEX(급여대장_원본!$A$1:$AZ$400,(설정!$B$8+160),IFERROR(MATCH(설정!$C$18,INDEX(급여대장_원본!$A$1:$AZ$400,설정!$B$8,0),0),""))&amp;"",",","")),""))</f>
        <v/>
      </c>
      <c r="P166" s="2">
        <f>IF(OR(설정!$C$19="",IFERROR(MATCH(설정!$C$19,INDEX(급여대장_원본!$A$1:$AZ$400,설정!$B$8,0),0),"")=""),"",IFERROR(VALUE(SUBSTITUTE(INDEX(급여대장_원본!$A$1:$AZ$400,(설정!$B$8+160),IFERROR(MATCH(설정!$C$19,INDEX(급여대장_원본!$A$1:$AZ$400,설정!$B$8,0),0),""))&amp;"",",","")),""))</f>
        <v/>
      </c>
      <c r="Q166" s="2">
        <f>IF(OR(설정!$C$20="",IFERROR(MATCH(설정!$C$20,INDEX(급여대장_원본!$A$1:$AZ$400,설정!$B$8,0),0),"")=""),"",IFERROR(VALUE(SUBSTITUTE(INDEX(급여대장_원본!$A$1:$AZ$400,(설정!$B$8+160),IFERROR(MATCH(설정!$C$20,INDEX(급여대장_원본!$A$1:$AZ$400,설정!$B$8,0),0),""))&amp;"",",","")),""))</f>
        <v/>
      </c>
      <c r="R166" s="2">
        <f>IF(OR(설정!$C$21="",IFERROR(MATCH(설정!$C$21,INDEX(급여대장_원본!$A$1:$AZ$400,설정!$B$8,0),0),"")=""),"",IFERROR(VALUE(SUBSTITUTE(INDEX(급여대장_원본!$A$1:$AZ$400,(설정!$B$8+160),IFERROR(MATCH(설정!$C$21,INDEX(급여대장_원본!$A$1:$AZ$400,설정!$B$8,0),0),""))&amp;"",",","")),""))</f>
        <v/>
      </c>
      <c r="S166" s="2">
        <f>IF(OR(설정!$C$22="",IFERROR(MATCH(설정!$C$22,INDEX(급여대장_원본!$A$1:$AZ$400,설정!$B$8,0),0),"")=""),"",IFERROR(VALUE(SUBSTITUTE(INDEX(급여대장_원본!$A$1:$AZ$400,(설정!$B$8+160),IFERROR(MATCH(설정!$C$22,INDEX(급여대장_원본!$A$1:$AZ$400,설정!$B$8,0),0),""))&amp;"",",","")),""))</f>
        <v/>
      </c>
      <c r="T166" s="2">
        <f>IF(OR(설정!$C$23="",IFERROR(MATCH(설정!$C$23,INDEX(급여대장_원본!$A$1:$AZ$400,설정!$B$8,0),0),"")=""),"",IFERROR(VALUE(SUBSTITUTE(INDEX(급여대장_원본!$A$1:$AZ$400,(설정!$B$8+160),IFERROR(MATCH(설정!$C$23,INDEX(급여대장_원본!$A$1:$AZ$400,설정!$B$8,0),0),""))&amp;"",",","")),""))</f>
        <v/>
      </c>
      <c r="U166" s="2">
        <f>IF(OR(설정!$C$24="",IFERROR(MATCH(설정!$C$24,INDEX(급여대장_원본!$A$1:$AZ$400,설정!$B$8,0),0),"")=""),"",IFERROR(VALUE(SUBSTITUTE(INDEX(급여대장_원본!$A$1:$AZ$400,(설정!$B$8+160),IFERROR(MATCH(설정!$C$24,INDEX(급여대장_원본!$A$1:$AZ$400,설정!$B$8,0),0),""))&amp;"",",","")),""))</f>
        <v/>
      </c>
      <c r="V166" s="27">
        <f>SUM(F166:M166)</f>
        <v/>
      </c>
      <c r="W166" s="27">
        <f>IF(설정!$D$26="",0,IFERROR(VALUE(SUBSTITUTE(SUBSTITUTE(INDEX(급여대장_원본!$A$1:$AZ$400,(설정!$B$8+160),설정!$D$26)&amp;"",",",""),"　","")),0))</f>
        <v/>
      </c>
      <c r="X166" s="27">
        <f>IF(설정!$D$27="",0,IFERROR(VALUE(SUBSTITUTE(SUBSTITUTE(INDEX(급여대장_원본!$A$1:$AZ$400,(설정!$B$8+160),설정!$D$27)&amp;"",",",""),"　","")),0))</f>
        <v/>
      </c>
      <c r="Y166" s="27">
        <f>IF(설정!$D$28="",0,IFERROR(VALUE(SUBSTITUTE(SUBSTITUTE(INDEX(급여대장_원본!$A$1:$AZ$400,(설정!$B$8+160),설정!$D$28)&amp;"",",",""),"　","")),0))</f>
        <v/>
      </c>
      <c r="Z166" s="27">
        <f>IF(설정!$D$29="",0,IFERROR(VALUE(SUBSTITUTE(SUBSTITUTE(INDEX(급여대장_원본!$A$1:$AZ$400,(설정!$B$8+160),설정!$D$29)&amp;"",",",""),"　","")),0))</f>
        <v/>
      </c>
      <c r="AA166" s="27">
        <f>IF(설정!$D$30="",0,IFERROR(VALUE(SUBSTITUTE(SUBSTITUTE(INDEX(급여대장_원본!$A$1:$AZ$400,(설정!$B$8+160),설정!$D$30)&amp;"",",",""),"　","")),0))</f>
        <v/>
      </c>
      <c r="AB166" s="27">
        <f>IF(설정!$D$31="",0,IFERROR(VALUE(SUBSTITUTE(SUBSTITUTE(INDEX(급여대장_원본!$A$1:$AZ$400,(설정!$B$8+160),설정!$D$31)&amp;"",",",""),"　","")),0))</f>
        <v/>
      </c>
      <c r="AC166" s="27">
        <f>IF(설정!$D$32="",0,IFERROR(VALUE(SUBSTITUTE(SUBSTITUTE(INDEX(급여대장_원본!$A$1:$AZ$400,(설정!$B$8+160),설정!$D$32)&amp;"",",",""),"　","")),0))</f>
        <v/>
      </c>
      <c r="AD166" s="27">
        <f>IF(설정!$D$33="",0,IFERROR(VALUE(SUBSTITUTE(SUBSTITUTE(INDEX(급여대장_원본!$A$1:$AZ$400,(설정!$B$8+160),설정!$D$33)&amp;"",",",""),"　","")),0))</f>
        <v/>
      </c>
      <c r="AE166" s="27">
        <f>SUM(W166:AD166)</f>
        <v/>
      </c>
      <c r="AF166" s="27">
        <f>V166-AE166</f>
        <v/>
      </c>
      <c r="AG166" s="27">
        <f>IF(설정!$D$35="","",IF(설정!$D$35="",0,IFERROR(VALUE(SUBSTITUTE(SUBSTITUTE(INDEX(급여대장_원본!$A$1:$AZ$400,(설정!$B$8+160),설정!$D$35)&amp;"",",",""),"　","")),0)))</f>
        <v/>
      </c>
      <c r="AH166" s="27">
        <f>IF(설정!$D$36="","",IF(설정!$D$36="",0,IFERROR(VALUE(SUBSTITUTE(SUBSTITUTE(INDEX(급여대장_원본!$A$1:$AZ$400,(설정!$B$8+160),설정!$D$36)&amp;"",",",""),"　","")),0)))</f>
        <v/>
      </c>
      <c r="AI166" s="27">
        <f>IF(설정!$D$37="","",IF(설정!$D$37="",0,IFERROR(VALUE(SUBSTITUTE(SUBSTITUTE(INDEX(급여대장_원본!$A$1:$AZ$400,(설정!$B$8+160),설정!$D$37)&amp;"",",",""),"　","")),0)))</f>
        <v/>
      </c>
      <c r="AJ166" s="2">
        <f>IFERROR(INDEX($D$7:$D$306,MATCH(160,$B$7:$B$306,0)),"")</f>
        <v/>
      </c>
    </row>
    <row r="167">
      <c r="A167" s="2">
        <f>IF(AND(D167&lt;&gt;"",D167&lt;&gt;"합계",D167&lt;&gt;"총계",D167&lt;&gt;"소계",D167&lt;&gt;"계"),1,0)</f>
        <v/>
      </c>
      <c r="B167" s="2">
        <f>IF(A167=1,SUM($A$7:A167),"")</f>
        <v/>
      </c>
      <c r="C167" s="2">
        <f>IF(설정!$D$13="","",TRIM(SUBSTITUTE(INDEX(급여대장_원본!$A$1:$AZ$400,(설정!$B$8+161),설정!$D$13)&amp;"","　"," ")))</f>
        <v/>
      </c>
      <c r="D167" s="2">
        <f>IF(설정!$D$14="","",TRIM(SUBSTITUTE(INDEX(급여대장_원본!$A$1:$AZ$400,(설정!$B$8+161),설정!$D$14)&amp;"","　"," ")))</f>
        <v/>
      </c>
      <c r="E167" s="2">
        <f>IF(설정!$D$15="","",TRIM(SUBSTITUTE(INDEX(급여대장_원본!$A$1:$AZ$400,(설정!$B$8+161),설정!$D$15)&amp;"","　"," ")))</f>
        <v/>
      </c>
      <c r="F167" s="27">
        <f>IF(설정!$D$17="",0,IFERROR(VALUE(SUBSTITUTE(SUBSTITUTE(INDEX(급여대장_원본!$A$1:$AZ$400,(설정!$B$8+161),설정!$D$17)&amp;"",",",""),"　","")),0))</f>
        <v/>
      </c>
      <c r="G167" s="27">
        <f>IF(설정!$D$18="",0,IFERROR(VALUE(SUBSTITUTE(SUBSTITUTE(INDEX(급여대장_원본!$A$1:$AZ$400,(설정!$B$8+161),설정!$D$18)&amp;"",",",""),"　","")),0))</f>
        <v/>
      </c>
      <c r="H167" s="27">
        <f>IF(설정!$D$19="",0,IFERROR(VALUE(SUBSTITUTE(SUBSTITUTE(INDEX(급여대장_원본!$A$1:$AZ$400,(설정!$B$8+161),설정!$D$19)&amp;"",",",""),"　","")),0))</f>
        <v/>
      </c>
      <c r="I167" s="27">
        <f>IF(설정!$D$20="",0,IFERROR(VALUE(SUBSTITUTE(SUBSTITUTE(INDEX(급여대장_원본!$A$1:$AZ$400,(설정!$B$8+161),설정!$D$20)&amp;"",",",""),"　","")),0))</f>
        <v/>
      </c>
      <c r="J167" s="27">
        <f>IF(설정!$D$21="",0,IFERROR(VALUE(SUBSTITUTE(SUBSTITUTE(INDEX(급여대장_원본!$A$1:$AZ$400,(설정!$B$8+161),설정!$D$21)&amp;"",",",""),"　","")),0))</f>
        <v/>
      </c>
      <c r="K167" s="27">
        <f>IF(설정!$D$22="",0,IFERROR(VALUE(SUBSTITUTE(SUBSTITUTE(INDEX(급여대장_원본!$A$1:$AZ$400,(설정!$B$8+161),설정!$D$22)&amp;"",",",""),"　","")),0))</f>
        <v/>
      </c>
      <c r="L167" s="27">
        <f>IF(설정!$D$23="",0,IFERROR(VALUE(SUBSTITUTE(SUBSTITUTE(INDEX(급여대장_원본!$A$1:$AZ$400,(설정!$B$8+161),설정!$D$23)&amp;"",",",""),"　","")),0))</f>
        <v/>
      </c>
      <c r="M167" s="27">
        <f>IF(설정!$D$24="",0,IFERROR(VALUE(SUBSTITUTE(SUBSTITUTE(INDEX(급여대장_원본!$A$1:$AZ$400,(설정!$B$8+161),설정!$D$24)&amp;"",",",""),"　","")),0))</f>
        <v/>
      </c>
      <c r="N167" s="2">
        <f>IF(OR(설정!$C$17="",IFERROR(MATCH(설정!$C$17,INDEX(급여대장_원본!$A$1:$AZ$400,설정!$B$8,0),0),"")=""),"",IFERROR(VALUE(SUBSTITUTE(INDEX(급여대장_원본!$A$1:$AZ$400,(설정!$B$8+161),IFERROR(MATCH(설정!$C$17,INDEX(급여대장_원본!$A$1:$AZ$400,설정!$B$8,0),0),""))&amp;"",",","")),""))</f>
        <v/>
      </c>
      <c r="O167" s="2">
        <f>IF(OR(설정!$C$18="",IFERROR(MATCH(설정!$C$18,INDEX(급여대장_원본!$A$1:$AZ$400,설정!$B$8,0),0),"")=""),"",IFERROR(VALUE(SUBSTITUTE(INDEX(급여대장_원본!$A$1:$AZ$400,(설정!$B$8+161),IFERROR(MATCH(설정!$C$18,INDEX(급여대장_원본!$A$1:$AZ$400,설정!$B$8,0),0),""))&amp;"",",","")),""))</f>
        <v/>
      </c>
      <c r="P167" s="2">
        <f>IF(OR(설정!$C$19="",IFERROR(MATCH(설정!$C$19,INDEX(급여대장_원본!$A$1:$AZ$400,설정!$B$8,0),0),"")=""),"",IFERROR(VALUE(SUBSTITUTE(INDEX(급여대장_원본!$A$1:$AZ$400,(설정!$B$8+161),IFERROR(MATCH(설정!$C$19,INDEX(급여대장_원본!$A$1:$AZ$400,설정!$B$8,0),0),""))&amp;"",",","")),""))</f>
        <v/>
      </c>
      <c r="Q167" s="2">
        <f>IF(OR(설정!$C$20="",IFERROR(MATCH(설정!$C$20,INDEX(급여대장_원본!$A$1:$AZ$400,설정!$B$8,0),0),"")=""),"",IFERROR(VALUE(SUBSTITUTE(INDEX(급여대장_원본!$A$1:$AZ$400,(설정!$B$8+161),IFERROR(MATCH(설정!$C$20,INDEX(급여대장_원본!$A$1:$AZ$400,설정!$B$8,0),0),""))&amp;"",",","")),""))</f>
        <v/>
      </c>
      <c r="R167" s="2">
        <f>IF(OR(설정!$C$21="",IFERROR(MATCH(설정!$C$21,INDEX(급여대장_원본!$A$1:$AZ$400,설정!$B$8,0),0),"")=""),"",IFERROR(VALUE(SUBSTITUTE(INDEX(급여대장_원본!$A$1:$AZ$400,(설정!$B$8+161),IFERROR(MATCH(설정!$C$21,INDEX(급여대장_원본!$A$1:$AZ$400,설정!$B$8,0),0),""))&amp;"",",","")),""))</f>
        <v/>
      </c>
      <c r="S167" s="2">
        <f>IF(OR(설정!$C$22="",IFERROR(MATCH(설정!$C$22,INDEX(급여대장_원본!$A$1:$AZ$400,설정!$B$8,0),0),"")=""),"",IFERROR(VALUE(SUBSTITUTE(INDEX(급여대장_원본!$A$1:$AZ$400,(설정!$B$8+161),IFERROR(MATCH(설정!$C$22,INDEX(급여대장_원본!$A$1:$AZ$400,설정!$B$8,0),0),""))&amp;"",",","")),""))</f>
        <v/>
      </c>
      <c r="T167" s="2">
        <f>IF(OR(설정!$C$23="",IFERROR(MATCH(설정!$C$23,INDEX(급여대장_원본!$A$1:$AZ$400,설정!$B$8,0),0),"")=""),"",IFERROR(VALUE(SUBSTITUTE(INDEX(급여대장_원본!$A$1:$AZ$400,(설정!$B$8+161),IFERROR(MATCH(설정!$C$23,INDEX(급여대장_원본!$A$1:$AZ$400,설정!$B$8,0),0),""))&amp;"",",","")),""))</f>
        <v/>
      </c>
      <c r="U167" s="2">
        <f>IF(OR(설정!$C$24="",IFERROR(MATCH(설정!$C$24,INDEX(급여대장_원본!$A$1:$AZ$400,설정!$B$8,0),0),"")=""),"",IFERROR(VALUE(SUBSTITUTE(INDEX(급여대장_원본!$A$1:$AZ$400,(설정!$B$8+161),IFERROR(MATCH(설정!$C$24,INDEX(급여대장_원본!$A$1:$AZ$400,설정!$B$8,0),0),""))&amp;"",",","")),""))</f>
        <v/>
      </c>
      <c r="V167" s="27">
        <f>SUM(F167:M167)</f>
        <v/>
      </c>
      <c r="W167" s="27">
        <f>IF(설정!$D$26="",0,IFERROR(VALUE(SUBSTITUTE(SUBSTITUTE(INDEX(급여대장_원본!$A$1:$AZ$400,(설정!$B$8+161),설정!$D$26)&amp;"",",",""),"　","")),0))</f>
        <v/>
      </c>
      <c r="X167" s="27">
        <f>IF(설정!$D$27="",0,IFERROR(VALUE(SUBSTITUTE(SUBSTITUTE(INDEX(급여대장_원본!$A$1:$AZ$400,(설정!$B$8+161),설정!$D$27)&amp;"",",",""),"　","")),0))</f>
        <v/>
      </c>
      <c r="Y167" s="27">
        <f>IF(설정!$D$28="",0,IFERROR(VALUE(SUBSTITUTE(SUBSTITUTE(INDEX(급여대장_원본!$A$1:$AZ$400,(설정!$B$8+161),설정!$D$28)&amp;"",",",""),"　","")),0))</f>
        <v/>
      </c>
      <c r="Z167" s="27">
        <f>IF(설정!$D$29="",0,IFERROR(VALUE(SUBSTITUTE(SUBSTITUTE(INDEX(급여대장_원본!$A$1:$AZ$400,(설정!$B$8+161),설정!$D$29)&amp;"",",",""),"　","")),0))</f>
        <v/>
      </c>
      <c r="AA167" s="27">
        <f>IF(설정!$D$30="",0,IFERROR(VALUE(SUBSTITUTE(SUBSTITUTE(INDEX(급여대장_원본!$A$1:$AZ$400,(설정!$B$8+161),설정!$D$30)&amp;"",",",""),"　","")),0))</f>
        <v/>
      </c>
      <c r="AB167" s="27">
        <f>IF(설정!$D$31="",0,IFERROR(VALUE(SUBSTITUTE(SUBSTITUTE(INDEX(급여대장_원본!$A$1:$AZ$400,(설정!$B$8+161),설정!$D$31)&amp;"",",",""),"　","")),0))</f>
        <v/>
      </c>
      <c r="AC167" s="27">
        <f>IF(설정!$D$32="",0,IFERROR(VALUE(SUBSTITUTE(SUBSTITUTE(INDEX(급여대장_원본!$A$1:$AZ$400,(설정!$B$8+161),설정!$D$32)&amp;"",",",""),"　","")),0))</f>
        <v/>
      </c>
      <c r="AD167" s="27">
        <f>IF(설정!$D$33="",0,IFERROR(VALUE(SUBSTITUTE(SUBSTITUTE(INDEX(급여대장_원본!$A$1:$AZ$400,(설정!$B$8+161),설정!$D$33)&amp;"",",",""),"　","")),0))</f>
        <v/>
      </c>
      <c r="AE167" s="27">
        <f>SUM(W167:AD167)</f>
        <v/>
      </c>
      <c r="AF167" s="27">
        <f>V167-AE167</f>
        <v/>
      </c>
      <c r="AG167" s="27">
        <f>IF(설정!$D$35="","",IF(설정!$D$35="",0,IFERROR(VALUE(SUBSTITUTE(SUBSTITUTE(INDEX(급여대장_원본!$A$1:$AZ$400,(설정!$B$8+161),설정!$D$35)&amp;"",",",""),"　","")),0)))</f>
        <v/>
      </c>
      <c r="AH167" s="27">
        <f>IF(설정!$D$36="","",IF(설정!$D$36="",0,IFERROR(VALUE(SUBSTITUTE(SUBSTITUTE(INDEX(급여대장_원본!$A$1:$AZ$400,(설정!$B$8+161),설정!$D$36)&amp;"",",",""),"　","")),0)))</f>
        <v/>
      </c>
      <c r="AI167" s="27">
        <f>IF(설정!$D$37="","",IF(설정!$D$37="",0,IFERROR(VALUE(SUBSTITUTE(SUBSTITUTE(INDEX(급여대장_원본!$A$1:$AZ$400,(설정!$B$8+161),설정!$D$37)&amp;"",",",""),"　","")),0)))</f>
        <v/>
      </c>
      <c r="AJ167" s="2">
        <f>IFERROR(INDEX($D$7:$D$306,MATCH(161,$B$7:$B$306,0)),"")</f>
        <v/>
      </c>
    </row>
    <row r="168">
      <c r="A168" s="2">
        <f>IF(AND(D168&lt;&gt;"",D168&lt;&gt;"합계",D168&lt;&gt;"총계",D168&lt;&gt;"소계",D168&lt;&gt;"계"),1,0)</f>
        <v/>
      </c>
      <c r="B168" s="2">
        <f>IF(A168=1,SUM($A$7:A168),"")</f>
        <v/>
      </c>
      <c r="C168" s="2">
        <f>IF(설정!$D$13="","",TRIM(SUBSTITUTE(INDEX(급여대장_원본!$A$1:$AZ$400,(설정!$B$8+162),설정!$D$13)&amp;"","　"," ")))</f>
        <v/>
      </c>
      <c r="D168" s="2">
        <f>IF(설정!$D$14="","",TRIM(SUBSTITUTE(INDEX(급여대장_원본!$A$1:$AZ$400,(설정!$B$8+162),설정!$D$14)&amp;"","　"," ")))</f>
        <v/>
      </c>
      <c r="E168" s="2">
        <f>IF(설정!$D$15="","",TRIM(SUBSTITUTE(INDEX(급여대장_원본!$A$1:$AZ$400,(설정!$B$8+162),설정!$D$15)&amp;"","　"," ")))</f>
        <v/>
      </c>
      <c r="F168" s="27">
        <f>IF(설정!$D$17="",0,IFERROR(VALUE(SUBSTITUTE(SUBSTITUTE(INDEX(급여대장_원본!$A$1:$AZ$400,(설정!$B$8+162),설정!$D$17)&amp;"",",",""),"　","")),0))</f>
        <v/>
      </c>
      <c r="G168" s="27">
        <f>IF(설정!$D$18="",0,IFERROR(VALUE(SUBSTITUTE(SUBSTITUTE(INDEX(급여대장_원본!$A$1:$AZ$400,(설정!$B$8+162),설정!$D$18)&amp;"",",",""),"　","")),0))</f>
        <v/>
      </c>
      <c r="H168" s="27">
        <f>IF(설정!$D$19="",0,IFERROR(VALUE(SUBSTITUTE(SUBSTITUTE(INDEX(급여대장_원본!$A$1:$AZ$400,(설정!$B$8+162),설정!$D$19)&amp;"",",",""),"　","")),0))</f>
        <v/>
      </c>
      <c r="I168" s="27">
        <f>IF(설정!$D$20="",0,IFERROR(VALUE(SUBSTITUTE(SUBSTITUTE(INDEX(급여대장_원본!$A$1:$AZ$400,(설정!$B$8+162),설정!$D$20)&amp;"",",",""),"　","")),0))</f>
        <v/>
      </c>
      <c r="J168" s="27">
        <f>IF(설정!$D$21="",0,IFERROR(VALUE(SUBSTITUTE(SUBSTITUTE(INDEX(급여대장_원본!$A$1:$AZ$400,(설정!$B$8+162),설정!$D$21)&amp;"",",",""),"　","")),0))</f>
        <v/>
      </c>
      <c r="K168" s="27">
        <f>IF(설정!$D$22="",0,IFERROR(VALUE(SUBSTITUTE(SUBSTITUTE(INDEX(급여대장_원본!$A$1:$AZ$400,(설정!$B$8+162),설정!$D$22)&amp;"",",",""),"　","")),0))</f>
        <v/>
      </c>
      <c r="L168" s="27">
        <f>IF(설정!$D$23="",0,IFERROR(VALUE(SUBSTITUTE(SUBSTITUTE(INDEX(급여대장_원본!$A$1:$AZ$400,(설정!$B$8+162),설정!$D$23)&amp;"",",",""),"　","")),0))</f>
        <v/>
      </c>
      <c r="M168" s="27">
        <f>IF(설정!$D$24="",0,IFERROR(VALUE(SUBSTITUTE(SUBSTITUTE(INDEX(급여대장_원본!$A$1:$AZ$400,(설정!$B$8+162),설정!$D$24)&amp;"",",",""),"　","")),0))</f>
        <v/>
      </c>
      <c r="N168" s="2">
        <f>IF(OR(설정!$C$17="",IFERROR(MATCH(설정!$C$17,INDEX(급여대장_원본!$A$1:$AZ$400,설정!$B$8,0),0),"")=""),"",IFERROR(VALUE(SUBSTITUTE(INDEX(급여대장_원본!$A$1:$AZ$400,(설정!$B$8+162),IFERROR(MATCH(설정!$C$17,INDEX(급여대장_원본!$A$1:$AZ$400,설정!$B$8,0),0),""))&amp;"",",","")),""))</f>
        <v/>
      </c>
      <c r="O168" s="2">
        <f>IF(OR(설정!$C$18="",IFERROR(MATCH(설정!$C$18,INDEX(급여대장_원본!$A$1:$AZ$400,설정!$B$8,0),0),"")=""),"",IFERROR(VALUE(SUBSTITUTE(INDEX(급여대장_원본!$A$1:$AZ$400,(설정!$B$8+162),IFERROR(MATCH(설정!$C$18,INDEX(급여대장_원본!$A$1:$AZ$400,설정!$B$8,0),0),""))&amp;"",",","")),""))</f>
        <v/>
      </c>
      <c r="P168" s="2">
        <f>IF(OR(설정!$C$19="",IFERROR(MATCH(설정!$C$19,INDEX(급여대장_원본!$A$1:$AZ$400,설정!$B$8,0),0),"")=""),"",IFERROR(VALUE(SUBSTITUTE(INDEX(급여대장_원본!$A$1:$AZ$400,(설정!$B$8+162),IFERROR(MATCH(설정!$C$19,INDEX(급여대장_원본!$A$1:$AZ$400,설정!$B$8,0),0),""))&amp;"",",","")),""))</f>
        <v/>
      </c>
      <c r="Q168" s="2">
        <f>IF(OR(설정!$C$20="",IFERROR(MATCH(설정!$C$20,INDEX(급여대장_원본!$A$1:$AZ$400,설정!$B$8,0),0),"")=""),"",IFERROR(VALUE(SUBSTITUTE(INDEX(급여대장_원본!$A$1:$AZ$400,(설정!$B$8+162),IFERROR(MATCH(설정!$C$20,INDEX(급여대장_원본!$A$1:$AZ$400,설정!$B$8,0),0),""))&amp;"",",","")),""))</f>
        <v/>
      </c>
      <c r="R168" s="2">
        <f>IF(OR(설정!$C$21="",IFERROR(MATCH(설정!$C$21,INDEX(급여대장_원본!$A$1:$AZ$400,설정!$B$8,0),0),"")=""),"",IFERROR(VALUE(SUBSTITUTE(INDEX(급여대장_원본!$A$1:$AZ$400,(설정!$B$8+162),IFERROR(MATCH(설정!$C$21,INDEX(급여대장_원본!$A$1:$AZ$400,설정!$B$8,0),0),""))&amp;"",",","")),""))</f>
        <v/>
      </c>
      <c r="S168" s="2">
        <f>IF(OR(설정!$C$22="",IFERROR(MATCH(설정!$C$22,INDEX(급여대장_원본!$A$1:$AZ$400,설정!$B$8,0),0),"")=""),"",IFERROR(VALUE(SUBSTITUTE(INDEX(급여대장_원본!$A$1:$AZ$400,(설정!$B$8+162),IFERROR(MATCH(설정!$C$22,INDEX(급여대장_원본!$A$1:$AZ$400,설정!$B$8,0),0),""))&amp;"",",","")),""))</f>
        <v/>
      </c>
      <c r="T168" s="2">
        <f>IF(OR(설정!$C$23="",IFERROR(MATCH(설정!$C$23,INDEX(급여대장_원본!$A$1:$AZ$400,설정!$B$8,0),0),"")=""),"",IFERROR(VALUE(SUBSTITUTE(INDEX(급여대장_원본!$A$1:$AZ$400,(설정!$B$8+162),IFERROR(MATCH(설정!$C$23,INDEX(급여대장_원본!$A$1:$AZ$400,설정!$B$8,0),0),""))&amp;"",",","")),""))</f>
        <v/>
      </c>
      <c r="U168" s="2">
        <f>IF(OR(설정!$C$24="",IFERROR(MATCH(설정!$C$24,INDEX(급여대장_원본!$A$1:$AZ$400,설정!$B$8,0),0),"")=""),"",IFERROR(VALUE(SUBSTITUTE(INDEX(급여대장_원본!$A$1:$AZ$400,(설정!$B$8+162),IFERROR(MATCH(설정!$C$24,INDEX(급여대장_원본!$A$1:$AZ$400,설정!$B$8,0),0),""))&amp;"",",","")),""))</f>
        <v/>
      </c>
      <c r="V168" s="27">
        <f>SUM(F168:M168)</f>
        <v/>
      </c>
      <c r="W168" s="27">
        <f>IF(설정!$D$26="",0,IFERROR(VALUE(SUBSTITUTE(SUBSTITUTE(INDEX(급여대장_원본!$A$1:$AZ$400,(설정!$B$8+162),설정!$D$26)&amp;"",",",""),"　","")),0))</f>
        <v/>
      </c>
      <c r="X168" s="27">
        <f>IF(설정!$D$27="",0,IFERROR(VALUE(SUBSTITUTE(SUBSTITUTE(INDEX(급여대장_원본!$A$1:$AZ$400,(설정!$B$8+162),설정!$D$27)&amp;"",",",""),"　","")),0))</f>
        <v/>
      </c>
      <c r="Y168" s="27">
        <f>IF(설정!$D$28="",0,IFERROR(VALUE(SUBSTITUTE(SUBSTITUTE(INDEX(급여대장_원본!$A$1:$AZ$400,(설정!$B$8+162),설정!$D$28)&amp;"",",",""),"　","")),0))</f>
        <v/>
      </c>
      <c r="Z168" s="27">
        <f>IF(설정!$D$29="",0,IFERROR(VALUE(SUBSTITUTE(SUBSTITUTE(INDEX(급여대장_원본!$A$1:$AZ$400,(설정!$B$8+162),설정!$D$29)&amp;"",",",""),"　","")),0))</f>
        <v/>
      </c>
      <c r="AA168" s="27">
        <f>IF(설정!$D$30="",0,IFERROR(VALUE(SUBSTITUTE(SUBSTITUTE(INDEX(급여대장_원본!$A$1:$AZ$400,(설정!$B$8+162),설정!$D$30)&amp;"",",",""),"　","")),0))</f>
        <v/>
      </c>
      <c r="AB168" s="27">
        <f>IF(설정!$D$31="",0,IFERROR(VALUE(SUBSTITUTE(SUBSTITUTE(INDEX(급여대장_원본!$A$1:$AZ$400,(설정!$B$8+162),설정!$D$31)&amp;"",",",""),"　","")),0))</f>
        <v/>
      </c>
      <c r="AC168" s="27">
        <f>IF(설정!$D$32="",0,IFERROR(VALUE(SUBSTITUTE(SUBSTITUTE(INDEX(급여대장_원본!$A$1:$AZ$400,(설정!$B$8+162),설정!$D$32)&amp;"",",",""),"　","")),0))</f>
        <v/>
      </c>
      <c r="AD168" s="27">
        <f>IF(설정!$D$33="",0,IFERROR(VALUE(SUBSTITUTE(SUBSTITUTE(INDEX(급여대장_원본!$A$1:$AZ$400,(설정!$B$8+162),설정!$D$33)&amp;"",",",""),"　","")),0))</f>
        <v/>
      </c>
      <c r="AE168" s="27">
        <f>SUM(W168:AD168)</f>
        <v/>
      </c>
      <c r="AF168" s="27">
        <f>V168-AE168</f>
        <v/>
      </c>
      <c r="AG168" s="27">
        <f>IF(설정!$D$35="","",IF(설정!$D$35="",0,IFERROR(VALUE(SUBSTITUTE(SUBSTITUTE(INDEX(급여대장_원본!$A$1:$AZ$400,(설정!$B$8+162),설정!$D$35)&amp;"",",",""),"　","")),0)))</f>
        <v/>
      </c>
      <c r="AH168" s="27">
        <f>IF(설정!$D$36="","",IF(설정!$D$36="",0,IFERROR(VALUE(SUBSTITUTE(SUBSTITUTE(INDEX(급여대장_원본!$A$1:$AZ$400,(설정!$B$8+162),설정!$D$36)&amp;"",",",""),"　","")),0)))</f>
        <v/>
      </c>
      <c r="AI168" s="27">
        <f>IF(설정!$D$37="","",IF(설정!$D$37="",0,IFERROR(VALUE(SUBSTITUTE(SUBSTITUTE(INDEX(급여대장_원본!$A$1:$AZ$400,(설정!$B$8+162),설정!$D$37)&amp;"",",",""),"　","")),0)))</f>
        <v/>
      </c>
      <c r="AJ168" s="2">
        <f>IFERROR(INDEX($D$7:$D$306,MATCH(162,$B$7:$B$306,0)),"")</f>
        <v/>
      </c>
    </row>
    <row r="169">
      <c r="A169" s="2">
        <f>IF(AND(D169&lt;&gt;"",D169&lt;&gt;"합계",D169&lt;&gt;"총계",D169&lt;&gt;"소계",D169&lt;&gt;"계"),1,0)</f>
        <v/>
      </c>
      <c r="B169" s="2">
        <f>IF(A169=1,SUM($A$7:A169),"")</f>
        <v/>
      </c>
      <c r="C169" s="2">
        <f>IF(설정!$D$13="","",TRIM(SUBSTITUTE(INDEX(급여대장_원본!$A$1:$AZ$400,(설정!$B$8+163),설정!$D$13)&amp;"","　"," ")))</f>
        <v/>
      </c>
      <c r="D169" s="2">
        <f>IF(설정!$D$14="","",TRIM(SUBSTITUTE(INDEX(급여대장_원본!$A$1:$AZ$400,(설정!$B$8+163),설정!$D$14)&amp;"","　"," ")))</f>
        <v/>
      </c>
      <c r="E169" s="2">
        <f>IF(설정!$D$15="","",TRIM(SUBSTITUTE(INDEX(급여대장_원본!$A$1:$AZ$400,(설정!$B$8+163),설정!$D$15)&amp;"","　"," ")))</f>
        <v/>
      </c>
      <c r="F169" s="27">
        <f>IF(설정!$D$17="",0,IFERROR(VALUE(SUBSTITUTE(SUBSTITUTE(INDEX(급여대장_원본!$A$1:$AZ$400,(설정!$B$8+163),설정!$D$17)&amp;"",",",""),"　","")),0))</f>
        <v/>
      </c>
      <c r="G169" s="27">
        <f>IF(설정!$D$18="",0,IFERROR(VALUE(SUBSTITUTE(SUBSTITUTE(INDEX(급여대장_원본!$A$1:$AZ$400,(설정!$B$8+163),설정!$D$18)&amp;"",",",""),"　","")),0))</f>
        <v/>
      </c>
      <c r="H169" s="27">
        <f>IF(설정!$D$19="",0,IFERROR(VALUE(SUBSTITUTE(SUBSTITUTE(INDEX(급여대장_원본!$A$1:$AZ$400,(설정!$B$8+163),설정!$D$19)&amp;"",",",""),"　","")),0))</f>
        <v/>
      </c>
      <c r="I169" s="27">
        <f>IF(설정!$D$20="",0,IFERROR(VALUE(SUBSTITUTE(SUBSTITUTE(INDEX(급여대장_원본!$A$1:$AZ$400,(설정!$B$8+163),설정!$D$20)&amp;"",",",""),"　","")),0))</f>
        <v/>
      </c>
      <c r="J169" s="27">
        <f>IF(설정!$D$21="",0,IFERROR(VALUE(SUBSTITUTE(SUBSTITUTE(INDEX(급여대장_원본!$A$1:$AZ$400,(설정!$B$8+163),설정!$D$21)&amp;"",",",""),"　","")),0))</f>
        <v/>
      </c>
      <c r="K169" s="27">
        <f>IF(설정!$D$22="",0,IFERROR(VALUE(SUBSTITUTE(SUBSTITUTE(INDEX(급여대장_원본!$A$1:$AZ$400,(설정!$B$8+163),설정!$D$22)&amp;"",",",""),"　","")),0))</f>
        <v/>
      </c>
      <c r="L169" s="27">
        <f>IF(설정!$D$23="",0,IFERROR(VALUE(SUBSTITUTE(SUBSTITUTE(INDEX(급여대장_원본!$A$1:$AZ$400,(설정!$B$8+163),설정!$D$23)&amp;"",",",""),"　","")),0))</f>
        <v/>
      </c>
      <c r="M169" s="27">
        <f>IF(설정!$D$24="",0,IFERROR(VALUE(SUBSTITUTE(SUBSTITUTE(INDEX(급여대장_원본!$A$1:$AZ$400,(설정!$B$8+163),설정!$D$24)&amp;"",",",""),"　","")),0))</f>
        <v/>
      </c>
      <c r="N169" s="2">
        <f>IF(OR(설정!$C$17="",IFERROR(MATCH(설정!$C$17,INDEX(급여대장_원본!$A$1:$AZ$400,설정!$B$8,0),0),"")=""),"",IFERROR(VALUE(SUBSTITUTE(INDEX(급여대장_원본!$A$1:$AZ$400,(설정!$B$8+163),IFERROR(MATCH(설정!$C$17,INDEX(급여대장_원본!$A$1:$AZ$400,설정!$B$8,0),0),""))&amp;"",",","")),""))</f>
        <v/>
      </c>
      <c r="O169" s="2">
        <f>IF(OR(설정!$C$18="",IFERROR(MATCH(설정!$C$18,INDEX(급여대장_원본!$A$1:$AZ$400,설정!$B$8,0),0),"")=""),"",IFERROR(VALUE(SUBSTITUTE(INDEX(급여대장_원본!$A$1:$AZ$400,(설정!$B$8+163),IFERROR(MATCH(설정!$C$18,INDEX(급여대장_원본!$A$1:$AZ$400,설정!$B$8,0),0),""))&amp;"",",","")),""))</f>
        <v/>
      </c>
      <c r="P169" s="2">
        <f>IF(OR(설정!$C$19="",IFERROR(MATCH(설정!$C$19,INDEX(급여대장_원본!$A$1:$AZ$400,설정!$B$8,0),0),"")=""),"",IFERROR(VALUE(SUBSTITUTE(INDEX(급여대장_원본!$A$1:$AZ$400,(설정!$B$8+163),IFERROR(MATCH(설정!$C$19,INDEX(급여대장_원본!$A$1:$AZ$400,설정!$B$8,0),0),""))&amp;"",",","")),""))</f>
        <v/>
      </c>
      <c r="Q169" s="2">
        <f>IF(OR(설정!$C$20="",IFERROR(MATCH(설정!$C$20,INDEX(급여대장_원본!$A$1:$AZ$400,설정!$B$8,0),0),"")=""),"",IFERROR(VALUE(SUBSTITUTE(INDEX(급여대장_원본!$A$1:$AZ$400,(설정!$B$8+163),IFERROR(MATCH(설정!$C$20,INDEX(급여대장_원본!$A$1:$AZ$400,설정!$B$8,0),0),""))&amp;"",",","")),""))</f>
        <v/>
      </c>
      <c r="R169" s="2">
        <f>IF(OR(설정!$C$21="",IFERROR(MATCH(설정!$C$21,INDEX(급여대장_원본!$A$1:$AZ$400,설정!$B$8,0),0),"")=""),"",IFERROR(VALUE(SUBSTITUTE(INDEX(급여대장_원본!$A$1:$AZ$400,(설정!$B$8+163),IFERROR(MATCH(설정!$C$21,INDEX(급여대장_원본!$A$1:$AZ$400,설정!$B$8,0),0),""))&amp;"",",","")),""))</f>
        <v/>
      </c>
      <c r="S169" s="2">
        <f>IF(OR(설정!$C$22="",IFERROR(MATCH(설정!$C$22,INDEX(급여대장_원본!$A$1:$AZ$400,설정!$B$8,0),0),"")=""),"",IFERROR(VALUE(SUBSTITUTE(INDEX(급여대장_원본!$A$1:$AZ$400,(설정!$B$8+163),IFERROR(MATCH(설정!$C$22,INDEX(급여대장_원본!$A$1:$AZ$400,설정!$B$8,0),0),""))&amp;"",",","")),""))</f>
        <v/>
      </c>
      <c r="T169" s="2">
        <f>IF(OR(설정!$C$23="",IFERROR(MATCH(설정!$C$23,INDEX(급여대장_원본!$A$1:$AZ$400,설정!$B$8,0),0),"")=""),"",IFERROR(VALUE(SUBSTITUTE(INDEX(급여대장_원본!$A$1:$AZ$400,(설정!$B$8+163),IFERROR(MATCH(설정!$C$23,INDEX(급여대장_원본!$A$1:$AZ$400,설정!$B$8,0),0),""))&amp;"",",","")),""))</f>
        <v/>
      </c>
      <c r="U169" s="2">
        <f>IF(OR(설정!$C$24="",IFERROR(MATCH(설정!$C$24,INDEX(급여대장_원본!$A$1:$AZ$400,설정!$B$8,0),0),"")=""),"",IFERROR(VALUE(SUBSTITUTE(INDEX(급여대장_원본!$A$1:$AZ$400,(설정!$B$8+163),IFERROR(MATCH(설정!$C$24,INDEX(급여대장_원본!$A$1:$AZ$400,설정!$B$8,0),0),""))&amp;"",",","")),""))</f>
        <v/>
      </c>
      <c r="V169" s="27">
        <f>SUM(F169:M169)</f>
        <v/>
      </c>
      <c r="W169" s="27">
        <f>IF(설정!$D$26="",0,IFERROR(VALUE(SUBSTITUTE(SUBSTITUTE(INDEX(급여대장_원본!$A$1:$AZ$400,(설정!$B$8+163),설정!$D$26)&amp;"",",",""),"　","")),0))</f>
        <v/>
      </c>
      <c r="X169" s="27">
        <f>IF(설정!$D$27="",0,IFERROR(VALUE(SUBSTITUTE(SUBSTITUTE(INDEX(급여대장_원본!$A$1:$AZ$400,(설정!$B$8+163),설정!$D$27)&amp;"",",",""),"　","")),0))</f>
        <v/>
      </c>
      <c r="Y169" s="27">
        <f>IF(설정!$D$28="",0,IFERROR(VALUE(SUBSTITUTE(SUBSTITUTE(INDEX(급여대장_원본!$A$1:$AZ$400,(설정!$B$8+163),설정!$D$28)&amp;"",",",""),"　","")),0))</f>
        <v/>
      </c>
      <c r="Z169" s="27">
        <f>IF(설정!$D$29="",0,IFERROR(VALUE(SUBSTITUTE(SUBSTITUTE(INDEX(급여대장_원본!$A$1:$AZ$400,(설정!$B$8+163),설정!$D$29)&amp;"",",",""),"　","")),0))</f>
        <v/>
      </c>
      <c r="AA169" s="27">
        <f>IF(설정!$D$30="",0,IFERROR(VALUE(SUBSTITUTE(SUBSTITUTE(INDEX(급여대장_원본!$A$1:$AZ$400,(설정!$B$8+163),설정!$D$30)&amp;"",",",""),"　","")),0))</f>
        <v/>
      </c>
      <c r="AB169" s="27">
        <f>IF(설정!$D$31="",0,IFERROR(VALUE(SUBSTITUTE(SUBSTITUTE(INDEX(급여대장_원본!$A$1:$AZ$400,(설정!$B$8+163),설정!$D$31)&amp;"",",",""),"　","")),0))</f>
        <v/>
      </c>
      <c r="AC169" s="27">
        <f>IF(설정!$D$32="",0,IFERROR(VALUE(SUBSTITUTE(SUBSTITUTE(INDEX(급여대장_원본!$A$1:$AZ$400,(설정!$B$8+163),설정!$D$32)&amp;"",",",""),"　","")),0))</f>
        <v/>
      </c>
      <c r="AD169" s="27">
        <f>IF(설정!$D$33="",0,IFERROR(VALUE(SUBSTITUTE(SUBSTITUTE(INDEX(급여대장_원본!$A$1:$AZ$400,(설정!$B$8+163),설정!$D$33)&amp;"",",",""),"　","")),0))</f>
        <v/>
      </c>
      <c r="AE169" s="27">
        <f>SUM(W169:AD169)</f>
        <v/>
      </c>
      <c r="AF169" s="27">
        <f>V169-AE169</f>
        <v/>
      </c>
      <c r="AG169" s="27">
        <f>IF(설정!$D$35="","",IF(설정!$D$35="",0,IFERROR(VALUE(SUBSTITUTE(SUBSTITUTE(INDEX(급여대장_원본!$A$1:$AZ$400,(설정!$B$8+163),설정!$D$35)&amp;"",",",""),"　","")),0)))</f>
        <v/>
      </c>
      <c r="AH169" s="27">
        <f>IF(설정!$D$36="","",IF(설정!$D$36="",0,IFERROR(VALUE(SUBSTITUTE(SUBSTITUTE(INDEX(급여대장_원본!$A$1:$AZ$400,(설정!$B$8+163),설정!$D$36)&amp;"",",",""),"　","")),0)))</f>
        <v/>
      </c>
      <c r="AI169" s="27">
        <f>IF(설정!$D$37="","",IF(설정!$D$37="",0,IFERROR(VALUE(SUBSTITUTE(SUBSTITUTE(INDEX(급여대장_원본!$A$1:$AZ$400,(설정!$B$8+163),설정!$D$37)&amp;"",",",""),"　","")),0)))</f>
        <v/>
      </c>
      <c r="AJ169" s="2">
        <f>IFERROR(INDEX($D$7:$D$306,MATCH(163,$B$7:$B$306,0)),"")</f>
        <v/>
      </c>
    </row>
    <row r="170">
      <c r="A170" s="2">
        <f>IF(AND(D170&lt;&gt;"",D170&lt;&gt;"합계",D170&lt;&gt;"총계",D170&lt;&gt;"소계",D170&lt;&gt;"계"),1,0)</f>
        <v/>
      </c>
      <c r="B170" s="2">
        <f>IF(A170=1,SUM($A$7:A170),"")</f>
        <v/>
      </c>
      <c r="C170" s="2">
        <f>IF(설정!$D$13="","",TRIM(SUBSTITUTE(INDEX(급여대장_원본!$A$1:$AZ$400,(설정!$B$8+164),설정!$D$13)&amp;"","　"," ")))</f>
        <v/>
      </c>
      <c r="D170" s="2">
        <f>IF(설정!$D$14="","",TRIM(SUBSTITUTE(INDEX(급여대장_원본!$A$1:$AZ$400,(설정!$B$8+164),설정!$D$14)&amp;"","　"," ")))</f>
        <v/>
      </c>
      <c r="E170" s="2">
        <f>IF(설정!$D$15="","",TRIM(SUBSTITUTE(INDEX(급여대장_원본!$A$1:$AZ$400,(설정!$B$8+164),설정!$D$15)&amp;"","　"," ")))</f>
        <v/>
      </c>
      <c r="F170" s="27">
        <f>IF(설정!$D$17="",0,IFERROR(VALUE(SUBSTITUTE(SUBSTITUTE(INDEX(급여대장_원본!$A$1:$AZ$400,(설정!$B$8+164),설정!$D$17)&amp;"",",",""),"　","")),0))</f>
        <v/>
      </c>
      <c r="G170" s="27">
        <f>IF(설정!$D$18="",0,IFERROR(VALUE(SUBSTITUTE(SUBSTITUTE(INDEX(급여대장_원본!$A$1:$AZ$400,(설정!$B$8+164),설정!$D$18)&amp;"",",",""),"　","")),0))</f>
        <v/>
      </c>
      <c r="H170" s="27">
        <f>IF(설정!$D$19="",0,IFERROR(VALUE(SUBSTITUTE(SUBSTITUTE(INDEX(급여대장_원본!$A$1:$AZ$400,(설정!$B$8+164),설정!$D$19)&amp;"",",",""),"　","")),0))</f>
        <v/>
      </c>
      <c r="I170" s="27">
        <f>IF(설정!$D$20="",0,IFERROR(VALUE(SUBSTITUTE(SUBSTITUTE(INDEX(급여대장_원본!$A$1:$AZ$400,(설정!$B$8+164),설정!$D$20)&amp;"",",",""),"　","")),0))</f>
        <v/>
      </c>
      <c r="J170" s="27">
        <f>IF(설정!$D$21="",0,IFERROR(VALUE(SUBSTITUTE(SUBSTITUTE(INDEX(급여대장_원본!$A$1:$AZ$400,(설정!$B$8+164),설정!$D$21)&amp;"",",",""),"　","")),0))</f>
        <v/>
      </c>
      <c r="K170" s="27">
        <f>IF(설정!$D$22="",0,IFERROR(VALUE(SUBSTITUTE(SUBSTITUTE(INDEX(급여대장_원본!$A$1:$AZ$400,(설정!$B$8+164),설정!$D$22)&amp;"",",",""),"　","")),0))</f>
        <v/>
      </c>
      <c r="L170" s="27">
        <f>IF(설정!$D$23="",0,IFERROR(VALUE(SUBSTITUTE(SUBSTITUTE(INDEX(급여대장_원본!$A$1:$AZ$400,(설정!$B$8+164),설정!$D$23)&amp;"",",",""),"　","")),0))</f>
        <v/>
      </c>
      <c r="M170" s="27">
        <f>IF(설정!$D$24="",0,IFERROR(VALUE(SUBSTITUTE(SUBSTITUTE(INDEX(급여대장_원본!$A$1:$AZ$400,(설정!$B$8+164),설정!$D$24)&amp;"",",",""),"　","")),0))</f>
        <v/>
      </c>
      <c r="N170" s="2">
        <f>IF(OR(설정!$C$17="",IFERROR(MATCH(설정!$C$17,INDEX(급여대장_원본!$A$1:$AZ$400,설정!$B$8,0),0),"")=""),"",IFERROR(VALUE(SUBSTITUTE(INDEX(급여대장_원본!$A$1:$AZ$400,(설정!$B$8+164),IFERROR(MATCH(설정!$C$17,INDEX(급여대장_원본!$A$1:$AZ$400,설정!$B$8,0),0),""))&amp;"",",","")),""))</f>
        <v/>
      </c>
      <c r="O170" s="2">
        <f>IF(OR(설정!$C$18="",IFERROR(MATCH(설정!$C$18,INDEX(급여대장_원본!$A$1:$AZ$400,설정!$B$8,0),0),"")=""),"",IFERROR(VALUE(SUBSTITUTE(INDEX(급여대장_원본!$A$1:$AZ$400,(설정!$B$8+164),IFERROR(MATCH(설정!$C$18,INDEX(급여대장_원본!$A$1:$AZ$400,설정!$B$8,0),0),""))&amp;"",",","")),""))</f>
        <v/>
      </c>
      <c r="P170" s="2">
        <f>IF(OR(설정!$C$19="",IFERROR(MATCH(설정!$C$19,INDEX(급여대장_원본!$A$1:$AZ$400,설정!$B$8,0),0),"")=""),"",IFERROR(VALUE(SUBSTITUTE(INDEX(급여대장_원본!$A$1:$AZ$400,(설정!$B$8+164),IFERROR(MATCH(설정!$C$19,INDEX(급여대장_원본!$A$1:$AZ$400,설정!$B$8,0),0),""))&amp;"",",","")),""))</f>
        <v/>
      </c>
      <c r="Q170" s="2">
        <f>IF(OR(설정!$C$20="",IFERROR(MATCH(설정!$C$20,INDEX(급여대장_원본!$A$1:$AZ$400,설정!$B$8,0),0),"")=""),"",IFERROR(VALUE(SUBSTITUTE(INDEX(급여대장_원본!$A$1:$AZ$400,(설정!$B$8+164),IFERROR(MATCH(설정!$C$20,INDEX(급여대장_원본!$A$1:$AZ$400,설정!$B$8,0),0),""))&amp;"",",","")),""))</f>
        <v/>
      </c>
      <c r="R170" s="2">
        <f>IF(OR(설정!$C$21="",IFERROR(MATCH(설정!$C$21,INDEX(급여대장_원본!$A$1:$AZ$400,설정!$B$8,0),0),"")=""),"",IFERROR(VALUE(SUBSTITUTE(INDEX(급여대장_원본!$A$1:$AZ$400,(설정!$B$8+164),IFERROR(MATCH(설정!$C$21,INDEX(급여대장_원본!$A$1:$AZ$400,설정!$B$8,0),0),""))&amp;"",",","")),""))</f>
        <v/>
      </c>
      <c r="S170" s="2">
        <f>IF(OR(설정!$C$22="",IFERROR(MATCH(설정!$C$22,INDEX(급여대장_원본!$A$1:$AZ$400,설정!$B$8,0),0),"")=""),"",IFERROR(VALUE(SUBSTITUTE(INDEX(급여대장_원본!$A$1:$AZ$400,(설정!$B$8+164),IFERROR(MATCH(설정!$C$22,INDEX(급여대장_원본!$A$1:$AZ$400,설정!$B$8,0),0),""))&amp;"",",","")),""))</f>
        <v/>
      </c>
      <c r="T170" s="2">
        <f>IF(OR(설정!$C$23="",IFERROR(MATCH(설정!$C$23,INDEX(급여대장_원본!$A$1:$AZ$400,설정!$B$8,0),0),"")=""),"",IFERROR(VALUE(SUBSTITUTE(INDEX(급여대장_원본!$A$1:$AZ$400,(설정!$B$8+164),IFERROR(MATCH(설정!$C$23,INDEX(급여대장_원본!$A$1:$AZ$400,설정!$B$8,0),0),""))&amp;"",",","")),""))</f>
        <v/>
      </c>
      <c r="U170" s="2">
        <f>IF(OR(설정!$C$24="",IFERROR(MATCH(설정!$C$24,INDEX(급여대장_원본!$A$1:$AZ$400,설정!$B$8,0),0),"")=""),"",IFERROR(VALUE(SUBSTITUTE(INDEX(급여대장_원본!$A$1:$AZ$400,(설정!$B$8+164),IFERROR(MATCH(설정!$C$24,INDEX(급여대장_원본!$A$1:$AZ$400,설정!$B$8,0),0),""))&amp;"",",","")),""))</f>
        <v/>
      </c>
      <c r="V170" s="27">
        <f>SUM(F170:M170)</f>
        <v/>
      </c>
      <c r="W170" s="27">
        <f>IF(설정!$D$26="",0,IFERROR(VALUE(SUBSTITUTE(SUBSTITUTE(INDEX(급여대장_원본!$A$1:$AZ$400,(설정!$B$8+164),설정!$D$26)&amp;"",",",""),"　","")),0))</f>
        <v/>
      </c>
      <c r="X170" s="27">
        <f>IF(설정!$D$27="",0,IFERROR(VALUE(SUBSTITUTE(SUBSTITUTE(INDEX(급여대장_원본!$A$1:$AZ$400,(설정!$B$8+164),설정!$D$27)&amp;"",",",""),"　","")),0))</f>
        <v/>
      </c>
      <c r="Y170" s="27">
        <f>IF(설정!$D$28="",0,IFERROR(VALUE(SUBSTITUTE(SUBSTITUTE(INDEX(급여대장_원본!$A$1:$AZ$400,(설정!$B$8+164),설정!$D$28)&amp;"",",",""),"　","")),0))</f>
        <v/>
      </c>
      <c r="Z170" s="27">
        <f>IF(설정!$D$29="",0,IFERROR(VALUE(SUBSTITUTE(SUBSTITUTE(INDEX(급여대장_원본!$A$1:$AZ$400,(설정!$B$8+164),설정!$D$29)&amp;"",",",""),"　","")),0))</f>
        <v/>
      </c>
      <c r="AA170" s="27">
        <f>IF(설정!$D$30="",0,IFERROR(VALUE(SUBSTITUTE(SUBSTITUTE(INDEX(급여대장_원본!$A$1:$AZ$400,(설정!$B$8+164),설정!$D$30)&amp;"",",",""),"　","")),0))</f>
        <v/>
      </c>
      <c r="AB170" s="27">
        <f>IF(설정!$D$31="",0,IFERROR(VALUE(SUBSTITUTE(SUBSTITUTE(INDEX(급여대장_원본!$A$1:$AZ$400,(설정!$B$8+164),설정!$D$31)&amp;"",",",""),"　","")),0))</f>
        <v/>
      </c>
      <c r="AC170" s="27">
        <f>IF(설정!$D$32="",0,IFERROR(VALUE(SUBSTITUTE(SUBSTITUTE(INDEX(급여대장_원본!$A$1:$AZ$400,(설정!$B$8+164),설정!$D$32)&amp;"",",",""),"　","")),0))</f>
        <v/>
      </c>
      <c r="AD170" s="27">
        <f>IF(설정!$D$33="",0,IFERROR(VALUE(SUBSTITUTE(SUBSTITUTE(INDEX(급여대장_원본!$A$1:$AZ$400,(설정!$B$8+164),설정!$D$33)&amp;"",",",""),"　","")),0))</f>
        <v/>
      </c>
      <c r="AE170" s="27">
        <f>SUM(W170:AD170)</f>
        <v/>
      </c>
      <c r="AF170" s="27">
        <f>V170-AE170</f>
        <v/>
      </c>
      <c r="AG170" s="27">
        <f>IF(설정!$D$35="","",IF(설정!$D$35="",0,IFERROR(VALUE(SUBSTITUTE(SUBSTITUTE(INDEX(급여대장_원본!$A$1:$AZ$400,(설정!$B$8+164),설정!$D$35)&amp;"",",",""),"　","")),0)))</f>
        <v/>
      </c>
      <c r="AH170" s="27">
        <f>IF(설정!$D$36="","",IF(설정!$D$36="",0,IFERROR(VALUE(SUBSTITUTE(SUBSTITUTE(INDEX(급여대장_원본!$A$1:$AZ$400,(설정!$B$8+164),설정!$D$36)&amp;"",",",""),"　","")),0)))</f>
        <v/>
      </c>
      <c r="AI170" s="27">
        <f>IF(설정!$D$37="","",IF(설정!$D$37="",0,IFERROR(VALUE(SUBSTITUTE(SUBSTITUTE(INDEX(급여대장_원본!$A$1:$AZ$400,(설정!$B$8+164),설정!$D$37)&amp;"",",",""),"　","")),0)))</f>
        <v/>
      </c>
      <c r="AJ170" s="2">
        <f>IFERROR(INDEX($D$7:$D$306,MATCH(164,$B$7:$B$306,0)),"")</f>
        <v/>
      </c>
    </row>
    <row r="171">
      <c r="A171" s="2">
        <f>IF(AND(D171&lt;&gt;"",D171&lt;&gt;"합계",D171&lt;&gt;"총계",D171&lt;&gt;"소계",D171&lt;&gt;"계"),1,0)</f>
        <v/>
      </c>
      <c r="B171" s="2">
        <f>IF(A171=1,SUM($A$7:A171),"")</f>
        <v/>
      </c>
      <c r="C171" s="2">
        <f>IF(설정!$D$13="","",TRIM(SUBSTITUTE(INDEX(급여대장_원본!$A$1:$AZ$400,(설정!$B$8+165),설정!$D$13)&amp;"","　"," ")))</f>
        <v/>
      </c>
      <c r="D171" s="2">
        <f>IF(설정!$D$14="","",TRIM(SUBSTITUTE(INDEX(급여대장_원본!$A$1:$AZ$400,(설정!$B$8+165),설정!$D$14)&amp;"","　"," ")))</f>
        <v/>
      </c>
      <c r="E171" s="2">
        <f>IF(설정!$D$15="","",TRIM(SUBSTITUTE(INDEX(급여대장_원본!$A$1:$AZ$400,(설정!$B$8+165),설정!$D$15)&amp;"","　"," ")))</f>
        <v/>
      </c>
      <c r="F171" s="27">
        <f>IF(설정!$D$17="",0,IFERROR(VALUE(SUBSTITUTE(SUBSTITUTE(INDEX(급여대장_원본!$A$1:$AZ$400,(설정!$B$8+165),설정!$D$17)&amp;"",",",""),"　","")),0))</f>
        <v/>
      </c>
      <c r="G171" s="27">
        <f>IF(설정!$D$18="",0,IFERROR(VALUE(SUBSTITUTE(SUBSTITUTE(INDEX(급여대장_원본!$A$1:$AZ$400,(설정!$B$8+165),설정!$D$18)&amp;"",",",""),"　","")),0))</f>
        <v/>
      </c>
      <c r="H171" s="27">
        <f>IF(설정!$D$19="",0,IFERROR(VALUE(SUBSTITUTE(SUBSTITUTE(INDEX(급여대장_원본!$A$1:$AZ$400,(설정!$B$8+165),설정!$D$19)&amp;"",",",""),"　","")),0))</f>
        <v/>
      </c>
      <c r="I171" s="27">
        <f>IF(설정!$D$20="",0,IFERROR(VALUE(SUBSTITUTE(SUBSTITUTE(INDEX(급여대장_원본!$A$1:$AZ$400,(설정!$B$8+165),설정!$D$20)&amp;"",",",""),"　","")),0))</f>
        <v/>
      </c>
      <c r="J171" s="27">
        <f>IF(설정!$D$21="",0,IFERROR(VALUE(SUBSTITUTE(SUBSTITUTE(INDEX(급여대장_원본!$A$1:$AZ$400,(설정!$B$8+165),설정!$D$21)&amp;"",",",""),"　","")),0))</f>
        <v/>
      </c>
      <c r="K171" s="27">
        <f>IF(설정!$D$22="",0,IFERROR(VALUE(SUBSTITUTE(SUBSTITUTE(INDEX(급여대장_원본!$A$1:$AZ$400,(설정!$B$8+165),설정!$D$22)&amp;"",",",""),"　","")),0))</f>
        <v/>
      </c>
      <c r="L171" s="27">
        <f>IF(설정!$D$23="",0,IFERROR(VALUE(SUBSTITUTE(SUBSTITUTE(INDEX(급여대장_원본!$A$1:$AZ$400,(설정!$B$8+165),설정!$D$23)&amp;"",",",""),"　","")),0))</f>
        <v/>
      </c>
      <c r="M171" s="27">
        <f>IF(설정!$D$24="",0,IFERROR(VALUE(SUBSTITUTE(SUBSTITUTE(INDEX(급여대장_원본!$A$1:$AZ$400,(설정!$B$8+165),설정!$D$24)&amp;"",",",""),"　","")),0))</f>
        <v/>
      </c>
      <c r="N171" s="2">
        <f>IF(OR(설정!$C$17="",IFERROR(MATCH(설정!$C$17,INDEX(급여대장_원본!$A$1:$AZ$400,설정!$B$8,0),0),"")=""),"",IFERROR(VALUE(SUBSTITUTE(INDEX(급여대장_원본!$A$1:$AZ$400,(설정!$B$8+165),IFERROR(MATCH(설정!$C$17,INDEX(급여대장_원본!$A$1:$AZ$400,설정!$B$8,0),0),""))&amp;"",",","")),""))</f>
        <v/>
      </c>
      <c r="O171" s="2">
        <f>IF(OR(설정!$C$18="",IFERROR(MATCH(설정!$C$18,INDEX(급여대장_원본!$A$1:$AZ$400,설정!$B$8,0),0),"")=""),"",IFERROR(VALUE(SUBSTITUTE(INDEX(급여대장_원본!$A$1:$AZ$400,(설정!$B$8+165),IFERROR(MATCH(설정!$C$18,INDEX(급여대장_원본!$A$1:$AZ$400,설정!$B$8,0),0),""))&amp;"",",","")),""))</f>
        <v/>
      </c>
      <c r="P171" s="2">
        <f>IF(OR(설정!$C$19="",IFERROR(MATCH(설정!$C$19,INDEX(급여대장_원본!$A$1:$AZ$400,설정!$B$8,0),0),"")=""),"",IFERROR(VALUE(SUBSTITUTE(INDEX(급여대장_원본!$A$1:$AZ$400,(설정!$B$8+165),IFERROR(MATCH(설정!$C$19,INDEX(급여대장_원본!$A$1:$AZ$400,설정!$B$8,0),0),""))&amp;"",",","")),""))</f>
        <v/>
      </c>
      <c r="Q171" s="2">
        <f>IF(OR(설정!$C$20="",IFERROR(MATCH(설정!$C$20,INDEX(급여대장_원본!$A$1:$AZ$400,설정!$B$8,0),0),"")=""),"",IFERROR(VALUE(SUBSTITUTE(INDEX(급여대장_원본!$A$1:$AZ$400,(설정!$B$8+165),IFERROR(MATCH(설정!$C$20,INDEX(급여대장_원본!$A$1:$AZ$400,설정!$B$8,0),0),""))&amp;"",",","")),""))</f>
        <v/>
      </c>
      <c r="R171" s="2">
        <f>IF(OR(설정!$C$21="",IFERROR(MATCH(설정!$C$21,INDEX(급여대장_원본!$A$1:$AZ$400,설정!$B$8,0),0),"")=""),"",IFERROR(VALUE(SUBSTITUTE(INDEX(급여대장_원본!$A$1:$AZ$400,(설정!$B$8+165),IFERROR(MATCH(설정!$C$21,INDEX(급여대장_원본!$A$1:$AZ$400,설정!$B$8,0),0),""))&amp;"",",","")),""))</f>
        <v/>
      </c>
      <c r="S171" s="2">
        <f>IF(OR(설정!$C$22="",IFERROR(MATCH(설정!$C$22,INDEX(급여대장_원본!$A$1:$AZ$400,설정!$B$8,0),0),"")=""),"",IFERROR(VALUE(SUBSTITUTE(INDEX(급여대장_원본!$A$1:$AZ$400,(설정!$B$8+165),IFERROR(MATCH(설정!$C$22,INDEX(급여대장_원본!$A$1:$AZ$400,설정!$B$8,0),0),""))&amp;"",",","")),""))</f>
        <v/>
      </c>
      <c r="T171" s="2">
        <f>IF(OR(설정!$C$23="",IFERROR(MATCH(설정!$C$23,INDEX(급여대장_원본!$A$1:$AZ$400,설정!$B$8,0),0),"")=""),"",IFERROR(VALUE(SUBSTITUTE(INDEX(급여대장_원본!$A$1:$AZ$400,(설정!$B$8+165),IFERROR(MATCH(설정!$C$23,INDEX(급여대장_원본!$A$1:$AZ$400,설정!$B$8,0),0),""))&amp;"",",","")),""))</f>
        <v/>
      </c>
      <c r="U171" s="2">
        <f>IF(OR(설정!$C$24="",IFERROR(MATCH(설정!$C$24,INDEX(급여대장_원본!$A$1:$AZ$400,설정!$B$8,0),0),"")=""),"",IFERROR(VALUE(SUBSTITUTE(INDEX(급여대장_원본!$A$1:$AZ$400,(설정!$B$8+165),IFERROR(MATCH(설정!$C$24,INDEX(급여대장_원본!$A$1:$AZ$400,설정!$B$8,0),0),""))&amp;"",",","")),""))</f>
        <v/>
      </c>
      <c r="V171" s="27">
        <f>SUM(F171:M171)</f>
        <v/>
      </c>
      <c r="W171" s="27">
        <f>IF(설정!$D$26="",0,IFERROR(VALUE(SUBSTITUTE(SUBSTITUTE(INDEX(급여대장_원본!$A$1:$AZ$400,(설정!$B$8+165),설정!$D$26)&amp;"",",",""),"　","")),0))</f>
        <v/>
      </c>
      <c r="X171" s="27">
        <f>IF(설정!$D$27="",0,IFERROR(VALUE(SUBSTITUTE(SUBSTITUTE(INDEX(급여대장_원본!$A$1:$AZ$400,(설정!$B$8+165),설정!$D$27)&amp;"",",",""),"　","")),0))</f>
        <v/>
      </c>
      <c r="Y171" s="27">
        <f>IF(설정!$D$28="",0,IFERROR(VALUE(SUBSTITUTE(SUBSTITUTE(INDEX(급여대장_원본!$A$1:$AZ$400,(설정!$B$8+165),설정!$D$28)&amp;"",",",""),"　","")),0))</f>
        <v/>
      </c>
      <c r="Z171" s="27">
        <f>IF(설정!$D$29="",0,IFERROR(VALUE(SUBSTITUTE(SUBSTITUTE(INDEX(급여대장_원본!$A$1:$AZ$400,(설정!$B$8+165),설정!$D$29)&amp;"",",",""),"　","")),0))</f>
        <v/>
      </c>
      <c r="AA171" s="27">
        <f>IF(설정!$D$30="",0,IFERROR(VALUE(SUBSTITUTE(SUBSTITUTE(INDEX(급여대장_원본!$A$1:$AZ$400,(설정!$B$8+165),설정!$D$30)&amp;"",",",""),"　","")),0))</f>
        <v/>
      </c>
      <c r="AB171" s="27">
        <f>IF(설정!$D$31="",0,IFERROR(VALUE(SUBSTITUTE(SUBSTITUTE(INDEX(급여대장_원본!$A$1:$AZ$400,(설정!$B$8+165),설정!$D$31)&amp;"",",",""),"　","")),0))</f>
        <v/>
      </c>
      <c r="AC171" s="27">
        <f>IF(설정!$D$32="",0,IFERROR(VALUE(SUBSTITUTE(SUBSTITUTE(INDEX(급여대장_원본!$A$1:$AZ$400,(설정!$B$8+165),설정!$D$32)&amp;"",",",""),"　","")),0))</f>
        <v/>
      </c>
      <c r="AD171" s="27">
        <f>IF(설정!$D$33="",0,IFERROR(VALUE(SUBSTITUTE(SUBSTITUTE(INDEX(급여대장_원본!$A$1:$AZ$400,(설정!$B$8+165),설정!$D$33)&amp;"",",",""),"　","")),0))</f>
        <v/>
      </c>
      <c r="AE171" s="27">
        <f>SUM(W171:AD171)</f>
        <v/>
      </c>
      <c r="AF171" s="27">
        <f>V171-AE171</f>
        <v/>
      </c>
      <c r="AG171" s="27">
        <f>IF(설정!$D$35="","",IF(설정!$D$35="",0,IFERROR(VALUE(SUBSTITUTE(SUBSTITUTE(INDEX(급여대장_원본!$A$1:$AZ$400,(설정!$B$8+165),설정!$D$35)&amp;"",",",""),"　","")),0)))</f>
        <v/>
      </c>
      <c r="AH171" s="27">
        <f>IF(설정!$D$36="","",IF(설정!$D$36="",0,IFERROR(VALUE(SUBSTITUTE(SUBSTITUTE(INDEX(급여대장_원본!$A$1:$AZ$400,(설정!$B$8+165),설정!$D$36)&amp;"",",",""),"　","")),0)))</f>
        <v/>
      </c>
      <c r="AI171" s="27">
        <f>IF(설정!$D$37="","",IF(설정!$D$37="",0,IFERROR(VALUE(SUBSTITUTE(SUBSTITUTE(INDEX(급여대장_원본!$A$1:$AZ$400,(설정!$B$8+165),설정!$D$37)&amp;"",",",""),"　","")),0)))</f>
        <v/>
      </c>
      <c r="AJ171" s="2">
        <f>IFERROR(INDEX($D$7:$D$306,MATCH(165,$B$7:$B$306,0)),"")</f>
        <v/>
      </c>
    </row>
    <row r="172">
      <c r="A172" s="2">
        <f>IF(AND(D172&lt;&gt;"",D172&lt;&gt;"합계",D172&lt;&gt;"총계",D172&lt;&gt;"소계",D172&lt;&gt;"계"),1,0)</f>
        <v/>
      </c>
      <c r="B172" s="2">
        <f>IF(A172=1,SUM($A$7:A172),"")</f>
        <v/>
      </c>
      <c r="C172" s="2">
        <f>IF(설정!$D$13="","",TRIM(SUBSTITUTE(INDEX(급여대장_원본!$A$1:$AZ$400,(설정!$B$8+166),설정!$D$13)&amp;"","　"," ")))</f>
        <v/>
      </c>
      <c r="D172" s="2">
        <f>IF(설정!$D$14="","",TRIM(SUBSTITUTE(INDEX(급여대장_원본!$A$1:$AZ$400,(설정!$B$8+166),설정!$D$14)&amp;"","　"," ")))</f>
        <v/>
      </c>
      <c r="E172" s="2">
        <f>IF(설정!$D$15="","",TRIM(SUBSTITUTE(INDEX(급여대장_원본!$A$1:$AZ$400,(설정!$B$8+166),설정!$D$15)&amp;"","　"," ")))</f>
        <v/>
      </c>
      <c r="F172" s="27">
        <f>IF(설정!$D$17="",0,IFERROR(VALUE(SUBSTITUTE(SUBSTITUTE(INDEX(급여대장_원본!$A$1:$AZ$400,(설정!$B$8+166),설정!$D$17)&amp;"",",",""),"　","")),0))</f>
        <v/>
      </c>
      <c r="G172" s="27">
        <f>IF(설정!$D$18="",0,IFERROR(VALUE(SUBSTITUTE(SUBSTITUTE(INDEX(급여대장_원본!$A$1:$AZ$400,(설정!$B$8+166),설정!$D$18)&amp;"",",",""),"　","")),0))</f>
        <v/>
      </c>
      <c r="H172" s="27">
        <f>IF(설정!$D$19="",0,IFERROR(VALUE(SUBSTITUTE(SUBSTITUTE(INDEX(급여대장_원본!$A$1:$AZ$400,(설정!$B$8+166),설정!$D$19)&amp;"",",",""),"　","")),0))</f>
        <v/>
      </c>
      <c r="I172" s="27">
        <f>IF(설정!$D$20="",0,IFERROR(VALUE(SUBSTITUTE(SUBSTITUTE(INDEX(급여대장_원본!$A$1:$AZ$400,(설정!$B$8+166),설정!$D$20)&amp;"",",",""),"　","")),0))</f>
        <v/>
      </c>
      <c r="J172" s="27">
        <f>IF(설정!$D$21="",0,IFERROR(VALUE(SUBSTITUTE(SUBSTITUTE(INDEX(급여대장_원본!$A$1:$AZ$400,(설정!$B$8+166),설정!$D$21)&amp;"",",",""),"　","")),0))</f>
        <v/>
      </c>
      <c r="K172" s="27">
        <f>IF(설정!$D$22="",0,IFERROR(VALUE(SUBSTITUTE(SUBSTITUTE(INDEX(급여대장_원본!$A$1:$AZ$400,(설정!$B$8+166),설정!$D$22)&amp;"",",",""),"　","")),0))</f>
        <v/>
      </c>
      <c r="L172" s="27">
        <f>IF(설정!$D$23="",0,IFERROR(VALUE(SUBSTITUTE(SUBSTITUTE(INDEX(급여대장_원본!$A$1:$AZ$400,(설정!$B$8+166),설정!$D$23)&amp;"",",",""),"　","")),0))</f>
        <v/>
      </c>
      <c r="M172" s="27">
        <f>IF(설정!$D$24="",0,IFERROR(VALUE(SUBSTITUTE(SUBSTITUTE(INDEX(급여대장_원본!$A$1:$AZ$400,(설정!$B$8+166),설정!$D$24)&amp;"",",",""),"　","")),0))</f>
        <v/>
      </c>
      <c r="N172" s="2">
        <f>IF(OR(설정!$C$17="",IFERROR(MATCH(설정!$C$17,INDEX(급여대장_원본!$A$1:$AZ$400,설정!$B$8,0),0),"")=""),"",IFERROR(VALUE(SUBSTITUTE(INDEX(급여대장_원본!$A$1:$AZ$400,(설정!$B$8+166),IFERROR(MATCH(설정!$C$17,INDEX(급여대장_원본!$A$1:$AZ$400,설정!$B$8,0),0),""))&amp;"",",","")),""))</f>
        <v/>
      </c>
      <c r="O172" s="2">
        <f>IF(OR(설정!$C$18="",IFERROR(MATCH(설정!$C$18,INDEX(급여대장_원본!$A$1:$AZ$400,설정!$B$8,0),0),"")=""),"",IFERROR(VALUE(SUBSTITUTE(INDEX(급여대장_원본!$A$1:$AZ$400,(설정!$B$8+166),IFERROR(MATCH(설정!$C$18,INDEX(급여대장_원본!$A$1:$AZ$400,설정!$B$8,0),0),""))&amp;"",",","")),""))</f>
        <v/>
      </c>
      <c r="P172" s="2">
        <f>IF(OR(설정!$C$19="",IFERROR(MATCH(설정!$C$19,INDEX(급여대장_원본!$A$1:$AZ$400,설정!$B$8,0),0),"")=""),"",IFERROR(VALUE(SUBSTITUTE(INDEX(급여대장_원본!$A$1:$AZ$400,(설정!$B$8+166),IFERROR(MATCH(설정!$C$19,INDEX(급여대장_원본!$A$1:$AZ$400,설정!$B$8,0),0),""))&amp;"",",","")),""))</f>
        <v/>
      </c>
      <c r="Q172" s="2">
        <f>IF(OR(설정!$C$20="",IFERROR(MATCH(설정!$C$20,INDEX(급여대장_원본!$A$1:$AZ$400,설정!$B$8,0),0),"")=""),"",IFERROR(VALUE(SUBSTITUTE(INDEX(급여대장_원본!$A$1:$AZ$400,(설정!$B$8+166),IFERROR(MATCH(설정!$C$20,INDEX(급여대장_원본!$A$1:$AZ$400,설정!$B$8,0),0),""))&amp;"",",","")),""))</f>
        <v/>
      </c>
      <c r="R172" s="2">
        <f>IF(OR(설정!$C$21="",IFERROR(MATCH(설정!$C$21,INDEX(급여대장_원본!$A$1:$AZ$400,설정!$B$8,0),0),"")=""),"",IFERROR(VALUE(SUBSTITUTE(INDEX(급여대장_원본!$A$1:$AZ$400,(설정!$B$8+166),IFERROR(MATCH(설정!$C$21,INDEX(급여대장_원본!$A$1:$AZ$400,설정!$B$8,0),0),""))&amp;"",",","")),""))</f>
        <v/>
      </c>
      <c r="S172" s="2">
        <f>IF(OR(설정!$C$22="",IFERROR(MATCH(설정!$C$22,INDEX(급여대장_원본!$A$1:$AZ$400,설정!$B$8,0),0),"")=""),"",IFERROR(VALUE(SUBSTITUTE(INDEX(급여대장_원본!$A$1:$AZ$400,(설정!$B$8+166),IFERROR(MATCH(설정!$C$22,INDEX(급여대장_원본!$A$1:$AZ$400,설정!$B$8,0),0),""))&amp;"",",","")),""))</f>
        <v/>
      </c>
      <c r="T172" s="2">
        <f>IF(OR(설정!$C$23="",IFERROR(MATCH(설정!$C$23,INDEX(급여대장_원본!$A$1:$AZ$400,설정!$B$8,0),0),"")=""),"",IFERROR(VALUE(SUBSTITUTE(INDEX(급여대장_원본!$A$1:$AZ$400,(설정!$B$8+166),IFERROR(MATCH(설정!$C$23,INDEX(급여대장_원본!$A$1:$AZ$400,설정!$B$8,0),0),""))&amp;"",",","")),""))</f>
        <v/>
      </c>
      <c r="U172" s="2">
        <f>IF(OR(설정!$C$24="",IFERROR(MATCH(설정!$C$24,INDEX(급여대장_원본!$A$1:$AZ$400,설정!$B$8,0),0),"")=""),"",IFERROR(VALUE(SUBSTITUTE(INDEX(급여대장_원본!$A$1:$AZ$400,(설정!$B$8+166),IFERROR(MATCH(설정!$C$24,INDEX(급여대장_원본!$A$1:$AZ$400,설정!$B$8,0),0),""))&amp;"",",","")),""))</f>
        <v/>
      </c>
      <c r="V172" s="27">
        <f>SUM(F172:M172)</f>
        <v/>
      </c>
      <c r="W172" s="27">
        <f>IF(설정!$D$26="",0,IFERROR(VALUE(SUBSTITUTE(SUBSTITUTE(INDEX(급여대장_원본!$A$1:$AZ$400,(설정!$B$8+166),설정!$D$26)&amp;"",",",""),"　","")),0))</f>
        <v/>
      </c>
      <c r="X172" s="27">
        <f>IF(설정!$D$27="",0,IFERROR(VALUE(SUBSTITUTE(SUBSTITUTE(INDEX(급여대장_원본!$A$1:$AZ$400,(설정!$B$8+166),설정!$D$27)&amp;"",",",""),"　","")),0))</f>
        <v/>
      </c>
      <c r="Y172" s="27">
        <f>IF(설정!$D$28="",0,IFERROR(VALUE(SUBSTITUTE(SUBSTITUTE(INDEX(급여대장_원본!$A$1:$AZ$400,(설정!$B$8+166),설정!$D$28)&amp;"",",",""),"　","")),0))</f>
        <v/>
      </c>
      <c r="Z172" s="27">
        <f>IF(설정!$D$29="",0,IFERROR(VALUE(SUBSTITUTE(SUBSTITUTE(INDEX(급여대장_원본!$A$1:$AZ$400,(설정!$B$8+166),설정!$D$29)&amp;"",",",""),"　","")),0))</f>
        <v/>
      </c>
      <c r="AA172" s="27">
        <f>IF(설정!$D$30="",0,IFERROR(VALUE(SUBSTITUTE(SUBSTITUTE(INDEX(급여대장_원본!$A$1:$AZ$400,(설정!$B$8+166),설정!$D$30)&amp;"",",",""),"　","")),0))</f>
        <v/>
      </c>
      <c r="AB172" s="27">
        <f>IF(설정!$D$31="",0,IFERROR(VALUE(SUBSTITUTE(SUBSTITUTE(INDEX(급여대장_원본!$A$1:$AZ$400,(설정!$B$8+166),설정!$D$31)&amp;"",",",""),"　","")),0))</f>
        <v/>
      </c>
      <c r="AC172" s="27">
        <f>IF(설정!$D$32="",0,IFERROR(VALUE(SUBSTITUTE(SUBSTITUTE(INDEX(급여대장_원본!$A$1:$AZ$400,(설정!$B$8+166),설정!$D$32)&amp;"",",",""),"　","")),0))</f>
        <v/>
      </c>
      <c r="AD172" s="27">
        <f>IF(설정!$D$33="",0,IFERROR(VALUE(SUBSTITUTE(SUBSTITUTE(INDEX(급여대장_원본!$A$1:$AZ$400,(설정!$B$8+166),설정!$D$33)&amp;"",",",""),"　","")),0))</f>
        <v/>
      </c>
      <c r="AE172" s="27">
        <f>SUM(W172:AD172)</f>
        <v/>
      </c>
      <c r="AF172" s="27">
        <f>V172-AE172</f>
        <v/>
      </c>
      <c r="AG172" s="27">
        <f>IF(설정!$D$35="","",IF(설정!$D$35="",0,IFERROR(VALUE(SUBSTITUTE(SUBSTITUTE(INDEX(급여대장_원본!$A$1:$AZ$400,(설정!$B$8+166),설정!$D$35)&amp;"",",",""),"　","")),0)))</f>
        <v/>
      </c>
      <c r="AH172" s="27">
        <f>IF(설정!$D$36="","",IF(설정!$D$36="",0,IFERROR(VALUE(SUBSTITUTE(SUBSTITUTE(INDEX(급여대장_원본!$A$1:$AZ$400,(설정!$B$8+166),설정!$D$36)&amp;"",",",""),"　","")),0)))</f>
        <v/>
      </c>
      <c r="AI172" s="27">
        <f>IF(설정!$D$37="","",IF(설정!$D$37="",0,IFERROR(VALUE(SUBSTITUTE(SUBSTITUTE(INDEX(급여대장_원본!$A$1:$AZ$400,(설정!$B$8+166),설정!$D$37)&amp;"",",",""),"　","")),0)))</f>
        <v/>
      </c>
      <c r="AJ172" s="2">
        <f>IFERROR(INDEX($D$7:$D$306,MATCH(166,$B$7:$B$306,0)),"")</f>
        <v/>
      </c>
    </row>
    <row r="173">
      <c r="A173" s="2">
        <f>IF(AND(D173&lt;&gt;"",D173&lt;&gt;"합계",D173&lt;&gt;"총계",D173&lt;&gt;"소계",D173&lt;&gt;"계"),1,0)</f>
        <v/>
      </c>
      <c r="B173" s="2">
        <f>IF(A173=1,SUM($A$7:A173),"")</f>
        <v/>
      </c>
      <c r="C173" s="2">
        <f>IF(설정!$D$13="","",TRIM(SUBSTITUTE(INDEX(급여대장_원본!$A$1:$AZ$400,(설정!$B$8+167),설정!$D$13)&amp;"","　"," ")))</f>
        <v/>
      </c>
      <c r="D173" s="2">
        <f>IF(설정!$D$14="","",TRIM(SUBSTITUTE(INDEX(급여대장_원본!$A$1:$AZ$400,(설정!$B$8+167),설정!$D$14)&amp;"","　"," ")))</f>
        <v/>
      </c>
      <c r="E173" s="2">
        <f>IF(설정!$D$15="","",TRIM(SUBSTITUTE(INDEX(급여대장_원본!$A$1:$AZ$400,(설정!$B$8+167),설정!$D$15)&amp;"","　"," ")))</f>
        <v/>
      </c>
      <c r="F173" s="27">
        <f>IF(설정!$D$17="",0,IFERROR(VALUE(SUBSTITUTE(SUBSTITUTE(INDEX(급여대장_원본!$A$1:$AZ$400,(설정!$B$8+167),설정!$D$17)&amp;"",",",""),"　","")),0))</f>
        <v/>
      </c>
      <c r="G173" s="27">
        <f>IF(설정!$D$18="",0,IFERROR(VALUE(SUBSTITUTE(SUBSTITUTE(INDEX(급여대장_원본!$A$1:$AZ$400,(설정!$B$8+167),설정!$D$18)&amp;"",",",""),"　","")),0))</f>
        <v/>
      </c>
      <c r="H173" s="27">
        <f>IF(설정!$D$19="",0,IFERROR(VALUE(SUBSTITUTE(SUBSTITUTE(INDEX(급여대장_원본!$A$1:$AZ$400,(설정!$B$8+167),설정!$D$19)&amp;"",",",""),"　","")),0))</f>
        <v/>
      </c>
      <c r="I173" s="27">
        <f>IF(설정!$D$20="",0,IFERROR(VALUE(SUBSTITUTE(SUBSTITUTE(INDEX(급여대장_원본!$A$1:$AZ$400,(설정!$B$8+167),설정!$D$20)&amp;"",",",""),"　","")),0))</f>
        <v/>
      </c>
      <c r="J173" s="27">
        <f>IF(설정!$D$21="",0,IFERROR(VALUE(SUBSTITUTE(SUBSTITUTE(INDEX(급여대장_원본!$A$1:$AZ$400,(설정!$B$8+167),설정!$D$21)&amp;"",",",""),"　","")),0))</f>
        <v/>
      </c>
      <c r="K173" s="27">
        <f>IF(설정!$D$22="",0,IFERROR(VALUE(SUBSTITUTE(SUBSTITUTE(INDEX(급여대장_원본!$A$1:$AZ$400,(설정!$B$8+167),설정!$D$22)&amp;"",",",""),"　","")),0))</f>
        <v/>
      </c>
      <c r="L173" s="27">
        <f>IF(설정!$D$23="",0,IFERROR(VALUE(SUBSTITUTE(SUBSTITUTE(INDEX(급여대장_원본!$A$1:$AZ$400,(설정!$B$8+167),설정!$D$23)&amp;"",",",""),"　","")),0))</f>
        <v/>
      </c>
      <c r="M173" s="27">
        <f>IF(설정!$D$24="",0,IFERROR(VALUE(SUBSTITUTE(SUBSTITUTE(INDEX(급여대장_원본!$A$1:$AZ$400,(설정!$B$8+167),설정!$D$24)&amp;"",",",""),"　","")),0))</f>
        <v/>
      </c>
      <c r="N173" s="2">
        <f>IF(OR(설정!$C$17="",IFERROR(MATCH(설정!$C$17,INDEX(급여대장_원본!$A$1:$AZ$400,설정!$B$8,0),0),"")=""),"",IFERROR(VALUE(SUBSTITUTE(INDEX(급여대장_원본!$A$1:$AZ$400,(설정!$B$8+167),IFERROR(MATCH(설정!$C$17,INDEX(급여대장_원본!$A$1:$AZ$400,설정!$B$8,0),0),""))&amp;"",",","")),""))</f>
        <v/>
      </c>
      <c r="O173" s="2">
        <f>IF(OR(설정!$C$18="",IFERROR(MATCH(설정!$C$18,INDEX(급여대장_원본!$A$1:$AZ$400,설정!$B$8,0),0),"")=""),"",IFERROR(VALUE(SUBSTITUTE(INDEX(급여대장_원본!$A$1:$AZ$400,(설정!$B$8+167),IFERROR(MATCH(설정!$C$18,INDEX(급여대장_원본!$A$1:$AZ$400,설정!$B$8,0),0),""))&amp;"",",","")),""))</f>
        <v/>
      </c>
      <c r="P173" s="2">
        <f>IF(OR(설정!$C$19="",IFERROR(MATCH(설정!$C$19,INDEX(급여대장_원본!$A$1:$AZ$400,설정!$B$8,0),0),"")=""),"",IFERROR(VALUE(SUBSTITUTE(INDEX(급여대장_원본!$A$1:$AZ$400,(설정!$B$8+167),IFERROR(MATCH(설정!$C$19,INDEX(급여대장_원본!$A$1:$AZ$400,설정!$B$8,0),0),""))&amp;"",",","")),""))</f>
        <v/>
      </c>
      <c r="Q173" s="2">
        <f>IF(OR(설정!$C$20="",IFERROR(MATCH(설정!$C$20,INDEX(급여대장_원본!$A$1:$AZ$400,설정!$B$8,0),0),"")=""),"",IFERROR(VALUE(SUBSTITUTE(INDEX(급여대장_원본!$A$1:$AZ$400,(설정!$B$8+167),IFERROR(MATCH(설정!$C$20,INDEX(급여대장_원본!$A$1:$AZ$400,설정!$B$8,0),0),""))&amp;"",",","")),""))</f>
        <v/>
      </c>
      <c r="R173" s="2">
        <f>IF(OR(설정!$C$21="",IFERROR(MATCH(설정!$C$21,INDEX(급여대장_원본!$A$1:$AZ$400,설정!$B$8,0),0),"")=""),"",IFERROR(VALUE(SUBSTITUTE(INDEX(급여대장_원본!$A$1:$AZ$400,(설정!$B$8+167),IFERROR(MATCH(설정!$C$21,INDEX(급여대장_원본!$A$1:$AZ$400,설정!$B$8,0),0),""))&amp;"",",","")),""))</f>
        <v/>
      </c>
      <c r="S173" s="2">
        <f>IF(OR(설정!$C$22="",IFERROR(MATCH(설정!$C$22,INDEX(급여대장_원본!$A$1:$AZ$400,설정!$B$8,0),0),"")=""),"",IFERROR(VALUE(SUBSTITUTE(INDEX(급여대장_원본!$A$1:$AZ$400,(설정!$B$8+167),IFERROR(MATCH(설정!$C$22,INDEX(급여대장_원본!$A$1:$AZ$400,설정!$B$8,0),0),""))&amp;"",",","")),""))</f>
        <v/>
      </c>
      <c r="T173" s="2">
        <f>IF(OR(설정!$C$23="",IFERROR(MATCH(설정!$C$23,INDEX(급여대장_원본!$A$1:$AZ$400,설정!$B$8,0),0),"")=""),"",IFERROR(VALUE(SUBSTITUTE(INDEX(급여대장_원본!$A$1:$AZ$400,(설정!$B$8+167),IFERROR(MATCH(설정!$C$23,INDEX(급여대장_원본!$A$1:$AZ$400,설정!$B$8,0),0),""))&amp;"",",","")),""))</f>
        <v/>
      </c>
      <c r="U173" s="2">
        <f>IF(OR(설정!$C$24="",IFERROR(MATCH(설정!$C$24,INDEX(급여대장_원본!$A$1:$AZ$400,설정!$B$8,0),0),"")=""),"",IFERROR(VALUE(SUBSTITUTE(INDEX(급여대장_원본!$A$1:$AZ$400,(설정!$B$8+167),IFERROR(MATCH(설정!$C$24,INDEX(급여대장_원본!$A$1:$AZ$400,설정!$B$8,0),0),""))&amp;"",",","")),""))</f>
        <v/>
      </c>
      <c r="V173" s="27">
        <f>SUM(F173:M173)</f>
        <v/>
      </c>
      <c r="W173" s="27">
        <f>IF(설정!$D$26="",0,IFERROR(VALUE(SUBSTITUTE(SUBSTITUTE(INDEX(급여대장_원본!$A$1:$AZ$400,(설정!$B$8+167),설정!$D$26)&amp;"",",",""),"　","")),0))</f>
        <v/>
      </c>
      <c r="X173" s="27">
        <f>IF(설정!$D$27="",0,IFERROR(VALUE(SUBSTITUTE(SUBSTITUTE(INDEX(급여대장_원본!$A$1:$AZ$400,(설정!$B$8+167),설정!$D$27)&amp;"",",",""),"　","")),0))</f>
        <v/>
      </c>
      <c r="Y173" s="27">
        <f>IF(설정!$D$28="",0,IFERROR(VALUE(SUBSTITUTE(SUBSTITUTE(INDEX(급여대장_원본!$A$1:$AZ$400,(설정!$B$8+167),설정!$D$28)&amp;"",",",""),"　","")),0))</f>
        <v/>
      </c>
      <c r="Z173" s="27">
        <f>IF(설정!$D$29="",0,IFERROR(VALUE(SUBSTITUTE(SUBSTITUTE(INDEX(급여대장_원본!$A$1:$AZ$400,(설정!$B$8+167),설정!$D$29)&amp;"",",",""),"　","")),0))</f>
        <v/>
      </c>
      <c r="AA173" s="27">
        <f>IF(설정!$D$30="",0,IFERROR(VALUE(SUBSTITUTE(SUBSTITUTE(INDEX(급여대장_원본!$A$1:$AZ$400,(설정!$B$8+167),설정!$D$30)&amp;"",",",""),"　","")),0))</f>
        <v/>
      </c>
      <c r="AB173" s="27">
        <f>IF(설정!$D$31="",0,IFERROR(VALUE(SUBSTITUTE(SUBSTITUTE(INDEX(급여대장_원본!$A$1:$AZ$400,(설정!$B$8+167),설정!$D$31)&amp;"",",",""),"　","")),0))</f>
        <v/>
      </c>
      <c r="AC173" s="27">
        <f>IF(설정!$D$32="",0,IFERROR(VALUE(SUBSTITUTE(SUBSTITUTE(INDEX(급여대장_원본!$A$1:$AZ$400,(설정!$B$8+167),설정!$D$32)&amp;"",",",""),"　","")),0))</f>
        <v/>
      </c>
      <c r="AD173" s="27">
        <f>IF(설정!$D$33="",0,IFERROR(VALUE(SUBSTITUTE(SUBSTITUTE(INDEX(급여대장_원본!$A$1:$AZ$400,(설정!$B$8+167),설정!$D$33)&amp;"",",",""),"　","")),0))</f>
        <v/>
      </c>
      <c r="AE173" s="27">
        <f>SUM(W173:AD173)</f>
        <v/>
      </c>
      <c r="AF173" s="27">
        <f>V173-AE173</f>
        <v/>
      </c>
      <c r="AG173" s="27">
        <f>IF(설정!$D$35="","",IF(설정!$D$35="",0,IFERROR(VALUE(SUBSTITUTE(SUBSTITUTE(INDEX(급여대장_원본!$A$1:$AZ$400,(설정!$B$8+167),설정!$D$35)&amp;"",",",""),"　","")),0)))</f>
        <v/>
      </c>
      <c r="AH173" s="27">
        <f>IF(설정!$D$36="","",IF(설정!$D$36="",0,IFERROR(VALUE(SUBSTITUTE(SUBSTITUTE(INDEX(급여대장_원본!$A$1:$AZ$400,(설정!$B$8+167),설정!$D$36)&amp;"",",",""),"　","")),0)))</f>
        <v/>
      </c>
      <c r="AI173" s="27">
        <f>IF(설정!$D$37="","",IF(설정!$D$37="",0,IFERROR(VALUE(SUBSTITUTE(SUBSTITUTE(INDEX(급여대장_원본!$A$1:$AZ$400,(설정!$B$8+167),설정!$D$37)&amp;"",",",""),"　","")),0)))</f>
        <v/>
      </c>
      <c r="AJ173" s="2">
        <f>IFERROR(INDEX($D$7:$D$306,MATCH(167,$B$7:$B$306,0)),"")</f>
        <v/>
      </c>
    </row>
    <row r="174">
      <c r="A174" s="2">
        <f>IF(AND(D174&lt;&gt;"",D174&lt;&gt;"합계",D174&lt;&gt;"총계",D174&lt;&gt;"소계",D174&lt;&gt;"계"),1,0)</f>
        <v/>
      </c>
      <c r="B174" s="2">
        <f>IF(A174=1,SUM($A$7:A174),"")</f>
        <v/>
      </c>
      <c r="C174" s="2">
        <f>IF(설정!$D$13="","",TRIM(SUBSTITUTE(INDEX(급여대장_원본!$A$1:$AZ$400,(설정!$B$8+168),설정!$D$13)&amp;"","　"," ")))</f>
        <v/>
      </c>
      <c r="D174" s="2">
        <f>IF(설정!$D$14="","",TRIM(SUBSTITUTE(INDEX(급여대장_원본!$A$1:$AZ$400,(설정!$B$8+168),설정!$D$14)&amp;"","　"," ")))</f>
        <v/>
      </c>
      <c r="E174" s="2">
        <f>IF(설정!$D$15="","",TRIM(SUBSTITUTE(INDEX(급여대장_원본!$A$1:$AZ$400,(설정!$B$8+168),설정!$D$15)&amp;"","　"," ")))</f>
        <v/>
      </c>
      <c r="F174" s="27">
        <f>IF(설정!$D$17="",0,IFERROR(VALUE(SUBSTITUTE(SUBSTITUTE(INDEX(급여대장_원본!$A$1:$AZ$400,(설정!$B$8+168),설정!$D$17)&amp;"",",",""),"　","")),0))</f>
        <v/>
      </c>
      <c r="G174" s="27">
        <f>IF(설정!$D$18="",0,IFERROR(VALUE(SUBSTITUTE(SUBSTITUTE(INDEX(급여대장_원본!$A$1:$AZ$400,(설정!$B$8+168),설정!$D$18)&amp;"",",",""),"　","")),0))</f>
        <v/>
      </c>
      <c r="H174" s="27">
        <f>IF(설정!$D$19="",0,IFERROR(VALUE(SUBSTITUTE(SUBSTITUTE(INDEX(급여대장_원본!$A$1:$AZ$400,(설정!$B$8+168),설정!$D$19)&amp;"",",",""),"　","")),0))</f>
        <v/>
      </c>
      <c r="I174" s="27">
        <f>IF(설정!$D$20="",0,IFERROR(VALUE(SUBSTITUTE(SUBSTITUTE(INDEX(급여대장_원본!$A$1:$AZ$400,(설정!$B$8+168),설정!$D$20)&amp;"",",",""),"　","")),0))</f>
        <v/>
      </c>
      <c r="J174" s="27">
        <f>IF(설정!$D$21="",0,IFERROR(VALUE(SUBSTITUTE(SUBSTITUTE(INDEX(급여대장_원본!$A$1:$AZ$400,(설정!$B$8+168),설정!$D$21)&amp;"",",",""),"　","")),0))</f>
        <v/>
      </c>
      <c r="K174" s="27">
        <f>IF(설정!$D$22="",0,IFERROR(VALUE(SUBSTITUTE(SUBSTITUTE(INDEX(급여대장_원본!$A$1:$AZ$400,(설정!$B$8+168),설정!$D$22)&amp;"",",",""),"　","")),0))</f>
        <v/>
      </c>
      <c r="L174" s="27">
        <f>IF(설정!$D$23="",0,IFERROR(VALUE(SUBSTITUTE(SUBSTITUTE(INDEX(급여대장_원본!$A$1:$AZ$400,(설정!$B$8+168),설정!$D$23)&amp;"",",",""),"　","")),0))</f>
        <v/>
      </c>
      <c r="M174" s="27">
        <f>IF(설정!$D$24="",0,IFERROR(VALUE(SUBSTITUTE(SUBSTITUTE(INDEX(급여대장_원본!$A$1:$AZ$400,(설정!$B$8+168),설정!$D$24)&amp;"",",",""),"　","")),0))</f>
        <v/>
      </c>
      <c r="N174" s="2">
        <f>IF(OR(설정!$C$17="",IFERROR(MATCH(설정!$C$17,INDEX(급여대장_원본!$A$1:$AZ$400,설정!$B$8,0),0),"")=""),"",IFERROR(VALUE(SUBSTITUTE(INDEX(급여대장_원본!$A$1:$AZ$400,(설정!$B$8+168),IFERROR(MATCH(설정!$C$17,INDEX(급여대장_원본!$A$1:$AZ$400,설정!$B$8,0),0),""))&amp;"",",","")),""))</f>
        <v/>
      </c>
      <c r="O174" s="2">
        <f>IF(OR(설정!$C$18="",IFERROR(MATCH(설정!$C$18,INDEX(급여대장_원본!$A$1:$AZ$400,설정!$B$8,0),0),"")=""),"",IFERROR(VALUE(SUBSTITUTE(INDEX(급여대장_원본!$A$1:$AZ$400,(설정!$B$8+168),IFERROR(MATCH(설정!$C$18,INDEX(급여대장_원본!$A$1:$AZ$400,설정!$B$8,0),0),""))&amp;"",",","")),""))</f>
        <v/>
      </c>
      <c r="P174" s="2">
        <f>IF(OR(설정!$C$19="",IFERROR(MATCH(설정!$C$19,INDEX(급여대장_원본!$A$1:$AZ$400,설정!$B$8,0),0),"")=""),"",IFERROR(VALUE(SUBSTITUTE(INDEX(급여대장_원본!$A$1:$AZ$400,(설정!$B$8+168),IFERROR(MATCH(설정!$C$19,INDEX(급여대장_원본!$A$1:$AZ$400,설정!$B$8,0),0),""))&amp;"",",","")),""))</f>
        <v/>
      </c>
      <c r="Q174" s="2">
        <f>IF(OR(설정!$C$20="",IFERROR(MATCH(설정!$C$20,INDEX(급여대장_원본!$A$1:$AZ$400,설정!$B$8,0),0),"")=""),"",IFERROR(VALUE(SUBSTITUTE(INDEX(급여대장_원본!$A$1:$AZ$400,(설정!$B$8+168),IFERROR(MATCH(설정!$C$20,INDEX(급여대장_원본!$A$1:$AZ$400,설정!$B$8,0),0),""))&amp;"",",","")),""))</f>
        <v/>
      </c>
      <c r="R174" s="2">
        <f>IF(OR(설정!$C$21="",IFERROR(MATCH(설정!$C$21,INDEX(급여대장_원본!$A$1:$AZ$400,설정!$B$8,0),0),"")=""),"",IFERROR(VALUE(SUBSTITUTE(INDEX(급여대장_원본!$A$1:$AZ$400,(설정!$B$8+168),IFERROR(MATCH(설정!$C$21,INDEX(급여대장_원본!$A$1:$AZ$400,설정!$B$8,0),0),""))&amp;"",",","")),""))</f>
        <v/>
      </c>
      <c r="S174" s="2">
        <f>IF(OR(설정!$C$22="",IFERROR(MATCH(설정!$C$22,INDEX(급여대장_원본!$A$1:$AZ$400,설정!$B$8,0),0),"")=""),"",IFERROR(VALUE(SUBSTITUTE(INDEX(급여대장_원본!$A$1:$AZ$400,(설정!$B$8+168),IFERROR(MATCH(설정!$C$22,INDEX(급여대장_원본!$A$1:$AZ$400,설정!$B$8,0),0),""))&amp;"",",","")),""))</f>
        <v/>
      </c>
      <c r="T174" s="2">
        <f>IF(OR(설정!$C$23="",IFERROR(MATCH(설정!$C$23,INDEX(급여대장_원본!$A$1:$AZ$400,설정!$B$8,0),0),"")=""),"",IFERROR(VALUE(SUBSTITUTE(INDEX(급여대장_원본!$A$1:$AZ$400,(설정!$B$8+168),IFERROR(MATCH(설정!$C$23,INDEX(급여대장_원본!$A$1:$AZ$400,설정!$B$8,0),0),""))&amp;"",",","")),""))</f>
        <v/>
      </c>
      <c r="U174" s="2">
        <f>IF(OR(설정!$C$24="",IFERROR(MATCH(설정!$C$24,INDEX(급여대장_원본!$A$1:$AZ$400,설정!$B$8,0),0),"")=""),"",IFERROR(VALUE(SUBSTITUTE(INDEX(급여대장_원본!$A$1:$AZ$400,(설정!$B$8+168),IFERROR(MATCH(설정!$C$24,INDEX(급여대장_원본!$A$1:$AZ$400,설정!$B$8,0),0),""))&amp;"",",","")),""))</f>
        <v/>
      </c>
      <c r="V174" s="27">
        <f>SUM(F174:M174)</f>
        <v/>
      </c>
      <c r="W174" s="27">
        <f>IF(설정!$D$26="",0,IFERROR(VALUE(SUBSTITUTE(SUBSTITUTE(INDEX(급여대장_원본!$A$1:$AZ$400,(설정!$B$8+168),설정!$D$26)&amp;"",",",""),"　","")),0))</f>
        <v/>
      </c>
      <c r="X174" s="27">
        <f>IF(설정!$D$27="",0,IFERROR(VALUE(SUBSTITUTE(SUBSTITUTE(INDEX(급여대장_원본!$A$1:$AZ$400,(설정!$B$8+168),설정!$D$27)&amp;"",",",""),"　","")),0))</f>
        <v/>
      </c>
      <c r="Y174" s="27">
        <f>IF(설정!$D$28="",0,IFERROR(VALUE(SUBSTITUTE(SUBSTITUTE(INDEX(급여대장_원본!$A$1:$AZ$400,(설정!$B$8+168),설정!$D$28)&amp;"",",",""),"　","")),0))</f>
        <v/>
      </c>
      <c r="Z174" s="27">
        <f>IF(설정!$D$29="",0,IFERROR(VALUE(SUBSTITUTE(SUBSTITUTE(INDEX(급여대장_원본!$A$1:$AZ$400,(설정!$B$8+168),설정!$D$29)&amp;"",",",""),"　","")),0))</f>
        <v/>
      </c>
      <c r="AA174" s="27">
        <f>IF(설정!$D$30="",0,IFERROR(VALUE(SUBSTITUTE(SUBSTITUTE(INDEX(급여대장_원본!$A$1:$AZ$400,(설정!$B$8+168),설정!$D$30)&amp;"",",",""),"　","")),0))</f>
        <v/>
      </c>
      <c r="AB174" s="27">
        <f>IF(설정!$D$31="",0,IFERROR(VALUE(SUBSTITUTE(SUBSTITUTE(INDEX(급여대장_원본!$A$1:$AZ$400,(설정!$B$8+168),설정!$D$31)&amp;"",",",""),"　","")),0))</f>
        <v/>
      </c>
      <c r="AC174" s="27">
        <f>IF(설정!$D$32="",0,IFERROR(VALUE(SUBSTITUTE(SUBSTITUTE(INDEX(급여대장_원본!$A$1:$AZ$400,(설정!$B$8+168),설정!$D$32)&amp;"",",",""),"　","")),0))</f>
        <v/>
      </c>
      <c r="AD174" s="27">
        <f>IF(설정!$D$33="",0,IFERROR(VALUE(SUBSTITUTE(SUBSTITUTE(INDEX(급여대장_원본!$A$1:$AZ$400,(설정!$B$8+168),설정!$D$33)&amp;"",",",""),"　","")),0))</f>
        <v/>
      </c>
      <c r="AE174" s="27">
        <f>SUM(W174:AD174)</f>
        <v/>
      </c>
      <c r="AF174" s="27">
        <f>V174-AE174</f>
        <v/>
      </c>
      <c r="AG174" s="27">
        <f>IF(설정!$D$35="","",IF(설정!$D$35="",0,IFERROR(VALUE(SUBSTITUTE(SUBSTITUTE(INDEX(급여대장_원본!$A$1:$AZ$400,(설정!$B$8+168),설정!$D$35)&amp;"",",",""),"　","")),0)))</f>
        <v/>
      </c>
      <c r="AH174" s="27">
        <f>IF(설정!$D$36="","",IF(설정!$D$36="",0,IFERROR(VALUE(SUBSTITUTE(SUBSTITUTE(INDEX(급여대장_원본!$A$1:$AZ$400,(설정!$B$8+168),설정!$D$36)&amp;"",",",""),"　","")),0)))</f>
        <v/>
      </c>
      <c r="AI174" s="27">
        <f>IF(설정!$D$37="","",IF(설정!$D$37="",0,IFERROR(VALUE(SUBSTITUTE(SUBSTITUTE(INDEX(급여대장_원본!$A$1:$AZ$400,(설정!$B$8+168),설정!$D$37)&amp;"",",",""),"　","")),0)))</f>
        <v/>
      </c>
      <c r="AJ174" s="2">
        <f>IFERROR(INDEX($D$7:$D$306,MATCH(168,$B$7:$B$306,0)),"")</f>
        <v/>
      </c>
    </row>
    <row r="175">
      <c r="A175" s="2">
        <f>IF(AND(D175&lt;&gt;"",D175&lt;&gt;"합계",D175&lt;&gt;"총계",D175&lt;&gt;"소계",D175&lt;&gt;"계"),1,0)</f>
        <v/>
      </c>
      <c r="B175" s="2">
        <f>IF(A175=1,SUM($A$7:A175),"")</f>
        <v/>
      </c>
      <c r="C175" s="2">
        <f>IF(설정!$D$13="","",TRIM(SUBSTITUTE(INDEX(급여대장_원본!$A$1:$AZ$400,(설정!$B$8+169),설정!$D$13)&amp;"","　"," ")))</f>
        <v/>
      </c>
      <c r="D175" s="2">
        <f>IF(설정!$D$14="","",TRIM(SUBSTITUTE(INDEX(급여대장_원본!$A$1:$AZ$400,(설정!$B$8+169),설정!$D$14)&amp;"","　"," ")))</f>
        <v/>
      </c>
      <c r="E175" s="2">
        <f>IF(설정!$D$15="","",TRIM(SUBSTITUTE(INDEX(급여대장_원본!$A$1:$AZ$400,(설정!$B$8+169),설정!$D$15)&amp;"","　"," ")))</f>
        <v/>
      </c>
      <c r="F175" s="27">
        <f>IF(설정!$D$17="",0,IFERROR(VALUE(SUBSTITUTE(SUBSTITUTE(INDEX(급여대장_원본!$A$1:$AZ$400,(설정!$B$8+169),설정!$D$17)&amp;"",",",""),"　","")),0))</f>
        <v/>
      </c>
      <c r="G175" s="27">
        <f>IF(설정!$D$18="",0,IFERROR(VALUE(SUBSTITUTE(SUBSTITUTE(INDEX(급여대장_원본!$A$1:$AZ$400,(설정!$B$8+169),설정!$D$18)&amp;"",",",""),"　","")),0))</f>
        <v/>
      </c>
      <c r="H175" s="27">
        <f>IF(설정!$D$19="",0,IFERROR(VALUE(SUBSTITUTE(SUBSTITUTE(INDEX(급여대장_원본!$A$1:$AZ$400,(설정!$B$8+169),설정!$D$19)&amp;"",",",""),"　","")),0))</f>
        <v/>
      </c>
      <c r="I175" s="27">
        <f>IF(설정!$D$20="",0,IFERROR(VALUE(SUBSTITUTE(SUBSTITUTE(INDEX(급여대장_원본!$A$1:$AZ$400,(설정!$B$8+169),설정!$D$20)&amp;"",",",""),"　","")),0))</f>
        <v/>
      </c>
      <c r="J175" s="27">
        <f>IF(설정!$D$21="",0,IFERROR(VALUE(SUBSTITUTE(SUBSTITUTE(INDEX(급여대장_원본!$A$1:$AZ$400,(설정!$B$8+169),설정!$D$21)&amp;"",",",""),"　","")),0))</f>
        <v/>
      </c>
      <c r="K175" s="27">
        <f>IF(설정!$D$22="",0,IFERROR(VALUE(SUBSTITUTE(SUBSTITUTE(INDEX(급여대장_원본!$A$1:$AZ$400,(설정!$B$8+169),설정!$D$22)&amp;"",",",""),"　","")),0))</f>
        <v/>
      </c>
      <c r="L175" s="27">
        <f>IF(설정!$D$23="",0,IFERROR(VALUE(SUBSTITUTE(SUBSTITUTE(INDEX(급여대장_원본!$A$1:$AZ$400,(설정!$B$8+169),설정!$D$23)&amp;"",",",""),"　","")),0))</f>
        <v/>
      </c>
      <c r="M175" s="27">
        <f>IF(설정!$D$24="",0,IFERROR(VALUE(SUBSTITUTE(SUBSTITUTE(INDEX(급여대장_원본!$A$1:$AZ$400,(설정!$B$8+169),설정!$D$24)&amp;"",",",""),"　","")),0))</f>
        <v/>
      </c>
      <c r="N175" s="2">
        <f>IF(OR(설정!$C$17="",IFERROR(MATCH(설정!$C$17,INDEX(급여대장_원본!$A$1:$AZ$400,설정!$B$8,0),0),"")=""),"",IFERROR(VALUE(SUBSTITUTE(INDEX(급여대장_원본!$A$1:$AZ$400,(설정!$B$8+169),IFERROR(MATCH(설정!$C$17,INDEX(급여대장_원본!$A$1:$AZ$400,설정!$B$8,0),0),""))&amp;"",",","")),""))</f>
        <v/>
      </c>
      <c r="O175" s="2">
        <f>IF(OR(설정!$C$18="",IFERROR(MATCH(설정!$C$18,INDEX(급여대장_원본!$A$1:$AZ$400,설정!$B$8,0),0),"")=""),"",IFERROR(VALUE(SUBSTITUTE(INDEX(급여대장_원본!$A$1:$AZ$400,(설정!$B$8+169),IFERROR(MATCH(설정!$C$18,INDEX(급여대장_원본!$A$1:$AZ$400,설정!$B$8,0),0),""))&amp;"",",","")),""))</f>
        <v/>
      </c>
      <c r="P175" s="2">
        <f>IF(OR(설정!$C$19="",IFERROR(MATCH(설정!$C$19,INDEX(급여대장_원본!$A$1:$AZ$400,설정!$B$8,0),0),"")=""),"",IFERROR(VALUE(SUBSTITUTE(INDEX(급여대장_원본!$A$1:$AZ$400,(설정!$B$8+169),IFERROR(MATCH(설정!$C$19,INDEX(급여대장_원본!$A$1:$AZ$400,설정!$B$8,0),0),""))&amp;"",",","")),""))</f>
        <v/>
      </c>
      <c r="Q175" s="2">
        <f>IF(OR(설정!$C$20="",IFERROR(MATCH(설정!$C$20,INDEX(급여대장_원본!$A$1:$AZ$400,설정!$B$8,0),0),"")=""),"",IFERROR(VALUE(SUBSTITUTE(INDEX(급여대장_원본!$A$1:$AZ$400,(설정!$B$8+169),IFERROR(MATCH(설정!$C$20,INDEX(급여대장_원본!$A$1:$AZ$400,설정!$B$8,0),0),""))&amp;"",",","")),""))</f>
        <v/>
      </c>
      <c r="R175" s="2">
        <f>IF(OR(설정!$C$21="",IFERROR(MATCH(설정!$C$21,INDEX(급여대장_원본!$A$1:$AZ$400,설정!$B$8,0),0),"")=""),"",IFERROR(VALUE(SUBSTITUTE(INDEX(급여대장_원본!$A$1:$AZ$400,(설정!$B$8+169),IFERROR(MATCH(설정!$C$21,INDEX(급여대장_원본!$A$1:$AZ$400,설정!$B$8,0),0),""))&amp;"",",","")),""))</f>
        <v/>
      </c>
      <c r="S175" s="2">
        <f>IF(OR(설정!$C$22="",IFERROR(MATCH(설정!$C$22,INDEX(급여대장_원본!$A$1:$AZ$400,설정!$B$8,0),0),"")=""),"",IFERROR(VALUE(SUBSTITUTE(INDEX(급여대장_원본!$A$1:$AZ$400,(설정!$B$8+169),IFERROR(MATCH(설정!$C$22,INDEX(급여대장_원본!$A$1:$AZ$400,설정!$B$8,0),0),""))&amp;"",",","")),""))</f>
        <v/>
      </c>
      <c r="T175" s="2">
        <f>IF(OR(설정!$C$23="",IFERROR(MATCH(설정!$C$23,INDEX(급여대장_원본!$A$1:$AZ$400,설정!$B$8,0),0),"")=""),"",IFERROR(VALUE(SUBSTITUTE(INDEX(급여대장_원본!$A$1:$AZ$400,(설정!$B$8+169),IFERROR(MATCH(설정!$C$23,INDEX(급여대장_원본!$A$1:$AZ$400,설정!$B$8,0),0),""))&amp;"",",","")),""))</f>
        <v/>
      </c>
      <c r="U175" s="2">
        <f>IF(OR(설정!$C$24="",IFERROR(MATCH(설정!$C$24,INDEX(급여대장_원본!$A$1:$AZ$400,설정!$B$8,0),0),"")=""),"",IFERROR(VALUE(SUBSTITUTE(INDEX(급여대장_원본!$A$1:$AZ$400,(설정!$B$8+169),IFERROR(MATCH(설정!$C$24,INDEX(급여대장_원본!$A$1:$AZ$400,설정!$B$8,0),0),""))&amp;"",",","")),""))</f>
        <v/>
      </c>
      <c r="V175" s="27">
        <f>SUM(F175:M175)</f>
        <v/>
      </c>
      <c r="W175" s="27">
        <f>IF(설정!$D$26="",0,IFERROR(VALUE(SUBSTITUTE(SUBSTITUTE(INDEX(급여대장_원본!$A$1:$AZ$400,(설정!$B$8+169),설정!$D$26)&amp;"",",",""),"　","")),0))</f>
        <v/>
      </c>
      <c r="X175" s="27">
        <f>IF(설정!$D$27="",0,IFERROR(VALUE(SUBSTITUTE(SUBSTITUTE(INDEX(급여대장_원본!$A$1:$AZ$400,(설정!$B$8+169),설정!$D$27)&amp;"",",",""),"　","")),0))</f>
        <v/>
      </c>
      <c r="Y175" s="27">
        <f>IF(설정!$D$28="",0,IFERROR(VALUE(SUBSTITUTE(SUBSTITUTE(INDEX(급여대장_원본!$A$1:$AZ$400,(설정!$B$8+169),설정!$D$28)&amp;"",",",""),"　","")),0))</f>
        <v/>
      </c>
      <c r="Z175" s="27">
        <f>IF(설정!$D$29="",0,IFERROR(VALUE(SUBSTITUTE(SUBSTITUTE(INDEX(급여대장_원본!$A$1:$AZ$400,(설정!$B$8+169),설정!$D$29)&amp;"",",",""),"　","")),0))</f>
        <v/>
      </c>
      <c r="AA175" s="27">
        <f>IF(설정!$D$30="",0,IFERROR(VALUE(SUBSTITUTE(SUBSTITUTE(INDEX(급여대장_원본!$A$1:$AZ$400,(설정!$B$8+169),설정!$D$30)&amp;"",",",""),"　","")),0))</f>
        <v/>
      </c>
      <c r="AB175" s="27">
        <f>IF(설정!$D$31="",0,IFERROR(VALUE(SUBSTITUTE(SUBSTITUTE(INDEX(급여대장_원본!$A$1:$AZ$400,(설정!$B$8+169),설정!$D$31)&amp;"",",",""),"　","")),0))</f>
        <v/>
      </c>
      <c r="AC175" s="27">
        <f>IF(설정!$D$32="",0,IFERROR(VALUE(SUBSTITUTE(SUBSTITUTE(INDEX(급여대장_원본!$A$1:$AZ$400,(설정!$B$8+169),설정!$D$32)&amp;"",",",""),"　","")),0))</f>
        <v/>
      </c>
      <c r="AD175" s="27">
        <f>IF(설정!$D$33="",0,IFERROR(VALUE(SUBSTITUTE(SUBSTITUTE(INDEX(급여대장_원본!$A$1:$AZ$400,(설정!$B$8+169),설정!$D$33)&amp;"",",",""),"　","")),0))</f>
        <v/>
      </c>
      <c r="AE175" s="27">
        <f>SUM(W175:AD175)</f>
        <v/>
      </c>
      <c r="AF175" s="27">
        <f>V175-AE175</f>
        <v/>
      </c>
      <c r="AG175" s="27">
        <f>IF(설정!$D$35="","",IF(설정!$D$35="",0,IFERROR(VALUE(SUBSTITUTE(SUBSTITUTE(INDEX(급여대장_원본!$A$1:$AZ$400,(설정!$B$8+169),설정!$D$35)&amp;"",",",""),"　","")),0)))</f>
        <v/>
      </c>
      <c r="AH175" s="27">
        <f>IF(설정!$D$36="","",IF(설정!$D$36="",0,IFERROR(VALUE(SUBSTITUTE(SUBSTITUTE(INDEX(급여대장_원본!$A$1:$AZ$400,(설정!$B$8+169),설정!$D$36)&amp;"",",",""),"　","")),0)))</f>
        <v/>
      </c>
      <c r="AI175" s="27">
        <f>IF(설정!$D$37="","",IF(설정!$D$37="",0,IFERROR(VALUE(SUBSTITUTE(SUBSTITUTE(INDEX(급여대장_원본!$A$1:$AZ$400,(설정!$B$8+169),설정!$D$37)&amp;"",",",""),"　","")),0)))</f>
        <v/>
      </c>
      <c r="AJ175" s="2">
        <f>IFERROR(INDEX($D$7:$D$306,MATCH(169,$B$7:$B$306,0)),"")</f>
        <v/>
      </c>
    </row>
    <row r="176">
      <c r="A176" s="2">
        <f>IF(AND(D176&lt;&gt;"",D176&lt;&gt;"합계",D176&lt;&gt;"총계",D176&lt;&gt;"소계",D176&lt;&gt;"계"),1,0)</f>
        <v/>
      </c>
      <c r="B176" s="2">
        <f>IF(A176=1,SUM($A$7:A176),"")</f>
        <v/>
      </c>
      <c r="C176" s="2">
        <f>IF(설정!$D$13="","",TRIM(SUBSTITUTE(INDEX(급여대장_원본!$A$1:$AZ$400,(설정!$B$8+170),설정!$D$13)&amp;"","　"," ")))</f>
        <v/>
      </c>
      <c r="D176" s="2">
        <f>IF(설정!$D$14="","",TRIM(SUBSTITUTE(INDEX(급여대장_원본!$A$1:$AZ$400,(설정!$B$8+170),설정!$D$14)&amp;"","　"," ")))</f>
        <v/>
      </c>
      <c r="E176" s="2">
        <f>IF(설정!$D$15="","",TRIM(SUBSTITUTE(INDEX(급여대장_원본!$A$1:$AZ$400,(설정!$B$8+170),설정!$D$15)&amp;"","　"," ")))</f>
        <v/>
      </c>
      <c r="F176" s="27">
        <f>IF(설정!$D$17="",0,IFERROR(VALUE(SUBSTITUTE(SUBSTITUTE(INDEX(급여대장_원본!$A$1:$AZ$400,(설정!$B$8+170),설정!$D$17)&amp;"",",",""),"　","")),0))</f>
        <v/>
      </c>
      <c r="G176" s="27">
        <f>IF(설정!$D$18="",0,IFERROR(VALUE(SUBSTITUTE(SUBSTITUTE(INDEX(급여대장_원본!$A$1:$AZ$400,(설정!$B$8+170),설정!$D$18)&amp;"",",",""),"　","")),0))</f>
        <v/>
      </c>
      <c r="H176" s="27">
        <f>IF(설정!$D$19="",0,IFERROR(VALUE(SUBSTITUTE(SUBSTITUTE(INDEX(급여대장_원본!$A$1:$AZ$400,(설정!$B$8+170),설정!$D$19)&amp;"",",",""),"　","")),0))</f>
        <v/>
      </c>
      <c r="I176" s="27">
        <f>IF(설정!$D$20="",0,IFERROR(VALUE(SUBSTITUTE(SUBSTITUTE(INDEX(급여대장_원본!$A$1:$AZ$400,(설정!$B$8+170),설정!$D$20)&amp;"",",",""),"　","")),0))</f>
        <v/>
      </c>
      <c r="J176" s="27">
        <f>IF(설정!$D$21="",0,IFERROR(VALUE(SUBSTITUTE(SUBSTITUTE(INDEX(급여대장_원본!$A$1:$AZ$400,(설정!$B$8+170),설정!$D$21)&amp;"",",",""),"　","")),0))</f>
        <v/>
      </c>
      <c r="K176" s="27">
        <f>IF(설정!$D$22="",0,IFERROR(VALUE(SUBSTITUTE(SUBSTITUTE(INDEX(급여대장_원본!$A$1:$AZ$400,(설정!$B$8+170),설정!$D$22)&amp;"",",",""),"　","")),0))</f>
        <v/>
      </c>
      <c r="L176" s="27">
        <f>IF(설정!$D$23="",0,IFERROR(VALUE(SUBSTITUTE(SUBSTITUTE(INDEX(급여대장_원본!$A$1:$AZ$400,(설정!$B$8+170),설정!$D$23)&amp;"",",",""),"　","")),0))</f>
        <v/>
      </c>
      <c r="M176" s="27">
        <f>IF(설정!$D$24="",0,IFERROR(VALUE(SUBSTITUTE(SUBSTITUTE(INDEX(급여대장_원본!$A$1:$AZ$400,(설정!$B$8+170),설정!$D$24)&amp;"",",",""),"　","")),0))</f>
        <v/>
      </c>
      <c r="N176" s="2">
        <f>IF(OR(설정!$C$17="",IFERROR(MATCH(설정!$C$17,INDEX(급여대장_원본!$A$1:$AZ$400,설정!$B$8,0),0),"")=""),"",IFERROR(VALUE(SUBSTITUTE(INDEX(급여대장_원본!$A$1:$AZ$400,(설정!$B$8+170),IFERROR(MATCH(설정!$C$17,INDEX(급여대장_원본!$A$1:$AZ$400,설정!$B$8,0),0),""))&amp;"",",","")),""))</f>
        <v/>
      </c>
      <c r="O176" s="2">
        <f>IF(OR(설정!$C$18="",IFERROR(MATCH(설정!$C$18,INDEX(급여대장_원본!$A$1:$AZ$400,설정!$B$8,0),0),"")=""),"",IFERROR(VALUE(SUBSTITUTE(INDEX(급여대장_원본!$A$1:$AZ$400,(설정!$B$8+170),IFERROR(MATCH(설정!$C$18,INDEX(급여대장_원본!$A$1:$AZ$400,설정!$B$8,0),0),""))&amp;"",",","")),""))</f>
        <v/>
      </c>
      <c r="P176" s="2">
        <f>IF(OR(설정!$C$19="",IFERROR(MATCH(설정!$C$19,INDEX(급여대장_원본!$A$1:$AZ$400,설정!$B$8,0),0),"")=""),"",IFERROR(VALUE(SUBSTITUTE(INDEX(급여대장_원본!$A$1:$AZ$400,(설정!$B$8+170),IFERROR(MATCH(설정!$C$19,INDEX(급여대장_원본!$A$1:$AZ$400,설정!$B$8,0),0),""))&amp;"",",","")),""))</f>
        <v/>
      </c>
      <c r="Q176" s="2">
        <f>IF(OR(설정!$C$20="",IFERROR(MATCH(설정!$C$20,INDEX(급여대장_원본!$A$1:$AZ$400,설정!$B$8,0),0),"")=""),"",IFERROR(VALUE(SUBSTITUTE(INDEX(급여대장_원본!$A$1:$AZ$400,(설정!$B$8+170),IFERROR(MATCH(설정!$C$20,INDEX(급여대장_원본!$A$1:$AZ$400,설정!$B$8,0),0),""))&amp;"",",","")),""))</f>
        <v/>
      </c>
      <c r="R176" s="2">
        <f>IF(OR(설정!$C$21="",IFERROR(MATCH(설정!$C$21,INDEX(급여대장_원본!$A$1:$AZ$400,설정!$B$8,0),0),"")=""),"",IFERROR(VALUE(SUBSTITUTE(INDEX(급여대장_원본!$A$1:$AZ$400,(설정!$B$8+170),IFERROR(MATCH(설정!$C$21,INDEX(급여대장_원본!$A$1:$AZ$400,설정!$B$8,0),0),""))&amp;"",",","")),""))</f>
        <v/>
      </c>
      <c r="S176" s="2">
        <f>IF(OR(설정!$C$22="",IFERROR(MATCH(설정!$C$22,INDEX(급여대장_원본!$A$1:$AZ$400,설정!$B$8,0),0),"")=""),"",IFERROR(VALUE(SUBSTITUTE(INDEX(급여대장_원본!$A$1:$AZ$400,(설정!$B$8+170),IFERROR(MATCH(설정!$C$22,INDEX(급여대장_원본!$A$1:$AZ$400,설정!$B$8,0),0),""))&amp;"",",","")),""))</f>
        <v/>
      </c>
      <c r="T176" s="2">
        <f>IF(OR(설정!$C$23="",IFERROR(MATCH(설정!$C$23,INDEX(급여대장_원본!$A$1:$AZ$400,설정!$B$8,0),0),"")=""),"",IFERROR(VALUE(SUBSTITUTE(INDEX(급여대장_원본!$A$1:$AZ$400,(설정!$B$8+170),IFERROR(MATCH(설정!$C$23,INDEX(급여대장_원본!$A$1:$AZ$400,설정!$B$8,0),0),""))&amp;"",",","")),""))</f>
        <v/>
      </c>
      <c r="U176" s="2">
        <f>IF(OR(설정!$C$24="",IFERROR(MATCH(설정!$C$24,INDEX(급여대장_원본!$A$1:$AZ$400,설정!$B$8,0),0),"")=""),"",IFERROR(VALUE(SUBSTITUTE(INDEX(급여대장_원본!$A$1:$AZ$400,(설정!$B$8+170),IFERROR(MATCH(설정!$C$24,INDEX(급여대장_원본!$A$1:$AZ$400,설정!$B$8,0),0),""))&amp;"",",","")),""))</f>
        <v/>
      </c>
      <c r="V176" s="27">
        <f>SUM(F176:M176)</f>
        <v/>
      </c>
      <c r="W176" s="27">
        <f>IF(설정!$D$26="",0,IFERROR(VALUE(SUBSTITUTE(SUBSTITUTE(INDEX(급여대장_원본!$A$1:$AZ$400,(설정!$B$8+170),설정!$D$26)&amp;"",",",""),"　","")),0))</f>
        <v/>
      </c>
      <c r="X176" s="27">
        <f>IF(설정!$D$27="",0,IFERROR(VALUE(SUBSTITUTE(SUBSTITUTE(INDEX(급여대장_원본!$A$1:$AZ$400,(설정!$B$8+170),설정!$D$27)&amp;"",",",""),"　","")),0))</f>
        <v/>
      </c>
      <c r="Y176" s="27">
        <f>IF(설정!$D$28="",0,IFERROR(VALUE(SUBSTITUTE(SUBSTITUTE(INDEX(급여대장_원본!$A$1:$AZ$400,(설정!$B$8+170),설정!$D$28)&amp;"",",",""),"　","")),0))</f>
        <v/>
      </c>
      <c r="Z176" s="27">
        <f>IF(설정!$D$29="",0,IFERROR(VALUE(SUBSTITUTE(SUBSTITUTE(INDEX(급여대장_원본!$A$1:$AZ$400,(설정!$B$8+170),설정!$D$29)&amp;"",",",""),"　","")),0))</f>
        <v/>
      </c>
      <c r="AA176" s="27">
        <f>IF(설정!$D$30="",0,IFERROR(VALUE(SUBSTITUTE(SUBSTITUTE(INDEX(급여대장_원본!$A$1:$AZ$400,(설정!$B$8+170),설정!$D$30)&amp;"",",",""),"　","")),0))</f>
        <v/>
      </c>
      <c r="AB176" s="27">
        <f>IF(설정!$D$31="",0,IFERROR(VALUE(SUBSTITUTE(SUBSTITUTE(INDEX(급여대장_원본!$A$1:$AZ$400,(설정!$B$8+170),설정!$D$31)&amp;"",",",""),"　","")),0))</f>
        <v/>
      </c>
      <c r="AC176" s="27">
        <f>IF(설정!$D$32="",0,IFERROR(VALUE(SUBSTITUTE(SUBSTITUTE(INDEX(급여대장_원본!$A$1:$AZ$400,(설정!$B$8+170),설정!$D$32)&amp;"",",",""),"　","")),0))</f>
        <v/>
      </c>
      <c r="AD176" s="27">
        <f>IF(설정!$D$33="",0,IFERROR(VALUE(SUBSTITUTE(SUBSTITUTE(INDEX(급여대장_원본!$A$1:$AZ$400,(설정!$B$8+170),설정!$D$33)&amp;"",",",""),"　","")),0))</f>
        <v/>
      </c>
      <c r="AE176" s="27">
        <f>SUM(W176:AD176)</f>
        <v/>
      </c>
      <c r="AF176" s="27">
        <f>V176-AE176</f>
        <v/>
      </c>
      <c r="AG176" s="27">
        <f>IF(설정!$D$35="","",IF(설정!$D$35="",0,IFERROR(VALUE(SUBSTITUTE(SUBSTITUTE(INDEX(급여대장_원본!$A$1:$AZ$400,(설정!$B$8+170),설정!$D$35)&amp;"",",",""),"　","")),0)))</f>
        <v/>
      </c>
      <c r="AH176" s="27">
        <f>IF(설정!$D$36="","",IF(설정!$D$36="",0,IFERROR(VALUE(SUBSTITUTE(SUBSTITUTE(INDEX(급여대장_원본!$A$1:$AZ$400,(설정!$B$8+170),설정!$D$36)&amp;"",",",""),"　","")),0)))</f>
        <v/>
      </c>
      <c r="AI176" s="27">
        <f>IF(설정!$D$37="","",IF(설정!$D$37="",0,IFERROR(VALUE(SUBSTITUTE(SUBSTITUTE(INDEX(급여대장_원본!$A$1:$AZ$400,(설정!$B$8+170),설정!$D$37)&amp;"",",",""),"　","")),0)))</f>
        <v/>
      </c>
      <c r="AJ176" s="2">
        <f>IFERROR(INDEX($D$7:$D$306,MATCH(170,$B$7:$B$306,0)),"")</f>
        <v/>
      </c>
    </row>
    <row r="177">
      <c r="A177" s="2">
        <f>IF(AND(D177&lt;&gt;"",D177&lt;&gt;"합계",D177&lt;&gt;"총계",D177&lt;&gt;"소계",D177&lt;&gt;"계"),1,0)</f>
        <v/>
      </c>
      <c r="B177" s="2">
        <f>IF(A177=1,SUM($A$7:A177),"")</f>
        <v/>
      </c>
      <c r="C177" s="2">
        <f>IF(설정!$D$13="","",TRIM(SUBSTITUTE(INDEX(급여대장_원본!$A$1:$AZ$400,(설정!$B$8+171),설정!$D$13)&amp;"","　"," ")))</f>
        <v/>
      </c>
      <c r="D177" s="2">
        <f>IF(설정!$D$14="","",TRIM(SUBSTITUTE(INDEX(급여대장_원본!$A$1:$AZ$400,(설정!$B$8+171),설정!$D$14)&amp;"","　"," ")))</f>
        <v/>
      </c>
      <c r="E177" s="2">
        <f>IF(설정!$D$15="","",TRIM(SUBSTITUTE(INDEX(급여대장_원본!$A$1:$AZ$400,(설정!$B$8+171),설정!$D$15)&amp;"","　"," ")))</f>
        <v/>
      </c>
      <c r="F177" s="27">
        <f>IF(설정!$D$17="",0,IFERROR(VALUE(SUBSTITUTE(SUBSTITUTE(INDEX(급여대장_원본!$A$1:$AZ$400,(설정!$B$8+171),설정!$D$17)&amp;"",",",""),"　","")),0))</f>
        <v/>
      </c>
      <c r="G177" s="27">
        <f>IF(설정!$D$18="",0,IFERROR(VALUE(SUBSTITUTE(SUBSTITUTE(INDEX(급여대장_원본!$A$1:$AZ$400,(설정!$B$8+171),설정!$D$18)&amp;"",",",""),"　","")),0))</f>
        <v/>
      </c>
      <c r="H177" s="27">
        <f>IF(설정!$D$19="",0,IFERROR(VALUE(SUBSTITUTE(SUBSTITUTE(INDEX(급여대장_원본!$A$1:$AZ$400,(설정!$B$8+171),설정!$D$19)&amp;"",",",""),"　","")),0))</f>
        <v/>
      </c>
      <c r="I177" s="27">
        <f>IF(설정!$D$20="",0,IFERROR(VALUE(SUBSTITUTE(SUBSTITUTE(INDEX(급여대장_원본!$A$1:$AZ$400,(설정!$B$8+171),설정!$D$20)&amp;"",",",""),"　","")),0))</f>
        <v/>
      </c>
      <c r="J177" s="27">
        <f>IF(설정!$D$21="",0,IFERROR(VALUE(SUBSTITUTE(SUBSTITUTE(INDEX(급여대장_원본!$A$1:$AZ$400,(설정!$B$8+171),설정!$D$21)&amp;"",",",""),"　","")),0))</f>
        <v/>
      </c>
      <c r="K177" s="27">
        <f>IF(설정!$D$22="",0,IFERROR(VALUE(SUBSTITUTE(SUBSTITUTE(INDEX(급여대장_원본!$A$1:$AZ$400,(설정!$B$8+171),설정!$D$22)&amp;"",",",""),"　","")),0))</f>
        <v/>
      </c>
      <c r="L177" s="27">
        <f>IF(설정!$D$23="",0,IFERROR(VALUE(SUBSTITUTE(SUBSTITUTE(INDEX(급여대장_원본!$A$1:$AZ$400,(설정!$B$8+171),설정!$D$23)&amp;"",",",""),"　","")),0))</f>
        <v/>
      </c>
      <c r="M177" s="27">
        <f>IF(설정!$D$24="",0,IFERROR(VALUE(SUBSTITUTE(SUBSTITUTE(INDEX(급여대장_원본!$A$1:$AZ$400,(설정!$B$8+171),설정!$D$24)&amp;"",",",""),"　","")),0))</f>
        <v/>
      </c>
      <c r="N177" s="2">
        <f>IF(OR(설정!$C$17="",IFERROR(MATCH(설정!$C$17,INDEX(급여대장_원본!$A$1:$AZ$400,설정!$B$8,0),0),"")=""),"",IFERROR(VALUE(SUBSTITUTE(INDEX(급여대장_원본!$A$1:$AZ$400,(설정!$B$8+171),IFERROR(MATCH(설정!$C$17,INDEX(급여대장_원본!$A$1:$AZ$400,설정!$B$8,0),0),""))&amp;"",",","")),""))</f>
        <v/>
      </c>
      <c r="O177" s="2">
        <f>IF(OR(설정!$C$18="",IFERROR(MATCH(설정!$C$18,INDEX(급여대장_원본!$A$1:$AZ$400,설정!$B$8,0),0),"")=""),"",IFERROR(VALUE(SUBSTITUTE(INDEX(급여대장_원본!$A$1:$AZ$400,(설정!$B$8+171),IFERROR(MATCH(설정!$C$18,INDEX(급여대장_원본!$A$1:$AZ$400,설정!$B$8,0),0),""))&amp;"",",","")),""))</f>
        <v/>
      </c>
      <c r="P177" s="2">
        <f>IF(OR(설정!$C$19="",IFERROR(MATCH(설정!$C$19,INDEX(급여대장_원본!$A$1:$AZ$400,설정!$B$8,0),0),"")=""),"",IFERROR(VALUE(SUBSTITUTE(INDEX(급여대장_원본!$A$1:$AZ$400,(설정!$B$8+171),IFERROR(MATCH(설정!$C$19,INDEX(급여대장_원본!$A$1:$AZ$400,설정!$B$8,0),0),""))&amp;"",",","")),""))</f>
        <v/>
      </c>
      <c r="Q177" s="2">
        <f>IF(OR(설정!$C$20="",IFERROR(MATCH(설정!$C$20,INDEX(급여대장_원본!$A$1:$AZ$400,설정!$B$8,0),0),"")=""),"",IFERROR(VALUE(SUBSTITUTE(INDEX(급여대장_원본!$A$1:$AZ$400,(설정!$B$8+171),IFERROR(MATCH(설정!$C$20,INDEX(급여대장_원본!$A$1:$AZ$400,설정!$B$8,0),0),""))&amp;"",",","")),""))</f>
        <v/>
      </c>
      <c r="R177" s="2">
        <f>IF(OR(설정!$C$21="",IFERROR(MATCH(설정!$C$21,INDEX(급여대장_원본!$A$1:$AZ$400,설정!$B$8,0),0),"")=""),"",IFERROR(VALUE(SUBSTITUTE(INDEX(급여대장_원본!$A$1:$AZ$400,(설정!$B$8+171),IFERROR(MATCH(설정!$C$21,INDEX(급여대장_원본!$A$1:$AZ$400,설정!$B$8,0),0),""))&amp;"",",","")),""))</f>
        <v/>
      </c>
      <c r="S177" s="2">
        <f>IF(OR(설정!$C$22="",IFERROR(MATCH(설정!$C$22,INDEX(급여대장_원본!$A$1:$AZ$400,설정!$B$8,0),0),"")=""),"",IFERROR(VALUE(SUBSTITUTE(INDEX(급여대장_원본!$A$1:$AZ$400,(설정!$B$8+171),IFERROR(MATCH(설정!$C$22,INDEX(급여대장_원본!$A$1:$AZ$400,설정!$B$8,0),0),""))&amp;"",",","")),""))</f>
        <v/>
      </c>
      <c r="T177" s="2">
        <f>IF(OR(설정!$C$23="",IFERROR(MATCH(설정!$C$23,INDEX(급여대장_원본!$A$1:$AZ$400,설정!$B$8,0),0),"")=""),"",IFERROR(VALUE(SUBSTITUTE(INDEX(급여대장_원본!$A$1:$AZ$400,(설정!$B$8+171),IFERROR(MATCH(설정!$C$23,INDEX(급여대장_원본!$A$1:$AZ$400,설정!$B$8,0),0),""))&amp;"",",","")),""))</f>
        <v/>
      </c>
      <c r="U177" s="2">
        <f>IF(OR(설정!$C$24="",IFERROR(MATCH(설정!$C$24,INDEX(급여대장_원본!$A$1:$AZ$400,설정!$B$8,0),0),"")=""),"",IFERROR(VALUE(SUBSTITUTE(INDEX(급여대장_원본!$A$1:$AZ$400,(설정!$B$8+171),IFERROR(MATCH(설정!$C$24,INDEX(급여대장_원본!$A$1:$AZ$400,설정!$B$8,0),0),""))&amp;"",",","")),""))</f>
        <v/>
      </c>
      <c r="V177" s="27">
        <f>SUM(F177:M177)</f>
        <v/>
      </c>
      <c r="W177" s="27">
        <f>IF(설정!$D$26="",0,IFERROR(VALUE(SUBSTITUTE(SUBSTITUTE(INDEX(급여대장_원본!$A$1:$AZ$400,(설정!$B$8+171),설정!$D$26)&amp;"",",",""),"　","")),0))</f>
        <v/>
      </c>
      <c r="X177" s="27">
        <f>IF(설정!$D$27="",0,IFERROR(VALUE(SUBSTITUTE(SUBSTITUTE(INDEX(급여대장_원본!$A$1:$AZ$400,(설정!$B$8+171),설정!$D$27)&amp;"",",",""),"　","")),0))</f>
        <v/>
      </c>
      <c r="Y177" s="27">
        <f>IF(설정!$D$28="",0,IFERROR(VALUE(SUBSTITUTE(SUBSTITUTE(INDEX(급여대장_원본!$A$1:$AZ$400,(설정!$B$8+171),설정!$D$28)&amp;"",",",""),"　","")),0))</f>
        <v/>
      </c>
      <c r="Z177" s="27">
        <f>IF(설정!$D$29="",0,IFERROR(VALUE(SUBSTITUTE(SUBSTITUTE(INDEX(급여대장_원본!$A$1:$AZ$400,(설정!$B$8+171),설정!$D$29)&amp;"",",",""),"　","")),0))</f>
        <v/>
      </c>
      <c r="AA177" s="27">
        <f>IF(설정!$D$30="",0,IFERROR(VALUE(SUBSTITUTE(SUBSTITUTE(INDEX(급여대장_원본!$A$1:$AZ$400,(설정!$B$8+171),설정!$D$30)&amp;"",",",""),"　","")),0))</f>
        <v/>
      </c>
      <c r="AB177" s="27">
        <f>IF(설정!$D$31="",0,IFERROR(VALUE(SUBSTITUTE(SUBSTITUTE(INDEX(급여대장_원본!$A$1:$AZ$400,(설정!$B$8+171),설정!$D$31)&amp;"",",",""),"　","")),0))</f>
        <v/>
      </c>
      <c r="AC177" s="27">
        <f>IF(설정!$D$32="",0,IFERROR(VALUE(SUBSTITUTE(SUBSTITUTE(INDEX(급여대장_원본!$A$1:$AZ$400,(설정!$B$8+171),설정!$D$32)&amp;"",",",""),"　","")),0))</f>
        <v/>
      </c>
      <c r="AD177" s="27">
        <f>IF(설정!$D$33="",0,IFERROR(VALUE(SUBSTITUTE(SUBSTITUTE(INDEX(급여대장_원본!$A$1:$AZ$400,(설정!$B$8+171),설정!$D$33)&amp;"",",",""),"　","")),0))</f>
        <v/>
      </c>
      <c r="AE177" s="27">
        <f>SUM(W177:AD177)</f>
        <v/>
      </c>
      <c r="AF177" s="27">
        <f>V177-AE177</f>
        <v/>
      </c>
      <c r="AG177" s="27">
        <f>IF(설정!$D$35="","",IF(설정!$D$35="",0,IFERROR(VALUE(SUBSTITUTE(SUBSTITUTE(INDEX(급여대장_원본!$A$1:$AZ$400,(설정!$B$8+171),설정!$D$35)&amp;"",",",""),"　","")),0)))</f>
        <v/>
      </c>
      <c r="AH177" s="27">
        <f>IF(설정!$D$36="","",IF(설정!$D$36="",0,IFERROR(VALUE(SUBSTITUTE(SUBSTITUTE(INDEX(급여대장_원본!$A$1:$AZ$400,(설정!$B$8+171),설정!$D$36)&amp;"",",",""),"　","")),0)))</f>
        <v/>
      </c>
      <c r="AI177" s="27">
        <f>IF(설정!$D$37="","",IF(설정!$D$37="",0,IFERROR(VALUE(SUBSTITUTE(SUBSTITUTE(INDEX(급여대장_원본!$A$1:$AZ$400,(설정!$B$8+171),설정!$D$37)&amp;"",",",""),"　","")),0)))</f>
        <v/>
      </c>
      <c r="AJ177" s="2">
        <f>IFERROR(INDEX($D$7:$D$306,MATCH(171,$B$7:$B$306,0)),"")</f>
        <v/>
      </c>
    </row>
    <row r="178">
      <c r="A178" s="2">
        <f>IF(AND(D178&lt;&gt;"",D178&lt;&gt;"합계",D178&lt;&gt;"총계",D178&lt;&gt;"소계",D178&lt;&gt;"계"),1,0)</f>
        <v/>
      </c>
      <c r="B178" s="2">
        <f>IF(A178=1,SUM($A$7:A178),"")</f>
        <v/>
      </c>
      <c r="C178" s="2">
        <f>IF(설정!$D$13="","",TRIM(SUBSTITUTE(INDEX(급여대장_원본!$A$1:$AZ$400,(설정!$B$8+172),설정!$D$13)&amp;"","　"," ")))</f>
        <v/>
      </c>
      <c r="D178" s="2">
        <f>IF(설정!$D$14="","",TRIM(SUBSTITUTE(INDEX(급여대장_원본!$A$1:$AZ$400,(설정!$B$8+172),설정!$D$14)&amp;"","　"," ")))</f>
        <v/>
      </c>
      <c r="E178" s="2">
        <f>IF(설정!$D$15="","",TRIM(SUBSTITUTE(INDEX(급여대장_원본!$A$1:$AZ$400,(설정!$B$8+172),설정!$D$15)&amp;"","　"," ")))</f>
        <v/>
      </c>
      <c r="F178" s="27">
        <f>IF(설정!$D$17="",0,IFERROR(VALUE(SUBSTITUTE(SUBSTITUTE(INDEX(급여대장_원본!$A$1:$AZ$400,(설정!$B$8+172),설정!$D$17)&amp;"",",",""),"　","")),0))</f>
        <v/>
      </c>
      <c r="G178" s="27">
        <f>IF(설정!$D$18="",0,IFERROR(VALUE(SUBSTITUTE(SUBSTITUTE(INDEX(급여대장_원본!$A$1:$AZ$400,(설정!$B$8+172),설정!$D$18)&amp;"",",",""),"　","")),0))</f>
        <v/>
      </c>
      <c r="H178" s="27">
        <f>IF(설정!$D$19="",0,IFERROR(VALUE(SUBSTITUTE(SUBSTITUTE(INDEX(급여대장_원본!$A$1:$AZ$400,(설정!$B$8+172),설정!$D$19)&amp;"",",",""),"　","")),0))</f>
        <v/>
      </c>
      <c r="I178" s="27">
        <f>IF(설정!$D$20="",0,IFERROR(VALUE(SUBSTITUTE(SUBSTITUTE(INDEX(급여대장_원본!$A$1:$AZ$400,(설정!$B$8+172),설정!$D$20)&amp;"",",",""),"　","")),0))</f>
        <v/>
      </c>
      <c r="J178" s="27">
        <f>IF(설정!$D$21="",0,IFERROR(VALUE(SUBSTITUTE(SUBSTITUTE(INDEX(급여대장_원본!$A$1:$AZ$400,(설정!$B$8+172),설정!$D$21)&amp;"",",",""),"　","")),0))</f>
        <v/>
      </c>
      <c r="K178" s="27">
        <f>IF(설정!$D$22="",0,IFERROR(VALUE(SUBSTITUTE(SUBSTITUTE(INDEX(급여대장_원본!$A$1:$AZ$400,(설정!$B$8+172),설정!$D$22)&amp;"",",",""),"　","")),0))</f>
        <v/>
      </c>
      <c r="L178" s="27">
        <f>IF(설정!$D$23="",0,IFERROR(VALUE(SUBSTITUTE(SUBSTITUTE(INDEX(급여대장_원본!$A$1:$AZ$400,(설정!$B$8+172),설정!$D$23)&amp;"",",",""),"　","")),0))</f>
        <v/>
      </c>
      <c r="M178" s="27">
        <f>IF(설정!$D$24="",0,IFERROR(VALUE(SUBSTITUTE(SUBSTITUTE(INDEX(급여대장_원본!$A$1:$AZ$400,(설정!$B$8+172),설정!$D$24)&amp;"",",",""),"　","")),0))</f>
        <v/>
      </c>
      <c r="N178" s="2">
        <f>IF(OR(설정!$C$17="",IFERROR(MATCH(설정!$C$17,INDEX(급여대장_원본!$A$1:$AZ$400,설정!$B$8,0),0),"")=""),"",IFERROR(VALUE(SUBSTITUTE(INDEX(급여대장_원본!$A$1:$AZ$400,(설정!$B$8+172),IFERROR(MATCH(설정!$C$17,INDEX(급여대장_원본!$A$1:$AZ$400,설정!$B$8,0),0),""))&amp;"",",","")),""))</f>
        <v/>
      </c>
      <c r="O178" s="2">
        <f>IF(OR(설정!$C$18="",IFERROR(MATCH(설정!$C$18,INDEX(급여대장_원본!$A$1:$AZ$400,설정!$B$8,0),0),"")=""),"",IFERROR(VALUE(SUBSTITUTE(INDEX(급여대장_원본!$A$1:$AZ$400,(설정!$B$8+172),IFERROR(MATCH(설정!$C$18,INDEX(급여대장_원본!$A$1:$AZ$400,설정!$B$8,0),0),""))&amp;"",",","")),""))</f>
        <v/>
      </c>
      <c r="P178" s="2">
        <f>IF(OR(설정!$C$19="",IFERROR(MATCH(설정!$C$19,INDEX(급여대장_원본!$A$1:$AZ$400,설정!$B$8,0),0),"")=""),"",IFERROR(VALUE(SUBSTITUTE(INDEX(급여대장_원본!$A$1:$AZ$400,(설정!$B$8+172),IFERROR(MATCH(설정!$C$19,INDEX(급여대장_원본!$A$1:$AZ$400,설정!$B$8,0),0),""))&amp;"",",","")),""))</f>
        <v/>
      </c>
      <c r="Q178" s="2">
        <f>IF(OR(설정!$C$20="",IFERROR(MATCH(설정!$C$20,INDEX(급여대장_원본!$A$1:$AZ$400,설정!$B$8,0),0),"")=""),"",IFERROR(VALUE(SUBSTITUTE(INDEX(급여대장_원본!$A$1:$AZ$400,(설정!$B$8+172),IFERROR(MATCH(설정!$C$20,INDEX(급여대장_원본!$A$1:$AZ$400,설정!$B$8,0),0),""))&amp;"",",","")),""))</f>
        <v/>
      </c>
      <c r="R178" s="2">
        <f>IF(OR(설정!$C$21="",IFERROR(MATCH(설정!$C$21,INDEX(급여대장_원본!$A$1:$AZ$400,설정!$B$8,0),0),"")=""),"",IFERROR(VALUE(SUBSTITUTE(INDEX(급여대장_원본!$A$1:$AZ$400,(설정!$B$8+172),IFERROR(MATCH(설정!$C$21,INDEX(급여대장_원본!$A$1:$AZ$400,설정!$B$8,0),0),""))&amp;"",",","")),""))</f>
        <v/>
      </c>
      <c r="S178" s="2">
        <f>IF(OR(설정!$C$22="",IFERROR(MATCH(설정!$C$22,INDEX(급여대장_원본!$A$1:$AZ$400,설정!$B$8,0),0),"")=""),"",IFERROR(VALUE(SUBSTITUTE(INDEX(급여대장_원본!$A$1:$AZ$400,(설정!$B$8+172),IFERROR(MATCH(설정!$C$22,INDEX(급여대장_원본!$A$1:$AZ$400,설정!$B$8,0),0),""))&amp;"",",","")),""))</f>
        <v/>
      </c>
      <c r="T178" s="2">
        <f>IF(OR(설정!$C$23="",IFERROR(MATCH(설정!$C$23,INDEX(급여대장_원본!$A$1:$AZ$400,설정!$B$8,0),0),"")=""),"",IFERROR(VALUE(SUBSTITUTE(INDEX(급여대장_원본!$A$1:$AZ$400,(설정!$B$8+172),IFERROR(MATCH(설정!$C$23,INDEX(급여대장_원본!$A$1:$AZ$400,설정!$B$8,0),0),""))&amp;"",",","")),""))</f>
        <v/>
      </c>
      <c r="U178" s="2">
        <f>IF(OR(설정!$C$24="",IFERROR(MATCH(설정!$C$24,INDEX(급여대장_원본!$A$1:$AZ$400,설정!$B$8,0),0),"")=""),"",IFERROR(VALUE(SUBSTITUTE(INDEX(급여대장_원본!$A$1:$AZ$400,(설정!$B$8+172),IFERROR(MATCH(설정!$C$24,INDEX(급여대장_원본!$A$1:$AZ$400,설정!$B$8,0),0),""))&amp;"",",","")),""))</f>
        <v/>
      </c>
      <c r="V178" s="27">
        <f>SUM(F178:M178)</f>
        <v/>
      </c>
      <c r="W178" s="27">
        <f>IF(설정!$D$26="",0,IFERROR(VALUE(SUBSTITUTE(SUBSTITUTE(INDEX(급여대장_원본!$A$1:$AZ$400,(설정!$B$8+172),설정!$D$26)&amp;"",",",""),"　","")),0))</f>
        <v/>
      </c>
      <c r="X178" s="27">
        <f>IF(설정!$D$27="",0,IFERROR(VALUE(SUBSTITUTE(SUBSTITUTE(INDEX(급여대장_원본!$A$1:$AZ$400,(설정!$B$8+172),설정!$D$27)&amp;"",",",""),"　","")),0))</f>
        <v/>
      </c>
      <c r="Y178" s="27">
        <f>IF(설정!$D$28="",0,IFERROR(VALUE(SUBSTITUTE(SUBSTITUTE(INDEX(급여대장_원본!$A$1:$AZ$400,(설정!$B$8+172),설정!$D$28)&amp;"",",",""),"　","")),0))</f>
        <v/>
      </c>
      <c r="Z178" s="27">
        <f>IF(설정!$D$29="",0,IFERROR(VALUE(SUBSTITUTE(SUBSTITUTE(INDEX(급여대장_원본!$A$1:$AZ$400,(설정!$B$8+172),설정!$D$29)&amp;"",",",""),"　","")),0))</f>
        <v/>
      </c>
      <c r="AA178" s="27">
        <f>IF(설정!$D$30="",0,IFERROR(VALUE(SUBSTITUTE(SUBSTITUTE(INDEX(급여대장_원본!$A$1:$AZ$400,(설정!$B$8+172),설정!$D$30)&amp;"",",",""),"　","")),0))</f>
        <v/>
      </c>
      <c r="AB178" s="27">
        <f>IF(설정!$D$31="",0,IFERROR(VALUE(SUBSTITUTE(SUBSTITUTE(INDEX(급여대장_원본!$A$1:$AZ$400,(설정!$B$8+172),설정!$D$31)&amp;"",",",""),"　","")),0))</f>
        <v/>
      </c>
      <c r="AC178" s="27">
        <f>IF(설정!$D$32="",0,IFERROR(VALUE(SUBSTITUTE(SUBSTITUTE(INDEX(급여대장_원본!$A$1:$AZ$400,(설정!$B$8+172),설정!$D$32)&amp;"",",",""),"　","")),0))</f>
        <v/>
      </c>
      <c r="AD178" s="27">
        <f>IF(설정!$D$33="",0,IFERROR(VALUE(SUBSTITUTE(SUBSTITUTE(INDEX(급여대장_원본!$A$1:$AZ$400,(설정!$B$8+172),설정!$D$33)&amp;"",",",""),"　","")),0))</f>
        <v/>
      </c>
      <c r="AE178" s="27">
        <f>SUM(W178:AD178)</f>
        <v/>
      </c>
      <c r="AF178" s="27">
        <f>V178-AE178</f>
        <v/>
      </c>
      <c r="AG178" s="27">
        <f>IF(설정!$D$35="","",IF(설정!$D$35="",0,IFERROR(VALUE(SUBSTITUTE(SUBSTITUTE(INDEX(급여대장_원본!$A$1:$AZ$400,(설정!$B$8+172),설정!$D$35)&amp;"",",",""),"　","")),0)))</f>
        <v/>
      </c>
      <c r="AH178" s="27">
        <f>IF(설정!$D$36="","",IF(설정!$D$36="",0,IFERROR(VALUE(SUBSTITUTE(SUBSTITUTE(INDEX(급여대장_원본!$A$1:$AZ$400,(설정!$B$8+172),설정!$D$36)&amp;"",",",""),"　","")),0)))</f>
        <v/>
      </c>
      <c r="AI178" s="27">
        <f>IF(설정!$D$37="","",IF(설정!$D$37="",0,IFERROR(VALUE(SUBSTITUTE(SUBSTITUTE(INDEX(급여대장_원본!$A$1:$AZ$400,(설정!$B$8+172),설정!$D$37)&amp;"",",",""),"　","")),0)))</f>
        <v/>
      </c>
      <c r="AJ178" s="2">
        <f>IFERROR(INDEX($D$7:$D$306,MATCH(172,$B$7:$B$306,0)),"")</f>
        <v/>
      </c>
    </row>
    <row r="179">
      <c r="A179" s="2">
        <f>IF(AND(D179&lt;&gt;"",D179&lt;&gt;"합계",D179&lt;&gt;"총계",D179&lt;&gt;"소계",D179&lt;&gt;"계"),1,0)</f>
        <v/>
      </c>
      <c r="B179" s="2">
        <f>IF(A179=1,SUM($A$7:A179),"")</f>
        <v/>
      </c>
      <c r="C179" s="2">
        <f>IF(설정!$D$13="","",TRIM(SUBSTITUTE(INDEX(급여대장_원본!$A$1:$AZ$400,(설정!$B$8+173),설정!$D$13)&amp;"","　"," ")))</f>
        <v/>
      </c>
      <c r="D179" s="2">
        <f>IF(설정!$D$14="","",TRIM(SUBSTITUTE(INDEX(급여대장_원본!$A$1:$AZ$400,(설정!$B$8+173),설정!$D$14)&amp;"","　"," ")))</f>
        <v/>
      </c>
      <c r="E179" s="2">
        <f>IF(설정!$D$15="","",TRIM(SUBSTITUTE(INDEX(급여대장_원본!$A$1:$AZ$400,(설정!$B$8+173),설정!$D$15)&amp;"","　"," ")))</f>
        <v/>
      </c>
      <c r="F179" s="27">
        <f>IF(설정!$D$17="",0,IFERROR(VALUE(SUBSTITUTE(SUBSTITUTE(INDEX(급여대장_원본!$A$1:$AZ$400,(설정!$B$8+173),설정!$D$17)&amp;"",",",""),"　","")),0))</f>
        <v/>
      </c>
      <c r="G179" s="27">
        <f>IF(설정!$D$18="",0,IFERROR(VALUE(SUBSTITUTE(SUBSTITUTE(INDEX(급여대장_원본!$A$1:$AZ$400,(설정!$B$8+173),설정!$D$18)&amp;"",",",""),"　","")),0))</f>
        <v/>
      </c>
      <c r="H179" s="27">
        <f>IF(설정!$D$19="",0,IFERROR(VALUE(SUBSTITUTE(SUBSTITUTE(INDEX(급여대장_원본!$A$1:$AZ$400,(설정!$B$8+173),설정!$D$19)&amp;"",",",""),"　","")),0))</f>
        <v/>
      </c>
      <c r="I179" s="27">
        <f>IF(설정!$D$20="",0,IFERROR(VALUE(SUBSTITUTE(SUBSTITUTE(INDEX(급여대장_원본!$A$1:$AZ$400,(설정!$B$8+173),설정!$D$20)&amp;"",",",""),"　","")),0))</f>
        <v/>
      </c>
      <c r="J179" s="27">
        <f>IF(설정!$D$21="",0,IFERROR(VALUE(SUBSTITUTE(SUBSTITUTE(INDEX(급여대장_원본!$A$1:$AZ$400,(설정!$B$8+173),설정!$D$21)&amp;"",",",""),"　","")),0))</f>
        <v/>
      </c>
      <c r="K179" s="27">
        <f>IF(설정!$D$22="",0,IFERROR(VALUE(SUBSTITUTE(SUBSTITUTE(INDEX(급여대장_원본!$A$1:$AZ$400,(설정!$B$8+173),설정!$D$22)&amp;"",",",""),"　","")),0))</f>
        <v/>
      </c>
      <c r="L179" s="27">
        <f>IF(설정!$D$23="",0,IFERROR(VALUE(SUBSTITUTE(SUBSTITUTE(INDEX(급여대장_원본!$A$1:$AZ$400,(설정!$B$8+173),설정!$D$23)&amp;"",",",""),"　","")),0))</f>
        <v/>
      </c>
      <c r="M179" s="27">
        <f>IF(설정!$D$24="",0,IFERROR(VALUE(SUBSTITUTE(SUBSTITUTE(INDEX(급여대장_원본!$A$1:$AZ$400,(설정!$B$8+173),설정!$D$24)&amp;"",",",""),"　","")),0))</f>
        <v/>
      </c>
      <c r="N179" s="2">
        <f>IF(OR(설정!$C$17="",IFERROR(MATCH(설정!$C$17,INDEX(급여대장_원본!$A$1:$AZ$400,설정!$B$8,0),0),"")=""),"",IFERROR(VALUE(SUBSTITUTE(INDEX(급여대장_원본!$A$1:$AZ$400,(설정!$B$8+173),IFERROR(MATCH(설정!$C$17,INDEX(급여대장_원본!$A$1:$AZ$400,설정!$B$8,0),0),""))&amp;"",",","")),""))</f>
        <v/>
      </c>
      <c r="O179" s="2">
        <f>IF(OR(설정!$C$18="",IFERROR(MATCH(설정!$C$18,INDEX(급여대장_원본!$A$1:$AZ$400,설정!$B$8,0),0),"")=""),"",IFERROR(VALUE(SUBSTITUTE(INDEX(급여대장_원본!$A$1:$AZ$400,(설정!$B$8+173),IFERROR(MATCH(설정!$C$18,INDEX(급여대장_원본!$A$1:$AZ$400,설정!$B$8,0),0),""))&amp;"",",","")),""))</f>
        <v/>
      </c>
      <c r="P179" s="2">
        <f>IF(OR(설정!$C$19="",IFERROR(MATCH(설정!$C$19,INDEX(급여대장_원본!$A$1:$AZ$400,설정!$B$8,0),0),"")=""),"",IFERROR(VALUE(SUBSTITUTE(INDEX(급여대장_원본!$A$1:$AZ$400,(설정!$B$8+173),IFERROR(MATCH(설정!$C$19,INDEX(급여대장_원본!$A$1:$AZ$400,설정!$B$8,0),0),""))&amp;"",",","")),""))</f>
        <v/>
      </c>
      <c r="Q179" s="2">
        <f>IF(OR(설정!$C$20="",IFERROR(MATCH(설정!$C$20,INDEX(급여대장_원본!$A$1:$AZ$400,설정!$B$8,0),0),"")=""),"",IFERROR(VALUE(SUBSTITUTE(INDEX(급여대장_원본!$A$1:$AZ$400,(설정!$B$8+173),IFERROR(MATCH(설정!$C$20,INDEX(급여대장_원본!$A$1:$AZ$400,설정!$B$8,0),0),""))&amp;"",",","")),""))</f>
        <v/>
      </c>
      <c r="R179" s="2">
        <f>IF(OR(설정!$C$21="",IFERROR(MATCH(설정!$C$21,INDEX(급여대장_원본!$A$1:$AZ$400,설정!$B$8,0),0),"")=""),"",IFERROR(VALUE(SUBSTITUTE(INDEX(급여대장_원본!$A$1:$AZ$400,(설정!$B$8+173),IFERROR(MATCH(설정!$C$21,INDEX(급여대장_원본!$A$1:$AZ$400,설정!$B$8,0),0),""))&amp;"",",","")),""))</f>
        <v/>
      </c>
      <c r="S179" s="2">
        <f>IF(OR(설정!$C$22="",IFERROR(MATCH(설정!$C$22,INDEX(급여대장_원본!$A$1:$AZ$400,설정!$B$8,0),0),"")=""),"",IFERROR(VALUE(SUBSTITUTE(INDEX(급여대장_원본!$A$1:$AZ$400,(설정!$B$8+173),IFERROR(MATCH(설정!$C$22,INDEX(급여대장_원본!$A$1:$AZ$400,설정!$B$8,0),0),""))&amp;"",",","")),""))</f>
        <v/>
      </c>
      <c r="T179" s="2">
        <f>IF(OR(설정!$C$23="",IFERROR(MATCH(설정!$C$23,INDEX(급여대장_원본!$A$1:$AZ$400,설정!$B$8,0),0),"")=""),"",IFERROR(VALUE(SUBSTITUTE(INDEX(급여대장_원본!$A$1:$AZ$400,(설정!$B$8+173),IFERROR(MATCH(설정!$C$23,INDEX(급여대장_원본!$A$1:$AZ$400,설정!$B$8,0),0),""))&amp;"",",","")),""))</f>
        <v/>
      </c>
      <c r="U179" s="2">
        <f>IF(OR(설정!$C$24="",IFERROR(MATCH(설정!$C$24,INDEX(급여대장_원본!$A$1:$AZ$400,설정!$B$8,0),0),"")=""),"",IFERROR(VALUE(SUBSTITUTE(INDEX(급여대장_원본!$A$1:$AZ$400,(설정!$B$8+173),IFERROR(MATCH(설정!$C$24,INDEX(급여대장_원본!$A$1:$AZ$400,설정!$B$8,0),0),""))&amp;"",",","")),""))</f>
        <v/>
      </c>
      <c r="V179" s="27">
        <f>SUM(F179:M179)</f>
        <v/>
      </c>
      <c r="W179" s="27">
        <f>IF(설정!$D$26="",0,IFERROR(VALUE(SUBSTITUTE(SUBSTITUTE(INDEX(급여대장_원본!$A$1:$AZ$400,(설정!$B$8+173),설정!$D$26)&amp;"",",",""),"　","")),0))</f>
        <v/>
      </c>
      <c r="X179" s="27">
        <f>IF(설정!$D$27="",0,IFERROR(VALUE(SUBSTITUTE(SUBSTITUTE(INDEX(급여대장_원본!$A$1:$AZ$400,(설정!$B$8+173),설정!$D$27)&amp;"",",",""),"　","")),0))</f>
        <v/>
      </c>
      <c r="Y179" s="27">
        <f>IF(설정!$D$28="",0,IFERROR(VALUE(SUBSTITUTE(SUBSTITUTE(INDEX(급여대장_원본!$A$1:$AZ$400,(설정!$B$8+173),설정!$D$28)&amp;"",",",""),"　","")),0))</f>
        <v/>
      </c>
      <c r="Z179" s="27">
        <f>IF(설정!$D$29="",0,IFERROR(VALUE(SUBSTITUTE(SUBSTITUTE(INDEX(급여대장_원본!$A$1:$AZ$400,(설정!$B$8+173),설정!$D$29)&amp;"",",",""),"　","")),0))</f>
        <v/>
      </c>
      <c r="AA179" s="27">
        <f>IF(설정!$D$30="",0,IFERROR(VALUE(SUBSTITUTE(SUBSTITUTE(INDEX(급여대장_원본!$A$1:$AZ$400,(설정!$B$8+173),설정!$D$30)&amp;"",",",""),"　","")),0))</f>
        <v/>
      </c>
      <c r="AB179" s="27">
        <f>IF(설정!$D$31="",0,IFERROR(VALUE(SUBSTITUTE(SUBSTITUTE(INDEX(급여대장_원본!$A$1:$AZ$400,(설정!$B$8+173),설정!$D$31)&amp;"",",",""),"　","")),0))</f>
        <v/>
      </c>
      <c r="AC179" s="27">
        <f>IF(설정!$D$32="",0,IFERROR(VALUE(SUBSTITUTE(SUBSTITUTE(INDEX(급여대장_원본!$A$1:$AZ$400,(설정!$B$8+173),설정!$D$32)&amp;"",",",""),"　","")),0))</f>
        <v/>
      </c>
      <c r="AD179" s="27">
        <f>IF(설정!$D$33="",0,IFERROR(VALUE(SUBSTITUTE(SUBSTITUTE(INDEX(급여대장_원본!$A$1:$AZ$400,(설정!$B$8+173),설정!$D$33)&amp;"",",",""),"　","")),0))</f>
        <v/>
      </c>
      <c r="AE179" s="27">
        <f>SUM(W179:AD179)</f>
        <v/>
      </c>
      <c r="AF179" s="27">
        <f>V179-AE179</f>
        <v/>
      </c>
      <c r="AG179" s="27">
        <f>IF(설정!$D$35="","",IF(설정!$D$35="",0,IFERROR(VALUE(SUBSTITUTE(SUBSTITUTE(INDEX(급여대장_원본!$A$1:$AZ$400,(설정!$B$8+173),설정!$D$35)&amp;"",",",""),"　","")),0)))</f>
        <v/>
      </c>
      <c r="AH179" s="27">
        <f>IF(설정!$D$36="","",IF(설정!$D$36="",0,IFERROR(VALUE(SUBSTITUTE(SUBSTITUTE(INDEX(급여대장_원본!$A$1:$AZ$400,(설정!$B$8+173),설정!$D$36)&amp;"",",",""),"　","")),0)))</f>
        <v/>
      </c>
      <c r="AI179" s="27">
        <f>IF(설정!$D$37="","",IF(설정!$D$37="",0,IFERROR(VALUE(SUBSTITUTE(SUBSTITUTE(INDEX(급여대장_원본!$A$1:$AZ$400,(설정!$B$8+173),설정!$D$37)&amp;"",",",""),"　","")),0)))</f>
        <v/>
      </c>
      <c r="AJ179" s="2">
        <f>IFERROR(INDEX($D$7:$D$306,MATCH(173,$B$7:$B$306,0)),"")</f>
        <v/>
      </c>
    </row>
    <row r="180">
      <c r="A180" s="2">
        <f>IF(AND(D180&lt;&gt;"",D180&lt;&gt;"합계",D180&lt;&gt;"총계",D180&lt;&gt;"소계",D180&lt;&gt;"계"),1,0)</f>
        <v/>
      </c>
      <c r="B180" s="2">
        <f>IF(A180=1,SUM($A$7:A180),"")</f>
        <v/>
      </c>
      <c r="C180" s="2">
        <f>IF(설정!$D$13="","",TRIM(SUBSTITUTE(INDEX(급여대장_원본!$A$1:$AZ$400,(설정!$B$8+174),설정!$D$13)&amp;"","　"," ")))</f>
        <v/>
      </c>
      <c r="D180" s="2">
        <f>IF(설정!$D$14="","",TRIM(SUBSTITUTE(INDEX(급여대장_원본!$A$1:$AZ$400,(설정!$B$8+174),설정!$D$14)&amp;"","　"," ")))</f>
        <v/>
      </c>
      <c r="E180" s="2">
        <f>IF(설정!$D$15="","",TRIM(SUBSTITUTE(INDEX(급여대장_원본!$A$1:$AZ$400,(설정!$B$8+174),설정!$D$15)&amp;"","　"," ")))</f>
        <v/>
      </c>
      <c r="F180" s="27">
        <f>IF(설정!$D$17="",0,IFERROR(VALUE(SUBSTITUTE(SUBSTITUTE(INDEX(급여대장_원본!$A$1:$AZ$400,(설정!$B$8+174),설정!$D$17)&amp;"",",",""),"　","")),0))</f>
        <v/>
      </c>
      <c r="G180" s="27">
        <f>IF(설정!$D$18="",0,IFERROR(VALUE(SUBSTITUTE(SUBSTITUTE(INDEX(급여대장_원본!$A$1:$AZ$400,(설정!$B$8+174),설정!$D$18)&amp;"",",",""),"　","")),0))</f>
        <v/>
      </c>
      <c r="H180" s="27">
        <f>IF(설정!$D$19="",0,IFERROR(VALUE(SUBSTITUTE(SUBSTITUTE(INDEX(급여대장_원본!$A$1:$AZ$400,(설정!$B$8+174),설정!$D$19)&amp;"",",",""),"　","")),0))</f>
        <v/>
      </c>
      <c r="I180" s="27">
        <f>IF(설정!$D$20="",0,IFERROR(VALUE(SUBSTITUTE(SUBSTITUTE(INDEX(급여대장_원본!$A$1:$AZ$400,(설정!$B$8+174),설정!$D$20)&amp;"",",",""),"　","")),0))</f>
        <v/>
      </c>
      <c r="J180" s="27">
        <f>IF(설정!$D$21="",0,IFERROR(VALUE(SUBSTITUTE(SUBSTITUTE(INDEX(급여대장_원본!$A$1:$AZ$400,(설정!$B$8+174),설정!$D$21)&amp;"",",",""),"　","")),0))</f>
        <v/>
      </c>
      <c r="K180" s="27">
        <f>IF(설정!$D$22="",0,IFERROR(VALUE(SUBSTITUTE(SUBSTITUTE(INDEX(급여대장_원본!$A$1:$AZ$400,(설정!$B$8+174),설정!$D$22)&amp;"",",",""),"　","")),0))</f>
        <v/>
      </c>
      <c r="L180" s="27">
        <f>IF(설정!$D$23="",0,IFERROR(VALUE(SUBSTITUTE(SUBSTITUTE(INDEX(급여대장_원본!$A$1:$AZ$400,(설정!$B$8+174),설정!$D$23)&amp;"",",",""),"　","")),0))</f>
        <v/>
      </c>
      <c r="M180" s="27">
        <f>IF(설정!$D$24="",0,IFERROR(VALUE(SUBSTITUTE(SUBSTITUTE(INDEX(급여대장_원본!$A$1:$AZ$400,(설정!$B$8+174),설정!$D$24)&amp;"",",",""),"　","")),0))</f>
        <v/>
      </c>
      <c r="N180" s="2">
        <f>IF(OR(설정!$C$17="",IFERROR(MATCH(설정!$C$17,INDEX(급여대장_원본!$A$1:$AZ$400,설정!$B$8,0),0),"")=""),"",IFERROR(VALUE(SUBSTITUTE(INDEX(급여대장_원본!$A$1:$AZ$400,(설정!$B$8+174),IFERROR(MATCH(설정!$C$17,INDEX(급여대장_원본!$A$1:$AZ$400,설정!$B$8,0),0),""))&amp;"",",","")),""))</f>
        <v/>
      </c>
      <c r="O180" s="2">
        <f>IF(OR(설정!$C$18="",IFERROR(MATCH(설정!$C$18,INDEX(급여대장_원본!$A$1:$AZ$400,설정!$B$8,0),0),"")=""),"",IFERROR(VALUE(SUBSTITUTE(INDEX(급여대장_원본!$A$1:$AZ$400,(설정!$B$8+174),IFERROR(MATCH(설정!$C$18,INDEX(급여대장_원본!$A$1:$AZ$400,설정!$B$8,0),0),""))&amp;"",",","")),""))</f>
        <v/>
      </c>
      <c r="P180" s="2">
        <f>IF(OR(설정!$C$19="",IFERROR(MATCH(설정!$C$19,INDEX(급여대장_원본!$A$1:$AZ$400,설정!$B$8,0),0),"")=""),"",IFERROR(VALUE(SUBSTITUTE(INDEX(급여대장_원본!$A$1:$AZ$400,(설정!$B$8+174),IFERROR(MATCH(설정!$C$19,INDEX(급여대장_원본!$A$1:$AZ$400,설정!$B$8,0),0),""))&amp;"",",","")),""))</f>
        <v/>
      </c>
      <c r="Q180" s="2">
        <f>IF(OR(설정!$C$20="",IFERROR(MATCH(설정!$C$20,INDEX(급여대장_원본!$A$1:$AZ$400,설정!$B$8,0),0),"")=""),"",IFERROR(VALUE(SUBSTITUTE(INDEX(급여대장_원본!$A$1:$AZ$400,(설정!$B$8+174),IFERROR(MATCH(설정!$C$20,INDEX(급여대장_원본!$A$1:$AZ$400,설정!$B$8,0),0),""))&amp;"",",","")),""))</f>
        <v/>
      </c>
      <c r="R180" s="2">
        <f>IF(OR(설정!$C$21="",IFERROR(MATCH(설정!$C$21,INDEX(급여대장_원본!$A$1:$AZ$400,설정!$B$8,0),0),"")=""),"",IFERROR(VALUE(SUBSTITUTE(INDEX(급여대장_원본!$A$1:$AZ$400,(설정!$B$8+174),IFERROR(MATCH(설정!$C$21,INDEX(급여대장_원본!$A$1:$AZ$400,설정!$B$8,0),0),""))&amp;"",",","")),""))</f>
        <v/>
      </c>
      <c r="S180" s="2">
        <f>IF(OR(설정!$C$22="",IFERROR(MATCH(설정!$C$22,INDEX(급여대장_원본!$A$1:$AZ$400,설정!$B$8,0),0),"")=""),"",IFERROR(VALUE(SUBSTITUTE(INDEX(급여대장_원본!$A$1:$AZ$400,(설정!$B$8+174),IFERROR(MATCH(설정!$C$22,INDEX(급여대장_원본!$A$1:$AZ$400,설정!$B$8,0),0),""))&amp;"",",","")),""))</f>
        <v/>
      </c>
      <c r="T180" s="2">
        <f>IF(OR(설정!$C$23="",IFERROR(MATCH(설정!$C$23,INDEX(급여대장_원본!$A$1:$AZ$400,설정!$B$8,0),0),"")=""),"",IFERROR(VALUE(SUBSTITUTE(INDEX(급여대장_원본!$A$1:$AZ$400,(설정!$B$8+174),IFERROR(MATCH(설정!$C$23,INDEX(급여대장_원본!$A$1:$AZ$400,설정!$B$8,0),0),""))&amp;"",",","")),""))</f>
        <v/>
      </c>
      <c r="U180" s="2">
        <f>IF(OR(설정!$C$24="",IFERROR(MATCH(설정!$C$24,INDEX(급여대장_원본!$A$1:$AZ$400,설정!$B$8,0),0),"")=""),"",IFERROR(VALUE(SUBSTITUTE(INDEX(급여대장_원본!$A$1:$AZ$400,(설정!$B$8+174),IFERROR(MATCH(설정!$C$24,INDEX(급여대장_원본!$A$1:$AZ$400,설정!$B$8,0),0),""))&amp;"",",","")),""))</f>
        <v/>
      </c>
      <c r="V180" s="27">
        <f>SUM(F180:M180)</f>
        <v/>
      </c>
      <c r="W180" s="27">
        <f>IF(설정!$D$26="",0,IFERROR(VALUE(SUBSTITUTE(SUBSTITUTE(INDEX(급여대장_원본!$A$1:$AZ$400,(설정!$B$8+174),설정!$D$26)&amp;"",",",""),"　","")),0))</f>
        <v/>
      </c>
      <c r="X180" s="27">
        <f>IF(설정!$D$27="",0,IFERROR(VALUE(SUBSTITUTE(SUBSTITUTE(INDEX(급여대장_원본!$A$1:$AZ$400,(설정!$B$8+174),설정!$D$27)&amp;"",",",""),"　","")),0))</f>
        <v/>
      </c>
      <c r="Y180" s="27">
        <f>IF(설정!$D$28="",0,IFERROR(VALUE(SUBSTITUTE(SUBSTITUTE(INDEX(급여대장_원본!$A$1:$AZ$400,(설정!$B$8+174),설정!$D$28)&amp;"",",",""),"　","")),0))</f>
        <v/>
      </c>
      <c r="Z180" s="27">
        <f>IF(설정!$D$29="",0,IFERROR(VALUE(SUBSTITUTE(SUBSTITUTE(INDEX(급여대장_원본!$A$1:$AZ$400,(설정!$B$8+174),설정!$D$29)&amp;"",",",""),"　","")),0))</f>
        <v/>
      </c>
      <c r="AA180" s="27">
        <f>IF(설정!$D$30="",0,IFERROR(VALUE(SUBSTITUTE(SUBSTITUTE(INDEX(급여대장_원본!$A$1:$AZ$400,(설정!$B$8+174),설정!$D$30)&amp;"",",",""),"　","")),0))</f>
        <v/>
      </c>
      <c r="AB180" s="27">
        <f>IF(설정!$D$31="",0,IFERROR(VALUE(SUBSTITUTE(SUBSTITUTE(INDEX(급여대장_원본!$A$1:$AZ$400,(설정!$B$8+174),설정!$D$31)&amp;"",",",""),"　","")),0))</f>
        <v/>
      </c>
      <c r="AC180" s="27">
        <f>IF(설정!$D$32="",0,IFERROR(VALUE(SUBSTITUTE(SUBSTITUTE(INDEX(급여대장_원본!$A$1:$AZ$400,(설정!$B$8+174),설정!$D$32)&amp;"",",",""),"　","")),0))</f>
        <v/>
      </c>
      <c r="AD180" s="27">
        <f>IF(설정!$D$33="",0,IFERROR(VALUE(SUBSTITUTE(SUBSTITUTE(INDEX(급여대장_원본!$A$1:$AZ$400,(설정!$B$8+174),설정!$D$33)&amp;"",",",""),"　","")),0))</f>
        <v/>
      </c>
      <c r="AE180" s="27">
        <f>SUM(W180:AD180)</f>
        <v/>
      </c>
      <c r="AF180" s="27">
        <f>V180-AE180</f>
        <v/>
      </c>
      <c r="AG180" s="27">
        <f>IF(설정!$D$35="","",IF(설정!$D$35="",0,IFERROR(VALUE(SUBSTITUTE(SUBSTITUTE(INDEX(급여대장_원본!$A$1:$AZ$400,(설정!$B$8+174),설정!$D$35)&amp;"",",",""),"　","")),0)))</f>
        <v/>
      </c>
      <c r="AH180" s="27">
        <f>IF(설정!$D$36="","",IF(설정!$D$36="",0,IFERROR(VALUE(SUBSTITUTE(SUBSTITUTE(INDEX(급여대장_원본!$A$1:$AZ$400,(설정!$B$8+174),설정!$D$36)&amp;"",",",""),"　","")),0)))</f>
        <v/>
      </c>
      <c r="AI180" s="27">
        <f>IF(설정!$D$37="","",IF(설정!$D$37="",0,IFERROR(VALUE(SUBSTITUTE(SUBSTITUTE(INDEX(급여대장_원본!$A$1:$AZ$400,(설정!$B$8+174),설정!$D$37)&amp;"",",",""),"　","")),0)))</f>
        <v/>
      </c>
      <c r="AJ180" s="2">
        <f>IFERROR(INDEX($D$7:$D$306,MATCH(174,$B$7:$B$306,0)),"")</f>
        <v/>
      </c>
    </row>
    <row r="181">
      <c r="A181" s="2">
        <f>IF(AND(D181&lt;&gt;"",D181&lt;&gt;"합계",D181&lt;&gt;"총계",D181&lt;&gt;"소계",D181&lt;&gt;"계"),1,0)</f>
        <v/>
      </c>
      <c r="B181" s="2">
        <f>IF(A181=1,SUM($A$7:A181),"")</f>
        <v/>
      </c>
      <c r="C181" s="2">
        <f>IF(설정!$D$13="","",TRIM(SUBSTITUTE(INDEX(급여대장_원본!$A$1:$AZ$400,(설정!$B$8+175),설정!$D$13)&amp;"","　"," ")))</f>
        <v/>
      </c>
      <c r="D181" s="2">
        <f>IF(설정!$D$14="","",TRIM(SUBSTITUTE(INDEX(급여대장_원본!$A$1:$AZ$400,(설정!$B$8+175),설정!$D$14)&amp;"","　"," ")))</f>
        <v/>
      </c>
      <c r="E181" s="2">
        <f>IF(설정!$D$15="","",TRIM(SUBSTITUTE(INDEX(급여대장_원본!$A$1:$AZ$400,(설정!$B$8+175),설정!$D$15)&amp;"","　"," ")))</f>
        <v/>
      </c>
      <c r="F181" s="27">
        <f>IF(설정!$D$17="",0,IFERROR(VALUE(SUBSTITUTE(SUBSTITUTE(INDEX(급여대장_원본!$A$1:$AZ$400,(설정!$B$8+175),설정!$D$17)&amp;"",",",""),"　","")),0))</f>
        <v/>
      </c>
      <c r="G181" s="27">
        <f>IF(설정!$D$18="",0,IFERROR(VALUE(SUBSTITUTE(SUBSTITUTE(INDEX(급여대장_원본!$A$1:$AZ$400,(설정!$B$8+175),설정!$D$18)&amp;"",",",""),"　","")),0))</f>
        <v/>
      </c>
      <c r="H181" s="27">
        <f>IF(설정!$D$19="",0,IFERROR(VALUE(SUBSTITUTE(SUBSTITUTE(INDEX(급여대장_원본!$A$1:$AZ$400,(설정!$B$8+175),설정!$D$19)&amp;"",",",""),"　","")),0))</f>
        <v/>
      </c>
      <c r="I181" s="27">
        <f>IF(설정!$D$20="",0,IFERROR(VALUE(SUBSTITUTE(SUBSTITUTE(INDEX(급여대장_원본!$A$1:$AZ$400,(설정!$B$8+175),설정!$D$20)&amp;"",",",""),"　","")),0))</f>
        <v/>
      </c>
      <c r="J181" s="27">
        <f>IF(설정!$D$21="",0,IFERROR(VALUE(SUBSTITUTE(SUBSTITUTE(INDEX(급여대장_원본!$A$1:$AZ$400,(설정!$B$8+175),설정!$D$21)&amp;"",",",""),"　","")),0))</f>
        <v/>
      </c>
      <c r="K181" s="27">
        <f>IF(설정!$D$22="",0,IFERROR(VALUE(SUBSTITUTE(SUBSTITUTE(INDEX(급여대장_원본!$A$1:$AZ$400,(설정!$B$8+175),설정!$D$22)&amp;"",",",""),"　","")),0))</f>
        <v/>
      </c>
      <c r="L181" s="27">
        <f>IF(설정!$D$23="",0,IFERROR(VALUE(SUBSTITUTE(SUBSTITUTE(INDEX(급여대장_원본!$A$1:$AZ$400,(설정!$B$8+175),설정!$D$23)&amp;"",",",""),"　","")),0))</f>
        <v/>
      </c>
      <c r="M181" s="27">
        <f>IF(설정!$D$24="",0,IFERROR(VALUE(SUBSTITUTE(SUBSTITUTE(INDEX(급여대장_원본!$A$1:$AZ$400,(설정!$B$8+175),설정!$D$24)&amp;"",",",""),"　","")),0))</f>
        <v/>
      </c>
      <c r="N181" s="2">
        <f>IF(OR(설정!$C$17="",IFERROR(MATCH(설정!$C$17,INDEX(급여대장_원본!$A$1:$AZ$400,설정!$B$8,0),0),"")=""),"",IFERROR(VALUE(SUBSTITUTE(INDEX(급여대장_원본!$A$1:$AZ$400,(설정!$B$8+175),IFERROR(MATCH(설정!$C$17,INDEX(급여대장_원본!$A$1:$AZ$400,설정!$B$8,0),0),""))&amp;"",",","")),""))</f>
        <v/>
      </c>
      <c r="O181" s="2">
        <f>IF(OR(설정!$C$18="",IFERROR(MATCH(설정!$C$18,INDEX(급여대장_원본!$A$1:$AZ$400,설정!$B$8,0),0),"")=""),"",IFERROR(VALUE(SUBSTITUTE(INDEX(급여대장_원본!$A$1:$AZ$400,(설정!$B$8+175),IFERROR(MATCH(설정!$C$18,INDEX(급여대장_원본!$A$1:$AZ$400,설정!$B$8,0),0),""))&amp;"",",","")),""))</f>
        <v/>
      </c>
      <c r="P181" s="2">
        <f>IF(OR(설정!$C$19="",IFERROR(MATCH(설정!$C$19,INDEX(급여대장_원본!$A$1:$AZ$400,설정!$B$8,0),0),"")=""),"",IFERROR(VALUE(SUBSTITUTE(INDEX(급여대장_원본!$A$1:$AZ$400,(설정!$B$8+175),IFERROR(MATCH(설정!$C$19,INDEX(급여대장_원본!$A$1:$AZ$400,설정!$B$8,0),0),""))&amp;"",",","")),""))</f>
        <v/>
      </c>
      <c r="Q181" s="2">
        <f>IF(OR(설정!$C$20="",IFERROR(MATCH(설정!$C$20,INDEX(급여대장_원본!$A$1:$AZ$400,설정!$B$8,0),0),"")=""),"",IFERROR(VALUE(SUBSTITUTE(INDEX(급여대장_원본!$A$1:$AZ$400,(설정!$B$8+175),IFERROR(MATCH(설정!$C$20,INDEX(급여대장_원본!$A$1:$AZ$400,설정!$B$8,0),0),""))&amp;"",",","")),""))</f>
        <v/>
      </c>
      <c r="R181" s="2">
        <f>IF(OR(설정!$C$21="",IFERROR(MATCH(설정!$C$21,INDEX(급여대장_원본!$A$1:$AZ$400,설정!$B$8,0),0),"")=""),"",IFERROR(VALUE(SUBSTITUTE(INDEX(급여대장_원본!$A$1:$AZ$400,(설정!$B$8+175),IFERROR(MATCH(설정!$C$21,INDEX(급여대장_원본!$A$1:$AZ$400,설정!$B$8,0),0),""))&amp;"",",","")),""))</f>
        <v/>
      </c>
      <c r="S181" s="2">
        <f>IF(OR(설정!$C$22="",IFERROR(MATCH(설정!$C$22,INDEX(급여대장_원본!$A$1:$AZ$400,설정!$B$8,0),0),"")=""),"",IFERROR(VALUE(SUBSTITUTE(INDEX(급여대장_원본!$A$1:$AZ$400,(설정!$B$8+175),IFERROR(MATCH(설정!$C$22,INDEX(급여대장_원본!$A$1:$AZ$400,설정!$B$8,0),0),""))&amp;"",",","")),""))</f>
        <v/>
      </c>
      <c r="T181" s="2">
        <f>IF(OR(설정!$C$23="",IFERROR(MATCH(설정!$C$23,INDEX(급여대장_원본!$A$1:$AZ$400,설정!$B$8,0),0),"")=""),"",IFERROR(VALUE(SUBSTITUTE(INDEX(급여대장_원본!$A$1:$AZ$400,(설정!$B$8+175),IFERROR(MATCH(설정!$C$23,INDEX(급여대장_원본!$A$1:$AZ$400,설정!$B$8,0),0),""))&amp;"",",","")),""))</f>
        <v/>
      </c>
      <c r="U181" s="2">
        <f>IF(OR(설정!$C$24="",IFERROR(MATCH(설정!$C$24,INDEX(급여대장_원본!$A$1:$AZ$400,설정!$B$8,0),0),"")=""),"",IFERROR(VALUE(SUBSTITUTE(INDEX(급여대장_원본!$A$1:$AZ$400,(설정!$B$8+175),IFERROR(MATCH(설정!$C$24,INDEX(급여대장_원본!$A$1:$AZ$400,설정!$B$8,0),0),""))&amp;"",",","")),""))</f>
        <v/>
      </c>
      <c r="V181" s="27">
        <f>SUM(F181:M181)</f>
        <v/>
      </c>
      <c r="W181" s="27">
        <f>IF(설정!$D$26="",0,IFERROR(VALUE(SUBSTITUTE(SUBSTITUTE(INDEX(급여대장_원본!$A$1:$AZ$400,(설정!$B$8+175),설정!$D$26)&amp;"",",",""),"　","")),0))</f>
        <v/>
      </c>
      <c r="X181" s="27">
        <f>IF(설정!$D$27="",0,IFERROR(VALUE(SUBSTITUTE(SUBSTITUTE(INDEX(급여대장_원본!$A$1:$AZ$400,(설정!$B$8+175),설정!$D$27)&amp;"",",",""),"　","")),0))</f>
        <v/>
      </c>
      <c r="Y181" s="27">
        <f>IF(설정!$D$28="",0,IFERROR(VALUE(SUBSTITUTE(SUBSTITUTE(INDEX(급여대장_원본!$A$1:$AZ$400,(설정!$B$8+175),설정!$D$28)&amp;"",",",""),"　","")),0))</f>
        <v/>
      </c>
      <c r="Z181" s="27">
        <f>IF(설정!$D$29="",0,IFERROR(VALUE(SUBSTITUTE(SUBSTITUTE(INDEX(급여대장_원본!$A$1:$AZ$400,(설정!$B$8+175),설정!$D$29)&amp;"",",",""),"　","")),0))</f>
        <v/>
      </c>
      <c r="AA181" s="27">
        <f>IF(설정!$D$30="",0,IFERROR(VALUE(SUBSTITUTE(SUBSTITUTE(INDEX(급여대장_원본!$A$1:$AZ$400,(설정!$B$8+175),설정!$D$30)&amp;"",",",""),"　","")),0))</f>
        <v/>
      </c>
      <c r="AB181" s="27">
        <f>IF(설정!$D$31="",0,IFERROR(VALUE(SUBSTITUTE(SUBSTITUTE(INDEX(급여대장_원본!$A$1:$AZ$400,(설정!$B$8+175),설정!$D$31)&amp;"",",",""),"　","")),0))</f>
        <v/>
      </c>
      <c r="AC181" s="27">
        <f>IF(설정!$D$32="",0,IFERROR(VALUE(SUBSTITUTE(SUBSTITUTE(INDEX(급여대장_원본!$A$1:$AZ$400,(설정!$B$8+175),설정!$D$32)&amp;"",",",""),"　","")),0))</f>
        <v/>
      </c>
      <c r="AD181" s="27">
        <f>IF(설정!$D$33="",0,IFERROR(VALUE(SUBSTITUTE(SUBSTITUTE(INDEX(급여대장_원본!$A$1:$AZ$400,(설정!$B$8+175),설정!$D$33)&amp;"",",",""),"　","")),0))</f>
        <v/>
      </c>
      <c r="AE181" s="27">
        <f>SUM(W181:AD181)</f>
        <v/>
      </c>
      <c r="AF181" s="27">
        <f>V181-AE181</f>
        <v/>
      </c>
      <c r="AG181" s="27">
        <f>IF(설정!$D$35="","",IF(설정!$D$35="",0,IFERROR(VALUE(SUBSTITUTE(SUBSTITUTE(INDEX(급여대장_원본!$A$1:$AZ$400,(설정!$B$8+175),설정!$D$35)&amp;"",",",""),"　","")),0)))</f>
        <v/>
      </c>
      <c r="AH181" s="27">
        <f>IF(설정!$D$36="","",IF(설정!$D$36="",0,IFERROR(VALUE(SUBSTITUTE(SUBSTITUTE(INDEX(급여대장_원본!$A$1:$AZ$400,(설정!$B$8+175),설정!$D$36)&amp;"",",",""),"　","")),0)))</f>
        <v/>
      </c>
      <c r="AI181" s="27">
        <f>IF(설정!$D$37="","",IF(설정!$D$37="",0,IFERROR(VALUE(SUBSTITUTE(SUBSTITUTE(INDEX(급여대장_원본!$A$1:$AZ$400,(설정!$B$8+175),설정!$D$37)&amp;"",",",""),"　","")),0)))</f>
        <v/>
      </c>
      <c r="AJ181" s="2">
        <f>IFERROR(INDEX($D$7:$D$306,MATCH(175,$B$7:$B$306,0)),"")</f>
        <v/>
      </c>
    </row>
    <row r="182">
      <c r="A182" s="2">
        <f>IF(AND(D182&lt;&gt;"",D182&lt;&gt;"합계",D182&lt;&gt;"총계",D182&lt;&gt;"소계",D182&lt;&gt;"계"),1,0)</f>
        <v/>
      </c>
      <c r="B182" s="2">
        <f>IF(A182=1,SUM($A$7:A182),"")</f>
        <v/>
      </c>
      <c r="C182" s="2">
        <f>IF(설정!$D$13="","",TRIM(SUBSTITUTE(INDEX(급여대장_원본!$A$1:$AZ$400,(설정!$B$8+176),설정!$D$13)&amp;"","　"," ")))</f>
        <v/>
      </c>
      <c r="D182" s="2">
        <f>IF(설정!$D$14="","",TRIM(SUBSTITUTE(INDEX(급여대장_원본!$A$1:$AZ$400,(설정!$B$8+176),설정!$D$14)&amp;"","　"," ")))</f>
        <v/>
      </c>
      <c r="E182" s="2">
        <f>IF(설정!$D$15="","",TRIM(SUBSTITUTE(INDEX(급여대장_원본!$A$1:$AZ$400,(설정!$B$8+176),설정!$D$15)&amp;"","　"," ")))</f>
        <v/>
      </c>
      <c r="F182" s="27">
        <f>IF(설정!$D$17="",0,IFERROR(VALUE(SUBSTITUTE(SUBSTITUTE(INDEX(급여대장_원본!$A$1:$AZ$400,(설정!$B$8+176),설정!$D$17)&amp;"",",",""),"　","")),0))</f>
        <v/>
      </c>
      <c r="G182" s="27">
        <f>IF(설정!$D$18="",0,IFERROR(VALUE(SUBSTITUTE(SUBSTITUTE(INDEX(급여대장_원본!$A$1:$AZ$400,(설정!$B$8+176),설정!$D$18)&amp;"",",",""),"　","")),0))</f>
        <v/>
      </c>
      <c r="H182" s="27">
        <f>IF(설정!$D$19="",0,IFERROR(VALUE(SUBSTITUTE(SUBSTITUTE(INDEX(급여대장_원본!$A$1:$AZ$400,(설정!$B$8+176),설정!$D$19)&amp;"",",",""),"　","")),0))</f>
        <v/>
      </c>
      <c r="I182" s="27">
        <f>IF(설정!$D$20="",0,IFERROR(VALUE(SUBSTITUTE(SUBSTITUTE(INDEX(급여대장_원본!$A$1:$AZ$400,(설정!$B$8+176),설정!$D$20)&amp;"",",",""),"　","")),0))</f>
        <v/>
      </c>
      <c r="J182" s="27">
        <f>IF(설정!$D$21="",0,IFERROR(VALUE(SUBSTITUTE(SUBSTITUTE(INDEX(급여대장_원본!$A$1:$AZ$400,(설정!$B$8+176),설정!$D$21)&amp;"",",",""),"　","")),0))</f>
        <v/>
      </c>
      <c r="K182" s="27">
        <f>IF(설정!$D$22="",0,IFERROR(VALUE(SUBSTITUTE(SUBSTITUTE(INDEX(급여대장_원본!$A$1:$AZ$400,(설정!$B$8+176),설정!$D$22)&amp;"",",",""),"　","")),0))</f>
        <v/>
      </c>
      <c r="L182" s="27">
        <f>IF(설정!$D$23="",0,IFERROR(VALUE(SUBSTITUTE(SUBSTITUTE(INDEX(급여대장_원본!$A$1:$AZ$400,(설정!$B$8+176),설정!$D$23)&amp;"",",",""),"　","")),0))</f>
        <v/>
      </c>
      <c r="M182" s="27">
        <f>IF(설정!$D$24="",0,IFERROR(VALUE(SUBSTITUTE(SUBSTITUTE(INDEX(급여대장_원본!$A$1:$AZ$400,(설정!$B$8+176),설정!$D$24)&amp;"",",",""),"　","")),0))</f>
        <v/>
      </c>
      <c r="N182" s="2">
        <f>IF(OR(설정!$C$17="",IFERROR(MATCH(설정!$C$17,INDEX(급여대장_원본!$A$1:$AZ$400,설정!$B$8,0),0),"")=""),"",IFERROR(VALUE(SUBSTITUTE(INDEX(급여대장_원본!$A$1:$AZ$400,(설정!$B$8+176),IFERROR(MATCH(설정!$C$17,INDEX(급여대장_원본!$A$1:$AZ$400,설정!$B$8,0),0),""))&amp;"",",","")),""))</f>
        <v/>
      </c>
      <c r="O182" s="2">
        <f>IF(OR(설정!$C$18="",IFERROR(MATCH(설정!$C$18,INDEX(급여대장_원본!$A$1:$AZ$400,설정!$B$8,0),0),"")=""),"",IFERROR(VALUE(SUBSTITUTE(INDEX(급여대장_원본!$A$1:$AZ$400,(설정!$B$8+176),IFERROR(MATCH(설정!$C$18,INDEX(급여대장_원본!$A$1:$AZ$400,설정!$B$8,0),0),""))&amp;"",",","")),""))</f>
        <v/>
      </c>
      <c r="P182" s="2">
        <f>IF(OR(설정!$C$19="",IFERROR(MATCH(설정!$C$19,INDEX(급여대장_원본!$A$1:$AZ$400,설정!$B$8,0),0),"")=""),"",IFERROR(VALUE(SUBSTITUTE(INDEX(급여대장_원본!$A$1:$AZ$400,(설정!$B$8+176),IFERROR(MATCH(설정!$C$19,INDEX(급여대장_원본!$A$1:$AZ$400,설정!$B$8,0),0),""))&amp;"",",","")),""))</f>
        <v/>
      </c>
      <c r="Q182" s="2">
        <f>IF(OR(설정!$C$20="",IFERROR(MATCH(설정!$C$20,INDEX(급여대장_원본!$A$1:$AZ$400,설정!$B$8,0),0),"")=""),"",IFERROR(VALUE(SUBSTITUTE(INDEX(급여대장_원본!$A$1:$AZ$400,(설정!$B$8+176),IFERROR(MATCH(설정!$C$20,INDEX(급여대장_원본!$A$1:$AZ$400,설정!$B$8,0),0),""))&amp;"",",","")),""))</f>
        <v/>
      </c>
      <c r="R182" s="2">
        <f>IF(OR(설정!$C$21="",IFERROR(MATCH(설정!$C$21,INDEX(급여대장_원본!$A$1:$AZ$400,설정!$B$8,0),0),"")=""),"",IFERROR(VALUE(SUBSTITUTE(INDEX(급여대장_원본!$A$1:$AZ$400,(설정!$B$8+176),IFERROR(MATCH(설정!$C$21,INDEX(급여대장_원본!$A$1:$AZ$400,설정!$B$8,0),0),""))&amp;"",",","")),""))</f>
        <v/>
      </c>
      <c r="S182" s="2">
        <f>IF(OR(설정!$C$22="",IFERROR(MATCH(설정!$C$22,INDEX(급여대장_원본!$A$1:$AZ$400,설정!$B$8,0),0),"")=""),"",IFERROR(VALUE(SUBSTITUTE(INDEX(급여대장_원본!$A$1:$AZ$400,(설정!$B$8+176),IFERROR(MATCH(설정!$C$22,INDEX(급여대장_원본!$A$1:$AZ$400,설정!$B$8,0),0),""))&amp;"",",","")),""))</f>
        <v/>
      </c>
      <c r="T182" s="2">
        <f>IF(OR(설정!$C$23="",IFERROR(MATCH(설정!$C$23,INDEX(급여대장_원본!$A$1:$AZ$400,설정!$B$8,0),0),"")=""),"",IFERROR(VALUE(SUBSTITUTE(INDEX(급여대장_원본!$A$1:$AZ$400,(설정!$B$8+176),IFERROR(MATCH(설정!$C$23,INDEX(급여대장_원본!$A$1:$AZ$400,설정!$B$8,0),0),""))&amp;"",",","")),""))</f>
        <v/>
      </c>
      <c r="U182" s="2">
        <f>IF(OR(설정!$C$24="",IFERROR(MATCH(설정!$C$24,INDEX(급여대장_원본!$A$1:$AZ$400,설정!$B$8,0),0),"")=""),"",IFERROR(VALUE(SUBSTITUTE(INDEX(급여대장_원본!$A$1:$AZ$400,(설정!$B$8+176),IFERROR(MATCH(설정!$C$24,INDEX(급여대장_원본!$A$1:$AZ$400,설정!$B$8,0),0),""))&amp;"",",","")),""))</f>
        <v/>
      </c>
      <c r="V182" s="27">
        <f>SUM(F182:M182)</f>
        <v/>
      </c>
      <c r="W182" s="27">
        <f>IF(설정!$D$26="",0,IFERROR(VALUE(SUBSTITUTE(SUBSTITUTE(INDEX(급여대장_원본!$A$1:$AZ$400,(설정!$B$8+176),설정!$D$26)&amp;"",",",""),"　","")),0))</f>
        <v/>
      </c>
      <c r="X182" s="27">
        <f>IF(설정!$D$27="",0,IFERROR(VALUE(SUBSTITUTE(SUBSTITUTE(INDEX(급여대장_원본!$A$1:$AZ$400,(설정!$B$8+176),설정!$D$27)&amp;"",",",""),"　","")),0))</f>
        <v/>
      </c>
      <c r="Y182" s="27">
        <f>IF(설정!$D$28="",0,IFERROR(VALUE(SUBSTITUTE(SUBSTITUTE(INDEX(급여대장_원본!$A$1:$AZ$400,(설정!$B$8+176),설정!$D$28)&amp;"",",",""),"　","")),0))</f>
        <v/>
      </c>
      <c r="Z182" s="27">
        <f>IF(설정!$D$29="",0,IFERROR(VALUE(SUBSTITUTE(SUBSTITUTE(INDEX(급여대장_원본!$A$1:$AZ$400,(설정!$B$8+176),설정!$D$29)&amp;"",",",""),"　","")),0))</f>
        <v/>
      </c>
      <c r="AA182" s="27">
        <f>IF(설정!$D$30="",0,IFERROR(VALUE(SUBSTITUTE(SUBSTITUTE(INDEX(급여대장_원본!$A$1:$AZ$400,(설정!$B$8+176),설정!$D$30)&amp;"",",",""),"　","")),0))</f>
        <v/>
      </c>
      <c r="AB182" s="27">
        <f>IF(설정!$D$31="",0,IFERROR(VALUE(SUBSTITUTE(SUBSTITUTE(INDEX(급여대장_원본!$A$1:$AZ$400,(설정!$B$8+176),설정!$D$31)&amp;"",",",""),"　","")),0))</f>
        <v/>
      </c>
      <c r="AC182" s="27">
        <f>IF(설정!$D$32="",0,IFERROR(VALUE(SUBSTITUTE(SUBSTITUTE(INDEX(급여대장_원본!$A$1:$AZ$400,(설정!$B$8+176),설정!$D$32)&amp;"",",",""),"　","")),0))</f>
        <v/>
      </c>
      <c r="AD182" s="27">
        <f>IF(설정!$D$33="",0,IFERROR(VALUE(SUBSTITUTE(SUBSTITUTE(INDEX(급여대장_원본!$A$1:$AZ$400,(설정!$B$8+176),설정!$D$33)&amp;"",",",""),"　","")),0))</f>
        <v/>
      </c>
      <c r="AE182" s="27">
        <f>SUM(W182:AD182)</f>
        <v/>
      </c>
      <c r="AF182" s="27">
        <f>V182-AE182</f>
        <v/>
      </c>
      <c r="AG182" s="27">
        <f>IF(설정!$D$35="","",IF(설정!$D$35="",0,IFERROR(VALUE(SUBSTITUTE(SUBSTITUTE(INDEX(급여대장_원본!$A$1:$AZ$400,(설정!$B$8+176),설정!$D$35)&amp;"",",",""),"　","")),0)))</f>
        <v/>
      </c>
      <c r="AH182" s="27">
        <f>IF(설정!$D$36="","",IF(설정!$D$36="",0,IFERROR(VALUE(SUBSTITUTE(SUBSTITUTE(INDEX(급여대장_원본!$A$1:$AZ$400,(설정!$B$8+176),설정!$D$36)&amp;"",",",""),"　","")),0)))</f>
        <v/>
      </c>
      <c r="AI182" s="27">
        <f>IF(설정!$D$37="","",IF(설정!$D$37="",0,IFERROR(VALUE(SUBSTITUTE(SUBSTITUTE(INDEX(급여대장_원본!$A$1:$AZ$400,(설정!$B$8+176),설정!$D$37)&amp;"",",",""),"　","")),0)))</f>
        <v/>
      </c>
      <c r="AJ182" s="2">
        <f>IFERROR(INDEX($D$7:$D$306,MATCH(176,$B$7:$B$306,0)),"")</f>
        <v/>
      </c>
    </row>
    <row r="183">
      <c r="A183" s="2">
        <f>IF(AND(D183&lt;&gt;"",D183&lt;&gt;"합계",D183&lt;&gt;"총계",D183&lt;&gt;"소계",D183&lt;&gt;"계"),1,0)</f>
        <v/>
      </c>
      <c r="B183" s="2">
        <f>IF(A183=1,SUM($A$7:A183),"")</f>
        <v/>
      </c>
      <c r="C183" s="2">
        <f>IF(설정!$D$13="","",TRIM(SUBSTITUTE(INDEX(급여대장_원본!$A$1:$AZ$400,(설정!$B$8+177),설정!$D$13)&amp;"","　"," ")))</f>
        <v/>
      </c>
      <c r="D183" s="2">
        <f>IF(설정!$D$14="","",TRIM(SUBSTITUTE(INDEX(급여대장_원본!$A$1:$AZ$400,(설정!$B$8+177),설정!$D$14)&amp;"","　"," ")))</f>
        <v/>
      </c>
      <c r="E183" s="2">
        <f>IF(설정!$D$15="","",TRIM(SUBSTITUTE(INDEX(급여대장_원본!$A$1:$AZ$400,(설정!$B$8+177),설정!$D$15)&amp;"","　"," ")))</f>
        <v/>
      </c>
      <c r="F183" s="27">
        <f>IF(설정!$D$17="",0,IFERROR(VALUE(SUBSTITUTE(SUBSTITUTE(INDEX(급여대장_원본!$A$1:$AZ$400,(설정!$B$8+177),설정!$D$17)&amp;"",",",""),"　","")),0))</f>
        <v/>
      </c>
      <c r="G183" s="27">
        <f>IF(설정!$D$18="",0,IFERROR(VALUE(SUBSTITUTE(SUBSTITUTE(INDEX(급여대장_원본!$A$1:$AZ$400,(설정!$B$8+177),설정!$D$18)&amp;"",",",""),"　","")),0))</f>
        <v/>
      </c>
      <c r="H183" s="27">
        <f>IF(설정!$D$19="",0,IFERROR(VALUE(SUBSTITUTE(SUBSTITUTE(INDEX(급여대장_원본!$A$1:$AZ$400,(설정!$B$8+177),설정!$D$19)&amp;"",",",""),"　","")),0))</f>
        <v/>
      </c>
      <c r="I183" s="27">
        <f>IF(설정!$D$20="",0,IFERROR(VALUE(SUBSTITUTE(SUBSTITUTE(INDEX(급여대장_원본!$A$1:$AZ$400,(설정!$B$8+177),설정!$D$20)&amp;"",",",""),"　","")),0))</f>
        <v/>
      </c>
      <c r="J183" s="27">
        <f>IF(설정!$D$21="",0,IFERROR(VALUE(SUBSTITUTE(SUBSTITUTE(INDEX(급여대장_원본!$A$1:$AZ$400,(설정!$B$8+177),설정!$D$21)&amp;"",",",""),"　","")),0))</f>
        <v/>
      </c>
      <c r="K183" s="27">
        <f>IF(설정!$D$22="",0,IFERROR(VALUE(SUBSTITUTE(SUBSTITUTE(INDEX(급여대장_원본!$A$1:$AZ$400,(설정!$B$8+177),설정!$D$22)&amp;"",",",""),"　","")),0))</f>
        <v/>
      </c>
      <c r="L183" s="27">
        <f>IF(설정!$D$23="",0,IFERROR(VALUE(SUBSTITUTE(SUBSTITUTE(INDEX(급여대장_원본!$A$1:$AZ$400,(설정!$B$8+177),설정!$D$23)&amp;"",",",""),"　","")),0))</f>
        <v/>
      </c>
      <c r="M183" s="27">
        <f>IF(설정!$D$24="",0,IFERROR(VALUE(SUBSTITUTE(SUBSTITUTE(INDEX(급여대장_원본!$A$1:$AZ$400,(설정!$B$8+177),설정!$D$24)&amp;"",",",""),"　","")),0))</f>
        <v/>
      </c>
      <c r="N183" s="2">
        <f>IF(OR(설정!$C$17="",IFERROR(MATCH(설정!$C$17,INDEX(급여대장_원본!$A$1:$AZ$400,설정!$B$8,0),0),"")=""),"",IFERROR(VALUE(SUBSTITUTE(INDEX(급여대장_원본!$A$1:$AZ$400,(설정!$B$8+177),IFERROR(MATCH(설정!$C$17,INDEX(급여대장_원본!$A$1:$AZ$400,설정!$B$8,0),0),""))&amp;"",",","")),""))</f>
        <v/>
      </c>
      <c r="O183" s="2">
        <f>IF(OR(설정!$C$18="",IFERROR(MATCH(설정!$C$18,INDEX(급여대장_원본!$A$1:$AZ$400,설정!$B$8,0),0),"")=""),"",IFERROR(VALUE(SUBSTITUTE(INDEX(급여대장_원본!$A$1:$AZ$400,(설정!$B$8+177),IFERROR(MATCH(설정!$C$18,INDEX(급여대장_원본!$A$1:$AZ$400,설정!$B$8,0),0),""))&amp;"",",","")),""))</f>
        <v/>
      </c>
      <c r="P183" s="2">
        <f>IF(OR(설정!$C$19="",IFERROR(MATCH(설정!$C$19,INDEX(급여대장_원본!$A$1:$AZ$400,설정!$B$8,0),0),"")=""),"",IFERROR(VALUE(SUBSTITUTE(INDEX(급여대장_원본!$A$1:$AZ$400,(설정!$B$8+177),IFERROR(MATCH(설정!$C$19,INDEX(급여대장_원본!$A$1:$AZ$400,설정!$B$8,0),0),""))&amp;"",",","")),""))</f>
        <v/>
      </c>
      <c r="Q183" s="2">
        <f>IF(OR(설정!$C$20="",IFERROR(MATCH(설정!$C$20,INDEX(급여대장_원본!$A$1:$AZ$400,설정!$B$8,0),0),"")=""),"",IFERROR(VALUE(SUBSTITUTE(INDEX(급여대장_원본!$A$1:$AZ$400,(설정!$B$8+177),IFERROR(MATCH(설정!$C$20,INDEX(급여대장_원본!$A$1:$AZ$400,설정!$B$8,0),0),""))&amp;"",",","")),""))</f>
        <v/>
      </c>
      <c r="R183" s="2">
        <f>IF(OR(설정!$C$21="",IFERROR(MATCH(설정!$C$21,INDEX(급여대장_원본!$A$1:$AZ$400,설정!$B$8,0),0),"")=""),"",IFERROR(VALUE(SUBSTITUTE(INDEX(급여대장_원본!$A$1:$AZ$400,(설정!$B$8+177),IFERROR(MATCH(설정!$C$21,INDEX(급여대장_원본!$A$1:$AZ$400,설정!$B$8,0),0),""))&amp;"",",","")),""))</f>
        <v/>
      </c>
      <c r="S183" s="2">
        <f>IF(OR(설정!$C$22="",IFERROR(MATCH(설정!$C$22,INDEX(급여대장_원본!$A$1:$AZ$400,설정!$B$8,0),0),"")=""),"",IFERROR(VALUE(SUBSTITUTE(INDEX(급여대장_원본!$A$1:$AZ$400,(설정!$B$8+177),IFERROR(MATCH(설정!$C$22,INDEX(급여대장_원본!$A$1:$AZ$400,설정!$B$8,0),0),""))&amp;"",",","")),""))</f>
        <v/>
      </c>
      <c r="T183" s="2">
        <f>IF(OR(설정!$C$23="",IFERROR(MATCH(설정!$C$23,INDEX(급여대장_원본!$A$1:$AZ$400,설정!$B$8,0),0),"")=""),"",IFERROR(VALUE(SUBSTITUTE(INDEX(급여대장_원본!$A$1:$AZ$400,(설정!$B$8+177),IFERROR(MATCH(설정!$C$23,INDEX(급여대장_원본!$A$1:$AZ$400,설정!$B$8,0),0),""))&amp;"",",","")),""))</f>
        <v/>
      </c>
      <c r="U183" s="2">
        <f>IF(OR(설정!$C$24="",IFERROR(MATCH(설정!$C$24,INDEX(급여대장_원본!$A$1:$AZ$400,설정!$B$8,0),0),"")=""),"",IFERROR(VALUE(SUBSTITUTE(INDEX(급여대장_원본!$A$1:$AZ$400,(설정!$B$8+177),IFERROR(MATCH(설정!$C$24,INDEX(급여대장_원본!$A$1:$AZ$400,설정!$B$8,0),0),""))&amp;"",",","")),""))</f>
        <v/>
      </c>
      <c r="V183" s="27">
        <f>SUM(F183:M183)</f>
        <v/>
      </c>
      <c r="W183" s="27">
        <f>IF(설정!$D$26="",0,IFERROR(VALUE(SUBSTITUTE(SUBSTITUTE(INDEX(급여대장_원본!$A$1:$AZ$400,(설정!$B$8+177),설정!$D$26)&amp;"",",",""),"　","")),0))</f>
        <v/>
      </c>
      <c r="X183" s="27">
        <f>IF(설정!$D$27="",0,IFERROR(VALUE(SUBSTITUTE(SUBSTITUTE(INDEX(급여대장_원본!$A$1:$AZ$400,(설정!$B$8+177),설정!$D$27)&amp;"",",",""),"　","")),0))</f>
        <v/>
      </c>
      <c r="Y183" s="27">
        <f>IF(설정!$D$28="",0,IFERROR(VALUE(SUBSTITUTE(SUBSTITUTE(INDEX(급여대장_원본!$A$1:$AZ$400,(설정!$B$8+177),설정!$D$28)&amp;"",",",""),"　","")),0))</f>
        <v/>
      </c>
      <c r="Z183" s="27">
        <f>IF(설정!$D$29="",0,IFERROR(VALUE(SUBSTITUTE(SUBSTITUTE(INDEX(급여대장_원본!$A$1:$AZ$400,(설정!$B$8+177),설정!$D$29)&amp;"",",",""),"　","")),0))</f>
        <v/>
      </c>
      <c r="AA183" s="27">
        <f>IF(설정!$D$30="",0,IFERROR(VALUE(SUBSTITUTE(SUBSTITUTE(INDEX(급여대장_원본!$A$1:$AZ$400,(설정!$B$8+177),설정!$D$30)&amp;"",",",""),"　","")),0))</f>
        <v/>
      </c>
      <c r="AB183" s="27">
        <f>IF(설정!$D$31="",0,IFERROR(VALUE(SUBSTITUTE(SUBSTITUTE(INDEX(급여대장_원본!$A$1:$AZ$400,(설정!$B$8+177),설정!$D$31)&amp;"",",",""),"　","")),0))</f>
        <v/>
      </c>
      <c r="AC183" s="27">
        <f>IF(설정!$D$32="",0,IFERROR(VALUE(SUBSTITUTE(SUBSTITUTE(INDEX(급여대장_원본!$A$1:$AZ$400,(설정!$B$8+177),설정!$D$32)&amp;"",",",""),"　","")),0))</f>
        <v/>
      </c>
      <c r="AD183" s="27">
        <f>IF(설정!$D$33="",0,IFERROR(VALUE(SUBSTITUTE(SUBSTITUTE(INDEX(급여대장_원본!$A$1:$AZ$400,(설정!$B$8+177),설정!$D$33)&amp;"",",",""),"　","")),0))</f>
        <v/>
      </c>
      <c r="AE183" s="27">
        <f>SUM(W183:AD183)</f>
        <v/>
      </c>
      <c r="AF183" s="27">
        <f>V183-AE183</f>
        <v/>
      </c>
      <c r="AG183" s="27">
        <f>IF(설정!$D$35="","",IF(설정!$D$35="",0,IFERROR(VALUE(SUBSTITUTE(SUBSTITUTE(INDEX(급여대장_원본!$A$1:$AZ$400,(설정!$B$8+177),설정!$D$35)&amp;"",",",""),"　","")),0)))</f>
        <v/>
      </c>
      <c r="AH183" s="27">
        <f>IF(설정!$D$36="","",IF(설정!$D$36="",0,IFERROR(VALUE(SUBSTITUTE(SUBSTITUTE(INDEX(급여대장_원본!$A$1:$AZ$400,(설정!$B$8+177),설정!$D$36)&amp;"",",",""),"　","")),0)))</f>
        <v/>
      </c>
      <c r="AI183" s="27">
        <f>IF(설정!$D$37="","",IF(설정!$D$37="",0,IFERROR(VALUE(SUBSTITUTE(SUBSTITUTE(INDEX(급여대장_원본!$A$1:$AZ$400,(설정!$B$8+177),설정!$D$37)&amp;"",",",""),"　","")),0)))</f>
        <v/>
      </c>
      <c r="AJ183" s="2">
        <f>IFERROR(INDEX($D$7:$D$306,MATCH(177,$B$7:$B$306,0)),"")</f>
        <v/>
      </c>
    </row>
    <row r="184">
      <c r="A184" s="2">
        <f>IF(AND(D184&lt;&gt;"",D184&lt;&gt;"합계",D184&lt;&gt;"총계",D184&lt;&gt;"소계",D184&lt;&gt;"계"),1,0)</f>
        <v/>
      </c>
      <c r="B184" s="2">
        <f>IF(A184=1,SUM($A$7:A184),"")</f>
        <v/>
      </c>
      <c r="C184" s="2">
        <f>IF(설정!$D$13="","",TRIM(SUBSTITUTE(INDEX(급여대장_원본!$A$1:$AZ$400,(설정!$B$8+178),설정!$D$13)&amp;"","　"," ")))</f>
        <v/>
      </c>
      <c r="D184" s="2">
        <f>IF(설정!$D$14="","",TRIM(SUBSTITUTE(INDEX(급여대장_원본!$A$1:$AZ$400,(설정!$B$8+178),설정!$D$14)&amp;"","　"," ")))</f>
        <v/>
      </c>
      <c r="E184" s="2">
        <f>IF(설정!$D$15="","",TRIM(SUBSTITUTE(INDEX(급여대장_원본!$A$1:$AZ$400,(설정!$B$8+178),설정!$D$15)&amp;"","　"," ")))</f>
        <v/>
      </c>
      <c r="F184" s="27">
        <f>IF(설정!$D$17="",0,IFERROR(VALUE(SUBSTITUTE(SUBSTITUTE(INDEX(급여대장_원본!$A$1:$AZ$400,(설정!$B$8+178),설정!$D$17)&amp;"",",",""),"　","")),0))</f>
        <v/>
      </c>
      <c r="G184" s="27">
        <f>IF(설정!$D$18="",0,IFERROR(VALUE(SUBSTITUTE(SUBSTITUTE(INDEX(급여대장_원본!$A$1:$AZ$400,(설정!$B$8+178),설정!$D$18)&amp;"",",",""),"　","")),0))</f>
        <v/>
      </c>
      <c r="H184" s="27">
        <f>IF(설정!$D$19="",0,IFERROR(VALUE(SUBSTITUTE(SUBSTITUTE(INDEX(급여대장_원본!$A$1:$AZ$400,(설정!$B$8+178),설정!$D$19)&amp;"",",",""),"　","")),0))</f>
        <v/>
      </c>
      <c r="I184" s="27">
        <f>IF(설정!$D$20="",0,IFERROR(VALUE(SUBSTITUTE(SUBSTITUTE(INDEX(급여대장_원본!$A$1:$AZ$400,(설정!$B$8+178),설정!$D$20)&amp;"",",",""),"　","")),0))</f>
        <v/>
      </c>
      <c r="J184" s="27">
        <f>IF(설정!$D$21="",0,IFERROR(VALUE(SUBSTITUTE(SUBSTITUTE(INDEX(급여대장_원본!$A$1:$AZ$400,(설정!$B$8+178),설정!$D$21)&amp;"",",",""),"　","")),0))</f>
        <v/>
      </c>
      <c r="K184" s="27">
        <f>IF(설정!$D$22="",0,IFERROR(VALUE(SUBSTITUTE(SUBSTITUTE(INDEX(급여대장_원본!$A$1:$AZ$400,(설정!$B$8+178),설정!$D$22)&amp;"",",",""),"　","")),0))</f>
        <v/>
      </c>
      <c r="L184" s="27">
        <f>IF(설정!$D$23="",0,IFERROR(VALUE(SUBSTITUTE(SUBSTITUTE(INDEX(급여대장_원본!$A$1:$AZ$400,(설정!$B$8+178),설정!$D$23)&amp;"",",",""),"　","")),0))</f>
        <v/>
      </c>
      <c r="M184" s="27">
        <f>IF(설정!$D$24="",0,IFERROR(VALUE(SUBSTITUTE(SUBSTITUTE(INDEX(급여대장_원본!$A$1:$AZ$400,(설정!$B$8+178),설정!$D$24)&amp;"",",",""),"　","")),0))</f>
        <v/>
      </c>
      <c r="N184" s="2">
        <f>IF(OR(설정!$C$17="",IFERROR(MATCH(설정!$C$17,INDEX(급여대장_원본!$A$1:$AZ$400,설정!$B$8,0),0),"")=""),"",IFERROR(VALUE(SUBSTITUTE(INDEX(급여대장_원본!$A$1:$AZ$400,(설정!$B$8+178),IFERROR(MATCH(설정!$C$17,INDEX(급여대장_원본!$A$1:$AZ$400,설정!$B$8,0),0),""))&amp;"",",","")),""))</f>
        <v/>
      </c>
      <c r="O184" s="2">
        <f>IF(OR(설정!$C$18="",IFERROR(MATCH(설정!$C$18,INDEX(급여대장_원본!$A$1:$AZ$400,설정!$B$8,0),0),"")=""),"",IFERROR(VALUE(SUBSTITUTE(INDEX(급여대장_원본!$A$1:$AZ$400,(설정!$B$8+178),IFERROR(MATCH(설정!$C$18,INDEX(급여대장_원본!$A$1:$AZ$400,설정!$B$8,0),0),""))&amp;"",",","")),""))</f>
        <v/>
      </c>
      <c r="P184" s="2">
        <f>IF(OR(설정!$C$19="",IFERROR(MATCH(설정!$C$19,INDEX(급여대장_원본!$A$1:$AZ$400,설정!$B$8,0),0),"")=""),"",IFERROR(VALUE(SUBSTITUTE(INDEX(급여대장_원본!$A$1:$AZ$400,(설정!$B$8+178),IFERROR(MATCH(설정!$C$19,INDEX(급여대장_원본!$A$1:$AZ$400,설정!$B$8,0),0),""))&amp;"",",","")),""))</f>
        <v/>
      </c>
      <c r="Q184" s="2">
        <f>IF(OR(설정!$C$20="",IFERROR(MATCH(설정!$C$20,INDEX(급여대장_원본!$A$1:$AZ$400,설정!$B$8,0),0),"")=""),"",IFERROR(VALUE(SUBSTITUTE(INDEX(급여대장_원본!$A$1:$AZ$400,(설정!$B$8+178),IFERROR(MATCH(설정!$C$20,INDEX(급여대장_원본!$A$1:$AZ$400,설정!$B$8,0),0),""))&amp;"",",","")),""))</f>
        <v/>
      </c>
      <c r="R184" s="2">
        <f>IF(OR(설정!$C$21="",IFERROR(MATCH(설정!$C$21,INDEX(급여대장_원본!$A$1:$AZ$400,설정!$B$8,0),0),"")=""),"",IFERROR(VALUE(SUBSTITUTE(INDEX(급여대장_원본!$A$1:$AZ$400,(설정!$B$8+178),IFERROR(MATCH(설정!$C$21,INDEX(급여대장_원본!$A$1:$AZ$400,설정!$B$8,0),0),""))&amp;"",",","")),""))</f>
        <v/>
      </c>
      <c r="S184" s="2">
        <f>IF(OR(설정!$C$22="",IFERROR(MATCH(설정!$C$22,INDEX(급여대장_원본!$A$1:$AZ$400,설정!$B$8,0),0),"")=""),"",IFERROR(VALUE(SUBSTITUTE(INDEX(급여대장_원본!$A$1:$AZ$400,(설정!$B$8+178),IFERROR(MATCH(설정!$C$22,INDEX(급여대장_원본!$A$1:$AZ$400,설정!$B$8,0),0),""))&amp;"",",","")),""))</f>
        <v/>
      </c>
      <c r="T184" s="2">
        <f>IF(OR(설정!$C$23="",IFERROR(MATCH(설정!$C$23,INDEX(급여대장_원본!$A$1:$AZ$400,설정!$B$8,0),0),"")=""),"",IFERROR(VALUE(SUBSTITUTE(INDEX(급여대장_원본!$A$1:$AZ$400,(설정!$B$8+178),IFERROR(MATCH(설정!$C$23,INDEX(급여대장_원본!$A$1:$AZ$400,설정!$B$8,0),0),""))&amp;"",",","")),""))</f>
        <v/>
      </c>
      <c r="U184" s="2">
        <f>IF(OR(설정!$C$24="",IFERROR(MATCH(설정!$C$24,INDEX(급여대장_원본!$A$1:$AZ$400,설정!$B$8,0),0),"")=""),"",IFERROR(VALUE(SUBSTITUTE(INDEX(급여대장_원본!$A$1:$AZ$400,(설정!$B$8+178),IFERROR(MATCH(설정!$C$24,INDEX(급여대장_원본!$A$1:$AZ$400,설정!$B$8,0),0),""))&amp;"",",","")),""))</f>
        <v/>
      </c>
      <c r="V184" s="27">
        <f>SUM(F184:M184)</f>
        <v/>
      </c>
      <c r="W184" s="27">
        <f>IF(설정!$D$26="",0,IFERROR(VALUE(SUBSTITUTE(SUBSTITUTE(INDEX(급여대장_원본!$A$1:$AZ$400,(설정!$B$8+178),설정!$D$26)&amp;"",",",""),"　","")),0))</f>
        <v/>
      </c>
      <c r="X184" s="27">
        <f>IF(설정!$D$27="",0,IFERROR(VALUE(SUBSTITUTE(SUBSTITUTE(INDEX(급여대장_원본!$A$1:$AZ$400,(설정!$B$8+178),설정!$D$27)&amp;"",",",""),"　","")),0))</f>
        <v/>
      </c>
      <c r="Y184" s="27">
        <f>IF(설정!$D$28="",0,IFERROR(VALUE(SUBSTITUTE(SUBSTITUTE(INDEX(급여대장_원본!$A$1:$AZ$400,(설정!$B$8+178),설정!$D$28)&amp;"",",",""),"　","")),0))</f>
        <v/>
      </c>
      <c r="Z184" s="27">
        <f>IF(설정!$D$29="",0,IFERROR(VALUE(SUBSTITUTE(SUBSTITUTE(INDEX(급여대장_원본!$A$1:$AZ$400,(설정!$B$8+178),설정!$D$29)&amp;"",",",""),"　","")),0))</f>
        <v/>
      </c>
      <c r="AA184" s="27">
        <f>IF(설정!$D$30="",0,IFERROR(VALUE(SUBSTITUTE(SUBSTITUTE(INDEX(급여대장_원본!$A$1:$AZ$400,(설정!$B$8+178),설정!$D$30)&amp;"",",",""),"　","")),0))</f>
        <v/>
      </c>
      <c r="AB184" s="27">
        <f>IF(설정!$D$31="",0,IFERROR(VALUE(SUBSTITUTE(SUBSTITUTE(INDEX(급여대장_원본!$A$1:$AZ$400,(설정!$B$8+178),설정!$D$31)&amp;"",",",""),"　","")),0))</f>
        <v/>
      </c>
      <c r="AC184" s="27">
        <f>IF(설정!$D$32="",0,IFERROR(VALUE(SUBSTITUTE(SUBSTITUTE(INDEX(급여대장_원본!$A$1:$AZ$400,(설정!$B$8+178),설정!$D$32)&amp;"",",",""),"　","")),0))</f>
        <v/>
      </c>
      <c r="AD184" s="27">
        <f>IF(설정!$D$33="",0,IFERROR(VALUE(SUBSTITUTE(SUBSTITUTE(INDEX(급여대장_원본!$A$1:$AZ$400,(설정!$B$8+178),설정!$D$33)&amp;"",",",""),"　","")),0))</f>
        <v/>
      </c>
      <c r="AE184" s="27">
        <f>SUM(W184:AD184)</f>
        <v/>
      </c>
      <c r="AF184" s="27">
        <f>V184-AE184</f>
        <v/>
      </c>
      <c r="AG184" s="27">
        <f>IF(설정!$D$35="","",IF(설정!$D$35="",0,IFERROR(VALUE(SUBSTITUTE(SUBSTITUTE(INDEX(급여대장_원본!$A$1:$AZ$400,(설정!$B$8+178),설정!$D$35)&amp;"",",",""),"　","")),0)))</f>
        <v/>
      </c>
      <c r="AH184" s="27">
        <f>IF(설정!$D$36="","",IF(설정!$D$36="",0,IFERROR(VALUE(SUBSTITUTE(SUBSTITUTE(INDEX(급여대장_원본!$A$1:$AZ$400,(설정!$B$8+178),설정!$D$36)&amp;"",",",""),"　","")),0)))</f>
        <v/>
      </c>
      <c r="AI184" s="27">
        <f>IF(설정!$D$37="","",IF(설정!$D$37="",0,IFERROR(VALUE(SUBSTITUTE(SUBSTITUTE(INDEX(급여대장_원본!$A$1:$AZ$400,(설정!$B$8+178),설정!$D$37)&amp;"",",",""),"　","")),0)))</f>
        <v/>
      </c>
      <c r="AJ184" s="2">
        <f>IFERROR(INDEX($D$7:$D$306,MATCH(178,$B$7:$B$306,0)),"")</f>
        <v/>
      </c>
    </row>
    <row r="185">
      <c r="A185" s="2">
        <f>IF(AND(D185&lt;&gt;"",D185&lt;&gt;"합계",D185&lt;&gt;"총계",D185&lt;&gt;"소계",D185&lt;&gt;"계"),1,0)</f>
        <v/>
      </c>
      <c r="B185" s="2">
        <f>IF(A185=1,SUM($A$7:A185),"")</f>
        <v/>
      </c>
      <c r="C185" s="2">
        <f>IF(설정!$D$13="","",TRIM(SUBSTITUTE(INDEX(급여대장_원본!$A$1:$AZ$400,(설정!$B$8+179),설정!$D$13)&amp;"","　"," ")))</f>
        <v/>
      </c>
      <c r="D185" s="2">
        <f>IF(설정!$D$14="","",TRIM(SUBSTITUTE(INDEX(급여대장_원본!$A$1:$AZ$400,(설정!$B$8+179),설정!$D$14)&amp;"","　"," ")))</f>
        <v/>
      </c>
      <c r="E185" s="2">
        <f>IF(설정!$D$15="","",TRIM(SUBSTITUTE(INDEX(급여대장_원본!$A$1:$AZ$400,(설정!$B$8+179),설정!$D$15)&amp;"","　"," ")))</f>
        <v/>
      </c>
      <c r="F185" s="27">
        <f>IF(설정!$D$17="",0,IFERROR(VALUE(SUBSTITUTE(SUBSTITUTE(INDEX(급여대장_원본!$A$1:$AZ$400,(설정!$B$8+179),설정!$D$17)&amp;"",",",""),"　","")),0))</f>
        <v/>
      </c>
      <c r="G185" s="27">
        <f>IF(설정!$D$18="",0,IFERROR(VALUE(SUBSTITUTE(SUBSTITUTE(INDEX(급여대장_원본!$A$1:$AZ$400,(설정!$B$8+179),설정!$D$18)&amp;"",",",""),"　","")),0))</f>
        <v/>
      </c>
      <c r="H185" s="27">
        <f>IF(설정!$D$19="",0,IFERROR(VALUE(SUBSTITUTE(SUBSTITUTE(INDEX(급여대장_원본!$A$1:$AZ$400,(설정!$B$8+179),설정!$D$19)&amp;"",",",""),"　","")),0))</f>
        <v/>
      </c>
      <c r="I185" s="27">
        <f>IF(설정!$D$20="",0,IFERROR(VALUE(SUBSTITUTE(SUBSTITUTE(INDEX(급여대장_원본!$A$1:$AZ$400,(설정!$B$8+179),설정!$D$20)&amp;"",",",""),"　","")),0))</f>
        <v/>
      </c>
      <c r="J185" s="27">
        <f>IF(설정!$D$21="",0,IFERROR(VALUE(SUBSTITUTE(SUBSTITUTE(INDEX(급여대장_원본!$A$1:$AZ$400,(설정!$B$8+179),설정!$D$21)&amp;"",",",""),"　","")),0))</f>
        <v/>
      </c>
      <c r="K185" s="27">
        <f>IF(설정!$D$22="",0,IFERROR(VALUE(SUBSTITUTE(SUBSTITUTE(INDEX(급여대장_원본!$A$1:$AZ$400,(설정!$B$8+179),설정!$D$22)&amp;"",",",""),"　","")),0))</f>
        <v/>
      </c>
      <c r="L185" s="27">
        <f>IF(설정!$D$23="",0,IFERROR(VALUE(SUBSTITUTE(SUBSTITUTE(INDEX(급여대장_원본!$A$1:$AZ$400,(설정!$B$8+179),설정!$D$23)&amp;"",",",""),"　","")),0))</f>
        <v/>
      </c>
      <c r="M185" s="27">
        <f>IF(설정!$D$24="",0,IFERROR(VALUE(SUBSTITUTE(SUBSTITUTE(INDEX(급여대장_원본!$A$1:$AZ$400,(설정!$B$8+179),설정!$D$24)&amp;"",",",""),"　","")),0))</f>
        <v/>
      </c>
      <c r="N185" s="2">
        <f>IF(OR(설정!$C$17="",IFERROR(MATCH(설정!$C$17,INDEX(급여대장_원본!$A$1:$AZ$400,설정!$B$8,0),0),"")=""),"",IFERROR(VALUE(SUBSTITUTE(INDEX(급여대장_원본!$A$1:$AZ$400,(설정!$B$8+179),IFERROR(MATCH(설정!$C$17,INDEX(급여대장_원본!$A$1:$AZ$400,설정!$B$8,0),0),""))&amp;"",",","")),""))</f>
        <v/>
      </c>
      <c r="O185" s="2">
        <f>IF(OR(설정!$C$18="",IFERROR(MATCH(설정!$C$18,INDEX(급여대장_원본!$A$1:$AZ$400,설정!$B$8,0),0),"")=""),"",IFERROR(VALUE(SUBSTITUTE(INDEX(급여대장_원본!$A$1:$AZ$400,(설정!$B$8+179),IFERROR(MATCH(설정!$C$18,INDEX(급여대장_원본!$A$1:$AZ$400,설정!$B$8,0),0),""))&amp;"",",","")),""))</f>
        <v/>
      </c>
      <c r="P185" s="2">
        <f>IF(OR(설정!$C$19="",IFERROR(MATCH(설정!$C$19,INDEX(급여대장_원본!$A$1:$AZ$400,설정!$B$8,0),0),"")=""),"",IFERROR(VALUE(SUBSTITUTE(INDEX(급여대장_원본!$A$1:$AZ$400,(설정!$B$8+179),IFERROR(MATCH(설정!$C$19,INDEX(급여대장_원본!$A$1:$AZ$400,설정!$B$8,0),0),""))&amp;"",",","")),""))</f>
        <v/>
      </c>
      <c r="Q185" s="2">
        <f>IF(OR(설정!$C$20="",IFERROR(MATCH(설정!$C$20,INDEX(급여대장_원본!$A$1:$AZ$400,설정!$B$8,0),0),"")=""),"",IFERROR(VALUE(SUBSTITUTE(INDEX(급여대장_원본!$A$1:$AZ$400,(설정!$B$8+179),IFERROR(MATCH(설정!$C$20,INDEX(급여대장_원본!$A$1:$AZ$400,설정!$B$8,0),0),""))&amp;"",",","")),""))</f>
        <v/>
      </c>
      <c r="R185" s="2">
        <f>IF(OR(설정!$C$21="",IFERROR(MATCH(설정!$C$21,INDEX(급여대장_원본!$A$1:$AZ$400,설정!$B$8,0),0),"")=""),"",IFERROR(VALUE(SUBSTITUTE(INDEX(급여대장_원본!$A$1:$AZ$400,(설정!$B$8+179),IFERROR(MATCH(설정!$C$21,INDEX(급여대장_원본!$A$1:$AZ$400,설정!$B$8,0),0),""))&amp;"",",","")),""))</f>
        <v/>
      </c>
      <c r="S185" s="2">
        <f>IF(OR(설정!$C$22="",IFERROR(MATCH(설정!$C$22,INDEX(급여대장_원본!$A$1:$AZ$400,설정!$B$8,0),0),"")=""),"",IFERROR(VALUE(SUBSTITUTE(INDEX(급여대장_원본!$A$1:$AZ$400,(설정!$B$8+179),IFERROR(MATCH(설정!$C$22,INDEX(급여대장_원본!$A$1:$AZ$400,설정!$B$8,0),0),""))&amp;"",",","")),""))</f>
        <v/>
      </c>
      <c r="T185" s="2">
        <f>IF(OR(설정!$C$23="",IFERROR(MATCH(설정!$C$23,INDEX(급여대장_원본!$A$1:$AZ$400,설정!$B$8,0),0),"")=""),"",IFERROR(VALUE(SUBSTITUTE(INDEX(급여대장_원본!$A$1:$AZ$400,(설정!$B$8+179),IFERROR(MATCH(설정!$C$23,INDEX(급여대장_원본!$A$1:$AZ$400,설정!$B$8,0),0),""))&amp;"",",","")),""))</f>
        <v/>
      </c>
      <c r="U185" s="2">
        <f>IF(OR(설정!$C$24="",IFERROR(MATCH(설정!$C$24,INDEX(급여대장_원본!$A$1:$AZ$400,설정!$B$8,0),0),"")=""),"",IFERROR(VALUE(SUBSTITUTE(INDEX(급여대장_원본!$A$1:$AZ$400,(설정!$B$8+179),IFERROR(MATCH(설정!$C$24,INDEX(급여대장_원본!$A$1:$AZ$400,설정!$B$8,0),0),""))&amp;"",",","")),""))</f>
        <v/>
      </c>
      <c r="V185" s="27">
        <f>SUM(F185:M185)</f>
        <v/>
      </c>
      <c r="W185" s="27">
        <f>IF(설정!$D$26="",0,IFERROR(VALUE(SUBSTITUTE(SUBSTITUTE(INDEX(급여대장_원본!$A$1:$AZ$400,(설정!$B$8+179),설정!$D$26)&amp;"",",",""),"　","")),0))</f>
        <v/>
      </c>
      <c r="X185" s="27">
        <f>IF(설정!$D$27="",0,IFERROR(VALUE(SUBSTITUTE(SUBSTITUTE(INDEX(급여대장_원본!$A$1:$AZ$400,(설정!$B$8+179),설정!$D$27)&amp;"",",",""),"　","")),0))</f>
        <v/>
      </c>
      <c r="Y185" s="27">
        <f>IF(설정!$D$28="",0,IFERROR(VALUE(SUBSTITUTE(SUBSTITUTE(INDEX(급여대장_원본!$A$1:$AZ$400,(설정!$B$8+179),설정!$D$28)&amp;"",",",""),"　","")),0))</f>
        <v/>
      </c>
      <c r="Z185" s="27">
        <f>IF(설정!$D$29="",0,IFERROR(VALUE(SUBSTITUTE(SUBSTITUTE(INDEX(급여대장_원본!$A$1:$AZ$400,(설정!$B$8+179),설정!$D$29)&amp;"",",",""),"　","")),0))</f>
        <v/>
      </c>
      <c r="AA185" s="27">
        <f>IF(설정!$D$30="",0,IFERROR(VALUE(SUBSTITUTE(SUBSTITUTE(INDEX(급여대장_원본!$A$1:$AZ$400,(설정!$B$8+179),설정!$D$30)&amp;"",",",""),"　","")),0))</f>
        <v/>
      </c>
      <c r="AB185" s="27">
        <f>IF(설정!$D$31="",0,IFERROR(VALUE(SUBSTITUTE(SUBSTITUTE(INDEX(급여대장_원본!$A$1:$AZ$400,(설정!$B$8+179),설정!$D$31)&amp;"",",",""),"　","")),0))</f>
        <v/>
      </c>
      <c r="AC185" s="27">
        <f>IF(설정!$D$32="",0,IFERROR(VALUE(SUBSTITUTE(SUBSTITUTE(INDEX(급여대장_원본!$A$1:$AZ$400,(설정!$B$8+179),설정!$D$32)&amp;"",",",""),"　","")),0))</f>
        <v/>
      </c>
      <c r="AD185" s="27">
        <f>IF(설정!$D$33="",0,IFERROR(VALUE(SUBSTITUTE(SUBSTITUTE(INDEX(급여대장_원본!$A$1:$AZ$400,(설정!$B$8+179),설정!$D$33)&amp;"",",",""),"　","")),0))</f>
        <v/>
      </c>
      <c r="AE185" s="27">
        <f>SUM(W185:AD185)</f>
        <v/>
      </c>
      <c r="AF185" s="27">
        <f>V185-AE185</f>
        <v/>
      </c>
      <c r="AG185" s="27">
        <f>IF(설정!$D$35="","",IF(설정!$D$35="",0,IFERROR(VALUE(SUBSTITUTE(SUBSTITUTE(INDEX(급여대장_원본!$A$1:$AZ$400,(설정!$B$8+179),설정!$D$35)&amp;"",",",""),"　","")),0)))</f>
        <v/>
      </c>
      <c r="AH185" s="27">
        <f>IF(설정!$D$36="","",IF(설정!$D$36="",0,IFERROR(VALUE(SUBSTITUTE(SUBSTITUTE(INDEX(급여대장_원본!$A$1:$AZ$400,(설정!$B$8+179),설정!$D$36)&amp;"",",",""),"　","")),0)))</f>
        <v/>
      </c>
      <c r="AI185" s="27">
        <f>IF(설정!$D$37="","",IF(설정!$D$37="",0,IFERROR(VALUE(SUBSTITUTE(SUBSTITUTE(INDEX(급여대장_원본!$A$1:$AZ$400,(설정!$B$8+179),설정!$D$37)&amp;"",",",""),"　","")),0)))</f>
        <v/>
      </c>
      <c r="AJ185" s="2">
        <f>IFERROR(INDEX($D$7:$D$306,MATCH(179,$B$7:$B$306,0)),"")</f>
        <v/>
      </c>
    </row>
    <row r="186">
      <c r="A186" s="2">
        <f>IF(AND(D186&lt;&gt;"",D186&lt;&gt;"합계",D186&lt;&gt;"총계",D186&lt;&gt;"소계",D186&lt;&gt;"계"),1,0)</f>
        <v/>
      </c>
      <c r="B186" s="2">
        <f>IF(A186=1,SUM($A$7:A186),"")</f>
        <v/>
      </c>
      <c r="C186" s="2">
        <f>IF(설정!$D$13="","",TRIM(SUBSTITUTE(INDEX(급여대장_원본!$A$1:$AZ$400,(설정!$B$8+180),설정!$D$13)&amp;"","　"," ")))</f>
        <v/>
      </c>
      <c r="D186" s="2">
        <f>IF(설정!$D$14="","",TRIM(SUBSTITUTE(INDEX(급여대장_원본!$A$1:$AZ$400,(설정!$B$8+180),설정!$D$14)&amp;"","　"," ")))</f>
        <v/>
      </c>
      <c r="E186" s="2">
        <f>IF(설정!$D$15="","",TRIM(SUBSTITUTE(INDEX(급여대장_원본!$A$1:$AZ$400,(설정!$B$8+180),설정!$D$15)&amp;"","　"," ")))</f>
        <v/>
      </c>
      <c r="F186" s="27">
        <f>IF(설정!$D$17="",0,IFERROR(VALUE(SUBSTITUTE(SUBSTITUTE(INDEX(급여대장_원본!$A$1:$AZ$400,(설정!$B$8+180),설정!$D$17)&amp;"",",",""),"　","")),0))</f>
        <v/>
      </c>
      <c r="G186" s="27">
        <f>IF(설정!$D$18="",0,IFERROR(VALUE(SUBSTITUTE(SUBSTITUTE(INDEX(급여대장_원본!$A$1:$AZ$400,(설정!$B$8+180),설정!$D$18)&amp;"",",",""),"　","")),0))</f>
        <v/>
      </c>
      <c r="H186" s="27">
        <f>IF(설정!$D$19="",0,IFERROR(VALUE(SUBSTITUTE(SUBSTITUTE(INDEX(급여대장_원본!$A$1:$AZ$400,(설정!$B$8+180),설정!$D$19)&amp;"",",",""),"　","")),0))</f>
        <v/>
      </c>
      <c r="I186" s="27">
        <f>IF(설정!$D$20="",0,IFERROR(VALUE(SUBSTITUTE(SUBSTITUTE(INDEX(급여대장_원본!$A$1:$AZ$400,(설정!$B$8+180),설정!$D$20)&amp;"",",",""),"　","")),0))</f>
        <v/>
      </c>
      <c r="J186" s="27">
        <f>IF(설정!$D$21="",0,IFERROR(VALUE(SUBSTITUTE(SUBSTITUTE(INDEX(급여대장_원본!$A$1:$AZ$400,(설정!$B$8+180),설정!$D$21)&amp;"",",",""),"　","")),0))</f>
        <v/>
      </c>
      <c r="K186" s="27">
        <f>IF(설정!$D$22="",0,IFERROR(VALUE(SUBSTITUTE(SUBSTITUTE(INDEX(급여대장_원본!$A$1:$AZ$400,(설정!$B$8+180),설정!$D$22)&amp;"",",",""),"　","")),0))</f>
        <v/>
      </c>
      <c r="L186" s="27">
        <f>IF(설정!$D$23="",0,IFERROR(VALUE(SUBSTITUTE(SUBSTITUTE(INDEX(급여대장_원본!$A$1:$AZ$400,(설정!$B$8+180),설정!$D$23)&amp;"",",",""),"　","")),0))</f>
        <v/>
      </c>
      <c r="M186" s="27">
        <f>IF(설정!$D$24="",0,IFERROR(VALUE(SUBSTITUTE(SUBSTITUTE(INDEX(급여대장_원본!$A$1:$AZ$400,(설정!$B$8+180),설정!$D$24)&amp;"",",",""),"　","")),0))</f>
        <v/>
      </c>
      <c r="N186" s="2">
        <f>IF(OR(설정!$C$17="",IFERROR(MATCH(설정!$C$17,INDEX(급여대장_원본!$A$1:$AZ$400,설정!$B$8,0),0),"")=""),"",IFERROR(VALUE(SUBSTITUTE(INDEX(급여대장_원본!$A$1:$AZ$400,(설정!$B$8+180),IFERROR(MATCH(설정!$C$17,INDEX(급여대장_원본!$A$1:$AZ$400,설정!$B$8,0),0),""))&amp;"",",","")),""))</f>
        <v/>
      </c>
      <c r="O186" s="2">
        <f>IF(OR(설정!$C$18="",IFERROR(MATCH(설정!$C$18,INDEX(급여대장_원본!$A$1:$AZ$400,설정!$B$8,0),0),"")=""),"",IFERROR(VALUE(SUBSTITUTE(INDEX(급여대장_원본!$A$1:$AZ$400,(설정!$B$8+180),IFERROR(MATCH(설정!$C$18,INDEX(급여대장_원본!$A$1:$AZ$400,설정!$B$8,0),0),""))&amp;"",",","")),""))</f>
        <v/>
      </c>
      <c r="P186" s="2">
        <f>IF(OR(설정!$C$19="",IFERROR(MATCH(설정!$C$19,INDEX(급여대장_원본!$A$1:$AZ$400,설정!$B$8,0),0),"")=""),"",IFERROR(VALUE(SUBSTITUTE(INDEX(급여대장_원본!$A$1:$AZ$400,(설정!$B$8+180),IFERROR(MATCH(설정!$C$19,INDEX(급여대장_원본!$A$1:$AZ$400,설정!$B$8,0),0),""))&amp;"",",","")),""))</f>
        <v/>
      </c>
      <c r="Q186" s="2">
        <f>IF(OR(설정!$C$20="",IFERROR(MATCH(설정!$C$20,INDEX(급여대장_원본!$A$1:$AZ$400,설정!$B$8,0),0),"")=""),"",IFERROR(VALUE(SUBSTITUTE(INDEX(급여대장_원본!$A$1:$AZ$400,(설정!$B$8+180),IFERROR(MATCH(설정!$C$20,INDEX(급여대장_원본!$A$1:$AZ$400,설정!$B$8,0),0),""))&amp;"",",","")),""))</f>
        <v/>
      </c>
      <c r="R186" s="2">
        <f>IF(OR(설정!$C$21="",IFERROR(MATCH(설정!$C$21,INDEX(급여대장_원본!$A$1:$AZ$400,설정!$B$8,0),0),"")=""),"",IFERROR(VALUE(SUBSTITUTE(INDEX(급여대장_원본!$A$1:$AZ$400,(설정!$B$8+180),IFERROR(MATCH(설정!$C$21,INDEX(급여대장_원본!$A$1:$AZ$400,설정!$B$8,0),0),""))&amp;"",",","")),""))</f>
        <v/>
      </c>
      <c r="S186" s="2">
        <f>IF(OR(설정!$C$22="",IFERROR(MATCH(설정!$C$22,INDEX(급여대장_원본!$A$1:$AZ$400,설정!$B$8,0),0),"")=""),"",IFERROR(VALUE(SUBSTITUTE(INDEX(급여대장_원본!$A$1:$AZ$400,(설정!$B$8+180),IFERROR(MATCH(설정!$C$22,INDEX(급여대장_원본!$A$1:$AZ$400,설정!$B$8,0),0),""))&amp;"",",","")),""))</f>
        <v/>
      </c>
      <c r="T186" s="2">
        <f>IF(OR(설정!$C$23="",IFERROR(MATCH(설정!$C$23,INDEX(급여대장_원본!$A$1:$AZ$400,설정!$B$8,0),0),"")=""),"",IFERROR(VALUE(SUBSTITUTE(INDEX(급여대장_원본!$A$1:$AZ$400,(설정!$B$8+180),IFERROR(MATCH(설정!$C$23,INDEX(급여대장_원본!$A$1:$AZ$400,설정!$B$8,0),0),""))&amp;"",",","")),""))</f>
        <v/>
      </c>
      <c r="U186" s="2">
        <f>IF(OR(설정!$C$24="",IFERROR(MATCH(설정!$C$24,INDEX(급여대장_원본!$A$1:$AZ$400,설정!$B$8,0),0),"")=""),"",IFERROR(VALUE(SUBSTITUTE(INDEX(급여대장_원본!$A$1:$AZ$400,(설정!$B$8+180),IFERROR(MATCH(설정!$C$24,INDEX(급여대장_원본!$A$1:$AZ$400,설정!$B$8,0),0),""))&amp;"",",","")),""))</f>
        <v/>
      </c>
      <c r="V186" s="27">
        <f>SUM(F186:M186)</f>
        <v/>
      </c>
      <c r="W186" s="27">
        <f>IF(설정!$D$26="",0,IFERROR(VALUE(SUBSTITUTE(SUBSTITUTE(INDEX(급여대장_원본!$A$1:$AZ$400,(설정!$B$8+180),설정!$D$26)&amp;"",",",""),"　","")),0))</f>
        <v/>
      </c>
      <c r="X186" s="27">
        <f>IF(설정!$D$27="",0,IFERROR(VALUE(SUBSTITUTE(SUBSTITUTE(INDEX(급여대장_원본!$A$1:$AZ$400,(설정!$B$8+180),설정!$D$27)&amp;"",",",""),"　","")),0))</f>
        <v/>
      </c>
      <c r="Y186" s="27">
        <f>IF(설정!$D$28="",0,IFERROR(VALUE(SUBSTITUTE(SUBSTITUTE(INDEX(급여대장_원본!$A$1:$AZ$400,(설정!$B$8+180),설정!$D$28)&amp;"",",",""),"　","")),0))</f>
        <v/>
      </c>
      <c r="Z186" s="27">
        <f>IF(설정!$D$29="",0,IFERROR(VALUE(SUBSTITUTE(SUBSTITUTE(INDEX(급여대장_원본!$A$1:$AZ$400,(설정!$B$8+180),설정!$D$29)&amp;"",",",""),"　","")),0))</f>
        <v/>
      </c>
      <c r="AA186" s="27">
        <f>IF(설정!$D$30="",0,IFERROR(VALUE(SUBSTITUTE(SUBSTITUTE(INDEX(급여대장_원본!$A$1:$AZ$400,(설정!$B$8+180),설정!$D$30)&amp;"",",",""),"　","")),0))</f>
        <v/>
      </c>
      <c r="AB186" s="27">
        <f>IF(설정!$D$31="",0,IFERROR(VALUE(SUBSTITUTE(SUBSTITUTE(INDEX(급여대장_원본!$A$1:$AZ$400,(설정!$B$8+180),설정!$D$31)&amp;"",",",""),"　","")),0))</f>
        <v/>
      </c>
      <c r="AC186" s="27">
        <f>IF(설정!$D$32="",0,IFERROR(VALUE(SUBSTITUTE(SUBSTITUTE(INDEX(급여대장_원본!$A$1:$AZ$400,(설정!$B$8+180),설정!$D$32)&amp;"",",",""),"　","")),0))</f>
        <v/>
      </c>
      <c r="AD186" s="27">
        <f>IF(설정!$D$33="",0,IFERROR(VALUE(SUBSTITUTE(SUBSTITUTE(INDEX(급여대장_원본!$A$1:$AZ$400,(설정!$B$8+180),설정!$D$33)&amp;"",",",""),"　","")),0))</f>
        <v/>
      </c>
      <c r="AE186" s="27">
        <f>SUM(W186:AD186)</f>
        <v/>
      </c>
      <c r="AF186" s="27">
        <f>V186-AE186</f>
        <v/>
      </c>
      <c r="AG186" s="27">
        <f>IF(설정!$D$35="","",IF(설정!$D$35="",0,IFERROR(VALUE(SUBSTITUTE(SUBSTITUTE(INDEX(급여대장_원본!$A$1:$AZ$400,(설정!$B$8+180),설정!$D$35)&amp;"",",",""),"　","")),0)))</f>
        <v/>
      </c>
      <c r="AH186" s="27">
        <f>IF(설정!$D$36="","",IF(설정!$D$36="",0,IFERROR(VALUE(SUBSTITUTE(SUBSTITUTE(INDEX(급여대장_원본!$A$1:$AZ$400,(설정!$B$8+180),설정!$D$36)&amp;"",",",""),"　","")),0)))</f>
        <v/>
      </c>
      <c r="AI186" s="27">
        <f>IF(설정!$D$37="","",IF(설정!$D$37="",0,IFERROR(VALUE(SUBSTITUTE(SUBSTITUTE(INDEX(급여대장_원본!$A$1:$AZ$400,(설정!$B$8+180),설정!$D$37)&amp;"",",",""),"　","")),0)))</f>
        <v/>
      </c>
      <c r="AJ186" s="2">
        <f>IFERROR(INDEX($D$7:$D$306,MATCH(180,$B$7:$B$306,0)),"")</f>
        <v/>
      </c>
    </row>
    <row r="187">
      <c r="A187" s="2">
        <f>IF(AND(D187&lt;&gt;"",D187&lt;&gt;"합계",D187&lt;&gt;"총계",D187&lt;&gt;"소계",D187&lt;&gt;"계"),1,0)</f>
        <v/>
      </c>
      <c r="B187" s="2">
        <f>IF(A187=1,SUM($A$7:A187),"")</f>
        <v/>
      </c>
      <c r="C187" s="2">
        <f>IF(설정!$D$13="","",TRIM(SUBSTITUTE(INDEX(급여대장_원본!$A$1:$AZ$400,(설정!$B$8+181),설정!$D$13)&amp;"","　"," ")))</f>
        <v/>
      </c>
      <c r="D187" s="2">
        <f>IF(설정!$D$14="","",TRIM(SUBSTITUTE(INDEX(급여대장_원본!$A$1:$AZ$400,(설정!$B$8+181),설정!$D$14)&amp;"","　"," ")))</f>
        <v/>
      </c>
      <c r="E187" s="2">
        <f>IF(설정!$D$15="","",TRIM(SUBSTITUTE(INDEX(급여대장_원본!$A$1:$AZ$400,(설정!$B$8+181),설정!$D$15)&amp;"","　"," ")))</f>
        <v/>
      </c>
      <c r="F187" s="27">
        <f>IF(설정!$D$17="",0,IFERROR(VALUE(SUBSTITUTE(SUBSTITUTE(INDEX(급여대장_원본!$A$1:$AZ$400,(설정!$B$8+181),설정!$D$17)&amp;"",",",""),"　","")),0))</f>
        <v/>
      </c>
      <c r="G187" s="27">
        <f>IF(설정!$D$18="",0,IFERROR(VALUE(SUBSTITUTE(SUBSTITUTE(INDEX(급여대장_원본!$A$1:$AZ$400,(설정!$B$8+181),설정!$D$18)&amp;"",",",""),"　","")),0))</f>
        <v/>
      </c>
      <c r="H187" s="27">
        <f>IF(설정!$D$19="",0,IFERROR(VALUE(SUBSTITUTE(SUBSTITUTE(INDEX(급여대장_원본!$A$1:$AZ$400,(설정!$B$8+181),설정!$D$19)&amp;"",",",""),"　","")),0))</f>
        <v/>
      </c>
      <c r="I187" s="27">
        <f>IF(설정!$D$20="",0,IFERROR(VALUE(SUBSTITUTE(SUBSTITUTE(INDEX(급여대장_원본!$A$1:$AZ$400,(설정!$B$8+181),설정!$D$20)&amp;"",",",""),"　","")),0))</f>
        <v/>
      </c>
      <c r="J187" s="27">
        <f>IF(설정!$D$21="",0,IFERROR(VALUE(SUBSTITUTE(SUBSTITUTE(INDEX(급여대장_원본!$A$1:$AZ$400,(설정!$B$8+181),설정!$D$21)&amp;"",",",""),"　","")),0))</f>
        <v/>
      </c>
      <c r="K187" s="27">
        <f>IF(설정!$D$22="",0,IFERROR(VALUE(SUBSTITUTE(SUBSTITUTE(INDEX(급여대장_원본!$A$1:$AZ$400,(설정!$B$8+181),설정!$D$22)&amp;"",",",""),"　","")),0))</f>
        <v/>
      </c>
      <c r="L187" s="27">
        <f>IF(설정!$D$23="",0,IFERROR(VALUE(SUBSTITUTE(SUBSTITUTE(INDEX(급여대장_원본!$A$1:$AZ$400,(설정!$B$8+181),설정!$D$23)&amp;"",",",""),"　","")),0))</f>
        <v/>
      </c>
      <c r="M187" s="27">
        <f>IF(설정!$D$24="",0,IFERROR(VALUE(SUBSTITUTE(SUBSTITUTE(INDEX(급여대장_원본!$A$1:$AZ$400,(설정!$B$8+181),설정!$D$24)&amp;"",",",""),"　","")),0))</f>
        <v/>
      </c>
      <c r="N187" s="2">
        <f>IF(OR(설정!$C$17="",IFERROR(MATCH(설정!$C$17,INDEX(급여대장_원본!$A$1:$AZ$400,설정!$B$8,0),0),"")=""),"",IFERROR(VALUE(SUBSTITUTE(INDEX(급여대장_원본!$A$1:$AZ$400,(설정!$B$8+181),IFERROR(MATCH(설정!$C$17,INDEX(급여대장_원본!$A$1:$AZ$400,설정!$B$8,0),0),""))&amp;"",",","")),""))</f>
        <v/>
      </c>
      <c r="O187" s="2">
        <f>IF(OR(설정!$C$18="",IFERROR(MATCH(설정!$C$18,INDEX(급여대장_원본!$A$1:$AZ$400,설정!$B$8,0),0),"")=""),"",IFERROR(VALUE(SUBSTITUTE(INDEX(급여대장_원본!$A$1:$AZ$400,(설정!$B$8+181),IFERROR(MATCH(설정!$C$18,INDEX(급여대장_원본!$A$1:$AZ$400,설정!$B$8,0),0),""))&amp;"",",","")),""))</f>
        <v/>
      </c>
      <c r="P187" s="2">
        <f>IF(OR(설정!$C$19="",IFERROR(MATCH(설정!$C$19,INDEX(급여대장_원본!$A$1:$AZ$400,설정!$B$8,0),0),"")=""),"",IFERROR(VALUE(SUBSTITUTE(INDEX(급여대장_원본!$A$1:$AZ$400,(설정!$B$8+181),IFERROR(MATCH(설정!$C$19,INDEX(급여대장_원본!$A$1:$AZ$400,설정!$B$8,0),0),""))&amp;"",",","")),""))</f>
        <v/>
      </c>
      <c r="Q187" s="2">
        <f>IF(OR(설정!$C$20="",IFERROR(MATCH(설정!$C$20,INDEX(급여대장_원본!$A$1:$AZ$400,설정!$B$8,0),0),"")=""),"",IFERROR(VALUE(SUBSTITUTE(INDEX(급여대장_원본!$A$1:$AZ$400,(설정!$B$8+181),IFERROR(MATCH(설정!$C$20,INDEX(급여대장_원본!$A$1:$AZ$400,설정!$B$8,0),0),""))&amp;"",",","")),""))</f>
        <v/>
      </c>
      <c r="R187" s="2">
        <f>IF(OR(설정!$C$21="",IFERROR(MATCH(설정!$C$21,INDEX(급여대장_원본!$A$1:$AZ$400,설정!$B$8,0),0),"")=""),"",IFERROR(VALUE(SUBSTITUTE(INDEX(급여대장_원본!$A$1:$AZ$400,(설정!$B$8+181),IFERROR(MATCH(설정!$C$21,INDEX(급여대장_원본!$A$1:$AZ$400,설정!$B$8,0),0),""))&amp;"",",","")),""))</f>
        <v/>
      </c>
      <c r="S187" s="2">
        <f>IF(OR(설정!$C$22="",IFERROR(MATCH(설정!$C$22,INDEX(급여대장_원본!$A$1:$AZ$400,설정!$B$8,0),0),"")=""),"",IFERROR(VALUE(SUBSTITUTE(INDEX(급여대장_원본!$A$1:$AZ$400,(설정!$B$8+181),IFERROR(MATCH(설정!$C$22,INDEX(급여대장_원본!$A$1:$AZ$400,설정!$B$8,0),0),""))&amp;"",",","")),""))</f>
        <v/>
      </c>
      <c r="T187" s="2">
        <f>IF(OR(설정!$C$23="",IFERROR(MATCH(설정!$C$23,INDEX(급여대장_원본!$A$1:$AZ$400,설정!$B$8,0),0),"")=""),"",IFERROR(VALUE(SUBSTITUTE(INDEX(급여대장_원본!$A$1:$AZ$400,(설정!$B$8+181),IFERROR(MATCH(설정!$C$23,INDEX(급여대장_원본!$A$1:$AZ$400,설정!$B$8,0),0),""))&amp;"",",","")),""))</f>
        <v/>
      </c>
      <c r="U187" s="2">
        <f>IF(OR(설정!$C$24="",IFERROR(MATCH(설정!$C$24,INDEX(급여대장_원본!$A$1:$AZ$400,설정!$B$8,0),0),"")=""),"",IFERROR(VALUE(SUBSTITUTE(INDEX(급여대장_원본!$A$1:$AZ$400,(설정!$B$8+181),IFERROR(MATCH(설정!$C$24,INDEX(급여대장_원본!$A$1:$AZ$400,설정!$B$8,0),0),""))&amp;"",",","")),""))</f>
        <v/>
      </c>
      <c r="V187" s="27">
        <f>SUM(F187:M187)</f>
        <v/>
      </c>
      <c r="W187" s="27">
        <f>IF(설정!$D$26="",0,IFERROR(VALUE(SUBSTITUTE(SUBSTITUTE(INDEX(급여대장_원본!$A$1:$AZ$400,(설정!$B$8+181),설정!$D$26)&amp;"",",",""),"　","")),0))</f>
        <v/>
      </c>
      <c r="X187" s="27">
        <f>IF(설정!$D$27="",0,IFERROR(VALUE(SUBSTITUTE(SUBSTITUTE(INDEX(급여대장_원본!$A$1:$AZ$400,(설정!$B$8+181),설정!$D$27)&amp;"",",",""),"　","")),0))</f>
        <v/>
      </c>
      <c r="Y187" s="27">
        <f>IF(설정!$D$28="",0,IFERROR(VALUE(SUBSTITUTE(SUBSTITUTE(INDEX(급여대장_원본!$A$1:$AZ$400,(설정!$B$8+181),설정!$D$28)&amp;"",",",""),"　","")),0))</f>
        <v/>
      </c>
      <c r="Z187" s="27">
        <f>IF(설정!$D$29="",0,IFERROR(VALUE(SUBSTITUTE(SUBSTITUTE(INDEX(급여대장_원본!$A$1:$AZ$400,(설정!$B$8+181),설정!$D$29)&amp;"",",",""),"　","")),0))</f>
        <v/>
      </c>
      <c r="AA187" s="27">
        <f>IF(설정!$D$30="",0,IFERROR(VALUE(SUBSTITUTE(SUBSTITUTE(INDEX(급여대장_원본!$A$1:$AZ$400,(설정!$B$8+181),설정!$D$30)&amp;"",",",""),"　","")),0))</f>
        <v/>
      </c>
      <c r="AB187" s="27">
        <f>IF(설정!$D$31="",0,IFERROR(VALUE(SUBSTITUTE(SUBSTITUTE(INDEX(급여대장_원본!$A$1:$AZ$400,(설정!$B$8+181),설정!$D$31)&amp;"",",",""),"　","")),0))</f>
        <v/>
      </c>
      <c r="AC187" s="27">
        <f>IF(설정!$D$32="",0,IFERROR(VALUE(SUBSTITUTE(SUBSTITUTE(INDEX(급여대장_원본!$A$1:$AZ$400,(설정!$B$8+181),설정!$D$32)&amp;"",",",""),"　","")),0))</f>
        <v/>
      </c>
      <c r="AD187" s="27">
        <f>IF(설정!$D$33="",0,IFERROR(VALUE(SUBSTITUTE(SUBSTITUTE(INDEX(급여대장_원본!$A$1:$AZ$400,(설정!$B$8+181),설정!$D$33)&amp;"",",",""),"　","")),0))</f>
        <v/>
      </c>
      <c r="AE187" s="27">
        <f>SUM(W187:AD187)</f>
        <v/>
      </c>
      <c r="AF187" s="27">
        <f>V187-AE187</f>
        <v/>
      </c>
      <c r="AG187" s="27">
        <f>IF(설정!$D$35="","",IF(설정!$D$35="",0,IFERROR(VALUE(SUBSTITUTE(SUBSTITUTE(INDEX(급여대장_원본!$A$1:$AZ$400,(설정!$B$8+181),설정!$D$35)&amp;"",",",""),"　","")),0)))</f>
        <v/>
      </c>
      <c r="AH187" s="27">
        <f>IF(설정!$D$36="","",IF(설정!$D$36="",0,IFERROR(VALUE(SUBSTITUTE(SUBSTITUTE(INDEX(급여대장_원본!$A$1:$AZ$400,(설정!$B$8+181),설정!$D$36)&amp;"",",",""),"　","")),0)))</f>
        <v/>
      </c>
      <c r="AI187" s="27">
        <f>IF(설정!$D$37="","",IF(설정!$D$37="",0,IFERROR(VALUE(SUBSTITUTE(SUBSTITUTE(INDEX(급여대장_원본!$A$1:$AZ$400,(설정!$B$8+181),설정!$D$37)&amp;"",",",""),"　","")),0)))</f>
        <v/>
      </c>
      <c r="AJ187" s="2">
        <f>IFERROR(INDEX($D$7:$D$306,MATCH(181,$B$7:$B$306,0)),"")</f>
        <v/>
      </c>
    </row>
    <row r="188">
      <c r="A188" s="2">
        <f>IF(AND(D188&lt;&gt;"",D188&lt;&gt;"합계",D188&lt;&gt;"총계",D188&lt;&gt;"소계",D188&lt;&gt;"계"),1,0)</f>
        <v/>
      </c>
      <c r="B188" s="2">
        <f>IF(A188=1,SUM($A$7:A188),"")</f>
        <v/>
      </c>
      <c r="C188" s="2">
        <f>IF(설정!$D$13="","",TRIM(SUBSTITUTE(INDEX(급여대장_원본!$A$1:$AZ$400,(설정!$B$8+182),설정!$D$13)&amp;"","　"," ")))</f>
        <v/>
      </c>
      <c r="D188" s="2">
        <f>IF(설정!$D$14="","",TRIM(SUBSTITUTE(INDEX(급여대장_원본!$A$1:$AZ$400,(설정!$B$8+182),설정!$D$14)&amp;"","　"," ")))</f>
        <v/>
      </c>
      <c r="E188" s="2">
        <f>IF(설정!$D$15="","",TRIM(SUBSTITUTE(INDEX(급여대장_원본!$A$1:$AZ$400,(설정!$B$8+182),설정!$D$15)&amp;"","　"," ")))</f>
        <v/>
      </c>
      <c r="F188" s="27">
        <f>IF(설정!$D$17="",0,IFERROR(VALUE(SUBSTITUTE(SUBSTITUTE(INDEX(급여대장_원본!$A$1:$AZ$400,(설정!$B$8+182),설정!$D$17)&amp;"",",",""),"　","")),0))</f>
        <v/>
      </c>
      <c r="G188" s="27">
        <f>IF(설정!$D$18="",0,IFERROR(VALUE(SUBSTITUTE(SUBSTITUTE(INDEX(급여대장_원본!$A$1:$AZ$400,(설정!$B$8+182),설정!$D$18)&amp;"",",",""),"　","")),0))</f>
        <v/>
      </c>
      <c r="H188" s="27">
        <f>IF(설정!$D$19="",0,IFERROR(VALUE(SUBSTITUTE(SUBSTITUTE(INDEX(급여대장_원본!$A$1:$AZ$400,(설정!$B$8+182),설정!$D$19)&amp;"",",",""),"　","")),0))</f>
        <v/>
      </c>
      <c r="I188" s="27">
        <f>IF(설정!$D$20="",0,IFERROR(VALUE(SUBSTITUTE(SUBSTITUTE(INDEX(급여대장_원본!$A$1:$AZ$400,(설정!$B$8+182),설정!$D$20)&amp;"",",",""),"　","")),0))</f>
        <v/>
      </c>
      <c r="J188" s="27">
        <f>IF(설정!$D$21="",0,IFERROR(VALUE(SUBSTITUTE(SUBSTITUTE(INDEX(급여대장_원본!$A$1:$AZ$400,(설정!$B$8+182),설정!$D$21)&amp;"",",",""),"　","")),0))</f>
        <v/>
      </c>
      <c r="K188" s="27">
        <f>IF(설정!$D$22="",0,IFERROR(VALUE(SUBSTITUTE(SUBSTITUTE(INDEX(급여대장_원본!$A$1:$AZ$400,(설정!$B$8+182),설정!$D$22)&amp;"",",",""),"　","")),0))</f>
        <v/>
      </c>
      <c r="L188" s="27">
        <f>IF(설정!$D$23="",0,IFERROR(VALUE(SUBSTITUTE(SUBSTITUTE(INDEX(급여대장_원본!$A$1:$AZ$400,(설정!$B$8+182),설정!$D$23)&amp;"",",",""),"　","")),0))</f>
        <v/>
      </c>
      <c r="M188" s="27">
        <f>IF(설정!$D$24="",0,IFERROR(VALUE(SUBSTITUTE(SUBSTITUTE(INDEX(급여대장_원본!$A$1:$AZ$400,(설정!$B$8+182),설정!$D$24)&amp;"",",",""),"　","")),0))</f>
        <v/>
      </c>
      <c r="N188" s="2">
        <f>IF(OR(설정!$C$17="",IFERROR(MATCH(설정!$C$17,INDEX(급여대장_원본!$A$1:$AZ$400,설정!$B$8,0),0),"")=""),"",IFERROR(VALUE(SUBSTITUTE(INDEX(급여대장_원본!$A$1:$AZ$400,(설정!$B$8+182),IFERROR(MATCH(설정!$C$17,INDEX(급여대장_원본!$A$1:$AZ$400,설정!$B$8,0),0),""))&amp;"",",","")),""))</f>
        <v/>
      </c>
      <c r="O188" s="2">
        <f>IF(OR(설정!$C$18="",IFERROR(MATCH(설정!$C$18,INDEX(급여대장_원본!$A$1:$AZ$400,설정!$B$8,0),0),"")=""),"",IFERROR(VALUE(SUBSTITUTE(INDEX(급여대장_원본!$A$1:$AZ$400,(설정!$B$8+182),IFERROR(MATCH(설정!$C$18,INDEX(급여대장_원본!$A$1:$AZ$400,설정!$B$8,0),0),""))&amp;"",",","")),""))</f>
        <v/>
      </c>
      <c r="P188" s="2">
        <f>IF(OR(설정!$C$19="",IFERROR(MATCH(설정!$C$19,INDEX(급여대장_원본!$A$1:$AZ$400,설정!$B$8,0),0),"")=""),"",IFERROR(VALUE(SUBSTITUTE(INDEX(급여대장_원본!$A$1:$AZ$400,(설정!$B$8+182),IFERROR(MATCH(설정!$C$19,INDEX(급여대장_원본!$A$1:$AZ$400,설정!$B$8,0),0),""))&amp;"",",","")),""))</f>
        <v/>
      </c>
      <c r="Q188" s="2">
        <f>IF(OR(설정!$C$20="",IFERROR(MATCH(설정!$C$20,INDEX(급여대장_원본!$A$1:$AZ$400,설정!$B$8,0),0),"")=""),"",IFERROR(VALUE(SUBSTITUTE(INDEX(급여대장_원본!$A$1:$AZ$400,(설정!$B$8+182),IFERROR(MATCH(설정!$C$20,INDEX(급여대장_원본!$A$1:$AZ$400,설정!$B$8,0),0),""))&amp;"",",","")),""))</f>
        <v/>
      </c>
      <c r="R188" s="2">
        <f>IF(OR(설정!$C$21="",IFERROR(MATCH(설정!$C$21,INDEX(급여대장_원본!$A$1:$AZ$400,설정!$B$8,0),0),"")=""),"",IFERROR(VALUE(SUBSTITUTE(INDEX(급여대장_원본!$A$1:$AZ$400,(설정!$B$8+182),IFERROR(MATCH(설정!$C$21,INDEX(급여대장_원본!$A$1:$AZ$400,설정!$B$8,0),0),""))&amp;"",",","")),""))</f>
        <v/>
      </c>
      <c r="S188" s="2">
        <f>IF(OR(설정!$C$22="",IFERROR(MATCH(설정!$C$22,INDEX(급여대장_원본!$A$1:$AZ$400,설정!$B$8,0),0),"")=""),"",IFERROR(VALUE(SUBSTITUTE(INDEX(급여대장_원본!$A$1:$AZ$400,(설정!$B$8+182),IFERROR(MATCH(설정!$C$22,INDEX(급여대장_원본!$A$1:$AZ$400,설정!$B$8,0),0),""))&amp;"",",","")),""))</f>
        <v/>
      </c>
      <c r="T188" s="2">
        <f>IF(OR(설정!$C$23="",IFERROR(MATCH(설정!$C$23,INDEX(급여대장_원본!$A$1:$AZ$400,설정!$B$8,0),0),"")=""),"",IFERROR(VALUE(SUBSTITUTE(INDEX(급여대장_원본!$A$1:$AZ$400,(설정!$B$8+182),IFERROR(MATCH(설정!$C$23,INDEX(급여대장_원본!$A$1:$AZ$400,설정!$B$8,0),0),""))&amp;"",",","")),""))</f>
        <v/>
      </c>
      <c r="U188" s="2">
        <f>IF(OR(설정!$C$24="",IFERROR(MATCH(설정!$C$24,INDEX(급여대장_원본!$A$1:$AZ$400,설정!$B$8,0),0),"")=""),"",IFERROR(VALUE(SUBSTITUTE(INDEX(급여대장_원본!$A$1:$AZ$400,(설정!$B$8+182),IFERROR(MATCH(설정!$C$24,INDEX(급여대장_원본!$A$1:$AZ$400,설정!$B$8,0),0),""))&amp;"",",","")),""))</f>
        <v/>
      </c>
      <c r="V188" s="27">
        <f>SUM(F188:M188)</f>
        <v/>
      </c>
      <c r="W188" s="27">
        <f>IF(설정!$D$26="",0,IFERROR(VALUE(SUBSTITUTE(SUBSTITUTE(INDEX(급여대장_원본!$A$1:$AZ$400,(설정!$B$8+182),설정!$D$26)&amp;"",",",""),"　","")),0))</f>
        <v/>
      </c>
      <c r="X188" s="27">
        <f>IF(설정!$D$27="",0,IFERROR(VALUE(SUBSTITUTE(SUBSTITUTE(INDEX(급여대장_원본!$A$1:$AZ$400,(설정!$B$8+182),설정!$D$27)&amp;"",",",""),"　","")),0))</f>
        <v/>
      </c>
      <c r="Y188" s="27">
        <f>IF(설정!$D$28="",0,IFERROR(VALUE(SUBSTITUTE(SUBSTITUTE(INDEX(급여대장_원본!$A$1:$AZ$400,(설정!$B$8+182),설정!$D$28)&amp;"",",",""),"　","")),0))</f>
        <v/>
      </c>
      <c r="Z188" s="27">
        <f>IF(설정!$D$29="",0,IFERROR(VALUE(SUBSTITUTE(SUBSTITUTE(INDEX(급여대장_원본!$A$1:$AZ$400,(설정!$B$8+182),설정!$D$29)&amp;"",",",""),"　","")),0))</f>
        <v/>
      </c>
      <c r="AA188" s="27">
        <f>IF(설정!$D$30="",0,IFERROR(VALUE(SUBSTITUTE(SUBSTITUTE(INDEX(급여대장_원본!$A$1:$AZ$400,(설정!$B$8+182),설정!$D$30)&amp;"",",",""),"　","")),0))</f>
        <v/>
      </c>
      <c r="AB188" s="27">
        <f>IF(설정!$D$31="",0,IFERROR(VALUE(SUBSTITUTE(SUBSTITUTE(INDEX(급여대장_원본!$A$1:$AZ$400,(설정!$B$8+182),설정!$D$31)&amp;"",",",""),"　","")),0))</f>
        <v/>
      </c>
      <c r="AC188" s="27">
        <f>IF(설정!$D$32="",0,IFERROR(VALUE(SUBSTITUTE(SUBSTITUTE(INDEX(급여대장_원본!$A$1:$AZ$400,(설정!$B$8+182),설정!$D$32)&amp;"",",",""),"　","")),0))</f>
        <v/>
      </c>
      <c r="AD188" s="27">
        <f>IF(설정!$D$33="",0,IFERROR(VALUE(SUBSTITUTE(SUBSTITUTE(INDEX(급여대장_원본!$A$1:$AZ$400,(설정!$B$8+182),설정!$D$33)&amp;"",",",""),"　","")),0))</f>
        <v/>
      </c>
      <c r="AE188" s="27">
        <f>SUM(W188:AD188)</f>
        <v/>
      </c>
      <c r="AF188" s="27">
        <f>V188-AE188</f>
        <v/>
      </c>
      <c r="AG188" s="27">
        <f>IF(설정!$D$35="","",IF(설정!$D$35="",0,IFERROR(VALUE(SUBSTITUTE(SUBSTITUTE(INDEX(급여대장_원본!$A$1:$AZ$400,(설정!$B$8+182),설정!$D$35)&amp;"",",",""),"　","")),0)))</f>
        <v/>
      </c>
      <c r="AH188" s="27">
        <f>IF(설정!$D$36="","",IF(설정!$D$36="",0,IFERROR(VALUE(SUBSTITUTE(SUBSTITUTE(INDEX(급여대장_원본!$A$1:$AZ$400,(설정!$B$8+182),설정!$D$36)&amp;"",",",""),"　","")),0)))</f>
        <v/>
      </c>
      <c r="AI188" s="27">
        <f>IF(설정!$D$37="","",IF(설정!$D$37="",0,IFERROR(VALUE(SUBSTITUTE(SUBSTITUTE(INDEX(급여대장_원본!$A$1:$AZ$400,(설정!$B$8+182),설정!$D$37)&amp;"",",",""),"　","")),0)))</f>
        <v/>
      </c>
      <c r="AJ188" s="2">
        <f>IFERROR(INDEX($D$7:$D$306,MATCH(182,$B$7:$B$306,0)),"")</f>
        <v/>
      </c>
    </row>
    <row r="189">
      <c r="A189" s="2">
        <f>IF(AND(D189&lt;&gt;"",D189&lt;&gt;"합계",D189&lt;&gt;"총계",D189&lt;&gt;"소계",D189&lt;&gt;"계"),1,0)</f>
        <v/>
      </c>
      <c r="B189" s="2">
        <f>IF(A189=1,SUM($A$7:A189),"")</f>
        <v/>
      </c>
      <c r="C189" s="2">
        <f>IF(설정!$D$13="","",TRIM(SUBSTITUTE(INDEX(급여대장_원본!$A$1:$AZ$400,(설정!$B$8+183),설정!$D$13)&amp;"","　"," ")))</f>
        <v/>
      </c>
      <c r="D189" s="2">
        <f>IF(설정!$D$14="","",TRIM(SUBSTITUTE(INDEX(급여대장_원본!$A$1:$AZ$400,(설정!$B$8+183),설정!$D$14)&amp;"","　"," ")))</f>
        <v/>
      </c>
      <c r="E189" s="2">
        <f>IF(설정!$D$15="","",TRIM(SUBSTITUTE(INDEX(급여대장_원본!$A$1:$AZ$400,(설정!$B$8+183),설정!$D$15)&amp;"","　"," ")))</f>
        <v/>
      </c>
      <c r="F189" s="27">
        <f>IF(설정!$D$17="",0,IFERROR(VALUE(SUBSTITUTE(SUBSTITUTE(INDEX(급여대장_원본!$A$1:$AZ$400,(설정!$B$8+183),설정!$D$17)&amp;"",",",""),"　","")),0))</f>
        <v/>
      </c>
      <c r="G189" s="27">
        <f>IF(설정!$D$18="",0,IFERROR(VALUE(SUBSTITUTE(SUBSTITUTE(INDEX(급여대장_원본!$A$1:$AZ$400,(설정!$B$8+183),설정!$D$18)&amp;"",",",""),"　","")),0))</f>
        <v/>
      </c>
      <c r="H189" s="27">
        <f>IF(설정!$D$19="",0,IFERROR(VALUE(SUBSTITUTE(SUBSTITUTE(INDEX(급여대장_원본!$A$1:$AZ$400,(설정!$B$8+183),설정!$D$19)&amp;"",",",""),"　","")),0))</f>
        <v/>
      </c>
      <c r="I189" s="27">
        <f>IF(설정!$D$20="",0,IFERROR(VALUE(SUBSTITUTE(SUBSTITUTE(INDEX(급여대장_원본!$A$1:$AZ$400,(설정!$B$8+183),설정!$D$20)&amp;"",",",""),"　","")),0))</f>
        <v/>
      </c>
      <c r="J189" s="27">
        <f>IF(설정!$D$21="",0,IFERROR(VALUE(SUBSTITUTE(SUBSTITUTE(INDEX(급여대장_원본!$A$1:$AZ$400,(설정!$B$8+183),설정!$D$21)&amp;"",",",""),"　","")),0))</f>
        <v/>
      </c>
      <c r="K189" s="27">
        <f>IF(설정!$D$22="",0,IFERROR(VALUE(SUBSTITUTE(SUBSTITUTE(INDEX(급여대장_원본!$A$1:$AZ$400,(설정!$B$8+183),설정!$D$22)&amp;"",",",""),"　","")),0))</f>
        <v/>
      </c>
      <c r="L189" s="27">
        <f>IF(설정!$D$23="",0,IFERROR(VALUE(SUBSTITUTE(SUBSTITUTE(INDEX(급여대장_원본!$A$1:$AZ$400,(설정!$B$8+183),설정!$D$23)&amp;"",",",""),"　","")),0))</f>
        <v/>
      </c>
      <c r="M189" s="27">
        <f>IF(설정!$D$24="",0,IFERROR(VALUE(SUBSTITUTE(SUBSTITUTE(INDEX(급여대장_원본!$A$1:$AZ$400,(설정!$B$8+183),설정!$D$24)&amp;"",",",""),"　","")),0))</f>
        <v/>
      </c>
      <c r="N189" s="2">
        <f>IF(OR(설정!$C$17="",IFERROR(MATCH(설정!$C$17,INDEX(급여대장_원본!$A$1:$AZ$400,설정!$B$8,0),0),"")=""),"",IFERROR(VALUE(SUBSTITUTE(INDEX(급여대장_원본!$A$1:$AZ$400,(설정!$B$8+183),IFERROR(MATCH(설정!$C$17,INDEX(급여대장_원본!$A$1:$AZ$400,설정!$B$8,0),0),""))&amp;"",",","")),""))</f>
        <v/>
      </c>
      <c r="O189" s="2">
        <f>IF(OR(설정!$C$18="",IFERROR(MATCH(설정!$C$18,INDEX(급여대장_원본!$A$1:$AZ$400,설정!$B$8,0),0),"")=""),"",IFERROR(VALUE(SUBSTITUTE(INDEX(급여대장_원본!$A$1:$AZ$400,(설정!$B$8+183),IFERROR(MATCH(설정!$C$18,INDEX(급여대장_원본!$A$1:$AZ$400,설정!$B$8,0),0),""))&amp;"",",","")),""))</f>
        <v/>
      </c>
      <c r="P189" s="2">
        <f>IF(OR(설정!$C$19="",IFERROR(MATCH(설정!$C$19,INDEX(급여대장_원본!$A$1:$AZ$400,설정!$B$8,0),0),"")=""),"",IFERROR(VALUE(SUBSTITUTE(INDEX(급여대장_원본!$A$1:$AZ$400,(설정!$B$8+183),IFERROR(MATCH(설정!$C$19,INDEX(급여대장_원본!$A$1:$AZ$400,설정!$B$8,0),0),""))&amp;"",",","")),""))</f>
        <v/>
      </c>
      <c r="Q189" s="2">
        <f>IF(OR(설정!$C$20="",IFERROR(MATCH(설정!$C$20,INDEX(급여대장_원본!$A$1:$AZ$400,설정!$B$8,0),0),"")=""),"",IFERROR(VALUE(SUBSTITUTE(INDEX(급여대장_원본!$A$1:$AZ$400,(설정!$B$8+183),IFERROR(MATCH(설정!$C$20,INDEX(급여대장_원본!$A$1:$AZ$400,설정!$B$8,0),0),""))&amp;"",",","")),""))</f>
        <v/>
      </c>
      <c r="R189" s="2">
        <f>IF(OR(설정!$C$21="",IFERROR(MATCH(설정!$C$21,INDEX(급여대장_원본!$A$1:$AZ$400,설정!$B$8,0),0),"")=""),"",IFERROR(VALUE(SUBSTITUTE(INDEX(급여대장_원본!$A$1:$AZ$400,(설정!$B$8+183),IFERROR(MATCH(설정!$C$21,INDEX(급여대장_원본!$A$1:$AZ$400,설정!$B$8,0),0),""))&amp;"",",","")),""))</f>
        <v/>
      </c>
      <c r="S189" s="2">
        <f>IF(OR(설정!$C$22="",IFERROR(MATCH(설정!$C$22,INDEX(급여대장_원본!$A$1:$AZ$400,설정!$B$8,0),0),"")=""),"",IFERROR(VALUE(SUBSTITUTE(INDEX(급여대장_원본!$A$1:$AZ$400,(설정!$B$8+183),IFERROR(MATCH(설정!$C$22,INDEX(급여대장_원본!$A$1:$AZ$400,설정!$B$8,0),0),""))&amp;"",",","")),""))</f>
        <v/>
      </c>
      <c r="T189" s="2">
        <f>IF(OR(설정!$C$23="",IFERROR(MATCH(설정!$C$23,INDEX(급여대장_원본!$A$1:$AZ$400,설정!$B$8,0),0),"")=""),"",IFERROR(VALUE(SUBSTITUTE(INDEX(급여대장_원본!$A$1:$AZ$400,(설정!$B$8+183),IFERROR(MATCH(설정!$C$23,INDEX(급여대장_원본!$A$1:$AZ$400,설정!$B$8,0),0),""))&amp;"",",","")),""))</f>
        <v/>
      </c>
      <c r="U189" s="2">
        <f>IF(OR(설정!$C$24="",IFERROR(MATCH(설정!$C$24,INDEX(급여대장_원본!$A$1:$AZ$400,설정!$B$8,0),0),"")=""),"",IFERROR(VALUE(SUBSTITUTE(INDEX(급여대장_원본!$A$1:$AZ$400,(설정!$B$8+183),IFERROR(MATCH(설정!$C$24,INDEX(급여대장_원본!$A$1:$AZ$400,설정!$B$8,0),0),""))&amp;"",",","")),""))</f>
        <v/>
      </c>
      <c r="V189" s="27">
        <f>SUM(F189:M189)</f>
        <v/>
      </c>
      <c r="W189" s="27">
        <f>IF(설정!$D$26="",0,IFERROR(VALUE(SUBSTITUTE(SUBSTITUTE(INDEX(급여대장_원본!$A$1:$AZ$400,(설정!$B$8+183),설정!$D$26)&amp;"",",",""),"　","")),0))</f>
        <v/>
      </c>
      <c r="X189" s="27">
        <f>IF(설정!$D$27="",0,IFERROR(VALUE(SUBSTITUTE(SUBSTITUTE(INDEX(급여대장_원본!$A$1:$AZ$400,(설정!$B$8+183),설정!$D$27)&amp;"",",",""),"　","")),0))</f>
        <v/>
      </c>
      <c r="Y189" s="27">
        <f>IF(설정!$D$28="",0,IFERROR(VALUE(SUBSTITUTE(SUBSTITUTE(INDEX(급여대장_원본!$A$1:$AZ$400,(설정!$B$8+183),설정!$D$28)&amp;"",",",""),"　","")),0))</f>
        <v/>
      </c>
      <c r="Z189" s="27">
        <f>IF(설정!$D$29="",0,IFERROR(VALUE(SUBSTITUTE(SUBSTITUTE(INDEX(급여대장_원본!$A$1:$AZ$400,(설정!$B$8+183),설정!$D$29)&amp;"",",",""),"　","")),0))</f>
        <v/>
      </c>
      <c r="AA189" s="27">
        <f>IF(설정!$D$30="",0,IFERROR(VALUE(SUBSTITUTE(SUBSTITUTE(INDEX(급여대장_원본!$A$1:$AZ$400,(설정!$B$8+183),설정!$D$30)&amp;"",",",""),"　","")),0))</f>
        <v/>
      </c>
      <c r="AB189" s="27">
        <f>IF(설정!$D$31="",0,IFERROR(VALUE(SUBSTITUTE(SUBSTITUTE(INDEX(급여대장_원본!$A$1:$AZ$400,(설정!$B$8+183),설정!$D$31)&amp;"",",",""),"　","")),0))</f>
        <v/>
      </c>
      <c r="AC189" s="27">
        <f>IF(설정!$D$32="",0,IFERROR(VALUE(SUBSTITUTE(SUBSTITUTE(INDEX(급여대장_원본!$A$1:$AZ$400,(설정!$B$8+183),설정!$D$32)&amp;"",",",""),"　","")),0))</f>
        <v/>
      </c>
      <c r="AD189" s="27">
        <f>IF(설정!$D$33="",0,IFERROR(VALUE(SUBSTITUTE(SUBSTITUTE(INDEX(급여대장_원본!$A$1:$AZ$400,(설정!$B$8+183),설정!$D$33)&amp;"",",",""),"　","")),0))</f>
        <v/>
      </c>
      <c r="AE189" s="27">
        <f>SUM(W189:AD189)</f>
        <v/>
      </c>
      <c r="AF189" s="27">
        <f>V189-AE189</f>
        <v/>
      </c>
      <c r="AG189" s="27">
        <f>IF(설정!$D$35="","",IF(설정!$D$35="",0,IFERROR(VALUE(SUBSTITUTE(SUBSTITUTE(INDEX(급여대장_원본!$A$1:$AZ$400,(설정!$B$8+183),설정!$D$35)&amp;"",",",""),"　","")),0)))</f>
        <v/>
      </c>
      <c r="AH189" s="27">
        <f>IF(설정!$D$36="","",IF(설정!$D$36="",0,IFERROR(VALUE(SUBSTITUTE(SUBSTITUTE(INDEX(급여대장_원본!$A$1:$AZ$400,(설정!$B$8+183),설정!$D$36)&amp;"",",",""),"　","")),0)))</f>
        <v/>
      </c>
      <c r="AI189" s="27">
        <f>IF(설정!$D$37="","",IF(설정!$D$37="",0,IFERROR(VALUE(SUBSTITUTE(SUBSTITUTE(INDEX(급여대장_원본!$A$1:$AZ$400,(설정!$B$8+183),설정!$D$37)&amp;"",",",""),"　","")),0)))</f>
        <v/>
      </c>
      <c r="AJ189" s="2">
        <f>IFERROR(INDEX($D$7:$D$306,MATCH(183,$B$7:$B$306,0)),"")</f>
        <v/>
      </c>
    </row>
    <row r="190">
      <c r="A190" s="2">
        <f>IF(AND(D190&lt;&gt;"",D190&lt;&gt;"합계",D190&lt;&gt;"총계",D190&lt;&gt;"소계",D190&lt;&gt;"계"),1,0)</f>
        <v/>
      </c>
      <c r="B190" s="2">
        <f>IF(A190=1,SUM($A$7:A190),"")</f>
        <v/>
      </c>
      <c r="C190" s="2">
        <f>IF(설정!$D$13="","",TRIM(SUBSTITUTE(INDEX(급여대장_원본!$A$1:$AZ$400,(설정!$B$8+184),설정!$D$13)&amp;"","　"," ")))</f>
        <v/>
      </c>
      <c r="D190" s="2">
        <f>IF(설정!$D$14="","",TRIM(SUBSTITUTE(INDEX(급여대장_원본!$A$1:$AZ$400,(설정!$B$8+184),설정!$D$14)&amp;"","　"," ")))</f>
        <v/>
      </c>
      <c r="E190" s="2">
        <f>IF(설정!$D$15="","",TRIM(SUBSTITUTE(INDEX(급여대장_원본!$A$1:$AZ$400,(설정!$B$8+184),설정!$D$15)&amp;"","　"," ")))</f>
        <v/>
      </c>
      <c r="F190" s="27">
        <f>IF(설정!$D$17="",0,IFERROR(VALUE(SUBSTITUTE(SUBSTITUTE(INDEX(급여대장_원본!$A$1:$AZ$400,(설정!$B$8+184),설정!$D$17)&amp;"",",",""),"　","")),0))</f>
        <v/>
      </c>
      <c r="G190" s="27">
        <f>IF(설정!$D$18="",0,IFERROR(VALUE(SUBSTITUTE(SUBSTITUTE(INDEX(급여대장_원본!$A$1:$AZ$400,(설정!$B$8+184),설정!$D$18)&amp;"",",",""),"　","")),0))</f>
        <v/>
      </c>
      <c r="H190" s="27">
        <f>IF(설정!$D$19="",0,IFERROR(VALUE(SUBSTITUTE(SUBSTITUTE(INDEX(급여대장_원본!$A$1:$AZ$400,(설정!$B$8+184),설정!$D$19)&amp;"",",",""),"　","")),0))</f>
        <v/>
      </c>
      <c r="I190" s="27">
        <f>IF(설정!$D$20="",0,IFERROR(VALUE(SUBSTITUTE(SUBSTITUTE(INDEX(급여대장_원본!$A$1:$AZ$400,(설정!$B$8+184),설정!$D$20)&amp;"",",",""),"　","")),0))</f>
        <v/>
      </c>
      <c r="J190" s="27">
        <f>IF(설정!$D$21="",0,IFERROR(VALUE(SUBSTITUTE(SUBSTITUTE(INDEX(급여대장_원본!$A$1:$AZ$400,(설정!$B$8+184),설정!$D$21)&amp;"",",",""),"　","")),0))</f>
        <v/>
      </c>
      <c r="K190" s="27">
        <f>IF(설정!$D$22="",0,IFERROR(VALUE(SUBSTITUTE(SUBSTITUTE(INDEX(급여대장_원본!$A$1:$AZ$400,(설정!$B$8+184),설정!$D$22)&amp;"",",",""),"　","")),0))</f>
        <v/>
      </c>
      <c r="L190" s="27">
        <f>IF(설정!$D$23="",0,IFERROR(VALUE(SUBSTITUTE(SUBSTITUTE(INDEX(급여대장_원본!$A$1:$AZ$400,(설정!$B$8+184),설정!$D$23)&amp;"",",",""),"　","")),0))</f>
        <v/>
      </c>
      <c r="M190" s="27">
        <f>IF(설정!$D$24="",0,IFERROR(VALUE(SUBSTITUTE(SUBSTITUTE(INDEX(급여대장_원본!$A$1:$AZ$400,(설정!$B$8+184),설정!$D$24)&amp;"",",",""),"　","")),0))</f>
        <v/>
      </c>
      <c r="N190" s="2">
        <f>IF(OR(설정!$C$17="",IFERROR(MATCH(설정!$C$17,INDEX(급여대장_원본!$A$1:$AZ$400,설정!$B$8,0),0),"")=""),"",IFERROR(VALUE(SUBSTITUTE(INDEX(급여대장_원본!$A$1:$AZ$400,(설정!$B$8+184),IFERROR(MATCH(설정!$C$17,INDEX(급여대장_원본!$A$1:$AZ$400,설정!$B$8,0),0),""))&amp;"",",","")),""))</f>
        <v/>
      </c>
      <c r="O190" s="2">
        <f>IF(OR(설정!$C$18="",IFERROR(MATCH(설정!$C$18,INDEX(급여대장_원본!$A$1:$AZ$400,설정!$B$8,0),0),"")=""),"",IFERROR(VALUE(SUBSTITUTE(INDEX(급여대장_원본!$A$1:$AZ$400,(설정!$B$8+184),IFERROR(MATCH(설정!$C$18,INDEX(급여대장_원본!$A$1:$AZ$400,설정!$B$8,0),0),""))&amp;"",",","")),""))</f>
        <v/>
      </c>
      <c r="P190" s="2">
        <f>IF(OR(설정!$C$19="",IFERROR(MATCH(설정!$C$19,INDEX(급여대장_원본!$A$1:$AZ$400,설정!$B$8,0),0),"")=""),"",IFERROR(VALUE(SUBSTITUTE(INDEX(급여대장_원본!$A$1:$AZ$400,(설정!$B$8+184),IFERROR(MATCH(설정!$C$19,INDEX(급여대장_원본!$A$1:$AZ$400,설정!$B$8,0),0),""))&amp;"",",","")),""))</f>
        <v/>
      </c>
      <c r="Q190" s="2">
        <f>IF(OR(설정!$C$20="",IFERROR(MATCH(설정!$C$20,INDEX(급여대장_원본!$A$1:$AZ$400,설정!$B$8,0),0),"")=""),"",IFERROR(VALUE(SUBSTITUTE(INDEX(급여대장_원본!$A$1:$AZ$400,(설정!$B$8+184),IFERROR(MATCH(설정!$C$20,INDEX(급여대장_원본!$A$1:$AZ$400,설정!$B$8,0),0),""))&amp;"",",","")),""))</f>
        <v/>
      </c>
      <c r="R190" s="2">
        <f>IF(OR(설정!$C$21="",IFERROR(MATCH(설정!$C$21,INDEX(급여대장_원본!$A$1:$AZ$400,설정!$B$8,0),0),"")=""),"",IFERROR(VALUE(SUBSTITUTE(INDEX(급여대장_원본!$A$1:$AZ$400,(설정!$B$8+184),IFERROR(MATCH(설정!$C$21,INDEX(급여대장_원본!$A$1:$AZ$400,설정!$B$8,0),0),""))&amp;"",",","")),""))</f>
        <v/>
      </c>
      <c r="S190" s="2">
        <f>IF(OR(설정!$C$22="",IFERROR(MATCH(설정!$C$22,INDEX(급여대장_원본!$A$1:$AZ$400,설정!$B$8,0),0),"")=""),"",IFERROR(VALUE(SUBSTITUTE(INDEX(급여대장_원본!$A$1:$AZ$400,(설정!$B$8+184),IFERROR(MATCH(설정!$C$22,INDEX(급여대장_원본!$A$1:$AZ$400,설정!$B$8,0),0),""))&amp;"",",","")),""))</f>
        <v/>
      </c>
      <c r="T190" s="2">
        <f>IF(OR(설정!$C$23="",IFERROR(MATCH(설정!$C$23,INDEX(급여대장_원본!$A$1:$AZ$400,설정!$B$8,0),0),"")=""),"",IFERROR(VALUE(SUBSTITUTE(INDEX(급여대장_원본!$A$1:$AZ$400,(설정!$B$8+184),IFERROR(MATCH(설정!$C$23,INDEX(급여대장_원본!$A$1:$AZ$400,설정!$B$8,0),0),""))&amp;"",",","")),""))</f>
        <v/>
      </c>
      <c r="U190" s="2">
        <f>IF(OR(설정!$C$24="",IFERROR(MATCH(설정!$C$24,INDEX(급여대장_원본!$A$1:$AZ$400,설정!$B$8,0),0),"")=""),"",IFERROR(VALUE(SUBSTITUTE(INDEX(급여대장_원본!$A$1:$AZ$400,(설정!$B$8+184),IFERROR(MATCH(설정!$C$24,INDEX(급여대장_원본!$A$1:$AZ$400,설정!$B$8,0),0),""))&amp;"",",","")),""))</f>
        <v/>
      </c>
      <c r="V190" s="27">
        <f>SUM(F190:M190)</f>
        <v/>
      </c>
      <c r="W190" s="27">
        <f>IF(설정!$D$26="",0,IFERROR(VALUE(SUBSTITUTE(SUBSTITUTE(INDEX(급여대장_원본!$A$1:$AZ$400,(설정!$B$8+184),설정!$D$26)&amp;"",",",""),"　","")),0))</f>
        <v/>
      </c>
      <c r="X190" s="27">
        <f>IF(설정!$D$27="",0,IFERROR(VALUE(SUBSTITUTE(SUBSTITUTE(INDEX(급여대장_원본!$A$1:$AZ$400,(설정!$B$8+184),설정!$D$27)&amp;"",",",""),"　","")),0))</f>
        <v/>
      </c>
      <c r="Y190" s="27">
        <f>IF(설정!$D$28="",0,IFERROR(VALUE(SUBSTITUTE(SUBSTITUTE(INDEX(급여대장_원본!$A$1:$AZ$400,(설정!$B$8+184),설정!$D$28)&amp;"",",",""),"　","")),0))</f>
        <v/>
      </c>
      <c r="Z190" s="27">
        <f>IF(설정!$D$29="",0,IFERROR(VALUE(SUBSTITUTE(SUBSTITUTE(INDEX(급여대장_원본!$A$1:$AZ$400,(설정!$B$8+184),설정!$D$29)&amp;"",",",""),"　","")),0))</f>
        <v/>
      </c>
      <c r="AA190" s="27">
        <f>IF(설정!$D$30="",0,IFERROR(VALUE(SUBSTITUTE(SUBSTITUTE(INDEX(급여대장_원본!$A$1:$AZ$400,(설정!$B$8+184),설정!$D$30)&amp;"",",",""),"　","")),0))</f>
        <v/>
      </c>
      <c r="AB190" s="27">
        <f>IF(설정!$D$31="",0,IFERROR(VALUE(SUBSTITUTE(SUBSTITUTE(INDEX(급여대장_원본!$A$1:$AZ$400,(설정!$B$8+184),설정!$D$31)&amp;"",",",""),"　","")),0))</f>
        <v/>
      </c>
      <c r="AC190" s="27">
        <f>IF(설정!$D$32="",0,IFERROR(VALUE(SUBSTITUTE(SUBSTITUTE(INDEX(급여대장_원본!$A$1:$AZ$400,(설정!$B$8+184),설정!$D$32)&amp;"",",",""),"　","")),0))</f>
        <v/>
      </c>
      <c r="AD190" s="27">
        <f>IF(설정!$D$33="",0,IFERROR(VALUE(SUBSTITUTE(SUBSTITUTE(INDEX(급여대장_원본!$A$1:$AZ$400,(설정!$B$8+184),설정!$D$33)&amp;"",",",""),"　","")),0))</f>
        <v/>
      </c>
      <c r="AE190" s="27">
        <f>SUM(W190:AD190)</f>
        <v/>
      </c>
      <c r="AF190" s="27">
        <f>V190-AE190</f>
        <v/>
      </c>
      <c r="AG190" s="27">
        <f>IF(설정!$D$35="","",IF(설정!$D$35="",0,IFERROR(VALUE(SUBSTITUTE(SUBSTITUTE(INDEX(급여대장_원본!$A$1:$AZ$400,(설정!$B$8+184),설정!$D$35)&amp;"",",",""),"　","")),0)))</f>
        <v/>
      </c>
      <c r="AH190" s="27">
        <f>IF(설정!$D$36="","",IF(설정!$D$36="",0,IFERROR(VALUE(SUBSTITUTE(SUBSTITUTE(INDEX(급여대장_원본!$A$1:$AZ$400,(설정!$B$8+184),설정!$D$36)&amp;"",",",""),"　","")),0)))</f>
        <v/>
      </c>
      <c r="AI190" s="27">
        <f>IF(설정!$D$37="","",IF(설정!$D$37="",0,IFERROR(VALUE(SUBSTITUTE(SUBSTITUTE(INDEX(급여대장_원본!$A$1:$AZ$400,(설정!$B$8+184),설정!$D$37)&amp;"",",",""),"　","")),0)))</f>
        <v/>
      </c>
      <c r="AJ190" s="2">
        <f>IFERROR(INDEX($D$7:$D$306,MATCH(184,$B$7:$B$306,0)),"")</f>
        <v/>
      </c>
    </row>
    <row r="191">
      <c r="A191" s="2">
        <f>IF(AND(D191&lt;&gt;"",D191&lt;&gt;"합계",D191&lt;&gt;"총계",D191&lt;&gt;"소계",D191&lt;&gt;"계"),1,0)</f>
        <v/>
      </c>
      <c r="B191" s="2">
        <f>IF(A191=1,SUM($A$7:A191),"")</f>
        <v/>
      </c>
      <c r="C191" s="2">
        <f>IF(설정!$D$13="","",TRIM(SUBSTITUTE(INDEX(급여대장_원본!$A$1:$AZ$400,(설정!$B$8+185),설정!$D$13)&amp;"","　"," ")))</f>
        <v/>
      </c>
      <c r="D191" s="2">
        <f>IF(설정!$D$14="","",TRIM(SUBSTITUTE(INDEX(급여대장_원본!$A$1:$AZ$400,(설정!$B$8+185),설정!$D$14)&amp;"","　"," ")))</f>
        <v/>
      </c>
      <c r="E191" s="2">
        <f>IF(설정!$D$15="","",TRIM(SUBSTITUTE(INDEX(급여대장_원본!$A$1:$AZ$400,(설정!$B$8+185),설정!$D$15)&amp;"","　"," ")))</f>
        <v/>
      </c>
      <c r="F191" s="27">
        <f>IF(설정!$D$17="",0,IFERROR(VALUE(SUBSTITUTE(SUBSTITUTE(INDEX(급여대장_원본!$A$1:$AZ$400,(설정!$B$8+185),설정!$D$17)&amp;"",",",""),"　","")),0))</f>
        <v/>
      </c>
      <c r="G191" s="27">
        <f>IF(설정!$D$18="",0,IFERROR(VALUE(SUBSTITUTE(SUBSTITUTE(INDEX(급여대장_원본!$A$1:$AZ$400,(설정!$B$8+185),설정!$D$18)&amp;"",",",""),"　","")),0))</f>
        <v/>
      </c>
      <c r="H191" s="27">
        <f>IF(설정!$D$19="",0,IFERROR(VALUE(SUBSTITUTE(SUBSTITUTE(INDEX(급여대장_원본!$A$1:$AZ$400,(설정!$B$8+185),설정!$D$19)&amp;"",",",""),"　","")),0))</f>
        <v/>
      </c>
      <c r="I191" s="27">
        <f>IF(설정!$D$20="",0,IFERROR(VALUE(SUBSTITUTE(SUBSTITUTE(INDEX(급여대장_원본!$A$1:$AZ$400,(설정!$B$8+185),설정!$D$20)&amp;"",",",""),"　","")),0))</f>
        <v/>
      </c>
      <c r="J191" s="27">
        <f>IF(설정!$D$21="",0,IFERROR(VALUE(SUBSTITUTE(SUBSTITUTE(INDEX(급여대장_원본!$A$1:$AZ$400,(설정!$B$8+185),설정!$D$21)&amp;"",",",""),"　","")),0))</f>
        <v/>
      </c>
      <c r="K191" s="27">
        <f>IF(설정!$D$22="",0,IFERROR(VALUE(SUBSTITUTE(SUBSTITUTE(INDEX(급여대장_원본!$A$1:$AZ$400,(설정!$B$8+185),설정!$D$22)&amp;"",",",""),"　","")),0))</f>
        <v/>
      </c>
      <c r="L191" s="27">
        <f>IF(설정!$D$23="",0,IFERROR(VALUE(SUBSTITUTE(SUBSTITUTE(INDEX(급여대장_원본!$A$1:$AZ$400,(설정!$B$8+185),설정!$D$23)&amp;"",",",""),"　","")),0))</f>
        <v/>
      </c>
      <c r="M191" s="27">
        <f>IF(설정!$D$24="",0,IFERROR(VALUE(SUBSTITUTE(SUBSTITUTE(INDEX(급여대장_원본!$A$1:$AZ$400,(설정!$B$8+185),설정!$D$24)&amp;"",",",""),"　","")),0))</f>
        <v/>
      </c>
      <c r="N191" s="2">
        <f>IF(OR(설정!$C$17="",IFERROR(MATCH(설정!$C$17,INDEX(급여대장_원본!$A$1:$AZ$400,설정!$B$8,0),0),"")=""),"",IFERROR(VALUE(SUBSTITUTE(INDEX(급여대장_원본!$A$1:$AZ$400,(설정!$B$8+185),IFERROR(MATCH(설정!$C$17,INDEX(급여대장_원본!$A$1:$AZ$400,설정!$B$8,0),0),""))&amp;"",",","")),""))</f>
        <v/>
      </c>
      <c r="O191" s="2">
        <f>IF(OR(설정!$C$18="",IFERROR(MATCH(설정!$C$18,INDEX(급여대장_원본!$A$1:$AZ$400,설정!$B$8,0),0),"")=""),"",IFERROR(VALUE(SUBSTITUTE(INDEX(급여대장_원본!$A$1:$AZ$400,(설정!$B$8+185),IFERROR(MATCH(설정!$C$18,INDEX(급여대장_원본!$A$1:$AZ$400,설정!$B$8,0),0),""))&amp;"",",","")),""))</f>
        <v/>
      </c>
      <c r="P191" s="2">
        <f>IF(OR(설정!$C$19="",IFERROR(MATCH(설정!$C$19,INDEX(급여대장_원본!$A$1:$AZ$400,설정!$B$8,0),0),"")=""),"",IFERROR(VALUE(SUBSTITUTE(INDEX(급여대장_원본!$A$1:$AZ$400,(설정!$B$8+185),IFERROR(MATCH(설정!$C$19,INDEX(급여대장_원본!$A$1:$AZ$400,설정!$B$8,0),0),""))&amp;"",",","")),""))</f>
        <v/>
      </c>
      <c r="Q191" s="2">
        <f>IF(OR(설정!$C$20="",IFERROR(MATCH(설정!$C$20,INDEX(급여대장_원본!$A$1:$AZ$400,설정!$B$8,0),0),"")=""),"",IFERROR(VALUE(SUBSTITUTE(INDEX(급여대장_원본!$A$1:$AZ$400,(설정!$B$8+185),IFERROR(MATCH(설정!$C$20,INDEX(급여대장_원본!$A$1:$AZ$400,설정!$B$8,0),0),""))&amp;"",",","")),""))</f>
        <v/>
      </c>
      <c r="R191" s="2">
        <f>IF(OR(설정!$C$21="",IFERROR(MATCH(설정!$C$21,INDEX(급여대장_원본!$A$1:$AZ$400,설정!$B$8,0),0),"")=""),"",IFERROR(VALUE(SUBSTITUTE(INDEX(급여대장_원본!$A$1:$AZ$400,(설정!$B$8+185),IFERROR(MATCH(설정!$C$21,INDEX(급여대장_원본!$A$1:$AZ$400,설정!$B$8,0),0),""))&amp;"",",","")),""))</f>
        <v/>
      </c>
      <c r="S191" s="2">
        <f>IF(OR(설정!$C$22="",IFERROR(MATCH(설정!$C$22,INDEX(급여대장_원본!$A$1:$AZ$400,설정!$B$8,0),0),"")=""),"",IFERROR(VALUE(SUBSTITUTE(INDEX(급여대장_원본!$A$1:$AZ$400,(설정!$B$8+185),IFERROR(MATCH(설정!$C$22,INDEX(급여대장_원본!$A$1:$AZ$400,설정!$B$8,0),0),""))&amp;"",",","")),""))</f>
        <v/>
      </c>
      <c r="T191" s="2">
        <f>IF(OR(설정!$C$23="",IFERROR(MATCH(설정!$C$23,INDEX(급여대장_원본!$A$1:$AZ$400,설정!$B$8,0),0),"")=""),"",IFERROR(VALUE(SUBSTITUTE(INDEX(급여대장_원본!$A$1:$AZ$400,(설정!$B$8+185),IFERROR(MATCH(설정!$C$23,INDEX(급여대장_원본!$A$1:$AZ$400,설정!$B$8,0),0),""))&amp;"",",","")),""))</f>
        <v/>
      </c>
      <c r="U191" s="2">
        <f>IF(OR(설정!$C$24="",IFERROR(MATCH(설정!$C$24,INDEX(급여대장_원본!$A$1:$AZ$400,설정!$B$8,0),0),"")=""),"",IFERROR(VALUE(SUBSTITUTE(INDEX(급여대장_원본!$A$1:$AZ$400,(설정!$B$8+185),IFERROR(MATCH(설정!$C$24,INDEX(급여대장_원본!$A$1:$AZ$400,설정!$B$8,0),0),""))&amp;"",",","")),""))</f>
        <v/>
      </c>
      <c r="V191" s="27">
        <f>SUM(F191:M191)</f>
        <v/>
      </c>
      <c r="W191" s="27">
        <f>IF(설정!$D$26="",0,IFERROR(VALUE(SUBSTITUTE(SUBSTITUTE(INDEX(급여대장_원본!$A$1:$AZ$400,(설정!$B$8+185),설정!$D$26)&amp;"",",",""),"　","")),0))</f>
        <v/>
      </c>
      <c r="X191" s="27">
        <f>IF(설정!$D$27="",0,IFERROR(VALUE(SUBSTITUTE(SUBSTITUTE(INDEX(급여대장_원본!$A$1:$AZ$400,(설정!$B$8+185),설정!$D$27)&amp;"",",",""),"　","")),0))</f>
        <v/>
      </c>
      <c r="Y191" s="27">
        <f>IF(설정!$D$28="",0,IFERROR(VALUE(SUBSTITUTE(SUBSTITUTE(INDEX(급여대장_원본!$A$1:$AZ$400,(설정!$B$8+185),설정!$D$28)&amp;"",",",""),"　","")),0))</f>
        <v/>
      </c>
      <c r="Z191" s="27">
        <f>IF(설정!$D$29="",0,IFERROR(VALUE(SUBSTITUTE(SUBSTITUTE(INDEX(급여대장_원본!$A$1:$AZ$400,(설정!$B$8+185),설정!$D$29)&amp;"",",",""),"　","")),0))</f>
        <v/>
      </c>
      <c r="AA191" s="27">
        <f>IF(설정!$D$30="",0,IFERROR(VALUE(SUBSTITUTE(SUBSTITUTE(INDEX(급여대장_원본!$A$1:$AZ$400,(설정!$B$8+185),설정!$D$30)&amp;"",",",""),"　","")),0))</f>
        <v/>
      </c>
      <c r="AB191" s="27">
        <f>IF(설정!$D$31="",0,IFERROR(VALUE(SUBSTITUTE(SUBSTITUTE(INDEX(급여대장_원본!$A$1:$AZ$400,(설정!$B$8+185),설정!$D$31)&amp;"",",",""),"　","")),0))</f>
        <v/>
      </c>
      <c r="AC191" s="27">
        <f>IF(설정!$D$32="",0,IFERROR(VALUE(SUBSTITUTE(SUBSTITUTE(INDEX(급여대장_원본!$A$1:$AZ$400,(설정!$B$8+185),설정!$D$32)&amp;"",",",""),"　","")),0))</f>
        <v/>
      </c>
      <c r="AD191" s="27">
        <f>IF(설정!$D$33="",0,IFERROR(VALUE(SUBSTITUTE(SUBSTITUTE(INDEX(급여대장_원본!$A$1:$AZ$400,(설정!$B$8+185),설정!$D$33)&amp;"",",",""),"　","")),0))</f>
        <v/>
      </c>
      <c r="AE191" s="27">
        <f>SUM(W191:AD191)</f>
        <v/>
      </c>
      <c r="AF191" s="27">
        <f>V191-AE191</f>
        <v/>
      </c>
      <c r="AG191" s="27">
        <f>IF(설정!$D$35="","",IF(설정!$D$35="",0,IFERROR(VALUE(SUBSTITUTE(SUBSTITUTE(INDEX(급여대장_원본!$A$1:$AZ$400,(설정!$B$8+185),설정!$D$35)&amp;"",",",""),"　","")),0)))</f>
        <v/>
      </c>
      <c r="AH191" s="27">
        <f>IF(설정!$D$36="","",IF(설정!$D$36="",0,IFERROR(VALUE(SUBSTITUTE(SUBSTITUTE(INDEX(급여대장_원본!$A$1:$AZ$400,(설정!$B$8+185),설정!$D$36)&amp;"",",",""),"　","")),0)))</f>
        <v/>
      </c>
      <c r="AI191" s="27">
        <f>IF(설정!$D$37="","",IF(설정!$D$37="",0,IFERROR(VALUE(SUBSTITUTE(SUBSTITUTE(INDEX(급여대장_원본!$A$1:$AZ$400,(설정!$B$8+185),설정!$D$37)&amp;"",",",""),"　","")),0)))</f>
        <v/>
      </c>
      <c r="AJ191" s="2">
        <f>IFERROR(INDEX($D$7:$D$306,MATCH(185,$B$7:$B$306,0)),"")</f>
        <v/>
      </c>
    </row>
    <row r="192">
      <c r="A192" s="2">
        <f>IF(AND(D192&lt;&gt;"",D192&lt;&gt;"합계",D192&lt;&gt;"총계",D192&lt;&gt;"소계",D192&lt;&gt;"계"),1,0)</f>
        <v/>
      </c>
      <c r="B192" s="2">
        <f>IF(A192=1,SUM($A$7:A192),"")</f>
        <v/>
      </c>
      <c r="C192" s="2">
        <f>IF(설정!$D$13="","",TRIM(SUBSTITUTE(INDEX(급여대장_원본!$A$1:$AZ$400,(설정!$B$8+186),설정!$D$13)&amp;"","　"," ")))</f>
        <v/>
      </c>
      <c r="D192" s="2">
        <f>IF(설정!$D$14="","",TRIM(SUBSTITUTE(INDEX(급여대장_원본!$A$1:$AZ$400,(설정!$B$8+186),설정!$D$14)&amp;"","　"," ")))</f>
        <v/>
      </c>
      <c r="E192" s="2">
        <f>IF(설정!$D$15="","",TRIM(SUBSTITUTE(INDEX(급여대장_원본!$A$1:$AZ$400,(설정!$B$8+186),설정!$D$15)&amp;"","　"," ")))</f>
        <v/>
      </c>
      <c r="F192" s="27">
        <f>IF(설정!$D$17="",0,IFERROR(VALUE(SUBSTITUTE(SUBSTITUTE(INDEX(급여대장_원본!$A$1:$AZ$400,(설정!$B$8+186),설정!$D$17)&amp;"",",",""),"　","")),0))</f>
        <v/>
      </c>
      <c r="G192" s="27">
        <f>IF(설정!$D$18="",0,IFERROR(VALUE(SUBSTITUTE(SUBSTITUTE(INDEX(급여대장_원본!$A$1:$AZ$400,(설정!$B$8+186),설정!$D$18)&amp;"",",",""),"　","")),0))</f>
        <v/>
      </c>
      <c r="H192" s="27">
        <f>IF(설정!$D$19="",0,IFERROR(VALUE(SUBSTITUTE(SUBSTITUTE(INDEX(급여대장_원본!$A$1:$AZ$400,(설정!$B$8+186),설정!$D$19)&amp;"",",",""),"　","")),0))</f>
        <v/>
      </c>
      <c r="I192" s="27">
        <f>IF(설정!$D$20="",0,IFERROR(VALUE(SUBSTITUTE(SUBSTITUTE(INDEX(급여대장_원본!$A$1:$AZ$400,(설정!$B$8+186),설정!$D$20)&amp;"",",",""),"　","")),0))</f>
        <v/>
      </c>
      <c r="J192" s="27">
        <f>IF(설정!$D$21="",0,IFERROR(VALUE(SUBSTITUTE(SUBSTITUTE(INDEX(급여대장_원본!$A$1:$AZ$400,(설정!$B$8+186),설정!$D$21)&amp;"",",",""),"　","")),0))</f>
        <v/>
      </c>
      <c r="K192" s="27">
        <f>IF(설정!$D$22="",0,IFERROR(VALUE(SUBSTITUTE(SUBSTITUTE(INDEX(급여대장_원본!$A$1:$AZ$400,(설정!$B$8+186),설정!$D$22)&amp;"",",",""),"　","")),0))</f>
        <v/>
      </c>
      <c r="L192" s="27">
        <f>IF(설정!$D$23="",0,IFERROR(VALUE(SUBSTITUTE(SUBSTITUTE(INDEX(급여대장_원본!$A$1:$AZ$400,(설정!$B$8+186),설정!$D$23)&amp;"",",",""),"　","")),0))</f>
        <v/>
      </c>
      <c r="M192" s="27">
        <f>IF(설정!$D$24="",0,IFERROR(VALUE(SUBSTITUTE(SUBSTITUTE(INDEX(급여대장_원본!$A$1:$AZ$400,(설정!$B$8+186),설정!$D$24)&amp;"",",",""),"　","")),0))</f>
        <v/>
      </c>
      <c r="N192" s="2">
        <f>IF(OR(설정!$C$17="",IFERROR(MATCH(설정!$C$17,INDEX(급여대장_원본!$A$1:$AZ$400,설정!$B$8,0),0),"")=""),"",IFERROR(VALUE(SUBSTITUTE(INDEX(급여대장_원본!$A$1:$AZ$400,(설정!$B$8+186),IFERROR(MATCH(설정!$C$17,INDEX(급여대장_원본!$A$1:$AZ$400,설정!$B$8,0),0),""))&amp;"",",","")),""))</f>
        <v/>
      </c>
      <c r="O192" s="2">
        <f>IF(OR(설정!$C$18="",IFERROR(MATCH(설정!$C$18,INDEX(급여대장_원본!$A$1:$AZ$400,설정!$B$8,0),0),"")=""),"",IFERROR(VALUE(SUBSTITUTE(INDEX(급여대장_원본!$A$1:$AZ$400,(설정!$B$8+186),IFERROR(MATCH(설정!$C$18,INDEX(급여대장_원본!$A$1:$AZ$400,설정!$B$8,0),0),""))&amp;"",",","")),""))</f>
        <v/>
      </c>
      <c r="P192" s="2">
        <f>IF(OR(설정!$C$19="",IFERROR(MATCH(설정!$C$19,INDEX(급여대장_원본!$A$1:$AZ$400,설정!$B$8,0),0),"")=""),"",IFERROR(VALUE(SUBSTITUTE(INDEX(급여대장_원본!$A$1:$AZ$400,(설정!$B$8+186),IFERROR(MATCH(설정!$C$19,INDEX(급여대장_원본!$A$1:$AZ$400,설정!$B$8,0),0),""))&amp;"",",","")),""))</f>
        <v/>
      </c>
      <c r="Q192" s="2">
        <f>IF(OR(설정!$C$20="",IFERROR(MATCH(설정!$C$20,INDEX(급여대장_원본!$A$1:$AZ$400,설정!$B$8,0),0),"")=""),"",IFERROR(VALUE(SUBSTITUTE(INDEX(급여대장_원본!$A$1:$AZ$400,(설정!$B$8+186),IFERROR(MATCH(설정!$C$20,INDEX(급여대장_원본!$A$1:$AZ$400,설정!$B$8,0),0),""))&amp;"",",","")),""))</f>
        <v/>
      </c>
      <c r="R192" s="2">
        <f>IF(OR(설정!$C$21="",IFERROR(MATCH(설정!$C$21,INDEX(급여대장_원본!$A$1:$AZ$400,설정!$B$8,0),0),"")=""),"",IFERROR(VALUE(SUBSTITUTE(INDEX(급여대장_원본!$A$1:$AZ$400,(설정!$B$8+186),IFERROR(MATCH(설정!$C$21,INDEX(급여대장_원본!$A$1:$AZ$400,설정!$B$8,0),0),""))&amp;"",",","")),""))</f>
        <v/>
      </c>
      <c r="S192" s="2">
        <f>IF(OR(설정!$C$22="",IFERROR(MATCH(설정!$C$22,INDEX(급여대장_원본!$A$1:$AZ$400,설정!$B$8,0),0),"")=""),"",IFERROR(VALUE(SUBSTITUTE(INDEX(급여대장_원본!$A$1:$AZ$400,(설정!$B$8+186),IFERROR(MATCH(설정!$C$22,INDEX(급여대장_원본!$A$1:$AZ$400,설정!$B$8,0),0),""))&amp;"",",","")),""))</f>
        <v/>
      </c>
      <c r="T192" s="2">
        <f>IF(OR(설정!$C$23="",IFERROR(MATCH(설정!$C$23,INDEX(급여대장_원본!$A$1:$AZ$400,설정!$B$8,0),0),"")=""),"",IFERROR(VALUE(SUBSTITUTE(INDEX(급여대장_원본!$A$1:$AZ$400,(설정!$B$8+186),IFERROR(MATCH(설정!$C$23,INDEX(급여대장_원본!$A$1:$AZ$400,설정!$B$8,0),0),""))&amp;"",",","")),""))</f>
        <v/>
      </c>
      <c r="U192" s="2">
        <f>IF(OR(설정!$C$24="",IFERROR(MATCH(설정!$C$24,INDEX(급여대장_원본!$A$1:$AZ$400,설정!$B$8,0),0),"")=""),"",IFERROR(VALUE(SUBSTITUTE(INDEX(급여대장_원본!$A$1:$AZ$400,(설정!$B$8+186),IFERROR(MATCH(설정!$C$24,INDEX(급여대장_원본!$A$1:$AZ$400,설정!$B$8,0),0),""))&amp;"",",","")),""))</f>
        <v/>
      </c>
      <c r="V192" s="27">
        <f>SUM(F192:M192)</f>
        <v/>
      </c>
      <c r="W192" s="27">
        <f>IF(설정!$D$26="",0,IFERROR(VALUE(SUBSTITUTE(SUBSTITUTE(INDEX(급여대장_원본!$A$1:$AZ$400,(설정!$B$8+186),설정!$D$26)&amp;"",",",""),"　","")),0))</f>
        <v/>
      </c>
      <c r="X192" s="27">
        <f>IF(설정!$D$27="",0,IFERROR(VALUE(SUBSTITUTE(SUBSTITUTE(INDEX(급여대장_원본!$A$1:$AZ$400,(설정!$B$8+186),설정!$D$27)&amp;"",",",""),"　","")),0))</f>
        <v/>
      </c>
      <c r="Y192" s="27">
        <f>IF(설정!$D$28="",0,IFERROR(VALUE(SUBSTITUTE(SUBSTITUTE(INDEX(급여대장_원본!$A$1:$AZ$400,(설정!$B$8+186),설정!$D$28)&amp;"",",",""),"　","")),0))</f>
        <v/>
      </c>
      <c r="Z192" s="27">
        <f>IF(설정!$D$29="",0,IFERROR(VALUE(SUBSTITUTE(SUBSTITUTE(INDEX(급여대장_원본!$A$1:$AZ$400,(설정!$B$8+186),설정!$D$29)&amp;"",",",""),"　","")),0))</f>
        <v/>
      </c>
      <c r="AA192" s="27">
        <f>IF(설정!$D$30="",0,IFERROR(VALUE(SUBSTITUTE(SUBSTITUTE(INDEX(급여대장_원본!$A$1:$AZ$400,(설정!$B$8+186),설정!$D$30)&amp;"",",",""),"　","")),0))</f>
        <v/>
      </c>
      <c r="AB192" s="27">
        <f>IF(설정!$D$31="",0,IFERROR(VALUE(SUBSTITUTE(SUBSTITUTE(INDEX(급여대장_원본!$A$1:$AZ$400,(설정!$B$8+186),설정!$D$31)&amp;"",",",""),"　","")),0))</f>
        <v/>
      </c>
      <c r="AC192" s="27">
        <f>IF(설정!$D$32="",0,IFERROR(VALUE(SUBSTITUTE(SUBSTITUTE(INDEX(급여대장_원본!$A$1:$AZ$400,(설정!$B$8+186),설정!$D$32)&amp;"",",",""),"　","")),0))</f>
        <v/>
      </c>
      <c r="AD192" s="27">
        <f>IF(설정!$D$33="",0,IFERROR(VALUE(SUBSTITUTE(SUBSTITUTE(INDEX(급여대장_원본!$A$1:$AZ$400,(설정!$B$8+186),설정!$D$33)&amp;"",",",""),"　","")),0))</f>
        <v/>
      </c>
      <c r="AE192" s="27">
        <f>SUM(W192:AD192)</f>
        <v/>
      </c>
      <c r="AF192" s="27">
        <f>V192-AE192</f>
        <v/>
      </c>
      <c r="AG192" s="27">
        <f>IF(설정!$D$35="","",IF(설정!$D$35="",0,IFERROR(VALUE(SUBSTITUTE(SUBSTITUTE(INDEX(급여대장_원본!$A$1:$AZ$400,(설정!$B$8+186),설정!$D$35)&amp;"",",",""),"　","")),0)))</f>
        <v/>
      </c>
      <c r="AH192" s="27">
        <f>IF(설정!$D$36="","",IF(설정!$D$36="",0,IFERROR(VALUE(SUBSTITUTE(SUBSTITUTE(INDEX(급여대장_원본!$A$1:$AZ$400,(설정!$B$8+186),설정!$D$36)&amp;"",",",""),"　","")),0)))</f>
        <v/>
      </c>
      <c r="AI192" s="27">
        <f>IF(설정!$D$37="","",IF(설정!$D$37="",0,IFERROR(VALUE(SUBSTITUTE(SUBSTITUTE(INDEX(급여대장_원본!$A$1:$AZ$400,(설정!$B$8+186),설정!$D$37)&amp;"",",",""),"　","")),0)))</f>
        <v/>
      </c>
      <c r="AJ192" s="2">
        <f>IFERROR(INDEX($D$7:$D$306,MATCH(186,$B$7:$B$306,0)),"")</f>
        <v/>
      </c>
    </row>
    <row r="193">
      <c r="A193" s="2">
        <f>IF(AND(D193&lt;&gt;"",D193&lt;&gt;"합계",D193&lt;&gt;"총계",D193&lt;&gt;"소계",D193&lt;&gt;"계"),1,0)</f>
        <v/>
      </c>
      <c r="B193" s="2">
        <f>IF(A193=1,SUM($A$7:A193),"")</f>
        <v/>
      </c>
      <c r="C193" s="2">
        <f>IF(설정!$D$13="","",TRIM(SUBSTITUTE(INDEX(급여대장_원본!$A$1:$AZ$400,(설정!$B$8+187),설정!$D$13)&amp;"","　"," ")))</f>
        <v/>
      </c>
      <c r="D193" s="2">
        <f>IF(설정!$D$14="","",TRIM(SUBSTITUTE(INDEX(급여대장_원본!$A$1:$AZ$400,(설정!$B$8+187),설정!$D$14)&amp;"","　"," ")))</f>
        <v/>
      </c>
      <c r="E193" s="2">
        <f>IF(설정!$D$15="","",TRIM(SUBSTITUTE(INDEX(급여대장_원본!$A$1:$AZ$400,(설정!$B$8+187),설정!$D$15)&amp;"","　"," ")))</f>
        <v/>
      </c>
      <c r="F193" s="27">
        <f>IF(설정!$D$17="",0,IFERROR(VALUE(SUBSTITUTE(SUBSTITUTE(INDEX(급여대장_원본!$A$1:$AZ$400,(설정!$B$8+187),설정!$D$17)&amp;"",",",""),"　","")),0))</f>
        <v/>
      </c>
      <c r="G193" s="27">
        <f>IF(설정!$D$18="",0,IFERROR(VALUE(SUBSTITUTE(SUBSTITUTE(INDEX(급여대장_원본!$A$1:$AZ$400,(설정!$B$8+187),설정!$D$18)&amp;"",",",""),"　","")),0))</f>
        <v/>
      </c>
      <c r="H193" s="27">
        <f>IF(설정!$D$19="",0,IFERROR(VALUE(SUBSTITUTE(SUBSTITUTE(INDEX(급여대장_원본!$A$1:$AZ$400,(설정!$B$8+187),설정!$D$19)&amp;"",",",""),"　","")),0))</f>
        <v/>
      </c>
      <c r="I193" s="27">
        <f>IF(설정!$D$20="",0,IFERROR(VALUE(SUBSTITUTE(SUBSTITUTE(INDEX(급여대장_원본!$A$1:$AZ$400,(설정!$B$8+187),설정!$D$20)&amp;"",",",""),"　","")),0))</f>
        <v/>
      </c>
      <c r="J193" s="27">
        <f>IF(설정!$D$21="",0,IFERROR(VALUE(SUBSTITUTE(SUBSTITUTE(INDEX(급여대장_원본!$A$1:$AZ$400,(설정!$B$8+187),설정!$D$21)&amp;"",",",""),"　","")),0))</f>
        <v/>
      </c>
      <c r="K193" s="27">
        <f>IF(설정!$D$22="",0,IFERROR(VALUE(SUBSTITUTE(SUBSTITUTE(INDEX(급여대장_원본!$A$1:$AZ$400,(설정!$B$8+187),설정!$D$22)&amp;"",",",""),"　","")),0))</f>
        <v/>
      </c>
      <c r="L193" s="27">
        <f>IF(설정!$D$23="",0,IFERROR(VALUE(SUBSTITUTE(SUBSTITUTE(INDEX(급여대장_원본!$A$1:$AZ$400,(설정!$B$8+187),설정!$D$23)&amp;"",",",""),"　","")),0))</f>
        <v/>
      </c>
      <c r="M193" s="27">
        <f>IF(설정!$D$24="",0,IFERROR(VALUE(SUBSTITUTE(SUBSTITUTE(INDEX(급여대장_원본!$A$1:$AZ$400,(설정!$B$8+187),설정!$D$24)&amp;"",",",""),"　","")),0))</f>
        <v/>
      </c>
      <c r="N193" s="2">
        <f>IF(OR(설정!$C$17="",IFERROR(MATCH(설정!$C$17,INDEX(급여대장_원본!$A$1:$AZ$400,설정!$B$8,0),0),"")=""),"",IFERROR(VALUE(SUBSTITUTE(INDEX(급여대장_원본!$A$1:$AZ$400,(설정!$B$8+187),IFERROR(MATCH(설정!$C$17,INDEX(급여대장_원본!$A$1:$AZ$400,설정!$B$8,0),0),""))&amp;"",",","")),""))</f>
        <v/>
      </c>
      <c r="O193" s="2">
        <f>IF(OR(설정!$C$18="",IFERROR(MATCH(설정!$C$18,INDEX(급여대장_원본!$A$1:$AZ$400,설정!$B$8,0),0),"")=""),"",IFERROR(VALUE(SUBSTITUTE(INDEX(급여대장_원본!$A$1:$AZ$400,(설정!$B$8+187),IFERROR(MATCH(설정!$C$18,INDEX(급여대장_원본!$A$1:$AZ$400,설정!$B$8,0),0),""))&amp;"",",","")),""))</f>
        <v/>
      </c>
      <c r="P193" s="2">
        <f>IF(OR(설정!$C$19="",IFERROR(MATCH(설정!$C$19,INDEX(급여대장_원본!$A$1:$AZ$400,설정!$B$8,0),0),"")=""),"",IFERROR(VALUE(SUBSTITUTE(INDEX(급여대장_원본!$A$1:$AZ$400,(설정!$B$8+187),IFERROR(MATCH(설정!$C$19,INDEX(급여대장_원본!$A$1:$AZ$400,설정!$B$8,0),0),""))&amp;"",",","")),""))</f>
        <v/>
      </c>
      <c r="Q193" s="2">
        <f>IF(OR(설정!$C$20="",IFERROR(MATCH(설정!$C$20,INDEX(급여대장_원본!$A$1:$AZ$400,설정!$B$8,0),0),"")=""),"",IFERROR(VALUE(SUBSTITUTE(INDEX(급여대장_원본!$A$1:$AZ$400,(설정!$B$8+187),IFERROR(MATCH(설정!$C$20,INDEX(급여대장_원본!$A$1:$AZ$400,설정!$B$8,0),0),""))&amp;"",",","")),""))</f>
        <v/>
      </c>
      <c r="R193" s="2">
        <f>IF(OR(설정!$C$21="",IFERROR(MATCH(설정!$C$21,INDEX(급여대장_원본!$A$1:$AZ$400,설정!$B$8,0),0),"")=""),"",IFERROR(VALUE(SUBSTITUTE(INDEX(급여대장_원본!$A$1:$AZ$400,(설정!$B$8+187),IFERROR(MATCH(설정!$C$21,INDEX(급여대장_원본!$A$1:$AZ$400,설정!$B$8,0),0),""))&amp;"",",","")),""))</f>
        <v/>
      </c>
      <c r="S193" s="2">
        <f>IF(OR(설정!$C$22="",IFERROR(MATCH(설정!$C$22,INDEX(급여대장_원본!$A$1:$AZ$400,설정!$B$8,0),0),"")=""),"",IFERROR(VALUE(SUBSTITUTE(INDEX(급여대장_원본!$A$1:$AZ$400,(설정!$B$8+187),IFERROR(MATCH(설정!$C$22,INDEX(급여대장_원본!$A$1:$AZ$400,설정!$B$8,0),0),""))&amp;"",",","")),""))</f>
        <v/>
      </c>
      <c r="T193" s="2">
        <f>IF(OR(설정!$C$23="",IFERROR(MATCH(설정!$C$23,INDEX(급여대장_원본!$A$1:$AZ$400,설정!$B$8,0),0),"")=""),"",IFERROR(VALUE(SUBSTITUTE(INDEX(급여대장_원본!$A$1:$AZ$400,(설정!$B$8+187),IFERROR(MATCH(설정!$C$23,INDEX(급여대장_원본!$A$1:$AZ$400,설정!$B$8,0),0),""))&amp;"",",","")),""))</f>
        <v/>
      </c>
      <c r="U193" s="2">
        <f>IF(OR(설정!$C$24="",IFERROR(MATCH(설정!$C$24,INDEX(급여대장_원본!$A$1:$AZ$400,설정!$B$8,0),0),"")=""),"",IFERROR(VALUE(SUBSTITUTE(INDEX(급여대장_원본!$A$1:$AZ$400,(설정!$B$8+187),IFERROR(MATCH(설정!$C$24,INDEX(급여대장_원본!$A$1:$AZ$400,설정!$B$8,0),0),""))&amp;"",",","")),""))</f>
        <v/>
      </c>
      <c r="V193" s="27">
        <f>SUM(F193:M193)</f>
        <v/>
      </c>
      <c r="W193" s="27">
        <f>IF(설정!$D$26="",0,IFERROR(VALUE(SUBSTITUTE(SUBSTITUTE(INDEX(급여대장_원본!$A$1:$AZ$400,(설정!$B$8+187),설정!$D$26)&amp;"",",",""),"　","")),0))</f>
        <v/>
      </c>
      <c r="X193" s="27">
        <f>IF(설정!$D$27="",0,IFERROR(VALUE(SUBSTITUTE(SUBSTITUTE(INDEX(급여대장_원본!$A$1:$AZ$400,(설정!$B$8+187),설정!$D$27)&amp;"",",",""),"　","")),0))</f>
        <v/>
      </c>
      <c r="Y193" s="27">
        <f>IF(설정!$D$28="",0,IFERROR(VALUE(SUBSTITUTE(SUBSTITUTE(INDEX(급여대장_원본!$A$1:$AZ$400,(설정!$B$8+187),설정!$D$28)&amp;"",",",""),"　","")),0))</f>
        <v/>
      </c>
      <c r="Z193" s="27">
        <f>IF(설정!$D$29="",0,IFERROR(VALUE(SUBSTITUTE(SUBSTITUTE(INDEX(급여대장_원본!$A$1:$AZ$400,(설정!$B$8+187),설정!$D$29)&amp;"",",",""),"　","")),0))</f>
        <v/>
      </c>
      <c r="AA193" s="27">
        <f>IF(설정!$D$30="",0,IFERROR(VALUE(SUBSTITUTE(SUBSTITUTE(INDEX(급여대장_원본!$A$1:$AZ$400,(설정!$B$8+187),설정!$D$30)&amp;"",",",""),"　","")),0))</f>
        <v/>
      </c>
      <c r="AB193" s="27">
        <f>IF(설정!$D$31="",0,IFERROR(VALUE(SUBSTITUTE(SUBSTITUTE(INDEX(급여대장_원본!$A$1:$AZ$400,(설정!$B$8+187),설정!$D$31)&amp;"",",",""),"　","")),0))</f>
        <v/>
      </c>
      <c r="AC193" s="27">
        <f>IF(설정!$D$32="",0,IFERROR(VALUE(SUBSTITUTE(SUBSTITUTE(INDEX(급여대장_원본!$A$1:$AZ$400,(설정!$B$8+187),설정!$D$32)&amp;"",",",""),"　","")),0))</f>
        <v/>
      </c>
      <c r="AD193" s="27">
        <f>IF(설정!$D$33="",0,IFERROR(VALUE(SUBSTITUTE(SUBSTITUTE(INDEX(급여대장_원본!$A$1:$AZ$400,(설정!$B$8+187),설정!$D$33)&amp;"",",",""),"　","")),0))</f>
        <v/>
      </c>
      <c r="AE193" s="27">
        <f>SUM(W193:AD193)</f>
        <v/>
      </c>
      <c r="AF193" s="27">
        <f>V193-AE193</f>
        <v/>
      </c>
      <c r="AG193" s="27">
        <f>IF(설정!$D$35="","",IF(설정!$D$35="",0,IFERROR(VALUE(SUBSTITUTE(SUBSTITUTE(INDEX(급여대장_원본!$A$1:$AZ$400,(설정!$B$8+187),설정!$D$35)&amp;"",",",""),"　","")),0)))</f>
        <v/>
      </c>
      <c r="AH193" s="27">
        <f>IF(설정!$D$36="","",IF(설정!$D$36="",0,IFERROR(VALUE(SUBSTITUTE(SUBSTITUTE(INDEX(급여대장_원본!$A$1:$AZ$400,(설정!$B$8+187),설정!$D$36)&amp;"",",",""),"　","")),0)))</f>
        <v/>
      </c>
      <c r="AI193" s="27">
        <f>IF(설정!$D$37="","",IF(설정!$D$37="",0,IFERROR(VALUE(SUBSTITUTE(SUBSTITUTE(INDEX(급여대장_원본!$A$1:$AZ$400,(설정!$B$8+187),설정!$D$37)&amp;"",",",""),"　","")),0)))</f>
        <v/>
      </c>
      <c r="AJ193" s="2">
        <f>IFERROR(INDEX($D$7:$D$306,MATCH(187,$B$7:$B$306,0)),"")</f>
        <v/>
      </c>
    </row>
    <row r="194">
      <c r="A194" s="2">
        <f>IF(AND(D194&lt;&gt;"",D194&lt;&gt;"합계",D194&lt;&gt;"총계",D194&lt;&gt;"소계",D194&lt;&gt;"계"),1,0)</f>
        <v/>
      </c>
      <c r="B194" s="2">
        <f>IF(A194=1,SUM($A$7:A194),"")</f>
        <v/>
      </c>
      <c r="C194" s="2">
        <f>IF(설정!$D$13="","",TRIM(SUBSTITUTE(INDEX(급여대장_원본!$A$1:$AZ$400,(설정!$B$8+188),설정!$D$13)&amp;"","　"," ")))</f>
        <v/>
      </c>
      <c r="D194" s="2">
        <f>IF(설정!$D$14="","",TRIM(SUBSTITUTE(INDEX(급여대장_원본!$A$1:$AZ$400,(설정!$B$8+188),설정!$D$14)&amp;"","　"," ")))</f>
        <v/>
      </c>
      <c r="E194" s="2">
        <f>IF(설정!$D$15="","",TRIM(SUBSTITUTE(INDEX(급여대장_원본!$A$1:$AZ$400,(설정!$B$8+188),설정!$D$15)&amp;"","　"," ")))</f>
        <v/>
      </c>
      <c r="F194" s="27">
        <f>IF(설정!$D$17="",0,IFERROR(VALUE(SUBSTITUTE(SUBSTITUTE(INDEX(급여대장_원본!$A$1:$AZ$400,(설정!$B$8+188),설정!$D$17)&amp;"",",",""),"　","")),0))</f>
        <v/>
      </c>
      <c r="G194" s="27">
        <f>IF(설정!$D$18="",0,IFERROR(VALUE(SUBSTITUTE(SUBSTITUTE(INDEX(급여대장_원본!$A$1:$AZ$400,(설정!$B$8+188),설정!$D$18)&amp;"",",",""),"　","")),0))</f>
        <v/>
      </c>
      <c r="H194" s="27">
        <f>IF(설정!$D$19="",0,IFERROR(VALUE(SUBSTITUTE(SUBSTITUTE(INDEX(급여대장_원본!$A$1:$AZ$400,(설정!$B$8+188),설정!$D$19)&amp;"",",",""),"　","")),0))</f>
        <v/>
      </c>
      <c r="I194" s="27">
        <f>IF(설정!$D$20="",0,IFERROR(VALUE(SUBSTITUTE(SUBSTITUTE(INDEX(급여대장_원본!$A$1:$AZ$400,(설정!$B$8+188),설정!$D$20)&amp;"",",",""),"　","")),0))</f>
        <v/>
      </c>
      <c r="J194" s="27">
        <f>IF(설정!$D$21="",0,IFERROR(VALUE(SUBSTITUTE(SUBSTITUTE(INDEX(급여대장_원본!$A$1:$AZ$400,(설정!$B$8+188),설정!$D$21)&amp;"",",",""),"　","")),0))</f>
        <v/>
      </c>
      <c r="K194" s="27">
        <f>IF(설정!$D$22="",0,IFERROR(VALUE(SUBSTITUTE(SUBSTITUTE(INDEX(급여대장_원본!$A$1:$AZ$400,(설정!$B$8+188),설정!$D$22)&amp;"",",",""),"　","")),0))</f>
        <v/>
      </c>
      <c r="L194" s="27">
        <f>IF(설정!$D$23="",0,IFERROR(VALUE(SUBSTITUTE(SUBSTITUTE(INDEX(급여대장_원본!$A$1:$AZ$400,(설정!$B$8+188),설정!$D$23)&amp;"",",",""),"　","")),0))</f>
        <v/>
      </c>
      <c r="M194" s="27">
        <f>IF(설정!$D$24="",0,IFERROR(VALUE(SUBSTITUTE(SUBSTITUTE(INDEX(급여대장_원본!$A$1:$AZ$400,(설정!$B$8+188),설정!$D$24)&amp;"",",",""),"　","")),0))</f>
        <v/>
      </c>
      <c r="N194" s="2">
        <f>IF(OR(설정!$C$17="",IFERROR(MATCH(설정!$C$17,INDEX(급여대장_원본!$A$1:$AZ$400,설정!$B$8,0),0),"")=""),"",IFERROR(VALUE(SUBSTITUTE(INDEX(급여대장_원본!$A$1:$AZ$400,(설정!$B$8+188),IFERROR(MATCH(설정!$C$17,INDEX(급여대장_원본!$A$1:$AZ$400,설정!$B$8,0),0),""))&amp;"",",","")),""))</f>
        <v/>
      </c>
      <c r="O194" s="2">
        <f>IF(OR(설정!$C$18="",IFERROR(MATCH(설정!$C$18,INDEX(급여대장_원본!$A$1:$AZ$400,설정!$B$8,0),0),"")=""),"",IFERROR(VALUE(SUBSTITUTE(INDEX(급여대장_원본!$A$1:$AZ$400,(설정!$B$8+188),IFERROR(MATCH(설정!$C$18,INDEX(급여대장_원본!$A$1:$AZ$400,설정!$B$8,0),0),""))&amp;"",",","")),""))</f>
        <v/>
      </c>
      <c r="P194" s="2">
        <f>IF(OR(설정!$C$19="",IFERROR(MATCH(설정!$C$19,INDEX(급여대장_원본!$A$1:$AZ$400,설정!$B$8,0),0),"")=""),"",IFERROR(VALUE(SUBSTITUTE(INDEX(급여대장_원본!$A$1:$AZ$400,(설정!$B$8+188),IFERROR(MATCH(설정!$C$19,INDEX(급여대장_원본!$A$1:$AZ$400,설정!$B$8,0),0),""))&amp;"",",","")),""))</f>
        <v/>
      </c>
      <c r="Q194" s="2">
        <f>IF(OR(설정!$C$20="",IFERROR(MATCH(설정!$C$20,INDEX(급여대장_원본!$A$1:$AZ$400,설정!$B$8,0),0),"")=""),"",IFERROR(VALUE(SUBSTITUTE(INDEX(급여대장_원본!$A$1:$AZ$400,(설정!$B$8+188),IFERROR(MATCH(설정!$C$20,INDEX(급여대장_원본!$A$1:$AZ$400,설정!$B$8,0),0),""))&amp;"",",","")),""))</f>
        <v/>
      </c>
      <c r="R194" s="2">
        <f>IF(OR(설정!$C$21="",IFERROR(MATCH(설정!$C$21,INDEX(급여대장_원본!$A$1:$AZ$400,설정!$B$8,0),0),"")=""),"",IFERROR(VALUE(SUBSTITUTE(INDEX(급여대장_원본!$A$1:$AZ$400,(설정!$B$8+188),IFERROR(MATCH(설정!$C$21,INDEX(급여대장_원본!$A$1:$AZ$400,설정!$B$8,0),0),""))&amp;"",",","")),""))</f>
        <v/>
      </c>
      <c r="S194" s="2">
        <f>IF(OR(설정!$C$22="",IFERROR(MATCH(설정!$C$22,INDEX(급여대장_원본!$A$1:$AZ$400,설정!$B$8,0),0),"")=""),"",IFERROR(VALUE(SUBSTITUTE(INDEX(급여대장_원본!$A$1:$AZ$400,(설정!$B$8+188),IFERROR(MATCH(설정!$C$22,INDEX(급여대장_원본!$A$1:$AZ$400,설정!$B$8,0),0),""))&amp;"",",","")),""))</f>
        <v/>
      </c>
      <c r="T194" s="2">
        <f>IF(OR(설정!$C$23="",IFERROR(MATCH(설정!$C$23,INDEX(급여대장_원본!$A$1:$AZ$400,설정!$B$8,0),0),"")=""),"",IFERROR(VALUE(SUBSTITUTE(INDEX(급여대장_원본!$A$1:$AZ$400,(설정!$B$8+188),IFERROR(MATCH(설정!$C$23,INDEX(급여대장_원본!$A$1:$AZ$400,설정!$B$8,0),0),""))&amp;"",",","")),""))</f>
        <v/>
      </c>
      <c r="U194" s="2">
        <f>IF(OR(설정!$C$24="",IFERROR(MATCH(설정!$C$24,INDEX(급여대장_원본!$A$1:$AZ$400,설정!$B$8,0),0),"")=""),"",IFERROR(VALUE(SUBSTITUTE(INDEX(급여대장_원본!$A$1:$AZ$400,(설정!$B$8+188),IFERROR(MATCH(설정!$C$24,INDEX(급여대장_원본!$A$1:$AZ$400,설정!$B$8,0),0),""))&amp;"",",","")),""))</f>
        <v/>
      </c>
      <c r="V194" s="27">
        <f>SUM(F194:M194)</f>
        <v/>
      </c>
      <c r="W194" s="27">
        <f>IF(설정!$D$26="",0,IFERROR(VALUE(SUBSTITUTE(SUBSTITUTE(INDEX(급여대장_원본!$A$1:$AZ$400,(설정!$B$8+188),설정!$D$26)&amp;"",",",""),"　","")),0))</f>
        <v/>
      </c>
      <c r="X194" s="27">
        <f>IF(설정!$D$27="",0,IFERROR(VALUE(SUBSTITUTE(SUBSTITUTE(INDEX(급여대장_원본!$A$1:$AZ$400,(설정!$B$8+188),설정!$D$27)&amp;"",",",""),"　","")),0))</f>
        <v/>
      </c>
      <c r="Y194" s="27">
        <f>IF(설정!$D$28="",0,IFERROR(VALUE(SUBSTITUTE(SUBSTITUTE(INDEX(급여대장_원본!$A$1:$AZ$400,(설정!$B$8+188),설정!$D$28)&amp;"",",",""),"　","")),0))</f>
        <v/>
      </c>
      <c r="Z194" s="27">
        <f>IF(설정!$D$29="",0,IFERROR(VALUE(SUBSTITUTE(SUBSTITUTE(INDEX(급여대장_원본!$A$1:$AZ$400,(설정!$B$8+188),설정!$D$29)&amp;"",",",""),"　","")),0))</f>
        <v/>
      </c>
      <c r="AA194" s="27">
        <f>IF(설정!$D$30="",0,IFERROR(VALUE(SUBSTITUTE(SUBSTITUTE(INDEX(급여대장_원본!$A$1:$AZ$400,(설정!$B$8+188),설정!$D$30)&amp;"",",",""),"　","")),0))</f>
        <v/>
      </c>
      <c r="AB194" s="27">
        <f>IF(설정!$D$31="",0,IFERROR(VALUE(SUBSTITUTE(SUBSTITUTE(INDEX(급여대장_원본!$A$1:$AZ$400,(설정!$B$8+188),설정!$D$31)&amp;"",",",""),"　","")),0))</f>
        <v/>
      </c>
      <c r="AC194" s="27">
        <f>IF(설정!$D$32="",0,IFERROR(VALUE(SUBSTITUTE(SUBSTITUTE(INDEX(급여대장_원본!$A$1:$AZ$400,(설정!$B$8+188),설정!$D$32)&amp;"",",",""),"　","")),0))</f>
        <v/>
      </c>
      <c r="AD194" s="27">
        <f>IF(설정!$D$33="",0,IFERROR(VALUE(SUBSTITUTE(SUBSTITUTE(INDEX(급여대장_원본!$A$1:$AZ$400,(설정!$B$8+188),설정!$D$33)&amp;"",",",""),"　","")),0))</f>
        <v/>
      </c>
      <c r="AE194" s="27">
        <f>SUM(W194:AD194)</f>
        <v/>
      </c>
      <c r="AF194" s="27">
        <f>V194-AE194</f>
        <v/>
      </c>
      <c r="AG194" s="27">
        <f>IF(설정!$D$35="","",IF(설정!$D$35="",0,IFERROR(VALUE(SUBSTITUTE(SUBSTITUTE(INDEX(급여대장_원본!$A$1:$AZ$400,(설정!$B$8+188),설정!$D$35)&amp;"",",",""),"　","")),0)))</f>
        <v/>
      </c>
      <c r="AH194" s="27">
        <f>IF(설정!$D$36="","",IF(설정!$D$36="",0,IFERROR(VALUE(SUBSTITUTE(SUBSTITUTE(INDEX(급여대장_원본!$A$1:$AZ$400,(설정!$B$8+188),설정!$D$36)&amp;"",",",""),"　","")),0)))</f>
        <v/>
      </c>
      <c r="AI194" s="27">
        <f>IF(설정!$D$37="","",IF(설정!$D$37="",0,IFERROR(VALUE(SUBSTITUTE(SUBSTITUTE(INDEX(급여대장_원본!$A$1:$AZ$400,(설정!$B$8+188),설정!$D$37)&amp;"",",",""),"　","")),0)))</f>
        <v/>
      </c>
      <c r="AJ194" s="2">
        <f>IFERROR(INDEX($D$7:$D$306,MATCH(188,$B$7:$B$306,0)),"")</f>
        <v/>
      </c>
    </row>
    <row r="195">
      <c r="A195" s="2">
        <f>IF(AND(D195&lt;&gt;"",D195&lt;&gt;"합계",D195&lt;&gt;"총계",D195&lt;&gt;"소계",D195&lt;&gt;"계"),1,0)</f>
        <v/>
      </c>
      <c r="B195" s="2">
        <f>IF(A195=1,SUM($A$7:A195),"")</f>
        <v/>
      </c>
      <c r="C195" s="2">
        <f>IF(설정!$D$13="","",TRIM(SUBSTITUTE(INDEX(급여대장_원본!$A$1:$AZ$400,(설정!$B$8+189),설정!$D$13)&amp;"","　"," ")))</f>
        <v/>
      </c>
      <c r="D195" s="2">
        <f>IF(설정!$D$14="","",TRIM(SUBSTITUTE(INDEX(급여대장_원본!$A$1:$AZ$400,(설정!$B$8+189),설정!$D$14)&amp;"","　"," ")))</f>
        <v/>
      </c>
      <c r="E195" s="2">
        <f>IF(설정!$D$15="","",TRIM(SUBSTITUTE(INDEX(급여대장_원본!$A$1:$AZ$400,(설정!$B$8+189),설정!$D$15)&amp;"","　"," ")))</f>
        <v/>
      </c>
      <c r="F195" s="27">
        <f>IF(설정!$D$17="",0,IFERROR(VALUE(SUBSTITUTE(SUBSTITUTE(INDEX(급여대장_원본!$A$1:$AZ$400,(설정!$B$8+189),설정!$D$17)&amp;"",",",""),"　","")),0))</f>
        <v/>
      </c>
      <c r="G195" s="27">
        <f>IF(설정!$D$18="",0,IFERROR(VALUE(SUBSTITUTE(SUBSTITUTE(INDEX(급여대장_원본!$A$1:$AZ$400,(설정!$B$8+189),설정!$D$18)&amp;"",",",""),"　","")),0))</f>
        <v/>
      </c>
      <c r="H195" s="27">
        <f>IF(설정!$D$19="",0,IFERROR(VALUE(SUBSTITUTE(SUBSTITUTE(INDEX(급여대장_원본!$A$1:$AZ$400,(설정!$B$8+189),설정!$D$19)&amp;"",",",""),"　","")),0))</f>
        <v/>
      </c>
      <c r="I195" s="27">
        <f>IF(설정!$D$20="",0,IFERROR(VALUE(SUBSTITUTE(SUBSTITUTE(INDEX(급여대장_원본!$A$1:$AZ$400,(설정!$B$8+189),설정!$D$20)&amp;"",",",""),"　","")),0))</f>
        <v/>
      </c>
      <c r="J195" s="27">
        <f>IF(설정!$D$21="",0,IFERROR(VALUE(SUBSTITUTE(SUBSTITUTE(INDEX(급여대장_원본!$A$1:$AZ$400,(설정!$B$8+189),설정!$D$21)&amp;"",",",""),"　","")),0))</f>
        <v/>
      </c>
      <c r="K195" s="27">
        <f>IF(설정!$D$22="",0,IFERROR(VALUE(SUBSTITUTE(SUBSTITUTE(INDEX(급여대장_원본!$A$1:$AZ$400,(설정!$B$8+189),설정!$D$22)&amp;"",",",""),"　","")),0))</f>
        <v/>
      </c>
      <c r="L195" s="27">
        <f>IF(설정!$D$23="",0,IFERROR(VALUE(SUBSTITUTE(SUBSTITUTE(INDEX(급여대장_원본!$A$1:$AZ$400,(설정!$B$8+189),설정!$D$23)&amp;"",",",""),"　","")),0))</f>
        <v/>
      </c>
      <c r="M195" s="27">
        <f>IF(설정!$D$24="",0,IFERROR(VALUE(SUBSTITUTE(SUBSTITUTE(INDEX(급여대장_원본!$A$1:$AZ$400,(설정!$B$8+189),설정!$D$24)&amp;"",",",""),"　","")),0))</f>
        <v/>
      </c>
      <c r="N195" s="2">
        <f>IF(OR(설정!$C$17="",IFERROR(MATCH(설정!$C$17,INDEX(급여대장_원본!$A$1:$AZ$400,설정!$B$8,0),0),"")=""),"",IFERROR(VALUE(SUBSTITUTE(INDEX(급여대장_원본!$A$1:$AZ$400,(설정!$B$8+189),IFERROR(MATCH(설정!$C$17,INDEX(급여대장_원본!$A$1:$AZ$400,설정!$B$8,0),0),""))&amp;"",",","")),""))</f>
        <v/>
      </c>
      <c r="O195" s="2">
        <f>IF(OR(설정!$C$18="",IFERROR(MATCH(설정!$C$18,INDEX(급여대장_원본!$A$1:$AZ$400,설정!$B$8,0),0),"")=""),"",IFERROR(VALUE(SUBSTITUTE(INDEX(급여대장_원본!$A$1:$AZ$400,(설정!$B$8+189),IFERROR(MATCH(설정!$C$18,INDEX(급여대장_원본!$A$1:$AZ$400,설정!$B$8,0),0),""))&amp;"",",","")),""))</f>
        <v/>
      </c>
      <c r="P195" s="2">
        <f>IF(OR(설정!$C$19="",IFERROR(MATCH(설정!$C$19,INDEX(급여대장_원본!$A$1:$AZ$400,설정!$B$8,0),0),"")=""),"",IFERROR(VALUE(SUBSTITUTE(INDEX(급여대장_원본!$A$1:$AZ$400,(설정!$B$8+189),IFERROR(MATCH(설정!$C$19,INDEX(급여대장_원본!$A$1:$AZ$400,설정!$B$8,0),0),""))&amp;"",",","")),""))</f>
        <v/>
      </c>
      <c r="Q195" s="2">
        <f>IF(OR(설정!$C$20="",IFERROR(MATCH(설정!$C$20,INDEX(급여대장_원본!$A$1:$AZ$400,설정!$B$8,0),0),"")=""),"",IFERROR(VALUE(SUBSTITUTE(INDEX(급여대장_원본!$A$1:$AZ$400,(설정!$B$8+189),IFERROR(MATCH(설정!$C$20,INDEX(급여대장_원본!$A$1:$AZ$400,설정!$B$8,0),0),""))&amp;"",",","")),""))</f>
        <v/>
      </c>
      <c r="R195" s="2">
        <f>IF(OR(설정!$C$21="",IFERROR(MATCH(설정!$C$21,INDEX(급여대장_원본!$A$1:$AZ$400,설정!$B$8,0),0),"")=""),"",IFERROR(VALUE(SUBSTITUTE(INDEX(급여대장_원본!$A$1:$AZ$400,(설정!$B$8+189),IFERROR(MATCH(설정!$C$21,INDEX(급여대장_원본!$A$1:$AZ$400,설정!$B$8,0),0),""))&amp;"",",","")),""))</f>
        <v/>
      </c>
      <c r="S195" s="2">
        <f>IF(OR(설정!$C$22="",IFERROR(MATCH(설정!$C$22,INDEX(급여대장_원본!$A$1:$AZ$400,설정!$B$8,0),0),"")=""),"",IFERROR(VALUE(SUBSTITUTE(INDEX(급여대장_원본!$A$1:$AZ$400,(설정!$B$8+189),IFERROR(MATCH(설정!$C$22,INDEX(급여대장_원본!$A$1:$AZ$400,설정!$B$8,0),0),""))&amp;"",",","")),""))</f>
        <v/>
      </c>
      <c r="T195" s="2">
        <f>IF(OR(설정!$C$23="",IFERROR(MATCH(설정!$C$23,INDEX(급여대장_원본!$A$1:$AZ$400,설정!$B$8,0),0),"")=""),"",IFERROR(VALUE(SUBSTITUTE(INDEX(급여대장_원본!$A$1:$AZ$400,(설정!$B$8+189),IFERROR(MATCH(설정!$C$23,INDEX(급여대장_원본!$A$1:$AZ$400,설정!$B$8,0),0),""))&amp;"",",","")),""))</f>
        <v/>
      </c>
      <c r="U195" s="2">
        <f>IF(OR(설정!$C$24="",IFERROR(MATCH(설정!$C$24,INDEX(급여대장_원본!$A$1:$AZ$400,설정!$B$8,0),0),"")=""),"",IFERROR(VALUE(SUBSTITUTE(INDEX(급여대장_원본!$A$1:$AZ$400,(설정!$B$8+189),IFERROR(MATCH(설정!$C$24,INDEX(급여대장_원본!$A$1:$AZ$400,설정!$B$8,0),0),""))&amp;"",",","")),""))</f>
        <v/>
      </c>
      <c r="V195" s="27">
        <f>SUM(F195:M195)</f>
        <v/>
      </c>
      <c r="W195" s="27">
        <f>IF(설정!$D$26="",0,IFERROR(VALUE(SUBSTITUTE(SUBSTITUTE(INDEX(급여대장_원본!$A$1:$AZ$400,(설정!$B$8+189),설정!$D$26)&amp;"",",",""),"　","")),0))</f>
        <v/>
      </c>
      <c r="X195" s="27">
        <f>IF(설정!$D$27="",0,IFERROR(VALUE(SUBSTITUTE(SUBSTITUTE(INDEX(급여대장_원본!$A$1:$AZ$400,(설정!$B$8+189),설정!$D$27)&amp;"",",",""),"　","")),0))</f>
        <v/>
      </c>
      <c r="Y195" s="27">
        <f>IF(설정!$D$28="",0,IFERROR(VALUE(SUBSTITUTE(SUBSTITUTE(INDEX(급여대장_원본!$A$1:$AZ$400,(설정!$B$8+189),설정!$D$28)&amp;"",",",""),"　","")),0))</f>
        <v/>
      </c>
      <c r="Z195" s="27">
        <f>IF(설정!$D$29="",0,IFERROR(VALUE(SUBSTITUTE(SUBSTITUTE(INDEX(급여대장_원본!$A$1:$AZ$400,(설정!$B$8+189),설정!$D$29)&amp;"",",",""),"　","")),0))</f>
        <v/>
      </c>
      <c r="AA195" s="27">
        <f>IF(설정!$D$30="",0,IFERROR(VALUE(SUBSTITUTE(SUBSTITUTE(INDEX(급여대장_원본!$A$1:$AZ$400,(설정!$B$8+189),설정!$D$30)&amp;"",",",""),"　","")),0))</f>
        <v/>
      </c>
      <c r="AB195" s="27">
        <f>IF(설정!$D$31="",0,IFERROR(VALUE(SUBSTITUTE(SUBSTITUTE(INDEX(급여대장_원본!$A$1:$AZ$400,(설정!$B$8+189),설정!$D$31)&amp;"",",",""),"　","")),0))</f>
        <v/>
      </c>
      <c r="AC195" s="27">
        <f>IF(설정!$D$32="",0,IFERROR(VALUE(SUBSTITUTE(SUBSTITUTE(INDEX(급여대장_원본!$A$1:$AZ$400,(설정!$B$8+189),설정!$D$32)&amp;"",",",""),"　","")),0))</f>
        <v/>
      </c>
      <c r="AD195" s="27">
        <f>IF(설정!$D$33="",0,IFERROR(VALUE(SUBSTITUTE(SUBSTITUTE(INDEX(급여대장_원본!$A$1:$AZ$400,(설정!$B$8+189),설정!$D$33)&amp;"",",",""),"　","")),0))</f>
        <v/>
      </c>
      <c r="AE195" s="27">
        <f>SUM(W195:AD195)</f>
        <v/>
      </c>
      <c r="AF195" s="27">
        <f>V195-AE195</f>
        <v/>
      </c>
      <c r="AG195" s="27">
        <f>IF(설정!$D$35="","",IF(설정!$D$35="",0,IFERROR(VALUE(SUBSTITUTE(SUBSTITUTE(INDEX(급여대장_원본!$A$1:$AZ$400,(설정!$B$8+189),설정!$D$35)&amp;"",",",""),"　","")),0)))</f>
        <v/>
      </c>
      <c r="AH195" s="27">
        <f>IF(설정!$D$36="","",IF(설정!$D$36="",0,IFERROR(VALUE(SUBSTITUTE(SUBSTITUTE(INDEX(급여대장_원본!$A$1:$AZ$400,(설정!$B$8+189),설정!$D$36)&amp;"",",",""),"　","")),0)))</f>
        <v/>
      </c>
      <c r="AI195" s="27">
        <f>IF(설정!$D$37="","",IF(설정!$D$37="",0,IFERROR(VALUE(SUBSTITUTE(SUBSTITUTE(INDEX(급여대장_원본!$A$1:$AZ$400,(설정!$B$8+189),설정!$D$37)&amp;"",",",""),"　","")),0)))</f>
        <v/>
      </c>
      <c r="AJ195" s="2">
        <f>IFERROR(INDEX($D$7:$D$306,MATCH(189,$B$7:$B$306,0)),"")</f>
        <v/>
      </c>
    </row>
    <row r="196">
      <c r="A196" s="2">
        <f>IF(AND(D196&lt;&gt;"",D196&lt;&gt;"합계",D196&lt;&gt;"총계",D196&lt;&gt;"소계",D196&lt;&gt;"계"),1,0)</f>
        <v/>
      </c>
      <c r="B196" s="2">
        <f>IF(A196=1,SUM($A$7:A196),"")</f>
        <v/>
      </c>
      <c r="C196" s="2">
        <f>IF(설정!$D$13="","",TRIM(SUBSTITUTE(INDEX(급여대장_원본!$A$1:$AZ$400,(설정!$B$8+190),설정!$D$13)&amp;"","　"," ")))</f>
        <v/>
      </c>
      <c r="D196" s="2">
        <f>IF(설정!$D$14="","",TRIM(SUBSTITUTE(INDEX(급여대장_원본!$A$1:$AZ$400,(설정!$B$8+190),설정!$D$14)&amp;"","　"," ")))</f>
        <v/>
      </c>
      <c r="E196" s="2">
        <f>IF(설정!$D$15="","",TRIM(SUBSTITUTE(INDEX(급여대장_원본!$A$1:$AZ$400,(설정!$B$8+190),설정!$D$15)&amp;"","　"," ")))</f>
        <v/>
      </c>
      <c r="F196" s="27">
        <f>IF(설정!$D$17="",0,IFERROR(VALUE(SUBSTITUTE(SUBSTITUTE(INDEX(급여대장_원본!$A$1:$AZ$400,(설정!$B$8+190),설정!$D$17)&amp;"",",",""),"　","")),0))</f>
        <v/>
      </c>
      <c r="G196" s="27">
        <f>IF(설정!$D$18="",0,IFERROR(VALUE(SUBSTITUTE(SUBSTITUTE(INDEX(급여대장_원본!$A$1:$AZ$400,(설정!$B$8+190),설정!$D$18)&amp;"",",",""),"　","")),0))</f>
        <v/>
      </c>
      <c r="H196" s="27">
        <f>IF(설정!$D$19="",0,IFERROR(VALUE(SUBSTITUTE(SUBSTITUTE(INDEX(급여대장_원본!$A$1:$AZ$400,(설정!$B$8+190),설정!$D$19)&amp;"",",",""),"　","")),0))</f>
        <v/>
      </c>
      <c r="I196" s="27">
        <f>IF(설정!$D$20="",0,IFERROR(VALUE(SUBSTITUTE(SUBSTITUTE(INDEX(급여대장_원본!$A$1:$AZ$400,(설정!$B$8+190),설정!$D$20)&amp;"",",",""),"　","")),0))</f>
        <v/>
      </c>
      <c r="J196" s="27">
        <f>IF(설정!$D$21="",0,IFERROR(VALUE(SUBSTITUTE(SUBSTITUTE(INDEX(급여대장_원본!$A$1:$AZ$400,(설정!$B$8+190),설정!$D$21)&amp;"",",",""),"　","")),0))</f>
        <v/>
      </c>
      <c r="K196" s="27">
        <f>IF(설정!$D$22="",0,IFERROR(VALUE(SUBSTITUTE(SUBSTITUTE(INDEX(급여대장_원본!$A$1:$AZ$400,(설정!$B$8+190),설정!$D$22)&amp;"",",",""),"　","")),0))</f>
        <v/>
      </c>
      <c r="L196" s="27">
        <f>IF(설정!$D$23="",0,IFERROR(VALUE(SUBSTITUTE(SUBSTITUTE(INDEX(급여대장_원본!$A$1:$AZ$400,(설정!$B$8+190),설정!$D$23)&amp;"",",",""),"　","")),0))</f>
        <v/>
      </c>
      <c r="M196" s="27">
        <f>IF(설정!$D$24="",0,IFERROR(VALUE(SUBSTITUTE(SUBSTITUTE(INDEX(급여대장_원본!$A$1:$AZ$400,(설정!$B$8+190),설정!$D$24)&amp;"",",",""),"　","")),0))</f>
        <v/>
      </c>
      <c r="N196" s="2">
        <f>IF(OR(설정!$C$17="",IFERROR(MATCH(설정!$C$17,INDEX(급여대장_원본!$A$1:$AZ$400,설정!$B$8,0),0),"")=""),"",IFERROR(VALUE(SUBSTITUTE(INDEX(급여대장_원본!$A$1:$AZ$400,(설정!$B$8+190),IFERROR(MATCH(설정!$C$17,INDEX(급여대장_원본!$A$1:$AZ$400,설정!$B$8,0),0),""))&amp;"",",","")),""))</f>
        <v/>
      </c>
      <c r="O196" s="2">
        <f>IF(OR(설정!$C$18="",IFERROR(MATCH(설정!$C$18,INDEX(급여대장_원본!$A$1:$AZ$400,설정!$B$8,0),0),"")=""),"",IFERROR(VALUE(SUBSTITUTE(INDEX(급여대장_원본!$A$1:$AZ$400,(설정!$B$8+190),IFERROR(MATCH(설정!$C$18,INDEX(급여대장_원본!$A$1:$AZ$400,설정!$B$8,0),0),""))&amp;"",",","")),""))</f>
        <v/>
      </c>
      <c r="P196" s="2">
        <f>IF(OR(설정!$C$19="",IFERROR(MATCH(설정!$C$19,INDEX(급여대장_원본!$A$1:$AZ$400,설정!$B$8,0),0),"")=""),"",IFERROR(VALUE(SUBSTITUTE(INDEX(급여대장_원본!$A$1:$AZ$400,(설정!$B$8+190),IFERROR(MATCH(설정!$C$19,INDEX(급여대장_원본!$A$1:$AZ$400,설정!$B$8,0),0),""))&amp;"",",","")),""))</f>
        <v/>
      </c>
      <c r="Q196" s="2">
        <f>IF(OR(설정!$C$20="",IFERROR(MATCH(설정!$C$20,INDEX(급여대장_원본!$A$1:$AZ$400,설정!$B$8,0),0),"")=""),"",IFERROR(VALUE(SUBSTITUTE(INDEX(급여대장_원본!$A$1:$AZ$400,(설정!$B$8+190),IFERROR(MATCH(설정!$C$20,INDEX(급여대장_원본!$A$1:$AZ$400,설정!$B$8,0),0),""))&amp;"",",","")),""))</f>
        <v/>
      </c>
      <c r="R196" s="2">
        <f>IF(OR(설정!$C$21="",IFERROR(MATCH(설정!$C$21,INDEX(급여대장_원본!$A$1:$AZ$400,설정!$B$8,0),0),"")=""),"",IFERROR(VALUE(SUBSTITUTE(INDEX(급여대장_원본!$A$1:$AZ$400,(설정!$B$8+190),IFERROR(MATCH(설정!$C$21,INDEX(급여대장_원본!$A$1:$AZ$400,설정!$B$8,0),0),""))&amp;"",",","")),""))</f>
        <v/>
      </c>
      <c r="S196" s="2">
        <f>IF(OR(설정!$C$22="",IFERROR(MATCH(설정!$C$22,INDEX(급여대장_원본!$A$1:$AZ$400,설정!$B$8,0),0),"")=""),"",IFERROR(VALUE(SUBSTITUTE(INDEX(급여대장_원본!$A$1:$AZ$400,(설정!$B$8+190),IFERROR(MATCH(설정!$C$22,INDEX(급여대장_원본!$A$1:$AZ$400,설정!$B$8,0),0),""))&amp;"",",","")),""))</f>
        <v/>
      </c>
      <c r="T196" s="2">
        <f>IF(OR(설정!$C$23="",IFERROR(MATCH(설정!$C$23,INDEX(급여대장_원본!$A$1:$AZ$400,설정!$B$8,0),0),"")=""),"",IFERROR(VALUE(SUBSTITUTE(INDEX(급여대장_원본!$A$1:$AZ$400,(설정!$B$8+190),IFERROR(MATCH(설정!$C$23,INDEX(급여대장_원본!$A$1:$AZ$400,설정!$B$8,0),0),""))&amp;"",",","")),""))</f>
        <v/>
      </c>
      <c r="U196" s="2">
        <f>IF(OR(설정!$C$24="",IFERROR(MATCH(설정!$C$24,INDEX(급여대장_원본!$A$1:$AZ$400,설정!$B$8,0),0),"")=""),"",IFERROR(VALUE(SUBSTITUTE(INDEX(급여대장_원본!$A$1:$AZ$400,(설정!$B$8+190),IFERROR(MATCH(설정!$C$24,INDEX(급여대장_원본!$A$1:$AZ$400,설정!$B$8,0),0),""))&amp;"",",","")),""))</f>
        <v/>
      </c>
      <c r="V196" s="27">
        <f>SUM(F196:M196)</f>
        <v/>
      </c>
      <c r="W196" s="27">
        <f>IF(설정!$D$26="",0,IFERROR(VALUE(SUBSTITUTE(SUBSTITUTE(INDEX(급여대장_원본!$A$1:$AZ$400,(설정!$B$8+190),설정!$D$26)&amp;"",",",""),"　","")),0))</f>
        <v/>
      </c>
      <c r="X196" s="27">
        <f>IF(설정!$D$27="",0,IFERROR(VALUE(SUBSTITUTE(SUBSTITUTE(INDEX(급여대장_원본!$A$1:$AZ$400,(설정!$B$8+190),설정!$D$27)&amp;"",",",""),"　","")),0))</f>
        <v/>
      </c>
      <c r="Y196" s="27">
        <f>IF(설정!$D$28="",0,IFERROR(VALUE(SUBSTITUTE(SUBSTITUTE(INDEX(급여대장_원본!$A$1:$AZ$400,(설정!$B$8+190),설정!$D$28)&amp;"",",",""),"　","")),0))</f>
        <v/>
      </c>
      <c r="Z196" s="27">
        <f>IF(설정!$D$29="",0,IFERROR(VALUE(SUBSTITUTE(SUBSTITUTE(INDEX(급여대장_원본!$A$1:$AZ$400,(설정!$B$8+190),설정!$D$29)&amp;"",",",""),"　","")),0))</f>
        <v/>
      </c>
      <c r="AA196" s="27">
        <f>IF(설정!$D$30="",0,IFERROR(VALUE(SUBSTITUTE(SUBSTITUTE(INDEX(급여대장_원본!$A$1:$AZ$400,(설정!$B$8+190),설정!$D$30)&amp;"",",",""),"　","")),0))</f>
        <v/>
      </c>
      <c r="AB196" s="27">
        <f>IF(설정!$D$31="",0,IFERROR(VALUE(SUBSTITUTE(SUBSTITUTE(INDEX(급여대장_원본!$A$1:$AZ$400,(설정!$B$8+190),설정!$D$31)&amp;"",",",""),"　","")),0))</f>
        <v/>
      </c>
      <c r="AC196" s="27">
        <f>IF(설정!$D$32="",0,IFERROR(VALUE(SUBSTITUTE(SUBSTITUTE(INDEX(급여대장_원본!$A$1:$AZ$400,(설정!$B$8+190),설정!$D$32)&amp;"",",",""),"　","")),0))</f>
        <v/>
      </c>
      <c r="AD196" s="27">
        <f>IF(설정!$D$33="",0,IFERROR(VALUE(SUBSTITUTE(SUBSTITUTE(INDEX(급여대장_원본!$A$1:$AZ$400,(설정!$B$8+190),설정!$D$33)&amp;"",",",""),"　","")),0))</f>
        <v/>
      </c>
      <c r="AE196" s="27">
        <f>SUM(W196:AD196)</f>
        <v/>
      </c>
      <c r="AF196" s="27">
        <f>V196-AE196</f>
        <v/>
      </c>
      <c r="AG196" s="27">
        <f>IF(설정!$D$35="","",IF(설정!$D$35="",0,IFERROR(VALUE(SUBSTITUTE(SUBSTITUTE(INDEX(급여대장_원본!$A$1:$AZ$400,(설정!$B$8+190),설정!$D$35)&amp;"",",",""),"　","")),0)))</f>
        <v/>
      </c>
      <c r="AH196" s="27">
        <f>IF(설정!$D$36="","",IF(설정!$D$36="",0,IFERROR(VALUE(SUBSTITUTE(SUBSTITUTE(INDEX(급여대장_원본!$A$1:$AZ$400,(설정!$B$8+190),설정!$D$36)&amp;"",",",""),"　","")),0)))</f>
        <v/>
      </c>
      <c r="AI196" s="27">
        <f>IF(설정!$D$37="","",IF(설정!$D$37="",0,IFERROR(VALUE(SUBSTITUTE(SUBSTITUTE(INDEX(급여대장_원본!$A$1:$AZ$400,(설정!$B$8+190),설정!$D$37)&amp;"",",",""),"　","")),0)))</f>
        <v/>
      </c>
      <c r="AJ196" s="2">
        <f>IFERROR(INDEX($D$7:$D$306,MATCH(190,$B$7:$B$306,0)),"")</f>
        <v/>
      </c>
    </row>
    <row r="197">
      <c r="A197" s="2">
        <f>IF(AND(D197&lt;&gt;"",D197&lt;&gt;"합계",D197&lt;&gt;"총계",D197&lt;&gt;"소계",D197&lt;&gt;"계"),1,0)</f>
        <v/>
      </c>
      <c r="B197" s="2">
        <f>IF(A197=1,SUM($A$7:A197),"")</f>
        <v/>
      </c>
      <c r="C197" s="2">
        <f>IF(설정!$D$13="","",TRIM(SUBSTITUTE(INDEX(급여대장_원본!$A$1:$AZ$400,(설정!$B$8+191),설정!$D$13)&amp;"","　"," ")))</f>
        <v/>
      </c>
      <c r="D197" s="2">
        <f>IF(설정!$D$14="","",TRIM(SUBSTITUTE(INDEX(급여대장_원본!$A$1:$AZ$400,(설정!$B$8+191),설정!$D$14)&amp;"","　"," ")))</f>
        <v/>
      </c>
      <c r="E197" s="2">
        <f>IF(설정!$D$15="","",TRIM(SUBSTITUTE(INDEX(급여대장_원본!$A$1:$AZ$400,(설정!$B$8+191),설정!$D$15)&amp;"","　"," ")))</f>
        <v/>
      </c>
      <c r="F197" s="27">
        <f>IF(설정!$D$17="",0,IFERROR(VALUE(SUBSTITUTE(SUBSTITUTE(INDEX(급여대장_원본!$A$1:$AZ$400,(설정!$B$8+191),설정!$D$17)&amp;"",",",""),"　","")),0))</f>
        <v/>
      </c>
      <c r="G197" s="27">
        <f>IF(설정!$D$18="",0,IFERROR(VALUE(SUBSTITUTE(SUBSTITUTE(INDEX(급여대장_원본!$A$1:$AZ$400,(설정!$B$8+191),설정!$D$18)&amp;"",",",""),"　","")),0))</f>
        <v/>
      </c>
      <c r="H197" s="27">
        <f>IF(설정!$D$19="",0,IFERROR(VALUE(SUBSTITUTE(SUBSTITUTE(INDEX(급여대장_원본!$A$1:$AZ$400,(설정!$B$8+191),설정!$D$19)&amp;"",",",""),"　","")),0))</f>
        <v/>
      </c>
      <c r="I197" s="27">
        <f>IF(설정!$D$20="",0,IFERROR(VALUE(SUBSTITUTE(SUBSTITUTE(INDEX(급여대장_원본!$A$1:$AZ$400,(설정!$B$8+191),설정!$D$20)&amp;"",",",""),"　","")),0))</f>
        <v/>
      </c>
      <c r="J197" s="27">
        <f>IF(설정!$D$21="",0,IFERROR(VALUE(SUBSTITUTE(SUBSTITUTE(INDEX(급여대장_원본!$A$1:$AZ$400,(설정!$B$8+191),설정!$D$21)&amp;"",",",""),"　","")),0))</f>
        <v/>
      </c>
      <c r="K197" s="27">
        <f>IF(설정!$D$22="",0,IFERROR(VALUE(SUBSTITUTE(SUBSTITUTE(INDEX(급여대장_원본!$A$1:$AZ$400,(설정!$B$8+191),설정!$D$22)&amp;"",",",""),"　","")),0))</f>
        <v/>
      </c>
      <c r="L197" s="27">
        <f>IF(설정!$D$23="",0,IFERROR(VALUE(SUBSTITUTE(SUBSTITUTE(INDEX(급여대장_원본!$A$1:$AZ$400,(설정!$B$8+191),설정!$D$23)&amp;"",",",""),"　","")),0))</f>
        <v/>
      </c>
      <c r="M197" s="27">
        <f>IF(설정!$D$24="",0,IFERROR(VALUE(SUBSTITUTE(SUBSTITUTE(INDEX(급여대장_원본!$A$1:$AZ$400,(설정!$B$8+191),설정!$D$24)&amp;"",",",""),"　","")),0))</f>
        <v/>
      </c>
      <c r="N197" s="2">
        <f>IF(OR(설정!$C$17="",IFERROR(MATCH(설정!$C$17,INDEX(급여대장_원본!$A$1:$AZ$400,설정!$B$8,0),0),"")=""),"",IFERROR(VALUE(SUBSTITUTE(INDEX(급여대장_원본!$A$1:$AZ$400,(설정!$B$8+191),IFERROR(MATCH(설정!$C$17,INDEX(급여대장_원본!$A$1:$AZ$400,설정!$B$8,0),0),""))&amp;"",",","")),""))</f>
        <v/>
      </c>
      <c r="O197" s="2">
        <f>IF(OR(설정!$C$18="",IFERROR(MATCH(설정!$C$18,INDEX(급여대장_원본!$A$1:$AZ$400,설정!$B$8,0),0),"")=""),"",IFERROR(VALUE(SUBSTITUTE(INDEX(급여대장_원본!$A$1:$AZ$400,(설정!$B$8+191),IFERROR(MATCH(설정!$C$18,INDEX(급여대장_원본!$A$1:$AZ$400,설정!$B$8,0),0),""))&amp;"",",","")),""))</f>
        <v/>
      </c>
      <c r="P197" s="2">
        <f>IF(OR(설정!$C$19="",IFERROR(MATCH(설정!$C$19,INDEX(급여대장_원본!$A$1:$AZ$400,설정!$B$8,0),0),"")=""),"",IFERROR(VALUE(SUBSTITUTE(INDEX(급여대장_원본!$A$1:$AZ$400,(설정!$B$8+191),IFERROR(MATCH(설정!$C$19,INDEX(급여대장_원본!$A$1:$AZ$400,설정!$B$8,0),0),""))&amp;"",",","")),""))</f>
        <v/>
      </c>
      <c r="Q197" s="2">
        <f>IF(OR(설정!$C$20="",IFERROR(MATCH(설정!$C$20,INDEX(급여대장_원본!$A$1:$AZ$400,설정!$B$8,0),0),"")=""),"",IFERROR(VALUE(SUBSTITUTE(INDEX(급여대장_원본!$A$1:$AZ$400,(설정!$B$8+191),IFERROR(MATCH(설정!$C$20,INDEX(급여대장_원본!$A$1:$AZ$400,설정!$B$8,0),0),""))&amp;"",",","")),""))</f>
        <v/>
      </c>
      <c r="R197" s="2">
        <f>IF(OR(설정!$C$21="",IFERROR(MATCH(설정!$C$21,INDEX(급여대장_원본!$A$1:$AZ$400,설정!$B$8,0),0),"")=""),"",IFERROR(VALUE(SUBSTITUTE(INDEX(급여대장_원본!$A$1:$AZ$400,(설정!$B$8+191),IFERROR(MATCH(설정!$C$21,INDEX(급여대장_원본!$A$1:$AZ$400,설정!$B$8,0),0),""))&amp;"",",","")),""))</f>
        <v/>
      </c>
      <c r="S197" s="2">
        <f>IF(OR(설정!$C$22="",IFERROR(MATCH(설정!$C$22,INDEX(급여대장_원본!$A$1:$AZ$400,설정!$B$8,0),0),"")=""),"",IFERROR(VALUE(SUBSTITUTE(INDEX(급여대장_원본!$A$1:$AZ$400,(설정!$B$8+191),IFERROR(MATCH(설정!$C$22,INDEX(급여대장_원본!$A$1:$AZ$400,설정!$B$8,0),0),""))&amp;"",",","")),""))</f>
        <v/>
      </c>
      <c r="T197" s="2">
        <f>IF(OR(설정!$C$23="",IFERROR(MATCH(설정!$C$23,INDEX(급여대장_원본!$A$1:$AZ$400,설정!$B$8,0),0),"")=""),"",IFERROR(VALUE(SUBSTITUTE(INDEX(급여대장_원본!$A$1:$AZ$400,(설정!$B$8+191),IFERROR(MATCH(설정!$C$23,INDEX(급여대장_원본!$A$1:$AZ$400,설정!$B$8,0),0),""))&amp;"",",","")),""))</f>
        <v/>
      </c>
      <c r="U197" s="2">
        <f>IF(OR(설정!$C$24="",IFERROR(MATCH(설정!$C$24,INDEX(급여대장_원본!$A$1:$AZ$400,설정!$B$8,0),0),"")=""),"",IFERROR(VALUE(SUBSTITUTE(INDEX(급여대장_원본!$A$1:$AZ$400,(설정!$B$8+191),IFERROR(MATCH(설정!$C$24,INDEX(급여대장_원본!$A$1:$AZ$400,설정!$B$8,0),0),""))&amp;"",",","")),""))</f>
        <v/>
      </c>
      <c r="V197" s="27">
        <f>SUM(F197:M197)</f>
        <v/>
      </c>
      <c r="W197" s="27">
        <f>IF(설정!$D$26="",0,IFERROR(VALUE(SUBSTITUTE(SUBSTITUTE(INDEX(급여대장_원본!$A$1:$AZ$400,(설정!$B$8+191),설정!$D$26)&amp;"",",",""),"　","")),0))</f>
        <v/>
      </c>
      <c r="X197" s="27">
        <f>IF(설정!$D$27="",0,IFERROR(VALUE(SUBSTITUTE(SUBSTITUTE(INDEX(급여대장_원본!$A$1:$AZ$400,(설정!$B$8+191),설정!$D$27)&amp;"",",",""),"　","")),0))</f>
        <v/>
      </c>
      <c r="Y197" s="27">
        <f>IF(설정!$D$28="",0,IFERROR(VALUE(SUBSTITUTE(SUBSTITUTE(INDEX(급여대장_원본!$A$1:$AZ$400,(설정!$B$8+191),설정!$D$28)&amp;"",",",""),"　","")),0))</f>
        <v/>
      </c>
      <c r="Z197" s="27">
        <f>IF(설정!$D$29="",0,IFERROR(VALUE(SUBSTITUTE(SUBSTITUTE(INDEX(급여대장_원본!$A$1:$AZ$400,(설정!$B$8+191),설정!$D$29)&amp;"",",",""),"　","")),0))</f>
        <v/>
      </c>
      <c r="AA197" s="27">
        <f>IF(설정!$D$30="",0,IFERROR(VALUE(SUBSTITUTE(SUBSTITUTE(INDEX(급여대장_원본!$A$1:$AZ$400,(설정!$B$8+191),설정!$D$30)&amp;"",",",""),"　","")),0))</f>
        <v/>
      </c>
      <c r="AB197" s="27">
        <f>IF(설정!$D$31="",0,IFERROR(VALUE(SUBSTITUTE(SUBSTITUTE(INDEX(급여대장_원본!$A$1:$AZ$400,(설정!$B$8+191),설정!$D$31)&amp;"",",",""),"　","")),0))</f>
        <v/>
      </c>
      <c r="AC197" s="27">
        <f>IF(설정!$D$32="",0,IFERROR(VALUE(SUBSTITUTE(SUBSTITUTE(INDEX(급여대장_원본!$A$1:$AZ$400,(설정!$B$8+191),설정!$D$32)&amp;"",",",""),"　","")),0))</f>
        <v/>
      </c>
      <c r="AD197" s="27">
        <f>IF(설정!$D$33="",0,IFERROR(VALUE(SUBSTITUTE(SUBSTITUTE(INDEX(급여대장_원본!$A$1:$AZ$400,(설정!$B$8+191),설정!$D$33)&amp;"",",",""),"　","")),0))</f>
        <v/>
      </c>
      <c r="AE197" s="27">
        <f>SUM(W197:AD197)</f>
        <v/>
      </c>
      <c r="AF197" s="27">
        <f>V197-AE197</f>
        <v/>
      </c>
      <c r="AG197" s="27">
        <f>IF(설정!$D$35="","",IF(설정!$D$35="",0,IFERROR(VALUE(SUBSTITUTE(SUBSTITUTE(INDEX(급여대장_원본!$A$1:$AZ$400,(설정!$B$8+191),설정!$D$35)&amp;"",",",""),"　","")),0)))</f>
        <v/>
      </c>
      <c r="AH197" s="27">
        <f>IF(설정!$D$36="","",IF(설정!$D$36="",0,IFERROR(VALUE(SUBSTITUTE(SUBSTITUTE(INDEX(급여대장_원본!$A$1:$AZ$400,(설정!$B$8+191),설정!$D$36)&amp;"",",",""),"　","")),0)))</f>
        <v/>
      </c>
      <c r="AI197" s="27">
        <f>IF(설정!$D$37="","",IF(설정!$D$37="",0,IFERROR(VALUE(SUBSTITUTE(SUBSTITUTE(INDEX(급여대장_원본!$A$1:$AZ$400,(설정!$B$8+191),설정!$D$37)&amp;"",",",""),"　","")),0)))</f>
        <v/>
      </c>
      <c r="AJ197" s="2">
        <f>IFERROR(INDEX($D$7:$D$306,MATCH(191,$B$7:$B$306,0)),"")</f>
        <v/>
      </c>
    </row>
    <row r="198">
      <c r="A198" s="2">
        <f>IF(AND(D198&lt;&gt;"",D198&lt;&gt;"합계",D198&lt;&gt;"총계",D198&lt;&gt;"소계",D198&lt;&gt;"계"),1,0)</f>
        <v/>
      </c>
      <c r="B198" s="2">
        <f>IF(A198=1,SUM($A$7:A198),"")</f>
        <v/>
      </c>
      <c r="C198" s="2">
        <f>IF(설정!$D$13="","",TRIM(SUBSTITUTE(INDEX(급여대장_원본!$A$1:$AZ$400,(설정!$B$8+192),설정!$D$13)&amp;"","　"," ")))</f>
        <v/>
      </c>
      <c r="D198" s="2">
        <f>IF(설정!$D$14="","",TRIM(SUBSTITUTE(INDEX(급여대장_원본!$A$1:$AZ$400,(설정!$B$8+192),설정!$D$14)&amp;"","　"," ")))</f>
        <v/>
      </c>
      <c r="E198" s="2">
        <f>IF(설정!$D$15="","",TRIM(SUBSTITUTE(INDEX(급여대장_원본!$A$1:$AZ$400,(설정!$B$8+192),설정!$D$15)&amp;"","　"," ")))</f>
        <v/>
      </c>
      <c r="F198" s="27">
        <f>IF(설정!$D$17="",0,IFERROR(VALUE(SUBSTITUTE(SUBSTITUTE(INDEX(급여대장_원본!$A$1:$AZ$400,(설정!$B$8+192),설정!$D$17)&amp;"",",",""),"　","")),0))</f>
        <v/>
      </c>
      <c r="G198" s="27">
        <f>IF(설정!$D$18="",0,IFERROR(VALUE(SUBSTITUTE(SUBSTITUTE(INDEX(급여대장_원본!$A$1:$AZ$400,(설정!$B$8+192),설정!$D$18)&amp;"",",",""),"　","")),0))</f>
        <v/>
      </c>
      <c r="H198" s="27">
        <f>IF(설정!$D$19="",0,IFERROR(VALUE(SUBSTITUTE(SUBSTITUTE(INDEX(급여대장_원본!$A$1:$AZ$400,(설정!$B$8+192),설정!$D$19)&amp;"",",",""),"　","")),0))</f>
        <v/>
      </c>
      <c r="I198" s="27">
        <f>IF(설정!$D$20="",0,IFERROR(VALUE(SUBSTITUTE(SUBSTITUTE(INDEX(급여대장_원본!$A$1:$AZ$400,(설정!$B$8+192),설정!$D$20)&amp;"",",",""),"　","")),0))</f>
        <v/>
      </c>
      <c r="J198" s="27">
        <f>IF(설정!$D$21="",0,IFERROR(VALUE(SUBSTITUTE(SUBSTITUTE(INDEX(급여대장_원본!$A$1:$AZ$400,(설정!$B$8+192),설정!$D$21)&amp;"",",",""),"　","")),0))</f>
        <v/>
      </c>
      <c r="K198" s="27">
        <f>IF(설정!$D$22="",0,IFERROR(VALUE(SUBSTITUTE(SUBSTITUTE(INDEX(급여대장_원본!$A$1:$AZ$400,(설정!$B$8+192),설정!$D$22)&amp;"",",",""),"　","")),0))</f>
        <v/>
      </c>
      <c r="L198" s="27">
        <f>IF(설정!$D$23="",0,IFERROR(VALUE(SUBSTITUTE(SUBSTITUTE(INDEX(급여대장_원본!$A$1:$AZ$400,(설정!$B$8+192),설정!$D$23)&amp;"",",",""),"　","")),0))</f>
        <v/>
      </c>
      <c r="M198" s="27">
        <f>IF(설정!$D$24="",0,IFERROR(VALUE(SUBSTITUTE(SUBSTITUTE(INDEX(급여대장_원본!$A$1:$AZ$400,(설정!$B$8+192),설정!$D$24)&amp;"",",",""),"　","")),0))</f>
        <v/>
      </c>
      <c r="N198" s="2">
        <f>IF(OR(설정!$C$17="",IFERROR(MATCH(설정!$C$17,INDEX(급여대장_원본!$A$1:$AZ$400,설정!$B$8,0),0),"")=""),"",IFERROR(VALUE(SUBSTITUTE(INDEX(급여대장_원본!$A$1:$AZ$400,(설정!$B$8+192),IFERROR(MATCH(설정!$C$17,INDEX(급여대장_원본!$A$1:$AZ$400,설정!$B$8,0),0),""))&amp;"",",","")),""))</f>
        <v/>
      </c>
      <c r="O198" s="2">
        <f>IF(OR(설정!$C$18="",IFERROR(MATCH(설정!$C$18,INDEX(급여대장_원본!$A$1:$AZ$400,설정!$B$8,0),0),"")=""),"",IFERROR(VALUE(SUBSTITUTE(INDEX(급여대장_원본!$A$1:$AZ$400,(설정!$B$8+192),IFERROR(MATCH(설정!$C$18,INDEX(급여대장_원본!$A$1:$AZ$400,설정!$B$8,0),0),""))&amp;"",",","")),""))</f>
        <v/>
      </c>
      <c r="P198" s="2">
        <f>IF(OR(설정!$C$19="",IFERROR(MATCH(설정!$C$19,INDEX(급여대장_원본!$A$1:$AZ$400,설정!$B$8,0),0),"")=""),"",IFERROR(VALUE(SUBSTITUTE(INDEX(급여대장_원본!$A$1:$AZ$400,(설정!$B$8+192),IFERROR(MATCH(설정!$C$19,INDEX(급여대장_원본!$A$1:$AZ$400,설정!$B$8,0),0),""))&amp;"",",","")),""))</f>
        <v/>
      </c>
      <c r="Q198" s="2">
        <f>IF(OR(설정!$C$20="",IFERROR(MATCH(설정!$C$20,INDEX(급여대장_원본!$A$1:$AZ$400,설정!$B$8,0),0),"")=""),"",IFERROR(VALUE(SUBSTITUTE(INDEX(급여대장_원본!$A$1:$AZ$400,(설정!$B$8+192),IFERROR(MATCH(설정!$C$20,INDEX(급여대장_원본!$A$1:$AZ$400,설정!$B$8,0),0),""))&amp;"",",","")),""))</f>
        <v/>
      </c>
      <c r="R198" s="2">
        <f>IF(OR(설정!$C$21="",IFERROR(MATCH(설정!$C$21,INDEX(급여대장_원본!$A$1:$AZ$400,설정!$B$8,0),0),"")=""),"",IFERROR(VALUE(SUBSTITUTE(INDEX(급여대장_원본!$A$1:$AZ$400,(설정!$B$8+192),IFERROR(MATCH(설정!$C$21,INDEX(급여대장_원본!$A$1:$AZ$400,설정!$B$8,0),0),""))&amp;"",",","")),""))</f>
        <v/>
      </c>
      <c r="S198" s="2">
        <f>IF(OR(설정!$C$22="",IFERROR(MATCH(설정!$C$22,INDEX(급여대장_원본!$A$1:$AZ$400,설정!$B$8,0),0),"")=""),"",IFERROR(VALUE(SUBSTITUTE(INDEX(급여대장_원본!$A$1:$AZ$400,(설정!$B$8+192),IFERROR(MATCH(설정!$C$22,INDEX(급여대장_원본!$A$1:$AZ$400,설정!$B$8,0),0),""))&amp;"",",","")),""))</f>
        <v/>
      </c>
      <c r="T198" s="2">
        <f>IF(OR(설정!$C$23="",IFERROR(MATCH(설정!$C$23,INDEX(급여대장_원본!$A$1:$AZ$400,설정!$B$8,0),0),"")=""),"",IFERROR(VALUE(SUBSTITUTE(INDEX(급여대장_원본!$A$1:$AZ$400,(설정!$B$8+192),IFERROR(MATCH(설정!$C$23,INDEX(급여대장_원본!$A$1:$AZ$400,설정!$B$8,0),0),""))&amp;"",",","")),""))</f>
        <v/>
      </c>
      <c r="U198" s="2">
        <f>IF(OR(설정!$C$24="",IFERROR(MATCH(설정!$C$24,INDEX(급여대장_원본!$A$1:$AZ$400,설정!$B$8,0),0),"")=""),"",IFERROR(VALUE(SUBSTITUTE(INDEX(급여대장_원본!$A$1:$AZ$400,(설정!$B$8+192),IFERROR(MATCH(설정!$C$24,INDEX(급여대장_원본!$A$1:$AZ$400,설정!$B$8,0),0),""))&amp;"",",","")),""))</f>
        <v/>
      </c>
      <c r="V198" s="27">
        <f>SUM(F198:M198)</f>
        <v/>
      </c>
      <c r="W198" s="27">
        <f>IF(설정!$D$26="",0,IFERROR(VALUE(SUBSTITUTE(SUBSTITUTE(INDEX(급여대장_원본!$A$1:$AZ$400,(설정!$B$8+192),설정!$D$26)&amp;"",",",""),"　","")),0))</f>
        <v/>
      </c>
      <c r="X198" s="27">
        <f>IF(설정!$D$27="",0,IFERROR(VALUE(SUBSTITUTE(SUBSTITUTE(INDEX(급여대장_원본!$A$1:$AZ$400,(설정!$B$8+192),설정!$D$27)&amp;"",",",""),"　","")),0))</f>
        <v/>
      </c>
      <c r="Y198" s="27">
        <f>IF(설정!$D$28="",0,IFERROR(VALUE(SUBSTITUTE(SUBSTITUTE(INDEX(급여대장_원본!$A$1:$AZ$400,(설정!$B$8+192),설정!$D$28)&amp;"",",",""),"　","")),0))</f>
        <v/>
      </c>
      <c r="Z198" s="27">
        <f>IF(설정!$D$29="",0,IFERROR(VALUE(SUBSTITUTE(SUBSTITUTE(INDEX(급여대장_원본!$A$1:$AZ$400,(설정!$B$8+192),설정!$D$29)&amp;"",",",""),"　","")),0))</f>
        <v/>
      </c>
      <c r="AA198" s="27">
        <f>IF(설정!$D$30="",0,IFERROR(VALUE(SUBSTITUTE(SUBSTITUTE(INDEX(급여대장_원본!$A$1:$AZ$400,(설정!$B$8+192),설정!$D$30)&amp;"",",",""),"　","")),0))</f>
        <v/>
      </c>
      <c r="AB198" s="27">
        <f>IF(설정!$D$31="",0,IFERROR(VALUE(SUBSTITUTE(SUBSTITUTE(INDEX(급여대장_원본!$A$1:$AZ$400,(설정!$B$8+192),설정!$D$31)&amp;"",",",""),"　","")),0))</f>
        <v/>
      </c>
      <c r="AC198" s="27">
        <f>IF(설정!$D$32="",0,IFERROR(VALUE(SUBSTITUTE(SUBSTITUTE(INDEX(급여대장_원본!$A$1:$AZ$400,(설정!$B$8+192),설정!$D$32)&amp;"",",",""),"　","")),0))</f>
        <v/>
      </c>
      <c r="AD198" s="27">
        <f>IF(설정!$D$33="",0,IFERROR(VALUE(SUBSTITUTE(SUBSTITUTE(INDEX(급여대장_원본!$A$1:$AZ$400,(설정!$B$8+192),설정!$D$33)&amp;"",",",""),"　","")),0))</f>
        <v/>
      </c>
      <c r="AE198" s="27">
        <f>SUM(W198:AD198)</f>
        <v/>
      </c>
      <c r="AF198" s="27">
        <f>V198-AE198</f>
        <v/>
      </c>
      <c r="AG198" s="27">
        <f>IF(설정!$D$35="","",IF(설정!$D$35="",0,IFERROR(VALUE(SUBSTITUTE(SUBSTITUTE(INDEX(급여대장_원본!$A$1:$AZ$400,(설정!$B$8+192),설정!$D$35)&amp;"",",",""),"　","")),0)))</f>
        <v/>
      </c>
      <c r="AH198" s="27">
        <f>IF(설정!$D$36="","",IF(설정!$D$36="",0,IFERROR(VALUE(SUBSTITUTE(SUBSTITUTE(INDEX(급여대장_원본!$A$1:$AZ$400,(설정!$B$8+192),설정!$D$36)&amp;"",",",""),"　","")),0)))</f>
        <v/>
      </c>
      <c r="AI198" s="27">
        <f>IF(설정!$D$37="","",IF(설정!$D$37="",0,IFERROR(VALUE(SUBSTITUTE(SUBSTITUTE(INDEX(급여대장_원본!$A$1:$AZ$400,(설정!$B$8+192),설정!$D$37)&amp;"",",",""),"　","")),0)))</f>
        <v/>
      </c>
      <c r="AJ198" s="2">
        <f>IFERROR(INDEX($D$7:$D$306,MATCH(192,$B$7:$B$306,0)),"")</f>
        <v/>
      </c>
    </row>
    <row r="199">
      <c r="A199" s="2">
        <f>IF(AND(D199&lt;&gt;"",D199&lt;&gt;"합계",D199&lt;&gt;"총계",D199&lt;&gt;"소계",D199&lt;&gt;"계"),1,0)</f>
        <v/>
      </c>
      <c r="B199" s="2">
        <f>IF(A199=1,SUM($A$7:A199),"")</f>
        <v/>
      </c>
      <c r="C199" s="2">
        <f>IF(설정!$D$13="","",TRIM(SUBSTITUTE(INDEX(급여대장_원본!$A$1:$AZ$400,(설정!$B$8+193),설정!$D$13)&amp;"","　"," ")))</f>
        <v/>
      </c>
      <c r="D199" s="2">
        <f>IF(설정!$D$14="","",TRIM(SUBSTITUTE(INDEX(급여대장_원본!$A$1:$AZ$400,(설정!$B$8+193),설정!$D$14)&amp;"","　"," ")))</f>
        <v/>
      </c>
      <c r="E199" s="2">
        <f>IF(설정!$D$15="","",TRIM(SUBSTITUTE(INDEX(급여대장_원본!$A$1:$AZ$400,(설정!$B$8+193),설정!$D$15)&amp;"","　"," ")))</f>
        <v/>
      </c>
      <c r="F199" s="27">
        <f>IF(설정!$D$17="",0,IFERROR(VALUE(SUBSTITUTE(SUBSTITUTE(INDEX(급여대장_원본!$A$1:$AZ$400,(설정!$B$8+193),설정!$D$17)&amp;"",",",""),"　","")),0))</f>
        <v/>
      </c>
      <c r="G199" s="27">
        <f>IF(설정!$D$18="",0,IFERROR(VALUE(SUBSTITUTE(SUBSTITUTE(INDEX(급여대장_원본!$A$1:$AZ$400,(설정!$B$8+193),설정!$D$18)&amp;"",",",""),"　","")),0))</f>
        <v/>
      </c>
      <c r="H199" s="27">
        <f>IF(설정!$D$19="",0,IFERROR(VALUE(SUBSTITUTE(SUBSTITUTE(INDEX(급여대장_원본!$A$1:$AZ$400,(설정!$B$8+193),설정!$D$19)&amp;"",",",""),"　","")),0))</f>
        <v/>
      </c>
      <c r="I199" s="27">
        <f>IF(설정!$D$20="",0,IFERROR(VALUE(SUBSTITUTE(SUBSTITUTE(INDEX(급여대장_원본!$A$1:$AZ$400,(설정!$B$8+193),설정!$D$20)&amp;"",",",""),"　","")),0))</f>
        <v/>
      </c>
      <c r="J199" s="27">
        <f>IF(설정!$D$21="",0,IFERROR(VALUE(SUBSTITUTE(SUBSTITUTE(INDEX(급여대장_원본!$A$1:$AZ$400,(설정!$B$8+193),설정!$D$21)&amp;"",",",""),"　","")),0))</f>
        <v/>
      </c>
      <c r="K199" s="27">
        <f>IF(설정!$D$22="",0,IFERROR(VALUE(SUBSTITUTE(SUBSTITUTE(INDEX(급여대장_원본!$A$1:$AZ$400,(설정!$B$8+193),설정!$D$22)&amp;"",",",""),"　","")),0))</f>
        <v/>
      </c>
      <c r="L199" s="27">
        <f>IF(설정!$D$23="",0,IFERROR(VALUE(SUBSTITUTE(SUBSTITUTE(INDEX(급여대장_원본!$A$1:$AZ$400,(설정!$B$8+193),설정!$D$23)&amp;"",",",""),"　","")),0))</f>
        <v/>
      </c>
      <c r="M199" s="27">
        <f>IF(설정!$D$24="",0,IFERROR(VALUE(SUBSTITUTE(SUBSTITUTE(INDEX(급여대장_원본!$A$1:$AZ$400,(설정!$B$8+193),설정!$D$24)&amp;"",",",""),"　","")),0))</f>
        <v/>
      </c>
      <c r="N199" s="2">
        <f>IF(OR(설정!$C$17="",IFERROR(MATCH(설정!$C$17,INDEX(급여대장_원본!$A$1:$AZ$400,설정!$B$8,0),0),"")=""),"",IFERROR(VALUE(SUBSTITUTE(INDEX(급여대장_원본!$A$1:$AZ$400,(설정!$B$8+193),IFERROR(MATCH(설정!$C$17,INDEX(급여대장_원본!$A$1:$AZ$400,설정!$B$8,0),0),""))&amp;"",",","")),""))</f>
        <v/>
      </c>
      <c r="O199" s="2">
        <f>IF(OR(설정!$C$18="",IFERROR(MATCH(설정!$C$18,INDEX(급여대장_원본!$A$1:$AZ$400,설정!$B$8,0),0),"")=""),"",IFERROR(VALUE(SUBSTITUTE(INDEX(급여대장_원본!$A$1:$AZ$400,(설정!$B$8+193),IFERROR(MATCH(설정!$C$18,INDEX(급여대장_원본!$A$1:$AZ$400,설정!$B$8,0),0),""))&amp;"",",","")),""))</f>
        <v/>
      </c>
      <c r="P199" s="2">
        <f>IF(OR(설정!$C$19="",IFERROR(MATCH(설정!$C$19,INDEX(급여대장_원본!$A$1:$AZ$400,설정!$B$8,0),0),"")=""),"",IFERROR(VALUE(SUBSTITUTE(INDEX(급여대장_원본!$A$1:$AZ$400,(설정!$B$8+193),IFERROR(MATCH(설정!$C$19,INDEX(급여대장_원본!$A$1:$AZ$400,설정!$B$8,0),0),""))&amp;"",",","")),""))</f>
        <v/>
      </c>
      <c r="Q199" s="2">
        <f>IF(OR(설정!$C$20="",IFERROR(MATCH(설정!$C$20,INDEX(급여대장_원본!$A$1:$AZ$400,설정!$B$8,0),0),"")=""),"",IFERROR(VALUE(SUBSTITUTE(INDEX(급여대장_원본!$A$1:$AZ$400,(설정!$B$8+193),IFERROR(MATCH(설정!$C$20,INDEX(급여대장_원본!$A$1:$AZ$400,설정!$B$8,0),0),""))&amp;"",",","")),""))</f>
        <v/>
      </c>
      <c r="R199" s="2">
        <f>IF(OR(설정!$C$21="",IFERROR(MATCH(설정!$C$21,INDEX(급여대장_원본!$A$1:$AZ$400,설정!$B$8,0),0),"")=""),"",IFERROR(VALUE(SUBSTITUTE(INDEX(급여대장_원본!$A$1:$AZ$400,(설정!$B$8+193),IFERROR(MATCH(설정!$C$21,INDEX(급여대장_원본!$A$1:$AZ$400,설정!$B$8,0),0),""))&amp;"",",","")),""))</f>
        <v/>
      </c>
      <c r="S199" s="2">
        <f>IF(OR(설정!$C$22="",IFERROR(MATCH(설정!$C$22,INDEX(급여대장_원본!$A$1:$AZ$400,설정!$B$8,0),0),"")=""),"",IFERROR(VALUE(SUBSTITUTE(INDEX(급여대장_원본!$A$1:$AZ$400,(설정!$B$8+193),IFERROR(MATCH(설정!$C$22,INDEX(급여대장_원본!$A$1:$AZ$400,설정!$B$8,0),0),""))&amp;"",",","")),""))</f>
        <v/>
      </c>
      <c r="T199" s="2">
        <f>IF(OR(설정!$C$23="",IFERROR(MATCH(설정!$C$23,INDEX(급여대장_원본!$A$1:$AZ$400,설정!$B$8,0),0),"")=""),"",IFERROR(VALUE(SUBSTITUTE(INDEX(급여대장_원본!$A$1:$AZ$400,(설정!$B$8+193),IFERROR(MATCH(설정!$C$23,INDEX(급여대장_원본!$A$1:$AZ$400,설정!$B$8,0),0),""))&amp;"",",","")),""))</f>
        <v/>
      </c>
      <c r="U199" s="2">
        <f>IF(OR(설정!$C$24="",IFERROR(MATCH(설정!$C$24,INDEX(급여대장_원본!$A$1:$AZ$400,설정!$B$8,0),0),"")=""),"",IFERROR(VALUE(SUBSTITUTE(INDEX(급여대장_원본!$A$1:$AZ$400,(설정!$B$8+193),IFERROR(MATCH(설정!$C$24,INDEX(급여대장_원본!$A$1:$AZ$400,설정!$B$8,0),0),""))&amp;"",",","")),""))</f>
        <v/>
      </c>
      <c r="V199" s="27">
        <f>SUM(F199:M199)</f>
        <v/>
      </c>
      <c r="W199" s="27">
        <f>IF(설정!$D$26="",0,IFERROR(VALUE(SUBSTITUTE(SUBSTITUTE(INDEX(급여대장_원본!$A$1:$AZ$400,(설정!$B$8+193),설정!$D$26)&amp;"",",",""),"　","")),0))</f>
        <v/>
      </c>
      <c r="X199" s="27">
        <f>IF(설정!$D$27="",0,IFERROR(VALUE(SUBSTITUTE(SUBSTITUTE(INDEX(급여대장_원본!$A$1:$AZ$400,(설정!$B$8+193),설정!$D$27)&amp;"",",",""),"　","")),0))</f>
        <v/>
      </c>
      <c r="Y199" s="27">
        <f>IF(설정!$D$28="",0,IFERROR(VALUE(SUBSTITUTE(SUBSTITUTE(INDEX(급여대장_원본!$A$1:$AZ$400,(설정!$B$8+193),설정!$D$28)&amp;"",",",""),"　","")),0))</f>
        <v/>
      </c>
      <c r="Z199" s="27">
        <f>IF(설정!$D$29="",0,IFERROR(VALUE(SUBSTITUTE(SUBSTITUTE(INDEX(급여대장_원본!$A$1:$AZ$400,(설정!$B$8+193),설정!$D$29)&amp;"",",",""),"　","")),0))</f>
        <v/>
      </c>
      <c r="AA199" s="27">
        <f>IF(설정!$D$30="",0,IFERROR(VALUE(SUBSTITUTE(SUBSTITUTE(INDEX(급여대장_원본!$A$1:$AZ$400,(설정!$B$8+193),설정!$D$30)&amp;"",",",""),"　","")),0))</f>
        <v/>
      </c>
      <c r="AB199" s="27">
        <f>IF(설정!$D$31="",0,IFERROR(VALUE(SUBSTITUTE(SUBSTITUTE(INDEX(급여대장_원본!$A$1:$AZ$400,(설정!$B$8+193),설정!$D$31)&amp;"",",",""),"　","")),0))</f>
        <v/>
      </c>
      <c r="AC199" s="27">
        <f>IF(설정!$D$32="",0,IFERROR(VALUE(SUBSTITUTE(SUBSTITUTE(INDEX(급여대장_원본!$A$1:$AZ$400,(설정!$B$8+193),설정!$D$32)&amp;"",",",""),"　","")),0))</f>
        <v/>
      </c>
      <c r="AD199" s="27">
        <f>IF(설정!$D$33="",0,IFERROR(VALUE(SUBSTITUTE(SUBSTITUTE(INDEX(급여대장_원본!$A$1:$AZ$400,(설정!$B$8+193),설정!$D$33)&amp;"",",",""),"　","")),0))</f>
        <v/>
      </c>
      <c r="AE199" s="27">
        <f>SUM(W199:AD199)</f>
        <v/>
      </c>
      <c r="AF199" s="27">
        <f>V199-AE199</f>
        <v/>
      </c>
      <c r="AG199" s="27">
        <f>IF(설정!$D$35="","",IF(설정!$D$35="",0,IFERROR(VALUE(SUBSTITUTE(SUBSTITUTE(INDEX(급여대장_원본!$A$1:$AZ$400,(설정!$B$8+193),설정!$D$35)&amp;"",",",""),"　","")),0)))</f>
        <v/>
      </c>
      <c r="AH199" s="27">
        <f>IF(설정!$D$36="","",IF(설정!$D$36="",0,IFERROR(VALUE(SUBSTITUTE(SUBSTITUTE(INDEX(급여대장_원본!$A$1:$AZ$400,(설정!$B$8+193),설정!$D$36)&amp;"",",",""),"　","")),0)))</f>
        <v/>
      </c>
      <c r="AI199" s="27">
        <f>IF(설정!$D$37="","",IF(설정!$D$37="",0,IFERROR(VALUE(SUBSTITUTE(SUBSTITUTE(INDEX(급여대장_원본!$A$1:$AZ$400,(설정!$B$8+193),설정!$D$37)&amp;"",",",""),"　","")),0)))</f>
        <v/>
      </c>
      <c r="AJ199" s="2">
        <f>IFERROR(INDEX($D$7:$D$306,MATCH(193,$B$7:$B$306,0)),"")</f>
        <v/>
      </c>
    </row>
    <row r="200">
      <c r="A200" s="2">
        <f>IF(AND(D200&lt;&gt;"",D200&lt;&gt;"합계",D200&lt;&gt;"총계",D200&lt;&gt;"소계",D200&lt;&gt;"계"),1,0)</f>
        <v/>
      </c>
      <c r="B200" s="2">
        <f>IF(A200=1,SUM($A$7:A200),"")</f>
        <v/>
      </c>
      <c r="C200" s="2">
        <f>IF(설정!$D$13="","",TRIM(SUBSTITUTE(INDEX(급여대장_원본!$A$1:$AZ$400,(설정!$B$8+194),설정!$D$13)&amp;"","　"," ")))</f>
        <v/>
      </c>
      <c r="D200" s="2">
        <f>IF(설정!$D$14="","",TRIM(SUBSTITUTE(INDEX(급여대장_원본!$A$1:$AZ$400,(설정!$B$8+194),설정!$D$14)&amp;"","　"," ")))</f>
        <v/>
      </c>
      <c r="E200" s="2">
        <f>IF(설정!$D$15="","",TRIM(SUBSTITUTE(INDEX(급여대장_원본!$A$1:$AZ$400,(설정!$B$8+194),설정!$D$15)&amp;"","　"," ")))</f>
        <v/>
      </c>
      <c r="F200" s="27">
        <f>IF(설정!$D$17="",0,IFERROR(VALUE(SUBSTITUTE(SUBSTITUTE(INDEX(급여대장_원본!$A$1:$AZ$400,(설정!$B$8+194),설정!$D$17)&amp;"",",",""),"　","")),0))</f>
        <v/>
      </c>
      <c r="G200" s="27">
        <f>IF(설정!$D$18="",0,IFERROR(VALUE(SUBSTITUTE(SUBSTITUTE(INDEX(급여대장_원본!$A$1:$AZ$400,(설정!$B$8+194),설정!$D$18)&amp;"",",",""),"　","")),0))</f>
        <v/>
      </c>
      <c r="H200" s="27">
        <f>IF(설정!$D$19="",0,IFERROR(VALUE(SUBSTITUTE(SUBSTITUTE(INDEX(급여대장_원본!$A$1:$AZ$400,(설정!$B$8+194),설정!$D$19)&amp;"",",",""),"　","")),0))</f>
        <v/>
      </c>
      <c r="I200" s="27">
        <f>IF(설정!$D$20="",0,IFERROR(VALUE(SUBSTITUTE(SUBSTITUTE(INDEX(급여대장_원본!$A$1:$AZ$400,(설정!$B$8+194),설정!$D$20)&amp;"",",",""),"　","")),0))</f>
        <v/>
      </c>
      <c r="J200" s="27">
        <f>IF(설정!$D$21="",0,IFERROR(VALUE(SUBSTITUTE(SUBSTITUTE(INDEX(급여대장_원본!$A$1:$AZ$400,(설정!$B$8+194),설정!$D$21)&amp;"",",",""),"　","")),0))</f>
        <v/>
      </c>
      <c r="K200" s="27">
        <f>IF(설정!$D$22="",0,IFERROR(VALUE(SUBSTITUTE(SUBSTITUTE(INDEX(급여대장_원본!$A$1:$AZ$400,(설정!$B$8+194),설정!$D$22)&amp;"",",",""),"　","")),0))</f>
        <v/>
      </c>
      <c r="L200" s="27">
        <f>IF(설정!$D$23="",0,IFERROR(VALUE(SUBSTITUTE(SUBSTITUTE(INDEX(급여대장_원본!$A$1:$AZ$400,(설정!$B$8+194),설정!$D$23)&amp;"",",",""),"　","")),0))</f>
        <v/>
      </c>
      <c r="M200" s="27">
        <f>IF(설정!$D$24="",0,IFERROR(VALUE(SUBSTITUTE(SUBSTITUTE(INDEX(급여대장_원본!$A$1:$AZ$400,(설정!$B$8+194),설정!$D$24)&amp;"",",",""),"　","")),0))</f>
        <v/>
      </c>
      <c r="N200" s="2">
        <f>IF(OR(설정!$C$17="",IFERROR(MATCH(설정!$C$17,INDEX(급여대장_원본!$A$1:$AZ$400,설정!$B$8,0),0),"")=""),"",IFERROR(VALUE(SUBSTITUTE(INDEX(급여대장_원본!$A$1:$AZ$400,(설정!$B$8+194),IFERROR(MATCH(설정!$C$17,INDEX(급여대장_원본!$A$1:$AZ$400,설정!$B$8,0),0),""))&amp;"",",","")),""))</f>
        <v/>
      </c>
      <c r="O200" s="2">
        <f>IF(OR(설정!$C$18="",IFERROR(MATCH(설정!$C$18,INDEX(급여대장_원본!$A$1:$AZ$400,설정!$B$8,0),0),"")=""),"",IFERROR(VALUE(SUBSTITUTE(INDEX(급여대장_원본!$A$1:$AZ$400,(설정!$B$8+194),IFERROR(MATCH(설정!$C$18,INDEX(급여대장_원본!$A$1:$AZ$400,설정!$B$8,0),0),""))&amp;"",",","")),""))</f>
        <v/>
      </c>
      <c r="P200" s="2">
        <f>IF(OR(설정!$C$19="",IFERROR(MATCH(설정!$C$19,INDEX(급여대장_원본!$A$1:$AZ$400,설정!$B$8,0),0),"")=""),"",IFERROR(VALUE(SUBSTITUTE(INDEX(급여대장_원본!$A$1:$AZ$400,(설정!$B$8+194),IFERROR(MATCH(설정!$C$19,INDEX(급여대장_원본!$A$1:$AZ$400,설정!$B$8,0),0),""))&amp;"",",","")),""))</f>
        <v/>
      </c>
      <c r="Q200" s="2">
        <f>IF(OR(설정!$C$20="",IFERROR(MATCH(설정!$C$20,INDEX(급여대장_원본!$A$1:$AZ$400,설정!$B$8,0),0),"")=""),"",IFERROR(VALUE(SUBSTITUTE(INDEX(급여대장_원본!$A$1:$AZ$400,(설정!$B$8+194),IFERROR(MATCH(설정!$C$20,INDEX(급여대장_원본!$A$1:$AZ$400,설정!$B$8,0),0),""))&amp;"",",","")),""))</f>
        <v/>
      </c>
      <c r="R200" s="2">
        <f>IF(OR(설정!$C$21="",IFERROR(MATCH(설정!$C$21,INDEX(급여대장_원본!$A$1:$AZ$400,설정!$B$8,0),0),"")=""),"",IFERROR(VALUE(SUBSTITUTE(INDEX(급여대장_원본!$A$1:$AZ$400,(설정!$B$8+194),IFERROR(MATCH(설정!$C$21,INDEX(급여대장_원본!$A$1:$AZ$400,설정!$B$8,0),0),""))&amp;"",",","")),""))</f>
        <v/>
      </c>
      <c r="S200" s="2">
        <f>IF(OR(설정!$C$22="",IFERROR(MATCH(설정!$C$22,INDEX(급여대장_원본!$A$1:$AZ$400,설정!$B$8,0),0),"")=""),"",IFERROR(VALUE(SUBSTITUTE(INDEX(급여대장_원본!$A$1:$AZ$400,(설정!$B$8+194),IFERROR(MATCH(설정!$C$22,INDEX(급여대장_원본!$A$1:$AZ$400,설정!$B$8,0),0),""))&amp;"",",","")),""))</f>
        <v/>
      </c>
      <c r="T200" s="2">
        <f>IF(OR(설정!$C$23="",IFERROR(MATCH(설정!$C$23,INDEX(급여대장_원본!$A$1:$AZ$400,설정!$B$8,0),0),"")=""),"",IFERROR(VALUE(SUBSTITUTE(INDEX(급여대장_원본!$A$1:$AZ$400,(설정!$B$8+194),IFERROR(MATCH(설정!$C$23,INDEX(급여대장_원본!$A$1:$AZ$400,설정!$B$8,0),0),""))&amp;"",",","")),""))</f>
        <v/>
      </c>
      <c r="U200" s="2">
        <f>IF(OR(설정!$C$24="",IFERROR(MATCH(설정!$C$24,INDEX(급여대장_원본!$A$1:$AZ$400,설정!$B$8,0),0),"")=""),"",IFERROR(VALUE(SUBSTITUTE(INDEX(급여대장_원본!$A$1:$AZ$400,(설정!$B$8+194),IFERROR(MATCH(설정!$C$24,INDEX(급여대장_원본!$A$1:$AZ$400,설정!$B$8,0),0),""))&amp;"",",","")),""))</f>
        <v/>
      </c>
      <c r="V200" s="27">
        <f>SUM(F200:M200)</f>
        <v/>
      </c>
      <c r="W200" s="27">
        <f>IF(설정!$D$26="",0,IFERROR(VALUE(SUBSTITUTE(SUBSTITUTE(INDEX(급여대장_원본!$A$1:$AZ$400,(설정!$B$8+194),설정!$D$26)&amp;"",",",""),"　","")),0))</f>
        <v/>
      </c>
      <c r="X200" s="27">
        <f>IF(설정!$D$27="",0,IFERROR(VALUE(SUBSTITUTE(SUBSTITUTE(INDEX(급여대장_원본!$A$1:$AZ$400,(설정!$B$8+194),설정!$D$27)&amp;"",",",""),"　","")),0))</f>
        <v/>
      </c>
      <c r="Y200" s="27">
        <f>IF(설정!$D$28="",0,IFERROR(VALUE(SUBSTITUTE(SUBSTITUTE(INDEX(급여대장_원본!$A$1:$AZ$400,(설정!$B$8+194),설정!$D$28)&amp;"",",",""),"　","")),0))</f>
        <v/>
      </c>
      <c r="Z200" s="27">
        <f>IF(설정!$D$29="",0,IFERROR(VALUE(SUBSTITUTE(SUBSTITUTE(INDEX(급여대장_원본!$A$1:$AZ$400,(설정!$B$8+194),설정!$D$29)&amp;"",",",""),"　","")),0))</f>
        <v/>
      </c>
      <c r="AA200" s="27">
        <f>IF(설정!$D$30="",0,IFERROR(VALUE(SUBSTITUTE(SUBSTITUTE(INDEX(급여대장_원본!$A$1:$AZ$400,(설정!$B$8+194),설정!$D$30)&amp;"",",",""),"　","")),0))</f>
        <v/>
      </c>
      <c r="AB200" s="27">
        <f>IF(설정!$D$31="",0,IFERROR(VALUE(SUBSTITUTE(SUBSTITUTE(INDEX(급여대장_원본!$A$1:$AZ$400,(설정!$B$8+194),설정!$D$31)&amp;"",",",""),"　","")),0))</f>
        <v/>
      </c>
      <c r="AC200" s="27">
        <f>IF(설정!$D$32="",0,IFERROR(VALUE(SUBSTITUTE(SUBSTITUTE(INDEX(급여대장_원본!$A$1:$AZ$400,(설정!$B$8+194),설정!$D$32)&amp;"",",",""),"　","")),0))</f>
        <v/>
      </c>
      <c r="AD200" s="27">
        <f>IF(설정!$D$33="",0,IFERROR(VALUE(SUBSTITUTE(SUBSTITUTE(INDEX(급여대장_원본!$A$1:$AZ$400,(설정!$B$8+194),설정!$D$33)&amp;"",",",""),"　","")),0))</f>
        <v/>
      </c>
      <c r="AE200" s="27">
        <f>SUM(W200:AD200)</f>
        <v/>
      </c>
      <c r="AF200" s="27">
        <f>V200-AE200</f>
        <v/>
      </c>
      <c r="AG200" s="27">
        <f>IF(설정!$D$35="","",IF(설정!$D$35="",0,IFERROR(VALUE(SUBSTITUTE(SUBSTITUTE(INDEX(급여대장_원본!$A$1:$AZ$400,(설정!$B$8+194),설정!$D$35)&amp;"",",",""),"　","")),0)))</f>
        <v/>
      </c>
      <c r="AH200" s="27">
        <f>IF(설정!$D$36="","",IF(설정!$D$36="",0,IFERROR(VALUE(SUBSTITUTE(SUBSTITUTE(INDEX(급여대장_원본!$A$1:$AZ$400,(설정!$B$8+194),설정!$D$36)&amp;"",",",""),"　","")),0)))</f>
        <v/>
      </c>
      <c r="AI200" s="27">
        <f>IF(설정!$D$37="","",IF(설정!$D$37="",0,IFERROR(VALUE(SUBSTITUTE(SUBSTITUTE(INDEX(급여대장_원본!$A$1:$AZ$400,(설정!$B$8+194),설정!$D$37)&amp;"",",",""),"　","")),0)))</f>
        <v/>
      </c>
      <c r="AJ200" s="2">
        <f>IFERROR(INDEX($D$7:$D$306,MATCH(194,$B$7:$B$306,0)),"")</f>
        <v/>
      </c>
    </row>
    <row r="201">
      <c r="A201" s="2">
        <f>IF(AND(D201&lt;&gt;"",D201&lt;&gt;"합계",D201&lt;&gt;"총계",D201&lt;&gt;"소계",D201&lt;&gt;"계"),1,0)</f>
        <v/>
      </c>
      <c r="B201" s="2">
        <f>IF(A201=1,SUM($A$7:A201),"")</f>
        <v/>
      </c>
      <c r="C201" s="2">
        <f>IF(설정!$D$13="","",TRIM(SUBSTITUTE(INDEX(급여대장_원본!$A$1:$AZ$400,(설정!$B$8+195),설정!$D$13)&amp;"","　"," ")))</f>
        <v/>
      </c>
      <c r="D201" s="2">
        <f>IF(설정!$D$14="","",TRIM(SUBSTITUTE(INDEX(급여대장_원본!$A$1:$AZ$400,(설정!$B$8+195),설정!$D$14)&amp;"","　"," ")))</f>
        <v/>
      </c>
      <c r="E201" s="2">
        <f>IF(설정!$D$15="","",TRIM(SUBSTITUTE(INDEX(급여대장_원본!$A$1:$AZ$400,(설정!$B$8+195),설정!$D$15)&amp;"","　"," ")))</f>
        <v/>
      </c>
      <c r="F201" s="27">
        <f>IF(설정!$D$17="",0,IFERROR(VALUE(SUBSTITUTE(SUBSTITUTE(INDEX(급여대장_원본!$A$1:$AZ$400,(설정!$B$8+195),설정!$D$17)&amp;"",",",""),"　","")),0))</f>
        <v/>
      </c>
      <c r="G201" s="27">
        <f>IF(설정!$D$18="",0,IFERROR(VALUE(SUBSTITUTE(SUBSTITUTE(INDEX(급여대장_원본!$A$1:$AZ$400,(설정!$B$8+195),설정!$D$18)&amp;"",",",""),"　","")),0))</f>
        <v/>
      </c>
      <c r="H201" s="27">
        <f>IF(설정!$D$19="",0,IFERROR(VALUE(SUBSTITUTE(SUBSTITUTE(INDEX(급여대장_원본!$A$1:$AZ$400,(설정!$B$8+195),설정!$D$19)&amp;"",",",""),"　","")),0))</f>
        <v/>
      </c>
      <c r="I201" s="27">
        <f>IF(설정!$D$20="",0,IFERROR(VALUE(SUBSTITUTE(SUBSTITUTE(INDEX(급여대장_원본!$A$1:$AZ$400,(설정!$B$8+195),설정!$D$20)&amp;"",",",""),"　","")),0))</f>
        <v/>
      </c>
      <c r="J201" s="27">
        <f>IF(설정!$D$21="",0,IFERROR(VALUE(SUBSTITUTE(SUBSTITUTE(INDEX(급여대장_원본!$A$1:$AZ$400,(설정!$B$8+195),설정!$D$21)&amp;"",",",""),"　","")),0))</f>
        <v/>
      </c>
      <c r="K201" s="27">
        <f>IF(설정!$D$22="",0,IFERROR(VALUE(SUBSTITUTE(SUBSTITUTE(INDEX(급여대장_원본!$A$1:$AZ$400,(설정!$B$8+195),설정!$D$22)&amp;"",",",""),"　","")),0))</f>
        <v/>
      </c>
      <c r="L201" s="27">
        <f>IF(설정!$D$23="",0,IFERROR(VALUE(SUBSTITUTE(SUBSTITUTE(INDEX(급여대장_원본!$A$1:$AZ$400,(설정!$B$8+195),설정!$D$23)&amp;"",",",""),"　","")),0))</f>
        <v/>
      </c>
      <c r="M201" s="27">
        <f>IF(설정!$D$24="",0,IFERROR(VALUE(SUBSTITUTE(SUBSTITUTE(INDEX(급여대장_원본!$A$1:$AZ$400,(설정!$B$8+195),설정!$D$24)&amp;"",",",""),"　","")),0))</f>
        <v/>
      </c>
      <c r="N201" s="2">
        <f>IF(OR(설정!$C$17="",IFERROR(MATCH(설정!$C$17,INDEX(급여대장_원본!$A$1:$AZ$400,설정!$B$8,0),0),"")=""),"",IFERROR(VALUE(SUBSTITUTE(INDEX(급여대장_원본!$A$1:$AZ$400,(설정!$B$8+195),IFERROR(MATCH(설정!$C$17,INDEX(급여대장_원본!$A$1:$AZ$400,설정!$B$8,0),0),""))&amp;"",",","")),""))</f>
        <v/>
      </c>
      <c r="O201" s="2">
        <f>IF(OR(설정!$C$18="",IFERROR(MATCH(설정!$C$18,INDEX(급여대장_원본!$A$1:$AZ$400,설정!$B$8,0),0),"")=""),"",IFERROR(VALUE(SUBSTITUTE(INDEX(급여대장_원본!$A$1:$AZ$400,(설정!$B$8+195),IFERROR(MATCH(설정!$C$18,INDEX(급여대장_원본!$A$1:$AZ$400,설정!$B$8,0),0),""))&amp;"",",","")),""))</f>
        <v/>
      </c>
      <c r="P201" s="2">
        <f>IF(OR(설정!$C$19="",IFERROR(MATCH(설정!$C$19,INDEX(급여대장_원본!$A$1:$AZ$400,설정!$B$8,0),0),"")=""),"",IFERROR(VALUE(SUBSTITUTE(INDEX(급여대장_원본!$A$1:$AZ$400,(설정!$B$8+195),IFERROR(MATCH(설정!$C$19,INDEX(급여대장_원본!$A$1:$AZ$400,설정!$B$8,0),0),""))&amp;"",",","")),""))</f>
        <v/>
      </c>
      <c r="Q201" s="2">
        <f>IF(OR(설정!$C$20="",IFERROR(MATCH(설정!$C$20,INDEX(급여대장_원본!$A$1:$AZ$400,설정!$B$8,0),0),"")=""),"",IFERROR(VALUE(SUBSTITUTE(INDEX(급여대장_원본!$A$1:$AZ$400,(설정!$B$8+195),IFERROR(MATCH(설정!$C$20,INDEX(급여대장_원본!$A$1:$AZ$400,설정!$B$8,0),0),""))&amp;"",",","")),""))</f>
        <v/>
      </c>
      <c r="R201" s="2">
        <f>IF(OR(설정!$C$21="",IFERROR(MATCH(설정!$C$21,INDEX(급여대장_원본!$A$1:$AZ$400,설정!$B$8,0),0),"")=""),"",IFERROR(VALUE(SUBSTITUTE(INDEX(급여대장_원본!$A$1:$AZ$400,(설정!$B$8+195),IFERROR(MATCH(설정!$C$21,INDEX(급여대장_원본!$A$1:$AZ$400,설정!$B$8,0),0),""))&amp;"",",","")),""))</f>
        <v/>
      </c>
      <c r="S201" s="2">
        <f>IF(OR(설정!$C$22="",IFERROR(MATCH(설정!$C$22,INDEX(급여대장_원본!$A$1:$AZ$400,설정!$B$8,0),0),"")=""),"",IFERROR(VALUE(SUBSTITUTE(INDEX(급여대장_원본!$A$1:$AZ$400,(설정!$B$8+195),IFERROR(MATCH(설정!$C$22,INDEX(급여대장_원본!$A$1:$AZ$400,설정!$B$8,0),0),""))&amp;"",",","")),""))</f>
        <v/>
      </c>
      <c r="T201" s="2">
        <f>IF(OR(설정!$C$23="",IFERROR(MATCH(설정!$C$23,INDEX(급여대장_원본!$A$1:$AZ$400,설정!$B$8,0),0),"")=""),"",IFERROR(VALUE(SUBSTITUTE(INDEX(급여대장_원본!$A$1:$AZ$400,(설정!$B$8+195),IFERROR(MATCH(설정!$C$23,INDEX(급여대장_원본!$A$1:$AZ$400,설정!$B$8,0),0),""))&amp;"",",","")),""))</f>
        <v/>
      </c>
      <c r="U201" s="2">
        <f>IF(OR(설정!$C$24="",IFERROR(MATCH(설정!$C$24,INDEX(급여대장_원본!$A$1:$AZ$400,설정!$B$8,0),0),"")=""),"",IFERROR(VALUE(SUBSTITUTE(INDEX(급여대장_원본!$A$1:$AZ$400,(설정!$B$8+195),IFERROR(MATCH(설정!$C$24,INDEX(급여대장_원본!$A$1:$AZ$400,설정!$B$8,0),0),""))&amp;"",",","")),""))</f>
        <v/>
      </c>
      <c r="V201" s="27">
        <f>SUM(F201:M201)</f>
        <v/>
      </c>
      <c r="W201" s="27">
        <f>IF(설정!$D$26="",0,IFERROR(VALUE(SUBSTITUTE(SUBSTITUTE(INDEX(급여대장_원본!$A$1:$AZ$400,(설정!$B$8+195),설정!$D$26)&amp;"",",",""),"　","")),0))</f>
        <v/>
      </c>
      <c r="X201" s="27">
        <f>IF(설정!$D$27="",0,IFERROR(VALUE(SUBSTITUTE(SUBSTITUTE(INDEX(급여대장_원본!$A$1:$AZ$400,(설정!$B$8+195),설정!$D$27)&amp;"",",",""),"　","")),0))</f>
        <v/>
      </c>
      <c r="Y201" s="27">
        <f>IF(설정!$D$28="",0,IFERROR(VALUE(SUBSTITUTE(SUBSTITUTE(INDEX(급여대장_원본!$A$1:$AZ$400,(설정!$B$8+195),설정!$D$28)&amp;"",",",""),"　","")),0))</f>
        <v/>
      </c>
      <c r="Z201" s="27">
        <f>IF(설정!$D$29="",0,IFERROR(VALUE(SUBSTITUTE(SUBSTITUTE(INDEX(급여대장_원본!$A$1:$AZ$400,(설정!$B$8+195),설정!$D$29)&amp;"",",",""),"　","")),0))</f>
        <v/>
      </c>
      <c r="AA201" s="27">
        <f>IF(설정!$D$30="",0,IFERROR(VALUE(SUBSTITUTE(SUBSTITUTE(INDEX(급여대장_원본!$A$1:$AZ$400,(설정!$B$8+195),설정!$D$30)&amp;"",",",""),"　","")),0))</f>
        <v/>
      </c>
      <c r="AB201" s="27">
        <f>IF(설정!$D$31="",0,IFERROR(VALUE(SUBSTITUTE(SUBSTITUTE(INDEX(급여대장_원본!$A$1:$AZ$400,(설정!$B$8+195),설정!$D$31)&amp;"",",",""),"　","")),0))</f>
        <v/>
      </c>
      <c r="AC201" s="27">
        <f>IF(설정!$D$32="",0,IFERROR(VALUE(SUBSTITUTE(SUBSTITUTE(INDEX(급여대장_원본!$A$1:$AZ$400,(설정!$B$8+195),설정!$D$32)&amp;"",",",""),"　","")),0))</f>
        <v/>
      </c>
      <c r="AD201" s="27">
        <f>IF(설정!$D$33="",0,IFERROR(VALUE(SUBSTITUTE(SUBSTITUTE(INDEX(급여대장_원본!$A$1:$AZ$400,(설정!$B$8+195),설정!$D$33)&amp;"",",",""),"　","")),0))</f>
        <v/>
      </c>
      <c r="AE201" s="27">
        <f>SUM(W201:AD201)</f>
        <v/>
      </c>
      <c r="AF201" s="27">
        <f>V201-AE201</f>
        <v/>
      </c>
      <c r="AG201" s="27">
        <f>IF(설정!$D$35="","",IF(설정!$D$35="",0,IFERROR(VALUE(SUBSTITUTE(SUBSTITUTE(INDEX(급여대장_원본!$A$1:$AZ$400,(설정!$B$8+195),설정!$D$35)&amp;"",",",""),"　","")),0)))</f>
        <v/>
      </c>
      <c r="AH201" s="27">
        <f>IF(설정!$D$36="","",IF(설정!$D$36="",0,IFERROR(VALUE(SUBSTITUTE(SUBSTITUTE(INDEX(급여대장_원본!$A$1:$AZ$400,(설정!$B$8+195),설정!$D$36)&amp;"",",",""),"　","")),0)))</f>
        <v/>
      </c>
      <c r="AI201" s="27">
        <f>IF(설정!$D$37="","",IF(설정!$D$37="",0,IFERROR(VALUE(SUBSTITUTE(SUBSTITUTE(INDEX(급여대장_원본!$A$1:$AZ$400,(설정!$B$8+195),설정!$D$37)&amp;"",",",""),"　","")),0)))</f>
        <v/>
      </c>
      <c r="AJ201" s="2">
        <f>IFERROR(INDEX($D$7:$D$306,MATCH(195,$B$7:$B$306,0)),"")</f>
        <v/>
      </c>
    </row>
    <row r="202">
      <c r="A202" s="2">
        <f>IF(AND(D202&lt;&gt;"",D202&lt;&gt;"합계",D202&lt;&gt;"총계",D202&lt;&gt;"소계",D202&lt;&gt;"계"),1,0)</f>
        <v/>
      </c>
      <c r="B202" s="2">
        <f>IF(A202=1,SUM($A$7:A202),"")</f>
        <v/>
      </c>
      <c r="C202" s="2">
        <f>IF(설정!$D$13="","",TRIM(SUBSTITUTE(INDEX(급여대장_원본!$A$1:$AZ$400,(설정!$B$8+196),설정!$D$13)&amp;"","　"," ")))</f>
        <v/>
      </c>
      <c r="D202" s="2">
        <f>IF(설정!$D$14="","",TRIM(SUBSTITUTE(INDEX(급여대장_원본!$A$1:$AZ$400,(설정!$B$8+196),설정!$D$14)&amp;"","　"," ")))</f>
        <v/>
      </c>
      <c r="E202" s="2">
        <f>IF(설정!$D$15="","",TRIM(SUBSTITUTE(INDEX(급여대장_원본!$A$1:$AZ$400,(설정!$B$8+196),설정!$D$15)&amp;"","　"," ")))</f>
        <v/>
      </c>
      <c r="F202" s="27">
        <f>IF(설정!$D$17="",0,IFERROR(VALUE(SUBSTITUTE(SUBSTITUTE(INDEX(급여대장_원본!$A$1:$AZ$400,(설정!$B$8+196),설정!$D$17)&amp;"",",",""),"　","")),0))</f>
        <v/>
      </c>
      <c r="G202" s="27">
        <f>IF(설정!$D$18="",0,IFERROR(VALUE(SUBSTITUTE(SUBSTITUTE(INDEX(급여대장_원본!$A$1:$AZ$400,(설정!$B$8+196),설정!$D$18)&amp;"",",",""),"　","")),0))</f>
        <v/>
      </c>
      <c r="H202" s="27">
        <f>IF(설정!$D$19="",0,IFERROR(VALUE(SUBSTITUTE(SUBSTITUTE(INDEX(급여대장_원본!$A$1:$AZ$400,(설정!$B$8+196),설정!$D$19)&amp;"",",",""),"　","")),0))</f>
        <v/>
      </c>
      <c r="I202" s="27">
        <f>IF(설정!$D$20="",0,IFERROR(VALUE(SUBSTITUTE(SUBSTITUTE(INDEX(급여대장_원본!$A$1:$AZ$400,(설정!$B$8+196),설정!$D$20)&amp;"",",",""),"　","")),0))</f>
        <v/>
      </c>
      <c r="J202" s="27">
        <f>IF(설정!$D$21="",0,IFERROR(VALUE(SUBSTITUTE(SUBSTITUTE(INDEX(급여대장_원본!$A$1:$AZ$400,(설정!$B$8+196),설정!$D$21)&amp;"",",",""),"　","")),0))</f>
        <v/>
      </c>
      <c r="K202" s="27">
        <f>IF(설정!$D$22="",0,IFERROR(VALUE(SUBSTITUTE(SUBSTITUTE(INDEX(급여대장_원본!$A$1:$AZ$400,(설정!$B$8+196),설정!$D$22)&amp;"",",",""),"　","")),0))</f>
        <v/>
      </c>
      <c r="L202" s="27">
        <f>IF(설정!$D$23="",0,IFERROR(VALUE(SUBSTITUTE(SUBSTITUTE(INDEX(급여대장_원본!$A$1:$AZ$400,(설정!$B$8+196),설정!$D$23)&amp;"",",",""),"　","")),0))</f>
        <v/>
      </c>
      <c r="M202" s="27">
        <f>IF(설정!$D$24="",0,IFERROR(VALUE(SUBSTITUTE(SUBSTITUTE(INDEX(급여대장_원본!$A$1:$AZ$400,(설정!$B$8+196),설정!$D$24)&amp;"",",",""),"　","")),0))</f>
        <v/>
      </c>
      <c r="N202" s="2">
        <f>IF(OR(설정!$C$17="",IFERROR(MATCH(설정!$C$17,INDEX(급여대장_원본!$A$1:$AZ$400,설정!$B$8,0),0),"")=""),"",IFERROR(VALUE(SUBSTITUTE(INDEX(급여대장_원본!$A$1:$AZ$400,(설정!$B$8+196),IFERROR(MATCH(설정!$C$17,INDEX(급여대장_원본!$A$1:$AZ$400,설정!$B$8,0),0),""))&amp;"",",","")),""))</f>
        <v/>
      </c>
      <c r="O202" s="2">
        <f>IF(OR(설정!$C$18="",IFERROR(MATCH(설정!$C$18,INDEX(급여대장_원본!$A$1:$AZ$400,설정!$B$8,0),0),"")=""),"",IFERROR(VALUE(SUBSTITUTE(INDEX(급여대장_원본!$A$1:$AZ$400,(설정!$B$8+196),IFERROR(MATCH(설정!$C$18,INDEX(급여대장_원본!$A$1:$AZ$400,설정!$B$8,0),0),""))&amp;"",",","")),""))</f>
        <v/>
      </c>
      <c r="P202" s="2">
        <f>IF(OR(설정!$C$19="",IFERROR(MATCH(설정!$C$19,INDEX(급여대장_원본!$A$1:$AZ$400,설정!$B$8,0),0),"")=""),"",IFERROR(VALUE(SUBSTITUTE(INDEX(급여대장_원본!$A$1:$AZ$400,(설정!$B$8+196),IFERROR(MATCH(설정!$C$19,INDEX(급여대장_원본!$A$1:$AZ$400,설정!$B$8,0),0),""))&amp;"",",","")),""))</f>
        <v/>
      </c>
      <c r="Q202" s="2">
        <f>IF(OR(설정!$C$20="",IFERROR(MATCH(설정!$C$20,INDEX(급여대장_원본!$A$1:$AZ$400,설정!$B$8,0),0),"")=""),"",IFERROR(VALUE(SUBSTITUTE(INDEX(급여대장_원본!$A$1:$AZ$400,(설정!$B$8+196),IFERROR(MATCH(설정!$C$20,INDEX(급여대장_원본!$A$1:$AZ$400,설정!$B$8,0),0),""))&amp;"",",","")),""))</f>
        <v/>
      </c>
      <c r="R202" s="2">
        <f>IF(OR(설정!$C$21="",IFERROR(MATCH(설정!$C$21,INDEX(급여대장_원본!$A$1:$AZ$400,설정!$B$8,0),0),"")=""),"",IFERROR(VALUE(SUBSTITUTE(INDEX(급여대장_원본!$A$1:$AZ$400,(설정!$B$8+196),IFERROR(MATCH(설정!$C$21,INDEX(급여대장_원본!$A$1:$AZ$400,설정!$B$8,0),0),""))&amp;"",",","")),""))</f>
        <v/>
      </c>
      <c r="S202" s="2">
        <f>IF(OR(설정!$C$22="",IFERROR(MATCH(설정!$C$22,INDEX(급여대장_원본!$A$1:$AZ$400,설정!$B$8,0),0),"")=""),"",IFERROR(VALUE(SUBSTITUTE(INDEX(급여대장_원본!$A$1:$AZ$400,(설정!$B$8+196),IFERROR(MATCH(설정!$C$22,INDEX(급여대장_원본!$A$1:$AZ$400,설정!$B$8,0),0),""))&amp;"",",","")),""))</f>
        <v/>
      </c>
      <c r="T202" s="2">
        <f>IF(OR(설정!$C$23="",IFERROR(MATCH(설정!$C$23,INDEX(급여대장_원본!$A$1:$AZ$400,설정!$B$8,0),0),"")=""),"",IFERROR(VALUE(SUBSTITUTE(INDEX(급여대장_원본!$A$1:$AZ$400,(설정!$B$8+196),IFERROR(MATCH(설정!$C$23,INDEX(급여대장_원본!$A$1:$AZ$400,설정!$B$8,0),0),""))&amp;"",",","")),""))</f>
        <v/>
      </c>
      <c r="U202" s="2">
        <f>IF(OR(설정!$C$24="",IFERROR(MATCH(설정!$C$24,INDEX(급여대장_원본!$A$1:$AZ$400,설정!$B$8,0),0),"")=""),"",IFERROR(VALUE(SUBSTITUTE(INDEX(급여대장_원본!$A$1:$AZ$400,(설정!$B$8+196),IFERROR(MATCH(설정!$C$24,INDEX(급여대장_원본!$A$1:$AZ$400,설정!$B$8,0),0),""))&amp;"",",","")),""))</f>
        <v/>
      </c>
      <c r="V202" s="27">
        <f>SUM(F202:M202)</f>
        <v/>
      </c>
      <c r="W202" s="27">
        <f>IF(설정!$D$26="",0,IFERROR(VALUE(SUBSTITUTE(SUBSTITUTE(INDEX(급여대장_원본!$A$1:$AZ$400,(설정!$B$8+196),설정!$D$26)&amp;"",",",""),"　","")),0))</f>
        <v/>
      </c>
      <c r="X202" s="27">
        <f>IF(설정!$D$27="",0,IFERROR(VALUE(SUBSTITUTE(SUBSTITUTE(INDEX(급여대장_원본!$A$1:$AZ$400,(설정!$B$8+196),설정!$D$27)&amp;"",",",""),"　","")),0))</f>
        <v/>
      </c>
      <c r="Y202" s="27">
        <f>IF(설정!$D$28="",0,IFERROR(VALUE(SUBSTITUTE(SUBSTITUTE(INDEX(급여대장_원본!$A$1:$AZ$400,(설정!$B$8+196),설정!$D$28)&amp;"",",",""),"　","")),0))</f>
        <v/>
      </c>
      <c r="Z202" s="27">
        <f>IF(설정!$D$29="",0,IFERROR(VALUE(SUBSTITUTE(SUBSTITUTE(INDEX(급여대장_원본!$A$1:$AZ$400,(설정!$B$8+196),설정!$D$29)&amp;"",",",""),"　","")),0))</f>
        <v/>
      </c>
      <c r="AA202" s="27">
        <f>IF(설정!$D$30="",0,IFERROR(VALUE(SUBSTITUTE(SUBSTITUTE(INDEX(급여대장_원본!$A$1:$AZ$400,(설정!$B$8+196),설정!$D$30)&amp;"",",",""),"　","")),0))</f>
        <v/>
      </c>
      <c r="AB202" s="27">
        <f>IF(설정!$D$31="",0,IFERROR(VALUE(SUBSTITUTE(SUBSTITUTE(INDEX(급여대장_원본!$A$1:$AZ$400,(설정!$B$8+196),설정!$D$31)&amp;"",",",""),"　","")),0))</f>
        <v/>
      </c>
      <c r="AC202" s="27">
        <f>IF(설정!$D$32="",0,IFERROR(VALUE(SUBSTITUTE(SUBSTITUTE(INDEX(급여대장_원본!$A$1:$AZ$400,(설정!$B$8+196),설정!$D$32)&amp;"",",",""),"　","")),0))</f>
        <v/>
      </c>
      <c r="AD202" s="27">
        <f>IF(설정!$D$33="",0,IFERROR(VALUE(SUBSTITUTE(SUBSTITUTE(INDEX(급여대장_원본!$A$1:$AZ$400,(설정!$B$8+196),설정!$D$33)&amp;"",",",""),"　","")),0))</f>
        <v/>
      </c>
      <c r="AE202" s="27">
        <f>SUM(W202:AD202)</f>
        <v/>
      </c>
      <c r="AF202" s="27">
        <f>V202-AE202</f>
        <v/>
      </c>
      <c r="AG202" s="27">
        <f>IF(설정!$D$35="","",IF(설정!$D$35="",0,IFERROR(VALUE(SUBSTITUTE(SUBSTITUTE(INDEX(급여대장_원본!$A$1:$AZ$400,(설정!$B$8+196),설정!$D$35)&amp;"",",",""),"　","")),0)))</f>
        <v/>
      </c>
      <c r="AH202" s="27">
        <f>IF(설정!$D$36="","",IF(설정!$D$36="",0,IFERROR(VALUE(SUBSTITUTE(SUBSTITUTE(INDEX(급여대장_원본!$A$1:$AZ$400,(설정!$B$8+196),설정!$D$36)&amp;"",",",""),"　","")),0)))</f>
        <v/>
      </c>
      <c r="AI202" s="27">
        <f>IF(설정!$D$37="","",IF(설정!$D$37="",0,IFERROR(VALUE(SUBSTITUTE(SUBSTITUTE(INDEX(급여대장_원본!$A$1:$AZ$400,(설정!$B$8+196),설정!$D$37)&amp;"",",",""),"　","")),0)))</f>
        <v/>
      </c>
      <c r="AJ202" s="2">
        <f>IFERROR(INDEX($D$7:$D$306,MATCH(196,$B$7:$B$306,0)),"")</f>
        <v/>
      </c>
    </row>
    <row r="203">
      <c r="A203" s="2">
        <f>IF(AND(D203&lt;&gt;"",D203&lt;&gt;"합계",D203&lt;&gt;"총계",D203&lt;&gt;"소계",D203&lt;&gt;"계"),1,0)</f>
        <v/>
      </c>
      <c r="B203" s="2">
        <f>IF(A203=1,SUM($A$7:A203),"")</f>
        <v/>
      </c>
      <c r="C203" s="2">
        <f>IF(설정!$D$13="","",TRIM(SUBSTITUTE(INDEX(급여대장_원본!$A$1:$AZ$400,(설정!$B$8+197),설정!$D$13)&amp;"","　"," ")))</f>
        <v/>
      </c>
      <c r="D203" s="2">
        <f>IF(설정!$D$14="","",TRIM(SUBSTITUTE(INDEX(급여대장_원본!$A$1:$AZ$400,(설정!$B$8+197),설정!$D$14)&amp;"","　"," ")))</f>
        <v/>
      </c>
      <c r="E203" s="2">
        <f>IF(설정!$D$15="","",TRIM(SUBSTITUTE(INDEX(급여대장_원본!$A$1:$AZ$400,(설정!$B$8+197),설정!$D$15)&amp;"","　"," ")))</f>
        <v/>
      </c>
      <c r="F203" s="27">
        <f>IF(설정!$D$17="",0,IFERROR(VALUE(SUBSTITUTE(SUBSTITUTE(INDEX(급여대장_원본!$A$1:$AZ$400,(설정!$B$8+197),설정!$D$17)&amp;"",",",""),"　","")),0))</f>
        <v/>
      </c>
      <c r="G203" s="27">
        <f>IF(설정!$D$18="",0,IFERROR(VALUE(SUBSTITUTE(SUBSTITUTE(INDEX(급여대장_원본!$A$1:$AZ$400,(설정!$B$8+197),설정!$D$18)&amp;"",",",""),"　","")),0))</f>
        <v/>
      </c>
      <c r="H203" s="27">
        <f>IF(설정!$D$19="",0,IFERROR(VALUE(SUBSTITUTE(SUBSTITUTE(INDEX(급여대장_원본!$A$1:$AZ$400,(설정!$B$8+197),설정!$D$19)&amp;"",",",""),"　","")),0))</f>
        <v/>
      </c>
      <c r="I203" s="27">
        <f>IF(설정!$D$20="",0,IFERROR(VALUE(SUBSTITUTE(SUBSTITUTE(INDEX(급여대장_원본!$A$1:$AZ$400,(설정!$B$8+197),설정!$D$20)&amp;"",",",""),"　","")),0))</f>
        <v/>
      </c>
      <c r="J203" s="27">
        <f>IF(설정!$D$21="",0,IFERROR(VALUE(SUBSTITUTE(SUBSTITUTE(INDEX(급여대장_원본!$A$1:$AZ$400,(설정!$B$8+197),설정!$D$21)&amp;"",",",""),"　","")),0))</f>
        <v/>
      </c>
      <c r="K203" s="27">
        <f>IF(설정!$D$22="",0,IFERROR(VALUE(SUBSTITUTE(SUBSTITUTE(INDEX(급여대장_원본!$A$1:$AZ$400,(설정!$B$8+197),설정!$D$22)&amp;"",",",""),"　","")),0))</f>
        <v/>
      </c>
      <c r="L203" s="27">
        <f>IF(설정!$D$23="",0,IFERROR(VALUE(SUBSTITUTE(SUBSTITUTE(INDEX(급여대장_원본!$A$1:$AZ$400,(설정!$B$8+197),설정!$D$23)&amp;"",",",""),"　","")),0))</f>
        <v/>
      </c>
      <c r="M203" s="27">
        <f>IF(설정!$D$24="",0,IFERROR(VALUE(SUBSTITUTE(SUBSTITUTE(INDEX(급여대장_원본!$A$1:$AZ$400,(설정!$B$8+197),설정!$D$24)&amp;"",",",""),"　","")),0))</f>
        <v/>
      </c>
      <c r="N203" s="2">
        <f>IF(OR(설정!$C$17="",IFERROR(MATCH(설정!$C$17,INDEX(급여대장_원본!$A$1:$AZ$400,설정!$B$8,0),0),"")=""),"",IFERROR(VALUE(SUBSTITUTE(INDEX(급여대장_원본!$A$1:$AZ$400,(설정!$B$8+197),IFERROR(MATCH(설정!$C$17,INDEX(급여대장_원본!$A$1:$AZ$400,설정!$B$8,0),0),""))&amp;"",",","")),""))</f>
        <v/>
      </c>
      <c r="O203" s="2">
        <f>IF(OR(설정!$C$18="",IFERROR(MATCH(설정!$C$18,INDEX(급여대장_원본!$A$1:$AZ$400,설정!$B$8,0),0),"")=""),"",IFERROR(VALUE(SUBSTITUTE(INDEX(급여대장_원본!$A$1:$AZ$400,(설정!$B$8+197),IFERROR(MATCH(설정!$C$18,INDEX(급여대장_원본!$A$1:$AZ$400,설정!$B$8,0),0),""))&amp;"",",","")),""))</f>
        <v/>
      </c>
      <c r="P203" s="2">
        <f>IF(OR(설정!$C$19="",IFERROR(MATCH(설정!$C$19,INDEX(급여대장_원본!$A$1:$AZ$400,설정!$B$8,0),0),"")=""),"",IFERROR(VALUE(SUBSTITUTE(INDEX(급여대장_원본!$A$1:$AZ$400,(설정!$B$8+197),IFERROR(MATCH(설정!$C$19,INDEX(급여대장_원본!$A$1:$AZ$400,설정!$B$8,0),0),""))&amp;"",",","")),""))</f>
        <v/>
      </c>
      <c r="Q203" s="2">
        <f>IF(OR(설정!$C$20="",IFERROR(MATCH(설정!$C$20,INDEX(급여대장_원본!$A$1:$AZ$400,설정!$B$8,0),0),"")=""),"",IFERROR(VALUE(SUBSTITUTE(INDEX(급여대장_원본!$A$1:$AZ$400,(설정!$B$8+197),IFERROR(MATCH(설정!$C$20,INDEX(급여대장_원본!$A$1:$AZ$400,설정!$B$8,0),0),""))&amp;"",",","")),""))</f>
        <v/>
      </c>
      <c r="R203" s="2">
        <f>IF(OR(설정!$C$21="",IFERROR(MATCH(설정!$C$21,INDEX(급여대장_원본!$A$1:$AZ$400,설정!$B$8,0),0),"")=""),"",IFERROR(VALUE(SUBSTITUTE(INDEX(급여대장_원본!$A$1:$AZ$400,(설정!$B$8+197),IFERROR(MATCH(설정!$C$21,INDEX(급여대장_원본!$A$1:$AZ$400,설정!$B$8,0),0),""))&amp;"",",","")),""))</f>
        <v/>
      </c>
      <c r="S203" s="2">
        <f>IF(OR(설정!$C$22="",IFERROR(MATCH(설정!$C$22,INDEX(급여대장_원본!$A$1:$AZ$400,설정!$B$8,0),0),"")=""),"",IFERROR(VALUE(SUBSTITUTE(INDEX(급여대장_원본!$A$1:$AZ$400,(설정!$B$8+197),IFERROR(MATCH(설정!$C$22,INDEX(급여대장_원본!$A$1:$AZ$400,설정!$B$8,0),0),""))&amp;"",",","")),""))</f>
        <v/>
      </c>
      <c r="T203" s="2">
        <f>IF(OR(설정!$C$23="",IFERROR(MATCH(설정!$C$23,INDEX(급여대장_원본!$A$1:$AZ$400,설정!$B$8,0),0),"")=""),"",IFERROR(VALUE(SUBSTITUTE(INDEX(급여대장_원본!$A$1:$AZ$400,(설정!$B$8+197),IFERROR(MATCH(설정!$C$23,INDEX(급여대장_원본!$A$1:$AZ$400,설정!$B$8,0),0),""))&amp;"",",","")),""))</f>
        <v/>
      </c>
      <c r="U203" s="2">
        <f>IF(OR(설정!$C$24="",IFERROR(MATCH(설정!$C$24,INDEX(급여대장_원본!$A$1:$AZ$400,설정!$B$8,0),0),"")=""),"",IFERROR(VALUE(SUBSTITUTE(INDEX(급여대장_원본!$A$1:$AZ$400,(설정!$B$8+197),IFERROR(MATCH(설정!$C$24,INDEX(급여대장_원본!$A$1:$AZ$400,설정!$B$8,0),0),""))&amp;"",",","")),""))</f>
        <v/>
      </c>
      <c r="V203" s="27">
        <f>SUM(F203:M203)</f>
        <v/>
      </c>
      <c r="W203" s="27">
        <f>IF(설정!$D$26="",0,IFERROR(VALUE(SUBSTITUTE(SUBSTITUTE(INDEX(급여대장_원본!$A$1:$AZ$400,(설정!$B$8+197),설정!$D$26)&amp;"",",",""),"　","")),0))</f>
        <v/>
      </c>
      <c r="X203" s="27">
        <f>IF(설정!$D$27="",0,IFERROR(VALUE(SUBSTITUTE(SUBSTITUTE(INDEX(급여대장_원본!$A$1:$AZ$400,(설정!$B$8+197),설정!$D$27)&amp;"",",",""),"　","")),0))</f>
        <v/>
      </c>
      <c r="Y203" s="27">
        <f>IF(설정!$D$28="",0,IFERROR(VALUE(SUBSTITUTE(SUBSTITUTE(INDEX(급여대장_원본!$A$1:$AZ$400,(설정!$B$8+197),설정!$D$28)&amp;"",",",""),"　","")),0))</f>
        <v/>
      </c>
      <c r="Z203" s="27">
        <f>IF(설정!$D$29="",0,IFERROR(VALUE(SUBSTITUTE(SUBSTITUTE(INDEX(급여대장_원본!$A$1:$AZ$400,(설정!$B$8+197),설정!$D$29)&amp;"",",",""),"　","")),0))</f>
        <v/>
      </c>
      <c r="AA203" s="27">
        <f>IF(설정!$D$30="",0,IFERROR(VALUE(SUBSTITUTE(SUBSTITUTE(INDEX(급여대장_원본!$A$1:$AZ$400,(설정!$B$8+197),설정!$D$30)&amp;"",",",""),"　","")),0))</f>
        <v/>
      </c>
      <c r="AB203" s="27">
        <f>IF(설정!$D$31="",0,IFERROR(VALUE(SUBSTITUTE(SUBSTITUTE(INDEX(급여대장_원본!$A$1:$AZ$400,(설정!$B$8+197),설정!$D$31)&amp;"",",",""),"　","")),0))</f>
        <v/>
      </c>
      <c r="AC203" s="27">
        <f>IF(설정!$D$32="",0,IFERROR(VALUE(SUBSTITUTE(SUBSTITUTE(INDEX(급여대장_원본!$A$1:$AZ$400,(설정!$B$8+197),설정!$D$32)&amp;"",",",""),"　","")),0))</f>
        <v/>
      </c>
      <c r="AD203" s="27">
        <f>IF(설정!$D$33="",0,IFERROR(VALUE(SUBSTITUTE(SUBSTITUTE(INDEX(급여대장_원본!$A$1:$AZ$400,(설정!$B$8+197),설정!$D$33)&amp;"",",",""),"　","")),0))</f>
        <v/>
      </c>
      <c r="AE203" s="27">
        <f>SUM(W203:AD203)</f>
        <v/>
      </c>
      <c r="AF203" s="27">
        <f>V203-AE203</f>
        <v/>
      </c>
      <c r="AG203" s="27">
        <f>IF(설정!$D$35="","",IF(설정!$D$35="",0,IFERROR(VALUE(SUBSTITUTE(SUBSTITUTE(INDEX(급여대장_원본!$A$1:$AZ$400,(설정!$B$8+197),설정!$D$35)&amp;"",",",""),"　","")),0)))</f>
        <v/>
      </c>
      <c r="AH203" s="27">
        <f>IF(설정!$D$36="","",IF(설정!$D$36="",0,IFERROR(VALUE(SUBSTITUTE(SUBSTITUTE(INDEX(급여대장_원본!$A$1:$AZ$400,(설정!$B$8+197),설정!$D$36)&amp;"",",",""),"　","")),0)))</f>
        <v/>
      </c>
      <c r="AI203" s="27">
        <f>IF(설정!$D$37="","",IF(설정!$D$37="",0,IFERROR(VALUE(SUBSTITUTE(SUBSTITUTE(INDEX(급여대장_원본!$A$1:$AZ$400,(설정!$B$8+197),설정!$D$37)&amp;"",",",""),"　","")),0)))</f>
        <v/>
      </c>
      <c r="AJ203" s="2">
        <f>IFERROR(INDEX($D$7:$D$306,MATCH(197,$B$7:$B$306,0)),"")</f>
        <v/>
      </c>
    </row>
    <row r="204">
      <c r="A204" s="2">
        <f>IF(AND(D204&lt;&gt;"",D204&lt;&gt;"합계",D204&lt;&gt;"총계",D204&lt;&gt;"소계",D204&lt;&gt;"계"),1,0)</f>
        <v/>
      </c>
      <c r="B204" s="2">
        <f>IF(A204=1,SUM($A$7:A204),"")</f>
        <v/>
      </c>
      <c r="C204" s="2">
        <f>IF(설정!$D$13="","",TRIM(SUBSTITUTE(INDEX(급여대장_원본!$A$1:$AZ$400,(설정!$B$8+198),설정!$D$13)&amp;"","　"," ")))</f>
        <v/>
      </c>
      <c r="D204" s="2">
        <f>IF(설정!$D$14="","",TRIM(SUBSTITUTE(INDEX(급여대장_원본!$A$1:$AZ$400,(설정!$B$8+198),설정!$D$14)&amp;"","　"," ")))</f>
        <v/>
      </c>
      <c r="E204" s="2">
        <f>IF(설정!$D$15="","",TRIM(SUBSTITUTE(INDEX(급여대장_원본!$A$1:$AZ$400,(설정!$B$8+198),설정!$D$15)&amp;"","　"," ")))</f>
        <v/>
      </c>
      <c r="F204" s="27">
        <f>IF(설정!$D$17="",0,IFERROR(VALUE(SUBSTITUTE(SUBSTITUTE(INDEX(급여대장_원본!$A$1:$AZ$400,(설정!$B$8+198),설정!$D$17)&amp;"",",",""),"　","")),0))</f>
        <v/>
      </c>
      <c r="G204" s="27">
        <f>IF(설정!$D$18="",0,IFERROR(VALUE(SUBSTITUTE(SUBSTITUTE(INDEX(급여대장_원본!$A$1:$AZ$400,(설정!$B$8+198),설정!$D$18)&amp;"",",",""),"　","")),0))</f>
        <v/>
      </c>
      <c r="H204" s="27">
        <f>IF(설정!$D$19="",0,IFERROR(VALUE(SUBSTITUTE(SUBSTITUTE(INDEX(급여대장_원본!$A$1:$AZ$400,(설정!$B$8+198),설정!$D$19)&amp;"",",",""),"　","")),0))</f>
        <v/>
      </c>
      <c r="I204" s="27">
        <f>IF(설정!$D$20="",0,IFERROR(VALUE(SUBSTITUTE(SUBSTITUTE(INDEX(급여대장_원본!$A$1:$AZ$400,(설정!$B$8+198),설정!$D$20)&amp;"",",",""),"　","")),0))</f>
        <v/>
      </c>
      <c r="J204" s="27">
        <f>IF(설정!$D$21="",0,IFERROR(VALUE(SUBSTITUTE(SUBSTITUTE(INDEX(급여대장_원본!$A$1:$AZ$400,(설정!$B$8+198),설정!$D$21)&amp;"",",",""),"　","")),0))</f>
        <v/>
      </c>
      <c r="K204" s="27">
        <f>IF(설정!$D$22="",0,IFERROR(VALUE(SUBSTITUTE(SUBSTITUTE(INDEX(급여대장_원본!$A$1:$AZ$400,(설정!$B$8+198),설정!$D$22)&amp;"",",",""),"　","")),0))</f>
        <v/>
      </c>
      <c r="L204" s="27">
        <f>IF(설정!$D$23="",0,IFERROR(VALUE(SUBSTITUTE(SUBSTITUTE(INDEX(급여대장_원본!$A$1:$AZ$400,(설정!$B$8+198),설정!$D$23)&amp;"",",",""),"　","")),0))</f>
        <v/>
      </c>
      <c r="M204" s="27">
        <f>IF(설정!$D$24="",0,IFERROR(VALUE(SUBSTITUTE(SUBSTITUTE(INDEX(급여대장_원본!$A$1:$AZ$400,(설정!$B$8+198),설정!$D$24)&amp;"",",",""),"　","")),0))</f>
        <v/>
      </c>
      <c r="N204" s="2">
        <f>IF(OR(설정!$C$17="",IFERROR(MATCH(설정!$C$17,INDEX(급여대장_원본!$A$1:$AZ$400,설정!$B$8,0),0),"")=""),"",IFERROR(VALUE(SUBSTITUTE(INDEX(급여대장_원본!$A$1:$AZ$400,(설정!$B$8+198),IFERROR(MATCH(설정!$C$17,INDEX(급여대장_원본!$A$1:$AZ$400,설정!$B$8,0),0),""))&amp;"",",","")),""))</f>
        <v/>
      </c>
      <c r="O204" s="2">
        <f>IF(OR(설정!$C$18="",IFERROR(MATCH(설정!$C$18,INDEX(급여대장_원본!$A$1:$AZ$400,설정!$B$8,0),0),"")=""),"",IFERROR(VALUE(SUBSTITUTE(INDEX(급여대장_원본!$A$1:$AZ$400,(설정!$B$8+198),IFERROR(MATCH(설정!$C$18,INDEX(급여대장_원본!$A$1:$AZ$400,설정!$B$8,0),0),""))&amp;"",",","")),""))</f>
        <v/>
      </c>
      <c r="P204" s="2">
        <f>IF(OR(설정!$C$19="",IFERROR(MATCH(설정!$C$19,INDEX(급여대장_원본!$A$1:$AZ$400,설정!$B$8,0),0),"")=""),"",IFERROR(VALUE(SUBSTITUTE(INDEX(급여대장_원본!$A$1:$AZ$400,(설정!$B$8+198),IFERROR(MATCH(설정!$C$19,INDEX(급여대장_원본!$A$1:$AZ$400,설정!$B$8,0),0),""))&amp;"",",","")),""))</f>
        <v/>
      </c>
      <c r="Q204" s="2">
        <f>IF(OR(설정!$C$20="",IFERROR(MATCH(설정!$C$20,INDEX(급여대장_원본!$A$1:$AZ$400,설정!$B$8,0),0),"")=""),"",IFERROR(VALUE(SUBSTITUTE(INDEX(급여대장_원본!$A$1:$AZ$400,(설정!$B$8+198),IFERROR(MATCH(설정!$C$20,INDEX(급여대장_원본!$A$1:$AZ$400,설정!$B$8,0),0),""))&amp;"",",","")),""))</f>
        <v/>
      </c>
      <c r="R204" s="2">
        <f>IF(OR(설정!$C$21="",IFERROR(MATCH(설정!$C$21,INDEX(급여대장_원본!$A$1:$AZ$400,설정!$B$8,0),0),"")=""),"",IFERROR(VALUE(SUBSTITUTE(INDEX(급여대장_원본!$A$1:$AZ$400,(설정!$B$8+198),IFERROR(MATCH(설정!$C$21,INDEX(급여대장_원본!$A$1:$AZ$400,설정!$B$8,0),0),""))&amp;"",",","")),""))</f>
        <v/>
      </c>
      <c r="S204" s="2">
        <f>IF(OR(설정!$C$22="",IFERROR(MATCH(설정!$C$22,INDEX(급여대장_원본!$A$1:$AZ$400,설정!$B$8,0),0),"")=""),"",IFERROR(VALUE(SUBSTITUTE(INDEX(급여대장_원본!$A$1:$AZ$400,(설정!$B$8+198),IFERROR(MATCH(설정!$C$22,INDEX(급여대장_원본!$A$1:$AZ$400,설정!$B$8,0),0),""))&amp;"",",","")),""))</f>
        <v/>
      </c>
      <c r="T204" s="2">
        <f>IF(OR(설정!$C$23="",IFERROR(MATCH(설정!$C$23,INDEX(급여대장_원본!$A$1:$AZ$400,설정!$B$8,0),0),"")=""),"",IFERROR(VALUE(SUBSTITUTE(INDEX(급여대장_원본!$A$1:$AZ$400,(설정!$B$8+198),IFERROR(MATCH(설정!$C$23,INDEX(급여대장_원본!$A$1:$AZ$400,설정!$B$8,0),0),""))&amp;"",",","")),""))</f>
        <v/>
      </c>
      <c r="U204" s="2">
        <f>IF(OR(설정!$C$24="",IFERROR(MATCH(설정!$C$24,INDEX(급여대장_원본!$A$1:$AZ$400,설정!$B$8,0),0),"")=""),"",IFERROR(VALUE(SUBSTITUTE(INDEX(급여대장_원본!$A$1:$AZ$400,(설정!$B$8+198),IFERROR(MATCH(설정!$C$24,INDEX(급여대장_원본!$A$1:$AZ$400,설정!$B$8,0),0),""))&amp;"",",","")),""))</f>
        <v/>
      </c>
      <c r="V204" s="27">
        <f>SUM(F204:M204)</f>
        <v/>
      </c>
      <c r="W204" s="27">
        <f>IF(설정!$D$26="",0,IFERROR(VALUE(SUBSTITUTE(SUBSTITUTE(INDEX(급여대장_원본!$A$1:$AZ$400,(설정!$B$8+198),설정!$D$26)&amp;"",",",""),"　","")),0))</f>
        <v/>
      </c>
      <c r="X204" s="27">
        <f>IF(설정!$D$27="",0,IFERROR(VALUE(SUBSTITUTE(SUBSTITUTE(INDEX(급여대장_원본!$A$1:$AZ$400,(설정!$B$8+198),설정!$D$27)&amp;"",",",""),"　","")),0))</f>
        <v/>
      </c>
      <c r="Y204" s="27">
        <f>IF(설정!$D$28="",0,IFERROR(VALUE(SUBSTITUTE(SUBSTITUTE(INDEX(급여대장_원본!$A$1:$AZ$400,(설정!$B$8+198),설정!$D$28)&amp;"",",",""),"　","")),0))</f>
        <v/>
      </c>
      <c r="Z204" s="27">
        <f>IF(설정!$D$29="",0,IFERROR(VALUE(SUBSTITUTE(SUBSTITUTE(INDEX(급여대장_원본!$A$1:$AZ$400,(설정!$B$8+198),설정!$D$29)&amp;"",",",""),"　","")),0))</f>
        <v/>
      </c>
      <c r="AA204" s="27">
        <f>IF(설정!$D$30="",0,IFERROR(VALUE(SUBSTITUTE(SUBSTITUTE(INDEX(급여대장_원본!$A$1:$AZ$400,(설정!$B$8+198),설정!$D$30)&amp;"",",",""),"　","")),0))</f>
        <v/>
      </c>
      <c r="AB204" s="27">
        <f>IF(설정!$D$31="",0,IFERROR(VALUE(SUBSTITUTE(SUBSTITUTE(INDEX(급여대장_원본!$A$1:$AZ$400,(설정!$B$8+198),설정!$D$31)&amp;"",",",""),"　","")),0))</f>
        <v/>
      </c>
      <c r="AC204" s="27">
        <f>IF(설정!$D$32="",0,IFERROR(VALUE(SUBSTITUTE(SUBSTITUTE(INDEX(급여대장_원본!$A$1:$AZ$400,(설정!$B$8+198),설정!$D$32)&amp;"",",",""),"　","")),0))</f>
        <v/>
      </c>
      <c r="AD204" s="27">
        <f>IF(설정!$D$33="",0,IFERROR(VALUE(SUBSTITUTE(SUBSTITUTE(INDEX(급여대장_원본!$A$1:$AZ$400,(설정!$B$8+198),설정!$D$33)&amp;"",",",""),"　","")),0))</f>
        <v/>
      </c>
      <c r="AE204" s="27">
        <f>SUM(W204:AD204)</f>
        <v/>
      </c>
      <c r="AF204" s="27">
        <f>V204-AE204</f>
        <v/>
      </c>
      <c r="AG204" s="27">
        <f>IF(설정!$D$35="","",IF(설정!$D$35="",0,IFERROR(VALUE(SUBSTITUTE(SUBSTITUTE(INDEX(급여대장_원본!$A$1:$AZ$400,(설정!$B$8+198),설정!$D$35)&amp;"",",",""),"　","")),0)))</f>
        <v/>
      </c>
      <c r="AH204" s="27">
        <f>IF(설정!$D$36="","",IF(설정!$D$36="",0,IFERROR(VALUE(SUBSTITUTE(SUBSTITUTE(INDEX(급여대장_원본!$A$1:$AZ$400,(설정!$B$8+198),설정!$D$36)&amp;"",",",""),"　","")),0)))</f>
        <v/>
      </c>
      <c r="AI204" s="27">
        <f>IF(설정!$D$37="","",IF(설정!$D$37="",0,IFERROR(VALUE(SUBSTITUTE(SUBSTITUTE(INDEX(급여대장_원본!$A$1:$AZ$400,(설정!$B$8+198),설정!$D$37)&amp;"",",",""),"　","")),0)))</f>
        <v/>
      </c>
      <c r="AJ204" s="2">
        <f>IFERROR(INDEX($D$7:$D$306,MATCH(198,$B$7:$B$306,0)),"")</f>
        <v/>
      </c>
    </row>
    <row r="205">
      <c r="A205" s="2">
        <f>IF(AND(D205&lt;&gt;"",D205&lt;&gt;"합계",D205&lt;&gt;"총계",D205&lt;&gt;"소계",D205&lt;&gt;"계"),1,0)</f>
        <v/>
      </c>
      <c r="B205" s="2">
        <f>IF(A205=1,SUM($A$7:A205),"")</f>
        <v/>
      </c>
      <c r="C205" s="2">
        <f>IF(설정!$D$13="","",TRIM(SUBSTITUTE(INDEX(급여대장_원본!$A$1:$AZ$400,(설정!$B$8+199),설정!$D$13)&amp;"","　"," ")))</f>
        <v/>
      </c>
      <c r="D205" s="2">
        <f>IF(설정!$D$14="","",TRIM(SUBSTITUTE(INDEX(급여대장_원본!$A$1:$AZ$400,(설정!$B$8+199),설정!$D$14)&amp;"","　"," ")))</f>
        <v/>
      </c>
      <c r="E205" s="2">
        <f>IF(설정!$D$15="","",TRIM(SUBSTITUTE(INDEX(급여대장_원본!$A$1:$AZ$400,(설정!$B$8+199),설정!$D$15)&amp;"","　"," ")))</f>
        <v/>
      </c>
      <c r="F205" s="27">
        <f>IF(설정!$D$17="",0,IFERROR(VALUE(SUBSTITUTE(SUBSTITUTE(INDEX(급여대장_원본!$A$1:$AZ$400,(설정!$B$8+199),설정!$D$17)&amp;"",",",""),"　","")),0))</f>
        <v/>
      </c>
      <c r="G205" s="27">
        <f>IF(설정!$D$18="",0,IFERROR(VALUE(SUBSTITUTE(SUBSTITUTE(INDEX(급여대장_원본!$A$1:$AZ$400,(설정!$B$8+199),설정!$D$18)&amp;"",",",""),"　","")),0))</f>
        <v/>
      </c>
      <c r="H205" s="27">
        <f>IF(설정!$D$19="",0,IFERROR(VALUE(SUBSTITUTE(SUBSTITUTE(INDEX(급여대장_원본!$A$1:$AZ$400,(설정!$B$8+199),설정!$D$19)&amp;"",",",""),"　","")),0))</f>
        <v/>
      </c>
      <c r="I205" s="27">
        <f>IF(설정!$D$20="",0,IFERROR(VALUE(SUBSTITUTE(SUBSTITUTE(INDEX(급여대장_원본!$A$1:$AZ$400,(설정!$B$8+199),설정!$D$20)&amp;"",",",""),"　","")),0))</f>
        <v/>
      </c>
      <c r="J205" s="27">
        <f>IF(설정!$D$21="",0,IFERROR(VALUE(SUBSTITUTE(SUBSTITUTE(INDEX(급여대장_원본!$A$1:$AZ$400,(설정!$B$8+199),설정!$D$21)&amp;"",",",""),"　","")),0))</f>
        <v/>
      </c>
      <c r="K205" s="27">
        <f>IF(설정!$D$22="",0,IFERROR(VALUE(SUBSTITUTE(SUBSTITUTE(INDEX(급여대장_원본!$A$1:$AZ$400,(설정!$B$8+199),설정!$D$22)&amp;"",",",""),"　","")),0))</f>
        <v/>
      </c>
      <c r="L205" s="27">
        <f>IF(설정!$D$23="",0,IFERROR(VALUE(SUBSTITUTE(SUBSTITUTE(INDEX(급여대장_원본!$A$1:$AZ$400,(설정!$B$8+199),설정!$D$23)&amp;"",",",""),"　","")),0))</f>
        <v/>
      </c>
      <c r="M205" s="27">
        <f>IF(설정!$D$24="",0,IFERROR(VALUE(SUBSTITUTE(SUBSTITUTE(INDEX(급여대장_원본!$A$1:$AZ$400,(설정!$B$8+199),설정!$D$24)&amp;"",",",""),"　","")),0))</f>
        <v/>
      </c>
      <c r="N205" s="2">
        <f>IF(OR(설정!$C$17="",IFERROR(MATCH(설정!$C$17,INDEX(급여대장_원본!$A$1:$AZ$400,설정!$B$8,0),0),"")=""),"",IFERROR(VALUE(SUBSTITUTE(INDEX(급여대장_원본!$A$1:$AZ$400,(설정!$B$8+199),IFERROR(MATCH(설정!$C$17,INDEX(급여대장_원본!$A$1:$AZ$400,설정!$B$8,0),0),""))&amp;"",",","")),""))</f>
        <v/>
      </c>
      <c r="O205" s="2">
        <f>IF(OR(설정!$C$18="",IFERROR(MATCH(설정!$C$18,INDEX(급여대장_원본!$A$1:$AZ$400,설정!$B$8,0),0),"")=""),"",IFERROR(VALUE(SUBSTITUTE(INDEX(급여대장_원본!$A$1:$AZ$400,(설정!$B$8+199),IFERROR(MATCH(설정!$C$18,INDEX(급여대장_원본!$A$1:$AZ$400,설정!$B$8,0),0),""))&amp;"",",","")),""))</f>
        <v/>
      </c>
      <c r="P205" s="2">
        <f>IF(OR(설정!$C$19="",IFERROR(MATCH(설정!$C$19,INDEX(급여대장_원본!$A$1:$AZ$400,설정!$B$8,0),0),"")=""),"",IFERROR(VALUE(SUBSTITUTE(INDEX(급여대장_원본!$A$1:$AZ$400,(설정!$B$8+199),IFERROR(MATCH(설정!$C$19,INDEX(급여대장_원본!$A$1:$AZ$400,설정!$B$8,0),0),""))&amp;"",",","")),""))</f>
        <v/>
      </c>
      <c r="Q205" s="2">
        <f>IF(OR(설정!$C$20="",IFERROR(MATCH(설정!$C$20,INDEX(급여대장_원본!$A$1:$AZ$400,설정!$B$8,0),0),"")=""),"",IFERROR(VALUE(SUBSTITUTE(INDEX(급여대장_원본!$A$1:$AZ$400,(설정!$B$8+199),IFERROR(MATCH(설정!$C$20,INDEX(급여대장_원본!$A$1:$AZ$400,설정!$B$8,0),0),""))&amp;"",",","")),""))</f>
        <v/>
      </c>
      <c r="R205" s="2">
        <f>IF(OR(설정!$C$21="",IFERROR(MATCH(설정!$C$21,INDEX(급여대장_원본!$A$1:$AZ$400,설정!$B$8,0),0),"")=""),"",IFERROR(VALUE(SUBSTITUTE(INDEX(급여대장_원본!$A$1:$AZ$400,(설정!$B$8+199),IFERROR(MATCH(설정!$C$21,INDEX(급여대장_원본!$A$1:$AZ$400,설정!$B$8,0),0),""))&amp;"",",","")),""))</f>
        <v/>
      </c>
      <c r="S205" s="2">
        <f>IF(OR(설정!$C$22="",IFERROR(MATCH(설정!$C$22,INDEX(급여대장_원본!$A$1:$AZ$400,설정!$B$8,0),0),"")=""),"",IFERROR(VALUE(SUBSTITUTE(INDEX(급여대장_원본!$A$1:$AZ$400,(설정!$B$8+199),IFERROR(MATCH(설정!$C$22,INDEX(급여대장_원본!$A$1:$AZ$400,설정!$B$8,0),0),""))&amp;"",",","")),""))</f>
        <v/>
      </c>
      <c r="T205" s="2">
        <f>IF(OR(설정!$C$23="",IFERROR(MATCH(설정!$C$23,INDEX(급여대장_원본!$A$1:$AZ$400,설정!$B$8,0),0),"")=""),"",IFERROR(VALUE(SUBSTITUTE(INDEX(급여대장_원본!$A$1:$AZ$400,(설정!$B$8+199),IFERROR(MATCH(설정!$C$23,INDEX(급여대장_원본!$A$1:$AZ$400,설정!$B$8,0),0),""))&amp;"",",","")),""))</f>
        <v/>
      </c>
      <c r="U205" s="2">
        <f>IF(OR(설정!$C$24="",IFERROR(MATCH(설정!$C$24,INDEX(급여대장_원본!$A$1:$AZ$400,설정!$B$8,0),0),"")=""),"",IFERROR(VALUE(SUBSTITUTE(INDEX(급여대장_원본!$A$1:$AZ$400,(설정!$B$8+199),IFERROR(MATCH(설정!$C$24,INDEX(급여대장_원본!$A$1:$AZ$400,설정!$B$8,0),0),""))&amp;"",",","")),""))</f>
        <v/>
      </c>
      <c r="V205" s="27">
        <f>SUM(F205:M205)</f>
        <v/>
      </c>
      <c r="W205" s="27">
        <f>IF(설정!$D$26="",0,IFERROR(VALUE(SUBSTITUTE(SUBSTITUTE(INDEX(급여대장_원본!$A$1:$AZ$400,(설정!$B$8+199),설정!$D$26)&amp;"",",",""),"　","")),0))</f>
        <v/>
      </c>
      <c r="X205" s="27">
        <f>IF(설정!$D$27="",0,IFERROR(VALUE(SUBSTITUTE(SUBSTITUTE(INDEX(급여대장_원본!$A$1:$AZ$400,(설정!$B$8+199),설정!$D$27)&amp;"",",",""),"　","")),0))</f>
        <v/>
      </c>
      <c r="Y205" s="27">
        <f>IF(설정!$D$28="",0,IFERROR(VALUE(SUBSTITUTE(SUBSTITUTE(INDEX(급여대장_원본!$A$1:$AZ$400,(설정!$B$8+199),설정!$D$28)&amp;"",",",""),"　","")),0))</f>
        <v/>
      </c>
      <c r="Z205" s="27">
        <f>IF(설정!$D$29="",0,IFERROR(VALUE(SUBSTITUTE(SUBSTITUTE(INDEX(급여대장_원본!$A$1:$AZ$400,(설정!$B$8+199),설정!$D$29)&amp;"",",",""),"　","")),0))</f>
        <v/>
      </c>
      <c r="AA205" s="27">
        <f>IF(설정!$D$30="",0,IFERROR(VALUE(SUBSTITUTE(SUBSTITUTE(INDEX(급여대장_원본!$A$1:$AZ$400,(설정!$B$8+199),설정!$D$30)&amp;"",",",""),"　","")),0))</f>
        <v/>
      </c>
      <c r="AB205" s="27">
        <f>IF(설정!$D$31="",0,IFERROR(VALUE(SUBSTITUTE(SUBSTITUTE(INDEX(급여대장_원본!$A$1:$AZ$400,(설정!$B$8+199),설정!$D$31)&amp;"",",",""),"　","")),0))</f>
        <v/>
      </c>
      <c r="AC205" s="27">
        <f>IF(설정!$D$32="",0,IFERROR(VALUE(SUBSTITUTE(SUBSTITUTE(INDEX(급여대장_원본!$A$1:$AZ$400,(설정!$B$8+199),설정!$D$32)&amp;"",",",""),"　","")),0))</f>
        <v/>
      </c>
      <c r="AD205" s="27">
        <f>IF(설정!$D$33="",0,IFERROR(VALUE(SUBSTITUTE(SUBSTITUTE(INDEX(급여대장_원본!$A$1:$AZ$400,(설정!$B$8+199),설정!$D$33)&amp;"",",",""),"　","")),0))</f>
        <v/>
      </c>
      <c r="AE205" s="27">
        <f>SUM(W205:AD205)</f>
        <v/>
      </c>
      <c r="AF205" s="27">
        <f>V205-AE205</f>
        <v/>
      </c>
      <c r="AG205" s="27">
        <f>IF(설정!$D$35="","",IF(설정!$D$35="",0,IFERROR(VALUE(SUBSTITUTE(SUBSTITUTE(INDEX(급여대장_원본!$A$1:$AZ$400,(설정!$B$8+199),설정!$D$35)&amp;"",",",""),"　","")),0)))</f>
        <v/>
      </c>
      <c r="AH205" s="27">
        <f>IF(설정!$D$36="","",IF(설정!$D$36="",0,IFERROR(VALUE(SUBSTITUTE(SUBSTITUTE(INDEX(급여대장_원본!$A$1:$AZ$400,(설정!$B$8+199),설정!$D$36)&amp;"",",",""),"　","")),0)))</f>
        <v/>
      </c>
      <c r="AI205" s="27">
        <f>IF(설정!$D$37="","",IF(설정!$D$37="",0,IFERROR(VALUE(SUBSTITUTE(SUBSTITUTE(INDEX(급여대장_원본!$A$1:$AZ$400,(설정!$B$8+199),설정!$D$37)&amp;"",",",""),"　","")),0)))</f>
        <v/>
      </c>
      <c r="AJ205" s="2">
        <f>IFERROR(INDEX($D$7:$D$306,MATCH(199,$B$7:$B$306,0)),"")</f>
        <v/>
      </c>
    </row>
    <row r="206">
      <c r="A206" s="2">
        <f>IF(AND(D206&lt;&gt;"",D206&lt;&gt;"합계",D206&lt;&gt;"총계",D206&lt;&gt;"소계",D206&lt;&gt;"계"),1,0)</f>
        <v/>
      </c>
      <c r="B206" s="2">
        <f>IF(A206=1,SUM($A$7:A206),"")</f>
        <v/>
      </c>
      <c r="C206" s="2">
        <f>IF(설정!$D$13="","",TRIM(SUBSTITUTE(INDEX(급여대장_원본!$A$1:$AZ$400,(설정!$B$8+200),설정!$D$13)&amp;"","　"," ")))</f>
        <v/>
      </c>
      <c r="D206" s="2">
        <f>IF(설정!$D$14="","",TRIM(SUBSTITUTE(INDEX(급여대장_원본!$A$1:$AZ$400,(설정!$B$8+200),설정!$D$14)&amp;"","　"," ")))</f>
        <v/>
      </c>
      <c r="E206" s="2">
        <f>IF(설정!$D$15="","",TRIM(SUBSTITUTE(INDEX(급여대장_원본!$A$1:$AZ$400,(설정!$B$8+200),설정!$D$15)&amp;"","　"," ")))</f>
        <v/>
      </c>
      <c r="F206" s="27">
        <f>IF(설정!$D$17="",0,IFERROR(VALUE(SUBSTITUTE(SUBSTITUTE(INDEX(급여대장_원본!$A$1:$AZ$400,(설정!$B$8+200),설정!$D$17)&amp;"",",",""),"　","")),0))</f>
        <v/>
      </c>
      <c r="G206" s="27">
        <f>IF(설정!$D$18="",0,IFERROR(VALUE(SUBSTITUTE(SUBSTITUTE(INDEX(급여대장_원본!$A$1:$AZ$400,(설정!$B$8+200),설정!$D$18)&amp;"",",",""),"　","")),0))</f>
        <v/>
      </c>
      <c r="H206" s="27">
        <f>IF(설정!$D$19="",0,IFERROR(VALUE(SUBSTITUTE(SUBSTITUTE(INDEX(급여대장_원본!$A$1:$AZ$400,(설정!$B$8+200),설정!$D$19)&amp;"",",",""),"　","")),0))</f>
        <v/>
      </c>
      <c r="I206" s="27">
        <f>IF(설정!$D$20="",0,IFERROR(VALUE(SUBSTITUTE(SUBSTITUTE(INDEX(급여대장_원본!$A$1:$AZ$400,(설정!$B$8+200),설정!$D$20)&amp;"",",",""),"　","")),0))</f>
        <v/>
      </c>
      <c r="J206" s="27">
        <f>IF(설정!$D$21="",0,IFERROR(VALUE(SUBSTITUTE(SUBSTITUTE(INDEX(급여대장_원본!$A$1:$AZ$400,(설정!$B$8+200),설정!$D$21)&amp;"",",",""),"　","")),0))</f>
        <v/>
      </c>
      <c r="K206" s="27">
        <f>IF(설정!$D$22="",0,IFERROR(VALUE(SUBSTITUTE(SUBSTITUTE(INDEX(급여대장_원본!$A$1:$AZ$400,(설정!$B$8+200),설정!$D$22)&amp;"",",",""),"　","")),0))</f>
        <v/>
      </c>
      <c r="L206" s="27">
        <f>IF(설정!$D$23="",0,IFERROR(VALUE(SUBSTITUTE(SUBSTITUTE(INDEX(급여대장_원본!$A$1:$AZ$400,(설정!$B$8+200),설정!$D$23)&amp;"",",",""),"　","")),0))</f>
        <v/>
      </c>
      <c r="M206" s="27">
        <f>IF(설정!$D$24="",0,IFERROR(VALUE(SUBSTITUTE(SUBSTITUTE(INDEX(급여대장_원본!$A$1:$AZ$400,(설정!$B$8+200),설정!$D$24)&amp;"",",",""),"　","")),0))</f>
        <v/>
      </c>
      <c r="N206" s="2">
        <f>IF(OR(설정!$C$17="",IFERROR(MATCH(설정!$C$17,INDEX(급여대장_원본!$A$1:$AZ$400,설정!$B$8,0),0),"")=""),"",IFERROR(VALUE(SUBSTITUTE(INDEX(급여대장_원본!$A$1:$AZ$400,(설정!$B$8+200),IFERROR(MATCH(설정!$C$17,INDEX(급여대장_원본!$A$1:$AZ$400,설정!$B$8,0),0),""))&amp;"",",","")),""))</f>
        <v/>
      </c>
      <c r="O206" s="2">
        <f>IF(OR(설정!$C$18="",IFERROR(MATCH(설정!$C$18,INDEX(급여대장_원본!$A$1:$AZ$400,설정!$B$8,0),0),"")=""),"",IFERROR(VALUE(SUBSTITUTE(INDEX(급여대장_원본!$A$1:$AZ$400,(설정!$B$8+200),IFERROR(MATCH(설정!$C$18,INDEX(급여대장_원본!$A$1:$AZ$400,설정!$B$8,0),0),""))&amp;"",",","")),""))</f>
        <v/>
      </c>
      <c r="P206" s="2">
        <f>IF(OR(설정!$C$19="",IFERROR(MATCH(설정!$C$19,INDEX(급여대장_원본!$A$1:$AZ$400,설정!$B$8,0),0),"")=""),"",IFERROR(VALUE(SUBSTITUTE(INDEX(급여대장_원본!$A$1:$AZ$400,(설정!$B$8+200),IFERROR(MATCH(설정!$C$19,INDEX(급여대장_원본!$A$1:$AZ$400,설정!$B$8,0),0),""))&amp;"",",","")),""))</f>
        <v/>
      </c>
      <c r="Q206" s="2">
        <f>IF(OR(설정!$C$20="",IFERROR(MATCH(설정!$C$20,INDEX(급여대장_원본!$A$1:$AZ$400,설정!$B$8,0),0),"")=""),"",IFERROR(VALUE(SUBSTITUTE(INDEX(급여대장_원본!$A$1:$AZ$400,(설정!$B$8+200),IFERROR(MATCH(설정!$C$20,INDEX(급여대장_원본!$A$1:$AZ$400,설정!$B$8,0),0),""))&amp;"",",","")),""))</f>
        <v/>
      </c>
      <c r="R206" s="2">
        <f>IF(OR(설정!$C$21="",IFERROR(MATCH(설정!$C$21,INDEX(급여대장_원본!$A$1:$AZ$400,설정!$B$8,0),0),"")=""),"",IFERROR(VALUE(SUBSTITUTE(INDEX(급여대장_원본!$A$1:$AZ$400,(설정!$B$8+200),IFERROR(MATCH(설정!$C$21,INDEX(급여대장_원본!$A$1:$AZ$400,설정!$B$8,0),0),""))&amp;"",",","")),""))</f>
        <v/>
      </c>
      <c r="S206" s="2">
        <f>IF(OR(설정!$C$22="",IFERROR(MATCH(설정!$C$22,INDEX(급여대장_원본!$A$1:$AZ$400,설정!$B$8,0),0),"")=""),"",IFERROR(VALUE(SUBSTITUTE(INDEX(급여대장_원본!$A$1:$AZ$400,(설정!$B$8+200),IFERROR(MATCH(설정!$C$22,INDEX(급여대장_원본!$A$1:$AZ$400,설정!$B$8,0),0),""))&amp;"",",","")),""))</f>
        <v/>
      </c>
      <c r="T206" s="2">
        <f>IF(OR(설정!$C$23="",IFERROR(MATCH(설정!$C$23,INDEX(급여대장_원본!$A$1:$AZ$400,설정!$B$8,0),0),"")=""),"",IFERROR(VALUE(SUBSTITUTE(INDEX(급여대장_원본!$A$1:$AZ$400,(설정!$B$8+200),IFERROR(MATCH(설정!$C$23,INDEX(급여대장_원본!$A$1:$AZ$400,설정!$B$8,0),0),""))&amp;"",",","")),""))</f>
        <v/>
      </c>
      <c r="U206" s="2">
        <f>IF(OR(설정!$C$24="",IFERROR(MATCH(설정!$C$24,INDEX(급여대장_원본!$A$1:$AZ$400,설정!$B$8,0),0),"")=""),"",IFERROR(VALUE(SUBSTITUTE(INDEX(급여대장_원본!$A$1:$AZ$400,(설정!$B$8+200),IFERROR(MATCH(설정!$C$24,INDEX(급여대장_원본!$A$1:$AZ$400,설정!$B$8,0),0),""))&amp;"",",","")),""))</f>
        <v/>
      </c>
      <c r="V206" s="27">
        <f>SUM(F206:M206)</f>
        <v/>
      </c>
      <c r="W206" s="27">
        <f>IF(설정!$D$26="",0,IFERROR(VALUE(SUBSTITUTE(SUBSTITUTE(INDEX(급여대장_원본!$A$1:$AZ$400,(설정!$B$8+200),설정!$D$26)&amp;"",",",""),"　","")),0))</f>
        <v/>
      </c>
      <c r="X206" s="27">
        <f>IF(설정!$D$27="",0,IFERROR(VALUE(SUBSTITUTE(SUBSTITUTE(INDEX(급여대장_원본!$A$1:$AZ$400,(설정!$B$8+200),설정!$D$27)&amp;"",",",""),"　","")),0))</f>
        <v/>
      </c>
      <c r="Y206" s="27">
        <f>IF(설정!$D$28="",0,IFERROR(VALUE(SUBSTITUTE(SUBSTITUTE(INDEX(급여대장_원본!$A$1:$AZ$400,(설정!$B$8+200),설정!$D$28)&amp;"",",",""),"　","")),0))</f>
        <v/>
      </c>
      <c r="Z206" s="27">
        <f>IF(설정!$D$29="",0,IFERROR(VALUE(SUBSTITUTE(SUBSTITUTE(INDEX(급여대장_원본!$A$1:$AZ$400,(설정!$B$8+200),설정!$D$29)&amp;"",",",""),"　","")),0))</f>
        <v/>
      </c>
      <c r="AA206" s="27">
        <f>IF(설정!$D$30="",0,IFERROR(VALUE(SUBSTITUTE(SUBSTITUTE(INDEX(급여대장_원본!$A$1:$AZ$400,(설정!$B$8+200),설정!$D$30)&amp;"",",",""),"　","")),0))</f>
        <v/>
      </c>
      <c r="AB206" s="27">
        <f>IF(설정!$D$31="",0,IFERROR(VALUE(SUBSTITUTE(SUBSTITUTE(INDEX(급여대장_원본!$A$1:$AZ$400,(설정!$B$8+200),설정!$D$31)&amp;"",",",""),"　","")),0))</f>
        <v/>
      </c>
      <c r="AC206" s="27">
        <f>IF(설정!$D$32="",0,IFERROR(VALUE(SUBSTITUTE(SUBSTITUTE(INDEX(급여대장_원본!$A$1:$AZ$400,(설정!$B$8+200),설정!$D$32)&amp;"",",",""),"　","")),0))</f>
        <v/>
      </c>
      <c r="AD206" s="27">
        <f>IF(설정!$D$33="",0,IFERROR(VALUE(SUBSTITUTE(SUBSTITUTE(INDEX(급여대장_원본!$A$1:$AZ$400,(설정!$B$8+200),설정!$D$33)&amp;"",",",""),"　","")),0))</f>
        <v/>
      </c>
      <c r="AE206" s="27">
        <f>SUM(W206:AD206)</f>
        <v/>
      </c>
      <c r="AF206" s="27">
        <f>V206-AE206</f>
        <v/>
      </c>
      <c r="AG206" s="27">
        <f>IF(설정!$D$35="","",IF(설정!$D$35="",0,IFERROR(VALUE(SUBSTITUTE(SUBSTITUTE(INDEX(급여대장_원본!$A$1:$AZ$400,(설정!$B$8+200),설정!$D$35)&amp;"",",",""),"　","")),0)))</f>
        <v/>
      </c>
      <c r="AH206" s="27">
        <f>IF(설정!$D$36="","",IF(설정!$D$36="",0,IFERROR(VALUE(SUBSTITUTE(SUBSTITUTE(INDEX(급여대장_원본!$A$1:$AZ$400,(설정!$B$8+200),설정!$D$36)&amp;"",",",""),"　","")),0)))</f>
        <v/>
      </c>
      <c r="AI206" s="27">
        <f>IF(설정!$D$37="","",IF(설정!$D$37="",0,IFERROR(VALUE(SUBSTITUTE(SUBSTITUTE(INDEX(급여대장_원본!$A$1:$AZ$400,(설정!$B$8+200),설정!$D$37)&amp;"",",",""),"　","")),0)))</f>
        <v/>
      </c>
      <c r="AJ206" s="2">
        <f>IFERROR(INDEX($D$7:$D$306,MATCH(200,$B$7:$B$306,0)),"")</f>
        <v/>
      </c>
    </row>
    <row r="207">
      <c r="A207" s="2">
        <f>IF(AND(D207&lt;&gt;"",D207&lt;&gt;"합계",D207&lt;&gt;"총계",D207&lt;&gt;"소계",D207&lt;&gt;"계"),1,0)</f>
        <v/>
      </c>
      <c r="B207" s="2">
        <f>IF(A207=1,SUM($A$7:A207),"")</f>
        <v/>
      </c>
      <c r="C207" s="2">
        <f>IF(설정!$D$13="","",TRIM(SUBSTITUTE(INDEX(급여대장_원본!$A$1:$AZ$400,(설정!$B$8+201),설정!$D$13)&amp;"","　"," ")))</f>
        <v/>
      </c>
      <c r="D207" s="2">
        <f>IF(설정!$D$14="","",TRIM(SUBSTITUTE(INDEX(급여대장_원본!$A$1:$AZ$400,(설정!$B$8+201),설정!$D$14)&amp;"","　"," ")))</f>
        <v/>
      </c>
      <c r="E207" s="2">
        <f>IF(설정!$D$15="","",TRIM(SUBSTITUTE(INDEX(급여대장_원본!$A$1:$AZ$400,(설정!$B$8+201),설정!$D$15)&amp;"","　"," ")))</f>
        <v/>
      </c>
      <c r="F207" s="27">
        <f>IF(설정!$D$17="",0,IFERROR(VALUE(SUBSTITUTE(SUBSTITUTE(INDEX(급여대장_원본!$A$1:$AZ$400,(설정!$B$8+201),설정!$D$17)&amp;"",",",""),"　","")),0))</f>
        <v/>
      </c>
      <c r="G207" s="27">
        <f>IF(설정!$D$18="",0,IFERROR(VALUE(SUBSTITUTE(SUBSTITUTE(INDEX(급여대장_원본!$A$1:$AZ$400,(설정!$B$8+201),설정!$D$18)&amp;"",",",""),"　","")),0))</f>
        <v/>
      </c>
      <c r="H207" s="27">
        <f>IF(설정!$D$19="",0,IFERROR(VALUE(SUBSTITUTE(SUBSTITUTE(INDEX(급여대장_원본!$A$1:$AZ$400,(설정!$B$8+201),설정!$D$19)&amp;"",",",""),"　","")),0))</f>
        <v/>
      </c>
      <c r="I207" s="27">
        <f>IF(설정!$D$20="",0,IFERROR(VALUE(SUBSTITUTE(SUBSTITUTE(INDEX(급여대장_원본!$A$1:$AZ$400,(설정!$B$8+201),설정!$D$20)&amp;"",",",""),"　","")),0))</f>
        <v/>
      </c>
      <c r="J207" s="27">
        <f>IF(설정!$D$21="",0,IFERROR(VALUE(SUBSTITUTE(SUBSTITUTE(INDEX(급여대장_원본!$A$1:$AZ$400,(설정!$B$8+201),설정!$D$21)&amp;"",",",""),"　","")),0))</f>
        <v/>
      </c>
      <c r="K207" s="27">
        <f>IF(설정!$D$22="",0,IFERROR(VALUE(SUBSTITUTE(SUBSTITUTE(INDEX(급여대장_원본!$A$1:$AZ$400,(설정!$B$8+201),설정!$D$22)&amp;"",",",""),"　","")),0))</f>
        <v/>
      </c>
      <c r="L207" s="27">
        <f>IF(설정!$D$23="",0,IFERROR(VALUE(SUBSTITUTE(SUBSTITUTE(INDEX(급여대장_원본!$A$1:$AZ$400,(설정!$B$8+201),설정!$D$23)&amp;"",",",""),"　","")),0))</f>
        <v/>
      </c>
      <c r="M207" s="27">
        <f>IF(설정!$D$24="",0,IFERROR(VALUE(SUBSTITUTE(SUBSTITUTE(INDEX(급여대장_원본!$A$1:$AZ$400,(설정!$B$8+201),설정!$D$24)&amp;"",",",""),"　","")),0))</f>
        <v/>
      </c>
      <c r="N207" s="2">
        <f>IF(OR(설정!$C$17="",IFERROR(MATCH(설정!$C$17,INDEX(급여대장_원본!$A$1:$AZ$400,설정!$B$8,0),0),"")=""),"",IFERROR(VALUE(SUBSTITUTE(INDEX(급여대장_원본!$A$1:$AZ$400,(설정!$B$8+201),IFERROR(MATCH(설정!$C$17,INDEX(급여대장_원본!$A$1:$AZ$400,설정!$B$8,0),0),""))&amp;"",",","")),""))</f>
        <v/>
      </c>
      <c r="O207" s="2">
        <f>IF(OR(설정!$C$18="",IFERROR(MATCH(설정!$C$18,INDEX(급여대장_원본!$A$1:$AZ$400,설정!$B$8,0),0),"")=""),"",IFERROR(VALUE(SUBSTITUTE(INDEX(급여대장_원본!$A$1:$AZ$400,(설정!$B$8+201),IFERROR(MATCH(설정!$C$18,INDEX(급여대장_원본!$A$1:$AZ$400,설정!$B$8,0),0),""))&amp;"",",","")),""))</f>
        <v/>
      </c>
      <c r="P207" s="2">
        <f>IF(OR(설정!$C$19="",IFERROR(MATCH(설정!$C$19,INDEX(급여대장_원본!$A$1:$AZ$400,설정!$B$8,0),0),"")=""),"",IFERROR(VALUE(SUBSTITUTE(INDEX(급여대장_원본!$A$1:$AZ$400,(설정!$B$8+201),IFERROR(MATCH(설정!$C$19,INDEX(급여대장_원본!$A$1:$AZ$400,설정!$B$8,0),0),""))&amp;"",",","")),""))</f>
        <v/>
      </c>
      <c r="Q207" s="2">
        <f>IF(OR(설정!$C$20="",IFERROR(MATCH(설정!$C$20,INDEX(급여대장_원본!$A$1:$AZ$400,설정!$B$8,0),0),"")=""),"",IFERROR(VALUE(SUBSTITUTE(INDEX(급여대장_원본!$A$1:$AZ$400,(설정!$B$8+201),IFERROR(MATCH(설정!$C$20,INDEX(급여대장_원본!$A$1:$AZ$400,설정!$B$8,0),0),""))&amp;"",",","")),""))</f>
        <v/>
      </c>
      <c r="R207" s="2">
        <f>IF(OR(설정!$C$21="",IFERROR(MATCH(설정!$C$21,INDEX(급여대장_원본!$A$1:$AZ$400,설정!$B$8,0),0),"")=""),"",IFERROR(VALUE(SUBSTITUTE(INDEX(급여대장_원본!$A$1:$AZ$400,(설정!$B$8+201),IFERROR(MATCH(설정!$C$21,INDEX(급여대장_원본!$A$1:$AZ$400,설정!$B$8,0),0),""))&amp;"",",","")),""))</f>
        <v/>
      </c>
      <c r="S207" s="2">
        <f>IF(OR(설정!$C$22="",IFERROR(MATCH(설정!$C$22,INDEX(급여대장_원본!$A$1:$AZ$400,설정!$B$8,0),0),"")=""),"",IFERROR(VALUE(SUBSTITUTE(INDEX(급여대장_원본!$A$1:$AZ$400,(설정!$B$8+201),IFERROR(MATCH(설정!$C$22,INDEX(급여대장_원본!$A$1:$AZ$400,설정!$B$8,0),0),""))&amp;"",",","")),""))</f>
        <v/>
      </c>
      <c r="T207" s="2">
        <f>IF(OR(설정!$C$23="",IFERROR(MATCH(설정!$C$23,INDEX(급여대장_원본!$A$1:$AZ$400,설정!$B$8,0),0),"")=""),"",IFERROR(VALUE(SUBSTITUTE(INDEX(급여대장_원본!$A$1:$AZ$400,(설정!$B$8+201),IFERROR(MATCH(설정!$C$23,INDEX(급여대장_원본!$A$1:$AZ$400,설정!$B$8,0),0),""))&amp;"",",","")),""))</f>
        <v/>
      </c>
      <c r="U207" s="2">
        <f>IF(OR(설정!$C$24="",IFERROR(MATCH(설정!$C$24,INDEX(급여대장_원본!$A$1:$AZ$400,설정!$B$8,0),0),"")=""),"",IFERROR(VALUE(SUBSTITUTE(INDEX(급여대장_원본!$A$1:$AZ$400,(설정!$B$8+201),IFERROR(MATCH(설정!$C$24,INDEX(급여대장_원본!$A$1:$AZ$400,설정!$B$8,0),0),""))&amp;"",",","")),""))</f>
        <v/>
      </c>
      <c r="V207" s="27">
        <f>SUM(F207:M207)</f>
        <v/>
      </c>
      <c r="W207" s="27">
        <f>IF(설정!$D$26="",0,IFERROR(VALUE(SUBSTITUTE(SUBSTITUTE(INDEX(급여대장_원본!$A$1:$AZ$400,(설정!$B$8+201),설정!$D$26)&amp;"",",",""),"　","")),0))</f>
        <v/>
      </c>
      <c r="X207" s="27">
        <f>IF(설정!$D$27="",0,IFERROR(VALUE(SUBSTITUTE(SUBSTITUTE(INDEX(급여대장_원본!$A$1:$AZ$400,(설정!$B$8+201),설정!$D$27)&amp;"",",",""),"　","")),0))</f>
        <v/>
      </c>
      <c r="Y207" s="27">
        <f>IF(설정!$D$28="",0,IFERROR(VALUE(SUBSTITUTE(SUBSTITUTE(INDEX(급여대장_원본!$A$1:$AZ$400,(설정!$B$8+201),설정!$D$28)&amp;"",",",""),"　","")),0))</f>
        <v/>
      </c>
      <c r="Z207" s="27">
        <f>IF(설정!$D$29="",0,IFERROR(VALUE(SUBSTITUTE(SUBSTITUTE(INDEX(급여대장_원본!$A$1:$AZ$400,(설정!$B$8+201),설정!$D$29)&amp;"",",",""),"　","")),0))</f>
        <v/>
      </c>
      <c r="AA207" s="27">
        <f>IF(설정!$D$30="",0,IFERROR(VALUE(SUBSTITUTE(SUBSTITUTE(INDEX(급여대장_원본!$A$1:$AZ$400,(설정!$B$8+201),설정!$D$30)&amp;"",",",""),"　","")),0))</f>
        <v/>
      </c>
      <c r="AB207" s="27">
        <f>IF(설정!$D$31="",0,IFERROR(VALUE(SUBSTITUTE(SUBSTITUTE(INDEX(급여대장_원본!$A$1:$AZ$400,(설정!$B$8+201),설정!$D$31)&amp;"",",",""),"　","")),0))</f>
        <v/>
      </c>
      <c r="AC207" s="27">
        <f>IF(설정!$D$32="",0,IFERROR(VALUE(SUBSTITUTE(SUBSTITUTE(INDEX(급여대장_원본!$A$1:$AZ$400,(설정!$B$8+201),설정!$D$32)&amp;"",",",""),"　","")),0))</f>
        <v/>
      </c>
      <c r="AD207" s="27">
        <f>IF(설정!$D$33="",0,IFERROR(VALUE(SUBSTITUTE(SUBSTITUTE(INDEX(급여대장_원본!$A$1:$AZ$400,(설정!$B$8+201),설정!$D$33)&amp;"",",",""),"　","")),0))</f>
        <v/>
      </c>
      <c r="AE207" s="27">
        <f>SUM(W207:AD207)</f>
        <v/>
      </c>
      <c r="AF207" s="27">
        <f>V207-AE207</f>
        <v/>
      </c>
      <c r="AG207" s="27">
        <f>IF(설정!$D$35="","",IF(설정!$D$35="",0,IFERROR(VALUE(SUBSTITUTE(SUBSTITUTE(INDEX(급여대장_원본!$A$1:$AZ$400,(설정!$B$8+201),설정!$D$35)&amp;"",",",""),"　","")),0)))</f>
        <v/>
      </c>
      <c r="AH207" s="27">
        <f>IF(설정!$D$36="","",IF(설정!$D$36="",0,IFERROR(VALUE(SUBSTITUTE(SUBSTITUTE(INDEX(급여대장_원본!$A$1:$AZ$400,(설정!$B$8+201),설정!$D$36)&amp;"",",",""),"　","")),0)))</f>
        <v/>
      </c>
      <c r="AI207" s="27">
        <f>IF(설정!$D$37="","",IF(설정!$D$37="",0,IFERROR(VALUE(SUBSTITUTE(SUBSTITUTE(INDEX(급여대장_원본!$A$1:$AZ$400,(설정!$B$8+201),설정!$D$37)&amp;"",",",""),"　","")),0)))</f>
        <v/>
      </c>
      <c r="AJ207" s="2">
        <f>IFERROR(INDEX($D$7:$D$306,MATCH(201,$B$7:$B$306,0)),"")</f>
        <v/>
      </c>
    </row>
    <row r="208">
      <c r="A208" s="2">
        <f>IF(AND(D208&lt;&gt;"",D208&lt;&gt;"합계",D208&lt;&gt;"총계",D208&lt;&gt;"소계",D208&lt;&gt;"계"),1,0)</f>
        <v/>
      </c>
      <c r="B208" s="2">
        <f>IF(A208=1,SUM($A$7:A208),"")</f>
        <v/>
      </c>
      <c r="C208" s="2">
        <f>IF(설정!$D$13="","",TRIM(SUBSTITUTE(INDEX(급여대장_원본!$A$1:$AZ$400,(설정!$B$8+202),설정!$D$13)&amp;"","　"," ")))</f>
        <v/>
      </c>
      <c r="D208" s="2">
        <f>IF(설정!$D$14="","",TRIM(SUBSTITUTE(INDEX(급여대장_원본!$A$1:$AZ$400,(설정!$B$8+202),설정!$D$14)&amp;"","　"," ")))</f>
        <v/>
      </c>
      <c r="E208" s="2">
        <f>IF(설정!$D$15="","",TRIM(SUBSTITUTE(INDEX(급여대장_원본!$A$1:$AZ$400,(설정!$B$8+202),설정!$D$15)&amp;"","　"," ")))</f>
        <v/>
      </c>
      <c r="F208" s="27">
        <f>IF(설정!$D$17="",0,IFERROR(VALUE(SUBSTITUTE(SUBSTITUTE(INDEX(급여대장_원본!$A$1:$AZ$400,(설정!$B$8+202),설정!$D$17)&amp;"",",",""),"　","")),0))</f>
        <v/>
      </c>
      <c r="G208" s="27">
        <f>IF(설정!$D$18="",0,IFERROR(VALUE(SUBSTITUTE(SUBSTITUTE(INDEX(급여대장_원본!$A$1:$AZ$400,(설정!$B$8+202),설정!$D$18)&amp;"",",",""),"　","")),0))</f>
        <v/>
      </c>
      <c r="H208" s="27">
        <f>IF(설정!$D$19="",0,IFERROR(VALUE(SUBSTITUTE(SUBSTITUTE(INDEX(급여대장_원본!$A$1:$AZ$400,(설정!$B$8+202),설정!$D$19)&amp;"",",",""),"　","")),0))</f>
        <v/>
      </c>
      <c r="I208" s="27">
        <f>IF(설정!$D$20="",0,IFERROR(VALUE(SUBSTITUTE(SUBSTITUTE(INDEX(급여대장_원본!$A$1:$AZ$400,(설정!$B$8+202),설정!$D$20)&amp;"",",",""),"　","")),0))</f>
        <v/>
      </c>
      <c r="J208" s="27">
        <f>IF(설정!$D$21="",0,IFERROR(VALUE(SUBSTITUTE(SUBSTITUTE(INDEX(급여대장_원본!$A$1:$AZ$400,(설정!$B$8+202),설정!$D$21)&amp;"",",",""),"　","")),0))</f>
        <v/>
      </c>
      <c r="K208" s="27">
        <f>IF(설정!$D$22="",0,IFERROR(VALUE(SUBSTITUTE(SUBSTITUTE(INDEX(급여대장_원본!$A$1:$AZ$400,(설정!$B$8+202),설정!$D$22)&amp;"",",",""),"　","")),0))</f>
        <v/>
      </c>
      <c r="L208" s="27">
        <f>IF(설정!$D$23="",0,IFERROR(VALUE(SUBSTITUTE(SUBSTITUTE(INDEX(급여대장_원본!$A$1:$AZ$400,(설정!$B$8+202),설정!$D$23)&amp;"",",",""),"　","")),0))</f>
        <v/>
      </c>
      <c r="M208" s="27">
        <f>IF(설정!$D$24="",0,IFERROR(VALUE(SUBSTITUTE(SUBSTITUTE(INDEX(급여대장_원본!$A$1:$AZ$400,(설정!$B$8+202),설정!$D$24)&amp;"",",",""),"　","")),0))</f>
        <v/>
      </c>
      <c r="N208" s="2">
        <f>IF(OR(설정!$C$17="",IFERROR(MATCH(설정!$C$17,INDEX(급여대장_원본!$A$1:$AZ$400,설정!$B$8,0),0),"")=""),"",IFERROR(VALUE(SUBSTITUTE(INDEX(급여대장_원본!$A$1:$AZ$400,(설정!$B$8+202),IFERROR(MATCH(설정!$C$17,INDEX(급여대장_원본!$A$1:$AZ$400,설정!$B$8,0),0),""))&amp;"",",","")),""))</f>
        <v/>
      </c>
      <c r="O208" s="2">
        <f>IF(OR(설정!$C$18="",IFERROR(MATCH(설정!$C$18,INDEX(급여대장_원본!$A$1:$AZ$400,설정!$B$8,0),0),"")=""),"",IFERROR(VALUE(SUBSTITUTE(INDEX(급여대장_원본!$A$1:$AZ$400,(설정!$B$8+202),IFERROR(MATCH(설정!$C$18,INDEX(급여대장_원본!$A$1:$AZ$400,설정!$B$8,0),0),""))&amp;"",",","")),""))</f>
        <v/>
      </c>
      <c r="P208" s="2">
        <f>IF(OR(설정!$C$19="",IFERROR(MATCH(설정!$C$19,INDEX(급여대장_원본!$A$1:$AZ$400,설정!$B$8,0),0),"")=""),"",IFERROR(VALUE(SUBSTITUTE(INDEX(급여대장_원본!$A$1:$AZ$400,(설정!$B$8+202),IFERROR(MATCH(설정!$C$19,INDEX(급여대장_원본!$A$1:$AZ$400,설정!$B$8,0),0),""))&amp;"",",","")),""))</f>
        <v/>
      </c>
      <c r="Q208" s="2">
        <f>IF(OR(설정!$C$20="",IFERROR(MATCH(설정!$C$20,INDEX(급여대장_원본!$A$1:$AZ$400,설정!$B$8,0),0),"")=""),"",IFERROR(VALUE(SUBSTITUTE(INDEX(급여대장_원본!$A$1:$AZ$400,(설정!$B$8+202),IFERROR(MATCH(설정!$C$20,INDEX(급여대장_원본!$A$1:$AZ$400,설정!$B$8,0),0),""))&amp;"",",","")),""))</f>
        <v/>
      </c>
      <c r="R208" s="2">
        <f>IF(OR(설정!$C$21="",IFERROR(MATCH(설정!$C$21,INDEX(급여대장_원본!$A$1:$AZ$400,설정!$B$8,0),0),"")=""),"",IFERROR(VALUE(SUBSTITUTE(INDEX(급여대장_원본!$A$1:$AZ$400,(설정!$B$8+202),IFERROR(MATCH(설정!$C$21,INDEX(급여대장_원본!$A$1:$AZ$400,설정!$B$8,0),0),""))&amp;"",",","")),""))</f>
        <v/>
      </c>
      <c r="S208" s="2">
        <f>IF(OR(설정!$C$22="",IFERROR(MATCH(설정!$C$22,INDEX(급여대장_원본!$A$1:$AZ$400,설정!$B$8,0),0),"")=""),"",IFERROR(VALUE(SUBSTITUTE(INDEX(급여대장_원본!$A$1:$AZ$400,(설정!$B$8+202),IFERROR(MATCH(설정!$C$22,INDEX(급여대장_원본!$A$1:$AZ$400,설정!$B$8,0),0),""))&amp;"",",","")),""))</f>
        <v/>
      </c>
      <c r="T208" s="2">
        <f>IF(OR(설정!$C$23="",IFERROR(MATCH(설정!$C$23,INDEX(급여대장_원본!$A$1:$AZ$400,설정!$B$8,0),0),"")=""),"",IFERROR(VALUE(SUBSTITUTE(INDEX(급여대장_원본!$A$1:$AZ$400,(설정!$B$8+202),IFERROR(MATCH(설정!$C$23,INDEX(급여대장_원본!$A$1:$AZ$400,설정!$B$8,0),0),""))&amp;"",",","")),""))</f>
        <v/>
      </c>
      <c r="U208" s="2">
        <f>IF(OR(설정!$C$24="",IFERROR(MATCH(설정!$C$24,INDEX(급여대장_원본!$A$1:$AZ$400,설정!$B$8,0),0),"")=""),"",IFERROR(VALUE(SUBSTITUTE(INDEX(급여대장_원본!$A$1:$AZ$400,(설정!$B$8+202),IFERROR(MATCH(설정!$C$24,INDEX(급여대장_원본!$A$1:$AZ$400,설정!$B$8,0),0),""))&amp;"",",","")),""))</f>
        <v/>
      </c>
      <c r="V208" s="27">
        <f>SUM(F208:M208)</f>
        <v/>
      </c>
      <c r="W208" s="27">
        <f>IF(설정!$D$26="",0,IFERROR(VALUE(SUBSTITUTE(SUBSTITUTE(INDEX(급여대장_원본!$A$1:$AZ$400,(설정!$B$8+202),설정!$D$26)&amp;"",",",""),"　","")),0))</f>
        <v/>
      </c>
      <c r="X208" s="27">
        <f>IF(설정!$D$27="",0,IFERROR(VALUE(SUBSTITUTE(SUBSTITUTE(INDEX(급여대장_원본!$A$1:$AZ$400,(설정!$B$8+202),설정!$D$27)&amp;"",",",""),"　","")),0))</f>
        <v/>
      </c>
      <c r="Y208" s="27">
        <f>IF(설정!$D$28="",0,IFERROR(VALUE(SUBSTITUTE(SUBSTITUTE(INDEX(급여대장_원본!$A$1:$AZ$400,(설정!$B$8+202),설정!$D$28)&amp;"",",",""),"　","")),0))</f>
        <v/>
      </c>
      <c r="Z208" s="27">
        <f>IF(설정!$D$29="",0,IFERROR(VALUE(SUBSTITUTE(SUBSTITUTE(INDEX(급여대장_원본!$A$1:$AZ$400,(설정!$B$8+202),설정!$D$29)&amp;"",",",""),"　","")),0))</f>
        <v/>
      </c>
      <c r="AA208" s="27">
        <f>IF(설정!$D$30="",0,IFERROR(VALUE(SUBSTITUTE(SUBSTITUTE(INDEX(급여대장_원본!$A$1:$AZ$400,(설정!$B$8+202),설정!$D$30)&amp;"",",",""),"　","")),0))</f>
        <v/>
      </c>
      <c r="AB208" s="27">
        <f>IF(설정!$D$31="",0,IFERROR(VALUE(SUBSTITUTE(SUBSTITUTE(INDEX(급여대장_원본!$A$1:$AZ$400,(설정!$B$8+202),설정!$D$31)&amp;"",",",""),"　","")),0))</f>
        <v/>
      </c>
      <c r="AC208" s="27">
        <f>IF(설정!$D$32="",0,IFERROR(VALUE(SUBSTITUTE(SUBSTITUTE(INDEX(급여대장_원본!$A$1:$AZ$400,(설정!$B$8+202),설정!$D$32)&amp;"",",",""),"　","")),0))</f>
        <v/>
      </c>
      <c r="AD208" s="27">
        <f>IF(설정!$D$33="",0,IFERROR(VALUE(SUBSTITUTE(SUBSTITUTE(INDEX(급여대장_원본!$A$1:$AZ$400,(설정!$B$8+202),설정!$D$33)&amp;"",",",""),"　","")),0))</f>
        <v/>
      </c>
      <c r="AE208" s="27">
        <f>SUM(W208:AD208)</f>
        <v/>
      </c>
      <c r="AF208" s="27">
        <f>V208-AE208</f>
        <v/>
      </c>
      <c r="AG208" s="27">
        <f>IF(설정!$D$35="","",IF(설정!$D$35="",0,IFERROR(VALUE(SUBSTITUTE(SUBSTITUTE(INDEX(급여대장_원본!$A$1:$AZ$400,(설정!$B$8+202),설정!$D$35)&amp;"",",",""),"　","")),0)))</f>
        <v/>
      </c>
      <c r="AH208" s="27">
        <f>IF(설정!$D$36="","",IF(설정!$D$36="",0,IFERROR(VALUE(SUBSTITUTE(SUBSTITUTE(INDEX(급여대장_원본!$A$1:$AZ$400,(설정!$B$8+202),설정!$D$36)&amp;"",",",""),"　","")),0)))</f>
        <v/>
      </c>
      <c r="AI208" s="27">
        <f>IF(설정!$D$37="","",IF(설정!$D$37="",0,IFERROR(VALUE(SUBSTITUTE(SUBSTITUTE(INDEX(급여대장_원본!$A$1:$AZ$400,(설정!$B$8+202),설정!$D$37)&amp;"",",",""),"　","")),0)))</f>
        <v/>
      </c>
      <c r="AJ208" s="2">
        <f>IFERROR(INDEX($D$7:$D$306,MATCH(202,$B$7:$B$306,0)),"")</f>
        <v/>
      </c>
    </row>
    <row r="209">
      <c r="A209" s="2">
        <f>IF(AND(D209&lt;&gt;"",D209&lt;&gt;"합계",D209&lt;&gt;"총계",D209&lt;&gt;"소계",D209&lt;&gt;"계"),1,0)</f>
        <v/>
      </c>
      <c r="B209" s="2">
        <f>IF(A209=1,SUM($A$7:A209),"")</f>
        <v/>
      </c>
      <c r="C209" s="2">
        <f>IF(설정!$D$13="","",TRIM(SUBSTITUTE(INDEX(급여대장_원본!$A$1:$AZ$400,(설정!$B$8+203),설정!$D$13)&amp;"","　"," ")))</f>
        <v/>
      </c>
      <c r="D209" s="2">
        <f>IF(설정!$D$14="","",TRIM(SUBSTITUTE(INDEX(급여대장_원본!$A$1:$AZ$400,(설정!$B$8+203),설정!$D$14)&amp;"","　"," ")))</f>
        <v/>
      </c>
      <c r="E209" s="2">
        <f>IF(설정!$D$15="","",TRIM(SUBSTITUTE(INDEX(급여대장_원본!$A$1:$AZ$400,(설정!$B$8+203),설정!$D$15)&amp;"","　"," ")))</f>
        <v/>
      </c>
      <c r="F209" s="27">
        <f>IF(설정!$D$17="",0,IFERROR(VALUE(SUBSTITUTE(SUBSTITUTE(INDEX(급여대장_원본!$A$1:$AZ$400,(설정!$B$8+203),설정!$D$17)&amp;"",",",""),"　","")),0))</f>
        <v/>
      </c>
      <c r="G209" s="27">
        <f>IF(설정!$D$18="",0,IFERROR(VALUE(SUBSTITUTE(SUBSTITUTE(INDEX(급여대장_원본!$A$1:$AZ$400,(설정!$B$8+203),설정!$D$18)&amp;"",",",""),"　","")),0))</f>
        <v/>
      </c>
      <c r="H209" s="27">
        <f>IF(설정!$D$19="",0,IFERROR(VALUE(SUBSTITUTE(SUBSTITUTE(INDEX(급여대장_원본!$A$1:$AZ$400,(설정!$B$8+203),설정!$D$19)&amp;"",",",""),"　","")),0))</f>
        <v/>
      </c>
      <c r="I209" s="27">
        <f>IF(설정!$D$20="",0,IFERROR(VALUE(SUBSTITUTE(SUBSTITUTE(INDEX(급여대장_원본!$A$1:$AZ$400,(설정!$B$8+203),설정!$D$20)&amp;"",",",""),"　","")),0))</f>
        <v/>
      </c>
      <c r="J209" s="27">
        <f>IF(설정!$D$21="",0,IFERROR(VALUE(SUBSTITUTE(SUBSTITUTE(INDEX(급여대장_원본!$A$1:$AZ$400,(설정!$B$8+203),설정!$D$21)&amp;"",",",""),"　","")),0))</f>
        <v/>
      </c>
      <c r="K209" s="27">
        <f>IF(설정!$D$22="",0,IFERROR(VALUE(SUBSTITUTE(SUBSTITUTE(INDEX(급여대장_원본!$A$1:$AZ$400,(설정!$B$8+203),설정!$D$22)&amp;"",",",""),"　","")),0))</f>
        <v/>
      </c>
      <c r="L209" s="27">
        <f>IF(설정!$D$23="",0,IFERROR(VALUE(SUBSTITUTE(SUBSTITUTE(INDEX(급여대장_원본!$A$1:$AZ$400,(설정!$B$8+203),설정!$D$23)&amp;"",",",""),"　","")),0))</f>
        <v/>
      </c>
      <c r="M209" s="27">
        <f>IF(설정!$D$24="",0,IFERROR(VALUE(SUBSTITUTE(SUBSTITUTE(INDEX(급여대장_원본!$A$1:$AZ$400,(설정!$B$8+203),설정!$D$24)&amp;"",",",""),"　","")),0))</f>
        <v/>
      </c>
      <c r="N209" s="2">
        <f>IF(OR(설정!$C$17="",IFERROR(MATCH(설정!$C$17,INDEX(급여대장_원본!$A$1:$AZ$400,설정!$B$8,0),0),"")=""),"",IFERROR(VALUE(SUBSTITUTE(INDEX(급여대장_원본!$A$1:$AZ$400,(설정!$B$8+203),IFERROR(MATCH(설정!$C$17,INDEX(급여대장_원본!$A$1:$AZ$400,설정!$B$8,0),0),""))&amp;"",",","")),""))</f>
        <v/>
      </c>
      <c r="O209" s="2">
        <f>IF(OR(설정!$C$18="",IFERROR(MATCH(설정!$C$18,INDEX(급여대장_원본!$A$1:$AZ$400,설정!$B$8,0),0),"")=""),"",IFERROR(VALUE(SUBSTITUTE(INDEX(급여대장_원본!$A$1:$AZ$400,(설정!$B$8+203),IFERROR(MATCH(설정!$C$18,INDEX(급여대장_원본!$A$1:$AZ$400,설정!$B$8,0),0),""))&amp;"",",","")),""))</f>
        <v/>
      </c>
      <c r="P209" s="2">
        <f>IF(OR(설정!$C$19="",IFERROR(MATCH(설정!$C$19,INDEX(급여대장_원본!$A$1:$AZ$400,설정!$B$8,0),0),"")=""),"",IFERROR(VALUE(SUBSTITUTE(INDEX(급여대장_원본!$A$1:$AZ$400,(설정!$B$8+203),IFERROR(MATCH(설정!$C$19,INDEX(급여대장_원본!$A$1:$AZ$400,설정!$B$8,0),0),""))&amp;"",",","")),""))</f>
        <v/>
      </c>
      <c r="Q209" s="2">
        <f>IF(OR(설정!$C$20="",IFERROR(MATCH(설정!$C$20,INDEX(급여대장_원본!$A$1:$AZ$400,설정!$B$8,0),0),"")=""),"",IFERROR(VALUE(SUBSTITUTE(INDEX(급여대장_원본!$A$1:$AZ$400,(설정!$B$8+203),IFERROR(MATCH(설정!$C$20,INDEX(급여대장_원본!$A$1:$AZ$400,설정!$B$8,0),0),""))&amp;"",",","")),""))</f>
        <v/>
      </c>
      <c r="R209" s="2">
        <f>IF(OR(설정!$C$21="",IFERROR(MATCH(설정!$C$21,INDEX(급여대장_원본!$A$1:$AZ$400,설정!$B$8,0),0),"")=""),"",IFERROR(VALUE(SUBSTITUTE(INDEX(급여대장_원본!$A$1:$AZ$400,(설정!$B$8+203),IFERROR(MATCH(설정!$C$21,INDEX(급여대장_원본!$A$1:$AZ$400,설정!$B$8,0),0),""))&amp;"",",","")),""))</f>
        <v/>
      </c>
      <c r="S209" s="2">
        <f>IF(OR(설정!$C$22="",IFERROR(MATCH(설정!$C$22,INDEX(급여대장_원본!$A$1:$AZ$400,설정!$B$8,0),0),"")=""),"",IFERROR(VALUE(SUBSTITUTE(INDEX(급여대장_원본!$A$1:$AZ$400,(설정!$B$8+203),IFERROR(MATCH(설정!$C$22,INDEX(급여대장_원본!$A$1:$AZ$400,설정!$B$8,0),0),""))&amp;"",",","")),""))</f>
        <v/>
      </c>
      <c r="T209" s="2">
        <f>IF(OR(설정!$C$23="",IFERROR(MATCH(설정!$C$23,INDEX(급여대장_원본!$A$1:$AZ$400,설정!$B$8,0),0),"")=""),"",IFERROR(VALUE(SUBSTITUTE(INDEX(급여대장_원본!$A$1:$AZ$400,(설정!$B$8+203),IFERROR(MATCH(설정!$C$23,INDEX(급여대장_원본!$A$1:$AZ$400,설정!$B$8,0),0),""))&amp;"",",","")),""))</f>
        <v/>
      </c>
      <c r="U209" s="2">
        <f>IF(OR(설정!$C$24="",IFERROR(MATCH(설정!$C$24,INDEX(급여대장_원본!$A$1:$AZ$400,설정!$B$8,0),0),"")=""),"",IFERROR(VALUE(SUBSTITUTE(INDEX(급여대장_원본!$A$1:$AZ$400,(설정!$B$8+203),IFERROR(MATCH(설정!$C$24,INDEX(급여대장_원본!$A$1:$AZ$400,설정!$B$8,0),0),""))&amp;"",",","")),""))</f>
        <v/>
      </c>
      <c r="V209" s="27">
        <f>SUM(F209:M209)</f>
        <v/>
      </c>
      <c r="W209" s="27">
        <f>IF(설정!$D$26="",0,IFERROR(VALUE(SUBSTITUTE(SUBSTITUTE(INDEX(급여대장_원본!$A$1:$AZ$400,(설정!$B$8+203),설정!$D$26)&amp;"",",",""),"　","")),0))</f>
        <v/>
      </c>
      <c r="X209" s="27">
        <f>IF(설정!$D$27="",0,IFERROR(VALUE(SUBSTITUTE(SUBSTITUTE(INDEX(급여대장_원본!$A$1:$AZ$400,(설정!$B$8+203),설정!$D$27)&amp;"",",",""),"　","")),0))</f>
        <v/>
      </c>
      <c r="Y209" s="27">
        <f>IF(설정!$D$28="",0,IFERROR(VALUE(SUBSTITUTE(SUBSTITUTE(INDEX(급여대장_원본!$A$1:$AZ$400,(설정!$B$8+203),설정!$D$28)&amp;"",",",""),"　","")),0))</f>
        <v/>
      </c>
      <c r="Z209" s="27">
        <f>IF(설정!$D$29="",0,IFERROR(VALUE(SUBSTITUTE(SUBSTITUTE(INDEX(급여대장_원본!$A$1:$AZ$400,(설정!$B$8+203),설정!$D$29)&amp;"",",",""),"　","")),0))</f>
        <v/>
      </c>
      <c r="AA209" s="27">
        <f>IF(설정!$D$30="",0,IFERROR(VALUE(SUBSTITUTE(SUBSTITUTE(INDEX(급여대장_원본!$A$1:$AZ$400,(설정!$B$8+203),설정!$D$30)&amp;"",",",""),"　","")),0))</f>
        <v/>
      </c>
      <c r="AB209" s="27">
        <f>IF(설정!$D$31="",0,IFERROR(VALUE(SUBSTITUTE(SUBSTITUTE(INDEX(급여대장_원본!$A$1:$AZ$400,(설정!$B$8+203),설정!$D$31)&amp;"",",",""),"　","")),0))</f>
        <v/>
      </c>
      <c r="AC209" s="27">
        <f>IF(설정!$D$32="",0,IFERROR(VALUE(SUBSTITUTE(SUBSTITUTE(INDEX(급여대장_원본!$A$1:$AZ$400,(설정!$B$8+203),설정!$D$32)&amp;"",",",""),"　","")),0))</f>
        <v/>
      </c>
      <c r="AD209" s="27">
        <f>IF(설정!$D$33="",0,IFERROR(VALUE(SUBSTITUTE(SUBSTITUTE(INDEX(급여대장_원본!$A$1:$AZ$400,(설정!$B$8+203),설정!$D$33)&amp;"",",",""),"　","")),0))</f>
        <v/>
      </c>
      <c r="AE209" s="27">
        <f>SUM(W209:AD209)</f>
        <v/>
      </c>
      <c r="AF209" s="27">
        <f>V209-AE209</f>
        <v/>
      </c>
      <c r="AG209" s="27">
        <f>IF(설정!$D$35="","",IF(설정!$D$35="",0,IFERROR(VALUE(SUBSTITUTE(SUBSTITUTE(INDEX(급여대장_원본!$A$1:$AZ$400,(설정!$B$8+203),설정!$D$35)&amp;"",",",""),"　","")),0)))</f>
        <v/>
      </c>
      <c r="AH209" s="27">
        <f>IF(설정!$D$36="","",IF(설정!$D$36="",0,IFERROR(VALUE(SUBSTITUTE(SUBSTITUTE(INDEX(급여대장_원본!$A$1:$AZ$400,(설정!$B$8+203),설정!$D$36)&amp;"",",",""),"　","")),0)))</f>
        <v/>
      </c>
      <c r="AI209" s="27">
        <f>IF(설정!$D$37="","",IF(설정!$D$37="",0,IFERROR(VALUE(SUBSTITUTE(SUBSTITUTE(INDEX(급여대장_원본!$A$1:$AZ$400,(설정!$B$8+203),설정!$D$37)&amp;"",",",""),"　","")),0)))</f>
        <v/>
      </c>
      <c r="AJ209" s="2">
        <f>IFERROR(INDEX($D$7:$D$306,MATCH(203,$B$7:$B$306,0)),"")</f>
        <v/>
      </c>
    </row>
    <row r="210">
      <c r="A210" s="2">
        <f>IF(AND(D210&lt;&gt;"",D210&lt;&gt;"합계",D210&lt;&gt;"총계",D210&lt;&gt;"소계",D210&lt;&gt;"계"),1,0)</f>
        <v/>
      </c>
      <c r="B210" s="2">
        <f>IF(A210=1,SUM($A$7:A210),"")</f>
        <v/>
      </c>
      <c r="C210" s="2">
        <f>IF(설정!$D$13="","",TRIM(SUBSTITUTE(INDEX(급여대장_원본!$A$1:$AZ$400,(설정!$B$8+204),설정!$D$13)&amp;"","　"," ")))</f>
        <v/>
      </c>
      <c r="D210" s="2">
        <f>IF(설정!$D$14="","",TRIM(SUBSTITUTE(INDEX(급여대장_원본!$A$1:$AZ$400,(설정!$B$8+204),설정!$D$14)&amp;"","　"," ")))</f>
        <v/>
      </c>
      <c r="E210" s="2">
        <f>IF(설정!$D$15="","",TRIM(SUBSTITUTE(INDEX(급여대장_원본!$A$1:$AZ$400,(설정!$B$8+204),설정!$D$15)&amp;"","　"," ")))</f>
        <v/>
      </c>
      <c r="F210" s="27">
        <f>IF(설정!$D$17="",0,IFERROR(VALUE(SUBSTITUTE(SUBSTITUTE(INDEX(급여대장_원본!$A$1:$AZ$400,(설정!$B$8+204),설정!$D$17)&amp;"",",",""),"　","")),0))</f>
        <v/>
      </c>
      <c r="G210" s="27">
        <f>IF(설정!$D$18="",0,IFERROR(VALUE(SUBSTITUTE(SUBSTITUTE(INDEX(급여대장_원본!$A$1:$AZ$400,(설정!$B$8+204),설정!$D$18)&amp;"",",",""),"　","")),0))</f>
        <v/>
      </c>
      <c r="H210" s="27">
        <f>IF(설정!$D$19="",0,IFERROR(VALUE(SUBSTITUTE(SUBSTITUTE(INDEX(급여대장_원본!$A$1:$AZ$400,(설정!$B$8+204),설정!$D$19)&amp;"",",",""),"　","")),0))</f>
        <v/>
      </c>
      <c r="I210" s="27">
        <f>IF(설정!$D$20="",0,IFERROR(VALUE(SUBSTITUTE(SUBSTITUTE(INDEX(급여대장_원본!$A$1:$AZ$400,(설정!$B$8+204),설정!$D$20)&amp;"",",",""),"　","")),0))</f>
        <v/>
      </c>
      <c r="J210" s="27">
        <f>IF(설정!$D$21="",0,IFERROR(VALUE(SUBSTITUTE(SUBSTITUTE(INDEX(급여대장_원본!$A$1:$AZ$400,(설정!$B$8+204),설정!$D$21)&amp;"",",",""),"　","")),0))</f>
        <v/>
      </c>
      <c r="K210" s="27">
        <f>IF(설정!$D$22="",0,IFERROR(VALUE(SUBSTITUTE(SUBSTITUTE(INDEX(급여대장_원본!$A$1:$AZ$400,(설정!$B$8+204),설정!$D$22)&amp;"",",",""),"　","")),0))</f>
        <v/>
      </c>
      <c r="L210" s="27">
        <f>IF(설정!$D$23="",0,IFERROR(VALUE(SUBSTITUTE(SUBSTITUTE(INDEX(급여대장_원본!$A$1:$AZ$400,(설정!$B$8+204),설정!$D$23)&amp;"",",",""),"　","")),0))</f>
        <v/>
      </c>
      <c r="M210" s="27">
        <f>IF(설정!$D$24="",0,IFERROR(VALUE(SUBSTITUTE(SUBSTITUTE(INDEX(급여대장_원본!$A$1:$AZ$400,(설정!$B$8+204),설정!$D$24)&amp;"",",",""),"　","")),0))</f>
        <v/>
      </c>
      <c r="N210" s="2">
        <f>IF(OR(설정!$C$17="",IFERROR(MATCH(설정!$C$17,INDEX(급여대장_원본!$A$1:$AZ$400,설정!$B$8,0),0),"")=""),"",IFERROR(VALUE(SUBSTITUTE(INDEX(급여대장_원본!$A$1:$AZ$400,(설정!$B$8+204),IFERROR(MATCH(설정!$C$17,INDEX(급여대장_원본!$A$1:$AZ$400,설정!$B$8,0),0),""))&amp;"",",","")),""))</f>
        <v/>
      </c>
      <c r="O210" s="2">
        <f>IF(OR(설정!$C$18="",IFERROR(MATCH(설정!$C$18,INDEX(급여대장_원본!$A$1:$AZ$400,설정!$B$8,0),0),"")=""),"",IFERROR(VALUE(SUBSTITUTE(INDEX(급여대장_원본!$A$1:$AZ$400,(설정!$B$8+204),IFERROR(MATCH(설정!$C$18,INDEX(급여대장_원본!$A$1:$AZ$400,설정!$B$8,0),0),""))&amp;"",",","")),""))</f>
        <v/>
      </c>
      <c r="P210" s="2">
        <f>IF(OR(설정!$C$19="",IFERROR(MATCH(설정!$C$19,INDEX(급여대장_원본!$A$1:$AZ$400,설정!$B$8,0),0),"")=""),"",IFERROR(VALUE(SUBSTITUTE(INDEX(급여대장_원본!$A$1:$AZ$400,(설정!$B$8+204),IFERROR(MATCH(설정!$C$19,INDEX(급여대장_원본!$A$1:$AZ$400,설정!$B$8,0),0),""))&amp;"",",","")),""))</f>
        <v/>
      </c>
      <c r="Q210" s="2">
        <f>IF(OR(설정!$C$20="",IFERROR(MATCH(설정!$C$20,INDEX(급여대장_원본!$A$1:$AZ$400,설정!$B$8,0),0),"")=""),"",IFERROR(VALUE(SUBSTITUTE(INDEX(급여대장_원본!$A$1:$AZ$400,(설정!$B$8+204),IFERROR(MATCH(설정!$C$20,INDEX(급여대장_원본!$A$1:$AZ$400,설정!$B$8,0),0),""))&amp;"",",","")),""))</f>
        <v/>
      </c>
      <c r="R210" s="2">
        <f>IF(OR(설정!$C$21="",IFERROR(MATCH(설정!$C$21,INDEX(급여대장_원본!$A$1:$AZ$400,설정!$B$8,0),0),"")=""),"",IFERROR(VALUE(SUBSTITUTE(INDEX(급여대장_원본!$A$1:$AZ$400,(설정!$B$8+204),IFERROR(MATCH(설정!$C$21,INDEX(급여대장_원본!$A$1:$AZ$400,설정!$B$8,0),0),""))&amp;"",",","")),""))</f>
        <v/>
      </c>
      <c r="S210" s="2">
        <f>IF(OR(설정!$C$22="",IFERROR(MATCH(설정!$C$22,INDEX(급여대장_원본!$A$1:$AZ$400,설정!$B$8,0),0),"")=""),"",IFERROR(VALUE(SUBSTITUTE(INDEX(급여대장_원본!$A$1:$AZ$400,(설정!$B$8+204),IFERROR(MATCH(설정!$C$22,INDEX(급여대장_원본!$A$1:$AZ$400,설정!$B$8,0),0),""))&amp;"",",","")),""))</f>
        <v/>
      </c>
      <c r="T210" s="2">
        <f>IF(OR(설정!$C$23="",IFERROR(MATCH(설정!$C$23,INDEX(급여대장_원본!$A$1:$AZ$400,설정!$B$8,0),0),"")=""),"",IFERROR(VALUE(SUBSTITUTE(INDEX(급여대장_원본!$A$1:$AZ$400,(설정!$B$8+204),IFERROR(MATCH(설정!$C$23,INDEX(급여대장_원본!$A$1:$AZ$400,설정!$B$8,0),0),""))&amp;"",",","")),""))</f>
        <v/>
      </c>
      <c r="U210" s="2">
        <f>IF(OR(설정!$C$24="",IFERROR(MATCH(설정!$C$24,INDEX(급여대장_원본!$A$1:$AZ$400,설정!$B$8,0),0),"")=""),"",IFERROR(VALUE(SUBSTITUTE(INDEX(급여대장_원본!$A$1:$AZ$400,(설정!$B$8+204),IFERROR(MATCH(설정!$C$24,INDEX(급여대장_원본!$A$1:$AZ$400,설정!$B$8,0),0),""))&amp;"",",","")),""))</f>
        <v/>
      </c>
      <c r="V210" s="27">
        <f>SUM(F210:M210)</f>
        <v/>
      </c>
      <c r="W210" s="27">
        <f>IF(설정!$D$26="",0,IFERROR(VALUE(SUBSTITUTE(SUBSTITUTE(INDEX(급여대장_원본!$A$1:$AZ$400,(설정!$B$8+204),설정!$D$26)&amp;"",",",""),"　","")),0))</f>
        <v/>
      </c>
      <c r="X210" s="27">
        <f>IF(설정!$D$27="",0,IFERROR(VALUE(SUBSTITUTE(SUBSTITUTE(INDEX(급여대장_원본!$A$1:$AZ$400,(설정!$B$8+204),설정!$D$27)&amp;"",",",""),"　","")),0))</f>
        <v/>
      </c>
      <c r="Y210" s="27">
        <f>IF(설정!$D$28="",0,IFERROR(VALUE(SUBSTITUTE(SUBSTITUTE(INDEX(급여대장_원본!$A$1:$AZ$400,(설정!$B$8+204),설정!$D$28)&amp;"",",",""),"　","")),0))</f>
        <v/>
      </c>
      <c r="Z210" s="27">
        <f>IF(설정!$D$29="",0,IFERROR(VALUE(SUBSTITUTE(SUBSTITUTE(INDEX(급여대장_원본!$A$1:$AZ$400,(설정!$B$8+204),설정!$D$29)&amp;"",",",""),"　","")),0))</f>
        <v/>
      </c>
      <c r="AA210" s="27">
        <f>IF(설정!$D$30="",0,IFERROR(VALUE(SUBSTITUTE(SUBSTITUTE(INDEX(급여대장_원본!$A$1:$AZ$400,(설정!$B$8+204),설정!$D$30)&amp;"",",",""),"　","")),0))</f>
        <v/>
      </c>
      <c r="AB210" s="27">
        <f>IF(설정!$D$31="",0,IFERROR(VALUE(SUBSTITUTE(SUBSTITUTE(INDEX(급여대장_원본!$A$1:$AZ$400,(설정!$B$8+204),설정!$D$31)&amp;"",",",""),"　","")),0))</f>
        <v/>
      </c>
      <c r="AC210" s="27">
        <f>IF(설정!$D$32="",0,IFERROR(VALUE(SUBSTITUTE(SUBSTITUTE(INDEX(급여대장_원본!$A$1:$AZ$400,(설정!$B$8+204),설정!$D$32)&amp;"",",",""),"　","")),0))</f>
        <v/>
      </c>
      <c r="AD210" s="27">
        <f>IF(설정!$D$33="",0,IFERROR(VALUE(SUBSTITUTE(SUBSTITUTE(INDEX(급여대장_원본!$A$1:$AZ$400,(설정!$B$8+204),설정!$D$33)&amp;"",",",""),"　","")),0))</f>
        <v/>
      </c>
      <c r="AE210" s="27">
        <f>SUM(W210:AD210)</f>
        <v/>
      </c>
      <c r="AF210" s="27">
        <f>V210-AE210</f>
        <v/>
      </c>
      <c r="AG210" s="27">
        <f>IF(설정!$D$35="","",IF(설정!$D$35="",0,IFERROR(VALUE(SUBSTITUTE(SUBSTITUTE(INDEX(급여대장_원본!$A$1:$AZ$400,(설정!$B$8+204),설정!$D$35)&amp;"",",",""),"　","")),0)))</f>
        <v/>
      </c>
      <c r="AH210" s="27">
        <f>IF(설정!$D$36="","",IF(설정!$D$36="",0,IFERROR(VALUE(SUBSTITUTE(SUBSTITUTE(INDEX(급여대장_원본!$A$1:$AZ$400,(설정!$B$8+204),설정!$D$36)&amp;"",",",""),"　","")),0)))</f>
        <v/>
      </c>
      <c r="AI210" s="27">
        <f>IF(설정!$D$37="","",IF(설정!$D$37="",0,IFERROR(VALUE(SUBSTITUTE(SUBSTITUTE(INDEX(급여대장_원본!$A$1:$AZ$400,(설정!$B$8+204),설정!$D$37)&amp;"",",",""),"　","")),0)))</f>
        <v/>
      </c>
      <c r="AJ210" s="2">
        <f>IFERROR(INDEX($D$7:$D$306,MATCH(204,$B$7:$B$306,0)),"")</f>
        <v/>
      </c>
    </row>
    <row r="211">
      <c r="A211" s="2">
        <f>IF(AND(D211&lt;&gt;"",D211&lt;&gt;"합계",D211&lt;&gt;"총계",D211&lt;&gt;"소계",D211&lt;&gt;"계"),1,0)</f>
        <v/>
      </c>
      <c r="B211" s="2">
        <f>IF(A211=1,SUM($A$7:A211),"")</f>
        <v/>
      </c>
      <c r="C211" s="2">
        <f>IF(설정!$D$13="","",TRIM(SUBSTITUTE(INDEX(급여대장_원본!$A$1:$AZ$400,(설정!$B$8+205),설정!$D$13)&amp;"","　"," ")))</f>
        <v/>
      </c>
      <c r="D211" s="2">
        <f>IF(설정!$D$14="","",TRIM(SUBSTITUTE(INDEX(급여대장_원본!$A$1:$AZ$400,(설정!$B$8+205),설정!$D$14)&amp;"","　"," ")))</f>
        <v/>
      </c>
      <c r="E211" s="2">
        <f>IF(설정!$D$15="","",TRIM(SUBSTITUTE(INDEX(급여대장_원본!$A$1:$AZ$400,(설정!$B$8+205),설정!$D$15)&amp;"","　"," ")))</f>
        <v/>
      </c>
      <c r="F211" s="27">
        <f>IF(설정!$D$17="",0,IFERROR(VALUE(SUBSTITUTE(SUBSTITUTE(INDEX(급여대장_원본!$A$1:$AZ$400,(설정!$B$8+205),설정!$D$17)&amp;"",",",""),"　","")),0))</f>
        <v/>
      </c>
      <c r="G211" s="27">
        <f>IF(설정!$D$18="",0,IFERROR(VALUE(SUBSTITUTE(SUBSTITUTE(INDEX(급여대장_원본!$A$1:$AZ$400,(설정!$B$8+205),설정!$D$18)&amp;"",",",""),"　","")),0))</f>
        <v/>
      </c>
      <c r="H211" s="27">
        <f>IF(설정!$D$19="",0,IFERROR(VALUE(SUBSTITUTE(SUBSTITUTE(INDEX(급여대장_원본!$A$1:$AZ$400,(설정!$B$8+205),설정!$D$19)&amp;"",",",""),"　","")),0))</f>
        <v/>
      </c>
      <c r="I211" s="27">
        <f>IF(설정!$D$20="",0,IFERROR(VALUE(SUBSTITUTE(SUBSTITUTE(INDEX(급여대장_원본!$A$1:$AZ$400,(설정!$B$8+205),설정!$D$20)&amp;"",",",""),"　","")),0))</f>
        <v/>
      </c>
      <c r="J211" s="27">
        <f>IF(설정!$D$21="",0,IFERROR(VALUE(SUBSTITUTE(SUBSTITUTE(INDEX(급여대장_원본!$A$1:$AZ$400,(설정!$B$8+205),설정!$D$21)&amp;"",",",""),"　","")),0))</f>
        <v/>
      </c>
      <c r="K211" s="27">
        <f>IF(설정!$D$22="",0,IFERROR(VALUE(SUBSTITUTE(SUBSTITUTE(INDEX(급여대장_원본!$A$1:$AZ$400,(설정!$B$8+205),설정!$D$22)&amp;"",",",""),"　","")),0))</f>
        <v/>
      </c>
      <c r="L211" s="27">
        <f>IF(설정!$D$23="",0,IFERROR(VALUE(SUBSTITUTE(SUBSTITUTE(INDEX(급여대장_원본!$A$1:$AZ$400,(설정!$B$8+205),설정!$D$23)&amp;"",",",""),"　","")),0))</f>
        <v/>
      </c>
      <c r="M211" s="27">
        <f>IF(설정!$D$24="",0,IFERROR(VALUE(SUBSTITUTE(SUBSTITUTE(INDEX(급여대장_원본!$A$1:$AZ$400,(설정!$B$8+205),설정!$D$24)&amp;"",",",""),"　","")),0))</f>
        <v/>
      </c>
      <c r="N211" s="2">
        <f>IF(OR(설정!$C$17="",IFERROR(MATCH(설정!$C$17,INDEX(급여대장_원본!$A$1:$AZ$400,설정!$B$8,0),0),"")=""),"",IFERROR(VALUE(SUBSTITUTE(INDEX(급여대장_원본!$A$1:$AZ$400,(설정!$B$8+205),IFERROR(MATCH(설정!$C$17,INDEX(급여대장_원본!$A$1:$AZ$400,설정!$B$8,0),0),""))&amp;"",",","")),""))</f>
        <v/>
      </c>
      <c r="O211" s="2">
        <f>IF(OR(설정!$C$18="",IFERROR(MATCH(설정!$C$18,INDEX(급여대장_원본!$A$1:$AZ$400,설정!$B$8,0),0),"")=""),"",IFERROR(VALUE(SUBSTITUTE(INDEX(급여대장_원본!$A$1:$AZ$400,(설정!$B$8+205),IFERROR(MATCH(설정!$C$18,INDEX(급여대장_원본!$A$1:$AZ$400,설정!$B$8,0),0),""))&amp;"",",","")),""))</f>
        <v/>
      </c>
      <c r="P211" s="2">
        <f>IF(OR(설정!$C$19="",IFERROR(MATCH(설정!$C$19,INDEX(급여대장_원본!$A$1:$AZ$400,설정!$B$8,0),0),"")=""),"",IFERROR(VALUE(SUBSTITUTE(INDEX(급여대장_원본!$A$1:$AZ$400,(설정!$B$8+205),IFERROR(MATCH(설정!$C$19,INDEX(급여대장_원본!$A$1:$AZ$400,설정!$B$8,0),0),""))&amp;"",",","")),""))</f>
        <v/>
      </c>
      <c r="Q211" s="2">
        <f>IF(OR(설정!$C$20="",IFERROR(MATCH(설정!$C$20,INDEX(급여대장_원본!$A$1:$AZ$400,설정!$B$8,0),0),"")=""),"",IFERROR(VALUE(SUBSTITUTE(INDEX(급여대장_원본!$A$1:$AZ$400,(설정!$B$8+205),IFERROR(MATCH(설정!$C$20,INDEX(급여대장_원본!$A$1:$AZ$400,설정!$B$8,0),0),""))&amp;"",",","")),""))</f>
        <v/>
      </c>
      <c r="R211" s="2">
        <f>IF(OR(설정!$C$21="",IFERROR(MATCH(설정!$C$21,INDEX(급여대장_원본!$A$1:$AZ$400,설정!$B$8,0),0),"")=""),"",IFERROR(VALUE(SUBSTITUTE(INDEX(급여대장_원본!$A$1:$AZ$400,(설정!$B$8+205),IFERROR(MATCH(설정!$C$21,INDEX(급여대장_원본!$A$1:$AZ$400,설정!$B$8,0),0),""))&amp;"",",","")),""))</f>
        <v/>
      </c>
      <c r="S211" s="2">
        <f>IF(OR(설정!$C$22="",IFERROR(MATCH(설정!$C$22,INDEX(급여대장_원본!$A$1:$AZ$400,설정!$B$8,0),0),"")=""),"",IFERROR(VALUE(SUBSTITUTE(INDEX(급여대장_원본!$A$1:$AZ$400,(설정!$B$8+205),IFERROR(MATCH(설정!$C$22,INDEX(급여대장_원본!$A$1:$AZ$400,설정!$B$8,0),0),""))&amp;"",",","")),""))</f>
        <v/>
      </c>
      <c r="T211" s="2">
        <f>IF(OR(설정!$C$23="",IFERROR(MATCH(설정!$C$23,INDEX(급여대장_원본!$A$1:$AZ$400,설정!$B$8,0),0),"")=""),"",IFERROR(VALUE(SUBSTITUTE(INDEX(급여대장_원본!$A$1:$AZ$400,(설정!$B$8+205),IFERROR(MATCH(설정!$C$23,INDEX(급여대장_원본!$A$1:$AZ$400,설정!$B$8,0),0),""))&amp;"",",","")),""))</f>
        <v/>
      </c>
      <c r="U211" s="2">
        <f>IF(OR(설정!$C$24="",IFERROR(MATCH(설정!$C$24,INDEX(급여대장_원본!$A$1:$AZ$400,설정!$B$8,0),0),"")=""),"",IFERROR(VALUE(SUBSTITUTE(INDEX(급여대장_원본!$A$1:$AZ$400,(설정!$B$8+205),IFERROR(MATCH(설정!$C$24,INDEX(급여대장_원본!$A$1:$AZ$400,설정!$B$8,0),0),""))&amp;"",",","")),""))</f>
        <v/>
      </c>
      <c r="V211" s="27">
        <f>SUM(F211:M211)</f>
        <v/>
      </c>
      <c r="W211" s="27">
        <f>IF(설정!$D$26="",0,IFERROR(VALUE(SUBSTITUTE(SUBSTITUTE(INDEX(급여대장_원본!$A$1:$AZ$400,(설정!$B$8+205),설정!$D$26)&amp;"",",",""),"　","")),0))</f>
        <v/>
      </c>
      <c r="X211" s="27">
        <f>IF(설정!$D$27="",0,IFERROR(VALUE(SUBSTITUTE(SUBSTITUTE(INDEX(급여대장_원본!$A$1:$AZ$400,(설정!$B$8+205),설정!$D$27)&amp;"",",",""),"　","")),0))</f>
        <v/>
      </c>
      <c r="Y211" s="27">
        <f>IF(설정!$D$28="",0,IFERROR(VALUE(SUBSTITUTE(SUBSTITUTE(INDEX(급여대장_원본!$A$1:$AZ$400,(설정!$B$8+205),설정!$D$28)&amp;"",",",""),"　","")),0))</f>
        <v/>
      </c>
      <c r="Z211" s="27">
        <f>IF(설정!$D$29="",0,IFERROR(VALUE(SUBSTITUTE(SUBSTITUTE(INDEX(급여대장_원본!$A$1:$AZ$400,(설정!$B$8+205),설정!$D$29)&amp;"",",",""),"　","")),0))</f>
        <v/>
      </c>
      <c r="AA211" s="27">
        <f>IF(설정!$D$30="",0,IFERROR(VALUE(SUBSTITUTE(SUBSTITUTE(INDEX(급여대장_원본!$A$1:$AZ$400,(설정!$B$8+205),설정!$D$30)&amp;"",",",""),"　","")),0))</f>
        <v/>
      </c>
      <c r="AB211" s="27">
        <f>IF(설정!$D$31="",0,IFERROR(VALUE(SUBSTITUTE(SUBSTITUTE(INDEX(급여대장_원본!$A$1:$AZ$400,(설정!$B$8+205),설정!$D$31)&amp;"",",",""),"　","")),0))</f>
        <v/>
      </c>
      <c r="AC211" s="27">
        <f>IF(설정!$D$32="",0,IFERROR(VALUE(SUBSTITUTE(SUBSTITUTE(INDEX(급여대장_원본!$A$1:$AZ$400,(설정!$B$8+205),설정!$D$32)&amp;"",",",""),"　","")),0))</f>
        <v/>
      </c>
      <c r="AD211" s="27">
        <f>IF(설정!$D$33="",0,IFERROR(VALUE(SUBSTITUTE(SUBSTITUTE(INDEX(급여대장_원본!$A$1:$AZ$400,(설정!$B$8+205),설정!$D$33)&amp;"",",",""),"　","")),0))</f>
        <v/>
      </c>
      <c r="AE211" s="27">
        <f>SUM(W211:AD211)</f>
        <v/>
      </c>
      <c r="AF211" s="27">
        <f>V211-AE211</f>
        <v/>
      </c>
      <c r="AG211" s="27">
        <f>IF(설정!$D$35="","",IF(설정!$D$35="",0,IFERROR(VALUE(SUBSTITUTE(SUBSTITUTE(INDEX(급여대장_원본!$A$1:$AZ$400,(설정!$B$8+205),설정!$D$35)&amp;"",",",""),"　","")),0)))</f>
        <v/>
      </c>
      <c r="AH211" s="27">
        <f>IF(설정!$D$36="","",IF(설정!$D$36="",0,IFERROR(VALUE(SUBSTITUTE(SUBSTITUTE(INDEX(급여대장_원본!$A$1:$AZ$400,(설정!$B$8+205),설정!$D$36)&amp;"",",",""),"　","")),0)))</f>
        <v/>
      </c>
      <c r="AI211" s="27">
        <f>IF(설정!$D$37="","",IF(설정!$D$37="",0,IFERROR(VALUE(SUBSTITUTE(SUBSTITUTE(INDEX(급여대장_원본!$A$1:$AZ$400,(설정!$B$8+205),설정!$D$37)&amp;"",",",""),"　","")),0)))</f>
        <v/>
      </c>
      <c r="AJ211" s="2">
        <f>IFERROR(INDEX($D$7:$D$306,MATCH(205,$B$7:$B$306,0)),"")</f>
        <v/>
      </c>
    </row>
    <row r="212">
      <c r="A212" s="2">
        <f>IF(AND(D212&lt;&gt;"",D212&lt;&gt;"합계",D212&lt;&gt;"총계",D212&lt;&gt;"소계",D212&lt;&gt;"계"),1,0)</f>
        <v/>
      </c>
      <c r="B212" s="2">
        <f>IF(A212=1,SUM($A$7:A212),"")</f>
        <v/>
      </c>
      <c r="C212" s="2">
        <f>IF(설정!$D$13="","",TRIM(SUBSTITUTE(INDEX(급여대장_원본!$A$1:$AZ$400,(설정!$B$8+206),설정!$D$13)&amp;"","　"," ")))</f>
        <v/>
      </c>
      <c r="D212" s="2">
        <f>IF(설정!$D$14="","",TRIM(SUBSTITUTE(INDEX(급여대장_원본!$A$1:$AZ$400,(설정!$B$8+206),설정!$D$14)&amp;"","　"," ")))</f>
        <v/>
      </c>
      <c r="E212" s="2">
        <f>IF(설정!$D$15="","",TRIM(SUBSTITUTE(INDEX(급여대장_원본!$A$1:$AZ$400,(설정!$B$8+206),설정!$D$15)&amp;"","　"," ")))</f>
        <v/>
      </c>
      <c r="F212" s="27">
        <f>IF(설정!$D$17="",0,IFERROR(VALUE(SUBSTITUTE(SUBSTITUTE(INDEX(급여대장_원본!$A$1:$AZ$400,(설정!$B$8+206),설정!$D$17)&amp;"",",",""),"　","")),0))</f>
        <v/>
      </c>
      <c r="G212" s="27">
        <f>IF(설정!$D$18="",0,IFERROR(VALUE(SUBSTITUTE(SUBSTITUTE(INDEX(급여대장_원본!$A$1:$AZ$400,(설정!$B$8+206),설정!$D$18)&amp;"",",",""),"　","")),0))</f>
        <v/>
      </c>
      <c r="H212" s="27">
        <f>IF(설정!$D$19="",0,IFERROR(VALUE(SUBSTITUTE(SUBSTITUTE(INDEX(급여대장_원본!$A$1:$AZ$400,(설정!$B$8+206),설정!$D$19)&amp;"",",",""),"　","")),0))</f>
        <v/>
      </c>
      <c r="I212" s="27">
        <f>IF(설정!$D$20="",0,IFERROR(VALUE(SUBSTITUTE(SUBSTITUTE(INDEX(급여대장_원본!$A$1:$AZ$400,(설정!$B$8+206),설정!$D$20)&amp;"",",",""),"　","")),0))</f>
        <v/>
      </c>
      <c r="J212" s="27">
        <f>IF(설정!$D$21="",0,IFERROR(VALUE(SUBSTITUTE(SUBSTITUTE(INDEX(급여대장_원본!$A$1:$AZ$400,(설정!$B$8+206),설정!$D$21)&amp;"",",",""),"　","")),0))</f>
        <v/>
      </c>
      <c r="K212" s="27">
        <f>IF(설정!$D$22="",0,IFERROR(VALUE(SUBSTITUTE(SUBSTITUTE(INDEX(급여대장_원본!$A$1:$AZ$400,(설정!$B$8+206),설정!$D$22)&amp;"",",",""),"　","")),0))</f>
        <v/>
      </c>
      <c r="L212" s="27">
        <f>IF(설정!$D$23="",0,IFERROR(VALUE(SUBSTITUTE(SUBSTITUTE(INDEX(급여대장_원본!$A$1:$AZ$400,(설정!$B$8+206),설정!$D$23)&amp;"",",",""),"　","")),0))</f>
        <v/>
      </c>
      <c r="M212" s="27">
        <f>IF(설정!$D$24="",0,IFERROR(VALUE(SUBSTITUTE(SUBSTITUTE(INDEX(급여대장_원본!$A$1:$AZ$400,(설정!$B$8+206),설정!$D$24)&amp;"",",",""),"　","")),0))</f>
        <v/>
      </c>
      <c r="N212" s="2">
        <f>IF(OR(설정!$C$17="",IFERROR(MATCH(설정!$C$17,INDEX(급여대장_원본!$A$1:$AZ$400,설정!$B$8,0),0),"")=""),"",IFERROR(VALUE(SUBSTITUTE(INDEX(급여대장_원본!$A$1:$AZ$400,(설정!$B$8+206),IFERROR(MATCH(설정!$C$17,INDEX(급여대장_원본!$A$1:$AZ$400,설정!$B$8,0),0),""))&amp;"",",","")),""))</f>
        <v/>
      </c>
      <c r="O212" s="2">
        <f>IF(OR(설정!$C$18="",IFERROR(MATCH(설정!$C$18,INDEX(급여대장_원본!$A$1:$AZ$400,설정!$B$8,0),0),"")=""),"",IFERROR(VALUE(SUBSTITUTE(INDEX(급여대장_원본!$A$1:$AZ$400,(설정!$B$8+206),IFERROR(MATCH(설정!$C$18,INDEX(급여대장_원본!$A$1:$AZ$400,설정!$B$8,0),0),""))&amp;"",",","")),""))</f>
        <v/>
      </c>
      <c r="P212" s="2">
        <f>IF(OR(설정!$C$19="",IFERROR(MATCH(설정!$C$19,INDEX(급여대장_원본!$A$1:$AZ$400,설정!$B$8,0),0),"")=""),"",IFERROR(VALUE(SUBSTITUTE(INDEX(급여대장_원본!$A$1:$AZ$400,(설정!$B$8+206),IFERROR(MATCH(설정!$C$19,INDEX(급여대장_원본!$A$1:$AZ$400,설정!$B$8,0),0),""))&amp;"",",","")),""))</f>
        <v/>
      </c>
      <c r="Q212" s="2">
        <f>IF(OR(설정!$C$20="",IFERROR(MATCH(설정!$C$20,INDEX(급여대장_원본!$A$1:$AZ$400,설정!$B$8,0),0),"")=""),"",IFERROR(VALUE(SUBSTITUTE(INDEX(급여대장_원본!$A$1:$AZ$400,(설정!$B$8+206),IFERROR(MATCH(설정!$C$20,INDEX(급여대장_원본!$A$1:$AZ$400,설정!$B$8,0),0),""))&amp;"",",","")),""))</f>
        <v/>
      </c>
      <c r="R212" s="2">
        <f>IF(OR(설정!$C$21="",IFERROR(MATCH(설정!$C$21,INDEX(급여대장_원본!$A$1:$AZ$400,설정!$B$8,0),0),"")=""),"",IFERROR(VALUE(SUBSTITUTE(INDEX(급여대장_원본!$A$1:$AZ$400,(설정!$B$8+206),IFERROR(MATCH(설정!$C$21,INDEX(급여대장_원본!$A$1:$AZ$400,설정!$B$8,0),0),""))&amp;"",",","")),""))</f>
        <v/>
      </c>
      <c r="S212" s="2">
        <f>IF(OR(설정!$C$22="",IFERROR(MATCH(설정!$C$22,INDEX(급여대장_원본!$A$1:$AZ$400,설정!$B$8,0),0),"")=""),"",IFERROR(VALUE(SUBSTITUTE(INDEX(급여대장_원본!$A$1:$AZ$400,(설정!$B$8+206),IFERROR(MATCH(설정!$C$22,INDEX(급여대장_원본!$A$1:$AZ$400,설정!$B$8,0),0),""))&amp;"",",","")),""))</f>
        <v/>
      </c>
      <c r="T212" s="2">
        <f>IF(OR(설정!$C$23="",IFERROR(MATCH(설정!$C$23,INDEX(급여대장_원본!$A$1:$AZ$400,설정!$B$8,0),0),"")=""),"",IFERROR(VALUE(SUBSTITUTE(INDEX(급여대장_원본!$A$1:$AZ$400,(설정!$B$8+206),IFERROR(MATCH(설정!$C$23,INDEX(급여대장_원본!$A$1:$AZ$400,설정!$B$8,0),0),""))&amp;"",",","")),""))</f>
        <v/>
      </c>
      <c r="U212" s="2">
        <f>IF(OR(설정!$C$24="",IFERROR(MATCH(설정!$C$24,INDEX(급여대장_원본!$A$1:$AZ$400,설정!$B$8,0),0),"")=""),"",IFERROR(VALUE(SUBSTITUTE(INDEX(급여대장_원본!$A$1:$AZ$400,(설정!$B$8+206),IFERROR(MATCH(설정!$C$24,INDEX(급여대장_원본!$A$1:$AZ$400,설정!$B$8,0),0),""))&amp;"",",","")),""))</f>
        <v/>
      </c>
      <c r="V212" s="27">
        <f>SUM(F212:M212)</f>
        <v/>
      </c>
      <c r="W212" s="27">
        <f>IF(설정!$D$26="",0,IFERROR(VALUE(SUBSTITUTE(SUBSTITUTE(INDEX(급여대장_원본!$A$1:$AZ$400,(설정!$B$8+206),설정!$D$26)&amp;"",",",""),"　","")),0))</f>
        <v/>
      </c>
      <c r="X212" s="27">
        <f>IF(설정!$D$27="",0,IFERROR(VALUE(SUBSTITUTE(SUBSTITUTE(INDEX(급여대장_원본!$A$1:$AZ$400,(설정!$B$8+206),설정!$D$27)&amp;"",",",""),"　","")),0))</f>
        <v/>
      </c>
      <c r="Y212" s="27">
        <f>IF(설정!$D$28="",0,IFERROR(VALUE(SUBSTITUTE(SUBSTITUTE(INDEX(급여대장_원본!$A$1:$AZ$400,(설정!$B$8+206),설정!$D$28)&amp;"",",",""),"　","")),0))</f>
        <v/>
      </c>
      <c r="Z212" s="27">
        <f>IF(설정!$D$29="",0,IFERROR(VALUE(SUBSTITUTE(SUBSTITUTE(INDEX(급여대장_원본!$A$1:$AZ$400,(설정!$B$8+206),설정!$D$29)&amp;"",",",""),"　","")),0))</f>
        <v/>
      </c>
      <c r="AA212" s="27">
        <f>IF(설정!$D$30="",0,IFERROR(VALUE(SUBSTITUTE(SUBSTITUTE(INDEX(급여대장_원본!$A$1:$AZ$400,(설정!$B$8+206),설정!$D$30)&amp;"",",",""),"　","")),0))</f>
        <v/>
      </c>
      <c r="AB212" s="27">
        <f>IF(설정!$D$31="",0,IFERROR(VALUE(SUBSTITUTE(SUBSTITUTE(INDEX(급여대장_원본!$A$1:$AZ$400,(설정!$B$8+206),설정!$D$31)&amp;"",",",""),"　","")),0))</f>
        <v/>
      </c>
      <c r="AC212" s="27">
        <f>IF(설정!$D$32="",0,IFERROR(VALUE(SUBSTITUTE(SUBSTITUTE(INDEX(급여대장_원본!$A$1:$AZ$400,(설정!$B$8+206),설정!$D$32)&amp;"",",",""),"　","")),0))</f>
        <v/>
      </c>
      <c r="AD212" s="27">
        <f>IF(설정!$D$33="",0,IFERROR(VALUE(SUBSTITUTE(SUBSTITUTE(INDEX(급여대장_원본!$A$1:$AZ$400,(설정!$B$8+206),설정!$D$33)&amp;"",",",""),"　","")),0))</f>
        <v/>
      </c>
      <c r="AE212" s="27">
        <f>SUM(W212:AD212)</f>
        <v/>
      </c>
      <c r="AF212" s="27">
        <f>V212-AE212</f>
        <v/>
      </c>
      <c r="AG212" s="27">
        <f>IF(설정!$D$35="","",IF(설정!$D$35="",0,IFERROR(VALUE(SUBSTITUTE(SUBSTITUTE(INDEX(급여대장_원본!$A$1:$AZ$400,(설정!$B$8+206),설정!$D$35)&amp;"",",",""),"　","")),0)))</f>
        <v/>
      </c>
      <c r="AH212" s="27">
        <f>IF(설정!$D$36="","",IF(설정!$D$36="",0,IFERROR(VALUE(SUBSTITUTE(SUBSTITUTE(INDEX(급여대장_원본!$A$1:$AZ$400,(설정!$B$8+206),설정!$D$36)&amp;"",",",""),"　","")),0)))</f>
        <v/>
      </c>
      <c r="AI212" s="27">
        <f>IF(설정!$D$37="","",IF(설정!$D$37="",0,IFERROR(VALUE(SUBSTITUTE(SUBSTITUTE(INDEX(급여대장_원본!$A$1:$AZ$400,(설정!$B$8+206),설정!$D$37)&amp;"",",",""),"　","")),0)))</f>
        <v/>
      </c>
      <c r="AJ212" s="2">
        <f>IFERROR(INDEX($D$7:$D$306,MATCH(206,$B$7:$B$306,0)),"")</f>
        <v/>
      </c>
    </row>
    <row r="213">
      <c r="A213" s="2">
        <f>IF(AND(D213&lt;&gt;"",D213&lt;&gt;"합계",D213&lt;&gt;"총계",D213&lt;&gt;"소계",D213&lt;&gt;"계"),1,0)</f>
        <v/>
      </c>
      <c r="B213" s="2">
        <f>IF(A213=1,SUM($A$7:A213),"")</f>
        <v/>
      </c>
      <c r="C213" s="2">
        <f>IF(설정!$D$13="","",TRIM(SUBSTITUTE(INDEX(급여대장_원본!$A$1:$AZ$400,(설정!$B$8+207),설정!$D$13)&amp;"","　"," ")))</f>
        <v/>
      </c>
      <c r="D213" s="2">
        <f>IF(설정!$D$14="","",TRIM(SUBSTITUTE(INDEX(급여대장_원본!$A$1:$AZ$400,(설정!$B$8+207),설정!$D$14)&amp;"","　"," ")))</f>
        <v/>
      </c>
      <c r="E213" s="2">
        <f>IF(설정!$D$15="","",TRIM(SUBSTITUTE(INDEX(급여대장_원본!$A$1:$AZ$400,(설정!$B$8+207),설정!$D$15)&amp;"","　"," ")))</f>
        <v/>
      </c>
      <c r="F213" s="27">
        <f>IF(설정!$D$17="",0,IFERROR(VALUE(SUBSTITUTE(SUBSTITUTE(INDEX(급여대장_원본!$A$1:$AZ$400,(설정!$B$8+207),설정!$D$17)&amp;"",",",""),"　","")),0))</f>
        <v/>
      </c>
      <c r="G213" s="27">
        <f>IF(설정!$D$18="",0,IFERROR(VALUE(SUBSTITUTE(SUBSTITUTE(INDEX(급여대장_원본!$A$1:$AZ$400,(설정!$B$8+207),설정!$D$18)&amp;"",",",""),"　","")),0))</f>
        <v/>
      </c>
      <c r="H213" s="27">
        <f>IF(설정!$D$19="",0,IFERROR(VALUE(SUBSTITUTE(SUBSTITUTE(INDEX(급여대장_원본!$A$1:$AZ$400,(설정!$B$8+207),설정!$D$19)&amp;"",",",""),"　","")),0))</f>
        <v/>
      </c>
      <c r="I213" s="27">
        <f>IF(설정!$D$20="",0,IFERROR(VALUE(SUBSTITUTE(SUBSTITUTE(INDEX(급여대장_원본!$A$1:$AZ$400,(설정!$B$8+207),설정!$D$20)&amp;"",",",""),"　","")),0))</f>
        <v/>
      </c>
      <c r="J213" s="27">
        <f>IF(설정!$D$21="",0,IFERROR(VALUE(SUBSTITUTE(SUBSTITUTE(INDEX(급여대장_원본!$A$1:$AZ$400,(설정!$B$8+207),설정!$D$21)&amp;"",",",""),"　","")),0))</f>
        <v/>
      </c>
      <c r="K213" s="27">
        <f>IF(설정!$D$22="",0,IFERROR(VALUE(SUBSTITUTE(SUBSTITUTE(INDEX(급여대장_원본!$A$1:$AZ$400,(설정!$B$8+207),설정!$D$22)&amp;"",",",""),"　","")),0))</f>
        <v/>
      </c>
      <c r="L213" s="27">
        <f>IF(설정!$D$23="",0,IFERROR(VALUE(SUBSTITUTE(SUBSTITUTE(INDEX(급여대장_원본!$A$1:$AZ$400,(설정!$B$8+207),설정!$D$23)&amp;"",",",""),"　","")),0))</f>
        <v/>
      </c>
      <c r="M213" s="27">
        <f>IF(설정!$D$24="",0,IFERROR(VALUE(SUBSTITUTE(SUBSTITUTE(INDEX(급여대장_원본!$A$1:$AZ$400,(설정!$B$8+207),설정!$D$24)&amp;"",",",""),"　","")),0))</f>
        <v/>
      </c>
      <c r="N213" s="2">
        <f>IF(OR(설정!$C$17="",IFERROR(MATCH(설정!$C$17,INDEX(급여대장_원본!$A$1:$AZ$400,설정!$B$8,0),0),"")=""),"",IFERROR(VALUE(SUBSTITUTE(INDEX(급여대장_원본!$A$1:$AZ$400,(설정!$B$8+207),IFERROR(MATCH(설정!$C$17,INDEX(급여대장_원본!$A$1:$AZ$400,설정!$B$8,0),0),""))&amp;"",",","")),""))</f>
        <v/>
      </c>
      <c r="O213" s="2">
        <f>IF(OR(설정!$C$18="",IFERROR(MATCH(설정!$C$18,INDEX(급여대장_원본!$A$1:$AZ$400,설정!$B$8,0),0),"")=""),"",IFERROR(VALUE(SUBSTITUTE(INDEX(급여대장_원본!$A$1:$AZ$400,(설정!$B$8+207),IFERROR(MATCH(설정!$C$18,INDEX(급여대장_원본!$A$1:$AZ$400,설정!$B$8,0),0),""))&amp;"",",","")),""))</f>
        <v/>
      </c>
      <c r="P213" s="2">
        <f>IF(OR(설정!$C$19="",IFERROR(MATCH(설정!$C$19,INDEX(급여대장_원본!$A$1:$AZ$400,설정!$B$8,0),0),"")=""),"",IFERROR(VALUE(SUBSTITUTE(INDEX(급여대장_원본!$A$1:$AZ$400,(설정!$B$8+207),IFERROR(MATCH(설정!$C$19,INDEX(급여대장_원본!$A$1:$AZ$400,설정!$B$8,0),0),""))&amp;"",",","")),""))</f>
        <v/>
      </c>
      <c r="Q213" s="2">
        <f>IF(OR(설정!$C$20="",IFERROR(MATCH(설정!$C$20,INDEX(급여대장_원본!$A$1:$AZ$400,설정!$B$8,0),0),"")=""),"",IFERROR(VALUE(SUBSTITUTE(INDEX(급여대장_원본!$A$1:$AZ$400,(설정!$B$8+207),IFERROR(MATCH(설정!$C$20,INDEX(급여대장_원본!$A$1:$AZ$400,설정!$B$8,0),0),""))&amp;"",",","")),""))</f>
        <v/>
      </c>
      <c r="R213" s="2">
        <f>IF(OR(설정!$C$21="",IFERROR(MATCH(설정!$C$21,INDEX(급여대장_원본!$A$1:$AZ$400,설정!$B$8,0),0),"")=""),"",IFERROR(VALUE(SUBSTITUTE(INDEX(급여대장_원본!$A$1:$AZ$400,(설정!$B$8+207),IFERROR(MATCH(설정!$C$21,INDEX(급여대장_원본!$A$1:$AZ$400,설정!$B$8,0),0),""))&amp;"",",","")),""))</f>
        <v/>
      </c>
      <c r="S213" s="2">
        <f>IF(OR(설정!$C$22="",IFERROR(MATCH(설정!$C$22,INDEX(급여대장_원본!$A$1:$AZ$400,설정!$B$8,0),0),"")=""),"",IFERROR(VALUE(SUBSTITUTE(INDEX(급여대장_원본!$A$1:$AZ$400,(설정!$B$8+207),IFERROR(MATCH(설정!$C$22,INDEX(급여대장_원본!$A$1:$AZ$400,설정!$B$8,0),0),""))&amp;"",",","")),""))</f>
        <v/>
      </c>
      <c r="T213" s="2">
        <f>IF(OR(설정!$C$23="",IFERROR(MATCH(설정!$C$23,INDEX(급여대장_원본!$A$1:$AZ$400,설정!$B$8,0),0),"")=""),"",IFERROR(VALUE(SUBSTITUTE(INDEX(급여대장_원본!$A$1:$AZ$400,(설정!$B$8+207),IFERROR(MATCH(설정!$C$23,INDEX(급여대장_원본!$A$1:$AZ$400,설정!$B$8,0),0),""))&amp;"",",","")),""))</f>
        <v/>
      </c>
      <c r="U213" s="2">
        <f>IF(OR(설정!$C$24="",IFERROR(MATCH(설정!$C$24,INDEX(급여대장_원본!$A$1:$AZ$400,설정!$B$8,0),0),"")=""),"",IFERROR(VALUE(SUBSTITUTE(INDEX(급여대장_원본!$A$1:$AZ$400,(설정!$B$8+207),IFERROR(MATCH(설정!$C$24,INDEX(급여대장_원본!$A$1:$AZ$400,설정!$B$8,0),0),""))&amp;"",",","")),""))</f>
        <v/>
      </c>
      <c r="V213" s="27">
        <f>SUM(F213:M213)</f>
        <v/>
      </c>
      <c r="W213" s="27">
        <f>IF(설정!$D$26="",0,IFERROR(VALUE(SUBSTITUTE(SUBSTITUTE(INDEX(급여대장_원본!$A$1:$AZ$400,(설정!$B$8+207),설정!$D$26)&amp;"",",",""),"　","")),0))</f>
        <v/>
      </c>
      <c r="X213" s="27">
        <f>IF(설정!$D$27="",0,IFERROR(VALUE(SUBSTITUTE(SUBSTITUTE(INDEX(급여대장_원본!$A$1:$AZ$400,(설정!$B$8+207),설정!$D$27)&amp;"",",",""),"　","")),0))</f>
        <v/>
      </c>
      <c r="Y213" s="27">
        <f>IF(설정!$D$28="",0,IFERROR(VALUE(SUBSTITUTE(SUBSTITUTE(INDEX(급여대장_원본!$A$1:$AZ$400,(설정!$B$8+207),설정!$D$28)&amp;"",",",""),"　","")),0))</f>
        <v/>
      </c>
      <c r="Z213" s="27">
        <f>IF(설정!$D$29="",0,IFERROR(VALUE(SUBSTITUTE(SUBSTITUTE(INDEX(급여대장_원본!$A$1:$AZ$400,(설정!$B$8+207),설정!$D$29)&amp;"",",",""),"　","")),0))</f>
        <v/>
      </c>
      <c r="AA213" s="27">
        <f>IF(설정!$D$30="",0,IFERROR(VALUE(SUBSTITUTE(SUBSTITUTE(INDEX(급여대장_원본!$A$1:$AZ$400,(설정!$B$8+207),설정!$D$30)&amp;"",",",""),"　","")),0))</f>
        <v/>
      </c>
      <c r="AB213" s="27">
        <f>IF(설정!$D$31="",0,IFERROR(VALUE(SUBSTITUTE(SUBSTITUTE(INDEX(급여대장_원본!$A$1:$AZ$400,(설정!$B$8+207),설정!$D$31)&amp;"",",",""),"　","")),0))</f>
        <v/>
      </c>
      <c r="AC213" s="27">
        <f>IF(설정!$D$32="",0,IFERROR(VALUE(SUBSTITUTE(SUBSTITUTE(INDEX(급여대장_원본!$A$1:$AZ$400,(설정!$B$8+207),설정!$D$32)&amp;"",",",""),"　","")),0))</f>
        <v/>
      </c>
      <c r="AD213" s="27">
        <f>IF(설정!$D$33="",0,IFERROR(VALUE(SUBSTITUTE(SUBSTITUTE(INDEX(급여대장_원본!$A$1:$AZ$400,(설정!$B$8+207),설정!$D$33)&amp;"",",",""),"　","")),0))</f>
        <v/>
      </c>
      <c r="AE213" s="27">
        <f>SUM(W213:AD213)</f>
        <v/>
      </c>
      <c r="AF213" s="27">
        <f>V213-AE213</f>
        <v/>
      </c>
      <c r="AG213" s="27">
        <f>IF(설정!$D$35="","",IF(설정!$D$35="",0,IFERROR(VALUE(SUBSTITUTE(SUBSTITUTE(INDEX(급여대장_원본!$A$1:$AZ$400,(설정!$B$8+207),설정!$D$35)&amp;"",",",""),"　","")),0)))</f>
        <v/>
      </c>
      <c r="AH213" s="27">
        <f>IF(설정!$D$36="","",IF(설정!$D$36="",0,IFERROR(VALUE(SUBSTITUTE(SUBSTITUTE(INDEX(급여대장_원본!$A$1:$AZ$400,(설정!$B$8+207),설정!$D$36)&amp;"",",",""),"　","")),0)))</f>
        <v/>
      </c>
      <c r="AI213" s="27">
        <f>IF(설정!$D$37="","",IF(설정!$D$37="",0,IFERROR(VALUE(SUBSTITUTE(SUBSTITUTE(INDEX(급여대장_원본!$A$1:$AZ$400,(설정!$B$8+207),설정!$D$37)&amp;"",",",""),"　","")),0)))</f>
        <v/>
      </c>
      <c r="AJ213" s="2">
        <f>IFERROR(INDEX($D$7:$D$306,MATCH(207,$B$7:$B$306,0)),"")</f>
        <v/>
      </c>
    </row>
    <row r="214">
      <c r="A214" s="2">
        <f>IF(AND(D214&lt;&gt;"",D214&lt;&gt;"합계",D214&lt;&gt;"총계",D214&lt;&gt;"소계",D214&lt;&gt;"계"),1,0)</f>
        <v/>
      </c>
      <c r="B214" s="2">
        <f>IF(A214=1,SUM($A$7:A214),"")</f>
        <v/>
      </c>
      <c r="C214" s="2">
        <f>IF(설정!$D$13="","",TRIM(SUBSTITUTE(INDEX(급여대장_원본!$A$1:$AZ$400,(설정!$B$8+208),설정!$D$13)&amp;"","　"," ")))</f>
        <v/>
      </c>
      <c r="D214" s="2">
        <f>IF(설정!$D$14="","",TRIM(SUBSTITUTE(INDEX(급여대장_원본!$A$1:$AZ$400,(설정!$B$8+208),설정!$D$14)&amp;"","　"," ")))</f>
        <v/>
      </c>
      <c r="E214" s="2">
        <f>IF(설정!$D$15="","",TRIM(SUBSTITUTE(INDEX(급여대장_원본!$A$1:$AZ$400,(설정!$B$8+208),설정!$D$15)&amp;"","　"," ")))</f>
        <v/>
      </c>
      <c r="F214" s="27">
        <f>IF(설정!$D$17="",0,IFERROR(VALUE(SUBSTITUTE(SUBSTITUTE(INDEX(급여대장_원본!$A$1:$AZ$400,(설정!$B$8+208),설정!$D$17)&amp;"",",",""),"　","")),0))</f>
        <v/>
      </c>
      <c r="G214" s="27">
        <f>IF(설정!$D$18="",0,IFERROR(VALUE(SUBSTITUTE(SUBSTITUTE(INDEX(급여대장_원본!$A$1:$AZ$400,(설정!$B$8+208),설정!$D$18)&amp;"",",",""),"　","")),0))</f>
        <v/>
      </c>
      <c r="H214" s="27">
        <f>IF(설정!$D$19="",0,IFERROR(VALUE(SUBSTITUTE(SUBSTITUTE(INDEX(급여대장_원본!$A$1:$AZ$400,(설정!$B$8+208),설정!$D$19)&amp;"",",",""),"　","")),0))</f>
        <v/>
      </c>
      <c r="I214" s="27">
        <f>IF(설정!$D$20="",0,IFERROR(VALUE(SUBSTITUTE(SUBSTITUTE(INDEX(급여대장_원본!$A$1:$AZ$400,(설정!$B$8+208),설정!$D$20)&amp;"",",",""),"　","")),0))</f>
        <v/>
      </c>
      <c r="J214" s="27">
        <f>IF(설정!$D$21="",0,IFERROR(VALUE(SUBSTITUTE(SUBSTITUTE(INDEX(급여대장_원본!$A$1:$AZ$400,(설정!$B$8+208),설정!$D$21)&amp;"",",",""),"　","")),0))</f>
        <v/>
      </c>
      <c r="K214" s="27">
        <f>IF(설정!$D$22="",0,IFERROR(VALUE(SUBSTITUTE(SUBSTITUTE(INDEX(급여대장_원본!$A$1:$AZ$400,(설정!$B$8+208),설정!$D$22)&amp;"",",",""),"　","")),0))</f>
        <v/>
      </c>
      <c r="L214" s="27">
        <f>IF(설정!$D$23="",0,IFERROR(VALUE(SUBSTITUTE(SUBSTITUTE(INDEX(급여대장_원본!$A$1:$AZ$400,(설정!$B$8+208),설정!$D$23)&amp;"",",",""),"　","")),0))</f>
        <v/>
      </c>
      <c r="M214" s="27">
        <f>IF(설정!$D$24="",0,IFERROR(VALUE(SUBSTITUTE(SUBSTITUTE(INDEX(급여대장_원본!$A$1:$AZ$400,(설정!$B$8+208),설정!$D$24)&amp;"",",",""),"　","")),0))</f>
        <v/>
      </c>
      <c r="N214" s="2">
        <f>IF(OR(설정!$C$17="",IFERROR(MATCH(설정!$C$17,INDEX(급여대장_원본!$A$1:$AZ$400,설정!$B$8,0),0),"")=""),"",IFERROR(VALUE(SUBSTITUTE(INDEX(급여대장_원본!$A$1:$AZ$400,(설정!$B$8+208),IFERROR(MATCH(설정!$C$17,INDEX(급여대장_원본!$A$1:$AZ$400,설정!$B$8,0),0),""))&amp;"",",","")),""))</f>
        <v/>
      </c>
      <c r="O214" s="2">
        <f>IF(OR(설정!$C$18="",IFERROR(MATCH(설정!$C$18,INDEX(급여대장_원본!$A$1:$AZ$400,설정!$B$8,0),0),"")=""),"",IFERROR(VALUE(SUBSTITUTE(INDEX(급여대장_원본!$A$1:$AZ$400,(설정!$B$8+208),IFERROR(MATCH(설정!$C$18,INDEX(급여대장_원본!$A$1:$AZ$400,설정!$B$8,0),0),""))&amp;"",",","")),""))</f>
        <v/>
      </c>
      <c r="P214" s="2">
        <f>IF(OR(설정!$C$19="",IFERROR(MATCH(설정!$C$19,INDEX(급여대장_원본!$A$1:$AZ$400,설정!$B$8,0),0),"")=""),"",IFERROR(VALUE(SUBSTITUTE(INDEX(급여대장_원본!$A$1:$AZ$400,(설정!$B$8+208),IFERROR(MATCH(설정!$C$19,INDEX(급여대장_원본!$A$1:$AZ$400,설정!$B$8,0),0),""))&amp;"",",","")),""))</f>
        <v/>
      </c>
      <c r="Q214" s="2">
        <f>IF(OR(설정!$C$20="",IFERROR(MATCH(설정!$C$20,INDEX(급여대장_원본!$A$1:$AZ$400,설정!$B$8,0),0),"")=""),"",IFERROR(VALUE(SUBSTITUTE(INDEX(급여대장_원본!$A$1:$AZ$400,(설정!$B$8+208),IFERROR(MATCH(설정!$C$20,INDEX(급여대장_원본!$A$1:$AZ$400,설정!$B$8,0),0),""))&amp;"",",","")),""))</f>
        <v/>
      </c>
      <c r="R214" s="2">
        <f>IF(OR(설정!$C$21="",IFERROR(MATCH(설정!$C$21,INDEX(급여대장_원본!$A$1:$AZ$400,설정!$B$8,0),0),"")=""),"",IFERROR(VALUE(SUBSTITUTE(INDEX(급여대장_원본!$A$1:$AZ$400,(설정!$B$8+208),IFERROR(MATCH(설정!$C$21,INDEX(급여대장_원본!$A$1:$AZ$400,설정!$B$8,0),0),""))&amp;"",",","")),""))</f>
        <v/>
      </c>
      <c r="S214" s="2">
        <f>IF(OR(설정!$C$22="",IFERROR(MATCH(설정!$C$22,INDEX(급여대장_원본!$A$1:$AZ$400,설정!$B$8,0),0),"")=""),"",IFERROR(VALUE(SUBSTITUTE(INDEX(급여대장_원본!$A$1:$AZ$400,(설정!$B$8+208),IFERROR(MATCH(설정!$C$22,INDEX(급여대장_원본!$A$1:$AZ$400,설정!$B$8,0),0),""))&amp;"",",","")),""))</f>
        <v/>
      </c>
      <c r="T214" s="2">
        <f>IF(OR(설정!$C$23="",IFERROR(MATCH(설정!$C$23,INDEX(급여대장_원본!$A$1:$AZ$400,설정!$B$8,0),0),"")=""),"",IFERROR(VALUE(SUBSTITUTE(INDEX(급여대장_원본!$A$1:$AZ$400,(설정!$B$8+208),IFERROR(MATCH(설정!$C$23,INDEX(급여대장_원본!$A$1:$AZ$400,설정!$B$8,0),0),""))&amp;"",",","")),""))</f>
        <v/>
      </c>
      <c r="U214" s="2">
        <f>IF(OR(설정!$C$24="",IFERROR(MATCH(설정!$C$24,INDEX(급여대장_원본!$A$1:$AZ$400,설정!$B$8,0),0),"")=""),"",IFERROR(VALUE(SUBSTITUTE(INDEX(급여대장_원본!$A$1:$AZ$400,(설정!$B$8+208),IFERROR(MATCH(설정!$C$24,INDEX(급여대장_원본!$A$1:$AZ$400,설정!$B$8,0),0),""))&amp;"",",","")),""))</f>
        <v/>
      </c>
      <c r="V214" s="27">
        <f>SUM(F214:M214)</f>
        <v/>
      </c>
      <c r="W214" s="27">
        <f>IF(설정!$D$26="",0,IFERROR(VALUE(SUBSTITUTE(SUBSTITUTE(INDEX(급여대장_원본!$A$1:$AZ$400,(설정!$B$8+208),설정!$D$26)&amp;"",",",""),"　","")),0))</f>
        <v/>
      </c>
      <c r="X214" s="27">
        <f>IF(설정!$D$27="",0,IFERROR(VALUE(SUBSTITUTE(SUBSTITUTE(INDEX(급여대장_원본!$A$1:$AZ$400,(설정!$B$8+208),설정!$D$27)&amp;"",",",""),"　","")),0))</f>
        <v/>
      </c>
      <c r="Y214" s="27">
        <f>IF(설정!$D$28="",0,IFERROR(VALUE(SUBSTITUTE(SUBSTITUTE(INDEX(급여대장_원본!$A$1:$AZ$400,(설정!$B$8+208),설정!$D$28)&amp;"",",",""),"　","")),0))</f>
        <v/>
      </c>
      <c r="Z214" s="27">
        <f>IF(설정!$D$29="",0,IFERROR(VALUE(SUBSTITUTE(SUBSTITUTE(INDEX(급여대장_원본!$A$1:$AZ$400,(설정!$B$8+208),설정!$D$29)&amp;"",",",""),"　","")),0))</f>
        <v/>
      </c>
      <c r="AA214" s="27">
        <f>IF(설정!$D$30="",0,IFERROR(VALUE(SUBSTITUTE(SUBSTITUTE(INDEX(급여대장_원본!$A$1:$AZ$400,(설정!$B$8+208),설정!$D$30)&amp;"",",",""),"　","")),0))</f>
        <v/>
      </c>
      <c r="AB214" s="27">
        <f>IF(설정!$D$31="",0,IFERROR(VALUE(SUBSTITUTE(SUBSTITUTE(INDEX(급여대장_원본!$A$1:$AZ$400,(설정!$B$8+208),설정!$D$31)&amp;"",",",""),"　","")),0))</f>
        <v/>
      </c>
      <c r="AC214" s="27">
        <f>IF(설정!$D$32="",0,IFERROR(VALUE(SUBSTITUTE(SUBSTITUTE(INDEX(급여대장_원본!$A$1:$AZ$400,(설정!$B$8+208),설정!$D$32)&amp;"",",",""),"　","")),0))</f>
        <v/>
      </c>
      <c r="AD214" s="27">
        <f>IF(설정!$D$33="",0,IFERROR(VALUE(SUBSTITUTE(SUBSTITUTE(INDEX(급여대장_원본!$A$1:$AZ$400,(설정!$B$8+208),설정!$D$33)&amp;"",",",""),"　","")),0))</f>
        <v/>
      </c>
      <c r="AE214" s="27">
        <f>SUM(W214:AD214)</f>
        <v/>
      </c>
      <c r="AF214" s="27">
        <f>V214-AE214</f>
        <v/>
      </c>
      <c r="AG214" s="27">
        <f>IF(설정!$D$35="","",IF(설정!$D$35="",0,IFERROR(VALUE(SUBSTITUTE(SUBSTITUTE(INDEX(급여대장_원본!$A$1:$AZ$400,(설정!$B$8+208),설정!$D$35)&amp;"",",",""),"　","")),0)))</f>
        <v/>
      </c>
      <c r="AH214" s="27">
        <f>IF(설정!$D$36="","",IF(설정!$D$36="",0,IFERROR(VALUE(SUBSTITUTE(SUBSTITUTE(INDEX(급여대장_원본!$A$1:$AZ$400,(설정!$B$8+208),설정!$D$36)&amp;"",",",""),"　","")),0)))</f>
        <v/>
      </c>
      <c r="AI214" s="27">
        <f>IF(설정!$D$37="","",IF(설정!$D$37="",0,IFERROR(VALUE(SUBSTITUTE(SUBSTITUTE(INDEX(급여대장_원본!$A$1:$AZ$400,(설정!$B$8+208),설정!$D$37)&amp;"",",",""),"　","")),0)))</f>
        <v/>
      </c>
      <c r="AJ214" s="2">
        <f>IFERROR(INDEX($D$7:$D$306,MATCH(208,$B$7:$B$306,0)),"")</f>
        <v/>
      </c>
    </row>
    <row r="215">
      <c r="A215" s="2">
        <f>IF(AND(D215&lt;&gt;"",D215&lt;&gt;"합계",D215&lt;&gt;"총계",D215&lt;&gt;"소계",D215&lt;&gt;"계"),1,0)</f>
        <v/>
      </c>
      <c r="B215" s="2">
        <f>IF(A215=1,SUM($A$7:A215),"")</f>
        <v/>
      </c>
      <c r="C215" s="2">
        <f>IF(설정!$D$13="","",TRIM(SUBSTITUTE(INDEX(급여대장_원본!$A$1:$AZ$400,(설정!$B$8+209),설정!$D$13)&amp;"","　"," ")))</f>
        <v/>
      </c>
      <c r="D215" s="2">
        <f>IF(설정!$D$14="","",TRIM(SUBSTITUTE(INDEX(급여대장_원본!$A$1:$AZ$400,(설정!$B$8+209),설정!$D$14)&amp;"","　"," ")))</f>
        <v/>
      </c>
      <c r="E215" s="2">
        <f>IF(설정!$D$15="","",TRIM(SUBSTITUTE(INDEX(급여대장_원본!$A$1:$AZ$400,(설정!$B$8+209),설정!$D$15)&amp;"","　"," ")))</f>
        <v/>
      </c>
      <c r="F215" s="27">
        <f>IF(설정!$D$17="",0,IFERROR(VALUE(SUBSTITUTE(SUBSTITUTE(INDEX(급여대장_원본!$A$1:$AZ$400,(설정!$B$8+209),설정!$D$17)&amp;"",",",""),"　","")),0))</f>
        <v/>
      </c>
      <c r="G215" s="27">
        <f>IF(설정!$D$18="",0,IFERROR(VALUE(SUBSTITUTE(SUBSTITUTE(INDEX(급여대장_원본!$A$1:$AZ$400,(설정!$B$8+209),설정!$D$18)&amp;"",",",""),"　","")),0))</f>
        <v/>
      </c>
      <c r="H215" s="27">
        <f>IF(설정!$D$19="",0,IFERROR(VALUE(SUBSTITUTE(SUBSTITUTE(INDEX(급여대장_원본!$A$1:$AZ$400,(설정!$B$8+209),설정!$D$19)&amp;"",",",""),"　","")),0))</f>
        <v/>
      </c>
      <c r="I215" s="27">
        <f>IF(설정!$D$20="",0,IFERROR(VALUE(SUBSTITUTE(SUBSTITUTE(INDEX(급여대장_원본!$A$1:$AZ$400,(설정!$B$8+209),설정!$D$20)&amp;"",",",""),"　","")),0))</f>
        <v/>
      </c>
      <c r="J215" s="27">
        <f>IF(설정!$D$21="",0,IFERROR(VALUE(SUBSTITUTE(SUBSTITUTE(INDEX(급여대장_원본!$A$1:$AZ$400,(설정!$B$8+209),설정!$D$21)&amp;"",",",""),"　","")),0))</f>
        <v/>
      </c>
      <c r="K215" s="27">
        <f>IF(설정!$D$22="",0,IFERROR(VALUE(SUBSTITUTE(SUBSTITUTE(INDEX(급여대장_원본!$A$1:$AZ$400,(설정!$B$8+209),설정!$D$22)&amp;"",",",""),"　","")),0))</f>
        <v/>
      </c>
      <c r="L215" s="27">
        <f>IF(설정!$D$23="",0,IFERROR(VALUE(SUBSTITUTE(SUBSTITUTE(INDEX(급여대장_원본!$A$1:$AZ$400,(설정!$B$8+209),설정!$D$23)&amp;"",",",""),"　","")),0))</f>
        <v/>
      </c>
      <c r="M215" s="27">
        <f>IF(설정!$D$24="",0,IFERROR(VALUE(SUBSTITUTE(SUBSTITUTE(INDEX(급여대장_원본!$A$1:$AZ$400,(설정!$B$8+209),설정!$D$24)&amp;"",",",""),"　","")),0))</f>
        <v/>
      </c>
      <c r="N215" s="2">
        <f>IF(OR(설정!$C$17="",IFERROR(MATCH(설정!$C$17,INDEX(급여대장_원본!$A$1:$AZ$400,설정!$B$8,0),0),"")=""),"",IFERROR(VALUE(SUBSTITUTE(INDEX(급여대장_원본!$A$1:$AZ$400,(설정!$B$8+209),IFERROR(MATCH(설정!$C$17,INDEX(급여대장_원본!$A$1:$AZ$400,설정!$B$8,0),0),""))&amp;"",",","")),""))</f>
        <v/>
      </c>
      <c r="O215" s="2">
        <f>IF(OR(설정!$C$18="",IFERROR(MATCH(설정!$C$18,INDEX(급여대장_원본!$A$1:$AZ$400,설정!$B$8,0),0),"")=""),"",IFERROR(VALUE(SUBSTITUTE(INDEX(급여대장_원본!$A$1:$AZ$400,(설정!$B$8+209),IFERROR(MATCH(설정!$C$18,INDEX(급여대장_원본!$A$1:$AZ$400,설정!$B$8,0),0),""))&amp;"",",","")),""))</f>
        <v/>
      </c>
      <c r="P215" s="2">
        <f>IF(OR(설정!$C$19="",IFERROR(MATCH(설정!$C$19,INDEX(급여대장_원본!$A$1:$AZ$400,설정!$B$8,0),0),"")=""),"",IFERROR(VALUE(SUBSTITUTE(INDEX(급여대장_원본!$A$1:$AZ$400,(설정!$B$8+209),IFERROR(MATCH(설정!$C$19,INDEX(급여대장_원본!$A$1:$AZ$400,설정!$B$8,0),0),""))&amp;"",",","")),""))</f>
        <v/>
      </c>
      <c r="Q215" s="2">
        <f>IF(OR(설정!$C$20="",IFERROR(MATCH(설정!$C$20,INDEX(급여대장_원본!$A$1:$AZ$400,설정!$B$8,0),0),"")=""),"",IFERROR(VALUE(SUBSTITUTE(INDEX(급여대장_원본!$A$1:$AZ$400,(설정!$B$8+209),IFERROR(MATCH(설정!$C$20,INDEX(급여대장_원본!$A$1:$AZ$400,설정!$B$8,0),0),""))&amp;"",",","")),""))</f>
        <v/>
      </c>
      <c r="R215" s="2">
        <f>IF(OR(설정!$C$21="",IFERROR(MATCH(설정!$C$21,INDEX(급여대장_원본!$A$1:$AZ$400,설정!$B$8,0),0),"")=""),"",IFERROR(VALUE(SUBSTITUTE(INDEX(급여대장_원본!$A$1:$AZ$400,(설정!$B$8+209),IFERROR(MATCH(설정!$C$21,INDEX(급여대장_원본!$A$1:$AZ$400,설정!$B$8,0),0),""))&amp;"",",","")),""))</f>
        <v/>
      </c>
      <c r="S215" s="2">
        <f>IF(OR(설정!$C$22="",IFERROR(MATCH(설정!$C$22,INDEX(급여대장_원본!$A$1:$AZ$400,설정!$B$8,0),0),"")=""),"",IFERROR(VALUE(SUBSTITUTE(INDEX(급여대장_원본!$A$1:$AZ$400,(설정!$B$8+209),IFERROR(MATCH(설정!$C$22,INDEX(급여대장_원본!$A$1:$AZ$400,설정!$B$8,0),0),""))&amp;"",",","")),""))</f>
        <v/>
      </c>
      <c r="T215" s="2">
        <f>IF(OR(설정!$C$23="",IFERROR(MATCH(설정!$C$23,INDEX(급여대장_원본!$A$1:$AZ$400,설정!$B$8,0),0),"")=""),"",IFERROR(VALUE(SUBSTITUTE(INDEX(급여대장_원본!$A$1:$AZ$400,(설정!$B$8+209),IFERROR(MATCH(설정!$C$23,INDEX(급여대장_원본!$A$1:$AZ$400,설정!$B$8,0),0),""))&amp;"",",","")),""))</f>
        <v/>
      </c>
      <c r="U215" s="2">
        <f>IF(OR(설정!$C$24="",IFERROR(MATCH(설정!$C$24,INDEX(급여대장_원본!$A$1:$AZ$400,설정!$B$8,0),0),"")=""),"",IFERROR(VALUE(SUBSTITUTE(INDEX(급여대장_원본!$A$1:$AZ$400,(설정!$B$8+209),IFERROR(MATCH(설정!$C$24,INDEX(급여대장_원본!$A$1:$AZ$400,설정!$B$8,0),0),""))&amp;"",",","")),""))</f>
        <v/>
      </c>
      <c r="V215" s="27">
        <f>SUM(F215:M215)</f>
        <v/>
      </c>
      <c r="W215" s="27">
        <f>IF(설정!$D$26="",0,IFERROR(VALUE(SUBSTITUTE(SUBSTITUTE(INDEX(급여대장_원본!$A$1:$AZ$400,(설정!$B$8+209),설정!$D$26)&amp;"",",",""),"　","")),0))</f>
        <v/>
      </c>
      <c r="X215" s="27">
        <f>IF(설정!$D$27="",0,IFERROR(VALUE(SUBSTITUTE(SUBSTITUTE(INDEX(급여대장_원본!$A$1:$AZ$400,(설정!$B$8+209),설정!$D$27)&amp;"",",",""),"　","")),0))</f>
        <v/>
      </c>
      <c r="Y215" s="27">
        <f>IF(설정!$D$28="",0,IFERROR(VALUE(SUBSTITUTE(SUBSTITUTE(INDEX(급여대장_원본!$A$1:$AZ$400,(설정!$B$8+209),설정!$D$28)&amp;"",",",""),"　","")),0))</f>
        <v/>
      </c>
      <c r="Z215" s="27">
        <f>IF(설정!$D$29="",0,IFERROR(VALUE(SUBSTITUTE(SUBSTITUTE(INDEX(급여대장_원본!$A$1:$AZ$400,(설정!$B$8+209),설정!$D$29)&amp;"",",",""),"　","")),0))</f>
        <v/>
      </c>
      <c r="AA215" s="27">
        <f>IF(설정!$D$30="",0,IFERROR(VALUE(SUBSTITUTE(SUBSTITUTE(INDEX(급여대장_원본!$A$1:$AZ$400,(설정!$B$8+209),설정!$D$30)&amp;"",",",""),"　","")),0))</f>
        <v/>
      </c>
      <c r="AB215" s="27">
        <f>IF(설정!$D$31="",0,IFERROR(VALUE(SUBSTITUTE(SUBSTITUTE(INDEX(급여대장_원본!$A$1:$AZ$400,(설정!$B$8+209),설정!$D$31)&amp;"",",",""),"　","")),0))</f>
        <v/>
      </c>
      <c r="AC215" s="27">
        <f>IF(설정!$D$32="",0,IFERROR(VALUE(SUBSTITUTE(SUBSTITUTE(INDEX(급여대장_원본!$A$1:$AZ$400,(설정!$B$8+209),설정!$D$32)&amp;"",",",""),"　","")),0))</f>
        <v/>
      </c>
      <c r="AD215" s="27">
        <f>IF(설정!$D$33="",0,IFERROR(VALUE(SUBSTITUTE(SUBSTITUTE(INDEX(급여대장_원본!$A$1:$AZ$400,(설정!$B$8+209),설정!$D$33)&amp;"",",",""),"　","")),0))</f>
        <v/>
      </c>
      <c r="AE215" s="27">
        <f>SUM(W215:AD215)</f>
        <v/>
      </c>
      <c r="AF215" s="27">
        <f>V215-AE215</f>
        <v/>
      </c>
      <c r="AG215" s="27">
        <f>IF(설정!$D$35="","",IF(설정!$D$35="",0,IFERROR(VALUE(SUBSTITUTE(SUBSTITUTE(INDEX(급여대장_원본!$A$1:$AZ$400,(설정!$B$8+209),설정!$D$35)&amp;"",",",""),"　","")),0)))</f>
        <v/>
      </c>
      <c r="AH215" s="27">
        <f>IF(설정!$D$36="","",IF(설정!$D$36="",0,IFERROR(VALUE(SUBSTITUTE(SUBSTITUTE(INDEX(급여대장_원본!$A$1:$AZ$400,(설정!$B$8+209),설정!$D$36)&amp;"",",",""),"　","")),0)))</f>
        <v/>
      </c>
      <c r="AI215" s="27">
        <f>IF(설정!$D$37="","",IF(설정!$D$37="",0,IFERROR(VALUE(SUBSTITUTE(SUBSTITUTE(INDEX(급여대장_원본!$A$1:$AZ$400,(설정!$B$8+209),설정!$D$37)&amp;"",",",""),"　","")),0)))</f>
        <v/>
      </c>
      <c r="AJ215" s="2">
        <f>IFERROR(INDEX($D$7:$D$306,MATCH(209,$B$7:$B$306,0)),"")</f>
        <v/>
      </c>
    </row>
    <row r="216">
      <c r="A216" s="2">
        <f>IF(AND(D216&lt;&gt;"",D216&lt;&gt;"합계",D216&lt;&gt;"총계",D216&lt;&gt;"소계",D216&lt;&gt;"계"),1,0)</f>
        <v/>
      </c>
      <c r="B216" s="2">
        <f>IF(A216=1,SUM($A$7:A216),"")</f>
        <v/>
      </c>
      <c r="C216" s="2">
        <f>IF(설정!$D$13="","",TRIM(SUBSTITUTE(INDEX(급여대장_원본!$A$1:$AZ$400,(설정!$B$8+210),설정!$D$13)&amp;"","　"," ")))</f>
        <v/>
      </c>
      <c r="D216" s="2">
        <f>IF(설정!$D$14="","",TRIM(SUBSTITUTE(INDEX(급여대장_원본!$A$1:$AZ$400,(설정!$B$8+210),설정!$D$14)&amp;"","　"," ")))</f>
        <v/>
      </c>
      <c r="E216" s="2">
        <f>IF(설정!$D$15="","",TRIM(SUBSTITUTE(INDEX(급여대장_원본!$A$1:$AZ$400,(설정!$B$8+210),설정!$D$15)&amp;"","　"," ")))</f>
        <v/>
      </c>
      <c r="F216" s="27">
        <f>IF(설정!$D$17="",0,IFERROR(VALUE(SUBSTITUTE(SUBSTITUTE(INDEX(급여대장_원본!$A$1:$AZ$400,(설정!$B$8+210),설정!$D$17)&amp;"",",",""),"　","")),0))</f>
        <v/>
      </c>
      <c r="G216" s="27">
        <f>IF(설정!$D$18="",0,IFERROR(VALUE(SUBSTITUTE(SUBSTITUTE(INDEX(급여대장_원본!$A$1:$AZ$400,(설정!$B$8+210),설정!$D$18)&amp;"",",",""),"　","")),0))</f>
        <v/>
      </c>
      <c r="H216" s="27">
        <f>IF(설정!$D$19="",0,IFERROR(VALUE(SUBSTITUTE(SUBSTITUTE(INDEX(급여대장_원본!$A$1:$AZ$400,(설정!$B$8+210),설정!$D$19)&amp;"",",",""),"　","")),0))</f>
        <v/>
      </c>
      <c r="I216" s="27">
        <f>IF(설정!$D$20="",0,IFERROR(VALUE(SUBSTITUTE(SUBSTITUTE(INDEX(급여대장_원본!$A$1:$AZ$400,(설정!$B$8+210),설정!$D$20)&amp;"",",",""),"　","")),0))</f>
        <v/>
      </c>
      <c r="J216" s="27">
        <f>IF(설정!$D$21="",0,IFERROR(VALUE(SUBSTITUTE(SUBSTITUTE(INDEX(급여대장_원본!$A$1:$AZ$400,(설정!$B$8+210),설정!$D$21)&amp;"",",",""),"　","")),0))</f>
        <v/>
      </c>
      <c r="K216" s="27">
        <f>IF(설정!$D$22="",0,IFERROR(VALUE(SUBSTITUTE(SUBSTITUTE(INDEX(급여대장_원본!$A$1:$AZ$400,(설정!$B$8+210),설정!$D$22)&amp;"",",",""),"　","")),0))</f>
        <v/>
      </c>
      <c r="L216" s="27">
        <f>IF(설정!$D$23="",0,IFERROR(VALUE(SUBSTITUTE(SUBSTITUTE(INDEX(급여대장_원본!$A$1:$AZ$400,(설정!$B$8+210),설정!$D$23)&amp;"",",",""),"　","")),0))</f>
        <v/>
      </c>
      <c r="M216" s="27">
        <f>IF(설정!$D$24="",0,IFERROR(VALUE(SUBSTITUTE(SUBSTITUTE(INDEX(급여대장_원본!$A$1:$AZ$400,(설정!$B$8+210),설정!$D$24)&amp;"",",",""),"　","")),0))</f>
        <v/>
      </c>
      <c r="N216" s="2">
        <f>IF(OR(설정!$C$17="",IFERROR(MATCH(설정!$C$17,INDEX(급여대장_원본!$A$1:$AZ$400,설정!$B$8,0),0),"")=""),"",IFERROR(VALUE(SUBSTITUTE(INDEX(급여대장_원본!$A$1:$AZ$400,(설정!$B$8+210),IFERROR(MATCH(설정!$C$17,INDEX(급여대장_원본!$A$1:$AZ$400,설정!$B$8,0),0),""))&amp;"",",","")),""))</f>
        <v/>
      </c>
      <c r="O216" s="2">
        <f>IF(OR(설정!$C$18="",IFERROR(MATCH(설정!$C$18,INDEX(급여대장_원본!$A$1:$AZ$400,설정!$B$8,0),0),"")=""),"",IFERROR(VALUE(SUBSTITUTE(INDEX(급여대장_원본!$A$1:$AZ$400,(설정!$B$8+210),IFERROR(MATCH(설정!$C$18,INDEX(급여대장_원본!$A$1:$AZ$400,설정!$B$8,0),0),""))&amp;"",",","")),""))</f>
        <v/>
      </c>
      <c r="P216" s="2">
        <f>IF(OR(설정!$C$19="",IFERROR(MATCH(설정!$C$19,INDEX(급여대장_원본!$A$1:$AZ$400,설정!$B$8,0),0),"")=""),"",IFERROR(VALUE(SUBSTITUTE(INDEX(급여대장_원본!$A$1:$AZ$400,(설정!$B$8+210),IFERROR(MATCH(설정!$C$19,INDEX(급여대장_원본!$A$1:$AZ$400,설정!$B$8,0),0),""))&amp;"",",","")),""))</f>
        <v/>
      </c>
      <c r="Q216" s="2">
        <f>IF(OR(설정!$C$20="",IFERROR(MATCH(설정!$C$20,INDEX(급여대장_원본!$A$1:$AZ$400,설정!$B$8,0),0),"")=""),"",IFERROR(VALUE(SUBSTITUTE(INDEX(급여대장_원본!$A$1:$AZ$400,(설정!$B$8+210),IFERROR(MATCH(설정!$C$20,INDEX(급여대장_원본!$A$1:$AZ$400,설정!$B$8,0),0),""))&amp;"",",","")),""))</f>
        <v/>
      </c>
      <c r="R216" s="2">
        <f>IF(OR(설정!$C$21="",IFERROR(MATCH(설정!$C$21,INDEX(급여대장_원본!$A$1:$AZ$400,설정!$B$8,0),0),"")=""),"",IFERROR(VALUE(SUBSTITUTE(INDEX(급여대장_원본!$A$1:$AZ$400,(설정!$B$8+210),IFERROR(MATCH(설정!$C$21,INDEX(급여대장_원본!$A$1:$AZ$400,설정!$B$8,0),0),""))&amp;"",",","")),""))</f>
        <v/>
      </c>
      <c r="S216" s="2">
        <f>IF(OR(설정!$C$22="",IFERROR(MATCH(설정!$C$22,INDEX(급여대장_원본!$A$1:$AZ$400,설정!$B$8,0),0),"")=""),"",IFERROR(VALUE(SUBSTITUTE(INDEX(급여대장_원본!$A$1:$AZ$400,(설정!$B$8+210),IFERROR(MATCH(설정!$C$22,INDEX(급여대장_원본!$A$1:$AZ$400,설정!$B$8,0),0),""))&amp;"",",","")),""))</f>
        <v/>
      </c>
      <c r="T216" s="2">
        <f>IF(OR(설정!$C$23="",IFERROR(MATCH(설정!$C$23,INDEX(급여대장_원본!$A$1:$AZ$400,설정!$B$8,0),0),"")=""),"",IFERROR(VALUE(SUBSTITUTE(INDEX(급여대장_원본!$A$1:$AZ$400,(설정!$B$8+210),IFERROR(MATCH(설정!$C$23,INDEX(급여대장_원본!$A$1:$AZ$400,설정!$B$8,0),0),""))&amp;"",",","")),""))</f>
        <v/>
      </c>
      <c r="U216" s="2">
        <f>IF(OR(설정!$C$24="",IFERROR(MATCH(설정!$C$24,INDEX(급여대장_원본!$A$1:$AZ$400,설정!$B$8,0),0),"")=""),"",IFERROR(VALUE(SUBSTITUTE(INDEX(급여대장_원본!$A$1:$AZ$400,(설정!$B$8+210),IFERROR(MATCH(설정!$C$24,INDEX(급여대장_원본!$A$1:$AZ$400,설정!$B$8,0),0),""))&amp;"",",","")),""))</f>
        <v/>
      </c>
      <c r="V216" s="27">
        <f>SUM(F216:M216)</f>
        <v/>
      </c>
      <c r="W216" s="27">
        <f>IF(설정!$D$26="",0,IFERROR(VALUE(SUBSTITUTE(SUBSTITUTE(INDEX(급여대장_원본!$A$1:$AZ$400,(설정!$B$8+210),설정!$D$26)&amp;"",",",""),"　","")),0))</f>
        <v/>
      </c>
      <c r="X216" s="27">
        <f>IF(설정!$D$27="",0,IFERROR(VALUE(SUBSTITUTE(SUBSTITUTE(INDEX(급여대장_원본!$A$1:$AZ$400,(설정!$B$8+210),설정!$D$27)&amp;"",",",""),"　","")),0))</f>
        <v/>
      </c>
      <c r="Y216" s="27">
        <f>IF(설정!$D$28="",0,IFERROR(VALUE(SUBSTITUTE(SUBSTITUTE(INDEX(급여대장_원본!$A$1:$AZ$400,(설정!$B$8+210),설정!$D$28)&amp;"",",",""),"　","")),0))</f>
        <v/>
      </c>
      <c r="Z216" s="27">
        <f>IF(설정!$D$29="",0,IFERROR(VALUE(SUBSTITUTE(SUBSTITUTE(INDEX(급여대장_원본!$A$1:$AZ$400,(설정!$B$8+210),설정!$D$29)&amp;"",",",""),"　","")),0))</f>
        <v/>
      </c>
      <c r="AA216" s="27">
        <f>IF(설정!$D$30="",0,IFERROR(VALUE(SUBSTITUTE(SUBSTITUTE(INDEX(급여대장_원본!$A$1:$AZ$400,(설정!$B$8+210),설정!$D$30)&amp;"",",",""),"　","")),0))</f>
        <v/>
      </c>
      <c r="AB216" s="27">
        <f>IF(설정!$D$31="",0,IFERROR(VALUE(SUBSTITUTE(SUBSTITUTE(INDEX(급여대장_원본!$A$1:$AZ$400,(설정!$B$8+210),설정!$D$31)&amp;"",",",""),"　","")),0))</f>
        <v/>
      </c>
      <c r="AC216" s="27">
        <f>IF(설정!$D$32="",0,IFERROR(VALUE(SUBSTITUTE(SUBSTITUTE(INDEX(급여대장_원본!$A$1:$AZ$400,(설정!$B$8+210),설정!$D$32)&amp;"",",",""),"　","")),0))</f>
        <v/>
      </c>
      <c r="AD216" s="27">
        <f>IF(설정!$D$33="",0,IFERROR(VALUE(SUBSTITUTE(SUBSTITUTE(INDEX(급여대장_원본!$A$1:$AZ$400,(설정!$B$8+210),설정!$D$33)&amp;"",",",""),"　","")),0))</f>
        <v/>
      </c>
      <c r="AE216" s="27">
        <f>SUM(W216:AD216)</f>
        <v/>
      </c>
      <c r="AF216" s="27">
        <f>V216-AE216</f>
        <v/>
      </c>
      <c r="AG216" s="27">
        <f>IF(설정!$D$35="","",IF(설정!$D$35="",0,IFERROR(VALUE(SUBSTITUTE(SUBSTITUTE(INDEX(급여대장_원본!$A$1:$AZ$400,(설정!$B$8+210),설정!$D$35)&amp;"",",",""),"　","")),0)))</f>
        <v/>
      </c>
      <c r="AH216" s="27">
        <f>IF(설정!$D$36="","",IF(설정!$D$36="",0,IFERROR(VALUE(SUBSTITUTE(SUBSTITUTE(INDEX(급여대장_원본!$A$1:$AZ$400,(설정!$B$8+210),설정!$D$36)&amp;"",",",""),"　","")),0)))</f>
        <v/>
      </c>
      <c r="AI216" s="27">
        <f>IF(설정!$D$37="","",IF(설정!$D$37="",0,IFERROR(VALUE(SUBSTITUTE(SUBSTITUTE(INDEX(급여대장_원본!$A$1:$AZ$400,(설정!$B$8+210),설정!$D$37)&amp;"",",",""),"　","")),0)))</f>
        <v/>
      </c>
      <c r="AJ216" s="2">
        <f>IFERROR(INDEX($D$7:$D$306,MATCH(210,$B$7:$B$306,0)),"")</f>
        <v/>
      </c>
    </row>
    <row r="217">
      <c r="A217" s="2">
        <f>IF(AND(D217&lt;&gt;"",D217&lt;&gt;"합계",D217&lt;&gt;"총계",D217&lt;&gt;"소계",D217&lt;&gt;"계"),1,0)</f>
        <v/>
      </c>
      <c r="B217" s="2">
        <f>IF(A217=1,SUM($A$7:A217),"")</f>
        <v/>
      </c>
      <c r="C217" s="2">
        <f>IF(설정!$D$13="","",TRIM(SUBSTITUTE(INDEX(급여대장_원본!$A$1:$AZ$400,(설정!$B$8+211),설정!$D$13)&amp;"","　"," ")))</f>
        <v/>
      </c>
      <c r="D217" s="2">
        <f>IF(설정!$D$14="","",TRIM(SUBSTITUTE(INDEX(급여대장_원본!$A$1:$AZ$400,(설정!$B$8+211),설정!$D$14)&amp;"","　"," ")))</f>
        <v/>
      </c>
      <c r="E217" s="2">
        <f>IF(설정!$D$15="","",TRIM(SUBSTITUTE(INDEX(급여대장_원본!$A$1:$AZ$400,(설정!$B$8+211),설정!$D$15)&amp;"","　"," ")))</f>
        <v/>
      </c>
      <c r="F217" s="27">
        <f>IF(설정!$D$17="",0,IFERROR(VALUE(SUBSTITUTE(SUBSTITUTE(INDEX(급여대장_원본!$A$1:$AZ$400,(설정!$B$8+211),설정!$D$17)&amp;"",",",""),"　","")),0))</f>
        <v/>
      </c>
      <c r="G217" s="27">
        <f>IF(설정!$D$18="",0,IFERROR(VALUE(SUBSTITUTE(SUBSTITUTE(INDEX(급여대장_원본!$A$1:$AZ$400,(설정!$B$8+211),설정!$D$18)&amp;"",",",""),"　","")),0))</f>
        <v/>
      </c>
      <c r="H217" s="27">
        <f>IF(설정!$D$19="",0,IFERROR(VALUE(SUBSTITUTE(SUBSTITUTE(INDEX(급여대장_원본!$A$1:$AZ$400,(설정!$B$8+211),설정!$D$19)&amp;"",",",""),"　","")),0))</f>
        <v/>
      </c>
      <c r="I217" s="27">
        <f>IF(설정!$D$20="",0,IFERROR(VALUE(SUBSTITUTE(SUBSTITUTE(INDEX(급여대장_원본!$A$1:$AZ$400,(설정!$B$8+211),설정!$D$20)&amp;"",",",""),"　","")),0))</f>
        <v/>
      </c>
      <c r="J217" s="27">
        <f>IF(설정!$D$21="",0,IFERROR(VALUE(SUBSTITUTE(SUBSTITUTE(INDEX(급여대장_원본!$A$1:$AZ$400,(설정!$B$8+211),설정!$D$21)&amp;"",",",""),"　","")),0))</f>
        <v/>
      </c>
      <c r="K217" s="27">
        <f>IF(설정!$D$22="",0,IFERROR(VALUE(SUBSTITUTE(SUBSTITUTE(INDEX(급여대장_원본!$A$1:$AZ$400,(설정!$B$8+211),설정!$D$22)&amp;"",",",""),"　","")),0))</f>
        <v/>
      </c>
      <c r="L217" s="27">
        <f>IF(설정!$D$23="",0,IFERROR(VALUE(SUBSTITUTE(SUBSTITUTE(INDEX(급여대장_원본!$A$1:$AZ$400,(설정!$B$8+211),설정!$D$23)&amp;"",",",""),"　","")),0))</f>
        <v/>
      </c>
      <c r="M217" s="27">
        <f>IF(설정!$D$24="",0,IFERROR(VALUE(SUBSTITUTE(SUBSTITUTE(INDEX(급여대장_원본!$A$1:$AZ$400,(설정!$B$8+211),설정!$D$24)&amp;"",",",""),"　","")),0))</f>
        <v/>
      </c>
      <c r="N217" s="2">
        <f>IF(OR(설정!$C$17="",IFERROR(MATCH(설정!$C$17,INDEX(급여대장_원본!$A$1:$AZ$400,설정!$B$8,0),0),"")=""),"",IFERROR(VALUE(SUBSTITUTE(INDEX(급여대장_원본!$A$1:$AZ$400,(설정!$B$8+211),IFERROR(MATCH(설정!$C$17,INDEX(급여대장_원본!$A$1:$AZ$400,설정!$B$8,0),0),""))&amp;"",",","")),""))</f>
        <v/>
      </c>
      <c r="O217" s="2">
        <f>IF(OR(설정!$C$18="",IFERROR(MATCH(설정!$C$18,INDEX(급여대장_원본!$A$1:$AZ$400,설정!$B$8,0),0),"")=""),"",IFERROR(VALUE(SUBSTITUTE(INDEX(급여대장_원본!$A$1:$AZ$400,(설정!$B$8+211),IFERROR(MATCH(설정!$C$18,INDEX(급여대장_원본!$A$1:$AZ$400,설정!$B$8,0),0),""))&amp;"",",","")),""))</f>
        <v/>
      </c>
      <c r="P217" s="2">
        <f>IF(OR(설정!$C$19="",IFERROR(MATCH(설정!$C$19,INDEX(급여대장_원본!$A$1:$AZ$400,설정!$B$8,0),0),"")=""),"",IFERROR(VALUE(SUBSTITUTE(INDEX(급여대장_원본!$A$1:$AZ$400,(설정!$B$8+211),IFERROR(MATCH(설정!$C$19,INDEX(급여대장_원본!$A$1:$AZ$400,설정!$B$8,0),0),""))&amp;"",",","")),""))</f>
        <v/>
      </c>
      <c r="Q217" s="2">
        <f>IF(OR(설정!$C$20="",IFERROR(MATCH(설정!$C$20,INDEX(급여대장_원본!$A$1:$AZ$400,설정!$B$8,0),0),"")=""),"",IFERROR(VALUE(SUBSTITUTE(INDEX(급여대장_원본!$A$1:$AZ$400,(설정!$B$8+211),IFERROR(MATCH(설정!$C$20,INDEX(급여대장_원본!$A$1:$AZ$400,설정!$B$8,0),0),""))&amp;"",",","")),""))</f>
        <v/>
      </c>
      <c r="R217" s="2">
        <f>IF(OR(설정!$C$21="",IFERROR(MATCH(설정!$C$21,INDEX(급여대장_원본!$A$1:$AZ$400,설정!$B$8,0),0),"")=""),"",IFERROR(VALUE(SUBSTITUTE(INDEX(급여대장_원본!$A$1:$AZ$400,(설정!$B$8+211),IFERROR(MATCH(설정!$C$21,INDEX(급여대장_원본!$A$1:$AZ$400,설정!$B$8,0),0),""))&amp;"",",","")),""))</f>
        <v/>
      </c>
      <c r="S217" s="2">
        <f>IF(OR(설정!$C$22="",IFERROR(MATCH(설정!$C$22,INDEX(급여대장_원본!$A$1:$AZ$400,설정!$B$8,0),0),"")=""),"",IFERROR(VALUE(SUBSTITUTE(INDEX(급여대장_원본!$A$1:$AZ$400,(설정!$B$8+211),IFERROR(MATCH(설정!$C$22,INDEX(급여대장_원본!$A$1:$AZ$400,설정!$B$8,0),0),""))&amp;"",",","")),""))</f>
        <v/>
      </c>
      <c r="T217" s="2">
        <f>IF(OR(설정!$C$23="",IFERROR(MATCH(설정!$C$23,INDEX(급여대장_원본!$A$1:$AZ$400,설정!$B$8,0),0),"")=""),"",IFERROR(VALUE(SUBSTITUTE(INDEX(급여대장_원본!$A$1:$AZ$400,(설정!$B$8+211),IFERROR(MATCH(설정!$C$23,INDEX(급여대장_원본!$A$1:$AZ$400,설정!$B$8,0),0),""))&amp;"",",","")),""))</f>
        <v/>
      </c>
      <c r="U217" s="2">
        <f>IF(OR(설정!$C$24="",IFERROR(MATCH(설정!$C$24,INDEX(급여대장_원본!$A$1:$AZ$400,설정!$B$8,0),0),"")=""),"",IFERROR(VALUE(SUBSTITUTE(INDEX(급여대장_원본!$A$1:$AZ$400,(설정!$B$8+211),IFERROR(MATCH(설정!$C$24,INDEX(급여대장_원본!$A$1:$AZ$400,설정!$B$8,0),0),""))&amp;"",",","")),""))</f>
        <v/>
      </c>
      <c r="V217" s="27">
        <f>SUM(F217:M217)</f>
        <v/>
      </c>
      <c r="W217" s="27">
        <f>IF(설정!$D$26="",0,IFERROR(VALUE(SUBSTITUTE(SUBSTITUTE(INDEX(급여대장_원본!$A$1:$AZ$400,(설정!$B$8+211),설정!$D$26)&amp;"",",",""),"　","")),0))</f>
        <v/>
      </c>
      <c r="X217" s="27">
        <f>IF(설정!$D$27="",0,IFERROR(VALUE(SUBSTITUTE(SUBSTITUTE(INDEX(급여대장_원본!$A$1:$AZ$400,(설정!$B$8+211),설정!$D$27)&amp;"",",",""),"　","")),0))</f>
        <v/>
      </c>
      <c r="Y217" s="27">
        <f>IF(설정!$D$28="",0,IFERROR(VALUE(SUBSTITUTE(SUBSTITUTE(INDEX(급여대장_원본!$A$1:$AZ$400,(설정!$B$8+211),설정!$D$28)&amp;"",",",""),"　","")),0))</f>
        <v/>
      </c>
      <c r="Z217" s="27">
        <f>IF(설정!$D$29="",0,IFERROR(VALUE(SUBSTITUTE(SUBSTITUTE(INDEX(급여대장_원본!$A$1:$AZ$400,(설정!$B$8+211),설정!$D$29)&amp;"",",",""),"　","")),0))</f>
        <v/>
      </c>
      <c r="AA217" s="27">
        <f>IF(설정!$D$30="",0,IFERROR(VALUE(SUBSTITUTE(SUBSTITUTE(INDEX(급여대장_원본!$A$1:$AZ$400,(설정!$B$8+211),설정!$D$30)&amp;"",",",""),"　","")),0))</f>
        <v/>
      </c>
      <c r="AB217" s="27">
        <f>IF(설정!$D$31="",0,IFERROR(VALUE(SUBSTITUTE(SUBSTITUTE(INDEX(급여대장_원본!$A$1:$AZ$400,(설정!$B$8+211),설정!$D$31)&amp;"",",",""),"　","")),0))</f>
        <v/>
      </c>
      <c r="AC217" s="27">
        <f>IF(설정!$D$32="",0,IFERROR(VALUE(SUBSTITUTE(SUBSTITUTE(INDEX(급여대장_원본!$A$1:$AZ$400,(설정!$B$8+211),설정!$D$32)&amp;"",",",""),"　","")),0))</f>
        <v/>
      </c>
      <c r="AD217" s="27">
        <f>IF(설정!$D$33="",0,IFERROR(VALUE(SUBSTITUTE(SUBSTITUTE(INDEX(급여대장_원본!$A$1:$AZ$400,(설정!$B$8+211),설정!$D$33)&amp;"",",",""),"　","")),0))</f>
        <v/>
      </c>
      <c r="AE217" s="27">
        <f>SUM(W217:AD217)</f>
        <v/>
      </c>
      <c r="AF217" s="27">
        <f>V217-AE217</f>
        <v/>
      </c>
      <c r="AG217" s="27">
        <f>IF(설정!$D$35="","",IF(설정!$D$35="",0,IFERROR(VALUE(SUBSTITUTE(SUBSTITUTE(INDEX(급여대장_원본!$A$1:$AZ$400,(설정!$B$8+211),설정!$D$35)&amp;"",",",""),"　","")),0)))</f>
        <v/>
      </c>
      <c r="AH217" s="27">
        <f>IF(설정!$D$36="","",IF(설정!$D$36="",0,IFERROR(VALUE(SUBSTITUTE(SUBSTITUTE(INDEX(급여대장_원본!$A$1:$AZ$400,(설정!$B$8+211),설정!$D$36)&amp;"",",",""),"　","")),0)))</f>
        <v/>
      </c>
      <c r="AI217" s="27">
        <f>IF(설정!$D$37="","",IF(설정!$D$37="",0,IFERROR(VALUE(SUBSTITUTE(SUBSTITUTE(INDEX(급여대장_원본!$A$1:$AZ$400,(설정!$B$8+211),설정!$D$37)&amp;"",",",""),"　","")),0)))</f>
        <v/>
      </c>
      <c r="AJ217" s="2">
        <f>IFERROR(INDEX($D$7:$D$306,MATCH(211,$B$7:$B$306,0)),"")</f>
        <v/>
      </c>
    </row>
    <row r="218">
      <c r="A218" s="2">
        <f>IF(AND(D218&lt;&gt;"",D218&lt;&gt;"합계",D218&lt;&gt;"총계",D218&lt;&gt;"소계",D218&lt;&gt;"계"),1,0)</f>
        <v/>
      </c>
      <c r="B218" s="2">
        <f>IF(A218=1,SUM($A$7:A218),"")</f>
        <v/>
      </c>
      <c r="C218" s="2">
        <f>IF(설정!$D$13="","",TRIM(SUBSTITUTE(INDEX(급여대장_원본!$A$1:$AZ$400,(설정!$B$8+212),설정!$D$13)&amp;"","　"," ")))</f>
        <v/>
      </c>
      <c r="D218" s="2">
        <f>IF(설정!$D$14="","",TRIM(SUBSTITUTE(INDEX(급여대장_원본!$A$1:$AZ$400,(설정!$B$8+212),설정!$D$14)&amp;"","　"," ")))</f>
        <v/>
      </c>
      <c r="E218" s="2">
        <f>IF(설정!$D$15="","",TRIM(SUBSTITUTE(INDEX(급여대장_원본!$A$1:$AZ$400,(설정!$B$8+212),설정!$D$15)&amp;"","　"," ")))</f>
        <v/>
      </c>
      <c r="F218" s="27">
        <f>IF(설정!$D$17="",0,IFERROR(VALUE(SUBSTITUTE(SUBSTITUTE(INDEX(급여대장_원본!$A$1:$AZ$400,(설정!$B$8+212),설정!$D$17)&amp;"",",",""),"　","")),0))</f>
        <v/>
      </c>
      <c r="G218" s="27">
        <f>IF(설정!$D$18="",0,IFERROR(VALUE(SUBSTITUTE(SUBSTITUTE(INDEX(급여대장_원본!$A$1:$AZ$400,(설정!$B$8+212),설정!$D$18)&amp;"",",",""),"　","")),0))</f>
        <v/>
      </c>
      <c r="H218" s="27">
        <f>IF(설정!$D$19="",0,IFERROR(VALUE(SUBSTITUTE(SUBSTITUTE(INDEX(급여대장_원본!$A$1:$AZ$400,(설정!$B$8+212),설정!$D$19)&amp;"",",",""),"　","")),0))</f>
        <v/>
      </c>
      <c r="I218" s="27">
        <f>IF(설정!$D$20="",0,IFERROR(VALUE(SUBSTITUTE(SUBSTITUTE(INDEX(급여대장_원본!$A$1:$AZ$400,(설정!$B$8+212),설정!$D$20)&amp;"",",",""),"　","")),0))</f>
        <v/>
      </c>
      <c r="J218" s="27">
        <f>IF(설정!$D$21="",0,IFERROR(VALUE(SUBSTITUTE(SUBSTITUTE(INDEX(급여대장_원본!$A$1:$AZ$400,(설정!$B$8+212),설정!$D$21)&amp;"",",",""),"　","")),0))</f>
        <v/>
      </c>
      <c r="K218" s="27">
        <f>IF(설정!$D$22="",0,IFERROR(VALUE(SUBSTITUTE(SUBSTITUTE(INDEX(급여대장_원본!$A$1:$AZ$400,(설정!$B$8+212),설정!$D$22)&amp;"",",",""),"　","")),0))</f>
        <v/>
      </c>
      <c r="L218" s="27">
        <f>IF(설정!$D$23="",0,IFERROR(VALUE(SUBSTITUTE(SUBSTITUTE(INDEX(급여대장_원본!$A$1:$AZ$400,(설정!$B$8+212),설정!$D$23)&amp;"",",",""),"　","")),0))</f>
        <v/>
      </c>
      <c r="M218" s="27">
        <f>IF(설정!$D$24="",0,IFERROR(VALUE(SUBSTITUTE(SUBSTITUTE(INDEX(급여대장_원본!$A$1:$AZ$400,(설정!$B$8+212),설정!$D$24)&amp;"",",",""),"　","")),0))</f>
        <v/>
      </c>
      <c r="N218" s="2">
        <f>IF(OR(설정!$C$17="",IFERROR(MATCH(설정!$C$17,INDEX(급여대장_원본!$A$1:$AZ$400,설정!$B$8,0),0),"")=""),"",IFERROR(VALUE(SUBSTITUTE(INDEX(급여대장_원본!$A$1:$AZ$400,(설정!$B$8+212),IFERROR(MATCH(설정!$C$17,INDEX(급여대장_원본!$A$1:$AZ$400,설정!$B$8,0),0),""))&amp;"",",","")),""))</f>
        <v/>
      </c>
      <c r="O218" s="2">
        <f>IF(OR(설정!$C$18="",IFERROR(MATCH(설정!$C$18,INDEX(급여대장_원본!$A$1:$AZ$400,설정!$B$8,0),0),"")=""),"",IFERROR(VALUE(SUBSTITUTE(INDEX(급여대장_원본!$A$1:$AZ$400,(설정!$B$8+212),IFERROR(MATCH(설정!$C$18,INDEX(급여대장_원본!$A$1:$AZ$400,설정!$B$8,0),0),""))&amp;"",",","")),""))</f>
        <v/>
      </c>
      <c r="P218" s="2">
        <f>IF(OR(설정!$C$19="",IFERROR(MATCH(설정!$C$19,INDEX(급여대장_원본!$A$1:$AZ$400,설정!$B$8,0),0),"")=""),"",IFERROR(VALUE(SUBSTITUTE(INDEX(급여대장_원본!$A$1:$AZ$400,(설정!$B$8+212),IFERROR(MATCH(설정!$C$19,INDEX(급여대장_원본!$A$1:$AZ$400,설정!$B$8,0),0),""))&amp;"",",","")),""))</f>
        <v/>
      </c>
      <c r="Q218" s="2">
        <f>IF(OR(설정!$C$20="",IFERROR(MATCH(설정!$C$20,INDEX(급여대장_원본!$A$1:$AZ$400,설정!$B$8,0),0),"")=""),"",IFERROR(VALUE(SUBSTITUTE(INDEX(급여대장_원본!$A$1:$AZ$400,(설정!$B$8+212),IFERROR(MATCH(설정!$C$20,INDEX(급여대장_원본!$A$1:$AZ$400,설정!$B$8,0),0),""))&amp;"",",","")),""))</f>
        <v/>
      </c>
      <c r="R218" s="2">
        <f>IF(OR(설정!$C$21="",IFERROR(MATCH(설정!$C$21,INDEX(급여대장_원본!$A$1:$AZ$400,설정!$B$8,0),0),"")=""),"",IFERROR(VALUE(SUBSTITUTE(INDEX(급여대장_원본!$A$1:$AZ$400,(설정!$B$8+212),IFERROR(MATCH(설정!$C$21,INDEX(급여대장_원본!$A$1:$AZ$400,설정!$B$8,0),0),""))&amp;"",",","")),""))</f>
        <v/>
      </c>
      <c r="S218" s="2">
        <f>IF(OR(설정!$C$22="",IFERROR(MATCH(설정!$C$22,INDEX(급여대장_원본!$A$1:$AZ$400,설정!$B$8,0),0),"")=""),"",IFERROR(VALUE(SUBSTITUTE(INDEX(급여대장_원본!$A$1:$AZ$400,(설정!$B$8+212),IFERROR(MATCH(설정!$C$22,INDEX(급여대장_원본!$A$1:$AZ$400,설정!$B$8,0),0),""))&amp;"",",","")),""))</f>
        <v/>
      </c>
      <c r="T218" s="2">
        <f>IF(OR(설정!$C$23="",IFERROR(MATCH(설정!$C$23,INDEX(급여대장_원본!$A$1:$AZ$400,설정!$B$8,0),0),"")=""),"",IFERROR(VALUE(SUBSTITUTE(INDEX(급여대장_원본!$A$1:$AZ$400,(설정!$B$8+212),IFERROR(MATCH(설정!$C$23,INDEX(급여대장_원본!$A$1:$AZ$400,설정!$B$8,0),0),""))&amp;"",",","")),""))</f>
        <v/>
      </c>
      <c r="U218" s="2">
        <f>IF(OR(설정!$C$24="",IFERROR(MATCH(설정!$C$24,INDEX(급여대장_원본!$A$1:$AZ$400,설정!$B$8,0),0),"")=""),"",IFERROR(VALUE(SUBSTITUTE(INDEX(급여대장_원본!$A$1:$AZ$400,(설정!$B$8+212),IFERROR(MATCH(설정!$C$24,INDEX(급여대장_원본!$A$1:$AZ$400,설정!$B$8,0),0),""))&amp;"",",","")),""))</f>
        <v/>
      </c>
      <c r="V218" s="27">
        <f>SUM(F218:M218)</f>
        <v/>
      </c>
      <c r="W218" s="27">
        <f>IF(설정!$D$26="",0,IFERROR(VALUE(SUBSTITUTE(SUBSTITUTE(INDEX(급여대장_원본!$A$1:$AZ$400,(설정!$B$8+212),설정!$D$26)&amp;"",",",""),"　","")),0))</f>
        <v/>
      </c>
      <c r="X218" s="27">
        <f>IF(설정!$D$27="",0,IFERROR(VALUE(SUBSTITUTE(SUBSTITUTE(INDEX(급여대장_원본!$A$1:$AZ$400,(설정!$B$8+212),설정!$D$27)&amp;"",",",""),"　","")),0))</f>
        <v/>
      </c>
      <c r="Y218" s="27">
        <f>IF(설정!$D$28="",0,IFERROR(VALUE(SUBSTITUTE(SUBSTITUTE(INDEX(급여대장_원본!$A$1:$AZ$400,(설정!$B$8+212),설정!$D$28)&amp;"",",",""),"　","")),0))</f>
        <v/>
      </c>
      <c r="Z218" s="27">
        <f>IF(설정!$D$29="",0,IFERROR(VALUE(SUBSTITUTE(SUBSTITUTE(INDEX(급여대장_원본!$A$1:$AZ$400,(설정!$B$8+212),설정!$D$29)&amp;"",",",""),"　","")),0))</f>
        <v/>
      </c>
      <c r="AA218" s="27">
        <f>IF(설정!$D$30="",0,IFERROR(VALUE(SUBSTITUTE(SUBSTITUTE(INDEX(급여대장_원본!$A$1:$AZ$400,(설정!$B$8+212),설정!$D$30)&amp;"",",",""),"　","")),0))</f>
        <v/>
      </c>
      <c r="AB218" s="27">
        <f>IF(설정!$D$31="",0,IFERROR(VALUE(SUBSTITUTE(SUBSTITUTE(INDEX(급여대장_원본!$A$1:$AZ$400,(설정!$B$8+212),설정!$D$31)&amp;"",",",""),"　","")),0))</f>
        <v/>
      </c>
      <c r="AC218" s="27">
        <f>IF(설정!$D$32="",0,IFERROR(VALUE(SUBSTITUTE(SUBSTITUTE(INDEX(급여대장_원본!$A$1:$AZ$400,(설정!$B$8+212),설정!$D$32)&amp;"",",",""),"　","")),0))</f>
        <v/>
      </c>
      <c r="AD218" s="27">
        <f>IF(설정!$D$33="",0,IFERROR(VALUE(SUBSTITUTE(SUBSTITUTE(INDEX(급여대장_원본!$A$1:$AZ$400,(설정!$B$8+212),설정!$D$33)&amp;"",",",""),"　","")),0))</f>
        <v/>
      </c>
      <c r="AE218" s="27">
        <f>SUM(W218:AD218)</f>
        <v/>
      </c>
      <c r="AF218" s="27">
        <f>V218-AE218</f>
        <v/>
      </c>
      <c r="AG218" s="27">
        <f>IF(설정!$D$35="","",IF(설정!$D$35="",0,IFERROR(VALUE(SUBSTITUTE(SUBSTITUTE(INDEX(급여대장_원본!$A$1:$AZ$400,(설정!$B$8+212),설정!$D$35)&amp;"",",",""),"　","")),0)))</f>
        <v/>
      </c>
      <c r="AH218" s="27">
        <f>IF(설정!$D$36="","",IF(설정!$D$36="",0,IFERROR(VALUE(SUBSTITUTE(SUBSTITUTE(INDEX(급여대장_원본!$A$1:$AZ$400,(설정!$B$8+212),설정!$D$36)&amp;"",",",""),"　","")),0)))</f>
        <v/>
      </c>
      <c r="AI218" s="27">
        <f>IF(설정!$D$37="","",IF(설정!$D$37="",0,IFERROR(VALUE(SUBSTITUTE(SUBSTITUTE(INDEX(급여대장_원본!$A$1:$AZ$400,(설정!$B$8+212),설정!$D$37)&amp;"",",",""),"　","")),0)))</f>
        <v/>
      </c>
      <c r="AJ218" s="2">
        <f>IFERROR(INDEX($D$7:$D$306,MATCH(212,$B$7:$B$306,0)),"")</f>
        <v/>
      </c>
    </row>
    <row r="219">
      <c r="A219" s="2">
        <f>IF(AND(D219&lt;&gt;"",D219&lt;&gt;"합계",D219&lt;&gt;"총계",D219&lt;&gt;"소계",D219&lt;&gt;"계"),1,0)</f>
        <v/>
      </c>
      <c r="B219" s="2">
        <f>IF(A219=1,SUM($A$7:A219),"")</f>
        <v/>
      </c>
      <c r="C219" s="2">
        <f>IF(설정!$D$13="","",TRIM(SUBSTITUTE(INDEX(급여대장_원본!$A$1:$AZ$400,(설정!$B$8+213),설정!$D$13)&amp;"","　"," ")))</f>
        <v/>
      </c>
      <c r="D219" s="2">
        <f>IF(설정!$D$14="","",TRIM(SUBSTITUTE(INDEX(급여대장_원본!$A$1:$AZ$400,(설정!$B$8+213),설정!$D$14)&amp;"","　"," ")))</f>
        <v/>
      </c>
      <c r="E219" s="2">
        <f>IF(설정!$D$15="","",TRIM(SUBSTITUTE(INDEX(급여대장_원본!$A$1:$AZ$400,(설정!$B$8+213),설정!$D$15)&amp;"","　"," ")))</f>
        <v/>
      </c>
      <c r="F219" s="27">
        <f>IF(설정!$D$17="",0,IFERROR(VALUE(SUBSTITUTE(SUBSTITUTE(INDEX(급여대장_원본!$A$1:$AZ$400,(설정!$B$8+213),설정!$D$17)&amp;"",",",""),"　","")),0))</f>
        <v/>
      </c>
      <c r="G219" s="27">
        <f>IF(설정!$D$18="",0,IFERROR(VALUE(SUBSTITUTE(SUBSTITUTE(INDEX(급여대장_원본!$A$1:$AZ$400,(설정!$B$8+213),설정!$D$18)&amp;"",",",""),"　","")),0))</f>
        <v/>
      </c>
      <c r="H219" s="27">
        <f>IF(설정!$D$19="",0,IFERROR(VALUE(SUBSTITUTE(SUBSTITUTE(INDEX(급여대장_원본!$A$1:$AZ$400,(설정!$B$8+213),설정!$D$19)&amp;"",",",""),"　","")),0))</f>
        <v/>
      </c>
      <c r="I219" s="27">
        <f>IF(설정!$D$20="",0,IFERROR(VALUE(SUBSTITUTE(SUBSTITUTE(INDEX(급여대장_원본!$A$1:$AZ$400,(설정!$B$8+213),설정!$D$20)&amp;"",",",""),"　","")),0))</f>
        <v/>
      </c>
      <c r="J219" s="27">
        <f>IF(설정!$D$21="",0,IFERROR(VALUE(SUBSTITUTE(SUBSTITUTE(INDEX(급여대장_원본!$A$1:$AZ$400,(설정!$B$8+213),설정!$D$21)&amp;"",",",""),"　","")),0))</f>
        <v/>
      </c>
      <c r="K219" s="27">
        <f>IF(설정!$D$22="",0,IFERROR(VALUE(SUBSTITUTE(SUBSTITUTE(INDEX(급여대장_원본!$A$1:$AZ$400,(설정!$B$8+213),설정!$D$22)&amp;"",",",""),"　","")),0))</f>
        <v/>
      </c>
      <c r="L219" s="27">
        <f>IF(설정!$D$23="",0,IFERROR(VALUE(SUBSTITUTE(SUBSTITUTE(INDEX(급여대장_원본!$A$1:$AZ$400,(설정!$B$8+213),설정!$D$23)&amp;"",",",""),"　","")),0))</f>
        <v/>
      </c>
      <c r="M219" s="27">
        <f>IF(설정!$D$24="",0,IFERROR(VALUE(SUBSTITUTE(SUBSTITUTE(INDEX(급여대장_원본!$A$1:$AZ$400,(설정!$B$8+213),설정!$D$24)&amp;"",",",""),"　","")),0))</f>
        <v/>
      </c>
      <c r="N219" s="2">
        <f>IF(OR(설정!$C$17="",IFERROR(MATCH(설정!$C$17,INDEX(급여대장_원본!$A$1:$AZ$400,설정!$B$8,0),0),"")=""),"",IFERROR(VALUE(SUBSTITUTE(INDEX(급여대장_원본!$A$1:$AZ$400,(설정!$B$8+213),IFERROR(MATCH(설정!$C$17,INDEX(급여대장_원본!$A$1:$AZ$400,설정!$B$8,0),0),""))&amp;"",",","")),""))</f>
        <v/>
      </c>
      <c r="O219" s="2">
        <f>IF(OR(설정!$C$18="",IFERROR(MATCH(설정!$C$18,INDEX(급여대장_원본!$A$1:$AZ$400,설정!$B$8,0),0),"")=""),"",IFERROR(VALUE(SUBSTITUTE(INDEX(급여대장_원본!$A$1:$AZ$400,(설정!$B$8+213),IFERROR(MATCH(설정!$C$18,INDEX(급여대장_원본!$A$1:$AZ$400,설정!$B$8,0),0),""))&amp;"",",","")),""))</f>
        <v/>
      </c>
      <c r="P219" s="2">
        <f>IF(OR(설정!$C$19="",IFERROR(MATCH(설정!$C$19,INDEX(급여대장_원본!$A$1:$AZ$400,설정!$B$8,0),0),"")=""),"",IFERROR(VALUE(SUBSTITUTE(INDEX(급여대장_원본!$A$1:$AZ$400,(설정!$B$8+213),IFERROR(MATCH(설정!$C$19,INDEX(급여대장_원본!$A$1:$AZ$400,설정!$B$8,0),0),""))&amp;"",",","")),""))</f>
        <v/>
      </c>
      <c r="Q219" s="2">
        <f>IF(OR(설정!$C$20="",IFERROR(MATCH(설정!$C$20,INDEX(급여대장_원본!$A$1:$AZ$400,설정!$B$8,0),0),"")=""),"",IFERROR(VALUE(SUBSTITUTE(INDEX(급여대장_원본!$A$1:$AZ$400,(설정!$B$8+213),IFERROR(MATCH(설정!$C$20,INDEX(급여대장_원본!$A$1:$AZ$400,설정!$B$8,0),0),""))&amp;"",",","")),""))</f>
        <v/>
      </c>
      <c r="R219" s="2">
        <f>IF(OR(설정!$C$21="",IFERROR(MATCH(설정!$C$21,INDEX(급여대장_원본!$A$1:$AZ$400,설정!$B$8,0),0),"")=""),"",IFERROR(VALUE(SUBSTITUTE(INDEX(급여대장_원본!$A$1:$AZ$400,(설정!$B$8+213),IFERROR(MATCH(설정!$C$21,INDEX(급여대장_원본!$A$1:$AZ$400,설정!$B$8,0),0),""))&amp;"",",","")),""))</f>
        <v/>
      </c>
      <c r="S219" s="2">
        <f>IF(OR(설정!$C$22="",IFERROR(MATCH(설정!$C$22,INDEX(급여대장_원본!$A$1:$AZ$400,설정!$B$8,0),0),"")=""),"",IFERROR(VALUE(SUBSTITUTE(INDEX(급여대장_원본!$A$1:$AZ$400,(설정!$B$8+213),IFERROR(MATCH(설정!$C$22,INDEX(급여대장_원본!$A$1:$AZ$400,설정!$B$8,0),0),""))&amp;"",",","")),""))</f>
        <v/>
      </c>
      <c r="T219" s="2">
        <f>IF(OR(설정!$C$23="",IFERROR(MATCH(설정!$C$23,INDEX(급여대장_원본!$A$1:$AZ$400,설정!$B$8,0),0),"")=""),"",IFERROR(VALUE(SUBSTITUTE(INDEX(급여대장_원본!$A$1:$AZ$400,(설정!$B$8+213),IFERROR(MATCH(설정!$C$23,INDEX(급여대장_원본!$A$1:$AZ$400,설정!$B$8,0),0),""))&amp;"",",","")),""))</f>
        <v/>
      </c>
      <c r="U219" s="2">
        <f>IF(OR(설정!$C$24="",IFERROR(MATCH(설정!$C$24,INDEX(급여대장_원본!$A$1:$AZ$400,설정!$B$8,0),0),"")=""),"",IFERROR(VALUE(SUBSTITUTE(INDEX(급여대장_원본!$A$1:$AZ$400,(설정!$B$8+213),IFERROR(MATCH(설정!$C$24,INDEX(급여대장_원본!$A$1:$AZ$400,설정!$B$8,0),0),""))&amp;"",",","")),""))</f>
        <v/>
      </c>
      <c r="V219" s="27">
        <f>SUM(F219:M219)</f>
        <v/>
      </c>
      <c r="W219" s="27">
        <f>IF(설정!$D$26="",0,IFERROR(VALUE(SUBSTITUTE(SUBSTITUTE(INDEX(급여대장_원본!$A$1:$AZ$400,(설정!$B$8+213),설정!$D$26)&amp;"",",",""),"　","")),0))</f>
        <v/>
      </c>
      <c r="X219" s="27">
        <f>IF(설정!$D$27="",0,IFERROR(VALUE(SUBSTITUTE(SUBSTITUTE(INDEX(급여대장_원본!$A$1:$AZ$400,(설정!$B$8+213),설정!$D$27)&amp;"",",",""),"　","")),0))</f>
        <v/>
      </c>
      <c r="Y219" s="27">
        <f>IF(설정!$D$28="",0,IFERROR(VALUE(SUBSTITUTE(SUBSTITUTE(INDEX(급여대장_원본!$A$1:$AZ$400,(설정!$B$8+213),설정!$D$28)&amp;"",",",""),"　","")),0))</f>
        <v/>
      </c>
      <c r="Z219" s="27">
        <f>IF(설정!$D$29="",0,IFERROR(VALUE(SUBSTITUTE(SUBSTITUTE(INDEX(급여대장_원본!$A$1:$AZ$400,(설정!$B$8+213),설정!$D$29)&amp;"",",",""),"　","")),0))</f>
        <v/>
      </c>
      <c r="AA219" s="27">
        <f>IF(설정!$D$30="",0,IFERROR(VALUE(SUBSTITUTE(SUBSTITUTE(INDEX(급여대장_원본!$A$1:$AZ$400,(설정!$B$8+213),설정!$D$30)&amp;"",",",""),"　","")),0))</f>
        <v/>
      </c>
      <c r="AB219" s="27">
        <f>IF(설정!$D$31="",0,IFERROR(VALUE(SUBSTITUTE(SUBSTITUTE(INDEX(급여대장_원본!$A$1:$AZ$400,(설정!$B$8+213),설정!$D$31)&amp;"",",",""),"　","")),0))</f>
        <v/>
      </c>
      <c r="AC219" s="27">
        <f>IF(설정!$D$32="",0,IFERROR(VALUE(SUBSTITUTE(SUBSTITUTE(INDEX(급여대장_원본!$A$1:$AZ$400,(설정!$B$8+213),설정!$D$32)&amp;"",",",""),"　","")),0))</f>
        <v/>
      </c>
      <c r="AD219" s="27">
        <f>IF(설정!$D$33="",0,IFERROR(VALUE(SUBSTITUTE(SUBSTITUTE(INDEX(급여대장_원본!$A$1:$AZ$400,(설정!$B$8+213),설정!$D$33)&amp;"",",",""),"　","")),0))</f>
        <v/>
      </c>
      <c r="AE219" s="27">
        <f>SUM(W219:AD219)</f>
        <v/>
      </c>
      <c r="AF219" s="27">
        <f>V219-AE219</f>
        <v/>
      </c>
      <c r="AG219" s="27">
        <f>IF(설정!$D$35="","",IF(설정!$D$35="",0,IFERROR(VALUE(SUBSTITUTE(SUBSTITUTE(INDEX(급여대장_원본!$A$1:$AZ$400,(설정!$B$8+213),설정!$D$35)&amp;"",",",""),"　","")),0)))</f>
        <v/>
      </c>
      <c r="AH219" s="27">
        <f>IF(설정!$D$36="","",IF(설정!$D$36="",0,IFERROR(VALUE(SUBSTITUTE(SUBSTITUTE(INDEX(급여대장_원본!$A$1:$AZ$400,(설정!$B$8+213),설정!$D$36)&amp;"",",",""),"　","")),0)))</f>
        <v/>
      </c>
      <c r="AI219" s="27">
        <f>IF(설정!$D$37="","",IF(설정!$D$37="",0,IFERROR(VALUE(SUBSTITUTE(SUBSTITUTE(INDEX(급여대장_원본!$A$1:$AZ$400,(설정!$B$8+213),설정!$D$37)&amp;"",",",""),"　","")),0)))</f>
        <v/>
      </c>
      <c r="AJ219" s="2">
        <f>IFERROR(INDEX($D$7:$D$306,MATCH(213,$B$7:$B$306,0)),"")</f>
        <v/>
      </c>
    </row>
    <row r="220">
      <c r="A220" s="2">
        <f>IF(AND(D220&lt;&gt;"",D220&lt;&gt;"합계",D220&lt;&gt;"총계",D220&lt;&gt;"소계",D220&lt;&gt;"계"),1,0)</f>
        <v/>
      </c>
      <c r="B220" s="2">
        <f>IF(A220=1,SUM($A$7:A220),"")</f>
        <v/>
      </c>
      <c r="C220" s="2">
        <f>IF(설정!$D$13="","",TRIM(SUBSTITUTE(INDEX(급여대장_원본!$A$1:$AZ$400,(설정!$B$8+214),설정!$D$13)&amp;"","　"," ")))</f>
        <v/>
      </c>
      <c r="D220" s="2">
        <f>IF(설정!$D$14="","",TRIM(SUBSTITUTE(INDEX(급여대장_원본!$A$1:$AZ$400,(설정!$B$8+214),설정!$D$14)&amp;"","　"," ")))</f>
        <v/>
      </c>
      <c r="E220" s="2">
        <f>IF(설정!$D$15="","",TRIM(SUBSTITUTE(INDEX(급여대장_원본!$A$1:$AZ$400,(설정!$B$8+214),설정!$D$15)&amp;"","　"," ")))</f>
        <v/>
      </c>
      <c r="F220" s="27">
        <f>IF(설정!$D$17="",0,IFERROR(VALUE(SUBSTITUTE(SUBSTITUTE(INDEX(급여대장_원본!$A$1:$AZ$400,(설정!$B$8+214),설정!$D$17)&amp;"",",",""),"　","")),0))</f>
        <v/>
      </c>
      <c r="G220" s="27">
        <f>IF(설정!$D$18="",0,IFERROR(VALUE(SUBSTITUTE(SUBSTITUTE(INDEX(급여대장_원본!$A$1:$AZ$400,(설정!$B$8+214),설정!$D$18)&amp;"",",",""),"　","")),0))</f>
        <v/>
      </c>
      <c r="H220" s="27">
        <f>IF(설정!$D$19="",0,IFERROR(VALUE(SUBSTITUTE(SUBSTITUTE(INDEX(급여대장_원본!$A$1:$AZ$400,(설정!$B$8+214),설정!$D$19)&amp;"",",",""),"　","")),0))</f>
        <v/>
      </c>
      <c r="I220" s="27">
        <f>IF(설정!$D$20="",0,IFERROR(VALUE(SUBSTITUTE(SUBSTITUTE(INDEX(급여대장_원본!$A$1:$AZ$400,(설정!$B$8+214),설정!$D$20)&amp;"",",",""),"　","")),0))</f>
        <v/>
      </c>
      <c r="J220" s="27">
        <f>IF(설정!$D$21="",0,IFERROR(VALUE(SUBSTITUTE(SUBSTITUTE(INDEX(급여대장_원본!$A$1:$AZ$400,(설정!$B$8+214),설정!$D$21)&amp;"",",",""),"　","")),0))</f>
        <v/>
      </c>
      <c r="K220" s="27">
        <f>IF(설정!$D$22="",0,IFERROR(VALUE(SUBSTITUTE(SUBSTITUTE(INDEX(급여대장_원본!$A$1:$AZ$400,(설정!$B$8+214),설정!$D$22)&amp;"",",",""),"　","")),0))</f>
        <v/>
      </c>
      <c r="L220" s="27">
        <f>IF(설정!$D$23="",0,IFERROR(VALUE(SUBSTITUTE(SUBSTITUTE(INDEX(급여대장_원본!$A$1:$AZ$400,(설정!$B$8+214),설정!$D$23)&amp;"",",",""),"　","")),0))</f>
        <v/>
      </c>
      <c r="M220" s="27">
        <f>IF(설정!$D$24="",0,IFERROR(VALUE(SUBSTITUTE(SUBSTITUTE(INDEX(급여대장_원본!$A$1:$AZ$400,(설정!$B$8+214),설정!$D$24)&amp;"",",",""),"　","")),0))</f>
        <v/>
      </c>
      <c r="N220" s="2">
        <f>IF(OR(설정!$C$17="",IFERROR(MATCH(설정!$C$17,INDEX(급여대장_원본!$A$1:$AZ$400,설정!$B$8,0),0),"")=""),"",IFERROR(VALUE(SUBSTITUTE(INDEX(급여대장_원본!$A$1:$AZ$400,(설정!$B$8+214),IFERROR(MATCH(설정!$C$17,INDEX(급여대장_원본!$A$1:$AZ$400,설정!$B$8,0),0),""))&amp;"",",","")),""))</f>
        <v/>
      </c>
      <c r="O220" s="2">
        <f>IF(OR(설정!$C$18="",IFERROR(MATCH(설정!$C$18,INDEX(급여대장_원본!$A$1:$AZ$400,설정!$B$8,0),0),"")=""),"",IFERROR(VALUE(SUBSTITUTE(INDEX(급여대장_원본!$A$1:$AZ$400,(설정!$B$8+214),IFERROR(MATCH(설정!$C$18,INDEX(급여대장_원본!$A$1:$AZ$400,설정!$B$8,0),0),""))&amp;"",",","")),""))</f>
        <v/>
      </c>
      <c r="P220" s="2">
        <f>IF(OR(설정!$C$19="",IFERROR(MATCH(설정!$C$19,INDEX(급여대장_원본!$A$1:$AZ$400,설정!$B$8,0),0),"")=""),"",IFERROR(VALUE(SUBSTITUTE(INDEX(급여대장_원본!$A$1:$AZ$400,(설정!$B$8+214),IFERROR(MATCH(설정!$C$19,INDEX(급여대장_원본!$A$1:$AZ$400,설정!$B$8,0),0),""))&amp;"",",","")),""))</f>
        <v/>
      </c>
      <c r="Q220" s="2">
        <f>IF(OR(설정!$C$20="",IFERROR(MATCH(설정!$C$20,INDEX(급여대장_원본!$A$1:$AZ$400,설정!$B$8,0),0),"")=""),"",IFERROR(VALUE(SUBSTITUTE(INDEX(급여대장_원본!$A$1:$AZ$400,(설정!$B$8+214),IFERROR(MATCH(설정!$C$20,INDEX(급여대장_원본!$A$1:$AZ$400,설정!$B$8,0),0),""))&amp;"",",","")),""))</f>
        <v/>
      </c>
      <c r="R220" s="2">
        <f>IF(OR(설정!$C$21="",IFERROR(MATCH(설정!$C$21,INDEX(급여대장_원본!$A$1:$AZ$400,설정!$B$8,0),0),"")=""),"",IFERROR(VALUE(SUBSTITUTE(INDEX(급여대장_원본!$A$1:$AZ$400,(설정!$B$8+214),IFERROR(MATCH(설정!$C$21,INDEX(급여대장_원본!$A$1:$AZ$400,설정!$B$8,0),0),""))&amp;"",",","")),""))</f>
        <v/>
      </c>
      <c r="S220" s="2">
        <f>IF(OR(설정!$C$22="",IFERROR(MATCH(설정!$C$22,INDEX(급여대장_원본!$A$1:$AZ$400,설정!$B$8,0),0),"")=""),"",IFERROR(VALUE(SUBSTITUTE(INDEX(급여대장_원본!$A$1:$AZ$400,(설정!$B$8+214),IFERROR(MATCH(설정!$C$22,INDEX(급여대장_원본!$A$1:$AZ$400,설정!$B$8,0),0),""))&amp;"",",","")),""))</f>
        <v/>
      </c>
      <c r="T220" s="2">
        <f>IF(OR(설정!$C$23="",IFERROR(MATCH(설정!$C$23,INDEX(급여대장_원본!$A$1:$AZ$400,설정!$B$8,0),0),"")=""),"",IFERROR(VALUE(SUBSTITUTE(INDEX(급여대장_원본!$A$1:$AZ$400,(설정!$B$8+214),IFERROR(MATCH(설정!$C$23,INDEX(급여대장_원본!$A$1:$AZ$400,설정!$B$8,0),0),""))&amp;"",",","")),""))</f>
        <v/>
      </c>
      <c r="U220" s="2">
        <f>IF(OR(설정!$C$24="",IFERROR(MATCH(설정!$C$24,INDEX(급여대장_원본!$A$1:$AZ$400,설정!$B$8,0),0),"")=""),"",IFERROR(VALUE(SUBSTITUTE(INDEX(급여대장_원본!$A$1:$AZ$400,(설정!$B$8+214),IFERROR(MATCH(설정!$C$24,INDEX(급여대장_원본!$A$1:$AZ$400,설정!$B$8,0),0),""))&amp;"",",","")),""))</f>
        <v/>
      </c>
      <c r="V220" s="27">
        <f>SUM(F220:M220)</f>
        <v/>
      </c>
      <c r="W220" s="27">
        <f>IF(설정!$D$26="",0,IFERROR(VALUE(SUBSTITUTE(SUBSTITUTE(INDEX(급여대장_원본!$A$1:$AZ$400,(설정!$B$8+214),설정!$D$26)&amp;"",",",""),"　","")),0))</f>
        <v/>
      </c>
      <c r="X220" s="27">
        <f>IF(설정!$D$27="",0,IFERROR(VALUE(SUBSTITUTE(SUBSTITUTE(INDEX(급여대장_원본!$A$1:$AZ$400,(설정!$B$8+214),설정!$D$27)&amp;"",",",""),"　","")),0))</f>
        <v/>
      </c>
      <c r="Y220" s="27">
        <f>IF(설정!$D$28="",0,IFERROR(VALUE(SUBSTITUTE(SUBSTITUTE(INDEX(급여대장_원본!$A$1:$AZ$400,(설정!$B$8+214),설정!$D$28)&amp;"",",",""),"　","")),0))</f>
        <v/>
      </c>
      <c r="Z220" s="27">
        <f>IF(설정!$D$29="",0,IFERROR(VALUE(SUBSTITUTE(SUBSTITUTE(INDEX(급여대장_원본!$A$1:$AZ$400,(설정!$B$8+214),설정!$D$29)&amp;"",",",""),"　","")),0))</f>
        <v/>
      </c>
      <c r="AA220" s="27">
        <f>IF(설정!$D$30="",0,IFERROR(VALUE(SUBSTITUTE(SUBSTITUTE(INDEX(급여대장_원본!$A$1:$AZ$400,(설정!$B$8+214),설정!$D$30)&amp;"",",",""),"　","")),0))</f>
        <v/>
      </c>
      <c r="AB220" s="27">
        <f>IF(설정!$D$31="",0,IFERROR(VALUE(SUBSTITUTE(SUBSTITUTE(INDEX(급여대장_원본!$A$1:$AZ$400,(설정!$B$8+214),설정!$D$31)&amp;"",",",""),"　","")),0))</f>
        <v/>
      </c>
      <c r="AC220" s="27">
        <f>IF(설정!$D$32="",0,IFERROR(VALUE(SUBSTITUTE(SUBSTITUTE(INDEX(급여대장_원본!$A$1:$AZ$400,(설정!$B$8+214),설정!$D$32)&amp;"",",",""),"　","")),0))</f>
        <v/>
      </c>
      <c r="AD220" s="27">
        <f>IF(설정!$D$33="",0,IFERROR(VALUE(SUBSTITUTE(SUBSTITUTE(INDEX(급여대장_원본!$A$1:$AZ$400,(설정!$B$8+214),설정!$D$33)&amp;"",",",""),"　","")),0))</f>
        <v/>
      </c>
      <c r="AE220" s="27">
        <f>SUM(W220:AD220)</f>
        <v/>
      </c>
      <c r="AF220" s="27">
        <f>V220-AE220</f>
        <v/>
      </c>
      <c r="AG220" s="27">
        <f>IF(설정!$D$35="","",IF(설정!$D$35="",0,IFERROR(VALUE(SUBSTITUTE(SUBSTITUTE(INDEX(급여대장_원본!$A$1:$AZ$400,(설정!$B$8+214),설정!$D$35)&amp;"",",",""),"　","")),0)))</f>
        <v/>
      </c>
      <c r="AH220" s="27">
        <f>IF(설정!$D$36="","",IF(설정!$D$36="",0,IFERROR(VALUE(SUBSTITUTE(SUBSTITUTE(INDEX(급여대장_원본!$A$1:$AZ$400,(설정!$B$8+214),설정!$D$36)&amp;"",",",""),"　","")),0)))</f>
        <v/>
      </c>
      <c r="AI220" s="27">
        <f>IF(설정!$D$37="","",IF(설정!$D$37="",0,IFERROR(VALUE(SUBSTITUTE(SUBSTITUTE(INDEX(급여대장_원본!$A$1:$AZ$400,(설정!$B$8+214),설정!$D$37)&amp;"",",",""),"　","")),0)))</f>
        <v/>
      </c>
      <c r="AJ220" s="2">
        <f>IFERROR(INDEX($D$7:$D$306,MATCH(214,$B$7:$B$306,0)),"")</f>
        <v/>
      </c>
    </row>
    <row r="221">
      <c r="A221" s="2">
        <f>IF(AND(D221&lt;&gt;"",D221&lt;&gt;"합계",D221&lt;&gt;"총계",D221&lt;&gt;"소계",D221&lt;&gt;"계"),1,0)</f>
        <v/>
      </c>
      <c r="B221" s="2">
        <f>IF(A221=1,SUM($A$7:A221),"")</f>
        <v/>
      </c>
      <c r="C221" s="2">
        <f>IF(설정!$D$13="","",TRIM(SUBSTITUTE(INDEX(급여대장_원본!$A$1:$AZ$400,(설정!$B$8+215),설정!$D$13)&amp;"","　"," ")))</f>
        <v/>
      </c>
      <c r="D221" s="2">
        <f>IF(설정!$D$14="","",TRIM(SUBSTITUTE(INDEX(급여대장_원본!$A$1:$AZ$400,(설정!$B$8+215),설정!$D$14)&amp;"","　"," ")))</f>
        <v/>
      </c>
      <c r="E221" s="2">
        <f>IF(설정!$D$15="","",TRIM(SUBSTITUTE(INDEX(급여대장_원본!$A$1:$AZ$400,(설정!$B$8+215),설정!$D$15)&amp;"","　"," ")))</f>
        <v/>
      </c>
      <c r="F221" s="27">
        <f>IF(설정!$D$17="",0,IFERROR(VALUE(SUBSTITUTE(SUBSTITUTE(INDEX(급여대장_원본!$A$1:$AZ$400,(설정!$B$8+215),설정!$D$17)&amp;"",",",""),"　","")),0))</f>
        <v/>
      </c>
      <c r="G221" s="27">
        <f>IF(설정!$D$18="",0,IFERROR(VALUE(SUBSTITUTE(SUBSTITUTE(INDEX(급여대장_원본!$A$1:$AZ$400,(설정!$B$8+215),설정!$D$18)&amp;"",",",""),"　","")),0))</f>
        <v/>
      </c>
      <c r="H221" s="27">
        <f>IF(설정!$D$19="",0,IFERROR(VALUE(SUBSTITUTE(SUBSTITUTE(INDEX(급여대장_원본!$A$1:$AZ$400,(설정!$B$8+215),설정!$D$19)&amp;"",",",""),"　","")),0))</f>
        <v/>
      </c>
      <c r="I221" s="27">
        <f>IF(설정!$D$20="",0,IFERROR(VALUE(SUBSTITUTE(SUBSTITUTE(INDEX(급여대장_원본!$A$1:$AZ$400,(설정!$B$8+215),설정!$D$20)&amp;"",",",""),"　","")),0))</f>
        <v/>
      </c>
      <c r="J221" s="27">
        <f>IF(설정!$D$21="",0,IFERROR(VALUE(SUBSTITUTE(SUBSTITUTE(INDEX(급여대장_원본!$A$1:$AZ$400,(설정!$B$8+215),설정!$D$21)&amp;"",",",""),"　","")),0))</f>
        <v/>
      </c>
      <c r="K221" s="27">
        <f>IF(설정!$D$22="",0,IFERROR(VALUE(SUBSTITUTE(SUBSTITUTE(INDEX(급여대장_원본!$A$1:$AZ$400,(설정!$B$8+215),설정!$D$22)&amp;"",",",""),"　","")),0))</f>
        <v/>
      </c>
      <c r="L221" s="27">
        <f>IF(설정!$D$23="",0,IFERROR(VALUE(SUBSTITUTE(SUBSTITUTE(INDEX(급여대장_원본!$A$1:$AZ$400,(설정!$B$8+215),설정!$D$23)&amp;"",",",""),"　","")),0))</f>
        <v/>
      </c>
      <c r="M221" s="27">
        <f>IF(설정!$D$24="",0,IFERROR(VALUE(SUBSTITUTE(SUBSTITUTE(INDEX(급여대장_원본!$A$1:$AZ$400,(설정!$B$8+215),설정!$D$24)&amp;"",",",""),"　","")),0))</f>
        <v/>
      </c>
      <c r="N221" s="2">
        <f>IF(OR(설정!$C$17="",IFERROR(MATCH(설정!$C$17,INDEX(급여대장_원본!$A$1:$AZ$400,설정!$B$8,0),0),"")=""),"",IFERROR(VALUE(SUBSTITUTE(INDEX(급여대장_원본!$A$1:$AZ$400,(설정!$B$8+215),IFERROR(MATCH(설정!$C$17,INDEX(급여대장_원본!$A$1:$AZ$400,설정!$B$8,0),0),""))&amp;"",",","")),""))</f>
        <v/>
      </c>
      <c r="O221" s="2">
        <f>IF(OR(설정!$C$18="",IFERROR(MATCH(설정!$C$18,INDEX(급여대장_원본!$A$1:$AZ$400,설정!$B$8,0),0),"")=""),"",IFERROR(VALUE(SUBSTITUTE(INDEX(급여대장_원본!$A$1:$AZ$400,(설정!$B$8+215),IFERROR(MATCH(설정!$C$18,INDEX(급여대장_원본!$A$1:$AZ$400,설정!$B$8,0),0),""))&amp;"",",","")),""))</f>
        <v/>
      </c>
      <c r="P221" s="2">
        <f>IF(OR(설정!$C$19="",IFERROR(MATCH(설정!$C$19,INDEX(급여대장_원본!$A$1:$AZ$400,설정!$B$8,0),0),"")=""),"",IFERROR(VALUE(SUBSTITUTE(INDEX(급여대장_원본!$A$1:$AZ$400,(설정!$B$8+215),IFERROR(MATCH(설정!$C$19,INDEX(급여대장_원본!$A$1:$AZ$400,설정!$B$8,0),0),""))&amp;"",",","")),""))</f>
        <v/>
      </c>
      <c r="Q221" s="2">
        <f>IF(OR(설정!$C$20="",IFERROR(MATCH(설정!$C$20,INDEX(급여대장_원본!$A$1:$AZ$400,설정!$B$8,0),0),"")=""),"",IFERROR(VALUE(SUBSTITUTE(INDEX(급여대장_원본!$A$1:$AZ$400,(설정!$B$8+215),IFERROR(MATCH(설정!$C$20,INDEX(급여대장_원본!$A$1:$AZ$400,설정!$B$8,0),0),""))&amp;"",",","")),""))</f>
        <v/>
      </c>
      <c r="R221" s="2">
        <f>IF(OR(설정!$C$21="",IFERROR(MATCH(설정!$C$21,INDEX(급여대장_원본!$A$1:$AZ$400,설정!$B$8,0),0),"")=""),"",IFERROR(VALUE(SUBSTITUTE(INDEX(급여대장_원본!$A$1:$AZ$400,(설정!$B$8+215),IFERROR(MATCH(설정!$C$21,INDEX(급여대장_원본!$A$1:$AZ$400,설정!$B$8,0),0),""))&amp;"",",","")),""))</f>
        <v/>
      </c>
      <c r="S221" s="2">
        <f>IF(OR(설정!$C$22="",IFERROR(MATCH(설정!$C$22,INDEX(급여대장_원본!$A$1:$AZ$400,설정!$B$8,0),0),"")=""),"",IFERROR(VALUE(SUBSTITUTE(INDEX(급여대장_원본!$A$1:$AZ$400,(설정!$B$8+215),IFERROR(MATCH(설정!$C$22,INDEX(급여대장_원본!$A$1:$AZ$400,설정!$B$8,0),0),""))&amp;"",",","")),""))</f>
        <v/>
      </c>
      <c r="T221" s="2">
        <f>IF(OR(설정!$C$23="",IFERROR(MATCH(설정!$C$23,INDEX(급여대장_원본!$A$1:$AZ$400,설정!$B$8,0),0),"")=""),"",IFERROR(VALUE(SUBSTITUTE(INDEX(급여대장_원본!$A$1:$AZ$400,(설정!$B$8+215),IFERROR(MATCH(설정!$C$23,INDEX(급여대장_원본!$A$1:$AZ$400,설정!$B$8,0),0),""))&amp;"",",","")),""))</f>
        <v/>
      </c>
      <c r="U221" s="2">
        <f>IF(OR(설정!$C$24="",IFERROR(MATCH(설정!$C$24,INDEX(급여대장_원본!$A$1:$AZ$400,설정!$B$8,0),0),"")=""),"",IFERROR(VALUE(SUBSTITUTE(INDEX(급여대장_원본!$A$1:$AZ$400,(설정!$B$8+215),IFERROR(MATCH(설정!$C$24,INDEX(급여대장_원본!$A$1:$AZ$400,설정!$B$8,0),0),""))&amp;"",",","")),""))</f>
        <v/>
      </c>
      <c r="V221" s="27">
        <f>SUM(F221:M221)</f>
        <v/>
      </c>
      <c r="W221" s="27">
        <f>IF(설정!$D$26="",0,IFERROR(VALUE(SUBSTITUTE(SUBSTITUTE(INDEX(급여대장_원본!$A$1:$AZ$400,(설정!$B$8+215),설정!$D$26)&amp;"",",",""),"　","")),0))</f>
        <v/>
      </c>
      <c r="X221" s="27">
        <f>IF(설정!$D$27="",0,IFERROR(VALUE(SUBSTITUTE(SUBSTITUTE(INDEX(급여대장_원본!$A$1:$AZ$400,(설정!$B$8+215),설정!$D$27)&amp;"",",",""),"　","")),0))</f>
        <v/>
      </c>
      <c r="Y221" s="27">
        <f>IF(설정!$D$28="",0,IFERROR(VALUE(SUBSTITUTE(SUBSTITUTE(INDEX(급여대장_원본!$A$1:$AZ$400,(설정!$B$8+215),설정!$D$28)&amp;"",",",""),"　","")),0))</f>
        <v/>
      </c>
      <c r="Z221" s="27">
        <f>IF(설정!$D$29="",0,IFERROR(VALUE(SUBSTITUTE(SUBSTITUTE(INDEX(급여대장_원본!$A$1:$AZ$400,(설정!$B$8+215),설정!$D$29)&amp;"",",",""),"　","")),0))</f>
        <v/>
      </c>
      <c r="AA221" s="27">
        <f>IF(설정!$D$30="",0,IFERROR(VALUE(SUBSTITUTE(SUBSTITUTE(INDEX(급여대장_원본!$A$1:$AZ$400,(설정!$B$8+215),설정!$D$30)&amp;"",",",""),"　","")),0))</f>
        <v/>
      </c>
      <c r="AB221" s="27">
        <f>IF(설정!$D$31="",0,IFERROR(VALUE(SUBSTITUTE(SUBSTITUTE(INDEX(급여대장_원본!$A$1:$AZ$400,(설정!$B$8+215),설정!$D$31)&amp;"",",",""),"　","")),0))</f>
        <v/>
      </c>
      <c r="AC221" s="27">
        <f>IF(설정!$D$32="",0,IFERROR(VALUE(SUBSTITUTE(SUBSTITUTE(INDEX(급여대장_원본!$A$1:$AZ$400,(설정!$B$8+215),설정!$D$32)&amp;"",",",""),"　","")),0))</f>
        <v/>
      </c>
      <c r="AD221" s="27">
        <f>IF(설정!$D$33="",0,IFERROR(VALUE(SUBSTITUTE(SUBSTITUTE(INDEX(급여대장_원본!$A$1:$AZ$400,(설정!$B$8+215),설정!$D$33)&amp;"",",",""),"　","")),0))</f>
        <v/>
      </c>
      <c r="AE221" s="27">
        <f>SUM(W221:AD221)</f>
        <v/>
      </c>
      <c r="AF221" s="27">
        <f>V221-AE221</f>
        <v/>
      </c>
      <c r="AG221" s="27">
        <f>IF(설정!$D$35="","",IF(설정!$D$35="",0,IFERROR(VALUE(SUBSTITUTE(SUBSTITUTE(INDEX(급여대장_원본!$A$1:$AZ$400,(설정!$B$8+215),설정!$D$35)&amp;"",",",""),"　","")),0)))</f>
        <v/>
      </c>
      <c r="AH221" s="27">
        <f>IF(설정!$D$36="","",IF(설정!$D$36="",0,IFERROR(VALUE(SUBSTITUTE(SUBSTITUTE(INDEX(급여대장_원본!$A$1:$AZ$400,(설정!$B$8+215),설정!$D$36)&amp;"",",",""),"　","")),0)))</f>
        <v/>
      </c>
      <c r="AI221" s="27">
        <f>IF(설정!$D$37="","",IF(설정!$D$37="",0,IFERROR(VALUE(SUBSTITUTE(SUBSTITUTE(INDEX(급여대장_원본!$A$1:$AZ$400,(설정!$B$8+215),설정!$D$37)&amp;"",",",""),"　","")),0)))</f>
        <v/>
      </c>
      <c r="AJ221" s="2">
        <f>IFERROR(INDEX($D$7:$D$306,MATCH(215,$B$7:$B$306,0)),"")</f>
        <v/>
      </c>
    </row>
    <row r="222">
      <c r="A222" s="2">
        <f>IF(AND(D222&lt;&gt;"",D222&lt;&gt;"합계",D222&lt;&gt;"총계",D222&lt;&gt;"소계",D222&lt;&gt;"계"),1,0)</f>
        <v/>
      </c>
      <c r="B222" s="2">
        <f>IF(A222=1,SUM($A$7:A222),"")</f>
        <v/>
      </c>
      <c r="C222" s="2">
        <f>IF(설정!$D$13="","",TRIM(SUBSTITUTE(INDEX(급여대장_원본!$A$1:$AZ$400,(설정!$B$8+216),설정!$D$13)&amp;"","　"," ")))</f>
        <v/>
      </c>
      <c r="D222" s="2">
        <f>IF(설정!$D$14="","",TRIM(SUBSTITUTE(INDEX(급여대장_원본!$A$1:$AZ$400,(설정!$B$8+216),설정!$D$14)&amp;"","　"," ")))</f>
        <v/>
      </c>
      <c r="E222" s="2">
        <f>IF(설정!$D$15="","",TRIM(SUBSTITUTE(INDEX(급여대장_원본!$A$1:$AZ$400,(설정!$B$8+216),설정!$D$15)&amp;"","　"," ")))</f>
        <v/>
      </c>
      <c r="F222" s="27">
        <f>IF(설정!$D$17="",0,IFERROR(VALUE(SUBSTITUTE(SUBSTITUTE(INDEX(급여대장_원본!$A$1:$AZ$400,(설정!$B$8+216),설정!$D$17)&amp;"",",",""),"　","")),0))</f>
        <v/>
      </c>
      <c r="G222" s="27">
        <f>IF(설정!$D$18="",0,IFERROR(VALUE(SUBSTITUTE(SUBSTITUTE(INDEX(급여대장_원본!$A$1:$AZ$400,(설정!$B$8+216),설정!$D$18)&amp;"",",",""),"　","")),0))</f>
        <v/>
      </c>
      <c r="H222" s="27">
        <f>IF(설정!$D$19="",0,IFERROR(VALUE(SUBSTITUTE(SUBSTITUTE(INDEX(급여대장_원본!$A$1:$AZ$400,(설정!$B$8+216),설정!$D$19)&amp;"",",",""),"　","")),0))</f>
        <v/>
      </c>
      <c r="I222" s="27">
        <f>IF(설정!$D$20="",0,IFERROR(VALUE(SUBSTITUTE(SUBSTITUTE(INDEX(급여대장_원본!$A$1:$AZ$400,(설정!$B$8+216),설정!$D$20)&amp;"",",",""),"　","")),0))</f>
        <v/>
      </c>
      <c r="J222" s="27">
        <f>IF(설정!$D$21="",0,IFERROR(VALUE(SUBSTITUTE(SUBSTITUTE(INDEX(급여대장_원본!$A$1:$AZ$400,(설정!$B$8+216),설정!$D$21)&amp;"",",",""),"　","")),0))</f>
        <v/>
      </c>
      <c r="K222" s="27">
        <f>IF(설정!$D$22="",0,IFERROR(VALUE(SUBSTITUTE(SUBSTITUTE(INDEX(급여대장_원본!$A$1:$AZ$400,(설정!$B$8+216),설정!$D$22)&amp;"",",",""),"　","")),0))</f>
        <v/>
      </c>
      <c r="L222" s="27">
        <f>IF(설정!$D$23="",0,IFERROR(VALUE(SUBSTITUTE(SUBSTITUTE(INDEX(급여대장_원본!$A$1:$AZ$400,(설정!$B$8+216),설정!$D$23)&amp;"",",",""),"　","")),0))</f>
        <v/>
      </c>
      <c r="M222" s="27">
        <f>IF(설정!$D$24="",0,IFERROR(VALUE(SUBSTITUTE(SUBSTITUTE(INDEX(급여대장_원본!$A$1:$AZ$400,(설정!$B$8+216),설정!$D$24)&amp;"",",",""),"　","")),0))</f>
        <v/>
      </c>
      <c r="N222" s="2">
        <f>IF(OR(설정!$C$17="",IFERROR(MATCH(설정!$C$17,INDEX(급여대장_원본!$A$1:$AZ$400,설정!$B$8,0),0),"")=""),"",IFERROR(VALUE(SUBSTITUTE(INDEX(급여대장_원본!$A$1:$AZ$400,(설정!$B$8+216),IFERROR(MATCH(설정!$C$17,INDEX(급여대장_원본!$A$1:$AZ$400,설정!$B$8,0),0),""))&amp;"",",","")),""))</f>
        <v/>
      </c>
      <c r="O222" s="2">
        <f>IF(OR(설정!$C$18="",IFERROR(MATCH(설정!$C$18,INDEX(급여대장_원본!$A$1:$AZ$400,설정!$B$8,0),0),"")=""),"",IFERROR(VALUE(SUBSTITUTE(INDEX(급여대장_원본!$A$1:$AZ$400,(설정!$B$8+216),IFERROR(MATCH(설정!$C$18,INDEX(급여대장_원본!$A$1:$AZ$400,설정!$B$8,0),0),""))&amp;"",",","")),""))</f>
        <v/>
      </c>
      <c r="P222" s="2">
        <f>IF(OR(설정!$C$19="",IFERROR(MATCH(설정!$C$19,INDEX(급여대장_원본!$A$1:$AZ$400,설정!$B$8,0),0),"")=""),"",IFERROR(VALUE(SUBSTITUTE(INDEX(급여대장_원본!$A$1:$AZ$400,(설정!$B$8+216),IFERROR(MATCH(설정!$C$19,INDEX(급여대장_원본!$A$1:$AZ$400,설정!$B$8,0),0),""))&amp;"",",","")),""))</f>
        <v/>
      </c>
      <c r="Q222" s="2">
        <f>IF(OR(설정!$C$20="",IFERROR(MATCH(설정!$C$20,INDEX(급여대장_원본!$A$1:$AZ$400,설정!$B$8,0),0),"")=""),"",IFERROR(VALUE(SUBSTITUTE(INDEX(급여대장_원본!$A$1:$AZ$400,(설정!$B$8+216),IFERROR(MATCH(설정!$C$20,INDEX(급여대장_원본!$A$1:$AZ$400,설정!$B$8,0),0),""))&amp;"",",","")),""))</f>
        <v/>
      </c>
      <c r="R222" s="2">
        <f>IF(OR(설정!$C$21="",IFERROR(MATCH(설정!$C$21,INDEX(급여대장_원본!$A$1:$AZ$400,설정!$B$8,0),0),"")=""),"",IFERROR(VALUE(SUBSTITUTE(INDEX(급여대장_원본!$A$1:$AZ$400,(설정!$B$8+216),IFERROR(MATCH(설정!$C$21,INDEX(급여대장_원본!$A$1:$AZ$400,설정!$B$8,0),0),""))&amp;"",",","")),""))</f>
        <v/>
      </c>
      <c r="S222" s="2">
        <f>IF(OR(설정!$C$22="",IFERROR(MATCH(설정!$C$22,INDEX(급여대장_원본!$A$1:$AZ$400,설정!$B$8,0),0),"")=""),"",IFERROR(VALUE(SUBSTITUTE(INDEX(급여대장_원본!$A$1:$AZ$400,(설정!$B$8+216),IFERROR(MATCH(설정!$C$22,INDEX(급여대장_원본!$A$1:$AZ$400,설정!$B$8,0),0),""))&amp;"",",","")),""))</f>
        <v/>
      </c>
      <c r="T222" s="2">
        <f>IF(OR(설정!$C$23="",IFERROR(MATCH(설정!$C$23,INDEX(급여대장_원본!$A$1:$AZ$400,설정!$B$8,0),0),"")=""),"",IFERROR(VALUE(SUBSTITUTE(INDEX(급여대장_원본!$A$1:$AZ$400,(설정!$B$8+216),IFERROR(MATCH(설정!$C$23,INDEX(급여대장_원본!$A$1:$AZ$400,설정!$B$8,0),0),""))&amp;"",",","")),""))</f>
        <v/>
      </c>
      <c r="U222" s="2">
        <f>IF(OR(설정!$C$24="",IFERROR(MATCH(설정!$C$24,INDEX(급여대장_원본!$A$1:$AZ$400,설정!$B$8,0),0),"")=""),"",IFERROR(VALUE(SUBSTITUTE(INDEX(급여대장_원본!$A$1:$AZ$400,(설정!$B$8+216),IFERROR(MATCH(설정!$C$24,INDEX(급여대장_원본!$A$1:$AZ$400,설정!$B$8,0),0),""))&amp;"",",","")),""))</f>
        <v/>
      </c>
      <c r="V222" s="27">
        <f>SUM(F222:M222)</f>
        <v/>
      </c>
      <c r="W222" s="27">
        <f>IF(설정!$D$26="",0,IFERROR(VALUE(SUBSTITUTE(SUBSTITUTE(INDEX(급여대장_원본!$A$1:$AZ$400,(설정!$B$8+216),설정!$D$26)&amp;"",",",""),"　","")),0))</f>
        <v/>
      </c>
      <c r="X222" s="27">
        <f>IF(설정!$D$27="",0,IFERROR(VALUE(SUBSTITUTE(SUBSTITUTE(INDEX(급여대장_원본!$A$1:$AZ$400,(설정!$B$8+216),설정!$D$27)&amp;"",",",""),"　","")),0))</f>
        <v/>
      </c>
      <c r="Y222" s="27">
        <f>IF(설정!$D$28="",0,IFERROR(VALUE(SUBSTITUTE(SUBSTITUTE(INDEX(급여대장_원본!$A$1:$AZ$400,(설정!$B$8+216),설정!$D$28)&amp;"",",",""),"　","")),0))</f>
        <v/>
      </c>
      <c r="Z222" s="27">
        <f>IF(설정!$D$29="",0,IFERROR(VALUE(SUBSTITUTE(SUBSTITUTE(INDEX(급여대장_원본!$A$1:$AZ$400,(설정!$B$8+216),설정!$D$29)&amp;"",",",""),"　","")),0))</f>
        <v/>
      </c>
      <c r="AA222" s="27">
        <f>IF(설정!$D$30="",0,IFERROR(VALUE(SUBSTITUTE(SUBSTITUTE(INDEX(급여대장_원본!$A$1:$AZ$400,(설정!$B$8+216),설정!$D$30)&amp;"",",",""),"　","")),0))</f>
        <v/>
      </c>
      <c r="AB222" s="27">
        <f>IF(설정!$D$31="",0,IFERROR(VALUE(SUBSTITUTE(SUBSTITUTE(INDEX(급여대장_원본!$A$1:$AZ$400,(설정!$B$8+216),설정!$D$31)&amp;"",",",""),"　","")),0))</f>
        <v/>
      </c>
      <c r="AC222" s="27">
        <f>IF(설정!$D$32="",0,IFERROR(VALUE(SUBSTITUTE(SUBSTITUTE(INDEX(급여대장_원본!$A$1:$AZ$400,(설정!$B$8+216),설정!$D$32)&amp;"",",",""),"　","")),0))</f>
        <v/>
      </c>
      <c r="AD222" s="27">
        <f>IF(설정!$D$33="",0,IFERROR(VALUE(SUBSTITUTE(SUBSTITUTE(INDEX(급여대장_원본!$A$1:$AZ$400,(설정!$B$8+216),설정!$D$33)&amp;"",",",""),"　","")),0))</f>
        <v/>
      </c>
      <c r="AE222" s="27">
        <f>SUM(W222:AD222)</f>
        <v/>
      </c>
      <c r="AF222" s="27">
        <f>V222-AE222</f>
        <v/>
      </c>
      <c r="AG222" s="27">
        <f>IF(설정!$D$35="","",IF(설정!$D$35="",0,IFERROR(VALUE(SUBSTITUTE(SUBSTITUTE(INDEX(급여대장_원본!$A$1:$AZ$400,(설정!$B$8+216),설정!$D$35)&amp;"",",",""),"　","")),0)))</f>
        <v/>
      </c>
      <c r="AH222" s="27">
        <f>IF(설정!$D$36="","",IF(설정!$D$36="",0,IFERROR(VALUE(SUBSTITUTE(SUBSTITUTE(INDEX(급여대장_원본!$A$1:$AZ$400,(설정!$B$8+216),설정!$D$36)&amp;"",",",""),"　","")),0)))</f>
        <v/>
      </c>
      <c r="AI222" s="27">
        <f>IF(설정!$D$37="","",IF(설정!$D$37="",0,IFERROR(VALUE(SUBSTITUTE(SUBSTITUTE(INDEX(급여대장_원본!$A$1:$AZ$400,(설정!$B$8+216),설정!$D$37)&amp;"",",",""),"　","")),0)))</f>
        <v/>
      </c>
      <c r="AJ222" s="2">
        <f>IFERROR(INDEX($D$7:$D$306,MATCH(216,$B$7:$B$306,0)),"")</f>
        <v/>
      </c>
    </row>
    <row r="223">
      <c r="A223" s="2">
        <f>IF(AND(D223&lt;&gt;"",D223&lt;&gt;"합계",D223&lt;&gt;"총계",D223&lt;&gt;"소계",D223&lt;&gt;"계"),1,0)</f>
        <v/>
      </c>
      <c r="B223" s="2">
        <f>IF(A223=1,SUM($A$7:A223),"")</f>
        <v/>
      </c>
      <c r="C223" s="2">
        <f>IF(설정!$D$13="","",TRIM(SUBSTITUTE(INDEX(급여대장_원본!$A$1:$AZ$400,(설정!$B$8+217),설정!$D$13)&amp;"","　"," ")))</f>
        <v/>
      </c>
      <c r="D223" s="2">
        <f>IF(설정!$D$14="","",TRIM(SUBSTITUTE(INDEX(급여대장_원본!$A$1:$AZ$400,(설정!$B$8+217),설정!$D$14)&amp;"","　"," ")))</f>
        <v/>
      </c>
      <c r="E223" s="2">
        <f>IF(설정!$D$15="","",TRIM(SUBSTITUTE(INDEX(급여대장_원본!$A$1:$AZ$400,(설정!$B$8+217),설정!$D$15)&amp;"","　"," ")))</f>
        <v/>
      </c>
      <c r="F223" s="27">
        <f>IF(설정!$D$17="",0,IFERROR(VALUE(SUBSTITUTE(SUBSTITUTE(INDEX(급여대장_원본!$A$1:$AZ$400,(설정!$B$8+217),설정!$D$17)&amp;"",",",""),"　","")),0))</f>
        <v/>
      </c>
      <c r="G223" s="27">
        <f>IF(설정!$D$18="",0,IFERROR(VALUE(SUBSTITUTE(SUBSTITUTE(INDEX(급여대장_원본!$A$1:$AZ$400,(설정!$B$8+217),설정!$D$18)&amp;"",",",""),"　","")),0))</f>
        <v/>
      </c>
      <c r="H223" s="27">
        <f>IF(설정!$D$19="",0,IFERROR(VALUE(SUBSTITUTE(SUBSTITUTE(INDEX(급여대장_원본!$A$1:$AZ$400,(설정!$B$8+217),설정!$D$19)&amp;"",",",""),"　","")),0))</f>
        <v/>
      </c>
      <c r="I223" s="27">
        <f>IF(설정!$D$20="",0,IFERROR(VALUE(SUBSTITUTE(SUBSTITUTE(INDEX(급여대장_원본!$A$1:$AZ$400,(설정!$B$8+217),설정!$D$20)&amp;"",",",""),"　","")),0))</f>
        <v/>
      </c>
      <c r="J223" s="27">
        <f>IF(설정!$D$21="",0,IFERROR(VALUE(SUBSTITUTE(SUBSTITUTE(INDEX(급여대장_원본!$A$1:$AZ$400,(설정!$B$8+217),설정!$D$21)&amp;"",",",""),"　","")),0))</f>
        <v/>
      </c>
      <c r="K223" s="27">
        <f>IF(설정!$D$22="",0,IFERROR(VALUE(SUBSTITUTE(SUBSTITUTE(INDEX(급여대장_원본!$A$1:$AZ$400,(설정!$B$8+217),설정!$D$22)&amp;"",",",""),"　","")),0))</f>
        <v/>
      </c>
      <c r="L223" s="27">
        <f>IF(설정!$D$23="",0,IFERROR(VALUE(SUBSTITUTE(SUBSTITUTE(INDEX(급여대장_원본!$A$1:$AZ$400,(설정!$B$8+217),설정!$D$23)&amp;"",",",""),"　","")),0))</f>
        <v/>
      </c>
      <c r="M223" s="27">
        <f>IF(설정!$D$24="",0,IFERROR(VALUE(SUBSTITUTE(SUBSTITUTE(INDEX(급여대장_원본!$A$1:$AZ$400,(설정!$B$8+217),설정!$D$24)&amp;"",",",""),"　","")),0))</f>
        <v/>
      </c>
      <c r="N223" s="2">
        <f>IF(OR(설정!$C$17="",IFERROR(MATCH(설정!$C$17,INDEX(급여대장_원본!$A$1:$AZ$400,설정!$B$8,0),0),"")=""),"",IFERROR(VALUE(SUBSTITUTE(INDEX(급여대장_원본!$A$1:$AZ$400,(설정!$B$8+217),IFERROR(MATCH(설정!$C$17,INDEX(급여대장_원본!$A$1:$AZ$400,설정!$B$8,0),0),""))&amp;"",",","")),""))</f>
        <v/>
      </c>
      <c r="O223" s="2">
        <f>IF(OR(설정!$C$18="",IFERROR(MATCH(설정!$C$18,INDEX(급여대장_원본!$A$1:$AZ$400,설정!$B$8,0),0),"")=""),"",IFERROR(VALUE(SUBSTITUTE(INDEX(급여대장_원본!$A$1:$AZ$400,(설정!$B$8+217),IFERROR(MATCH(설정!$C$18,INDEX(급여대장_원본!$A$1:$AZ$400,설정!$B$8,0),0),""))&amp;"",",","")),""))</f>
        <v/>
      </c>
      <c r="P223" s="2">
        <f>IF(OR(설정!$C$19="",IFERROR(MATCH(설정!$C$19,INDEX(급여대장_원본!$A$1:$AZ$400,설정!$B$8,0),0),"")=""),"",IFERROR(VALUE(SUBSTITUTE(INDEX(급여대장_원본!$A$1:$AZ$400,(설정!$B$8+217),IFERROR(MATCH(설정!$C$19,INDEX(급여대장_원본!$A$1:$AZ$400,설정!$B$8,0),0),""))&amp;"",",","")),""))</f>
        <v/>
      </c>
      <c r="Q223" s="2">
        <f>IF(OR(설정!$C$20="",IFERROR(MATCH(설정!$C$20,INDEX(급여대장_원본!$A$1:$AZ$400,설정!$B$8,0),0),"")=""),"",IFERROR(VALUE(SUBSTITUTE(INDEX(급여대장_원본!$A$1:$AZ$400,(설정!$B$8+217),IFERROR(MATCH(설정!$C$20,INDEX(급여대장_원본!$A$1:$AZ$400,설정!$B$8,0),0),""))&amp;"",",","")),""))</f>
        <v/>
      </c>
      <c r="R223" s="2">
        <f>IF(OR(설정!$C$21="",IFERROR(MATCH(설정!$C$21,INDEX(급여대장_원본!$A$1:$AZ$400,설정!$B$8,0),0),"")=""),"",IFERROR(VALUE(SUBSTITUTE(INDEX(급여대장_원본!$A$1:$AZ$400,(설정!$B$8+217),IFERROR(MATCH(설정!$C$21,INDEX(급여대장_원본!$A$1:$AZ$400,설정!$B$8,0),0),""))&amp;"",",","")),""))</f>
        <v/>
      </c>
      <c r="S223" s="2">
        <f>IF(OR(설정!$C$22="",IFERROR(MATCH(설정!$C$22,INDEX(급여대장_원본!$A$1:$AZ$400,설정!$B$8,0),0),"")=""),"",IFERROR(VALUE(SUBSTITUTE(INDEX(급여대장_원본!$A$1:$AZ$400,(설정!$B$8+217),IFERROR(MATCH(설정!$C$22,INDEX(급여대장_원본!$A$1:$AZ$400,설정!$B$8,0),0),""))&amp;"",",","")),""))</f>
        <v/>
      </c>
      <c r="T223" s="2">
        <f>IF(OR(설정!$C$23="",IFERROR(MATCH(설정!$C$23,INDEX(급여대장_원본!$A$1:$AZ$400,설정!$B$8,0),0),"")=""),"",IFERROR(VALUE(SUBSTITUTE(INDEX(급여대장_원본!$A$1:$AZ$400,(설정!$B$8+217),IFERROR(MATCH(설정!$C$23,INDEX(급여대장_원본!$A$1:$AZ$400,설정!$B$8,0),0),""))&amp;"",",","")),""))</f>
        <v/>
      </c>
      <c r="U223" s="2">
        <f>IF(OR(설정!$C$24="",IFERROR(MATCH(설정!$C$24,INDEX(급여대장_원본!$A$1:$AZ$400,설정!$B$8,0),0),"")=""),"",IFERROR(VALUE(SUBSTITUTE(INDEX(급여대장_원본!$A$1:$AZ$400,(설정!$B$8+217),IFERROR(MATCH(설정!$C$24,INDEX(급여대장_원본!$A$1:$AZ$400,설정!$B$8,0),0),""))&amp;"",",","")),""))</f>
        <v/>
      </c>
      <c r="V223" s="27">
        <f>SUM(F223:M223)</f>
        <v/>
      </c>
      <c r="W223" s="27">
        <f>IF(설정!$D$26="",0,IFERROR(VALUE(SUBSTITUTE(SUBSTITUTE(INDEX(급여대장_원본!$A$1:$AZ$400,(설정!$B$8+217),설정!$D$26)&amp;"",",",""),"　","")),0))</f>
        <v/>
      </c>
      <c r="X223" s="27">
        <f>IF(설정!$D$27="",0,IFERROR(VALUE(SUBSTITUTE(SUBSTITUTE(INDEX(급여대장_원본!$A$1:$AZ$400,(설정!$B$8+217),설정!$D$27)&amp;"",",",""),"　","")),0))</f>
        <v/>
      </c>
      <c r="Y223" s="27">
        <f>IF(설정!$D$28="",0,IFERROR(VALUE(SUBSTITUTE(SUBSTITUTE(INDEX(급여대장_원본!$A$1:$AZ$400,(설정!$B$8+217),설정!$D$28)&amp;"",",",""),"　","")),0))</f>
        <v/>
      </c>
      <c r="Z223" s="27">
        <f>IF(설정!$D$29="",0,IFERROR(VALUE(SUBSTITUTE(SUBSTITUTE(INDEX(급여대장_원본!$A$1:$AZ$400,(설정!$B$8+217),설정!$D$29)&amp;"",",",""),"　","")),0))</f>
        <v/>
      </c>
      <c r="AA223" s="27">
        <f>IF(설정!$D$30="",0,IFERROR(VALUE(SUBSTITUTE(SUBSTITUTE(INDEX(급여대장_원본!$A$1:$AZ$400,(설정!$B$8+217),설정!$D$30)&amp;"",",",""),"　","")),0))</f>
        <v/>
      </c>
      <c r="AB223" s="27">
        <f>IF(설정!$D$31="",0,IFERROR(VALUE(SUBSTITUTE(SUBSTITUTE(INDEX(급여대장_원본!$A$1:$AZ$400,(설정!$B$8+217),설정!$D$31)&amp;"",",",""),"　","")),0))</f>
        <v/>
      </c>
      <c r="AC223" s="27">
        <f>IF(설정!$D$32="",0,IFERROR(VALUE(SUBSTITUTE(SUBSTITUTE(INDEX(급여대장_원본!$A$1:$AZ$400,(설정!$B$8+217),설정!$D$32)&amp;"",",",""),"　","")),0))</f>
        <v/>
      </c>
      <c r="AD223" s="27">
        <f>IF(설정!$D$33="",0,IFERROR(VALUE(SUBSTITUTE(SUBSTITUTE(INDEX(급여대장_원본!$A$1:$AZ$400,(설정!$B$8+217),설정!$D$33)&amp;"",",",""),"　","")),0))</f>
        <v/>
      </c>
      <c r="AE223" s="27">
        <f>SUM(W223:AD223)</f>
        <v/>
      </c>
      <c r="AF223" s="27">
        <f>V223-AE223</f>
        <v/>
      </c>
      <c r="AG223" s="27">
        <f>IF(설정!$D$35="","",IF(설정!$D$35="",0,IFERROR(VALUE(SUBSTITUTE(SUBSTITUTE(INDEX(급여대장_원본!$A$1:$AZ$400,(설정!$B$8+217),설정!$D$35)&amp;"",",",""),"　","")),0)))</f>
        <v/>
      </c>
      <c r="AH223" s="27">
        <f>IF(설정!$D$36="","",IF(설정!$D$36="",0,IFERROR(VALUE(SUBSTITUTE(SUBSTITUTE(INDEX(급여대장_원본!$A$1:$AZ$400,(설정!$B$8+217),설정!$D$36)&amp;"",",",""),"　","")),0)))</f>
        <v/>
      </c>
      <c r="AI223" s="27">
        <f>IF(설정!$D$37="","",IF(설정!$D$37="",0,IFERROR(VALUE(SUBSTITUTE(SUBSTITUTE(INDEX(급여대장_원본!$A$1:$AZ$400,(설정!$B$8+217),설정!$D$37)&amp;"",",",""),"　","")),0)))</f>
        <v/>
      </c>
      <c r="AJ223" s="2">
        <f>IFERROR(INDEX($D$7:$D$306,MATCH(217,$B$7:$B$306,0)),"")</f>
        <v/>
      </c>
    </row>
    <row r="224">
      <c r="A224" s="2">
        <f>IF(AND(D224&lt;&gt;"",D224&lt;&gt;"합계",D224&lt;&gt;"총계",D224&lt;&gt;"소계",D224&lt;&gt;"계"),1,0)</f>
        <v/>
      </c>
      <c r="B224" s="2">
        <f>IF(A224=1,SUM($A$7:A224),"")</f>
        <v/>
      </c>
      <c r="C224" s="2">
        <f>IF(설정!$D$13="","",TRIM(SUBSTITUTE(INDEX(급여대장_원본!$A$1:$AZ$400,(설정!$B$8+218),설정!$D$13)&amp;"","　"," ")))</f>
        <v/>
      </c>
      <c r="D224" s="2">
        <f>IF(설정!$D$14="","",TRIM(SUBSTITUTE(INDEX(급여대장_원본!$A$1:$AZ$400,(설정!$B$8+218),설정!$D$14)&amp;"","　"," ")))</f>
        <v/>
      </c>
      <c r="E224" s="2">
        <f>IF(설정!$D$15="","",TRIM(SUBSTITUTE(INDEX(급여대장_원본!$A$1:$AZ$400,(설정!$B$8+218),설정!$D$15)&amp;"","　"," ")))</f>
        <v/>
      </c>
      <c r="F224" s="27">
        <f>IF(설정!$D$17="",0,IFERROR(VALUE(SUBSTITUTE(SUBSTITUTE(INDEX(급여대장_원본!$A$1:$AZ$400,(설정!$B$8+218),설정!$D$17)&amp;"",",",""),"　","")),0))</f>
        <v/>
      </c>
      <c r="G224" s="27">
        <f>IF(설정!$D$18="",0,IFERROR(VALUE(SUBSTITUTE(SUBSTITUTE(INDEX(급여대장_원본!$A$1:$AZ$400,(설정!$B$8+218),설정!$D$18)&amp;"",",",""),"　","")),0))</f>
        <v/>
      </c>
      <c r="H224" s="27">
        <f>IF(설정!$D$19="",0,IFERROR(VALUE(SUBSTITUTE(SUBSTITUTE(INDEX(급여대장_원본!$A$1:$AZ$400,(설정!$B$8+218),설정!$D$19)&amp;"",",",""),"　","")),0))</f>
        <v/>
      </c>
      <c r="I224" s="27">
        <f>IF(설정!$D$20="",0,IFERROR(VALUE(SUBSTITUTE(SUBSTITUTE(INDEX(급여대장_원본!$A$1:$AZ$400,(설정!$B$8+218),설정!$D$20)&amp;"",",",""),"　","")),0))</f>
        <v/>
      </c>
      <c r="J224" s="27">
        <f>IF(설정!$D$21="",0,IFERROR(VALUE(SUBSTITUTE(SUBSTITUTE(INDEX(급여대장_원본!$A$1:$AZ$400,(설정!$B$8+218),설정!$D$21)&amp;"",",",""),"　","")),0))</f>
        <v/>
      </c>
      <c r="K224" s="27">
        <f>IF(설정!$D$22="",0,IFERROR(VALUE(SUBSTITUTE(SUBSTITUTE(INDEX(급여대장_원본!$A$1:$AZ$400,(설정!$B$8+218),설정!$D$22)&amp;"",",",""),"　","")),0))</f>
        <v/>
      </c>
      <c r="L224" s="27">
        <f>IF(설정!$D$23="",0,IFERROR(VALUE(SUBSTITUTE(SUBSTITUTE(INDEX(급여대장_원본!$A$1:$AZ$400,(설정!$B$8+218),설정!$D$23)&amp;"",",",""),"　","")),0))</f>
        <v/>
      </c>
      <c r="M224" s="27">
        <f>IF(설정!$D$24="",0,IFERROR(VALUE(SUBSTITUTE(SUBSTITUTE(INDEX(급여대장_원본!$A$1:$AZ$400,(설정!$B$8+218),설정!$D$24)&amp;"",",",""),"　","")),0))</f>
        <v/>
      </c>
      <c r="N224" s="2">
        <f>IF(OR(설정!$C$17="",IFERROR(MATCH(설정!$C$17,INDEX(급여대장_원본!$A$1:$AZ$400,설정!$B$8,0),0),"")=""),"",IFERROR(VALUE(SUBSTITUTE(INDEX(급여대장_원본!$A$1:$AZ$400,(설정!$B$8+218),IFERROR(MATCH(설정!$C$17,INDEX(급여대장_원본!$A$1:$AZ$400,설정!$B$8,0),0),""))&amp;"",",","")),""))</f>
        <v/>
      </c>
      <c r="O224" s="2">
        <f>IF(OR(설정!$C$18="",IFERROR(MATCH(설정!$C$18,INDEX(급여대장_원본!$A$1:$AZ$400,설정!$B$8,0),0),"")=""),"",IFERROR(VALUE(SUBSTITUTE(INDEX(급여대장_원본!$A$1:$AZ$400,(설정!$B$8+218),IFERROR(MATCH(설정!$C$18,INDEX(급여대장_원본!$A$1:$AZ$400,설정!$B$8,0),0),""))&amp;"",",","")),""))</f>
        <v/>
      </c>
      <c r="P224" s="2">
        <f>IF(OR(설정!$C$19="",IFERROR(MATCH(설정!$C$19,INDEX(급여대장_원본!$A$1:$AZ$400,설정!$B$8,0),0),"")=""),"",IFERROR(VALUE(SUBSTITUTE(INDEX(급여대장_원본!$A$1:$AZ$400,(설정!$B$8+218),IFERROR(MATCH(설정!$C$19,INDEX(급여대장_원본!$A$1:$AZ$400,설정!$B$8,0),0),""))&amp;"",",","")),""))</f>
        <v/>
      </c>
      <c r="Q224" s="2">
        <f>IF(OR(설정!$C$20="",IFERROR(MATCH(설정!$C$20,INDEX(급여대장_원본!$A$1:$AZ$400,설정!$B$8,0),0),"")=""),"",IFERROR(VALUE(SUBSTITUTE(INDEX(급여대장_원본!$A$1:$AZ$400,(설정!$B$8+218),IFERROR(MATCH(설정!$C$20,INDEX(급여대장_원본!$A$1:$AZ$400,설정!$B$8,0),0),""))&amp;"",",","")),""))</f>
        <v/>
      </c>
      <c r="R224" s="2">
        <f>IF(OR(설정!$C$21="",IFERROR(MATCH(설정!$C$21,INDEX(급여대장_원본!$A$1:$AZ$400,설정!$B$8,0),0),"")=""),"",IFERROR(VALUE(SUBSTITUTE(INDEX(급여대장_원본!$A$1:$AZ$400,(설정!$B$8+218),IFERROR(MATCH(설정!$C$21,INDEX(급여대장_원본!$A$1:$AZ$400,설정!$B$8,0),0),""))&amp;"",",","")),""))</f>
        <v/>
      </c>
      <c r="S224" s="2">
        <f>IF(OR(설정!$C$22="",IFERROR(MATCH(설정!$C$22,INDEX(급여대장_원본!$A$1:$AZ$400,설정!$B$8,0),0),"")=""),"",IFERROR(VALUE(SUBSTITUTE(INDEX(급여대장_원본!$A$1:$AZ$400,(설정!$B$8+218),IFERROR(MATCH(설정!$C$22,INDEX(급여대장_원본!$A$1:$AZ$400,설정!$B$8,0),0),""))&amp;"",",","")),""))</f>
        <v/>
      </c>
      <c r="T224" s="2">
        <f>IF(OR(설정!$C$23="",IFERROR(MATCH(설정!$C$23,INDEX(급여대장_원본!$A$1:$AZ$400,설정!$B$8,0),0),"")=""),"",IFERROR(VALUE(SUBSTITUTE(INDEX(급여대장_원본!$A$1:$AZ$400,(설정!$B$8+218),IFERROR(MATCH(설정!$C$23,INDEX(급여대장_원본!$A$1:$AZ$400,설정!$B$8,0),0),""))&amp;"",",","")),""))</f>
        <v/>
      </c>
      <c r="U224" s="2">
        <f>IF(OR(설정!$C$24="",IFERROR(MATCH(설정!$C$24,INDEX(급여대장_원본!$A$1:$AZ$400,설정!$B$8,0),0),"")=""),"",IFERROR(VALUE(SUBSTITUTE(INDEX(급여대장_원본!$A$1:$AZ$400,(설정!$B$8+218),IFERROR(MATCH(설정!$C$24,INDEX(급여대장_원본!$A$1:$AZ$400,설정!$B$8,0),0),""))&amp;"",",","")),""))</f>
        <v/>
      </c>
      <c r="V224" s="27">
        <f>SUM(F224:M224)</f>
        <v/>
      </c>
      <c r="W224" s="27">
        <f>IF(설정!$D$26="",0,IFERROR(VALUE(SUBSTITUTE(SUBSTITUTE(INDEX(급여대장_원본!$A$1:$AZ$400,(설정!$B$8+218),설정!$D$26)&amp;"",",",""),"　","")),0))</f>
        <v/>
      </c>
      <c r="X224" s="27">
        <f>IF(설정!$D$27="",0,IFERROR(VALUE(SUBSTITUTE(SUBSTITUTE(INDEX(급여대장_원본!$A$1:$AZ$400,(설정!$B$8+218),설정!$D$27)&amp;"",",",""),"　","")),0))</f>
        <v/>
      </c>
      <c r="Y224" s="27">
        <f>IF(설정!$D$28="",0,IFERROR(VALUE(SUBSTITUTE(SUBSTITUTE(INDEX(급여대장_원본!$A$1:$AZ$400,(설정!$B$8+218),설정!$D$28)&amp;"",",",""),"　","")),0))</f>
        <v/>
      </c>
      <c r="Z224" s="27">
        <f>IF(설정!$D$29="",0,IFERROR(VALUE(SUBSTITUTE(SUBSTITUTE(INDEX(급여대장_원본!$A$1:$AZ$400,(설정!$B$8+218),설정!$D$29)&amp;"",",",""),"　","")),0))</f>
        <v/>
      </c>
      <c r="AA224" s="27">
        <f>IF(설정!$D$30="",0,IFERROR(VALUE(SUBSTITUTE(SUBSTITUTE(INDEX(급여대장_원본!$A$1:$AZ$400,(설정!$B$8+218),설정!$D$30)&amp;"",",",""),"　","")),0))</f>
        <v/>
      </c>
      <c r="AB224" s="27">
        <f>IF(설정!$D$31="",0,IFERROR(VALUE(SUBSTITUTE(SUBSTITUTE(INDEX(급여대장_원본!$A$1:$AZ$400,(설정!$B$8+218),설정!$D$31)&amp;"",",",""),"　","")),0))</f>
        <v/>
      </c>
      <c r="AC224" s="27">
        <f>IF(설정!$D$32="",0,IFERROR(VALUE(SUBSTITUTE(SUBSTITUTE(INDEX(급여대장_원본!$A$1:$AZ$400,(설정!$B$8+218),설정!$D$32)&amp;"",",",""),"　","")),0))</f>
        <v/>
      </c>
      <c r="AD224" s="27">
        <f>IF(설정!$D$33="",0,IFERROR(VALUE(SUBSTITUTE(SUBSTITUTE(INDEX(급여대장_원본!$A$1:$AZ$400,(설정!$B$8+218),설정!$D$33)&amp;"",",",""),"　","")),0))</f>
        <v/>
      </c>
      <c r="AE224" s="27">
        <f>SUM(W224:AD224)</f>
        <v/>
      </c>
      <c r="AF224" s="27">
        <f>V224-AE224</f>
        <v/>
      </c>
      <c r="AG224" s="27">
        <f>IF(설정!$D$35="","",IF(설정!$D$35="",0,IFERROR(VALUE(SUBSTITUTE(SUBSTITUTE(INDEX(급여대장_원본!$A$1:$AZ$400,(설정!$B$8+218),설정!$D$35)&amp;"",",",""),"　","")),0)))</f>
        <v/>
      </c>
      <c r="AH224" s="27">
        <f>IF(설정!$D$36="","",IF(설정!$D$36="",0,IFERROR(VALUE(SUBSTITUTE(SUBSTITUTE(INDEX(급여대장_원본!$A$1:$AZ$400,(설정!$B$8+218),설정!$D$36)&amp;"",",",""),"　","")),0)))</f>
        <v/>
      </c>
      <c r="AI224" s="27">
        <f>IF(설정!$D$37="","",IF(설정!$D$37="",0,IFERROR(VALUE(SUBSTITUTE(SUBSTITUTE(INDEX(급여대장_원본!$A$1:$AZ$400,(설정!$B$8+218),설정!$D$37)&amp;"",",",""),"　","")),0)))</f>
        <v/>
      </c>
      <c r="AJ224" s="2">
        <f>IFERROR(INDEX($D$7:$D$306,MATCH(218,$B$7:$B$306,0)),"")</f>
        <v/>
      </c>
    </row>
    <row r="225">
      <c r="A225" s="2">
        <f>IF(AND(D225&lt;&gt;"",D225&lt;&gt;"합계",D225&lt;&gt;"총계",D225&lt;&gt;"소계",D225&lt;&gt;"계"),1,0)</f>
        <v/>
      </c>
      <c r="B225" s="2">
        <f>IF(A225=1,SUM($A$7:A225),"")</f>
        <v/>
      </c>
      <c r="C225" s="2">
        <f>IF(설정!$D$13="","",TRIM(SUBSTITUTE(INDEX(급여대장_원본!$A$1:$AZ$400,(설정!$B$8+219),설정!$D$13)&amp;"","　"," ")))</f>
        <v/>
      </c>
      <c r="D225" s="2">
        <f>IF(설정!$D$14="","",TRIM(SUBSTITUTE(INDEX(급여대장_원본!$A$1:$AZ$400,(설정!$B$8+219),설정!$D$14)&amp;"","　"," ")))</f>
        <v/>
      </c>
      <c r="E225" s="2">
        <f>IF(설정!$D$15="","",TRIM(SUBSTITUTE(INDEX(급여대장_원본!$A$1:$AZ$400,(설정!$B$8+219),설정!$D$15)&amp;"","　"," ")))</f>
        <v/>
      </c>
      <c r="F225" s="27">
        <f>IF(설정!$D$17="",0,IFERROR(VALUE(SUBSTITUTE(SUBSTITUTE(INDEX(급여대장_원본!$A$1:$AZ$400,(설정!$B$8+219),설정!$D$17)&amp;"",",",""),"　","")),0))</f>
        <v/>
      </c>
      <c r="G225" s="27">
        <f>IF(설정!$D$18="",0,IFERROR(VALUE(SUBSTITUTE(SUBSTITUTE(INDEX(급여대장_원본!$A$1:$AZ$400,(설정!$B$8+219),설정!$D$18)&amp;"",",",""),"　","")),0))</f>
        <v/>
      </c>
      <c r="H225" s="27">
        <f>IF(설정!$D$19="",0,IFERROR(VALUE(SUBSTITUTE(SUBSTITUTE(INDEX(급여대장_원본!$A$1:$AZ$400,(설정!$B$8+219),설정!$D$19)&amp;"",",",""),"　","")),0))</f>
        <v/>
      </c>
      <c r="I225" s="27">
        <f>IF(설정!$D$20="",0,IFERROR(VALUE(SUBSTITUTE(SUBSTITUTE(INDEX(급여대장_원본!$A$1:$AZ$400,(설정!$B$8+219),설정!$D$20)&amp;"",",",""),"　","")),0))</f>
        <v/>
      </c>
      <c r="J225" s="27">
        <f>IF(설정!$D$21="",0,IFERROR(VALUE(SUBSTITUTE(SUBSTITUTE(INDEX(급여대장_원본!$A$1:$AZ$400,(설정!$B$8+219),설정!$D$21)&amp;"",",",""),"　","")),0))</f>
        <v/>
      </c>
      <c r="K225" s="27">
        <f>IF(설정!$D$22="",0,IFERROR(VALUE(SUBSTITUTE(SUBSTITUTE(INDEX(급여대장_원본!$A$1:$AZ$400,(설정!$B$8+219),설정!$D$22)&amp;"",",",""),"　","")),0))</f>
        <v/>
      </c>
      <c r="L225" s="27">
        <f>IF(설정!$D$23="",0,IFERROR(VALUE(SUBSTITUTE(SUBSTITUTE(INDEX(급여대장_원본!$A$1:$AZ$400,(설정!$B$8+219),설정!$D$23)&amp;"",",",""),"　","")),0))</f>
        <v/>
      </c>
      <c r="M225" s="27">
        <f>IF(설정!$D$24="",0,IFERROR(VALUE(SUBSTITUTE(SUBSTITUTE(INDEX(급여대장_원본!$A$1:$AZ$400,(설정!$B$8+219),설정!$D$24)&amp;"",",",""),"　","")),0))</f>
        <v/>
      </c>
      <c r="N225" s="2">
        <f>IF(OR(설정!$C$17="",IFERROR(MATCH(설정!$C$17,INDEX(급여대장_원본!$A$1:$AZ$400,설정!$B$8,0),0),"")=""),"",IFERROR(VALUE(SUBSTITUTE(INDEX(급여대장_원본!$A$1:$AZ$400,(설정!$B$8+219),IFERROR(MATCH(설정!$C$17,INDEX(급여대장_원본!$A$1:$AZ$400,설정!$B$8,0),0),""))&amp;"",",","")),""))</f>
        <v/>
      </c>
      <c r="O225" s="2">
        <f>IF(OR(설정!$C$18="",IFERROR(MATCH(설정!$C$18,INDEX(급여대장_원본!$A$1:$AZ$400,설정!$B$8,0),0),"")=""),"",IFERROR(VALUE(SUBSTITUTE(INDEX(급여대장_원본!$A$1:$AZ$400,(설정!$B$8+219),IFERROR(MATCH(설정!$C$18,INDEX(급여대장_원본!$A$1:$AZ$400,설정!$B$8,0),0),""))&amp;"",",","")),""))</f>
        <v/>
      </c>
      <c r="P225" s="2">
        <f>IF(OR(설정!$C$19="",IFERROR(MATCH(설정!$C$19,INDEX(급여대장_원본!$A$1:$AZ$400,설정!$B$8,0),0),"")=""),"",IFERROR(VALUE(SUBSTITUTE(INDEX(급여대장_원본!$A$1:$AZ$400,(설정!$B$8+219),IFERROR(MATCH(설정!$C$19,INDEX(급여대장_원본!$A$1:$AZ$400,설정!$B$8,0),0),""))&amp;"",",","")),""))</f>
        <v/>
      </c>
      <c r="Q225" s="2">
        <f>IF(OR(설정!$C$20="",IFERROR(MATCH(설정!$C$20,INDEX(급여대장_원본!$A$1:$AZ$400,설정!$B$8,0),0),"")=""),"",IFERROR(VALUE(SUBSTITUTE(INDEX(급여대장_원본!$A$1:$AZ$400,(설정!$B$8+219),IFERROR(MATCH(설정!$C$20,INDEX(급여대장_원본!$A$1:$AZ$400,설정!$B$8,0),0),""))&amp;"",",","")),""))</f>
        <v/>
      </c>
      <c r="R225" s="2">
        <f>IF(OR(설정!$C$21="",IFERROR(MATCH(설정!$C$21,INDEX(급여대장_원본!$A$1:$AZ$400,설정!$B$8,0),0),"")=""),"",IFERROR(VALUE(SUBSTITUTE(INDEX(급여대장_원본!$A$1:$AZ$400,(설정!$B$8+219),IFERROR(MATCH(설정!$C$21,INDEX(급여대장_원본!$A$1:$AZ$400,설정!$B$8,0),0),""))&amp;"",",","")),""))</f>
        <v/>
      </c>
      <c r="S225" s="2">
        <f>IF(OR(설정!$C$22="",IFERROR(MATCH(설정!$C$22,INDEX(급여대장_원본!$A$1:$AZ$400,설정!$B$8,0),0),"")=""),"",IFERROR(VALUE(SUBSTITUTE(INDEX(급여대장_원본!$A$1:$AZ$400,(설정!$B$8+219),IFERROR(MATCH(설정!$C$22,INDEX(급여대장_원본!$A$1:$AZ$400,설정!$B$8,0),0),""))&amp;"",",","")),""))</f>
        <v/>
      </c>
      <c r="T225" s="2">
        <f>IF(OR(설정!$C$23="",IFERROR(MATCH(설정!$C$23,INDEX(급여대장_원본!$A$1:$AZ$400,설정!$B$8,0),0),"")=""),"",IFERROR(VALUE(SUBSTITUTE(INDEX(급여대장_원본!$A$1:$AZ$400,(설정!$B$8+219),IFERROR(MATCH(설정!$C$23,INDEX(급여대장_원본!$A$1:$AZ$400,설정!$B$8,0),0),""))&amp;"",",","")),""))</f>
        <v/>
      </c>
      <c r="U225" s="2">
        <f>IF(OR(설정!$C$24="",IFERROR(MATCH(설정!$C$24,INDEX(급여대장_원본!$A$1:$AZ$400,설정!$B$8,0),0),"")=""),"",IFERROR(VALUE(SUBSTITUTE(INDEX(급여대장_원본!$A$1:$AZ$400,(설정!$B$8+219),IFERROR(MATCH(설정!$C$24,INDEX(급여대장_원본!$A$1:$AZ$400,설정!$B$8,0),0),""))&amp;"",",","")),""))</f>
        <v/>
      </c>
      <c r="V225" s="27">
        <f>SUM(F225:M225)</f>
        <v/>
      </c>
      <c r="W225" s="27">
        <f>IF(설정!$D$26="",0,IFERROR(VALUE(SUBSTITUTE(SUBSTITUTE(INDEX(급여대장_원본!$A$1:$AZ$400,(설정!$B$8+219),설정!$D$26)&amp;"",",",""),"　","")),0))</f>
        <v/>
      </c>
      <c r="X225" s="27">
        <f>IF(설정!$D$27="",0,IFERROR(VALUE(SUBSTITUTE(SUBSTITUTE(INDEX(급여대장_원본!$A$1:$AZ$400,(설정!$B$8+219),설정!$D$27)&amp;"",",",""),"　","")),0))</f>
        <v/>
      </c>
      <c r="Y225" s="27">
        <f>IF(설정!$D$28="",0,IFERROR(VALUE(SUBSTITUTE(SUBSTITUTE(INDEX(급여대장_원본!$A$1:$AZ$400,(설정!$B$8+219),설정!$D$28)&amp;"",",",""),"　","")),0))</f>
        <v/>
      </c>
      <c r="Z225" s="27">
        <f>IF(설정!$D$29="",0,IFERROR(VALUE(SUBSTITUTE(SUBSTITUTE(INDEX(급여대장_원본!$A$1:$AZ$400,(설정!$B$8+219),설정!$D$29)&amp;"",",",""),"　","")),0))</f>
        <v/>
      </c>
      <c r="AA225" s="27">
        <f>IF(설정!$D$30="",0,IFERROR(VALUE(SUBSTITUTE(SUBSTITUTE(INDEX(급여대장_원본!$A$1:$AZ$400,(설정!$B$8+219),설정!$D$30)&amp;"",",",""),"　","")),0))</f>
        <v/>
      </c>
      <c r="AB225" s="27">
        <f>IF(설정!$D$31="",0,IFERROR(VALUE(SUBSTITUTE(SUBSTITUTE(INDEX(급여대장_원본!$A$1:$AZ$400,(설정!$B$8+219),설정!$D$31)&amp;"",",",""),"　","")),0))</f>
        <v/>
      </c>
      <c r="AC225" s="27">
        <f>IF(설정!$D$32="",0,IFERROR(VALUE(SUBSTITUTE(SUBSTITUTE(INDEX(급여대장_원본!$A$1:$AZ$400,(설정!$B$8+219),설정!$D$32)&amp;"",",",""),"　","")),0))</f>
        <v/>
      </c>
      <c r="AD225" s="27">
        <f>IF(설정!$D$33="",0,IFERROR(VALUE(SUBSTITUTE(SUBSTITUTE(INDEX(급여대장_원본!$A$1:$AZ$400,(설정!$B$8+219),설정!$D$33)&amp;"",",",""),"　","")),0))</f>
        <v/>
      </c>
      <c r="AE225" s="27">
        <f>SUM(W225:AD225)</f>
        <v/>
      </c>
      <c r="AF225" s="27">
        <f>V225-AE225</f>
        <v/>
      </c>
      <c r="AG225" s="27">
        <f>IF(설정!$D$35="","",IF(설정!$D$35="",0,IFERROR(VALUE(SUBSTITUTE(SUBSTITUTE(INDEX(급여대장_원본!$A$1:$AZ$400,(설정!$B$8+219),설정!$D$35)&amp;"",",",""),"　","")),0)))</f>
        <v/>
      </c>
      <c r="AH225" s="27">
        <f>IF(설정!$D$36="","",IF(설정!$D$36="",0,IFERROR(VALUE(SUBSTITUTE(SUBSTITUTE(INDEX(급여대장_원본!$A$1:$AZ$400,(설정!$B$8+219),설정!$D$36)&amp;"",",",""),"　","")),0)))</f>
        <v/>
      </c>
      <c r="AI225" s="27">
        <f>IF(설정!$D$37="","",IF(설정!$D$37="",0,IFERROR(VALUE(SUBSTITUTE(SUBSTITUTE(INDEX(급여대장_원본!$A$1:$AZ$400,(설정!$B$8+219),설정!$D$37)&amp;"",",",""),"　","")),0)))</f>
        <v/>
      </c>
      <c r="AJ225" s="2">
        <f>IFERROR(INDEX($D$7:$D$306,MATCH(219,$B$7:$B$306,0)),"")</f>
        <v/>
      </c>
    </row>
    <row r="226">
      <c r="A226" s="2">
        <f>IF(AND(D226&lt;&gt;"",D226&lt;&gt;"합계",D226&lt;&gt;"총계",D226&lt;&gt;"소계",D226&lt;&gt;"계"),1,0)</f>
        <v/>
      </c>
      <c r="B226" s="2">
        <f>IF(A226=1,SUM($A$7:A226),"")</f>
        <v/>
      </c>
      <c r="C226" s="2">
        <f>IF(설정!$D$13="","",TRIM(SUBSTITUTE(INDEX(급여대장_원본!$A$1:$AZ$400,(설정!$B$8+220),설정!$D$13)&amp;"","　"," ")))</f>
        <v/>
      </c>
      <c r="D226" s="2">
        <f>IF(설정!$D$14="","",TRIM(SUBSTITUTE(INDEX(급여대장_원본!$A$1:$AZ$400,(설정!$B$8+220),설정!$D$14)&amp;"","　"," ")))</f>
        <v/>
      </c>
      <c r="E226" s="2">
        <f>IF(설정!$D$15="","",TRIM(SUBSTITUTE(INDEX(급여대장_원본!$A$1:$AZ$400,(설정!$B$8+220),설정!$D$15)&amp;"","　"," ")))</f>
        <v/>
      </c>
      <c r="F226" s="27">
        <f>IF(설정!$D$17="",0,IFERROR(VALUE(SUBSTITUTE(SUBSTITUTE(INDEX(급여대장_원본!$A$1:$AZ$400,(설정!$B$8+220),설정!$D$17)&amp;"",",",""),"　","")),0))</f>
        <v/>
      </c>
      <c r="G226" s="27">
        <f>IF(설정!$D$18="",0,IFERROR(VALUE(SUBSTITUTE(SUBSTITUTE(INDEX(급여대장_원본!$A$1:$AZ$400,(설정!$B$8+220),설정!$D$18)&amp;"",",",""),"　","")),0))</f>
        <v/>
      </c>
      <c r="H226" s="27">
        <f>IF(설정!$D$19="",0,IFERROR(VALUE(SUBSTITUTE(SUBSTITUTE(INDEX(급여대장_원본!$A$1:$AZ$400,(설정!$B$8+220),설정!$D$19)&amp;"",",",""),"　","")),0))</f>
        <v/>
      </c>
      <c r="I226" s="27">
        <f>IF(설정!$D$20="",0,IFERROR(VALUE(SUBSTITUTE(SUBSTITUTE(INDEX(급여대장_원본!$A$1:$AZ$400,(설정!$B$8+220),설정!$D$20)&amp;"",",",""),"　","")),0))</f>
        <v/>
      </c>
      <c r="J226" s="27">
        <f>IF(설정!$D$21="",0,IFERROR(VALUE(SUBSTITUTE(SUBSTITUTE(INDEX(급여대장_원본!$A$1:$AZ$400,(설정!$B$8+220),설정!$D$21)&amp;"",",",""),"　","")),0))</f>
        <v/>
      </c>
      <c r="K226" s="27">
        <f>IF(설정!$D$22="",0,IFERROR(VALUE(SUBSTITUTE(SUBSTITUTE(INDEX(급여대장_원본!$A$1:$AZ$400,(설정!$B$8+220),설정!$D$22)&amp;"",",",""),"　","")),0))</f>
        <v/>
      </c>
      <c r="L226" s="27">
        <f>IF(설정!$D$23="",0,IFERROR(VALUE(SUBSTITUTE(SUBSTITUTE(INDEX(급여대장_원본!$A$1:$AZ$400,(설정!$B$8+220),설정!$D$23)&amp;"",",",""),"　","")),0))</f>
        <v/>
      </c>
      <c r="M226" s="27">
        <f>IF(설정!$D$24="",0,IFERROR(VALUE(SUBSTITUTE(SUBSTITUTE(INDEX(급여대장_원본!$A$1:$AZ$400,(설정!$B$8+220),설정!$D$24)&amp;"",",",""),"　","")),0))</f>
        <v/>
      </c>
      <c r="N226" s="2">
        <f>IF(OR(설정!$C$17="",IFERROR(MATCH(설정!$C$17,INDEX(급여대장_원본!$A$1:$AZ$400,설정!$B$8,0),0),"")=""),"",IFERROR(VALUE(SUBSTITUTE(INDEX(급여대장_원본!$A$1:$AZ$400,(설정!$B$8+220),IFERROR(MATCH(설정!$C$17,INDEX(급여대장_원본!$A$1:$AZ$400,설정!$B$8,0),0),""))&amp;"",",","")),""))</f>
        <v/>
      </c>
      <c r="O226" s="2">
        <f>IF(OR(설정!$C$18="",IFERROR(MATCH(설정!$C$18,INDEX(급여대장_원본!$A$1:$AZ$400,설정!$B$8,0),0),"")=""),"",IFERROR(VALUE(SUBSTITUTE(INDEX(급여대장_원본!$A$1:$AZ$400,(설정!$B$8+220),IFERROR(MATCH(설정!$C$18,INDEX(급여대장_원본!$A$1:$AZ$400,설정!$B$8,0),0),""))&amp;"",",","")),""))</f>
        <v/>
      </c>
      <c r="P226" s="2">
        <f>IF(OR(설정!$C$19="",IFERROR(MATCH(설정!$C$19,INDEX(급여대장_원본!$A$1:$AZ$400,설정!$B$8,0),0),"")=""),"",IFERROR(VALUE(SUBSTITUTE(INDEX(급여대장_원본!$A$1:$AZ$400,(설정!$B$8+220),IFERROR(MATCH(설정!$C$19,INDEX(급여대장_원본!$A$1:$AZ$400,설정!$B$8,0),0),""))&amp;"",",","")),""))</f>
        <v/>
      </c>
      <c r="Q226" s="2">
        <f>IF(OR(설정!$C$20="",IFERROR(MATCH(설정!$C$20,INDEX(급여대장_원본!$A$1:$AZ$400,설정!$B$8,0),0),"")=""),"",IFERROR(VALUE(SUBSTITUTE(INDEX(급여대장_원본!$A$1:$AZ$400,(설정!$B$8+220),IFERROR(MATCH(설정!$C$20,INDEX(급여대장_원본!$A$1:$AZ$400,설정!$B$8,0),0),""))&amp;"",",","")),""))</f>
        <v/>
      </c>
      <c r="R226" s="2">
        <f>IF(OR(설정!$C$21="",IFERROR(MATCH(설정!$C$21,INDEX(급여대장_원본!$A$1:$AZ$400,설정!$B$8,0),0),"")=""),"",IFERROR(VALUE(SUBSTITUTE(INDEX(급여대장_원본!$A$1:$AZ$400,(설정!$B$8+220),IFERROR(MATCH(설정!$C$21,INDEX(급여대장_원본!$A$1:$AZ$400,설정!$B$8,0),0),""))&amp;"",",","")),""))</f>
        <v/>
      </c>
      <c r="S226" s="2">
        <f>IF(OR(설정!$C$22="",IFERROR(MATCH(설정!$C$22,INDEX(급여대장_원본!$A$1:$AZ$400,설정!$B$8,0),0),"")=""),"",IFERROR(VALUE(SUBSTITUTE(INDEX(급여대장_원본!$A$1:$AZ$400,(설정!$B$8+220),IFERROR(MATCH(설정!$C$22,INDEX(급여대장_원본!$A$1:$AZ$400,설정!$B$8,0),0),""))&amp;"",",","")),""))</f>
        <v/>
      </c>
      <c r="T226" s="2">
        <f>IF(OR(설정!$C$23="",IFERROR(MATCH(설정!$C$23,INDEX(급여대장_원본!$A$1:$AZ$400,설정!$B$8,0),0),"")=""),"",IFERROR(VALUE(SUBSTITUTE(INDEX(급여대장_원본!$A$1:$AZ$400,(설정!$B$8+220),IFERROR(MATCH(설정!$C$23,INDEX(급여대장_원본!$A$1:$AZ$400,설정!$B$8,0),0),""))&amp;"",",","")),""))</f>
        <v/>
      </c>
      <c r="U226" s="2">
        <f>IF(OR(설정!$C$24="",IFERROR(MATCH(설정!$C$24,INDEX(급여대장_원본!$A$1:$AZ$400,설정!$B$8,0),0),"")=""),"",IFERROR(VALUE(SUBSTITUTE(INDEX(급여대장_원본!$A$1:$AZ$400,(설정!$B$8+220),IFERROR(MATCH(설정!$C$24,INDEX(급여대장_원본!$A$1:$AZ$400,설정!$B$8,0),0),""))&amp;"",",","")),""))</f>
        <v/>
      </c>
      <c r="V226" s="27">
        <f>SUM(F226:M226)</f>
        <v/>
      </c>
      <c r="W226" s="27">
        <f>IF(설정!$D$26="",0,IFERROR(VALUE(SUBSTITUTE(SUBSTITUTE(INDEX(급여대장_원본!$A$1:$AZ$400,(설정!$B$8+220),설정!$D$26)&amp;"",",",""),"　","")),0))</f>
        <v/>
      </c>
      <c r="X226" s="27">
        <f>IF(설정!$D$27="",0,IFERROR(VALUE(SUBSTITUTE(SUBSTITUTE(INDEX(급여대장_원본!$A$1:$AZ$400,(설정!$B$8+220),설정!$D$27)&amp;"",",",""),"　","")),0))</f>
        <v/>
      </c>
      <c r="Y226" s="27">
        <f>IF(설정!$D$28="",0,IFERROR(VALUE(SUBSTITUTE(SUBSTITUTE(INDEX(급여대장_원본!$A$1:$AZ$400,(설정!$B$8+220),설정!$D$28)&amp;"",",",""),"　","")),0))</f>
        <v/>
      </c>
      <c r="Z226" s="27">
        <f>IF(설정!$D$29="",0,IFERROR(VALUE(SUBSTITUTE(SUBSTITUTE(INDEX(급여대장_원본!$A$1:$AZ$400,(설정!$B$8+220),설정!$D$29)&amp;"",",",""),"　","")),0))</f>
        <v/>
      </c>
      <c r="AA226" s="27">
        <f>IF(설정!$D$30="",0,IFERROR(VALUE(SUBSTITUTE(SUBSTITUTE(INDEX(급여대장_원본!$A$1:$AZ$400,(설정!$B$8+220),설정!$D$30)&amp;"",",",""),"　","")),0))</f>
        <v/>
      </c>
      <c r="AB226" s="27">
        <f>IF(설정!$D$31="",0,IFERROR(VALUE(SUBSTITUTE(SUBSTITUTE(INDEX(급여대장_원본!$A$1:$AZ$400,(설정!$B$8+220),설정!$D$31)&amp;"",",",""),"　","")),0))</f>
        <v/>
      </c>
      <c r="AC226" s="27">
        <f>IF(설정!$D$32="",0,IFERROR(VALUE(SUBSTITUTE(SUBSTITUTE(INDEX(급여대장_원본!$A$1:$AZ$400,(설정!$B$8+220),설정!$D$32)&amp;"",",",""),"　","")),0))</f>
        <v/>
      </c>
      <c r="AD226" s="27">
        <f>IF(설정!$D$33="",0,IFERROR(VALUE(SUBSTITUTE(SUBSTITUTE(INDEX(급여대장_원본!$A$1:$AZ$400,(설정!$B$8+220),설정!$D$33)&amp;"",",",""),"　","")),0))</f>
        <v/>
      </c>
      <c r="AE226" s="27">
        <f>SUM(W226:AD226)</f>
        <v/>
      </c>
      <c r="AF226" s="27">
        <f>V226-AE226</f>
        <v/>
      </c>
      <c r="AG226" s="27">
        <f>IF(설정!$D$35="","",IF(설정!$D$35="",0,IFERROR(VALUE(SUBSTITUTE(SUBSTITUTE(INDEX(급여대장_원본!$A$1:$AZ$400,(설정!$B$8+220),설정!$D$35)&amp;"",",",""),"　","")),0)))</f>
        <v/>
      </c>
      <c r="AH226" s="27">
        <f>IF(설정!$D$36="","",IF(설정!$D$36="",0,IFERROR(VALUE(SUBSTITUTE(SUBSTITUTE(INDEX(급여대장_원본!$A$1:$AZ$400,(설정!$B$8+220),설정!$D$36)&amp;"",",",""),"　","")),0)))</f>
        <v/>
      </c>
      <c r="AI226" s="27">
        <f>IF(설정!$D$37="","",IF(설정!$D$37="",0,IFERROR(VALUE(SUBSTITUTE(SUBSTITUTE(INDEX(급여대장_원본!$A$1:$AZ$400,(설정!$B$8+220),설정!$D$37)&amp;"",",",""),"　","")),0)))</f>
        <v/>
      </c>
      <c r="AJ226" s="2">
        <f>IFERROR(INDEX($D$7:$D$306,MATCH(220,$B$7:$B$306,0)),"")</f>
        <v/>
      </c>
    </row>
    <row r="227">
      <c r="A227" s="2">
        <f>IF(AND(D227&lt;&gt;"",D227&lt;&gt;"합계",D227&lt;&gt;"총계",D227&lt;&gt;"소계",D227&lt;&gt;"계"),1,0)</f>
        <v/>
      </c>
      <c r="B227" s="2">
        <f>IF(A227=1,SUM($A$7:A227),"")</f>
        <v/>
      </c>
      <c r="C227" s="2">
        <f>IF(설정!$D$13="","",TRIM(SUBSTITUTE(INDEX(급여대장_원본!$A$1:$AZ$400,(설정!$B$8+221),설정!$D$13)&amp;"","　"," ")))</f>
        <v/>
      </c>
      <c r="D227" s="2">
        <f>IF(설정!$D$14="","",TRIM(SUBSTITUTE(INDEX(급여대장_원본!$A$1:$AZ$400,(설정!$B$8+221),설정!$D$14)&amp;"","　"," ")))</f>
        <v/>
      </c>
      <c r="E227" s="2">
        <f>IF(설정!$D$15="","",TRIM(SUBSTITUTE(INDEX(급여대장_원본!$A$1:$AZ$400,(설정!$B$8+221),설정!$D$15)&amp;"","　"," ")))</f>
        <v/>
      </c>
      <c r="F227" s="27">
        <f>IF(설정!$D$17="",0,IFERROR(VALUE(SUBSTITUTE(SUBSTITUTE(INDEX(급여대장_원본!$A$1:$AZ$400,(설정!$B$8+221),설정!$D$17)&amp;"",",",""),"　","")),0))</f>
        <v/>
      </c>
      <c r="G227" s="27">
        <f>IF(설정!$D$18="",0,IFERROR(VALUE(SUBSTITUTE(SUBSTITUTE(INDEX(급여대장_원본!$A$1:$AZ$400,(설정!$B$8+221),설정!$D$18)&amp;"",",",""),"　","")),0))</f>
        <v/>
      </c>
      <c r="H227" s="27">
        <f>IF(설정!$D$19="",0,IFERROR(VALUE(SUBSTITUTE(SUBSTITUTE(INDEX(급여대장_원본!$A$1:$AZ$400,(설정!$B$8+221),설정!$D$19)&amp;"",",",""),"　","")),0))</f>
        <v/>
      </c>
      <c r="I227" s="27">
        <f>IF(설정!$D$20="",0,IFERROR(VALUE(SUBSTITUTE(SUBSTITUTE(INDEX(급여대장_원본!$A$1:$AZ$400,(설정!$B$8+221),설정!$D$20)&amp;"",",",""),"　","")),0))</f>
        <v/>
      </c>
      <c r="J227" s="27">
        <f>IF(설정!$D$21="",0,IFERROR(VALUE(SUBSTITUTE(SUBSTITUTE(INDEX(급여대장_원본!$A$1:$AZ$400,(설정!$B$8+221),설정!$D$21)&amp;"",",",""),"　","")),0))</f>
        <v/>
      </c>
      <c r="K227" s="27">
        <f>IF(설정!$D$22="",0,IFERROR(VALUE(SUBSTITUTE(SUBSTITUTE(INDEX(급여대장_원본!$A$1:$AZ$400,(설정!$B$8+221),설정!$D$22)&amp;"",",",""),"　","")),0))</f>
        <v/>
      </c>
      <c r="L227" s="27">
        <f>IF(설정!$D$23="",0,IFERROR(VALUE(SUBSTITUTE(SUBSTITUTE(INDEX(급여대장_원본!$A$1:$AZ$400,(설정!$B$8+221),설정!$D$23)&amp;"",",",""),"　","")),0))</f>
        <v/>
      </c>
      <c r="M227" s="27">
        <f>IF(설정!$D$24="",0,IFERROR(VALUE(SUBSTITUTE(SUBSTITUTE(INDEX(급여대장_원본!$A$1:$AZ$400,(설정!$B$8+221),설정!$D$24)&amp;"",",",""),"　","")),0))</f>
        <v/>
      </c>
      <c r="N227" s="2">
        <f>IF(OR(설정!$C$17="",IFERROR(MATCH(설정!$C$17,INDEX(급여대장_원본!$A$1:$AZ$400,설정!$B$8,0),0),"")=""),"",IFERROR(VALUE(SUBSTITUTE(INDEX(급여대장_원본!$A$1:$AZ$400,(설정!$B$8+221),IFERROR(MATCH(설정!$C$17,INDEX(급여대장_원본!$A$1:$AZ$400,설정!$B$8,0),0),""))&amp;"",",","")),""))</f>
        <v/>
      </c>
      <c r="O227" s="2">
        <f>IF(OR(설정!$C$18="",IFERROR(MATCH(설정!$C$18,INDEX(급여대장_원본!$A$1:$AZ$400,설정!$B$8,0),0),"")=""),"",IFERROR(VALUE(SUBSTITUTE(INDEX(급여대장_원본!$A$1:$AZ$400,(설정!$B$8+221),IFERROR(MATCH(설정!$C$18,INDEX(급여대장_원본!$A$1:$AZ$400,설정!$B$8,0),0),""))&amp;"",",","")),""))</f>
        <v/>
      </c>
      <c r="P227" s="2">
        <f>IF(OR(설정!$C$19="",IFERROR(MATCH(설정!$C$19,INDEX(급여대장_원본!$A$1:$AZ$400,설정!$B$8,0),0),"")=""),"",IFERROR(VALUE(SUBSTITUTE(INDEX(급여대장_원본!$A$1:$AZ$400,(설정!$B$8+221),IFERROR(MATCH(설정!$C$19,INDEX(급여대장_원본!$A$1:$AZ$400,설정!$B$8,0),0),""))&amp;"",",","")),""))</f>
        <v/>
      </c>
      <c r="Q227" s="2">
        <f>IF(OR(설정!$C$20="",IFERROR(MATCH(설정!$C$20,INDEX(급여대장_원본!$A$1:$AZ$400,설정!$B$8,0),0),"")=""),"",IFERROR(VALUE(SUBSTITUTE(INDEX(급여대장_원본!$A$1:$AZ$400,(설정!$B$8+221),IFERROR(MATCH(설정!$C$20,INDEX(급여대장_원본!$A$1:$AZ$400,설정!$B$8,0),0),""))&amp;"",",","")),""))</f>
        <v/>
      </c>
      <c r="R227" s="2">
        <f>IF(OR(설정!$C$21="",IFERROR(MATCH(설정!$C$21,INDEX(급여대장_원본!$A$1:$AZ$400,설정!$B$8,0),0),"")=""),"",IFERROR(VALUE(SUBSTITUTE(INDEX(급여대장_원본!$A$1:$AZ$400,(설정!$B$8+221),IFERROR(MATCH(설정!$C$21,INDEX(급여대장_원본!$A$1:$AZ$400,설정!$B$8,0),0),""))&amp;"",",","")),""))</f>
        <v/>
      </c>
      <c r="S227" s="2">
        <f>IF(OR(설정!$C$22="",IFERROR(MATCH(설정!$C$22,INDEX(급여대장_원본!$A$1:$AZ$400,설정!$B$8,0),0),"")=""),"",IFERROR(VALUE(SUBSTITUTE(INDEX(급여대장_원본!$A$1:$AZ$400,(설정!$B$8+221),IFERROR(MATCH(설정!$C$22,INDEX(급여대장_원본!$A$1:$AZ$400,설정!$B$8,0),0),""))&amp;"",",","")),""))</f>
        <v/>
      </c>
      <c r="T227" s="2">
        <f>IF(OR(설정!$C$23="",IFERROR(MATCH(설정!$C$23,INDEX(급여대장_원본!$A$1:$AZ$400,설정!$B$8,0),0),"")=""),"",IFERROR(VALUE(SUBSTITUTE(INDEX(급여대장_원본!$A$1:$AZ$400,(설정!$B$8+221),IFERROR(MATCH(설정!$C$23,INDEX(급여대장_원본!$A$1:$AZ$400,설정!$B$8,0),0),""))&amp;"",",","")),""))</f>
        <v/>
      </c>
      <c r="U227" s="2">
        <f>IF(OR(설정!$C$24="",IFERROR(MATCH(설정!$C$24,INDEX(급여대장_원본!$A$1:$AZ$400,설정!$B$8,0),0),"")=""),"",IFERROR(VALUE(SUBSTITUTE(INDEX(급여대장_원본!$A$1:$AZ$400,(설정!$B$8+221),IFERROR(MATCH(설정!$C$24,INDEX(급여대장_원본!$A$1:$AZ$400,설정!$B$8,0),0),""))&amp;"",",","")),""))</f>
        <v/>
      </c>
      <c r="V227" s="27">
        <f>SUM(F227:M227)</f>
        <v/>
      </c>
      <c r="W227" s="27">
        <f>IF(설정!$D$26="",0,IFERROR(VALUE(SUBSTITUTE(SUBSTITUTE(INDEX(급여대장_원본!$A$1:$AZ$400,(설정!$B$8+221),설정!$D$26)&amp;"",",",""),"　","")),0))</f>
        <v/>
      </c>
      <c r="X227" s="27">
        <f>IF(설정!$D$27="",0,IFERROR(VALUE(SUBSTITUTE(SUBSTITUTE(INDEX(급여대장_원본!$A$1:$AZ$400,(설정!$B$8+221),설정!$D$27)&amp;"",",",""),"　","")),0))</f>
        <v/>
      </c>
      <c r="Y227" s="27">
        <f>IF(설정!$D$28="",0,IFERROR(VALUE(SUBSTITUTE(SUBSTITUTE(INDEX(급여대장_원본!$A$1:$AZ$400,(설정!$B$8+221),설정!$D$28)&amp;"",",",""),"　","")),0))</f>
        <v/>
      </c>
      <c r="Z227" s="27">
        <f>IF(설정!$D$29="",0,IFERROR(VALUE(SUBSTITUTE(SUBSTITUTE(INDEX(급여대장_원본!$A$1:$AZ$400,(설정!$B$8+221),설정!$D$29)&amp;"",",",""),"　","")),0))</f>
        <v/>
      </c>
      <c r="AA227" s="27">
        <f>IF(설정!$D$30="",0,IFERROR(VALUE(SUBSTITUTE(SUBSTITUTE(INDEX(급여대장_원본!$A$1:$AZ$400,(설정!$B$8+221),설정!$D$30)&amp;"",",",""),"　","")),0))</f>
        <v/>
      </c>
      <c r="AB227" s="27">
        <f>IF(설정!$D$31="",0,IFERROR(VALUE(SUBSTITUTE(SUBSTITUTE(INDEX(급여대장_원본!$A$1:$AZ$400,(설정!$B$8+221),설정!$D$31)&amp;"",",",""),"　","")),0))</f>
        <v/>
      </c>
      <c r="AC227" s="27">
        <f>IF(설정!$D$32="",0,IFERROR(VALUE(SUBSTITUTE(SUBSTITUTE(INDEX(급여대장_원본!$A$1:$AZ$400,(설정!$B$8+221),설정!$D$32)&amp;"",",",""),"　","")),0))</f>
        <v/>
      </c>
      <c r="AD227" s="27">
        <f>IF(설정!$D$33="",0,IFERROR(VALUE(SUBSTITUTE(SUBSTITUTE(INDEX(급여대장_원본!$A$1:$AZ$400,(설정!$B$8+221),설정!$D$33)&amp;"",",",""),"　","")),0))</f>
        <v/>
      </c>
      <c r="AE227" s="27">
        <f>SUM(W227:AD227)</f>
        <v/>
      </c>
      <c r="AF227" s="27">
        <f>V227-AE227</f>
        <v/>
      </c>
      <c r="AG227" s="27">
        <f>IF(설정!$D$35="","",IF(설정!$D$35="",0,IFERROR(VALUE(SUBSTITUTE(SUBSTITUTE(INDEX(급여대장_원본!$A$1:$AZ$400,(설정!$B$8+221),설정!$D$35)&amp;"",",",""),"　","")),0)))</f>
        <v/>
      </c>
      <c r="AH227" s="27">
        <f>IF(설정!$D$36="","",IF(설정!$D$36="",0,IFERROR(VALUE(SUBSTITUTE(SUBSTITUTE(INDEX(급여대장_원본!$A$1:$AZ$400,(설정!$B$8+221),설정!$D$36)&amp;"",",",""),"　","")),0)))</f>
        <v/>
      </c>
      <c r="AI227" s="27">
        <f>IF(설정!$D$37="","",IF(설정!$D$37="",0,IFERROR(VALUE(SUBSTITUTE(SUBSTITUTE(INDEX(급여대장_원본!$A$1:$AZ$400,(설정!$B$8+221),설정!$D$37)&amp;"",",",""),"　","")),0)))</f>
        <v/>
      </c>
      <c r="AJ227" s="2">
        <f>IFERROR(INDEX($D$7:$D$306,MATCH(221,$B$7:$B$306,0)),"")</f>
        <v/>
      </c>
    </row>
    <row r="228">
      <c r="A228" s="2">
        <f>IF(AND(D228&lt;&gt;"",D228&lt;&gt;"합계",D228&lt;&gt;"총계",D228&lt;&gt;"소계",D228&lt;&gt;"계"),1,0)</f>
        <v/>
      </c>
      <c r="B228" s="2">
        <f>IF(A228=1,SUM($A$7:A228),"")</f>
        <v/>
      </c>
      <c r="C228" s="2">
        <f>IF(설정!$D$13="","",TRIM(SUBSTITUTE(INDEX(급여대장_원본!$A$1:$AZ$400,(설정!$B$8+222),설정!$D$13)&amp;"","　"," ")))</f>
        <v/>
      </c>
      <c r="D228" s="2">
        <f>IF(설정!$D$14="","",TRIM(SUBSTITUTE(INDEX(급여대장_원본!$A$1:$AZ$400,(설정!$B$8+222),설정!$D$14)&amp;"","　"," ")))</f>
        <v/>
      </c>
      <c r="E228" s="2">
        <f>IF(설정!$D$15="","",TRIM(SUBSTITUTE(INDEX(급여대장_원본!$A$1:$AZ$400,(설정!$B$8+222),설정!$D$15)&amp;"","　"," ")))</f>
        <v/>
      </c>
      <c r="F228" s="27">
        <f>IF(설정!$D$17="",0,IFERROR(VALUE(SUBSTITUTE(SUBSTITUTE(INDEX(급여대장_원본!$A$1:$AZ$400,(설정!$B$8+222),설정!$D$17)&amp;"",",",""),"　","")),0))</f>
        <v/>
      </c>
      <c r="G228" s="27">
        <f>IF(설정!$D$18="",0,IFERROR(VALUE(SUBSTITUTE(SUBSTITUTE(INDEX(급여대장_원본!$A$1:$AZ$400,(설정!$B$8+222),설정!$D$18)&amp;"",",",""),"　","")),0))</f>
        <v/>
      </c>
      <c r="H228" s="27">
        <f>IF(설정!$D$19="",0,IFERROR(VALUE(SUBSTITUTE(SUBSTITUTE(INDEX(급여대장_원본!$A$1:$AZ$400,(설정!$B$8+222),설정!$D$19)&amp;"",",",""),"　","")),0))</f>
        <v/>
      </c>
      <c r="I228" s="27">
        <f>IF(설정!$D$20="",0,IFERROR(VALUE(SUBSTITUTE(SUBSTITUTE(INDEX(급여대장_원본!$A$1:$AZ$400,(설정!$B$8+222),설정!$D$20)&amp;"",",",""),"　","")),0))</f>
        <v/>
      </c>
      <c r="J228" s="27">
        <f>IF(설정!$D$21="",0,IFERROR(VALUE(SUBSTITUTE(SUBSTITUTE(INDEX(급여대장_원본!$A$1:$AZ$400,(설정!$B$8+222),설정!$D$21)&amp;"",",",""),"　","")),0))</f>
        <v/>
      </c>
      <c r="K228" s="27">
        <f>IF(설정!$D$22="",0,IFERROR(VALUE(SUBSTITUTE(SUBSTITUTE(INDEX(급여대장_원본!$A$1:$AZ$400,(설정!$B$8+222),설정!$D$22)&amp;"",",",""),"　","")),0))</f>
        <v/>
      </c>
      <c r="L228" s="27">
        <f>IF(설정!$D$23="",0,IFERROR(VALUE(SUBSTITUTE(SUBSTITUTE(INDEX(급여대장_원본!$A$1:$AZ$400,(설정!$B$8+222),설정!$D$23)&amp;"",",",""),"　","")),0))</f>
        <v/>
      </c>
      <c r="M228" s="27">
        <f>IF(설정!$D$24="",0,IFERROR(VALUE(SUBSTITUTE(SUBSTITUTE(INDEX(급여대장_원본!$A$1:$AZ$400,(설정!$B$8+222),설정!$D$24)&amp;"",",",""),"　","")),0))</f>
        <v/>
      </c>
      <c r="N228" s="2">
        <f>IF(OR(설정!$C$17="",IFERROR(MATCH(설정!$C$17,INDEX(급여대장_원본!$A$1:$AZ$400,설정!$B$8,0),0),"")=""),"",IFERROR(VALUE(SUBSTITUTE(INDEX(급여대장_원본!$A$1:$AZ$400,(설정!$B$8+222),IFERROR(MATCH(설정!$C$17,INDEX(급여대장_원본!$A$1:$AZ$400,설정!$B$8,0),0),""))&amp;"",",","")),""))</f>
        <v/>
      </c>
      <c r="O228" s="2">
        <f>IF(OR(설정!$C$18="",IFERROR(MATCH(설정!$C$18,INDEX(급여대장_원본!$A$1:$AZ$400,설정!$B$8,0),0),"")=""),"",IFERROR(VALUE(SUBSTITUTE(INDEX(급여대장_원본!$A$1:$AZ$400,(설정!$B$8+222),IFERROR(MATCH(설정!$C$18,INDEX(급여대장_원본!$A$1:$AZ$400,설정!$B$8,0),0),""))&amp;"",",","")),""))</f>
        <v/>
      </c>
      <c r="P228" s="2">
        <f>IF(OR(설정!$C$19="",IFERROR(MATCH(설정!$C$19,INDEX(급여대장_원본!$A$1:$AZ$400,설정!$B$8,0),0),"")=""),"",IFERROR(VALUE(SUBSTITUTE(INDEX(급여대장_원본!$A$1:$AZ$400,(설정!$B$8+222),IFERROR(MATCH(설정!$C$19,INDEX(급여대장_원본!$A$1:$AZ$400,설정!$B$8,0),0),""))&amp;"",",","")),""))</f>
        <v/>
      </c>
      <c r="Q228" s="2">
        <f>IF(OR(설정!$C$20="",IFERROR(MATCH(설정!$C$20,INDEX(급여대장_원본!$A$1:$AZ$400,설정!$B$8,0),0),"")=""),"",IFERROR(VALUE(SUBSTITUTE(INDEX(급여대장_원본!$A$1:$AZ$400,(설정!$B$8+222),IFERROR(MATCH(설정!$C$20,INDEX(급여대장_원본!$A$1:$AZ$400,설정!$B$8,0),0),""))&amp;"",",","")),""))</f>
        <v/>
      </c>
      <c r="R228" s="2">
        <f>IF(OR(설정!$C$21="",IFERROR(MATCH(설정!$C$21,INDEX(급여대장_원본!$A$1:$AZ$400,설정!$B$8,0),0),"")=""),"",IFERROR(VALUE(SUBSTITUTE(INDEX(급여대장_원본!$A$1:$AZ$400,(설정!$B$8+222),IFERROR(MATCH(설정!$C$21,INDEX(급여대장_원본!$A$1:$AZ$400,설정!$B$8,0),0),""))&amp;"",",","")),""))</f>
        <v/>
      </c>
      <c r="S228" s="2">
        <f>IF(OR(설정!$C$22="",IFERROR(MATCH(설정!$C$22,INDEX(급여대장_원본!$A$1:$AZ$400,설정!$B$8,0),0),"")=""),"",IFERROR(VALUE(SUBSTITUTE(INDEX(급여대장_원본!$A$1:$AZ$400,(설정!$B$8+222),IFERROR(MATCH(설정!$C$22,INDEX(급여대장_원본!$A$1:$AZ$400,설정!$B$8,0),0),""))&amp;"",",","")),""))</f>
        <v/>
      </c>
      <c r="T228" s="2">
        <f>IF(OR(설정!$C$23="",IFERROR(MATCH(설정!$C$23,INDEX(급여대장_원본!$A$1:$AZ$400,설정!$B$8,0),0),"")=""),"",IFERROR(VALUE(SUBSTITUTE(INDEX(급여대장_원본!$A$1:$AZ$400,(설정!$B$8+222),IFERROR(MATCH(설정!$C$23,INDEX(급여대장_원본!$A$1:$AZ$400,설정!$B$8,0),0),""))&amp;"",",","")),""))</f>
        <v/>
      </c>
      <c r="U228" s="2">
        <f>IF(OR(설정!$C$24="",IFERROR(MATCH(설정!$C$24,INDEX(급여대장_원본!$A$1:$AZ$400,설정!$B$8,0),0),"")=""),"",IFERROR(VALUE(SUBSTITUTE(INDEX(급여대장_원본!$A$1:$AZ$400,(설정!$B$8+222),IFERROR(MATCH(설정!$C$24,INDEX(급여대장_원본!$A$1:$AZ$400,설정!$B$8,0),0),""))&amp;"",",","")),""))</f>
        <v/>
      </c>
      <c r="V228" s="27">
        <f>SUM(F228:M228)</f>
        <v/>
      </c>
      <c r="W228" s="27">
        <f>IF(설정!$D$26="",0,IFERROR(VALUE(SUBSTITUTE(SUBSTITUTE(INDEX(급여대장_원본!$A$1:$AZ$400,(설정!$B$8+222),설정!$D$26)&amp;"",",",""),"　","")),0))</f>
        <v/>
      </c>
      <c r="X228" s="27">
        <f>IF(설정!$D$27="",0,IFERROR(VALUE(SUBSTITUTE(SUBSTITUTE(INDEX(급여대장_원본!$A$1:$AZ$400,(설정!$B$8+222),설정!$D$27)&amp;"",",",""),"　","")),0))</f>
        <v/>
      </c>
      <c r="Y228" s="27">
        <f>IF(설정!$D$28="",0,IFERROR(VALUE(SUBSTITUTE(SUBSTITUTE(INDEX(급여대장_원본!$A$1:$AZ$400,(설정!$B$8+222),설정!$D$28)&amp;"",",",""),"　","")),0))</f>
        <v/>
      </c>
      <c r="Z228" s="27">
        <f>IF(설정!$D$29="",0,IFERROR(VALUE(SUBSTITUTE(SUBSTITUTE(INDEX(급여대장_원본!$A$1:$AZ$400,(설정!$B$8+222),설정!$D$29)&amp;"",",",""),"　","")),0))</f>
        <v/>
      </c>
      <c r="AA228" s="27">
        <f>IF(설정!$D$30="",0,IFERROR(VALUE(SUBSTITUTE(SUBSTITUTE(INDEX(급여대장_원본!$A$1:$AZ$400,(설정!$B$8+222),설정!$D$30)&amp;"",",",""),"　","")),0))</f>
        <v/>
      </c>
      <c r="AB228" s="27">
        <f>IF(설정!$D$31="",0,IFERROR(VALUE(SUBSTITUTE(SUBSTITUTE(INDEX(급여대장_원본!$A$1:$AZ$400,(설정!$B$8+222),설정!$D$31)&amp;"",",",""),"　","")),0))</f>
        <v/>
      </c>
      <c r="AC228" s="27">
        <f>IF(설정!$D$32="",0,IFERROR(VALUE(SUBSTITUTE(SUBSTITUTE(INDEX(급여대장_원본!$A$1:$AZ$400,(설정!$B$8+222),설정!$D$32)&amp;"",",",""),"　","")),0))</f>
        <v/>
      </c>
      <c r="AD228" s="27">
        <f>IF(설정!$D$33="",0,IFERROR(VALUE(SUBSTITUTE(SUBSTITUTE(INDEX(급여대장_원본!$A$1:$AZ$400,(설정!$B$8+222),설정!$D$33)&amp;"",",",""),"　","")),0))</f>
        <v/>
      </c>
      <c r="AE228" s="27">
        <f>SUM(W228:AD228)</f>
        <v/>
      </c>
      <c r="AF228" s="27">
        <f>V228-AE228</f>
        <v/>
      </c>
      <c r="AG228" s="27">
        <f>IF(설정!$D$35="","",IF(설정!$D$35="",0,IFERROR(VALUE(SUBSTITUTE(SUBSTITUTE(INDEX(급여대장_원본!$A$1:$AZ$400,(설정!$B$8+222),설정!$D$35)&amp;"",",",""),"　","")),0)))</f>
        <v/>
      </c>
      <c r="AH228" s="27">
        <f>IF(설정!$D$36="","",IF(설정!$D$36="",0,IFERROR(VALUE(SUBSTITUTE(SUBSTITUTE(INDEX(급여대장_원본!$A$1:$AZ$400,(설정!$B$8+222),설정!$D$36)&amp;"",",",""),"　","")),0)))</f>
        <v/>
      </c>
      <c r="AI228" s="27">
        <f>IF(설정!$D$37="","",IF(설정!$D$37="",0,IFERROR(VALUE(SUBSTITUTE(SUBSTITUTE(INDEX(급여대장_원본!$A$1:$AZ$400,(설정!$B$8+222),설정!$D$37)&amp;"",",",""),"　","")),0)))</f>
        <v/>
      </c>
      <c r="AJ228" s="2">
        <f>IFERROR(INDEX($D$7:$D$306,MATCH(222,$B$7:$B$306,0)),"")</f>
        <v/>
      </c>
    </row>
    <row r="229">
      <c r="A229" s="2">
        <f>IF(AND(D229&lt;&gt;"",D229&lt;&gt;"합계",D229&lt;&gt;"총계",D229&lt;&gt;"소계",D229&lt;&gt;"계"),1,0)</f>
        <v/>
      </c>
      <c r="B229" s="2">
        <f>IF(A229=1,SUM($A$7:A229),"")</f>
        <v/>
      </c>
      <c r="C229" s="2">
        <f>IF(설정!$D$13="","",TRIM(SUBSTITUTE(INDEX(급여대장_원본!$A$1:$AZ$400,(설정!$B$8+223),설정!$D$13)&amp;"","　"," ")))</f>
        <v/>
      </c>
      <c r="D229" s="2">
        <f>IF(설정!$D$14="","",TRIM(SUBSTITUTE(INDEX(급여대장_원본!$A$1:$AZ$400,(설정!$B$8+223),설정!$D$14)&amp;"","　"," ")))</f>
        <v/>
      </c>
      <c r="E229" s="2">
        <f>IF(설정!$D$15="","",TRIM(SUBSTITUTE(INDEX(급여대장_원본!$A$1:$AZ$400,(설정!$B$8+223),설정!$D$15)&amp;"","　"," ")))</f>
        <v/>
      </c>
      <c r="F229" s="27">
        <f>IF(설정!$D$17="",0,IFERROR(VALUE(SUBSTITUTE(SUBSTITUTE(INDEX(급여대장_원본!$A$1:$AZ$400,(설정!$B$8+223),설정!$D$17)&amp;"",",",""),"　","")),0))</f>
        <v/>
      </c>
      <c r="G229" s="27">
        <f>IF(설정!$D$18="",0,IFERROR(VALUE(SUBSTITUTE(SUBSTITUTE(INDEX(급여대장_원본!$A$1:$AZ$400,(설정!$B$8+223),설정!$D$18)&amp;"",",",""),"　","")),0))</f>
        <v/>
      </c>
      <c r="H229" s="27">
        <f>IF(설정!$D$19="",0,IFERROR(VALUE(SUBSTITUTE(SUBSTITUTE(INDEX(급여대장_원본!$A$1:$AZ$400,(설정!$B$8+223),설정!$D$19)&amp;"",",",""),"　","")),0))</f>
        <v/>
      </c>
      <c r="I229" s="27">
        <f>IF(설정!$D$20="",0,IFERROR(VALUE(SUBSTITUTE(SUBSTITUTE(INDEX(급여대장_원본!$A$1:$AZ$400,(설정!$B$8+223),설정!$D$20)&amp;"",",",""),"　","")),0))</f>
        <v/>
      </c>
      <c r="J229" s="27">
        <f>IF(설정!$D$21="",0,IFERROR(VALUE(SUBSTITUTE(SUBSTITUTE(INDEX(급여대장_원본!$A$1:$AZ$400,(설정!$B$8+223),설정!$D$21)&amp;"",",",""),"　","")),0))</f>
        <v/>
      </c>
      <c r="K229" s="27">
        <f>IF(설정!$D$22="",0,IFERROR(VALUE(SUBSTITUTE(SUBSTITUTE(INDEX(급여대장_원본!$A$1:$AZ$400,(설정!$B$8+223),설정!$D$22)&amp;"",",",""),"　","")),0))</f>
        <v/>
      </c>
      <c r="L229" s="27">
        <f>IF(설정!$D$23="",0,IFERROR(VALUE(SUBSTITUTE(SUBSTITUTE(INDEX(급여대장_원본!$A$1:$AZ$400,(설정!$B$8+223),설정!$D$23)&amp;"",",",""),"　","")),0))</f>
        <v/>
      </c>
      <c r="M229" s="27">
        <f>IF(설정!$D$24="",0,IFERROR(VALUE(SUBSTITUTE(SUBSTITUTE(INDEX(급여대장_원본!$A$1:$AZ$400,(설정!$B$8+223),설정!$D$24)&amp;"",",",""),"　","")),0))</f>
        <v/>
      </c>
      <c r="N229" s="2">
        <f>IF(OR(설정!$C$17="",IFERROR(MATCH(설정!$C$17,INDEX(급여대장_원본!$A$1:$AZ$400,설정!$B$8,0),0),"")=""),"",IFERROR(VALUE(SUBSTITUTE(INDEX(급여대장_원본!$A$1:$AZ$400,(설정!$B$8+223),IFERROR(MATCH(설정!$C$17,INDEX(급여대장_원본!$A$1:$AZ$400,설정!$B$8,0),0),""))&amp;"",",","")),""))</f>
        <v/>
      </c>
      <c r="O229" s="2">
        <f>IF(OR(설정!$C$18="",IFERROR(MATCH(설정!$C$18,INDEX(급여대장_원본!$A$1:$AZ$400,설정!$B$8,0),0),"")=""),"",IFERROR(VALUE(SUBSTITUTE(INDEX(급여대장_원본!$A$1:$AZ$400,(설정!$B$8+223),IFERROR(MATCH(설정!$C$18,INDEX(급여대장_원본!$A$1:$AZ$400,설정!$B$8,0),0),""))&amp;"",",","")),""))</f>
        <v/>
      </c>
      <c r="P229" s="2">
        <f>IF(OR(설정!$C$19="",IFERROR(MATCH(설정!$C$19,INDEX(급여대장_원본!$A$1:$AZ$400,설정!$B$8,0),0),"")=""),"",IFERROR(VALUE(SUBSTITUTE(INDEX(급여대장_원본!$A$1:$AZ$400,(설정!$B$8+223),IFERROR(MATCH(설정!$C$19,INDEX(급여대장_원본!$A$1:$AZ$400,설정!$B$8,0),0),""))&amp;"",",","")),""))</f>
        <v/>
      </c>
      <c r="Q229" s="2">
        <f>IF(OR(설정!$C$20="",IFERROR(MATCH(설정!$C$20,INDEX(급여대장_원본!$A$1:$AZ$400,설정!$B$8,0),0),"")=""),"",IFERROR(VALUE(SUBSTITUTE(INDEX(급여대장_원본!$A$1:$AZ$400,(설정!$B$8+223),IFERROR(MATCH(설정!$C$20,INDEX(급여대장_원본!$A$1:$AZ$400,설정!$B$8,0),0),""))&amp;"",",","")),""))</f>
        <v/>
      </c>
      <c r="R229" s="2">
        <f>IF(OR(설정!$C$21="",IFERROR(MATCH(설정!$C$21,INDEX(급여대장_원본!$A$1:$AZ$400,설정!$B$8,0),0),"")=""),"",IFERROR(VALUE(SUBSTITUTE(INDEX(급여대장_원본!$A$1:$AZ$400,(설정!$B$8+223),IFERROR(MATCH(설정!$C$21,INDEX(급여대장_원본!$A$1:$AZ$400,설정!$B$8,0),0),""))&amp;"",",","")),""))</f>
        <v/>
      </c>
      <c r="S229" s="2">
        <f>IF(OR(설정!$C$22="",IFERROR(MATCH(설정!$C$22,INDEX(급여대장_원본!$A$1:$AZ$400,설정!$B$8,0),0),"")=""),"",IFERROR(VALUE(SUBSTITUTE(INDEX(급여대장_원본!$A$1:$AZ$400,(설정!$B$8+223),IFERROR(MATCH(설정!$C$22,INDEX(급여대장_원본!$A$1:$AZ$400,설정!$B$8,0),0),""))&amp;"",",","")),""))</f>
        <v/>
      </c>
      <c r="T229" s="2">
        <f>IF(OR(설정!$C$23="",IFERROR(MATCH(설정!$C$23,INDEX(급여대장_원본!$A$1:$AZ$400,설정!$B$8,0),0),"")=""),"",IFERROR(VALUE(SUBSTITUTE(INDEX(급여대장_원본!$A$1:$AZ$400,(설정!$B$8+223),IFERROR(MATCH(설정!$C$23,INDEX(급여대장_원본!$A$1:$AZ$400,설정!$B$8,0),0),""))&amp;"",",","")),""))</f>
        <v/>
      </c>
      <c r="U229" s="2">
        <f>IF(OR(설정!$C$24="",IFERROR(MATCH(설정!$C$24,INDEX(급여대장_원본!$A$1:$AZ$400,설정!$B$8,0),0),"")=""),"",IFERROR(VALUE(SUBSTITUTE(INDEX(급여대장_원본!$A$1:$AZ$400,(설정!$B$8+223),IFERROR(MATCH(설정!$C$24,INDEX(급여대장_원본!$A$1:$AZ$400,설정!$B$8,0),0),""))&amp;"",",","")),""))</f>
        <v/>
      </c>
      <c r="V229" s="27">
        <f>SUM(F229:M229)</f>
        <v/>
      </c>
      <c r="W229" s="27">
        <f>IF(설정!$D$26="",0,IFERROR(VALUE(SUBSTITUTE(SUBSTITUTE(INDEX(급여대장_원본!$A$1:$AZ$400,(설정!$B$8+223),설정!$D$26)&amp;"",",",""),"　","")),0))</f>
        <v/>
      </c>
      <c r="X229" s="27">
        <f>IF(설정!$D$27="",0,IFERROR(VALUE(SUBSTITUTE(SUBSTITUTE(INDEX(급여대장_원본!$A$1:$AZ$400,(설정!$B$8+223),설정!$D$27)&amp;"",",",""),"　","")),0))</f>
        <v/>
      </c>
      <c r="Y229" s="27">
        <f>IF(설정!$D$28="",0,IFERROR(VALUE(SUBSTITUTE(SUBSTITUTE(INDEX(급여대장_원본!$A$1:$AZ$400,(설정!$B$8+223),설정!$D$28)&amp;"",",",""),"　","")),0))</f>
        <v/>
      </c>
      <c r="Z229" s="27">
        <f>IF(설정!$D$29="",0,IFERROR(VALUE(SUBSTITUTE(SUBSTITUTE(INDEX(급여대장_원본!$A$1:$AZ$400,(설정!$B$8+223),설정!$D$29)&amp;"",",",""),"　","")),0))</f>
        <v/>
      </c>
      <c r="AA229" s="27">
        <f>IF(설정!$D$30="",0,IFERROR(VALUE(SUBSTITUTE(SUBSTITUTE(INDEX(급여대장_원본!$A$1:$AZ$400,(설정!$B$8+223),설정!$D$30)&amp;"",",",""),"　","")),0))</f>
        <v/>
      </c>
      <c r="AB229" s="27">
        <f>IF(설정!$D$31="",0,IFERROR(VALUE(SUBSTITUTE(SUBSTITUTE(INDEX(급여대장_원본!$A$1:$AZ$400,(설정!$B$8+223),설정!$D$31)&amp;"",",",""),"　","")),0))</f>
        <v/>
      </c>
      <c r="AC229" s="27">
        <f>IF(설정!$D$32="",0,IFERROR(VALUE(SUBSTITUTE(SUBSTITUTE(INDEX(급여대장_원본!$A$1:$AZ$400,(설정!$B$8+223),설정!$D$32)&amp;"",",",""),"　","")),0))</f>
        <v/>
      </c>
      <c r="AD229" s="27">
        <f>IF(설정!$D$33="",0,IFERROR(VALUE(SUBSTITUTE(SUBSTITUTE(INDEX(급여대장_원본!$A$1:$AZ$400,(설정!$B$8+223),설정!$D$33)&amp;"",",",""),"　","")),0))</f>
        <v/>
      </c>
      <c r="AE229" s="27">
        <f>SUM(W229:AD229)</f>
        <v/>
      </c>
      <c r="AF229" s="27">
        <f>V229-AE229</f>
        <v/>
      </c>
      <c r="AG229" s="27">
        <f>IF(설정!$D$35="","",IF(설정!$D$35="",0,IFERROR(VALUE(SUBSTITUTE(SUBSTITUTE(INDEX(급여대장_원본!$A$1:$AZ$400,(설정!$B$8+223),설정!$D$35)&amp;"",",",""),"　","")),0)))</f>
        <v/>
      </c>
      <c r="AH229" s="27">
        <f>IF(설정!$D$36="","",IF(설정!$D$36="",0,IFERROR(VALUE(SUBSTITUTE(SUBSTITUTE(INDEX(급여대장_원본!$A$1:$AZ$400,(설정!$B$8+223),설정!$D$36)&amp;"",",",""),"　","")),0)))</f>
        <v/>
      </c>
      <c r="AI229" s="27">
        <f>IF(설정!$D$37="","",IF(설정!$D$37="",0,IFERROR(VALUE(SUBSTITUTE(SUBSTITUTE(INDEX(급여대장_원본!$A$1:$AZ$400,(설정!$B$8+223),설정!$D$37)&amp;"",",",""),"　","")),0)))</f>
        <v/>
      </c>
      <c r="AJ229" s="2">
        <f>IFERROR(INDEX($D$7:$D$306,MATCH(223,$B$7:$B$306,0)),"")</f>
        <v/>
      </c>
    </row>
    <row r="230">
      <c r="A230" s="2">
        <f>IF(AND(D230&lt;&gt;"",D230&lt;&gt;"합계",D230&lt;&gt;"총계",D230&lt;&gt;"소계",D230&lt;&gt;"계"),1,0)</f>
        <v/>
      </c>
      <c r="B230" s="2">
        <f>IF(A230=1,SUM($A$7:A230),"")</f>
        <v/>
      </c>
      <c r="C230" s="2">
        <f>IF(설정!$D$13="","",TRIM(SUBSTITUTE(INDEX(급여대장_원본!$A$1:$AZ$400,(설정!$B$8+224),설정!$D$13)&amp;"","　"," ")))</f>
        <v/>
      </c>
      <c r="D230" s="2">
        <f>IF(설정!$D$14="","",TRIM(SUBSTITUTE(INDEX(급여대장_원본!$A$1:$AZ$400,(설정!$B$8+224),설정!$D$14)&amp;"","　"," ")))</f>
        <v/>
      </c>
      <c r="E230" s="2">
        <f>IF(설정!$D$15="","",TRIM(SUBSTITUTE(INDEX(급여대장_원본!$A$1:$AZ$400,(설정!$B$8+224),설정!$D$15)&amp;"","　"," ")))</f>
        <v/>
      </c>
      <c r="F230" s="27">
        <f>IF(설정!$D$17="",0,IFERROR(VALUE(SUBSTITUTE(SUBSTITUTE(INDEX(급여대장_원본!$A$1:$AZ$400,(설정!$B$8+224),설정!$D$17)&amp;"",",",""),"　","")),0))</f>
        <v/>
      </c>
      <c r="G230" s="27">
        <f>IF(설정!$D$18="",0,IFERROR(VALUE(SUBSTITUTE(SUBSTITUTE(INDEX(급여대장_원본!$A$1:$AZ$400,(설정!$B$8+224),설정!$D$18)&amp;"",",",""),"　","")),0))</f>
        <v/>
      </c>
      <c r="H230" s="27">
        <f>IF(설정!$D$19="",0,IFERROR(VALUE(SUBSTITUTE(SUBSTITUTE(INDEX(급여대장_원본!$A$1:$AZ$400,(설정!$B$8+224),설정!$D$19)&amp;"",",",""),"　","")),0))</f>
        <v/>
      </c>
      <c r="I230" s="27">
        <f>IF(설정!$D$20="",0,IFERROR(VALUE(SUBSTITUTE(SUBSTITUTE(INDEX(급여대장_원본!$A$1:$AZ$400,(설정!$B$8+224),설정!$D$20)&amp;"",",",""),"　","")),0))</f>
        <v/>
      </c>
      <c r="J230" s="27">
        <f>IF(설정!$D$21="",0,IFERROR(VALUE(SUBSTITUTE(SUBSTITUTE(INDEX(급여대장_원본!$A$1:$AZ$400,(설정!$B$8+224),설정!$D$21)&amp;"",",",""),"　","")),0))</f>
        <v/>
      </c>
      <c r="K230" s="27">
        <f>IF(설정!$D$22="",0,IFERROR(VALUE(SUBSTITUTE(SUBSTITUTE(INDEX(급여대장_원본!$A$1:$AZ$400,(설정!$B$8+224),설정!$D$22)&amp;"",",",""),"　","")),0))</f>
        <v/>
      </c>
      <c r="L230" s="27">
        <f>IF(설정!$D$23="",0,IFERROR(VALUE(SUBSTITUTE(SUBSTITUTE(INDEX(급여대장_원본!$A$1:$AZ$400,(설정!$B$8+224),설정!$D$23)&amp;"",",",""),"　","")),0))</f>
        <v/>
      </c>
      <c r="M230" s="27">
        <f>IF(설정!$D$24="",0,IFERROR(VALUE(SUBSTITUTE(SUBSTITUTE(INDEX(급여대장_원본!$A$1:$AZ$400,(설정!$B$8+224),설정!$D$24)&amp;"",",",""),"　","")),0))</f>
        <v/>
      </c>
      <c r="N230" s="2">
        <f>IF(OR(설정!$C$17="",IFERROR(MATCH(설정!$C$17,INDEX(급여대장_원본!$A$1:$AZ$400,설정!$B$8,0),0),"")=""),"",IFERROR(VALUE(SUBSTITUTE(INDEX(급여대장_원본!$A$1:$AZ$400,(설정!$B$8+224),IFERROR(MATCH(설정!$C$17,INDEX(급여대장_원본!$A$1:$AZ$400,설정!$B$8,0),0),""))&amp;"",",","")),""))</f>
        <v/>
      </c>
      <c r="O230" s="2">
        <f>IF(OR(설정!$C$18="",IFERROR(MATCH(설정!$C$18,INDEX(급여대장_원본!$A$1:$AZ$400,설정!$B$8,0),0),"")=""),"",IFERROR(VALUE(SUBSTITUTE(INDEX(급여대장_원본!$A$1:$AZ$400,(설정!$B$8+224),IFERROR(MATCH(설정!$C$18,INDEX(급여대장_원본!$A$1:$AZ$400,설정!$B$8,0),0),""))&amp;"",",","")),""))</f>
        <v/>
      </c>
      <c r="P230" s="2">
        <f>IF(OR(설정!$C$19="",IFERROR(MATCH(설정!$C$19,INDEX(급여대장_원본!$A$1:$AZ$400,설정!$B$8,0),0),"")=""),"",IFERROR(VALUE(SUBSTITUTE(INDEX(급여대장_원본!$A$1:$AZ$400,(설정!$B$8+224),IFERROR(MATCH(설정!$C$19,INDEX(급여대장_원본!$A$1:$AZ$400,설정!$B$8,0),0),""))&amp;"",",","")),""))</f>
        <v/>
      </c>
      <c r="Q230" s="2">
        <f>IF(OR(설정!$C$20="",IFERROR(MATCH(설정!$C$20,INDEX(급여대장_원본!$A$1:$AZ$400,설정!$B$8,0),0),"")=""),"",IFERROR(VALUE(SUBSTITUTE(INDEX(급여대장_원본!$A$1:$AZ$400,(설정!$B$8+224),IFERROR(MATCH(설정!$C$20,INDEX(급여대장_원본!$A$1:$AZ$400,설정!$B$8,0),0),""))&amp;"",",","")),""))</f>
        <v/>
      </c>
      <c r="R230" s="2">
        <f>IF(OR(설정!$C$21="",IFERROR(MATCH(설정!$C$21,INDEX(급여대장_원본!$A$1:$AZ$400,설정!$B$8,0),0),"")=""),"",IFERROR(VALUE(SUBSTITUTE(INDEX(급여대장_원본!$A$1:$AZ$400,(설정!$B$8+224),IFERROR(MATCH(설정!$C$21,INDEX(급여대장_원본!$A$1:$AZ$400,설정!$B$8,0),0),""))&amp;"",",","")),""))</f>
        <v/>
      </c>
      <c r="S230" s="2">
        <f>IF(OR(설정!$C$22="",IFERROR(MATCH(설정!$C$22,INDEX(급여대장_원본!$A$1:$AZ$400,설정!$B$8,0),0),"")=""),"",IFERROR(VALUE(SUBSTITUTE(INDEX(급여대장_원본!$A$1:$AZ$400,(설정!$B$8+224),IFERROR(MATCH(설정!$C$22,INDEX(급여대장_원본!$A$1:$AZ$400,설정!$B$8,0),0),""))&amp;"",",","")),""))</f>
        <v/>
      </c>
      <c r="T230" s="2">
        <f>IF(OR(설정!$C$23="",IFERROR(MATCH(설정!$C$23,INDEX(급여대장_원본!$A$1:$AZ$400,설정!$B$8,0),0),"")=""),"",IFERROR(VALUE(SUBSTITUTE(INDEX(급여대장_원본!$A$1:$AZ$400,(설정!$B$8+224),IFERROR(MATCH(설정!$C$23,INDEX(급여대장_원본!$A$1:$AZ$400,설정!$B$8,0),0),""))&amp;"",",","")),""))</f>
        <v/>
      </c>
      <c r="U230" s="2">
        <f>IF(OR(설정!$C$24="",IFERROR(MATCH(설정!$C$24,INDEX(급여대장_원본!$A$1:$AZ$400,설정!$B$8,0),0),"")=""),"",IFERROR(VALUE(SUBSTITUTE(INDEX(급여대장_원본!$A$1:$AZ$400,(설정!$B$8+224),IFERROR(MATCH(설정!$C$24,INDEX(급여대장_원본!$A$1:$AZ$400,설정!$B$8,0),0),""))&amp;"",",","")),""))</f>
        <v/>
      </c>
      <c r="V230" s="27">
        <f>SUM(F230:M230)</f>
        <v/>
      </c>
      <c r="W230" s="27">
        <f>IF(설정!$D$26="",0,IFERROR(VALUE(SUBSTITUTE(SUBSTITUTE(INDEX(급여대장_원본!$A$1:$AZ$400,(설정!$B$8+224),설정!$D$26)&amp;"",",",""),"　","")),0))</f>
        <v/>
      </c>
      <c r="X230" s="27">
        <f>IF(설정!$D$27="",0,IFERROR(VALUE(SUBSTITUTE(SUBSTITUTE(INDEX(급여대장_원본!$A$1:$AZ$400,(설정!$B$8+224),설정!$D$27)&amp;"",",",""),"　","")),0))</f>
        <v/>
      </c>
      <c r="Y230" s="27">
        <f>IF(설정!$D$28="",0,IFERROR(VALUE(SUBSTITUTE(SUBSTITUTE(INDEX(급여대장_원본!$A$1:$AZ$400,(설정!$B$8+224),설정!$D$28)&amp;"",",",""),"　","")),0))</f>
        <v/>
      </c>
      <c r="Z230" s="27">
        <f>IF(설정!$D$29="",0,IFERROR(VALUE(SUBSTITUTE(SUBSTITUTE(INDEX(급여대장_원본!$A$1:$AZ$400,(설정!$B$8+224),설정!$D$29)&amp;"",",",""),"　","")),0))</f>
        <v/>
      </c>
      <c r="AA230" s="27">
        <f>IF(설정!$D$30="",0,IFERROR(VALUE(SUBSTITUTE(SUBSTITUTE(INDEX(급여대장_원본!$A$1:$AZ$400,(설정!$B$8+224),설정!$D$30)&amp;"",",",""),"　","")),0))</f>
        <v/>
      </c>
      <c r="AB230" s="27">
        <f>IF(설정!$D$31="",0,IFERROR(VALUE(SUBSTITUTE(SUBSTITUTE(INDEX(급여대장_원본!$A$1:$AZ$400,(설정!$B$8+224),설정!$D$31)&amp;"",",",""),"　","")),0))</f>
        <v/>
      </c>
      <c r="AC230" s="27">
        <f>IF(설정!$D$32="",0,IFERROR(VALUE(SUBSTITUTE(SUBSTITUTE(INDEX(급여대장_원본!$A$1:$AZ$400,(설정!$B$8+224),설정!$D$32)&amp;"",",",""),"　","")),0))</f>
        <v/>
      </c>
      <c r="AD230" s="27">
        <f>IF(설정!$D$33="",0,IFERROR(VALUE(SUBSTITUTE(SUBSTITUTE(INDEX(급여대장_원본!$A$1:$AZ$400,(설정!$B$8+224),설정!$D$33)&amp;"",",",""),"　","")),0))</f>
        <v/>
      </c>
      <c r="AE230" s="27">
        <f>SUM(W230:AD230)</f>
        <v/>
      </c>
      <c r="AF230" s="27">
        <f>V230-AE230</f>
        <v/>
      </c>
      <c r="AG230" s="27">
        <f>IF(설정!$D$35="","",IF(설정!$D$35="",0,IFERROR(VALUE(SUBSTITUTE(SUBSTITUTE(INDEX(급여대장_원본!$A$1:$AZ$400,(설정!$B$8+224),설정!$D$35)&amp;"",",",""),"　","")),0)))</f>
        <v/>
      </c>
      <c r="AH230" s="27">
        <f>IF(설정!$D$36="","",IF(설정!$D$36="",0,IFERROR(VALUE(SUBSTITUTE(SUBSTITUTE(INDEX(급여대장_원본!$A$1:$AZ$400,(설정!$B$8+224),설정!$D$36)&amp;"",",",""),"　","")),0)))</f>
        <v/>
      </c>
      <c r="AI230" s="27">
        <f>IF(설정!$D$37="","",IF(설정!$D$37="",0,IFERROR(VALUE(SUBSTITUTE(SUBSTITUTE(INDEX(급여대장_원본!$A$1:$AZ$400,(설정!$B$8+224),설정!$D$37)&amp;"",",",""),"　","")),0)))</f>
        <v/>
      </c>
      <c r="AJ230" s="2">
        <f>IFERROR(INDEX($D$7:$D$306,MATCH(224,$B$7:$B$306,0)),"")</f>
        <v/>
      </c>
    </row>
    <row r="231">
      <c r="A231" s="2">
        <f>IF(AND(D231&lt;&gt;"",D231&lt;&gt;"합계",D231&lt;&gt;"총계",D231&lt;&gt;"소계",D231&lt;&gt;"계"),1,0)</f>
        <v/>
      </c>
      <c r="B231" s="2">
        <f>IF(A231=1,SUM($A$7:A231),"")</f>
        <v/>
      </c>
      <c r="C231" s="2">
        <f>IF(설정!$D$13="","",TRIM(SUBSTITUTE(INDEX(급여대장_원본!$A$1:$AZ$400,(설정!$B$8+225),설정!$D$13)&amp;"","　"," ")))</f>
        <v/>
      </c>
      <c r="D231" s="2">
        <f>IF(설정!$D$14="","",TRIM(SUBSTITUTE(INDEX(급여대장_원본!$A$1:$AZ$400,(설정!$B$8+225),설정!$D$14)&amp;"","　"," ")))</f>
        <v/>
      </c>
      <c r="E231" s="2">
        <f>IF(설정!$D$15="","",TRIM(SUBSTITUTE(INDEX(급여대장_원본!$A$1:$AZ$400,(설정!$B$8+225),설정!$D$15)&amp;"","　"," ")))</f>
        <v/>
      </c>
      <c r="F231" s="27">
        <f>IF(설정!$D$17="",0,IFERROR(VALUE(SUBSTITUTE(SUBSTITUTE(INDEX(급여대장_원본!$A$1:$AZ$400,(설정!$B$8+225),설정!$D$17)&amp;"",",",""),"　","")),0))</f>
        <v/>
      </c>
      <c r="G231" s="27">
        <f>IF(설정!$D$18="",0,IFERROR(VALUE(SUBSTITUTE(SUBSTITUTE(INDEX(급여대장_원본!$A$1:$AZ$400,(설정!$B$8+225),설정!$D$18)&amp;"",",",""),"　","")),0))</f>
        <v/>
      </c>
      <c r="H231" s="27">
        <f>IF(설정!$D$19="",0,IFERROR(VALUE(SUBSTITUTE(SUBSTITUTE(INDEX(급여대장_원본!$A$1:$AZ$400,(설정!$B$8+225),설정!$D$19)&amp;"",",",""),"　","")),0))</f>
        <v/>
      </c>
      <c r="I231" s="27">
        <f>IF(설정!$D$20="",0,IFERROR(VALUE(SUBSTITUTE(SUBSTITUTE(INDEX(급여대장_원본!$A$1:$AZ$400,(설정!$B$8+225),설정!$D$20)&amp;"",",",""),"　","")),0))</f>
        <v/>
      </c>
      <c r="J231" s="27">
        <f>IF(설정!$D$21="",0,IFERROR(VALUE(SUBSTITUTE(SUBSTITUTE(INDEX(급여대장_원본!$A$1:$AZ$400,(설정!$B$8+225),설정!$D$21)&amp;"",",",""),"　","")),0))</f>
        <v/>
      </c>
      <c r="K231" s="27">
        <f>IF(설정!$D$22="",0,IFERROR(VALUE(SUBSTITUTE(SUBSTITUTE(INDEX(급여대장_원본!$A$1:$AZ$400,(설정!$B$8+225),설정!$D$22)&amp;"",",",""),"　","")),0))</f>
        <v/>
      </c>
      <c r="L231" s="27">
        <f>IF(설정!$D$23="",0,IFERROR(VALUE(SUBSTITUTE(SUBSTITUTE(INDEX(급여대장_원본!$A$1:$AZ$400,(설정!$B$8+225),설정!$D$23)&amp;"",",",""),"　","")),0))</f>
        <v/>
      </c>
      <c r="M231" s="27">
        <f>IF(설정!$D$24="",0,IFERROR(VALUE(SUBSTITUTE(SUBSTITUTE(INDEX(급여대장_원본!$A$1:$AZ$400,(설정!$B$8+225),설정!$D$24)&amp;"",",",""),"　","")),0))</f>
        <v/>
      </c>
      <c r="N231" s="2">
        <f>IF(OR(설정!$C$17="",IFERROR(MATCH(설정!$C$17,INDEX(급여대장_원본!$A$1:$AZ$400,설정!$B$8,0),0),"")=""),"",IFERROR(VALUE(SUBSTITUTE(INDEX(급여대장_원본!$A$1:$AZ$400,(설정!$B$8+225),IFERROR(MATCH(설정!$C$17,INDEX(급여대장_원본!$A$1:$AZ$400,설정!$B$8,0),0),""))&amp;"",",","")),""))</f>
        <v/>
      </c>
      <c r="O231" s="2">
        <f>IF(OR(설정!$C$18="",IFERROR(MATCH(설정!$C$18,INDEX(급여대장_원본!$A$1:$AZ$400,설정!$B$8,0),0),"")=""),"",IFERROR(VALUE(SUBSTITUTE(INDEX(급여대장_원본!$A$1:$AZ$400,(설정!$B$8+225),IFERROR(MATCH(설정!$C$18,INDEX(급여대장_원본!$A$1:$AZ$400,설정!$B$8,0),0),""))&amp;"",",","")),""))</f>
        <v/>
      </c>
      <c r="P231" s="2">
        <f>IF(OR(설정!$C$19="",IFERROR(MATCH(설정!$C$19,INDEX(급여대장_원본!$A$1:$AZ$400,설정!$B$8,0),0),"")=""),"",IFERROR(VALUE(SUBSTITUTE(INDEX(급여대장_원본!$A$1:$AZ$400,(설정!$B$8+225),IFERROR(MATCH(설정!$C$19,INDEX(급여대장_원본!$A$1:$AZ$400,설정!$B$8,0),0),""))&amp;"",",","")),""))</f>
        <v/>
      </c>
      <c r="Q231" s="2">
        <f>IF(OR(설정!$C$20="",IFERROR(MATCH(설정!$C$20,INDEX(급여대장_원본!$A$1:$AZ$400,설정!$B$8,0),0),"")=""),"",IFERROR(VALUE(SUBSTITUTE(INDEX(급여대장_원본!$A$1:$AZ$400,(설정!$B$8+225),IFERROR(MATCH(설정!$C$20,INDEX(급여대장_원본!$A$1:$AZ$400,설정!$B$8,0),0),""))&amp;"",",","")),""))</f>
        <v/>
      </c>
      <c r="R231" s="2">
        <f>IF(OR(설정!$C$21="",IFERROR(MATCH(설정!$C$21,INDEX(급여대장_원본!$A$1:$AZ$400,설정!$B$8,0),0),"")=""),"",IFERROR(VALUE(SUBSTITUTE(INDEX(급여대장_원본!$A$1:$AZ$400,(설정!$B$8+225),IFERROR(MATCH(설정!$C$21,INDEX(급여대장_원본!$A$1:$AZ$400,설정!$B$8,0),0),""))&amp;"",",","")),""))</f>
        <v/>
      </c>
      <c r="S231" s="2">
        <f>IF(OR(설정!$C$22="",IFERROR(MATCH(설정!$C$22,INDEX(급여대장_원본!$A$1:$AZ$400,설정!$B$8,0),0),"")=""),"",IFERROR(VALUE(SUBSTITUTE(INDEX(급여대장_원본!$A$1:$AZ$400,(설정!$B$8+225),IFERROR(MATCH(설정!$C$22,INDEX(급여대장_원본!$A$1:$AZ$400,설정!$B$8,0),0),""))&amp;"",",","")),""))</f>
        <v/>
      </c>
      <c r="T231" s="2">
        <f>IF(OR(설정!$C$23="",IFERROR(MATCH(설정!$C$23,INDEX(급여대장_원본!$A$1:$AZ$400,설정!$B$8,0),0),"")=""),"",IFERROR(VALUE(SUBSTITUTE(INDEX(급여대장_원본!$A$1:$AZ$400,(설정!$B$8+225),IFERROR(MATCH(설정!$C$23,INDEX(급여대장_원본!$A$1:$AZ$400,설정!$B$8,0),0),""))&amp;"",",","")),""))</f>
        <v/>
      </c>
      <c r="U231" s="2">
        <f>IF(OR(설정!$C$24="",IFERROR(MATCH(설정!$C$24,INDEX(급여대장_원본!$A$1:$AZ$400,설정!$B$8,0),0),"")=""),"",IFERROR(VALUE(SUBSTITUTE(INDEX(급여대장_원본!$A$1:$AZ$400,(설정!$B$8+225),IFERROR(MATCH(설정!$C$24,INDEX(급여대장_원본!$A$1:$AZ$400,설정!$B$8,0),0),""))&amp;"",",","")),""))</f>
        <v/>
      </c>
      <c r="V231" s="27">
        <f>SUM(F231:M231)</f>
        <v/>
      </c>
      <c r="W231" s="27">
        <f>IF(설정!$D$26="",0,IFERROR(VALUE(SUBSTITUTE(SUBSTITUTE(INDEX(급여대장_원본!$A$1:$AZ$400,(설정!$B$8+225),설정!$D$26)&amp;"",",",""),"　","")),0))</f>
        <v/>
      </c>
      <c r="X231" s="27">
        <f>IF(설정!$D$27="",0,IFERROR(VALUE(SUBSTITUTE(SUBSTITUTE(INDEX(급여대장_원본!$A$1:$AZ$400,(설정!$B$8+225),설정!$D$27)&amp;"",",",""),"　","")),0))</f>
        <v/>
      </c>
      <c r="Y231" s="27">
        <f>IF(설정!$D$28="",0,IFERROR(VALUE(SUBSTITUTE(SUBSTITUTE(INDEX(급여대장_원본!$A$1:$AZ$400,(설정!$B$8+225),설정!$D$28)&amp;"",",",""),"　","")),0))</f>
        <v/>
      </c>
      <c r="Z231" s="27">
        <f>IF(설정!$D$29="",0,IFERROR(VALUE(SUBSTITUTE(SUBSTITUTE(INDEX(급여대장_원본!$A$1:$AZ$400,(설정!$B$8+225),설정!$D$29)&amp;"",",",""),"　","")),0))</f>
        <v/>
      </c>
      <c r="AA231" s="27">
        <f>IF(설정!$D$30="",0,IFERROR(VALUE(SUBSTITUTE(SUBSTITUTE(INDEX(급여대장_원본!$A$1:$AZ$400,(설정!$B$8+225),설정!$D$30)&amp;"",",",""),"　","")),0))</f>
        <v/>
      </c>
      <c r="AB231" s="27">
        <f>IF(설정!$D$31="",0,IFERROR(VALUE(SUBSTITUTE(SUBSTITUTE(INDEX(급여대장_원본!$A$1:$AZ$400,(설정!$B$8+225),설정!$D$31)&amp;"",",",""),"　","")),0))</f>
        <v/>
      </c>
      <c r="AC231" s="27">
        <f>IF(설정!$D$32="",0,IFERROR(VALUE(SUBSTITUTE(SUBSTITUTE(INDEX(급여대장_원본!$A$1:$AZ$400,(설정!$B$8+225),설정!$D$32)&amp;"",",",""),"　","")),0))</f>
        <v/>
      </c>
      <c r="AD231" s="27">
        <f>IF(설정!$D$33="",0,IFERROR(VALUE(SUBSTITUTE(SUBSTITUTE(INDEX(급여대장_원본!$A$1:$AZ$400,(설정!$B$8+225),설정!$D$33)&amp;"",",",""),"　","")),0))</f>
        <v/>
      </c>
      <c r="AE231" s="27">
        <f>SUM(W231:AD231)</f>
        <v/>
      </c>
      <c r="AF231" s="27">
        <f>V231-AE231</f>
        <v/>
      </c>
      <c r="AG231" s="27">
        <f>IF(설정!$D$35="","",IF(설정!$D$35="",0,IFERROR(VALUE(SUBSTITUTE(SUBSTITUTE(INDEX(급여대장_원본!$A$1:$AZ$400,(설정!$B$8+225),설정!$D$35)&amp;"",",",""),"　","")),0)))</f>
        <v/>
      </c>
      <c r="AH231" s="27">
        <f>IF(설정!$D$36="","",IF(설정!$D$36="",0,IFERROR(VALUE(SUBSTITUTE(SUBSTITUTE(INDEX(급여대장_원본!$A$1:$AZ$400,(설정!$B$8+225),설정!$D$36)&amp;"",",",""),"　","")),0)))</f>
        <v/>
      </c>
      <c r="AI231" s="27">
        <f>IF(설정!$D$37="","",IF(설정!$D$37="",0,IFERROR(VALUE(SUBSTITUTE(SUBSTITUTE(INDEX(급여대장_원본!$A$1:$AZ$400,(설정!$B$8+225),설정!$D$37)&amp;"",",",""),"　","")),0)))</f>
        <v/>
      </c>
      <c r="AJ231" s="2">
        <f>IFERROR(INDEX($D$7:$D$306,MATCH(225,$B$7:$B$306,0)),"")</f>
        <v/>
      </c>
    </row>
    <row r="232">
      <c r="A232" s="2">
        <f>IF(AND(D232&lt;&gt;"",D232&lt;&gt;"합계",D232&lt;&gt;"총계",D232&lt;&gt;"소계",D232&lt;&gt;"계"),1,0)</f>
        <v/>
      </c>
      <c r="B232" s="2">
        <f>IF(A232=1,SUM($A$7:A232),"")</f>
        <v/>
      </c>
      <c r="C232" s="2">
        <f>IF(설정!$D$13="","",TRIM(SUBSTITUTE(INDEX(급여대장_원본!$A$1:$AZ$400,(설정!$B$8+226),설정!$D$13)&amp;"","　"," ")))</f>
        <v/>
      </c>
      <c r="D232" s="2">
        <f>IF(설정!$D$14="","",TRIM(SUBSTITUTE(INDEX(급여대장_원본!$A$1:$AZ$400,(설정!$B$8+226),설정!$D$14)&amp;"","　"," ")))</f>
        <v/>
      </c>
      <c r="E232" s="2">
        <f>IF(설정!$D$15="","",TRIM(SUBSTITUTE(INDEX(급여대장_원본!$A$1:$AZ$400,(설정!$B$8+226),설정!$D$15)&amp;"","　"," ")))</f>
        <v/>
      </c>
      <c r="F232" s="27">
        <f>IF(설정!$D$17="",0,IFERROR(VALUE(SUBSTITUTE(SUBSTITUTE(INDEX(급여대장_원본!$A$1:$AZ$400,(설정!$B$8+226),설정!$D$17)&amp;"",",",""),"　","")),0))</f>
        <v/>
      </c>
      <c r="G232" s="27">
        <f>IF(설정!$D$18="",0,IFERROR(VALUE(SUBSTITUTE(SUBSTITUTE(INDEX(급여대장_원본!$A$1:$AZ$400,(설정!$B$8+226),설정!$D$18)&amp;"",",",""),"　","")),0))</f>
        <v/>
      </c>
      <c r="H232" s="27">
        <f>IF(설정!$D$19="",0,IFERROR(VALUE(SUBSTITUTE(SUBSTITUTE(INDEX(급여대장_원본!$A$1:$AZ$400,(설정!$B$8+226),설정!$D$19)&amp;"",",",""),"　","")),0))</f>
        <v/>
      </c>
      <c r="I232" s="27">
        <f>IF(설정!$D$20="",0,IFERROR(VALUE(SUBSTITUTE(SUBSTITUTE(INDEX(급여대장_원본!$A$1:$AZ$400,(설정!$B$8+226),설정!$D$20)&amp;"",",",""),"　","")),0))</f>
        <v/>
      </c>
      <c r="J232" s="27">
        <f>IF(설정!$D$21="",0,IFERROR(VALUE(SUBSTITUTE(SUBSTITUTE(INDEX(급여대장_원본!$A$1:$AZ$400,(설정!$B$8+226),설정!$D$21)&amp;"",",",""),"　","")),0))</f>
        <v/>
      </c>
      <c r="K232" s="27">
        <f>IF(설정!$D$22="",0,IFERROR(VALUE(SUBSTITUTE(SUBSTITUTE(INDEX(급여대장_원본!$A$1:$AZ$400,(설정!$B$8+226),설정!$D$22)&amp;"",",",""),"　","")),0))</f>
        <v/>
      </c>
      <c r="L232" s="27">
        <f>IF(설정!$D$23="",0,IFERROR(VALUE(SUBSTITUTE(SUBSTITUTE(INDEX(급여대장_원본!$A$1:$AZ$400,(설정!$B$8+226),설정!$D$23)&amp;"",",",""),"　","")),0))</f>
        <v/>
      </c>
      <c r="M232" s="27">
        <f>IF(설정!$D$24="",0,IFERROR(VALUE(SUBSTITUTE(SUBSTITUTE(INDEX(급여대장_원본!$A$1:$AZ$400,(설정!$B$8+226),설정!$D$24)&amp;"",",",""),"　","")),0))</f>
        <v/>
      </c>
      <c r="N232" s="2">
        <f>IF(OR(설정!$C$17="",IFERROR(MATCH(설정!$C$17,INDEX(급여대장_원본!$A$1:$AZ$400,설정!$B$8,0),0),"")=""),"",IFERROR(VALUE(SUBSTITUTE(INDEX(급여대장_원본!$A$1:$AZ$400,(설정!$B$8+226),IFERROR(MATCH(설정!$C$17,INDEX(급여대장_원본!$A$1:$AZ$400,설정!$B$8,0),0),""))&amp;"",",","")),""))</f>
        <v/>
      </c>
      <c r="O232" s="2">
        <f>IF(OR(설정!$C$18="",IFERROR(MATCH(설정!$C$18,INDEX(급여대장_원본!$A$1:$AZ$400,설정!$B$8,0),0),"")=""),"",IFERROR(VALUE(SUBSTITUTE(INDEX(급여대장_원본!$A$1:$AZ$400,(설정!$B$8+226),IFERROR(MATCH(설정!$C$18,INDEX(급여대장_원본!$A$1:$AZ$400,설정!$B$8,0),0),""))&amp;"",",","")),""))</f>
        <v/>
      </c>
      <c r="P232" s="2">
        <f>IF(OR(설정!$C$19="",IFERROR(MATCH(설정!$C$19,INDEX(급여대장_원본!$A$1:$AZ$400,설정!$B$8,0),0),"")=""),"",IFERROR(VALUE(SUBSTITUTE(INDEX(급여대장_원본!$A$1:$AZ$400,(설정!$B$8+226),IFERROR(MATCH(설정!$C$19,INDEX(급여대장_원본!$A$1:$AZ$400,설정!$B$8,0),0),""))&amp;"",",","")),""))</f>
        <v/>
      </c>
      <c r="Q232" s="2">
        <f>IF(OR(설정!$C$20="",IFERROR(MATCH(설정!$C$20,INDEX(급여대장_원본!$A$1:$AZ$400,설정!$B$8,0),0),"")=""),"",IFERROR(VALUE(SUBSTITUTE(INDEX(급여대장_원본!$A$1:$AZ$400,(설정!$B$8+226),IFERROR(MATCH(설정!$C$20,INDEX(급여대장_원본!$A$1:$AZ$400,설정!$B$8,0),0),""))&amp;"",",","")),""))</f>
        <v/>
      </c>
      <c r="R232" s="2">
        <f>IF(OR(설정!$C$21="",IFERROR(MATCH(설정!$C$21,INDEX(급여대장_원본!$A$1:$AZ$400,설정!$B$8,0),0),"")=""),"",IFERROR(VALUE(SUBSTITUTE(INDEX(급여대장_원본!$A$1:$AZ$400,(설정!$B$8+226),IFERROR(MATCH(설정!$C$21,INDEX(급여대장_원본!$A$1:$AZ$400,설정!$B$8,0),0),""))&amp;"",",","")),""))</f>
        <v/>
      </c>
      <c r="S232" s="2">
        <f>IF(OR(설정!$C$22="",IFERROR(MATCH(설정!$C$22,INDEX(급여대장_원본!$A$1:$AZ$400,설정!$B$8,0),0),"")=""),"",IFERROR(VALUE(SUBSTITUTE(INDEX(급여대장_원본!$A$1:$AZ$400,(설정!$B$8+226),IFERROR(MATCH(설정!$C$22,INDEX(급여대장_원본!$A$1:$AZ$400,설정!$B$8,0),0),""))&amp;"",",","")),""))</f>
        <v/>
      </c>
      <c r="T232" s="2">
        <f>IF(OR(설정!$C$23="",IFERROR(MATCH(설정!$C$23,INDEX(급여대장_원본!$A$1:$AZ$400,설정!$B$8,0),0),"")=""),"",IFERROR(VALUE(SUBSTITUTE(INDEX(급여대장_원본!$A$1:$AZ$400,(설정!$B$8+226),IFERROR(MATCH(설정!$C$23,INDEX(급여대장_원본!$A$1:$AZ$400,설정!$B$8,0),0),""))&amp;"",",","")),""))</f>
        <v/>
      </c>
      <c r="U232" s="2">
        <f>IF(OR(설정!$C$24="",IFERROR(MATCH(설정!$C$24,INDEX(급여대장_원본!$A$1:$AZ$400,설정!$B$8,0),0),"")=""),"",IFERROR(VALUE(SUBSTITUTE(INDEX(급여대장_원본!$A$1:$AZ$400,(설정!$B$8+226),IFERROR(MATCH(설정!$C$24,INDEX(급여대장_원본!$A$1:$AZ$400,설정!$B$8,0),0),""))&amp;"",",","")),""))</f>
        <v/>
      </c>
      <c r="V232" s="27">
        <f>SUM(F232:M232)</f>
        <v/>
      </c>
      <c r="W232" s="27">
        <f>IF(설정!$D$26="",0,IFERROR(VALUE(SUBSTITUTE(SUBSTITUTE(INDEX(급여대장_원본!$A$1:$AZ$400,(설정!$B$8+226),설정!$D$26)&amp;"",",",""),"　","")),0))</f>
        <v/>
      </c>
      <c r="X232" s="27">
        <f>IF(설정!$D$27="",0,IFERROR(VALUE(SUBSTITUTE(SUBSTITUTE(INDEX(급여대장_원본!$A$1:$AZ$400,(설정!$B$8+226),설정!$D$27)&amp;"",",",""),"　","")),0))</f>
        <v/>
      </c>
      <c r="Y232" s="27">
        <f>IF(설정!$D$28="",0,IFERROR(VALUE(SUBSTITUTE(SUBSTITUTE(INDEX(급여대장_원본!$A$1:$AZ$400,(설정!$B$8+226),설정!$D$28)&amp;"",",",""),"　","")),0))</f>
        <v/>
      </c>
      <c r="Z232" s="27">
        <f>IF(설정!$D$29="",0,IFERROR(VALUE(SUBSTITUTE(SUBSTITUTE(INDEX(급여대장_원본!$A$1:$AZ$400,(설정!$B$8+226),설정!$D$29)&amp;"",",",""),"　","")),0))</f>
        <v/>
      </c>
      <c r="AA232" s="27">
        <f>IF(설정!$D$30="",0,IFERROR(VALUE(SUBSTITUTE(SUBSTITUTE(INDEX(급여대장_원본!$A$1:$AZ$400,(설정!$B$8+226),설정!$D$30)&amp;"",",",""),"　","")),0))</f>
        <v/>
      </c>
      <c r="AB232" s="27">
        <f>IF(설정!$D$31="",0,IFERROR(VALUE(SUBSTITUTE(SUBSTITUTE(INDEX(급여대장_원본!$A$1:$AZ$400,(설정!$B$8+226),설정!$D$31)&amp;"",",",""),"　","")),0))</f>
        <v/>
      </c>
      <c r="AC232" s="27">
        <f>IF(설정!$D$32="",0,IFERROR(VALUE(SUBSTITUTE(SUBSTITUTE(INDEX(급여대장_원본!$A$1:$AZ$400,(설정!$B$8+226),설정!$D$32)&amp;"",",",""),"　","")),0))</f>
        <v/>
      </c>
      <c r="AD232" s="27">
        <f>IF(설정!$D$33="",0,IFERROR(VALUE(SUBSTITUTE(SUBSTITUTE(INDEX(급여대장_원본!$A$1:$AZ$400,(설정!$B$8+226),설정!$D$33)&amp;"",",",""),"　","")),0))</f>
        <v/>
      </c>
      <c r="AE232" s="27">
        <f>SUM(W232:AD232)</f>
        <v/>
      </c>
      <c r="AF232" s="27">
        <f>V232-AE232</f>
        <v/>
      </c>
      <c r="AG232" s="27">
        <f>IF(설정!$D$35="","",IF(설정!$D$35="",0,IFERROR(VALUE(SUBSTITUTE(SUBSTITUTE(INDEX(급여대장_원본!$A$1:$AZ$400,(설정!$B$8+226),설정!$D$35)&amp;"",",",""),"　","")),0)))</f>
        <v/>
      </c>
      <c r="AH232" s="27">
        <f>IF(설정!$D$36="","",IF(설정!$D$36="",0,IFERROR(VALUE(SUBSTITUTE(SUBSTITUTE(INDEX(급여대장_원본!$A$1:$AZ$400,(설정!$B$8+226),설정!$D$36)&amp;"",",",""),"　","")),0)))</f>
        <v/>
      </c>
      <c r="AI232" s="27">
        <f>IF(설정!$D$37="","",IF(설정!$D$37="",0,IFERROR(VALUE(SUBSTITUTE(SUBSTITUTE(INDEX(급여대장_원본!$A$1:$AZ$400,(설정!$B$8+226),설정!$D$37)&amp;"",",",""),"　","")),0)))</f>
        <v/>
      </c>
      <c r="AJ232" s="2">
        <f>IFERROR(INDEX($D$7:$D$306,MATCH(226,$B$7:$B$306,0)),"")</f>
        <v/>
      </c>
    </row>
    <row r="233">
      <c r="A233" s="2">
        <f>IF(AND(D233&lt;&gt;"",D233&lt;&gt;"합계",D233&lt;&gt;"총계",D233&lt;&gt;"소계",D233&lt;&gt;"계"),1,0)</f>
        <v/>
      </c>
      <c r="B233" s="2">
        <f>IF(A233=1,SUM($A$7:A233),"")</f>
        <v/>
      </c>
      <c r="C233" s="2">
        <f>IF(설정!$D$13="","",TRIM(SUBSTITUTE(INDEX(급여대장_원본!$A$1:$AZ$400,(설정!$B$8+227),설정!$D$13)&amp;"","　"," ")))</f>
        <v/>
      </c>
      <c r="D233" s="2">
        <f>IF(설정!$D$14="","",TRIM(SUBSTITUTE(INDEX(급여대장_원본!$A$1:$AZ$400,(설정!$B$8+227),설정!$D$14)&amp;"","　"," ")))</f>
        <v/>
      </c>
      <c r="E233" s="2">
        <f>IF(설정!$D$15="","",TRIM(SUBSTITUTE(INDEX(급여대장_원본!$A$1:$AZ$400,(설정!$B$8+227),설정!$D$15)&amp;"","　"," ")))</f>
        <v/>
      </c>
      <c r="F233" s="27">
        <f>IF(설정!$D$17="",0,IFERROR(VALUE(SUBSTITUTE(SUBSTITUTE(INDEX(급여대장_원본!$A$1:$AZ$400,(설정!$B$8+227),설정!$D$17)&amp;"",",",""),"　","")),0))</f>
        <v/>
      </c>
      <c r="G233" s="27">
        <f>IF(설정!$D$18="",0,IFERROR(VALUE(SUBSTITUTE(SUBSTITUTE(INDEX(급여대장_원본!$A$1:$AZ$400,(설정!$B$8+227),설정!$D$18)&amp;"",",",""),"　","")),0))</f>
        <v/>
      </c>
      <c r="H233" s="27">
        <f>IF(설정!$D$19="",0,IFERROR(VALUE(SUBSTITUTE(SUBSTITUTE(INDEX(급여대장_원본!$A$1:$AZ$400,(설정!$B$8+227),설정!$D$19)&amp;"",",",""),"　","")),0))</f>
        <v/>
      </c>
      <c r="I233" s="27">
        <f>IF(설정!$D$20="",0,IFERROR(VALUE(SUBSTITUTE(SUBSTITUTE(INDEX(급여대장_원본!$A$1:$AZ$400,(설정!$B$8+227),설정!$D$20)&amp;"",",",""),"　","")),0))</f>
        <v/>
      </c>
      <c r="J233" s="27">
        <f>IF(설정!$D$21="",0,IFERROR(VALUE(SUBSTITUTE(SUBSTITUTE(INDEX(급여대장_원본!$A$1:$AZ$400,(설정!$B$8+227),설정!$D$21)&amp;"",",",""),"　","")),0))</f>
        <v/>
      </c>
      <c r="K233" s="27">
        <f>IF(설정!$D$22="",0,IFERROR(VALUE(SUBSTITUTE(SUBSTITUTE(INDEX(급여대장_원본!$A$1:$AZ$400,(설정!$B$8+227),설정!$D$22)&amp;"",",",""),"　","")),0))</f>
        <v/>
      </c>
      <c r="L233" s="27">
        <f>IF(설정!$D$23="",0,IFERROR(VALUE(SUBSTITUTE(SUBSTITUTE(INDEX(급여대장_원본!$A$1:$AZ$400,(설정!$B$8+227),설정!$D$23)&amp;"",",",""),"　","")),0))</f>
        <v/>
      </c>
      <c r="M233" s="27">
        <f>IF(설정!$D$24="",0,IFERROR(VALUE(SUBSTITUTE(SUBSTITUTE(INDEX(급여대장_원본!$A$1:$AZ$400,(설정!$B$8+227),설정!$D$24)&amp;"",",",""),"　","")),0))</f>
        <v/>
      </c>
      <c r="N233" s="2">
        <f>IF(OR(설정!$C$17="",IFERROR(MATCH(설정!$C$17,INDEX(급여대장_원본!$A$1:$AZ$400,설정!$B$8,0),0),"")=""),"",IFERROR(VALUE(SUBSTITUTE(INDEX(급여대장_원본!$A$1:$AZ$400,(설정!$B$8+227),IFERROR(MATCH(설정!$C$17,INDEX(급여대장_원본!$A$1:$AZ$400,설정!$B$8,0),0),""))&amp;"",",","")),""))</f>
        <v/>
      </c>
      <c r="O233" s="2">
        <f>IF(OR(설정!$C$18="",IFERROR(MATCH(설정!$C$18,INDEX(급여대장_원본!$A$1:$AZ$400,설정!$B$8,0),0),"")=""),"",IFERROR(VALUE(SUBSTITUTE(INDEX(급여대장_원본!$A$1:$AZ$400,(설정!$B$8+227),IFERROR(MATCH(설정!$C$18,INDEX(급여대장_원본!$A$1:$AZ$400,설정!$B$8,0),0),""))&amp;"",",","")),""))</f>
        <v/>
      </c>
      <c r="P233" s="2">
        <f>IF(OR(설정!$C$19="",IFERROR(MATCH(설정!$C$19,INDEX(급여대장_원본!$A$1:$AZ$400,설정!$B$8,0),0),"")=""),"",IFERROR(VALUE(SUBSTITUTE(INDEX(급여대장_원본!$A$1:$AZ$400,(설정!$B$8+227),IFERROR(MATCH(설정!$C$19,INDEX(급여대장_원본!$A$1:$AZ$400,설정!$B$8,0),0),""))&amp;"",",","")),""))</f>
        <v/>
      </c>
      <c r="Q233" s="2">
        <f>IF(OR(설정!$C$20="",IFERROR(MATCH(설정!$C$20,INDEX(급여대장_원본!$A$1:$AZ$400,설정!$B$8,0),0),"")=""),"",IFERROR(VALUE(SUBSTITUTE(INDEX(급여대장_원본!$A$1:$AZ$400,(설정!$B$8+227),IFERROR(MATCH(설정!$C$20,INDEX(급여대장_원본!$A$1:$AZ$400,설정!$B$8,0),0),""))&amp;"",",","")),""))</f>
        <v/>
      </c>
      <c r="R233" s="2">
        <f>IF(OR(설정!$C$21="",IFERROR(MATCH(설정!$C$21,INDEX(급여대장_원본!$A$1:$AZ$400,설정!$B$8,0),0),"")=""),"",IFERROR(VALUE(SUBSTITUTE(INDEX(급여대장_원본!$A$1:$AZ$400,(설정!$B$8+227),IFERROR(MATCH(설정!$C$21,INDEX(급여대장_원본!$A$1:$AZ$400,설정!$B$8,0),0),""))&amp;"",",","")),""))</f>
        <v/>
      </c>
      <c r="S233" s="2">
        <f>IF(OR(설정!$C$22="",IFERROR(MATCH(설정!$C$22,INDEX(급여대장_원본!$A$1:$AZ$400,설정!$B$8,0),0),"")=""),"",IFERROR(VALUE(SUBSTITUTE(INDEX(급여대장_원본!$A$1:$AZ$400,(설정!$B$8+227),IFERROR(MATCH(설정!$C$22,INDEX(급여대장_원본!$A$1:$AZ$400,설정!$B$8,0),0),""))&amp;"",",","")),""))</f>
        <v/>
      </c>
      <c r="T233" s="2">
        <f>IF(OR(설정!$C$23="",IFERROR(MATCH(설정!$C$23,INDEX(급여대장_원본!$A$1:$AZ$400,설정!$B$8,0),0),"")=""),"",IFERROR(VALUE(SUBSTITUTE(INDEX(급여대장_원본!$A$1:$AZ$400,(설정!$B$8+227),IFERROR(MATCH(설정!$C$23,INDEX(급여대장_원본!$A$1:$AZ$400,설정!$B$8,0),0),""))&amp;"",",","")),""))</f>
        <v/>
      </c>
      <c r="U233" s="2">
        <f>IF(OR(설정!$C$24="",IFERROR(MATCH(설정!$C$24,INDEX(급여대장_원본!$A$1:$AZ$400,설정!$B$8,0),0),"")=""),"",IFERROR(VALUE(SUBSTITUTE(INDEX(급여대장_원본!$A$1:$AZ$400,(설정!$B$8+227),IFERROR(MATCH(설정!$C$24,INDEX(급여대장_원본!$A$1:$AZ$400,설정!$B$8,0),0),""))&amp;"",",","")),""))</f>
        <v/>
      </c>
      <c r="V233" s="27">
        <f>SUM(F233:M233)</f>
        <v/>
      </c>
      <c r="W233" s="27">
        <f>IF(설정!$D$26="",0,IFERROR(VALUE(SUBSTITUTE(SUBSTITUTE(INDEX(급여대장_원본!$A$1:$AZ$400,(설정!$B$8+227),설정!$D$26)&amp;"",",",""),"　","")),0))</f>
        <v/>
      </c>
      <c r="X233" s="27">
        <f>IF(설정!$D$27="",0,IFERROR(VALUE(SUBSTITUTE(SUBSTITUTE(INDEX(급여대장_원본!$A$1:$AZ$400,(설정!$B$8+227),설정!$D$27)&amp;"",",",""),"　","")),0))</f>
        <v/>
      </c>
      <c r="Y233" s="27">
        <f>IF(설정!$D$28="",0,IFERROR(VALUE(SUBSTITUTE(SUBSTITUTE(INDEX(급여대장_원본!$A$1:$AZ$400,(설정!$B$8+227),설정!$D$28)&amp;"",",",""),"　","")),0))</f>
        <v/>
      </c>
      <c r="Z233" s="27">
        <f>IF(설정!$D$29="",0,IFERROR(VALUE(SUBSTITUTE(SUBSTITUTE(INDEX(급여대장_원본!$A$1:$AZ$400,(설정!$B$8+227),설정!$D$29)&amp;"",",",""),"　","")),0))</f>
        <v/>
      </c>
      <c r="AA233" s="27">
        <f>IF(설정!$D$30="",0,IFERROR(VALUE(SUBSTITUTE(SUBSTITUTE(INDEX(급여대장_원본!$A$1:$AZ$400,(설정!$B$8+227),설정!$D$30)&amp;"",",",""),"　","")),0))</f>
        <v/>
      </c>
      <c r="AB233" s="27">
        <f>IF(설정!$D$31="",0,IFERROR(VALUE(SUBSTITUTE(SUBSTITUTE(INDEX(급여대장_원본!$A$1:$AZ$400,(설정!$B$8+227),설정!$D$31)&amp;"",",",""),"　","")),0))</f>
        <v/>
      </c>
      <c r="AC233" s="27">
        <f>IF(설정!$D$32="",0,IFERROR(VALUE(SUBSTITUTE(SUBSTITUTE(INDEX(급여대장_원본!$A$1:$AZ$400,(설정!$B$8+227),설정!$D$32)&amp;"",",",""),"　","")),0))</f>
        <v/>
      </c>
      <c r="AD233" s="27">
        <f>IF(설정!$D$33="",0,IFERROR(VALUE(SUBSTITUTE(SUBSTITUTE(INDEX(급여대장_원본!$A$1:$AZ$400,(설정!$B$8+227),설정!$D$33)&amp;"",",",""),"　","")),0))</f>
        <v/>
      </c>
      <c r="AE233" s="27">
        <f>SUM(W233:AD233)</f>
        <v/>
      </c>
      <c r="AF233" s="27">
        <f>V233-AE233</f>
        <v/>
      </c>
      <c r="AG233" s="27">
        <f>IF(설정!$D$35="","",IF(설정!$D$35="",0,IFERROR(VALUE(SUBSTITUTE(SUBSTITUTE(INDEX(급여대장_원본!$A$1:$AZ$400,(설정!$B$8+227),설정!$D$35)&amp;"",",",""),"　","")),0)))</f>
        <v/>
      </c>
      <c r="AH233" s="27">
        <f>IF(설정!$D$36="","",IF(설정!$D$36="",0,IFERROR(VALUE(SUBSTITUTE(SUBSTITUTE(INDEX(급여대장_원본!$A$1:$AZ$400,(설정!$B$8+227),설정!$D$36)&amp;"",",",""),"　","")),0)))</f>
        <v/>
      </c>
      <c r="AI233" s="27">
        <f>IF(설정!$D$37="","",IF(설정!$D$37="",0,IFERROR(VALUE(SUBSTITUTE(SUBSTITUTE(INDEX(급여대장_원본!$A$1:$AZ$400,(설정!$B$8+227),설정!$D$37)&amp;"",",",""),"　","")),0)))</f>
        <v/>
      </c>
      <c r="AJ233" s="2">
        <f>IFERROR(INDEX($D$7:$D$306,MATCH(227,$B$7:$B$306,0)),"")</f>
        <v/>
      </c>
    </row>
    <row r="234">
      <c r="A234" s="2">
        <f>IF(AND(D234&lt;&gt;"",D234&lt;&gt;"합계",D234&lt;&gt;"총계",D234&lt;&gt;"소계",D234&lt;&gt;"계"),1,0)</f>
        <v/>
      </c>
      <c r="B234" s="2">
        <f>IF(A234=1,SUM($A$7:A234),"")</f>
        <v/>
      </c>
      <c r="C234" s="2">
        <f>IF(설정!$D$13="","",TRIM(SUBSTITUTE(INDEX(급여대장_원본!$A$1:$AZ$400,(설정!$B$8+228),설정!$D$13)&amp;"","　"," ")))</f>
        <v/>
      </c>
      <c r="D234" s="2">
        <f>IF(설정!$D$14="","",TRIM(SUBSTITUTE(INDEX(급여대장_원본!$A$1:$AZ$400,(설정!$B$8+228),설정!$D$14)&amp;"","　"," ")))</f>
        <v/>
      </c>
      <c r="E234" s="2">
        <f>IF(설정!$D$15="","",TRIM(SUBSTITUTE(INDEX(급여대장_원본!$A$1:$AZ$400,(설정!$B$8+228),설정!$D$15)&amp;"","　"," ")))</f>
        <v/>
      </c>
      <c r="F234" s="27">
        <f>IF(설정!$D$17="",0,IFERROR(VALUE(SUBSTITUTE(SUBSTITUTE(INDEX(급여대장_원본!$A$1:$AZ$400,(설정!$B$8+228),설정!$D$17)&amp;"",",",""),"　","")),0))</f>
        <v/>
      </c>
      <c r="G234" s="27">
        <f>IF(설정!$D$18="",0,IFERROR(VALUE(SUBSTITUTE(SUBSTITUTE(INDEX(급여대장_원본!$A$1:$AZ$400,(설정!$B$8+228),설정!$D$18)&amp;"",",",""),"　","")),0))</f>
        <v/>
      </c>
      <c r="H234" s="27">
        <f>IF(설정!$D$19="",0,IFERROR(VALUE(SUBSTITUTE(SUBSTITUTE(INDEX(급여대장_원본!$A$1:$AZ$400,(설정!$B$8+228),설정!$D$19)&amp;"",",",""),"　","")),0))</f>
        <v/>
      </c>
      <c r="I234" s="27">
        <f>IF(설정!$D$20="",0,IFERROR(VALUE(SUBSTITUTE(SUBSTITUTE(INDEX(급여대장_원본!$A$1:$AZ$400,(설정!$B$8+228),설정!$D$20)&amp;"",",",""),"　","")),0))</f>
        <v/>
      </c>
      <c r="J234" s="27">
        <f>IF(설정!$D$21="",0,IFERROR(VALUE(SUBSTITUTE(SUBSTITUTE(INDEX(급여대장_원본!$A$1:$AZ$400,(설정!$B$8+228),설정!$D$21)&amp;"",",",""),"　","")),0))</f>
        <v/>
      </c>
      <c r="K234" s="27">
        <f>IF(설정!$D$22="",0,IFERROR(VALUE(SUBSTITUTE(SUBSTITUTE(INDEX(급여대장_원본!$A$1:$AZ$400,(설정!$B$8+228),설정!$D$22)&amp;"",",",""),"　","")),0))</f>
        <v/>
      </c>
      <c r="L234" s="27">
        <f>IF(설정!$D$23="",0,IFERROR(VALUE(SUBSTITUTE(SUBSTITUTE(INDEX(급여대장_원본!$A$1:$AZ$400,(설정!$B$8+228),설정!$D$23)&amp;"",",",""),"　","")),0))</f>
        <v/>
      </c>
      <c r="M234" s="27">
        <f>IF(설정!$D$24="",0,IFERROR(VALUE(SUBSTITUTE(SUBSTITUTE(INDEX(급여대장_원본!$A$1:$AZ$400,(설정!$B$8+228),설정!$D$24)&amp;"",",",""),"　","")),0))</f>
        <v/>
      </c>
      <c r="N234" s="2">
        <f>IF(OR(설정!$C$17="",IFERROR(MATCH(설정!$C$17,INDEX(급여대장_원본!$A$1:$AZ$400,설정!$B$8,0),0),"")=""),"",IFERROR(VALUE(SUBSTITUTE(INDEX(급여대장_원본!$A$1:$AZ$400,(설정!$B$8+228),IFERROR(MATCH(설정!$C$17,INDEX(급여대장_원본!$A$1:$AZ$400,설정!$B$8,0),0),""))&amp;"",",","")),""))</f>
        <v/>
      </c>
      <c r="O234" s="2">
        <f>IF(OR(설정!$C$18="",IFERROR(MATCH(설정!$C$18,INDEX(급여대장_원본!$A$1:$AZ$400,설정!$B$8,0),0),"")=""),"",IFERROR(VALUE(SUBSTITUTE(INDEX(급여대장_원본!$A$1:$AZ$400,(설정!$B$8+228),IFERROR(MATCH(설정!$C$18,INDEX(급여대장_원본!$A$1:$AZ$400,설정!$B$8,0),0),""))&amp;"",",","")),""))</f>
        <v/>
      </c>
      <c r="P234" s="2">
        <f>IF(OR(설정!$C$19="",IFERROR(MATCH(설정!$C$19,INDEX(급여대장_원본!$A$1:$AZ$400,설정!$B$8,0),0),"")=""),"",IFERROR(VALUE(SUBSTITUTE(INDEX(급여대장_원본!$A$1:$AZ$400,(설정!$B$8+228),IFERROR(MATCH(설정!$C$19,INDEX(급여대장_원본!$A$1:$AZ$400,설정!$B$8,0),0),""))&amp;"",",","")),""))</f>
        <v/>
      </c>
      <c r="Q234" s="2">
        <f>IF(OR(설정!$C$20="",IFERROR(MATCH(설정!$C$20,INDEX(급여대장_원본!$A$1:$AZ$400,설정!$B$8,0),0),"")=""),"",IFERROR(VALUE(SUBSTITUTE(INDEX(급여대장_원본!$A$1:$AZ$400,(설정!$B$8+228),IFERROR(MATCH(설정!$C$20,INDEX(급여대장_원본!$A$1:$AZ$400,설정!$B$8,0),0),""))&amp;"",",","")),""))</f>
        <v/>
      </c>
      <c r="R234" s="2">
        <f>IF(OR(설정!$C$21="",IFERROR(MATCH(설정!$C$21,INDEX(급여대장_원본!$A$1:$AZ$400,설정!$B$8,0),0),"")=""),"",IFERROR(VALUE(SUBSTITUTE(INDEX(급여대장_원본!$A$1:$AZ$400,(설정!$B$8+228),IFERROR(MATCH(설정!$C$21,INDEX(급여대장_원본!$A$1:$AZ$400,설정!$B$8,0),0),""))&amp;"",",","")),""))</f>
        <v/>
      </c>
      <c r="S234" s="2">
        <f>IF(OR(설정!$C$22="",IFERROR(MATCH(설정!$C$22,INDEX(급여대장_원본!$A$1:$AZ$400,설정!$B$8,0),0),"")=""),"",IFERROR(VALUE(SUBSTITUTE(INDEX(급여대장_원본!$A$1:$AZ$400,(설정!$B$8+228),IFERROR(MATCH(설정!$C$22,INDEX(급여대장_원본!$A$1:$AZ$400,설정!$B$8,0),0),""))&amp;"",",","")),""))</f>
        <v/>
      </c>
      <c r="T234" s="2">
        <f>IF(OR(설정!$C$23="",IFERROR(MATCH(설정!$C$23,INDEX(급여대장_원본!$A$1:$AZ$400,설정!$B$8,0),0),"")=""),"",IFERROR(VALUE(SUBSTITUTE(INDEX(급여대장_원본!$A$1:$AZ$400,(설정!$B$8+228),IFERROR(MATCH(설정!$C$23,INDEX(급여대장_원본!$A$1:$AZ$400,설정!$B$8,0),0),""))&amp;"",",","")),""))</f>
        <v/>
      </c>
      <c r="U234" s="2">
        <f>IF(OR(설정!$C$24="",IFERROR(MATCH(설정!$C$24,INDEX(급여대장_원본!$A$1:$AZ$400,설정!$B$8,0),0),"")=""),"",IFERROR(VALUE(SUBSTITUTE(INDEX(급여대장_원본!$A$1:$AZ$400,(설정!$B$8+228),IFERROR(MATCH(설정!$C$24,INDEX(급여대장_원본!$A$1:$AZ$400,설정!$B$8,0),0),""))&amp;"",",","")),""))</f>
        <v/>
      </c>
      <c r="V234" s="27">
        <f>SUM(F234:M234)</f>
        <v/>
      </c>
      <c r="W234" s="27">
        <f>IF(설정!$D$26="",0,IFERROR(VALUE(SUBSTITUTE(SUBSTITUTE(INDEX(급여대장_원본!$A$1:$AZ$400,(설정!$B$8+228),설정!$D$26)&amp;"",",",""),"　","")),0))</f>
        <v/>
      </c>
      <c r="X234" s="27">
        <f>IF(설정!$D$27="",0,IFERROR(VALUE(SUBSTITUTE(SUBSTITUTE(INDEX(급여대장_원본!$A$1:$AZ$400,(설정!$B$8+228),설정!$D$27)&amp;"",",",""),"　","")),0))</f>
        <v/>
      </c>
      <c r="Y234" s="27">
        <f>IF(설정!$D$28="",0,IFERROR(VALUE(SUBSTITUTE(SUBSTITUTE(INDEX(급여대장_원본!$A$1:$AZ$400,(설정!$B$8+228),설정!$D$28)&amp;"",",",""),"　","")),0))</f>
        <v/>
      </c>
      <c r="Z234" s="27">
        <f>IF(설정!$D$29="",0,IFERROR(VALUE(SUBSTITUTE(SUBSTITUTE(INDEX(급여대장_원본!$A$1:$AZ$400,(설정!$B$8+228),설정!$D$29)&amp;"",",",""),"　","")),0))</f>
        <v/>
      </c>
      <c r="AA234" s="27">
        <f>IF(설정!$D$30="",0,IFERROR(VALUE(SUBSTITUTE(SUBSTITUTE(INDEX(급여대장_원본!$A$1:$AZ$400,(설정!$B$8+228),설정!$D$30)&amp;"",",",""),"　","")),0))</f>
        <v/>
      </c>
      <c r="AB234" s="27">
        <f>IF(설정!$D$31="",0,IFERROR(VALUE(SUBSTITUTE(SUBSTITUTE(INDEX(급여대장_원본!$A$1:$AZ$400,(설정!$B$8+228),설정!$D$31)&amp;"",",",""),"　","")),0))</f>
        <v/>
      </c>
      <c r="AC234" s="27">
        <f>IF(설정!$D$32="",0,IFERROR(VALUE(SUBSTITUTE(SUBSTITUTE(INDEX(급여대장_원본!$A$1:$AZ$400,(설정!$B$8+228),설정!$D$32)&amp;"",",",""),"　","")),0))</f>
        <v/>
      </c>
      <c r="AD234" s="27">
        <f>IF(설정!$D$33="",0,IFERROR(VALUE(SUBSTITUTE(SUBSTITUTE(INDEX(급여대장_원본!$A$1:$AZ$400,(설정!$B$8+228),설정!$D$33)&amp;"",",",""),"　","")),0))</f>
        <v/>
      </c>
      <c r="AE234" s="27">
        <f>SUM(W234:AD234)</f>
        <v/>
      </c>
      <c r="AF234" s="27">
        <f>V234-AE234</f>
        <v/>
      </c>
      <c r="AG234" s="27">
        <f>IF(설정!$D$35="","",IF(설정!$D$35="",0,IFERROR(VALUE(SUBSTITUTE(SUBSTITUTE(INDEX(급여대장_원본!$A$1:$AZ$400,(설정!$B$8+228),설정!$D$35)&amp;"",",",""),"　","")),0)))</f>
        <v/>
      </c>
      <c r="AH234" s="27">
        <f>IF(설정!$D$36="","",IF(설정!$D$36="",0,IFERROR(VALUE(SUBSTITUTE(SUBSTITUTE(INDEX(급여대장_원본!$A$1:$AZ$400,(설정!$B$8+228),설정!$D$36)&amp;"",",",""),"　","")),0)))</f>
        <v/>
      </c>
      <c r="AI234" s="27">
        <f>IF(설정!$D$37="","",IF(설정!$D$37="",0,IFERROR(VALUE(SUBSTITUTE(SUBSTITUTE(INDEX(급여대장_원본!$A$1:$AZ$400,(설정!$B$8+228),설정!$D$37)&amp;"",",",""),"　","")),0)))</f>
        <v/>
      </c>
      <c r="AJ234" s="2">
        <f>IFERROR(INDEX($D$7:$D$306,MATCH(228,$B$7:$B$306,0)),"")</f>
        <v/>
      </c>
    </row>
    <row r="235">
      <c r="A235" s="2">
        <f>IF(AND(D235&lt;&gt;"",D235&lt;&gt;"합계",D235&lt;&gt;"총계",D235&lt;&gt;"소계",D235&lt;&gt;"계"),1,0)</f>
        <v/>
      </c>
      <c r="B235" s="2">
        <f>IF(A235=1,SUM($A$7:A235),"")</f>
        <v/>
      </c>
      <c r="C235" s="2">
        <f>IF(설정!$D$13="","",TRIM(SUBSTITUTE(INDEX(급여대장_원본!$A$1:$AZ$400,(설정!$B$8+229),설정!$D$13)&amp;"","　"," ")))</f>
        <v/>
      </c>
      <c r="D235" s="2">
        <f>IF(설정!$D$14="","",TRIM(SUBSTITUTE(INDEX(급여대장_원본!$A$1:$AZ$400,(설정!$B$8+229),설정!$D$14)&amp;"","　"," ")))</f>
        <v/>
      </c>
      <c r="E235" s="2">
        <f>IF(설정!$D$15="","",TRIM(SUBSTITUTE(INDEX(급여대장_원본!$A$1:$AZ$400,(설정!$B$8+229),설정!$D$15)&amp;"","　"," ")))</f>
        <v/>
      </c>
      <c r="F235" s="27">
        <f>IF(설정!$D$17="",0,IFERROR(VALUE(SUBSTITUTE(SUBSTITUTE(INDEX(급여대장_원본!$A$1:$AZ$400,(설정!$B$8+229),설정!$D$17)&amp;"",",",""),"　","")),0))</f>
        <v/>
      </c>
      <c r="G235" s="27">
        <f>IF(설정!$D$18="",0,IFERROR(VALUE(SUBSTITUTE(SUBSTITUTE(INDEX(급여대장_원본!$A$1:$AZ$400,(설정!$B$8+229),설정!$D$18)&amp;"",",",""),"　","")),0))</f>
        <v/>
      </c>
      <c r="H235" s="27">
        <f>IF(설정!$D$19="",0,IFERROR(VALUE(SUBSTITUTE(SUBSTITUTE(INDEX(급여대장_원본!$A$1:$AZ$400,(설정!$B$8+229),설정!$D$19)&amp;"",",",""),"　","")),0))</f>
        <v/>
      </c>
      <c r="I235" s="27">
        <f>IF(설정!$D$20="",0,IFERROR(VALUE(SUBSTITUTE(SUBSTITUTE(INDEX(급여대장_원본!$A$1:$AZ$400,(설정!$B$8+229),설정!$D$20)&amp;"",",",""),"　","")),0))</f>
        <v/>
      </c>
      <c r="J235" s="27">
        <f>IF(설정!$D$21="",0,IFERROR(VALUE(SUBSTITUTE(SUBSTITUTE(INDEX(급여대장_원본!$A$1:$AZ$400,(설정!$B$8+229),설정!$D$21)&amp;"",",",""),"　","")),0))</f>
        <v/>
      </c>
      <c r="K235" s="27">
        <f>IF(설정!$D$22="",0,IFERROR(VALUE(SUBSTITUTE(SUBSTITUTE(INDEX(급여대장_원본!$A$1:$AZ$400,(설정!$B$8+229),설정!$D$22)&amp;"",",",""),"　","")),0))</f>
        <v/>
      </c>
      <c r="L235" s="27">
        <f>IF(설정!$D$23="",0,IFERROR(VALUE(SUBSTITUTE(SUBSTITUTE(INDEX(급여대장_원본!$A$1:$AZ$400,(설정!$B$8+229),설정!$D$23)&amp;"",",",""),"　","")),0))</f>
        <v/>
      </c>
      <c r="M235" s="27">
        <f>IF(설정!$D$24="",0,IFERROR(VALUE(SUBSTITUTE(SUBSTITUTE(INDEX(급여대장_원본!$A$1:$AZ$400,(설정!$B$8+229),설정!$D$24)&amp;"",",",""),"　","")),0))</f>
        <v/>
      </c>
      <c r="N235" s="2">
        <f>IF(OR(설정!$C$17="",IFERROR(MATCH(설정!$C$17,INDEX(급여대장_원본!$A$1:$AZ$400,설정!$B$8,0),0),"")=""),"",IFERROR(VALUE(SUBSTITUTE(INDEX(급여대장_원본!$A$1:$AZ$400,(설정!$B$8+229),IFERROR(MATCH(설정!$C$17,INDEX(급여대장_원본!$A$1:$AZ$400,설정!$B$8,0),0),""))&amp;"",",","")),""))</f>
        <v/>
      </c>
      <c r="O235" s="2">
        <f>IF(OR(설정!$C$18="",IFERROR(MATCH(설정!$C$18,INDEX(급여대장_원본!$A$1:$AZ$400,설정!$B$8,0),0),"")=""),"",IFERROR(VALUE(SUBSTITUTE(INDEX(급여대장_원본!$A$1:$AZ$400,(설정!$B$8+229),IFERROR(MATCH(설정!$C$18,INDEX(급여대장_원본!$A$1:$AZ$400,설정!$B$8,0),0),""))&amp;"",",","")),""))</f>
        <v/>
      </c>
      <c r="P235" s="2">
        <f>IF(OR(설정!$C$19="",IFERROR(MATCH(설정!$C$19,INDEX(급여대장_원본!$A$1:$AZ$400,설정!$B$8,0),0),"")=""),"",IFERROR(VALUE(SUBSTITUTE(INDEX(급여대장_원본!$A$1:$AZ$400,(설정!$B$8+229),IFERROR(MATCH(설정!$C$19,INDEX(급여대장_원본!$A$1:$AZ$400,설정!$B$8,0),0),""))&amp;"",",","")),""))</f>
        <v/>
      </c>
      <c r="Q235" s="2">
        <f>IF(OR(설정!$C$20="",IFERROR(MATCH(설정!$C$20,INDEX(급여대장_원본!$A$1:$AZ$400,설정!$B$8,0),0),"")=""),"",IFERROR(VALUE(SUBSTITUTE(INDEX(급여대장_원본!$A$1:$AZ$400,(설정!$B$8+229),IFERROR(MATCH(설정!$C$20,INDEX(급여대장_원본!$A$1:$AZ$400,설정!$B$8,0),0),""))&amp;"",",","")),""))</f>
        <v/>
      </c>
      <c r="R235" s="2">
        <f>IF(OR(설정!$C$21="",IFERROR(MATCH(설정!$C$21,INDEX(급여대장_원본!$A$1:$AZ$400,설정!$B$8,0),0),"")=""),"",IFERROR(VALUE(SUBSTITUTE(INDEX(급여대장_원본!$A$1:$AZ$400,(설정!$B$8+229),IFERROR(MATCH(설정!$C$21,INDEX(급여대장_원본!$A$1:$AZ$400,설정!$B$8,0),0),""))&amp;"",",","")),""))</f>
        <v/>
      </c>
      <c r="S235" s="2">
        <f>IF(OR(설정!$C$22="",IFERROR(MATCH(설정!$C$22,INDEX(급여대장_원본!$A$1:$AZ$400,설정!$B$8,0),0),"")=""),"",IFERROR(VALUE(SUBSTITUTE(INDEX(급여대장_원본!$A$1:$AZ$400,(설정!$B$8+229),IFERROR(MATCH(설정!$C$22,INDEX(급여대장_원본!$A$1:$AZ$400,설정!$B$8,0),0),""))&amp;"",",","")),""))</f>
        <v/>
      </c>
      <c r="T235" s="2">
        <f>IF(OR(설정!$C$23="",IFERROR(MATCH(설정!$C$23,INDEX(급여대장_원본!$A$1:$AZ$400,설정!$B$8,0),0),"")=""),"",IFERROR(VALUE(SUBSTITUTE(INDEX(급여대장_원본!$A$1:$AZ$400,(설정!$B$8+229),IFERROR(MATCH(설정!$C$23,INDEX(급여대장_원본!$A$1:$AZ$400,설정!$B$8,0),0),""))&amp;"",",","")),""))</f>
        <v/>
      </c>
      <c r="U235" s="2">
        <f>IF(OR(설정!$C$24="",IFERROR(MATCH(설정!$C$24,INDEX(급여대장_원본!$A$1:$AZ$400,설정!$B$8,0),0),"")=""),"",IFERROR(VALUE(SUBSTITUTE(INDEX(급여대장_원본!$A$1:$AZ$400,(설정!$B$8+229),IFERROR(MATCH(설정!$C$24,INDEX(급여대장_원본!$A$1:$AZ$400,설정!$B$8,0),0),""))&amp;"",",","")),""))</f>
        <v/>
      </c>
      <c r="V235" s="27">
        <f>SUM(F235:M235)</f>
        <v/>
      </c>
      <c r="W235" s="27">
        <f>IF(설정!$D$26="",0,IFERROR(VALUE(SUBSTITUTE(SUBSTITUTE(INDEX(급여대장_원본!$A$1:$AZ$400,(설정!$B$8+229),설정!$D$26)&amp;"",",",""),"　","")),0))</f>
        <v/>
      </c>
      <c r="X235" s="27">
        <f>IF(설정!$D$27="",0,IFERROR(VALUE(SUBSTITUTE(SUBSTITUTE(INDEX(급여대장_원본!$A$1:$AZ$400,(설정!$B$8+229),설정!$D$27)&amp;"",",",""),"　","")),0))</f>
        <v/>
      </c>
      <c r="Y235" s="27">
        <f>IF(설정!$D$28="",0,IFERROR(VALUE(SUBSTITUTE(SUBSTITUTE(INDEX(급여대장_원본!$A$1:$AZ$400,(설정!$B$8+229),설정!$D$28)&amp;"",",",""),"　","")),0))</f>
        <v/>
      </c>
      <c r="Z235" s="27">
        <f>IF(설정!$D$29="",0,IFERROR(VALUE(SUBSTITUTE(SUBSTITUTE(INDEX(급여대장_원본!$A$1:$AZ$400,(설정!$B$8+229),설정!$D$29)&amp;"",",",""),"　","")),0))</f>
        <v/>
      </c>
      <c r="AA235" s="27">
        <f>IF(설정!$D$30="",0,IFERROR(VALUE(SUBSTITUTE(SUBSTITUTE(INDEX(급여대장_원본!$A$1:$AZ$400,(설정!$B$8+229),설정!$D$30)&amp;"",",",""),"　","")),0))</f>
        <v/>
      </c>
      <c r="AB235" s="27">
        <f>IF(설정!$D$31="",0,IFERROR(VALUE(SUBSTITUTE(SUBSTITUTE(INDEX(급여대장_원본!$A$1:$AZ$400,(설정!$B$8+229),설정!$D$31)&amp;"",",",""),"　","")),0))</f>
        <v/>
      </c>
      <c r="AC235" s="27">
        <f>IF(설정!$D$32="",0,IFERROR(VALUE(SUBSTITUTE(SUBSTITUTE(INDEX(급여대장_원본!$A$1:$AZ$400,(설정!$B$8+229),설정!$D$32)&amp;"",",",""),"　","")),0))</f>
        <v/>
      </c>
      <c r="AD235" s="27">
        <f>IF(설정!$D$33="",0,IFERROR(VALUE(SUBSTITUTE(SUBSTITUTE(INDEX(급여대장_원본!$A$1:$AZ$400,(설정!$B$8+229),설정!$D$33)&amp;"",",",""),"　","")),0))</f>
        <v/>
      </c>
      <c r="AE235" s="27">
        <f>SUM(W235:AD235)</f>
        <v/>
      </c>
      <c r="AF235" s="27">
        <f>V235-AE235</f>
        <v/>
      </c>
      <c r="AG235" s="27">
        <f>IF(설정!$D$35="","",IF(설정!$D$35="",0,IFERROR(VALUE(SUBSTITUTE(SUBSTITUTE(INDEX(급여대장_원본!$A$1:$AZ$400,(설정!$B$8+229),설정!$D$35)&amp;"",",",""),"　","")),0)))</f>
        <v/>
      </c>
      <c r="AH235" s="27">
        <f>IF(설정!$D$36="","",IF(설정!$D$36="",0,IFERROR(VALUE(SUBSTITUTE(SUBSTITUTE(INDEX(급여대장_원본!$A$1:$AZ$400,(설정!$B$8+229),설정!$D$36)&amp;"",",",""),"　","")),0)))</f>
        <v/>
      </c>
      <c r="AI235" s="27">
        <f>IF(설정!$D$37="","",IF(설정!$D$37="",0,IFERROR(VALUE(SUBSTITUTE(SUBSTITUTE(INDEX(급여대장_원본!$A$1:$AZ$400,(설정!$B$8+229),설정!$D$37)&amp;"",",",""),"　","")),0)))</f>
        <v/>
      </c>
      <c r="AJ235" s="2">
        <f>IFERROR(INDEX($D$7:$D$306,MATCH(229,$B$7:$B$306,0)),"")</f>
        <v/>
      </c>
    </row>
    <row r="236">
      <c r="A236" s="2">
        <f>IF(AND(D236&lt;&gt;"",D236&lt;&gt;"합계",D236&lt;&gt;"총계",D236&lt;&gt;"소계",D236&lt;&gt;"계"),1,0)</f>
        <v/>
      </c>
      <c r="B236" s="2">
        <f>IF(A236=1,SUM($A$7:A236),"")</f>
        <v/>
      </c>
      <c r="C236" s="2">
        <f>IF(설정!$D$13="","",TRIM(SUBSTITUTE(INDEX(급여대장_원본!$A$1:$AZ$400,(설정!$B$8+230),설정!$D$13)&amp;"","　"," ")))</f>
        <v/>
      </c>
      <c r="D236" s="2">
        <f>IF(설정!$D$14="","",TRIM(SUBSTITUTE(INDEX(급여대장_원본!$A$1:$AZ$400,(설정!$B$8+230),설정!$D$14)&amp;"","　"," ")))</f>
        <v/>
      </c>
      <c r="E236" s="2">
        <f>IF(설정!$D$15="","",TRIM(SUBSTITUTE(INDEX(급여대장_원본!$A$1:$AZ$400,(설정!$B$8+230),설정!$D$15)&amp;"","　"," ")))</f>
        <v/>
      </c>
      <c r="F236" s="27">
        <f>IF(설정!$D$17="",0,IFERROR(VALUE(SUBSTITUTE(SUBSTITUTE(INDEX(급여대장_원본!$A$1:$AZ$400,(설정!$B$8+230),설정!$D$17)&amp;"",",",""),"　","")),0))</f>
        <v/>
      </c>
      <c r="G236" s="27">
        <f>IF(설정!$D$18="",0,IFERROR(VALUE(SUBSTITUTE(SUBSTITUTE(INDEX(급여대장_원본!$A$1:$AZ$400,(설정!$B$8+230),설정!$D$18)&amp;"",",",""),"　","")),0))</f>
        <v/>
      </c>
      <c r="H236" s="27">
        <f>IF(설정!$D$19="",0,IFERROR(VALUE(SUBSTITUTE(SUBSTITUTE(INDEX(급여대장_원본!$A$1:$AZ$400,(설정!$B$8+230),설정!$D$19)&amp;"",",",""),"　","")),0))</f>
        <v/>
      </c>
      <c r="I236" s="27">
        <f>IF(설정!$D$20="",0,IFERROR(VALUE(SUBSTITUTE(SUBSTITUTE(INDEX(급여대장_원본!$A$1:$AZ$400,(설정!$B$8+230),설정!$D$20)&amp;"",",",""),"　","")),0))</f>
        <v/>
      </c>
      <c r="J236" s="27">
        <f>IF(설정!$D$21="",0,IFERROR(VALUE(SUBSTITUTE(SUBSTITUTE(INDEX(급여대장_원본!$A$1:$AZ$400,(설정!$B$8+230),설정!$D$21)&amp;"",",",""),"　","")),0))</f>
        <v/>
      </c>
      <c r="K236" s="27">
        <f>IF(설정!$D$22="",0,IFERROR(VALUE(SUBSTITUTE(SUBSTITUTE(INDEX(급여대장_원본!$A$1:$AZ$400,(설정!$B$8+230),설정!$D$22)&amp;"",",",""),"　","")),0))</f>
        <v/>
      </c>
      <c r="L236" s="27">
        <f>IF(설정!$D$23="",0,IFERROR(VALUE(SUBSTITUTE(SUBSTITUTE(INDEX(급여대장_원본!$A$1:$AZ$400,(설정!$B$8+230),설정!$D$23)&amp;"",",",""),"　","")),0))</f>
        <v/>
      </c>
      <c r="M236" s="27">
        <f>IF(설정!$D$24="",0,IFERROR(VALUE(SUBSTITUTE(SUBSTITUTE(INDEX(급여대장_원본!$A$1:$AZ$400,(설정!$B$8+230),설정!$D$24)&amp;"",",",""),"　","")),0))</f>
        <v/>
      </c>
      <c r="N236" s="2">
        <f>IF(OR(설정!$C$17="",IFERROR(MATCH(설정!$C$17,INDEX(급여대장_원본!$A$1:$AZ$400,설정!$B$8,0),0),"")=""),"",IFERROR(VALUE(SUBSTITUTE(INDEX(급여대장_원본!$A$1:$AZ$400,(설정!$B$8+230),IFERROR(MATCH(설정!$C$17,INDEX(급여대장_원본!$A$1:$AZ$400,설정!$B$8,0),0),""))&amp;"",",","")),""))</f>
        <v/>
      </c>
      <c r="O236" s="2">
        <f>IF(OR(설정!$C$18="",IFERROR(MATCH(설정!$C$18,INDEX(급여대장_원본!$A$1:$AZ$400,설정!$B$8,0),0),"")=""),"",IFERROR(VALUE(SUBSTITUTE(INDEX(급여대장_원본!$A$1:$AZ$400,(설정!$B$8+230),IFERROR(MATCH(설정!$C$18,INDEX(급여대장_원본!$A$1:$AZ$400,설정!$B$8,0),0),""))&amp;"",",","")),""))</f>
        <v/>
      </c>
      <c r="P236" s="2">
        <f>IF(OR(설정!$C$19="",IFERROR(MATCH(설정!$C$19,INDEX(급여대장_원본!$A$1:$AZ$400,설정!$B$8,0),0),"")=""),"",IFERROR(VALUE(SUBSTITUTE(INDEX(급여대장_원본!$A$1:$AZ$400,(설정!$B$8+230),IFERROR(MATCH(설정!$C$19,INDEX(급여대장_원본!$A$1:$AZ$400,설정!$B$8,0),0),""))&amp;"",",","")),""))</f>
        <v/>
      </c>
      <c r="Q236" s="2">
        <f>IF(OR(설정!$C$20="",IFERROR(MATCH(설정!$C$20,INDEX(급여대장_원본!$A$1:$AZ$400,설정!$B$8,0),0),"")=""),"",IFERROR(VALUE(SUBSTITUTE(INDEX(급여대장_원본!$A$1:$AZ$400,(설정!$B$8+230),IFERROR(MATCH(설정!$C$20,INDEX(급여대장_원본!$A$1:$AZ$400,설정!$B$8,0),0),""))&amp;"",",","")),""))</f>
        <v/>
      </c>
      <c r="R236" s="2">
        <f>IF(OR(설정!$C$21="",IFERROR(MATCH(설정!$C$21,INDEX(급여대장_원본!$A$1:$AZ$400,설정!$B$8,0),0),"")=""),"",IFERROR(VALUE(SUBSTITUTE(INDEX(급여대장_원본!$A$1:$AZ$400,(설정!$B$8+230),IFERROR(MATCH(설정!$C$21,INDEX(급여대장_원본!$A$1:$AZ$400,설정!$B$8,0),0),""))&amp;"",",","")),""))</f>
        <v/>
      </c>
      <c r="S236" s="2">
        <f>IF(OR(설정!$C$22="",IFERROR(MATCH(설정!$C$22,INDEX(급여대장_원본!$A$1:$AZ$400,설정!$B$8,0),0),"")=""),"",IFERROR(VALUE(SUBSTITUTE(INDEX(급여대장_원본!$A$1:$AZ$400,(설정!$B$8+230),IFERROR(MATCH(설정!$C$22,INDEX(급여대장_원본!$A$1:$AZ$400,설정!$B$8,0),0),""))&amp;"",",","")),""))</f>
        <v/>
      </c>
      <c r="T236" s="2">
        <f>IF(OR(설정!$C$23="",IFERROR(MATCH(설정!$C$23,INDEX(급여대장_원본!$A$1:$AZ$400,설정!$B$8,0),0),"")=""),"",IFERROR(VALUE(SUBSTITUTE(INDEX(급여대장_원본!$A$1:$AZ$400,(설정!$B$8+230),IFERROR(MATCH(설정!$C$23,INDEX(급여대장_원본!$A$1:$AZ$400,설정!$B$8,0),0),""))&amp;"",",","")),""))</f>
        <v/>
      </c>
      <c r="U236" s="2">
        <f>IF(OR(설정!$C$24="",IFERROR(MATCH(설정!$C$24,INDEX(급여대장_원본!$A$1:$AZ$400,설정!$B$8,0),0),"")=""),"",IFERROR(VALUE(SUBSTITUTE(INDEX(급여대장_원본!$A$1:$AZ$400,(설정!$B$8+230),IFERROR(MATCH(설정!$C$24,INDEX(급여대장_원본!$A$1:$AZ$400,설정!$B$8,0),0),""))&amp;"",",","")),""))</f>
        <v/>
      </c>
      <c r="V236" s="27">
        <f>SUM(F236:M236)</f>
        <v/>
      </c>
      <c r="W236" s="27">
        <f>IF(설정!$D$26="",0,IFERROR(VALUE(SUBSTITUTE(SUBSTITUTE(INDEX(급여대장_원본!$A$1:$AZ$400,(설정!$B$8+230),설정!$D$26)&amp;"",",",""),"　","")),0))</f>
        <v/>
      </c>
      <c r="X236" s="27">
        <f>IF(설정!$D$27="",0,IFERROR(VALUE(SUBSTITUTE(SUBSTITUTE(INDEX(급여대장_원본!$A$1:$AZ$400,(설정!$B$8+230),설정!$D$27)&amp;"",",",""),"　","")),0))</f>
        <v/>
      </c>
      <c r="Y236" s="27">
        <f>IF(설정!$D$28="",0,IFERROR(VALUE(SUBSTITUTE(SUBSTITUTE(INDEX(급여대장_원본!$A$1:$AZ$400,(설정!$B$8+230),설정!$D$28)&amp;"",",",""),"　","")),0))</f>
        <v/>
      </c>
      <c r="Z236" s="27">
        <f>IF(설정!$D$29="",0,IFERROR(VALUE(SUBSTITUTE(SUBSTITUTE(INDEX(급여대장_원본!$A$1:$AZ$400,(설정!$B$8+230),설정!$D$29)&amp;"",",",""),"　","")),0))</f>
        <v/>
      </c>
      <c r="AA236" s="27">
        <f>IF(설정!$D$30="",0,IFERROR(VALUE(SUBSTITUTE(SUBSTITUTE(INDEX(급여대장_원본!$A$1:$AZ$400,(설정!$B$8+230),설정!$D$30)&amp;"",",",""),"　","")),0))</f>
        <v/>
      </c>
      <c r="AB236" s="27">
        <f>IF(설정!$D$31="",0,IFERROR(VALUE(SUBSTITUTE(SUBSTITUTE(INDEX(급여대장_원본!$A$1:$AZ$400,(설정!$B$8+230),설정!$D$31)&amp;"",",",""),"　","")),0))</f>
        <v/>
      </c>
      <c r="AC236" s="27">
        <f>IF(설정!$D$32="",0,IFERROR(VALUE(SUBSTITUTE(SUBSTITUTE(INDEX(급여대장_원본!$A$1:$AZ$400,(설정!$B$8+230),설정!$D$32)&amp;"",",",""),"　","")),0))</f>
        <v/>
      </c>
      <c r="AD236" s="27">
        <f>IF(설정!$D$33="",0,IFERROR(VALUE(SUBSTITUTE(SUBSTITUTE(INDEX(급여대장_원본!$A$1:$AZ$400,(설정!$B$8+230),설정!$D$33)&amp;"",",",""),"　","")),0))</f>
        <v/>
      </c>
      <c r="AE236" s="27">
        <f>SUM(W236:AD236)</f>
        <v/>
      </c>
      <c r="AF236" s="27">
        <f>V236-AE236</f>
        <v/>
      </c>
      <c r="AG236" s="27">
        <f>IF(설정!$D$35="","",IF(설정!$D$35="",0,IFERROR(VALUE(SUBSTITUTE(SUBSTITUTE(INDEX(급여대장_원본!$A$1:$AZ$400,(설정!$B$8+230),설정!$D$35)&amp;"",",",""),"　","")),0)))</f>
        <v/>
      </c>
      <c r="AH236" s="27">
        <f>IF(설정!$D$36="","",IF(설정!$D$36="",0,IFERROR(VALUE(SUBSTITUTE(SUBSTITUTE(INDEX(급여대장_원본!$A$1:$AZ$400,(설정!$B$8+230),설정!$D$36)&amp;"",",",""),"　","")),0)))</f>
        <v/>
      </c>
      <c r="AI236" s="27">
        <f>IF(설정!$D$37="","",IF(설정!$D$37="",0,IFERROR(VALUE(SUBSTITUTE(SUBSTITUTE(INDEX(급여대장_원본!$A$1:$AZ$400,(설정!$B$8+230),설정!$D$37)&amp;"",",",""),"　","")),0)))</f>
        <v/>
      </c>
      <c r="AJ236" s="2">
        <f>IFERROR(INDEX($D$7:$D$306,MATCH(230,$B$7:$B$306,0)),"")</f>
        <v/>
      </c>
    </row>
    <row r="237">
      <c r="A237" s="2">
        <f>IF(AND(D237&lt;&gt;"",D237&lt;&gt;"합계",D237&lt;&gt;"총계",D237&lt;&gt;"소계",D237&lt;&gt;"계"),1,0)</f>
        <v/>
      </c>
      <c r="B237" s="2">
        <f>IF(A237=1,SUM($A$7:A237),"")</f>
        <v/>
      </c>
      <c r="C237" s="2">
        <f>IF(설정!$D$13="","",TRIM(SUBSTITUTE(INDEX(급여대장_원본!$A$1:$AZ$400,(설정!$B$8+231),설정!$D$13)&amp;"","　"," ")))</f>
        <v/>
      </c>
      <c r="D237" s="2">
        <f>IF(설정!$D$14="","",TRIM(SUBSTITUTE(INDEX(급여대장_원본!$A$1:$AZ$400,(설정!$B$8+231),설정!$D$14)&amp;"","　"," ")))</f>
        <v/>
      </c>
      <c r="E237" s="2">
        <f>IF(설정!$D$15="","",TRIM(SUBSTITUTE(INDEX(급여대장_원본!$A$1:$AZ$400,(설정!$B$8+231),설정!$D$15)&amp;"","　"," ")))</f>
        <v/>
      </c>
      <c r="F237" s="27">
        <f>IF(설정!$D$17="",0,IFERROR(VALUE(SUBSTITUTE(SUBSTITUTE(INDEX(급여대장_원본!$A$1:$AZ$400,(설정!$B$8+231),설정!$D$17)&amp;"",",",""),"　","")),0))</f>
        <v/>
      </c>
      <c r="G237" s="27">
        <f>IF(설정!$D$18="",0,IFERROR(VALUE(SUBSTITUTE(SUBSTITUTE(INDEX(급여대장_원본!$A$1:$AZ$400,(설정!$B$8+231),설정!$D$18)&amp;"",",",""),"　","")),0))</f>
        <v/>
      </c>
      <c r="H237" s="27">
        <f>IF(설정!$D$19="",0,IFERROR(VALUE(SUBSTITUTE(SUBSTITUTE(INDEX(급여대장_원본!$A$1:$AZ$400,(설정!$B$8+231),설정!$D$19)&amp;"",",",""),"　","")),0))</f>
        <v/>
      </c>
      <c r="I237" s="27">
        <f>IF(설정!$D$20="",0,IFERROR(VALUE(SUBSTITUTE(SUBSTITUTE(INDEX(급여대장_원본!$A$1:$AZ$400,(설정!$B$8+231),설정!$D$20)&amp;"",",",""),"　","")),0))</f>
        <v/>
      </c>
      <c r="J237" s="27">
        <f>IF(설정!$D$21="",0,IFERROR(VALUE(SUBSTITUTE(SUBSTITUTE(INDEX(급여대장_원본!$A$1:$AZ$400,(설정!$B$8+231),설정!$D$21)&amp;"",",",""),"　","")),0))</f>
        <v/>
      </c>
      <c r="K237" s="27">
        <f>IF(설정!$D$22="",0,IFERROR(VALUE(SUBSTITUTE(SUBSTITUTE(INDEX(급여대장_원본!$A$1:$AZ$400,(설정!$B$8+231),설정!$D$22)&amp;"",",",""),"　","")),0))</f>
        <v/>
      </c>
      <c r="L237" s="27">
        <f>IF(설정!$D$23="",0,IFERROR(VALUE(SUBSTITUTE(SUBSTITUTE(INDEX(급여대장_원본!$A$1:$AZ$400,(설정!$B$8+231),설정!$D$23)&amp;"",",",""),"　","")),0))</f>
        <v/>
      </c>
      <c r="M237" s="27">
        <f>IF(설정!$D$24="",0,IFERROR(VALUE(SUBSTITUTE(SUBSTITUTE(INDEX(급여대장_원본!$A$1:$AZ$400,(설정!$B$8+231),설정!$D$24)&amp;"",",",""),"　","")),0))</f>
        <v/>
      </c>
      <c r="N237" s="2">
        <f>IF(OR(설정!$C$17="",IFERROR(MATCH(설정!$C$17,INDEX(급여대장_원본!$A$1:$AZ$400,설정!$B$8,0),0),"")=""),"",IFERROR(VALUE(SUBSTITUTE(INDEX(급여대장_원본!$A$1:$AZ$400,(설정!$B$8+231),IFERROR(MATCH(설정!$C$17,INDEX(급여대장_원본!$A$1:$AZ$400,설정!$B$8,0),0),""))&amp;"",",","")),""))</f>
        <v/>
      </c>
      <c r="O237" s="2">
        <f>IF(OR(설정!$C$18="",IFERROR(MATCH(설정!$C$18,INDEX(급여대장_원본!$A$1:$AZ$400,설정!$B$8,0),0),"")=""),"",IFERROR(VALUE(SUBSTITUTE(INDEX(급여대장_원본!$A$1:$AZ$400,(설정!$B$8+231),IFERROR(MATCH(설정!$C$18,INDEX(급여대장_원본!$A$1:$AZ$400,설정!$B$8,0),0),""))&amp;"",",","")),""))</f>
        <v/>
      </c>
      <c r="P237" s="2">
        <f>IF(OR(설정!$C$19="",IFERROR(MATCH(설정!$C$19,INDEX(급여대장_원본!$A$1:$AZ$400,설정!$B$8,0),0),"")=""),"",IFERROR(VALUE(SUBSTITUTE(INDEX(급여대장_원본!$A$1:$AZ$400,(설정!$B$8+231),IFERROR(MATCH(설정!$C$19,INDEX(급여대장_원본!$A$1:$AZ$400,설정!$B$8,0),0),""))&amp;"",",","")),""))</f>
        <v/>
      </c>
      <c r="Q237" s="2">
        <f>IF(OR(설정!$C$20="",IFERROR(MATCH(설정!$C$20,INDEX(급여대장_원본!$A$1:$AZ$400,설정!$B$8,0),0),"")=""),"",IFERROR(VALUE(SUBSTITUTE(INDEX(급여대장_원본!$A$1:$AZ$400,(설정!$B$8+231),IFERROR(MATCH(설정!$C$20,INDEX(급여대장_원본!$A$1:$AZ$400,설정!$B$8,0),0),""))&amp;"",",","")),""))</f>
        <v/>
      </c>
      <c r="R237" s="2">
        <f>IF(OR(설정!$C$21="",IFERROR(MATCH(설정!$C$21,INDEX(급여대장_원본!$A$1:$AZ$400,설정!$B$8,0),0),"")=""),"",IFERROR(VALUE(SUBSTITUTE(INDEX(급여대장_원본!$A$1:$AZ$400,(설정!$B$8+231),IFERROR(MATCH(설정!$C$21,INDEX(급여대장_원본!$A$1:$AZ$400,설정!$B$8,0),0),""))&amp;"",",","")),""))</f>
        <v/>
      </c>
      <c r="S237" s="2">
        <f>IF(OR(설정!$C$22="",IFERROR(MATCH(설정!$C$22,INDEX(급여대장_원본!$A$1:$AZ$400,설정!$B$8,0),0),"")=""),"",IFERROR(VALUE(SUBSTITUTE(INDEX(급여대장_원본!$A$1:$AZ$400,(설정!$B$8+231),IFERROR(MATCH(설정!$C$22,INDEX(급여대장_원본!$A$1:$AZ$400,설정!$B$8,0),0),""))&amp;"",",","")),""))</f>
        <v/>
      </c>
      <c r="T237" s="2">
        <f>IF(OR(설정!$C$23="",IFERROR(MATCH(설정!$C$23,INDEX(급여대장_원본!$A$1:$AZ$400,설정!$B$8,0),0),"")=""),"",IFERROR(VALUE(SUBSTITUTE(INDEX(급여대장_원본!$A$1:$AZ$400,(설정!$B$8+231),IFERROR(MATCH(설정!$C$23,INDEX(급여대장_원본!$A$1:$AZ$400,설정!$B$8,0),0),""))&amp;"",",","")),""))</f>
        <v/>
      </c>
      <c r="U237" s="2">
        <f>IF(OR(설정!$C$24="",IFERROR(MATCH(설정!$C$24,INDEX(급여대장_원본!$A$1:$AZ$400,설정!$B$8,0),0),"")=""),"",IFERROR(VALUE(SUBSTITUTE(INDEX(급여대장_원본!$A$1:$AZ$400,(설정!$B$8+231),IFERROR(MATCH(설정!$C$24,INDEX(급여대장_원본!$A$1:$AZ$400,설정!$B$8,0),0),""))&amp;"",",","")),""))</f>
        <v/>
      </c>
      <c r="V237" s="27">
        <f>SUM(F237:M237)</f>
        <v/>
      </c>
      <c r="W237" s="27">
        <f>IF(설정!$D$26="",0,IFERROR(VALUE(SUBSTITUTE(SUBSTITUTE(INDEX(급여대장_원본!$A$1:$AZ$400,(설정!$B$8+231),설정!$D$26)&amp;"",",",""),"　","")),0))</f>
        <v/>
      </c>
      <c r="X237" s="27">
        <f>IF(설정!$D$27="",0,IFERROR(VALUE(SUBSTITUTE(SUBSTITUTE(INDEX(급여대장_원본!$A$1:$AZ$400,(설정!$B$8+231),설정!$D$27)&amp;"",",",""),"　","")),0))</f>
        <v/>
      </c>
      <c r="Y237" s="27">
        <f>IF(설정!$D$28="",0,IFERROR(VALUE(SUBSTITUTE(SUBSTITUTE(INDEX(급여대장_원본!$A$1:$AZ$400,(설정!$B$8+231),설정!$D$28)&amp;"",",",""),"　","")),0))</f>
        <v/>
      </c>
      <c r="Z237" s="27">
        <f>IF(설정!$D$29="",0,IFERROR(VALUE(SUBSTITUTE(SUBSTITUTE(INDEX(급여대장_원본!$A$1:$AZ$400,(설정!$B$8+231),설정!$D$29)&amp;"",",",""),"　","")),0))</f>
        <v/>
      </c>
      <c r="AA237" s="27">
        <f>IF(설정!$D$30="",0,IFERROR(VALUE(SUBSTITUTE(SUBSTITUTE(INDEX(급여대장_원본!$A$1:$AZ$400,(설정!$B$8+231),설정!$D$30)&amp;"",",",""),"　","")),0))</f>
        <v/>
      </c>
      <c r="AB237" s="27">
        <f>IF(설정!$D$31="",0,IFERROR(VALUE(SUBSTITUTE(SUBSTITUTE(INDEX(급여대장_원본!$A$1:$AZ$400,(설정!$B$8+231),설정!$D$31)&amp;"",",",""),"　","")),0))</f>
        <v/>
      </c>
      <c r="AC237" s="27">
        <f>IF(설정!$D$32="",0,IFERROR(VALUE(SUBSTITUTE(SUBSTITUTE(INDEX(급여대장_원본!$A$1:$AZ$400,(설정!$B$8+231),설정!$D$32)&amp;"",",",""),"　","")),0))</f>
        <v/>
      </c>
      <c r="AD237" s="27">
        <f>IF(설정!$D$33="",0,IFERROR(VALUE(SUBSTITUTE(SUBSTITUTE(INDEX(급여대장_원본!$A$1:$AZ$400,(설정!$B$8+231),설정!$D$33)&amp;"",",",""),"　","")),0))</f>
        <v/>
      </c>
      <c r="AE237" s="27">
        <f>SUM(W237:AD237)</f>
        <v/>
      </c>
      <c r="AF237" s="27">
        <f>V237-AE237</f>
        <v/>
      </c>
      <c r="AG237" s="27">
        <f>IF(설정!$D$35="","",IF(설정!$D$35="",0,IFERROR(VALUE(SUBSTITUTE(SUBSTITUTE(INDEX(급여대장_원본!$A$1:$AZ$400,(설정!$B$8+231),설정!$D$35)&amp;"",",",""),"　","")),0)))</f>
        <v/>
      </c>
      <c r="AH237" s="27">
        <f>IF(설정!$D$36="","",IF(설정!$D$36="",0,IFERROR(VALUE(SUBSTITUTE(SUBSTITUTE(INDEX(급여대장_원본!$A$1:$AZ$400,(설정!$B$8+231),설정!$D$36)&amp;"",",",""),"　","")),0)))</f>
        <v/>
      </c>
      <c r="AI237" s="27">
        <f>IF(설정!$D$37="","",IF(설정!$D$37="",0,IFERROR(VALUE(SUBSTITUTE(SUBSTITUTE(INDEX(급여대장_원본!$A$1:$AZ$400,(설정!$B$8+231),설정!$D$37)&amp;"",",",""),"　","")),0)))</f>
        <v/>
      </c>
      <c r="AJ237" s="2">
        <f>IFERROR(INDEX($D$7:$D$306,MATCH(231,$B$7:$B$306,0)),"")</f>
        <v/>
      </c>
    </row>
    <row r="238">
      <c r="A238" s="2">
        <f>IF(AND(D238&lt;&gt;"",D238&lt;&gt;"합계",D238&lt;&gt;"총계",D238&lt;&gt;"소계",D238&lt;&gt;"계"),1,0)</f>
        <v/>
      </c>
      <c r="B238" s="2">
        <f>IF(A238=1,SUM($A$7:A238),"")</f>
        <v/>
      </c>
      <c r="C238" s="2">
        <f>IF(설정!$D$13="","",TRIM(SUBSTITUTE(INDEX(급여대장_원본!$A$1:$AZ$400,(설정!$B$8+232),설정!$D$13)&amp;"","　"," ")))</f>
        <v/>
      </c>
      <c r="D238" s="2">
        <f>IF(설정!$D$14="","",TRIM(SUBSTITUTE(INDEX(급여대장_원본!$A$1:$AZ$400,(설정!$B$8+232),설정!$D$14)&amp;"","　"," ")))</f>
        <v/>
      </c>
      <c r="E238" s="2">
        <f>IF(설정!$D$15="","",TRIM(SUBSTITUTE(INDEX(급여대장_원본!$A$1:$AZ$400,(설정!$B$8+232),설정!$D$15)&amp;"","　"," ")))</f>
        <v/>
      </c>
      <c r="F238" s="27">
        <f>IF(설정!$D$17="",0,IFERROR(VALUE(SUBSTITUTE(SUBSTITUTE(INDEX(급여대장_원본!$A$1:$AZ$400,(설정!$B$8+232),설정!$D$17)&amp;"",",",""),"　","")),0))</f>
        <v/>
      </c>
      <c r="G238" s="27">
        <f>IF(설정!$D$18="",0,IFERROR(VALUE(SUBSTITUTE(SUBSTITUTE(INDEX(급여대장_원본!$A$1:$AZ$400,(설정!$B$8+232),설정!$D$18)&amp;"",",",""),"　","")),0))</f>
        <v/>
      </c>
      <c r="H238" s="27">
        <f>IF(설정!$D$19="",0,IFERROR(VALUE(SUBSTITUTE(SUBSTITUTE(INDEX(급여대장_원본!$A$1:$AZ$400,(설정!$B$8+232),설정!$D$19)&amp;"",",",""),"　","")),0))</f>
        <v/>
      </c>
      <c r="I238" s="27">
        <f>IF(설정!$D$20="",0,IFERROR(VALUE(SUBSTITUTE(SUBSTITUTE(INDEX(급여대장_원본!$A$1:$AZ$400,(설정!$B$8+232),설정!$D$20)&amp;"",",",""),"　","")),0))</f>
        <v/>
      </c>
      <c r="J238" s="27">
        <f>IF(설정!$D$21="",0,IFERROR(VALUE(SUBSTITUTE(SUBSTITUTE(INDEX(급여대장_원본!$A$1:$AZ$400,(설정!$B$8+232),설정!$D$21)&amp;"",",",""),"　","")),0))</f>
        <v/>
      </c>
      <c r="K238" s="27">
        <f>IF(설정!$D$22="",0,IFERROR(VALUE(SUBSTITUTE(SUBSTITUTE(INDEX(급여대장_원본!$A$1:$AZ$400,(설정!$B$8+232),설정!$D$22)&amp;"",",",""),"　","")),0))</f>
        <v/>
      </c>
      <c r="L238" s="27">
        <f>IF(설정!$D$23="",0,IFERROR(VALUE(SUBSTITUTE(SUBSTITUTE(INDEX(급여대장_원본!$A$1:$AZ$400,(설정!$B$8+232),설정!$D$23)&amp;"",",",""),"　","")),0))</f>
        <v/>
      </c>
      <c r="M238" s="27">
        <f>IF(설정!$D$24="",0,IFERROR(VALUE(SUBSTITUTE(SUBSTITUTE(INDEX(급여대장_원본!$A$1:$AZ$400,(설정!$B$8+232),설정!$D$24)&amp;"",",",""),"　","")),0))</f>
        <v/>
      </c>
      <c r="N238" s="2">
        <f>IF(OR(설정!$C$17="",IFERROR(MATCH(설정!$C$17,INDEX(급여대장_원본!$A$1:$AZ$400,설정!$B$8,0),0),"")=""),"",IFERROR(VALUE(SUBSTITUTE(INDEX(급여대장_원본!$A$1:$AZ$400,(설정!$B$8+232),IFERROR(MATCH(설정!$C$17,INDEX(급여대장_원본!$A$1:$AZ$400,설정!$B$8,0),0),""))&amp;"",",","")),""))</f>
        <v/>
      </c>
      <c r="O238" s="2">
        <f>IF(OR(설정!$C$18="",IFERROR(MATCH(설정!$C$18,INDEX(급여대장_원본!$A$1:$AZ$400,설정!$B$8,0),0),"")=""),"",IFERROR(VALUE(SUBSTITUTE(INDEX(급여대장_원본!$A$1:$AZ$400,(설정!$B$8+232),IFERROR(MATCH(설정!$C$18,INDEX(급여대장_원본!$A$1:$AZ$400,설정!$B$8,0),0),""))&amp;"",",","")),""))</f>
        <v/>
      </c>
      <c r="P238" s="2">
        <f>IF(OR(설정!$C$19="",IFERROR(MATCH(설정!$C$19,INDEX(급여대장_원본!$A$1:$AZ$400,설정!$B$8,0),0),"")=""),"",IFERROR(VALUE(SUBSTITUTE(INDEX(급여대장_원본!$A$1:$AZ$400,(설정!$B$8+232),IFERROR(MATCH(설정!$C$19,INDEX(급여대장_원본!$A$1:$AZ$400,설정!$B$8,0),0),""))&amp;"",",","")),""))</f>
        <v/>
      </c>
      <c r="Q238" s="2">
        <f>IF(OR(설정!$C$20="",IFERROR(MATCH(설정!$C$20,INDEX(급여대장_원본!$A$1:$AZ$400,설정!$B$8,0),0),"")=""),"",IFERROR(VALUE(SUBSTITUTE(INDEX(급여대장_원본!$A$1:$AZ$400,(설정!$B$8+232),IFERROR(MATCH(설정!$C$20,INDEX(급여대장_원본!$A$1:$AZ$400,설정!$B$8,0),0),""))&amp;"",",","")),""))</f>
        <v/>
      </c>
      <c r="R238" s="2">
        <f>IF(OR(설정!$C$21="",IFERROR(MATCH(설정!$C$21,INDEX(급여대장_원본!$A$1:$AZ$400,설정!$B$8,0),0),"")=""),"",IFERROR(VALUE(SUBSTITUTE(INDEX(급여대장_원본!$A$1:$AZ$400,(설정!$B$8+232),IFERROR(MATCH(설정!$C$21,INDEX(급여대장_원본!$A$1:$AZ$400,설정!$B$8,0),0),""))&amp;"",",","")),""))</f>
        <v/>
      </c>
      <c r="S238" s="2">
        <f>IF(OR(설정!$C$22="",IFERROR(MATCH(설정!$C$22,INDEX(급여대장_원본!$A$1:$AZ$400,설정!$B$8,0),0),"")=""),"",IFERROR(VALUE(SUBSTITUTE(INDEX(급여대장_원본!$A$1:$AZ$400,(설정!$B$8+232),IFERROR(MATCH(설정!$C$22,INDEX(급여대장_원본!$A$1:$AZ$400,설정!$B$8,0),0),""))&amp;"",",","")),""))</f>
        <v/>
      </c>
      <c r="T238" s="2">
        <f>IF(OR(설정!$C$23="",IFERROR(MATCH(설정!$C$23,INDEX(급여대장_원본!$A$1:$AZ$400,설정!$B$8,0),0),"")=""),"",IFERROR(VALUE(SUBSTITUTE(INDEX(급여대장_원본!$A$1:$AZ$400,(설정!$B$8+232),IFERROR(MATCH(설정!$C$23,INDEX(급여대장_원본!$A$1:$AZ$400,설정!$B$8,0),0),""))&amp;"",",","")),""))</f>
        <v/>
      </c>
      <c r="U238" s="2">
        <f>IF(OR(설정!$C$24="",IFERROR(MATCH(설정!$C$24,INDEX(급여대장_원본!$A$1:$AZ$400,설정!$B$8,0),0),"")=""),"",IFERROR(VALUE(SUBSTITUTE(INDEX(급여대장_원본!$A$1:$AZ$400,(설정!$B$8+232),IFERROR(MATCH(설정!$C$24,INDEX(급여대장_원본!$A$1:$AZ$400,설정!$B$8,0),0),""))&amp;"",",","")),""))</f>
        <v/>
      </c>
      <c r="V238" s="27">
        <f>SUM(F238:M238)</f>
        <v/>
      </c>
      <c r="W238" s="27">
        <f>IF(설정!$D$26="",0,IFERROR(VALUE(SUBSTITUTE(SUBSTITUTE(INDEX(급여대장_원본!$A$1:$AZ$400,(설정!$B$8+232),설정!$D$26)&amp;"",",",""),"　","")),0))</f>
        <v/>
      </c>
      <c r="X238" s="27">
        <f>IF(설정!$D$27="",0,IFERROR(VALUE(SUBSTITUTE(SUBSTITUTE(INDEX(급여대장_원본!$A$1:$AZ$400,(설정!$B$8+232),설정!$D$27)&amp;"",",",""),"　","")),0))</f>
        <v/>
      </c>
      <c r="Y238" s="27">
        <f>IF(설정!$D$28="",0,IFERROR(VALUE(SUBSTITUTE(SUBSTITUTE(INDEX(급여대장_원본!$A$1:$AZ$400,(설정!$B$8+232),설정!$D$28)&amp;"",",",""),"　","")),0))</f>
        <v/>
      </c>
      <c r="Z238" s="27">
        <f>IF(설정!$D$29="",0,IFERROR(VALUE(SUBSTITUTE(SUBSTITUTE(INDEX(급여대장_원본!$A$1:$AZ$400,(설정!$B$8+232),설정!$D$29)&amp;"",",",""),"　","")),0))</f>
        <v/>
      </c>
      <c r="AA238" s="27">
        <f>IF(설정!$D$30="",0,IFERROR(VALUE(SUBSTITUTE(SUBSTITUTE(INDEX(급여대장_원본!$A$1:$AZ$400,(설정!$B$8+232),설정!$D$30)&amp;"",",",""),"　","")),0))</f>
        <v/>
      </c>
      <c r="AB238" s="27">
        <f>IF(설정!$D$31="",0,IFERROR(VALUE(SUBSTITUTE(SUBSTITUTE(INDEX(급여대장_원본!$A$1:$AZ$400,(설정!$B$8+232),설정!$D$31)&amp;"",",",""),"　","")),0))</f>
        <v/>
      </c>
      <c r="AC238" s="27">
        <f>IF(설정!$D$32="",0,IFERROR(VALUE(SUBSTITUTE(SUBSTITUTE(INDEX(급여대장_원본!$A$1:$AZ$400,(설정!$B$8+232),설정!$D$32)&amp;"",",",""),"　","")),0))</f>
        <v/>
      </c>
      <c r="AD238" s="27">
        <f>IF(설정!$D$33="",0,IFERROR(VALUE(SUBSTITUTE(SUBSTITUTE(INDEX(급여대장_원본!$A$1:$AZ$400,(설정!$B$8+232),설정!$D$33)&amp;"",",",""),"　","")),0))</f>
        <v/>
      </c>
      <c r="AE238" s="27">
        <f>SUM(W238:AD238)</f>
        <v/>
      </c>
      <c r="AF238" s="27">
        <f>V238-AE238</f>
        <v/>
      </c>
      <c r="AG238" s="27">
        <f>IF(설정!$D$35="","",IF(설정!$D$35="",0,IFERROR(VALUE(SUBSTITUTE(SUBSTITUTE(INDEX(급여대장_원본!$A$1:$AZ$400,(설정!$B$8+232),설정!$D$35)&amp;"",",",""),"　","")),0)))</f>
        <v/>
      </c>
      <c r="AH238" s="27">
        <f>IF(설정!$D$36="","",IF(설정!$D$36="",0,IFERROR(VALUE(SUBSTITUTE(SUBSTITUTE(INDEX(급여대장_원본!$A$1:$AZ$400,(설정!$B$8+232),설정!$D$36)&amp;"",",",""),"　","")),0)))</f>
        <v/>
      </c>
      <c r="AI238" s="27">
        <f>IF(설정!$D$37="","",IF(설정!$D$37="",0,IFERROR(VALUE(SUBSTITUTE(SUBSTITUTE(INDEX(급여대장_원본!$A$1:$AZ$400,(설정!$B$8+232),설정!$D$37)&amp;"",",",""),"　","")),0)))</f>
        <v/>
      </c>
      <c r="AJ238" s="2">
        <f>IFERROR(INDEX($D$7:$D$306,MATCH(232,$B$7:$B$306,0)),"")</f>
        <v/>
      </c>
    </row>
    <row r="239">
      <c r="A239" s="2">
        <f>IF(AND(D239&lt;&gt;"",D239&lt;&gt;"합계",D239&lt;&gt;"총계",D239&lt;&gt;"소계",D239&lt;&gt;"계"),1,0)</f>
        <v/>
      </c>
      <c r="B239" s="2">
        <f>IF(A239=1,SUM($A$7:A239),"")</f>
        <v/>
      </c>
      <c r="C239" s="2">
        <f>IF(설정!$D$13="","",TRIM(SUBSTITUTE(INDEX(급여대장_원본!$A$1:$AZ$400,(설정!$B$8+233),설정!$D$13)&amp;"","　"," ")))</f>
        <v/>
      </c>
      <c r="D239" s="2">
        <f>IF(설정!$D$14="","",TRIM(SUBSTITUTE(INDEX(급여대장_원본!$A$1:$AZ$400,(설정!$B$8+233),설정!$D$14)&amp;"","　"," ")))</f>
        <v/>
      </c>
      <c r="E239" s="2">
        <f>IF(설정!$D$15="","",TRIM(SUBSTITUTE(INDEX(급여대장_원본!$A$1:$AZ$400,(설정!$B$8+233),설정!$D$15)&amp;"","　"," ")))</f>
        <v/>
      </c>
      <c r="F239" s="27">
        <f>IF(설정!$D$17="",0,IFERROR(VALUE(SUBSTITUTE(SUBSTITUTE(INDEX(급여대장_원본!$A$1:$AZ$400,(설정!$B$8+233),설정!$D$17)&amp;"",",",""),"　","")),0))</f>
        <v/>
      </c>
      <c r="G239" s="27">
        <f>IF(설정!$D$18="",0,IFERROR(VALUE(SUBSTITUTE(SUBSTITUTE(INDEX(급여대장_원본!$A$1:$AZ$400,(설정!$B$8+233),설정!$D$18)&amp;"",",",""),"　","")),0))</f>
        <v/>
      </c>
      <c r="H239" s="27">
        <f>IF(설정!$D$19="",0,IFERROR(VALUE(SUBSTITUTE(SUBSTITUTE(INDEX(급여대장_원본!$A$1:$AZ$400,(설정!$B$8+233),설정!$D$19)&amp;"",",",""),"　","")),0))</f>
        <v/>
      </c>
      <c r="I239" s="27">
        <f>IF(설정!$D$20="",0,IFERROR(VALUE(SUBSTITUTE(SUBSTITUTE(INDEX(급여대장_원본!$A$1:$AZ$400,(설정!$B$8+233),설정!$D$20)&amp;"",",",""),"　","")),0))</f>
        <v/>
      </c>
      <c r="J239" s="27">
        <f>IF(설정!$D$21="",0,IFERROR(VALUE(SUBSTITUTE(SUBSTITUTE(INDEX(급여대장_원본!$A$1:$AZ$400,(설정!$B$8+233),설정!$D$21)&amp;"",",",""),"　","")),0))</f>
        <v/>
      </c>
      <c r="K239" s="27">
        <f>IF(설정!$D$22="",0,IFERROR(VALUE(SUBSTITUTE(SUBSTITUTE(INDEX(급여대장_원본!$A$1:$AZ$400,(설정!$B$8+233),설정!$D$22)&amp;"",",",""),"　","")),0))</f>
        <v/>
      </c>
      <c r="L239" s="27">
        <f>IF(설정!$D$23="",0,IFERROR(VALUE(SUBSTITUTE(SUBSTITUTE(INDEX(급여대장_원본!$A$1:$AZ$400,(설정!$B$8+233),설정!$D$23)&amp;"",",",""),"　","")),0))</f>
        <v/>
      </c>
      <c r="M239" s="27">
        <f>IF(설정!$D$24="",0,IFERROR(VALUE(SUBSTITUTE(SUBSTITUTE(INDEX(급여대장_원본!$A$1:$AZ$400,(설정!$B$8+233),설정!$D$24)&amp;"",",",""),"　","")),0))</f>
        <v/>
      </c>
      <c r="N239" s="2">
        <f>IF(OR(설정!$C$17="",IFERROR(MATCH(설정!$C$17,INDEX(급여대장_원본!$A$1:$AZ$400,설정!$B$8,0),0),"")=""),"",IFERROR(VALUE(SUBSTITUTE(INDEX(급여대장_원본!$A$1:$AZ$400,(설정!$B$8+233),IFERROR(MATCH(설정!$C$17,INDEX(급여대장_원본!$A$1:$AZ$400,설정!$B$8,0),0),""))&amp;"",",","")),""))</f>
        <v/>
      </c>
      <c r="O239" s="2">
        <f>IF(OR(설정!$C$18="",IFERROR(MATCH(설정!$C$18,INDEX(급여대장_원본!$A$1:$AZ$400,설정!$B$8,0),0),"")=""),"",IFERROR(VALUE(SUBSTITUTE(INDEX(급여대장_원본!$A$1:$AZ$400,(설정!$B$8+233),IFERROR(MATCH(설정!$C$18,INDEX(급여대장_원본!$A$1:$AZ$400,설정!$B$8,0),0),""))&amp;"",",","")),""))</f>
        <v/>
      </c>
      <c r="P239" s="2">
        <f>IF(OR(설정!$C$19="",IFERROR(MATCH(설정!$C$19,INDEX(급여대장_원본!$A$1:$AZ$400,설정!$B$8,0),0),"")=""),"",IFERROR(VALUE(SUBSTITUTE(INDEX(급여대장_원본!$A$1:$AZ$400,(설정!$B$8+233),IFERROR(MATCH(설정!$C$19,INDEX(급여대장_원본!$A$1:$AZ$400,설정!$B$8,0),0),""))&amp;"",",","")),""))</f>
        <v/>
      </c>
      <c r="Q239" s="2">
        <f>IF(OR(설정!$C$20="",IFERROR(MATCH(설정!$C$20,INDEX(급여대장_원본!$A$1:$AZ$400,설정!$B$8,0),0),"")=""),"",IFERROR(VALUE(SUBSTITUTE(INDEX(급여대장_원본!$A$1:$AZ$400,(설정!$B$8+233),IFERROR(MATCH(설정!$C$20,INDEX(급여대장_원본!$A$1:$AZ$400,설정!$B$8,0),0),""))&amp;"",",","")),""))</f>
        <v/>
      </c>
      <c r="R239" s="2">
        <f>IF(OR(설정!$C$21="",IFERROR(MATCH(설정!$C$21,INDEX(급여대장_원본!$A$1:$AZ$400,설정!$B$8,0),0),"")=""),"",IFERROR(VALUE(SUBSTITUTE(INDEX(급여대장_원본!$A$1:$AZ$400,(설정!$B$8+233),IFERROR(MATCH(설정!$C$21,INDEX(급여대장_원본!$A$1:$AZ$400,설정!$B$8,0),0),""))&amp;"",",","")),""))</f>
        <v/>
      </c>
      <c r="S239" s="2">
        <f>IF(OR(설정!$C$22="",IFERROR(MATCH(설정!$C$22,INDEX(급여대장_원본!$A$1:$AZ$400,설정!$B$8,0),0),"")=""),"",IFERROR(VALUE(SUBSTITUTE(INDEX(급여대장_원본!$A$1:$AZ$400,(설정!$B$8+233),IFERROR(MATCH(설정!$C$22,INDEX(급여대장_원본!$A$1:$AZ$400,설정!$B$8,0),0),""))&amp;"",",","")),""))</f>
        <v/>
      </c>
      <c r="T239" s="2">
        <f>IF(OR(설정!$C$23="",IFERROR(MATCH(설정!$C$23,INDEX(급여대장_원본!$A$1:$AZ$400,설정!$B$8,0),0),"")=""),"",IFERROR(VALUE(SUBSTITUTE(INDEX(급여대장_원본!$A$1:$AZ$400,(설정!$B$8+233),IFERROR(MATCH(설정!$C$23,INDEX(급여대장_원본!$A$1:$AZ$400,설정!$B$8,0),0),""))&amp;"",",","")),""))</f>
        <v/>
      </c>
      <c r="U239" s="2">
        <f>IF(OR(설정!$C$24="",IFERROR(MATCH(설정!$C$24,INDEX(급여대장_원본!$A$1:$AZ$400,설정!$B$8,0),0),"")=""),"",IFERROR(VALUE(SUBSTITUTE(INDEX(급여대장_원본!$A$1:$AZ$400,(설정!$B$8+233),IFERROR(MATCH(설정!$C$24,INDEX(급여대장_원본!$A$1:$AZ$400,설정!$B$8,0),0),""))&amp;"",",","")),""))</f>
        <v/>
      </c>
      <c r="V239" s="27">
        <f>SUM(F239:M239)</f>
        <v/>
      </c>
      <c r="W239" s="27">
        <f>IF(설정!$D$26="",0,IFERROR(VALUE(SUBSTITUTE(SUBSTITUTE(INDEX(급여대장_원본!$A$1:$AZ$400,(설정!$B$8+233),설정!$D$26)&amp;"",",",""),"　","")),0))</f>
        <v/>
      </c>
      <c r="X239" s="27">
        <f>IF(설정!$D$27="",0,IFERROR(VALUE(SUBSTITUTE(SUBSTITUTE(INDEX(급여대장_원본!$A$1:$AZ$400,(설정!$B$8+233),설정!$D$27)&amp;"",",",""),"　","")),0))</f>
        <v/>
      </c>
      <c r="Y239" s="27">
        <f>IF(설정!$D$28="",0,IFERROR(VALUE(SUBSTITUTE(SUBSTITUTE(INDEX(급여대장_원본!$A$1:$AZ$400,(설정!$B$8+233),설정!$D$28)&amp;"",",",""),"　","")),0))</f>
        <v/>
      </c>
      <c r="Z239" s="27">
        <f>IF(설정!$D$29="",0,IFERROR(VALUE(SUBSTITUTE(SUBSTITUTE(INDEX(급여대장_원본!$A$1:$AZ$400,(설정!$B$8+233),설정!$D$29)&amp;"",",",""),"　","")),0))</f>
        <v/>
      </c>
      <c r="AA239" s="27">
        <f>IF(설정!$D$30="",0,IFERROR(VALUE(SUBSTITUTE(SUBSTITUTE(INDEX(급여대장_원본!$A$1:$AZ$400,(설정!$B$8+233),설정!$D$30)&amp;"",",",""),"　","")),0))</f>
        <v/>
      </c>
      <c r="AB239" s="27">
        <f>IF(설정!$D$31="",0,IFERROR(VALUE(SUBSTITUTE(SUBSTITUTE(INDEX(급여대장_원본!$A$1:$AZ$400,(설정!$B$8+233),설정!$D$31)&amp;"",",",""),"　","")),0))</f>
        <v/>
      </c>
      <c r="AC239" s="27">
        <f>IF(설정!$D$32="",0,IFERROR(VALUE(SUBSTITUTE(SUBSTITUTE(INDEX(급여대장_원본!$A$1:$AZ$400,(설정!$B$8+233),설정!$D$32)&amp;"",",",""),"　","")),0))</f>
        <v/>
      </c>
      <c r="AD239" s="27">
        <f>IF(설정!$D$33="",0,IFERROR(VALUE(SUBSTITUTE(SUBSTITUTE(INDEX(급여대장_원본!$A$1:$AZ$400,(설정!$B$8+233),설정!$D$33)&amp;"",",",""),"　","")),0))</f>
        <v/>
      </c>
      <c r="AE239" s="27">
        <f>SUM(W239:AD239)</f>
        <v/>
      </c>
      <c r="AF239" s="27">
        <f>V239-AE239</f>
        <v/>
      </c>
      <c r="AG239" s="27">
        <f>IF(설정!$D$35="","",IF(설정!$D$35="",0,IFERROR(VALUE(SUBSTITUTE(SUBSTITUTE(INDEX(급여대장_원본!$A$1:$AZ$400,(설정!$B$8+233),설정!$D$35)&amp;"",",",""),"　","")),0)))</f>
        <v/>
      </c>
      <c r="AH239" s="27">
        <f>IF(설정!$D$36="","",IF(설정!$D$36="",0,IFERROR(VALUE(SUBSTITUTE(SUBSTITUTE(INDEX(급여대장_원본!$A$1:$AZ$400,(설정!$B$8+233),설정!$D$36)&amp;"",",",""),"　","")),0)))</f>
        <v/>
      </c>
      <c r="AI239" s="27">
        <f>IF(설정!$D$37="","",IF(설정!$D$37="",0,IFERROR(VALUE(SUBSTITUTE(SUBSTITUTE(INDEX(급여대장_원본!$A$1:$AZ$400,(설정!$B$8+233),설정!$D$37)&amp;"",",",""),"　","")),0)))</f>
        <v/>
      </c>
      <c r="AJ239" s="2">
        <f>IFERROR(INDEX($D$7:$D$306,MATCH(233,$B$7:$B$306,0)),"")</f>
        <v/>
      </c>
    </row>
    <row r="240">
      <c r="A240" s="2">
        <f>IF(AND(D240&lt;&gt;"",D240&lt;&gt;"합계",D240&lt;&gt;"총계",D240&lt;&gt;"소계",D240&lt;&gt;"계"),1,0)</f>
        <v/>
      </c>
      <c r="B240" s="2">
        <f>IF(A240=1,SUM($A$7:A240),"")</f>
        <v/>
      </c>
      <c r="C240" s="2">
        <f>IF(설정!$D$13="","",TRIM(SUBSTITUTE(INDEX(급여대장_원본!$A$1:$AZ$400,(설정!$B$8+234),설정!$D$13)&amp;"","　"," ")))</f>
        <v/>
      </c>
      <c r="D240" s="2">
        <f>IF(설정!$D$14="","",TRIM(SUBSTITUTE(INDEX(급여대장_원본!$A$1:$AZ$400,(설정!$B$8+234),설정!$D$14)&amp;"","　"," ")))</f>
        <v/>
      </c>
      <c r="E240" s="2">
        <f>IF(설정!$D$15="","",TRIM(SUBSTITUTE(INDEX(급여대장_원본!$A$1:$AZ$400,(설정!$B$8+234),설정!$D$15)&amp;"","　"," ")))</f>
        <v/>
      </c>
      <c r="F240" s="27">
        <f>IF(설정!$D$17="",0,IFERROR(VALUE(SUBSTITUTE(SUBSTITUTE(INDEX(급여대장_원본!$A$1:$AZ$400,(설정!$B$8+234),설정!$D$17)&amp;"",",",""),"　","")),0))</f>
        <v/>
      </c>
      <c r="G240" s="27">
        <f>IF(설정!$D$18="",0,IFERROR(VALUE(SUBSTITUTE(SUBSTITUTE(INDEX(급여대장_원본!$A$1:$AZ$400,(설정!$B$8+234),설정!$D$18)&amp;"",",",""),"　","")),0))</f>
        <v/>
      </c>
      <c r="H240" s="27">
        <f>IF(설정!$D$19="",0,IFERROR(VALUE(SUBSTITUTE(SUBSTITUTE(INDEX(급여대장_원본!$A$1:$AZ$400,(설정!$B$8+234),설정!$D$19)&amp;"",",",""),"　","")),0))</f>
        <v/>
      </c>
      <c r="I240" s="27">
        <f>IF(설정!$D$20="",0,IFERROR(VALUE(SUBSTITUTE(SUBSTITUTE(INDEX(급여대장_원본!$A$1:$AZ$400,(설정!$B$8+234),설정!$D$20)&amp;"",",",""),"　","")),0))</f>
        <v/>
      </c>
      <c r="J240" s="27">
        <f>IF(설정!$D$21="",0,IFERROR(VALUE(SUBSTITUTE(SUBSTITUTE(INDEX(급여대장_원본!$A$1:$AZ$400,(설정!$B$8+234),설정!$D$21)&amp;"",",",""),"　","")),0))</f>
        <v/>
      </c>
      <c r="K240" s="27">
        <f>IF(설정!$D$22="",0,IFERROR(VALUE(SUBSTITUTE(SUBSTITUTE(INDEX(급여대장_원본!$A$1:$AZ$400,(설정!$B$8+234),설정!$D$22)&amp;"",",",""),"　","")),0))</f>
        <v/>
      </c>
      <c r="L240" s="27">
        <f>IF(설정!$D$23="",0,IFERROR(VALUE(SUBSTITUTE(SUBSTITUTE(INDEX(급여대장_원본!$A$1:$AZ$400,(설정!$B$8+234),설정!$D$23)&amp;"",",",""),"　","")),0))</f>
        <v/>
      </c>
      <c r="M240" s="27">
        <f>IF(설정!$D$24="",0,IFERROR(VALUE(SUBSTITUTE(SUBSTITUTE(INDEX(급여대장_원본!$A$1:$AZ$400,(설정!$B$8+234),설정!$D$24)&amp;"",",",""),"　","")),0))</f>
        <v/>
      </c>
      <c r="N240" s="2">
        <f>IF(OR(설정!$C$17="",IFERROR(MATCH(설정!$C$17,INDEX(급여대장_원본!$A$1:$AZ$400,설정!$B$8,0),0),"")=""),"",IFERROR(VALUE(SUBSTITUTE(INDEX(급여대장_원본!$A$1:$AZ$400,(설정!$B$8+234),IFERROR(MATCH(설정!$C$17,INDEX(급여대장_원본!$A$1:$AZ$400,설정!$B$8,0),0),""))&amp;"",",","")),""))</f>
        <v/>
      </c>
      <c r="O240" s="2">
        <f>IF(OR(설정!$C$18="",IFERROR(MATCH(설정!$C$18,INDEX(급여대장_원본!$A$1:$AZ$400,설정!$B$8,0),0),"")=""),"",IFERROR(VALUE(SUBSTITUTE(INDEX(급여대장_원본!$A$1:$AZ$400,(설정!$B$8+234),IFERROR(MATCH(설정!$C$18,INDEX(급여대장_원본!$A$1:$AZ$400,설정!$B$8,0),0),""))&amp;"",",","")),""))</f>
        <v/>
      </c>
      <c r="P240" s="2">
        <f>IF(OR(설정!$C$19="",IFERROR(MATCH(설정!$C$19,INDEX(급여대장_원본!$A$1:$AZ$400,설정!$B$8,0),0),"")=""),"",IFERROR(VALUE(SUBSTITUTE(INDEX(급여대장_원본!$A$1:$AZ$400,(설정!$B$8+234),IFERROR(MATCH(설정!$C$19,INDEX(급여대장_원본!$A$1:$AZ$400,설정!$B$8,0),0),""))&amp;"",",","")),""))</f>
        <v/>
      </c>
      <c r="Q240" s="2">
        <f>IF(OR(설정!$C$20="",IFERROR(MATCH(설정!$C$20,INDEX(급여대장_원본!$A$1:$AZ$400,설정!$B$8,0),0),"")=""),"",IFERROR(VALUE(SUBSTITUTE(INDEX(급여대장_원본!$A$1:$AZ$400,(설정!$B$8+234),IFERROR(MATCH(설정!$C$20,INDEX(급여대장_원본!$A$1:$AZ$400,설정!$B$8,0),0),""))&amp;"",",","")),""))</f>
        <v/>
      </c>
      <c r="R240" s="2">
        <f>IF(OR(설정!$C$21="",IFERROR(MATCH(설정!$C$21,INDEX(급여대장_원본!$A$1:$AZ$400,설정!$B$8,0),0),"")=""),"",IFERROR(VALUE(SUBSTITUTE(INDEX(급여대장_원본!$A$1:$AZ$400,(설정!$B$8+234),IFERROR(MATCH(설정!$C$21,INDEX(급여대장_원본!$A$1:$AZ$400,설정!$B$8,0),0),""))&amp;"",",","")),""))</f>
        <v/>
      </c>
      <c r="S240" s="2">
        <f>IF(OR(설정!$C$22="",IFERROR(MATCH(설정!$C$22,INDEX(급여대장_원본!$A$1:$AZ$400,설정!$B$8,0),0),"")=""),"",IFERROR(VALUE(SUBSTITUTE(INDEX(급여대장_원본!$A$1:$AZ$400,(설정!$B$8+234),IFERROR(MATCH(설정!$C$22,INDEX(급여대장_원본!$A$1:$AZ$400,설정!$B$8,0),0),""))&amp;"",",","")),""))</f>
        <v/>
      </c>
      <c r="T240" s="2">
        <f>IF(OR(설정!$C$23="",IFERROR(MATCH(설정!$C$23,INDEX(급여대장_원본!$A$1:$AZ$400,설정!$B$8,0),0),"")=""),"",IFERROR(VALUE(SUBSTITUTE(INDEX(급여대장_원본!$A$1:$AZ$400,(설정!$B$8+234),IFERROR(MATCH(설정!$C$23,INDEX(급여대장_원본!$A$1:$AZ$400,설정!$B$8,0),0),""))&amp;"",",","")),""))</f>
        <v/>
      </c>
      <c r="U240" s="2">
        <f>IF(OR(설정!$C$24="",IFERROR(MATCH(설정!$C$24,INDEX(급여대장_원본!$A$1:$AZ$400,설정!$B$8,0),0),"")=""),"",IFERROR(VALUE(SUBSTITUTE(INDEX(급여대장_원본!$A$1:$AZ$400,(설정!$B$8+234),IFERROR(MATCH(설정!$C$24,INDEX(급여대장_원본!$A$1:$AZ$400,설정!$B$8,0),0),""))&amp;"",",","")),""))</f>
        <v/>
      </c>
      <c r="V240" s="27">
        <f>SUM(F240:M240)</f>
        <v/>
      </c>
      <c r="W240" s="27">
        <f>IF(설정!$D$26="",0,IFERROR(VALUE(SUBSTITUTE(SUBSTITUTE(INDEX(급여대장_원본!$A$1:$AZ$400,(설정!$B$8+234),설정!$D$26)&amp;"",",",""),"　","")),0))</f>
        <v/>
      </c>
      <c r="X240" s="27">
        <f>IF(설정!$D$27="",0,IFERROR(VALUE(SUBSTITUTE(SUBSTITUTE(INDEX(급여대장_원본!$A$1:$AZ$400,(설정!$B$8+234),설정!$D$27)&amp;"",",",""),"　","")),0))</f>
        <v/>
      </c>
      <c r="Y240" s="27">
        <f>IF(설정!$D$28="",0,IFERROR(VALUE(SUBSTITUTE(SUBSTITUTE(INDEX(급여대장_원본!$A$1:$AZ$400,(설정!$B$8+234),설정!$D$28)&amp;"",",",""),"　","")),0))</f>
        <v/>
      </c>
      <c r="Z240" s="27">
        <f>IF(설정!$D$29="",0,IFERROR(VALUE(SUBSTITUTE(SUBSTITUTE(INDEX(급여대장_원본!$A$1:$AZ$400,(설정!$B$8+234),설정!$D$29)&amp;"",",",""),"　","")),0))</f>
        <v/>
      </c>
      <c r="AA240" s="27">
        <f>IF(설정!$D$30="",0,IFERROR(VALUE(SUBSTITUTE(SUBSTITUTE(INDEX(급여대장_원본!$A$1:$AZ$400,(설정!$B$8+234),설정!$D$30)&amp;"",",",""),"　","")),0))</f>
        <v/>
      </c>
      <c r="AB240" s="27">
        <f>IF(설정!$D$31="",0,IFERROR(VALUE(SUBSTITUTE(SUBSTITUTE(INDEX(급여대장_원본!$A$1:$AZ$400,(설정!$B$8+234),설정!$D$31)&amp;"",",",""),"　","")),0))</f>
        <v/>
      </c>
      <c r="AC240" s="27">
        <f>IF(설정!$D$32="",0,IFERROR(VALUE(SUBSTITUTE(SUBSTITUTE(INDEX(급여대장_원본!$A$1:$AZ$400,(설정!$B$8+234),설정!$D$32)&amp;"",",",""),"　","")),0))</f>
        <v/>
      </c>
      <c r="AD240" s="27">
        <f>IF(설정!$D$33="",0,IFERROR(VALUE(SUBSTITUTE(SUBSTITUTE(INDEX(급여대장_원본!$A$1:$AZ$400,(설정!$B$8+234),설정!$D$33)&amp;"",",",""),"　","")),0))</f>
        <v/>
      </c>
      <c r="AE240" s="27">
        <f>SUM(W240:AD240)</f>
        <v/>
      </c>
      <c r="AF240" s="27">
        <f>V240-AE240</f>
        <v/>
      </c>
      <c r="AG240" s="27">
        <f>IF(설정!$D$35="","",IF(설정!$D$35="",0,IFERROR(VALUE(SUBSTITUTE(SUBSTITUTE(INDEX(급여대장_원본!$A$1:$AZ$400,(설정!$B$8+234),설정!$D$35)&amp;"",",",""),"　","")),0)))</f>
        <v/>
      </c>
      <c r="AH240" s="27">
        <f>IF(설정!$D$36="","",IF(설정!$D$36="",0,IFERROR(VALUE(SUBSTITUTE(SUBSTITUTE(INDEX(급여대장_원본!$A$1:$AZ$400,(설정!$B$8+234),설정!$D$36)&amp;"",",",""),"　","")),0)))</f>
        <v/>
      </c>
      <c r="AI240" s="27">
        <f>IF(설정!$D$37="","",IF(설정!$D$37="",0,IFERROR(VALUE(SUBSTITUTE(SUBSTITUTE(INDEX(급여대장_원본!$A$1:$AZ$400,(설정!$B$8+234),설정!$D$37)&amp;"",",",""),"　","")),0)))</f>
        <v/>
      </c>
      <c r="AJ240" s="2">
        <f>IFERROR(INDEX($D$7:$D$306,MATCH(234,$B$7:$B$306,0)),"")</f>
        <v/>
      </c>
    </row>
    <row r="241">
      <c r="A241" s="2">
        <f>IF(AND(D241&lt;&gt;"",D241&lt;&gt;"합계",D241&lt;&gt;"총계",D241&lt;&gt;"소계",D241&lt;&gt;"계"),1,0)</f>
        <v/>
      </c>
      <c r="B241" s="2">
        <f>IF(A241=1,SUM($A$7:A241),"")</f>
        <v/>
      </c>
      <c r="C241" s="2">
        <f>IF(설정!$D$13="","",TRIM(SUBSTITUTE(INDEX(급여대장_원본!$A$1:$AZ$400,(설정!$B$8+235),설정!$D$13)&amp;"","　"," ")))</f>
        <v/>
      </c>
      <c r="D241" s="2">
        <f>IF(설정!$D$14="","",TRIM(SUBSTITUTE(INDEX(급여대장_원본!$A$1:$AZ$400,(설정!$B$8+235),설정!$D$14)&amp;"","　"," ")))</f>
        <v/>
      </c>
      <c r="E241" s="2">
        <f>IF(설정!$D$15="","",TRIM(SUBSTITUTE(INDEX(급여대장_원본!$A$1:$AZ$400,(설정!$B$8+235),설정!$D$15)&amp;"","　"," ")))</f>
        <v/>
      </c>
      <c r="F241" s="27">
        <f>IF(설정!$D$17="",0,IFERROR(VALUE(SUBSTITUTE(SUBSTITUTE(INDEX(급여대장_원본!$A$1:$AZ$400,(설정!$B$8+235),설정!$D$17)&amp;"",",",""),"　","")),0))</f>
        <v/>
      </c>
      <c r="G241" s="27">
        <f>IF(설정!$D$18="",0,IFERROR(VALUE(SUBSTITUTE(SUBSTITUTE(INDEX(급여대장_원본!$A$1:$AZ$400,(설정!$B$8+235),설정!$D$18)&amp;"",",",""),"　","")),0))</f>
        <v/>
      </c>
      <c r="H241" s="27">
        <f>IF(설정!$D$19="",0,IFERROR(VALUE(SUBSTITUTE(SUBSTITUTE(INDEX(급여대장_원본!$A$1:$AZ$400,(설정!$B$8+235),설정!$D$19)&amp;"",",",""),"　","")),0))</f>
        <v/>
      </c>
      <c r="I241" s="27">
        <f>IF(설정!$D$20="",0,IFERROR(VALUE(SUBSTITUTE(SUBSTITUTE(INDEX(급여대장_원본!$A$1:$AZ$400,(설정!$B$8+235),설정!$D$20)&amp;"",",",""),"　","")),0))</f>
        <v/>
      </c>
      <c r="J241" s="27">
        <f>IF(설정!$D$21="",0,IFERROR(VALUE(SUBSTITUTE(SUBSTITUTE(INDEX(급여대장_원본!$A$1:$AZ$400,(설정!$B$8+235),설정!$D$21)&amp;"",",",""),"　","")),0))</f>
        <v/>
      </c>
      <c r="K241" s="27">
        <f>IF(설정!$D$22="",0,IFERROR(VALUE(SUBSTITUTE(SUBSTITUTE(INDEX(급여대장_원본!$A$1:$AZ$400,(설정!$B$8+235),설정!$D$22)&amp;"",",",""),"　","")),0))</f>
        <v/>
      </c>
      <c r="L241" s="27">
        <f>IF(설정!$D$23="",0,IFERROR(VALUE(SUBSTITUTE(SUBSTITUTE(INDEX(급여대장_원본!$A$1:$AZ$400,(설정!$B$8+235),설정!$D$23)&amp;"",",",""),"　","")),0))</f>
        <v/>
      </c>
      <c r="M241" s="27">
        <f>IF(설정!$D$24="",0,IFERROR(VALUE(SUBSTITUTE(SUBSTITUTE(INDEX(급여대장_원본!$A$1:$AZ$400,(설정!$B$8+235),설정!$D$24)&amp;"",",",""),"　","")),0))</f>
        <v/>
      </c>
      <c r="N241" s="2">
        <f>IF(OR(설정!$C$17="",IFERROR(MATCH(설정!$C$17,INDEX(급여대장_원본!$A$1:$AZ$400,설정!$B$8,0),0),"")=""),"",IFERROR(VALUE(SUBSTITUTE(INDEX(급여대장_원본!$A$1:$AZ$400,(설정!$B$8+235),IFERROR(MATCH(설정!$C$17,INDEX(급여대장_원본!$A$1:$AZ$400,설정!$B$8,0),0),""))&amp;"",",","")),""))</f>
        <v/>
      </c>
      <c r="O241" s="2">
        <f>IF(OR(설정!$C$18="",IFERROR(MATCH(설정!$C$18,INDEX(급여대장_원본!$A$1:$AZ$400,설정!$B$8,0),0),"")=""),"",IFERROR(VALUE(SUBSTITUTE(INDEX(급여대장_원본!$A$1:$AZ$400,(설정!$B$8+235),IFERROR(MATCH(설정!$C$18,INDEX(급여대장_원본!$A$1:$AZ$400,설정!$B$8,0),0),""))&amp;"",",","")),""))</f>
        <v/>
      </c>
      <c r="P241" s="2">
        <f>IF(OR(설정!$C$19="",IFERROR(MATCH(설정!$C$19,INDEX(급여대장_원본!$A$1:$AZ$400,설정!$B$8,0),0),"")=""),"",IFERROR(VALUE(SUBSTITUTE(INDEX(급여대장_원본!$A$1:$AZ$400,(설정!$B$8+235),IFERROR(MATCH(설정!$C$19,INDEX(급여대장_원본!$A$1:$AZ$400,설정!$B$8,0),0),""))&amp;"",",","")),""))</f>
        <v/>
      </c>
      <c r="Q241" s="2">
        <f>IF(OR(설정!$C$20="",IFERROR(MATCH(설정!$C$20,INDEX(급여대장_원본!$A$1:$AZ$400,설정!$B$8,0),0),"")=""),"",IFERROR(VALUE(SUBSTITUTE(INDEX(급여대장_원본!$A$1:$AZ$400,(설정!$B$8+235),IFERROR(MATCH(설정!$C$20,INDEX(급여대장_원본!$A$1:$AZ$400,설정!$B$8,0),0),""))&amp;"",",","")),""))</f>
        <v/>
      </c>
      <c r="R241" s="2">
        <f>IF(OR(설정!$C$21="",IFERROR(MATCH(설정!$C$21,INDEX(급여대장_원본!$A$1:$AZ$400,설정!$B$8,0),0),"")=""),"",IFERROR(VALUE(SUBSTITUTE(INDEX(급여대장_원본!$A$1:$AZ$400,(설정!$B$8+235),IFERROR(MATCH(설정!$C$21,INDEX(급여대장_원본!$A$1:$AZ$400,설정!$B$8,0),0),""))&amp;"",",","")),""))</f>
        <v/>
      </c>
      <c r="S241" s="2">
        <f>IF(OR(설정!$C$22="",IFERROR(MATCH(설정!$C$22,INDEX(급여대장_원본!$A$1:$AZ$400,설정!$B$8,0),0),"")=""),"",IFERROR(VALUE(SUBSTITUTE(INDEX(급여대장_원본!$A$1:$AZ$400,(설정!$B$8+235),IFERROR(MATCH(설정!$C$22,INDEX(급여대장_원본!$A$1:$AZ$400,설정!$B$8,0),0),""))&amp;"",",","")),""))</f>
        <v/>
      </c>
      <c r="T241" s="2">
        <f>IF(OR(설정!$C$23="",IFERROR(MATCH(설정!$C$23,INDEX(급여대장_원본!$A$1:$AZ$400,설정!$B$8,0),0),"")=""),"",IFERROR(VALUE(SUBSTITUTE(INDEX(급여대장_원본!$A$1:$AZ$400,(설정!$B$8+235),IFERROR(MATCH(설정!$C$23,INDEX(급여대장_원본!$A$1:$AZ$400,설정!$B$8,0),0),""))&amp;"",",","")),""))</f>
        <v/>
      </c>
      <c r="U241" s="2">
        <f>IF(OR(설정!$C$24="",IFERROR(MATCH(설정!$C$24,INDEX(급여대장_원본!$A$1:$AZ$400,설정!$B$8,0),0),"")=""),"",IFERROR(VALUE(SUBSTITUTE(INDEX(급여대장_원본!$A$1:$AZ$400,(설정!$B$8+235),IFERROR(MATCH(설정!$C$24,INDEX(급여대장_원본!$A$1:$AZ$400,설정!$B$8,0),0),""))&amp;"",",","")),""))</f>
        <v/>
      </c>
      <c r="V241" s="27">
        <f>SUM(F241:M241)</f>
        <v/>
      </c>
      <c r="W241" s="27">
        <f>IF(설정!$D$26="",0,IFERROR(VALUE(SUBSTITUTE(SUBSTITUTE(INDEX(급여대장_원본!$A$1:$AZ$400,(설정!$B$8+235),설정!$D$26)&amp;"",",",""),"　","")),0))</f>
        <v/>
      </c>
      <c r="X241" s="27">
        <f>IF(설정!$D$27="",0,IFERROR(VALUE(SUBSTITUTE(SUBSTITUTE(INDEX(급여대장_원본!$A$1:$AZ$400,(설정!$B$8+235),설정!$D$27)&amp;"",",",""),"　","")),0))</f>
        <v/>
      </c>
      <c r="Y241" s="27">
        <f>IF(설정!$D$28="",0,IFERROR(VALUE(SUBSTITUTE(SUBSTITUTE(INDEX(급여대장_원본!$A$1:$AZ$400,(설정!$B$8+235),설정!$D$28)&amp;"",",",""),"　","")),0))</f>
        <v/>
      </c>
      <c r="Z241" s="27">
        <f>IF(설정!$D$29="",0,IFERROR(VALUE(SUBSTITUTE(SUBSTITUTE(INDEX(급여대장_원본!$A$1:$AZ$400,(설정!$B$8+235),설정!$D$29)&amp;"",",",""),"　","")),0))</f>
        <v/>
      </c>
      <c r="AA241" s="27">
        <f>IF(설정!$D$30="",0,IFERROR(VALUE(SUBSTITUTE(SUBSTITUTE(INDEX(급여대장_원본!$A$1:$AZ$400,(설정!$B$8+235),설정!$D$30)&amp;"",",",""),"　","")),0))</f>
        <v/>
      </c>
      <c r="AB241" s="27">
        <f>IF(설정!$D$31="",0,IFERROR(VALUE(SUBSTITUTE(SUBSTITUTE(INDEX(급여대장_원본!$A$1:$AZ$400,(설정!$B$8+235),설정!$D$31)&amp;"",",",""),"　","")),0))</f>
        <v/>
      </c>
      <c r="AC241" s="27">
        <f>IF(설정!$D$32="",0,IFERROR(VALUE(SUBSTITUTE(SUBSTITUTE(INDEX(급여대장_원본!$A$1:$AZ$400,(설정!$B$8+235),설정!$D$32)&amp;"",",",""),"　","")),0))</f>
        <v/>
      </c>
      <c r="AD241" s="27">
        <f>IF(설정!$D$33="",0,IFERROR(VALUE(SUBSTITUTE(SUBSTITUTE(INDEX(급여대장_원본!$A$1:$AZ$400,(설정!$B$8+235),설정!$D$33)&amp;"",",",""),"　","")),0))</f>
        <v/>
      </c>
      <c r="AE241" s="27">
        <f>SUM(W241:AD241)</f>
        <v/>
      </c>
      <c r="AF241" s="27">
        <f>V241-AE241</f>
        <v/>
      </c>
      <c r="AG241" s="27">
        <f>IF(설정!$D$35="","",IF(설정!$D$35="",0,IFERROR(VALUE(SUBSTITUTE(SUBSTITUTE(INDEX(급여대장_원본!$A$1:$AZ$400,(설정!$B$8+235),설정!$D$35)&amp;"",",",""),"　","")),0)))</f>
        <v/>
      </c>
      <c r="AH241" s="27">
        <f>IF(설정!$D$36="","",IF(설정!$D$36="",0,IFERROR(VALUE(SUBSTITUTE(SUBSTITUTE(INDEX(급여대장_원본!$A$1:$AZ$400,(설정!$B$8+235),설정!$D$36)&amp;"",",",""),"　","")),0)))</f>
        <v/>
      </c>
      <c r="AI241" s="27">
        <f>IF(설정!$D$37="","",IF(설정!$D$37="",0,IFERROR(VALUE(SUBSTITUTE(SUBSTITUTE(INDEX(급여대장_원본!$A$1:$AZ$400,(설정!$B$8+235),설정!$D$37)&amp;"",",",""),"　","")),0)))</f>
        <v/>
      </c>
      <c r="AJ241" s="2">
        <f>IFERROR(INDEX($D$7:$D$306,MATCH(235,$B$7:$B$306,0)),"")</f>
        <v/>
      </c>
    </row>
    <row r="242">
      <c r="A242" s="2">
        <f>IF(AND(D242&lt;&gt;"",D242&lt;&gt;"합계",D242&lt;&gt;"총계",D242&lt;&gt;"소계",D242&lt;&gt;"계"),1,0)</f>
        <v/>
      </c>
      <c r="B242" s="2">
        <f>IF(A242=1,SUM($A$7:A242),"")</f>
        <v/>
      </c>
      <c r="C242" s="2">
        <f>IF(설정!$D$13="","",TRIM(SUBSTITUTE(INDEX(급여대장_원본!$A$1:$AZ$400,(설정!$B$8+236),설정!$D$13)&amp;"","　"," ")))</f>
        <v/>
      </c>
      <c r="D242" s="2">
        <f>IF(설정!$D$14="","",TRIM(SUBSTITUTE(INDEX(급여대장_원본!$A$1:$AZ$400,(설정!$B$8+236),설정!$D$14)&amp;"","　"," ")))</f>
        <v/>
      </c>
      <c r="E242" s="2">
        <f>IF(설정!$D$15="","",TRIM(SUBSTITUTE(INDEX(급여대장_원본!$A$1:$AZ$400,(설정!$B$8+236),설정!$D$15)&amp;"","　"," ")))</f>
        <v/>
      </c>
      <c r="F242" s="27">
        <f>IF(설정!$D$17="",0,IFERROR(VALUE(SUBSTITUTE(SUBSTITUTE(INDEX(급여대장_원본!$A$1:$AZ$400,(설정!$B$8+236),설정!$D$17)&amp;"",",",""),"　","")),0))</f>
        <v/>
      </c>
      <c r="G242" s="27">
        <f>IF(설정!$D$18="",0,IFERROR(VALUE(SUBSTITUTE(SUBSTITUTE(INDEX(급여대장_원본!$A$1:$AZ$400,(설정!$B$8+236),설정!$D$18)&amp;"",",",""),"　","")),0))</f>
        <v/>
      </c>
      <c r="H242" s="27">
        <f>IF(설정!$D$19="",0,IFERROR(VALUE(SUBSTITUTE(SUBSTITUTE(INDEX(급여대장_원본!$A$1:$AZ$400,(설정!$B$8+236),설정!$D$19)&amp;"",",",""),"　","")),0))</f>
        <v/>
      </c>
      <c r="I242" s="27">
        <f>IF(설정!$D$20="",0,IFERROR(VALUE(SUBSTITUTE(SUBSTITUTE(INDEX(급여대장_원본!$A$1:$AZ$400,(설정!$B$8+236),설정!$D$20)&amp;"",",",""),"　","")),0))</f>
        <v/>
      </c>
      <c r="J242" s="27">
        <f>IF(설정!$D$21="",0,IFERROR(VALUE(SUBSTITUTE(SUBSTITUTE(INDEX(급여대장_원본!$A$1:$AZ$400,(설정!$B$8+236),설정!$D$21)&amp;"",",",""),"　","")),0))</f>
        <v/>
      </c>
      <c r="K242" s="27">
        <f>IF(설정!$D$22="",0,IFERROR(VALUE(SUBSTITUTE(SUBSTITUTE(INDEX(급여대장_원본!$A$1:$AZ$400,(설정!$B$8+236),설정!$D$22)&amp;"",",",""),"　","")),0))</f>
        <v/>
      </c>
      <c r="L242" s="27">
        <f>IF(설정!$D$23="",0,IFERROR(VALUE(SUBSTITUTE(SUBSTITUTE(INDEX(급여대장_원본!$A$1:$AZ$400,(설정!$B$8+236),설정!$D$23)&amp;"",",",""),"　","")),0))</f>
        <v/>
      </c>
      <c r="M242" s="27">
        <f>IF(설정!$D$24="",0,IFERROR(VALUE(SUBSTITUTE(SUBSTITUTE(INDEX(급여대장_원본!$A$1:$AZ$400,(설정!$B$8+236),설정!$D$24)&amp;"",",",""),"　","")),0))</f>
        <v/>
      </c>
      <c r="N242" s="2">
        <f>IF(OR(설정!$C$17="",IFERROR(MATCH(설정!$C$17,INDEX(급여대장_원본!$A$1:$AZ$400,설정!$B$8,0),0),"")=""),"",IFERROR(VALUE(SUBSTITUTE(INDEX(급여대장_원본!$A$1:$AZ$400,(설정!$B$8+236),IFERROR(MATCH(설정!$C$17,INDEX(급여대장_원본!$A$1:$AZ$400,설정!$B$8,0),0),""))&amp;"",",","")),""))</f>
        <v/>
      </c>
      <c r="O242" s="2">
        <f>IF(OR(설정!$C$18="",IFERROR(MATCH(설정!$C$18,INDEX(급여대장_원본!$A$1:$AZ$400,설정!$B$8,0),0),"")=""),"",IFERROR(VALUE(SUBSTITUTE(INDEX(급여대장_원본!$A$1:$AZ$400,(설정!$B$8+236),IFERROR(MATCH(설정!$C$18,INDEX(급여대장_원본!$A$1:$AZ$400,설정!$B$8,0),0),""))&amp;"",",","")),""))</f>
        <v/>
      </c>
      <c r="P242" s="2">
        <f>IF(OR(설정!$C$19="",IFERROR(MATCH(설정!$C$19,INDEX(급여대장_원본!$A$1:$AZ$400,설정!$B$8,0),0),"")=""),"",IFERROR(VALUE(SUBSTITUTE(INDEX(급여대장_원본!$A$1:$AZ$400,(설정!$B$8+236),IFERROR(MATCH(설정!$C$19,INDEX(급여대장_원본!$A$1:$AZ$400,설정!$B$8,0),0),""))&amp;"",",","")),""))</f>
        <v/>
      </c>
      <c r="Q242" s="2">
        <f>IF(OR(설정!$C$20="",IFERROR(MATCH(설정!$C$20,INDEX(급여대장_원본!$A$1:$AZ$400,설정!$B$8,0),0),"")=""),"",IFERROR(VALUE(SUBSTITUTE(INDEX(급여대장_원본!$A$1:$AZ$400,(설정!$B$8+236),IFERROR(MATCH(설정!$C$20,INDEX(급여대장_원본!$A$1:$AZ$400,설정!$B$8,0),0),""))&amp;"",",","")),""))</f>
        <v/>
      </c>
      <c r="R242" s="2">
        <f>IF(OR(설정!$C$21="",IFERROR(MATCH(설정!$C$21,INDEX(급여대장_원본!$A$1:$AZ$400,설정!$B$8,0),0),"")=""),"",IFERROR(VALUE(SUBSTITUTE(INDEX(급여대장_원본!$A$1:$AZ$400,(설정!$B$8+236),IFERROR(MATCH(설정!$C$21,INDEX(급여대장_원본!$A$1:$AZ$400,설정!$B$8,0),0),""))&amp;"",",","")),""))</f>
        <v/>
      </c>
      <c r="S242" s="2">
        <f>IF(OR(설정!$C$22="",IFERROR(MATCH(설정!$C$22,INDEX(급여대장_원본!$A$1:$AZ$400,설정!$B$8,0),0),"")=""),"",IFERROR(VALUE(SUBSTITUTE(INDEX(급여대장_원본!$A$1:$AZ$400,(설정!$B$8+236),IFERROR(MATCH(설정!$C$22,INDEX(급여대장_원본!$A$1:$AZ$400,설정!$B$8,0),0),""))&amp;"",",","")),""))</f>
        <v/>
      </c>
      <c r="T242" s="2">
        <f>IF(OR(설정!$C$23="",IFERROR(MATCH(설정!$C$23,INDEX(급여대장_원본!$A$1:$AZ$400,설정!$B$8,0),0),"")=""),"",IFERROR(VALUE(SUBSTITUTE(INDEX(급여대장_원본!$A$1:$AZ$400,(설정!$B$8+236),IFERROR(MATCH(설정!$C$23,INDEX(급여대장_원본!$A$1:$AZ$400,설정!$B$8,0),0),""))&amp;"",",","")),""))</f>
        <v/>
      </c>
      <c r="U242" s="2">
        <f>IF(OR(설정!$C$24="",IFERROR(MATCH(설정!$C$24,INDEX(급여대장_원본!$A$1:$AZ$400,설정!$B$8,0),0),"")=""),"",IFERROR(VALUE(SUBSTITUTE(INDEX(급여대장_원본!$A$1:$AZ$400,(설정!$B$8+236),IFERROR(MATCH(설정!$C$24,INDEX(급여대장_원본!$A$1:$AZ$400,설정!$B$8,0),0),""))&amp;"",",","")),""))</f>
        <v/>
      </c>
      <c r="V242" s="27">
        <f>SUM(F242:M242)</f>
        <v/>
      </c>
      <c r="W242" s="27">
        <f>IF(설정!$D$26="",0,IFERROR(VALUE(SUBSTITUTE(SUBSTITUTE(INDEX(급여대장_원본!$A$1:$AZ$400,(설정!$B$8+236),설정!$D$26)&amp;"",",",""),"　","")),0))</f>
        <v/>
      </c>
      <c r="X242" s="27">
        <f>IF(설정!$D$27="",0,IFERROR(VALUE(SUBSTITUTE(SUBSTITUTE(INDEX(급여대장_원본!$A$1:$AZ$400,(설정!$B$8+236),설정!$D$27)&amp;"",",",""),"　","")),0))</f>
        <v/>
      </c>
      <c r="Y242" s="27">
        <f>IF(설정!$D$28="",0,IFERROR(VALUE(SUBSTITUTE(SUBSTITUTE(INDEX(급여대장_원본!$A$1:$AZ$400,(설정!$B$8+236),설정!$D$28)&amp;"",",",""),"　","")),0))</f>
        <v/>
      </c>
      <c r="Z242" s="27">
        <f>IF(설정!$D$29="",0,IFERROR(VALUE(SUBSTITUTE(SUBSTITUTE(INDEX(급여대장_원본!$A$1:$AZ$400,(설정!$B$8+236),설정!$D$29)&amp;"",",",""),"　","")),0))</f>
        <v/>
      </c>
      <c r="AA242" s="27">
        <f>IF(설정!$D$30="",0,IFERROR(VALUE(SUBSTITUTE(SUBSTITUTE(INDEX(급여대장_원본!$A$1:$AZ$400,(설정!$B$8+236),설정!$D$30)&amp;"",",",""),"　","")),0))</f>
        <v/>
      </c>
      <c r="AB242" s="27">
        <f>IF(설정!$D$31="",0,IFERROR(VALUE(SUBSTITUTE(SUBSTITUTE(INDEX(급여대장_원본!$A$1:$AZ$400,(설정!$B$8+236),설정!$D$31)&amp;"",",",""),"　","")),0))</f>
        <v/>
      </c>
      <c r="AC242" s="27">
        <f>IF(설정!$D$32="",0,IFERROR(VALUE(SUBSTITUTE(SUBSTITUTE(INDEX(급여대장_원본!$A$1:$AZ$400,(설정!$B$8+236),설정!$D$32)&amp;"",",",""),"　","")),0))</f>
        <v/>
      </c>
      <c r="AD242" s="27">
        <f>IF(설정!$D$33="",0,IFERROR(VALUE(SUBSTITUTE(SUBSTITUTE(INDEX(급여대장_원본!$A$1:$AZ$400,(설정!$B$8+236),설정!$D$33)&amp;"",",",""),"　","")),0))</f>
        <v/>
      </c>
      <c r="AE242" s="27">
        <f>SUM(W242:AD242)</f>
        <v/>
      </c>
      <c r="AF242" s="27">
        <f>V242-AE242</f>
        <v/>
      </c>
      <c r="AG242" s="27">
        <f>IF(설정!$D$35="","",IF(설정!$D$35="",0,IFERROR(VALUE(SUBSTITUTE(SUBSTITUTE(INDEX(급여대장_원본!$A$1:$AZ$400,(설정!$B$8+236),설정!$D$35)&amp;"",",",""),"　","")),0)))</f>
        <v/>
      </c>
      <c r="AH242" s="27">
        <f>IF(설정!$D$36="","",IF(설정!$D$36="",0,IFERROR(VALUE(SUBSTITUTE(SUBSTITUTE(INDEX(급여대장_원본!$A$1:$AZ$400,(설정!$B$8+236),설정!$D$36)&amp;"",",",""),"　","")),0)))</f>
        <v/>
      </c>
      <c r="AI242" s="27">
        <f>IF(설정!$D$37="","",IF(설정!$D$37="",0,IFERROR(VALUE(SUBSTITUTE(SUBSTITUTE(INDEX(급여대장_원본!$A$1:$AZ$400,(설정!$B$8+236),설정!$D$37)&amp;"",",",""),"　","")),0)))</f>
        <v/>
      </c>
      <c r="AJ242" s="2">
        <f>IFERROR(INDEX($D$7:$D$306,MATCH(236,$B$7:$B$306,0)),"")</f>
        <v/>
      </c>
    </row>
    <row r="243">
      <c r="A243" s="2">
        <f>IF(AND(D243&lt;&gt;"",D243&lt;&gt;"합계",D243&lt;&gt;"총계",D243&lt;&gt;"소계",D243&lt;&gt;"계"),1,0)</f>
        <v/>
      </c>
      <c r="B243" s="2">
        <f>IF(A243=1,SUM($A$7:A243),"")</f>
        <v/>
      </c>
      <c r="C243" s="2">
        <f>IF(설정!$D$13="","",TRIM(SUBSTITUTE(INDEX(급여대장_원본!$A$1:$AZ$400,(설정!$B$8+237),설정!$D$13)&amp;"","　"," ")))</f>
        <v/>
      </c>
      <c r="D243" s="2">
        <f>IF(설정!$D$14="","",TRIM(SUBSTITUTE(INDEX(급여대장_원본!$A$1:$AZ$400,(설정!$B$8+237),설정!$D$14)&amp;"","　"," ")))</f>
        <v/>
      </c>
      <c r="E243" s="2">
        <f>IF(설정!$D$15="","",TRIM(SUBSTITUTE(INDEX(급여대장_원본!$A$1:$AZ$400,(설정!$B$8+237),설정!$D$15)&amp;"","　"," ")))</f>
        <v/>
      </c>
      <c r="F243" s="27">
        <f>IF(설정!$D$17="",0,IFERROR(VALUE(SUBSTITUTE(SUBSTITUTE(INDEX(급여대장_원본!$A$1:$AZ$400,(설정!$B$8+237),설정!$D$17)&amp;"",",",""),"　","")),0))</f>
        <v/>
      </c>
      <c r="G243" s="27">
        <f>IF(설정!$D$18="",0,IFERROR(VALUE(SUBSTITUTE(SUBSTITUTE(INDEX(급여대장_원본!$A$1:$AZ$400,(설정!$B$8+237),설정!$D$18)&amp;"",",",""),"　","")),0))</f>
        <v/>
      </c>
      <c r="H243" s="27">
        <f>IF(설정!$D$19="",0,IFERROR(VALUE(SUBSTITUTE(SUBSTITUTE(INDEX(급여대장_원본!$A$1:$AZ$400,(설정!$B$8+237),설정!$D$19)&amp;"",",",""),"　","")),0))</f>
        <v/>
      </c>
      <c r="I243" s="27">
        <f>IF(설정!$D$20="",0,IFERROR(VALUE(SUBSTITUTE(SUBSTITUTE(INDEX(급여대장_원본!$A$1:$AZ$400,(설정!$B$8+237),설정!$D$20)&amp;"",",",""),"　","")),0))</f>
        <v/>
      </c>
      <c r="J243" s="27">
        <f>IF(설정!$D$21="",0,IFERROR(VALUE(SUBSTITUTE(SUBSTITUTE(INDEX(급여대장_원본!$A$1:$AZ$400,(설정!$B$8+237),설정!$D$21)&amp;"",",",""),"　","")),0))</f>
        <v/>
      </c>
      <c r="K243" s="27">
        <f>IF(설정!$D$22="",0,IFERROR(VALUE(SUBSTITUTE(SUBSTITUTE(INDEX(급여대장_원본!$A$1:$AZ$400,(설정!$B$8+237),설정!$D$22)&amp;"",",",""),"　","")),0))</f>
        <v/>
      </c>
      <c r="L243" s="27">
        <f>IF(설정!$D$23="",0,IFERROR(VALUE(SUBSTITUTE(SUBSTITUTE(INDEX(급여대장_원본!$A$1:$AZ$400,(설정!$B$8+237),설정!$D$23)&amp;"",",",""),"　","")),0))</f>
        <v/>
      </c>
      <c r="M243" s="27">
        <f>IF(설정!$D$24="",0,IFERROR(VALUE(SUBSTITUTE(SUBSTITUTE(INDEX(급여대장_원본!$A$1:$AZ$400,(설정!$B$8+237),설정!$D$24)&amp;"",",",""),"　","")),0))</f>
        <v/>
      </c>
      <c r="N243" s="2">
        <f>IF(OR(설정!$C$17="",IFERROR(MATCH(설정!$C$17,INDEX(급여대장_원본!$A$1:$AZ$400,설정!$B$8,0),0),"")=""),"",IFERROR(VALUE(SUBSTITUTE(INDEX(급여대장_원본!$A$1:$AZ$400,(설정!$B$8+237),IFERROR(MATCH(설정!$C$17,INDEX(급여대장_원본!$A$1:$AZ$400,설정!$B$8,0),0),""))&amp;"",",","")),""))</f>
        <v/>
      </c>
      <c r="O243" s="2">
        <f>IF(OR(설정!$C$18="",IFERROR(MATCH(설정!$C$18,INDEX(급여대장_원본!$A$1:$AZ$400,설정!$B$8,0),0),"")=""),"",IFERROR(VALUE(SUBSTITUTE(INDEX(급여대장_원본!$A$1:$AZ$400,(설정!$B$8+237),IFERROR(MATCH(설정!$C$18,INDEX(급여대장_원본!$A$1:$AZ$400,설정!$B$8,0),0),""))&amp;"",",","")),""))</f>
        <v/>
      </c>
      <c r="P243" s="2">
        <f>IF(OR(설정!$C$19="",IFERROR(MATCH(설정!$C$19,INDEX(급여대장_원본!$A$1:$AZ$400,설정!$B$8,0),0),"")=""),"",IFERROR(VALUE(SUBSTITUTE(INDEX(급여대장_원본!$A$1:$AZ$400,(설정!$B$8+237),IFERROR(MATCH(설정!$C$19,INDEX(급여대장_원본!$A$1:$AZ$400,설정!$B$8,0),0),""))&amp;"",",","")),""))</f>
        <v/>
      </c>
      <c r="Q243" s="2">
        <f>IF(OR(설정!$C$20="",IFERROR(MATCH(설정!$C$20,INDEX(급여대장_원본!$A$1:$AZ$400,설정!$B$8,0),0),"")=""),"",IFERROR(VALUE(SUBSTITUTE(INDEX(급여대장_원본!$A$1:$AZ$400,(설정!$B$8+237),IFERROR(MATCH(설정!$C$20,INDEX(급여대장_원본!$A$1:$AZ$400,설정!$B$8,0),0),""))&amp;"",",","")),""))</f>
        <v/>
      </c>
      <c r="R243" s="2">
        <f>IF(OR(설정!$C$21="",IFERROR(MATCH(설정!$C$21,INDEX(급여대장_원본!$A$1:$AZ$400,설정!$B$8,0),0),"")=""),"",IFERROR(VALUE(SUBSTITUTE(INDEX(급여대장_원본!$A$1:$AZ$400,(설정!$B$8+237),IFERROR(MATCH(설정!$C$21,INDEX(급여대장_원본!$A$1:$AZ$400,설정!$B$8,0),0),""))&amp;"",",","")),""))</f>
        <v/>
      </c>
      <c r="S243" s="2">
        <f>IF(OR(설정!$C$22="",IFERROR(MATCH(설정!$C$22,INDEX(급여대장_원본!$A$1:$AZ$400,설정!$B$8,0),0),"")=""),"",IFERROR(VALUE(SUBSTITUTE(INDEX(급여대장_원본!$A$1:$AZ$400,(설정!$B$8+237),IFERROR(MATCH(설정!$C$22,INDEX(급여대장_원본!$A$1:$AZ$400,설정!$B$8,0),0),""))&amp;"",",","")),""))</f>
        <v/>
      </c>
      <c r="T243" s="2">
        <f>IF(OR(설정!$C$23="",IFERROR(MATCH(설정!$C$23,INDEX(급여대장_원본!$A$1:$AZ$400,설정!$B$8,0),0),"")=""),"",IFERROR(VALUE(SUBSTITUTE(INDEX(급여대장_원본!$A$1:$AZ$400,(설정!$B$8+237),IFERROR(MATCH(설정!$C$23,INDEX(급여대장_원본!$A$1:$AZ$400,설정!$B$8,0),0),""))&amp;"",",","")),""))</f>
        <v/>
      </c>
      <c r="U243" s="2">
        <f>IF(OR(설정!$C$24="",IFERROR(MATCH(설정!$C$24,INDEX(급여대장_원본!$A$1:$AZ$400,설정!$B$8,0),0),"")=""),"",IFERROR(VALUE(SUBSTITUTE(INDEX(급여대장_원본!$A$1:$AZ$400,(설정!$B$8+237),IFERROR(MATCH(설정!$C$24,INDEX(급여대장_원본!$A$1:$AZ$400,설정!$B$8,0),0),""))&amp;"",",","")),""))</f>
        <v/>
      </c>
      <c r="V243" s="27">
        <f>SUM(F243:M243)</f>
        <v/>
      </c>
      <c r="W243" s="27">
        <f>IF(설정!$D$26="",0,IFERROR(VALUE(SUBSTITUTE(SUBSTITUTE(INDEX(급여대장_원본!$A$1:$AZ$400,(설정!$B$8+237),설정!$D$26)&amp;"",",",""),"　","")),0))</f>
        <v/>
      </c>
      <c r="X243" s="27">
        <f>IF(설정!$D$27="",0,IFERROR(VALUE(SUBSTITUTE(SUBSTITUTE(INDEX(급여대장_원본!$A$1:$AZ$400,(설정!$B$8+237),설정!$D$27)&amp;"",",",""),"　","")),0))</f>
        <v/>
      </c>
      <c r="Y243" s="27">
        <f>IF(설정!$D$28="",0,IFERROR(VALUE(SUBSTITUTE(SUBSTITUTE(INDEX(급여대장_원본!$A$1:$AZ$400,(설정!$B$8+237),설정!$D$28)&amp;"",",",""),"　","")),0))</f>
        <v/>
      </c>
      <c r="Z243" s="27">
        <f>IF(설정!$D$29="",0,IFERROR(VALUE(SUBSTITUTE(SUBSTITUTE(INDEX(급여대장_원본!$A$1:$AZ$400,(설정!$B$8+237),설정!$D$29)&amp;"",",",""),"　","")),0))</f>
        <v/>
      </c>
      <c r="AA243" s="27">
        <f>IF(설정!$D$30="",0,IFERROR(VALUE(SUBSTITUTE(SUBSTITUTE(INDEX(급여대장_원본!$A$1:$AZ$400,(설정!$B$8+237),설정!$D$30)&amp;"",",",""),"　","")),0))</f>
        <v/>
      </c>
      <c r="AB243" s="27">
        <f>IF(설정!$D$31="",0,IFERROR(VALUE(SUBSTITUTE(SUBSTITUTE(INDEX(급여대장_원본!$A$1:$AZ$400,(설정!$B$8+237),설정!$D$31)&amp;"",",",""),"　","")),0))</f>
        <v/>
      </c>
      <c r="AC243" s="27">
        <f>IF(설정!$D$32="",0,IFERROR(VALUE(SUBSTITUTE(SUBSTITUTE(INDEX(급여대장_원본!$A$1:$AZ$400,(설정!$B$8+237),설정!$D$32)&amp;"",",",""),"　","")),0))</f>
        <v/>
      </c>
      <c r="AD243" s="27">
        <f>IF(설정!$D$33="",0,IFERROR(VALUE(SUBSTITUTE(SUBSTITUTE(INDEX(급여대장_원본!$A$1:$AZ$400,(설정!$B$8+237),설정!$D$33)&amp;"",",",""),"　","")),0))</f>
        <v/>
      </c>
      <c r="AE243" s="27">
        <f>SUM(W243:AD243)</f>
        <v/>
      </c>
      <c r="AF243" s="27">
        <f>V243-AE243</f>
        <v/>
      </c>
      <c r="AG243" s="27">
        <f>IF(설정!$D$35="","",IF(설정!$D$35="",0,IFERROR(VALUE(SUBSTITUTE(SUBSTITUTE(INDEX(급여대장_원본!$A$1:$AZ$400,(설정!$B$8+237),설정!$D$35)&amp;"",",",""),"　","")),0)))</f>
        <v/>
      </c>
      <c r="AH243" s="27">
        <f>IF(설정!$D$36="","",IF(설정!$D$36="",0,IFERROR(VALUE(SUBSTITUTE(SUBSTITUTE(INDEX(급여대장_원본!$A$1:$AZ$400,(설정!$B$8+237),설정!$D$36)&amp;"",",",""),"　","")),0)))</f>
        <v/>
      </c>
      <c r="AI243" s="27">
        <f>IF(설정!$D$37="","",IF(설정!$D$37="",0,IFERROR(VALUE(SUBSTITUTE(SUBSTITUTE(INDEX(급여대장_원본!$A$1:$AZ$400,(설정!$B$8+237),설정!$D$37)&amp;"",",",""),"　","")),0)))</f>
        <v/>
      </c>
      <c r="AJ243" s="2">
        <f>IFERROR(INDEX($D$7:$D$306,MATCH(237,$B$7:$B$306,0)),"")</f>
        <v/>
      </c>
    </row>
    <row r="244">
      <c r="A244" s="2">
        <f>IF(AND(D244&lt;&gt;"",D244&lt;&gt;"합계",D244&lt;&gt;"총계",D244&lt;&gt;"소계",D244&lt;&gt;"계"),1,0)</f>
        <v/>
      </c>
      <c r="B244" s="2">
        <f>IF(A244=1,SUM($A$7:A244),"")</f>
        <v/>
      </c>
      <c r="C244" s="2">
        <f>IF(설정!$D$13="","",TRIM(SUBSTITUTE(INDEX(급여대장_원본!$A$1:$AZ$400,(설정!$B$8+238),설정!$D$13)&amp;"","　"," ")))</f>
        <v/>
      </c>
      <c r="D244" s="2">
        <f>IF(설정!$D$14="","",TRIM(SUBSTITUTE(INDEX(급여대장_원본!$A$1:$AZ$400,(설정!$B$8+238),설정!$D$14)&amp;"","　"," ")))</f>
        <v/>
      </c>
      <c r="E244" s="2">
        <f>IF(설정!$D$15="","",TRIM(SUBSTITUTE(INDEX(급여대장_원본!$A$1:$AZ$400,(설정!$B$8+238),설정!$D$15)&amp;"","　"," ")))</f>
        <v/>
      </c>
      <c r="F244" s="27">
        <f>IF(설정!$D$17="",0,IFERROR(VALUE(SUBSTITUTE(SUBSTITUTE(INDEX(급여대장_원본!$A$1:$AZ$400,(설정!$B$8+238),설정!$D$17)&amp;"",",",""),"　","")),0))</f>
        <v/>
      </c>
      <c r="G244" s="27">
        <f>IF(설정!$D$18="",0,IFERROR(VALUE(SUBSTITUTE(SUBSTITUTE(INDEX(급여대장_원본!$A$1:$AZ$400,(설정!$B$8+238),설정!$D$18)&amp;"",",",""),"　","")),0))</f>
        <v/>
      </c>
      <c r="H244" s="27">
        <f>IF(설정!$D$19="",0,IFERROR(VALUE(SUBSTITUTE(SUBSTITUTE(INDEX(급여대장_원본!$A$1:$AZ$400,(설정!$B$8+238),설정!$D$19)&amp;"",",",""),"　","")),0))</f>
        <v/>
      </c>
      <c r="I244" s="27">
        <f>IF(설정!$D$20="",0,IFERROR(VALUE(SUBSTITUTE(SUBSTITUTE(INDEX(급여대장_원본!$A$1:$AZ$400,(설정!$B$8+238),설정!$D$20)&amp;"",",",""),"　","")),0))</f>
        <v/>
      </c>
      <c r="J244" s="27">
        <f>IF(설정!$D$21="",0,IFERROR(VALUE(SUBSTITUTE(SUBSTITUTE(INDEX(급여대장_원본!$A$1:$AZ$400,(설정!$B$8+238),설정!$D$21)&amp;"",",",""),"　","")),0))</f>
        <v/>
      </c>
      <c r="K244" s="27">
        <f>IF(설정!$D$22="",0,IFERROR(VALUE(SUBSTITUTE(SUBSTITUTE(INDEX(급여대장_원본!$A$1:$AZ$400,(설정!$B$8+238),설정!$D$22)&amp;"",",",""),"　","")),0))</f>
        <v/>
      </c>
      <c r="L244" s="27">
        <f>IF(설정!$D$23="",0,IFERROR(VALUE(SUBSTITUTE(SUBSTITUTE(INDEX(급여대장_원본!$A$1:$AZ$400,(설정!$B$8+238),설정!$D$23)&amp;"",",",""),"　","")),0))</f>
        <v/>
      </c>
      <c r="M244" s="27">
        <f>IF(설정!$D$24="",0,IFERROR(VALUE(SUBSTITUTE(SUBSTITUTE(INDEX(급여대장_원본!$A$1:$AZ$400,(설정!$B$8+238),설정!$D$24)&amp;"",",",""),"　","")),0))</f>
        <v/>
      </c>
      <c r="N244" s="2">
        <f>IF(OR(설정!$C$17="",IFERROR(MATCH(설정!$C$17,INDEX(급여대장_원본!$A$1:$AZ$400,설정!$B$8,0),0),"")=""),"",IFERROR(VALUE(SUBSTITUTE(INDEX(급여대장_원본!$A$1:$AZ$400,(설정!$B$8+238),IFERROR(MATCH(설정!$C$17,INDEX(급여대장_원본!$A$1:$AZ$400,설정!$B$8,0),0),""))&amp;"",",","")),""))</f>
        <v/>
      </c>
      <c r="O244" s="2">
        <f>IF(OR(설정!$C$18="",IFERROR(MATCH(설정!$C$18,INDEX(급여대장_원본!$A$1:$AZ$400,설정!$B$8,0),0),"")=""),"",IFERROR(VALUE(SUBSTITUTE(INDEX(급여대장_원본!$A$1:$AZ$400,(설정!$B$8+238),IFERROR(MATCH(설정!$C$18,INDEX(급여대장_원본!$A$1:$AZ$400,설정!$B$8,0),0),""))&amp;"",",","")),""))</f>
        <v/>
      </c>
      <c r="P244" s="2">
        <f>IF(OR(설정!$C$19="",IFERROR(MATCH(설정!$C$19,INDEX(급여대장_원본!$A$1:$AZ$400,설정!$B$8,0),0),"")=""),"",IFERROR(VALUE(SUBSTITUTE(INDEX(급여대장_원본!$A$1:$AZ$400,(설정!$B$8+238),IFERROR(MATCH(설정!$C$19,INDEX(급여대장_원본!$A$1:$AZ$400,설정!$B$8,0),0),""))&amp;"",",","")),""))</f>
        <v/>
      </c>
      <c r="Q244" s="2">
        <f>IF(OR(설정!$C$20="",IFERROR(MATCH(설정!$C$20,INDEX(급여대장_원본!$A$1:$AZ$400,설정!$B$8,0),0),"")=""),"",IFERROR(VALUE(SUBSTITUTE(INDEX(급여대장_원본!$A$1:$AZ$400,(설정!$B$8+238),IFERROR(MATCH(설정!$C$20,INDEX(급여대장_원본!$A$1:$AZ$400,설정!$B$8,0),0),""))&amp;"",",","")),""))</f>
        <v/>
      </c>
      <c r="R244" s="2">
        <f>IF(OR(설정!$C$21="",IFERROR(MATCH(설정!$C$21,INDEX(급여대장_원본!$A$1:$AZ$400,설정!$B$8,0),0),"")=""),"",IFERROR(VALUE(SUBSTITUTE(INDEX(급여대장_원본!$A$1:$AZ$400,(설정!$B$8+238),IFERROR(MATCH(설정!$C$21,INDEX(급여대장_원본!$A$1:$AZ$400,설정!$B$8,0),0),""))&amp;"",",","")),""))</f>
        <v/>
      </c>
      <c r="S244" s="2">
        <f>IF(OR(설정!$C$22="",IFERROR(MATCH(설정!$C$22,INDEX(급여대장_원본!$A$1:$AZ$400,설정!$B$8,0),0),"")=""),"",IFERROR(VALUE(SUBSTITUTE(INDEX(급여대장_원본!$A$1:$AZ$400,(설정!$B$8+238),IFERROR(MATCH(설정!$C$22,INDEX(급여대장_원본!$A$1:$AZ$400,설정!$B$8,0),0),""))&amp;"",",","")),""))</f>
        <v/>
      </c>
      <c r="T244" s="2">
        <f>IF(OR(설정!$C$23="",IFERROR(MATCH(설정!$C$23,INDEX(급여대장_원본!$A$1:$AZ$400,설정!$B$8,0),0),"")=""),"",IFERROR(VALUE(SUBSTITUTE(INDEX(급여대장_원본!$A$1:$AZ$400,(설정!$B$8+238),IFERROR(MATCH(설정!$C$23,INDEX(급여대장_원본!$A$1:$AZ$400,설정!$B$8,0),0),""))&amp;"",",","")),""))</f>
        <v/>
      </c>
      <c r="U244" s="2">
        <f>IF(OR(설정!$C$24="",IFERROR(MATCH(설정!$C$24,INDEX(급여대장_원본!$A$1:$AZ$400,설정!$B$8,0),0),"")=""),"",IFERROR(VALUE(SUBSTITUTE(INDEX(급여대장_원본!$A$1:$AZ$400,(설정!$B$8+238),IFERROR(MATCH(설정!$C$24,INDEX(급여대장_원본!$A$1:$AZ$400,설정!$B$8,0),0),""))&amp;"",",","")),""))</f>
        <v/>
      </c>
      <c r="V244" s="27">
        <f>SUM(F244:M244)</f>
        <v/>
      </c>
      <c r="W244" s="27">
        <f>IF(설정!$D$26="",0,IFERROR(VALUE(SUBSTITUTE(SUBSTITUTE(INDEX(급여대장_원본!$A$1:$AZ$400,(설정!$B$8+238),설정!$D$26)&amp;"",",",""),"　","")),0))</f>
        <v/>
      </c>
      <c r="X244" s="27">
        <f>IF(설정!$D$27="",0,IFERROR(VALUE(SUBSTITUTE(SUBSTITUTE(INDEX(급여대장_원본!$A$1:$AZ$400,(설정!$B$8+238),설정!$D$27)&amp;"",",",""),"　","")),0))</f>
        <v/>
      </c>
      <c r="Y244" s="27">
        <f>IF(설정!$D$28="",0,IFERROR(VALUE(SUBSTITUTE(SUBSTITUTE(INDEX(급여대장_원본!$A$1:$AZ$400,(설정!$B$8+238),설정!$D$28)&amp;"",",",""),"　","")),0))</f>
        <v/>
      </c>
      <c r="Z244" s="27">
        <f>IF(설정!$D$29="",0,IFERROR(VALUE(SUBSTITUTE(SUBSTITUTE(INDEX(급여대장_원본!$A$1:$AZ$400,(설정!$B$8+238),설정!$D$29)&amp;"",",",""),"　","")),0))</f>
        <v/>
      </c>
      <c r="AA244" s="27">
        <f>IF(설정!$D$30="",0,IFERROR(VALUE(SUBSTITUTE(SUBSTITUTE(INDEX(급여대장_원본!$A$1:$AZ$400,(설정!$B$8+238),설정!$D$30)&amp;"",",",""),"　","")),0))</f>
        <v/>
      </c>
      <c r="AB244" s="27">
        <f>IF(설정!$D$31="",0,IFERROR(VALUE(SUBSTITUTE(SUBSTITUTE(INDEX(급여대장_원본!$A$1:$AZ$400,(설정!$B$8+238),설정!$D$31)&amp;"",",",""),"　","")),0))</f>
        <v/>
      </c>
      <c r="AC244" s="27">
        <f>IF(설정!$D$32="",0,IFERROR(VALUE(SUBSTITUTE(SUBSTITUTE(INDEX(급여대장_원본!$A$1:$AZ$400,(설정!$B$8+238),설정!$D$32)&amp;"",",",""),"　","")),0))</f>
        <v/>
      </c>
      <c r="AD244" s="27">
        <f>IF(설정!$D$33="",0,IFERROR(VALUE(SUBSTITUTE(SUBSTITUTE(INDEX(급여대장_원본!$A$1:$AZ$400,(설정!$B$8+238),설정!$D$33)&amp;"",",",""),"　","")),0))</f>
        <v/>
      </c>
      <c r="AE244" s="27">
        <f>SUM(W244:AD244)</f>
        <v/>
      </c>
      <c r="AF244" s="27">
        <f>V244-AE244</f>
        <v/>
      </c>
      <c r="AG244" s="27">
        <f>IF(설정!$D$35="","",IF(설정!$D$35="",0,IFERROR(VALUE(SUBSTITUTE(SUBSTITUTE(INDEX(급여대장_원본!$A$1:$AZ$400,(설정!$B$8+238),설정!$D$35)&amp;"",",",""),"　","")),0)))</f>
        <v/>
      </c>
      <c r="AH244" s="27">
        <f>IF(설정!$D$36="","",IF(설정!$D$36="",0,IFERROR(VALUE(SUBSTITUTE(SUBSTITUTE(INDEX(급여대장_원본!$A$1:$AZ$400,(설정!$B$8+238),설정!$D$36)&amp;"",",",""),"　","")),0)))</f>
        <v/>
      </c>
      <c r="AI244" s="27">
        <f>IF(설정!$D$37="","",IF(설정!$D$37="",0,IFERROR(VALUE(SUBSTITUTE(SUBSTITUTE(INDEX(급여대장_원본!$A$1:$AZ$400,(설정!$B$8+238),설정!$D$37)&amp;"",",",""),"　","")),0)))</f>
        <v/>
      </c>
      <c r="AJ244" s="2">
        <f>IFERROR(INDEX($D$7:$D$306,MATCH(238,$B$7:$B$306,0)),"")</f>
        <v/>
      </c>
    </row>
    <row r="245">
      <c r="A245" s="2">
        <f>IF(AND(D245&lt;&gt;"",D245&lt;&gt;"합계",D245&lt;&gt;"총계",D245&lt;&gt;"소계",D245&lt;&gt;"계"),1,0)</f>
        <v/>
      </c>
      <c r="B245" s="2">
        <f>IF(A245=1,SUM($A$7:A245),"")</f>
        <v/>
      </c>
      <c r="C245" s="2">
        <f>IF(설정!$D$13="","",TRIM(SUBSTITUTE(INDEX(급여대장_원본!$A$1:$AZ$400,(설정!$B$8+239),설정!$D$13)&amp;"","　"," ")))</f>
        <v/>
      </c>
      <c r="D245" s="2">
        <f>IF(설정!$D$14="","",TRIM(SUBSTITUTE(INDEX(급여대장_원본!$A$1:$AZ$400,(설정!$B$8+239),설정!$D$14)&amp;"","　"," ")))</f>
        <v/>
      </c>
      <c r="E245" s="2">
        <f>IF(설정!$D$15="","",TRIM(SUBSTITUTE(INDEX(급여대장_원본!$A$1:$AZ$400,(설정!$B$8+239),설정!$D$15)&amp;"","　"," ")))</f>
        <v/>
      </c>
      <c r="F245" s="27">
        <f>IF(설정!$D$17="",0,IFERROR(VALUE(SUBSTITUTE(SUBSTITUTE(INDEX(급여대장_원본!$A$1:$AZ$400,(설정!$B$8+239),설정!$D$17)&amp;"",",",""),"　","")),0))</f>
        <v/>
      </c>
      <c r="G245" s="27">
        <f>IF(설정!$D$18="",0,IFERROR(VALUE(SUBSTITUTE(SUBSTITUTE(INDEX(급여대장_원본!$A$1:$AZ$400,(설정!$B$8+239),설정!$D$18)&amp;"",",",""),"　","")),0))</f>
        <v/>
      </c>
      <c r="H245" s="27">
        <f>IF(설정!$D$19="",0,IFERROR(VALUE(SUBSTITUTE(SUBSTITUTE(INDEX(급여대장_원본!$A$1:$AZ$400,(설정!$B$8+239),설정!$D$19)&amp;"",",",""),"　","")),0))</f>
        <v/>
      </c>
      <c r="I245" s="27">
        <f>IF(설정!$D$20="",0,IFERROR(VALUE(SUBSTITUTE(SUBSTITUTE(INDEX(급여대장_원본!$A$1:$AZ$400,(설정!$B$8+239),설정!$D$20)&amp;"",",",""),"　","")),0))</f>
        <v/>
      </c>
      <c r="J245" s="27">
        <f>IF(설정!$D$21="",0,IFERROR(VALUE(SUBSTITUTE(SUBSTITUTE(INDEX(급여대장_원본!$A$1:$AZ$400,(설정!$B$8+239),설정!$D$21)&amp;"",",",""),"　","")),0))</f>
        <v/>
      </c>
      <c r="K245" s="27">
        <f>IF(설정!$D$22="",0,IFERROR(VALUE(SUBSTITUTE(SUBSTITUTE(INDEX(급여대장_원본!$A$1:$AZ$400,(설정!$B$8+239),설정!$D$22)&amp;"",",",""),"　","")),0))</f>
        <v/>
      </c>
      <c r="L245" s="27">
        <f>IF(설정!$D$23="",0,IFERROR(VALUE(SUBSTITUTE(SUBSTITUTE(INDEX(급여대장_원본!$A$1:$AZ$400,(설정!$B$8+239),설정!$D$23)&amp;"",",",""),"　","")),0))</f>
        <v/>
      </c>
      <c r="M245" s="27">
        <f>IF(설정!$D$24="",0,IFERROR(VALUE(SUBSTITUTE(SUBSTITUTE(INDEX(급여대장_원본!$A$1:$AZ$400,(설정!$B$8+239),설정!$D$24)&amp;"",",",""),"　","")),0))</f>
        <v/>
      </c>
      <c r="N245" s="2">
        <f>IF(OR(설정!$C$17="",IFERROR(MATCH(설정!$C$17,INDEX(급여대장_원본!$A$1:$AZ$400,설정!$B$8,0),0),"")=""),"",IFERROR(VALUE(SUBSTITUTE(INDEX(급여대장_원본!$A$1:$AZ$400,(설정!$B$8+239),IFERROR(MATCH(설정!$C$17,INDEX(급여대장_원본!$A$1:$AZ$400,설정!$B$8,0),0),""))&amp;"",",","")),""))</f>
        <v/>
      </c>
      <c r="O245" s="2">
        <f>IF(OR(설정!$C$18="",IFERROR(MATCH(설정!$C$18,INDEX(급여대장_원본!$A$1:$AZ$400,설정!$B$8,0),0),"")=""),"",IFERROR(VALUE(SUBSTITUTE(INDEX(급여대장_원본!$A$1:$AZ$400,(설정!$B$8+239),IFERROR(MATCH(설정!$C$18,INDEX(급여대장_원본!$A$1:$AZ$400,설정!$B$8,0),0),""))&amp;"",",","")),""))</f>
        <v/>
      </c>
      <c r="P245" s="2">
        <f>IF(OR(설정!$C$19="",IFERROR(MATCH(설정!$C$19,INDEX(급여대장_원본!$A$1:$AZ$400,설정!$B$8,0),0),"")=""),"",IFERROR(VALUE(SUBSTITUTE(INDEX(급여대장_원본!$A$1:$AZ$400,(설정!$B$8+239),IFERROR(MATCH(설정!$C$19,INDEX(급여대장_원본!$A$1:$AZ$400,설정!$B$8,0),0),""))&amp;"",",","")),""))</f>
        <v/>
      </c>
      <c r="Q245" s="2">
        <f>IF(OR(설정!$C$20="",IFERROR(MATCH(설정!$C$20,INDEX(급여대장_원본!$A$1:$AZ$400,설정!$B$8,0),0),"")=""),"",IFERROR(VALUE(SUBSTITUTE(INDEX(급여대장_원본!$A$1:$AZ$400,(설정!$B$8+239),IFERROR(MATCH(설정!$C$20,INDEX(급여대장_원본!$A$1:$AZ$400,설정!$B$8,0),0),""))&amp;"",",","")),""))</f>
        <v/>
      </c>
      <c r="R245" s="2">
        <f>IF(OR(설정!$C$21="",IFERROR(MATCH(설정!$C$21,INDEX(급여대장_원본!$A$1:$AZ$400,설정!$B$8,0),0),"")=""),"",IFERROR(VALUE(SUBSTITUTE(INDEX(급여대장_원본!$A$1:$AZ$400,(설정!$B$8+239),IFERROR(MATCH(설정!$C$21,INDEX(급여대장_원본!$A$1:$AZ$400,설정!$B$8,0),0),""))&amp;"",",","")),""))</f>
        <v/>
      </c>
      <c r="S245" s="2">
        <f>IF(OR(설정!$C$22="",IFERROR(MATCH(설정!$C$22,INDEX(급여대장_원본!$A$1:$AZ$400,설정!$B$8,0),0),"")=""),"",IFERROR(VALUE(SUBSTITUTE(INDEX(급여대장_원본!$A$1:$AZ$400,(설정!$B$8+239),IFERROR(MATCH(설정!$C$22,INDEX(급여대장_원본!$A$1:$AZ$400,설정!$B$8,0),0),""))&amp;"",",","")),""))</f>
        <v/>
      </c>
      <c r="T245" s="2">
        <f>IF(OR(설정!$C$23="",IFERROR(MATCH(설정!$C$23,INDEX(급여대장_원본!$A$1:$AZ$400,설정!$B$8,0),0),"")=""),"",IFERROR(VALUE(SUBSTITUTE(INDEX(급여대장_원본!$A$1:$AZ$400,(설정!$B$8+239),IFERROR(MATCH(설정!$C$23,INDEX(급여대장_원본!$A$1:$AZ$400,설정!$B$8,0),0),""))&amp;"",",","")),""))</f>
        <v/>
      </c>
      <c r="U245" s="2">
        <f>IF(OR(설정!$C$24="",IFERROR(MATCH(설정!$C$24,INDEX(급여대장_원본!$A$1:$AZ$400,설정!$B$8,0),0),"")=""),"",IFERROR(VALUE(SUBSTITUTE(INDEX(급여대장_원본!$A$1:$AZ$400,(설정!$B$8+239),IFERROR(MATCH(설정!$C$24,INDEX(급여대장_원본!$A$1:$AZ$400,설정!$B$8,0),0),""))&amp;"",",","")),""))</f>
        <v/>
      </c>
      <c r="V245" s="27">
        <f>SUM(F245:M245)</f>
        <v/>
      </c>
      <c r="W245" s="27">
        <f>IF(설정!$D$26="",0,IFERROR(VALUE(SUBSTITUTE(SUBSTITUTE(INDEX(급여대장_원본!$A$1:$AZ$400,(설정!$B$8+239),설정!$D$26)&amp;"",",",""),"　","")),0))</f>
        <v/>
      </c>
      <c r="X245" s="27">
        <f>IF(설정!$D$27="",0,IFERROR(VALUE(SUBSTITUTE(SUBSTITUTE(INDEX(급여대장_원본!$A$1:$AZ$400,(설정!$B$8+239),설정!$D$27)&amp;"",",",""),"　","")),0))</f>
        <v/>
      </c>
      <c r="Y245" s="27">
        <f>IF(설정!$D$28="",0,IFERROR(VALUE(SUBSTITUTE(SUBSTITUTE(INDEX(급여대장_원본!$A$1:$AZ$400,(설정!$B$8+239),설정!$D$28)&amp;"",",",""),"　","")),0))</f>
        <v/>
      </c>
      <c r="Z245" s="27">
        <f>IF(설정!$D$29="",0,IFERROR(VALUE(SUBSTITUTE(SUBSTITUTE(INDEX(급여대장_원본!$A$1:$AZ$400,(설정!$B$8+239),설정!$D$29)&amp;"",",",""),"　","")),0))</f>
        <v/>
      </c>
      <c r="AA245" s="27">
        <f>IF(설정!$D$30="",0,IFERROR(VALUE(SUBSTITUTE(SUBSTITUTE(INDEX(급여대장_원본!$A$1:$AZ$400,(설정!$B$8+239),설정!$D$30)&amp;"",",",""),"　","")),0))</f>
        <v/>
      </c>
      <c r="AB245" s="27">
        <f>IF(설정!$D$31="",0,IFERROR(VALUE(SUBSTITUTE(SUBSTITUTE(INDEX(급여대장_원본!$A$1:$AZ$400,(설정!$B$8+239),설정!$D$31)&amp;"",",",""),"　","")),0))</f>
        <v/>
      </c>
      <c r="AC245" s="27">
        <f>IF(설정!$D$32="",0,IFERROR(VALUE(SUBSTITUTE(SUBSTITUTE(INDEX(급여대장_원본!$A$1:$AZ$400,(설정!$B$8+239),설정!$D$32)&amp;"",",",""),"　","")),0))</f>
        <v/>
      </c>
      <c r="AD245" s="27">
        <f>IF(설정!$D$33="",0,IFERROR(VALUE(SUBSTITUTE(SUBSTITUTE(INDEX(급여대장_원본!$A$1:$AZ$400,(설정!$B$8+239),설정!$D$33)&amp;"",",",""),"　","")),0))</f>
        <v/>
      </c>
      <c r="AE245" s="27">
        <f>SUM(W245:AD245)</f>
        <v/>
      </c>
      <c r="AF245" s="27">
        <f>V245-AE245</f>
        <v/>
      </c>
      <c r="AG245" s="27">
        <f>IF(설정!$D$35="","",IF(설정!$D$35="",0,IFERROR(VALUE(SUBSTITUTE(SUBSTITUTE(INDEX(급여대장_원본!$A$1:$AZ$400,(설정!$B$8+239),설정!$D$35)&amp;"",",",""),"　","")),0)))</f>
        <v/>
      </c>
      <c r="AH245" s="27">
        <f>IF(설정!$D$36="","",IF(설정!$D$36="",0,IFERROR(VALUE(SUBSTITUTE(SUBSTITUTE(INDEX(급여대장_원본!$A$1:$AZ$400,(설정!$B$8+239),설정!$D$36)&amp;"",",",""),"　","")),0)))</f>
        <v/>
      </c>
      <c r="AI245" s="27">
        <f>IF(설정!$D$37="","",IF(설정!$D$37="",0,IFERROR(VALUE(SUBSTITUTE(SUBSTITUTE(INDEX(급여대장_원본!$A$1:$AZ$400,(설정!$B$8+239),설정!$D$37)&amp;"",",",""),"　","")),0)))</f>
        <v/>
      </c>
      <c r="AJ245" s="2">
        <f>IFERROR(INDEX($D$7:$D$306,MATCH(239,$B$7:$B$306,0)),"")</f>
        <v/>
      </c>
    </row>
    <row r="246">
      <c r="A246" s="2">
        <f>IF(AND(D246&lt;&gt;"",D246&lt;&gt;"합계",D246&lt;&gt;"총계",D246&lt;&gt;"소계",D246&lt;&gt;"계"),1,0)</f>
        <v/>
      </c>
      <c r="B246" s="2">
        <f>IF(A246=1,SUM($A$7:A246),"")</f>
        <v/>
      </c>
      <c r="C246" s="2">
        <f>IF(설정!$D$13="","",TRIM(SUBSTITUTE(INDEX(급여대장_원본!$A$1:$AZ$400,(설정!$B$8+240),설정!$D$13)&amp;"","　"," ")))</f>
        <v/>
      </c>
      <c r="D246" s="2">
        <f>IF(설정!$D$14="","",TRIM(SUBSTITUTE(INDEX(급여대장_원본!$A$1:$AZ$400,(설정!$B$8+240),설정!$D$14)&amp;"","　"," ")))</f>
        <v/>
      </c>
      <c r="E246" s="2">
        <f>IF(설정!$D$15="","",TRIM(SUBSTITUTE(INDEX(급여대장_원본!$A$1:$AZ$400,(설정!$B$8+240),설정!$D$15)&amp;"","　"," ")))</f>
        <v/>
      </c>
      <c r="F246" s="27">
        <f>IF(설정!$D$17="",0,IFERROR(VALUE(SUBSTITUTE(SUBSTITUTE(INDEX(급여대장_원본!$A$1:$AZ$400,(설정!$B$8+240),설정!$D$17)&amp;"",",",""),"　","")),0))</f>
        <v/>
      </c>
      <c r="G246" s="27">
        <f>IF(설정!$D$18="",0,IFERROR(VALUE(SUBSTITUTE(SUBSTITUTE(INDEX(급여대장_원본!$A$1:$AZ$400,(설정!$B$8+240),설정!$D$18)&amp;"",",",""),"　","")),0))</f>
        <v/>
      </c>
      <c r="H246" s="27">
        <f>IF(설정!$D$19="",0,IFERROR(VALUE(SUBSTITUTE(SUBSTITUTE(INDEX(급여대장_원본!$A$1:$AZ$400,(설정!$B$8+240),설정!$D$19)&amp;"",",",""),"　","")),0))</f>
        <v/>
      </c>
      <c r="I246" s="27">
        <f>IF(설정!$D$20="",0,IFERROR(VALUE(SUBSTITUTE(SUBSTITUTE(INDEX(급여대장_원본!$A$1:$AZ$400,(설정!$B$8+240),설정!$D$20)&amp;"",",",""),"　","")),0))</f>
        <v/>
      </c>
      <c r="J246" s="27">
        <f>IF(설정!$D$21="",0,IFERROR(VALUE(SUBSTITUTE(SUBSTITUTE(INDEX(급여대장_원본!$A$1:$AZ$400,(설정!$B$8+240),설정!$D$21)&amp;"",",",""),"　","")),0))</f>
        <v/>
      </c>
      <c r="K246" s="27">
        <f>IF(설정!$D$22="",0,IFERROR(VALUE(SUBSTITUTE(SUBSTITUTE(INDEX(급여대장_원본!$A$1:$AZ$400,(설정!$B$8+240),설정!$D$22)&amp;"",",",""),"　","")),0))</f>
        <v/>
      </c>
      <c r="L246" s="27">
        <f>IF(설정!$D$23="",0,IFERROR(VALUE(SUBSTITUTE(SUBSTITUTE(INDEX(급여대장_원본!$A$1:$AZ$400,(설정!$B$8+240),설정!$D$23)&amp;"",",",""),"　","")),0))</f>
        <v/>
      </c>
      <c r="M246" s="27">
        <f>IF(설정!$D$24="",0,IFERROR(VALUE(SUBSTITUTE(SUBSTITUTE(INDEX(급여대장_원본!$A$1:$AZ$400,(설정!$B$8+240),설정!$D$24)&amp;"",",",""),"　","")),0))</f>
        <v/>
      </c>
      <c r="N246" s="2">
        <f>IF(OR(설정!$C$17="",IFERROR(MATCH(설정!$C$17,INDEX(급여대장_원본!$A$1:$AZ$400,설정!$B$8,0),0),"")=""),"",IFERROR(VALUE(SUBSTITUTE(INDEX(급여대장_원본!$A$1:$AZ$400,(설정!$B$8+240),IFERROR(MATCH(설정!$C$17,INDEX(급여대장_원본!$A$1:$AZ$400,설정!$B$8,0),0),""))&amp;"",",","")),""))</f>
        <v/>
      </c>
      <c r="O246" s="2">
        <f>IF(OR(설정!$C$18="",IFERROR(MATCH(설정!$C$18,INDEX(급여대장_원본!$A$1:$AZ$400,설정!$B$8,0),0),"")=""),"",IFERROR(VALUE(SUBSTITUTE(INDEX(급여대장_원본!$A$1:$AZ$400,(설정!$B$8+240),IFERROR(MATCH(설정!$C$18,INDEX(급여대장_원본!$A$1:$AZ$400,설정!$B$8,0),0),""))&amp;"",",","")),""))</f>
        <v/>
      </c>
      <c r="P246" s="2">
        <f>IF(OR(설정!$C$19="",IFERROR(MATCH(설정!$C$19,INDEX(급여대장_원본!$A$1:$AZ$400,설정!$B$8,0),0),"")=""),"",IFERROR(VALUE(SUBSTITUTE(INDEX(급여대장_원본!$A$1:$AZ$400,(설정!$B$8+240),IFERROR(MATCH(설정!$C$19,INDEX(급여대장_원본!$A$1:$AZ$400,설정!$B$8,0),0),""))&amp;"",",","")),""))</f>
        <v/>
      </c>
      <c r="Q246" s="2">
        <f>IF(OR(설정!$C$20="",IFERROR(MATCH(설정!$C$20,INDEX(급여대장_원본!$A$1:$AZ$400,설정!$B$8,0),0),"")=""),"",IFERROR(VALUE(SUBSTITUTE(INDEX(급여대장_원본!$A$1:$AZ$400,(설정!$B$8+240),IFERROR(MATCH(설정!$C$20,INDEX(급여대장_원본!$A$1:$AZ$400,설정!$B$8,0),0),""))&amp;"",",","")),""))</f>
        <v/>
      </c>
      <c r="R246" s="2">
        <f>IF(OR(설정!$C$21="",IFERROR(MATCH(설정!$C$21,INDEX(급여대장_원본!$A$1:$AZ$400,설정!$B$8,0),0),"")=""),"",IFERROR(VALUE(SUBSTITUTE(INDEX(급여대장_원본!$A$1:$AZ$400,(설정!$B$8+240),IFERROR(MATCH(설정!$C$21,INDEX(급여대장_원본!$A$1:$AZ$400,설정!$B$8,0),0),""))&amp;"",",","")),""))</f>
        <v/>
      </c>
      <c r="S246" s="2">
        <f>IF(OR(설정!$C$22="",IFERROR(MATCH(설정!$C$22,INDEX(급여대장_원본!$A$1:$AZ$400,설정!$B$8,0),0),"")=""),"",IFERROR(VALUE(SUBSTITUTE(INDEX(급여대장_원본!$A$1:$AZ$400,(설정!$B$8+240),IFERROR(MATCH(설정!$C$22,INDEX(급여대장_원본!$A$1:$AZ$400,설정!$B$8,0),0),""))&amp;"",",","")),""))</f>
        <v/>
      </c>
      <c r="T246" s="2">
        <f>IF(OR(설정!$C$23="",IFERROR(MATCH(설정!$C$23,INDEX(급여대장_원본!$A$1:$AZ$400,설정!$B$8,0),0),"")=""),"",IFERROR(VALUE(SUBSTITUTE(INDEX(급여대장_원본!$A$1:$AZ$400,(설정!$B$8+240),IFERROR(MATCH(설정!$C$23,INDEX(급여대장_원본!$A$1:$AZ$400,설정!$B$8,0),0),""))&amp;"",",","")),""))</f>
        <v/>
      </c>
      <c r="U246" s="2">
        <f>IF(OR(설정!$C$24="",IFERROR(MATCH(설정!$C$24,INDEX(급여대장_원본!$A$1:$AZ$400,설정!$B$8,0),0),"")=""),"",IFERROR(VALUE(SUBSTITUTE(INDEX(급여대장_원본!$A$1:$AZ$400,(설정!$B$8+240),IFERROR(MATCH(설정!$C$24,INDEX(급여대장_원본!$A$1:$AZ$400,설정!$B$8,0),0),""))&amp;"",",","")),""))</f>
        <v/>
      </c>
      <c r="V246" s="27">
        <f>SUM(F246:M246)</f>
        <v/>
      </c>
      <c r="W246" s="27">
        <f>IF(설정!$D$26="",0,IFERROR(VALUE(SUBSTITUTE(SUBSTITUTE(INDEX(급여대장_원본!$A$1:$AZ$400,(설정!$B$8+240),설정!$D$26)&amp;"",",",""),"　","")),0))</f>
        <v/>
      </c>
      <c r="X246" s="27">
        <f>IF(설정!$D$27="",0,IFERROR(VALUE(SUBSTITUTE(SUBSTITUTE(INDEX(급여대장_원본!$A$1:$AZ$400,(설정!$B$8+240),설정!$D$27)&amp;"",",",""),"　","")),0))</f>
        <v/>
      </c>
      <c r="Y246" s="27">
        <f>IF(설정!$D$28="",0,IFERROR(VALUE(SUBSTITUTE(SUBSTITUTE(INDEX(급여대장_원본!$A$1:$AZ$400,(설정!$B$8+240),설정!$D$28)&amp;"",",",""),"　","")),0))</f>
        <v/>
      </c>
      <c r="Z246" s="27">
        <f>IF(설정!$D$29="",0,IFERROR(VALUE(SUBSTITUTE(SUBSTITUTE(INDEX(급여대장_원본!$A$1:$AZ$400,(설정!$B$8+240),설정!$D$29)&amp;"",",",""),"　","")),0))</f>
        <v/>
      </c>
      <c r="AA246" s="27">
        <f>IF(설정!$D$30="",0,IFERROR(VALUE(SUBSTITUTE(SUBSTITUTE(INDEX(급여대장_원본!$A$1:$AZ$400,(설정!$B$8+240),설정!$D$30)&amp;"",",",""),"　","")),0))</f>
        <v/>
      </c>
      <c r="AB246" s="27">
        <f>IF(설정!$D$31="",0,IFERROR(VALUE(SUBSTITUTE(SUBSTITUTE(INDEX(급여대장_원본!$A$1:$AZ$400,(설정!$B$8+240),설정!$D$31)&amp;"",",",""),"　","")),0))</f>
        <v/>
      </c>
      <c r="AC246" s="27">
        <f>IF(설정!$D$32="",0,IFERROR(VALUE(SUBSTITUTE(SUBSTITUTE(INDEX(급여대장_원본!$A$1:$AZ$400,(설정!$B$8+240),설정!$D$32)&amp;"",",",""),"　","")),0))</f>
        <v/>
      </c>
      <c r="AD246" s="27">
        <f>IF(설정!$D$33="",0,IFERROR(VALUE(SUBSTITUTE(SUBSTITUTE(INDEX(급여대장_원본!$A$1:$AZ$400,(설정!$B$8+240),설정!$D$33)&amp;"",",",""),"　","")),0))</f>
        <v/>
      </c>
      <c r="AE246" s="27">
        <f>SUM(W246:AD246)</f>
        <v/>
      </c>
      <c r="AF246" s="27">
        <f>V246-AE246</f>
        <v/>
      </c>
      <c r="AG246" s="27">
        <f>IF(설정!$D$35="","",IF(설정!$D$35="",0,IFERROR(VALUE(SUBSTITUTE(SUBSTITUTE(INDEX(급여대장_원본!$A$1:$AZ$400,(설정!$B$8+240),설정!$D$35)&amp;"",",",""),"　","")),0)))</f>
        <v/>
      </c>
      <c r="AH246" s="27">
        <f>IF(설정!$D$36="","",IF(설정!$D$36="",0,IFERROR(VALUE(SUBSTITUTE(SUBSTITUTE(INDEX(급여대장_원본!$A$1:$AZ$400,(설정!$B$8+240),설정!$D$36)&amp;"",",",""),"　","")),0)))</f>
        <v/>
      </c>
      <c r="AI246" s="27">
        <f>IF(설정!$D$37="","",IF(설정!$D$37="",0,IFERROR(VALUE(SUBSTITUTE(SUBSTITUTE(INDEX(급여대장_원본!$A$1:$AZ$400,(설정!$B$8+240),설정!$D$37)&amp;"",",",""),"　","")),0)))</f>
        <v/>
      </c>
      <c r="AJ246" s="2">
        <f>IFERROR(INDEX($D$7:$D$306,MATCH(240,$B$7:$B$306,0)),"")</f>
        <v/>
      </c>
    </row>
    <row r="247">
      <c r="A247" s="2">
        <f>IF(AND(D247&lt;&gt;"",D247&lt;&gt;"합계",D247&lt;&gt;"총계",D247&lt;&gt;"소계",D247&lt;&gt;"계"),1,0)</f>
        <v/>
      </c>
      <c r="B247" s="2">
        <f>IF(A247=1,SUM($A$7:A247),"")</f>
        <v/>
      </c>
      <c r="C247" s="2">
        <f>IF(설정!$D$13="","",TRIM(SUBSTITUTE(INDEX(급여대장_원본!$A$1:$AZ$400,(설정!$B$8+241),설정!$D$13)&amp;"","　"," ")))</f>
        <v/>
      </c>
      <c r="D247" s="2">
        <f>IF(설정!$D$14="","",TRIM(SUBSTITUTE(INDEX(급여대장_원본!$A$1:$AZ$400,(설정!$B$8+241),설정!$D$14)&amp;"","　"," ")))</f>
        <v/>
      </c>
      <c r="E247" s="2">
        <f>IF(설정!$D$15="","",TRIM(SUBSTITUTE(INDEX(급여대장_원본!$A$1:$AZ$400,(설정!$B$8+241),설정!$D$15)&amp;"","　"," ")))</f>
        <v/>
      </c>
      <c r="F247" s="27">
        <f>IF(설정!$D$17="",0,IFERROR(VALUE(SUBSTITUTE(SUBSTITUTE(INDEX(급여대장_원본!$A$1:$AZ$400,(설정!$B$8+241),설정!$D$17)&amp;"",",",""),"　","")),0))</f>
        <v/>
      </c>
      <c r="G247" s="27">
        <f>IF(설정!$D$18="",0,IFERROR(VALUE(SUBSTITUTE(SUBSTITUTE(INDEX(급여대장_원본!$A$1:$AZ$400,(설정!$B$8+241),설정!$D$18)&amp;"",",",""),"　","")),0))</f>
        <v/>
      </c>
      <c r="H247" s="27">
        <f>IF(설정!$D$19="",0,IFERROR(VALUE(SUBSTITUTE(SUBSTITUTE(INDEX(급여대장_원본!$A$1:$AZ$400,(설정!$B$8+241),설정!$D$19)&amp;"",",",""),"　","")),0))</f>
        <v/>
      </c>
      <c r="I247" s="27">
        <f>IF(설정!$D$20="",0,IFERROR(VALUE(SUBSTITUTE(SUBSTITUTE(INDEX(급여대장_원본!$A$1:$AZ$400,(설정!$B$8+241),설정!$D$20)&amp;"",",",""),"　","")),0))</f>
        <v/>
      </c>
      <c r="J247" s="27">
        <f>IF(설정!$D$21="",0,IFERROR(VALUE(SUBSTITUTE(SUBSTITUTE(INDEX(급여대장_원본!$A$1:$AZ$400,(설정!$B$8+241),설정!$D$21)&amp;"",",",""),"　","")),0))</f>
        <v/>
      </c>
      <c r="K247" s="27">
        <f>IF(설정!$D$22="",0,IFERROR(VALUE(SUBSTITUTE(SUBSTITUTE(INDEX(급여대장_원본!$A$1:$AZ$400,(설정!$B$8+241),설정!$D$22)&amp;"",",",""),"　","")),0))</f>
        <v/>
      </c>
      <c r="L247" s="27">
        <f>IF(설정!$D$23="",0,IFERROR(VALUE(SUBSTITUTE(SUBSTITUTE(INDEX(급여대장_원본!$A$1:$AZ$400,(설정!$B$8+241),설정!$D$23)&amp;"",",",""),"　","")),0))</f>
        <v/>
      </c>
      <c r="M247" s="27">
        <f>IF(설정!$D$24="",0,IFERROR(VALUE(SUBSTITUTE(SUBSTITUTE(INDEX(급여대장_원본!$A$1:$AZ$400,(설정!$B$8+241),설정!$D$24)&amp;"",",",""),"　","")),0))</f>
        <v/>
      </c>
      <c r="N247" s="2">
        <f>IF(OR(설정!$C$17="",IFERROR(MATCH(설정!$C$17,INDEX(급여대장_원본!$A$1:$AZ$400,설정!$B$8,0),0),"")=""),"",IFERROR(VALUE(SUBSTITUTE(INDEX(급여대장_원본!$A$1:$AZ$400,(설정!$B$8+241),IFERROR(MATCH(설정!$C$17,INDEX(급여대장_원본!$A$1:$AZ$400,설정!$B$8,0),0),""))&amp;"",",","")),""))</f>
        <v/>
      </c>
      <c r="O247" s="2">
        <f>IF(OR(설정!$C$18="",IFERROR(MATCH(설정!$C$18,INDEX(급여대장_원본!$A$1:$AZ$400,설정!$B$8,0),0),"")=""),"",IFERROR(VALUE(SUBSTITUTE(INDEX(급여대장_원본!$A$1:$AZ$400,(설정!$B$8+241),IFERROR(MATCH(설정!$C$18,INDEX(급여대장_원본!$A$1:$AZ$400,설정!$B$8,0),0),""))&amp;"",",","")),""))</f>
        <v/>
      </c>
      <c r="P247" s="2">
        <f>IF(OR(설정!$C$19="",IFERROR(MATCH(설정!$C$19,INDEX(급여대장_원본!$A$1:$AZ$400,설정!$B$8,0),0),"")=""),"",IFERROR(VALUE(SUBSTITUTE(INDEX(급여대장_원본!$A$1:$AZ$400,(설정!$B$8+241),IFERROR(MATCH(설정!$C$19,INDEX(급여대장_원본!$A$1:$AZ$400,설정!$B$8,0),0),""))&amp;"",",","")),""))</f>
        <v/>
      </c>
      <c r="Q247" s="2">
        <f>IF(OR(설정!$C$20="",IFERROR(MATCH(설정!$C$20,INDEX(급여대장_원본!$A$1:$AZ$400,설정!$B$8,0),0),"")=""),"",IFERROR(VALUE(SUBSTITUTE(INDEX(급여대장_원본!$A$1:$AZ$400,(설정!$B$8+241),IFERROR(MATCH(설정!$C$20,INDEX(급여대장_원본!$A$1:$AZ$400,설정!$B$8,0),0),""))&amp;"",",","")),""))</f>
        <v/>
      </c>
      <c r="R247" s="2">
        <f>IF(OR(설정!$C$21="",IFERROR(MATCH(설정!$C$21,INDEX(급여대장_원본!$A$1:$AZ$400,설정!$B$8,0),0),"")=""),"",IFERROR(VALUE(SUBSTITUTE(INDEX(급여대장_원본!$A$1:$AZ$400,(설정!$B$8+241),IFERROR(MATCH(설정!$C$21,INDEX(급여대장_원본!$A$1:$AZ$400,설정!$B$8,0),0),""))&amp;"",",","")),""))</f>
        <v/>
      </c>
      <c r="S247" s="2">
        <f>IF(OR(설정!$C$22="",IFERROR(MATCH(설정!$C$22,INDEX(급여대장_원본!$A$1:$AZ$400,설정!$B$8,0),0),"")=""),"",IFERROR(VALUE(SUBSTITUTE(INDEX(급여대장_원본!$A$1:$AZ$400,(설정!$B$8+241),IFERROR(MATCH(설정!$C$22,INDEX(급여대장_원본!$A$1:$AZ$400,설정!$B$8,0),0),""))&amp;"",",","")),""))</f>
        <v/>
      </c>
      <c r="T247" s="2">
        <f>IF(OR(설정!$C$23="",IFERROR(MATCH(설정!$C$23,INDEX(급여대장_원본!$A$1:$AZ$400,설정!$B$8,0),0),"")=""),"",IFERROR(VALUE(SUBSTITUTE(INDEX(급여대장_원본!$A$1:$AZ$400,(설정!$B$8+241),IFERROR(MATCH(설정!$C$23,INDEX(급여대장_원본!$A$1:$AZ$400,설정!$B$8,0),0),""))&amp;"",",","")),""))</f>
        <v/>
      </c>
      <c r="U247" s="2">
        <f>IF(OR(설정!$C$24="",IFERROR(MATCH(설정!$C$24,INDEX(급여대장_원본!$A$1:$AZ$400,설정!$B$8,0),0),"")=""),"",IFERROR(VALUE(SUBSTITUTE(INDEX(급여대장_원본!$A$1:$AZ$400,(설정!$B$8+241),IFERROR(MATCH(설정!$C$24,INDEX(급여대장_원본!$A$1:$AZ$400,설정!$B$8,0),0),""))&amp;"",",","")),""))</f>
        <v/>
      </c>
      <c r="V247" s="27">
        <f>SUM(F247:M247)</f>
        <v/>
      </c>
      <c r="W247" s="27">
        <f>IF(설정!$D$26="",0,IFERROR(VALUE(SUBSTITUTE(SUBSTITUTE(INDEX(급여대장_원본!$A$1:$AZ$400,(설정!$B$8+241),설정!$D$26)&amp;"",",",""),"　","")),0))</f>
        <v/>
      </c>
      <c r="X247" s="27">
        <f>IF(설정!$D$27="",0,IFERROR(VALUE(SUBSTITUTE(SUBSTITUTE(INDEX(급여대장_원본!$A$1:$AZ$400,(설정!$B$8+241),설정!$D$27)&amp;"",",",""),"　","")),0))</f>
        <v/>
      </c>
      <c r="Y247" s="27">
        <f>IF(설정!$D$28="",0,IFERROR(VALUE(SUBSTITUTE(SUBSTITUTE(INDEX(급여대장_원본!$A$1:$AZ$400,(설정!$B$8+241),설정!$D$28)&amp;"",",",""),"　","")),0))</f>
        <v/>
      </c>
      <c r="Z247" s="27">
        <f>IF(설정!$D$29="",0,IFERROR(VALUE(SUBSTITUTE(SUBSTITUTE(INDEX(급여대장_원본!$A$1:$AZ$400,(설정!$B$8+241),설정!$D$29)&amp;"",",",""),"　","")),0))</f>
        <v/>
      </c>
      <c r="AA247" s="27">
        <f>IF(설정!$D$30="",0,IFERROR(VALUE(SUBSTITUTE(SUBSTITUTE(INDEX(급여대장_원본!$A$1:$AZ$400,(설정!$B$8+241),설정!$D$30)&amp;"",",",""),"　","")),0))</f>
        <v/>
      </c>
      <c r="AB247" s="27">
        <f>IF(설정!$D$31="",0,IFERROR(VALUE(SUBSTITUTE(SUBSTITUTE(INDEX(급여대장_원본!$A$1:$AZ$400,(설정!$B$8+241),설정!$D$31)&amp;"",",",""),"　","")),0))</f>
        <v/>
      </c>
      <c r="AC247" s="27">
        <f>IF(설정!$D$32="",0,IFERROR(VALUE(SUBSTITUTE(SUBSTITUTE(INDEX(급여대장_원본!$A$1:$AZ$400,(설정!$B$8+241),설정!$D$32)&amp;"",",",""),"　","")),0))</f>
        <v/>
      </c>
      <c r="AD247" s="27">
        <f>IF(설정!$D$33="",0,IFERROR(VALUE(SUBSTITUTE(SUBSTITUTE(INDEX(급여대장_원본!$A$1:$AZ$400,(설정!$B$8+241),설정!$D$33)&amp;"",",",""),"　","")),0))</f>
        <v/>
      </c>
      <c r="AE247" s="27">
        <f>SUM(W247:AD247)</f>
        <v/>
      </c>
      <c r="AF247" s="27">
        <f>V247-AE247</f>
        <v/>
      </c>
      <c r="AG247" s="27">
        <f>IF(설정!$D$35="","",IF(설정!$D$35="",0,IFERROR(VALUE(SUBSTITUTE(SUBSTITUTE(INDEX(급여대장_원본!$A$1:$AZ$400,(설정!$B$8+241),설정!$D$35)&amp;"",",",""),"　","")),0)))</f>
        <v/>
      </c>
      <c r="AH247" s="27">
        <f>IF(설정!$D$36="","",IF(설정!$D$36="",0,IFERROR(VALUE(SUBSTITUTE(SUBSTITUTE(INDEX(급여대장_원본!$A$1:$AZ$400,(설정!$B$8+241),설정!$D$36)&amp;"",",",""),"　","")),0)))</f>
        <v/>
      </c>
      <c r="AI247" s="27">
        <f>IF(설정!$D$37="","",IF(설정!$D$37="",0,IFERROR(VALUE(SUBSTITUTE(SUBSTITUTE(INDEX(급여대장_원본!$A$1:$AZ$400,(설정!$B$8+241),설정!$D$37)&amp;"",",",""),"　","")),0)))</f>
        <v/>
      </c>
      <c r="AJ247" s="2">
        <f>IFERROR(INDEX($D$7:$D$306,MATCH(241,$B$7:$B$306,0)),"")</f>
        <v/>
      </c>
    </row>
    <row r="248">
      <c r="A248" s="2">
        <f>IF(AND(D248&lt;&gt;"",D248&lt;&gt;"합계",D248&lt;&gt;"총계",D248&lt;&gt;"소계",D248&lt;&gt;"계"),1,0)</f>
        <v/>
      </c>
      <c r="B248" s="2">
        <f>IF(A248=1,SUM($A$7:A248),"")</f>
        <v/>
      </c>
      <c r="C248" s="2">
        <f>IF(설정!$D$13="","",TRIM(SUBSTITUTE(INDEX(급여대장_원본!$A$1:$AZ$400,(설정!$B$8+242),설정!$D$13)&amp;"","　"," ")))</f>
        <v/>
      </c>
      <c r="D248" s="2">
        <f>IF(설정!$D$14="","",TRIM(SUBSTITUTE(INDEX(급여대장_원본!$A$1:$AZ$400,(설정!$B$8+242),설정!$D$14)&amp;"","　"," ")))</f>
        <v/>
      </c>
      <c r="E248" s="2">
        <f>IF(설정!$D$15="","",TRIM(SUBSTITUTE(INDEX(급여대장_원본!$A$1:$AZ$400,(설정!$B$8+242),설정!$D$15)&amp;"","　"," ")))</f>
        <v/>
      </c>
      <c r="F248" s="27">
        <f>IF(설정!$D$17="",0,IFERROR(VALUE(SUBSTITUTE(SUBSTITUTE(INDEX(급여대장_원본!$A$1:$AZ$400,(설정!$B$8+242),설정!$D$17)&amp;"",",",""),"　","")),0))</f>
        <v/>
      </c>
      <c r="G248" s="27">
        <f>IF(설정!$D$18="",0,IFERROR(VALUE(SUBSTITUTE(SUBSTITUTE(INDEX(급여대장_원본!$A$1:$AZ$400,(설정!$B$8+242),설정!$D$18)&amp;"",",",""),"　","")),0))</f>
        <v/>
      </c>
      <c r="H248" s="27">
        <f>IF(설정!$D$19="",0,IFERROR(VALUE(SUBSTITUTE(SUBSTITUTE(INDEX(급여대장_원본!$A$1:$AZ$400,(설정!$B$8+242),설정!$D$19)&amp;"",",",""),"　","")),0))</f>
        <v/>
      </c>
      <c r="I248" s="27">
        <f>IF(설정!$D$20="",0,IFERROR(VALUE(SUBSTITUTE(SUBSTITUTE(INDEX(급여대장_원본!$A$1:$AZ$400,(설정!$B$8+242),설정!$D$20)&amp;"",",",""),"　","")),0))</f>
        <v/>
      </c>
      <c r="J248" s="27">
        <f>IF(설정!$D$21="",0,IFERROR(VALUE(SUBSTITUTE(SUBSTITUTE(INDEX(급여대장_원본!$A$1:$AZ$400,(설정!$B$8+242),설정!$D$21)&amp;"",",",""),"　","")),0))</f>
        <v/>
      </c>
      <c r="K248" s="27">
        <f>IF(설정!$D$22="",0,IFERROR(VALUE(SUBSTITUTE(SUBSTITUTE(INDEX(급여대장_원본!$A$1:$AZ$400,(설정!$B$8+242),설정!$D$22)&amp;"",",",""),"　","")),0))</f>
        <v/>
      </c>
      <c r="L248" s="27">
        <f>IF(설정!$D$23="",0,IFERROR(VALUE(SUBSTITUTE(SUBSTITUTE(INDEX(급여대장_원본!$A$1:$AZ$400,(설정!$B$8+242),설정!$D$23)&amp;"",",",""),"　","")),0))</f>
        <v/>
      </c>
      <c r="M248" s="27">
        <f>IF(설정!$D$24="",0,IFERROR(VALUE(SUBSTITUTE(SUBSTITUTE(INDEX(급여대장_원본!$A$1:$AZ$400,(설정!$B$8+242),설정!$D$24)&amp;"",",",""),"　","")),0))</f>
        <v/>
      </c>
      <c r="N248" s="2">
        <f>IF(OR(설정!$C$17="",IFERROR(MATCH(설정!$C$17,INDEX(급여대장_원본!$A$1:$AZ$400,설정!$B$8,0),0),"")=""),"",IFERROR(VALUE(SUBSTITUTE(INDEX(급여대장_원본!$A$1:$AZ$400,(설정!$B$8+242),IFERROR(MATCH(설정!$C$17,INDEX(급여대장_원본!$A$1:$AZ$400,설정!$B$8,0),0),""))&amp;"",",","")),""))</f>
        <v/>
      </c>
      <c r="O248" s="2">
        <f>IF(OR(설정!$C$18="",IFERROR(MATCH(설정!$C$18,INDEX(급여대장_원본!$A$1:$AZ$400,설정!$B$8,0),0),"")=""),"",IFERROR(VALUE(SUBSTITUTE(INDEX(급여대장_원본!$A$1:$AZ$400,(설정!$B$8+242),IFERROR(MATCH(설정!$C$18,INDEX(급여대장_원본!$A$1:$AZ$400,설정!$B$8,0),0),""))&amp;"",",","")),""))</f>
        <v/>
      </c>
      <c r="P248" s="2">
        <f>IF(OR(설정!$C$19="",IFERROR(MATCH(설정!$C$19,INDEX(급여대장_원본!$A$1:$AZ$400,설정!$B$8,0),0),"")=""),"",IFERROR(VALUE(SUBSTITUTE(INDEX(급여대장_원본!$A$1:$AZ$400,(설정!$B$8+242),IFERROR(MATCH(설정!$C$19,INDEX(급여대장_원본!$A$1:$AZ$400,설정!$B$8,0),0),""))&amp;"",",","")),""))</f>
        <v/>
      </c>
      <c r="Q248" s="2">
        <f>IF(OR(설정!$C$20="",IFERROR(MATCH(설정!$C$20,INDEX(급여대장_원본!$A$1:$AZ$400,설정!$B$8,0),0),"")=""),"",IFERROR(VALUE(SUBSTITUTE(INDEX(급여대장_원본!$A$1:$AZ$400,(설정!$B$8+242),IFERROR(MATCH(설정!$C$20,INDEX(급여대장_원본!$A$1:$AZ$400,설정!$B$8,0),0),""))&amp;"",",","")),""))</f>
        <v/>
      </c>
      <c r="R248" s="2">
        <f>IF(OR(설정!$C$21="",IFERROR(MATCH(설정!$C$21,INDEX(급여대장_원본!$A$1:$AZ$400,설정!$B$8,0),0),"")=""),"",IFERROR(VALUE(SUBSTITUTE(INDEX(급여대장_원본!$A$1:$AZ$400,(설정!$B$8+242),IFERROR(MATCH(설정!$C$21,INDEX(급여대장_원본!$A$1:$AZ$400,설정!$B$8,0),0),""))&amp;"",",","")),""))</f>
        <v/>
      </c>
      <c r="S248" s="2">
        <f>IF(OR(설정!$C$22="",IFERROR(MATCH(설정!$C$22,INDEX(급여대장_원본!$A$1:$AZ$400,설정!$B$8,0),0),"")=""),"",IFERROR(VALUE(SUBSTITUTE(INDEX(급여대장_원본!$A$1:$AZ$400,(설정!$B$8+242),IFERROR(MATCH(설정!$C$22,INDEX(급여대장_원본!$A$1:$AZ$400,설정!$B$8,0),0),""))&amp;"",",","")),""))</f>
        <v/>
      </c>
      <c r="T248" s="2">
        <f>IF(OR(설정!$C$23="",IFERROR(MATCH(설정!$C$23,INDEX(급여대장_원본!$A$1:$AZ$400,설정!$B$8,0),0),"")=""),"",IFERROR(VALUE(SUBSTITUTE(INDEX(급여대장_원본!$A$1:$AZ$400,(설정!$B$8+242),IFERROR(MATCH(설정!$C$23,INDEX(급여대장_원본!$A$1:$AZ$400,설정!$B$8,0),0),""))&amp;"",",","")),""))</f>
        <v/>
      </c>
      <c r="U248" s="2">
        <f>IF(OR(설정!$C$24="",IFERROR(MATCH(설정!$C$24,INDEX(급여대장_원본!$A$1:$AZ$400,설정!$B$8,0),0),"")=""),"",IFERROR(VALUE(SUBSTITUTE(INDEX(급여대장_원본!$A$1:$AZ$400,(설정!$B$8+242),IFERROR(MATCH(설정!$C$24,INDEX(급여대장_원본!$A$1:$AZ$400,설정!$B$8,0),0),""))&amp;"",",","")),""))</f>
        <v/>
      </c>
      <c r="V248" s="27">
        <f>SUM(F248:M248)</f>
        <v/>
      </c>
      <c r="W248" s="27">
        <f>IF(설정!$D$26="",0,IFERROR(VALUE(SUBSTITUTE(SUBSTITUTE(INDEX(급여대장_원본!$A$1:$AZ$400,(설정!$B$8+242),설정!$D$26)&amp;"",",",""),"　","")),0))</f>
        <v/>
      </c>
      <c r="X248" s="27">
        <f>IF(설정!$D$27="",0,IFERROR(VALUE(SUBSTITUTE(SUBSTITUTE(INDEX(급여대장_원본!$A$1:$AZ$400,(설정!$B$8+242),설정!$D$27)&amp;"",",",""),"　","")),0))</f>
        <v/>
      </c>
      <c r="Y248" s="27">
        <f>IF(설정!$D$28="",0,IFERROR(VALUE(SUBSTITUTE(SUBSTITUTE(INDEX(급여대장_원본!$A$1:$AZ$400,(설정!$B$8+242),설정!$D$28)&amp;"",",",""),"　","")),0))</f>
        <v/>
      </c>
      <c r="Z248" s="27">
        <f>IF(설정!$D$29="",0,IFERROR(VALUE(SUBSTITUTE(SUBSTITUTE(INDEX(급여대장_원본!$A$1:$AZ$400,(설정!$B$8+242),설정!$D$29)&amp;"",",",""),"　","")),0))</f>
        <v/>
      </c>
      <c r="AA248" s="27">
        <f>IF(설정!$D$30="",0,IFERROR(VALUE(SUBSTITUTE(SUBSTITUTE(INDEX(급여대장_원본!$A$1:$AZ$400,(설정!$B$8+242),설정!$D$30)&amp;"",",",""),"　","")),0))</f>
        <v/>
      </c>
      <c r="AB248" s="27">
        <f>IF(설정!$D$31="",0,IFERROR(VALUE(SUBSTITUTE(SUBSTITUTE(INDEX(급여대장_원본!$A$1:$AZ$400,(설정!$B$8+242),설정!$D$31)&amp;"",",",""),"　","")),0))</f>
        <v/>
      </c>
      <c r="AC248" s="27">
        <f>IF(설정!$D$32="",0,IFERROR(VALUE(SUBSTITUTE(SUBSTITUTE(INDEX(급여대장_원본!$A$1:$AZ$400,(설정!$B$8+242),설정!$D$32)&amp;"",",",""),"　","")),0))</f>
        <v/>
      </c>
      <c r="AD248" s="27">
        <f>IF(설정!$D$33="",0,IFERROR(VALUE(SUBSTITUTE(SUBSTITUTE(INDEX(급여대장_원본!$A$1:$AZ$400,(설정!$B$8+242),설정!$D$33)&amp;"",",",""),"　","")),0))</f>
        <v/>
      </c>
      <c r="AE248" s="27">
        <f>SUM(W248:AD248)</f>
        <v/>
      </c>
      <c r="AF248" s="27">
        <f>V248-AE248</f>
        <v/>
      </c>
      <c r="AG248" s="27">
        <f>IF(설정!$D$35="","",IF(설정!$D$35="",0,IFERROR(VALUE(SUBSTITUTE(SUBSTITUTE(INDEX(급여대장_원본!$A$1:$AZ$400,(설정!$B$8+242),설정!$D$35)&amp;"",",",""),"　","")),0)))</f>
        <v/>
      </c>
      <c r="AH248" s="27">
        <f>IF(설정!$D$36="","",IF(설정!$D$36="",0,IFERROR(VALUE(SUBSTITUTE(SUBSTITUTE(INDEX(급여대장_원본!$A$1:$AZ$400,(설정!$B$8+242),설정!$D$36)&amp;"",",",""),"　","")),0)))</f>
        <v/>
      </c>
      <c r="AI248" s="27">
        <f>IF(설정!$D$37="","",IF(설정!$D$37="",0,IFERROR(VALUE(SUBSTITUTE(SUBSTITUTE(INDEX(급여대장_원본!$A$1:$AZ$400,(설정!$B$8+242),설정!$D$37)&amp;"",",",""),"　","")),0)))</f>
        <v/>
      </c>
      <c r="AJ248" s="2">
        <f>IFERROR(INDEX($D$7:$D$306,MATCH(242,$B$7:$B$306,0)),"")</f>
        <v/>
      </c>
    </row>
    <row r="249">
      <c r="A249" s="2">
        <f>IF(AND(D249&lt;&gt;"",D249&lt;&gt;"합계",D249&lt;&gt;"총계",D249&lt;&gt;"소계",D249&lt;&gt;"계"),1,0)</f>
        <v/>
      </c>
      <c r="B249" s="2">
        <f>IF(A249=1,SUM($A$7:A249),"")</f>
        <v/>
      </c>
      <c r="C249" s="2">
        <f>IF(설정!$D$13="","",TRIM(SUBSTITUTE(INDEX(급여대장_원본!$A$1:$AZ$400,(설정!$B$8+243),설정!$D$13)&amp;"","　"," ")))</f>
        <v/>
      </c>
      <c r="D249" s="2">
        <f>IF(설정!$D$14="","",TRIM(SUBSTITUTE(INDEX(급여대장_원본!$A$1:$AZ$400,(설정!$B$8+243),설정!$D$14)&amp;"","　"," ")))</f>
        <v/>
      </c>
      <c r="E249" s="2">
        <f>IF(설정!$D$15="","",TRIM(SUBSTITUTE(INDEX(급여대장_원본!$A$1:$AZ$400,(설정!$B$8+243),설정!$D$15)&amp;"","　"," ")))</f>
        <v/>
      </c>
      <c r="F249" s="27">
        <f>IF(설정!$D$17="",0,IFERROR(VALUE(SUBSTITUTE(SUBSTITUTE(INDEX(급여대장_원본!$A$1:$AZ$400,(설정!$B$8+243),설정!$D$17)&amp;"",",",""),"　","")),0))</f>
        <v/>
      </c>
      <c r="G249" s="27">
        <f>IF(설정!$D$18="",0,IFERROR(VALUE(SUBSTITUTE(SUBSTITUTE(INDEX(급여대장_원본!$A$1:$AZ$400,(설정!$B$8+243),설정!$D$18)&amp;"",",",""),"　","")),0))</f>
        <v/>
      </c>
      <c r="H249" s="27">
        <f>IF(설정!$D$19="",0,IFERROR(VALUE(SUBSTITUTE(SUBSTITUTE(INDEX(급여대장_원본!$A$1:$AZ$400,(설정!$B$8+243),설정!$D$19)&amp;"",",",""),"　","")),0))</f>
        <v/>
      </c>
      <c r="I249" s="27">
        <f>IF(설정!$D$20="",0,IFERROR(VALUE(SUBSTITUTE(SUBSTITUTE(INDEX(급여대장_원본!$A$1:$AZ$400,(설정!$B$8+243),설정!$D$20)&amp;"",",",""),"　","")),0))</f>
        <v/>
      </c>
      <c r="J249" s="27">
        <f>IF(설정!$D$21="",0,IFERROR(VALUE(SUBSTITUTE(SUBSTITUTE(INDEX(급여대장_원본!$A$1:$AZ$400,(설정!$B$8+243),설정!$D$21)&amp;"",",",""),"　","")),0))</f>
        <v/>
      </c>
      <c r="K249" s="27">
        <f>IF(설정!$D$22="",0,IFERROR(VALUE(SUBSTITUTE(SUBSTITUTE(INDEX(급여대장_원본!$A$1:$AZ$400,(설정!$B$8+243),설정!$D$22)&amp;"",",",""),"　","")),0))</f>
        <v/>
      </c>
      <c r="L249" s="27">
        <f>IF(설정!$D$23="",0,IFERROR(VALUE(SUBSTITUTE(SUBSTITUTE(INDEX(급여대장_원본!$A$1:$AZ$400,(설정!$B$8+243),설정!$D$23)&amp;"",",",""),"　","")),0))</f>
        <v/>
      </c>
      <c r="M249" s="27">
        <f>IF(설정!$D$24="",0,IFERROR(VALUE(SUBSTITUTE(SUBSTITUTE(INDEX(급여대장_원본!$A$1:$AZ$400,(설정!$B$8+243),설정!$D$24)&amp;"",",",""),"　","")),0))</f>
        <v/>
      </c>
      <c r="N249" s="2">
        <f>IF(OR(설정!$C$17="",IFERROR(MATCH(설정!$C$17,INDEX(급여대장_원본!$A$1:$AZ$400,설정!$B$8,0),0),"")=""),"",IFERROR(VALUE(SUBSTITUTE(INDEX(급여대장_원본!$A$1:$AZ$400,(설정!$B$8+243),IFERROR(MATCH(설정!$C$17,INDEX(급여대장_원본!$A$1:$AZ$400,설정!$B$8,0),0),""))&amp;"",",","")),""))</f>
        <v/>
      </c>
      <c r="O249" s="2">
        <f>IF(OR(설정!$C$18="",IFERROR(MATCH(설정!$C$18,INDEX(급여대장_원본!$A$1:$AZ$400,설정!$B$8,0),0),"")=""),"",IFERROR(VALUE(SUBSTITUTE(INDEX(급여대장_원본!$A$1:$AZ$400,(설정!$B$8+243),IFERROR(MATCH(설정!$C$18,INDEX(급여대장_원본!$A$1:$AZ$400,설정!$B$8,0),0),""))&amp;"",",","")),""))</f>
        <v/>
      </c>
      <c r="P249" s="2">
        <f>IF(OR(설정!$C$19="",IFERROR(MATCH(설정!$C$19,INDEX(급여대장_원본!$A$1:$AZ$400,설정!$B$8,0),0),"")=""),"",IFERROR(VALUE(SUBSTITUTE(INDEX(급여대장_원본!$A$1:$AZ$400,(설정!$B$8+243),IFERROR(MATCH(설정!$C$19,INDEX(급여대장_원본!$A$1:$AZ$400,설정!$B$8,0),0),""))&amp;"",",","")),""))</f>
        <v/>
      </c>
      <c r="Q249" s="2">
        <f>IF(OR(설정!$C$20="",IFERROR(MATCH(설정!$C$20,INDEX(급여대장_원본!$A$1:$AZ$400,설정!$B$8,0),0),"")=""),"",IFERROR(VALUE(SUBSTITUTE(INDEX(급여대장_원본!$A$1:$AZ$400,(설정!$B$8+243),IFERROR(MATCH(설정!$C$20,INDEX(급여대장_원본!$A$1:$AZ$400,설정!$B$8,0),0),""))&amp;"",",","")),""))</f>
        <v/>
      </c>
      <c r="R249" s="2">
        <f>IF(OR(설정!$C$21="",IFERROR(MATCH(설정!$C$21,INDEX(급여대장_원본!$A$1:$AZ$400,설정!$B$8,0),0),"")=""),"",IFERROR(VALUE(SUBSTITUTE(INDEX(급여대장_원본!$A$1:$AZ$400,(설정!$B$8+243),IFERROR(MATCH(설정!$C$21,INDEX(급여대장_원본!$A$1:$AZ$400,설정!$B$8,0),0),""))&amp;"",",","")),""))</f>
        <v/>
      </c>
      <c r="S249" s="2">
        <f>IF(OR(설정!$C$22="",IFERROR(MATCH(설정!$C$22,INDEX(급여대장_원본!$A$1:$AZ$400,설정!$B$8,0),0),"")=""),"",IFERROR(VALUE(SUBSTITUTE(INDEX(급여대장_원본!$A$1:$AZ$400,(설정!$B$8+243),IFERROR(MATCH(설정!$C$22,INDEX(급여대장_원본!$A$1:$AZ$400,설정!$B$8,0),0),""))&amp;"",",","")),""))</f>
        <v/>
      </c>
      <c r="T249" s="2">
        <f>IF(OR(설정!$C$23="",IFERROR(MATCH(설정!$C$23,INDEX(급여대장_원본!$A$1:$AZ$400,설정!$B$8,0),0),"")=""),"",IFERROR(VALUE(SUBSTITUTE(INDEX(급여대장_원본!$A$1:$AZ$400,(설정!$B$8+243),IFERROR(MATCH(설정!$C$23,INDEX(급여대장_원본!$A$1:$AZ$400,설정!$B$8,0),0),""))&amp;"",",","")),""))</f>
        <v/>
      </c>
      <c r="U249" s="2">
        <f>IF(OR(설정!$C$24="",IFERROR(MATCH(설정!$C$24,INDEX(급여대장_원본!$A$1:$AZ$400,설정!$B$8,0),0),"")=""),"",IFERROR(VALUE(SUBSTITUTE(INDEX(급여대장_원본!$A$1:$AZ$400,(설정!$B$8+243),IFERROR(MATCH(설정!$C$24,INDEX(급여대장_원본!$A$1:$AZ$400,설정!$B$8,0),0),""))&amp;"",",","")),""))</f>
        <v/>
      </c>
      <c r="V249" s="27">
        <f>SUM(F249:M249)</f>
        <v/>
      </c>
      <c r="W249" s="27">
        <f>IF(설정!$D$26="",0,IFERROR(VALUE(SUBSTITUTE(SUBSTITUTE(INDEX(급여대장_원본!$A$1:$AZ$400,(설정!$B$8+243),설정!$D$26)&amp;"",",",""),"　","")),0))</f>
        <v/>
      </c>
      <c r="X249" s="27">
        <f>IF(설정!$D$27="",0,IFERROR(VALUE(SUBSTITUTE(SUBSTITUTE(INDEX(급여대장_원본!$A$1:$AZ$400,(설정!$B$8+243),설정!$D$27)&amp;"",",",""),"　","")),0))</f>
        <v/>
      </c>
      <c r="Y249" s="27">
        <f>IF(설정!$D$28="",0,IFERROR(VALUE(SUBSTITUTE(SUBSTITUTE(INDEX(급여대장_원본!$A$1:$AZ$400,(설정!$B$8+243),설정!$D$28)&amp;"",",",""),"　","")),0))</f>
        <v/>
      </c>
      <c r="Z249" s="27">
        <f>IF(설정!$D$29="",0,IFERROR(VALUE(SUBSTITUTE(SUBSTITUTE(INDEX(급여대장_원본!$A$1:$AZ$400,(설정!$B$8+243),설정!$D$29)&amp;"",",",""),"　","")),0))</f>
        <v/>
      </c>
      <c r="AA249" s="27">
        <f>IF(설정!$D$30="",0,IFERROR(VALUE(SUBSTITUTE(SUBSTITUTE(INDEX(급여대장_원본!$A$1:$AZ$400,(설정!$B$8+243),설정!$D$30)&amp;"",",",""),"　","")),0))</f>
        <v/>
      </c>
      <c r="AB249" s="27">
        <f>IF(설정!$D$31="",0,IFERROR(VALUE(SUBSTITUTE(SUBSTITUTE(INDEX(급여대장_원본!$A$1:$AZ$400,(설정!$B$8+243),설정!$D$31)&amp;"",",",""),"　","")),0))</f>
        <v/>
      </c>
      <c r="AC249" s="27">
        <f>IF(설정!$D$32="",0,IFERROR(VALUE(SUBSTITUTE(SUBSTITUTE(INDEX(급여대장_원본!$A$1:$AZ$400,(설정!$B$8+243),설정!$D$32)&amp;"",",",""),"　","")),0))</f>
        <v/>
      </c>
      <c r="AD249" s="27">
        <f>IF(설정!$D$33="",0,IFERROR(VALUE(SUBSTITUTE(SUBSTITUTE(INDEX(급여대장_원본!$A$1:$AZ$400,(설정!$B$8+243),설정!$D$33)&amp;"",",",""),"　","")),0))</f>
        <v/>
      </c>
      <c r="AE249" s="27">
        <f>SUM(W249:AD249)</f>
        <v/>
      </c>
      <c r="AF249" s="27">
        <f>V249-AE249</f>
        <v/>
      </c>
      <c r="AG249" s="27">
        <f>IF(설정!$D$35="","",IF(설정!$D$35="",0,IFERROR(VALUE(SUBSTITUTE(SUBSTITUTE(INDEX(급여대장_원본!$A$1:$AZ$400,(설정!$B$8+243),설정!$D$35)&amp;"",",",""),"　","")),0)))</f>
        <v/>
      </c>
      <c r="AH249" s="27">
        <f>IF(설정!$D$36="","",IF(설정!$D$36="",0,IFERROR(VALUE(SUBSTITUTE(SUBSTITUTE(INDEX(급여대장_원본!$A$1:$AZ$400,(설정!$B$8+243),설정!$D$36)&amp;"",",",""),"　","")),0)))</f>
        <v/>
      </c>
      <c r="AI249" s="27">
        <f>IF(설정!$D$37="","",IF(설정!$D$37="",0,IFERROR(VALUE(SUBSTITUTE(SUBSTITUTE(INDEX(급여대장_원본!$A$1:$AZ$400,(설정!$B$8+243),설정!$D$37)&amp;"",",",""),"　","")),0)))</f>
        <v/>
      </c>
      <c r="AJ249" s="2">
        <f>IFERROR(INDEX($D$7:$D$306,MATCH(243,$B$7:$B$306,0)),"")</f>
        <v/>
      </c>
    </row>
    <row r="250">
      <c r="A250" s="2">
        <f>IF(AND(D250&lt;&gt;"",D250&lt;&gt;"합계",D250&lt;&gt;"총계",D250&lt;&gt;"소계",D250&lt;&gt;"계"),1,0)</f>
        <v/>
      </c>
      <c r="B250" s="2">
        <f>IF(A250=1,SUM($A$7:A250),"")</f>
        <v/>
      </c>
      <c r="C250" s="2">
        <f>IF(설정!$D$13="","",TRIM(SUBSTITUTE(INDEX(급여대장_원본!$A$1:$AZ$400,(설정!$B$8+244),설정!$D$13)&amp;"","　"," ")))</f>
        <v/>
      </c>
      <c r="D250" s="2">
        <f>IF(설정!$D$14="","",TRIM(SUBSTITUTE(INDEX(급여대장_원본!$A$1:$AZ$400,(설정!$B$8+244),설정!$D$14)&amp;"","　"," ")))</f>
        <v/>
      </c>
      <c r="E250" s="2">
        <f>IF(설정!$D$15="","",TRIM(SUBSTITUTE(INDEX(급여대장_원본!$A$1:$AZ$400,(설정!$B$8+244),설정!$D$15)&amp;"","　"," ")))</f>
        <v/>
      </c>
      <c r="F250" s="27">
        <f>IF(설정!$D$17="",0,IFERROR(VALUE(SUBSTITUTE(SUBSTITUTE(INDEX(급여대장_원본!$A$1:$AZ$400,(설정!$B$8+244),설정!$D$17)&amp;"",",",""),"　","")),0))</f>
        <v/>
      </c>
      <c r="G250" s="27">
        <f>IF(설정!$D$18="",0,IFERROR(VALUE(SUBSTITUTE(SUBSTITUTE(INDEX(급여대장_원본!$A$1:$AZ$400,(설정!$B$8+244),설정!$D$18)&amp;"",",",""),"　","")),0))</f>
        <v/>
      </c>
      <c r="H250" s="27">
        <f>IF(설정!$D$19="",0,IFERROR(VALUE(SUBSTITUTE(SUBSTITUTE(INDEX(급여대장_원본!$A$1:$AZ$400,(설정!$B$8+244),설정!$D$19)&amp;"",",",""),"　","")),0))</f>
        <v/>
      </c>
      <c r="I250" s="27">
        <f>IF(설정!$D$20="",0,IFERROR(VALUE(SUBSTITUTE(SUBSTITUTE(INDEX(급여대장_원본!$A$1:$AZ$400,(설정!$B$8+244),설정!$D$20)&amp;"",",",""),"　","")),0))</f>
        <v/>
      </c>
      <c r="J250" s="27">
        <f>IF(설정!$D$21="",0,IFERROR(VALUE(SUBSTITUTE(SUBSTITUTE(INDEX(급여대장_원본!$A$1:$AZ$400,(설정!$B$8+244),설정!$D$21)&amp;"",",",""),"　","")),0))</f>
        <v/>
      </c>
      <c r="K250" s="27">
        <f>IF(설정!$D$22="",0,IFERROR(VALUE(SUBSTITUTE(SUBSTITUTE(INDEX(급여대장_원본!$A$1:$AZ$400,(설정!$B$8+244),설정!$D$22)&amp;"",",",""),"　","")),0))</f>
        <v/>
      </c>
      <c r="L250" s="27">
        <f>IF(설정!$D$23="",0,IFERROR(VALUE(SUBSTITUTE(SUBSTITUTE(INDEX(급여대장_원본!$A$1:$AZ$400,(설정!$B$8+244),설정!$D$23)&amp;"",",",""),"　","")),0))</f>
        <v/>
      </c>
      <c r="M250" s="27">
        <f>IF(설정!$D$24="",0,IFERROR(VALUE(SUBSTITUTE(SUBSTITUTE(INDEX(급여대장_원본!$A$1:$AZ$400,(설정!$B$8+244),설정!$D$24)&amp;"",",",""),"　","")),0))</f>
        <v/>
      </c>
      <c r="N250" s="2">
        <f>IF(OR(설정!$C$17="",IFERROR(MATCH(설정!$C$17,INDEX(급여대장_원본!$A$1:$AZ$400,설정!$B$8,0),0),"")=""),"",IFERROR(VALUE(SUBSTITUTE(INDEX(급여대장_원본!$A$1:$AZ$400,(설정!$B$8+244),IFERROR(MATCH(설정!$C$17,INDEX(급여대장_원본!$A$1:$AZ$400,설정!$B$8,0),0),""))&amp;"",",","")),""))</f>
        <v/>
      </c>
      <c r="O250" s="2">
        <f>IF(OR(설정!$C$18="",IFERROR(MATCH(설정!$C$18,INDEX(급여대장_원본!$A$1:$AZ$400,설정!$B$8,0),0),"")=""),"",IFERROR(VALUE(SUBSTITUTE(INDEX(급여대장_원본!$A$1:$AZ$400,(설정!$B$8+244),IFERROR(MATCH(설정!$C$18,INDEX(급여대장_원본!$A$1:$AZ$400,설정!$B$8,0),0),""))&amp;"",",","")),""))</f>
        <v/>
      </c>
      <c r="P250" s="2">
        <f>IF(OR(설정!$C$19="",IFERROR(MATCH(설정!$C$19,INDEX(급여대장_원본!$A$1:$AZ$400,설정!$B$8,0),0),"")=""),"",IFERROR(VALUE(SUBSTITUTE(INDEX(급여대장_원본!$A$1:$AZ$400,(설정!$B$8+244),IFERROR(MATCH(설정!$C$19,INDEX(급여대장_원본!$A$1:$AZ$400,설정!$B$8,0),0),""))&amp;"",",","")),""))</f>
        <v/>
      </c>
      <c r="Q250" s="2">
        <f>IF(OR(설정!$C$20="",IFERROR(MATCH(설정!$C$20,INDEX(급여대장_원본!$A$1:$AZ$400,설정!$B$8,0),0),"")=""),"",IFERROR(VALUE(SUBSTITUTE(INDEX(급여대장_원본!$A$1:$AZ$400,(설정!$B$8+244),IFERROR(MATCH(설정!$C$20,INDEX(급여대장_원본!$A$1:$AZ$400,설정!$B$8,0),0),""))&amp;"",",","")),""))</f>
        <v/>
      </c>
      <c r="R250" s="2">
        <f>IF(OR(설정!$C$21="",IFERROR(MATCH(설정!$C$21,INDEX(급여대장_원본!$A$1:$AZ$400,설정!$B$8,0),0),"")=""),"",IFERROR(VALUE(SUBSTITUTE(INDEX(급여대장_원본!$A$1:$AZ$400,(설정!$B$8+244),IFERROR(MATCH(설정!$C$21,INDEX(급여대장_원본!$A$1:$AZ$400,설정!$B$8,0),0),""))&amp;"",",","")),""))</f>
        <v/>
      </c>
      <c r="S250" s="2">
        <f>IF(OR(설정!$C$22="",IFERROR(MATCH(설정!$C$22,INDEX(급여대장_원본!$A$1:$AZ$400,설정!$B$8,0),0),"")=""),"",IFERROR(VALUE(SUBSTITUTE(INDEX(급여대장_원본!$A$1:$AZ$400,(설정!$B$8+244),IFERROR(MATCH(설정!$C$22,INDEX(급여대장_원본!$A$1:$AZ$400,설정!$B$8,0),0),""))&amp;"",",","")),""))</f>
        <v/>
      </c>
      <c r="T250" s="2">
        <f>IF(OR(설정!$C$23="",IFERROR(MATCH(설정!$C$23,INDEX(급여대장_원본!$A$1:$AZ$400,설정!$B$8,0),0),"")=""),"",IFERROR(VALUE(SUBSTITUTE(INDEX(급여대장_원본!$A$1:$AZ$400,(설정!$B$8+244),IFERROR(MATCH(설정!$C$23,INDEX(급여대장_원본!$A$1:$AZ$400,설정!$B$8,0),0),""))&amp;"",",","")),""))</f>
        <v/>
      </c>
      <c r="U250" s="2">
        <f>IF(OR(설정!$C$24="",IFERROR(MATCH(설정!$C$24,INDEX(급여대장_원본!$A$1:$AZ$400,설정!$B$8,0),0),"")=""),"",IFERROR(VALUE(SUBSTITUTE(INDEX(급여대장_원본!$A$1:$AZ$400,(설정!$B$8+244),IFERROR(MATCH(설정!$C$24,INDEX(급여대장_원본!$A$1:$AZ$400,설정!$B$8,0),0),""))&amp;"",",","")),""))</f>
        <v/>
      </c>
      <c r="V250" s="27">
        <f>SUM(F250:M250)</f>
        <v/>
      </c>
      <c r="W250" s="27">
        <f>IF(설정!$D$26="",0,IFERROR(VALUE(SUBSTITUTE(SUBSTITUTE(INDEX(급여대장_원본!$A$1:$AZ$400,(설정!$B$8+244),설정!$D$26)&amp;"",",",""),"　","")),0))</f>
        <v/>
      </c>
      <c r="X250" s="27">
        <f>IF(설정!$D$27="",0,IFERROR(VALUE(SUBSTITUTE(SUBSTITUTE(INDEX(급여대장_원본!$A$1:$AZ$400,(설정!$B$8+244),설정!$D$27)&amp;"",",",""),"　","")),0))</f>
        <v/>
      </c>
      <c r="Y250" s="27">
        <f>IF(설정!$D$28="",0,IFERROR(VALUE(SUBSTITUTE(SUBSTITUTE(INDEX(급여대장_원본!$A$1:$AZ$400,(설정!$B$8+244),설정!$D$28)&amp;"",",",""),"　","")),0))</f>
        <v/>
      </c>
      <c r="Z250" s="27">
        <f>IF(설정!$D$29="",0,IFERROR(VALUE(SUBSTITUTE(SUBSTITUTE(INDEX(급여대장_원본!$A$1:$AZ$400,(설정!$B$8+244),설정!$D$29)&amp;"",",",""),"　","")),0))</f>
        <v/>
      </c>
      <c r="AA250" s="27">
        <f>IF(설정!$D$30="",0,IFERROR(VALUE(SUBSTITUTE(SUBSTITUTE(INDEX(급여대장_원본!$A$1:$AZ$400,(설정!$B$8+244),설정!$D$30)&amp;"",",",""),"　","")),0))</f>
        <v/>
      </c>
      <c r="AB250" s="27">
        <f>IF(설정!$D$31="",0,IFERROR(VALUE(SUBSTITUTE(SUBSTITUTE(INDEX(급여대장_원본!$A$1:$AZ$400,(설정!$B$8+244),설정!$D$31)&amp;"",",",""),"　","")),0))</f>
        <v/>
      </c>
      <c r="AC250" s="27">
        <f>IF(설정!$D$32="",0,IFERROR(VALUE(SUBSTITUTE(SUBSTITUTE(INDEX(급여대장_원본!$A$1:$AZ$400,(설정!$B$8+244),설정!$D$32)&amp;"",",",""),"　","")),0))</f>
        <v/>
      </c>
      <c r="AD250" s="27">
        <f>IF(설정!$D$33="",0,IFERROR(VALUE(SUBSTITUTE(SUBSTITUTE(INDEX(급여대장_원본!$A$1:$AZ$400,(설정!$B$8+244),설정!$D$33)&amp;"",",",""),"　","")),0))</f>
        <v/>
      </c>
      <c r="AE250" s="27">
        <f>SUM(W250:AD250)</f>
        <v/>
      </c>
      <c r="AF250" s="27">
        <f>V250-AE250</f>
        <v/>
      </c>
      <c r="AG250" s="27">
        <f>IF(설정!$D$35="","",IF(설정!$D$35="",0,IFERROR(VALUE(SUBSTITUTE(SUBSTITUTE(INDEX(급여대장_원본!$A$1:$AZ$400,(설정!$B$8+244),설정!$D$35)&amp;"",",",""),"　","")),0)))</f>
        <v/>
      </c>
      <c r="AH250" s="27">
        <f>IF(설정!$D$36="","",IF(설정!$D$36="",0,IFERROR(VALUE(SUBSTITUTE(SUBSTITUTE(INDEX(급여대장_원본!$A$1:$AZ$400,(설정!$B$8+244),설정!$D$36)&amp;"",",",""),"　","")),0)))</f>
        <v/>
      </c>
      <c r="AI250" s="27">
        <f>IF(설정!$D$37="","",IF(설정!$D$37="",0,IFERROR(VALUE(SUBSTITUTE(SUBSTITUTE(INDEX(급여대장_원본!$A$1:$AZ$400,(설정!$B$8+244),설정!$D$37)&amp;"",",",""),"　","")),0)))</f>
        <v/>
      </c>
      <c r="AJ250" s="2">
        <f>IFERROR(INDEX($D$7:$D$306,MATCH(244,$B$7:$B$306,0)),"")</f>
        <v/>
      </c>
    </row>
    <row r="251">
      <c r="A251" s="2">
        <f>IF(AND(D251&lt;&gt;"",D251&lt;&gt;"합계",D251&lt;&gt;"총계",D251&lt;&gt;"소계",D251&lt;&gt;"계"),1,0)</f>
        <v/>
      </c>
      <c r="B251" s="2">
        <f>IF(A251=1,SUM($A$7:A251),"")</f>
        <v/>
      </c>
      <c r="C251" s="2">
        <f>IF(설정!$D$13="","",TRIM(SUBSTITUTE(INDEX(급여대장_원본!$A$1:$AZ$400,(설정!$B$8+245),설정!$D$13)&amp;"","　"," ")))</f>
        <v/>
      </c>
      <c r="D251" s="2">
        <f>IF(설정!$D$14="","",TRIM(SUBSTITUTE(INDEX(급여대장_원본!$A$1:$AZ$400,(설정!$B$8+245),설정!$D$14)&amp;"","　"," ")))</f>
        <v/>
      </c>
      <c r="E251" s="2">
        <f>IF(설정!$D$15="","",TRIM(SUBSTITUTE(INDEX(급여대장_원본!$A$1:$AZ$400,(설정!$B$8+245),설정!$D$15)&amp;"","　"," ")))</f>
        <v/>
      </c>
      <c r="F251" s="27">
        <f>IF(설정!$D$17="",0,IFERROR(VALUE(SUBSTITUTE(SUBSTITUTE(INDEX(급여대장_원본!$A$1:$AZ$400,(설정!$B$8+245),설정!$D$17)&amp;"",",",""),"　","")),0))</f>
        <v/>
      </c>
      <c r="G251" s="27">
        <f>IF(설정!$D$18="",0,IFERROR(VALUE(SUBSTITUTE(SUBSTITUTE(INDEX(급여대장_원본!$A$1:$AZ$400,(설정!$B$8+245),설정!$D$18)&amp;"",",",""),"　","")),0))</f>
        <v/>
      </c>
      <c r="H251" s="27">
        <f>IF(설정!$D$19="",0,IFERROR(VALUE(SUBSTITUTE(SUBSTITUTE(INDEX(급여대장_원본!$A$1:$AZ$400,(설정!$B$8+245),설정!$D$19)&amp;"",",",""),"　","")),0))</f>
        <v/>
      </c>
      <c r="I251" s="27">
        <f>IF(설정!$D$20="",0,IFERROR(VALUE(SUBSTITUTE(SUBSTITUTE(INDEX(급여대장_원본!$A$1:$AZ$400,(설정!$B$8+245),설정!$D$20)&amp;"",",",""),"　","")),0))</f>
        <v/>
      </c>
      <c r="J251" s="27">
        <f>IF(설정!$D$21="",0,IFERROR(VALUE(SUBSTITUTE(SUBSTITUTE(INDEX(급여대장_원본!$A$1:$AZ$400,(설정!$B$8+245),설정!$D$21)&amp;"",",",""),"　","")),0))</f>
        <v/>
      </c>
      <c r="K251" s="27">
        <f>IF(설정!$D$22="",0,IFERROR(VALUE(SUBSTITUTE(SUBSTITUTE(INDEX(급여대장_원본!$A$1:$AZ$400,(설정!$B$8+245),설정!$D$22)&amp;"",",",""),"　","")),0))</f>
        <v/>
      </c>
      <c r="L251" s="27">
        <f>IF(설정!$D$23="",0,IFERROR(VALUE(SUBSTITUTE(SUBSTITUTE(INDEX(급여대장_원본!$A$1:$AZ$400,(설정!$B$8+245),설정!$D$23)&amp;"",",",""),"　","")),0))</f>
        <v/>
      </c>
      <c r="M251" s="27">
        <f>IF(설정!$D$24="",0,IFERROR(VALUE(SUBSTITUTE(SUBSTITUTE(INDEX(급여대장_원본!$A$1:$AZ$400,(설정!$B$8+245),설정!$D$24)&amp;"",",",""),"　","")),0))</f>
        <v/>
      </c>
      <c r="N251" s="2">
        <f>IF(OR(설정!$C$17="",IFERROR(MATCH(설정!$C$17,INDEX(급여대장_원본!$A$1:$AZ$400,설정!$B$8,0),0),"")=""),"",IFERROR(VALUE(SUBSTITUTE(INDEX(급여대장_원본!$A$1:$AZ$400,(설정!$B$8+245),IFERROR(MATCH(설정!$C$17,INDEX(급여대장_원본!$A$1:$AZ$400,설정!$B$8,0),0),""))&amp;"",",","")),""))</f>
        <v/>
      </c>
      <c r="O251" s="2">
        <f>IF(OR(설정!$C$18="",IFERROR(MATCH(설정!$C$18,INDEX(급여대장_원본!$A$1:$AZ$400,설정!$B$8,0),0),"")=""),"",IFERROR(VALUE(SUBSTITUTE(INDEX(급여대장_원본!$A$1:$AZ$400,(설정!$B$8+245),IFERROR(MATCH(설정!$C$18,INDEX(급여대장_원본!$A$1:$AZ$400,설정!$B$8,0),0),""))&amp;"",",","")),""))</f>
        <v/>
      </c>
      <c r="P251" s="2">
        <f>IF(OR(설정!$C$19="",IFERROR(MATCH(설정!$C$19,INDEX(급여대장_원본!$A$1:$AZ$400,설정!$B$8,0),0),"")=""),"",IFERROR(VALUE(SUBSTITUTE(INDEX(급여대장_원본!$A$1:$AZ$400,(설정!$B$8+245),IFERROR(MATCH(설정!$C$19,INDEX(급여대장_원본!$A$1:$AZ$400,설정!$B$8,0),0),""))&amp;"",",","")),""))</f>
        <v/>
      </c>
      <c r="Q251" s="2">
        <f>IF(OR(설정!$C$20="",IFERROR(MATCH(설정!$C$20,INDEX(급여대장_원본!$A$1:$AZ$400,설정!$B$8,0),0),"")=""),"",IFERROR(VALUE(SUBSTITUTE(INDEX(급여대장_원본!$A$1:$AZ$400,(설정!$B$8+245),IFERROR(MATCH(설정!$C$20,INDEX(급여대장_원본!$A$1:$AZ$400,설정!$B$8,0),0),""))&amp;"",",","")),""))</f>
        <v/>
      </c>
      <c r="R251" s="2">
        <f>IF(OR(설정!$C$21="",IFERROR(MATCH(설정!$C$21,INDEX(급여대장_원본!$A$1:$AZ$400,설정!$B$8,0),0),"")=""),"",IFERROR(VALUE(SUBSTITUTE(INDEX(급여대장_원본!$A$1:$AZ$400,(설정!$B$8+245),IFERROR(MATCH(설정!$C$21,INDEX(급여대장_원본!$A$1:$AZ$400,설정!$B$8,0),0),""))&amp;"",",","")),""))</f>
        <v/>
      </c>
      <c r="S251" s="2">
        <f>IF(OR(설정!$C$22="",IFERROR(MATCH(설정!$C$22,INDEX(급여대장_원본!$A$1:$AZ$400,설정!$B$8,0),0),"")=""),"",IFERROR(VALUE(SUBSTITUTE(INDEX(급여대장_원본!$A$1:$AZ$400,(설정!$B$8+245),IFERROR(MATCH(설정!$C$22,INDEX(급여대장_원본!$A$1:$AZ$400,설정!$B$8,0),0),""))&amp;"",",","")),""))</f>
        <v/>
      </c>
      <c r="T251" s="2">
        <f>IF(OR(설정!$C$23="",IFERROR(MATCH(설정!$C$23,INDEX(급여대장_원본!$A$1:$AZ$400,설정!$B$8,0),0),"")=""),"",IFERROR(VALUE(SUBSTITUTE(INDEX(급여대장_원본!$A$1:$AZ$400,(설정!$B$8+245),IFERROR(MATCH(설정!$C$23,INDEX(급여대장_원본!$A$1:$AZ$400,설정!$B$8,0),0),""))&amp;"",",","")),""))</f>
        <v/>
      </c>
      <c r="U251" s="2">
        <f>IF(OR(설정!$C$24="",IFERROR(MATCH(설정!$C$24,INDEX(급여대장_원본!$A$1:$AZ$400,설정!$B$8,0),0),"")=""),"",IFERROR(VALUE(SUBSTITUTE(INDEX(급여대장_원본!$A$1:$AZ$400,(설정!$B$8+245),IFERROR(MATCH(설정!$C$24,INDEX(급여대장_원본!$A$1:$AZ$400,설정!$B$8,0),0),""))&amp;"",",","")),""))</f>
        <v/>
      </c>
      <c r="V251" s="27">
        <f>SUM(F251:M251)</f>
        <v/>
      </c>
      <c r="W251" s="27">
        <f>IF(설정!$D$26="",0,IFERROR(VALUE(SUBSTITUTE(SUBSTITUTE(INDEX(급여대장_원본!$A$1:$AZ$400,(설정!$B$8+245),설정!$D$26)&amp;"",",",""),"　","")),0))</f>
        <v/>
      </c>
      <c r="X251" s="27">
        <f>IF(설정!$D$27="",0,IFERROR(VALUE(SUBSTITUTE(SUBSTITUTE(INDEX(급여대장_원본!$A$1:$AZ$400,(설정!$B$8+245),설정!$D$27)&amp;"",",",""),"　","")),0))</f>
        <v/>
      </c>
      <c r="Y251" s="27">
        <f>IF(설정!$D$28="",0,IFERROR(VALUE(SUBSTITUTE(SUBSTITUTE(INDEX(급여대장_원본!$A$1:$AZ$400,(설정!$B$8+245),설정!$D$28)&amp;"",",",""),"　","")),0))</f>
        <v/>
      </c>
      <c r="Z251" s="27">
        <f>IF(설정!$D$29="",0,IFERROR(VALUE(SUBSTITUTE(SUBSTITUTE(INDEX(급여대장_원본!$A$1:$AZ$400,(설정!$B$8+245),설정!$D$29)&amp;"",",",""),"　","")),0))</f>
        <v/>
      </c>
      <c r="AA251" s="27">
        <f>IF(설정!$D$30="",0,IFERROR(VALUE(SUBSTITUTE(SUBSTITUTE(INDEX(급여대장_원본!$A$1:$AZ$400,(설정!$B$8+245),설정!$D$30)&amp;"",",",""),"　","")),0))</f>
        <v/>
      </c>
      <c r="AB251" s="27">
        <f>IF(설정!$D$31="",0,IFERROR(VALUE(SUBSTITUTE(SUBSTITUTE(INDEX(급여대장_원본!$A$1:$AZ$400,(설정!$B$8+245),설정!$D$31)&amp;"",",",""),"　","")),0))</f>
        <v/>
      </c>
      <c r="AC251" s="27">
        <f>IF(설정!$D$32="",0,IFERROR(VALUE(SUBSTITUTE(SUBSTITUTE(INDEX(급여대장_원본!$A$1:$AZ$400,(설정!$B$8+245),설정!$D$32)&amp;"",",",""),"　","")),0))</f>
        <v/>
      </c>
      <c r="AD251" s="27">
        <f>IF(설정!$D$33="",0,IFERROR(VALUE(SUBSTITUTE(SUBSTITUTE(INDEX(급여대장_원본!$A$1:$AZ$400,(설정!$B$8+245),설정!$D$33)&amp;"",",",""),"　","")),0))</f>
        <v/>
      </c>
      <c r="AE251" s="27">
        <f>SUM(W251:AD251)</f>
        <v/>
      </c>
      <c r="AF251" s="27">
        <f>V251-AE251</f>
        <v/>
      </c>
      <c r="AG251" s="27">
        <f>IF(설정!$D$35="","",IF(설정!$D$35="",0,IFERROR(VALUE(SUBSTITUTE(SUBSTITUTE(INDEX(급여대장_원본!$A$1:$AZ$400,(설정!$B$8+245),설정!$D$35)&amp;"",",",""),"　","")),0)))</f>
        <v/>
      </c>
      <c r="AH251" s="27">
        <f>IF(설정!$D$36="","",IF(설정!$D$36="",0,IFERROR(VALUE(SUBSTITUTE(SUBSTITUTE(INDEX(급여대장_원본!$A$1:$AZ$400,(설정!$B$8+245),설정!$D$36)&amp;"",",",""),"　","")),0)))</f>
        <v/>
      </c>
      <c r="AI251" s="27">
        <f>IF(설정!$D$37="","",IF(설정!$D$37="",0,IFERROR(VALUE(SUBSTITUTE(SUBSTITUTE(INDEX(급여대장_원본!$A$1:$AZ$400,(설정!$B$8+245),설정!$D$37)&amp;"",",",""),"　","")),0)))</f>
        <v/>
      </c>
      <c r="AJ251" s="2">
        <f>IFERROR(INDEX($D$7:$D$306,MATCH(245,$B$7:$B$306,0)),"")</f>
        <v/>
      </c>
    </row>
    <row r="252">
      <c r="A252" s="2">
        <f>IF(AND(D252&lt;&gt;"",D252&lt;&gt;"합계",D252&lt;&gt;"총계",D252&lt;&gt;"소계",D252&lt;&gt;"계"),1,0)</f>
        <v/>
      </c>
      <c r="B252" s="2">
        <f>IF(A252=1,SUM($A$7:A252),"")</f>
        <v/>
      </c>
      <c r="C252" s="2">
        <f>IF(설정!$D$13="","",TRIM(SUBSTITUTE(INDEX(급여대장_원본!$A$1:$AZ$400,(설정!$B$8+246),설정!$D$13)&amp;"","　"," ")))</f>
        <v/>
      </c>
      <c r="D252" s="2">
        <f>IF(설정!$D$14="","",TRIM(SUBSTITUTE(INDEX(급여대장_원본!$A$1:$AZ$400,(설정!$B$8+246),설정!$D$14)&amp;"","　"," ")))</f>
        <v/>
      </c>
      <c r="E252" s="2">
        <f>IF(설정!$D$15="","",TRIM(SUBSTITUTE(INDEX(급여대장_원본!$A$1:$AZ$400,(설정!$B$8+246),설정!$D$15)&amp;"","　"," ")))</f>
        <v/>
      </c>
      <c r="F252" s="27">
        <f>IF(설정!$D$17="",0,IFERROR(VALUE(SUBSTITUTE(SUBSTITUTE(INDEX(급여대장_원본!$A$1:$AZ$400,(설정!$B$8+246),설정!$D$17)&amp;"",",",""),"　","")),0))</f>
        <v/>
      </c>
      <c r="G252" s="27">
        <f>IF(설정!$D$18="",0,IFERROR(VALUE(SUBSTITUTE(SUBSTITUTE(INDEX(급여대장_원본!$A$1:$AZ$400,(설정!$B$8+246),설정!$D$18)&amp;"",",",""),"　","")),0))</f>
        <v/>
      </c>
      <c r="H252" s="27">
        <f>IF(설정!$D$19="",0,IFERROR(VALUE(SUBSTITUTE(SUBSTITUTE(INDEX(급여대장_원본!$A$1:$AZ$400,(설정!$B$8+246),설정!$D$19)&amp;"",",",""),"　","")),0))</f>
        <v/>
      </c>
      <c r="I252" s="27">
        <f>IF(설정!$D$20="",0,IFERROR(VALUE(SUBSTITUTE(SUBSTITUTE(INDEX(급여대장_원본!$A$1:$AZ$400,(설정!$B$8+246),설정!$D$20)&amp;"",",",""),"　","")),0))</f>
        <v/>
      </c>
      <c r="J252" s="27">
        <f>IF(설정!$D$21="",0,IFERROR(VALUE(SUBSTITUTE(SUBSTITUTE(INDEX(급여대장_원본!$A$1:$AZ$400,(설정!$B$8+246),설정!$D$21)&amp;"",",",""),"　","")),0))</f>
        <v/>
      </c>
      <c r="K252" s="27">
        <f>IF(설정!$D$22="",0,IFERROR(VALUE(SUBSTITUTE(SUBSTITUTE(INDEX(급여대장_원본!$A$1:$AZ$400,(설정!$B$8+246),설정!$D$22)&amp;"",",",""),"　","")),0))</f>
        <v/>
      </c>
      <c r="L252" s="27">
        <f>IF(설정!$D$23="",0,IFERROR(VALUE(SUBSTITUTE(SUBSTITUTE(INDEX(급여대장_원본!$A$1:$AZ$400,(설정!$B$8+246),설정!$D$23)&amp;"",",",""),"　","")),0))</f>
        <v/>
      </c>
      <c r="M252" s="27">
        <f>IF(설정!$D$24="",0,IFERROR(VALUE(SUBSTITUTE(SUBSTITUTE(INDEX(급여대장_원본!$A$1:$AZ$400,(설정!$B$8+246),설정!$D$24)&amp;"",",",""),"　","")),0))</f>
        <v/>
      </c>
      <c r="N252" s="2">
        <f>IF(OR(설정!$C$17="",IFERROR(MATCH(설정!$C$17,INDEX(급여대장_원본!$A$1:$AZ$400,설정!$B$8,0),0),"")=""),"",IFERROR(VALUE(SUBSTITUTE(INDEX(급여대장_원본!$A$1:$AZ$400,(설정!$B$8+246),IFERROR(MATCH(설정!$C$17,INDEX(급여대장_원본!$A$1:$AZ$400,설정!$B$8,0),0),""))&amp;"",",","")),""))</f>
        <v/>
      </c>
      <c r="O252" s="2">
        <f>IF(OR(설정!$C$18="",IFERROR(MATCH(설정!$C$18,INDEX(급여대장_원본!$A$1:$AZ$400,설정!$B$8,0),0),"")=""),"",IFERROR(VALUE(SUBSTITUTE(INDEX(급여대장_원본!$A$1:$AZ$400,(설정!$B$8+246),IFERROR(MATCH(설정!$C$18,INDEX(급여대장_원본!$A$1:$AZ$400,설정!$B$8,0),0),""))&amp;"",",","")),""))</f>
        <v/>
      </c>
      <c r="P252" s="2">
        <f>IF(OR(설정!$C$19="",IFERROR(MATCH(설정!$C$19,INDEX(급여대장_원본!$A$1:$AZ$400,설정!$B$8,0),0),"")=""),"",IFERROR(VALUE(SUBSTITUTE(INDEX(급여대장_원본!$A$1:$AZ$400,(설정!$B$8+246),IFERROR(MATCH(설정!$C$19,INDEX(급여대장_원본!$A$1:$AZ$400,설정!$B$8,0),0),""))&amp;"",",","")),""))</f>
        <v/>
      </c>
      <c r="Q252" s="2">
        <f>IF(OR(설정!$C$20="",IFERROR(MATCH(설정!$C$20,INDEX(급여대장_원본!$A$1:$AZ$400,설정!$B$8,0),0),"")=""),"",IFERROR(VALUE(SUBSTITUTE(INDEX(급여대장_원본!$A$1:$AZ$400,(설정!$B$8+246),IFERROR(MATCH(설정!$C$20,INDEX(급여대장_원본!$A$1:$AZ$400,설정!$B$8,0),0),""))&amp;"",",","")),""))</f>
        <v/>
      </c>
      <c r="R252" s="2">
        <f>IF(OR(설정!$C$21="",IFERROR(MATCH(설정!$C$21,INDEX(급여대장_원본!$A$1:$AZ$400,설정!$B$8,0),0),"")=""),"",IFERROR(VALUE(SUBSTITUTE(INDEX(급여대장_원본!$A$1:$AZ$400,(설정!$B$8+246),IFERROR(MATCH(설정!$C$21,INDEX(급여대장_원본!$A$1:$AZ$400,설정!$B$8,0),0),""))&amp;"",",","")),""))</f>
        <v/>
      </c>
      <c r="S252" s="2">
        <f>IF(OR(설정!$C$22="",IFERROR(MATCH(설정!$C$22,INDEX(급여대장_원본!$A$1:$AZ$400,설정!$B$8,0),0),"")=""),"",IFERROR(VALUE(SUBSTITUTE(INDEX(급여대장_원본!$A$1:$AZ$400,(설정!$B$8+246),IFERROR(MATCH(설정!$C$22,INDEX(급여대장_원본!$A$1:$AZ$400,설정!$B$8,0),0),""))&amp;"",",","")),""))</f>
        <v/>
      </c>
      <c r="T252" s="2">
        <f>IF(OR(설정!$C$23="",IFERROR(MATCH(설정!$C$23,INDEX(급여대장_원본!$A$1:$AZ$400,설정!$B$8,0),0),"")=""),"",IFERROR(VALUE(SUBSTITUTE(INDEX(급여대장_원본!$A$1:$AZ$400,(설정!$B$8+246),IFERROR(MATCH(설정!$C$23,INDEX(급여대장_원본!$A$1:$AZ$400,설정!$B$8,0),0),""))&amp;"",",","")),""))</f>
        <v/>
      </c>
      <c r="U252" s="2">
        <f>IF(OR(설정!$C$24="",IFERROR(MATCH(설정!$C$24,INDEX(급여대장_원본!$A$1:$AZ$400,설정!$B$8,0),0),"")=""),"",IFERROR(VALUE(SUBSTITUTE(INDEX(급여대장_원본!$A$1:$AZ$400,(설정!$B$8+246),IFERROR(MATCH(설정!$C$24,INDEX(급여대장_원본!$A$1:$AZ$400,설정!$B$8,0),0),""))&amp;"",",","")),""))</f>
        <v/>
      </c>
      <c r="V252" s="27">
        <f>SUM(F252:M252)</f>
        <v/>
      </c>
      <c r="W252" s="27">
        <f>IF(설정!$D$26="",0,IFERROR(VALUE(SUBSTITUTE(SUBSTITUTE(INDEX(급여대장_원본!$A$1:$AZ$400,(설정!$B$8+246),설정!$D$26)&amp;"",",",""),"　","")),0))</f>
        <v/>
      </c>
      <c r="X252" s="27">
        <f>IF(설정!$D$27="",0,IFERROR(VALUE(SUBSTITUTE(SUBSTITUTE(INDEX(급여대장_원본!$A$1:$AZ$400,(설정!$B$8+246),설정!$D$27)&amp;"",",",""),"　","")),0))</f>
        <v/>
      </c>
      <c r="Y252" s="27">
        <f>IF(설정!$D$28="",0,IFERROR(VALUE(SUBSTITUTE(SUBSTITUTE(INDEX(급여대장_원본!$A$1:$AZ$400,(설정!$B$8+246),설정!$D$28)&amp;"",",",""),"　","")),0))</f>
        <v/>
      </c>
      <c r="Z252" s="27">
        <f>IF(설정!$D$29="",0,IFERROR(VALUE(SUBSTITUTE(SUBSTITUTE(INDEX(급여대장_원본!$A$1:$AZ$400,(설정!$B$8+246),설정!$D$29)&amp;"",",",""),"　","")),0))</f>
        <v/>
      </c>
      <c r="AA252" s="27">
        <f>IF(설정!$D$30="",0,IFERROR(VALUE(SUBSTITUTE(SUBSTITUTE(INDEX(급여대장_원본!$A$1:$AZ$400,(설정!$B$8+246),설정!$D$30)&amp;"",",",""),"　","")),0))</f>
        <v/>
      </c>
      <c r="AB252" s="27">
        <f>IF(설정!$D$31="",0,IFERROR(VALUE(SUBSTITUTE(SUBSTITUTE(INDEX(급여대장_원본!$A$1:$AZ$400,(설정!$B$8+246),설정!$D$31)&amp;"",",",""),"　","")),0))</f>
        <v/>
      </c>
      <c r="AC252" s="27">
        <f>IF(설정!$D$32="",0,IFERROR(VALUE(SUBSTITUTE(SUBSTITUTE(INDEX(급여대장_원본!$A$1:$AZ$400,(설정!$B$8+246),설정!$D$32)&amp;"",",",""),"　","")),0))</f>
        <v/>
      </c>
      <c r="AD252" s="27">
        <f>IF(설정!$D$33="",0,IFERROR(VALUE(SUBSTITUTE(SUBSTITUTE(INDEX(급여대장_원본!$A$1:$AZ$400,(설정!$B$8+246),설정!$D$33)&amp;"",",",""),"　","")),0))</f>
        <v/>
      </c>
      <c r="AE252" s="27">
        <f>SUM(W252:AD252)</f>
        <v/>
      </c>
      <c r="AF252" s="27">
        <f>V252-AE252</f>
        <v/>
      </c>
      <c r="AG252" s="27">
        <f>IF(설정!$D$35="","",IF(설정!$D$35="",0,IFERROR(VALUE(SUBSTITUTE(SUBSTITUTE(INDEX(급여대장_원본!$A$1:$AZ$400,(설정!$B$8+246),설정!$D$35)&amp;"",",",""),"　","")),0)))</f>
        <v/>
      </c>
      <c r="AH252" s="27">
        <f>IF(설정!$D$36="","",IF(설정!$D$36="",0,IFERROR(VALUE(SUBSTITUTE(SUBSTITUTE(INDEX(급여대장_원본!$A$1:$AZ$400,(설정!$B$8+246),설정!$D$36)&amp;"",",",""),"　","")),0)))</f>
        <v/>
      </c>
      <c r="AI252" s="27">
        <f>IF(설정!$D$37="","",IF(설정!$D$37="",0,IFERROR(VALUE(SUBSTITUTE(SUBSTITUTE(INDEX(급여대장_원본!$A$1:$AZ$400,(설정!$B$8+246),설정!$D$37)&amp;"",",",""),"　","")),0)))</f>
        <v/>
      </c>
      <c r="AJ252" s="2">
        <f>IFERROR(INDEX($D$7:$D$306,MATCH(246,$B$7:$B$306,0)),"")</f>
        <v/>
      </c>
    </row>
    <row r="253">
      <c r="A253" s="2">
        <f>IF(AND(D253&lt;&gt;"",D253&lt;&gt;"합계",D253&lt;&gt;"총계",D253&lt;&gt;"소계",D253&lt;&gt;"계"),1,0)</f>
        <v/>
      </c>
      <c r="B253" s="2">
        <f>IF(A253=1,SUM($A$7:A253),"")</f>
        <v/>
      </c>
      <c r="C253" s="2">
        <f>IF(설정!$D$13="","",TRIM(SUBSTITUTE(INDEX(급여대장_원본!$A$1:$AZ$400,(설정!$B$8+247),설정!$D$13)&amp;"","　"," ")))</f>
        <v/>
      </c>
      <c r="D253" s="2">
        <f>IF(설정!$D$14="","",TRIM(SUBSTITUTE(INDEX(급여대장_원본!$A$1:$AZ$400,(설정!$B$8+247),설정!$D$14)&amp;"","　"," ")))</f>
        <v/>
      </c>
      <c r="E253" s="2">
        <f>IF(설정!$D$15="","",TRIM(SUBSTITUTE(INDEX(급여대장_원본!$A$1:$AZ$400,(설정!$B$8+247),설정!$D$15)&amp;"","　"," ")))</f>
        <v/>
      </c>
      <c r="F253" s="27">
        <f>IF(설정!$D$17="",0,IFERROR(VALUE(SUBSTITUTE(SUBSTITUTE(INDEX(급여대장_원본!$A$1:$AZ$400,(설정!$B$8+247),설정!$D$17)&amp;"",",",""),"　","")),0))</f>
        <v/>
      </c>
      <c r="G253" s="27">
        <f>IF(설정!$D$18="",0,IFERROR(VALUE(SUBSTITUTE(SUBSTITUTE(INDEX(급여대장_원본!$A$1:$AZ$400,(설정!$B$8+247),설정!$D$18)&amp;"",",",""),"　","")),0))</f>
        <v/>
      </c>
      <c r="H253" s="27">
        <f>IF(설정!$D$19="",0,IFERROR(VALUE(SUBSTITUTE(SUBSTITUTE(INDEX(급여대장_원본!$A$1:$AZ$400,(설정!$B$8+247),설정!$D$19)&amp;"",",",""),"　","")),0))</f>
        <v/>
      </c>
      <c r="I253" s="27">
        <f>IF(설정!$D$20="",0,IFERROR(VALUE(SUBSTITUTE(SUBSTITUTE(INDEX(급여대장_원본!$A$1:$AZ$400,(설정!$B$8+247),설정!$D$20)&amp;"",",",""),"　","")),0))</f>
        <v/>
      </c>
      <c r="J253" s="27">
        <f>IF(설정!$D$21="",0,IFERROR(VALUE(SUBSTITUTE(SUBSTITUTE(INDEX(급여대장_원본!$A$1:$AZ$400,(설정!$B$8+247),설정!$D$21)&amp;"",",",""),"　","")),0))</f>
        <v/>
      </c>
      <c r="K253" s="27">
        <f>IF(설정!$D$22="",0,IFERROR(VALUE(SUBSTITUTE(SUBSTITUTE(INDEX(급여대장_원본!$A$1:$AZ$400,(설정!$B$8+247),설정!$D$22)&amp;"",",",""),"　","")),0))</f>
        <v/>
      </c>
      <c r="L253" s="27">
        <f>IF(설정!$D$23="",0,IFERROR(VALUE(SUBSTITUTE(SUBSTITUTE(INDEX(급여대장_원본!$A$1:$AZ$400,(설정!$B$8+247),설정!$D$23)&amp;"",",",""),"　","")),0))</f>
        <v/>
      </c>
      <c r="M253" s="27">
        <f>IF(설정!$D$24="",0,IFERROR(VALUE(SUBSTITUTE(SUBSTITUTE(INDEX(급여대장_원본!$A$1:$AZ$400,(설정!$B$8+247),설정!$D$24)&amp;"",",",""),"　","")),0))</f>
        <v/>
      </c>
      <c r="N253" s="2">
        <f>IF(OR(설정!$C$17="",IFERROR(MATCH(설정!$C$17,INDEX(급여대장_원본!$A$1:$AZ$400,설정!$B$8,0),0),"")=""),"",IFERROR(VALUE(SUBSTITUTE(INDEX(급여대장_원본!$A$1:$AZ$400,(설정!$B$8+247),IFERROR(MATCH(설정!$C$17,INDEX(급여대장_원본!$A$1:$AZ$400,설정!$B$8,0),0),""))&amp;"",",","")),""))</f>
        <v/>
      </c>
      <c r="O253" s="2">
        <f>IF(OR(설정!$C$18="",IFERROR(MATCH(설정!$C$18,INDEX(급여대장_원본!$A$1:$AZ$400,설정!$B$8,0),0),"")=""),"",IFERROR(VALUE(SUBSTITUTE(INDEX(급여대장_원본!$A$1:$AZ$400,(설정!$B$8+247),IFERROR(MATCH(설정!$C$18,INDEX(급여대장_원본!$A$1:$AZ$400,설정!$B$8,0),0),""))&amp;"",",","")),""))</f>
        <v/>
      </c>
      <c r="P253" s="2">
        <f>IF(OR(설정!$C$19="",IFERROR(MATCH(설정!$C$19,INDEX(급여대장_원본!$A$1:$AZ$400,설정!$B$8,0),0),"")=""),"",IFERROR(VALUE(SUBSTITUTE(INDEX(급여대장_원본!$A$1:$AZ$400,(설정!$B$8+247),IFERROR(MATCH(설정!$C$19,INDEX(급여대장_원본!$A$1:$AZ$400,설정!$B$8,0),0),""))&amp;"",",","")),""))</f>
        <v/>
      </c>
      <c r="Q253" s="2">
        <f>IF(OR(설정!$C$20="",IFERROR(MATCH(설정!$C$20,INDEX(급여대장_원본!$A$1:$AZ$400,설정!$B$8,0),0),"")=""),"",IFERROR(VALUE(SUBSTITUTE(INDEX(급여대장_원본!$A$1:$AZ$400,(설정!$B$8+247),IFERROR(MATCH(설정!$C$20,INDEX(급여대장_원본!$A$1:$AZ$400,설정!$B$8,0),0),""))&amp;"",",","")),""))</f>
        <v/>
      </c>
      <c r="R253" s="2">
        <f>IF(OR(설정!$C$21="",IFERROR(MATCH(설정!$C$21,INDEX(급여대장_원본!$A$1:$AZ$400,설정!$B$8,0),0),"")=""),"",IFERROR(VALUE(SUBSTITUTE(INDEX(급여대장_원본!$A$1:$AZ$400,(설정!$B$8+247),IFERROR(MATCH(설정!$C$21,INDEX(급여대장_원본!$A$1:$AZ$400,설정!$B$8,0),0),""))&amp;"",",","")),""))</f>
        <v/>
      </c>
      <c r="S253" s="2">
        <f>IF(OR(설정!$C$22="",IFERROR(MATCH(설정!$C$22,INDEX(급여대장_원본!$A$1:$AZ$400,설정!$B$8,0),0),"")=""),"",IFERROR(VALUE(SUBSTITUTE(INDEX(급여대장_원본!$A$1:$AZ$400,(설정!$B$8+247),IFERROR(MATCH(설정!$C$22,INDEX(급여대장_원본!$A$1:$AZ$400,설정!$B$8,0),0),""))&amp;"",",","")),""))</f>
        <v/>
      </c>
      <c r="T253" s="2">
        <f>IF(OR(설정!$C$23="",IFERROR(MATCH(설정!$C$23,INDEX(급여대장_원본!$A$1:$AZ$400,설정!$B$8,0),0),"")=""),"",IFERROR(VALUE(SUBSTITUTE(INDEX(급여대장_원본!$A$1:$AZ$400,(설정!$B$8+247),IFERROR(MATCH(설정!$C$23,INDEX(급여대장_원본!$A$1:$AZ$400,설정!$B$8,0),0),""))&amp;"",",","")),""))</f>
        <v/>
      </c>
      <c r="U253" s="2">
        <f>IF(OR(설정!$C$24="",IFERROR(MATCH(설정!$C$24,INDEX(급여대장_원본!$A$1:$AZ$400,설정!$B$8,0),0),"")=""),"",IFERROR(VALUE(SUBSTITUTE(INDEX(급여대장_원본!$A$1:$AZ$400,(설정!$B$8+247),IFERROR(MATCH(설정!$C$24,INDEX(급여대장_원본!$A$1:$AZ$400,설정!$B$8,0),0),""))&amp;"",",","")),""))</f>
        <v/>
      </c>
      <c r="V253" s="27">
        <f>SUM(F253:M253)</f>
        <v/>
      </c>
      <c r="W253" s="27">
        <f>IF(설정!$D$26="",0,IFERROR(VALUE(SUBSTITUTE(SUBSTITUTE(INDEX(급여대장_원본!$A$1:$AZ$400,(설정!$B$8+247),설정!$D$26)&amp;"",",",""),"　","")),0))</f>
        <v/>
      </c>
      <c r="X253" s="27">
        <f>IF(설정!$D$27="",0,IFERROR(VALUE(SUBSTITUTE(SUBSTITUTE(INDEX(급여대장_원본!$A$1:$AZ$400,(설정!$B$8+247),설정!$D$27)&amp;"",",",""),"　","")),0))</f>
        <v/>
      </c>
      <c r="Y253" s="27">
        <f>IF(설정!$D$28="",0,IFERROR(VALUE(SUBSTITUTE(SUBSTITUTE(INDEX(급여대장_원본!$A$1:$AZ$400,(설정!$B$8+247),설정!$D$28)&amp;"",",",""),"　","")),0))</f>
        <v/>
      </c>
      <c r="Z253" s="27">
        <f>IF(설정!$D$29="",0,IFERROR(VALUE(SUBSTITUTE(SUBSTITUTE(INDEX(급여대장_원본!$A$1:$AZ$400,(설정!$B$8+247),설정!$D$29)&amp;"",",",""),"　","")),0))</f>
        <v/>
      </c>
      <c r="AA253" s="27">
        <f>IF(설정!$D$30="",0,IFERROR(VALUE(SUBSTITUTE(SUBSTITUTE(INDEX(급여대장_원본!$A$1:$AZ$400,(설정!$B$8+247),설정!$D$30)&amp;"",",",""),"　","")),0))</f>
        <v/>
      </c>
      <c r="AB253" s="27">
        <f>IF(설정!$D$31="",0,IFERROR(VALUE(SUBSTITUTE(SUBSTITUTE(INDEX(급여대장_원본!$A$1:$AZ$400,(설정!$B$8+247),설정!$D$31)&amp;"",",",""),"　","")),0))</f>
        <v/>
      </c>
      <c r="AC253" s="27">
        <f>IF(설정!$D$32="",0,IFERROR(VALUE(SUBSTITUTE(SUBSTITUTE(INDEX(급여대장_원본!$A$1:$AZ$400,(설정!$B$8+247),설정!$D$32)&amp;"",",",""),"　","")),0))</f>
        <v/>
      </c>
      <c r="AD253" s="27">
        <f>IF(설정!$D$33="",0,IFERROR(VALUE(SUBSTITUTE(SUBSTITUTE(INDEX(급여대장_원본!$A$1:$AZ$400,(설정!$B$8+247),설정!$D$33)&amp;"",",",""),"　","")),0))</f>
        <v/>
      </c>
      <c r="AE253" s="27">
        <f>SUM(W253:AD253)</f>
        <v/>
      </c>
      <c r="AF253" s="27">
        <f>V253-AE253</f>
        <v/>
      </c>
      <c r="AG253" s="27">
        <f>IF(설정!$D$35="","",IF(설정!$D$35="",0,IFERROR(VALUE(SUBSTITUTE(SUBSTITUTE(INDEX(급여대장_원본!$A$1:$AZ$400,(설정!$B$8+247),설정!$D$35)&amp;"",",",""),"　","")),0)))</f>
        <v/>
      </c>
      <c r="AH253" s="27">
        <f>IF(설정!$D$36="","",IF(설정!$D$36="",0,IFERROR(VALUE(SUBSTITUTE(SUBSTITUTE(INDEX(급여대장_원본!$A$1:$AZ$400,(설정!$B$8+247),설정!$D$36)&amp;"",",",""),"　","")),0)))</f>
        <v/>
      </c>
      <c r="AI253" s="27">
        <f>IF(설정!$D$37="","",IF(설정!$D$37="",0,IFERROR(VALUE(SUBSTITUTE(SUBSTITUTE(INDEX(급여대장_원본!$A$1:$AZ$400,(설정!$B$8+247),설정!$D$37)&amp;"",",",""),"　","")),0)))</f>
        <v/>
      </c>
      <c r="AJ253" s="2">
        <f>IFERROR(INDEX($D$7:$D$306,MATCH(247,$B$7:$B$306,0)),"")</f>
        <v/>
      </c>
    </row>
    <row r="254">
      <c r="A254" s="2">
        <f>IF(AND(D254&lt;&gt;"",D254&lt;&gt;"합계",D254&lt;&gt;"총계",D254&lt;&gt;"소계",D254&lt;&gt;"계"),1,0)</f>
        <v/>
      </c>
      <c r="B254" s="2">
        <f>IF(A254=1,SUM($A$7:A254),"")</f>
        <v/>
      </c>
      <c r="C254" s="2">
        <f>IF(설정!$D$13="","",TRIM(SUBSTITUTE(INDEX(급여대장_원본!$A$1:$AZ$400,(설정!$B$8+248),설정!$D$13)&amp;"","　"," ")))</f>
        <v/>
      </c>
      <c r="D254" s="2">
        <f>IF(설정!$D$14="","",TRIM(SUBSTITUTE(INDEX(급여대장_원본!$A$1:$AZ$400,(설정!$B$8+248),설정!$D$14)&amp;"","　"," ")))</f>
        <v/>
      </c>
      <c r="E254" s="2">
        <f>IF(설정!$D$15="","",TRIM(SUBSTITUTE(INDEX(급여대장_원본!$A$1:$AZ$400,(설정!$B$8+248),설정!$D$15)&amp;"","　"," ")))</f>
        <v/>
      </c>
      <c r="F254" s="27">
        <f>IF(설정!$D$17="",0,IFERROR(VALUE(SUBSTITUTE(SUBSTITUTE(INDEX(급여대장_원본!$A$1:$AZ$400,(설정!$B$8+248),설정!$D$17)&amp;"",",",""),"　","")),0))</f>
        <v/>
      </c>
      <c r="G254" s="27">
        <f>IF(설정!$D$18="",0,IFERROR(VALUE(SUBSTITUTE(SUBSTITUTE(INDEX(급여대장_원본!$A$1:$AZ$400,(설정!$B$8+248),설정!$D$18)&amp;"",",",""),"　","")),0))</f>
        <v/>
      </c>
      <c r="H254" s="27">
        <f>IF(설정!$D$19="",0,IFERROR(VALUE(SUBSTITUTE(SUBSTITUTE(INDEX(급여대장_원본!$A$1:$AZ$400,(설정!$B$8+248),설정!$D$19)&amp;"",",",""),"　","")),0))</f>
        <v/>
      </c>
      <c r="I254" s="27">
        <f>IF(설정!$D$20="",0,IFERROR(VALUE(SUBSTITUTE(SUBSTITUTE(INDEX(급여대장_원본!$A$1:$AZ$400,(설정!$B$8+248),설정!$D$20)&amp;"",",",""),"　","")),0))</f>
        <v/>
      </c>
      <c r="J254" s="27">
        <f>IF(설정!$D$21="",0,IFERROR(VALUE(SUBSTITUTE(SUBSTITUTE(INDEX(급여대장_원본!$A$1:$AZ$400,(설정!$B$8+248),설정!$D$21)&amp;"",",",""),"　","")),0))</f>
        <v/>
      </c>
      <c r="K254" s="27">
        <f>IF(설정!$D$22="",0,IFERROR(VALUE(SUBSTITUTE(SUBSTITUTE(INDEX(급여대장_원본!$A$1:$AZ$400,(설정!$B$8+248),설정!$D$22)&amp;"",",",""),"　","")),0))</f>
        <v/>
      </c>
      <c r="L254" s="27">
        <f>IF(설정!$D$23="",0,IFERROR(VALUE(SUBSTITUTE(SUBSTITUTE(INDEX(급여대장_원본!$A$1:$AZ$400,(설정!$B$8+248),설정!$D$23)&amp;"",",",""),"　","")),0))</f>
        <v/>
      </c>
      <c r="M254" s="27">
        <f>IF(설정!$D$24="",0,IFERROR(VALUE(SUBSTITUTE(SUBSTITUTE(INDEX(급여대장_원본!$A$1:$AZ$400,(설정!$B$8+248),설정!$D$24)&amp;"",",",""),"　","")),0))</f>
        <v/>
      </c>
      <c r="N254" s="2">
        <f>IF(OR(설정!$C$17="",IFERROR(MATCH(설정!$C$17,INDEX(급여대장_원본!$A$1:$AZ$400,설정!$B$8,0),0),"")=""),"",IFERROR(VALUE(SUBSTITUTE(INDEX(급여대장_원본!$A$1:$AZ$400,(설정!$B$8+248),IFERROR(MATCH(설정!$C$17,INDEX(급여대장_원본!$A$1:$AZ$400,설정!$B$8,0),0),""))&amp;"",",","")),""))</f>
        <v/>
      </c>
      <c r="O254" s="2">
        <f>IF(OR(설정!$C$18="",IFERROR(MATCH(설정!$C$18,INDEX(급여대장_원본!$A$1:$AZ$400,설정!$B$8,0),0),"")=""),"",IFERROR(VALUE(SUBSTITUTE(INDEX(급여대장_원본!$A$1:$AZ$400,(설정!$B$8+248),IFERROR(MATCH(설정!$C$18,INDEX(급여대장_원본!$A$1:$AZ$400,설정!$B$8,0),0),""))&amp;"",",","")),""))</f>
        <v/>
      </c>
      <c r="P254" s="2">
        <f>IF(OR(설정!$C$19="",IFERROR(MATCH(설정!$C$19,INDEX(급여대장_원본!$A$1:$AZ$400,설정!$B$8,0),0),"")=""),"",IFERROR(VALUE(SUBSTITUTE(INDEX(급여대장_원본!$A$1:$AZ$400,(설정!$B$8+248),IFERROR(MATCH(설정!$C$19,INDEX(급여대장_원본!$A$1:$AZ$400,설정!$B$8,0),0),""))&amp;"",",","")),""))</f>
        <v/>
      </c>
      <c r="Q254" s="2">
        <f>IF(OR(설정!$C$20="",IFERROR(MATCH(설정!$C$20,INDEX(급여대장_원본!$A$1:$AZ$400,설정!$B$8,0),0),"")=""),"",IFERROR(VALUE(SUBSTITUTE(INDEX(급여대장_원본!$A$1:$AZ$400,(설정!$B$8+248),IFERROR(MATCH(설정!$C$20,INDEX(급여대장_원본!$A$1:$AZ$400,설정!$B$8,0),0),""))&amp;"",",","")),""))</f>
        <v/>
      </c>
      <c r="R254" s="2">
        <f>IF(OR(설정!$C$21="",IFERROR(MATCH(설정!$C$21,INDEX(급여대장_원본!$A$1:$AZ$400,설정!$B$8,0),0),"")=""),"",IFERROR(VALUE(SUBSTITUTE(INDEX(급여대장_원본!$A$1:$AZ$400,(설정!$B$8+248),IFERROR(MATCH(설정!$C$21,INDEX(급여대장_원본!$A$1:$AZ$400,설정!$B$8,0),0),""))&amp;"",",","")),""))</f>
        <v/>
      </c>
      <c r="S254" s="2">
        <f>IF(OR(설정!$C$22="",IFERROR(MATCH(설정!$C$22,INDEX(급여대장_원본!$A$1:$AZ$400,설정!$B$8,0),0),"")=""),"",IFERROR(VALUE(SUBSTITUTE(INDEX(급여대장_원본!$A$1:$AZ$400,(설정!$B$8+248),IFERROR(MATCH(설정!$C$22,INDEX(급여대장_원본!$A$1:$AZ$400,설정!$B$8,0),0),""))&amp;"",",","")),""))</f>
        <v/>
      </c>
      <c r="T254" s="2">
        <f>IF(OR(설정!$C$23="",IFERROR(MATCH(설정!$C$23,INDEX(급여대장_원본!$A$1:$AZ$400,설정!$B$8,0),0),"")=""),"",IFERROR(VALUE(SUBSTITUTE(INDEX(급여대장_원본!$A$1:$AZ$400,(설정!$B$8+248),IFERROR(MATCH(설정!$C$23,INDEX(급여대장_원본!$A$1:$AZ$400,설정!$B$8,0),0),""))&amp;"",",","")),""))</f>
        <v/>
      </c>
      <c r="U254" s="2">
        <f>IF(OR(설정!$C$24="",IFERROR(MATCH(설정!$C$24,INDEX(급여대장_원본!$A$1:$AZ$400,설정!$B$8,0),0),"")=""),"",IFERROR(VALUE(SUBSTITUTE(INDEX(급여대장_원본!$A$1:$AZ$400,(설정!$B$8+248),IFERROR(MATCH(설정!$C$24,INDEX(급여대장_원본!$A$1:$AZ$400,설정!$B$8,0),0),""))&amp;"",",","")),""))</f>
        <v/>
      </c>
      <c r="V254" s="27">
        <f>SUM(F254:M254)</f>
        <v/>
      </c>
      <c r="W254" s="27">
        <f>IF(설정!$D$26="",0,IFERROR(VALUE(SUBSTITUTE(SUBSTITUTE(INDEX(급여대장_원본!$A$1:$AZ$400,(설정!$B$8+248),설정!$D$26)&amp;"",",",""),"　","")),0))</f>
        <v/>
      </c>
      <c r="X254" s="27">
        <f>IF(설정!$D$27="",0,IFERROR(VALUE(SUBSTITUTE(SUBSTITUTE(INDEX(급여대장_원본!$A$1:$AZ$400,(설정!$B$8+248),설정!$D$27)&amp;"",",",""),"　","")),0))</f>
        <v/>
      </c>
      <c r="Y254" s="27">
        <f>IF(설정!$D$28="",0,IFERROR(VALUE(SUBSTITUTE(SUBSTITUTE(INDEX(급여대장_원본!$A$1:$AZ$400,(설정!$B$8+248),설정!$D$28)&amp;"",",",""),"　","")),0))</f>
        <v/>
      </c>
      <c r="Z254" s="27">
        <f>IF(설정!$D$29="",0,IFERROR(VALUE(SUBSTITUTE(SUBSTITUTE(INDEX(급여대장_원본!$A$1:$AZ$400,(설정!$B$8+248),설정!$D$29)&amp;"",",",""),"　","")),0))</f>
        <v/>
      </c>
      <c r="AA254" s="27">
        <f>IF(설정!$D$30="",0,IFERROR(VALUE(SUBSTITUTE(SUBSTITUTE(INDEX(급여대장_원본!$A$1:$AZ$400,(설정!$B$8+248),설정!$D$30)&amp;"",",",""),"　","")),0))</f>
        <v/>
      </c>
      <c r="AB254" s="27">
        <f>IF(설정!$D$31="",0,IFERROR(VALUE(SUBSTITUTE(SUBSTITUTE(INDEX(급여대장_원본!$A$1:$AZ$400,(설정!$B$8+248),설정!$D$31)&amp;"",",",""),"　","")),0))</f>
        <v/>
      </c>
      <c r="AC254" s="27">
        <f>IF(설정!$D$32="",0,IFERROR(VALUE(SUBSTITUTE(SUBSTITUTE(INDEX(급여대장_원본!$A$1:$AZ$400,(설정!$B$8+248),설정!$D$32)&amp;"",",",""),"　","")),0))</f>
        <v/>
      </c>
      <c r="AD254" s="27">
        <f>IF(설정!$D$33="",0,IFERROR(VALUE(SUBSTITUTE(SUBSTITUTE(INDEX(급여대장_원본!$A$1:$AZ$400,(설정!$B$8+248),설정!$D$33)&amp;"",",",""),"　","")),0))</f>
        <v/>
      </c>
      <c r="AE254" s="27">
        <f>SUM(W254:AD254)</f>
        <v/>
      </c>
      <c r="AF254" s="27">
        <f>V254-AE254</f>
        <v/>
      </c>
      <c r="AG254" s="27">
        <f>IF(설정!$D$35="","",IF(설정!$D$35="",0,IFERROR(VALUE(SUBSTITUTE(SUBSTITUTE(INDEX(급여대장_원본!$A$1:$AZ$400,(설정!$B$8+248),설정!$D$35)&amp;"",",",""),"　","")),0)))</f>
        <v/>
      </c>
      <c r="AH254" s="27">
        <f>IF(설정!$D$36="","",IF(설정!$D$36="",0,IFERROR(VALUE(SUBSTITUTE(SUBSTITUTE(INDEX(급여대장_원본!$A$1:$AZ$400,(설정!$B$8+248),설정!$D$36)&amp;"",",",""),"　","")),0)))</f>
        <v/>
      </c>
      <c r="AI254" s="27">
        <f>IF(설정!$D$37="","",IF(설정!$D$37="",0,IFERROR(VALUE(SUBSTITUTE(SUBSTITUTE(INDEX(급여대장_원본!$A$1:$AZ$400,(설정!$B$8+248),설정!$D$37)&amp;"",",",""),"　","")),0)))</f>
        <v/>
      </c>
      <c r="AJ254" s="2">
        <f>IFERROR(INDEX($D$7:$D$306,MATCH(248,$B$7:$B$306,0)),"")</f>
        <v/>
      </c>
    </row>
    <row r="255">
      <c r="A255" s="2">
        <f>IF(AND(D255&lt;&gt;"",D255&lt;&gt;"합계",D255&lt;&gt;"총계",D255&lt;&gt;"소계",D255&lt;&gt;"계"),1,0)</f>
        <v/>
      </c>
      <c r="B255" s="2">
        <f>IF(A255=1,SUM($A$7:A255),"")</f>
        <v/>
      </c>
      <c r="C255" s="2">
        <f>IF(설정!$D$13="","",TRIM(SUBSTITUTE(INDEX(급여대장_원본!$A$1:$AZ$400,(설정!$B$8+249),설정!$D$13)&amp;"","　"," ")))</f>
        <v/>
      </c>
      <c r="D255" s="2">
        <f>IF(설정!$D$14="","",TRIM(SUBSTITUTE(INDEX(급여대장_원본!$A$1:$AZ$400,(설정!$B$8+249),설정!$D$14)&amp;"","　"," ")))</f>
        <v/>
      </c>
      <c r="E255" s="2">
        <f>IF(설정!$D$15="","",TRIM(SUBSTITUTE(INDEX(급여대장_원본!$A$1:$AZ$400,(설정!$B$8+249),설정!$D$15)&amp;"","　"," ")))</f>
        <v/>
      </c>
      <c r="F255" s="27">
        <f>IF(설정!$D$17="",0,IFERROR(VALUE(SUBSTITUTE(SUBSTITUTE(INDEX(급여대장_원본!$A$1:$AZ$400,(설정!$B$8+249),설정!$D$17)&amp;"",",",""),"　","")),0))</f>
        <v/>
      </c>
      <c r="G255" s="27">
        <f>IF(설정!$D$18="",0,IFERROR(VALUE(SUBSTITUTE(SUBSTITUTE(INDEX(급여대장_원본!$A$1:$AZ$400,(설정!$B$8+249),설정!$D$18)&amp;"",",",""),"　","")),0))</f>
        <v/>
      </c>
      <c r="H255" s="27">
        <f>IF(설정!$D$19="",0,IFERROR(VALUE(SUBSTITUTE(SUBSTITUTE(INDEX(급여대장_원본!$A$1:$AZ$400,(설정!$B$8+249),설정!$D$19)&amp;"",",",""),"　","")),0))</f>
        <v/>
      </c>
      <c r="I255" s="27">
        <f>IF(설정!$D$20="",0,IFERROR(VALUE(SUBSTITUTE(SUBSTITUTE(INDEX(급여대장_원본!$A$1:$AZ$400,(설정!$B$8+249),설정!$D$20)&amp;"",",",""),"　","")),0))</f>
        <v/>
      </c>
      <c r="J255" s="27">
        <f>IF(설정!$D$21="",0,IFERROR(VALUE(SUBSTITUTE(SUBSTITUTE(INDEX(급여대장_원본!$A$1:$AZ$400,(설정!$B$8+249),설정!$D$21)&amp;"",",",""),"　","")),0))</f>
        <v/>
      </c>
      <c r="K255" s="27">
        <f>IF(설정!$D$22="",0,IFERROR(VALUE(SUBSTITUTE(SUBSTITUTE(INDEX(급여대장_원본!$A$1:$AZ$400,(설정!$B$8+249),설정!$D$22)&amp;"",",",""),"　","")),0))</f>
        <v/>
      </c>
      <c r="L255" s="27">
        <f>IF(설정!$D$23="",0,IFERROR(VALUE(SUBSTITUTE(SUBSTITUTE(INDEX(급여대장_원본!$A$1:$AZ$400,(설정!$B$8+249),설정!$D$23)&amp;"",",",""),"　","")),0))</f>
        <v/>
      </c>
      <c r="M255" s="27">
        <f>IF(설정!$D$24="",0,IFERROR(VALUE(SUBSTITUTE(SUBSTITUTE(INDEX(급여대장_원본!$A$1:$AZ$400,(설정!$B$8+249),설정!$D$24)&amp;"",",",""),"　","")),0))</f>
        <v/>
      </c>
      <c r="N255" s="2">
        <f>IF(OR(설정!$C$17="",IFERROR(MATCH(설정!$C$17,INDEX(급여대장_원본!$A$1:$AZ$400,설정!$B$8,0),0),"")=""),"",IFERROR(VALUE(SUBSTITUTE(INDEX(급여대장_원본!$A$1:$AZ$400,(설정!$B$8+249),IFERROR(MATCH(설정!$C$17,INDEX(급여대장_원본!$A$1:$AZ$400,설정!$B$8,0),0),""))&amp;"",",","")),""))</f>
        <v/>
      </c>
      <c r="O255" s="2">
        <f>IF(OR(설정!$C$18="",IFERROR(MATCH(설정!$C$18,INDEX(급여대장_원본!$A$1:$AZ$400,설정!$B$8,0),0),"")=""),"",IFERROR(VALUE(SUBSTITUTE(INDEX(급여대장_원본!$A$1:$AZ$400,(설정!$B$8+249),IFERROR(MATCH(설정!$C$18,INDEX(급여대장_원본!$A$1:$AZ$400,설정!$B$8,0),0),""))&amp;"",",","")),""))</f>
        <v/>
      </c>
      <c r="P255" s="2">
        <f>IF(OR(설정!$C$19="",IFERROR(MATCH(설정!$C$19,INDEX(급여대장_원본!$A$1:$AZ$400,설정!$B$8,0),0),"")=""),"",IFERROR(VALUE(SUBSTITUTE(INDEX(급여대장_원본!$A$1:$AZ$400,(설정!$B$8+249),IFERROR(MATCH(설정!$C$19,INDEX(급여대장_원본!$A$1:$AZ$400,설정!$B$8,0),0),""))&amp;"",",","")),""))</f>
        <v/>
      </c>
      <c r="Q255" s="2">
        <f>IF(OR(설정!$C$20="",IFERROR(MATCH(설정!$C$20,INDEX(급여대장_원본!$A$1:$AZ$400,설정!$B$8,0),0),"")=""),"",IFERROR(VALUE(SUBSTITUTE(INDEX(급여대장_원본!$A$1:$AZ$400,(설정!$B$8+249),IFERROR(MATCH(설정!$C$20,INDEX(급여대장_원본!$A$1:$AZ$400,설정!$B$8,0),0),""))&amp;"",",","")),""))</f>
        <v/>
      </c>
      <c r="R255" s="2">
        <f>IF(OR(설정!$C$21="",IFERROR(MATCH(설정!$C$21,INDEX(급여대장_원본!$A$1:$AZ$400,설정!$B$8,0),0),"")=""),"",IFERROR(VALUE(SUBSTITUTE(INDEX(급여대장_원본!$A$1:$AZ$400,(설정!$B$8+249),IFERROR(MATCH(설정!$C$21,INDEX(급여대장_원본!$A$1:$AZ$400,설정!$B$8,0),0),""))&amp;"",",","")),""))</f>
        <v/>
      </c>
      <c r="S255" s="2">
        <f>IF(OR(설정!$C$22="",IFERROR(MATCH(설정!$C$22,INDEX(급여대장_원본!$A$1:$AZ$400,설정!$B$8,0),0),"")=""),"",IFERROR(VALUE(SUBSTITUTE(INDEX(급여대장_원본!$A$1:$AZ$400,(설정!$B$8+249),IFERROR(MATCH(설정!$C$22,INDEX(급여대장_원본!$A$1:$AZ$400,설정!$B$8,0),0),""))&amp;"",",","")),""))</f>
        <v/>
      </c>
      <c r="T255" s="2">
        <f>IF(OR(설정!$C$23="",IFERROR(MATCH(설정!$C$23,INDEX(급여대장_원본!$A$1:$AZ$400,설정!$B$8,0),0),"")=""),"",IFERROR(VALUE(SUBSTITUTE(INDEX(급여대장_원본!$A$1:$AZ$400,(설정!$B$8+249),IFERROR(MATCH(설정!$C$23,INDEX(급여대장_원본!$A$1:$AZ$400,설정!$B$8,0),0),""))&amp;"",",","")),""))</f>
        <v/>
      </c>
      <c r="U255" s="2">
        <f>IF(OR(설정!$C$24="",IFERROR(MATCH(설정!$C$24,INDEX(급여대장_원본!$A$1:$AZ$400,설정!$B$8,0),0),"")=""),"",IFERROR(VALUE(SUBSTITUTE(INDEX(급여대장_원본!$A$1:$AZ$400,(설정!$B$8+249),IFERROR(MATCH(설정!$C$24,INDEX(급여대장_원본!$A$1:$AZ$400,설정!$B$8,0),0),""))&amp;"",",","")),""))</f>
        <v/>
      </c>
      <c r="V255" s="27">
        <f>SUM(F255:M255)</f>
        <v/>
      </c>
      <c r="W255" s="27">
        <f>IF(설정!$D$26="",0,IFERROR(VALUE(SUBSTITUTE(SUBSTITUTE(INDEX(급여대장_원본!$A$1:$AZ$400,(설정!$B$8+249),설정!$D$26)&amp;"",",",""),"　","")),0))</f>
        <v/>
      </c>
      <c r="X255" s="27">
        <f>IF(설정!$D$27="",0,IFERROR(VALUE(SUBSTITUTE(SUBSTITUTE(INDEX(급여대장_원본!$A$1:$AZ$400,(설정!$B$8+249),설정!$D$27)&amp;"",",",""),"　","")),0))</f>
        <v/>
      </c>
      <c r="Y255" s="27">
        <f>IF(설정!$D$28="",0,IFERROR(VALUE(SUBSTITUTE(SUBSTITUTE(INDEX(급여대장_원본!$A$1:$AZ$400,(설정!$B$8+249),설정!$D$28)&amp;"",",",""),"　","")),0))</f>
        <v/>
      </c>
      <c r="Z255" s="27">
        <f>IF(설정!$D$29="",0,IFERROR(VALUE(SUBSTITUTE(SUBSTITUTE(INDEX(급여대장_원본!$A$1:$AZ$400,(설정!$B$8+249),설정!$D$29)&amp;"",",",""),"　","")),0))</f>
        <v/>
      </c>
      <c r="AA255" s="27">
        <f>IF(설정!$D$30="",0,IFERROR(VALUE(SUBSTITUTE(SUBSTITUTE(INDEX(급여대장_원본!$A$1:$AZ$400,(설정!$B$8+249),설정!$D$30)&amp;"",",",""),"　","")),0))</f>
        <v/>
      </c>
      <c r="AB255" s="27">
        <f>IF(설정!$D$31="",0,IFERROR(VALUE(SUBSTITUTE(SUBSTITUTE(INDEX(급여대장_원본!$A$1:$AZ$400,(설정!$B$8+249),설정!$D$31)&amp;"",",",""),"　","")),0))</f>
        <v/>
      </c>
      <c r="AC255" s="27">
        <f>IF(설정!$D$32="",0,IFERROR(VALUE(SUBSTITUTE(SUBSTITUTE(INDEX(급여대장_원본!$A$1:$AZ$400,(설정!$B$8+249),설정!$D$32)&amp;"",",",""),"　","")),0))</f>
        <v/>
      </c>
      <c r="AD255" s="27">
        <f>IF(설정!$D$33="",0,IFERROR(VALUE(SUBSTITUTE(SUBSTITUTE(INDEX(급여대장_원본!$A$1:$AZ$400,(설정!$B$8+249),설정!$D$33)&amp;"",",",""),"　","")),0))</f>
        <v/>
      </c>
      <c r="AE255" s="27">
        <f>SUM(W255:AD255)</f>
        <v/>
      </c>
      <c r="AF255" s="27">
        <f>V255-AE255</f>
        <v/>
      </c>
      <c r="AG255" s="27">
        <f>IF(설정!$D$35="","",IF(설정!$D$35="",0,IFERROR(VALUE(SUBSTITUTE(SUBSTITUTE(INDEX(급여대장_원본!$A$1:$AZ$400,(설정!$B$8+249),설정!$D$35)&amp;"",",",""),"　","")),0)))</f>
        <v/>
      </c>
      <c r="AH255" s="27">
        <f>IF(설정!$D$36="","",IF(설정!$D$36="",0,IFERROR(VALUE(SUBSTITUTE(SUBSTITUTE(INDEX(급여대장_원본!$A$1:$AZ$400,(설정!$B$8+249),설정!$D$36)&amp;"",",",""),"　","")),0)))</f>
        <v/>
      </c>
      <c r="AI255" s="27">
        <f>IF(설정!$D$37="","",IF(설정!$D$37="",0,IFERROR(VALUE(SUBSTITUTE(SUBSTITUTE(INDEX(급여대장_원본!$A$1:$AZ$400,(설정!$B$8+249),설정!$D$37)&amp;"",",",""),"　","")),0)))</f>
        <v/>
      </c>
      <c r="AJ255" s="2">
        <f>IFERROR(INDEX($D$7:$D$306,MATCH(249,$B$7:$B$306,0)),"")</f>
        <v/>
      </c>
    </row>
    <row r="256">
      <c r="A256" s="2">
        <f>IF(AND(D256&lt;&gt;"",D256&lt;&gt;"합계",D256&lt;&gt;"총계",D256&lt;&gt;"소계",D256&lt;&gt;"계"),1,0)</f>
        <v/>
      </c>
      <c r="B256" s="2">
        <f>IF(A256=1,SUM($A$7:A256),"")</f>
        <v/>
      </c>
      <c r="C256" s="2">
        <f>IF(설정!$D$13="","",TRIM(SUBSTITUTE(INDEX(급여대장_원본!$A$1:$AZ$400,(설정!$B$8+250),설정!$D$13)&amp;"","　"," ")))</f>
        <v/>
      </c>
      <c r="D256" s="2">
        <f>IF(설정!$D$14="","",TRIM(SUBSTITUTE(INDEX(급여대장_원본!$A$1:$AZ$400,(설정!$B$8+250),설정!$D$14)&amp;"","　"," ")))</f>
        <v/>
      </c>
      <c r="E256" s="2">
        <f>IF(설정!$D$15="","",TRIM(SUBSTITUTE(INDEX(급여대장_원본!$A$1:$AZ$400,(설정!$B$8+250),설정!$D$15)&amp;"","　"," ")))</f>
        <v/>
      </c>
      <c r="F256" s="27">
        <f>IF(설정!$D$17="",0,IFERROR(VALUE(SUBSTITUTE(SUBSTITUTE(INDEX(급여대장_원본!$A$1:$AZ$400,(설정!$B$8+250),설정!$D$17)&amp;"",",",""),"　","")),0))</f>
        <v/>
      </c>
      <c r="G256" s="27">
        <f>IF(설정!$D$18="",0,IFERROR(VALUE(SUBSTITUTE(SUBSTITUTE(INDEX(급여대장_원본!$A$1:$AZ$400,(설정!$B$8+250),설정!$D$18)&amp;"",",",""),"　","")),0))</f>
        <v/>
      </c>
      <c r="H256" s="27">
        <f>IF(설정!$D$19="",0,IFERROR(VALUE(SUBSTITUTE(SUBSTITUTE(INDEX(급여대장_원본!$A$1:$AZ$400,(설정!$B$8+250),설정!$D$19)&amp;"",",",""),"　","")),0))</f>
        <v/>
      </c>
      <c r="I256" s="27">
        <f>IF(설정!$D$20="",0,IFERROR(VALUE(SUBSTITUTE(SUBSTITUTE(INDEX(급여대장_원본!$A$1:$AZ$400,(설정!$B$8+250),설정!$D$20)&amp;"",",",""),"　","")),0))</f>
        <v/>
      </c>
      <c r="J256" s="27">
        <f>IF(설정!$D$21="",0,IFERROR(VALUE(SUBSTITUTE(SUBSTITUTE(INDEX(급여대장_원본!$A$1:$AZ$400,(설정!$B$8+250),설정!$D$21)&amp;"",",",""),"　","")),0))</f>
        <v/>
      </c>
      <c r="K256" s="27">
        <f>IF(설정!$D$22="",0,IFERROR(VALUE(SUBSTITUTE(SUBSTITUTE(INDEX(급여대장_원본!$A$1:$AZ$400,(설정!$B$8+250),설정!$D$22)&amp;"",",",""),"　","")),0))</f>
        <v/>
      </c>
      <c r="L256" s="27">
        <f>IF(설정!$D$23="",0,IFERROR(VALUE(SUBSTITUTE(SUBSTITUTE(INDEX(급여대장_원본!$A$1:$AZ$400,(설정!$B$8+250),설정!$D$23)&amp;"",",",""),"　","")),0))</f>
        <v/>
      </c>
      <c r="M256" s="27">
        <f>IF(설정!$D$24="",0,IFERROR(VALUE(SUBSTITUTE(SUBSTITUTE(INDEX(급여대장_원본!$A$1:$AZ$400,(설정!$B$8+250),설정!$D$24)&amp;"",",",""),"　","")),0))</f>
        <v/>
      </c>
      <c r="N256" s="2">
        <f>IF(OR(설정!$C$17="",IFERROR(MATCH(설정!$C$17,INDEX(급여대장_원본!$A$1:$AZ$400,설정!$B$8,0),0),"")=""),"",IFERROR(VALUE(SUBSTITUTE(INDEX(급여대장_원본!$A$1:$AZ$400,(설정!$B$8+250),IFERROR(MATCH(설정!$C$17,INDEX(급여대장_원본!$A$1:$AZ$400,설정!$B$8,0),0),""))&amp;"",",","")),""))</f>
        <v/>
      </c>
      <c r="O256" s="2">
        <f>IF(OR(설정!$C$18="",IFERROR(MATCH(설정!$C$18,INDEX(급여대장_원본!$A$1:$AZ$400,설정!$B$8,0),0),"")=""),"",IFERROR(VALUE(SUBSTITUTE(INDEX(급여대장_원본!$A$1:$AZ$400,(설정!$B$8+250),IFERROR(MATCH(설정!$C$18,INDEX(급여대장_원본!$A$1:$AZ$400,설정!$B$8,0),0),""))&amp;"",",","")),""))</f>
        <v/>
      </c>
      <c r="P256" s="2">
        <f>IF(OR(설정!$C$19="",IFERROR(MATCH(설정!$C$19,INDEX(급여대장_원본!$A$1:$AZ$400,설정!$B$8,0),0),"")=""),"",IFERROR(VALUE(SUBSTITUTE(INDEX(급여대장_원본!$A$1:$AZ$400,(설정!$B$8+250),IFERROR(MATCH(설정!$C$19,INDEX(급여대장_원본!$A$1:$AZ$400,설정!$B$8,0),0),""))&amp;"",",","")),""))</f>
        <v/>
      </c>
      <c r="Q256" s="2">
        <f>IF(OR(설정!$C$20="",IFERROR(MATCH(설정!$C$20,INDEX(급여대장_원본!$A$1:$AZ$400,설정!$B$8,0),0),"")=""),"",IFERROR(VALUE(SUBSTITUTE(INDEX(급여대장_원본!$A$1:$AZ$400,(설정!$B$8+250),IFERROR(MATCH(설정!$C$20,INDEX(급여대장_원본!$A$1:$AZ$400,설정!$B$8,0),0),""))&amp;"",",","")),""))</f>
        <v/>
      </c>
      <c r="R256" s="2">
        <f>IF(OR(설정!$C$21="",IFERROR(MATCH(설정!$C$21,INDEX(급여대장_원본!$A$1:$AZ$400,설정!$B$8,0),0),"")=""),"",IFERROR(VALUE(SUBSTITUTE(INDEX(급여대장_원본!$A$1:$AZ$400,(설정!$B$8+250),IFERROR(MATCH(설정!$C$21,INDEX(급여대장_원본!$A$1:$AZ$400,설정!$B$8,0),0),""))&amp;"",",","")),""))</f>
        <v/>
      </c>
      <c r="S256" s="2">
        <f>IF(OR(설정!$C$22="",IFERROR(MATCH(설정!$C$22,INDEX(급여대장_원본!$A$1:$AZ$400,설정!$B$8,0),0),"")=""),"",IFERROR(VALUE(SUBSTITUTE(INDEX(급여대장_원본!$A$1:$AZ$400,(설정!$B$8+250),IFERROR(MATCH(설정!$C$22,INDEX(급여대장_원본!$A$1:$AZ$400,설정!$B$8,0),0),""))&amp;"",",","")),""))</f>
        <v/>
      </c>
      <c r="T256" s="2">
        <f>IF(OR(설정!$C$23="",IFERROR(MATCH(설정!$C$23,INDEX(급여대장_원본!$A$1:$AZ$400,설정!$B$8,0),0),"")=""),"",IFERROR(VALUE(SUBSTITUTE(INDEX(급여대장_원본!$A$1:$AZ$400,(설정!$B$8+250),IFERROR(MATCH(설정!$C$23,INDEX(급여대장_원본!$A$1:$AZ$400,설정!$B$8,0),0),""))&amp;"",",","")),""))</f>
        <v/>
      </c>
      <c r="U256" s="2">
        <f>IF(OR(설정!$C$24="",IFERROR(MATCH(설정!$C$24,INDEX(급여대장_원본!$A$1:$AZ$400,설정!$B$8,0),0),"")=""),"",IFERROR(VALUE(SUBSTITUTE(INDEX(급여대장_원본!$A$1:$AZ$400,(설정!$B$8+250),IFERROR(MATCH(설정!$C$24,INDEX(급여대장_원본!$A$1:$AZ$400,설정!$B$8,0),0),""))&amp;"",",","")),""))</f>
        <v/>
      </c>
      <c r="V256" s="27">
        <f>SUM(F256:M256)</f>
        <v/>
      </c>
      <c r="W256" s="27">
        <f>IF(설정!$D$26="",0,IFERROR(VALUE(SUBSTITUTE(SUBSTITUTE(INDEX(급여대장_원본!$A$1:$AZ$400,(설정!$B$8+250),설정!$D$26)&amp;"",",",""),"　","")),0))</f>
        <v/>
      </c>
      <c r="X256" s="27">
        <f>IF(설정!$D$27="",0,IFERROR(VALUE(SUBSTITUTE(SUBSTITUTE(INDEX(급여대장_원본!$A$1:$AZ$400,(설정!$B$8+250),설정!$D$27)&amp;"",",",""),"　","")),0))</f>
        <v/>
      </c>
      <c r="Y256" s="27">
        <f>IF(설정!$D$28="",0,IFERROR(VALUE(SUBSTITUTE(SUBSTITUTE(INDEX(급여대장_원본!$A$1:$AZ$400,(설정!$B$8+250),설정!$D$28)&amp;"",",",""),"　","")),0))</f>
        <v/>
      </c>
      <c r="Z256" s="27">
        <f>IF(설정!$D$29="",0,IFERROR(VALUE(SUBSTITUTE(SUBSTITUTE(INDEX(급여대장_원본!$A$1:$AZ$400,(설정!$B$8+250),설정!$D$29)&amp;"",",",""),"　","")),0))</f>
        <v/>
      </c>
      <c r="AA256" s="27">
        <f>IF(설정!$D$30="",0,IFERROR(VALUE(SUBSTITUTE(SUBSTITUTE(INDEX(급여대장_원본!$A$1:$AZ$400,(설정!$B$8+250),설정!$D$30)&amp;"",",",""),"　","")),0))</f>
        <v/>
      </c>
      <c r="AB256" s="27">
        <f>IF(설정!$D$31="",0,IFERROR(VALUE(SUBSTITUTE(SUBSTITUTE(INDEX(급여대장_원본!$A$1:$AZ$400,(설정!$B$8+250),설정!$D$31)&amp;"",",",""),"　","")),0))</f>
        <v/>
      </c>
      <c r="AC256" s="27">
        <f>IF(설정!$D$32="",0,IFERROR(VALUE(SUBSTITUTE(SUBSTITUTE(INDEX(급여대장_원본!$A$1:$AZ$400,(설정!$B$8+250),설정!$D$32)&amp;"",",",""),"　","")),0))</f>
        <v/>
      </c>
      <c r="AD256" s="27">
        <f>IF(설정!$D$33="",0,IFERROR(VALUE(SUBSTITUTE(SUBSTITUTE(INDEX(급여대장_원본!$A$1:$AZ$400,(설정!$B$8+250),설정!$D$33)&amp;"",",",""),"　","")),0))</f>
        <v/>
      </c>
      <c r="AE256" s="27">
        <f>SUM(W256:AD256)</f>
        <v/>
      </c>
      <c r="AF256" s="27">
        <f>V256-AE256</f>
        <v/>
      </c>
      <c r="AG256" s="27">
        <f>IF(설정!$D$35="","",IF(설정!$D$35="",0,IFERROR(VALUE(SUBSTITUTE(SUBSTITUTE(INDEX(급여대장_원본!$A$1:$AZ$400,(설정!$B$8+250),설정!$D$35)&amp;"",",",""),"　","")),0)))</f>
        <v/>
      </c>
      <c r="AH256" s="27">
        <f>IF(설정!$D$36="","",IF(설정!$D$36="",0,IFERROR(VALUE(SUBSTITUTE(SUBSTITUTE(INDEX(급여대장_원본!$A$1:$AZ$400,(설정!$B$8+250),설정!$D$36)&amp;"",",",""),"　","")),0)))</f>
        <v/>
      </c>
      <c r="AI256" s="27">
        <f>IF(설정!$D$37="","",IF(설정!$D$37="",0,IFERROR(VALUE(SUBSTITUTE(SUBSTITUTE(INDEX(급여대장_원본!$A$1:$AZ$400,(설정!$B$8+250),설정!$D$37)&amp;"",",",""),"　","")),0)))</f>
        <v/>
      </c>
      <c r="AJ256" s="2">
        <f>IFERROR(INDEX($D$7:$D$306,MATCH(250,$B$7:$B$306,0)),"")</f>
        <v/>
      </c>
    </row>
    <row r="257">
      <c r="A257" s="2">
        <f>IF(AND(D257&lt;&gt;"",D257&lt;&gt;"합계",D257&lt;&gt;"총계",D257&lt;&gt;"소계",D257&lt;&gt;"계"),1,0)</f>
        <v/>
      </c>
      <c r="B257" s="2">
        <f>IF(A257=1,SUM($A$7:A257),"")</f>
        <v/>
      </c>
      <c r="C257" s="2">
        <f>IF(설정!$D$13="","",TRIM(SUBSTITUTE(INDEX(급여대장_원본!$A$1:$AZ$400,(설정!$B$8+251),설정!$D$13)&amp;"","　"," ")))</f>
        <v/>
      </c>
      <c r="D257" s="2">
        <f>IF(설정!$D$14="","",TRIM(SUBSTITUTE(INDEX(급여대장_원본!$A$1:$AZ$400,(설정!$B$8+251),설정!$D$14)&amp;"","　"," ")))</f>
        <v/>
      </c>
      <c r="E257" s="2">
        <f>IF(설정!$D$15="","",TRIM(SUBSTITUTE(INDEX(급여대장_원본!$A$1:$AZ$400,(설정!$B$8+251),설정!$D$15)&amp;"","　"," ")))</f>
        <v/>
      </c>
      <c r="F257" s="27">
        <f>IF(설정!$D$17="",0,IFERROR(VALUE(SUBSTITUTE(SUBSTITUTE(INDEX(급여대장_원본!$A$1:$AZ$400,(설정!$B$8+251),설정!$D$17)&amp;"",",",""),"　","")),0))</f>
        <v/>
      </c>
      <c r="G257" s="27">
        <f>IF(설정!$D$18="",0,IFERROR(VALUE(SUBSTITUTE(SUBSTITUTE(INDEX(급여대장_원본!$A$1:$AZ$400,(설정!$B$8+251),설정!$D$18)&amp;"",",",""),"　","")),0))</f>
        <v/>
      </c>
      <c r="H257" s="27">
        <f>IF(설정!$D$19="",0,IFERROR(VALUE(SUBSTITUTE(SUBSTITUTE(INDEX(급여대장_원본!$A$1:$AZ$400,(설정!$B$8+251),설정!$D$19)&amp;"",",",""),"　","")),0))</f>
        <v/>
      </c>
      <c r="I257" s="27">
        <f>IF(설정!$D$20="",0,IFERROR(VALUE(SUBSTITUTE(SUBSTITUTE(INDEX(급여대장_원본!$A$1:$AZ$400,(설정!$B$8+251),설정!$D$20)&amp;"",",",""),"　","")),0))</f>
        <v/>
      </c>
      <c r="J257" s="27">
        <f>IF(설정!$D$21="",0,IFERROR(VALUE(SUBSTITUTE(SUBSTITUTE(INDEX(급여대장_원본!$A$1:$AZ$400,(설정!$B$8+251),설정!$D$21)&amp;"",",",""),"　","")),0))</f>
        <v/>
      </c>
      <c r="K257" s="27">
        <f>IF(설정!$D$22="",0,IFERROR(VALUE(SUBSTITUTE(SUBSTITUTE(INDEX(급여대장_원본!$A$1:$AZ$400,(설정!$B$8+251),설정!$D$22)&amp;"",",",""),"　","")),0))</f>
        <v/>
      </c>
      <c r="L257" s="27">
        <f>IF(설정!$D$23="",0,IFERROR(VALUE(SUBSTITUTE(SUBSTITUTE(INDEX(급여대장_원본!$A$1:$AZ$400,(설정!$B$8+251),설정!$D$23)&amp;"",",",""),"　","")),0))</f>
        <v/>
      </c>
      <c r="M257" s="27">
        <f>IF(설정!$D$24="",0,IFERROR(VALUE(SUBSTITUTE(SUBSTITUTE(INDEX(급여대장_원본!$A$1:$AZ$400,(설정!$B$8+251),설정!$D$24)&amp;"",",",""),"　","")),0))</f>
        <v/>
      </c>
      <c r="N257" s="2">
        <f>IF(OR(설정!$C$17="",IFERROR(MATCH(설정!$C$17,INDEX(급여대장_원본!$A$1:$AZ$400,설정!$B$8,0),0),"")=""),"",IFERROR(VALUE(SUBSTITUTE(INDEX(급여대장_원본!$A$1:$AZ$400,(설정!$B$8+251),IFERROR(MATCH(설정!$C$17,INDEX(급여대장_원본!$A$1:$AZ$400,설정!$B$8,0),0),""))&amp;"",",","")),""))</f>
        <v/>
      </c>
      <c r="O257" s="2">
        <f>IF(OR(설정!$C$18="",IFERROR(MATCH(설정!$C$18,INDEX(급여대장_원본!$A$1:$AZ$400,설정!$B$8,0),0),"")=""),"",IFERROR(VALUE(SUBSTITUTE(INDEX(급여대장_원본!$A$1:$AZ$400,(설정!$B$8+251),IFERROR(MATCH(설정!$C$18,INDEX(급여대장_원본!$A$1:$AZ$400,설정!$B$8,0),0),""))&amp;"",",","")),""))</f>
        <v/>
      </c>
      <c r="P257" s="2">
        <f>IF(OR(설정!$C$19="",IFERROR(MATCH(설정!$C$19,INDEX(급여대장_원본!$A$1:$AZ$400,설정!$B$8,0),0),"")=""),"",IFERROR(VALUE(SUBSTITUTE(INDEX(급여대장_원본!$A$1:$AZ$400,(설정!$B$8+251),IFERROR(MATCH(설정!$C$19,INDEX(급여대장_원본!$A$1:$AZ$400,설정!$B$8,0),0),""))&amp;"",",","")),""))</f>
        <v/>
      </c>
      <c r="Q257" s="2">
        <f>IF(OR(설정!$C$20="",IFERROR(MATCH(설정!$C$20,INDEX(급여대장_원본!$A$1:$AZ$400,설정!$B$8,0),0),"")=""),"",IFERROR(VALUE(SUBSTITUTE(INDEX(급여대장_원본!$A$1:$AZ$400,(설정!$B$8+251),IFERROR(MATCH(설정!$C$20,INDEX(급여대장_원본!$A$1:$AZ$400,설정!$B$8,0),0),""))&amp;"",",","")),""))</f>
        <v/>
      </c>
      <c r="R257" s="2">
        <f>IF(OR(설정!$C$21="",IFERROR(MATCH(설정!$C$21,INDEX(급여대장_원본!$A$1:$AZ$400,설정!$B$8,0),0),"")=""),"",IFERROR(VALUE(SUBSTITUTE(INDEX(급여대장_원본!$A$1:$AZ$400,(설정!$B$8+251),IFERROR(MATCH(설정!$C$21,INDEX(급여대장_원본!$A$1:$AZ$400,설정!$B$8,0),0),""))&amp;"",",","")),""))</f>
        <v/>
      </c>
      <c r="S257" s="2">
        <f>IF(OR(설정!$C$22="",IFERROR(MATCH(설정!$C$22,INDEX(급여대장_원본!$A$1:$AZ$400,설정!$B$8,0),0),"")=""),"",IFERROR(VALUE(SUBSTITUTE(INDEX(급여대장_원본!$A$1:$AZ$400,(설정!$B$8+251),IFERROR(MATCH(설정!$C$22,INDEX(급여대장_원본!$A$1:$AZ$400,설정!$B$8,0),0),""))&amp;"",",","")),""))</f>
        <v/>
      </c>
      <c r="T257" s="2">
        <f>IF(OR(설정!$C$23="",IFERROR(MATCH(설정!$C$23,INDEX(급여대장_원본!$A$1:$AZ$400,설정!$B$8,0),0),"")=""),"",IFERROR(VALUE(SUBSTITUTE(INDEX(급여대장_원본!$A$1:$AZ$400,(설정!$B$8+251),IFERROR(MATCH(설정!$C$23,INDEX(급여대장_원본!$A$1:$AZ$400,설정!$B$8,0),0),""))&amp;"",",","")),""))</f>
        <v/>
      </c>
      <c r="U257" s="2">
        <f>IF(OR(설정!$C$24="",IFERROR(MATCH(설정!$C$24,INDEX(급여대장_원본!$A$1:$AZ$400,설정!$B$8,0),0),"")=""),"",IFERROR(VALUE(SUBSTITUTE(INDEX(급여대장_원본!$A$1:$AZ$400,(설정!$B$8+251),IFERROR(MATCH(설정!$C$24,INDEX(급여대장_원본!$A$1:$AZ$400,설정!$B$8,0),0),""))&amp;"",",","")),""))</f>
        <v/>
      </c>
      <c r="V257" s="27">
        <f>SUM(F257:M257)</f>
        <v/>
      </c>
      <c r="W257" s="27">
        <f>IF(설정!$D$26="",0,IFERROR(VALUE(SUBSTITUTE(SUBSTITUTE(INDEX(급여대장_원본!$A$1:$AZ$400,(설정!$B$8+251),설정!$D$26)&amp;"",",",""),"　","")),0))</f>
        <v/>
      </c>
      <c r="X257" s="27">
        <f>IF(설정!$D$27="",0,IFERROR(VALUE(SUBSTITUTE(SUBSTITUTE(INDEX(급여대장_원본!$A$1:$AZ$400,(설정!$B$8+251),설정!$D$27)&amp;"",",",""),"　","")),0))</f>
        <v/>
      </c>
      <c r="Y257" s="27">
        <f>IF(설정!$D$28="",0,IFERROR(VALUE(SUBSTITUTE(SUBSTITUTE(INDEX(급여대장_원본!$A$1:$AZ$400,(설정!$B$8+251),설정!$D$28)&amp;"",",",""),"　","")),0))</f>
        <v/>
      </c>
      <c r="Z257" s="27">
        <f>IF(설정!$D$29="",0,IFERROR(VALUE(SUBSTITUTE(SUBSTITUTE(INDEX(급여대장_원본!$A$1:$AZ$400,(설정!$B$8+251),설정!$D$29)&amp;"",",",""),"　","")),0))</f>
        <v/>
      </c>
      <c r="AA257" s="27">
        <f>IF(설정!$D$30="",0,IFERROR(VALUE(SUBSTITUTE(SUBSTITUTE(INDEX(급여대장_원본!$A$1:$AZ$400,(설정!$B$8+251),설정!$D$30)&amp;"",",",""),"　","")),0))</f>
        <v/>
      </c>
      <c r="AB257" s="27">
        <f>IF(설정!$D$31="",0,IFERROR(VALUE(SUBSTITUTE(SUBSTITUTE(INDEX(급여대장_원본!$A$1:$AZ$400,(설정!$B$8+251),설정!$D$31)&amp;"",",",""),"　","")),0))</f>
        <v/>
      </c>
      <c r="AC257" s="27">
        <f>IF(설정!$D$32="",0,IFERROR(VALUE(SUBSTITUTE(SUBSTITUTE(INDEX(급여대장_원본!$A$1:$AZ$400,(설정!$B$8+251),설정!$D$32)&amp;"",",",""),"　","")),0))</f>
        <v/>
      </c>
      <c r="AD257" s="27">
        <f>IF(설정!$D$33="",0,IFERROR(VALUE(SUBSTITUTE(SUBSTITUTE(INDEX(급여대장_원본!$A$1:$AZ$400,(설정!$B$8+251),설정!$D$33)&amp;"",",",""),"　","")),0))</f>
        <v/>
      </c>
      <c r="AE257" s="27">
        <f>SUM(W257:AD257)</f>
        <v/>
      </c>
      <c r="AF257" s="27">
        <f>V257-AE257</f>
        <v/>
      </c>
      <c r="AG257" s="27">
        <f>IF(설정!$D$35="","",IF(설정!$D$35="",0,IFERROR(VALUE(SUBSTITUTE(SUBSTITUTE(INDEX(급여대장_원본!$A$1:$AZ$400,(설정!$B$8+251),설정!$D$35)&amp;"",",",""),"　","")),0)))</f>
        <v/>
      </c>
      <c r="AH257" s="27">
        <f>IF(설정!$D$36="","",IF(설정!$D$36="",0,IFERROR(VALUE(SUBSTITUTE(SUBSTITUTE(INDEX(급여대장_원본!$A$1:$AZ$400,(설정!$B$8+251),설정!$D$36)&amp;"",",",""),"　","")),0)))</f>
        <v/>
      </c>
      <c r="AI257" s="27">
        <f>IF(설정!$D$37="","",IF(설정!$D$37="",0,IFERROR(VALUE(SUBSTITUTE(SUBSTITUTE(INDEX(급여대장_원본!$A$1:$AZ$400,(설정!$B$8+251),설정!$D$37)&amp;"",",",""),"　","")),0)))</f>
        <v/>
      </c>
      <c r="AJ257" s="2">
        <f>IFERROR(INDEX($D$7:$D$306,MATCH(251,$B$7:$B$306,0)),"")</f>
        <v/>
      </c>
    </row>
    <row r="258">
      <c r="A258" s="2">
        <f>IF(AND(D258&lt;&gt;"",D258&lt;&gt;"합계",D258&lt;&gt;"총계",D258&lt;&gt;"소계",D258&lt;&gt;"계"),1,0)</f>
        <v/>
      </c>
      <c r="B258" s="2">
        <f>IF(A258=1,SUM($A$7:A258),"")</f>
        <v/>
      </c>
      <c r="C258" s="2">
        <f>IF(설정!$D$13="","",TRIM(SUBSTITUTE(INDEX(급여대장_원본!$A$1:$AZ$400,(설정!$B$8+252),설정!$D$13)&amp;"","　"," ")))</f>
        <v/>
      </c>
      <c r="D258" s="2">
        <f>IF(설정!$D$14="","",TRIM(SUBSTITUTE(INDEX(급여대장_원본!$A$1:$AZ$400,(설정!$B$8+252),설정!$D$14)&amp;"","　"," ")))</f>
        <v/>
      </c>
      <c r="E258" s="2">
        <f>IF(설정!$D$15="","",TRIM(SUBSTITUTE(INDEX(급여대장_원본!$A$1:$AZ$400,(설정!$B$8+252),설정!$D$15)&amp;"","　"," ")))</f>
        <v/>
      </c>
      <c r="F258" s="27">
        <f>IF(설정!$D$17="",0,IFERROR(VALUE(SUBSTITUTE(SUBSTITUTE(INDEX(급여대장_원본!$A$1:$AZ$400,(설정!$B$8+252),설정!$D$17)&amp;"",",",""),"　","")),0))</f>
        <v/>
      </c>
      <c r="G258" s="27">
        <f>IF(설정!$D$18="",0,IFERROR(VALUE(SUBSTITUTE(SUBSTITUTE(INDEX(급여대장_원본!$A$1:$AZ$400,(설정!$B$8+252),설정!$D$18)&amp;"",",",""),"　","")),0))</f>
        <v/>
      </c>
      <c r="H258" s="27">
        <f>IF(설정!$D$19="",0,IFERROR(VALUE(SUBSTITUTE(SUBSTITUTE(INDEX(급여대장_원본!$A$1:$AZ$400,(설정!$B$8+252),설정!$D$19)&amp;"",",",""),"　","")),0))</f>
        <v/>
      </c>
      <c r="I258" s="27">
        <f>IF(설정!$D$20="",0,IFERROR(VALUE(SUBSTITUTE(SUBSTITUTE(INDEX(급여대장_원본!$A$1:$AZ$400,(설정!$B$8+252),설정!$D$20)&amp;"",",",""),"　","")),0))</f>
        <v/>
      </c>
      <c r="J258" s="27">
        <f>IF(설정!$D$21="",0,IFERROR(VALUE(SUBSTITUTE(SUBSTITUTE(INDEX(급여대장_원본!$A$1:$AZ$400,(설정!$B$8+252),설정!$D$21)&amp;"",",",""),"　","")),0))</f>
        <v/>
      </c>
      <c r="K258" s="27">
        <f>IF(설정!$D$22="",0,IFERROR(VALUE(SUBSTITUTE(SUBSTITUTE(INDEX(급여대장_원본!$A$1:$AZ$400,(설정!$B$8+252),설정!$D$22)&amp;"",",",""),"　","")),0))</f>
        <v/>
      </c>
      <c r="L258" s="27">
        <f>IF(설정!$D$23="",0,IFERROR(VALUE(SUBSTITUTE(SUBSTITUTE(INDEX(급여대장_원본!$A$1:$AZ$400,(설정!$B$8+252),설정!$D$23)&amp;"",",",""),"　","")),0))</f>
        <v/>
      </c>
      <c r="M258" s="27">
        <f>IF(설정!$D$24="",0,IFERROR(VALUE(SUBSTITUTE(SUBSTITUTE(INDEX(급여대장_원본!$A$1:$AZ$400,(설정!$B$8+252),설정!$D$24)&amp;"",",",""),"　","")),0))</f>
        <v/>
      </c>
      <c r="N258" s="2">
        <f>IF(OR(설정!$C$17="",IFERROR(MATCH(설정!$C$17,INDEX(급여대장_원본!$A$1:$AZ$400,설정!$B$8,0),0),"")=""),"",IFERROR(VALUE(SUBSTITUTE(INDEX(급여대장_원본!$A$1:$AZ$400,(설정!$B$8+252),IFERROR(MATCH(설정!$C$17,INDEX(급여대장_원본!$A$1:$AZ$400,설정!$B$8,0),0),""))&amp;"",",","")),""))</f>
        <v/>
      </c>
      <c r="O258" s="2">
        <f>IF(OR(설정!$C$18="",IFERROR(MATCH(설정!$C$18,INDEX(급여대장_원본!$A$1:$AZ$400,설정!$B$8,0),0),"")=""),"",IFERROR(VALUE(SUBSTITUTE(INDEX(급여대장_원본!$A$1:$AZ$400,(설정!$B$8+252),IFERROR(MATCH(설정!$C$18,INDEX(급여대장_원본!$A$1:$AZ$400,설정!$B$8,0),0),""))&amp;"",",","")),""))</f>
        <v/>
      </c>
      <c r="P258" s="2">
        <f>IF(OR(설정!$C$19="",IFERROR(MATCH(설정!$C$19,INDEX(급여대장_원본!$A$1:$AZ$400,설정!$B$8,0),0),"")=""),"",IFERROR(VALUE(SUBSTITUTE(INDEX(급여대장_원본!$A$1:$AZ$400,(설정!$B$8+252),IFERROR(MATCH(설정!$C$19,INDEX(급여대장_원본!$A$1:$AZ$400,설정!$B$8,0),0),""))&amp;"",",","")),""))</f>
        <v/>
      </c>
      <c r="Q258" s="2">
        <f>IF(OR(설정!$C$20="",IFERROR(MATCH(설정!$C$20,INDEX(급여대장_원본!$A$1:$AZ$400,설정!$B$8,0),0),"")=""),"",IFERROR(VALUE(SUBSTITUTE(INDEX(급여대장_원본!$A$1:$AZ$400,(설정!$B$8+252),IFERROR(MATCH(설정!$C$20,INDEX(급여대장_원본!$A$1:$AZ$400,설정!$B$8,0),0),""))&amp;"",",","")),""))</f>
        <v/>
      </c>
      <c r="R258" s="2">
        <f>IF(OR(설정!$C$21="",IFERROR(MATCH(설정!$C$21,INDEX(급여대장_원본!$A$1:$AZ$400,설정!$B$8,0),0),"")=""),"",IFERROR(VALUE(SUBSTITUTE(INDEX(급여대장_원본!$A$1:$AZ$400,(설정!$B$8+252),IFERROR(MATCH(설정!$C$21,INDEX(급여대장_원본!$A$1:$AZ$400,설정!$B$8,0),0),""))&amp;"",",","")),""))</f>
        <v/>
      </c>
      <c r="S258" s="2">
        <f>IF(OR(설정!$C$22="",IFERROR(MATCH(설정!$C$22,INDEX(급여대장_원본!$A$1:$AZ$400,설정!$B$8,0),0),"")=""),"",IFERROR(VALUE(SUBSTITUTE(INDEX(급여대장_원본!$A$1:$AZ$400,(설정!$B$8+252),IFERROR(MATCH(설정!$C$22,INDEX(급여대장_원본!$A$1:$AZ$400,설정!$B$8,0),0),""))&amp;"",",","")),""))</f>
        <v/>
      </c>
      <c r="T258" s="2">
        <f>IF(OR(설정!$C$23="",IFERROR(MATCH(설정!$C$23,INDEX(급여대장_원본!$A$1:$AZ$400,설정!$B$8,0),0),"")=""),"",IFERROR(VALUE(SUBSTITUTE(INDEX(급여대장_원본!$A$1:$AZ$400,(설정!$B$8+252),IFERROR(MATCH(설정!$C$23,INDEX(급여대장_원본!$A$1:$AZ$400,설정!$B$8,0),0),""))&amp;"",",","")),""))</f>
        <v/>
      </c>
      <c r="U258" s="2">
        <f>IF(OR(설정!$C$24="",IFERROR(MATCH(설정!$C$24,INDEX(급여대장_원본!$A$1:$AZ$400,설정!$B$8,0),0),"")=""),"",IFERROR(VALUE(SUBSTITUTE(INDEX(급여대장_원본!$A$1:$AZ$400,(설정!$B$8+252),IFERROR(MATCH(설정!$C$24,INDEX(급여대장_원본!$A$1:$AZ$400,설정!$B$8,0),0),""))&amp;"",",","")),""))</f>
        <v/>
      </c>
      <c r="V258" s="27">
        <f>SUM(F258:M258)</f>
        <v/>
      </c>
      <c r="W258" s="27">
        <f>IF(설정!$D$26="",0,IFERROR(VALUE(SUBSTITUTE(SUBSTITUTE(INDEX(급여대장_원본!$A$1:$AZ$400,(설정!$B$8+252),설정!$D$26)&amp;"",",",""),"　","")),0))</f>
        <v/>
      </c>
      <c r="X258" s="27">
        <f>IF(설정!$D$27="",0,IFERROR(VALUE(SUBSTITUTE(SUBSTITUTE(INDEX(급여대장_원본!$A$1:$AZ$400,(설정!$B$8+252),설정!$D$27)&amp;"",",",""),"　","")),0))</f>
        <v/>
      </c>
      <c r="Y258" s="27">
        <f>IF(설정!$D$28="",0,IFERROR(VALUE(SUBSTITUTE(SUBSTITUTE(INDEX(급여대장_원본!$A$1:$AZ$400,(설정!$B$8+252),설정!$D$28)&amp;"",",",""),"　","")),0))</f>
        <v/>
      </c>
      <c r="Z258" s="27">
        <f>IF(설정!$D$29="",0,IFERROR(VALUE(SUBSTITUTE(SUBSTITUTE(INDEX(급여대장_원본!$A$1:$AZ$400,(설정!$B$8+252),설정!$D$29)&amp;"",",",""),"　","")),0))</f>
        <v/>
      </c>
      <c r="AA258" s="27">
        <f>IF(설정!$D$30="",0,IFERROR(VALUE(SUBSTITUTE(SUBSTITUTE(INDEX(급여대장_원본!$A$1:$AZ$400,(설정!$B$8+252),설정!$D$30)&amp;"",",",""),"　","")),0))</f>
        <v/>
      </c>
      <c r="AB258" s="27">
        <f>IF(설정!$D$31="",0,IFERROR(VALUE(SUBSTITUTE(SUBSTITUTE(INDEX(급여대장_원본!$A$1:$AZ$400,(설정!$B$8+252),설정!$D$31)&amp;"",",",""),"　","")),0))</f>
        <v/>
      </c>
      <c r="AC258" s="27">
        <f>IF(설정!$D$32="",0,IFERROR(VALUE(SUBSTITUTE(SUBSTITUTE(INDEX(급여대장_원본!$A$1:$AZ$400,(설정!$B$8+252),설정!$D$32)&amp;"",",",""),"　","")),0))</f>
        <v/>
      </c>
      <c r="AD258" s="27">
        <f>IF(설정!$D$33="",0,IFERROR(VALUE(SUBSTITUTE(SUBSTITUTE(INDEX(급여대장_원본!$A$1:$AZ$400,(설정!$B$8+252),설정!$D$33)&amp;"",",",""),"　","")),0))</f>
        <v/>
      </c>
      <c r="AE258" s="27">
        <f>SUM(W258:AD258)</f>
        <v/>
      </c>
      <c r="AF258" s="27">
        <f>V258-AE258</f>
        <v/>
      </c>
      <c r="AG258" s="27">
        <f>IF(설정!$D$35="","",IF(설정!$D$35="",0,IFERROR(VALUE(SUBSTITUTE(SUBSTITUTE(INDEX(급여대장_원본!$A$1:$AZ$400,(설정!$B$8+252),설정!$D$35)&amp;"",",",""),"　","")),0)))</f>
        <v/>
      </c>
      <c r="AH258" s="27">
        <f>IF(설정!$D$36="","",IF(설정!$D$36="",0,IFERROR(VALUE(SUBSTITUTE(SUBSTITUTE(INDEX(급여대장_원본!$A$1:$AZ$400,(설정!$B$8+252),설정!$D$36)&amp;"",",",""),"　","")),0)))</f>
        <v/>
      </c>
      <c r="AI258" s="27">
        <f>IF(설정!$D$37="","",IF(설정!$D$37="",0,IFERROR(VALUE(SUBSTITUTE(SUBSTITUTE(INDEX(급여대장_원본!$A$1:$AZ$400,(설정!$B$8+252),설정!$D$37)&amp;"",",",""),"　","")),0)))</f>
        <v/>
      </c>
      <c r="AJ258" s="2">
        <f>IFERROR(INDEX($D$7:$D$306,MATCH(252,$B$7:$B$306,0)),"")</f>
        <v/>
      </c>
    </row>
    <row r="259">
      <c r="A259" s="2">
        <f>IF(AND(D259&lt;&gt;"",D259&lt;&gt;"합계",D259&lt;&gt;"총계",D259&lt;&gt;"소계",D259&lt;&gt;"계"),1,0)</f>
        <v/>
      </c>
      <c r="B259" s="2">
        <f>IF(A259=1,SUM($A$7:A259),"")</f>
        <v/>
      </c>
      <c r="C259" s="2">
        <f>IF(설정!$D$13="","",TRIM(SUBSTITUTE(INDEX(급여대장_원본!$A$1:$AZ$400,(설정!$B$8+253),설정!$D$13)&amp;"","　"," ")))</f>
        <v/>
      </c>
      <c r="D259" s="2">
        <f>IF(설정!$D$14="","",TRIM(SUBSTITUTE(INDEX(급여대장_원본!$A$1:$AZ$400,(설정!$B$8+253),설정!$D$14)&amp;"","　"," ")))</f>
        <v/>
      </c>
      <c r="E259" s="2">
        <f>IF(설정!$D$15="","",TRIM(SUBSTITUTE(INDEX(급여대장_원본!$A$1:$AZ$400,(설정!$B$8+253),설정!$D$15)&amp;"","　"," ")))</f>
        <v/>
      </c>
      <c r="F259" s="27">
        <f>IF(설정!$D$17="",0,IFERROR(VALUE(SUBSTITUTE(SUBSTITUTE(INDEX(급여대장_원본!$A$1:$AZ$400,(설정!$B$8+253),설정!$D$17)&amp;"",",",""),"　","")),0))</f>
        <v/>
      </c>
      <c r="G259" s="27">
        <f>IF(설정!$D$18="",0,IFERROR(VALUE(SUBSTITUTE(SUBSTITUTE(INDEX(급여대장_원본!$A$1:$AZ$400,(설정!$B$8+253),설정!$D$18)&amp;"",",",""),"　","")),0))</f>
        <v/>
      </c>
      <c r="H259" s="27">
        <f>IF(설정!$D$19="",0,IFERROR(VALUE(SUBSTITUTE(SUBSTITUTE(INDEX(급여대장_원본!$A$1:$AZ$400,(설정!$B$8+253),설정!$D$19)&amp;"",",",""),"　","")),0))</f>
        <v/>
      </c>
      <c r="I259" s="27">
        <f>IF(설정!$D$20="",0,IFERROR(VALUE(SUBSTITUTE(SUBSTITUTE(INDEX(급여대장_원본!$A$1:$AZ$400,(설정!$B$8+253),설정!$D$20)&amp;"",",",""),"　","")),0))</f>
        <v/>
      </c>
      <c r="J259" s="27">
        <f>IF(설정!$D$21="",0,IFERROR(VALUE(SUBSTITUTE(SUBSTITUTE(INDEX(급여대장_원본!$A$1:$AZ$400,(설정!$B$8+253),설정!$D$21)&amp;"",",",""),"　","")),0))</f>
        <v/>
      </c>
      <c r="K259" s="27">
        <f>IF(설정!$D$22="",0,IFERROR(VALUE(SUBSTITUTE(SUBSTITUTE(INDEX(급여대장_원본!$A$1:$AZ$400,(설정!$B$8+253),설정!$D$22)&amp;"",",",""),"　","")),0))</f>
        <v/>
      </c>
      <c r="L259" s="27">
        <f>IF(설정!$D$23="",0,IFERROR(VALUE(SUBSTITUTE(SUBSTITUTE(INDEX(급여대장_원본!$A$1:$AZ$400,(설정!$B$8+253),설정!$D$23)&amp;"",",",""),"　","")),0))</f>
        <v/>
      </c>
      <c r="M259" s="27">
        <f>IF(설정!$D$24="",0,IFERROR(VALUE(SUBSTITUTE(SUBSTITUTE(INDEX(급여대장_원본!$A$1:$AZ$400,(설정!$B$8+253),설정!$D$24)&amp;"",",",""),"　","")),0))</f>
        <v/>
      </c>
      <c r="N259" s="2">
        <f>IF(OR(설정!$C$17="",IFERROR(MATCH(설정!$C$17,INDEX(급여대장_원본!$A$1:$AZ$400,설정!$B$8,0),0),"")=""),"",IFERROR(VALUE(SUBSTITUTE(INDEX(급여대장_원본!$A$1:$AZ$400,(설정!$B$8+253),IFERROR(MATCH(설정!$C$17,INDEX(급여대장_원본!$A$1:$AZ$400,설정!$B$8,0),0),""))&amp;"",",","")),""))</f>
        <v/>
      </c>
      <c r="O259" s="2">
        <f>IF(OR(설정!$C$18="",IFERROR(MATCH(설정!$C$18,INDEX(급여대장_원본!$A$1:$AZ$400,설정!$B$8,0),0),"")=""),"",IFERROR(VALUE(SUBSTITUTE(INDEX(급여대장_원본!$A$1:$AZ$400,(설정!$B$8+253),IFERROR(MATCH(설정!$C$18,INDEX(급여대장_원본!$A$1:$AZ$400,설정!$B$8,0),0),""))&amp;"",",","")),""))</f>
        <v/>
      </c>
      <c r="P259" s="2">
        <f>IF(OR(설정!$C$19="",IFERROR(MATCH(설정!$C$19,INDEX(급여대장_원본!$A$1:$AZ$400,설정!$B$8,0),0),"")=""),"",IFERROR(VALUE(SUBSTITUTE(INDEX(급여대장_원본!$A$1:$AZ$400,(설정!$B$8+253),IFERROR(MATCH(설정!$C$19,INDEX(급여대장_원본!$A$1:$AZ$400,설정!$B$8,0),0),""))&amp;"",",","")),""))</f>
        <v/>
      </c>
      <c r="Q259" s="2">
        <f>IF(OR(설정!$C$20="",IFERROR(MATCH(설정!$C$20,INDEX(급여대장_원본!$A$1:$AZ$400,설정!$B$8,0),0),"")=""),"",IFERROR(VALUE(SUBSTITUTE(INDEX(급여대장_원본!$A$1:$AZ$400,(설정!$B$8+253),IFERROR(MATCH(설정!$C$20,INDEX(급여대장_원본!$A$1:$AZ$400,설정!$B$8,0),0),""))&amp;"",",","")),""))</f>
        <v/>
      </c>
      <c r="R259" s="2">
        <f>IF(OR(설정!$C$21="",IFERROR(MATCH(설정!$C$21,INDEX(급여대장_원본!$A$1:$AZ$400,설정!$B$8,0),0),"")=""),"",IFERROR(VALUE(SUBSTITUTE(INDEX(급여대장_원본!$A$1:$AZ$400,(설정!$B$8+253),IFERROR(MATCH(설정!$C$21,INDEX(급여대장_원본!$A$1:$AZ$400,설정!$B$8,0),0),""))&amp;"",",","")),""))</f>
        <v/>
      </c>
      <c r="S259" s="2">
        <f>IF(OR(설정!$C$22="",IFERROR(MATCH(설정!$C$22,INDEX(급여대장_원본!$A$1:$AZ$400,설정!$B$8,0),0),"")=""),"",IFERROR(VALUE(SUBSTITUTE(INDEX(급여대장_원본!$A$1:$AZ$400,(설정!$B$8+253),IFERROR(MATCH(설정!$C$22,INDEX(급여대장_원본!$A$1:$AZ$400,설정!$B$8,0),0),""))&amp;"",",","")),""))</f>
        <v/>
      </c>
      <c r="T259" s="2">
        <f>IF(OR(설정!$C$23="",IFERROR(MATCH(설정!$C$23,INDEX(급여대장_원본!$A$1:$AZ$400,설정!$B$8,0),0),"")=""),"",IFERROR(VALUE(SUBSTITUTE(INDEX(급여대장_원본!$A$1:$AZ$400,(설정!$B$8+253),IFERROR(MATCH(설정!$C$23,INDEX(급여대장_원본!$A$1:$AZ$400,설정!$B$8,0),0),""))&amp;"",",","")),""))</f>
        <v/>
      </c>
      <c r="U259" s="2">
        <f>IF(OR(설정!$C$24="",IFERROR(MATCH(설정!$C$24,INDEX(급여대장_원본!$A$1:$AZ$400,설정!$B$8,0),0),"")=""),"",IFERROR(VALUE(SUBSTITUTE(INDEX(급여대장_원본!$A$1:$AZ$400,(설정!$B$8+253),IFERROR(MATCH(설정!$C$24,INDEX(급여대장_원본!$A$1:$AZ$400,설정!$B$8,0),0),""))&amp;"",",","")),""))</f>
        <v/>
      </c>
      <c r="V259" s="27">
        <f>SUM(F259:M259)</f>
        <v/>
      </c>
      <c r="W259" s="27">
        <f>IF(설정!$D$26="",0,IFERROR(VALUE(SUBSTITUTE(SUBSTITUTE(INDEX(급여대장_원본!$A$1:$AZ$400,(설정!$B$8+253),설정!$D$26)&amp;"",",",""),"　","")),0))</f>
        <v/>
      </c>
      <c r="X259" s="27">
        <f>IF(설정!$D$27="",0,IFERROR(VALUE(SUBSTITUTE(SUBSTITUTE(INDEX(급여대장_원본!$A$1:$AZ$400,(설정!$B$8+253),설정!$D$27)&amp;"",",",""),"　","")),0))</f>
        <v/>
      </c>
      <c r="Y259" s="27">
        <f>IF(설정!$D$28="",0,IFERROR(VALUE(SUBSTITUTE(SUBSTITUTE(INDEX(급여대장_원본!$A$1:$AZ$400,(설정!$B$8+253),설정!$D$28)&amp;"",",",""),"　","")),0))</f>
        <v/>
      </c>
      <c r="Z259" s="27">
        <f>IF(설정!$D$29="",0,IFERROR(VALUE(SUBSTITUTE(SUBSTITUTE(INDEX(급여대장_원본!$A$1:$AZ$400,(설정!$B$8+253),설정!$D$29)&amp;"",",",""),"　","")),0))</f>
        <v/>
      </c>
      <c r="AA259" s="27">
        <f>IF(설정!$D$30="",0,IFERROR(VALUE(SUBSTITUTE(SUBSTITUTE(INDEX(급여대장_원본!$A$1:$AZ$400,(설정!$B$8+253),설정!$D$30)&amp;"",",",""),"　","")),0))</f>
        <v/>
      </c>
      <c r="AB259" s="27">
        <f>IF(설정!$D$31="",0,IFERROR(VALUE(SUBSTITUTE(SUBSTITUTE(INDEX(급여대장_원본!$A$1:$AZ$400,(설정!$B$8+253),설정!$D$31)&amp;"",",",""),"　","")),0))</f>
        <v/>
      </c>
      <c r="AC259" s="27">
        <f>IF(설정!$D$32="",0,IFERROR(VALUE(SUBSTITUTE(SUBSTITUTE(INDEX(급여대장_원본!$A$1:$AZ$400,(설정!$B$8+253),설정!$D$32)&amp;"",",",""),"　","")),0))</f>
        <v/>
      </c>
      <c r="AD259" s="27">
        <f>IF(설정!$D$33="",0,IFERROR(VALUE(SUBSTITUTE(SUBSTITUTE(INDEX(급여대장_원본!$A$1:$AZ$400,(설정!$B$8+253),설정!$D$33)&amp;"",",",""),"　","")),0))</f>
        <v/>
      </c>
      <c r="AE259" s="27">
        <f>SUM(W259:AD259)</f>
        <v/>
      </c>
      <c r="AF259" s="27">
        <f>V259-AE259</f>
        <v/>
      </c>
      <c r="AG259" s="27">
        <f>IF(설정!$D$35="","",IF(설정!$D$35="",0,IFERROR(VALUE(SUBSTITUTE(SUBSTITUTE(INDEX(급여대장_원본!$A$1:$AZ$400,(설정!$B$8+253),설정!$D$35)&amp;"",",",""),"　","")),0)))</f>
        <v/>
      </c>
      <c r="AH259" s="27">
        <f>IF(설정!$D$36="","",IF(설정!$D$36="",0,IFERROR(VALUE(SUBSTITUTE(SUBSTITUTE(INDEX(급여대장_원본!$A$1:$AZ$400,(설정!$B$8+253),설정!$D$36)&amp;"",",",""),"　","")),0)))</f>
        <v/>
      </c>
      <c r="AI259" s="27">
        <f>IF(설정!$D$37="","",IF(설정!$D$37="",0,IFERROR(VALUE(SUBSTITUTE(SUBSTITUTE(INDEX(급여대장_원본!$A$1:$AZ$400,(설정!$B$8+253),설정!$D$37)&amp;"",",",""),"　","")),0)))</f>
        <v/>
      </c>
      <c r="AJ259" s="2">
        <f>IFERROR(INDEX($D$7:$D$306,MATCH(253,$B$7:$B$306,0)),"")</f>
        <v/>
      </c>
    </row>
    <row r="260">
      <c r="A260" s="2">
        <f>IF(AND(D260&lt;&gt;"",D260&lt;&gt;"합계",D260&lt;&gt;"총계",D260&lt;&gt;"소계",D260&lt;&gt;"계"),1,0)</f>
        <v/>
      </c>
      <c r="B260" s="2">
        <f>IF(A260=1,SUM($A$7:A260),"")</f>
        <v/>
      </c>
      <c r="C260" s="2">
        <f>IF(설정!$D$13="","",TRIM(SUBSTITUTE(INDEX(급여대장_원본!$A$1:$AZ$400,(설정!$B$8+254),설정!$D$13)&amp;"","　"," ")))</f>
        <v/>
      </c>
      <c r="D260" s="2">
        <f>IF(설정!$D$14="","",TRIM(SUBSTITUTE(INDEX(급여대장_원본!$A$1:$AZ$400,(설정!$B$8+254),설정!$D$14)&amp;"","　"," ")))</f>
        <v/>
      </c>
      <c r="E260" s="2">
        <f>IF(설정!$D$15="","",TRIM(SUBSTITUTE(INDEX(급여대장_원본!$A$1:$AZ$400,(설정!$B$8+254),설정!$D$15)&amp;"","　"," ")))</f>
        <v/>
      </c>
      <c r="F260" s="27">
        <f>IF(설정!$D$17="",0,IFERROR(VALUE(SUBSTITUTE(SUBSTITUTE(INDEX(급여대장_원본!$A$1:$AZ$400,(설정!$B$8+254),설정!$D$17)&amp;"",",",""),"　","")),0))</f>
        <v/>
      </c>
      <c r="G260" s="27">
        <f>IF(설정!$D$18="",0,IFERROR(VALUE(SUBSTITUTE(SUBSTITUTE(INDEX(급여대장_원본!$A$1:$AZ$400,(설정!$B$8+254),설정!$D$18)&amp;"",",",""),"　","")),0))</f>
        <v/>
      </c>
      <c r="H260" s="27">
        <f>IF(설정!$D$19="",0,IFERROR(VALUE(SUBSTITUTE(SUBSTITUTE(INDEX(급여대장_원본!$A$1:$AZ$400,(설정!$B$8+254),설정!$D$19)&amp;"",",",""),"　","")),0))</f>
        <v/>
      </c>
      <c r="I260" s="27">
        <f>IF(설정!$D$20="",0,IFERROR(VALUE(SUBSTITUTE(SUBSTITUTE(INDEX(급여대장_원본!$A$1:$AZ$400,(설정!$B$8+254),설정!$D$20)&amp;"",",",""),"　","")),0))</f>
        <v/>
      </c>
      <c r="J260" s="27">
        <f>IF(설정!$D$21="",0,IFERROR(VALUE(SUBSTITUTE(SUBSTITUTE(INDEX(급여대장_원본!$A$1:$AZ$400,(설정!$B$8+254),설정!$D$21)&amp;"",",",""),"　","")),0))</f>
        <v/>
      </c>
      <c r="K260" s="27">
        <f>IF(설정!$D$22="",0,IFERROR(VALUE(SUBSTITUTE(SUBSTITUTE(INDEX(급여대장_원본!$A$1:$AZ$400,(설정!$B$8+254),설정!$D$22)&amp;"",",",""),"　","")),0))</f>
        <v/>
      </c>
      <c r="L260" s="27">
        <f>IF(설정!$D$23="",0,IFERROR(VALUE(SUBSTITUTE(SUBSTITUTE(INDEX(급여대장_원본!$A$1:$AZ$400,(설정!$B$8+254),설정!$D$23)&amp;"",",",""),"　","")),0))</f>
        <v/>
      </c>
      <c r="M260" s="27">
        <f>IF(설정!$D$24="",0,IFERROR(VALUE(SUBSTITUTE(SUBSTITUTE(INDEX(급여대장_원본!$A$1:$AZ$400,(설정!$B$8+254),설정!$D$24)&amp;"",",",""),"　","")),0))</f>
        <v/>
      </c>
      <c r="N260" s="2">
        <f>IF(OR(설정!$C$17="",IFERROR(MATCH(설정!$C$17,INDEX(급여대장_원본!$A$1:$AZ$400,설정!$B$8,0),0),"")=""),"",IFERROR(VALUE(SUBSTITUTE(INDEX(급여대장_원본!$A$1:$AZ$400,(설정!$B$8+254),IFERROR(MATCH(설정!$C$17,INDEX(급여대장_원본!$A$1:$AZ$400,설정!$B$8,0),0),""))&amp;"",",","")),""))</f>
        <v/>
      </c>
      <c r="O260" s="2">
        <f>IF(OR(설정!$C$18="",IFERROR(MATCH(설정!$C$18,INDEX(급여대장_원본!$A$1:$AZ$400,설정!$B$8,0),0),"")=""),"",IFERROR(VALUE(SUBSTITUTE(INDEX(급여대장_원본!$A$1:$AZ$400,(설정!$B$8+254),IFERROR(MATCH(설정!$C$18,INDEX(급여대장_원본!$A$1:$AZ$400,설정!$B$8,0),0),""))&amp;"",",","")),""))</f>
        <v/>
      </c>
      <c r="P260" s="2">
        <f>IF(OR(설정!$C$19="",IFERROR(MATCH(설정!$C$19,INDEX(급여대장_원본!$A$1:$AZ$400,설정!$B$8,0),0),"")=""),"",IFERROR(VALUE(SUBSTITUTE(INDEX(급여대장_원본!$A$1:$AZ$400,(설정!$B$8+254),IFERROR(MATCH(설정!$C$19,INDEX(급여대장_원본!$A$1:$AZ$400,설정!$B$8,0),0),""))&amp;"",",","")),""))</f>
        <v/>
      </c>
      <c r="Q260" s="2">
        <f>IF(OR(설정!$C$20="",IFERROR(MATCH(설정!$C$20,INDEX(급여대장_원본!$A$1:$AZ$400,설정!$B$8,0),0),"")=""),"",IFERROR(VALUE(SUBSTITUTE(INDEX(급여대장_원본!$A$1:$AZ$400,(설정!$B$8+254),IFERROR(MATCH(설정!$C$20,INDEX(급여대장_원본!$A$1:$AZ$400,설정!$B$8,0),0),""))&amp;"",",","")),""))</f>
        <v/>
      </c>
      <c r="R260" s="2">
        <f>IF(OR(설정!$C$21="",IFERROR(MATCH(설정!$C$21,INDEX(급여대장_원본!$A$1:$AZ$400,설정!$B$8,0),0),"")=""),"",IFERROR(VALUE(SUBSTITUTE(INDEX(급여대장_원본!$A$1:$AZ$400,(설정!$B$8+254),IFERROR(MATCH(설정!$C$21,INDEX(급여대장_원본!$A$1:$AZ$400,설정!$B$8,0),0),""))&amp;"",",","")),""))</f>
        <v/>
      </c>
      <c r="S260" s="2">
        <f>IF(OR(설정!$C$22="",IFERROR(MATCH(설정!$C$22,INDEX(급여대장_원본!$A$1:$AZ$400,설정!$B$8,0),0),"")=""),"",IFERROR(VALUE(SUBSTITUTE(INDEX(급여대장_원본!$A$1:$AZ$400,(설정!$B$8+254),IFERROR(MATCH(설정!$C$22,INDEX(급여대장_원본!$A$1:$AZ$400,설정!$B$8,0),0),""))&amp;"",",","")),""))</f>
        <v/>
      </c>
      <c r="T260" s="2">
        <f>IF(OR(설정!$C$23="",IFERROR(MATCH(설정!$C$23,INDEX(급여대장_원본!$A$1:$AZ$400,설정!$B$8,0),0),"")=""),"",IFERROR(VALUE(SUBSTITUTE(INDEX(급여대장_원본!$A$1:$AZ$400,(설정!$B$8+254),IFERROR(MATCH(설정!$C$23,INDEX(급여대장_원본!$A$1:$AZ$400,설정!$B$8,0),0),""))&amp;"",",","")),""))</f>
        <v/>
      </c>
      <c r="U260" s="2">
        <f>IF(OR(설정!$C$24="",IFERROR(MATCH(설정!$C$24,INDEX(급여대장_원본!$A$1:$AZ$400,설정!$B$8,0),0),"")=""),"",IFERROR(VALUE(SUBSTITUTE(INDEX(급여대장_원본!$A$1:$AZ$400,(설정!$B$8+254),IFERROR(MATCH(설정!$C$24,INDEX(급여대장_원본!$A$1:$AZ$400,설정!$B$8,0),0),""))&amp;"",",","")),""))</f>
        <v/>
      </c>
      <c r="V260" s="27">
        <f>SUM(F260:M260)</f>
        <v/>
      </c>
      <c r="W260" s="27">
        <f>IF(설정!$D$26="",0,IFERROR(VALUE(SUBSTITUTE(SUBSTITUTE(INDEX(급여대장_원본!$A$1:$AZ$400,(설정!$B$8+254),설정!$D$26)&amp;"",",",""),"　","")),0))</f>
        <v/>
      </c>
      <c r="X260" s="27">
        <f>IF(설정!$D$27="",0,IFERROR(VALUE(SUBSTITUTE(SUBSTITUTE(INDEX(급여대장_원본!$A$1:$AZ$400,(설정!$B$8+254),설정!$D$27)&amp;"",",",""),"　","")),0))</f>
        <v/>
      </c>
      <c r="Y260" s="27">
        <f>IF(설정!$D$28="",0,IFERROR(VALUE(SUBSTITUTE(SUBSTITUTE(INDEX(급여대장_원본!$A$1:$AZ$400,(설정!$B$8+254),설정!$D$28)&amp;"",",",""),"　","")),0))</f>
        <v/>
      </c>
      <c r="Z260" s="27">
        <f>IF(설정!$D$29="",0,IFERROR(VALUE(SUBSTITUTE(SUBSTITUTE(INDEX(급여대장_원본!$A$1:$AZ$400,(설정!$B$8+254),설정!$D$29)&amp;"",",",""),"　","")),0))</f>
        <v/>
      </c>
      <c r="AA260" s="27">
        <f>IF(설정!$D$30="",0,IFERROR(VALUE(SUBSTITUTE(SUBSTITUTE(INDEX(급여대장_원본!$A$1:$AZ$400,(설정!$B$8+254),설정!$D$30)&amp;"",",",""),"　","")),0))</f>
        <v/>
      </c>
      <c r="AB260" s="27">
        <f>IF(설정!$D$31="",0,IFERROR(VALUE(SUBSTITUTE(SUBSTITUTE(INDEX(급여대장_원본!$A$1:$AZ$400,(설정!$B$8+254),설정!$D$31)&amp;"",",",""),"　","")),0))</f>
        <v/>
      </c>
      <c r="AC260" s="27">
        <f>IF(설정!$D$32="",0,IFERROR(VALUE(SUBSTITUTE(SUBSTITUTE(INDEX(급여대장_원본!$A$1:$AZ$400,(설정!$B$8+254),설정!$D$32)&amp;"",",",""),"　","")),0))</f>
        <v/>
      </c>
      <c r="AD260" s="27">
        <f>IF(설정!$D$33="",0,IFERROR(VALUE(SUBSTITUTE(SUBSTITUTE(INDEX(급여대장_원본!$A$1:$AZ$400,(설정!$B$8+254),설정!$D$33)&amp;"",",",""),"　","")),0))</f>
        <v/>
      </c>
      <c r="AE260" s="27">
        <f>SUM(W260:AD260)</f>
        <v/>
      </c>
      <c r="AF260" s="27">
        <f>V260-AE260</f>
        <v/>
      </c>
      <c r="AG260" s="27">
        <f>IF(설정!$D$35="","",IF(설정!$D$35="",0,IFERROR(VALUE(SUBSTITUTE(SUBSTITUTE(INDEX(급여대장_원본!$A$1:$AZ$400,(설정!$B$8+254),설정!$D$35)&amp;"",",",""),"　","")),0)))</f>
        <v/>
      </c>
      <c r="AH260" s="27">
        <f>IF(설정!$D$36="","",IF(설정!$D$36="",0,IFERROR(VALUE(SUBSTITUTE(SUBSTITUTE(INDEX(급여대장_원본!$A$1:$AZ$400,(설정!$B$8+254),설정!$D$36)&amp;"",",",""),"　","")),0)))</f>
        <v/>
      </c>
      <c r="AI260" s="27">
        <f>IF(설정!$D$37="","",IF(설정!$D$37="",0,IFERROR(VALUE(SUBSTITUTE(SUBSTITUTE(INDEX(급여대장_원본!$A$1:$AZ$400,(설정!$B$8+254),설정!$D$37)&amp;"",",",""),"　","")),0)))</f>
        <v/>
      </c>
      <c r="AJ260" s="2">
        <f>IFERROR(INDEX($D$7:$D$306,MATCH(254,$B$7:$B$306,0)),"")</f>
        <v/>
      </c>
    </row>
    <row r="261">
      <c r="A261" s="2">
        <f>IF(AND(D261&lt;&gt;"",D261&lt;&gt;"합계",D261&lt;&gt;"총계",D261&lt;&gt;"소계",D261&lt;&gt;"계"),1,0)</f>
        <v/>
      </c>
      <c r="B261" s="2">
        <f>IF(A261=1,SUM($A$7:A261),"")</f>
        <v/>
      </c>
      <c r="C261" s="2">
        <f>IF(설정!$D$13="","",TRIM(SUBSTITUTE(INDEX(급여대장_원본!$A$1:$AZ$400,(설정!$B$8+255),설정!$D$13)&amp;"","　"," ")))</f>
        <v/>
      </c>
      <c r="D261" s="2">
        <f>IF(설정!$D$14="","",TRIM(SUBSTITUTE(INDEX(급여대장_원본!$A$1:$AZ$400,(설정!$B$8+255),설정!$D$14)&amp;"","　"," ")))</f>
        <v/>
      </c>
      <c r="E261" s="2">
        <f>IF(설정!$D$15="","",TRIM(SUBSTITUTE(INDEX(급여대장_원본!$A$1:$AZ$400,(설정!$B$8+255),설정!$D$15)&amp;"","　"," ")))</f>
        <v/>
      </c>
      <c r="F261" s="27">
        <f>IF(설정!$D$17="",0,IFERROR(VALUE(SUBSTITUTE(SUBSTITUTE(INDEX(급여대장_원본!$A$1:$AZ$400,(설정!$B$8+255),설정!$D$17)&amp;"",",",""),"　","")),0))</f>
        <v/>
      </c>
      <c r="G261" s="27">
        <f>IF(설정!$D$18="",0,IFERROR(VALUE(SUBSTITUTE(SUBSTITUTE(INDEX(급여대장_원본!$A$1:$AZ$400,(설정!$B$8+255),설정!$D$18)&amp;"",",",""),"　","")),0))</f>
        <v/>
      </c>
      <c r="H261" s="27">
        <f>IF(설정!$D$19="",0,IFERROR(VALUE(SUBSTITUTE(SUBSTITUTE(INDEX(급여대장_원본!$A$1:$AZ$400,(설정!$B$8+255),설정!$D$19)&amp;"",",",""),"　","")),0))</f>
        <v/>
      </c>
      <c r="I261" s="27">
        <f>IF(설정!$D$20="",0,IFERROR(VALUE(SUBSTITUTE(SUBSTITUTE(INDEX(급여대장_원본!$A$1:$AZ$400,(설정!$B$8+255),설정!$D$20)&amp;"",",",""),"　","")),0))</f>
        <v/>
      </c>
      <c r="J261" s="27">
        <f>IF(설정!$D$21="",0,IFERROR(VALUE(SUBSTITUTE(SUBSTITUTE(INDEX(급여대장_원본!$A$1:$AZ$400,(설정!$B$8+255),설정!$D$21)&amp;"",",",""),"　","")),0))</f>
        <v/>
      </c>
      <c r="K261" s="27">
        <f>IF(설정!$D$22="",0,IFERROR(VALUE(SUBSTITUTE(SUBSTITUTE(INDEX(급여대장_원본!$A$1:$AZ$400,(설정!$B$8+255),설정!$D$22)&amp;"",",",""),"　","")),0))</f>
        <v/>
      </c>
      <c r="L261" s="27">
        <f>IF(설정!$D$23="",0,IFERROR(VALUE(SUBSTITUTE(SUBSTITUTE(INDEX(급여대장_원본!$A$1:$AZ$400,(설정!$B$8+255),설정!$D$23)&amp;"",",",""),"　","")),0))</f>
        <v/>
      </c>
      <c r="M261" s="27">
        <f>IF(설정!$D$24="",0,IFERROR(VALUE(SUBSTITUTE(SUBSTITUTE(INDEX(급여대장_원본!$A$1:$AZ$400,(설정!$B$8+255),설정!$D$24)&amp;"",",",""),"　","")),0))</f>
        <v/>
      </c>
      <c r="N261" s="2">
        <f>IF(OR(설정!$C$17="",IFERROR(MATCH(설정!$C$17,INDEX(급여대장_원본!$A$1:$AZ$400,설정!$B$8,0),0),"")=""),"",IFERROR(VALUE(SUBSTITUTE(INDEX(급여대장_원본!$A$1:$AZ$400,(설정!$B$8+255),IFERROR(MATCH(설정!$C$17,INDEX(급여대장_원본!$A$1:$AZ$400,설정!$B$8,0),0),""))&amp;"",",","")),""))</f>
        <v/>
      </c>
      <c r="O261" s="2">
        <f>IF(OR(설정!$C$18="",IFERROR(MATCH(설정!$C$18,INDEX(급여대장_원본!$A$1:$AZ$400,설정!$B$8,0),0),"")=""),"",IFERROR(VALUE(SUBSTITUTE(INDEX(급여대장_원본!$A$1:$AZ$400,(설정!$B$8+255),IFERROR(MATCH(설정!$C$18,INDEX(급여대장_원본!$A$1:$AZ$400,설정!$B$8,0),0),""))&amp;"",",","")),""))</f>
        <v/>
      </c>
      <c r="P261" s="2">
        <f>IF(OR(설정!$C$19="",IFERROR(MATCH(설정!$C$19,INDEX(급여대장_원본!$A$1:$AZ$400,설정!$B$8,0),0),"")=""),"",IFERROR(VALUE(SUBSTITUTE(INDEX(급여대장_원본!$A$1:$AZ$400,(설정!$B$8+255),IFERROR(MATCH(설정!$C$19,INDEX(급여대장_원본!$A$1:$AZ$400,설정!$B$8,0),0),""))&amp;"",",","")),""))</f>
        <v/>
      </c>
      <c r="Q261" s="2">
        <f>IF(OR(설정!$C$20="",IFERROR(MATCH(설정!$C$20,INDEX(급여대장_원본!$A$1:$AZ$400,설정!$B$8,0),0),"")=""),"",IFERROR(VALUE(SUBSTITUTE(INDEX(급여대장_원본!$A$1:$AZ$400,(설정!$B$8+255),IFERROR(MATCH(설정!$C$20,INDEX(급여대장_원본!$A$1:$AZ$400,설정!$B$8,0),0),""))&amp;"",",","")),""))</f>
        <v/>
      </c>
      <c r="R261" s="2">
        <f>IF(OR(설정!$C$21="",IFERROR(MATCH(설정!$C$21,INDEX(급여대장_원본!$A$1:$AZ$400,설정!$B$8,0),0),"")=""),"",IFERROR(VALUE(SUBSTITUTE(INDEX(급여대장_원본!$A$1:$AZ$400,(설정!$B$8+255),IFERROR(MATCH(설정!$C$21,INDEX(급여대장_원본!$A$1:$AZ$400,설정!$B$8,0),0),""))&amp;"",",","")),""))</f>
        <v/>
      </c>
      <c r="S261" s="2">
        <f>IF(OR(설정!$C$22="",IFERROR(MATCH(설정!$C$22,INDEX(급여대장_원본!$A$1:$AZ$400,설정!$B$8,0),0),"")=""),"",IFERROR(VALUE(SUBSTITUTE(INDEX(급여대장_원본!$A$1:$AZ$400,(설정!$B$8+255),IFERROR(MATCH(설정!$C$22,INDEX(급여대장_원본!$A$1:$AZ$400,설정!$B$8,0),0),""))&amp;"",",","")),""))</f>
        <v/>
      </c>
      <c r="T261" s="2">
        <f>IF(OR(설정!$C$23="",IFERROR(MATCH(설정!$C$23,INDEX(급여대장_원본!$A$1:$AZ$400,설정!$B$8,0),0),"")=""),"",IFERROR(VALUE(SUBSTITUTE(INDEX(급여대장_원본!$A$1:$AZ$400,(설정!$B$8+255),IFERROR(MATCH(설정!$C$23,INDEX(급여대장_원본!$A$1:$AZ$400,설정!$B$8,0),0),""))&amp;"",",","")),""))</f>
        <v/>
      </c>
      <c r="U261" s="2">
        <f>IF(OR(설정!$C$24="",IFERROR(MATCH(설정!$C$24,INDEX(급여대장_원본!$A$1:$AZ$400,설정!$B$8,0),0),"")=""),"",IFERROR(VALUE(SUBSTITUTE(INDEX(급여대장_원본!$A$1:$AZ$400,(설정!$B$8+255),IFERROR(MATCH(설정!$C$24,INDEX(급여대장_원본!$A$1:$AZ$400,설정!$B$8,0),0),""))&amp;"",",","")),""))</f>
        <v/>
      </c>
      <c r="V261" s="27">
        <f>SUM(F261:M261)</f>
        <v/>
      </c>
      <c r="W261" s="27">
        <f>IF(설정!$D$26="",0,IFERROR(VALUE(SUBSTITUTE(SUBSTITUTE(INDEX(급여대장_원본!$A$1:$AZ$400,(설정!$B$8+255),설정!$D$26)&amp;"",",",""),"　","")),0))</f>
        <v/>
      </c>
      <c r="X261" s="27">
        <f>IF(설정!$D$27="",0,IFERROR(VALUE(SUBSTITUTE(SUBSTITUTE(INDEX(급여대장_원본!$A$1:$AZ$400,(설정!$B$8+255),설정!$D$27)&amp;"",",",""),"　","")),0))</f>
        <v/>
      </c>
      <c r="Y261" s="27">
        <f>IF(설정!$D$28="",0,IFERROR(VALUE(SUBSTITUTE(SUBSTITUTE(INDEX(급여대장_원본!$A$1:$AZ$400,(설정!$B$8+255),설정!$D$28)&amp;"",",",""),"　","")),0))</f>
        <v/>
      </c>
      <c r="Z261" s="27">
        <f>IF(설정!$D$29="",0,IFERROR(VALUE(SUBSTITUTE(SUBSTITUTE(INDEX(급여대장_원본!$A$1:$AZ$400,(설정!$B$8+255),설정!$D$29)&amp;"",",",""),"　","")),0))</f>
        <v/>
      </c>
      <c r="AA261" s="27">
        <f>IF(설정!$D$30="",0,IFERROR(VALUE(SUBSTITUTE(SUBSTITUTE(INDEX(급여대장_원본!$A$1:$AZ$400,(설정!$B$8+255),설정!$D$30)&amp;"",",",""),"　","")),0))</f>
        <v/>
      </c>
      <c r="AB261" s="27">
        <f>IF(설정!$D$31="",0,IFERROR(VALUE(SUBSTITUTE(SUBSTITUTE(INDEX(급여대장_원본!$A$1:$AZ$400,(설정!$B$8+255),설정!$D$31)&amp;"",",",""),"　","")),0))</f>
        <v/>
      </c>
      <c r="AC261" s="27">
        <f>IF(설정!$D$32="",0,IFERROR(VALUE(SUBSTITUTE(SUBSTITUTE(INDEX(급여대장_원본!$A$1:$AZ$400,(설정!$B$8+255),설정!$D$32)&amp;"",",",""),"　","")),0))</f>
        <v/>
      </c>
      <c r="AD261" s="27">
        <f>IF(설정!$D$33="",0,IFERROR(VALUE(SUBSTITUTE(SUBSTITUTE(INDEX(급여대장_원본!$A$1:$AZ$400,(설정!$B$8+255),설정!$D$33)&amp;"",",",""),"　","")),0))</f>
        <v/>
      </c>
      <c r="AE261" s="27">
        <f>SUM(W261:AD261)</f>
        <v/>
      </c>
      <c r="AF261" s="27">
        <f>V261-AE261</f>
        <v/>
      </c>
      <c r="AG261" s="27">
        <f>IF(설정!$D$35="","",IF(설정!$D$35="",0,IFERROR(VALUE(SUBSTITUTE(SUBSTITUTE(INDEX(급여대장_원본!$A$1:$AZ$400,(설정!$B$8+255),설정!$D$35)&amp;"",",",""),"　","")),0)))</f>
        <v/>
      </c>
      <c r="AH261" s="27">
        <f>IF(설정!$D$36="","",IF(설정!$D$36="",0,IFERROR(VALUE(SUBSTITUTE(SUBSTITUTE(INDEX(급여대장_원본!$A$1:$AZ$400,(설정!$B$8+255),설정!$D$36)&amp;"",",",""),"　","")),0)))</f>
        <v/>
      </c>
      <c r="AI261" s="27">
        <f>IF(설정!$D$37="","",IF(설정!$D$37="",0,IFERROR(VALUE(SUBSTITUTE(SUBSTITUTE(INDEX(급여대장_원본!$A$1:$AZ$400,(설정!$B$8+255),설정!$D$37)&amp;"",",",""),"　","")),0)))</f>
        <v/>
      </c>
      <c r="AJ261" s="2">
        <f>IFERROR(INDEX($D$7:$D$306,MATCH(255,$B$7:$B$306,0)),"")</f>
        <v/>
      </c>
    </row>
    <row r="262">
      <c r="A262" s="2">
        <f>IF(AND(D262&lt;&gt;"",D262&lt;&gt;"합계",D262&lt;&gt;"총계",D262&lt;&gt;"소계",D262&lt;&gt;"계"),1,0)</f>
        <v/>
      </c>
      <c r="B262" s="2">
        <f>IF(A262=1,SUM($A$7:A262),"")</f>
        <v/>
      </c>
      <c r="C262" s="2">
        <f>IF(설정!$D$13="","",TRIM(SUBSTITUTE(INDEX(급여대장_원본!$A$1:$AZ$400,(설정!$B$8+256),설정!$D$13)&amp;"","　"," ")))</f>
        <v/>
      </c>
      <c r="D262" s="2">
        <f>IF(설정!$D$14="","",TRIM(SUBSTITUTE(INDEX(급여대장_원본!$A$1:$AZ$400,(설정!$B$8+256),설정!$D$14)&amp;"","　"," ")))</f>
        <v/>
      </c>
      <c r="E262" s="2">
        <f>IF(설정!$D$15="","",TRIM(SUBSTITUTE(INDEX(급여대장_원본!$A$1:$AZ$400,(설정!$B$8+256),설정!$D$15)&amp;"","　"," ")))</f>
        <v/>
      </c>
      <c r="F262" s="27">
        <f>IF(설정!$D$17="",0,IFERROR(VALUE(SUBSTITUTE(SUBSTITUTE(INDEX(급여대장_원본!$A$1:$AZ$400,(설정!$B$8+256),설정!$D$17)&amp;"",",",""),"　","")),0))</f>
        <v/>
      </c>
      <c r="G262" s="27">
        <f>IF(설정!$D$18="",0,IFERROR(VALUE(SUBSTITUTE(SUBSTITUTE(INDEX(급여대장_원본!$A$1:$AZ$400,(설정!$B$8+256),설정!$D$18)&amp;"",",",""),"　","")),0))</f>
        <v/>
      </c>
      <c r="H262" s="27">
        <f>IF(설정!$D$19="",0,IFERROR(VALUE(SUBSTITUTE(SUBSTITUTE(INDEX(급여대장_원본!$A$1:$AZ$400,(설정!$B$8+256),설정!$D$19)&amp;"",",",""),"　","")),0))</f>
        <v/>
      </c>
      <c r="I262" s="27">
        <f>IF(설정!$D$20="",0,IFERROR(VALUE(SUBSTITUTE(SUBSTITUTE(INDEX(급여대장_원본!$A$1:$AZ$400,(설정!$B$8+256),설정!$D$20)&amp;"",",",""),"　","")),0))</f>
        <v/>
      </c>
      <c r="J262" s="27">
        <f>IF(설정!$D$21="",0,IFERROR(VALUE(SUBSTITUTE(SUBSTITUTE(INDEX(급여대장_원본!$A$1:$AZ$400,(설정!$B$8+256),설정!$D$21)&amp;"",",",""),"　","")),0))</f>
        <v/>
      </c>
      <c r="K262" s="27">
        <f>IF(설정!$D$22="",0,IFERROR(VALUE(SUBSTITUTE(SUBSTITUTE(INDEX(급여대장_원본!$A$1:$AZ$400,(설정!$B$8+256),설정!$D$22)&amp;"",",",""),"　","")),0))</f>
        <v/>
      </c>
      <c r="L262" s="27">
        <f>IF(설정!$D$23="",0,IFERROR(VALUE(SUBSTITUTE(SUBSTITUTE(INDEX(급여대장_원본!$A$1:$AZ$400,(설정!$B$8+256),설정!$D$23)&amp;"",",",""),"　","")),0))</f>
        <v/>
      </c>
      <c r="M262" s="27">
        <f>IF(설정!$D$24="",0,IFERROR(VALUE(SUBSTITUTE(SUBSTITUTE(INDEX(급여대장_원본!$A$1:$AZ$400,(설정!$B$8+256),설정!$D$24)&amp;"",",",""),"　","")),0))</f>
        <v/>
      </c>
      <c r="N262" s="2">
        <f>IF(OR(설정!$C$17="",IFERROR(MATCH(설정!$C$17,INDEX(급여대장_원본!$A$1:$AZ$400,설정!$B$8,0),0),"")=""),"",IFERROR(VALUE(SUBSTITUTE(INDEX(급여대장_원본!$A$1:$AZ$400,(설정!$B$8+256),IFERROR(MATCH(설정!$C$17,INDEX(급여대장_원본!$A$1:$AZ$400,설정!$B$8,0),0),""))&amp;"",",","")),""))</f>
        <v/>
      </c>
      <c r="O262" s="2">
        <f>IF(OR(설정!$C$18="",IFERROR(MATCH(설정!$C$18,INDEX(급여대장_원본!$A$1:$AZ$400,설정!$B$8,0),0),"")=""),"",IFERROR(VALUE(SUBSTITUTE(INDEX(급여대장_원본!$A$1:$AZ$400,(설정!$B$8+256),IFERROR(MATCH(설정!$C$18,INDEX(급여대장_원본!$A$1:$AZ$400,설정!$B$8,0),0),""))&amp;"",",","")),""))</f>
        <v/>
      </c>
      <c r="P262" s="2">
        <f>IF(OR(설정!$C$19="",IFERROR(MATCH(설정!$C$19,INDEX(급여대장_원본!$A$1:$AZ$400,설정!$B$8,0),0),"")=""),"",IFERROR(VALUE(SUBSTITUTE(INDEX(급여대장_원본!$A$1:$AZ$400,(설정!$B$8+256),IFERROR(MATCH(설정!$C$19,INDEX(급여대장_원본!$A$1:$AZ$400,설정!$B$8,0),0),""))&amp;"",",","")),""))</f>
        <v/>
      </c>
      <c r="Q262" s="2">
        <f>IF(OR(설정!$C$20="",IFERROR(MATCH(설정!$C$20,INDEX(급여대장_원본!$A$1:$AZ$400,설정!$B$8,0),0),"")=""),"",IFERROR(VALUE(SUBSTITUTE(INDEX(급여대장_원본!$A$1:$AZ$400,(설정!$B$8+256),IFERROR(MATCH(설정!$C$20,INDEX(급여대장_원본!$A$1:$AZ$400,설정!$B$8,0),0),""))&amp;"",",","")),""))</f>
        <v/>
      </c>
      <c r="R262" s="2">
        <f>IF(OR(설정!$C$21="",IFERROR(MATCH(설정!$C$21,INDEX(급여대장_원본!$A$1:$AZ$400,설정!$B$8,0),0),"")=""),"",IFERROR(VALUE(SUBSTITUTE(INDEX(급여대장_원본!$A$1:$AZ$400,(설정!$B$8+256),IFERROR(MATCH(설정!$C$21,INDEX(급여대장_원본!$A$1:$AZ$400,설정!$B$8,0),0),""))&amp;"",",","")),""))</f>
        <v/>
      </c>
      <c r="S262" s="2">
        <f>IF(OR(설정!$C$22="",IFERROR(MATCH(설정!$C$22,INDEX(급여대장_원본!$A$1:$AZ$400,설정!$B$8,0),0),"")=""),"",IFERROR(VALUE(SUBSTITUTE(INDEX(급여대장_원본!$A$1:$AZ$400,(설정!$B$8+256),IFERROR(MATCH(설정!$C$22,INDEX(급여대장_원본!$A$1:$AZ$400,설정!$B$8,0),0),""))&amp;"",",","")),""))</f>
        <v/>
      </c>
      <c r="T262" s="2">
        <f>IF(OR(설정!$C$23="",IFERROR(MATCH(설정!$C$23,INDEX(급여대장_원본!$A$1:$AZ$400,설정!$B$8,0),0),"")=""),"",IFERROR(VALUE(SUBSTITUTE(INDEX(급여대장_원본!$A$1:$AZ$400,(설정!$B$8+256),IFERROR(MATCH(설정!$C$23,INDEX(급여대장_원본!$A$1:$AZ$400,설정!$B$8,0),0),""))&amp;"",",","")),""))</f>
        <v/>
      </c>
      <c r="U262" s="2">
        <f>IF(OR(설정!$C$24="",IFERROR(MATCH(설정!$C$24,INDEX(급여대장_원본!$A$1:$AZ$400,설정!$B$8,0),0),"")=""),"",IFERROR(VALUE(SUBSTITUTE(INDEX(급여대장_원본!$A$1:$AZ$400,(설정!$B$8+256),IFERROR(MATCH(설정!$C$24,INDEX(급여대장_원본!$A$1:$AZ$400,설정!$B$8,0),0),""))&amp;"",",","")),""))</f>
        <v/>
      </c>
      <c r="V262" s="27">
        <f>SUM(F262:M262)</f>
        <v/>
      </c>
      <c r="W262" s="27">
        <f>IF(설정!$D$26="",0,IFERROR(VALUE(SUBSTITUTE(SUBSTITUTE(INDEX(급여대장_원본!$A$1:$AZ$400,(설정!$B$8+256),설정!$D$26)&amp;"",",",""),"　","")),0))</f>
        <v/>
      </c>
      <c r="X262" s="27">
        <f>IF(설정!$D$27="",0,IFERROR(VALUE(SUBSTITUTE(SUBSTITUTE(INDEX(급여대장_원본!$A$1:$AZ$400,(설정!$B$8+256),설정!$D$27)&amp;"",",",""),"　","")),0))</f>
        <v/>
      </c>
      <c r="Y262" s="27">
        <f>IF(설정!$D$28="",0,IFERROR(VALUE(SUBSTITUTE(SUBSTITUTE(INDEX(급여대장_원본!$A$1:$AZ$400,(설정!$B$8+256),설정!$D$28)&amp;"",",",""),"　","")),0))</f>
        <v/>
      </c>
      <c r="Z262" s="27">
        <f>IF(설정!$D$29="",0,IFERROR(VALUE(SUBSTITUTE(SUBSTITUTE(INDEX(급여대장_원본!$A$1:$AZ$400,(설정!$B$8+256),설정!$D$29)&amp;"",",",""),"　","")),0))</f>
        <v/>
      </c>
      <c r="AA262" s="27">
        <f>IF(설정!$D$30="",0,IFERROR(VALUE(SUBSTITUTE(SUBSTITUTE(INDEX(급여대장_원본!$A$1:$AZ$400,(설정!$B$8+256),설정!$D$30)&amp;"",",",""),"　","")),0))</f>
        <v/>
      </c>
      <c r="AB262" s="27">
        <f>IF(설정!$D$31="",0,IFERROR(VALUE(SUBSTITUTE(SUBSTITUTE(INDEX(급여대장_원본!$A$1:$AZ$400,(설정!$B$8+256),설정!$D$31)&amp;"",",",""),"　","")),0))</f>
        <v/>
      </c>
      <c r="AC262" s="27">
        <f>IF(설정!$D$32="",0,IFERROR(VALUE(SUBSTITUTE(SUBSTITUTE(INDEX(급여대장_원본!$A$1:$AZ$400,(설정!$B$8+256),설정!$D$32)&amp;"",",",""),"　","")),0))</f>
        <v/>
      </c>
      <c r="AD262" s="27">
        <f>IF(설정!$D$33="",0,IFERROR(VALUE(SUBSTITUTE(SUBSTITUTE(INDEX(급여대장_원본!$A$1:$AZ$400,(설정!$B$8+256),설정!$D$33)&amp;"",",",""),"　","")),0))</f>
        <v/>
      </c>
      <c r="AE262" s="27">
        <f>SUM(W262:AD262)</f>
        <v/>
      </c>
      <c r="AF262" s="27">
        <f>V262-AE262</f>
        <v/>
      </c>
      <c r="AG262" s="27">
        <f>IF(설정!$D$35="","",IF(설정!$D$35="",0,IFERROR(VALUE(SUBSTITUTE(SUBSTITUTE(INDEX(급여대장_원본!$A$1:$AZ$400,(설정!$B$8+256),설정!$D$35)&amp;"",",",""),"　","")),0)))</f>
        <v/>
      </c>
      <c r="AH262" s="27">
        <f>IF(설정!$D$36="","",IF(설정!$D$36="",0,IFERROR(VALUE(SUBSTITUTE(SUBSTITUTE(INDEX(급여대장_원본!$A$1:$AZ$400,(설정!$B$8+256),설정!$D$36)&amp;"",",",""),"　","")),0)))</f>
        <v/>
      </c>
      <c r="AI262" s="27">
        <f>IF(설정!$D$37="","",IF(설정!$D$37="",0,IFERROR(VALUE(SUBSTITUTE(SUBSTITUTE(INDEX(급여대장_원본!$A$1:$AZ$400,(설정!$B$8+256),설정!$D$37)&amp;"",",",""),"　","")),0)))</f>
        <v/>
      </c>
      <c r="AJ262" s="2">
        <f>IFERROR(INDEX($D$7:$D$306,MATCH(256,$B$7:$B$306,0)),"")</f>
        <v/>
      </c>
    </row>
    <row r="263">
      <c r="A263" s="2">
        <f>IF(AND(D263&lt;&gt;"",D263&lt;&gt;"합계",D263&lt;&gt;"총계",D263&lt;&gt;"소계",D263&lt;&gt;"계"),1,0)</f>
        <v/>
      </c>
      <c r="B263" s="2">
        <f>IF(A263=1,SUM($A$7:A263),"")</f>
        <v/>
      </c>
      <c r="C263" s="2">
        <f>IF(설정!$D$13="","",TRIM(SUBSTITUTE(INDEX(급여대장_원본!$A$1:$AZ$400,(설정!$B$8+257),설정!$D$13)&amp;"","　"," ")))</f>
        <v/>
      </c>
      <c r="D263" s="2">
        <f>IF(설정!$D$14="","",TRIM(SUBSTITUTE(INDEX(급여대장_원본!$A$1:$AZ$400,(설정!$B$8+257),설정!$D$14)&amp;"","　"," ")))</f>
        <v/>
      </c>
      <c r="E263" s="2">
        <f>IF(설정!$D$15="","",TRIM(SUBSTITUTE(INDEX(급여대장_원본!$A$1:$AZ$400,(설정!$B$8+257),설정!$D$15)&amp;"","　"," ")))</f>
        <v/>
      </c>
      <c r="F263" s="27">
        <f>IF(설정!$D$17="",0,IFERROR(VALUE(SUBSTITUTE(SUBSTITUTE(INDEX(급여대장_원본!$A$1:$AZ$400,(설정!$B$8+257),설정!$D$17)&amp;"",",",""),"　","")),0))</f>
        <v/>
      </c>
      <c r="G263" s="27">
        <f>IF(설정!$D$18="",0,IFERROR(VALUE(SUBSTITUTE(SUBSTITUTE(INDEX(급여대장_원본!$A$1:$AZ$400,(설정!$B$8+257),설정!$D$18)&amp;"",",",""),"　","")),0))</f>
        <v/>
      </c>
      <c r="H263" s="27">
        <f>IF(설정!$D$19="",0,IFERROR(VALUE(SUBSTITUTE(SUBSTITUTE(INDEX(급여대장_원본!$A$1:$AZ$400,(설정!$B$8+257),설정!$D$19)&amp;"",",",""),"　","")),0))</f>
        <v/>
      </c>
      <c r="I263" s="27">
        <f>IF(설정!$D$20="",0,IFERROR(VALUE(SUBSTITUTE(SUBSTITUTE(INDEX(급여대장_원본!$A$1:$AZ$400,(설정!$B$8+257),설정!$D$20)&amp;"",",",""),"　","")),0))</f>
        <v/>
      </c>
      <c r="J263" s="27">
        <f>IF(설정!$D$21="",0,IFERROR(VALUE(SUBSTITUTE(SUBSTITUTE(INDEX(급여대장_원본!$A$1:$AZ$400,(설정!$B$8+257),설정!$D$21)&amp;"",",",""),"　","")),0))</f>
        <v/>
      </c>
      <c r="K263" s="27">
        <f>IF(설정!$D$22="",0,IFERROR(VALUE(SUBSTITUTE(SUBSTITUTE(INDEX(급여대장_원본!$A$1:$AZ$400,(설정!$B$8+257),설정!$D$22)&amp;"",",",""),"　","")),0))</f>
        <v/>
      </c>
      <c r="L263" s="27">
        <f>IF(설정!$D$23="",0,IFERROR(VALUE(SUBSTITUTE(SUBSTITUTE(INDEX(급여대장_원본!$A$1:$AZ$400,(설정!$B$8+257),설정!$D$23)&amp;"",",",""),"　","")),0))</f>
        <v/>
      </c>
      <c r="M263" s="27">
        <f>IF(설정!$D$24="",0,IFERROR(VALUE(SUBSTITUTE(SUBSTITUTE(INDEX(급여대장_원본!$A$1:$AZ$400,(설정!$B$8+257),설정!$D$24)&amp;"",",",""),"　","")),0))</f>
        <v/>
      </c>
      <c r="N263" s="2">
        <f>IF(OR(설정!$C$17="",IFERROR(MATCH(설정!$C$17,INDEX(급여대장_원본!$A$1:$AZ$400,설정!$B$8,0),0),"")=""),"",IFERROR(VALUE(SUBSTITUTE(INDEX(급여대장_원본!$A$1:$AZ$400,(설정!$B$8+257),IFERROR(MATCH(설정!$C$17,INDEX(급여대장_원본!$A$1:$AZ$400,설정!$B$8,0),0),""))&amp;"",",","")),""))</f>
        <v/>
      </c>
      <c r="O263" s="2">
        <f>IF(OR(설정!$C$18="",IFERROR(MATCH(설정!$C$18,INDEX(급여대장_원본!$A$1:$AZ$400,설정!$B$8,0),0),"")=""),"",IFERROR(VALUE(SUBSTITUTE(INDEX(급여대장_원본!$A$1:$AZ$400,(설정!$B$8+257),IFERROR(MATCH(설정!$C$18,INDEX(급여대장_원본!$A$1:$AZ$400,설정!$B$8,0),0),""))&amp;"",",","")),""))</f>
        <v/>
      </c>
      <c r="P263" s="2">
        <f>IF(OR(설정!$C$19="",IFERROR(MATCH(설정!$C$19,INDEX(급여대장_원본!$A$1:$AZ$400,설정!$B$8,0),0),"")=""),"",IFERROR(VALUE(SUBSTITUTE(INDEX(급여대장_원본!$A$1:$AZ$400,(설정!$B$8+257),IFERROR(MATCH(설정!$C$19,INDEX(급여대장_원본!$A$1:$AZ$400,설정!$B$8,0),0),""))&amp;"",",","")),""))</f>
        <v/>
      </c>
      <c r="Q263" s="2">
        <f>IF(OR(설정!$C$20="",IFERROR(MATCH(설정!$C$20,INDEX(급여대장_원본!$A$1:$AZ$400,설정!$B$8,0),0),"")=""),"",IFERROR(VALUE(SUBSTITUTE(INDEX(급여대장_원본!$A$1:$AZ$400,(설정!$B$8+257),IFERROR(MATCH(설정!$C$20,INDEX(급여대장_원본!$A$1:$AZ$400,설정!$B$8,0),0),""))&amp;"",",","")),""))</f>
        <v/>
      </c>
      <c r="R263" s="2">
        <f>IF(OR(설정!$C$21="",IFERROR(MATCH(설정!$C$21,INDEX(급여대장_원본!$A$1:$AZ$400,설정!$B$8,0),0),"")=""),"",IFERROR(VALUE(SUBSTITUTE(INDEX(급여대장_원본!$A$1:$AZ$400,(설정!$B$8+257),IFERROR(MATCH(설정!$C$21,INDEX(급여대장_원본!$A$1:$AZ$400,설정!$B$8,0),0),""))&amp;"",",","")),""))</f>
        <v/>
      </c>
      <c r="S263" s="2">
        <f>IF(OR(설정!$C$22="",IFERROR(MATCH(설정!$C$22,INDEX(급여대장_원본!$A$1:$AZ$400,설정!$B$8,0),0),"")=""),"",IFERROR(VALUE(SUBSTITUTE(INDEX(급여대장_원본!$A$1:$AZ$400,(설정!$B$8+257),IFERROR(MATCH(설정!$C$22,INDEX(급여대장_원본!$A$1:$AZ$400,설정!$B$8,0),0),""))&amp;"",",","")),""))</f>
        <v/>
      </c>
      <c r="T263" s="2">
        <f>IF(OR(설정!$C$23="",IFERROR(MATCH(설정!$C$23,INDEX(급여대장_원본!$A$1:$AZ$400,설정!$B$8,0),0),"")=""),"",IFERROR(VALUE(SUBSTITUTE(INDEX(급여대장_원본!$A$1:$AZ$400,(설정!$B$8+257),IFERROR(MATCH(설정!$C$23,INDEX(급여대장_원본!$A$1:$AZ$400,설정!$B$8,0),0),""))&amp;"",",","")),""))</f>
        <v/>
      </c>
      <c r="U263" s="2">
        <f>IF(OR(설정!$C$24="",IFERROR(MATCH(설정!$C$24,INDEX(급여대장_원본!$A$1:$AZ$400,설정!$B$8,0),0),"")=""),"",IFERROR(VALUE(SUBSTITUTE(INDEX(급여대장_원본!$A$1:$AZ$400,(설정!$B$8+257),IFERROR(MATCH(설정!$C$24,INDEX(급여대장_원본!$A$1:$AZ$400,설정!$B$8,0),0),""))&amp;"",",","")),""))</f>
        <v/>
      </c>
      <c r="V263" s="27">
        <f>SUM(F263:M263)</f>
        <v/>
      </c>
      <c r="W263" s="27">
        <f>IF(설정!$D$26="",0,IFERROR(VALUE(SUBSTITUTE(SUBSTITUTE(INDEX(급여대장_원본!$A$1:$AZ$400,(설정!$B$8+257),설정!$D$26)&amp;"",",",""),"　","")),0))</f>
        <v/>
      </c>
      <c r="X263" s="27">
        <f>IF(설정!$D$27="",0,IFERROR(VALUE(SUBSTITUTE(SUBSTITUTE(INDEX(급여대장_원본!$A$1:$AZ$400,(설정!$B$8+257),설정!$D$27)&amp;"",",",""),"　","")),0))</f>
        <v/>
      </c>
      <c r="Y263" s="27">
        <f>IF(설정!$D$28="",0,IFERROR(VALUE(SUBSTITUTE(SUBSTITUTE(INDEX(급여대장_원본!$A$1:$AZ$400,(설정!$B$8+257),설정!$D$28)&amp;"",",",""),"　","")),0))</f>
        <v/>
      </c>
      <c r="Z263" s="27">
        <f>IF(설정!$D$29="",0,IFERROR(VALUE(SUBSTITUTE(SUBSTITUTE(INDEX(급여대장_원본!$A$1:$AZ$400,(설정!$B$8+257),설정!$D$29)&amp;"",",",""),"　","")),0))</f>
        <v/>
      </c>
      <c r="AA263" s="27">
        <f>IF(설정!$D$30="",0,IFERROR(VALUE(SUBSTITUTE(SUBSTITUTE(INDEX(급여대장_원본!$A$1:$AZ$400,(설정!$B$8+257),설정!$D$30)&amp;"",",",""),"　","")),0))</f>
        <v/>
      </c>
      <c r="AB263" s="27">
        <f>IF(설정!$D$31="",0,IFERROR(VALUE(SUBSTITUTE(SUBSTITUTE(INDEX(급여대장_원본!$A$1:$AZ$400,(설정!$B$8+257),설정!$D$31)&amp;"",",",""),"　","")),0))</f>
        <v/>
      </c>
      <c r="AC263" s="27">
        <f>IF(설정!$D$32="",0,IFERROR(VALUE(SUBSTITUTE(SUBSTITUTE(INDEX(급여대장_원본!$A$1:$AZ$400,(설정!$B$8+257),설정!$D$32)&amp;"",",",""),"　","")),0))</f>
        <v/>
      </c>
      <c r="AD263" s="27">
        <f>IF(설정!$D$33="",0,IFERROR(VALUE(SUBSTITUTE(SUBSTITUTE(INDEX(급여대장_원본!$A$1:$AZ$400,(설정!$B$8+257),설정!$D$33)&amp;"",",",""),"　","")),0))</f>
        <v/>
      </c>
      <c r="AE263" s="27">
        <f>SUM(W263:AD263)</f>
        <v/>
      </c>
      <c r="AF263" s="27">
        <f>V263-AE263</f>
        <v/>
      </c>
      <c r="AG263" s="27">
        <f>IF(설정!$D$35="","",IF(설정!$D$35="",0,IFERROR(VALUE(SUBSTITUTE(SUBSTITUTE(INDEX(급여대장_원본!$A$1:$AZ$400,(설정!$B$8+257),설정!$D$35)&amp;"",",",""),"　","")),0)))</f>
        <v/>
      </c>
      <c r="AH263" s="27">
        <f>IF(설정!$D$36="","",IF(설정!$D$36="",0,IFERROR(VALUE(SUBSTITUTE(SUBSTITUTE(INDEX(급여대장_원본!$A$1:$AZ$400,(설정!$B$8+257),설정!$D$36)&amp;"",",",""),"　","")),0)))</f>
        <v/>
      </c>
      <c r="AI263" s="27">
        <f>IF(설정!$D$37="","",IF(설정!$D$37="",0,IFERROR(VALUE(SUBSTITUTE(SUBSTITUTE(INDEX(급여대장_원본!$A$1:$AZ$400,(설정!$B$8+257),설정!$D$37)&amp;"",",",""),"　","")),0)))</f>
        <v/>
      </c>
      <c r="AJ263" s="2">
        <f>IFERROR(INDEX($D$7:$D$306,MATCH(257,$B$7:$B$306,0)),"")</f>
        <v/>
      </c>
    </row>
    <row r="264">
      <c r="A264" s="2">
        <f>IF(AND(D264&lt;&gt;"",D264&lt;&gt;"합계",D264&lt;&gt;"총계",D264&lt;&gt;"소계",D264&lt;&gt;"계"),1,0)</f>
        <v/>
      </c>
      <c r="B264" s="2">
        <f>IF(A264=1,SUM($A$7:A264),"")</f>
        <v/>
      </c>
      <c r="C264" s="2">
        <f>IF(설정!$D$13="","",TRIM(SUBSTITUTE(INDEX(급여대장_원본!$A$1:$AZ$400,(설정!$B$8+258),설정!$D$13)&amp;"","　"," ")))</f>
        <v/>
      </c>
      <c r="D264" s="2">
        <f>IF(설정!$D$14="","",TRIM(SUBSTITUTE(INDEX(급여대장_원본!$A$1:$AZ$400,(설정!$B$8+258),설정!$D$14)&amp;"","　"," ")))</f>
        <v/>
      </c>
      <c r="E264" s="2">
        <f>IF(설정!$D$15="","",TRIM(SUBSTITUTE(INDEX(급여대장_원본!$A$1:$AZ$400,(설정!$B$8+258),설정!$D$15)&amp;"","　"," ")))</f>
        <v/>
      </c>
      <c r="F264" s="27">
        <f>IF(설정!$D$17="",0,IFERROR(VALUE(SUBSTITUTE(SUBSTITUTE(INDEX(급여대장_원본!$A$1:$AZ$400,(설정!$B$8+258),설정!$D$17)&amp;"",",",""),"　","")),0))</f>
        <v/>
      </c>
      <c r="G264" s="27">
        <f>IF(설정!$D$18="",0,IFERROR(VALUE(SUBSTITUTE(SUBSTITUTE(INDEX(급여대장_원본!$A$1:$AZ$400,(설정!$B$8+258),설정!$D$18)&amp;"",",",""),"　","")),0))</f>
        <v/>
      </c>
      <c r="H264" s="27">
        <f>IF(설정!$D$19="",0,IFERROR(VALUE(SUBSTITUTE(SUBSTITUTE(INDEX(급여대장_원본!$A$1:$AZ$400,(설정!$B$8+258),설정!$D$19)&amp;"",",",""),"　","")),0))</f>
        <v/>
      </c>
      <c r="I264" s="27">
        <f>IF(설정!$D$20="",0,IFERROR(VALUE(SUBSTITUTE(SUBSTITUTE(INDEX(급여대장_원본!$A$1:$AZ$400,(설정!$B$8+258),설정!$D$20)&amp;"",",",""),"　","")),0))</f>
        <v/>
      </c>
      <c r="J264" s="27">
        <f>IF(설정!$D$21="",0,IFERROR(VALUE(SUBSTITUTE(SUBSTITUTE(INDEX(급여대장_원본!$A$1:$AZ$400,(설정!$B$8+258),설정!$D$21)&amp;"",",",""),"　","")),0))</f>
        <v/>
      </c>
      <c r="K264" s="27">
        <f>IF(설정!$D$22="",0,IFERROR(VALUE(SUBSTITUTE(SUBSTITUTE(INDEX(급여대장_원본!$A$1:$AZ$400,(설정!$B$8+258),설정!$D$22)&amp;"",",",""),"　","")),0))</f>
        <v/>
      </c>
      <c r="L264" s="27">
        <f>IF(설정!$D$23="",0,IFERROR(VALUE(SUBSTITUTE(SUBSTITUTE(INDEX(급여대장_원본!$A$1:$AZ$400,(설정!$B$8+258),설정!$D$23)&amp;"",",",""),"　","")),0))</f>
        <v/>
      </c>
      <c r="M264" s="27">
        <f>IF(설정!$D$24="",0,IFERROR(VALUE(SUBSTITUTE(SUBSTITUTE(INDEX(급여대장_원본!$A$1:$AZ$400,(설정!$B$8+258),설정!$D$24)&amp;"",",",""),"　","")),0))</f>
        <v/>
      </c>
      <c r="N264" s="2">
        <f>IF(OR(설정!$C$17="",IFERROR(MATCH(설정!$C$17,INDEX(급여대장_원본!$A$1:$AZ$400,설정!$B$8,0),0),"")=""),"",IFERROR(VALUE(SUBSTITUTE(INDEX(급여대장_원본!$A$1:$AZ$400,(설정!$B$8+258),IFERROR(MATCH(설정!$C$17,INDEX(급여대장_원본!$A$1:$AZ$400,설정!$B$8,0),0),""))&amp;"",",","")),""))</f>
        <v/>
      </c>
      <c r="O264" s="2">
        <f>IF(OR(설정!$C$18="",IFERROR(MATCH(설정!$C$18,INDEX(급여대장_원본!$A$1:$AZ$400,설정!$B$8,0),0),"")=""),"",IFERROR(VALUE(SUBSTITUTE(INDEX(급여대장_원본!$A$1:$AZ$400,(설정!$B$8+258),IFERROR(MATCH(설정!$C$18,INDEX(급여대장_원본!$A$1:$AZ$400,설정!$B$8,0),0),""))&amp;"",",","")),""))</f>
        <v/>
      </c>
      <c r="P264" s="2">
        <f>IF(OR(설정!$C$19="",IFERROR(MATCH(설정!$C$19,INDEX(급여대장_원본!$A$1:$AZ$400,설정!$B$8,0),0),"")=""),"",IFERROR(VALUE(SUBSTITUTE(INDEX(급여대장_원본!$A$1:$AZ$400,(설정!$B$8+258),IFERROR(MATCH(설정!$C$19,INDEX(급여대장_원본!$A$1:$AZ$400,설정!$B$8,0),0),""))&amp;"",",","")),""))</f>
        <v/>
      </c>
      <c r="Q264" s="2">
        <f>IF(OR(설정!$C$20="",IFERROR(MATCH(설정!$C$20,INDEX(급여대장_원본!$A$1:$AZ$400,설정!$B$8,0),0),"")=""),"",IFERROR(VALUE(SUBSTITUTE(INDEX(급여대장_원본!$A$1:$AZ$400,(설정!$B$8+258),IFERROR(MATCH(설정!$C$20,INDEX(급여대장_원본!$A$1:$AZ$400,설정!$B$8,0),0),""))&amp;"",",","")),""))</f>
        <v/>
      </c>
      <c r="R264" s="2">
        <f>IF(OR(설정!$C$21="",IFERROR(MATCH(설정!$C$21,INDEX(급여대장_원본!$A$1:$AZ$400,설정!$B$8,0),0),"")=""),"",IFERROR(VALUE(SUBSTITUTE(INDEX(급여대장_원본!$A$1:$AZ$400,(설정!$B$8+258),IFERROR(MATCH(설정!$C$21,INDEX(급여대장_원본!$A$1:$AZ$400,설정!$B$8,0),0),""))&amp;"",",","")),""))</f>
        <v/>
      </c>
      <c r="S264" s="2">
        <f>IF(OR(설정!$C$22="",IFERROR(MATCH(설정!$C$22,INDEX(급여대장_원본!$A$1:$AZ$400,설정!$B$8,0),0),"")=""),"",IFERROR(VALUE(SUBSTITUTE(INDEX(급여대장_원본!$A$1:$AZ$400,(설정!$B$8+258),IFERROR(MATCH(설정!$C$22,INDEX(급여대장_원본!$A$1:$AZ$400,설정!$B$8,0),0),""))&amp;"",",","")),""))</f>
        <v/>
      </c>
      <c r="T264" s="2">
        <f>IF(OR(설정!$C$23="",IFERROR(MATCH(설정!$C$23,INDEX(급여대장_원본!$A$1:$AZ$400,설정!$B$8,0),0),"")=""),"",IFERROR(VALUE(SUBSTITUTE(INDEX(급여대장_원본!$A$1:$AZ$400,(설정!$B$8+258),IFERROR(MATCH(설정!$C$23,INDEX(급여대장_원본!$A$1:$AZ$400,설정!$B$8,0),0),""))&amp;"",",","")),""))</f>
        <v/>
      </c>
      <c r="U264" s="2">
        <f>IF(OR(설정!$C$24="",IFERROR(MATCH(설정!$C$24,INDEX(급여대장_원본!$A$1:$AZ$400,설정!$B$8,0),0),"")=""),"",IFERROR(VALUE(SUBSTITUTE(INDEX(급여대장_원본!$A$1:$AZ$400,(설정!$B$8+258),IFERROR(MATCH(설정!$C$24,INDEX(급여대장_원본!$A$1:$AZ$400,설정!$B$8,0),0),""))&amp;"",",","")),""))</f>
        <v/>
      </c>
      <c r="V264" s="27">
        <f>SUM(F264:M264)</f>
        <v/>
      </c>
      <c r="W264" s="27">
        <f>IF(설정!$D$26="",0,IFERROR(VALUE(SUBSTITUTE(SUBSTITUTE(INDEX(급여대장_원본!$A$1:$AZ$400,(설정!$B$8+258),설정!$D$26)&amp;"",",",""),"　","")),0))</f>
        <v/>
      </c>
      <c r="X264" s="27">
        <f>IF(설정!$D$27="",0,IFERROR(VALUE(SUBSTITUTE(SUBSTITUTE(INDEX(급여대장_원본!$A$1:$AZ$400,(설정!$B$8+258),설정!$D$27)&amp;"",",",""),"　","")),0))</f>
        <v/>
      </c>
      <c r="Y264" s="27">
        <f>IF(설정!$D$28="",0,IFERROR(VALUE(SUBSTITUTE(SUBSTITUTE(INDEX(급여대장_원본!$A$1:$AZ$400,(설정!$B$8+258),설정!$D$28)&amp;"",",",""),"　","")),0))</f>
        <v/>
      </c>
      <c r="Z264" s="27">
        <f>IF(설정!$D$29="",0,IFERROR(VALUE(SUBSTITUTE(SUBSTITUTE(INDEX(급여대장_원본!$A$1:$AZ$400,(설정!$B$8+258),설정!$D$29)&amp;"",",",""),"　","")),0))</f>
        <v/>
      </c>
      <c r="AA264" s="27">
        <f>IF(설정!$D$30="",0,IFERROR(VALUE(SUBSTITUTE(SUBSTITUTE(INDEX(급여대장_원본!$A$1:$AZ$400,(설정!$B$8+258),설정!$D$30)&amp;"",",",""),"　","")),0))</f>
        <v/>
      </c>
      <c r="AB264" s="27">
        <f>IF(설정!$D$31="",0,IFERROR(VALUE(SUBSTITUTE(SUBSTITUTE(INDEX(급여대장_원본!$A$1:$AZ$400,(설정!$B$8+258),설정!$D$31)&amp;"",",",""),"　","")),0))</f>
        <v/>
      </c>
      <c r="AC264" s="27">
        <f>IF(설정!$D$32="",0,IFERROR(VALUE(SUBSTITUTE(SUBSTITUTE(INDEX(급여대장_원본!$A$1:$AZ$400,(설정!$B$8+258),설정!$D$32)&amp;"",",",""),"　","")),0))</f>
        <v/>
      </c>
      <c r="AD264" s="27">
        <f>IF(설정!$D$33="",0,IFERROR(VALUE(SUBSTITUTE(SUBSTITUTE(INDEX(급여대장_원본!$A$1:$AZ$400,(설정!$B$8+258),설정!$D$33)&amp;"",",",""),"　","")),0))</f>
        <v/>
      </c>
      <c r="AE264" s="27">
        <f>SUM(W264:AD264)</f>
        <v/>
      </c>
      <c r="AF264" s="27">
        <f>V264-AE264</f>
        <v/>
      </c>
      <c r="AG264" s="27">
        <f>IF(설정!$D$35="","",IF(설정!$D$35="",0,IFERROR(VALUE(SUBSTITUTE(SUBSTITUTE(INDEX(급여대장_원본!$A$1:$AZ$400,(설정!$B$8+258),설정!$D$35)&amp;"",",",""),"　","")),0)))</f>
        <v/>
      </c>
      <c r="AH264" s="27">
        <f>IF(설정!$D$36="","",IF(설정!$D$36="",0,IFERROR(VALUE(SUBSTITUTE(SUBSTITUTE(INDEX(급여대장_원본!$A$1:$AZ$400,(설정!$B$8+258),설정!$D$36)&amp;"",",",""),"　","")),0)))</f>
        <v/>
      </c>
      <c r="AI264" s="27">
        <f>IF(설정!$D$37="","",IF(설정!$D$37="",0,IFERROR(VALUE(SUBSTITUTE(SUBSTITUTE(INDEX(급여대장_원본!$A$1:$AZ$400,(설정!$B$8+258),설정!$D$37)&amp;"",",",""),"　","")),0)))</f>
        <v/>
      </c>
      <c r="AJ264" s="2">
        <f>IFERROR(INDEX($D$7:$D$306,MATCH(258,$B$7:$B$306,0)),"")</f>
        <v/>
      </c>
    </row>
    <row r="265">
      <c r="A265" s="2">
        <f>IF(AND(D265&lt;&gt;"",D265&lt;&gt;"합계",D265&lt;&gt;"총계",D265&lt;&gt;"소계",D265&lt;&gt;"계"),1,0)</f>
        <v/>
      </c>
      <c r="B265" s="2">
        <f>IF(A265=1,SUM($A$7:A265),"")</f>
        <v/>
      </c>
      <c r="C265" s="2">
        <f>IF(설정!$D$13="","",TRIM(SUBSTITUTE(INDEX(급여대장_원본!$A$1:$AZ$400,(설정!$B$8+259),설정!$D$13)&amp;"","　"," ")))</f>
        <v/>
      </c>
      <c r="D265" s="2">
        <f>IF(설정!$D$14="","",TRIM(SUBSTITUTE(INDEX(급여대장_원본!$A$1:$AZ$400,(설정!$B$8+259),설정!$D$14)&amp;"","　"," ")))</f>
        <v/>
      </c>
      <c r="E265" s="2">
        <f>IF(설정!$D$15="","",TRIM(SUBSTITUTE(INDEX(급여대장_원본!$A$1:$AZ$400,(설정!$B$8+259),설정!$D$15)&amp;"","　"," ")))</f>
        <v/>
      </c>
      <c r="F265" s="27">
        <f>IF(설정!$D$17="",0,IFERROR(VALUE(SUBSTITUTE(SUBSTITUTE(INDEX(급여대장_원본!$A$1:$AZ$400,(설정!$B$8+259),설정!$D$17)&amp;"",",",""),"　","")),0))</f>
        <v/>
      </c>
      <c r="G265" s="27">
        <f>IF(설정!$D$18="",0,IFERROR(VALUE(SUBSTITUTE(SUBSTITUTE(INDEX(급여대장_원본!$A$1:$AZ$400,(설정!$B$8+259),설정!$D$18)&amp;"",",",""),"　","")),0))</f>
        <v/>
      </c>
      <c r="H265" s="27">
        <f>IF(설정!$D$19="",0,IFERROR(VALUE(SUBSTITUTE(SUBSTITUTE(INDEX(급여대장_원본!$A$1:$AZ$400,(설정!$B$8+259),설정!$D$19)&amp;"",",",""),"　","")),0))</f>
        <v/>
      </c>
      <c r="I265" s="27">
        <f>IF(설정!$D$20="",0,IFERROR(VALUE(SUBSTITUTE(SUBSTITUTE(INDEX(급여대장_원본!$A$1:$AZ$400,(설정!$B$8+259),설정!$D$20)&amp;"",",",""),"　","")),0))</f>
        <v/>
      </c>
      <c r="J265" s="27">
        <f>IF(설정!$D$21="",0,IFERROR(VALUE(SUBSTITUTE(SUBSTITUTE(INDEX(급여대장_원본!$A$1:$AZ$400,(설정!$B$8+259),설정!$D$21)&amp;"",",",""),"　","")),0))</f>
        <v/>
      </c>
      <c r="K265" s="27">
        <f>IF(설정!$D$22="",0,IFERROR(VALUE(SUBSTITUTE(SUBSTITUTE(INDEX(급여대장_원본!$A$1:$AZ$400,(설정!$B$8+259),설정!$D$22)&amp;"",",",""),"　","")),0))</f>
        <v/>
      </c>
      <c r="L265" s="27">
        <f>IF(설정!$D$23="",0,IFERROR(VALUE(SUBSTITUTE(SUBSTITUTE(INDEX(급여대장_원본!$A$1:$AZ$400,(설정!$B$8+259),설정!$D$23)&amp;"",",",""),"　","")),0))</f>
        <v/>
      </c>
      <c r="M265" s="27">
        <f>IF(설정!$D$24="",0,IFERROR(VALUE(SUBSTITUTE(SUBSTITUTE(INDEX(급여대장_원본!$A$1:$AZ$400,(설정!$B$8+259),설정!$D$24)&amp;"",",",""),"　","")),0))</f>
        <v/>
      </c>
      <c r="N265" s="2">
        <f>IF(OR(설정!$C$17="",IFERROR(MATCH(설정!$C$17,INDEX(급여대장_원본!$A$1:$AZ$400,설정!$B$8,0),0),"")=""),"",IFERROR(VALUE(SUBSTITUTE(INDEX(급여대장_원본!$A$1:$AZ$400,(설정!$B$8+259),IFERROR(MATCH(설정!$C$17,INDEX(급여대장_원본!$A$1:$AZ$400,설정!$B$8,0),0),""))&amp;"",",","")),""))</f>
        <v/>
      </c>
      <c r="O265" s="2">
        <f>IF(OR(설정!$C$18="",IFERROR(MATCH(설정!$C$18,INDEX(급여대장_원본!$A$1:$AZ$400,설정!$B$8,0),0),"")=""),"",IFERROR(VALUE(SUBSTITUTE(INDEX(급여대장_원본!$A$1:$AZ$400,(설정!$B$8+259),IFERROR(MATCH(설정!$C$18,INDEX(급여대장_원본!$A$1:$AZ$400,설정!$B$8,0),0),""))&amp;"",",","")),""))</f>
        <v/>
      </c>
      <c r="P265" s="2">
        <f>IF(OR(설정!$C$19="",IFERROR(MATCH(설정!$C$19,INDEX(급여대장_원본!$A$1:$AZ$400,설정!$B$8,0),0),"")=""),"",IFERROR(VALUE(SUBSTITUTE(INDEX(급여대장_원본!$A$1:$AZ$400,(설정!$B$8+259),IFERROR(MATCH(설정!$C$19,INDEX(급여대장_원본!$A$1:$AZ$400,설정!$B$8,0),0),""))&amp;"",",","")),""))</f>
        <v/>
      </c>
      <c r="Q265" s="2">
        <f>IF(OR(설정!$C$20="",IFERROR(MATCH(설정!$C$20,INDEX(급여대장_원본!$A$1:$AZ$400,설정!$B$8,0),0),"")=""),"",IFERROR(VALUE(SUBSTITUTE(INDEX(급여대장_원본!$A$1:$AZ$400,(설정!$B$8+259),IFERROR(MATCH(설정!$C$20,INDEX(급여대장_원본!$A$1:$AZ$400,설정!$B$8,0),0),""))&amp;"",",","")),""))</f>
        <v/>
      </c>
      <c r="R265" s="2">
        <f>IF(OR(설정!$C$21="",IFERROR(MATCH(설정!$C$21,INDEX(급여대장_원본!$A$1:$AZ$400,설정!$B$8,0),0),"")=""),"",IFERROR(VALUE(SUBSTITUTE(INDEX(급여대장_원본!$A$1:$AZ$400,(설정!$B$8+259),IFERROR(MATCH(설정!$C$21,INDEX(급여대장_원본!$A$1:$AZ$400,설정!$B$8,0),0),""))&amp;"",",","")),""))</f>
        <v/>
      </c>
      <c r="S265" s="2">
        <f>IF(OR(설정!$C$22="",IFERROR(MATCH(설정!$C$22,INDEX(급여대장_원본!$A$1:$AZ$400,설정!$B$8,0),0),"")=""),"",IFERROR(VALUE(SUBSTITUTE(INDEX(급여대장_원본!$A$1:$AZ$400,(설정!$B$8+259),IFERROR(MATCH(설정!$C$22,INDEX(급여대장_원본!$A$1:$AZ$400,설정!$B$8,0),0),""))&amp;"",",","")),""))</f>
        <v/>
      </c>
      <c r="T265" s="2">
        <f>IF(OR(설정!$C$23="",IFERROR(MATCH(설정!$C$23,INDEX(급여대장_원본!$A$1:$AZ$400,설정!$B$8,0),0),"")=""),"",IFERROR(VALUE(SUBSTITUTE(INDEX(급여대장_원본!$A$1:$AZ$400,(설정!$B$8+259),IFERROR(MATCH(설정!$C$23,INDEX(급여대장_원본!$A$1:$AZ$400,설정!$B$8,0),0),""))&amp;"",",","")),""))</f>
        <v/>
      </c>
      <c r="U265" s="2">
        <f>IF(OR(설정!$C$24="",IFERROR(MATCH(설정!$C$24,INDEX(급여대장_원본!$A$1:$AZ$400,설정!$B$8,0),0),"")=""),"",IFERROR(VALUE(SUBSTITUTE(INDEX(급여대장_원본!$A$1:$AZ$400,(설정!$B$8+259),IFERROR(MATCH(설정!$C$24,INDEX(급여대장_원본!$A$1:$AZ$400,설정!$B$8,0),0),""))&amp;"",",","")),""))</f>
        <v/>
      </c>
      <c r="V265" s="27">
        <f>SUM(F265:M265)</f>
        <v/>
      </c>
      <c r="W265" s="27">
        <f>IF(설정!$D$26="",0,IFERROR(VALUE(SUBSTITUTE(SUBSTITUTE(INDEX(급여대장_원본!$A$1:$AZ$400,(설정!$B$8+259),설정!$D$26)&amp;"",",",""),"　","")),0))</f>
        <v/>
      </c>
      <c r="X265" s="27">
        <f>IF(설정!$D$27="",0,IFERROR(VALUE(SUBSTITUTE(SUBSTITUTE(INDEX(급여대장_원본!$A$1:$AZ$400,(설정!$B$8+259),설정!$D$27)&amp;"",",",""),"　","")),0))</f>
        <v/>
      </c>
      <c r="Y265" s="27">
        <f>IF(설정!$D$28="",0,IFERROR(VALUE(SUBSTITUTE(SUBSTITUTE(INDEX(급여대장_원본!$A$1:$AZ$400,(설정!$B$8+259),설정!$D$28)&amp;"",",",""),"　","")),0))</f>
        <v/>
      </c>
      <c r="Z265" s="27">
        <f>IF(설정!$D$29="",0,IFERROR(VALUE(SUBSTITUTE(SUBSTITUTE(INDEX(급여대장_원본!$A$1:$AZ$400,(설정!$B$8+259),설정!$D$29)&amp;"",",",""),"　","")),0))</f>
        <v/>
      </c>
      <c r="AA265" s="27">
        <f>IF(설정!$D$30="",0,IFERROR(VALUE(SUBSTITUTE(SUBSTITUTE(INDEX(급여대장_원본!$A$1:$AZ$400,(설정!$B$8+259),설정!$D$30)&amp;"",",",""),"　","")),0))</f>
        <v/>
      </c>
      <c r="AB265" s="27">
        <f>IF(설정!$D$31="",0,IFERROR(VALUE(SUBSTITUTE(SUBSTITUTE(INDEX(급여대장_원본!$A$1:$AZ$400,(설정!$B$8+259),설정!$D$31)&amp;"",",",""),"　","")),0))</f>
        <v/>
      </c>
      <c r="AC265" s="27">
        <f>IF(설정!$D$32="",0,IFERROR(VALUE(SUBSTITUTE(SUBSTITUTE(INDEX(급여대장_원본!$A$1:$AZ$400,(설정!$B$8+259),설정!$D$32)&amp;"",",",""),"　","")),0))</f>
        <v/>
      </c>
      <c r="AD265" s="27">
        <f>IF(설정!$D$33="",0,IFERROR(VALUE(SUBSTITUTE(SUBSTITUTE(INDEX(급여대장_원본!$A$1:$AZ$400,(설정!$B$8+259),설정!$D$33)&amp;"",",",""),"　","")),0))</f>
        <v/>
      </c>
      <c r="AE265" s="27">
        <f>SUM(W265:AD265)</f>
        <v/>
      </c>
      <c r="AF265" s="27">
        <f>V265-AE265</f>
        <v/>
      </c>
      <c r="AG265" s="27">
        <f>IF(설정!$D$35="","",IF(설정!$D$35="",0,IFERROR(VALUE(SUBSTITUTE(SUBSTITUTE(INDEX(급여대장_원본!$A$1:$AZ$400,(설정!$B$8+259),설정!$D$35)&amp;"",",",""),"　","")),0)))</f>
        <v/>
      </c>
      <c r="AH265" s="27">
        <f>IF(설정!$D$36="","",IF(설정!$D$36="",0,IFERROR(VALUE(SUBSTITUTE(SUBSTITUTE(INDEX(급여대장_원본!$A$1:$AZ$400,(설정!$B$8+259),설정!$D$36)&amp;"",",",""),"　","")),0)))</f>
        <v/>
      </c>
      <c r="AI265" s="27">
        <f>IF(설정!$D$37="","",IF(설정!$D$37="",0,IFERROR(VALUE(SUBSTITUTE(SUBSTITUTE(INDEX(급여대장_원본!$A$1:$AZ$400,(설정!$B$8+259),설정!$D$37)&amp;"",",",""),"　","")),0)))</f>
        <v/>
      </c>
      <c r="AJ265" s="2">
        <f>IFERROR(INDEX($D$7:$D$306,MATCH(259,$B$7:$B$306,0)),"")</f>
        <v/>
      </c>
    </row>
    <row r="266">
      <c r="A266" s="2">
        <f>IF(AND(D266&lt;&gt;"",D266&lt;&gt;"합계",D266&lt;&gt;"총계",D266&lt;&gt;"소계",D266&lt;&gt;"계"),1,0)</f>
        <v/>
      </c>
      <c r="B266" s="2">
        <f>IF(A266=1,SUM($A$7:A266),"")</f>
        <v/>
      </c>
      <c r="C266" s="2">
        <f>IF(설정!$D$13="","",TRIM(SUBSTITUTE(INDEX(급여대장_원본!$A$1:$AZ$400,(설정!$B$8+260),설정!$D$13)&amp;"","　"," ")))</f>
        <v/>
      </c>
      <c r="D266" s="2">
        <f>IF(설정!$D$14="","",TRIM(SUBSTITUTE(INDEX(급여대장_원본!$A$1:$AZ$400,(설정!$B$8+260),설정!$D$14)&amp;"","　"," ")))</f>
        <v/>
      </c>
      <c r="E266" s="2">
        <f>IF(설정!$D$15="","",TRIM(SUBSTITUTE(INDEX(급여대장_원본!$A$1:$AZ$400,(설정!$B$8+260),설정!$D$15)&amp;"","　"," ")))</f>
        <v/>
      </c>
      <c r="F266" s="27">
        <f>IF(설정!$D$17="",0,IFERROR(VALUE(SUBSTITUTE(SUBSTITUTE(INDEX(급여대장_원본!$A$1:$AZ$400,(설정!$B$8+260),설정!$D$17)&amp;"",",",""),"　","")),0))</f>
        <v/>
      </c>
      <c r="G266" s="27">
        <f>IF(설정!$D$18="",0,IFERROR(VALUE(SUBSTITUTE(SUBSTITUTE(INDEX(급여대장_원본!$A$1:$AZ$400,(설정!$B$8+260),설정!$D$18)&amp;"",",",""),"　","")),0))</f>
        <v/>
      </c>
      <c r="H266" s="27">
        <f>IF(설정!$D$19="",0,IFERROR(VALUE(SUBSTITUTE(SUBSTITUTE(INDEX(급여대장_원본!$A$1:$AZ$400,(설정!$B$8+260),설정!$D$19)&amp;"",",",""),"　","")),0))</f>
        <v/>
      </c>
      <c r="I266" s="27">
        <f>IF(설정!$D$20="",0,IFERROR(VALUE(SUBSTITUTE(SUBSTITUTE(INDEX(급여대장_원본!$A$1:$AZ$400,(설정!$B$8+260),설정!$D$20)&amp;"",",",""),"　","")),0))</f>
        <v/>
      </c>
      <c r="J266" s="27">
        <f>IF(설정!$D$21="",0,IFERROR(VALUE(SUBSTITUTE(SUBSTITUTE(INDEX(급여대장_원본!$A$1:$AZ$400,(설정!$B$8+260),설정!$D$21)&amp;"",",",""),"　","")),0))</f>
        <v/>
      </c>
      <c r="K266" s="27">
        <f>IF(설정!$D$22="",0,IFERROR(VALUE(SUBSTITUTE(SUBSTITUTE(INDEX(급여대장_원본!$A$1:$AZ$400,(설정!$B$8+260),설정!$D$22)&amp;"",",",""),"　","")),0))</f>
        <v/>
      </c>
      <c r="L266" s="27">
        <f>IF(설정!$D$23="",0,IFERROR(VALUE(SUBSTITUTE(SUBSTITUTE(INDEX(급여대장_원본!$A$1:$AZ$400,(설정!$B$8+260),설정!$D$23)&amp;"",",",""),"　","")),0))</f>
        <v/>
      </c>
      <c r="M266" s="27">
        <f>IF(설정!$D$24="",0,IFERROR(VALUE(SUBSTITUTE(SUBSTITUTE(INDEX(급여대장_원본!$A$1:$AZ$400,(설정!$B$8+260),설정!$D$24)&amp;"",",",""),"　","")),0))</f>
        <v/>
      </c>
      <c r="N266" s="2">
        <f>IF(OR(설정!$C$17="",IFERROR(MATCH(설정!$C$17,INDEX(급여대장_원본!$A$1:$AZ$400,설정!$B$8,0),0),"")=""),"",IFERROR(VALUE(SUBSTITUTE(INDEX(급여대장_원본!$A$1:$AZ$400,(설정!$B$8+260),IFERROR(MATCH(설정!$C$17,INDEX(급여대장_원본!$A$1:$AZ$400,설정!$B$8,0),0),""))&amp;"",",","")),""))</f>
        <v/>
      </c>
      <c r="O266" s="2">
        <f>IF(OR(설정!$C$18="",IFERROR(MATCH(설정!$C$18,INDEX(급여대장_원본!$A$1:$AZ$400,설정!$B$8,0),0),"")=""),"",IFERROR(VALUE(SUBSTITUTE(INDEX(급여대장_원본!$A$1:$AZ$400,(설정!$B$8+260),IFERROR(MATCH(설정!$C$18,INDEX(급여대장_원본!$A$1:$AZ$400,설정!$B$8,0),0),""))&amp;"",",","")),""))</f>
        <v/>
      </c>
      <c r="P266" s="2">
        <f>IF(OR(설정!$C$19="",IFERROR(MATCH(설정!$C$19,INDEX(급여대장_원본!$A$1:$AZ$400,설정!$B$8,0),0),"")=""),"",IFERROR(VALUE(SUBSTITUTE(INDEX(급여대장_원본!$A$1:$AZ$400,(설정!$B$8+260),IFERROR(MATCH(설정!$C$19,INDEX(급여대장_원본!$A$1:$AZ$400,설정!$B$8,0),0),""))&amp;"",",","")),""))</f>
        <v/>
      </c>
      <c r="Q266" s="2">
        <f>IF(OR(설정!$C$20="",IFERROR(MATCH(설정!$C$20,INDEX(급여대장_원본!$A$1:$AZ$400,설정!$B$8,0),0),"")=""),"",IFERROR(VALUE(SUBSTITUTE(INDEX(급여대장_원본!$A$1:$AZ$400,(설정!$B$8+260),IFERROR(MATCH(설정!$C$20,INDEX(급여대장_원본!$A$1:$AZ$400,설정!$B$8,0),0),""))&amp;"",",","")),""))</f>
        <v/>
      </c>
      <c r="R266" s="2">
        <f>IF(OR(설정!$C$21="",IFERROR(MATCH(설정!$C$21,INDEX(급여대장_원본!$A$1:$AZ$400,설정!$B$8,0),0),"")=""),"",IFERROR(VALUE(SUBSTITUTE(INDEX(급여대장_원본!$A$1:$AZ$400,(설정!$B$8+260),IFERROR(MATCH(설정!$C$21,INDEX(급여대장_원본!$A$1:$AZ$400,설정!$B$8,0),0),""))&amp;"",",","")),""))</f>
        <v/>
      </c>
      <c r="S266" s="2">
        <f>IF(OR(설정!$C$22="",IFERROR(MATCH(설정!$C$22,INDEX(급여대장_원본!$A$1:$AZ$400,설정!$B$8,0),0),"")=""),"",IFERROR(VALUE(SUBSTITUTE(INDEX(급여대장_원본!$A$1:$AZ$400,(설정!$B$8+260),IFERROR(MATCH(설정!$C$22,INDEX(급여대장_원본!$A$1:$AZ$400,설정!$B$8,0),0),""))&amp;"",",","")),""))</f>
        <v/>
      </c>
      <c r="T266" s="2">
        <f>IF(OR(설정!$C$23="",IFERROR(MATCH(설정!$C$23,INDEX(급여대장_원본!$A$1:$AZ$400,설정!$B$8,0),0),"")=""),"",IFERROR(VALUE(SUBSTITUTE(INDEX(급여대장_원본!$A$1:$AZ$400,(설정!$B$8+260),IFERROR(MATCH(설정!$C$23,INDEX(급여대장_원본!$A$1:$AZ$400,설정!$B$8,0),0),""))&amp;"",",","")),""))</f>
        <v/>
      </c>
      <c r="U266" s="2">
        <f>IF(OR(설정!$C$24="",IFERROR(MATCH(설정!$C$24,INDEX(급여대장_원본!$A$1:$AZ$400,설정!$B$8,0),0),"")=""),"",IFERROR(VALUE(SUBSTITUTE(INDEX(급여대장_원본!$A$1:$AZ$400,(설정!$B$8+260),IFERROR(MATCH(설정!$C$24,INDEX(급여대장_원본!$A$1:$AZ$400,설정!$B$8,0),0),""))&amp;"",",","")),""))</f>
        <v/>
      </c>
      <c r="V266" s="27">
        <f>SUM(F266:M266)</f>
        <v/>
      </c>
      <c r="W266" s="27">
        <f>IF(설정!$D$26="",0,IFERROR(VALUE(SUBSTITUTE(SUBSTITUTE(INDEX(급여대장_원본!$A$1:$AZ$400,(설정!$B$8+260),설정!$D$26)&amp;"",",",""),"　","")),0))</f>
        <v/>
      </c>
      <c r="X266" s="27">
        <f>IF(설정!$D$27="",0,IFERROR(VALUE(SUBSTITUTE(SUBSTITUTE(INDEX(급여대장_원본!$A$1:$AZ$400,(설정!$B$8+260),설정!$D$27)&amp;"",",",""),"　","")),0))</f>
        <v/>
      </c>
      <c r="Y266" s="27">
        <f>IF(설정!$D$28="",0,IFERROR(VALUE(SUBSTITUTE(SUBSTITUTE(INDEX(급여대장_원본!$A$1:$AZ$400,(설정!$B$8+260),설정!$D$28)&amp;"",",",""),"　","")),0))</f>
        <v/>
      </c>
      <c r="Z266" s="27">
        <f>IF(설정!$D$29="",0,IFERROR(VALUE(SUBSTITUTE(SUBSTITUTE(INDEX(급여대장_원본!$A$1:$AZ$400,(설정!$B$8+260),설정!$D$29)&amp;"",",",""),"　","")),0))</f>
        <v/>
      </c>
      <c r="AA266" s="27">
        <f>IF(설정!$D$30="",0,IFERROR(VALUE(SUBSTITUTE(SUBSTITUTE(INDEX(급여대장_원본!$A$1:$AZ$400,(설정!$B$8+260),설정!$D$30)&amp;"",",",""),"　","")),0))</f>
        <v/>
      </c>
      <c r="AB266" s="27">
        <f>IF(설정!$D$31="",0,IFERROR(VALUE(SUBSTITUTE(SUBSTITUTE(INDEX(급여대장_원본!$A$1:$AZ$400,(설정!$B$8+260),설정!$D$31)&amp;"",",",""),"　","")),0))</f>
        <v/>
      </c>
      <c r="AC266" s="27">
        <f>IF(설정!$D$32="",0,IFERROR(VALUE(SUBSTITUTE(SUBSTITUTE(INDEX(급여대장_원본!$A$1:$AZ$400,(설정!$B$8+260),설정!$D$32)&amp;"",",",""),"　","")),0))</f>
        <v/>
      </c>
      <c r="AD266" s="27">
        <f>IF(설정!$D$33="",0,IFERROR(VALUE(SUBSTITUTE(SUBSTITUTE(INDEX(급여대장_원본!$A$1:$AZ$400,(설정!$B$8+260),설정!$D$33)&amp;"",",",""),"　","")),0))</f>
        <v/>
      </c>
      <c r="AE266" s="27">
        <f>SUM(W266:AD266)</f>
        <v/>
      </c>
      <c r="AF266" s="27">
        <f>V266-AE266</f>
        <v/>
      </c>
      <c r="AG266" s="27">
        <f>IF(설정!$D$35="","",IF(설정!$D$35="",0,IFERROR(VALUE(SUBSTITUTE(SUBSTITUTE(INDEX(급여대장_원본!$A$1:$AZ$400,(설정!$B$8+260),설정!$D$35)&amp;"",",",""),"　","")),0)))</f>
        <v/>
      </c>
      <c r="AH266" s="27">
        <f>IF(설정!$D$36="","",IF(설정!$D$36="",0,IFERROR(VALUE(SUBSTITUTE(SUBSTITUTE(INDEX(급여대장_원본!$A$1:$AZ$400,(설정!$B$8+260),설정!$D$36)&amp;"",",",""),"　","")),0)))</f>
        <v/>
      </c>
      <c r="AI266" s="27">
        <f>IF(설정!$D$37="","",IF(설정!$D$37="",0,IFERROR(VALUE(SUBSTITUTE(SUBSTITUTE(INDEX(급여대장_원본!$A$1:$AZ$400,(설정!$B$8+260),설정!$D$37)&amp;"",",",""),"　","")),0)))</f>
        <v/>
      </c>
      <c r="AJ266" s="2">
        <f>IFERROR(INDEX($D$7:$D$306,MATCH(260,$B$7:$B$306,0)),"")</f>
        <v/>
      </c>
    </row>
    <row r="267">
      <c r="A267" s="2">
        <f>IF(AND(D267&lt;&gt;"",D267&lt;&gt;"합계",D267&lt;&gt;"총계",D267&lt;&gt;"소계",D267&lt;&gt;"계"),1,0)</f>
        <v/>
      </c>
      <c r="B267" s="2">
        <f>IF(A267=1,SUM($A$7:A267),"")</f>
        <v/>
      </c>
      <c r="C267" s="2">
        <f>IF(설정!$D$13="","",TRIM(SUBSTITUTE(INDEX(급여대장_원본!$A$1:$AZ$400,(설정!$B$8+261),설정!$D$13)&amp;"","　"," ")))</f>
        <v/>
      </c>
      <c r="D267" s="2">
        <f>IF(설정!$D$14="","",TRIM(SUBSTITUTE(INDEX(급여대장_원본!$A$1:$AZ$400,(설정!$B$8+261),설정!$D$14)&amp;"","　"," ")))</f>
        <v/>
      </c>
      <c r="E267" s="2">
        <f>IF(설정!$D$15="","",TRIM(SUBSTITUTE(INDEX(급여대장_원본!$A$1:$AZ$400,(설정!$B$8+261),설정!$D$15)&amp;"","　"," ")))</f>
        <v/>
      </c>
      <c r="F267" s="27">
        <f>IF(설정!$D$17="",0,IFERROR(VALUE(SUBSTITUTE(SUBSTITUTE(INDEX(급여대장_원본!$A$1:$AZ$400,(설정!$B$8+261),설정!$D$17)&amp;"",",",""),"　","")),0))</f>
        <v/>
      </c>
      <c r="G267" s="27">
        <f>IF(설정!$D$18="",0,IFERROR(VALUE(SUBSTITUTE(SUBSTITUTE(INDEX(급여대장_원본!$A$1:$AZ$400,(설정!$B$8+261),설정!$D$18)&amp;"",",",""),"　","")),0))</f>
        <v/>
      </c>
      <c r="H267" s="27">
        <f>IF(설정!$D$19="",0,IFERROR(VALUE(SUBSTITUTE(SUBSTITUTE(INDEX(급여대장_원본!$A$1:$AZ$400,(설정!$B$8+261),설정!$D$19)&amp;"",",",""),"　","")),0))</f>
        <v/>
      </c>
      <c r="I267" s="27">
        <f>IF(설정!$D$20="",0,IFERROR(VALUE(SUBSTITUTE(SUBSTITUTE(INDEX(급여대장_원본!$A$1:$AZ$400,(설정!$B$8+261),설정!$D$20)&amp;"",",",""),"　","")),0))</f>
        <v/>
      </c>
      <c r="J267" s="27">
        <f>IF(설정!$D$21="",0,IFERROR(VALUE(SUBSTITUTE(SUBSTITUTE(INDEX(급여대장_원본!$A$1:$AZ$400,(설정!$B$8+261),설정!$D$21)&amp;"",",",""),"　","")),0))</f>
        <v/>
      </c>
      <c r="K267" s="27">
        <f>IF(설정!$D$22="",0,IFERROR(VALUE(SUBSTITUTE(SUBSTITUTE(INDEX(급여대장_원본!$A$1:$AZ$400,(설정!$B$8+261),설정!$D$22)&amp;"",",",""),"　","")),0))</f>
        <v/>
      </c>
      <c r="L267" s="27">
        <f>IF(설정!$D$23="",0,IFERROR(VALUE(SUBSTITUTE(SUBSTITUTE(INDEX(급여대장_원본!$A$1:$AZ$400,(설정!$B$8+261),설정!$D$23)&amp;"",",",""),"　","")),0))</f>
        <v/>
      </c>
      <c r="M267" s="27">
        <f>IF(설정!$D$24="",0,IFERROR(VALUE(SUBSTITUTE(SUBSTITUTE(INDEX(급여대장_원본!$A$1:$AZ$400,(설정!$B$8+261),설정!$D$24)&amp;"",",",""),"　","")),0))</f>
        <v/>
      </c>
      <c r="N267" s="2">
        <f>IF(OR(설정!$C$17="",IFERROR(MATCH(설정!$C$17,INDEX(급여대장_원본!$A$1:$AZ$400,설정!$B$8,0),0),"")=""),"",IFERROR(VALUE(SUBSTITUTE(INDEX(급여대장_원본!$A$1:$AZ$400,(설정!$B$8+261),IFERROR(MATCH(설정!$C$17,INDEX(급여대장_원본!$A$1:$AZ$400,설정!$B$8,0),0),""))&amp;"",",","")),""))</f>
        <v/>
      </c>
      <c r="O267" s="2">
        <f>IF(OR(설정!$C$18="",IFERROR(MATCH(설정!$C$18,INDEX(급여대장_원본!$A$1:$AZ$400,설정!$B$8,0),0),"")=""),"",IFERROR(VALUE(SUBSTITUTE(INDEX(급여대장_원본!$A$1:$AZ$400,(설정!$B$8+261),IFERROR(MATCH(설정!$C$18,INDEX(급여대장_원본!$A$1:$AZ$400,설정!$B$8,0),0),""))&amp;"",",","")),""))</f>
        <v/>
      </c>
      <c r="P267" s="2">
        <f>IF(OR(설정!$C$19="",IFERROR(MATCH(설정!$C$19,INDEX(급여대장_원본!$A$1:$AZ$400,설정!$B$8,0),0),"")=""),"",IFERROR(VALUE(SUBSTITUTE(INDEX(급여대장_원본!$A$1:$AZ$400,(설정!$B$8+261),IFERROR(MATCH(설정!$C$19,INDEX(급여대장_원본!$A$1:$AZ$400,설정!$B$8,0),0),""))&amp;"",",","")),""))</f>
        <v/>
      </c>
      <c r="Q267" s="2">
        <f>IF(OR(설정!$C$20="",IFERROR(MATCH(설정!$C$20,INDEX(급여대장_원본!$A$1:$AZ$400,설정!$B$8,0),0),"")=""),"",IFERROR(VALUE(SUBSTITUTE(INDEX(급여대장_원본!$A$1:$AZ$400,(설정!$B$8+261),IFERROR(MATCH(설정!$C$20,INDEX(급여대장_원본!$A$1:$AZ$400,설정!$B$8,0),0),""))&amp;"",",","")),""))</f>
        <v/>
      </c>
      <c r="R267" s="2">
        <f>IF(OR(설정!$C$21="",IFERROR(MATCH(설정!$C$21,INDEX(급여대장_원본!$A$1:$AZ$400,설정!$B$8,0),0),"")=""),"",IFERROR(VALUE(SUBSTITUTE(INDEX(급여대장_원본!$A$1:$AZ$400,(설정!$B$8+261),IFERROR(MATCH(설정!$C$21,INDEX(급여대장_원본!$A$1:$AZ$400,설정!$B$8,0),0),""))&amp;"",",","")),""))</f>
        <v/>
      </c>
      <c r="S267" s="2">
        <f>IF(OR(설정!$C$22="",IFERROR(MATCH(설정!$C$22,INDEX(급여대장_원본!$A$1:$AZ$400,설정!$B$8,0),0),"")=""),"",IFERROR(VALUE(SUBSTITUTE(INDEX(급여대장_원본!$A$1:$AZ$400,(설정!$B$8+261),IFERROR(MATCH(설정!$C$22,INDEX(급여대장_원본!$A$1:$AZ$400,설정!$B$8,0),0),""))&amp;"",",","")),""))</f>
        <v/>
      </c>
      <c r="T267" s="2">
        <f>IF(OR(설정!$C$23="",IFERROR(MATCH(설정!$C$23,INDEX(급여대장_원본!$A$1:$AZ$400,설정!$B$8,0),0),"")=""),"",IFERROR(VALUE(SUBSTITUTE(INDEX(급여대장_원본!$A$1:$AZ$400,(설정!$B$8+261),IFERROR(MATCH(설정!$C$23,INDEX(급여대장_원본!$A$1:$AZ$400,설정!$B$8,0),0),""))&amp;"",",","")),""))</f>
        <v/>
      </c>
      <c r="U267" s="2">
        <f>IF(OR(설정!$C$24="",IFERROR(MATCH(설정!$C$24,INDEX(급여대장_원본!$A$1:$AZ$400,설정!$B$8,0),0),"")=""),"",IFERROR(VALUE(SUBSTITUTE(INDEX(급여대장_원본!$A$1:$AZ$400,(설정!$B$8+261),IFERROR(MATCH(설정!$C$24,INDEX(급여대장_원본!$A$1:$AZ$400,설정!$B$8,0),0),""))&amp;"",",","")),""))</f>
        <v/>
      </c>
      <c r="V267" s="27">
        <f>SUM(F267:M267)</f>
        <v/>
      </c>
      <c r="W267" s="27">
        <f>IF(설정!$D$26="",0,IFERROR(VALUE(SUBSTITUTE(SUBSTITUTE(INDEX(급여대장_원본!$A$1:$AZ$400,(설정!$B$8+261),설정!$D$26)&amp;"",",",""),"　","")),0))</f>
        <v/>
      </c>
      <c r="X267" s="27">
        <f>IF(설정!$D$27="",0,IFERROR(VALUE(SUBSTITUTE(SUBSTITUTE(INDEX(급여대장_원본!$A$1:$AZ$400,(설정!$B$8+261),설정!$D$27)&amp;"",",",""),"　","")),0))</f>
        <v/>
      </c>
      <c r="Y267" s="27">
        <f>IF(설정!$D$28="",0,IFERROR(VALUE(SUBSTITUTE(SUBSTITUTE(INDEX(급여대장_원본!$A$1:$AZ$400,(설정!$B$8+261),설정!$D$28)&amp;"",",",""),"　","")),0))</f>
        <v/>
      </c>
      <c r="Z267" s="27">
        <f>IF(설정!$D$29="",0,IFERROR(VALUE(SUBSTITUTE(SUBSTITUTE(INDEX(급여대장_원본!$A$1:$AZ$400,(설정!$B$8+261),설정!$D$29)&amp;"",",",""),"　","")),0))</f>
        <v/>
      </c>
      <c r="AA267" s="27">
        <f>IF(설정!$D$30="",0,IFERROR(VALUE(SUBSTITUTE(SUBSTITUTE(INDEX(급여대장_원본!$A$1:$AZ$400,(설정!$B$8+261),설정!$D$30)&amp;"",",",""),"　","")),0))</f>
        <v/>
      </c>
      <c r="AB267" s="27">
        <f>IF(설정!$D$31="",0,IFERROR(VALUE(SUBSTITUTE(SUBSTITUTE(INDEX(급여대장_원본!$A$1:$AZ$400,(설정!$B$8+261),설정!$D$31)&amp;"",",",""),"　","")),0))</f>
        <v/>
      </c>
      <c r="AC267" s="27">
        <f>IF(설정!$D$32="",0,IFERROR(VALUE(SUBSTITUTE(SUBSTITUTE(INDEX(급여대장_원본!$A$1:$AZ$400,(설정!$B$8+261),설정!$D$32)&amp;"",",",""),"　","")),0))</f>
        <v/>
      </c>
      <c r="AD267" s="27">
        <f>IF(설정!$D$33="",0,IFERROR(VALUE(SUBSTITUTE(SUBSTITUTE(INDEX(급여대장_원본!$A$1:$AZ$400,(설정!$B$8+261),설정!$D$33)&amp;"",",",""),"　","")),0))</f>
        <v/>
      </c>
      <c r="AE267" s="27">
        <f>SUM(W267:AD267)</f>
        <v/>
      </c>
      <c r="AF267" s="27">
        <f>V267-AE267</f>
        <v/>
      </c>
      <c r="AG267" s="27">
        <f>IF(설정!$D$35="","",IF(설정!$D$35="",0,IFERROR(VALUE(SUBSTITUTE(SUBSTITUTE(INDEX(급여대장_원본!$A$1:$AZ$400,(설정!$B$8+261),설정!$D$35)&amp;"",",",""),"　","")),0)))</f>
        <v/>
      </c>
      <c r="AH267" s="27">
        <f>IF(설정!$D$36="","",IF(설정!$D$36="",0,IFERROR(VALUE(SUBSTITUTE(SUBSTITUTE(INDEX(급여대장_원본!$A$1:$AZ$400,(설정!$B$8+261),설정!$D$36)&amp;"",",",""),"　","")),0)))</f>
        <v/>
      </c>
      <c r="AI267" s="27">
        <f>IF(설정!$D$37="","",IF(설정!$D$37="",0,IFERROR(VALUE(SUBSTITUTE(SUBSTITUTE(INDEX(급여대장_원본!$A$1:$AZ$400,(설정!$B$8+261),설정!$D$37)&amp;"",",",""),"　","")),0)))</f>
        <v/>
      </c>
      <c r="AJ267" s="2">
        <f>IFERROR(INDEX($D$7:$D$306,MATCH(261,$B$7:$B$306,0)),"")</f>
        <v/>
      </c>
    </row>
    <row r="268">
      <c r="A268" s="2">
        <f>IF(AND(D268&lt;&gt;"",D268&lt;&gt;"합계",D268&lt;&gt;"총계",D268&lt;&gt;"소계",D268&lt;&gt;"계"),1,0)</f>
        <v/>
      </c>
      <c r="B268" s="2">
        <f>IF(A268=1,SUM($A$7:A268),"")</f>
        <v/>
      </c>
      <c r="C268" s="2">
        <f>IF(설정!$D$13="","",TRIM(SUBSTITUTE(INDEX(급여대장_원본!$A$1:$AZ$400,(설정!$B$8+262),설정!$D$13)&amp;"","　"," ")))</f>
        <v/>
      </c>
      <c r="D268" s="2">
        <f>IF(설정!$D$14="","",TRIM(SUBSTITUTE(INDEX(급여대장_원본!$A$1:$AZ$400,(설정!$B$8+262),설정!$D$14)&amp;"","　"," ")))</f>
        <v/>
      </c>
      <c r="E268" s="2">
        <f>IF(설정!$D$15="","",TRIM(SUBSTITUTE(INDEX(급여대장_원본!$A$1:$AZ$400,(설정!$B$8+262),설정!$D$15)&amp;"","　"," ")))</f>
        <v/>
      </c>
      <c r="F268" s="27">
        <f>IF(설정!$D$17="",0,IFERROR(VALUE(SUBSTITUTE(SUBSTITUTE(INDEX(급여대장_원본!$A$1:$AZ$400,(설정!$B$8+262),설정!$D$17)&amp;"",",",""),"　","")),0))</f>
        <v/>
      </c>
      <c r="G268" s="27">
        <f>IF(설정!$D$18="",0,IFERROR(VALUE(SUBSTITUTE(SUBSTITUTE(INDEX(급여대장_원본!$A$1:$AZ$400,(설정!$B$8+262),설정!$D$18)&amp;"",",",""),"　","")),0))</f>
        <v/>
      </c>
      <c r="H268" s="27">
        <f>IF(설정!$D$19="",0,IFERROR(VALUE(SUBSTITUTE(SUBSTITUTE(INDEX(급여대장_원본!$A$1:$AZ$400,(설정!$B$8+262),설정!$D$19)&amp;"",",",""),"　","")),0))</f>
        <v/>
      </c>
      <c r="I268" s="27">
        <f>IF(설정!$D$20="",0,IFERROR(VALUE(SUBSTITUTE(SUBSTITUTE(INDEX(급여대장_원본!$A$1:$AZ$400,(설정!$B$8+262),설정!$D$20)&amp;"",",",""),"　","")),0))</f>
        <v/>
      </c>
      <c r="J268" s="27">
        <f>IF(설정!$D$21="",0,IFERROR(VALUE(SUBSTITUTE(SUBSTITUTE(INDEX(급여대장_원본!$A$1:$AZ$400,(설정!$B$8+262),설정!$D$21)&amp;"",",",""),"　","")),0))</f>
        <v/>
      </c>
      <c r="K268" s="27">
        <f>IF(설정!$D$22="",0,IFERROR(VALUE(SUBSTITUTE(SUBSTITUTE(INDEX(급여대장_원본!$A$1:$AZ$400,(설정!$B$8+262),설정!$D$22)&amp;"",",",""),"　","")),0))</f>
        <v/>
      </c>
      <c r="L268" s="27">
        <f>IF(설정!$D$23="",0,IFERROR(VALUE(SUBSTITUTE(SUBSTITUTE(INDEX(급여대장_원본!$A$1:$AZ$400,(설정!$B$8+262),설정!$D$23)&amp;"",",",""),"　","")),0))</f>
        <v/>
      </c>
      <c r="M268" s="27">
        <f>IF(설정!$D$24="",0,IFERROR(VALUE(SUBSTITUTE(SUBSTITUTE(INDEX(급여대장_원본!$A$1:$AZ$400,(설정!$B$8+262),설정!$D$24)&amp;"",",",""),"　","")),0))</f>
        <v/>
      </c>
      <c r="N268" s="2">
        <f>IF(OR(설정!$C$17="",IFERROR(MATCH(설정!$C$17,INDEX(급여대장_원본!$A$1:$AZ$400,설정!$B$8,0),0),"")=""),"",IFERROR(VALUE(SUBSTITUTE(INDEX(급여대장_원본!$A$1:$AZ$400,(설정!$B$8+262),IFERROR(MATCH(설정!$C$17,INDEX(급여대장_원본!$A$1:$AZ$400,설정!$B$8,0),0),""))&amp;"",",","")),""))</f>
        <v/>
      </c>
      <c r="O268" s="2">
        <f>IF(OR(설정!$C$18="",IFERROR(MATCH(설정!$C$18,INDEX(급여대장_원본!$A$1:$AZ$400,설정!$B$8,0),0),"")=""),"",IFERROR(VALUE(SUBSTITUTE(INDEX(급여대장_원본!$A$1:$AZ$400,(설정!$B$8+262),IFERROR(MATCH(설정!$C$18,INDEX(급여대장_원본!$A$1:$AZ$400,설정!$B$8,0),0),""))&amp;"",",","")),""))</f>
        <v/>
      </c>
      <c r="P268" s="2">
        <f>IF(OR(설정!$C$19="",IFERROR(MATCH(설정!$C$19,INDEX(급여대장_원본!$A$1:$AZ$400,설정!$B$8,0),0),"")=""),"",IFERROR(VALUE(SUBSTITUTE(INDEX(급여대장_원본!$A$1:$AZ$400,(설정!$B$8+262),IFERROR(MATCH(설정!$C$19,INDEX(급여대장_원본!$A$1:$AZ$400,설정!$B$8,0),0),""))&amp;"",",","")),""))</f>
        <v/>
      </c>
      <c r="Q268" s="2">
        <f>IF(OR(설정!$C$20="",IFERROR(MATCH(설정!$C$20,INDEX(급여대장_원본!$A$1:$AZ$400,설정!$B$8,0),0),"")=""),"",IFERROR(VALUE(SUBSTITUTE(INDEX(급여대장_원본!$A$1:$AZ$400,(설정!$B$8+262),IFERROR(MATCH(설정!$C$20,INDEX(급여대장_원본!$A$1:$AZ$400,설정!$B$8,0),0),""))&amp;"",",","")),""))</f>
        <v/>
      </c>
      <c r="R268" s="2">
        <f>IF(OR(설정!$C$21="",IFERROR(MATCH(설정!$C$21,INDEX(급여대장_원본!$A$1:$AZ$400,설정!$B$8,0),0),"")=""),"",IFERROR(VALUE(SUBSTITUTE(INDEX(급여대장_원본!$A$1:$AZ$400,(설정!$B$8+262),IFERROR(MATCH(설정!$C$21,INDEX(급여대장_원본!$A$1:$AZ$400,설정!$B$8,0),0),""))&amp;"",",","")),""))</f>
        <v/>
      </c>
      <c r="S268" s="2">
        <f>IF(OR(설정!$C$22="",IFERROR(MATCH(설정!$C$22,INDEX(급여대장_원본!$A$1:$AZ$400,설정!$B$8,0),0),"")=""),"",IFERROR(VALUE(SUBSTITUTE(INDEX(급여대장_원본!$A$1:$AZ$400,(설정!$B$8+262),IFERROR(MATCH(설정!$C$22,INDEX(급여대장_원본!$A$1:$AZ$400,설정!$B$8,0),0),""))&amp;"",",","")),""))</f>
        <v/>
      </c>
      <c r="T268" s="2">
        <f>IF(OR(설정!$C$23="",IFERROR(MATCH(설정!$C$23,INDEX(급여대장_원본!$A$1:$AZ$400,설정!$B$8,0),0),"")=""),"",IFERROR(VALUE(SUBSTITUTE(INDEX(급여대장_원본!$A$1:$AZ$400,(설정!$B$8+262),IFERROR(MATCH(설정!$C$23,INDEX(급여대장_원본!$A$1:$AZ$400,설정!$B$8,0),0),""))&amp;"",",","")),""))</f>
        <v/>
      </c>
      <c r="U268" s="2">
        <f>IF(OR(설정!$C$24="",IFERROR(MATCH(설정!$C$24,INDEX(급여대장_원본!$A$1:$AZ$400,설정!$B$8,0),0),"")=""),"",IFERROR(VALUE(SUBSTITUTE(INDEX(급여대장_원본!$A$1:$AZ$400,(설정!$B$8+262),IFERROR(MATCH(설정!$C$24,INDEX(급여대장_원본!$A$1:$AZ$400,설정!$B$8,0),0),""))&amp;"",",","")),""))</f>
        <v/>
      </c>
      <c r="V268" s="27">
        <f>SUM(F268:M268)</f>
        <v/>
      </c>
      <c r="W268" s="27">
        <f>IF(설정!$D$26="",0,IFERROR(VALUE(SUBSTITUTE(SUBSTITUTE(INDEX(급여대장_원본!$A$1:$AZ$400,(설정!$B$8+262),설정!$D$26)&amp;"",",",""),"　","")),0))</f>
        <v/>
      </c>
      <c r="X268" s="27">
        <f>IF(설정!$D$27="",0,IFERROR(VALUE(SUBSTITUTE(SUBSTITUTE(INDEX(급여대장_원본!$A$1:$AZ$400,(설정!$B$8+262),설정!$D$27)&amp;"",",",""),"　","")),0))</f>
        <v/>
      </c>
      <c r="Y268" s="27">
        <f>IF(설정!$D$28="",0,IFERROR(VALUE(SUBSTITUTE(SUBSTITUTE(INDEX(급여대장_원본!$A$1:$AZ$400,(설정!$B$8+262),설정!$D$28)&amp;"",",",""),"　","")),0))</f>
        <v/>
      </c>
      <c r="Z268" s="27">
        <f>IF(설정!$D$29="",0,IFERROR(VALUE(SUBSTITUTE(SUBSTITUTE(INDEX(급여대장_원본!$A$1:$AZ$400,(설정!$B$8+262),설정!$D$29)&amp;"",",",""),"　","")),0))</f>
        <v/>
      </c>
      <c r="AA268" s="27">
        <f>IF(설정!$D$30="",0,IFERROR(VALUE(SUBSTITUTE(SUBSTITUTE(INDEX(급여대장_원본!$A$1:$AZ$400,(설정!$B$8+262),설정!$D$30)&amp;"",",",""),"　","")),0))</f>
        <v/>
      </c>
      <c r="AB268" s="27">
        <f>IF(설정!$D$31="",0,IFERROR(VALUE(SUBSTITUTE(SUBSTITUTE(INDEX(급여대장_원본!$A$1:$AZ$400,(설정!$B$8+262),설정!$D$31)&amp;"",",",""),"　","")),0))</f>
        <v/>
      </c>
      <c r="AC268" s="27">
        <f>IF(설정!$D$32="",0,IFERROR(VALUE(SUBSTITUTE(SUBSTITUTE(INDEX(급여대장_원본!$A$1:$AZ$400,(설정!$B$8+262),설정!$D$32)&amp;"",",",""),"　","")),0))</f>
        <v/>
      </c>
      <c r="AD268" s="27">
        <f>IF(설정!$D$33="",0,IFERROR(VALUE(SUBSTITUTE(SUBSTITUTE(INDEX(급여대장_원본!$A$1:$AZ$400,(설정!$B$8+262),설정!$D$33)&amp;"",",",""),"　","")),0))</f>
        <v/>
      </c>
      <c r="AE268" s="27">
        <f>SUM(W268:AD268)</f>
        <v/>
      </c>
      <c r="AF268" s="27">
        <f>V268-AE268</f>
        <v/>
      </c>
      <c r="AG268" s="27">
        <f>IF(설정!$D$35="","",IF(설정!$D$35="",0,IFERROR(VALUE(SUBSTITUTE(SUBSTITUTE(INDEX(급여대장_원본!$A$1:$AZ$400,(설정!$B$8+262),설정!$D$35)&amp;"",",",""),"　","")),0)))</f>
        <v/>
      </c>
      <c r="AH268" s="27">
        <f>IF(설정!$D$36="","",IF(설정!$D$36="",0,IFERROR(VALUE(SUBSTITUTE(SUBSTITUTE(INDEX(급여대장_원본!$A$1:$AZ$400,(설정!$B$8+262),설정!$D$36)&amp;"",",",""),"　","")),0)))</f>
        <v/>
      </c>
      <c r="AI268" s="27">
        <f>IF(설정!$D$37="","",IF(설정!$D$37="",0,IFERROR(VALUE(SUBSTITUTE(SUBSTITUTE(INDEX(급여대장_원본!$A$1:$AZ$400,(설정!$B$8+262),설정!$D$37)&amp;"",",",""),"　","")),0)))</f>
        <v/>
      </c>
      <c r="AJ268" s="2">
        <f>IFERROR(INDEX($D$7:$D$306,MATCH(262,$B$7:$B$306,0)),"")</f>
        <v/>
      </c>
    </row>
    <row r="269">
      <c r="A269" s="2">
        <f>IF(AND(D269&lt;&gt;"",D269&lt;&gt;"합계",D269&lt;&gt;"총계",D269&lt;&gt;"소계",D269&lt;&gt;"계"),1,0)</f>
        <v/>
      </c>
      <c r="B269" s="2">
        <f>IF(A269=1,SUM($A$7:A269),"")</f>
        <v/>
      </c>
      <c r="C269" s="2">
        <f>IF(설정!$D$13="","",TRIM(SUBSTITUTE(INDEX(급여대장_원본!$A$1:$AZ$400,(설정!$B$8+263),설정!$D$13)&amp;"","　"," ")))</f>
        <v/>
      </c>
      <c r="D269" s="2">
        <f>IF(설정!$D$14="","",TRIM(SUBSTITUTE(INDEX(급여대장_원본!$A$1:$AZ$400,(설정!$B$8+263),설정!$D$14)&amp;"","　"," ")))</f>
        <v/>
      </c>
      <c r="E269" s="2">
        <f>IF(설정!$D$15="","",TRIM(SUBSTITUTE(INDEX(급여대장_원본!$A$1:$AZ$400,(설정!$B$8+263),설정!$D$15)&amp;"","　"," ")))</f>
        <v/>
      </c>
      <c r="F269" s="27">
        <f>IF(설정!$D$17="",0,IFERROR(VALUE(SUBSTITUTE(SUBSTITUTE(INDEX(급여대장_원본!$A$1:$AZ$400,(설정!$B$8+263),설정!$D$17)&amp;"",",",""),"　","")),0))</f>
        <v/>
      </c>
      <c r="G269" s="27">
        <f>IF(설정!$D$18="",0,IFERROR(VALUE(SUBSTITUTE(SUBSTITUTE(INDEX(급여대장_원본!$A$1:$AZ$400,(설정!$B$8+263),설정!$D$18)&amp;"",",",""),"　","")),0))</f>
        <v/>
      </c>
      <c r="H269" s="27">
        <f>IF(설정!$D$19="",0,IFERROR(VALUE(SUBSTITUTE(SUBSTITUTE(INDEX(급여대장_원본!$A$1:$AZ$400,(설정!$B$8+263),설정!$D$19)&amp;"",",",""),"　","")),0))</f>
        <v/>
      </c>
      <c r="I269" s="27">
        <f>IF(설정!$D$20="",0,IFERROR(VALUE(SUBSTITUTE(SUBSTITUTE(INDEX(급여대장_원본!$A$1:$AZ$400,(설정!$B$8+263),설정!$D$20)&amp;"",",",""),"　","")),0))</f>
        <v/>
      </c>
      <c r="J269" s="27">
        <f>IF(설정!$D$21="",0,IFERROR(VALUE(SUBSTITUTE(SUBSTITUTE(INDEX(급여대장_원본!$A$1:$AZ$400,(설정!$B$8+263),설정!$D$21)&amp;"",",",""),"　","")),0))</f>
        <v/>
      </c>
      <c r="K269" s="27">
        <f>IF(설정!$D$22="",0,IFERROR(VALUE(SUBSTITUTE(SUBSTITUTE(INDEX(급여대장_원본!$A$1:$AZ$400,(설정!$B$8+263),설정!$D$22)&amp;"",",",""),"　","")),0))</f>
        <v/>
      </c>
      <c r="L269" s="27">
        <f>IF(설정!$D$23="",0,IFERROR(VALUE(SUBSTITUTE(SUBSTITUTE(INDEX(급여대장_원본!$A$1:$AZ$400,(설정!$B$8+263),설정!$D$23)&amp;"",",",""),"　","")),0))</f>
        <v/>
      </c>
      <c r="M269" s="27">
        <f>IF(설정!$D$24="",0,IFERROR(VALUE(SUBSTITUTE(SUBSTITUTE(INDEX(급여대장_원본!$A$1:$AZ$400,(설정!$B$8+263),설정!$D$24)&amp;"",",",""),"　","")),0))</f>
        <v/>
      </c>
      <c r="N269" s="2">
        <f>IF(OR(설정!$C$17="",IFERROR(MATCH(설정!$C$17,INDEX(급여대장_원본!$A$1:$AZ$400,설정!$B$8,0),0),"")=""),"",IFERROR(VALUE(SUBSTITUTE(INDEX(급여대장_원본!$A$1:$AZ$400,(설정!$B$8+263),IFERROR(MATCH(설정!$C$17,INDEX(급여대장_원본!$A$1:$AZ$400,설정!$B$8,0),0),""))&amp;"",",","")),""))</f>
        <v/>
      </c>
      <c r="O269" s="2">
        <f>IF(OR(설정!$C$18="",IFERROR(MATCH(설정!$C$18,INDEX(급여대장_원본!$A$1:$AZ$400,설정!$B$8,0),0),"")=""),"",IFERROR(VALUE(SUBSTITUTE(INDEX(급여대장_원본!$A$1:$AZ$400,(설정!$B$8+263),IFERROR(MATCH(설정!$C$18,INDEX(급여대장_원본!$A$1:$AZ$400,설정!$B$8,0),0),""))&amp;"",",","")),""))</f>
        <v/>
      </c>
      <c r="P269" s="2">
        <f>IF(OR(설정!$C$19="",IFERROR(MATCH(설정!$C$19,INDEX(급여대장_원본!$A$1:$AZ$400,설정!$B$8,0),0),"")=""),"",IFERROR(VALUE(SUBSTITUTE(INDEX(급여대장_원본!$A$1:$AZ$400,(설정!$B$8+263),IFERROR(MATCH(설정!$C$19,INDEX(급여대장_원본!$A$1:$AZ$400,설정!$B$8,0),0),""))&amp;"",",","")),""))</f>
        <v/>
      </c>
      <c r="Q269" s="2">
        <f>IF(OR(설정!$C$20="",IFERROR(MATCH(설정!$C$20,INDEX(급여대장_원본!$A$1:$AZ$400,설정!$B$8,0),0),"")=""),"",IFERROR(VALUE(SUBSTITUTE(INDEX(급여대장_원본!$A$1:$AZ$400,(설정!$B$8+263),IFERROR(MATCH(설정!$C$20,INDEX(급여대장_원본!$A$1:$AZ$400,설정!$B$8,0),0),""))&amp;"",",","")),""))</f>
        <v/>
      </c>
      <c r="R269" s="2">
        <f>IF(OR(설정!$C$21="",IFERROR(MATCH(설정!$C$21,INDEX(급여대장_원본!$A$1:$AZ$400,설정!$B$8,0),0),"")=""),"",IFERROR(VALUE(SUBSTITUTE(INDEX(급여대장_원본!$A$1:$AZ$400,(설정!$B$8+263),IFERROR(MATCH(설정!$C$21,INDEX(급여대장_원본!$A$1:$AZ$400,설정!$B$8,0),0),""))&amp;"",",","")),""))</f>
        <v/>
      </c>
      <c r="S269" s="2">
        <f>IF(OR(설정!$C$22="",IFERROR(MATCH(설정!$C$22,INDEX(급여대장_원본!$A$1:$AZ$400,설정!$B$8,0),0),"")=""),"",IFERROR(VALUE(SUBSTITUTE(INDEX(급여대장_원본!$A$1:$AZ$400,(설정!$B$8+263),IFERROR(MATCH(설정!$C$22,INDEX(급여대장_원본!$A$1:$AZ$400,설정!$B$8,0),0),""))&amp;"",",","")),""))</f>
        <v/>
      </c>
      <c r="T269" s="2">
        <f>IF(OR(설정!$C$23="",IFERROR(MATCH(설정!$C$23,INDEX(급여대장_원본!$A$1:$AZ$400,설정!$B$8,0),0),"")=""),"",IFERROR(VALUE(SUBSTITUTE(INDEX(급여대장_원본!$A$1:$AZ$400,(설정!$B$8+263),IFERROR(MATCH(설정!$C$23,INDEX(급여대장_원본!$A$1:$AZ$400,설정!$B$8,0),0),""))&amp;"",",","")),""))</f>
        <v/>
      </c>
      <c r="U269" s="2">
        <f>IF(OR(설정!$C$24="",IFERROR(MATCH(설정!$C$24,INDEX(급여대장_원본!$A$1:$AZ$400,설정!$B$8,0),0),"")=""),"",IFERROR(VALUE(SUBSTITUTE(INDEX(급여대장_원본!$A$1:$AZ$400,(설정!$B$8+263),IFERROR(MATCH(설정!$C$24,INDEX(급여대장_원본!$A$1:$AZ$400,설정!$B$8,0),0),""))&amp;"",",","")),""))</f>
        <v/>
      </c>
      <c r="V269" s="27">
        <f>SUM(F269:M269)</f>
        <v/>
      </c>
      <c r="W269" s="27">
        <f>IF(설정!$D$26="",0,IFERROR(VALUE(SUBSTITUTE(SUBSTITUTE(INDEX(급여대장_원본!$A$1:$AZ$400,(설정!$B$8+263),설정!$D$26)&amp;"",",",""),"　","")),0))</f>
        <v/>
      </c>
      <c r="X269" s="27">
        <f>IF(설정!$D$27="",0,IFERROR(VALUE(SUBSTITUTE(SUBSTITUTE(INDEX(급여대장_원본!$A$1:$AZ$400,(설정!$B$8+263),설정!$D$27)&amp;"",",",""),"　","")),0))</f>
        <v/>
      </c>
      <c r="Y269" s="27">
        <f>IF(설정!$D$28="",0,IFERROR(VALUE(SUBSTITUTE(SUBSTITUTE(INDEX(급여대장_원본!$A$1:$AZ$400,(설정!$B$8+263),설정!$D$28)&amp;"",",",""),"　","")),0))</f>
        <v/>
      </c>
      <c r="Z269" s="27">
        <f>IF(설정!$D$29="",0,IFERROR(VALUE(SUBSTITUTE(SUBSTITUTE(INDEX(급여대장_원본!$A$1:$AZ$400,(설정!$B$8+263),설정!$D$29)&amp;"",",",""),"　","")),0))</f>
        <v/>
      </c>
      <c r="AA269" s="27">
        <f>IF(설정!$D$30="",0,IFERROR(VALUE(SUBSTITUTE(SUBSTITUTE(INDEX(급여대장_원본!$A$1:$AZ$400,(설정!$B$8+263),설정!$D$30)&amp;"",",",""),"　","")),0))</f>
        <v/>
      </c>
      <c r="AB269" s="27">
        <f>IF(설정!$D$31="",0,IFERROR(VALUE(SUBSTITUTE(SUBSTITUTE(INDEX(급여대장_원본!$A$1:$AZ$400,(설정!$B$8+263),설정!$D$31)&amp;"",",",""),"　","")),0))</f>
        <v/>
      </c>
      <c r="AC269" s="27">
        <f>IF(설정!$D$32="",0,IFERROR(VALUE(SUBSTITUTE(SUBSTITUTE(INDEX(급여대장_원본!$A$1:$AZ$400,(설정!$B$8+263),설정!$D$32)&amp;"",",",""),"　","")),0))</f>
        <v/>
      </c>
      <c r="AD269" s="27">
        <f>IF(설정!$D$33="",0,IFERROR(VALUE(SUBSTITUTE(SUBSTITUTE(INDEX(급여대장_원본!$A$1:$AZ$400,(설정!$B$8+263),설정!$D$33)&amp;"",",",""),"　","")),0))</f>
        <v/>
      </c>
      <c r="AE269" s="27">
        <f>SUM(W269:AD269)</f>
        <v/>
      </c>
      <c r="AF269" s="27">
        <f>V269-AE269</f>
        <v/>
      </c>
      <c r="AG269" s="27">
        <f>IF(설정!$D$35="","",IF(설정!$D$35="",0,IFERROR(VALUE(SUBSTITUTE(SUBSTITUTE(INDEX(급여대장_원본!$A$1:$AZ$400,(설정!$B$8+263),설정!$D$35)&amp;"",",",""),"　","")),0)))</f>
        <v/>
      </c>
      <c r="AH269" s="27">
        <f>IF(설정!$D$36="","",IF(설정!$D$36="",0,IFERROR(VALUE(SUBSTITUTE(SUBSTITUTE(INDEX(급여대장_원본!$A$1:$AZ$400,(설정!$B$8+263),설정!$D$36)&amp;"",",",""),"　","")),0)))</f>
        <v/>
      </c>
      <c r="AI269" s="27">
        <f>IF(설정!$D$37="","",IF(설정!$D$37="",0,IFERROR(VALUE(SUBSTITUTE(SUBSTITUTE(INDEX(급여대장_원본!$A$1:$AZ$400,(설정!$B$8+263),설정!$D$37)&amp;"",",",""),"　","")),0)))</f>
        <v/>
      </c>
      <c r="AJ269" s="2">
        <f>IFERROR(INDEX($D$7:$D$306,MATCH(263,$B$7:$B$306,0)),"")</f>
        <v/>
      </c>
    </row>
    <row r="270">
      <c r="A270" s="2">
        <f>IF(AND(D270&lt;&gt;"",D270&lt;&gt;"합계",D270&lt;&gt;"총계",D270&lt;&gt;"소계",D270&lt;&gt;"계"),1,0)</f>
        <v/>
      </c>
      <c r="B270" s="2">
        <f>IF(A270=1,SUM($A$7:A270),"")</f>
        <v/>
      </c>
      <c r="C270" s="2">
        <f>IF(설정!$D$13="","",TRIM(SUBSTITUTE(INDEX(급여대장_원본!$A$1:$AZ$400,(설정!$B$8+264),설정!$D$13)&amp;"","　"," ")))</f>
        <v/>
      </c>
      <c r="D270" s="2">
        <f>IF(설정!$D$14="","",TRIM(SUBSTITUTE(INDEX(급여대장_원본!$A$1:$AZ$400,(설정!$B$8+264),설정!$D$14)&amp;"","　"," ")))</f>
        <v/>
      </c>
      <c r="E270" s="2">
        <f>IF(설정!$D$15="","",TRIM(SUBSTITUTE(INDEX(급여대장_원본!$A$1:$AZ$400,(설정!$B$8+264),설정!$D$15)&amp;"","　"," ")))</f>
        <v/>
      </c>
      <c r="F270" s="27">
        <f>IF(설정!$D$17="",0,IFERROR(VALUE(SUBSTITUTE(SUBSTITUTE(INDEX(급여대장_원본!$A$1:$AZ$400,(설정!$B$8+264),설정!$D$17)&amp;"",",",""),"　","")),0))</f>
        <v/>
      </c>
      <c r="G270" s="27">
        <f>IF(설정!$D$18="",0,IFERROR(VALUE(SUBSTITUTE(SUBSTITUTE(INDEX(급여대장_원본!$A$1:$AZ$400,(설정!$B$8+264),설정!$D$18)&amp;"",",",""),"　","")),0))</f>
        <v/>
      </c>
      <c r="H270" s="27">
        <f>IF(설정!$D$19="",0,IFERROR(VALUE(SUBSTITUTE(SUBSTITUTE(INDEX(급여대장_원본!$A$1:$AZ$400,(설정!$B$8+264),설정!$D$19)&amp;"",",",""),"　","")),0))</f>
        <v/>
      </c>
      <c r="I270" s="27">
        <f>IF(설정!$D$20="",0,IFERROR(VALUE(SUBSTITUTE(SUBSTITUTE(INDEX(급여대장_원본!$A$1:$AZ$400,(설정!$B$8+264),설정!$D$20)&amp;"",",",""),"　","")),0))</f>
        <v/>
      </c>
      <c r="J270" s="27">
        <f>IF(설정!$D$21="",0,IFERROR(VALUE(SUBSTITUTE(SUBSTITUTE(INDEX(급여대장_원본!$A$1:$AZ$400,(설정!$B$8+264),설정!$D$21)&amp;"",",",""),"　","")),0))</f>
        <v/>
      </c>
      <c r="K270" s="27">
        <f>IF(설정!$D$22="",0,IFERROR(VALUE(SUBSTITUTE(SUBSTITUTE(INDEX(급여대장_원본!$A$1:$AZ$400,(설정!$B$8+264),설정!$D$22)&amp;"",",",""),"　","")),0))</f>
        <v/>
      </c>
      <c r="L270" s="27">
        <f>IF(설정!$D$23="",0,IFERROR(VALUE(SUBSTITUTE(SUBSTITUTE(INDEX(급여대장_원본!$A$1:$AZ$400,(설정!$B$8+264),설정!$D$23)&amp;"",",",""),"　","")),0))</f>
        <v/>
      </c>
      <c r="M270" s="27">
        <f>IF(설정!$D$24="",0,IFERROR(VALUE(SUBSTITUTE(SUBSTITUTE(INDEX(급여대장_원본!$A$1:$AZ$400,(설정!$B$8+264),설정!$D$24)&amp;"",",",""),"　","")),0))</f>
        <v/>
      </c>
      <c r="N270" s="2">
        <f>IF(OR(설정!$C$17="",IFERROR(MATCH(설정!$C$17,INDEX(급여대장_원본!$A$1:$AZ$400,설정!$B$8,0),0),"")=""),"",IFERROR(VALUE(SUBSTITUTE(INDEX(급여대장_원본!$A$1:$AZ$400,(설정!$B$8+264),IFERROR(MATCH(설정!$C$17,INDEX(급여대장_원본!$A$1:$AZ$400,설정!$B$8,0),0),""))&amp;"",",","")),""))</f>
        <v/>
      </c>
      <c r="O270" s="2">
        <f>IF(OR(설정!$C$18="",IFERROR(MATCH(설정!$C$18,INDEX(급여대장_원본!$A$1:$AZ$400,설정!$B$8,0),0),"")=""),"",IFERROR(VALUE(SUBSTITUTE(INDEX(급여대장_원본!$A$1:$AZ$400,(설정!$B$8+264),IFERROR(MATCH(설정!$C$18,INDEX(급여대장_원본!$A$1:$AZ$400,설정!$B$8,0),0),""))&amp;"",",","")),""))</f>
        <v/>
      </c>
      <c r="P270" s="2">
        <f>IF(OR(설정!$C$19="",IFERROR(MATCH(설정!$C$19,INDEX(급여대장_원본!$A$1:$AZ$400,설정!$B$8,0),0),"")=""),"",IFERROR(VALUE(SUBSTITUTE(INDEX(급여대장_원본!$A$1:$AZ$400,(설정!$B$8+264),IFERROR(MATCH(설정!$C$19,INDEX(급여대장_원본!$A$1:$AZ$400,설정!$B$8,0),0),""))&amp;"",",","")),""))</f>
        <v/>
      </c>
      <c r="Q270" s="2">
        <f>IF(OR(설정!$C$20="",IFERROR(MATCH(설정!$C$20,INDEX(급여대장_원본!$A$1:$AZ$400,설정!$B$8,0),0),"")=""),"",IFERROR(VALUE(SUBSTITUTE(INDEX(급여대장_원본!$A$1:$AZ$400,(설정!$B$8+264),IFERROR(MATCH(설정!$C$20,INDEX(급여대장_원본!$A$1:$AZ$400,설정!$B$8,0),0),""))&amp;"",",","")),""))</f>
        <v/>
      </c>
      <c r="R270" s="2">
        <f>IF(OR(설정!$C$21="",IFERROR(MATCH(설정!$C$21,INDEX(급여대장_원본!$A$1:$AZ$400,설정!$B$8,0),0),"")=""),"",IFERROR(VALUE(SUBSTITUTE(INDEX(급여대장_원본!$A$1:$AZ$400,(설정!$B$8+264),IFERROR(MATCH(설정!$C$21,INDEX(급여대장_원본!$A$1:$AZ$400,설정!$B$8,0),0),""))&amp;"",",","")),""))</f>
        <v/>
      </c>
      <c r="S270" s="2">
        <f>IF(OR(설정!$C$22="",IFERROR(MATCH(설정!$C$22,INDEX(급여대장_원본!$A$1:$AZ$400,설정!$B$8,0),0),"")=""),"",IFERROR(VALUE(SUBSTITUTE(INDEX(급여대장_원본!$A$1:$AZ$400,(설정!$B$8+264),IFERROR(MATCH(설정!$C$22,INDEX(급여대장_원본!$A$1:$AZ$400,설정!$B$8,0),0),""))&amp;"",",","")),""))</f>
        <v/>
      </c>
      <c r="T270" s="2">
        <f>IF(OR(설정!$C$23="",IFERROR(MATCH(설정!$C$23,INDEX(급여대장_원본!$A$1:$AZ$400,설정!$B$8,0),0),"")=""),"",IFERROR(VALUE(SUBSTITUTE(INDEX(급여대장_원본!$A$1:$AZ$400,(설정!$B$8+264),IFERROR(MATCH(설정!$C$23,INDEX(급여대장_원본!$A$1:$AZ$400,설정!$B$8,0),0),""))&amp;"",",","")),""))</f>
        <v/>
      </c>
      <c r="U270" s="2">
        <f>IF(OR(설정!$C$24="",IFERROR(MATCH(설정!$C$24,INDEX(급여대장_원본!$A$1:$AZ$400,설정!$B$8,0),0),"")=""),"",IFERROR(VALUE(SUBSTITUTE(INDEX(급여대장_원본!$A$1:$AZ$400,(설정!$B$8+264),IFERROR(MATCH(설정!$C$24,INDEX(급여대장_원본!$A$1:$AZ$400,설정!$B$8,0),0),""))&amp;"",",","")),""))</f>
        <v/>
      </c>
      <c r="V270" s="27">
        <f>SUM(F270:M270)</f>
        <v/>
      </c>
      <c r="W270" s="27">
        <f>IF(설정!$D$26="",0,IFERROR(VALUE(SUBSTITUTE(SUBSTITUTE(INDEX(급여대장_원본!$A$1:$AZ$400,(설정!$B$8+264),설정!$D$26)&amp;"",",",""),"　","")),0))</f>
        <v/>
      </c>
      <c r="X270" s="27">
        <f>IF(설정!$D$27="",0,IFERROR(VALUE(SUBSTITUTE(SUBSTITUTE(INDEX(급여대장_원본!$A$1:$AZ$400,(설정!$B$8+264),설정!$D$27)&amp;"",",",""),"　","")),0))</f>
        <v/>
      </c>
      <c r="Y270" s="27">
        <f>IF(설정!$D$28="",0,IFERROR(VALUE(SUBSTITUTE(SUBSTITUTE(INDEX(급여대장_원본!$A$1:$AZ$400,(설정!$B$8+264),설정!$D$28)&amp;"",",",""),"　","")),0))</f>
        <v/>
      </c>
      <c r="Z270" s="27">
        <f>IF(설정!$D$29="",0,IFERROR(VALUE(SUBSTITUTE(SUBSTITUTE(INDEX(급여대장_원본!$A$1:$AZ$400,(설정!$B$8+264),설정!$D$29)&amp;"",",",""),"　","")),0))</f>
        <v/>
      </c>
      <c r="AA270" s="27">
        <f>IF(설정!$D$30="",0,IFERROR(VALUE(SUBSTITUTE(SUBSTITUTE(INDEX(급여대장_원본!$A$1:$AZ$400,(설정!$B$8+264),설정!$D$30)&amp;"",",",""),"　","")),0))</f>
        <v/>
      </c>
      <c r="AB270" s="27">
        <f>IF(설정!$D$31="",0,IFERROR(VALUE(SUBSTITUTE(SUBSTITUTE(INDEX(급여대장_원본!$A$1:$AZ$400,(설정!$B$8+264),설정!$D$31)&amp;"",",",""),"　","")),0))</f>
        <v/>
      </c>
      <c r="AC270" s="27">
        <f>IF(설정!$D$32="",0,IFERROR(VALUE(SUBSTITUTE(SUBSTITUTE(INDEX(급여대장_원본!$A$1:$AZ$400,(설정!$B$8+264),설정!$D$32)&amp;"",",",""),"　","")),0))</f>
        <v/>
      </c>
      <c r="AD270" s="27">
        <f>IF(설정!$D$33="",0,IFERROR(VALUE(SUBSTITUTE(SUBSTITUTE(INDEX(급여대장_원본!$A$1:$AZ$400,(설정!$B$8+264),설정!$D$33)&amp;"",",",""),"　","")),0))</f>
        <v/>
      </c>
      <c r="AE270" s="27">
        <f>SUM(W270:AD270)</f>
        <v/>
      </c>
      <c r="AF270" s="27">
        <f>V270-AE270</f>
        <v/>
      </c>
      <c r="AG270" s="27">
        <f>IF(설정!$D$35="","",IF(설정!$D$35="",0,IFERROR(VALUE(SUBSTITUTE(SUBSTITUTE(INDEX(급여대장_원본!$A$1:$AZ$400,(설정!$B$8+264),설정!$D$35)&amp;"",",",""),"　","")),0)))</f>
        <v/>
      </c>
      <c r="AH270" s="27">
        <f>IF(설정!$D$36="","",IF(설정!$D$36="",0,IFERROR(VALUE(SUBSTITUTE(SUBSTITUTE(INDEX(급여대장_원본!$A$1:$AZ$400,(설정!$B$8+264),설정!$D$36)&amp;"",",",""),"　","")),0)))</f>
        <v/>
      </c>
      <c r="AI270" s="27">
        <f>IF(설정!$D$37="","",IF(설정!$D$37="",0,IFERROR(VALUE(SUBSTITUTE(SUBSTITUTE(INDEX(급여대장_원본!$A$1:$AZ$400,(설정!$B$8+264),설정!$D$37)&amp;"",",",""),"　","")),0)))</f>
        <v/>
      </c>
      <c r="AJ270" s="2">
        <f>IFERROR(INDEX($D$7:$D$306,MATCH(264,$B$7:$B$306,0)),"")</f>
        <v/>
      </c>
    </row>
    <row r="271">
      <c r="A271" s="2">
        <f>IF(AND(D271&lt;&gt;"",D271&lt;&gt;"합계",D271&lt;&gt;"총계",D271&lt;&gt;"소계",D271&lt;&gt;"계"),1,0)</f>
        <v/>
      </c>
      <c r="B271" s="2">
        <f>IF(A271=1,SUM($A$7:A271),"")</f>
        <v/>
      </c>
      <c r="C271" s="2">
        <f>IF(설정!$D$13="","",TRIM(SUBSTITUTE(INDEX(급여대장_원본!$A$1:$AZ$400,(설정!$B$8+265),설정!$D$13)&amp;"","　"," ")))</f>
        <v/>
      </c>
      <c r="D271" s="2">
        <f>IF(설정!$D$14="","",TRIM(SUBSTITUTE(INDEX(급여대장_원본!$A$1:$AZ$400,(설정!$B$8+265),설정!$D$14)&amp;"","　"," ")))</f>
        <v/>
      </c>
      <c r="E271" s="2">
        <f>IF(설정!$D$15="","",TRIM(SUBSTITUTE(INDEX(급여대장_원본!$A$1:$AZ$400,(설정!$B$8+265),설정!$D$15)&amp;"","　"," ")))</f>
        <v/>
      </c>
      <c r="F271" s="27">
        <f>IF(설정!$D$17="",0,IFERROR(VALUE(SUBSTITUTE(SUBSTITUTE(INDEX(급여대장_원본!$A$1:$AZ$400,(설정!$B$8+265),설정!$D$17)&amp;"",",",""),"　","")),0))</f>
        <v/>
      </c>
      <c r="G271" s="27">
        <f>IF(설정!$D$18="",0,IFERROR(VALUE(SUBSTITUTE(SUBSTITUTE(INDEX(급여대장_원본!$A$1:$AZ$400,(설정!$B$8+265),설정!$D$18)&amp;"",",",""),"　","")),0))</f>
        <v/>
      </c>
      <c r="H271" s="27">
        <f>IF(설정!$D$19="",0,IFERROR(VALUE(SUBSTITUTE(SUBSTITUTE(INDEX(급여대장_원본!$A$1:$AZ$400,(설정!$B$8+265),설정!$D$19)&amp;"",",",""),"　","")),0))</f>
        <v/>
      </c>
      <c r="I271" s="27">
        <f>IF(설정!$D$20="",0,IFERROR(VALUE(SUBSTITUTE(SUBSTITUTE(INDEX(급여대장_원본!$A$1:$AZ$400,(설정!$B$8+265),설정!$D$20)&amp;"",",",""),"　","")),0))</f>
        <v/>
      </c>
      <c r="J271" s="27">
        <f>IF(설정!$D$21="",0,IFERROR(VALUE(SUBSTITUTE(SUBSTITUTE(INDEX(급여대장_원본!$A$1:$AZ$400,(설정!$B$8+265),설정!$D$21)&amp;"",",",""),"　","")),0))</f>
        <v/>
      </c>
      <c r="K271" s="27">
        <f>IF(설정!$D$22="",0,IFERROR(VALUE(SUBSTITUTE(SUBSTITUTE(INDEX(급여대장_원본!$A$1:$AZ$400,(설정!$B$8+265),설정!$D$22)&amp;"",",",""),"　","")),0))</f>
        <v/>
      </c>
      <c r="L271" s="27">
        <f>IF(설정!$D$23="",0,IFERROR(VALUE(SUBSTITUTE(SUBSTITUTE(INDEX(급여대장_원본!$A$1:$AZ$400,(설정!$B$8+265),설정!$D$23)&amp;"",",",""),"　","")),0))</f>
        <v/>
      </c>
      <c r="M271" s="27">
        <f>IF(설정!$D$24="",0,IFERROR(VALUE(SUBSTITUTE(SUBSTITUTE(INDEX(급여대장_원본!$A$1:$AZ$400,(설정!$B$8+265),설정!$D$24)&amp;"",",",""),"　","")),0))</f>
        <v/>
      </c>
      <c r="N271" s="2">
        <f>IF(OR(설정!$C$17="",IFERROR(MATCH(설정!$C$17,INDEX(급여대장_원본!$A$1:$AZ$400,설정!$B$8,0),0),"")=""),"",IFERROR(VALUE(SUBSTITUTE(INDEX(급여대장_원본!$A$1:$AZ$400,(설정!$B$8+265),IFERROR(MATCH(설정!$C$17,INDEX(급여대장_원본!$A$1:$AZ$400,설정!$B$8,0),0),""))&amp;"",",","")),""))</f>
        <v/>
      </c>
      <c r="O271" s="2">
        <f>IF(OR(설정!$C$18="",IFERROR(MATCH(설정!$C$18,INDEX(급여대장_원본!$A$1:$AZ$400,설정!$B$8,0),0),"")=""),"",IFERROR(VALUE(SUBSTITUTE(INDEX(급여대장_원본!$A$1:$AZ$400,(설정!$B$8+265),IFERROR(MATCH(설정!$C$18,INDEX(급여대장_원본!$A$1:$AZ$400,설정!$B$8,0),0),""))&amp;"",",","")),""))</f>
        <v/>
      </c>
      <c r="P271" s="2">
        <f>IF(OR(설정!$C$19="",IFERROR(MATCH(설정!$C$19,INDEX(급여대장_원본!$A$1:$AZ$400,설정!$B$8,0),0),"")=""),"",IFERROR(VALUE(SUBSTITUTE(INDEX(급여대장_원본!$A$1:$AZ$400,(설정!$B$8+265),IFERROR(MATCH(설정!$C$19,INDEX(급여대장_원본!$A$1:$AZ$400,설정!$B$8,0),0),""))&amp;"",",","")),""))</f>
        <v/>
      </c>
      <c r="Q271" s="2">
        <f>IF(OR(설정!$C$20="",IFERROR(MATCH(설정!$C$20,INDEX(급여대장_원본!$A$1:$AZ$400,설정!$B$8,0),0),"")=""),"",IFERROR(VALUE(SUBSTITUTE(INDEX(급여대장_원본!$A$1:$AZ$400,(설정!$B$8+265),IFERROR(MATCH(설정!$C$20,INDEX(급여대장_원본!$A$1:$AZ$400,설정!$B$8,0),0),""))&amp;"",",","")),""))</f>
        <v/>
      </c>
      <c r="R271" s="2">
        <f>IF(OR(설정!$C$21="",IFERROR(MATCH(설정!$C$21,INDEX(급여대장_원본!$A$1:$AZ$400,설정!$B$8,0),0),"")=""),"",IFERROR(VALUE(SUBSTITUTE(INDEX(급여대장_원본!$A$1:$AZ$400,(설정!$B$8+265),IFERROR(MATCH(설정!$C$21,INDEX(급여대장_원본!$A$1:$AZ$400,설정!$B$8,0),0),""))&amp;"",",","")),""))</f>
        <v/>
      </c>
      <c r="S271" s="2">
        <f>IF(OR(설정!$C$22="",IFERROR(MATCH(설정!$C$22,INDEX(급여대장_원본!$A$1:$AZ$400,설정!$B$8,0),0),"")=""),"",IFERROR(VALUE(SUBSTITUTE(INDEX(급여대장_원본!$A$1:$AZ$400,(설정!$B$8+265),IFERROR(MATCH(설정!$C$22,INDEX(급여대장_원본!$A$1:$AZ$400,설정!$B$8,0),0),""))&amp;"",",","")),""))</f>
        <v/>
      </c>
      <c r="T271" s="2">
        <f>IF(OR(설정!$C$23="",IFERROR(MATCH(설정!$C$23,INDEX(급여대장_원본!$A$1:$AZ$400,설정!$B$8,0),0),"")=""),"",IFERROR(VALUE(SUBSTITUTE(INDEX(급여대장_원본!$A$1:$AZ$400,(설정!$B$8+265),IFERROR(MATCH(설정!$C$23,INDEX(급여대장_원본!$A$1:$AZ$400,설정!$B$8,0),0),""))&amp;"",",","")),""))</f>
        <v/>
      </c>
      <c r="U271" s="2">
        <f>IF(OR(설정!$C$24="",IFERROR(MATCH(설정!$C$24,INDEX(급여대장_원본!$A$1:$AZ$400,설정!$B$8,0),0),"")=""),"",IFERROR(VALUE(SUBSTITUTE(INDEX(급여대장_원본!$A$1:$AZ$400,(설정!$B$8+265),IFERROR(MATCH(설정!$C$24,INDEX(급여대장_원본!$A$1:$AZ$400,설정!$B$8,0),0),""))&amp;"",",","")),""))</f>
        <v/>
      </c>
      <c r="V271" s="27">
        <f>SUM(F271:M271)</f>
        <v/>
      </c>
      <c r="W271" s="27">
        <f>IF(설정!$D$26="",0,IFERROR(VALUE(SUBSTITUTE(SUBSTITUTE(INDEX(급여대장_원본!$A$1:$AZ$400,(설정!$B$8+265),설정!$D$26)&amp;"",",",""),"　","")),0))</f>
        <v/>
      </c>
      <c r="X271" s="27">
        <f>IF(설정!$D$27="",0,IFERROR(VALUE(SUBSTITUTE(SUBSTITUTE(INDEX(급여대장_원본!$A$1:$AZ$400,(설정!$B$8+265),설정!$D$27)&amp;"",",",""),"　","")),0))</f>
        <v/>
      </c>
      <c r="Y271" s="27">
        <f>IF(설정!$D$28="",0,IFERROR(VALUE(SUBSTITUTE(SUBSTITUTE(INDEX(급여대장_원본!$A$1:$AZ$400,(설정!$B$8+265),설정!$D$28)&amp;"",",",""),"　","")),0))</f>
        <v/>
      </c>
      <c r="Z271" s="27">
        <f>IF(설정!$D$29="",0,IFERROR(VALUE(SUBSTITUTE(SUBSTITUTE(INDEX(급여대장_원본!$A$1:$AZ$400,(설정!$B$8+265),설정!$D$29)&amp;"",",",""),"　","")),0))</f>
        <v/>
      </c>
      <c r="AA271" s="27">
        <f>IF(설정!$D$30="",0,IFERROR(VALUE(SUBSTITUTE(SUBSTITUTE(INDEX(급여대장_원본!$A$1:$AZ$400,(설정!$B$8+265),설정!$D$30)&amp;"",",",""),"　","")),0))</f>
        <v/>
      </c>
      <c r="AB271" s="27">
        <f>IF(설정!$D$31="",0,IFERROR(VALUE(SUBSTITUTE(SUBSTITUTE(INDEX(급여대장_원본!$A$1:$AZ$400,(설정!$B$8+265),설정!$D$31)&amp;"",",",""),"　","")),0))</f>
        <v/>
      </c>
      <c r="AC271" s="27">
        <f>IF(설정!$D$32="",0,IFERROR(VALUE(SUBSTITUTE(SUBSTITUTE(INDEX(급여대장_원본!$A$1:$AZ$400,(설정!$B$8+265),설정!$D$32)&amp;"",",",""),"　","")),0))</f>
        <v/>
      </c>
      <c r="AD271" s="27">
        <f>IF(설정!$D$33="",0,IFERROR(VALUE(SUBSTITUTE(SUBSTITUTE(INDEX(급여대장_원본!$A$1:$AZ$400,(설정!$B$8+265),설정!$D$33)&amp;"",",",""),"　","")),0))</f>
        <v/>
      </c>
      <c r="AE271" s="27">
        <f>SUM(W271:AD271)</f>
        <v/>
      </c>
      <c r="AF271" s="27">
        <f>V271-AE271</f>
        <v/>
      </c>
      <c r="AG271" s="27">
        <f>IF(설정!$D$35="","",IF(설정!$D$35="",0,IFERROR(VALUE(SUBSTITUTE(SUBSTITUTE(INDEX(급여대장_원본!$A$1:$AZ$400,(설정!$B$8+265),설정!$D$35)&amp;"",",",""),"　","")),0)))</f>
        <v/>
      </c>
      <c r="AH271" s="27">
        <f>IF(설정!$D$36="","",IF(설정!$D$36="",0,IFERROR(VALUE(SUBSTITUTE(SUBSTITUTE(INDEX(급여대장_원본!$A$1:$AZ$400,(설정!$B$8+265),설정!$D$36)&amp;"",",",""),"　","")),0)))</f>
        <v/>
      </c>
      <c r="AI271" s="27">
        <f>IF(설정!$D$37="","",IF(설정!$D$37="",0,IFERROR(VALUE(SUBSTITUTE(SUBSTITUTE(INDEX(급여대장_원본!$A$1:$AZ$400,(설정!$B$8+265),설정!$D$37)&amp;"",",",""),"　","")),0)))</f>
        <v/>
      </c>
      <c r="AJ271" s="2">
        <f>IFERROR(INDEX($D$7:$D$306,MATCH(265,$B$7:$B$306,0)),"")</f>
        <v/>
      </c>
    </row>
    <row r="272">
      <c r="A272" s="2">
        <f>IF(AND(D272&lt;&gt;"",D272&lt;&gt;"합계",D272&lt;&gt;"총계",D272&lt;&gt;"소계",D272&lt;&gt;"계"),1,0)</f>
        <v/>
      </c>
      <c r="B272" s="2">
        <f>IF(A272=1,SUM($A$7:A272),"")</f>
        <v/>
      </c>
      <c r="C272" s="2">
        <f>IF(설정!$D$13="","",TRIM(SUBSTITUTE(INDEX(급여대장_원본!$A$1:$AZ$400,(설정!$B$8+266),설정!$D$13)&amp;"","　"," ")))</f>
        <v/>
      </c>
      <c r="D272" s="2">
        <f>IF(설정!$D$14="","",TRIM(SUBSTITUTE(INDEX(급여대장_원본!$A$1:$AZ$400,(설정!$B$8+266),설정!$D$14)&amp;"","　"," ")))</f>
        <v/>
      </c>
      <c r="E272" s="2">
        <f>IF(설정!$D$15="","",TRIM(SUBSTITUTE(INDEX(급여대장_원본!$A$1:$AZ$400,(설정!$B$8+266),설정!$D$15)&amp;"","　"," ")))</f>
        <v/>
      </c>
      <c r="F272" s="27">
        <f>IF(설정!$D$17="",0,IFERROR(VALUE(SUBSTITUTE(SUBSTITUTE(INDEX(급여대장_원본!$A$1:$AZ$400,(설정!$B$8+266),설정!$D$17)&amp;"",",",""),"　","")),0))</f>
        <v/>
      </c>
      <c r="G272" s="27">
        <f>IF(설정!$D$18="",0,IFERROR(VALUE(SUBSTITUTE(SUBSTITUTE(INDEX(급여대장_원본!$A$1:$AZ$400,(설정!$B$8+266),설정!$D$18)&amp;"",",",""),"　","")),0))</f>
        <v/>
      </c>
      <c r="H272" s="27">
        <f>IF(설정!$D$19="",0,IFERROR(VALUE(SUBSTITUTE(SUBSTITUTE(INDEX(급여대장_원본!$A$1:$AZ$400,(설정!$B$8+266),설정!$D$19)&amp;"",",",""),"　","")),0))</f>
        <v/>
      </c>
      <c r="I272" s="27">
        <f>IF(설정!$D$20="",0,IFERROR(VALUE(SUBSTITUTE(SUBSTITUTE(INDEX(급여대장_원본!$A$1:$AZ$400,(설정!$B$8+266),설정!$D$20)&amp;"",",",""),"　","")),0))</f>
        <v/>
      </c>
      <c r="J272" s="27">
        <f>IF(설정!$D$21="",0,IFERROR(VALUE(SUBSTITUTE(SUBSTITUTE(INDEX(급여대장_원본!$A$1:$AZ$400,(설정!$B$8+266),설정!$D$21)&amp;"",",",""),"　","")),0))</f>
        <v/>
      </c>
      <c r="K272" s="27">
        <f>IF(설정!$D$22="",0,IFERROR(VALUE(SUBSTITUTE(SUBSTITUTE(INDEX(급여대장_원본!$A$1:$AZ$400,(설정!$B$8+266),설정!$D$22)&amp;"",",",""),"　","")),0))</f>
        <v/>
      </c>
      <c r="L272" s="27">
        <f>IF(설정!$D$23="",0,IFERROR(VALUE(SUBSTITUTE(SUBSTITUTE(INDEX(급여대장_원본!$A$1:$AZ$400,(설정!$B$8+266),설정!$D$23)&amp;"",",",""),"　","")),0))</f>
        <v/>
      </c>
      <c r="M272" s="27">
        <f>IF(설정!$D$24="",0,IFERROR(VALUE(SUBSTITUTE(SUBSTITUTE(INDEX(급여대장_원본!$A$1:$AZ$400,(설정!$B$8+266),설정!$D$24)&amp;"",",",""),"　","")),0))</f>
        <v/>
      </c>
      <c r="N272" s="2">
        <f>IF(OR(설정!$C$17="",IFERROR(MATCH(설정!$C$17,INDEX(급여대장_원본!$A$1:$AZ$400,설정!$B$8,0),0),"")=""),"",IFERROR(VALUE(SUBSTITUTE(INDEX(급여대장_원본!$A$1:$AZ$400,(설정!$B$8+266),IFERROR(MATCH(설정!$C$17,INDEX(급여대장_원본!$A$1:$AZ$400,설정!$B$8,0),0),""))&amp;"",",","")),""))</f>
        <v/>
      </c>
      <c r="O272" s="2">
        <f>IF(OR(설정!$C$18="",IFERROR(MATCH(설정!$C$18,INDEX(급여대장_원본!$A$1:$AZ$400,설정!$B$8,0),0),"")=""),"",IFERROR(VALUE(SUBSTITUTE(INDEX(급여대장_원본!$A$1:$AZ$400,(설정!$B$8+266),IFERROR(MATCH(설정!$C$18,INDEX(급여대장_원본!$A$1:$AZ$400,설정!$B$8,0),0),""))&amp;"",",","")),""))</f>
        <v/>
      </c>
      <c r="P272" s="2">
        <f>IF(OR(설정!$C$19="",IFERROR(MATCH(설정!$C$19,INDEX(급여대장_원본!$A$1:$AZ$400,설정!$B$8,0),0),"")=""),"",IFERROR(VALUE(SUBSTITUTE(INDEX(급여대장_원본!$A$1:$AZ$400,(설정!$B$8+266),IFERROR(MATCH(설정!$C$19,INDEX(급여대장_원본!$A$1:$AZ$400,설정!$B$8,0),0),""))&amp;"",",","")),""))</f>
        <v/>
      </c>
      <c r="Q272" s="2">
        <f>IF(OR(설정!$C$20="",IFERROR(MATCH(설정!$C$20,INDEX(급여대장_원본!$A$1:$AZ$400,설정!$B$8,0),0),"")=""),"",IFERROR(VALUE(SUBSTITUTE(INDEX(급여대장_원본!$A$1:$AZ$400,(설정!$B$8+266),IFERROR(MATCH(설정!$C$20,INDEX(급여대장_원본!$A$1:$AZ$400,설정!$B$8,0),0),""))&amp;"",",","")),""))</f>
        <v/>
      </c>
      <c r="R272" s="2">
        <f>IF(OR(설정!$C$21="",IFERROR(MATCH(설정!$C$21,INDEX(급여대장_원본!$A$1:$AZ$400,설정!$B$8,0),0),"")=""),"",IFERROR(VALUE(SUBSTITUTE(INDEX(급여대장_원본!$A$1:$AZ$400,(설정!$B$8+266),IFERROR(MATCH(설정!$C$21,INDEX(급여대장_원본!$A$1:$AZ$400,설정!$B$8,0),0),""))&amp;"",",","")),""))</f>
        <v/>
      </c>
      <c r="S272" s="2">
        <f>IF(OR(설정!$C$22="",IFERROR(MATCH(설정!$C$22,INDEX(급여대장_원본!$A$1:$AZ$400,설정!$B$8,0),0),"")=""),"",IFERROR(VALUE(SUBSTITUTE(INDEX(급여대장_원본!$A$1:$AZ$400,(설정!$B$8+266),IFERROR(MATCH(설정!$C$22,INDEX(급여대장_원본!$A$1:$AZ$400,설정!$B$8,0),0),""))&amp;"",",","")),""))</f>
        <v/>
      </c>
      <c r="T272" s="2">
        <f>IF(OR(설정!$C$23="",IFERROR(MATCH(설정!$C$23,INDEX(급여대장_원본!$A$1:$AZ$400,설정!$B$8,0),0),"")=""),"",IFERROR(VALUE(SUBSTITUTE(INDEX(급여대장_원본!$A$1:$AZ$400,(설정!$B$8+266),IFERROR(MATCH(설정!$C$23,INDEX(급여대장_원본!$A$1:$AZ$400,설정!$B$8,0),0),""))&amp;"",",","")),""))</f>
        <v/>
      </c>
      <c r="U272" s="2">
        <f>IF(OR(설정!$C$24="",IFERROR(MATCH(설정!$C$24,INDEX(급여대장_원본!$A$1:$AZ$400,설정!$B$8,0),0),"")=""),"",IFERROR(VALUE(SUBSTITUTE(INDEX(급여대장_원본!$A$1:$AZ$400,(설정!$B$8+266),IFERROR(MATCH(설정!$C$24,INDEX(급여대장_원본!$A$1:$AZ$400,설정!$B$8,0),0),""))&amp;"",",","")),""))</f>
        <v/>
      </c>
      <c r="V272" s="27">
        <f>SUM(F272:M272)</f>
        <v/>
      </c>
      <c r="W272" s="27">
        <f>IF(설정!$D$26="",0,IFERROR(VALUE(SUBSTITUTE(SUBSTITUTE(INDEX(급여대장_원본!$A$1:$AZ$400,(설정!$B$8+266),설정!$D$26)&amp;"",",",""),"　","")),0))</f>
        <v/>
      </c>
      <c r="X272" s="27">
        <f>IF(설정!$D$27="",0,IFERROR(VALUE(SUBSTITUTE(SUBSTITUTE(INDEX(급여대장_원본!$A$1:$AZ$400,(설정!$B$8+266),설정!$D$27)&amp;"",",",""),"　","")),0))</f>
        <v/>
      </c>
      <c r="Y272" s="27">
        <f>IF(설정!$D$28="",0,IFERROR(VALUE(SUBSTITUTE(SUBSTITUTE(INDEX(급여대장_원본!$A$1:$AZ$400,(설정!$B$8+266),설정!$D$28)&amp;"",",",""),"　","")),0))</f>
        <v/>
      </c>
      <c r="Z272" s="27">
        <f>IF(설정!$D$29="",0,IFERROR(VALUE(SUBSTITUTE(SUBSTITUTE(INDEX(급여대장_원본!$A$1:$AZ$400,(설정!$B$8+266),설정!$D$29)&amp;"",",",""),"　","")),0))</f>
        <v/>
      </c>
      <c r="AA272" s="27">
        <f>IF(설정!$D$30="",0,IFERROR(VALUE(SUBSTITUTE(SUBSTITUTE(INDEX(급여대장_원본!$A$1:$AZ$400,(설정!$B$8+266),설정!$D$30)&amp;"",",",""),"　","")),0))</f>
        <v/>
      </c>
      <c r="AB272" s="27">
        <f>IF(설정!$D$31="",0,IFERROR(VALUE(SUBSTITUTE(SUBSTITUTE(INDEX(급여대장_원본!$A$1:$AZ$400,(설정!$B$8+266),설정!$D$31)&amp;"",",",""),"　","")),0))</f>
        <v/>
      </c>
      <c r="AC272" s="27">
        <f>IF(설정!$D$32="",0,IFERROR(VALUE(SUBSTITUTE(SUBSTITUTE(INDEX(급여대장_원본!$A$1:$AZ$400,(설정!$B$8+266),설정!$D$32)&amp;"",",",""),"　","")),0))</f>
        <v/>
      </c>
      <c r="AD272" s="27">
        <f>IF(설정!$D$33="",0,IFERROR(VALUE(SUBSTITUTE(SUBSTITUTE(INDEX(급여대장_원본!$A$1:$AZ$400,(설정!$B$8+266),설정!$D$33)&amp;"",",",""),"　","")),0))</f>
        <v/>
      </c>
      <c r="AE272" s="27">
        <f>SUM(W272:AD272)</f>
        <v/>
      </c>
      <c r="AF272" s="27">
        <f>V272-AE272</f>
        <v/>
      </c>
      <c r="AG272" s="27">
        <f>IF(설정!$D$35="","",IF(설정!$D$35="",0,IFERROR(VALUE(SUBSTITUTE(SUBSTITUTE(INDEX(급여대장_원본!$A$1:$AZ$400,(설정!$B$8+266),설정!$D$35)&amp;"",",",""),"　","")),0)))</f>
        <v/>
      </c>
      <c r="AH272" s="27">
        <f>IF(설정!$D$36="","",IF(설정!$D$36="",0,IFERROR(VALUE(SUBSTITUTE(SUBSTITUTE(INDEX(급여대장_원본!$A$1:$AZ$400,(설정!$B$8+266),설정!$D$36)&amp;"",",",""),"　","")),0)))</f>
        <v/>
      </c>
      <c r="AI272" s="27">
        <f>IF(설정!$D$37="","",IF(설정!$D$37="",0,IFERROR(VALUE(SUBSTITUTE(SUBSTITUTE(INDEX(급여대장_원본!$A$1:$AZ$400,(설정!$B$8+266),설정!$D$37)&amp;"",",",""),"　","")),0)))</f>
        <v/>
      </c>
      <c r="AJ272" s="2">
        <f>IFERROR(INDEX($D$7:$D$306,MATCH(266,$B$7:$B$306,0)),"")</f>
        <v/>
      </c>
    </row>
    <row r="273">
      <c r="A273" s="2">
        <f>IF(AND(D273&lt;&gt;"",D273&lt;&gt;"합계",D273&lt;&gt;"총계",D273&lt;&gt;"소계",D273&lt;&gt;"계"),1,0)</f>
        <v/>
      </c>
      <c r="B273" s="2">
        <f>IF(A273=1,SUM($A$7:A273),"")</f>
        <v/>
      </c>
      <c r="C273" s="2">
        <f>IF(설정!$D$13="","",TRIM(SUBSTITUTE(INDEX(급여대장_원본!$A$1:$AZ$400,(설정!$B$8+267),설정!$D$13)&amp;"","　"," ")))</f>
        <v/>
      </c>
      <c r="D273" s="2">
        <f>IF(설정!$D$14="","",TRIM(SUBSTITUTE(INDEX(급여대장_원본!$A$1:$AZ$400,(설정!$B$8+267),설정!$D$14)&amp;"","　"," ")))</f>
        <v/>
      </c>
      <c r="E273" s="2">
        <f>IF(설정!$D$15="","",TRIM(SUBSTITUTE(INDEX(급여대장_원본!$A$1:$AZ$400,(설정!$B$8+267),설정!$D$15)&amp;"","　"," ")))</f>
        <v/>
      </c>
      <c r="F273" s="27">
        <f>IF(설정!$D$17="",0,IFERROR(VALUE(SUBSTITUTE(SUBSTITUTE(INDEX(급여대장_원본!$A$1:$AZ$400,(설정!$B$8+267),설정!$D$17)&amp;"",",",""),"　","")),0))</f>
        <v/>
      </c>
      <c r="G273" s="27">
        <f>IF(설정!$D$18="",0,IFERROR(VALUE(SUBSTITUTE(SUBSTITUTE(INDEX(급여대장_원본!$A$1:$AZ$400,(설정!$B$8+267),설정!$D$18)&amp;"",",",""),"　","")),0))</f>
        <v/>
      </c>
      <c r="H273" s="27">
        <f>IF(설정!$D$19="",0,IFERROR(VALUE(SUBSTITUTE(SUBSTITUTE(INDEX(급여대장_원본!$A$1:$AZ$400,(설정!$B$8+267),설정!$D$19)&amp;"",",",""),"　","")),0))</f>
        <v/>
      </c>
      <c r="I273" s="27">
        <f>IF(설정!$D$20="",0,IFERROR(VALUE(SUBSTITUTE(SUBSTITUTE(INDEX(급여대장_원본!$A$1:$AZ$400,(설정!$B$8+267),설정!$D$20)&amp;"",",",""),"　","")),0))</f>
        <v/>
      </c>
      <c r="J273" s="27">
        <f>IF(설정!$D$21="",0,IFERROR(VALUE(SUBSTITUTE(SUBSTITUTE(INDEX(급여대장_원본!$A$1:$AZ$400,(설정!$B$8+267),설정!$D$21)&amp;"",",",""),"　","")),0))</f>
        <v/>
      </c>
      <c r="K273" s="27">
        <f>IF(설정!$D$22="",0,IFERROR(VALUE(SUBSTITUTE(SUBSTITUTE(INDEX(급여대장_원본!$A$1:$AZ$400,(설정!$B$8+267),설정!$D$22)&amp;"",",",""),"　","")),0))</f>
        <v/>
      </c>
      <c r="L273" s="27">
        <f>IF(설정!$D$23="",0,IFERROR(VALUE(SUBSTITUTE(SUBSTITUTE(INDEX(급여대장_원본!$A$1:$AZ$400,(설정!$B$8+267),설정!$D$23)&amp;"",",",""),"　","")),0))</f>
        <v/>
      </c>
      <c r="M273" s="27">
        <f>IF(설정!$D$24="",0,IFERROR(VALUE(SUBSTITUTE(SUBSTITUTE(INDEX(급여대장_원본!$A$1:$AZ$400,(설정!$B$8+267),설정!$D$24)&amp;"",",",""),"　","")),0))</f>
        <v/>
      </c>
      <c r="N273" s="2">
        <f>IF(OR(설정!$C$17="",IFERROR(MATCH(설정!$C$17,INDEX(급여대장_원본!$A$1:$AZ$400,설정!$B$8,0),0),"")=""),"",IFERROR(VALUE(SUBSTITUTE(INDEX(급여대장_원본!$A$1:$AZ$400,(설정!$B$8+267),IFERROR(MATCH(설정!$C$17,INDEX(급여대장_원본!$A$1:$AZ$400,설정!$B$8,0),0),""))&amp;"",",","")),""))</f>
        <v/>
      </c>
      <c r="O273" s="2">
        <f>IF(OR(설정!$C$18="",IFERROR(MATCH(설정!$C$18,INDEX(급여대장_원본!$A$1:$AZ$400,설정!$B$8,0),0),"")=""),"",IFERROR(VALUE(SUBSTITUTE(INDEX(급여대장_원본!$A$1:$AZ$400,(설정!$B$8+267),IFERROR(MATCH(설정!$C$18,INDEX(급여대장_원본!$A$1:$AZ$400,설정!$B$8,0),0),""))&amp;"",",","")),""))</f>
        <v/>
      </c>
      <c r="P273" s="2">
        <f>IF(OR(설정!$C$19="",IFERROR(MATCH(설정!$C$19,INDEX(급여대장_원본!$A$1:$AZ$400,설정!$B$8,0),0),"")=""),"",IFERROR(VALUE(SUBSTITUTE(INDEX(급여대장_원본!$A$1:$AZ$400,(설정!$B$8+267),IFERROR(MATCH(설정!$C$19,INDEX(급여대장_원본!$A$1:$AZ$400,설정!$B$8,0),0),""))&amp;"",",","")),""))</f>
        <v/>
      </c>
      <c r="Q273" s="2">
        <f>IF(OR(설정!$C$20="",IFERROR(MATCH(설정!$C$20,INDEX(급여대장_원본!$A$1:$AZ$400,설정!$B$8,0),0),"")=""),"",IFERROR(VALUE(SUBSTITUTE(INDEX(급여대장_원본!$A$1:$AZ$400,(설정!$B$8+267),IFERROR(MATCH(설정!$C$20,INDEX(급여대장_원본!$A$1:$AZ$400,설정!$B$8,0),0),""))&amp;"",",","")),""))</f>
        <v/>
      </c>
      <c r="R273" s="2">
        <f>IF(OR(설정!$C$21="",IFERROR(MATCH(설정!$C$21,INDEX(급여대장_원본!$A$1:$AZ$400,설정!$B$8,0),0),"")=""),"",IFERROR(VALUE(SUBSTITUTE(INDEX(급여대장_원본!$A$1:$AZ$400,(설정!$B$8+267),IFERROR(MATCH(설정!$C$21,INDEX(급여대장_원본!$A$1:$AZ$400,설정!$B$8,0),0),""))&amp;"",",","")),""))</f>
        <v/>
      </c>
      <c r="S273" s="2">
        <f>IF(OR(설정!$C$22="",IFERROR(MATCH(설정!$C$22,INDEX(급여대장_원본!$A$1:$AZ$400,설정!$B$8,0),0),"")=""),"",IFERROR(VALUE(SUBSTITUTE(INDEX(급여대장_원본!$A$1:$AZ$400,(설정!$B$8+267),IFERROR(MATCH(설정!$C$22,INDEX(급여대장_원본!$A$1:$AZ$400,설정!$B$8,0),0),""))&amp;"",",","")),""))</f>
        <v/>
      </c>
      <c r="T273" s="2">
        <f>IF(OR(설정!$C$23="",IFERROR(MATCH(설정!$C$23,INDEX(급여대장_원본!$A$1:$AZ$400,설정!$B$8,0),0),"")=""),"",IFERROR(VALUE(SUBSTITUTE(INDEX(급여대장_원본!$A$1:$AZ$400,(설정!$B$8+267),IFERROR(MATCH(설정!$C$23,INDEX(급여대장_원본!$A$1:$AZ$400,설정!$B$8,0),0),""))&amp;"",",","")),""))</f>
        <v/>
      </c>
      <c r="U273" s="2">
        <f>IF(OR(설정!$C$24="",IFERROR(MATCH(설정!$C$24,INDEX(급여대장_원본!$A$1:$AZ$400,설정!$B$8,0),0),"")=""),"",IFERROR(VALUE(SUBSTITUTE(INDEX(급여대장_원본!$A$1:$AZ$400,(설정!$B$8+267),IFERROR(MATCH(설정!$C$24,INDEX(급여대장_원본!$A$1:$AZ$400,설정!$B$8,0),0),""))&amp;"",",","")),""))</f>
        <v/>
      </c>
      <c r="V273" s="27">
        <f>SUM(F273:M273)</f>
        <v/>
      </c>
      <c r="W273" s="27">
        <f>IF(설정!$D$26="",0,IFERROR(VALUE(SUBSTITUTE(SUBSTITUTE(INDEX(급여대장_원본!$A$1:$AZ$400,(설정!$B$8+267),설정!$D$26)&amp;"",",",""),"　","")),0))</f>
        <v/>
      </c>
      <c r="X273" s="27">
        <f>IF(설정!$D$27="",0,IFERROR(VALUE(SUBSTITUTE(SUBSTITUTE(INDEX(급여대장_원본!$A$1:$AZ$400,(설정!$B$8+267),설정!$D$27)&amp;"",",",""),"　","")),0))</f>
        <v/>
      </c>
      <c r="Y273" s="27">
        <f>IF(설정!$D$28="",0,IFERROR(VALUE(SUBSTITUTE(SUBSTITUTE(INDEX(급여대장_원본!$A$1:$AZ$400,(설정!$B$8+267),설정!$D$28)&amp;"",",",""),"　","")),0))</f>
        <v/>
      </c>
      <c r="Z273" s="27">
        <f>IF(설정!$D$29="",0,IFERROR(VALUE(SUBSTITUTE(SUBSTITUTE(INDEX(급여대장_원본!$A$1:$AZ$400,(설정!$B$8+267),설정!$D$29)&amp;"",",",""),"　","")),0))</f>
        <v/>
      </c>
      <c r="AA273" s="27">
        <f>IF(설정!$D$30="",0,IFERROR(VALUE(SUBSTITUTE(SUBSTITUTE(INDEX(급여대장_원본!$A$1:$AZ$400,(설정!$B$8+267),설정!$D$30)&amp;"",",",""),"　","")),0))</f>
        <v/>
      </c>
      <c r="AB273" s="27">
        <f>IF(설정!$D$31="",0,IFERROR(VALUE(SUBSTITUTE(SUBSTITUTE(INDEX(급여대장_원본!$A$1:$AZ$400,(설정!$B$8+267),설정!$D$31)&amp;"",",",""),"　","")),0))</f>
        <v/>
      </c>
      <c r="AC273" s="27">
        <f>IF(설정!$D$32="",0,IFERROR(VALUE(SUBSTITUTE(SUBSTITUTE(INDEX(급여대장_원본!$A$1:$AZ$400,(설정!$B$8+267),설정!$D$32)&amp;"",",",""),"　","")),0))</f>
        <v/>
      </c>
      <c r="AD273" s="27">
        <f>IF(설정!$D$33="",0,IFERROR(VALUE(SUBSTITUTE(SUBSTITUTE(INDEX(급여대장_원본!$A$1:$AZ$400,(설정!$B$8+267),설정!$D$33)&amp;"",",",""),"　","")),0))</f>
        <v/>
      </c>
      <c r="AE273" s="27">
        <f>SUM(W273:AD273)</f>
        <v/>
      </c>
      <c r="AF273" s="27">
        <f>V273-AE273</f>
        <v/>
      </c>
      <c r="AG273" s="27">
        <f>IF(설정!$D$35="","",IF(설정!$D$35="",0,IFERROR(VALUE(SUBSTITUTE(SUBSTITUTE(INDEX(급여대장_원본!$A$1:$AZ$400,(설정!$B$8+267),설정!$D$35)&amp;"",",",""),"　","")),0)))</f>
        <v/>
      </c>
      <c r="AH273" s="27">
        <f>IF(설정!$D$36="","",IF(설정!$D$36="",0,IFERROR(VALUE(SUBSTITUTE(SUBSTITUTE(INDEX(급여대장_원본!$A$1:$AZ$400,(설정!$B$8+267),설정!$D$36)&amp;"",",",""),"　","")),0)))</f>
        <v/>
      </c>
      <c r="AI273" s="27">
        <f>IF(설정!$D$37="","",IF(설정!$D$37="",0,IFERROR(VALUE(SUBSTITUTE(SUBSTITUTE(INDEX(급여대장_원본!$A$1:$AZ$400,(설정!$B$8+267),설정!$D$37)&amp;"",",",""),"　","")),0)))</f>
        <v/>
      </c>
      <c r="AJ273" s="2">
        <f>IFERROR(INDEX($D$7:$D$306,MATCH(267,$B$7:$B$306,0)),"")</f>
        <v/>
      </c>
    </row>
    <row r="274">
      <c r="A274" s="2">
        <f>IF(AND(D274&lt;&gt;"",D274&lt;&gt;"합계",D274&lt;&gt;"총계",D274&lt;&gt;"소계",D274&lt;&gt;"계"),1,0)</f>
        <v/>
      </c>
      <c r="B274" s="2">
        <f>IF(A274=1,SUM($A$7:A274),"")</f>
        <v/>
      </c>
      <c r="C274" s="2">
        <f>IF(설정!$D$13="","",TRIM(SUBSTITUTE(INDEX(급여대장_원본!$A$1:$AZ$400,(설정!$B$8+268),설정!$D$13)&amp;"","　"," ")))</f>
        <v/>
      </c>
      <c r="D274" s="2">
        <f>IF(설정!$D$14="","",TRIM(SUBSTITUTE(INDEX(급여대장_원본!$A$1:$AZ$400,(설정!$B$8+268),설정!$D$14)&amp;"","　"," ")))</f>
        <v/>
      </c>
      <c r="E274" s="2">
        <f>IF(설정!$D$15="","",TRIM(SUBSTITUTE(INDEX(급여대장_원본!$A$1:$AZ$400,(설정!$B$8+268),설정!$D$15)&amp;"","　"," ")))</f>
        <v/>
      </c>
      <c r="F274" s="27">
        <f>IF(설정!$D$17="",0,IFERROR(VALUE(SUBSTITUTE(SUBSTITUTE(INDEX(급여대장_원본!$A$1:$AZ$400,(설정!$B$8+268),설정!$D$17)&amp;"",",",""),"　","")),0))</f>
        <v/>
      </c>
      <c r="G274" s="27">
        <f>IF(설정!$D$18="",0,IFERROR(VALUE(SUBSTITUTE(SUBSTITUTE(INDEX(급여대장_원본!$A$1:$AZ$400,(설정!$B$8+268),설정!$D$18)&amp;"",",",""),"　","")),0))</f>
        <v/>
      </c>
      <c r="H274" s="27">
        <f>IF(설정!$D$19="",0,IFERROR(VALUE(SUBSTITUTE(SUBSTITUTE(INDEX(급여대장_원본!$A$1:$AZ$400,(설정!$B$8+268),설정!$D$19)&amp;"",",",""),"　","")),0))</f>
        <v/>
      </c>
      <c r="I274" s="27">
        <f>IF(설정!$D$20="",0,IFERROR(VALUE(SUBSTITUTE(SUBSTITUTE(INDEX(급여대장_원본!$A$1:$AZ$400,(설정!$B$8+268),설정!$D$20)&amp;"",",",""),"　","")),0))</f>
        <v/>
      </c>
      <c r="J274" s="27">
        <f>IF(설정!$D$21="",0,IFERROR(VALUE(SUBSTITUTE(SUBSTITUTE(INDEX(급여대장_원본!$A$1:$AZ$400,(설정!$B$8+268),설정!$D$21)&amp;"",",",""),"　","")),0))</f>
        <v/>
      </c>
      <c r="K274" s="27">
        <f>IF(설정!$D$22="",0,IFERROR(VALUE(SUBSTITUTE(SUBSTITUTE(INDEX(급여대장_원본!$A$1:$AZ$400,(설정!$B$8+268),설정!$D$22)&amp;"",",",""),"　","")),0))</f>
        <v/>
      </c>
      <c r="L274" s="27">
        <f>IF(설정!$D$23="",0,IFERROR(VALUE(SUBSTITUTE(SUBSTITUTE(INDEX(급여대장_원본!$A$1:$AZ$400,(설정!$B$8+268),설정!$D$23)&amp;"",",",""),"　","")),0))</f>
        <v/>
      </c>
      <c r="M274" s="27">
        <f>IF(설정!$D$24="",0,IFERROR(VALUE(SUBSTITUTE(SUBSTITUTE(INDEX(급여대장_원본!$A$1:$AZ$400,(설정!$B$8+268),설정!$D$24)&amp;"",",",""),"　","")),0))</f>
        <v/>
      </c>
      <c r="N274" s="2">
        <f>IF(OR(설정!$C$17="",IFERROR(MATCH(설정!$C$17,INDEX(급여대장_원본!$A$1:$AZ$400,설정!$B$8,0),0),"")=""),"",IFERROR(VALUE(SUBSTITUTE(INDEX(급여대장_원본!$A$1:$AZ$400,(설정!$B$8+268),IFERROR(MATCH(설정!$C$17,INDEX(급여대장_원본!$A$1:$AZ$400,설정!$B$8,0),0),""))&amp;"",",","")),""))</f>
        <v/>
      </c>
      <c r="O274" s="2">
        <f>IF(OR(설정!$C$18="",IFERROR(MATCH(설정!$C$18,INDEX(급여대장_원본!$A$1:$AZ$400,설정!$B$8,0),0),"")=""),"",IFERROR(VALUE(SUBSTITUTE(INDEX(급여대장_원본!$A$1:$AZ$400,(설정!$B$8+268),IFERROR(MATCH(설정!$C$18,INDEX(급여대장_원본!$A$1:$AZ$400,설정!$B$8,0),0),""))&amp;"",",","")),""))</f>
        <v/>
      </c>
      <c r="P274" s="2">
        <f>IF(OR(설정!$C$19="",IFERROR(MATCH(설정!$C$19,INDEX(급여대장_원본!$A$1:$AZ$400,설정!$B$8,0),0),"")=""),"",IFERROR(VALUE(SUBSTITUTE(INDEX(급여대장_원본!$A$1:$AZ$400,(설정!$B$8+268),IFERROR(MATCH(설정!$C$19,INDEX(급여대장_원본!$A$1:$AZ$400,설정!$B$8,0),0),""))&amp;"",",","")),""))</f>
        <v/>
      </c>
      <c r="Q274" s="2">
        <f>IF(OR(설정!$C$20="",IFERROR(MATCH(설정!$C$20,INDEX(급여대장_원본!$A$1:$AZ$400,설정!$B$8,0),0),"")=""),"",IFERROR(VALUE(SUBSTITUTE(INDEX(급여대장_원본!$A$1:$AZ$400,(설정!$B$8+268),IFERROR(MATCH(설정!$C$20,INDEX(급여대장_원본!$A$1:$AZ$400,설정!$B$8,0),0),""))&amp;"",",","")),""))</f>
        <v/>
      </c>
      <c r="R274" s="2">
        <f>IF(OR(설정!$C$21="",IFERROR(MATCH(설정!$C$21,INDEX(급여대장_원본!$A$1:$AZ$400,설정!$B$8,0),0),"")=""),"",IFERROR(VALUE(SUBSTITUTE(INDEX(급여대장_원본!$A$1:$AZ$400,(설정!$B$8+268),IFERROR(MATCH(설정!$C$21,INDEX(급여대장_원본!$A$1:$AZ$400,설정!$B$8,0),0),""))&amp;"",",","")),""))</f>
        <v/>
      </c>
      <c r="S274" s="2">
        <f>IF(OR(설정!$C$22="",IFERROR(MATCH(설정!$C$22,INDEX(급여대장_원본!$A$1:$AZ$400,설정!$B$8,0),0),"")=""),"",IFERROR(VALUE(SUBSTITUTE(INDEX(급여대장_원본!$A$1:$AZ$400,(설정!$B$8+268),IFERROR(MATCH(설정!$C$22,INDEX(급여대장_원본!$A$1:$AZ$400,설정!$B$8,0),0),""))&amp;"",",","")),""))</f>
        <v/>
      </c>
      <c r="T274" s="2">
        <f>IF(OR(설정!$C$23="",IFERROR(MATCH(설정!$C$23,INDEX(급여대장_원본!$A$1:$AZ$400,설정!$B$8,0),0),"")=""),"",IFERROR(VALUE(SUBSTITUTE(INDEX(급여대장_원본!$A$1:$AZ$400,(설정!$B$8+268),IFERROR(MATCH(설정!$C$23,INDEX(급여대장_원본!$A$1:$AZ$400,설정!$B$8,0),0),""))&amp;"",",","")),""))</f>
        <v/>
      </c>
      <c r="U274" s="2">
        <f>IF(OR(설정!$C$24="",IFERROR(MATCH(설정!$C$24,INDEX(급여대장_원본!$A$1:$AZ$400,설정!$B$8,0),0),"")=""),"",IFERROR(VALUE(SUBSTITUTE(INDEX(급여대장_원본!$A$1:$AZ$400,(설정!$B$8+268),IFERROR(MATCH(설정!$C$24,INDEX(급여대장_원본!$A$1:$AZ$400,설정!$B$8,0),0),""))&amp;"",",","")),""))</f>
        <v/>
      </c>
      <c r="V274" s="27">
        <f>SUM(F274:M274)</f>
        <v/>
      </c>
      <c r="W274" s="27">
        <f>IF(설정!$D$26="",0,IFERROR(VALUE(SUBSTITUTE(SUBSTITUTE(INDEX(급여대장_원본!$A$1:$AZ$400,(설정!$B$8+268),설정!$D$26)&amp;"",",",""),"　","")),0))</f>
        <v/>
      </c>
      <c r="X274" s="27">
        <f>IF(설정!$D$27="",0,IFERROR(VALUE(SUBSTITUTE(SUBSTITUTE(INDEX(급여대장_원본!$A$1:$AZ$400,(설정!$B$8+268),설정!$D$27)&amp;"",",",""),"　","")),0))</f>
        <v/>
      </c>
      <c r="Y274" s="27">
        <f>IF(설정!$D$28="",0,IFERROR(VALUE(SUBSTITUTE(SUBSTITUTE(INDEX(급여대장_원본!$A$1:$AZ$400,(설정!$B$8+268),설정!$D$28)&amp;"",",",""),"　","")),0))</f>
        <v/>
      </c>
      <c r="Z274" s="27">
        <f>IF(설정!$D$29="",0,IFERROR(VALUE(SUBSTITUTE(SUBSTITUTE(INDEX(급여대장_원본!$A$1:$AZ$400,(설정!$B$8+268),설정!$D$29)&amp;"",",",""),"　","")),0))</f>
        <v/>
      </c>
      <c r="AA274" s="27">
        <f>IF(설정!$D$30="",0,IFERROR(VALUE(SUBSTITUTE(SUBSTITUTE(INDEX(급여대장_원본!$A$1:$AZ$400,(설정!$B$8+268),설정!$D$30)&amp;"",",",""),"　","")),0))</f>
        <v/>
      </c>
      <c r="AB274" s="27">
        <f>IF(설정!$D$31="",0,IFERROR(VALUE(SUBSTITUTE(SUBSTITUTE(INDEX(급여대장_원본!$A$1:$AZ$400,(설정!$B$8+268),설정!$D$31)&amp;"",",",""),"　","")),0))</f>
        <v/>
      </c>
      <c r="AC274" s="27">
        <f>IF(설정!$D$32="",0,IFERROR(VALUE(SUBSTITUTE(SUBSTITUTE(INDEX(급여대장_원본!$A$1:$AZ$400,(설정!$B$8+268),설정!$D$32)&amp;"",",",""),"　","")),0))</f>
        <v/>
      </c>
      <c r="AD274" s="27">
        <f>IF(설정!$D$33="",0,IFERROR(VALUE(SUBSTITUTE(SUBSTITUTE(INDEX(급여대장_원본!$A$1:$AZ$400,(설정!$B$8+268),설정!$D$33)&amp;"",",",""),"　","")),0))</f>
        <v/>
      </c>
      <c r="AE274" s="27">
        <f>SUM(W274:AD274)</f>
        <v/>
      </c>
      <c r="AF274" s="27">
        <f>V274-AE274</f>
        <v/>
      </c>
      <c r="AG274" s="27">
        <f>IF(설정!$D$35="","",IF(설정!$D$35="",0,IFERROR(VALUE(SUBSTITUTE(SUBSTITUTE(INDEX(급여대장_원본!$A$1:$AZ$400,(설정!$B$8+268),설정!$D$35)&amp;"",",",""),"　","")),0)))</f>
        <v/>
      </c>
      <c r="AH274" s="27">
        <f>IF(설정!$D$36="","",IF(설정!$D$36="",0,IFERROR(VALUE(SUBSTITUTE(SUBSTITUTE(INDEX(급여대장_원본!$A$1:$AZ$400,(설정!$B$8+268),설정!$D$36)&amp;"",",",""),"　","")),0)))</f>
        <v/>
      </c>
      <c r="AI274" s="27">
        <f>IF(설정!$D$37="","",IF(설정!$D$37="",0,IFERROR(VALUE(SUBSTITUTE(SUBSTITUTE(INDEX(급여대장_원본!$A$1:$AZ$400,(설정!$B$8+268),설정!$D$37)&amp;"",",",""),"　","")),0)))</f>
        <v/>
      </c>
      <c r="AJ274" s="2">
        <f>IFERROR(INDEX($D$7:$D$306,MATCH(268,$B$7:$B$306,0)),"")</f>
        <v/>
      </c>
    </row>
    <row r="275">
      <c r="A275" s="2">
        <f>IF(AND(D275&lt;&gt;"",D275&lt;&gt;"합계",D275&lt;&gt;"총계",D275&lt;&gt;"소계",D275&lt;&gt;"계"),1,0)</f>
        <v/>
      </c>
      <c r="B275" s="2">
        <f>IF(A275=1,SUM($A$7:A275),"")</f>
        <v/>
      </c>
      <c r="C275" s="2">
        <f>IF(설정!$D$13="","",TRIM(SUBSTITUTE(INDEX(급여대장_원본!$A$1:$AZ$400,(설정!$B$8+269),설정!$D$13)&amp;"","　"," ")))</f>
        <v/>
      </c>
      <c r="D275" s="2">
        <f>IF(설정!$D$14="","",TRIM(SUBSTITUTE(INDEX(급여대장_원본!$A$1:$AZ$400,(설정!$B$8+269),설정!$D$14)&amp;"","　"," ")))</f>
        <v/>
      </c>
      <c r="E275" s="2">
        <f>IF(설정!$D$15="","",TRIM(SUBSTITUTE(INDEX(급여대장_원본!$A$1:$AZ$400,(설정!$B$8+269),설정!$D$15)&amp;"","　"," ")))</f>
        <v/>
      </c>
      <c r="F275" s="27">
        <f>IF(설정!$D$17="",0,IFERROR(VALUE(SUBSTITUTE(SUBSTITUTE(INDEX(급여대장_원본!$A$1:$AZ$400,(설정!$B$8+269),설정!$D$17)&amp;"",",",""),"　","")),0))</f>
        <v/>
      </c>
      <c r="G275" s="27">
        <f>IF(설정!$D$18="",0,IFERROR(VALUE(SUBSTITUTE(SUBSTITUTE(INDEX(급여대장_원본!$A$1:$AZ$400,(설정!$B$8+269),설정!$D$18)&amp;"",",",""),"　","")),0))</f>
        <v/>
      </c>
      <c r="H275" s="27">
        <f>IF(설정!$D$19="",0,IFERROR(VALUE(SUBSTITUTE(SUBSTITUTE(INDEX(급여대장_원본!$A$1:$AZ$400,(설정!$B$8+269),설정!$D$19)&amp;"",",",""),"　","")),0))</f>
        <v/>
      </c>
      <c r="I275" s="27">
        <f>IF(설정!$D$20="",0,IFERROR(VALUE(SUBSTITUTE(SUBSTITUTE(INDEX(급여대장_원본!$A$1:$AZ$400,(설정!$B$8+269),설정!$D$20)&amp;"",",",""),"　","")),0))</f>
        <v/>
      </c>
      <c r="J275" s="27">
        <f>IF(설정!$D$21="",0,IFERROR(VALUE(SUBSTITUTE(SUBSTITUTE(INDEX(급여대장_원본!$A$1:$AZ$400,(설정!$B$8+269),설정!$D$21)&amp;"",",",""),"　","")),0))</f>
        <v/>
      </c>
      <c r="K275" s="27">
        <f>IF(설정!$D$22="",0,IFERROR(VALUE(SUBSTITUTE(SUBSTITUTE(INDEX(급여대장_원본!$A$1:$AZ$400,(설정!$B$8+269),설정!$D$22)&amp;"",",",""),"　","")),0))</f>
        <v/>
      </c>
      <c r="L275" s="27">
        <f>IF(설정!$D$23="",0,IFERROR(VALUE(SUBSTITUTE(SUBSTITUTE(INDEX(급여대장_원본!$A$1:$AZ$400,(설정!$B$8+269),설정!$D$23)&amp;"",",",""),"　","")),0))</f>
        <v/>
      </c>
      <c r="M275" s="27">
        <f>IF(설정!$D$24="",0,IFERROR(VALUE(SUBSTITUTE(SUBSTITUTE(INDEX(급여대장_원본!$A$1:$AZ$400,(설정!$B$8+269),설정!$D$24)&amp;"",",",""),"　","")),0))</f>
        <v/>
      </c>
      <c r="N275" s="2">
        <f>IF(OR(설정!$C$17="",IFERROR(MATCH(설정!$C$17,INDEX(급여대장_원본!$A$1:$AZ$400,설정!$B$8,0),0),"")=""),"",IFERROR(VALUE(SUBSTITUTE(INDEX(급여대장_원본!$A$1:$AZ$400,(설정!$B$8+269),IFERROR(MATCH(설정!$C$17,INDEX(급여대장_원본!$A$1:$AZ$400,설정!$B$8,0),0),""))&amp;"",",","")),""))</f>
        <v/>
      </c>
      <c r="O275" s="2">
        <f>IF(OR(설정!$C$18="",IFERROR(MATCH(설정!$C$18,INDEX(급여대장_원본!$A$1:$AZ$400,설정!$B$8,0),0),"")=""),"",IFERROR(VALUE(SUBSTITUTE(INDEX(급여대장_원본!$A$1:$AZ$400,(설정!$B$8+269),IFERROR(MATCH(설정!$C$18,INDEX(급여대장_원본!$A$1:$AZ$400,설정!$B$8,0),0),""))&amp;"",",","")),""))</f>
        <v/>
      </c>
      <c r="P275" s="2">
        <f>IF(OR(설정!$C$19="",IFERROR(MATCH(설정!$C$19,INDEX(급여대장_원본!$A$1:$AZ$400,설정!$B$8,0),0),"")=""),"",IFERROR(VALUE(SUBSTITUTE(INDEX(급여대장_원본!$A$1:$AZ$400,(설정!$B$8+269),IFERROR(MATCH(설정!$C$19,INDEX(급여대장_원본!$A$1:$AZ$400,설정!$B$8,0),0),""))&amp;"",",","")),""))</f>
        <v/>
      </c>
      <c r="Q275" s="2">
        <f>IF(OR(설정!$C$20="",IFERROR(MATCH(설정!$C$20,INDEX(급여대장_원본!$A$1:$AZ$400,설정!$B$8,0),0),"")=""),"",IFERROR(VALUE(SUBSTITUTE(INDEX(급여대장_원본!$A$1:$AZ$400,(설정!$B$8+269),IFERROR(MATCH(설정!$C$20,INDEX(급여대장_원본!$A$1:$AZ$400,설정!$B$8,0),0),""))&amp;"",",","")),""))</f>
        <v/>
      </c>
      <c r="R275" s="2">
        <f>IF(OR(설정!$C$21="",IFERROR(MATCH(설정!$C$21,INDEX(급여대장_원본!$A$1:$AZ$400,설정!$B$8,0),0),"")=""),"",IFERROR(VALUE(SUBSTITUTE(INDEX(급여대장_원본!$A$1:$AZ$400,(설정!$B$8+269),IFERROR(MATCH(설정!$C$21,INDEX(급여대장_원본!$A$1:$AZ$400,설정!$B$8,0),0),""))&amp;"",",","")),""))</f>
        <v/>
      </c>
      <c r="S275" s="2">
        <f>IF(OR(설정!$C$22="",IFERROR(MATCH(설정!$C$22,INDEX(급여대장_원본!$A$1:$AZ$400,설정!$B$8,0),0),"")=""),"",IFERROR(VALUE(SUBSTITUTE(INDEX(급여대장_원본!$A$1:$AZ$400,(설정!$B$8+269),IFERROR(MATCH(설정!$C$22,INDEX(급여대장_원본!$A$1:$AZ$400,설정!$B$8,0),0),""))&amp;"",",","")),""))</f>
        <v/>
      </c>
      <c r="T275" s="2">
        <f>IF(OR(설정!$C$23="",IFERROR(MATCH(설정!$C$23,INDEX(급여대장_원본!$A$1:$AZ$400,설정!$B$8,0),0),"")=""),"",IFERROR(VALUE(SUBSTITUTE(INDEX(급여대장_원본!$A$1:$AZ$400,(설정!$B$8+269),IFERROR(MATCH(설정!$C$23,INDEX(급여대장_원본!$A$1:$AZ$400,설정!$B$8,0),0),""))&amp;"",",","")),""))</f>
        <v/>
      </c>
      <c r="U275" s="2">
        <f>IF(OR(설정!$C$24="",IFERROR(MATCH(설정!$C$24,INDEX(급여대장_원본!$A$1:$AZ$400,설정!$B$8,0),0),"")=""),"",IFERROR(VALUE(SUBSTITUTE(INDEX(급여대장_원본!$A$1:$AZ$400,(설정!$B$8+269),IFERROR(MATCH(설정!$C$24,INDEX(급여대장_원본!$A$1:$AZ$400,설정!$B$8,0),0),""))&amp;"",",","")),""))</f>
        <v/>
      </c>
      <c r="V275" s="27">
        <f>SUM(F275:M275)</f>
        <v/>
      </c>
      <c r="W275" s="27">
        <f>IF(설정!$D$26="",0,IFERROR(VALUE(SUBSTITUTE(SUBSTITUTE(INDEX(급여대장_원본!$A$1:$AZ$400,(설정!$B$8+269),설정!$D$26)&amp;"",",",""),"　","")),0))</f>
        <v/>
      </c>
      <c r="X275" s="27">
        <f>IF(설정!$D$27="",0,IFERROR(VALUE(SUBSTITUTE(SUBSTITUTE(INDEX(급여대장_원본!$A$1:$AZ$400,(설정!$B$8+269),설정!$D$27)&amp;"",",",""),"　","")),0))</f>
        <v/>
      </c>
      <c r="Y275" s="27">
        <f>IF(설정!$D$28="",0,IFERROR(VALUE(SUBSTITUTE(SUBSTITUTE(INDEX(급여대장_원본!$A$1:$AZ$400,(설정!$B$8+269),설정!$D$28)&amp;"",",",""),"　","")),0))</f>
        <v/>
      </c>
      <c r="Z275" s="27">
        <f>IF(설정!$D$29="",0,IFERROR(VALUE(SUBSTITUTE(SUBSTITUTE(INDEX(급여대장_원본!$A$1:$AZ$400,(설정!$B$8+269),설정!$D$29)&amp;"",",",""),"　","")),0))</f>
        <v/>
      </c>
      <c r="AA275" s="27">
        <f>IF(설정!$D$30="",0,IFERROR(VALUE(SUBSTITUTE(SUBSTITUTE(INDEX(급여대장_원본!$A$1:$AZ$400,(설정!$B$8+269),설정!$D$30)&amp;"",",",""),"　","")),0))</f>
        <v/>
      </c>
      <c r="AB275" s="27">
        <f>IF(설정!$D$31="",0,IFERROR(VALUE(SUBSTITUTE(SUBSTITUTE(INDEX(급여대장_원본!$A$1:$AZ$400,(설정!$B$8+269),설정!$D$31)&amp;"",",",""),"　","")),0))</f>
        <v/>
      </c>
      <c r="AC275" s="27">
        <f>IF(설정!$D$32="",0,IFERROR(VALUE(SUBSTITUTE(SUBSTITUTE(INDEX(급여대장_원본!$A$1:$AZ$400,(설정!$B$8+269),설정!$D$32)&amp;"",",",""),"　","")),0))</f>
        <v/>
      </c>
      <c r="AD275" s="27">
        <f>IF(설정!$D$33="",0,IFERROR(VALUE(SUBSTITUTE(SUBSTITUTE(INDEX(급여대장_원본!$A$1:$AZ$400,(설정!$B$8+269),설정!$D$33)&amp;"",",",""),"　","")),0))</f>
        <v/>
      </c>
      <c r="AE275" s="27">
        <f>SUM(W275:AD275)</f>
        <v/>
      </c>
      <c r="AF275" s="27">
        <f>V275-AE275</f>
        <v/>
      </c>
      <c r="AG275" s="27">
        <f>IF(설정!$D$35="","",IF(설정!$D$35="",0,IFERROR(VALUE(SUBSTITUTE(SUBSTITUTE(INDEX(급여대장_원본!$A$1:$AZ$400,(설정!$B$8+269),설정!$D$35)&amp;"",",",""),"　","")),0)))</f>
        <v/>
      </c>
      <c r="AH275" s="27">
        <f>IF(설정!$D$36="","",IF(설정!$D$36="",0,IFERROR(VALUE(SUBSTITUTE(SUBSTITUTE(INDEX(급여대장_원본!$A$1:$AZ$400,(설정!$B$8+269),설정!$D$36)&amp;"",",",""),"　","")),0)))</f>
        <v/>
      </c>
      <c r="AI275" s="27">
        <f>IF(설정!$D$37="","",IF(설정!$D$37="",0,IFERROR(VALUE(SUBSTITUTE(SUBSTITUTE(INDEX(급여대장_원본!$A$1:$AZ$400,(설정!$B$8+269),설정!$D$37)&amp;"",",",""),"　","")),0)))</f>
        <v/>
      </c>
      <c r="AJ275" s="2">
        <f>IFERROR(INDEX($D$7:$D$306,MATCH(269,$B$7:$B$306,0)),"")</f>
        <v/>
      </c>
    </row>
    <row r="276">
      <c r="A276" s="2">
        <f>IF(AND(D276&lt;&gt;"",D276&lt;&gt;"합계",D276&lt;&gt;"총계",D276&lt;&gt;"소계",D276&lt;&gt;"계"),1,0)</f>
        <v/>
      </c>
      <c r="B276" s="2">
        <f>IF(A276=1,SUM($A$7:A276),"")</f>
        <v/>
      </c>
      <c r="C276" s="2">
        <f>IF(설정!$D$13="","",TRIM(SUBSTITUTE(INDEX(급여대장_원본!$A$1:$AZ$400,(설정!$B$8+270),설정!$D$13)&amp;"","　"," ")))</f>
        <v/>
      </c>
      <c r="D276" s="2">
        <f>IF(설정!$D$14="","",TRIM(SUBSTITUTE(INDEX(급여대장_원본!$A$1:$AZ$400,(설정!$B$8+270),설정!$D$14)&amp;"","　"," ")))</f>
        <v/>
      </c>
      <c r="E276" s="2">
        <f>IF(설정!$D$15="","",TRIM(SUBSTITUTE(INDEX(급여대장_원본!$A$1:$AZ$400,(설정!$B$8+270),설정!$D$15)&amp;"","　"," ")))</f>
        <v/>
      </c>
      <c r="F276" s="27">
        <f>IF(설정!$D$17="",0,IFERROR(VALUE(SUBSTITUTE(SUBSTITUTE(INDEX(급여대장_원본!$A$1:$AZ$400,(설정!$B$8+270),설정!$D$17)&amp;"",",",""),"　","")),0))</f>
        <v/>
      </c>
      <c r="G276" s="27">
        <f>IF(설정!$D$18="",0,IFERROR(VALUE(SUBSTITUTE(SUBSTITUTE(INDEX(급여대장_원본!$A$1:$AZ$400,(설정!$B$8+270),설정!$D$18)&amp;"",",",""),"　","")),0))</f>
        <v/>
      </c>
      <c r="H276" s="27">
        <f>IF(설정!$D$19="",0,IFERROR(VALUE(SUBSTITUTE(SUBSTITUTE(INDEX(급여대장_원본!$A$1:$AZ$400,(설정!$B$8+270),설정!$D$19)&amp;"",",",""),"　","")),0))</f>
        <v/>
      </c>
      <c r="I276" s="27">
        <f>IF(설정!$D$20="",0,IFERROR(VALUE(SUBSTITUTE(SUBSTITUTE(INDEX(급여대장_원본!$A$1:$AZ$400,(설정!$B$8+270),설정!$D$20)&amp;"",",",""),"　","")),0))</f>
        <v/>
      </c>
      <c r="J276" s="27">
        <f>IF(설정!$D$21="",0,IFERROR(VALUE(SUBSTITUTE(SUBSTITUTE(INDEX(급여대장_원본!$A$1:$AZ$400,(설정!$B$8+270),설정!$D$21)&amp;"",",",""),"　","")),0))</f>
        <v/>
      </c>
      <c r="K276" s="27">
        <f>IF(설정!$D$22="",0,IFERROR(VALUE(SUBSTITUTE(SUBSTITUTE(INDEX(급여대장_원본!$A$1:$AZ$400,(설정!$B$8+270),설정!$D$22)&amp;"",",",""),"　","")),0))</f>
        <v/>
      </c>
      <c r="L276" s="27">
        <f>IF(설정!$D$23="",0,IFERROR(VALUE(SUBSTITUTE(SUBSTITUTE(INDEX(급여대장_원본!$A$1:$AZ$400,(설정!$B$8+270),설정!$D$23)&amp;"",",",""),"　","")),0))</f>
        <v/>
      </c>
      <c r="M276" s="27">
        <f>IF(설정!$D$24="",0,IFERROR(VALUE(SUBSTITUTE(SUBSTITUTE(INDEX(급여대장_원본!$A$1:$AZ$400,(설정!$B$8+270),설정!$D$24)&amp;"",",",""),"　","")),0))</f>
        <v/>
      </c>
      <c r="N276" s="2">
        <f>IF(OR(설정!$C$17="",IFERROR(MATCH(설정!$C$17,INDEX(급여대장_원본!$A$1:$AZ$400,설정!$B$8,0),0),"")=""),"",IFERROR(VALUE(SUBSTITUTE(INDEX(급여대장_원본!$A$1:$AZ$400,(설정!$B$8+270),IFERROR(MATCH(설정!$C$17,INDEX(급여대장_원본!$A$1:$AZ$400,설정!$B$8,0),0),""))&amp;"",",","")),""))</f>
        <v/>
      </c>
      <c r="O276" s="2">
        <f>IF(OR(설정!$C$18="",IFERROR(MATCH(설정!$C$18,INDEX(급여대장_원본!$A$1:$AZ$400,설정!$B$8,0),0),"")=""),"",IFERROR(VALUE(SUBSTITUTE(INDEX(급여대장_원본!$A$1:$AZ$400,(설정!$B$8+270),IFERROR(MATCH(설정!$C$18,INDEX(급여대장_원본!$A$1:$AZ$400,설정!$B$8,0),0),""))&amp;"",",","")),""))</f>
        <v/>
      </c>
      <c r="P276" s="2">
        <f>IF(OR(설정!$C$19="",IFERROR(MATCH(설정!$C$19,INDEX(급여대장_원본!$A$1:$AZ$400,설정!$B$8,0),0),"")=""),"",IFERROR(VALUE(SUBSTITUTE(INDEX(급여대장_원본!$A$1:$AZ$400,(설정!$B$8+270),IFERROR(MATCH(설정!$C$19,INDEX(급여대장_원본!$A$1:$AZ$400,설정!$B$8,0),0),""))&amp;"",",","")),""))</f>
        <v/>
      </c>
      <c r="Q276" s="2">
        <f>IF(OR(설정!$C$20="",IFERROR(MATCH(설정!$C$20,INDEX(급여대장_원본!$A$1:$AZ$400,설정!$B$8,0),0),"")=""),"",IFERROR(VALUE(SUBSTITUTE(INDEX(급여대장_원본!$A$1:$AZ$400,(설정!$B$8+270),IFERROR(MATCH(설정!$C$20,INDEX(급여대장_원본!$A$1:$AZ$400,설정!$B$8,0),0),""))&amp;"",",","")),""))</f>
        <v/>
      </c>
      <c r="R276" s="2">
        <f>IF(OR(설정!$C$21="",IFERROR(MATCH(설정!$C$21,INDEX(급여대장_원본!$A$1:$AZ$400,설정!$B$8,0),0),"")=""),"",IFERROR(VALUE(SUBSTITUTE(INDEX(급여대장_원본!$A$1:$AZ$400,(설정!$B$8+270),IFERROR(MATCH(설정!$C$21,INDEX(급여대장_원본!$A$1:$AZ$400,설정!$B$8,0),0),""))&amp;"",",","")),""))</f>
        <v/>
      </c>
      <c r="S276" s="2">
        <f>IF(OR(설정!$C$22="",IFERROR(MATCH(설정!$C$22,INDEX(급여대장_원본!$A$1:$AZ$400,설정!$B$8,0),0),"")=""),"",IFERROR(VALUE(SUBSTITUTE(INDEX(급여대장_원본!$A$1:$AZ$400,(설정!$B$8+270),IFERROR(MATCH(설정!$C$22,INDEX(급여대장_원본!$A$1:$AZ$400,설정!$B$8,0),0),""))&amp;"",",","")),""))</f>
        <v/>
      </c>
      <c r="T276" s="2">
        <f>IF(OR(설정!$C$23="",IFERROR(MATCH(설정!$C$23,INDEX(급여대장_원본!$A$1:$AZ$400,설정!$B$8,0),0),"")=""),"",IFERROR(VALUE(SUBSTITUTE(INDEX(급여대장_원본!$A$1:$AZ$400,(설정!$B$8+270),IFERROR(MATCH(설정!$C$23,INDEX(급여대장_원본!$A$1:$AZ$400,설정!$B$8,0),0),""))&amp;"",",","")),""))</f>
        <v/>
      </c>
      <c r="U276" s="2">
        <f>IF(OR(설정!$C$24="",IFERROR(MATCH(설정!$C$24,INDEX(급여대장_원본!$A$1:$AZ$400,설정!$B$8,0),0),"")=""),"",IFERROR(VALUE(SUBSTITUTE(INDEX(급여대장_원본!$A$1:$AZ$400,(설정!$B$8+270),IFERROR(MATCH(설정!$C$24,INDEX(급여대장_원본!$A$1:$AZ$400,설정!$B$8,0),0),""))&amp;"",",","")),""))</f>
        <v/>
      </c>
      <c r="V276" s="27">
        <f>SUM(F276:M276)</f>
        <v/>
      </c>
      <c r="W276" s="27">
        <f>IF(설정!$D$26="",0,IFERROR(VALUE(SUBSTITUTE(SUBSTITUTE(INDEX(급여대장_원본!$A$1:$AZ$400,(설정!$B$8+270),설정!$D$26)&amp;"",",",""),"　","")),0))</f>
        <v/>
      </c>
      <c r="X276" s="27">
        <f>IF(설정!$D$27="",0,IFERROR(VALUE(SUBSTITUTE(SUBSTITUTE(INDEX(급여대장_원본!$A$1:$AZ$400,(설정!$B$8+270),설정!$D$27)&amp;"",",",""),"　","")),0))</f>
        <v/>
      </c>
      <c r="Y276" s="27">
        <f>IF(설정!$D$28="",0,IFERROR(VALUE(SUBSTITUTE(SUBSTITUTE(INDEX(급여대장_원본!$A$1:$AZ$400,(설정!$B$8+270),설정!$D$28)&amp;"",",",""),"　","")),0))</f>
        <v/>
      </c>
      <c r="Z276" s="27">
        <f>IF(설정!$D$29="",0,IFERROR(VALUE(SUBSTITUTE(SUBSTITUTE(INDEX(급여대장_원본!$A$1:$AZ$400,(설정!$B$8+270),설정!$D$29)&amp;"",",",""),"　","")),0))</f>
        <v/>
      </c>
      <c r="AA276" s="27">
        <f>IF(설정!$D$30="",0,IFERROR(VALUE(SUBSTITUTE(SUBSTITUTE(INDEX(급여대장_원본!$A$1:$AZ$400,(설정!$B$8+270),설정!$D$30)&amp;"",",",""),"　","")),0))</f>
        <v/>
      </c>
      <c r="AB276" s="27">
        <f>IF(설정!$D$31="",0,IFERROR(VALUE(SUBSTITUTE(SUBSTITUTE(INDEX(급여대장_원본!$A$1:$AZ$400,(설정!$B$8+270),설정!$D$31)&amp;"",",",""),"　","")),0))</f>
        <v/>
      </c>
      <c r="AC276" s="27">
        <f>IF(설정!$D$32="",0,IFERROR(VALUE(SUBSTITUTE(SUBSTITUTE(INDEX(급여대장_원본!$A$1:$AZ$400,(설정!$B$8+270),설정!$D$32)&amp;"",",",""),"　","")),0))</f>
        <v/>
      </c>
      <c r="AD276" s="27">
        <f>IF(설정!$D$33="",0,IFERROR(VALUE(SUBSTITUTE(SUBSTITUTE(INDEX(급여대장_원본!$A$1:$AZ$400,(설정!$B$8+270),설정!$D$33)&amp;"",",",""),"　","")),0))</f>
        <v/>
      </c>
      <c r="AE276" s="27">
        <f>SUM(W276:AD276)</f>
        <v/>
      </c>
      <c r="AF276" s="27">
        <f>V276-AE276</f>
        <v/>
      </c>
      <c r="AG276" s="27">
        <f>IF(설정!$D$35="","",IF(설정!$D$35="",0,IFERROR(VALUE(SUBSTITUTE(SUBSTITUTE(INDEX(급여대장_원본!$A$1:$AZ$400,(설정!$B$8+270),설정!$D$35)&amp;"",",",""),"　","")),0)))</f>
        <v/>
      </c>
      <c r="AH276" s="27">
        <f>IF(설정!$D$36="","",IF(설정!$D$36="",0,IFERROR(VALUE(SUBSTITUTE(SUBSTITUTE(INDEX(급여대장_원본!$A$1:$AZ$400,(설정!$B$8+270),설정!$D$36)&amp;"",",",""),"　","")),0)))</f>
        <v/>
      </c>
      <c r="AI276" s="27">
        <f>IF(설정!$D$37="","",IF(설정!$D$37="",0,IFERROR(VALUE(SUBSTITUTE(SUBSTITUTE(INDEX(급여대장_원본!$A$1:$AZ$400,(설정!$B$8+270),설정!$D$37)&amp;"",",",""),"　","")),0)))</f>
        <v/>
      </c>
      <c r="AJ276" s="2">
        <f>IFERROR(INDEX($D$7:$D$306,MATCH(270,$B$7:$B$306,0)),"")</f>
        <v/>
      </c>
    </row>
    <row r="277">
      <c r="A277" s="2">
        <f>IF(AND(D277&lt;&gt;"",D277&lt;&gt;"합계",D277&lt;&gt;"총계",D277&lt;&gt;"소계",D277&lt;&gt;"계"),1,0)</f>
        <v/>
      </c>
      <c r="B277" s="2">
        <f>IF(A277=1,SUM($A$7:A277),"")</f>
        <v/>
      </c>
      <c r="C277" s="2">
        <f>IF(설정!$D$13="","",TRIM(SUBSTITUTE(INDEX(급여대장_원본!$A$1:$AZ$400,(설정!$B$8+271),설정!$D$13)&amp;"","　"," ")))</f>
        <v/>
      </c>
      <c r="D277" s="2">
        <f>IF(설정!$D$14="","",TRIM(SUBSTITUTE(INDEX(급여대장_원본!$A$1:$AZ$400,(설정!$B$8+271),설정!$D$14)&amp;"","　"," ")))</f>
        <v/>
      </c>
      <c r="E277" s="2">
        <f>IF(설정!$D$15="","",TRIM(SUBSTITUTE(INDEX(급여대장_원본!$A$1:$AZ$400,(설정!$B$8+271),설정!$D$15)&amp;"","　"," ")))</f>
        <v/>
      </c>
      <c r="F277" s="27">
        <f>IF(설정!$D$17="",0,IFERROR(VALUE(SUBSTITUTE(SUBSTITUTE(INDEX(급여대장_원본!$A$1:$AZ$400,(설정!$B$8+271),설정!$D$17)&amp;"",",",""),"　","")),0))</f>
        <v/>
      </c>
      <c r="G277" s="27">
        <f>IF(설정!$D$18="",0,IFERROR(VALUE(SUBSTITUTE(SUBSTITUTE(INDEX(급여대장_원본!$A$1:$AZ$400,(설정!$B$8+271),설정!$D$18)&amp;"",",",""),"　","")),0))</f>
        <v/>
      </c>
      <c r="H277" s="27">
        <f>IF(설정!$D$19="",0,IFERROR(VALUE(SUBSTITUTE(SUBSTITUTE(INDEX(급여대장_원본!$A$1:$AZ$400,(설정!$B$8+271),설정!$D$19)&amp;"",",",""),"　","")),0))</f>
        <v/>
      </c>
      <c r="I277" s="27">
        <f>IF(설정!$D$20="",0,IFERROR(VALUE(SUBSTITUTE(SUBSTITUTE(INDEX(급여대장_원본!$A$1:$AZ$400,(설정!$B$8+271),설정!$D$20)&amp;"",",",""),"　","")),0))</f>
        <v/>
      </c>
      <c r="J277" s="27">
        <f>IF(설정!$D$21="",0,IFERROR(VALUE(SUBSTITUTE(SUBSTITUTE(INDEX(급여대장_원본!$A$1:$AZ$400,(설정!$B$8+271),설정!$D$21)&amp;"",",",""),"　","")),0))</f>
        <v/>
      </c>
      <c r="K277" s="27">
        <f>IF(설정!$D$22="",0,IFERROR(VALUE(SUBSTITUTE(SUBSTITUTE(INDEX(급여대장_원본!$A$1:$AZ$400,(설정!$B$8+271),설정!$D$22)&amp;"",",",""),"　","")),0))</f>
        <v/>
      </c>
      <c r="L277" s="27">
        <f>IF(설정!$D$23="",0,IFERROR(VALUE(SUBSTITUTE(SUBSTITUTE(INDEX(급여대장_원본!$A$1:$AZ$400,(설정!$B$8+271),설정!$D$23)&amp;"",",",""),"　","")),0))</f>
        <v/>
      </c>
      <c r="M277" s="27">
        <f>IF(설정!$D$24="",0,IFERROR(VALUE(SUBSTITUTE(SUBSTITUTE(INDEX(급여대장_원본!$A$1:$AZ$400,(설정!$B$8+271),설정!$D$24)&amp;"",",",""),"　","")),0))</f>
        <v/>
      </c>
      <c r="N277" s="2">
        <f>IF(OR(설정!$C$17="",IFERROR(MATCH(설정!$C$17,INDEX(급여대장_원본!$A$1:$AZ$400,설정!$B$8,0),0),"")=""),"",IFERROR(VALUE(SUBSTITUTE(INDEX(급여대장_원본!$A$1:$AZ$400,(설정!$B$8+271),IFERROR(MATCH(설정!$C$17,INDEX(급여대장_원본!$A$1:$AZ$400,설정!$B$8,0),0),""))&amp;"",",","")),""))</f>
        <v/>
      </c>
      <c r="O277" s="2">
        <f>IF(OR(설정!$C$18="",IFERROR(MATCH(설정!$C$18,INDEX(급여대장_원본!$A$1:$AZ$400,설정!$B$8,0),0),"")=""),"",IFERROR(VALUE(SUBSTITUTE(INDEX(급여대장_원본!$A$1:$AZ$400,(설정!$B$8+271),IFERROR(MATCH(설정!$C$18,INDEX(급여대장_원본!$A$1:$AZ$400,설정!$B$8,0),0),""))&amp;"",",","")),""))</f>
        <v/>
      </c>
      <c r="P277" s="2">
        <f>IF(OR(설정!$C$19="",IFERROR(MATCH(설정!$C$19,INDEX(급여대장_원본!$A$1:$AZ$400,설정!$B$8,0),0),"")=""),"",IFERROR(VALUE(SUBSTITUTE(INDEX(급여대장_원본!$A$1:$AZ$400,(설정!$B$8+271),IFERROR(MATCH(설정!$C$19,INDEX(급여대장_원본!$A$1:$AZ$400,설정!$B$8,0),0),""))&amp;"",",","")),""))</f>
        <v/>
      </c>
      <c r="Q277" s="2">
        <f>IF(OR(설정!$C$20="",IFERROR(MATCH(설정!$C$20,INDEX(급여대장_원본!$A$1:$AZ$400,설정!$B$8,0),0),"")=""),"",IFERROR(VALUE(SUBSTITUTE(INDEX(급여대장_원본!$A$1:$AZ$400,(설정!$B$8+271),IFERROR(MATCH(설정!$C$20,INDEX(급여대장_원본!$A$1:$AZ$400,설정!$B$8,0),0),""))&amp;"",",","")),""))</f>
        <v/>
      </c>
      <c r="R277" s="2">
        <f>IF(OR(설정!$C$21="",IFERROR(MATCH(설정!$C$21,INDEX(급여대장_원본!$A$1:$AZ$400,설정!$B$8,0),0),"")=""),"",IFERROR(VALUE(SUBSTITUTE(INDEX(급여대장_원본!$A$1:$AZ$400,(설정!$B$8+271),IFERROR(MATCH(설정!$C$21,INDEX(급여대장_원본!$A$1:$AZ$400,설정!$B$8,0),0),""))&amp;"",",","")),""))</f>
        <v/>
      </c>
      <c r="S277" s="2">
        <f>IF(OR(설정!$C$22="",IFERROR(MATCH(설정!$C$22,INDEX(급여대장_원본!$A$1:$AZ$400,설정!$B$8,0),0),"")=""),"",IFERROR(VALUE(SUBSTITUTE(INDEX(급여대장_원본!$A$1:$AZ$400,(설정!$B$8+271),IFERROR(MATCH(설정!$C$22,INDEX(급여대장_원본!$A$1:$AZ$400,설정!$B$8,0),0),""))&amp;"",",","")),""))</f>
        <v/>
      </c>
      <c r="T277" s="2">
        <f>IF(OR(설정!$C$23="",IFERROR(MATCH(설정!$C$23,INDEX(급여대장_원본!$A$1:$AZ$400,설정!$B$8,0),0),"")=""),"",IFERROR(VALUE(SUBSTITUTE(INDEX(급여대장_원본!$A$1:$AZ$400,(설정!$B$8+271),IFERROR(MATCH(설정!$C$23,INDEX(급여대장_원본!$A$1:$AZ$400,설정!$B$8,0),0),""))&amp;"",",","")),""))</f>
        <v/>
      </c>
      <c r="U277" s="2">
        <f>IF(OR(설정!$C$24="",IFERROR(MATCH(설정!$C$24,INDEX(급여대장_원본!$A$1:$AZ$400,설정!$B$8,0),0),"")=""),"",IFERROR(VALUE(SUBSTITUTE(INDEX(급여대장_원본!$A$1:$AZ$400,(설정!$B$8+271),IFERROR(MATCH(설정!$C$24,INDEX(급여대장_원본!$A$1:$AZ$400,설정!$B$8,0),0),""))&amp;"",",","")),""))</f>
        <v/>
      </c>
      <c r="V277" s="27">
        <f>SUM(F277:M277)</f>
        <v/>
      </c>
      <c r="W277" s="27">
        <f>IF(설정!$D$26="",0,IFERROR(VALUE(SUBSTITUTE(SUBSTITUTE(INDEX(급여대장_원본!$A$1:$AZ$400,(설정!$B$8+271),설정!$D$26)&amp;"",",",""),"　","")),0))</f>
        <v/>
      </c>
      <c r="X277" s="27">
        <f>IF(설정!$D$27="",0,IFERROR(VALUE(SUBSTITUTE(SUBSTITUTE(INDEX(급여대장_원본!$A$1:$AZ$400,(설정!$B$8+271),설정!$D$27)&amp;"",",",""),"　","")),0))</f>
        <v/>
      </c>
      <c r="Y277" s="27">
        <f>IF(설정!$D$28="",0,IFERROR(VALUE(SUBSTITUTE(SUBSTITUTE(INDEX(급여대장_원본!$A$1:$AZ$400,(설정!$B$8+271),설정!$D$28)&amp;"",",",""),"　","")),0))</f>
        <v/>
      </c>
      <c r="Z277" s="27">
        <f>IF(설정!$D$29="",0,IFERROR(VALUE(SUBSTITUTE(SUBSTITUTE(INDEX(급여대장_원본!$A$1:$AZ$400,(설정!$B$8+271),설정!$D$29)&amp;"",",",""),"　","")),0))</f>
        <v/>
      </c>
      <c r="AA277" s="27">
        <f>IF(설정!$D$30="",0,IFERROR(VALUE(SUBSTITUTE(SUBSTITUTE(INDEX(급여대장_원본!$A$1:$AZ$400,(설정!$B$8+271),설정!$D$30)&amp;"",",",""),"　","")),0))</f>
        <v/>
      </c>
      <c r="AB277" s="27">
        <f>IF(설정!$D$31="",0,IFERROR(VALUE(SUBSTITUTE(SUBSTITUTE(INDEX(급여대장_원본!$A$1:$AZ$400,(설정!$B$8+271),설정!$D$31)&amp;"",",",""),"　","")),0))</f>
        <v/>
      </c>
      <c r="AC277" s="27">
        <f>IF(설정!$D$32="",0,IFERROR(VALUE(SUBSTITUTE(SUBSTITUTE(INDEX(급여대장_원본!$A$1:$AZ$400,(설정!$B$8+271),설정!$D$32)&amp;"",",",""),"　","")),0))</f>
        <v/>
      </c>
      <c r="AD277" s="27">
        <f>IF(설정!$D$33="",0,IFERROR(VALUE(SUBSTITUTE(SUBSTITUTE(INDEX(급여대장_원본!$A$1:$AZ$400,(설정!$B$8+271),설정!$D$33)&amp;"",",",""),"　","")),0))</f>
        <v/>
      </c>
      <c r="AE277" s="27">
        <f>SUM(W277:AD277)</f>
        <v/>
      </c>
      <c r="AF277" s="27">
        <f>V277-AE277</f>
        <v/>
      </c>
      <c r="AG277" s="27">
        <f>IF(설정!$D$35="","",IF(설정!$D$35="",0,IFERROR(VALUE(SUBSTITUTE(SUBSTITUTE(INDEX(급여대장_원본!$A$1:$AZ$400,(설정!$B$8+271),설정!$D$35)&amp;"",",",""),"　","")),0)))</f>
        <v/>
      </c>
      <c r="AH277" s="27">
        <f>IF(설정!$D$36="","",IF(설정!$D$36="",0,IFERROR(VALUE(SUBSTITUTE(SUBSTITUTE(INDEX(급여대장_원본!$A$1:$AZ$400,(설정!$B$8+271),설정!$D$36)&amp;"",",",""),"　","")),0)))</f>
        <v/>
      </c>
      <c r="AI277" s="27">
        <f>IF(설정!$D$37="","",IF(설정!$D$37="",0,IFERROR(VALUE(SUBSTITUTE(SUBSTITUTE(INDEX(급여대장_원본!$A$1:$AZ$400,(설정!$B$8+271),설정!$D$37)&amp;"",",",""),"　","")),0)))</f>
        <v/>
      </c>
      <c r="AJ277" s="2">
        <f>IFERROR(INDEX($D$7:$D$306,MATCH(271,$B$7:$B$306,0)),"")</f>
        <v/>
      </c>
    </row>
    <row r="278">
      <c r="A278" s="2">
        <f>IF(AND(D278&lt;&gt;"",D278&lt;&gt;"합계",D278&lt;&gt;"총계",D278&lt;&gt;"소계",D278&lt;&gt;"계"),1,0)</f>
        <v/>
      </c>
      <c r="B278" s="2">
        <f>IF(A278=1,SUM($A$7:A278),"")</f>
        <v/>
      </c>
      <c r="C278" s="2">
        <f>IF(설정!$D$13="","",TRIM(SUBSTITUTE(INDEX(급여대장_원본!$A$1:$AZ$400,(설정!$B$8+272),설정!$D$13)&amp;"","　"," ")))</f>
        <v/>
      </c>
      <c r="D278" s="2">
        <f>IF(설정!$D$14="","",TRIM(SUBSTITUTE(INDEX(급여대장_원본!$A$1:$AZ$400,(설정!$B$8+272),설정!$D$14)&amp;"","　"," ")))</f>
        <v/>
      </c>
      <c r="E278" s="2">
        <f>IF(설정!$D$15="","",TRIM(SUBSTITUTE(INDEX(급여대장_원본!$A$1:$AZ$400,(설정!$B$8+272),설정!$D$15)&amp;"","　"," ")))</f>
        <v/>
      </c>
      <c r="F278" s="27">
        <f>IF(설정!$D$17="",0,IFERROR(VALUE(SUBSTITUTE(SUBSTITUTE(INDEX(급여대장_원본!$A$1:$AZ$400,(설정!$B$8+272),설정!$D$17)&amp;"",",",""),"　","")),0))</f>
        <v/>
      </c>
      <c r="G278" s="27">
        <f>IF(설정!$D$18="",0,IFERROR(VALUE(SUBSTITUTE(SUBSTITUTE(INDEX(급여대장_원본!$A$1:$AZ$400,(설정!$B$8+272),설정!$D$18)&amp;"",",",""),"　","")),0))</f>
        <v/>
      </c>
      <c r="H278" s="27">
        <f>IF(설정!$D$19="",0,IFERROR(VALUE(SUBSTITUTE(SUBSTITUTE(INDEX(급여대장_원본!$A$1:$AZ$400,(설정!$B$8+272),설정!$D$19)&amp;"",",",""),"　","")),0))</f>
        <v/>
      </c>
      <c r="I278" s="27">
        <f>IF(설정!$D$20="",0,IFERROR(VALUE(SUBSTITUTE(SUBSTITUTE(INDEX(급여대장_원본!$A$1:$AZ$400,(설정!$B$8+272),설정!$D$20)&amp;"",",",""),"　","")),0))</f>
        <v/>
      </c>
      <c r="J278" s="27">
        <f>IF(설정!$D$21="",0,IFERROR(VALUE(SUBSTITUTE(SUBSTITUTE(INDEX(급여대장_원본!$A$1:$AZ$400,(설정!$B$8+272),설정!$D$21)&amp;"",",",""),"　","")),0))</f>
        <v/>
      </c>
      <c r="K278" s="27">
        <f>IF(설정!$D$22="",0,IFERROR(VALUE(SUBSTITUTE(SUBSTITUTE(INDEX(급여대장_원본!$A$1:$AZ$400,(설정!$B$8+272),설정!$D$22)&amp;"",",",""),"　","")),0))</f>
        <v/>
      </c>
      <c r="L278" s="27">
        <f>IF(설정!$D$23="",0,IFERROR(VALUE(SUBSTITUTE(SUBSTITUTE(INDEX(급여대장_원본!$A$1:$AZ$400,(설정!$B$8+272),설정!$D$23)&amp;"",",",""),"　","")),0))</f>
        <v/>
      </c>
      <c r="M278" s="27">
        <f>IF(설정!$D$24="",0,IFERROR(VALUE(SUBSTITUTE(SUBSTITUTE(INDEX(급여대장_원본!$A$1:$AZ$400,(설정!$B$8+272),설정!$D$24)&amp;"",",",""),"　","")),0))</f>
        <v/>
      </c>
      <c r="N278" s="2">
        <f>IF(OR(설정!$C$17="",IFERROR(MATCH(설정!$C$17,INDEX(급여대장_원본!$A$1:$AZ$400,설정!$B$8,0),0),"")=""),"",IFERROR(VALUE(SUBSTITUTE(INDEX(급여대장_원본!$A$1:$AZ$400,(설정!$B$8+272),IFERROR(MATCH(설정!$C$17,INDEX(급여대장_원본!$A$1:$AZ$400,설정!$B$8,0),0),""))&amp;"",",","")),""))</f>
        <v/>
      </c>
      <c r="O278" s="2">
        <f>IF(OR(설정!$C$18="",IFERROR(MATCH(설정!$C$18,INDEX(급여대장_원본!$A$1:$AZ$400,설정!$B$8,0),0),"")=""),"",IFERROR(VALUE(SUBSTITUTE(INDEX(급여대장_원본!$A$1:$AZ$400,(설정!$B$8+272),IFERROR(MATCH(설정!$C$18,INDEX(급여대장_원본!$A$1:$AZ$400,설정!$B$8,0),0),""))&amp;"",",","")),""))</f>
        <v/>
      </c>
      <c r="P278" s="2">
        <f>IF(OR(설정!$C$19="",IFERROR(MATCH(설정!$C$19,INDEX(급여대장_원본!$A$1:$AZ$400,설정!$B$8,0),0),"")=""),"",IFERROR(VALUE(SUBSTITUTE(INDEX(급여대장_원본!$A$1:$AZ$400,(설정!$B$8+272),IFERROR(MATCH(설정!$C$19,INDEX(급여대장_원본!$A$1:$AZ$400,설정!$B$8,0),0),""))&amp;"",",","")),""))</f>
        <v/>
      </c>
      <c r="Q278" s="2">
        <f>IF(OR(설정!$C$20="",IFERROR(MATCH(설정!$C$20,INDEX(급여대장_원본!$A$1:$AZ$400,설정!$B$8,0),0),"")=""),"",IFERROR(VALUE(SUBSTITUTE(INDEX(급여대장_원본!$A$1:$AZ$400,(설정!$B$8+272),IFERROR(MATCH(설정!$C$20,INDEX(급여대장_원본!$A$1:$AZ$400,설정!$B$8,0),0),""))&amp;"",",","")),""))</f>
        <v/>
      </c>
      <c r="R278" s="2">
        <f>IF(OR(설정!$C$21="",IFERROR(MATCH(설정!$C$21,INDEX(급여대장_원본!$A$1:$AZ$400,설정!$B$8,0),0),"")=""),"",IFERROR(VALUE(SUBSTITUTE(INDEX(급여대장_원본!$A$1:$AZ$400,(설정!$B$8+272),IFERROR(MATCH(설정!$C$21,INDEX(급여대장_원본!$A$1:$AZ$400,설정!$B$8,0),0),""))&amp;"",",","")),""))</f>
        <v/>
      </c>
      <c r="S278" s="2">
        <f>IF(OR(설정!$C$22="",IFERROR(MATCH(설정!$C$22,INDEX(급여대장_원본!$A$1:$AZ$400,설정!$B$8,0),0),"")=""),"",IFERROR(VALUE(SUBSTITUTE(INDEX(급여대장_원본!$A$1:$AZ$400,(설정!$B$8+272),IFERROR(MATCH(설정!$C$22,INDEX(급여대장_원본!$A$1:$AZ$400,설정!$B$8,0),0),""))&amp;"",",","")),""))</f>
        <v/>
      </c>
      <c r="T278" s="2">
        <f>IF(OR(설정!$C$23="",IFERROR(MATCH(설정!$C$23,INDEX(급여대장_원본!$A$1:$AZ$400,설정!$B$8,0),0),"")=""),"",IFERROR(VALUE(SUBSTITUTE(INDEX(급여대장_원본!$A$1:$AZ$400,(설정!$B$8+272),IFERROR(MATCH(설정!$C$23,INDEX(급여대장_원본!$A$1:$AZ$400,설정!$B$8,0),0),""))&amp;"",",","")),""))</f>
        <v/>
      </c>
      <c r="U278" s="2">
        <f>IF(OR(설정!$C$24="",IFERROR(MATCH(설정!$C$24,INDEX(급여대장_원본!$A$1:$AZ$400,설정!$B$8,0),0),"")=""),"",IFERROR(VALUE(SUBSTITUTE(INDEX(급여대장_원본!$A$1:$AZ$400,(설정!$B$8+272),IFERROR(MATCH(설정!$C$24,INDEX(급여대장_원본!$A$1:$AZ$400,설정!$B$8,0),0),""))&amp;"",",","")),""))</f>
        <v/>
      </c>
      <c r="V278" s="27">
        <f>SUM(F278:M278)</f>
        <v/>
      </c>
      <c r="W278" s="27">
        <f>IF(설정!$D$26="",0,IFERROR(VALUE(SUBSTITUTE(SUBSTITUTE(INDEX(급여대장_원본!$A$1:$AZ$400,(설정!$B$8+272),설정!$D$26)&amp;"",",",""),"　","")),0))</f>
        <v/>
      </c>
      <c r="X278" s="27">
        <f>IF(설정!$D$27="",0,IFERROR(VALUE(SUBSTITUTE(SUBSTITUTE(INDEX(급여대장_원본!$A$1:$AZ$400,(설정!$B$8+272),설정!$D$27)&amp;"",",",""),"　","")),0))</f>
        <v/>
      </c>
      <c r="Y278" s="27">
        <f>IF(설정!$D$28="",0,IFERROR(VALUE(SUBSTITUTE(SUBSTITUTE(INDEX(급여대장_원본!$A$1:$AZ$400,(설정!$B$8+272),설정!$D$28)&amp;"",",",""),"　","")),0))</f>
        <v/>
      </c>
      <c r="Z278" s="27">
        <f>IF(설정!$D$29="",0,IFERROR(VALUE(SUBSTITUTE(SUBSTITUTE(INDEX(급여대장_원본!$A$1:$AZ$400,(설정!$B$8+272),설정!$D$29)&amp;"",",",""),"　","")),0))</f>
        <v/>
      </c>
      <c r="AA278" s="27">
        <f>IF(설정!$D$30="",0,IFERROR(VALUE(SUBSTITUTE(SUBSTITUTE(INDEX(급여대장_원본!$A$1:$AZ$400,(설정!$B$8+272),설정!$D$30)&amp;"",",",""),"　","")),0))</f>
        <v/>
      </c>
      <c r="AB278" s="27">
        <f>IF(설정!$D$31="",0,IFERROR(VALUE(SUBSTITUTE(SUBSTITUTE(INDEX(급여대장_원본!$A$1:$AZ$400,(설정!$B$8+272),설정!$D$31)&amp;"",",",""),"　","")),0))</f>
        <v/>
      </c>
      <c r="AC278" s="27">
        <f>IF(설정!$D$32="",0,IFERROR(VALUE(SUBSTITUTE(SUBSTITUTE(INDEX(급여대장_원본!$A$1:$AZ$400,(설정!$B$8+272),설정!$D$32)&amp;"",",",""),"　","")),0))</f>
        <v/>
      </c>
      <c r="AD278" s="27">
        <f>IF(설정!$D$33="",0,IFERROR(VALUE(SUBSTITUTE(SUBSTITUTE(INDEX(급여대장_원본!$A$1:$AZ$400,(설정!$B$8+272),설정!$D$33)&amp;"",",",""),"　","")),0))</f>
        <v/>
      </c>
      <c r="AE278" s="27">
        <f>SUM(W278:AD278)</f>
        <v/>
      </c>
      <c r="AF278" s="27">
        <f>V278-AE278</f>
        <v/>
      </c>
      <c r="AG278" s="27">
        <f>IF(설정!$D$35="","",IF(설정!$D$35="",0,IFERROR(VALUE(SUBSTITUTE(SUBSTITUTE(INDEX(급여대장_원본!$A$1:$AZ$400,(설정!$B$8+272),설정!$D$35)&amp;"",",",""),"　","")),0)))</f>
        <v/>
      </c>
      <c r="AH278" s="27">
        <f>IF(설정!$D$36="","",IF(설정!$D$36="",0,IFERROR(VALUE(SUBSTITUTE(SUBSTITUTE(INDEX(급여대장_원본!$A$1:$AZ$400,(설정!$B$8+272),설정!$D$36)&amp;"",",",""),"　","")),0)))</f>
        <v/>
      </c>
      <c r="AI278" s="27">
        <f>IF(설정!$D$37="","",IF(설정!$D$37="",0,IFERROR(VALUE(SUBSTITUTE(SUBSTITUTE(INDEX(급여대장_원본!$A$1:$AZ$400,(설정!$B$8+272),설정!$D$37)&amp;"",",",""),"　","")),0)))</f>
        <v/>
      </c>
      <c r="AJ278" s="2">
        <f>IFERROR(INDEX($D$7:$D$306,MATCH(272,$B$7:$B$306,0)),"")</f>
        <v/>
      </c>
    </row>
    <row r="279">
      <c r="A279" s="2">
        <f>IF(AND(D279&lt;&gt;"",D279&lt;&gt;"합계",D279&lt;&gt;"총계",D279&lt;&gt;"소계",D279&lt;&gt;"계"),1,0)</f>
        <v/>
      </c>
      <c r="B279" s="2">
        <f>IF(A279=1,SUM($A$7:A279),"")</f>
        <v/>
      </c>
      <c r="C279" s="2">
        <f>IF(설정!$D$13="","",TRIM(SUBSTITUTE(INDEX(급여대장_원본!$A$1:$AZ$400,(설정!$B$8+273),설정!$D$13)&amp;"","　"," ")))</f>
        <v/>
      </c>
      <c r="D279" s="2">
        <f>IF(설정!$D$14="","",TRIM(SUBSTITUTE(INDEX(급여대장_원본!$A$1:$AZ$400,(설정!$B$8+273),설정!$D$14)&amp;"","　"," ")))</f>
        <v/>
      </c>
      <c r="E279" s="2">
        <f>IF(설정!$D$15="","",TRIM(SUBSTITUTE(INDEX(급여대장_원본!$A$1:$AZ$400,(설정!$B$8+273),설정!$D$15)&amp;"","　"," ")))</f>
        <v/>
      </c>
      <c r="F279" s="27">
        <f>IF(설정!$D$17="",0,IFERROR(VALUE(SUBSTITUTE(SUBSTITUTE(INDEX(급여대장_원본!$A$1:$AZ$400,(설정!$B$8+273),설정!$D$17)&amp;"",",",""),"　","")),0))</f>
        <v/>
      </c>
      <c r="G279" s="27">
        <f>IF(설정!$D$18="",0,IFERROR(VALUE(SUBSTITUTE(SUBSTITUTE(INDEX(급여대장_원본!$A$1:$AZ$400,(설정!$B$8+273),설정!$D$18)&amp;"",",",""),"　","")),0))</f>
        <v/>
      </c>
      <c r="H279" s="27">
        <f>IF(설정!$D$19="",0,IFERROR(VALUE(SUBSTITUTE(SUBSTITUTE(INDEX(급여대장_원본!$A$1:$AZ$400,(설정!$B$8+273),설정!$D$19)&amp;"",",",""),"　","")),0))</f>
        <v/>
      </c>
      <c r="I279" s="27">
        <f>IF(설정!$D$20="",0,IFERROR(VALUE(SUBSTITUTE(SUBSTITUTE(INDEX(급여대장_원본!$A$1:$AZ$400,(설정!$B$8+273),설정!$D$20)&amp;"",",",""),"　","")),0))</f>
        <v/>
      </c>
      <c r="J279" s="27">
        <f>IF(설정!$D$21="",0,IFERROR(VALUE(SUBSTITUTE(SUBSTITUTE(INDEX(급여대장_원본!$A$1:$AZ$400,(설정!$B$8+273),설정!$D$21)&amp;"",",",""),"　","")),0))</f>
        <v/>
      </c>
      <c r="K279" s="27">
        <f>IF(설정!$D$22="",0,IFERROR(VALUE(SUBSTITUTE(SUBSTITUTE(INDEX(급여대장_원본!$A$1:$AZ$400,(설정!$B$8+273),설정!$D$22)&amp;"",",",""),"　","")),0))</f>
        <v/>
      </c>
      <c r="L279" s="27">
        <f>IF(설정!$D$23="",0,IFERROR(VALUE(SUBSTITUTE(SUBSTITUTE(INDEX(급여대장_원본!$A$1:$AZ$400,(설정!$B$8+273),설정!$D$23)&amp;"",",",""),"　","")),0))</f>
        <v/>
      </c>
      <c r="M279" s="27">
        <f>IF(설정!$D$24="",0,IFERROR(VALUE(SUBSTITUTE(SUBSTITUTE(INDEX(급여대장_원본!$A$1:$AZ$400,(설정!$B$8+273),설정!$D$24)&amp;"",",",""),"　","")),0))</f>
        <v/>
      </c>
      <c r="N279" s="2">
        <f>IF(OR(설정!$C$17="",IFERROR(MATCH(설정!$C$17,INDEX(급여대장_원본!$A$1:$AZ$400,설정!$B$8,0),0),"")=""),"",IFERROR(VALUE(SUBSTITUTE(INDEX(급여대장_원본!$A$1:$AZ$400,(설정!$B$8+273),IFERROR(MATCH(설정!$C$17,INDEX(급여대장_원본!$A$1:$AZ$400,설정!$B$8,0),0),""))&amp;"",",","")),""))</f>
        <v/>
      </c>
      <c r="O279" s="2">
        <f>IF(OR(설정!$C$18="",IFERROR(MATCH(설정!$C$18,INDEX(급여대장_원본!$A$1:$AZ$400,설정!$B$8,0),0),"")=""),"",IFERROR(VALUE(SUBSTITUTE(INDEX(급여대장_원본!$A$1:$AZ$400,(설정!$B$8+273),IFERROR(MATCH(설정!$C$18,INDEX(급여대장_원본!$A$1:$AZ$400,설정!$B$8,0),0),""))&amp;"",",","")),""))</f>
        <v/>
      </c>
      <c r="P279" s="2">
        <f>IF(OR(설정!$C$19="",IFERROR(MATCH(설정!$C$19,INDEX(급여대장_원본!$A$1:$AZ$400,설정!$B$8,0),0),"")=""),"",IFERROR(VALUE(SUBSTITUTE(INDEX(급여대장_원본!$A$1:$AZ$400,(설정!$B$8+273),IFERROR(MATCH(설정!$C$19,INDEX(급여대장_원본!$A$1:$AZ$400,설정!$B$8,0),0),""))&amp;"",",","")),""))</f>
        <v/>
      </c>
      <c r="Q279" s="2">
        <f>IF(OR(설정!$C$20="",IFERROR(MATCH(설정!$C$20,INDEX(급여대장_원본!$A$1:$AZ$400,설정!$B$8,0),0),"")=""),"",IFERROR(VALUE(SUBSTITUTE(INDEX(급여대장_원본!$A$1:$AZ$400,(설정!$B$8+273),IFERROR(MATCH(설정!$C$20,INDEX(급여대장_원본!$A$1:$AZ$400,설정!$B$8,0),0),""))&amp;"",",","")),""))</f>
        <v/>
      </c>
      <c r="R279" s="2">
        <f>IF(OR(설정!$C$21="",IFERROR(MATCH(설정!$C$21,INDEX(급여대장_원본!$A$1:$AZ$400,설정!$B$8,0),0),"")=""),"",IFERROR(VALUE(SUBSTITUTE(INDEX(급여대장_원본!$A$1:$AZ$400,(설정!$B$8+273),IFERROR(MATCH(설정!$C$21,INDEX(급여대장_원본!$A$1:$AZ$400,설정!$B$8,0),0),""))&amp;"",",","")),""))</f>
        <v/>
      </c>
      <c r="S279" s="2">
        <f>IF(OR(설정!$C$22="",IFERROR(MATCH(설정!$C$22,INDEX(급여대장_원본!$A$1:$AZ$400,설정!$B$8,0),0),"")=""),"",IFERROR(VALUE(SUBSTITUTE(INDEX(급여대장_원본!$A$1:$AZ$400,(설정!$B$8+273),IFERROR(MATCH(설정!$C$22,INDEX(급여대장_원본!$A$1:$AZ$400,설정!$B$8,0),0),""))&amp;"",",","")),""))</f>
        <v/>
      </c>
      <c r="T279" s="2">
        <f>IF(OR(설정!$C$23="",IFERROR(MATCH(설정!$C$23,INDEX(급여대장_원본!$A$1:$AZ$400,설정!$B$8,0),0),"")=""),"",IFERROR(VALUE(SUBSTITUTE(INDEX(급여대장_원본!$A$1:$AZ$400,(설정!$B$8+273),IFERROR(MATCH(설정!$C$23,INDEX(급여대장_원본!$A$1:$AZ$400,설정!$B$8,0),0),""))&amp;"",",","")),""))</f>
        <v/>
      </c>
      <c r="U279" s="2">
        <f>IF(OR(설정!$C$24="",IFERROR(MATCH(설정!$C$24,INDEX(급여대장_원본!$A$1:$AZ$400,설정!$B$8,0),0),"")=""),"",IFERROR(VALUE(SUBSTITUTE(INDEX(급여대장_원본!$A$1:$AZ$400,(설정!$B$8+273),IFERROR(MATCH(설정!$C$24,INDEX(급여대장_원본!$A$1:$AZ$400,설정!$B$8,0),0),""))&amp;"",",","")),""))</f>
        <v/>
      </c>
      <c r="V279" s="27">
        <f>SUM(F279:M279)</f>
        <v/>
      </c>
      <c r="W279" s="27">
        <f>IF(설정!$D$26="",0,IFERROR(VALUE(SUBSTITUTE(SUBSTITUTE(INDEX(급여대장_원본!$A$1:$AZ$400,(설정!$B$8+273),설정!$D$26)&amp;"",",",""),"　","")),0))</f>
        <v/>
      </c>
      <c r="X279" s="27">
        <f>IF(설정!$D$27="",0,IFERROR(VALUE(SUBSTITUTE(SUBSTITUTE(INDEX(급여대장_원본!$A$1:$AZ$400,(설정!$B$8+273),설정!$D$27)&amp;"",",",""),"　","")),0))</f>
        <v/>
      </c>
      <c r="Y279" s="27">
        <f>IF(설정!$D$28="",0,IFERROR(VALUE(SUBSTITUTE(SUBSTITUTE(INDEX(급여대장_원본!$A$1:$AZ$400,(설정!$B$8+273),설정!$D$28)&amp;"",",",""),"　","")),0))</f>
        <v/>
      </c>
      <c r="Z279" s="27">
        <f>IF(설정!$D$29="",0,IFERROR(VALUE(SUBSTITUTE(SUBSTITUTE(INDEX(급여대장_원본!$A$1:$AZ$400,(설정!$B$8+273),설정!$D$29)&amp;"",",",""),"　","")),0))</f>
        <v/>
      </c>
      <c r="AA279" s="27">
        <f>IF(설정!$D$30="",0,IFERROR(VALUE(SUBSTITUTE(SUBSTITUTE(INDEX(급여대장_원본!$A$1:$AZ$400,(설정!$B$8+273),설정!$D$30)&amp;"",",",""),"　","")),0))</f>
        <v/>
      </c>
      <c r="AB279" s="27">
        <f>IF(설정!$D$31="",0,IFERROR(VALUE(SUBSTITUTE(SUBSTITUTE(INDEX(급여대장_원본!$A$1:$AZ$400,(설정!$B$8+273),설정!$D$31)&amp;"",",",""),"　","")),0))</f>
        <v/>
      </c>
      <c r="AC279" s="27">
        <f>IF(설정!$D$32="",0,IFERROR(VALUE(SUBSTITUTE(SUBSTITUTE(INDEX(급여대장_원본!$A$1:$AZ$400,(설정!$B$8+273),설정!$D$32)&amp;"",",",""),"　","")),0))</f>
        <v/>
      </c>
      <c r="AD279" s="27">
        <f>IF(설정!$D$33="",0,IFERROR(VALUE(SUBSTITUTE(SUBSTITUTE(INDEX(급여대장_원본!$A$1:$AZ$400,(설정!$B$8+273),설정!$D$33)&amp;"",",",""),"　","")),0))</f>
        <v/>
      </c>
      <c r="AE279" s="27">
        <f>SUM(W279:AD279)</f>
        <v/>
      </c>
      <c r="AF279" s="27">
        <f>V279-AE279</f>
        <v/>
      </c>
      <c r="AG279" s="27">
        <f>IF(설정!$D$35="","",IF(설정!$D$35="",0,IFERROR(VALUE(SUBSTITUTE(SUBSTITUTE(INDEX(급여대장_원본!$A$1:$AZ$400,(설정!$B$8+273),설정!$D$35)&amp;"",",",""),"　","")),0)))</f>
        <v/>
      </c>
      <c r="AH279" s="27">
        <f>IF(설정!$D$36="","",IF(설정!$D$36="",0,IFERROR(VALUE(SUBSTITUTE(SUBSTITUTE(INDEX(급여대장_원본!$A$1:$AZ$400,(설정!$B$8+273),설정!$D$36)&amp;"",",",""),"　","")),0)))</f>
        <v/>
      </c>
      <c r="AI279" s="27">
        <f>IF(설정!$D$37="","",IF(설정!$D$37="",0,IFERROR(VALUE(SUBSTITUTE(SUBSTITUTE(INDEX(급여대장_원본!$A$1:$AZ$400,(설정!$B$8+273),설정!$D$37)&amp;"",",",""),"　","")),0)))</f>
        <v/>
      </c>
      <c r="AJ279" s="2">
        <f>IFERROR(INDEX($D$7:$D$306,MATCH(273,$B$7:$B$306,0)),"")</f>
        <v/>
      </c>
    </row>
    <row r="280">
      <c r="A280" s="2">
        <f>IF(AND(D280&lt;&gt;"",D280&lt;&gt;"합계",D280&lt;&gt;"총계",D280&lt;&gt;"소계",D280&lt;&gt;"계"),1,0)</f>
        <v/>
      </c>
      <c r="B280" s="2">
        <f>IF(A280=1,SUM($A$7:A280),"")</f>
        <v/>
      </c>
      <c r="C280" s="2">
        <f>IF(설정!$D$13="","",TRIM(SUBSTITUTE(INDEX(급여대장_원본!$A$1:$AZ$400,(설정!$B$8+274),설정!$D$13)&amp;"","　"," ")))</f>
        <v/>
      </c>
      <c r="D280" s="2">
        <f>IF(설정!$D$14="","",TRIM(SUBSTITUTE(INDEX(급여대장_원본!$A$1:$AZ$400,(설정!$B$8+274),설정!$D$14)&amp;"","　"," ")))</f>
        <v/>
      </c>
      <c r="E280" s="2">
        <f>IF(설정!$D$15="","",TRIM(SUBSTITUTE(INDEX(급여대장_원본!$A$1:$AZ$400,(설정!$B$8+274),설정!$D$15)&amp;"","　"," ")))</f>
        <v/>
      </c>
      <c r="F280" s="27">
        <f>IF(설정!$D$17="",0,IFERROR(VALUE(SUBSTITUTE(SUBSTITUTE(INDEX(급여대장_원본!$A$1:$AZ$400,(설정!$B$8+274),설정!$D$17)&amp;"",",",""),"　","")),0))</f>
        <v/>
      </c>
      <c r="G280" s="27">
        <f>IF(설정!$D$18="",0,IFERROR(VALUE(SUBSTITUTE(SUBSTITUTE(INDEX(급여대장_원본!$A$1:$AZ$400,(설정!$B$8+274),설정!$D$18)&amp;"",",",""),"　","")),0))</f>
        <v/>
      </c>
      <c r="H280" s="27">
        <f>IF(설정!$D$19="",0,IFERROR(VALUE(SUBSTITUTE(SUBSTITUTE(INDEX(급여대장_원본!$A$1:$AZ$400,(설정!$B$8+274),설정!$D$19)&amp;"",",",""),"　","")),0))</f>
        <v/>
      </c>
      <c r="I280" s="27">
        <f>IF(설정!$D$20="",0,IFERROR(VALUE(SUBSTITUTE(SUBSTITUTE(INDEX(급여대장_원본!$A$1:$AZ$400,(설정!$B$8+274),설정!$D$20)&amp;"",",",""),"　","")),0))</f>
        <v/>
      </c>
      <c r="J280" s="27">
        <f>IF(설정!$D$21="",0,IFERROR(VALUE(SUBSTITUTE(SUBSTITUTE(INDEX(급여대장_원본!$A$1:$AZ$400,(설정!$B$8+274),설정!$D$21)&amp;"",",",""),"　","")),0))</f>
        <v/>
      </c>
      <c r="K280" s="27">
        <f>IF(설정!$D$22="",0,IFERROR(VALUE(SUBSTITUTE(SUBSTITUTE(INDEX(급여대장_원본!$A$1:$AZ$400,(설정!$B$8+274),설정!$D$22)&amp;"",",",""),"　","")),0))</f>
        <v/>
      </c>
      <c r="L280" s="27">
        <f>IF(설정!$D$23="",0,IFERROR(VALUE(SUBSTITUTE(SUBSTITUTE(INDEX(급여대장_원본!$A$1:$AZ$400,(설정!$B$8+274),설정!$D$23)&amp;"",",",""),"　","")),0))</f>
        <v/>
      </c>
      <c r="M280" s="27">
        <f>IF(설정!$D$24="",0,IFERROR(VALUE(SUBSTITUTE(SUBSTITUTE(INDEX(급여대장_원본!$A$1:$AZ$400,(설정!$B$8+274),설정!$D$24)&amp;"",",",""),"　","")),0))</f>
        <v/>
      </c>
      <c r="N280" s="2">
        <f>IF(OR(설정!$C$17="",IFERROR(MATCH(설정!$C$17,INDEX(급여대장_원본!$A$1:$AZ$400,설정!$B$8,0),0),"")=""),"",IFERROR(VALUE(SUBSTITUTE(INDEX(급여대장_원본!$A$1:$AZ$400,(설정!$B$8+274),IFERROR(MATCH(설정!$C$17,INDEX(급여대장_원본!$A$1:$AZ$400,설정!$B$8,0),0),""))&amp;"",",","")),""))</f>
        <v/>
      </c>
      <c r="O280" s="2">
        <f>IF(OR(설정!$C$18="",IFERROR(MATCH(설정!$C$18,INDEX(급여대장_원본!$A$1:$AZ$400,설정!$B$8,0),0),"")=""),"",IFERROR(VALUE(SUBSTITUTE(INDEX(급여대장_원본!$A$1:$AZ$400,(설정!$B$8+274),IFERROR(MATCH(설정!$C$18,INDEX(급여대장_원본!$A$1:$AZ$400,설정!$B$8,0),0),""))&amp;"",",","")),""))</f>
        <v/>
      </c>
      <c r="P280" s="2">
        <f>IF(OR(설정!$C$19="",IFERROR(MATCH(설정!$C$19,INDEX(급여대장_원본!$A$1:$AZ$400,설정!$B$8,0),0),"")=""),"",IFERROR(VALUE(SUBSTITUTE(INDEX(급여대장_원본!$A$1:$AZ$400,(설정!$B$8+274),IFERROR(MATCH(설정!$C$19,INDEX(급여대장_원본!$A$1:$AZ$400,설정!$B$8,0),0),""))&amp;"",",","")),""))</f>
        <v/>
      </c>
      <c r="Q280" s="2">
        <f>IF(OR(설정!$C$20="",IFERROR(MATCH(설정!$C$20,INDEX(급여대장_원본!$A$1:$AZ$400,설정!$B$8,0),0),"")=""),"",IFERROR(VALUE(SUBSTITUTE(INDEX(급여대장_원본!$A$1:$AZ$400,(설정!$B$8+274),IFERROR(MATCH(설정!$C$20,INDEX(급여대장_원본!$A$1:$AZ$400,설정!$B$8,0),0),""))&amp;"",",","")),""))</f>
        <v/>
      </c>
      <c r="R280" s="2">
        <f>IF(OR(설정!$C$21="",IFERROR(MATCH(설정!$C$21,INDEX(급여대장_원본!$A$1:$AZ$400,설정!$B$8,0),0),"")=""),"",IFERROR(VALUE(SUBSTITUTE(INDEX(급여대장_원본!$A$1:$AZ$400,(설정!$B$8+274),IFERROR(MATCH(설정!$C$21,INDEX(급여대장_원본!$A$1:$AZ$400,설정!$B$8,0),0),""))&amp;"",",","")),""))</f>
        <v/>
      </c>
      <c r="S280" s="2">
        <f>IF(OR(설정!$C$22="",IFERROR(MATCH(설정!$C$22,INDEX(급여대장_원본!$A$1:$AZ$400,설정!$B$8,0),0),"")=""),"",IFERROR(VALUE(SUBSTITUTE(INDEX(급여대장_원본!$A$1:$AZ$400,(설정!$B$8+274),IFERROR(MATCH(설정!$C$22,INDEX(급여대장_원본!$A$1:$AZ$400,설정!$B$8,0),0),""))&amp;"",",","")),""))</f>
        <v/>
      </c>
      <c r="T280" s="2">
        <f>IF(OR(설정!$C$23="",IFERROR(MATCH(설정!$C$23,INDEX(급여대장_원본!$A$1:$AZ$400,설정!$B$8,0),0),"")=""),"",IFERROR(VALUE(SUBSTITUTE(INDEX(급여대장_원본!$A$1:$AZ$400,(설정!$B$8+274),IFERROR(MATCH(설정!$C$23,INDEX(급여대장_원본!$A$1:$AZ$400,설정!$B$8,0),0),""))&amp;"",",","")),""))</f>
        <v/>
      </c>
      <c r="U280" s="2">
        <f>IF(OR(설정!$C$24="",IFERROR(MATCH(설정!$C$24,INDEX(급여대장_원본!$A$1:$AZ$400,설정!$B$8,0),0),"")=""),"",IFERROR(VALUE(SUBSTITUTE(INDEX(급여대장_원본!$A$1:$AZ$400,(설정!$B$8+274),IFERROR(MATCH(설정!$C$24,INDEX(급여대장_원본!$A$1:$AZ$400,설정!$B$8,0),0),""))&amp;"",",","")),""))</f>
        <v/>
      </c>
      <c r="V280" s="27">
        <f>SUM(F280:M280)</f>
        <v/>
      </c>
      <c r="W280" s="27">
        <f>IF(설정!$D$26="",0,IFERROR(VALUE(SUBSTITUTE(SUBSTITUTE(INDEX(급여대장_원본!$A$1:$AZ$400,(설정!$B$8+274),설정!$D$26)&amp;"",",",""),"　","")),0))</f>
        <v/>
      </c>
      <c r="X280" s="27">
        <f>IF(설정!$D$27="",0,IFERROR(VALUE(SUBSTITUTE(SUBSTITUTE(INDEX(급여대장_원본!$A$1:$AZ$400,(설정!$B$8+274),설정!$D$27)&amp;"",",",""),"　","")),0))</f>
        <v/>
      </c>
      <c r="Y280" s="27">
        <f>IF(설정!$D$28="",0,IFERROR(VALUE(SUBSTITUTE(SUBSTITUTE(INDEX(급여대장_원본!$A$1:$AZ$400,(설정!$B$8+274),설정!$D$28)&amp;"",",",""),"　","")),0))</f>
        <v/>
      </c>
      <c r="Z280" s="27">
        <f>IF(설정!$D$29="",0,IFERROR(VALUE(SUBSTITUTE(SUBSTITUTE(INDEX(급여대장_원본!$A$1:$AZ$400,(설정!$B$8+274),설정!$D$29)&amp;"",",",""),"　","")),0))</f>
        <v/>
      </c>
      <c r="AA280" s="27">
        <f>IF(설정!$D$30="",0,IFERROR(VALUE(SUBSTITUTE(SUBSTITUTE(INDEX(급여대장_원본!$A$1:$AZ$400,(설정!$B$8+274),설정!$D$30)&amp;"",",",""),"　","")),0))</f>
        <v/>
      </c>
      <c r="AB280" s="27">
        <f>IF(설정!$D$31="",0,IFERROR(VALUE(SUBSTITUTE(SUBSTITUTE(INDEX(급여대장_원본!$A$1:$AZ$400,(설정!$B$8+274),설정!$D$31)&amp;"",",",""),"　","")),0))</f>
        <v/>
      </c>
      <c r="AC280" s="27">
        <f>IF(설정!$D$32="",0,IFERROR(VALUE(SUBSTITUTE(SUBSTITUTE(INDEX(급여대장_원본!$A$1:$AZ$400,(설정!$B$8+274),설정!$D$32)&amp;"",",",""),"　","")),0))</f>
        <v/>
      </c>
      <c r="AD280" s="27">
        <f>IF(설정!$D$33="",0,IFERROR(VALUE(SUBSTITUTE(SUBSTITUTE(INDEX(급여대장_원본!$A$1:$AZ$400,(설정!$B$8+274),설정!$D$33)&amp;"",",",""),"　","")),0))</f>
        <v/>
      </c>
      <c r="AE280" s="27">
        <f>SUM(W280:AD280)</f>
        <v/>
      </c>
      <c r="AF280" s="27">
        <f>V280-AE280</f>
        <v/>
      </c>
      <c r="AG280" s="27">
        <f>IF(설정!$D$35="","",IF(설정!$D$35="",0,IFERROR(VALUE(SUBSTITUTE(SUBSTITUTE(INDEX(급여대장_원본!$A$1:$AZ$400,(설정!$B$8+274),설정!$D$35)&amp;"",",",""),"　","")),0)))</f>
        <v/>
      </c>
      <c r="AH280" s="27">
        <f>IF(설정!$D$36="","",IF(설정!$D$36="",0,IFERROR(VALUE(SUBSTITUTE(SUBSTITUTE(INDEX(급여대장_원본!$A$1:$AZ$400,(설정!$B$8+274),설정!$D$36)&amp;"",",",""),"　","")),0)))</f>
        <v/>
      </c>
      <c r="AI280" s="27">
        <f>IF(설정!$D$37="","",IF(설정!$D$37="",0,IFERROR(VALUE(SUBSTITUTE(SUBSTITUTE(INDEX(급여대장_원본!$A$1:$AZ$400,(설정!$B$8+274),설정!$D$37)&amp;"",",",""),"　","")),0)))</f>
        <v/>
      </c>
      <c r="AJ280" s="2">
        <f>IFERROR(INDEX($D$7:$D$306,MATCH(274,$B$7:$B$306,0)),"")</f>
        <v/>
      </c>
    </row>
    <row r="281">
      <c r="A281" s="2">
        <f>IF(AND(D281&lt;&gt;"",D281&lt;&gt;"합계",D281&lt;&gt;"총계",D281&lt;&gt;"소계",D281&lt;&gt;"계"),1,0)</f>
        <v/>
      </c>
      <c r="B281" s="2">
        <f>IF(A281=1,SUM($A$7:A281),"")</f>
        <v/>
      </c>
      <c r="C281" s="2">
        <f>IF(설정!$D$13="","",TRIM(SUBSTITUTE(INDEX(급여대장_원본!$A$1:$AZ$400,(설정!$B$8+275),설정!$D$13)&amp;"","　"," ")))</f>
        <v/>
      </c>
      <c r="D281" s="2">
        <f>IF(설정!$D$14="","",TRIM(SUBSTITUTE(INDEX(급여대장_원본!$A$1:$AZ$400,(설정!$B$8+275),설정!$D$14)&amp;"","　"," ")))</f>
        <v/>
      </c>
      <c r="E281" s="2">
        <f>IF(설정!$D$15="","",TRIM(SUBSTITUTE(INDEX(급여대장_원본!$A$1:$AZ$400,(설정!$B$8+275),설정!$D$15)&amp;"","　"," ")))</f>
        <v/>
      </c>
      <c r="F281" s="27">
        <f>IF(설정!$D$17="",0,IFERROR(VALUE(SUBSTITUTE(SUBSTITUTE(INDEX(급여대장_원본!$A$1:$AZ$400,(설정!$B$8+275),설정!$D$17)&amp;"",",",""),"　","")),0))</f>
        <v/>
      </c>
      <c r="G281" s="27">
        <f>IF(설정!$D$18="",0,IFERROR(VALUE(SUBSTITUTE(SUBSTITUTE(INDEX(급여대장_원본!$A$1:$AZ$400,(설정!$B$8+275),설정!$D$18)&amp;"",",",""),"　","")),0))</f>
        <v/>
      </c>
      <c r="H281" s="27">
        <f>IF(설정!$D$19="",0,IFERROR(VALUE(SUBSTITUTE(SUBSTITUTE(INDEX(급여대장_원본!$A$1:$AZ$400,(설정!$B$8+275),설정!$D$19)&amp;"",",",""),"　","")),0))</f>
        <v/>
      </c>
      <c r="I281" s="27">
        <f>IF(설정!$D$20="",0,IFERROR(VALUE(SUBSTITUTE(SUBSTITUTE(INDEX(급여대장_원본!$A$1:$AZ$400,(설정!$B$8+275),설정!$D$20)&amp;"",",",""),"　","")),0))</f>
        <v/>
      </c>
      <c r="J281" s="27">
        <f>IF(설정!$D$21="",0,IFERROR(VALUE(SUBSTITUTE(SUBSTITUTE(INDEX(급여대장_원본!$A$1:$AZ$400,(설정!$B$8+275),설정!$D$21)&amp;"",",",""),"　","")),0))</f>
        <v/>
      </c>
      <c r="K281" s="27">
        <f>IF(설정!$D$22="",0,IFERROR(VALUE(SUBSTITUTE(SUBSTITUTE(INDEX(급여대장_원본!$A$1:$AZ$400,(설정!$B$8+275),설정!$D$22)&amp;"",",",""),"　","")),0))</f>
        <v/>
      </c>
      <c r="L281" s="27">
        <f>IF(설정!$D$23="",0,IFERROR(VALUE(SUBSTITUTE(SUBSTITUTE(INDEX(급여대장_원본!$A$1:$AZ$400,(설정!$B$8+275),설정!$D$23)&amp;"",",",""),"　","")),0))</f>
        <v/>
      </c>
      <c r="M281" s="27">
        <f>IF(설정!$D$24="",0,IFERROR(VALUE(SUBSTITUTE(SUBSTITUTE(INDEX(급여대장_원본!$A$1:$AZ$400,(설정!$B$8+275),설정!$D$24)&amp;"",",",""),"　","")),0))</f>
        <v/>
      </c>
      <c r="N281" s="2">
        <f>IF(OR(설정!$C$17="",IFERROR(MATCH(설정!$C$17,INDEX(급여대장_원본!$A$1:$AZ$400,설정!$B$8,0),0),"")=""),"",IFERROR(VALUE(SUBSTITUTE(INDEX(급여대장_원본!$A$1:$AZ$400,(설정!$B$8+275),IFERROR(MATCH(설정!$C$17,INDEX(급여대장_원본!$A$1:$AZ$400,설정!$B$8,0),0),""))&amp;"",",","")),""))</f>
        <v/>
      </c>
      <c r="O281" s="2">
        <f>IF(OR(설정!$C$18="",IFERROR(MATCH(설정!$C$18,INDEX(급여대장_원본!$A$1:$AZ$400,설정!$B$8,0),0),"")=""),"",IFERROR(VALUE(SUBSTITUTE(INDEX(급여대장_원본!$A$1:$AZ$400,(설정!$B$8+275),IFERROR(MATCH(설정!$C$18,INDEX(급여대장_원본!$A$1:$AZ$400,설정!$B$8,0),0),""))&amp;"",",","")),""))</f>
        <v/>
      </c>
      <c r="P281" s="2">
        <f>IF(OR(설정!$C$19="",IFERROR(MATCH(설정!$C$19,INDEX(급여대장_원본!$A$1:$AZ$400,설정!$B$8,0),0),"")=""),"",IFERROR(VALUE(SUBSTITUTE(INDEX(급여대장_원본!$A$1:$AZ$400,(설정!$B$8+275),IFERROR(MATCH(설정!$C$19,INDEX(급여대장_원본!$A$1:$AZ$400,설정!$B$8,0),0),""))&amp;"",",","")),""))</f>
        <v/>
      </c>
      <c r="Q281" s="2">
        <f>IF(OR(설정!$C$20="",IFERROR(MATCH(설정!$C$20,INDEX(급여대장_원본!$A$1:$AZ$400,설정!$B$8,0),0),"")=""),"",IFERROR(VALUE(SUBSTITUTE(INDEX(급여대장_원본!$A$1:$AZ$400,(설정!$B$8+275),IFERROR(MATCH(설정!$C$20,INDEX(급여대장_원본!$A$1:$AZ$400,설정!$B$8,0),0),""))&amp;"",",","")),""))</f>
        <v/>
      </c>
      <c r="R281" s="2">
        <f>IF(OR(설정!$C$21="",IFERROR(MATCH(설정!$C$21,INDEX(급여대장_원본!$A$1:$AZ$400,설정!$B$8,0),0),"")=""),"",IFERROR(VALUE(SUBSTITUTE(INDEX(급여대장_원본!$A$1:$AZ$400,(설정!$B$8+275),IFERROR(MATCH(설정!$C$21,INDEX(급여대장_원본!$A$1:$AZ$400,설정!$B$8,0),0),""))&amp;"",",","")),""))</f>
        <v/>
      </c>
      <c r="S281" s="2">
        <f>IF(OR(설정!$C$22="",IFERROR(MATCH(설정!$C$22,INDEX(급여대장_원본!$A$1:$AZ$400,설정!$B$8,0),0),"")=""),"",IFERROR(VALUE(SUBSTITUTE(INDEX(급여대장_원본!$A$1:$AZ$400,(설정!$B$8+275),IFERROR(MATCH(설정!$C$22,INDEX(급여대장_원본!$A$1:$AZ$400,설정!$B$8,0),0),""))&amp;"",",","")),""))</f>
        <v/>
      </c>
      <c r="T281" s="2">
        <f>IF(OR(설정!$C$23="",IFERROR(MATCH(설정!$C$23,INDEX(급여대장_원본!$A$1:$AZ$400,설정!$B$8,0),0),"")=""),"",IFERROR(VALUE(SUBSTITUTE(INDEX(급여대장_원본!$A$1:$AZ$400,(설정!$B$8+275),IFERROR(MATCH(설정!$C$23,INDEX(급여대장_원본!$A$1:$AZ$400,설정!$B$8,0),0),""))&amp;"",",","")),""))</f>
        <v/>
      </c>
      <c r="U281" s="2">
        <f>IF(OR(설정!$C$24="",IFERROR(MATCH(설정!$C$24,INDEX(급여대장_원본!$A$1:$AZ$400,설정!$B$8,0),0),"")=""),"",IFERROR(VALUE(SUBSTITUTE(INDEX(급여대장_원본!$A$1:$AZ$400,(설정!$B$8+275),IFERROR(MATCH(설정!$C$24,INDEX(급여대장_원본!$A$1:$AZ$400,설정!$B$8,0),0),""))&amp;"",",","")),""))</f>
        <v/>
      </c>
      <c r="V281" s="27">
        <f>SUM(F281:M281)</f>
        <v/>
      </c>
      <c r="W281" s="27">
        <f>IF(설정!$D$26="",0,IFERROR(VALUE(SUBSTITUTE(SUBSTITUTE(INDEX(급여대장_원본!$A$1:$AZ$400,(설정!$B$8+275),설정!$D$26)&amp;"",",",""),"　","")),0))</f>
        <v/>
      </c>
      <c r="X281" s="27">
        <f>IF(설정!$D$27="",0,IFERROR(VALUE(SUBSTITUTE(SUBSTITUTE(INDEX(급여대장_원본!$A$1:$AZ$400,(설정!$B$8+275),설정!$D$27)&amp;"",",",""),"　","")),0))</f>
        <v/>
      </c>
      <c r="Y281" s="27">
        <f>IF(설정!$D$28="",0,IFERROR(VALUE(SUBSTITUTE(SUBSTITUTE(INDEX(급여대장_원본!$A$1:$AZ$400,(설정!$B$8+275),설정!$D$28)&amp;"",",",""),"　","")),0))</f>
        <v/>
      </c>
      <c r="Z281" s="27">
        <f>IF(설정!$D$29="",0,IFERROR(VALUE(SUBSTITUTE(SUBSTITUTE(INDEX(급여대장_원본!$A$1:$AZ$400,(설정!$B$8+275),설정!$D$29)&amp;"",",",""),"　","")),0))</f>
        <v/>
      </c>
      <c r="AA281" s="27">
        <f>IF(설정!$D$30="",0,IFERROR(VALUE(SUBSTITUTE(SUBSTITUTE(INDEX(급여대장_원본!$A$1:$AZ$400,(설정!$B$8+275),설정!$D$30)&amp;"",",",""),"　","")),0))</f>
        <v/>
      </c>
      <c r="AB281" s="27">
        <f>IF(설정!$D$31="",0,IFERROR(VALUE(SUBSTITUTE(SUBSTITUTE(INDEX(급여대장_원본!$A$1:$AZ$400,(설정!$B$8+275),설정!$D$31)&amp;"",",",""),"　","")),0))</f>
        <v/>
      </c>
      <c r="AC281" s="27">
        <f>IF(설정!$D$32="",0,IFERROR(VALUE(SUBSTITUTE(SUBSTITUTE(INDEX(급여대장_원본!$A$1:$AZ$400,(설정!$B$8+275),설정!$D$32)&amp;"",",",""),"　","")),0))</f>
        <v/>
      </c>
      <c r="AD281" s="27">
        <f>IF(설정!$D$33="",0,IFERROR(VALUE(SUBSTITUTE(SUBSTITUTE(INDEX(급여대장_원본!$A$1:$AZ$400,(설정!$B$8+275),설정!$D$33)&amp;"",",",""),"　","")),0))</f>
        <v/>
      </c>
      <c r="AE281" s="27">
        <f>SUM(W281:AD281)</f>
        <v/>
      </c>
      <c r="AF281" s="27">
        <f>V281-AE281</f>
        <v/>
      </c>
      <c r="AG281" s="27">
        <f>IF(설정!$D$35="","",IF(설정!$D$35="",0,IFERROR(VALUE(SUBSTITUTE(SUBSTITUTE(INDEX(급여대장_원본!$A$1:$AZ$400,(설정!$B$8+275),설정!$D$35)&amp;"",",",""),"　","")),0)))</f>
        <v/>
      </c>
      <c r="AH281" s="27">
        <f>IF(설정!$D$36="","",IF(설정!$D$36="",0,IFERROR(VALUE(SUBSTITUTE(SUBSTITUTE(INDEX(급여대장_원본!$A$1:$AZ$400,(설정!$B$8+275),설정!$D$36)&amp;"",",",""),"　","")),0)))</f>
        <v/>
      </c>
      <c r="AI281" s="27">
        <f>IF(설정!$D$37="","",IF(설정!$D$37="",0,IFERROR(VALUE(SUBSTITUTE(SUBSTITUTE(INDEX(급여대장_원본!$A$1:$AZ$400,(설정!$B$8+275),설정!$D$37)&amp;"",",",""),"　","")),0)))</f>
        <v/>
      </c>
      <c r="AJ281" s="2">
        <f>IFERROR(INDEX($D$7:$D$306,MATCH(275,$B$7:$B$306,0)),"")</f>
        <v/>
      </c>
    </row>
    <row r="282">
      <c r="A282" s="2">
        <f>IF(AND(D282&lt;&gt;"",D282&lt;&gt;"합계",D282&lt;&gt;"총계",D282&lt;&gt;"소계",D282&lt;&gt;"계"),1,0)</f>
        <v/>
      </c>
      <c r="B282" s="2">
        <f>IF(A282=1,SUM($A$7:A282),"")</f>
        <v/>
      </c>
      <c r="C282" s="2">
        <f>IF(설정!$D$13="","",TRIM(SUBSTITUTE(INDEX(급여대장_원본!$A$1:$AZ$400,(설정!$B$8+276),설정!$D$13)&amp;"","　"," ")))</f>
        <v/>
      </c>
      <c r="D282" s="2">
        <f>IF(설정!$D$14="","",TRIM(SUBSTITUTE(INDEX(급여대장_원본!$A$1:$AZ$400,(설정!$B$8+276),설정!$D$14)&amp;"","　"," ")))</f>
        <v/>
      </c>
      <c r="E282" s="2">
        <f>IF(설정!$D$15="","",TRIM(SUBSTITUTE(INDEX(급여대장_원본!$A$1:$AZ$400,(설정!$B$8+276),설정!$D$15)&amp;"","　"," ")))</f>
        <v/>
      </c>
      <c r="F282" s="27">
        <f>IF(설정!$D$17="",0,IFERROR(VALUE(SUBSTITUTE(SUBSTITUTE(INDEX(급여대장_원본!$A$1:$AZ$400,(설정!$B$8+276),설정!$D$17)&amp;"",",",""),"　","")),0))</f>
        <v/>
      </c>
      <c r="G282" s="27">
        <f>IF(설정!$D$18="",0,IFERROR(VALUE(SUBSTITUTE(SUBSTITUTE(INDEX(급여대장_원본!$A$1:$AZ$400,(설정!$B$8+276),설정!$D$18)&amp;"",",",""),"　","")),0))</f>
        <v/>
      </c>
      <c r="H282" s="27">
        <f>IF(설정!$D$19="",0,IFERROR(VALUE(SUBSTITUTE(SUBSTITUTE(INDEX(급여대장_원본!$A$1:$AZ$400,(설정!$B$8+276),설정!$D$19)&amp;"",",",""),"　","")),0))</f>
        <v/>
      </c>
      <c r="I282" s="27">
        <f>IF(설정!$D$20="",0,IFERROR(VALUE(SUBSTITUTE(SUBSTITUTE(INDEX(급여대장_원본!$A$1:$AZ$400,(설정!$B$8+276),설정!$D$20)&amp;"",",",""),"　","")),0))</f>
        <v/>
      </c>
      <c r="J282" s="27">
        <f>IF(설정!$D$21="",0,IFERROR(VALUE(SUBSTITUTE(SUBSTITUTE(INDEX(급여대장_원본!$A$1:$AZ$400,(설정!$B$8+276),설정!$D$21)&amp;"",",",""),"　","")),0))</f>
        <v/>
      </c>
      <c r="K282" s="27">
        <f>IF(설정!$D$22="",0,IFERROR(VALUE(SUBSTITUTE(SUBSTITUTE(INDEX(급여대장_원본!$A$1:$AZ$400,(설정!$B$8+276),설정!$D$22)&amp;"",",",""),"　","")),0))</f>
        <v/>
      </c>
      <c r="L282" s="27">
        <f>IF(설정!$D$23="",0,IFERROR(VALUE(SUBSTITUTE(SUBSTITUTE(INDEX(급여대장_원본!$A$1:$AZ$400,(설정!$B$8+276),설정!$D$23)&amp;"",",",""),"　","")),0))</f>
        <v/>
      </c>
      <c r="M282" s="27">
        <f>IF(설정!$D$24="",0,IFERROR(VALUE(SUBSTITUTE(SUBSTITUTE(INDEX(급여대장_원본!$A$1:$AZ$400,(설정!$B$8+276),설정!$D$24)&amp;"",",",""),"　","")),0))</f>
        <v/>
      </c>
      <c r="N282" s="2">
        <f>IF(OR(설정!$C$17="",IFERROR(MATCH(설정!$C$17,INDEX(급여대장_원본!$A$1:$AZ$400,설정!$B$8,0),0),"")=""),"",IFERROR(VALUE(SUBSTITUTE(INDEX(급여대장_원본!$A$1:$AZ$400,(설정!$B$8+276),IFERROR(MATCH(설정!$C$17,INDEX(급여대장_원본!$A$1:$AZ$400,설정!$B$8,0),0),""))&amp;"",",","")),""))</f>
        <v/>
      </c>
      <c r="O282" s="2">
        <f>IF(OR(설정!$C$18="",IFERROR(MATCH(설정!$C$18,INDEX(급여대장_원본!$A$1:$AZ$400,설정!$B$8,0),0),"")=""),"",IFERROR(VALUE(SUBSTITUTE(INDEX(급여대장_원본!$A$1:$AZ$400,(설정!$B$8+276),IFERROR(MATCH(설정!$C$18,INDEX(급여대장_원본!$A$1:$AZ$400,설정!$B$8,0),0),""))&amp;"",",","")),""))</f>
        <v/>
      </c>
      <c r="P282" s="2">
        <f>IF(OR(설정!$C$19="",IFERROR(MATCH(설정!$C$19,INDEX(급여대장_원본!$A$1:$AZ$400,설정!$B$8,0),0),"")=""),"",IFERROR(VALUE(SUBSTITUTE(INDEX(급여대장_원본!$A$1:$AZ$400,(설정!$B$8+276),IFERROR(MATCH(설정!$C$19,INDEX(급여대장_원본!$A$1:$AZ$400,설정!$B$8,0),0),""))&amp;"",",","")),""))</f>
        <v/>
      </c>
      <c r="Q282" s="2">
        <f>IF(OR(설정!$C$20="",IFERROR(MATCH(설정!$C$20,INDEX(급여대장_원본!$A$1:$AZ$400,설정!$B$8,0),0),"")=""),"",IFERROR(VALUE(SUBSTITUTE(INDEX(급여대장_원본!$A$1:$AZ$400,(설정!$B$8+276),IFERROR(MATCH(설정!$C$20,INDEX(급여대장_원본!$A$1:$AZ$400,설정!$B$8,0),0),""))&amp;"",",","")),""))</f>
        <v/>
      </c>
      <c r="R282" s="2">
        <f>IF(OR(설정!$C$21="",IFERROR(MATCH(설정!$C$21,INDEX(급여대장_원본!$A$1:$AZ$400,설정!$B$8,0),0),"")=""),"",IFERROR(VALUE(SUBSTITUTE(INDEX(급여대장_원본!$A$1:$AZ$400,(설정!$B$8+276),IFERROR(MATCH(설정!$C$21,INDEX(급여대장_원본!$A$1:$AZ$400,설정!$B$8,0),0),""))&amp;"",",","")),""))</f>
        <v/>
      </c>
      <c r="S282" s="2">
        <f>IF(OR(설정!$C$22="",IFERROR(MATCH(설정!$C$22,INDEX(급여대장_원본!$A$1:$AZ$400,설정!$B$8,0),0),"")=""),"",IFERROR(VALUE(SUBSTITUTE(INDEX(급여대장_원본!$A$1:$AZ$400,(설정!$B$8+276),IFERROR(MATCH(설정!$C$22,INDEX(급여대장_원본!$A$1:$AZ$400,설정!$B$8,0),0),""))&amp;"",",","")),""))</f>
        <v/>
      </c>
      <c r="T282" s="2">
        <f>IF(OR(설정!$C$23="",IFERROR(MATCH(설정!$C$23,INDEX(급여대장_원본!$A$1:$AZ$400,설정!$B$8,0),0),"")=""),"",IFERROR(VALUE(SUBSTITUTE(INDEX(급여대장_원본!$A$1:$AZ$400,(설정!$B$8+276),IFERROR(MATCH(설정!$C$23,INDEX(급여대장_원본!$A$1:$AZ$400,설정!$B$8,0),0),""))&amp;"",",","")),""))</f>
        <v/>
      </c>
      <c r="U282" s="2">
        <f>IF(OR(설정!$C$24="",IFERROR(MATCH(설정!$C$24,INDEX(급여대장_원본!$A$1:$AZ$400,설정!$B$8,0),0),"")=""),"",IFERROR(VALUE(SUBSTITUTE(INDEX(급여대장_원본!$A$1:$AZ$400,(설정!$B$8+276),IFERROR(MATCH(설정!$C$24,INDEX(급여대장_원본!$A$1:$AZ$400,설정!$B$8,0),0),""))&amp;"",",","")),""))</f>
        <v/>
      </c>
      <c r="V282" s="27">
        <f>SUM(F282:M282)</f>
        <v/>
      </c>
      <c r="W282" s="27">
        <f>IF(설정!$D$26="",0,IFERROR(VALUE(SUBSTITUTE(SUBSTITUTE(INDEX(급여대장_원본!$A$1:$AZ$400,(설정!$B$8+276),설정!$D$26)&amp;"",",",""),"　","")),0))</f>
        <v/>
      </c>
      <c r="X282" s="27">
        <f>IF(설정!$D$27="",0,IFERROR(VALUE(SUBSTITUTE(SUBSTITUTE(INDEX(급여대장_원본!$A$1:$AZ$400,(설정!$B$8+276),설정!$D$27)&amp;"",",",""),"　","")),0))</f>
        <v/>
      </c>
      <c r="Y282" s="27">
        <f>IF(설정!$D$28="",0,IFERROR(VALUE(SUBSTITUTE(SUBSTITUTE(INDEX(급여대장_원본!$A$1:$AZ$400,(설정!$B$8+276),설정!$D$28)&amp;"",",",""),"　","")),0))</f>
        <v/>
      </c>
      <c r="Z282" s="27">
        <f>IF(설정!$D$29="",0,IFERROR(VALUE(SUBSTITUTE(SUBSTITUTE(INDEX(급여대장_원본!$A$1:$AZ$400,(설정!$B$8+276),설정!$D$29)&amp;"",",",""),"　","")),0))</f>
        <v/>
      </c>
      <c r="AA282" s="27">
        <f>IF(설정!$D$30="",0,IFERROR(VALUE(SUBSTITUTE(SUBSTITUTE(INDEX(급여대장_원본!$A$1:$AZ$400,(설정!$B$8+276),설정!$D$30)&amp;"",",",""),"　","")),0))</f>
        <v/>
      </c>
      <c r="AB282" s="27">
        <f>IF(설정!$D$31="",0,IFERROR(VALUE(SUBSTITUTE(SUBSTITUTE(INDEX(급여대장_원본!$A$1:$AZ$400,(설정!$B$8+276),설정!$D$31)&amp;"",",",""),"　","")),0))</f>
        <v/>
      </c>
      <c r="AC282" s="27">
        <f>IF(설정!$D$32="",0,IFERROR(VALUE(SUBSTITUTE(SUBSTITUTE(INDEX(급여대장_원본!$A$1:$AZ$400,(설정!$B$8+276),설정!$D$32)&amp;"",",",""),"　","")),0))</f>
        <v/>
      </c>
      <c r="AD282" s="27">
        <f>IF(설정!$D$33="",0,IFERROR(VALUE(SUBSTITUTE(SUBSTITUTE(INDEX(급여대장_원본!$A$1:$AZ$400,(설정!$B$8+276),설정!$D$33)&amp;"",",",""),"　","")),0))</f>
        <v/>
      </c>
      <c r="AE282" s="27">
        <f>SUM(W282:AD282)</f>
        <v/>
      </c>
      <c r="AF282" s="27">
        <f>V282-AE282</f>
        <v/>
      </c>
      <c r="AG282" s="27">
        <f>IF(설정!$D$35="","",IF(설정!$D$35="",0,IFERROR(VALUE(SUBSTITUTE(SUBSTITUTE(INDEX(급여대장_원본!$A$1:$AZ$400,(설정!$B$8+276),설정!$D$35)&amp;"",",",""),"　","")),0)))</f>
        <v/>
      </c>
      <c r="AH282" s="27">
        <f>IF(설정!$D$36="","",IF(설정!$D$36="",0,IFERROR(VALUE(SUBSTITUTE(SUBSTITUTE(INDEX(급여대장_원본!$A$1:$AZ$400,(설정!$B$8+276),설정!$D$36)&amp;"",",",""),"　","")),0)))</f>
        <v/>
      </c>
      <c r="AI282" s="27">
        <f>IF(설정!$D$37="","",IF(설정!$D$37="",0,IFERROR(VALUE(SUBSTITUTE(SUBSTITUTE(INDEX(급여대장_원본!$A$1:$AZ$400,(설정!$B$8+276),설정!$D$37)&amp;"",",",""),"　","")),0)))</f>
        <v/>
      </c>
      <c r="AJ282" s="2">
        <f>IFERROR(INDEX($D$7:$D$306,MATCH(276,$B$7:$B$306,0)),"")</f>
        <v/>
      </c>
    </row>
    <row r="283">
      <c r="A283" s="2">
        <f>IF(AND(D283&lt;&gt;"",D283&lt;&gt;"합계",D283&lt;&gt;"총계",D283&lt;&gt;"소계",D283&lt;&gt;"계"),1,0)</f>
        <v/>
      </c>
      <c r="B283" s="2">
        <f>IF(A283=1,SUM($A$7:A283),"")</f>
        <v/>
      </c>
      <c r="C283" s="2">
        <f>IF(설정!$D$13="","",TRIM(SUBSTITUTE(INDEX(급여대장_원본!$A$1:$AZ$400,(설정!$B$8+277),설정!$D$13)&amp;"","　"," ")))</f>
        <v/>
      </c>
      <c r="D283" s="2">
        <f>IF(설정!$D$14="","",TRIM(SUBSTITUTE(INDEX(급여대장_원본!$A$1:$AZ$400,(설정!$B$8+277),설정!$D$14)&amp;"","　"," ")))</f>
        <v/>
      </c>
      <c r="E283" s="2">
        <f>IF(설정!$D$15="","",TRIM(SUBSTITUTE(INDEX(급여대장_원본!$A$1:$AZ$400,(설정!$B$8+277),설정!$D$15)&amp;"","　"," ")))</f>
        <v/>
      </c>
      <c r="F283" s="27">
        <f>IF(설정!$D$17="",0,IFERROR(VALUE(SUBSTITUTE(SUBSTITUTE(INDEX(급여대장_원본!$A$1:$AZ$400,(설정!$B$8+277),설정!$D$17)&amp;"",",",""),"　","")),0))</f>
        <v/>
      </c>
      <c r="G283" s="27">
        <f>IF(설정!$D$18="",0,IFERROR(VALUE(SUBSTITUTE(SUBSTITUTE(INDEX(급여대장_원본!$A$1:$AZ$400,(설정!$B$8+277),설정!$D$18)&amp;"",",",""),"　","")),0))</f>
        <v/>
      </c>
      <c r="H283" s="27">
        <f>IF(설정!$D$19="",0,IFERROR(VALUE(SUBSTITUTE(SUBSTITUTE(INDEX(급여대장_원본!$A$1:$AZ$400,(설정!$B$8+277),설정!$D$19)&amp;"",",",""),"　","")),0))</f>
        <v/>
      </c>
      <c r="I283" s="27">
        <f>IF(설정!$D$20="",0,IFERROR(VALUE(SUBSTITUTE(SUBSTITUTE(INDEX(급여대장_원본!$A$1:$AZ$400,(설정!$B$8+277),설정!$D$20)&amp;"",",",""),"　","")),0))</f>
        <v/>
      </c>
      <c r="J283" s="27">
        <f>IF(설정!$D$21="",0,IFERROR(VALUE(SUBSTITUTE(SUBSTITUTE(INDEX(급여대장_원본!$A$1:$AZ$400,(설정!$B$8+277),설정!$D$21)&amp;"",",",""),"　","")),0))</f>
        <v/>
      </c>
      <c r="K283" s="27">
        <f>IF(설정!$D$22="",0,IFERROR(VALUE(SUBSTITUTE(SUBSTITUTE(INDEX(급여대장_원본!$A$1:$AZ$400,(설정!$B$8+277),설정!$D$22)&amp;"",",",""),"　","")),0))</f>
        <v/>
      </c>
      <c r="L283" s="27">
        <f>IF(설정!$D$23="",0,IFERROR(VALUE(SUBSTITUTE(SUBSTITUTE(INDEX(급여대장_원본!$A$1:$AZ$400,(설정!$B$8+277),설정!$D$23)&amp;"",",",""),"　","")),0))</f>
        <v/>
      </c>
      <c r="M283" s="27">
        <f>IF(설정!$D$24="",0,IFERROR(VALUE(SUBSTITUTE(SUBSTITUTE(INDEX(급여대장_원본!$A$1:$AZ$400,(설정!$B$8+277),설정!$D$24)&amp;"",",",""),"　","")),0))</f>
        <v/>
      </c>
      <c r="N283" s="2">
        <f>IF(OR(설정!$C$17="",IFERROR(MATCH(설정!$C$17,INDEX(급여대장_원본!$A$1:$AZ$400,설정!$B$8,0),0),"")=""),"",IFERROR(VALUE(SUBSTITUTE(INDEX(급여대장_원본!$A$1:$AZ$400,(설정!$B$8+277),IFERROR(MATCH(설정!$C$17,INDEX(급여대장_원본!$A$1:$AZ$400,설정!$B$8,0),0),""))&amp;"",",","")),""))</f>
        <v/>
      </c>
      <c r="O283" s="2">
        <f>IF(OR(설정!$C$18="",IFERROR(MATCH(설정!$C$18,INDEX(급여대장_원본!$A$1:$AZ$400,설정!$B$8,0),0),"")=""),"",IFERROR(VALUE(SUBSTITUTE(INDEX(급여대장_원본!$A$1:$AZ$400,(설정!$B$8+277),IFERROR(MATCH(설정!$C$18,INDEX(급여대장_원본!$A$1:$AZ$400,설정!$B$8,0),0),""))&amp;"",",","")),""))</f>
        <v/>
      </c>
      <c r="P283" s="2">
        <f>IF(OR(설정!$C$19="",IFERROR(MATCH(설정!$C$19,INDEX(급여대장_원본!$A$1:$AZ$400,설정!$B$8,0),0),"")=""),"",IFERROR(VALUE(SUBSTITUTE(INDEX(급여대장_원본!$A$1:$AZ$400,(설정!$B$8+277),IFERROR(MATCH(설정!$C$19,INDEX(급여대장_원본!$A$1:$AZ$400,설정!$B$8,0),0),""))&amp;"",",","")),""))</f>
        <v/>
      </c>
      <c r="Q283" s="2">
        <f>IF(OR(설정!$C$20="",IFERROR(MATCH(설정!$C$20,INDEX(급여대장_원본!$A$1:$AZ$400,설정!$B$8,0),0),"")=""),"",IFERROR(VALUE(SUBSTITUTE(INDEX(급여대장_원본!$A$1:$AZ$400,(설정!$B$8+277),IFERROR(MATCH(설정!$C$20,INDEX(급여대장_원본!$A$1:$AZ$400,설정!$B$8,0),0),""))&amp;"",",","")),""))</f>
        <v/>
      </c>
      <c r="R283" s="2">
        <f>IF(OR(설정!$C$21="",IFERROR(MATCH(설정!$C$21,INDEX(급여대장_원본!$A$1:$AZ$400,설정!$B$8,0),0),"")=""),"",IFERROR(VALUE(SUBSTITUTE(INDEX(급여대장_원본!$A$1:$AZ$400,(설정!$B$8+277),IFERROR(MATCH(설정!$C$21,INDEX(급여대장_원본!$A$1:$AZ$400,설정!$B$8,0),0),""))&amp;"",",","")),""))</f>
        <v/>
      </c>
      <c r="S283" s="2">
        <f>IF(OR(설정!$C$22="",IFERROR(MATCH(설정!$C$22,INDEX(급여대장_원본!$A$1:$AZ$400,설정!$B$8,0),0),"")=""),"",IFERROR(VALUE(SUBSTITUTE(INDEX(급여대장_원본!$A$1:$AZ$400,(설정!$B$8+277),IFERROR(MATCH(설정!$C$22,INDEX(급여대장_원본!$A$1:$AZ$400,설정!$B$8,0),0),""))&amp;"",",","")),""))</f>
        <v/>
      </c>
      <c r="T283" s="2">
        <f>IF(OR(설정!$C$23="",IFERROR(MATCH(설정!$C$23,INDEX(급여대장_원본!$A$1:$AZ$400,설정!$B$8,0),0),"")=""),"",IFERROR(VALUE(SUBSTITUTE(INDEX(급여대장_원본!$A$1:$AZ$400,(설정!$B$8+277),IFERROR(MATCH(설정!$C$23,INDEX(급여대장_원본!$A$1:$AZ$400,설정!$B$8,0),0),""))&amp;"",",","")),""))</f>
        <v/>
      </c>
      <c r="U283" s="2">
        <f>IF(OR(설정!$C$24="",IFERROR(MATCH(설정!$C$24,INDEX(급여대장_원본!$A$1:$AZ$400,설정!$B$8,0),0),"")=""),"",IFERROR(VALUE(SUBSTITUTE(INDEX(급여대장_원본!$A$1:$AZ$400,(설정!$B$8+277),IFERROR(MATCH(설정!$C$24,INDEX(급여대장_원본!$A$1:$AZ$400,설정!$B$8,0),0),""))&amp;"",",","")),""))</f>
        <v/>
      </c>
      <c r="V283" s="27">
        <f>SUM(F283:M283)</f>
        <v/>
      </c>
      <c r="W283" s="27">
        <f>IF(설정!$D$26="",0,IFERROR(VALUE(SUBSTITUTE(SUBSTITUTE(INDEX(급여대장_원본!$A$1:$AZ$400,(설정!$B$8+277),설정!$D$26)&amp;"",",",""),"　","")),0))</f>
        <v/>
      </c>
      <c r="X283" s="27">
        <f>IF(설정!$D$27="",0,IFERROR(VALUE(SUBSTITUTE(SUBSTITUTE(INDEX(급여대장_원본!$A$1:$AZ$400,(설정!$B$8+277),설정!$D$27)&amp;"",",",""),"　","")),0))</f>
        <v/>
      </c>
      <c r="Y283" s="27">
        <f>IF(설정!$D$28="",0,IFERROR(VALUE(SUBSTITUTE(SUBSTITUTE(INDEX(급여대장_원본!$A$1:$AZ$400,(설정!$B$8+277),설정!$D$28)&amp;"",",",""),"　","")),0))</f>
        <v/>
      </c>
      <c r="Z283" s="27">
        <f>IF(설정!$D$29="",0,IFERROR(VALUE(SUBSTITUTE(SUBSTITUTE(INDEX(급여대장_원본!$A$1:$AZ$400,(설정!$B$8+277),설정!$D$29)&amp;"",",",""),"　","")),0))</f>
        <v/>
      </c>
      <c r="AA283" s="27">
        <f>IF(설정!$D$30="",0,IFERROR(VALUE(SUBSTITUTE(SUBSTITUTE(INDEX(급여대장_원본!$A$1:$AZ$400,(설정!$B$8+277),설정!$D$30)&amp;"",",",""),"　","")),0))</f>
        <v/>
      </c>
      <c r="AB283" s="27">
        <f>IF(설정!$D$31="",0,IFERROR(VALUE(SUBSTITUTE(SUBSTITUTE(INDEX(급여대장_원본!$A$1:$AZ$400,(설정!$B$8+277),설정!$D$31)&amp;"",",",""),"　","")),0))</f>
        <v/>
      </c>
      <c r="AC283" s="27">
        <f>IF(설정!$D$32="",0,IFERROR(VALUE(SUBSTITUTE(SUBSTITUTE(INDEX(급여대장_원본!$A$1:$AZ$400,(설정!$B$8+277),설정!$D$32)&amp;"",",",""),"　","")),0))</f>
        <v/>
      </c>
      <c r="AD283" s="27">
        <f>IF(설정!$D$33="",0,IFERROR(VALUE(SUBSTITUTE(SUBSTITUTE(INDEX(급여대장_원본!$A$1:$AZ$400,(설정!$B$8+277),설정!$D$33)&amp;"",",",""),"　","")),0))</f>
        <v/>
      </c>
      <c r="AE283" s="27">
        <f>SUM(W283:AD283)</f>
        <v/>
      </c>
      <c r="AF283" s="27">
        <f>V283-AE283</f>
        <v/>
      </c>
      <c r="AG283" s="27">
        <f>IF(설정!$D$35="","",IF(설정!$D$35="",0,IFERROR(VALUE(SUBSTITUTE(SUBSTITUTE(INDEX(급여대장_원본!$A$1:$AZ$400,(설정!$B$8+277),설정!$D$35)&amp;"",",",""),"　","")),0)))</f>
        <v/>
      </c>
      <c r="AH283" s="27">
        <f>IF(설정!$D$36="","",IF(설정!$D$36="",0,IFERROR(VALUE(SUBSTITUTE(SUBSTITUTE(INDEX(급여대장_원본!$A$1:$AZ$400,(설정!$B$8+277),설정!$D$36)&amp;"",",",""),"　","")),0)))</f>
        <v/>
      </c>
      <c r="AI283" s="27">
        <f>IF(설정!$D$37="","",IF(설정!$D$37="",0,IFERROR(VALUE(SUBSTITUTE(SUBSTITUTE(INDEX(급여대장_원본!$A$1:$AZ$400,(설정!$B$8+277),설정!$D$37)&amp;"",",",""),"　","")),0)))</f>
        <v/>
      </c>
      <c r="AJ283" s="2">
        <f>IFERROR(INDEX($D$7:$D$306,MATCH(277,$B$7:$B$306,0)),"")</f>
        <v/>
      </c>
    </row>
    <row r="284">
      <c r="A284" s="2">
        <f>IF(AND(D284&lt;&gt;"",D284&lt;&gt;"합계",D284&lt;&gt;"총계",D284&lt;&gt;"소계",D284&lt;&gt;"계"),1,0)</f>
        <v/>
      </c>
      <c r="B284" s="2">
        <f>IF(A284=1,SUM($A$7:A284),"")</f>
        <v/>
      </c>
      <c r="C284" s="2">
        <f>IF(설정!$D$13="","",TRIM(SUBSTITUTE(INDEX(급여대장_원본!$A$1:$AZ$400,(설정!$B$8+278),설정!$D$13)&amp;"","　"," ")))</f>
        <v/>
      </c>
      <c r="D284" s="2">
        <f>IF(설정!$D$14="","",TRIM(SUBSTITUTE(INDEX(급여대장_원본!$A$1:$AZ$400,(설정!$B$8+278),설정!$D$14)&amp;"","　"," ")))</f>
        <v/>
      </c>
      <c r="E284" s="2">
        <f>IF(설정!$D$15="","",TRIM(SUBSTITUTE(INDEX(급여대장_원본!$A$1:$AZ$400,(설정!$B$8+278),설정!$D$15)&amp;"","　"," ")))</f>
        <v/>
      </c>
      <c r="F284" s="27">
        <f>IF(설정!$D$17="",0,IFERROR(VALUE(SUBSTITUTE(SUBSTITUTE(INDEX(급여대장_원본!$A$1:$AZ$400,(설정!$B$8+278),설정!$D$17)&amp;"",",",""),"　","")),0))</f>
        <v/>
      </c>
      <c r="G284" s="27">
        <f>IF(설정!$D$18="",0,IFERROR(VALUE(SUBSTITUTE(SUBSTITUTE(INDEX(급여대장_원본!$A$1:$AZ$400,(설정!$B$8+278),설정!$D$18)&amp;"",",",""),"　","")),0))</f>
        <v/>
      </c>
      <c r="H284" s="27">
        <f>IF(설정!$D$19="",0,IFERROR(VALUE(SUBSTITUTE(SUBSTITUTE(INDEX(급여대장_원본!$A$1:$AZ$400,(설정!$B$8+278),설정!$D$19)&amp;"",",",""),"　","")),0))</f>
        <v/>
      </c>
      <c r="I284" s="27">
        <f>IF(설정!$D$20="",0,IFERROR(VALUE(SUBSTITUTE(SUBSTITUTE(INDEX(급여대장_원본!$A$1:$AZ$400,(설정!$B$8+278),설정!$D$20)&amp;"",",",""),"　","")),0))</f>
        <v/>
      </c>
      <c r="J284" s="27">
        <f>IF(설정!$D$21="",0,IFERROR(VALUE(SUBSTITUTE(SUBSTITUTE(INDEX(급여대장_원본!$A$1:$AZ$400,(설정!$B$8+278),설정!$D$21)&amp;"",",",""),"　","")),0))</f>
        <v/>
      </c>
      <c r="K284" s="27">
        <f>IF(설정!$D$22="",0,IFERROR(VALUE(SUBSTITUTE(SUBSTITUTE(INDEX(급여대장_원본!$A$1:$AZ$400,(설정!$B$8+278),설정!$D$22)&amp;"",",",""),"　","")),0))</f>
        <v/>
      </c>
      <c r="L284" s="27">
        <f>IF(설정!$D$23="",0,IFERROR(VALUE(SUBSTITUTE(SUBSTITUTE(INDEX(급여대장_원본!$A$1:$AZ$400,(설정!$B$8+278),설정!$D$23)&amp;"",",",""),"　","")),0))</f>
        <v/>
      </c>
      <c r="M284" s="27">
        <f>IF(설정!$D$24="",0,IFERROR(VALUE(SUBSTITUTE(SUBSTITUTE(INDEX(급여대장_원본!$A$1:$AZ$400,(설정!$B$8+278),설정!$D$24)&amp;"",",",""),"　","")),0))</f>
        <v/>
      </c>
      <c r="N284" s="2">
        <f>IF(OR(설정!$C$17="",IFERROR(MATCH(설정!$C$17,INDEX(급여대장_원본!$A$1:$AZ$400,설정!$B$8,0),0),"")=""),"",IFERROR(VALUE(SUBSTITUTE(INDEX(급여대장_원본!$A$1:$AZ$400,(설정!$B$8+278),IFERROR(MATCH(설정!$C$17,INDEX(급여대장_원본!$A$1:$AZ$400,설정!$B$8,0),0),""))&amp;"",",","")),""))</f>
        <v/>
      </c>
      <c r="O284" s="2">
        <f>IF(OR(설정!$C$18="",IFERROR(MATCH(설정!$C$18,INDEX(급여대장_원본!$A$1:$AZ$400,설정!$B$8,0),0),"")=""),"",IFERROR(VALUE(SUBSTITUTE(INDEX(급여대장_원본!$A$1:$AZ$400,(설정!$B$8+278),IFERROR(MATCH(설정!$C$18,INDEX(급여대장_원본!$A$1:$AZ$400,설정!$B$8,0),0),""))&amp;"",",","")),""))</f>
        <v/>
      </c>
      <c r="P284" s="2">
        <f>IF(OR(설정!$C$19="",IFERROR(MATCH(설정!$C$19,INDEX(급여대장_원본!$A$1:$AZ$400,설정!$B$8,0),0),"")=""),"",IFERROR(VALUE(SUBSTITUTE(INDEX(급여대장_원본!$A$1:$AZ$400,(설정!$B$8+278),IFERROR(MATCH(설정!$C$19,INDEX(급여대장_원본!$A$1:$AZ$400,설정!$B$8,0),0),""))&amp;"",",","")),""))</f>
        <v/>
      </c>
      <c r="Q284" s="2">
        <f>IF(OR(설정!$C$20="",IFERROR(MATCH(설정!$C$20,INDEX(급여대장_원본!$A$1:$AZ$400,설정!$B$8,0),0),"")=""),"",IFERROR(VALUE(SUBSTITUTE(INDEX(급여대장_원본!$A$1:$AZ$400,(설정!$B$8+278),IFERROR(MATCH(설정!$C$20,INDEX(급여대장_원본!$A$1:$AZ$400,설정!$B$8,0),0),""))&amp;"",",","")),""))</f>
        <v/>
      </c>
      <c r="R284" s="2">
        <f>IF(OR(설정!$C$21="",IFERROR(MATCH(설정!$C$21,INDEX(급여대장_원본!$A$1:$AZ$400,설정!$B$8,0),0),"")=""),"",IFERROR(VALUE(SUBSTITUTE(INDEX(급여대장_원본!$A$1:$AZ$400,(설정!$B$8+278),IFERROR(MATCH(설정!$C$21,INDEX(급여대장_원본!$A$1:$AZ$400,설정!$B$8,0),0),""))&amp;"",",","")),""))</f>
        <v/>
      </c>
      <c r="S284" s="2">
        <f>IF(OR(설정!$C$22="",IFERROR(MATCH(설정!$C$22,INDEX(급여대장_원본!$A$1:$AZ$400,설정!$B$8,0),0),"")=""),"",IFERROR(VALUE(SUBSTITUTE(INDEX(급여대장_원본!$A$1:$AZ$400,(설정!$B$8+278),IFERROR(MATCH(설정!$C$22,INDEX(급여대장_원본!$A$1:$AZ$400,설정!$B$8,0),0),""))&amp;"",",","")),""))</f>
        <v/>
      </c>
      <c r="T284" s="2">
        <f>IF(OR(설정!$C$23="",IFERROR(MATCH(설정!$C$23,INDEX(급여대장_원본!$A$1:$AZ$400,설정!$B$8,0),0),"")=""),"",IFERROR(VALUE(SUBSTITUTE(INDEX(급여대장_원본!$A$1:$AZ$400,(설정!$B$8+278),IFERROR(MATCH(설정!$C$23,INDEX(급여대장_원본!$A$1:$AZ$400,설정!$B$8,0),0),""))&amp;"",",","")),""))</f>
        <v/>
      </c>
      <c r="U284" s="2">
        <f>IF(OR(설정!$C$24="",IFERROR(MATCH(설정!$C$24,INDEX(급여대장_원본!$A$1:$AZ$400,설정!$B$8,0),0),"")=""),"",IFERROR(VALUE(SUBSTITUTE(INDEX(급여대장_원본!$A$1:$AZ$400,(설정!$B$8+278),IFERROR(MATCH(설정!$C$24,INDEX(급여대장_원본!$A$1:$AZ$400,설정!$B$8,0),0),""))&amp;"",",","")),""))</f>
        <v/>
      </c>
      <c r="V284" s="27">
        <f>SUM(F284:M284)</f>
        <v/>
      </c>
      <c r="W284" s="27">
        <f>IF(설정!$D$26="",0,IFERROR(VALUE(SUBSTITUTE(SUBSTITUTE(INDEX(급여대장_원본!$A$1:$AZ$400,(설정!$B$8+278),설정!$D$26)&amp;"",",",""),"　","")),0))</f>
        <v/>
      </c>
      <c r="X284" s="27">
        <f>IF(설정!$D$27="",0,IFERROR(VALUE(SUBSTITUTE(SUBSTITUTE(INDEX(급여대장_원본!$A$1:$AZ$400,(설정!$B$8+278),설정!$D$27)&amp;"",",",""),"　","")),0))</f>
        <v/>
      </c>
      <c r="Y284" s="27">
        <f>IF(설정!$D$28="",0,IFERROR(VALUE(SUBSTITUTE(SUBSTITUTE(INDEX(급여대장_원본!$A$1:$AZ$400,(설정!$B$8+278),설정!$D$28)&amp;"",",",""),"　","")),0))</f>
        <v/>
      </c>
      <c r="Z284" s="27">
        <f>IF(설정!$D$29="",0,IFERROR(VALUE(SUBSTITUTE(SUBSTITUTE(INDEX(급여대장_원본!$A$1:$AZ$400,(설정!$B$8+278),설정!$D$29)&amp;"",",",""),"　","")),0))</f>
        <v/>
      </c>
      <c r="AA284" s="27">
        <f>IF(설정!$D$30="",0,IFERROR(VALUE(SUBSTITUTE(SUBSTITUTE(INDEX(급여대장_원본!$A$1:$AZ$400,(설정!$B$8+278),설정!$D$30)&amp;"",",",""),"　","")),0))</f>
        <v/>
      </c>
      <c r="AB284" s="27">
        <f>IF(설정!$D$31="",0,IFERROR(VALUE(SUBSTITUTE(SUBSTITUTE(INDEX(급여대장_원본!$A$1:$AZ$400,(설정!$B$8+278),설정!$D$31)&amp;"",",",""),"　","")),0))</f>
        <v/>
      </c>
      <c r="AC284" s="27">
        <f>IF(설정!$D$32="",0,IFERROR(VALUE(SUBSTITUTE(SUBSTITUTE(INDEX(급여대장_원본!$A$1:$AZ$400,(설정!$B$8+278),설정!$D$32)&amp;"",",",""),"　","")),0))</f>
        <v/>
      </c>
      <c r="AD284" s="27">
        <f>IF(설정!$D$33="",0,IFERROR(VALUE(SUBSTITUTE(SUBSTITUTE(INDEX(급여대장_원본!$A$1:$AZ$400,(설정!$B$8+278),설정!$D$33)&amp;"",",",""),"　","")),0))</f>
        <v/>
      </c>
      <c r="AE284" s="27">
        <f>SUM(W284:AD284)</f>
        <v/>
      </c>
      <c r="AF284" s="27">
        <f>V284-AE284</f>
        <v/>
      </c>
      <c r="AG284" s="27">
        <f>IF(설정!$D$35="","",IF(설정!$D$35="",0,IFERROR(VALUE(SUBSTITUTE(SUBSTITUTE(INDEX(급여대장_원본!$A$1:$AZ$400,(설정!$B$8+278),설정!$D$35)&amp;"",",",""),"　","")),0)))</f>
        <v/>
      </c>
      <c r="AH284" s="27">
        <f>IF(설정!$D$36="","",IF(설정!$D$36="",0,IFERROR(VALUE(SUBSTITUTE(SUBSTITUTE(INDEX(급여대장_원본!$A$1:$AZ$400,(설정!$B$8+278),설정!$D$36)&amp;"",",",""),"　","")),0)))</f>
        <v/>
      </c>
      <c r="AI284" s="27">
        <f>IF(설정!$D$37="","",IF(설정!$D$37="",0,IFERROR(VALUE(SUBSTITUTE(SUBSTITUTE(INDEX(급여대장_원본!$A$1:$AZ$400,(설정!$B$8+278),설정!$D$37)&amp;"",",",""),"　","")),0)))</f>
        <v/>
      </c>
      <c r="AJ284" s="2">
        <f>IFERROR(INDEX($D$7:$D$306,MATCH(278,$B$7:$B$306,0)),"")</f>
        <v/>
      </c>
    </row>
    <row r="285">
      <c r="A285" s="2">
        <f>IF(AND(D285&lt;&gt;"",D285&lt;&gt;"합계",D285&lt;&gt;"총계",D285&lt;&gt;"소계",D285&lt;&gt;"계"),1,0)</f>
        <v/>
      </c>
      <c r="B285" s="2">
        <f>IF(A285=1,SUM($A$7:A285),"")</f>
        <v/>
      </c>
      <c r="C285" s="2">
        <f>IF(설정!$D$13="","",TRIM(SUBSTITUTE(INDEX(급여대장_원본!$A$1:$AZ$400,(설정!$B$8+279),설정!$D$13)&amp;"","　"," ")))</f>
        <v/>
      </c>
      <c r="D285" s="2">
        <f>IF(설정!$D$14="","",TRIM(SUBSTITUTE(INDEX(급여대장_원본!$A$1:$AZ$400,(설정!$B$8+279),설정!$D$14)&amp;"","　"," ")))</f>
        <v/>
      </c>
      <c r="E285" s="2">
        <f>IF(설정!$D$15="","",TRIM(SUBSTITUTE(INDEX(급여대장_원본!$A$1:$AZ$400,(설정!$B$8+279),설정!$D$15)&amp;"","　"," ")))</f>
        <v/>
      </c>
      <c r="F285" s="27">
        <f>IF(설정!$D$17="",0,IFERROR(VALUE(SUBSTITUTE(SUBSTITUTE(INDEX(급여대장_원본!$A$1:$AZ$400,(설정!$B$8+279),설정!$D$17)&amp;"",",",""),"　","")),0))</f>
        <v/>
      </c>
      <c r="G285" s="27">
        <f>IF(설정!$D$18="",0,IFERROR(VALUE(SUBSTITUTE(SUBSTITUTE(INDEX(급여대장_원본!$A$1:$AZ$400,(설정!$B$8+279),설정!$D$18)&amp;"",",",""),"　","")),0))</f>
        <v/>
      </c>
      <c r="H285" s="27">
        <f>IF(설정!$D$19="",0,IFERROR(VALUE(SUBSTITUTE(SUBSTITUTE(INDEX(급여대장_원본!$A$1:$AZ$400,(설정!$B$8+279),설정!$D$19)&amp;"",",",""),"　","")),0))</f>
        <v/>
      </c>
      <c r="I285" s="27">
        <f>IF(설정!$D$20="",0,IFERROR(VALUE(SUBSTITUTE(SUBSTITUTE(INDEX(급여대장_원본!$A$1:$AZ$400,(설정!$B$8+279),설정!$D$20)&amp;"",",",""),"　","")),0))</f>
        <v/>
      </c>
      <c r="J285" s="27">
        <f>IF(설정!$D$21="",0,IFERROR(VALUE(SUBSTITUTE(SUBSTITUTE(INDEX(급여대장_원본!$A$1:$AZ$400,(설정!$B$8+279),설정!$D$21)&amp;"",",",""),"　","")),0))</f>
        <v/>
      </c>
      <c r="K285" s="27">
        <f>IF(설정!$D$22="",0,IFERROR(VALUE(SUBSTITUTE(SUBSTITUTE(INDEX(급여대장_원본!$A$1:$AZ$400,(설정!$B$8+279),설정!$D$22)&amp;"",",",""),"　","")),0))</f>
        <v/>
      </c>
      <c r="L285" s="27">
        <f>IF(설정!$D$23="",0,IFERROR(VALUE(SUBSTITUTE(SUBSTITUTE(INDEX(급여대장_원본!$A$1:$AZ$400,(설정!$B$8+279),설정!$D$23)&amp;"",",",""),"　","")),0))</f>
        <v/>
      </c>
      <c r="M285" s="27">
        <f>IF(설정!$D$24="",0,IFERROR(VALUE(SUBSTITUTE(SUBSTITUTE(INDEX(급여대장_원본!$A$1:$AZ$400,(설정!$B$8+279),설정!$D$24)&amp;"",",",""),"　","")),0))</f>
        <v/>
      </c>
      <c r="N285" s="2">
        <f>IF(OR(설정!$C$17="",IFERROR(MATCH(설정!$C$17,INDEX(급여대장_원본!$A$1:$AZ$400,설정!$B$8,0),0),"")=""),"",IFERROR(VALUE(SUBSTITUTE(INDEX(급여대장_원본!$A$1:$AZ$400,(설정!$B$8+279),IFERROR(MATCH(설정!$C$17,INDEX(급여대장_원본!$A$1:$AZ$400,설정!$B$8,0),0),""))&amp;"",",","")),""))</f>
        <v/>
      </c>
      <c r="O285" s="2">
        <f>IF(OR(설정!$C$18="",IFERROR(MATCH(설정!$C$18,INDEX(급여대장_원본!$A$1:$AZ$400,설정!$B$8,0),0),"")=""),"",IFERROR(VALUE(SUBSTITUTE(INDEX(급여대장_원본!$A$1:$AZ$400,(설정!$B$8+279),IFERROR(MATCH(설정!$C$18,INDEX(급여대장_원본!$A$1:$AZ$400,설정!$B$8,0),0),""))&amp;"",",","")),""))</f>
        <v/>
      </c>
      <c r="P285" s="2">
        <f>IF(OR(설정!$C$19="",IFERROR(MATCH(설정!$C$19,INDEX(급여대장_원본!$A$1:$AZ$400,설정!$B$8,0),0),"")=""),"",IFERROR(VALUE(SUBSTITUTE(INDEX(급여대장_원본!$A$1:$AZ$400,(설정!$B$8+279),IFERROR(MATCH(설정!$C$19,INDEX(급여대장_원본!$A$1:$AZ$400,설정!$B$8,0),0),""))&amp;"",",","")),""))</f>
        <v/>
      </c>
      <c r="Q285" s="2">
        <f>IF(OR(설정!$C$20="",IFERROR(MATCH(설정!$C$20,INDEX(급여대장_원본!$A$1:$AZ$400,설정!$B$8,0),0),"")=""),"",IFERROR(VALUE(SUBSTITUTE(INDEX(급여대장_원본!$A$1:$AZ$400,(설정!$B$8+279),IFERROR(MATCH(설정!$C$20,INDEX(급여대장_원본!$A$1:$AZ$400,설정!$B$8,0),0),""))&amp;"",",","")),""))</f>
        <v/>
      </c>
      <c r="R285" s="2">
        <f>IF(OR(설정!$C$21="",IFERROR(MATCH(설정!$C$21,INDEX(급여대장_원본!$A$1:$AZ$400,설정!$B$8,0),0),"")=""),"",IFERROR(VALUE(SUBSTITUTE(INDEX(급여대장_원본!$A$1:$AZ$400,(설정!$B$8+279),IFERROR(MATCH(설정!$C$21,INDEX(급여대장_원본!$A$1:$AZ$400,설정!$B$8,0),0),""))&amp;"",",","")),""))</f>
        <v/>
      </c>
      <c r="S285" s="2">
        <f>IF(OR(설정!$C$22="",IFERROR(MATCH(설정!$C$22,INDEX(급여대장_원본!$A$1:$AZ$400,설정!$B$8,0),0),"")=""),"",IFERROR(VALUE(SUBSTITUTE(INDEX(급여대장_원본!$A$1:$AZ$400,(설정!$B$8+279),IFERROR(MATCH(설정!$C$22,INDEX(급여대장_원본!$A$1:$AZ$400,설정!$B$8,0),0),""))&amp;"",",","")),""))</f>
        <v/>
      </c>
      <c r="T285" s="2">
        <f>IF(OR(설정!$C$23="",IFERROR(MATCH(설정!$C$23,INDEX(급여대장_원본!$A$1:$AZ$400,설정!$B$8,0),0),"")=""),"",IFERROR(VALUE(SUBSTITUTE(INDEX(급여대장_원본!$A$1:$AZ$400,(설정!$B$8+279),IFERROR(MATCH(설정!$C$23,INDEX(급여대장_원본!$A$1:$AZ$400,설정!$B$8,0),0),""))&amp;"",",","")),""))</f>
        <v/>
      </c>
      <c r="U285" s="2">
        <f>IF(OR(설정!$C$24="",IFERROR(MATCH(설정!$C$24,INDEX(급여대장_원본!$A$1:$AZ$400,설정!$B$8,0),0),"")=""),"",IFERROR(VALUE(SUBSTITUTE(INDEX(급여대장_원본!$A$1:$AZ$400,(설정!$B$8+279),IFERROR(MATCH(설정!$C$24,INDEX(급여대장_원본!$A$1:$AZ$400,설정!$B$8,0),0),""))&amp;"",",","")),""))</f>
        <v/>
      </c>
      <c r="V285" s="27">
        <f>SUM(F285:M285)</f>
        <v/>
      </c>
      <c r="W285" s="27">
        <f>IF(설정!$D$26="",0,IFERROR(VALUE(SUBSTITUTE(SUBSTITUTE(INDEX(급여대장_원본!$A$1:$AZ$400,(설정!$B$8+279),설정!$D$26)&amp;"",",",""),"　","")),0))</f>
        <v/>
      </c>
      <c r="X285" s="27">
        <f>IF(설정!$D$27="",0,IFERROR(VALUE(SUBSTITUTE(SUBSTITUTE(INDEX(급여대장_원본!$A$1:$AZ$400,(설정!$B$8+279),설정!$D$27)&amp;"",",",""),"　","")),0))</f>
        <v/>
      </c>
      <c r="Y285" s="27">
        <f>IF(설정!$D$28="",0,IFERROR(VALUE(SUBSTITUTE(SUBSTITUTE(INDEX(급여대장_원본!$A$1:$AZ$400,(설정!$B$8+279),설정!$D$28)&amp;"",",",""),"　","")),0))</f>
        <v/>
      </c>
      <c r="Z285" s="27">
        <f>IF(설정!$D$29="",0,IFERROR(VALUE(SUBSTITUTE(SUBSTITUTE(INDEX(급여대장_원본!$A$1:$AZ$400,(설정!$B$8+279),설정!$D$29)&amp;"",",",""),"　","")),0))</f>
        <v/>
      </c>
      <c r="AA285" s="27">
        <f>IF(설정!$D$30="",0,IFERROR(VALUE(SUBSTITUTE(SUBSTITUTE(INDEX(급여대장_원본!$A$1:$AZ$400,(설정!$B$8+279),설정!$D$30)&amp;"",",",""),"　","")),0))</f>
        <v/>
      </c>
      <c r="AB285" s="27">
        <f>IF(설정!$D$31="",0,IFERROR(VALUE(SUBSTITUTE(SUBSTITUTE(INDEX(급여대장_원본!$A$1:$AZ$400,(설정!$B$8+279),설정!$D$31)&amp;"",",",""),"　","")),0))</f>
        <v/>
      </c>
      <c r="AC285" s="27">
        <f>IF(설정!$D$32="",0,IFERROR(VALUE(SUBSTITUTE(SUBSTITUTE(INDEX(급여대장_원본!$A$1:$AZ$400,(설정!$B$8+279),설정!$D$32)&amp;"",",",""),"　","")),0))</f>
        <v/>
      </c>
      <c r="AD285" s="27">
        <f>IF(설정!$D$33="",0,IFERROR(VALUE(SUBSTITUTE(SUBSTITUTE(INDEX(급여대장_원본!$A$1:$AZ$400,(설정!$B$8+279),설정!$D$33)&amp;"",",",""),"　","")),0))</f>
        <v/>
      </c>
      <c r="AE285" s="27">
        <f>SUM(W285:AD285)</f>
        <v/>
      </c>
      <c r="AF285" s="27">
        <f>V285-AE285</f>
        <v/>
      </c>
      <c r="AG285" s="27">
        <f>IF(설정!$D$35="","",IF(설정!$D$35="",0,IFERROR(VALUE(SUBSTITUTE(SUBSTITUTE(INDEX(급여대장_원본!$A$1:$AZ$400,(설정!$B$8+279),설정!$D$35)&amp;"",",",""),"　","")),0)))</f>
        <v/>
      </c>
      <c r="AH285" s="27">
        <f>IF(설정!$D$36="","",IF(설정!$D$36="",0,IFERROR(VALUE(SUBSTITUTE(SUBSTITUTE(INDEX(급여대장_원본!$A$1:$AZ$400,(설정!$B$8+279),설정!$D$36)&amp;"",",",""),"　","")),0)))</f>
        <v/>
      </c>
      <c r="AI285" s="27">
        <f>IF(설정!$D$37="","",IF(설정!$D$37="",0,IFERROR(VALUE(SUBSTITUTE(SUBSTITUTE(INDEX(급여대장_원본!$A$1:$AZ$400,(설정!$B$8+279),설정!$D$37)&amp;"",",",""),"　","")),0)))</f>
        <v/>
      </c>
      <c r="AJ285" s="2">
        <f>IFERROR(INDEX($D$7:$D$306,MATCH(279,$B$7:$B$306,0)),"")</f>
        <v/>
      </c>
    </row>
    <row r="286">
      <c r="A286" s="2">
        <f>IF(AND(D286&lt;&gt;"",D286&lt;&gt;"합계",D286&lt;&gt;"총계",D286&lt;&gt;"소계",D286&lt;&gt;"계"),1,0)</f>
        <v/>
      </c>
      <c r="B286" s="2">
        <f>IF(A286=1,SUM($A$7:A286),"")</f>
        <v/>
      </c>
      <c r="C286" s="2">
        <f>IF(설정!$D$13="","",TRIM(SUBSTITUTE(INDEX(급여대장_원본!$A$1:$AZ$400,(설정!$B$8+280),설정!$D$13)&amp;"","　"," ")))</f>
        <v/>
      </c>
      <c r="D286" s="2">
        <f>IF(설정!$D$14="","",TRIM(SUBSTITUTE(INDEX(급여대장_원본!$A$1:$AZ$400,(설정!$B$8+280),설정!$D$14)&amp;"","　"," ")))</f>
        <v/>
      </c>
      <c r="E286" s="2">
        <f>IF(설정!$D$15="","",TRIM(SUBSTITUTE(INDEX(급여대장_원본!$A$1:$AZ$400,(설정!$B$8+280),설정!$D$15)&amp;"","　"," ")))</f>
        <v/>
      </c>
      <c r="F286" s="27">
        <f>IF(설정!$D$17="",0,IFERROR(VALUE(SUBSTITUTE(SUBSTITUTE(INDEX(급여대장_원본!$A$1:$AZ$400,(설정!$B$8+280),설정!$D$17)&amp;"",",",""),"　","")),0))</f>
        <v/>
      </c>
      <c r="G286" s="27">
        <f>IF(설정!$D$18="",0,IFERROR(VALUE(SUBSTITUTE(SUBSTITUTE(INDEX(급여대장_원본!$A$1:$AZ$400,(설정!$B$8+280),설정!$D$18)&amp;"",",",""),"　","")),0))</f>
        <v/>
      </c>
      <c r="H286" s="27">
        <f>IF(설정!$D$19="",0,IFERROR(VALUE(SUBSTITUTE(SUBSTITUTE(INDEX(급여대장_원본!$A$1:$AZ$400,(설정!$B$8+280),설정!$D$19)&amp;"",",",""),"　","")),0))</f>
        <v/>
      </c>
      <c r="I286" s="27">
        <f>IF(설정!$D$20="",0,IFERROR(VALUE(SUBSTITUTE(SUBSTITUTE(INDEX(급여대장_원본!$A$1:$AZ$400,(설정!$B$8+280),설정!$D$20)&amp;"",",",""),"　","")),0))</f>
        <v/>
      </c>
      <c r="J286" s="27">
        <f>IF(설정!$D$21="",0,IFERROR(VALUE(SUBSTITUTE(SUBSTITUTE(INDEX(급여대장_원본!$A$1:$AZ$400,(설정!$B$8+280),설정!$D$21)&amp;"",",",""),"　","")),0))</f>
        <v/>
      </c>
      <c r="K286" s="27">
        <f>IF(설정!$D$22="",0,IFERROR(VALUE(SUBSTITUTE(SUBSTITUTE(INDEX(급여대장_원본!$A$1:$AZ$400,(설정!$B$8+280),설정!$D$22)&amp;"",",",""),"　","")),0))</f>
        <v/>
      </c>
      <c r="L286" s="27">
        <f>IF(설정!$D$23="",0,IFERROR(VALUE(SUBSTITUTE(SUBSTITUTE(INDEX(급여대장_원본!$A$1:$AZ$400,(설정!$B$8+280),설정!$D$23)&amp;"",",",""),"　","")),0))</f>
        <v/>
      </c>
      <c r="M286" s="27">
        <f>IF(설정!$D$24="",0,IFERROR(VALUE(SUBSTITUTE(SUBSTITUTE(INDEX(급여대장_원본!$A$1:$AZ$400,(설정!$B$8+280),설정!$D$24)&amp;"",",",""),"　","")),0))</f>
        <v/>
      </c>
      <c r="N286" s="2">
        <f>IF(OR(설정!$C$17="",IFERROR(MATCH(설정!$C$17,INDEX(급여대장_원본!$A$1:$AZ$400,설정!$B$8,0),0),"")=""),"",IFERROR(VALUE(SUBSTITUTE(INDEX(급여대장_원본!$A$1:$AZ$400,(설정!$B$8+280),IFERROR(MATCH(설정!$C$17,INDEX(급여대장_원본!$A$1:$AZ$400,설정!$B$8,0),0),""))&amp;"",",","")),""))</f>
        <v/>
      </c>
      <c r="O286" s="2">
        <f>IF(OR(설정!$C$18="",IFERROR(MATCH(설정!$C$18,INDEX(급여대장_원본!$A$1:$AZ$400,설정!$B$8,0),0),"")=""),"",IFERROR(VALUE(SUBSTITUTE(INDEX(급여대장_원본!$A$1:$AZ$400,(설정!$B$8+280),IFERROR(MATCH(설정!$C$18,INDEX(급여대장_원본!$A$1:$AZ$400,설정!$B$8,0),0),""))&amp;"",",","")),""))</f>
        <v/>
      </c>
      <c r="P286" s="2">
        <f>IF(OR(설정!$C$19="",IFERROR(MATCH(설정!$C$19,INDEX(급여대장_원본!$A$1:$AZ$400,설정!$B$8,0),0),"")=""),"",IFERROR(VALUE(SUBSTITUTE(INDEX(급여대장_원본!$A$1:$AZ$400,(설정!$B$8+280),IFERROR(MATCH(설정!$C$19,INDEX(급여대장_원본!$A$1:$AZ$400,설정!$B$8,0),0),""))&amp;"",",","")),""))</f>
        <v/>
      </c>
      <c r="Q286" s="2">
        <f>IF(OR(설정!$C$20="",IFERROR(MATCH(설정!$C$20,INDEX(급여대장_원본!$A$1:$AZ$400,설정!$B$8,0),0),"")=""),"",IFERROR(VALUE(SUBSTITUTE(INDEX(급여대장_원본!$A$1:$AZ$400,(설정!$B$8+280),IFERROR(MATCH(설정!$C$20,INDEX(급여대장_원본!$A$1:$AZ$400,설정!$B$8,0),0),""))&amp;"",",","")),""))</f>
        <v/>
      </c>
      <c r="R286" s="2">
        <f>IF(OR(설정!$C$21="",IFERROR(MATCH(설정!$C$21,INDEX(급여대장_원본!$A$1:$AZ$400,설정!$B$8,0),0),"")=""),"",IFERROR(VALUE(SUBSTITUTE(INDEX(급여대장_원본!$A$1:$AZ$400,(설정!$B$8+280),IFERROR(MATCH(설정!$C$21,INDEX(급여대장_원본!$A$1:$AZ$400,설정!$B$8,0),0),""))&amp;"",",","")),""))</f>
        <v/>
      </c>
      <c r="S286" s="2">
        <f>IF(OR(설정!$C$22="",IFERROR(MATCH(설정!$C$22,INDEX(급여대장_원본!$A$1:$AZ$400,설정!$B$8,0),0),"")=""),"",IFERROR(VALUE(SUBSTITUTE(INDEX(급여대장_원본!$A$1:$AZ$400,(설정!$B$8+280),IFERROR(MATCH(설정!$C$22,INDEX(급여대장_원본!$A$1:$AZ$400,설정!$B$8,0),0),""))&amp;"",",","")),""))</f>
        <v/>
      </c>
      <c r="T286" s="2">
        <f>IF(OR(설정!$C$23="",IFERROR(MATCH(설정!$C$23,INDEX(급여대장_원본!$A$1:$AZ$400,설정!$B$8,0),0),"")=""),"",IFERROR(VALUE(SUBSTITUTE(INDEX(급여대장_원본!$A$1:$AZ$400,(설정!$B$8+280),IFERROR(MATCH(설정!$C$23,INDEX(급여대장_원본!$A$1:$AZ$400,설정!$B$8,0),0),""))&amp;"",",","")),""))</f>
        <v/>
      </c>
      <c r="U286" s="2">
        <f>IF(OR(설정!$C$24="",IFERROR(MATCH(설정!$C$24,INDEX(급여대장_원본!$A$1:$AZ$400,설정!$B$8,0),0),"")=""),"",IFERROR(VALUE(SUBSTITUTE(INDEX(급여대장_원본!$A$1:$AZ$400,(설정!$B$8+280),IFERROR(MATCH(설정!$C$24,INDEX(급여대장_원본!$A$1:$AZ$400,설정!$B$8,0),0),""))&amp;"",",","")),""))</f>
        <v/>
      </c>
      <c r="V286" s="27">
        <f>SUM(F286:M286)</f>
        <v/>
      </c>
      <c r="W286" s="27">
        <f>IF(설정!$D$26="",0,IFERROR(VALUE(SUBSTITUTE(SUBSTITUTE(INDEX(급여대장_원본!$A$1:$AZ$400,(설정!$B$8+280),설정!$D$26)&amp;"",",",""),"　","")),0))</f>
        <v/>
      </c>
      <c r="X286" s="27">
        <f>IF(설정!$D$27="",0,IFERROR(VALUE(SUBSTITUTE(SUBSTITUTE(INDEX(급여대장_원본!$A$1:$AZ$400,(설정!$B$8+280),설정!$D$27)&amp;"",",",""),"　","")),0))</f>
        <v/>
      </c>
      <c r="Y286" s="27">
        <f>IF(설정!$D$28="",0,IFERROR(VALUE(SUBSTITUTE(SUBSTITUTE(INDEX(급여대장_원본!$A$1:$AZ$400,(설정!$B$8+280),설정!$D$28)&amp;"",",",""),"　","")),0))</f>
        <v/>
      </c>
      <c r="Z286" s="27">
        <f>IF(설정!$D$29="",0,IFERROR(VALUE(SUBSTITUTE(SUBSTITUTE(INDEX(급여대장_원본!$A$1:$AZ$400,(설정!$B$8+280),설정!$D$29)&amp;"",",",""),"　","")),0))</f>
        <v/>
      </c>
      <c r="AA286" s="27">
        <f>IF(설정!$D$30="",0,IFERROR(VALUE(SUBSTITUTE(SUBSTITUTE(INDEX(급여대장_원본!$A$1:$AZ$400,(설정!$B$8+280),설정!$D$30)&amp;"",",",""),"　","")),0))</f>
        <v/>
      </c>
      <c r="AB286" s="27">
        <f>IF(설정!$D$31="",0,IFERROR(VALUE(SUBSTITUTE(SUBSTITUTE(INDEX(급여대장_원본!$A$1:$AZ$400,(설정!$B$8+280),설정!$D$31)&amp;"",",",""),"　","")),0))</f>
        <v/>
      </c>
      <c r="AC286" s="27">
        <f>IF(설정!$D$32="",0,IFERROR(VALUE(SUBSTITUTE(SUBSTITUTE(INDEX(급여대장_원본!$A$1:$AZ$400,(설정!$B$8+280),설정!$D$32)&amp;"",",",""),"　","")),0))</f>
        <v/>
      </c>
      <c r="AD286" s="27">
        <f>IF(설정!$D$33="",0,IFERROR(VALUE(SUBSTITUTE(SUBSTITUTE(INDEX(급여대장_원본!$A$1:$AZ$400,(설정!$B$8+280),설정!$D$33)&amp;"",",",""),"　","")),0))</f>
        <v/>
      </c>
      <c r="AE286" s="27">
        <f>SUM(W286:AD286)</f>
        <v/>
      </c>
      <c r="AF286" s="27">
        <f>V286-AE286</f>
        <v/>
      </c>
      <c r="AG286" s="27">
        <f>IF(설정!$D$35="","",IF(설정!$D$35="",0,IFERROR(VALUE(SUBSTITUTE(SUBSTITUTE(INDEX(급여대장_원본!$A$1:$AZ$400,(설정!$B$8+280),설정!$D$35)&amp;"",",",""),"　","")),0)))</f>
        <v/>
      </c>
      <c r="AH286" s="27">
        <f>IF(설정!$D$36="","",IF(설정!$D$36="",0,IFERROR(VALUE(SUBSTITUTE(SUBSTITUTE(INDEX(급여대장_원본!$A$1:$AZ$400,(설정!$B$8+280),설정!$D$36)&amp;"",",",""),"　","")),0)))</f>
        <v/>
      </c>
      <c r="AI286" s="27">
        <f>IF(설정!$D$37="","",IF(설정!$D$37="",0,IFERROR(VALUE(SUBSTITUTE(SUBSTITUTE(INDEX(급여대장_원본!$A$1:$AZ$400,(설정!$B$8+280),설정!$D$37)&amp;"",",",""),"　","")),0)))</f>
        <v/>
      </c>
      <c r="AJ286" s="2">
        <f>IFERROR(INDEX($D$7:$D$306,MATCH(280,$B$7:$B$306,0)),"")</f>
        <v/>
      </c>
    </row>
    <row r="287">
      <c r="A287" s="2">
        <f>IF(AND(D287&lt;&gt;"",D287&lt;&gt;"합계",D287&lt;&gt;"총계",D287&lt;&gt;"소계",D287&lt;&gt;"계"),1,0)</f>
        <v/>
      </c>
      <c r="B287" s="2">
        <f>IF(A287=1,SUM($A$7:A287),"")</f>
        <v/>
      </c>
      <c r="C287" s="2">
        <f>IF(설정!$D$13="","",TRIM(SUBSTITUTE(INDEX(급여대장_원본!$A$1:$AZ$400,(설정!$B$8+281),설정!$D$13)&amp;"","　"," ")))</f>
        <v/>
      </c>
      <c r="D287" s="2">
        <f>IF(설정!$D$14="","",TRIM(SUBSTITUTE(INDEX(급여대장_원본!$A$1:$AZ$400,(설정!$B$8+281),설정!$D$14)&amp;"","　"," ")))</f>
        <v/>
      </c>
      <c r="E287" s="2">
        <f>IF(설정!$D$15="","",TRIM(SUBSTITUTE(INDEX(급여대장_원본!$A$1:$AZ$400,(설정!$B$8+281),설정!$D$15)&amp;"","　"," ")))</f>
        <v/>
      </c>
      <c r="F287" s="27">
        <f>IF(설정!$D$17="",0,IFERROR(VALUE(SUBSTITUTE(SUBSTITUTE(INDEX(급여대장_원본!$A$1:$AZ$400,(설정!$B$8+281),설정!$D$17)&amp;"",",",""),"　","")),0))</f>
        <v/>
      </c>
      <c r="G287" s="27">
        <f>IF(설정!$D$18="",0,IFERROR(VALUE(SUBSTITUTE(SUBSTITUTE(INDEX(급여대장_원본!$A$1:$AZ$400,(설정!$B$8+281),설정!$D$18)&amp;"",",",""),"　","")),0))</f>
        <v/>
      </c>
      <c r="H287" s="27">
        <f>IF(설정!$D$19="",0,IFERROR(VALUE(SUBSTITUTE(SUBSTITUTE(INDEX(급여대장_원본!$A$1:$AZ$400,(설정!$B$8+281),설정!$D$19)&amp;"",",",""),"　","")),0))</f>
        <v/>
      </c>
      <c r="I287" s="27">
        <f>IF(설정!$D$20="",0,IFERROR(VALUE(SUBSTITUTE(SUBSTITUTE(INDEX(급여대장_원본!$A$1:$AZ$400,(설정!$B$8+281),설정!$D$20)&amp;"",",",""),"　","")),0))</f>
        <v/>
      </c>
      <c r="J287" s="27">
        <f>IF(설정!$D$21="",0,IFERROR(VALUE(SUBSTITUTE(SUBSTITUTE(INDEX(급여대장_원본!$A$1:$AZ$400,(설정!$B$8+281),설정!$D$21)&amp;"",",",""),"　","")),0))</f>
        <v/>
      </c>
      <c r="K287" s="27">
        <f>IF(설정!$D$22="",0,IFERROR(VALUE(SUBSTITUTE(SUBSTITUTE(INDEX(급여대장_원본!$A$1:$AZ$400,(설정!$B$8+281),설정!$D$22)&amp;"",",",""),"　","")),0))</f>
        <v/>
      </c>
      <c r="L287" s="27">
        <f>IF(설정!$D$23="",0,IFERROR(VALUE(SUBSTITUTE(SUBSTITUTE(INDEX(급여대장_원본!$A$1:$AZ$400,(설정!$B$8+281),설정!$D$23)&amp;"",",",""),"　","")),0))</f>
        <v/>
      </c>
      <c r="M287" s="27">
        <f>IF(설정!$D$24="",0,IFERROR(VALUE(SUBSTITUTE(SUBSTITUTE(INDEX(급여대장_원본!$A$1:$AZ$400,(설정!$B$8+281),설정!$D$24)&amp;"",",",""),"　","")),0))</f>
        <v/>
      </c>
      <c r="N287" s="2">
        <f>IF(OR(설정!$C$17="",IFERROR(MATCH(설정!$C$17,INDEX(급여대장_원본!$A$1:$AZ$400,설정!$B$8,0),0),"")=""),"",IFERROR(VALUE(SUBSTITUTE(INDEX(급여대장_원본!$A$1:$AZ$400,(설정!$B$8+281),IFERROR(MATCH(설정!$C$17,INDEX(급여대장_원본!$A$1:$AZ$400,설정!$B$8,0),0),""))&amp;"",",","")),""))</f>
        <v/>
      </c>
      <c r="O287" s="2">
        <f>IF(OR(설정!$C$18="",IFERROR(MATCH(설정!$C$18,INDEX(급여대장_원본!$A$1:$AZ$400,설정!$B$8,0),0),"")=""),"",IFERROR(VALUE(SUBSTITUTE(INDEX(급여대장_원본!$A$1:$AZ$400,(설정!$B$8+281),IFERROR(MATCH(설정!$C$18,INDEX(급여대장_원본!$A$1:$AZ$400,설정!$B$8,0),0),""))&amp;"",",","")),""))</f>
        <v/>
      </c>
      <c r="P287" s="2">
        <f>IF(OR(설정!$C$19="",IFERROR(MATCH(설정!$C$19,INDEX(급여대장_원본!$A$1:$AZ$400,설정!$B$8,0),0),"")=""),"",IFERROR(VALUE(SUBSTITUTE(INDEX(급여대장_원본!$A$1:$AZ$400,(설정!$B$8+281),IFERROR(MATCH(설정!$C$19,INDEX(급여대장_원본!$A$1:$AZ$400,설정!$B$8,0),0),""))&amp;"",",","")),""))</f>
        <v/>
      </c>
      <c r="Q287" s="2">
        <f>IF(OR(설정!$C$20="",IFERROR(MATCH(설정!$C$20,INDEX(급여대장_원본!$A$1:$AZ$400,설정!$B$8,0),0),"")=""),"",IFERROR(VALUE(SUBSTITUTE(INDEX(급여대장_원본!$A$1:$AZ$400,(설정!$B$8+281),IFERROR(MATCH(설정!$C$20,INDEX(급여대장_원본!$A$1:$AZ$400,설정!$B$8,0),0),""))&amp;"",",","")),""))</f>
        <v/>
      </c>
      <c r="R287" s="2">
        <f>IF(OR(설정!$C$21="",IFERROR(MATCH(설정!$C$21,INDEX(급여대장_원본!$A$1:$AZ$400,설정!$B$8,0),0),"")=""),"",IFERROR(VALUE(SUBSTITUTE(INDEX(급여대장_원본!$A$1:$AZ$400,(설정!$B$8+281),IFERROR(MATCH(설정!$C$21,INDEX(급여대장_원본!$A$1:$AZ$400,설정!$B$8,0),0),""))&amp;"",",","")),""))</f>
        <v/>
      </c>
      <c r="S287" s="2">
        <f>IF(OR(설정!$C$22="",IFERROR(MATCH(설정!$C$22,INDEX(급여대장_원본!$A$1:$AZ$400,설정!$B$8,0),0),"")=""),"",IFERROR(VALUE(SUBSTITUTE(INDEX(급여대장_원본!$A$1:$AZ$400,(설정!$B$8+281),IFERROR(MATCH(설정!$C$22,INDEX(급여대장_원본!$A$1:$AZ$400,설정!$B$8,0),0),""))&amp;"",",","")),""))</f>
        <v/>
      </c>
      <c r="T287" s="2">
        <f>IF(OR(설정!$C$23="",IFERROR(MATCH(설정!$C$23,INDEX(급여대장_원본!$A$1:$AZ$400,설정!$B$8,0),0),"")=""),"",IFERROR(VALUE(SUBSTITUTE(INDEX(급여대장_원본!$A$1:$AZ$400,(설정!$B$8+281),IFERROR(MATCH(설정!$C$23,INDEX(급여대장_원본!$A$1:$AZ$400,설정!$B$8,0),0),""))&amp;"",",","")),""))</f>
        <v/>
      </c>
      <c r="U287" s="2">
        <f>IF(OR(설정!$C$24="",IFERROR(MATCH(설정!$C$24,INDEX(급여대장_원본!$A$1:$AZ$400,설정!$B$8,0),0),"")=""),"",IFERROR(VALUE(SUBSTITUTE(INDEX(급여대장_원본!$A$1:$AZ$400,(설정!$B$8+281),IFERROR(MATCH(설정!$C$24,INDEX(급여대장_원본!$A$1:$AZ$400,설정!$B$8,0),0),""))&amp;"",",","")),""))</f>
        <v/>
      </c>
      <c r="V287" s="27">
        <f>SUM(F287:M287)</f>
        <v/>
      </c>
      <c r="W287" s="27">
        <f>IF(설정!$D$26="",0,IFERROR(VALUE(SUBSTITUTE(SUBSTITUTE(INDEX(급여대장_원본!$A$1:$AZ$400,(설정!$B$8+281),설정!$D$26)&amp;"",",",""),"　","")),0))</f>
        <v/>
      </c>
      <c r="X287" s="27">
        <f>IF(설정!$D$27="",0,IFERROR(VALUE(SUBSTITUTE(SUBSTITUTE(INDEX(급여대장_원본!$A$1:$AZ$400,(설정!$B$8+281),설정!$D$27)&amp;"",",",""),"　","")),0))</f>
        <v/>
      </c>
      <c r="Y287" s="27">
        <f>IF(설정!$D$28="",0,IFERROR(VALUE(SUBSTITUTE(SUBSTITUTE(INDEX(급여대장_원본!$A$1:$AZ$400,(설정!$B$8+281),설정!$D$28)&amp;"",",",""),"　","")),0))</f>
        <v/>
      </c>
      <c r="Z287" s="27">
        <f>IF(설정!$D$29="",0,IFERROR(VALUE(SUBSTITUTE(SUBSTITUTE(INDEX(급여대장_원본!$A$1:$AZ$400,(설정!$B$8+281),설정!$D$29)&amp;"",",",""),"　","")),0))</f>
        <v/>
      </c>
      <c r="AA287" s="27">
        <f>IF(설정!$D$30="",0,IFERROR(VALUE(SUBSTITUTE(SUBSTITUTE(INDEX(급여대장_원본!$A$1:$AZ$400,(설정!$B$8+281),설정!$D$30)&amp;"",",",""),"　","")),0))</f>
        <v/>
      </c>
      <c r="AB287" s="27">
        <f>IF(설정!$D$31="",0,IFERROR(VALUE(SUBSTITUTE(SUBSTITUTE(INDEX(급여대장_원본!$A$1:$AZ$400,(설정!$B$8+281),설정!$D$31)&amp;"",",",""),"　","")),0))</f>
        <v/>
      </c>
      <c r="AC287" s="27">
        <f>IF(설정!$D$32="",0,IFERROR(VALUE(SUBSTITUTE(SUBSTITUTE(INDEX(급여대장_원본!$A$1:$AZ$400,(설정!$B$8+281),설정!$D$32)&amp;"",",",""),"　","")),0))</f>
        <v/>
      </c>
      <c r="AD287" s="27">
        <f>IF(설정!$D$33="",0,IFERROR(VALUE(SUBSTITUTE(SUBSTITUTE(INDEX(급여대장_원본!$A$1:$AZ$400,(설정!$B$8+281),설정!$D$33)&amp;"",",",""),"　","")),0))</f>
        <v/>
      </c>
      <c r="AE287" s="27">
        <f>SUM(W287:AD287)</f>
        <v/>
      </c>
      <c r="AF287" s="27">
        <f>V287-AE287</f>
        <v/>
      </c>
      <c r="AG287" s="27">
        <f>IF(설정!$D$35="","",IF(설정!$D$35="",0,IFERROR(VALUE(SUBSTITUTE(SUBSTITUTE(INDEX(급여대장_원본!$A$1:$AZ$400,(설정!$B$8+281),설정!$D$35)&amp;"",",",""),"　","")),0)))</f>
        <v/>
      </c>
      <c r="AH287" s="27">
        <f>IF(설정!$D$36="","",IF(설정!$D$36="",0,IFERROR(VALUE(SUBSTITUTE(SUBSTITUTE(INDEX(급여대장_원본!$A$1:$AZ$400,(설정!$B$8+281),설정!$D$36)&amp;"",",",""),"　","")),0)))</f>
        <v/>
      </c>
      <c r="AI287" s="27">
        <f>IF(설정!$D$37="","",IF(설정!$D$37="",0,IFERROR(VALUE(SUBSTITUTE(SUBSTITUTE(INDEX(급여대장_원본!$A$1:$AZ$400,(설정!$B$8+281),설정!$D$37)&amp;"",",",""),"　","")),0)))</f>
        <v/>
      </c>
      <c r="AJ287" s="2">
        <f>IFERROR(INDEX($D$7:$D$306,MATCH(281,$B$7:$B$306,0)),"")</f>
        <v/>
      </c>
    </row>
    <row r="288">
      <c r="A288" s="2">
        <f>IF(AND(D288&lt;&gt;"",D288&lt;&gt;"합계",D288&lt;&gt;"총계",D288&lt;&gt;"소계",D288&lt;&gt;"계"),1,0)</f>
        <v/>
      </c>
      <c r="B288" s="2">
        <f>IF(A288=1,SUM($A$7:A288),"")</f>
        <v/>
      </c>
      <c r="C288" s="2">
        <f>IF(설정!$D$13="","",TRIM(SUBSTITUTE(INDEX(급여대장_원본!$A$1:$AZ$400,(설정!$B$8+282),설정!$D$13)&amp;"","　"," ")))</f>
        <v/>
      </c>
      <c r="D288" s="2">
        <f>IF(설정!$D$14="","",TRIM(SUBSTITUTE(INDEX(급여대장_원본!$A$1:$AZ$400,(설정!$B$8+282),설정!$D$14)&amp;"","　"," ")))</f>
        <v/>
      </c>
      <c r="E288" s="2">
        <f>IF(설정!$D$15="","",TRIM(SUBSTITUTE(INDEX(급여대장_원본!$A$1:$AZ$400,(설정!$B$8+282),설정!$D$15)&amp;"","　"," ")))</f>
        <v/>
      </c>
      <c r="F288" s="27">
        <f>IF(설정!$D$17="",0,IFERROR(VALUE(SUBSTITUTE(SUBSTITUTE(INDEX(급여대장_원본!$A$1:$AZ$400,(설정!$B$8+282),설정!$D$17)&amp;"",",",""),"　","")),0))</f>
        <v/>
      </c>
      <c r="G288" s="27">
        <f>IF(설정!$D$18="",0,IFERROR(VALUE(SUBSTITUTE(SUBSTITUTE(INDEX(급여대장_원본!$A$1:$AZ$400,(설정!$B$8+282),설정!$D$18)&amp;"",",",""),"　","")),0))</f>
        <v/>
      </c>
      <c r="H288" s="27">
        <f>IF(설정!$D$19="",0,IFERROR(VALUE(SUBSTITUTE(SUBSTITUTE(INDEX(급여대장_원본!$A$1:$AZ$400,(설정!$B$8+282),설정!$D$19)&amp;"",",",""),"　","")),0))</f>
        <v/>
      </c>
      <c r="I288" s="27">
        <f>IF(설정!$D$20="",0,IFERROR(VALUE(SUBSTITUTE(SUBSTITUTE(INDEX(급여대장_원본!$A$1:$AZ$400,(설정!$B$8+282),설정!$D$20)&amp;"",",",""),"　","")),0))</f>
        <v/>
      </c>
      <c r="J288" s="27">
        <f>IF(설정!$D$21="",0,IFERROR(VALUE(SUBSTITUTE(SUBSTITUTE(INDEX(급여대장_원본!$A$1:$AZ$400,(설정!$B$8+282),설정!$D$21)&amp;"",",",""),"　","")),0))</f>
        <v/>
      </c>
      <c r="K288" s="27">
        <f>IF(설정!$D$22="",0,IFERROR(VALUE(SUBSTITUTE(SUBSTITUTE(INDEX(급여대장_원본!$A$1:$AZ$400,(설정!$B$8+282),설정!$D$22)&amp;"",",",""),"　","")),0))</f>
        <v/>
      </c>
      <c r="L288" s="27">
        <f>IF(설정!$D$23="",0,IFERROR(VALUE(SUBSTITUTE(SUBSTITUTE(INDEX(급여대장_원본!$A$1:$AZ$400,(설정!$B$8+282),설정!$D$23)&amp;"",",",""),"　","")),0))</f>
        <v/>
      </c>
      <c r="M288" s="27">
        <f>IF(설정!$D$24="",0,IFERROR(VALUE(SUBSTITUTE(SUBSTITUTE(INDEX(급여대장_원본!$A$1:$AZ$400,(설정!$B$8+282),설정!$D$24)&amp;"",",",""),"　","")),0))</f>
        <v/>
      </c>
      <c r="N288" s="2">
        <f>IF(OR(설정!$C$17="",IFERROR(MATCH(설정!$C$17,INDEX(급여대장_원본!$A$1:$AZ$400,설정!$B$8,0),0),"")=""),"",IFERROR(VALUE(SUBSTITUTE(INDEX(급여대장_원본!$A$1:$AZ$400,(설정!$B$8+282),IFERROR(MATCH(설정!$C$17,INDEX(급여대장_원본!$A$1:$AZ$400,설정!$B$8,0),0),""))&amp;"",",","")),""))</f>
        <v/>
      </c>
      <c r="O288" s="2">
        <f>IF(OR(설정!$C$18="",IFERROR(MATCH(설정!$C$18,INDEX(급여대장_원본!$A$1:$AZ$400,설정!$B$8,0),0),"")=""),"",IFERROR(VALUE(SUBSTITUTE(INDEX(급여대장_원본!$A$1:$AZ$400,(설정!$B$8+282),IFERROR(MATCH(설정!$C$18,INDEX(급여대장_원본!$A$1:$AZ$400,설정!$B$8,0),0),""))&amp;"",",","")),""))</f>
        <v/>
      </c>
      <c r="P288" s="2">
        <f>IF(OR(설정!$C$19="",IFERROR(MATCH(설정!$C$19,INDEX(급여대장_원본!$A$1:$AZ$400,설정!$B$8,0),0),"")=""),"",IFERROR(VALUE(SUBSTITUTE(INDEX(급여대장_원본!$A$1:$AZ$400,(설정!$B$8+282),IFERROR(MATCH(설정!$C$19,INDEX(급여대장_원본!$A$1:$AZ$400,설정!$B$8,0),0),""))&amp;"",",","")),""))</f>
        <v/>
      </c>
      <c r="Q288" s="2">
        <f>IF(OR(설정!$C$20="",IFERROR(MATCH(설정!$C$20,INDEX(급여대장_원본!$A$1:$AZ$400,설정!$B$8,0),0),"")=""),"",IFERROR(VALUE(SUBSTITUTE(INDEX(급여대장_원본!$A$1:$AZ$400,(설정!$B$8+282),IFERROR(MATCH(설정!$C$20,INDEX(급여대장_원본!$A$1:$AZ$400,설정!$B$8,0),0),""))&amp;"",",","")),""))</f>
        <v/>
      </c>
      <c r="R288" s="2">
        <f>IF(OR(설정!$C$21="",IFERROR(MATCH(설정!$C$21,INDEX(급여대장_원본!$A$1:$AZ$400,설정!$B$8,0),0),"")=""),"",IFERROR(VALUE(SUBSTITUTE(INDEX(급여대장_원본!$A$1:$AZ$400,(설정!$B$8+282),IFERROR(MATCH(설정!$C$21,INDEX(급여대장_원본!$A$1:$AZ$400,설정!$B$8,0),0),""))&amp;"",",","")),""))</f>
        <v/>
      </c>
      <c r="S288" s="2">
        <f>IF(OR(설정!$C$22="",IFERROR(MATCH(설정!$C$22,INDEX(급여대장_원본!$A$1:$AZ$400,설정!$B$8,0),0),"")=""),"",IFERROR(VALUE(SUBSTITUTE(INDEX(급여대장_원본!$A$1:$AZ$400,(설정!$B$8+282),IFERROR(MATCH(설정!$C$22,INDEX(급여대장_원본!$A$1:$AZ$400,설정!$B$8,0),0),""))&amp;"",",","")),""))</f>
        <v/>
      </c>
      <c r="T288" s="2">
        <f>IF(OR(설정!$C$23="",IFERROR(MATCH(설정!$C$23,INDEX(급여대장_원본!$A$1:$AZ$400,설정!$B$8,0),0),"")=""),"",IFERROR(VALUE(SUBSTITUTE(INDEX(급여대장_원본!$A$1:$AZ$400,(설정!$B$8+282),IFERROR(MATCH(설정!$C$23,INDEX(급여대장_원본!$A$1:$AZ$400,설정!$B$8,0),0),""))&amp;"",",","")),""))</f>
        <v/>
      </c>
      <c r="U288" s="2">
        <f>IF(OR(설정!$C$24="",IFERROR(MATCH(설정!$C$24,INDEX(급여대장_원본!$A$1:$AZ$400,설정!$B$8,0),0),"")=""),"",IFERROR(VALUE(SUBSTITUTE(INDEX(급여대장_원본!$A$1:$AZ$400,(설정!$B$8+282),IFERROR(MATCH(설정!$C$24,INDEX(급여대장_원본!$A$1:$AZ$400,설정!$B$8,0),0),""))&amp;"",",","")),""))</f>
        <v/>
      </c>
      <c r="V288" s="27">
        <f>SUM(F288:M288)</f>
        <v/>
      </c>
      <c r="W288" s="27">
        <f>IF(설정!$D$26="",0,IFERROR(VALUE(SUBSTITUTE(SUBSTITUTE(INDEX(급여대장_원본!$A$1:$AZ$400,(설정!$B$8+282),설정!$D$26)&amp;"",",",""),"　","")),0))</f>
        <v/>
      </c>
      <c r="X288" s="27">
        <f>IF(설정!$D$27="",0,IFERROR(VALUE(SUBSTITUTE(SUBSTITUTE(INDEX(급여대장_원본!$A$1:$AZ$400,(설정!$B$8+282),설정!$D$27)&amp;"",",",""),"　","")),0))</f>
        <v/>
      </c>
      <c r="Y288" s="27">
        <f>IF(설정!$D$28="",0,IFERROR(VALUE(SUBSTITUTE(SUBSTITUTE(INDEX(급여대장_원본!$A$1:$AZ$400,(설정!$B$8+282),설정!$D$28)&amp;"",",",""),"　","")),0))</f>
        <v/>
      </c>
      <c r="Z288" s="27">
        <f>IF(설정!$D$29="",0,IFERROR(VALUE(SUBSTITUTE(SUBSTITUTE(INDEX(급여대장_원본!$A$1:$AZ$400,(설정!$B$8+282),설정!$D$29)&amp;"",",",""),"　","")),0))</f>
        <v/>
      </c>
      <c r="AA288" s="27">
        <f>IF(설정!$D$30="",0,IFERROR(VALUE(SUBSTITUTE(SUBSTITUTE(INDEX(급여대장_원본!$A$1:$AZ$400,(설정!$B$8+282),설정!$D$30)&amp;"",",",""),"　","")),0))</f>
        <v/>
      </c>
      <c r="AB288" s="27">
        <f>IF(설정!$D$31="",0,IFERROR(VALUE(SUBSTITUTE(SUBSTITUTE(INDEX(급여대장_원본!$A$1:$AZ$400,(설정!$B$8+282),설정!$D$31)&amp;"",",",""),"　","")),0))</f>
        <v/>
      </c>
      <c r="AC288" s="27">
        <f>IF(설정!$D$32="",0,IFERROR(VALUE(SUBSTITUTE(SUBSTITUTE(INDEX(급여대장_원본!$A$1:$AZ$400,(설정!$B$8+282),설정!$D$32)&amp;"",",",""),"　","")),0))</f>
        <v/>
      </c>
      <c r="AD288" s="27">
        <f>IF(설정!$D$33="",0,IFERROR(VALUE(SUBSTITUTE(SUBSTITUTE(INDEX(급여대장_원본!$A$1:$AZ$400,(설정!$B$8+282),설정!$D$33)&amp;"",",",""),"　","")),0))</f>
        <v/>
      </c>
      <c r="AE288" s="27">
        <f>SUM(W288:AD288)</f>
        <v/>
      </c>
      <c r="AF288" s="27">
        <f>V288-AE288</f>
        <v/>
      </c>
      <c r="AG288" s="27">
        <f>IF(설정!$D$35="","",IF(설정!$D$35="",0,IFERROR(VALUE(SUBSTITUTE(SUBSTITUTE(INDEX(급여대장_원본!$A$1:$AZ$400,(설정!$B$8+282),설정!$D$35)&amp;"",",",""),"　","")),0)))</f>
        <v/>
      </c>
      <c r="AH288" s="27">
        <f>IF(설정!$D$36="","",IF(설정!$D$36="",0,IFERROR(VALUE(SUBSTITUTE(SUBSTITUTE(INDEX(급여대장_원본!$A$1:$AZ$400,(설정!$B$8+282),설정!$D$36)&amp;"",",",""),"　","")),0)))</f>
        <v/>
      </c>
      <c r="AI288" s="27">
        <f>IF(설정!$D$37="","",IF(설정!$D$37="",0,IFERROR(VALUE(SUBSTITUTE(SUBSTITUTE(INDEX(급여대장_원본!$A$1:$AZ$400,(설정!$B$8+282),설정!$D$37)&amp;"",",",""),"　","")),0)))</f>
        <v/>
      </c>
      <c r="AJ288" s="2">
        <f>IFERROR(INDEX($D$7:$D$306,MATCH(282,$B$7:$B$306,0)),"")</f>
        <v/>
      </c>
    </row>
    <row r="289">
      <c r="A289" s="2">
        <f>IF(AND(D289&lt;&gt;"",D289&lt;&gt;"합계",D289&lt;&gt;"총계",D289&lt;&gt;"소계",D289&lt;&gt;"계"),1,0)</f>
        <v/>
      </c>
      <c r="B289" s="2">
        <f>IF(A289=1,SUM($A$7:A289),"")</f>
        <v/>
      </c>
      <c r="C289" s="2">
        <f>IF(설정!$D$13="","",TRIM(SUBSTITUTE(INDEX(급여대장_원본!$A$1:$AZ$400,(설정!$B$8+283),설정!$D$13)&amp;"","　"," ")))</f>
        <v/>
      </c>
      <c r="D289" s="2">
        <f>IF(설정!$D$14="","",TRIM(SUBSTITUTE(INDEX(급여대장_원본!$A$1:$AZ$400,(설정!$B$8+283),설정!$D$14)&amp;"","　"," ")))</f>
        <v/>
      </c>
      <c r="E289" s="2">
        <f>IF(설정!$D$15="","",TRIM(SUBSTITUTE(INDEX(급여대장_원본!$A$1:$AZ$400,(설정!$B$8+283),설정!$D$15)&amp;"","　"," ")))</f>
        <v/>
      </c>
      <c r="F289" s="27">
        <f>IF(설정!$D$17="",0,IFERROR(VALUE(SUBSTITUTE(SUBSTITUTE(INDEX(급여대장_원본!$A$1:$AZ$400,(설정!$B$8+283),설정!$D$17)&amp;"",",",""),"　","")),0))</f>
        <v/>
      </c>
      <c r="G289" s="27">
        <f>IF(설정!$D$18="",0,IFERROR(VALUE(SUBSTITUTE(SUBSTITUTE(INDEX(급여대장_원본!$A$1:$AZ$400,(설정!$B$8+283),설정!$D$18)&amp;"",",",""),"　","")),0))</f>
        <v/>
      </c>
      <c r="H289" s="27">
        <f>IF(설정!$D$19="",0,IFERROR(VALUE(SUBSTITUTE(SUBSTITUTE(INDEX(급여대장_원본!$A$1:$AZ$400,(설정!$B$8+283),설정!$D$19)&amp;"",",",""),"　","")),0))</f>
        <v/>
      </c>
      <c r="I289" s="27">
        <f>IF(설정!$D$20="",0,IFERROR(VALUE(SUBSTITUTE(SUBSTITUTE(INDEX(급여대장_원본!$A$1:$AZ$400,(설정!$B$8+283),설정!$D$20)&amp;"",",",""),"　","")),0))</f>
        <v/>
      </c>
      <c r="J289" s="27">
        <f>IF(설정!$D$21="",0,IFERROR(VALUE(SUBSTITUTE(SUBSTITUTE(INDEX(급여대장_원본!$A$1:$AZ$400,(설정!$B$8+283),설정!$D$21)&amp;"",",",""),"　","")),0))</f>
        <v/>
      </c>
      <c r="K289" s="27">
        <f>IF(설정!$D$22="",0,IFERROR(VALUE(SUBSTITUTE(SUBSTITUTE(INDEX(급여대장_원본!$A$1:$AZ$400,(설정!$B$8+283),설정!$D$22)&amp;"",",",""),"　","")),0))</f>
        <v/>
      </c>
      <c r="L289" s="27">
        <f>IF(설정!$D$23="",0,IFERROR(VALUE(SUBSTITUTE(SUBSTITUTE(INDEX(급여대장_원본!$A$1:$AZ$400,(설정!$B$8+283),설정!$D$23)&amp;"",",",""),"　","")),0))</f>
        <v/>
      </c>
      <c r="M289" s="27">
        <f>IF(설정!$D$24="",0,IFERROR(VALUE(SUBSTITUTE(SUBSTITUTE(INDEX(급여대장_원본!$A$1:$AZ$400,(설정!$B$8+283),설정!$D$24)&amp;"",",",""),"　","")),0))</f>
        <v/>
      </c>
      <c r="N289" s="2">
        <f>IF(OR(설정!$C$17="",IFERROR(MATCH(설정!$C$17,INDEX(급여대장_원본!$A$1:$AZ$400,설정!$B$8,0),0),"")=""),"",IFERROR(VALUE(SUBSTITUTE(INDEX(급여대장_원본!$A$1:$AZ$400,(설정!$B$8+283),IFERROR(MATCH(설정!$C$17,INDEX(급여대장_원본!$A$1:$AZ$400,설정!$B$8,0),0),""))&amp;"",",","")),""))</f>
        <v/>
      </c>
      <c r="O289" s="2">
        <f>IF(OR(설정!$C$18="",IFERROR(MATCH(설정!$C$18,INDEX(급여대장_원본!$A$1:$AZ$400,설정!$B$8,0),0),"")=""),"",IFERROR(VALUE(SUBSTITUTE(INDEX(급여대장_원본!$A$1:$AZ$400,(설정!$B$8+283),IFERROR(MATCH(설정!$C$18,INDEX(급여대장_원본!$A$1:$AZ$400,설정!$B$8,0),0),""))&amp;"",",","")),""))</f>
        <v/>
      </c>
      <c r="P289" s="2">
        <f>IF(OR(설정!$C$19="",IFERROR(MATCH(설정!$C$19,INDEX(급여대장_원본!$A$1:$AZ$400,설정!$B$8,0),0),"")=""),"",IFERROR(VALUE(SUBSTITUTE(INDEX(급여대장_원본!$A$1:$AZ$400,(설정!$B$8+283),IFERROR(MATCH(설정!$C$19,INDEX(급여대장_원본!$A$1:$AZ$400,설정!$B$8,0),0),""))&amp;"",",","")),""))</f>
        <v/>
      </c>
      <c r="Q289" s="2">
        <f>IF(OR(설정!$C$20="",IFERROR(MATCH(설정!$C$20,INDEX(급여대장_원본!$A$1:$AZ$400,설정!$B$8,0),0),"")=""),"",IFERROR(VALUE(SUBSTITUTE(INDEX(급여대장_원본!$A$1:$AZ$400,(설정!$B$8+283),IFERROR(MATCH(설정!$C$20,INDEX(급여대장_원본!$A$1:$AZ$400,설정!$B$8,0),0),""))&amp;"",",","")),""))</f>
        <v/>
      </c>
      <c r="R289" s="2">
        <f>IF(OR(설정!$C$21="",IFERROR(MATCH(설정!$C$21,INDEX(급여대장_원본!$A$1:$AZ$400,설정!$B$8,0),0),"")=""),"",IFERROR(VALUE(SUBSTITUTE(INDEX(급여대장_원본!$A$1:$AZ$400,(설정!$B$8+283),IFERROR(MATCH(설정!$C$21,INDEX(급여대장_원본!$A$1:$AZ$400,설정!$B$8,0),0),""))&amp;"",",","")),""))</f>
        <v/>
      </c>
      <c r="S289" s="2">
        <f>IF(OR(설정!$C$22="",IFERROR(MATCH(설정!$C$22,INDEX(급여대장_원본!$A$1:$AZ$400,설정!$B$8,0),0),"")=""),"",IFERROR(VALUE(SUBSTITUTE(INDEX(급여대장_원본!$A$1:$AZ$400,(설정!$B$8+283),IFERROR(MATCH(설정!$C$22,INDEX(급여대장_원본!$A$1:$AZ$400,설정!$B$8,0),0),""))&amp;"",",","")),""))</f>
        <v/>
      </c>
      <c r="T289" s="2">
        <f>IF(OR(설정!$C$23="",IFERROR(MATCH(설정!$C$23,INDEX(급여대장_원본!$A$1:$AZ$400,설정!$B$8,0),0),"")=""),"",IFERROR(VALUE(SUBSTITUTE(INDEX(급여대장_원본!$A$1:$AZ$400,(설정!$B$8+283),IFERROR(MATCH(설정!$C$23,INDEX(급여대장_원본!$A$1:$AZ$400,설정!$B$8,0),0),""))&amp;"",",","")),""))</f>
        <v/>
      </c>
      <c r="U289" s="2">
        <f>IF(OR(설정!$C$24="",IFERROR(MATCH(설정!$C$24,INDEX(급여대장_원본!$A$1:$AZ$400,설정!$B$8,0),0),"")=""),"",IFERROR(VALUE(SUBSTITUTE(INDEX(급여대장_원본!$A$1:$AZ$400,(설정!$B$8+283),IFERROR(MATCH(설정!$C$24,INDEX(급여대장_원본!$A$1:$AZ$400,설정!$B$8,0),0),""))&amp;"",",","")),""))</f>
        <v/>
      </c>
      <c r="V289" s="27">
        <f>SUM(F289:M289)</f>
        <v/>
      </c>
      <c r="W289" s="27">
        <f>IF(설정!$D$26="",0,IFERROR(VALUE(SUBSTITUTE(SUBSTITUTE(INDEX(급여대장_원본!$A$1:$AZ$400,(설정!$B$8+283),설정!$D$26)&amp;"",",",""),"　","")),0))</f>
        <v/>
      </c>
      <c r="X289" s="27">
        <f>IF(설정!$D$27="",0,IFERROR(VALUE(SUBSTITUTE(SUBSTITUTE(INDEX(급여대장_원본!$A$1:$AZ$400,(설정!$B$8+283),설정!$D$27)&amp;"",",",""),"　","")),0))</f>
        <v/>
      </c>
      <c r="Y289" s="27">
        <f>IF(설정!$D$28="",0,IFERROR(VALUE(SUBSTITUTE(SUBSTITUTE(INDEX(급여대장_원본!$A$1:$AZ$400,(설정!$B$8+283),설정!$D$28)&amp;"",",",""),"　","")),0))</f>
        <v/>
      </c>
      <c r="Z289" s="27">
        <f>IF(설정!$D$29="",0,IFERROR(VALUE(SUBSTITUTE(SUBSTITUTE(INDEX(급여대장_원본!$A$1:$AZ$400,(설정!$B$8+283),설정!$D$29)&amp;"",",",""),"　","")),0))</f>
        <v/>
      </c>
      <c r="AA289" s="27">
        <f>IF(설정!$D$30="",0,IFERROR(VALUE(SUBSTITUTE(SUBSTITUTE(INDEX(급여대장_원본!$A$1:$AZ$400,(설정!$B$8+283),설정!$D$30)&amp;"",",",""),"　","")),0))</f>
        <v/>
      </c>
      <c r="AB289" s="27">
        <f>IF(설정!$D$31="",0,IFERROR(VALUE(SUBSTITUTE(SUBSTITUTE(INDEX(급여대장_원본!$A$1:$AZ$400,(설정!$B$8+283),설정!$D$31)&amp;"",",",""),"　","")),0))</f>
        <v/>
      </c>
      <c r="AC289" s="27">
        <f>IF(설정!$D$32="",0,IFERROR(VALUE(SUBSTITUTE(SUBSTITUTE(INDEX(급여대장_원본!$A$1:$AZ$400,(설정!$B$8+283),설정!$D$32)&amp;"",",",""),"　","")),0))</f>
        <v/>
      </c>
      <c r="AD289" s="27">
        <f>IF(설정!$D$33="",0,IFERROR(VALUE(SUBSTITUTE(SUBSTITUTE(INDEX(급여대장_원본!$A$1:$AZ$400,(설정!$B$8+283),설정!$D$33)&amp;"",",",""),"　","")),0))</f>
        <v/>
      </c>
      <c r="AE289" s="27">
        <f>SUM(W289:AD289)</f>
        <v/>
      </c>
      <c r="AF289" s="27">
        <f>V289-AE289</f>
        <v/>
      </c>
      <c r="AG289" s="27">
        <f>IF(설정!$D$35="","",IF(설정!$D$35="",0,IFERROR(VALUE(SUBSTITUTE(SUBSTITUTE(INDEX(급여대장_원본!$A$1:$AZ$400,(설정!$B$8+283),설정!$D$35)&amp;"",",",""),"　","")),0)))</f>
        <v/>
      </c>
      <c r="AH289" s="27">
        <f>IF(설정!$D$36="","",IF(설정!$D$36="",0,IFERROR(VALUE(SUBSTITUTE(SUBSTITUTE(INDEX(급여대장_원본!$A$1:$AZ$400,(설정!$B$8+283),설정!$D$36)&amp;"",",",""),"　","")),0)))</f>
        <v/>
      </c>
      <c r="AI289" s="27">
        <f>IF(설정!$D$37="","",IF(설정!$D$37="",0,IFERROR(VALUE(SUBSTITUTE(SUBSTITUTE(INDEX(급여대장_원본!$A$1:$AZ$400,(설정!$B$8+283),설정!$D$37)&amp;"",",",""),"　","")),0)))</f>
        <v/>
      </c>
      <c r="AJ289" s="2">
        <f>IFERROR(INDEX($D$7:$D$306,MATCH(283,$B$7:$B$306,0)),"")</f>
        <v/>
      </c>
    </row>
    <row r="290">
      <c r="A290" s="2">
        <f>IF(AND(D290&lt;&gt;"",D290&lt;&gt;"합계",D290&lt;&gt;"총계",D290&lt;&gt;"소계",D290&lt;&gt;"계"),1,0)</f>
        <v/>
      </c>
      <c r="B290" s="2">
        <f>IF(A290=1,SUM($A$7:A290),"")</f>
        <v/>
      </c>
      <c r="C290" s="2">
        <f>IF(설정!$D$13="","",TRIM(SUBSTITUTE(INDEX(급여대장_원본!$A$1:$AZ$400,(설정!$B$8+284),설정!$D$13)&amp;"","　"," ")))</f>
        <v/>
      </c>
      <c r="D290" s="2">
        <f>IF(설정!$D$14="","",TRIM(SUBSTITUTE(INDEX(급여대장_원본!$A$1:$AZ$400,(설정!$B$8+284),설정!$D$14)&amp;"","　"," ")))</f>
        <v/>
      </c>
      <c r="E290" s="2">
        <f>IF(설정!$D$15="","",TRIM(SUBSTITUTE(INDEX(급여대장_원본!$A$1:$AZ$400,(설정!$B$8+284),설정!$D$15)&amp;"","　"," ")))</f>
        <v/>
      </c>
      <c r="F290" s="27">
        <f>IF(설정!$D$17="",0,IFERROR(VALUE(SUBSTITUTE(SUBSTITUTE(INDEX(급여대장_원본!$A$1:$AZ$400,(설정!$B$8+284),설정!$D$17)&amp;"",",",""),"　","")),0))</f>
        <v/>
      </c>
      <c r="G290" s="27">
        <f>IF(설정!$D$18="",0,IFERROR(VALUE(SUBSTITUTE(SUBSTITUTE(INDEX(급여대장_원본!$A$1:$AZ$400,(설정!$B$8+284),설정!$D$18)&amp;"",",",""),"　","")),0))</f>
        <v/>
      </c>
      <c r="H290" s="27">
        <f>IF(설정!$D$19="",0,IFERROR(VALUE(SUBSTITUTE(SUBSTITUTE(INDEX(급여대장_원본!$A$1:$AZ$400,(설정!$B$8+284),설정!$D$19)&amp;"",",",""),"　","")),0))</f>
        <v/>
      </c>
      <c r="I290" s="27">
        <f>IF(설정!$D$20="",0,IFERROR(VALUE(SUBSTITUTE(SUBSTITUTE(INDEX(급여대장_원본!$A$1:$AZ$400,(설정!$B$8+284),설정!$D$20)&amp;"",",",""),"　","")),0))</f>
        <v/>
      </c>
      <c r="J290" s="27">
        <f>IF(설정!$D$21="",0,IFERROR(VALUE(SUBSTITUTE(SUBSTITUTE(INDEX(급여대장_원본!$A$1:$AZ$400,(설정!$B$8+284),설정!$D$21)&amp;"",",",""),"　","")),0))</f>
        <v/>
      </c>
      <c r="K290" s="27">
        <f>IF(설정!$D$22="",0,IFERROR(VALUE(SUBSTITUTE(SUBSTITUTE(INDEX(급여대장_원본!$A$1:$AZ$400,(설정!$B$8+284),설정!$D$22)&amp;"",",",""),"　","")),0))</f>
        <v/>
      </c>
      <c r="L290" s="27">
        <f>IF(설정!$D$23="",0,IFERROR(VALUE(SUBSTITUTE(SUBSTITUTE(INDEX(급여대장_원본!$A$1:$AZ$400,(설정!$B$8+284),설정!$D$23)&amp;"",",",""),"　","")),0))</f>
        <v/>
      </c>
      <c r="M290" s="27">
        <f>IF(설정!$D$24="",0,IFERROR(VALUE(SUBSTITUTE(SUBSTITUTE(INDEX(급여대장_원본!$A$1:$AZ$400,(설정!$B$8+284),설정!$D$24)&amp;"",",",""),"　","")),0))</f>
        <v/>
      </c>
      <c r="N290" s="2">
        <f>IF(OR(설정!$C$17="",IFERROR(MATCH(설정!$C$17,INDEX(급여대장_원본!$A$1:$AZ$400,설정!$B$8,0),0),"")=""),"",IFERROR(VALUE(SUBSTITUTE(INDEX(급여대장_원본!$A$1:$AZ$400,(설정!$B$8+284),IFERROR(MATCH(설정!$C$17,INDEX(급여대장_원본!$A$1:$AZ$400,설정!$B$8,0),0),""))&amp;"",",","")),""))</f>
        <v/>
      </c>
      <c r="O290" s="2">
        <f>IF(OR(설정!$C$18="",IFERROR(MATCH(설정!$C$18,INDEX(급여대장_원본!$A$1:$AZ$400,설정!$B$8,0),0),"")=""),"",IFERROR(VALUE(SUBSTITUTE(INDEX(급여대장_원본!$A$1:$AZ$400,(설정!$B$8+284),IFERROR(MATCH(설정!$C$18,INDEX(급여대장_원본!$A$1:$AZ$400,설정!$B$8,0),0),""))&amp;"",",","")),""))</f>
        <v/>
      </c>
      <c r="P290" s="2">
        <f>IF(OR(설정!$C$19="",IFERROR(MATCH(설정!$C$19,INDEX(급여대장_원본!$A$1:$AZ$400,설정!$B$8,0),0),"")=""),"",IFERROR(VALUE(SUBSTITUTE(INDEX(급여대장_원본!$A$1:$AZ$400,(설정!$B$8+284),IFERROR(MATCH(설정!$C$19,INDEX(급여대장_원본!$A$1:$AZ$400,설정!$B$8,0),0),""))&amp;"",",","")),""))</f>
        <v/>
      </c>
      <c r="Q290" s="2">
        <f>IF(OR(설정!$C$20="",IFERROR(MATCH(설정!$C$20,INDEX(급여대장_원본!$A$1:$AZ$400,설정!$B$8,0),0),"")=""),"",IFERROR(VALUE(SUBSTITUTE(INDEX(급여대장_원본!$A$1:$AZ$400,(설정!$B$8+284),IFERROR(MATCH(설정!$C$20,INDEX(급여대장_원본!$A$1:$AZ$400,설정!$B$8,0),0),""))&amp;"",",","")),""))</f>
        <v/>
      </c>
      <c r="R290" s="2">
        <f>IF(OR(설정!$C$21="",IFERROR(MATCH(설정!$C$21,INDEX(급여대장_원본!$A$1:$AZ$400,설정!$B$8,0),0),"")=""),"",IFERROR(VALUE(SUBSTITUTE(INDEX(급여대장_원본!$A$1:$AZ$400,(설정!$B$8+284),IFERROR(MATCH(설정!$C$21,INDEX(급여대장_원본!$A$1:$AZ$400,설정!$B$8,0),0),""))&amp;"",",","")),""))</f>
        <v/>
      </c>
      <c r="S290" s="2">
        <f>IF(OR(설정!$C$22="",IFERROR(MATCH(설정!$C$22,INDEX(급여대장_원본!$A$1:$AZ$400,설정!$B$8,0),0),"")=""),"",IFERROR(VALUE(SUBSTITUTE(INDEX(급여대장_원본!$A$1:$AZ$400,(설정!$B$8+284),IFERROR(MATCH(설정!$C$22,INDEX(급여대장_원본!$A$1:$AZ$400,설정!$B$8,0),0),""))&amp;"",",","")),""))</f>
        <v/>
      </c>
      <c r="T290" s="2">
        <f>IF(OR(설정!$C$23="",IFERROR(MATCH(설정!$C$23,INDEX(급여대장_원본!$A$1:$AZ$400,설정!$B$8,0),0),"")=""),"",IFERROR(VALUE(SUBSTITUTE(INDEX(급여대장_원본!$A$1:$AZ$400,(설정!$B$8+284),IFERROR(MATCH(설정!$C$23,INDEX(급여대장_원본!$A$1:$AZ$400,설정!$B$8,0),0),""))&amp;"",",","")),""))</f>
        <v/>
      </c>
      <c r="U290" s="2">
        <f>IF(OR(설정!$C$24="",IFERROR(MATCH(설정!$C$24,INDEX(급여대장_원본!$A$1:$AZ$400,설정!$B$8,0),0),"")=""),"",IFERROR(VALUE(SUBSTITUTE(INDEX(급여대장_원본!$A$1:$AZ$400,(설정!$B$8+284),IFERROR(MATCH(설정!$C$24,INDEX(급여대장_원본!$A$1:$AZ$400,설정!$B$8,0),0),""))&amp;"",",","")),""))</f>
        <v/>
      </c>
      <c r="V290" s="27">
        <f>SUM(F290:M290)</f>
        <v/>
      </c>
      <c r="W290" s="27">
        <f>IF(설정!$D$26="",0,IFERROR(VALUE(SUBSTITUTE(SUBSTITUTE(INDEX(급여대장_원본!$A$1:$AZ$400,(설정!$B$8+284),설정!$D$26)&amp;"",",",""),"　","")),0))</f>
        <v/>
      </c>
      <c r="X290" s="27">
        <f>IF(설정!$D$27="",0,IFERROR(VALUE(SUBSTITUTE(SUBSTITUTE(INDEX(급여대장_원본!$A$1:$AZ$400,(설정!$B$8+284),설정!$D$27)&amp;"",",",""),"　","")),0))</f>
        <v/>
      </c>
      <c r="Y290" s="27">
        <f>IF(설정!$D$28="",0,IFERROR(VALUE(SUBSTITUTE(SUBSTITUTE(INDEX(급여대장_원본!$A$1:$AZ$400,(설정!$B$8+284),설정!$D$28)&amp;"",",",""),"　","")),0))</f>
        <v/>
      </c>
      <c r="Z290" s="27">
        <f>IF(설정!$D$29="",0,IFERROR(VALUE(SUBSTITUTE(SUBSTITUTE(INDEX(급여대장_원본!$A$1:$AZ$400,(설정!$B$8+284),설정!$D$29)&amp;"",",",""),"　","")),0))</f>
        <v/>
      </c>
      <c r="AA290" s="27">
        <f>IF(설정!$D$30="",0,IFERROR(VALUE(SUBSTITUTE(SUBSTITUTE(INDEX(급여대장_원본!$A$1:$AZ$400,(설정!$B$8+284),설정!$D$30)&amp;"",",",""),"　","")),0))</f>
        <v/>
      </c>
      <c r="AB290" s="27">
        <f>IF(설정!$D$31="",0,IFERROR(VALUE(SUBSTITUTE(SUBSTITUTE(INDEX(급여대장_원본!$A$1:$AZ$400,(설정!$B$8+284),설정!$D$31)&amp;"",",",""),"　","")),0))</f>
        <v/>
      </c>
      <c r="AC290" s="27">
        <f>IF(설정!$D$32="",0,IFERROR(VALUE(SUBSTITUTE(SUBSTITUTE(INDEX(급여대장_원본!$A$1:$AZ$400,(설정!$B$8+284),설정!$D$32)&amp;"",",",""),"　","")),0))</f>
        <v/>
      </c>
      <c r="AD290" s="27">
        <f>IF(설정!$D$33="",0,IFERROR(VALUE(SUBSTITUTE(SUBSTITUTE(INDEX(급여대장_원본!$A$1:$AZ$400,(설정!$B$8+284),설정!$D$33)&amp;"",",",""),"　","")),0))</f>
        <v/>
      </c>
      <c r="AE290" s="27">
        <f>SUM(W290:AD290)</f>
        <v/>
      </c>
      <c r="AF290" s="27">
        <f>V290-AE290</f>
        <v/>
      </c>
      <c r="AG290" s="27">
        <f>IF(설정!$D$35="","",IF(설정!$D$35="",0,IFERROR(VALUE(SUBSTITUTE(SUBSTITUTE(INDEX(급여대장_원본!$A$1:$AZ$400,(설정!$B$8+284),설정!$D$35)&amp;"",",",""),"　","")),0)))</f>
        <v/>
      </c>
      <c r="AH290" s="27">
        <f>IF(설정!$D$36="","",IF(설정!$D$36="",0,IFERROR(VALUE(SUBSTITUTE(SUBSTITUTE(INDEX(급여대장_원본!$A$1:$AZ$400,(설정!$B$8+284),설정!$D$36)&amp;"",",",""),"　","")),0)))</f>
        <v/>
      </c>
      <c r="AI290" s="27">
        <f>IF(설정!$D$37="","",IF(설정!$D$37="",0,IFERROR(VALUE(SUBSTITUTE(SUBSTITUTE(INDEX(급여대장_원본!$A$1:$AZ$400,(설정!$B$8+284),설정!$D$37)&amp;"",",",""),"　","")),0)))</f>
        <v/>
      </c>
      <c r="AJ290" s="2">
        <f>IFERROR(INDEX($D$7:$D$306,MATCH(284,$B$7:$B$306,0)),"")</f>
        <v/>
      </c>
    </row>
    <row r="291">
      <c r="A291" s="2">
        <f>IF(AND(D291&lt;&gt;"",D291&lt;&gt;"합계",D291&lt;&gt;"총계",D291&lt;&gt;"소계",D291&lt;&gt;"계"),1,0)</f>
        <v/>
      </c>
      <c r="B291" s="2">
        <f>IF(A291=1,SUM($A$7:A291),"")</f>
        <v/>
      </c>
      <c r="C291" s="2">
        <f>IF(설정!$D$13="","",TRIM(SUBSTITUTE(INDEX(급여대장_원본!$A$1:$AZ$400,(설정!$B$8+285),설정!$D$13)&amp;"","　"," ")))</f>
        <v/>
      </c>
      <c r="D291" s="2">
        <f>IF(설정!$D$14="","",TRIM(SUBSTITUTE(INDEX(급여대장_원본!$A$1:$AZ$400,(설정!$B$8+285),설정!$D$14)&amp;"","　"," ")))</f>
        <v/>
      </c>
      <c r="E291" s="2">
        <f>IF(설정!$D$15="","",TRIM(SUBSTITUTE(INDEX(급여대장_원본!$A$1:$AZ$400,(설정!$B$8+285),설정!$D$15)&amp;"","　"," ")))</f>
        <v/>
      </c>
      <c r="F291" s="27">
        <f>IF(설정!$D$17="",0,IFERROR(VALUE(SUBSTITUTE(SUBSTITUTE(INDEX(급여대장_원본!$A$1:$AZ$400,(설정!$B$8+285),설정!$D$17)&amp;"",",",""),"　","")),0))</f>
        <v/>
      </c>
      <c r="G291" s="27">
        <f>IF(설정!$D$18="",0,IFERROR(VALUE(SUBSTITUTE(SUBSTITUTE(INDEX(급여대장_원본!$A$1:$AZ$400,(설정!$B$8+285),설정!$D$18)&amp;"",",",""),"　","")),0))</f>
        <v/>
      </c>
      <c r="H291" s="27">
        <f>IF(설정!$D$19="",0,IFERROR(VALUE(SUBSTITUTE(SUBSTITUTE(INDEX(급여대장_원본!$A$1:$AZ$400,(설정!$B$8+285),설정!$D$19)&amp;"",",",""),"　","")),0))</f>
        <v/>
      </c>
      <c r="I291" s="27">
        <f>IF(설정!$D$20="",0,IFERROR(VALUE(SUBSTITUTE(SUBSTITUTE(INDEX(급여대장_원본!$A$1:$AZ$400,(설정!$B$8+285),설정!$D$20)&amp;"",",",""),"　","")),0))</f>
        <v/>
      </c>
      <c r="J291" s="27">
        <f>IF(설정!$D$21="",0,IFERROR(VALUE(SUBSTITUTE(SUBSTITUTE(INDEX(급여대장_원본!$A$1:$AZ$400,(설정!$B$8+285),설정!$D$21)&amp;"",",",""),"　","")),0))</f>
        <v/>
      </c>
      <c r="K291" s="27">
        <f>IF(설정!$D$22="",0,IFERROR(VALUE(SUBSTITUTE(SUBSTITUTE(INDEX(급여대장_원본!$A$1:$AZ$400,(설정!$B$8+285),설정!$D$22)&amp;"",",",""),"　","")),0))</f>
        <v/>
      </c>
      <c r="L291" s="27">
        <f>IF(설정!$D$23="",0,IFERROR(VALUE(SUBSTITUTE(SUBSTITUTE(INDEX(급여대장_원본!$A$1:$AZ$400,(설정!$B$8+285),설정!$D$23)&amp;"",",",""),"　","")),0))</f>
        <v/>
      </c>
      <c r="M291" s="27">
        <f>IF(설정!$D$24="",0,IFERROR(VALUE(SUBSTITUTE(SUBSTITUTE(INDEX(급여대장_원본!$A$1:$AZ$400,(설정!$B$8+285),설정!$D$24)&amp;"",",",""),"　","")),0))</f>
        <v/>
      </c>
      <c r="N291" s="2">
        <f>IF(OR(설정!$C$17="",IFERROR(MATCH(설정!$C$17,INDEX(급여대장_원본!$A$1:$AZ$400,설정!$B$8,0),0),"")=""),"",IFERROR(VALUE(SUBSTITUTE(INDEX(급여대장_원본!$A$1:$AZ$400,(설정!$B$8+285),IFERROR(MATCH(설정!$C$17,INDEX(급여대장_원본!$A$1:$AZ$400,설정!$B$8,0),0),""))&amp;"",",","")),""))</f>
        <v/>
      </c>
      <c r="O291" s="2">
        <f>IF(OR(설정!$C$18="",IFERROR(MATCH(설정!$C$18,INDEX(급여대장_원본!$A$1:$AZ$400,설정!$B$8,0),0),"")=""),"",IFERROR(VALUE(SUBSTITUTE(INDEX(급여대장_원본!$A$1:$AZ$400,(설정!$B$8+285),IFERROR(MATCH(설정!$C$18,INDEX(급여대장_원본!$A$1:$AZ$400,설정!$B$8,0),0),""))&amp;"",",","")),""))</f>
        <v/>
      </c>
      <c r="P291" s="2">
        <f>IF(OR(설정!$C$19="",IFERROR(MATCH(설정!$C$19,INDEX(급여대장_원본!$A$1:$AZ$400,설정!$B$8,0),0),"")=""),"",IFERROR(VALUE(SUBSTITUTE(INDEX(급여대장_원본!$A$1:$AZ$400,(설정!$B$8+285),IFERROR(MATCH(설정!$C$19,INDEX(급여대장_원본!$A$1:$AZ$400,설정!$B$8,0),0),""))&amp;"",",","")),""))</f>
        <v/>
      </c>
      <c r="Q291" s="2">
        <f>IF(OR(설정!$C$20="",IFERROR(MATCH(설정!$C$20,INDEX(급여대장_원본!$A$1:$AZ$400,설정!$B$8,0),0),"")=""),"",IFERROR(VALUE(SUBSTITUTE(INDEX(급여대장_원본!$A$1:$AZ$400,(설정!$B$8+285),IFERROR(MATCH(설정!$C$20,INDEX(급여대장_원본!$A$1:$AZ$400,설정!$B$8,0),0),""))&amp;"",",","")),""))</f>
        <v/>
      </c>
      <c r="R291" s="2">
        <f>IF(OR(설정!$C$21="",IFERROR(MATCH(설정!$C$21,INDEX(급여대장_원본!$A$1:$AZ$400,설정!$B$8,0),0),"")=""),"",IFERROR(VALUE(SUBSTITUTE(INDEX(급여대장_원본!$A$1:$AZ$400,(설정!$B$8+285),IFERROR(MATCH(설정!$C$21,INDEX(급여대장_원본!$A$1:$AZ$400,설정!$B$8,0),0),""))&amp;"",",","")),""))</f>
        <v/>
      </c>
      <c r="S291" s="2">
        <f>IF(OR(설정!$C$22="",IFERROR(MATCH(설정!$C$22,INDEX(급여대장_원본!$A$1:$AZ$400,설정!$B$8,0),0),"")=""),"",IFERROR(VALUE(SUBSTITUTE(INDEX(급여대장_원본!$A$1:$AZ$400,(설정!$B$8+285),IFERROR(MATCH(설정!$C$22,INDEX(급여대장_원본!$A$1:$AZ$400,설정!$B$8,0),0),""))&amp;"",",","")),""))</f>
        <v/>
      </c>
      <c r="T291" s="2">
        <f>IF(OR(설정!$C$23="",IFERROR(MATCH(설정!$C$23,INDEX(급여대장_원본!$A$1:$AZ$400,설정!$B$8,0),0),"")=""),"",IFERROR(VALUE(SUBSTITUTE(INDEX(급여대장_원본!$A$1:$AZ$400,(설정!$B$8+285),IFERROR(MATCH(설정!$C$23,INDEX(급여대장_원본!$A$1:$AZ$400,설정!$B$8,0),0),""))&amp;"",",","")),""))</f>
        <v/>
      </c>
      <c r="U291" s="2">
        <f>IF(OR(설정!$C$24="",IFERROR(MATCH(설정!$C$24,INDEX(급여대장_원본!$A$1:$AZ$400,설정!$B$8,0),0),"")=""),"",IFERROR(VALUE(SUBSTITUTE(INDEX(급여대장_원본!$A$1:$AZ$400,(설정!$B$8+285),IFERROR(MATCH(설정!$C$24,INDEX(급여대장_원본!$A$1:$AZ$400,설정!$B$8,0),0),""))&amp;"",",","")),""))</f>
        <v/>
      </c>
      <c r="V291" s="27">
        <f>SUM(F291:M291)</f>
        <v/>
      </c>
      <c r="W291" s="27">
        <f>IF(설정!$D$26="",0,IFERROR(VALUE(SUBSTITUTE(SUBSTITUTE(INDEX(급여대장_원본!$A$1:$AZ$400,(설정!$B$8+285),설정!$D$26)&amp;"",",",""),"　","")),0))</f>
        <v/>
      </c>
      <c r="X291" s="27">
        <f>IF(설정!$D$27="",0,IFERROR(VALUE(SUBSTITUTE(SUBSTITUTE(INDEX(급여대장_원본!$A$1:$AZ$400,(설정!$B$8+285),설정!$D$27)&amp;"",",",""),"　","")),0))</f>
        <v/>
      </c>
      <c r="Y291" s="27">
        <f>IF(설정!$D$28="",0,IFERROR(VALUE(SUBSTITUTE(SUBSTITUTE(INDEX(급여대장_원본!$A$1:$AZ$400,(설정!$B$8+285),설정!$D$28)&amp;"",",",""),"　","")),0))</f>
        <v/>
      </c>
      <c r="Z291" s="27">
        <f>IF(설정!$D$29="",0,IFERROR(VALUE(SUBSTITUTE(SUBSTITUTE(INDEX(급여대장_원본!$A$1:$AZ$400,(설정!$B$8+285),설정!$D$29)&amp;"",",",""),"　","")),0))</f>
        <v/>
      </c>
      <c r="AA291" s="27">
        <f>IF(설정!$D$30="",0,IFERROR(VALUE(SUBSTITUTE(SUBSTITUTE(INDEX(급여대장_원본!$A$1:$AZ$400,(설정!$B$8+285),설정!$D$30)&amp;"",",",""),"　","")),0))</f>
        <v/>
      </c>
      <c r="AB291" s="27">
        <f>IF(설정!$D$31="",0,IFERROR(VALUE(SUBSTITUTE(SUBSTITUTE(INDEX(급여대장_원본!$A$1:$AZ$400,(설정!$B$8+285),설정!$D$31)&amp;"",",",""),"　","")),0))</f>
        <v/>
      </c>
      <c r="AC291" s="27">
        <f>IF(설정!$D$32="",0,IFERROR(VALUE(SUBSTITUTE(SUBSTITUTE(INDEX(급여대장_원본!$A$1:$AZ$400,(설정!$B$8+285),설정!$D$32)&amp;"",",",""),"　","")),0))</f>
        <v/>
      </c>
      <c r="AD291" s="27">
        <f>IF(설정!$D$33="",0,IFERROR(VALUE(SUBSTITUTE(SUBSTITUTE(INDEX(급여대장_원본!$A$1:$AZ$400,(설정!$B$8+285),설정!$D$33)&amp;"",",",""),"　","")),0))</f>
        <v/>
      </c>
      <c r="AE291" s="27">
        <f>SUM(W291:AD291)</f>
        <v/>
      </c>
      <c r="AF291" s="27">
        <f>V291-AE291</f>
        <v/>
      </c>
      <c r="AG291" s="27">
        <f>IF(설정!$D$35="","",IF(설정!$D$35="",0,IFERROR(VALUE(SUBSTITUTE(SUBSTITUTE(INDEX(급여대장_원본!$A$1:$AZ$400,(설정!$B$8+285),설정!$D$35)&amp;"",",",""),"　","")),0)))</f>
        <v/>
      </c>
      <c r="AH291" s="27">
        <f>IF(설정!$D$36="","",IF(설정!$D$36="",0,IFERROR(VALUE(SUBSTITUTE(SUBSTITUTE(INDEX(급여대장_원본!$A$1:$AZ$400,(설정!$B$8+285),설정!$D$36)&amp;"",",",""),"　","")),0)))</f>
        <v/>
      </c>
      <c r="AI291" s="27">
        <f>IF(설정!$D$37="","",IF(설정!$D$37="",0,IFERROR(VALUE(SUBSTITUTE(SUBSTITUTE(INDEX(급여대장_원본!$A$1:$AZ$400,(설정!$B$8+285),설정!$D$37)&amp;"",",",""),"　","")),0)))</f>
        <v/>
      </c>
      <c r="AJ291" s="2">
        <f>IFERROR(INDEX($D$7:$D$306,MATCH(285,$B$7:$B$306,0)),"")</f>
        <v/>
      </c>
    </row>
    <row r="292">
      <c r="A292" s="2">
        <f>IF(AND(D292&lt;&gt;"",D292&lt;&gt;"합계",D292&lt;&gt;"총계",D292&lt;&gt;"소계",D292&lt;&gt;"계"),1,0)</f>
        <v/>
      </c>
      <c r="B292" s="2">
        <f>IF(A292=1,SUM($A$7:A292),"")</f>
        <v/>
      </c>
      <c r="C292" s="2">
        <f>IF(설정!$D$13="","",TRIM(SUBSTITUTE(INDEX(급여대장_원본!$A$1:$AZ$400,(설정!$B$8+286),설정!$D$13)&amp;"","　"," ")))</f>
        <v/>
      </c>
      <c r="D292" s="2">
        <f>IF(설정!$D$14="","",TRIM(SUBSTITUTE(INDEX(급여대장_원본!$A$1:$AZ$400,(설정!$B$8+286),설정!$D$14)&amp;"","　"," ")))</f>
        <v/>
      </c>
      <c r="E292" s="2">
        <f>IF(설정!$D$15="","",TRIM(SUBSTITUTE(INDEX(급여대장_원본!$A$1:$AZ$400,(설정!$B$8+286),설정!$D$15)&amp;"","　"," ")))</f>
        <v/>
      </c>
      <c r="F292" s="27">
        <f>IF(설정!$D$17="",0,IFERROR(VALUE(SUBSTITUTE(SUBSTITUTE(INDEX(급여대장_원본!$A$1:$AZ$400,(설정!$B$8+286),설정!$D$17)&amp;"",",",""),"　","")),0))</f>
        <v/>
      </c>
      <c r="G292" s="27">
        <f>IF(설정!$D$18="",0,IFERROR(VALUE(SUBSTITUTE(SUBSTITUTE(INDEX(급여대장_원본!$A$1:$AZ$400,(설정!$B$8+286),설정!$D$18)&amp;"",",",""),"　","")),0))</f>
        <v/>
      </c>
      <c r="H292" s="27">
        <f>IF(설정!$D$19="",0,IFERROR(VALUE(SUBSTITUTE(SUBSTITUTE(INDEX(급여대장_원본!$A$1:$AZ$400,(설정!$B$8+286),설정!$D$19)&amp;"",",",""),"　","")),0))</f>
        <v/>
      </c>
      <c r="I292" s="27">
        <f>IF(설정!$D$20="",0,IFERROR(VALUE(SUBSTITUTE(SUBSTITUTE(INDEX(급여대장_원본!$A$1:$AZ$400,(설정!$B$8+286),설정!$D$20)&amp;"",",",""),"　","")),0))</f>
        <v/>
      </c>
      <c r="J292" s="27">
        <f>IF(설정!$D$21="",0,IFERROR(VALUE(SUBSTITUTE(SUBSTITUTE(INDEX(급여대장_원본!$A$1:$AZ$400,(설정!$B$8+286),설정!$D$21)&amp;"",",",""),"　","")),0))</f>
        <v/>
      </c>
      <c r="K292" s="27">
        <f>IF(설정!$D$22="",0,IFERROR(VALUE(SUBSTITUTE(SUBSTITUTE(INDEX(급여대장_원본!$A$1:$AZ$400,(설정!$B$8+286),설정!$D$22)&amp;"",",",""),"　","")),0))</f>
        <v/>
      </c>
      <c r="L292" s="27">
        <f>IF(설정!$D$23="",0,IFERROR(VALUE(SUBSTITUTE(SUBSTITUTE(INDEX(급여대장_원본!$A$1:$AZ$400,(설정!$B$8+286),설정!$D$23)&amp;"",",",""),"　","")),0))</f>
        <v/>
      </c>
      <c r="M292" s="27">
        <f>IF(설정!$D$24="",0,IFERROR(VALUE(SUBSTITUTE(SUBSTITUTE(INDEX(급여대장_원본!$A$1:$AZ$400,(설정!$B$8+286),설정!$D$24)&amp;"",",",""),"　","")),0))</f>
        <v/>
      </c>
      <c r="N292" s="2">
        <f>IF(OR(설정!$C$17="",IFERROR(MATCH(설정!$C$17,INDEX(급여대장_원본!$A$1:$AZ$400,설정!$B$8,0),0),"")=""),"",IFERROR(VALUE(SUBSTITUTE(INDEX(급여대장_원본!$A$1:$AZ$400,(설정!$B$8+286),IFERROR(MATCH(설정!$C$17,INDEX(급여대장_원본!$A$1:$AZ$400,설정!$B$8,0),0),""))&amp;"",",","")),""))</f>
        <v/>
      </c>
      <c r="O292" s="2">
        <f>IF(OR(설정!$C$18="",IFERROR(MATCH(설정!$C$18,INDEX(급여대장_원본!$A$1:$AZ$400,설정!$B$8,0),0),"")=""),"",IFERROR(VALUE(SUBSTITUTE(INDEX(급여대장_원본!$A$1:$AZ$400,(설정!$B$8+286),IFERROR(MATCH(설정!$C$18,INDEX(급여대장_원본!$A$1:$AZ$400,설정!$B$8,0),0),""))&amp;"",",","")),""))</f>
        <v/>
      </c>
      <c r="P292" s="2">
        <f>IF(OR(설정!$C$19="",IFERROR(MATCH(설정!$C$19,INDEX(급여대장_원본!$A$1:$AZ$400,설정!$B$8,0),0),"")=""),"",IFERROR(VALUE(SUBSTITUTE(INDEX(급여대장_원본!$A$1:$AZ$400,(설정!$B$8+286),IFERROR(MATCH(설정!$C$19,INDEX(급여대장_원본!$A$1:$AZ$400,설정!$B$8,0),0),""))&amp;"",",","")),""))</f>
        <v/>
      </c>
      <c r="Q292" s="2">
        <f>IF(OR(설정!$C$20="",IFERROR(MATCH(설정!$C$20,INDEX(급여대장_원본!$A$1:$AZ$400,설정!$B$8,0),0),"")=""),"",IFERROR(VALUE(SUBSTITUTE(INDEX(급여대장_원본!$A$1:$AZ$400,(설정!$B$8+286),IFERROR(MATCH(설정!$C$20,INDEX(급여대장_원본!$A$1:$AZ$400,설정!$B$8,0),0),""))&amp;"",",","")),""))</f>
        <v/>
      </c>
      <c r="R292" s="2">
        <f>IF(OR(설정!$C$21="",IFERROR(MATCH(설정!$C$21,INDEX(급여대장_원본!$A$1:$AZ$400,설정!$B$8,0),0),"")=""),"",IFERROR(VALUE(SUBSTITUTE(INDEX(급여대장_원본!$A$1:$AZ$400,(설정!$B$8+286),IFERROR(MATCH(설정!$C$21,INDEX(급여대장_원본!$A$1:$AZ$400,설정!$B$8,0),0),""))&amp;"",",","")),""))</f>
        <v/>
      </c>
      <c r="S292" s="2">
        <f>IF(OR(설정!$C$22="",IFERROR(MATCH(설정!$C$22,INDEX(급여대장_원본!$A$1:$AZ$400,설정!$B$8,0),0),"")=""),"",IFERROR(VALUE(SUBSTITUTE(INDEX(급여대장_원본!$A$1:$AZ$400,(설정!$B$8+286),IFERROR(MATCH(설정!$C$22,INDEX(급여대장_원본!$A$1:$AZ$400,설정!$B$8,0),0),""))&amp;"",",","")),""))</f>
        <v/>
      </c>
      <c r="T292" s="2">
        <f>IF(OR(설정!$C$23="",IFERROR(MATCH(설정!$C$23,INDEX(급여대장_원본!$A$1:$AZ$400,설정!$B$8,0),0),"")=""),"",IFERROR(VALUE(SUBSTITUTE(INDEX(급여대장_원본!$A$1:$AZ$400,(설정!$B$8+286),IFERROR(MATCH(설정!$C$23,INDEX(급여대장_원본!$A$1:$AZ$400,설정!$B$8,0),0),""))&amp;"",",","")),""))</f>
        <v/>
      </c>
      <c r="U292" s="2">
        <f>IF(OR(설정!$C$24="",IFERROR(MATCH(설정!$C$24,INDEX(급여대장_원본!$A$1:$AZ$400,설정!$B$8,0),0),"")=""),"",IFERROR(VALUE(SUBSTITUTE(INDEX(급여대장_원본!$A$1:$AZ$400,(설정!$B$8+286),IFERROR(MATCH(설정!$C$24,INDEX(급여대장_원본!$A$1:$AZ$400,설정!$B$8,0),0),""))&amp;"",",","")),""))</f>
        <v/>
      </c>
      <c r="V292" s="27">
        <f>SUM(F292:M292)</f>
        <v/>
      </c>
      <c r="W292" s="27">
        <f>IF(설정!$D$26="",0,IFERROR(VALUE(SUBSTITUTE(SUBSTITUTE(INDEX(급여대장_원본!$A$1:$AZ$400,(설정!$B$8+286),설정!$D$26)&amp;"",",",""),"　","")),0))</f>
        <v/>
      </c>
      <c r="X292" s="27">
        <f>IF(설정!$D$27="",0,IFERROR(VALUE(SUBSTITUTE(SUBSTITUTE(INDEX(급여대장_원본!$A$1:$AZ$400,(설정!$B$8+286),설정!$D$27)&amp;"",",",""),"　","")),0))</f>
        <v/>
      </c>
      <c r="Y292" s="27">
        <f>IF(설정!$D$28="",0,IFERROR(VALUE(SUBSTITUTE(SUBSTITUTE(INDEX(급여대장_원본!$A$1:$AZ$400,(설정!$B$8+286),설정!$D$28)&amp;"",",",""),"　","")),0))</f>
        <v/>
      </c>
      <c r="Z292" s="27">
        <f>IF(설정!$D$29="",0,IFERROR(VALUE(SUBSTITUTE(SUBSTITUTE(INDEX(급여대장_원본!$A$1:$AZ$400,(설정!$B$8+286),설정!$D$29)&amp;"",",",""),"　","")),0))</f>
        <v/>
      </c>
      <c r="AA292" s="27">
        <f>IF(설정!$D$30="",0,IFERROR(VALUE(SUBSTITUTE(SUBSTITUTE(INDEX(급여대장_원본!$A$1:$AZ$400,(설정!$B$8+286),설정!$D$30)&amp;"",",",""),"　","")),0))</f>
        <v/>
      </c>
      <c r="AB292" s="27">
        <f>IF(설정!$D$31="",0,IFERROR(VALUE(SUBSTITUTE(SUBSTITUTE(INDEX(급여대장_원본!$A$1:$AZ$400,(설정!$B$8+286),설정!$D$31)&amp;"",",",""),"　","")),0))</f>
        <v/>
      </c>
      <c r="AC292" s="27">
        <f>IF(설정!$D$32="",0,IFERROR(VALUE(SUBSTITUTE(SUBSTITUTE(INDEX(급여대장_원본!$A$1:$AZ$400,(설정!$B$8+286),설정!$D$32)&amp;"",",",""),"　","")),0))</f>
        <v/>
      </c>
      <c r="AD292" s="27">
        <f>IF(설정!$D$33="",0,IFERROR(VALUE(SUBSTITUTE(SUBSTITUTE(INDEX(급여대장_원본!$A$1:$AZ$400,(설정!$B$8+286),설정!$D$33)&amp;"",",",""),"　","")),0))</f>
        <v/>
      </c>
      <c r="AE292" s="27">
        <f>SUM(W292:AD292)</f>
        <v/>
      </c>
      <c r="AF292" s="27">
        <f>V292-AE292</f>
        <v/>
      </c>
      <c r="AG292" s="27">
        <f>IF(설정!$D$35="","",IF(설정!$D$35="",0,IFERROR(VALUE(SUBSTITUTE(SUBSTITUTE(INDEX(급여대장_원본!$A$1:$AZ$400,(설정!$B$8+286),설정!$D$35)&amp;"",",",""),"　","")),0)))</f>
        <v/>
      </c>
      <c r="AH292" s="27">
        <f>IF(설정!$D$36="","",IF(설정!$D$36="",0,IFERROR(VALUE(SUBSTITUTE(SUBSTITUTE(INDEX(급여대장_원본!$A$1:$AZ$400,(설정!$B$8+286),설정!$D$36)&amp;"",",",""),"　","")),0)))</f>
        <v/>
      </c>
      <c r="AI292" s="27">
        <f>IF(설정!$D$37="","",IF(설정!$D$37="",0,IFERROR(VALUE(SUBSTITUTE(SUBSTITUTE(INDEX(급여대장_원본!$A$1:$AZ$400,(설정!$B$8+286),설정!$D$37)&amp;"",",",""),"　","")),0)))</f>
        <v/>
      </c>
      <c r="AJ292" s="2">
        <f>IFERROR(INDEX($D$7:$D$306,MATCH(286,$B$7:$B$306,0)),"")</f>
        <v/>
      </c>
    </row>
    <row r="293">
      <c r="A293" s="2">
        <f>IF(AND(D293&lt;&gt;"",D293&lt;&gt;"합계",D293&lt;&gt;"총계",D293&lt;&gt;"소계",D293&lt;&gt;"계"),1,0)</f>
        <v/>
      </c>
      <c r="B293" s="2">
        <f>IF(A293=1,SUM($A$7:A293),"")</f>
        <v/>
      </c>
      <c r="C293" s="2">
        <f>IF(설정!$D$13="","",TRIM(SUBSTITUTE(INDEX(급여대장_원본!$A$1:$AZ$400,(설정!$B$8+287),설정!$D$13)&amp;"","　"," ")))</f>
        <v/>
      </c>
      <c r="D293" s="2">
        <f>IF(설정!$D$14="","",TRIM(SUBSTITUTE(INDEX(급여대장_원본!$A$1:$AZ$400,(설정!$B$8+287),설정!$D$14)&amp;"","　"," ")))</f>
        <v/>
      </c>
      <c r="E293" s="2">
        <f>IF(설정!$D$15="","",TRIM(SUBSTITUTE(INDEX(급여대장_원본!$A$1:$AZ$400,(설정!$B$8+287),설정!$D$15)&amp;"","　"," ")))</f>
        <v/>
      </c>
      <c r="F293" s="27">
        <f>IF(설정!$D$17="",0,IFERROR(VALUE(SUBSTITUTE(SUBSTITUTE(INDEX(급여대장_원본!$A$1:$AZ$400,(설정!$B$8+287),설정!$D$17)&amp;"",",",""),"　","")),0))</f>
        <v/>
      </c>
      <c r="G293" s="27">
        <f>IF(설정!$D$18="",0,IFERROR(VALUE(SUBSTITUTE(SUBSTITUTE(INDEX(급여대장_원본!$A$1:$AZ$400,(설정!$B$8+287),설정!$D$18)&amp;"",",",""),"　","")),0))</f>
        <v/>
      </c>
      <c r="H293" s="27">
        <f>IF(설정!$D$19="",0,IFERROR(VALUE(SUBSTITUTE(SUBSTITUTE(INDEX(급여대장_원본!$A$1:$AZ$400,(설정!$B$8+287),설정!$D$19)&amp;"",",",""),"　","")),0))</f>
        <v/>
      </c>
      <c r="I293" s="27">
        <f>IF(설정!$D$20="",0,IFERROR(VALUE(SUBSTITUTE(SUBSTITUTE(INDEX(급여대장_원본!$A$1:$AZ$400,(설정!$B$8+287),설정!$D$20)&amp;"",",",""),"　","")),0))</f>
        <v/>
      </c>
      <c r="J293" s="27">
        <f>IF(설정!$D$21="",0,IFERROR(VALUE(SUBSTITUTE(SUBSTITUTE(INDEX(급여대장_원본!$A$1:$AZ$400,(설정!$B$8+287),설정!$D$21)&amp;"",",",""),"　","")),0))</f>
        <v/>
      </c>
      <c r="K293" s="27">
        <f>IF(설정!$D$22="",0,IFERROR(VALUE(SUBSTITUTE(SUBSTITUTE(INDEX(급여대장_원본!$A$1:$AZ$400,(설정!$B$8+287),설정!$D$22)&amp;"",",",""),"　","")),0))</f>
        <v/>
      </c>
      <c r="L293" s="27">
        <f>IF(설정!$D$23="",0,IFERROR(VALUE(SUBSTITUTE(SUBSTITUTE(INDEX(급여대장_원본!$A$1:$AZ$400,(설정!$B$8+287),설정!$D$23)&amp;"",",",""),"　","")),0))</f>
        <v/>
      </c>
      <c r="M293" s="27">
        <f>IF(설정!$D$24="",0,IFERROR(VALUE(SUBSTITUTE(SUBSTITUTE(INDEX(급여대장_원본!$A$1:$AZ$400,(설정!$B$8+287),설정!$D$24)&amp;"",",",""),"　","")),0))</f>
        <v/>
      </c>
      <c r="N293" s="2">
        <f>IF(OR(설정!$C$17="",IFERROR(MATCH(설정!$C$17,INDEX(급여대장_원본!$A$1:$AZ$400,설정!$B$8,0),0),"")=""),"",IFERROR(VALUE(SUBSTITUTE(INDEX(급여대장_원본!$A$1:$AZ$400,(설정!$B$8+287),IFERROR(MATCH(설정!$C$17,INDEX(급여대장_원본!$A$1:$AZ$400,설정!$B$8,0),0),""))&amp;"",",","")),""))</f>
        <v/>
      </c>
      <c r="O293" s="2">
        <f>IF(OR(설정!$C$18="",IFERROR(MATCH(설정!$C$18,INDEX(급여대장_원본!$A$1:$AZ$400,설정!$B$8,0),0),"")=""),"",IFERROR(VALUE(SUBSTITUTE(INDEX(급여대장_원본!$A$1:$AZ$400,(설정!$B$8+287),IFERROR(MATCH(설정!$C$18,INDEX(급여대장_원본!$A$1:$AZ$400,설정!$B$8,0),0),""))&amp;"",",","")),""))</f>
        <v/>
      </c>
      <c r="P293" s="2">
        <f>IF(OR(설정!$C$19="",IFERROR(MATCH(설정!$C$19,INDEX(급여대장_원본!$A$1:$AZ$400,설정!$B$8,0),0),"")=""),"",IFERROR(VALUE(SUBSTITUTE(INDEX(급여대장_원본!$A$1:$AZ$400,(설정!$B$8+287),IFERROR(MATCH(설정!$C$19,INDEX(급여대장_원본!$A$1:$AZ$400,설정!$B$8,0),0),""))&amp;"",",","")),""))</f>
        <v/>
      </c>
      <c r="Q293" s="2">
        <f>IF(OR(설정!$C$20="",IFERROR(MATCH(설정!$C$20,INDEX(급여대장_원본!$A$1:$AZ$400,설정!$B$8,0),0),"")=""),"",IFERROR(VALUE(SUBSTITUTE(INDEX(급여대장_원본!$A$1:$AZ$400,(설정!$B$8+287),IFERROR(MATCH(설정!$C$20,INDEX(급여대장_원본!$A$1:$AZ$400,설정!$B$8,0),0),""))&amp;"",",","")),""))</f>
        <v/>
      </c>
      <c r="R293" s="2">
        <f>IF(OR(설정!$C$21="",IFERROR(MATCH(설정!$C$21,INDEX(급여대장_원본!$A$1:$AZ$400,설정!$B$8,0),0),"")=""),"",IFERROR(VALUE(SUBSTITUTE(INDEX(급여대장_원본!$A$1:$AZ$400,(설정!$B$8+287),IFERROR(MATCH(설정!$C$21,INDEX(급여대장_원본!$A$1:$AZ$400,설정!$B$8,0),0),""))&amp;"",",","")),""))</f>
        <v/>
      </c>
      <c r="S293" s="2">
        <f>IF(OR(설정!$C$22="",IFERROR(MATCH(설정!$C$22,INDEX(급여대장_원본!$A$1:$AZ$400,설정!$B$8,0),0),"")=""),"",IFERROR(VALUE(SUBSTITUTE(INDEX(급여대장_원본!$A$1:$AZ$400,(설정!$B$8+287),IFERROR(MATCH(설정!$C$22,INDEX(급여대장_원본!$A$1:$AZ$400,설정!$B$8,0),0),""))&amp;"",",","")),""))</f>
        <v/>
      </c>
      <c r="T293" s="2">
        <f>IF(OR(설정!$C$23="",IFERROR(MATCH(설정!$C$23,INDEX(급여대장_원본!$A$1:$AZ$400,설정!$B$8,0),0),"")=""),"",IFERROR(VALUE(SUBSTITUTE(INDEX(급여대장_원본!$A$1:$AZ$400,(설정!$B$8+287),IFERROR(MATCH(설정!$C$23,INDEX(급여대장_원본!$A$1:$AZ$400,설정!$B$8,0),0),""))&amp;"",",","")),""))</f>
        <v/>
      </c>
      <c r="U293" s="2">
        <f>IF(OR(설정!$C$24="",IFERROR(MATCH(설정!$C$24,INDEX(급여대장_원본!$A$1:$AZ$400,설정!$B$8,0),0),"")=""),"",IFERROR(VALUE(SUBSTITUTE(INDEX(급여대장_원본!$A$1:$AZ$400,(설정!$B$8+287),IFERROR(MATCH(설정!$C$24,INDEX(급여대장_원본!$A$1:$AZ$400,설정!$B$8,0),0),""))&amp;"",",","")),""))</f>
        <v/>
      </c>
      <c r="V293" s="27">
        <f>SUM(F293:M293)</f>
        <v/>
      </c>
      <c r="W293" s="27">
        <f>IF(설정!$D$26="",0,IFERROR(VALUE(SUBSTITUTE(SUBSTITUTE(INDEX(급여대장_원본!$A$1:$AZ$400,(설정!$B$8+287),설정!$D$26)&amp;"",",",""),"　","")),0))</f>
        <v/>
      </c>
      <c r="X293" s="27">
        <f>IF(설정!$D$27="",0,IFERROR(VALUE(SUBSTITUTE(SUBSTITUTE(INDEX(급여대장_원본!$A$1:$AZ$400,(설정!$B$8+287),설정!$D$27)&amp;"",",",""),"　","")),0))</f>
        <v/>
      </c>
      <c r="Y293" s="27">
        <f>IF(설정!$D$28="",0,IFERROR(VALUE(SUBSTITUTE(SUBSTITUTE(INDEX(급여대장_원본!$A$1:$AZ$400,(설정!$B$8+287),설정!$D$28)&amp;"",",",""),"　","")),0))</f>
        <v/>
      </c>
      <c r="Z293" s="27">
        <f>IF(설정!$D$29="",0,IFERROR(VALUE(SUBSTITUTE(SUBSTITUTE(INDEX(급여대장_원본!$A$1:$AZ$400,(설정!$B$8+287),설정!$D$29)&amp;"",",",""),"　","")),0))</f>
        <v/>
      </c>
      <c r="AA293" s="27">
        <f>IF(설정!$D$30="",0,IFERROR(VALUE(SUBSTITUTE(SUBSTITUTE(INDEX(급여대장_원본!$A$1:$AZ$400,(설정!$B$8+287),설정!$D$30)&amp;"",",",""),"　","")),0))</f>
        <v/>
      </c>
      <c r="AB293" s="27">
        <f>IF(설정!$D$31="",0,IFERROR(VALUE(SUBSTITUTE(SUBSTITUTE(INDEX(급여대장_원본!$A$1:$AZ$400,(설정!$B$8+287),설정!$D$31)&amp;"",",",""),"　","")),0))</f>
        <v/>
      </c>
      <c r="AC293" s="27">
        <f>IF(설정!$D$32="",0,IFERROR(VALUE(SUBSTITUTE(SUBSTITUTE(INDEX(급여대장_원본!$A$1:$AZ$400,(설정!$B$8+287),설정!$D$32)&amp;"",",",""),"　","")),0))</f>
        <v/>
      </c>
      <c r="AD293" s="27">
        <f>IF(설정!$D$33="",0,IFERROR(VALUE(SUBSTITUTE(SUBSTITUTE(INDEX(급여대장_원본!$A$1:$AZ$400,(설정!$B$8+287),설정!$D$33)&amp;"",",",""),"　","")),0))</f>
        <v/>
      </c>
      <c r="AE293" s="27">
        <f>SUM(W293:AD293)</f>
        <v/>
      </c>
      <c r="AF293" s="27">
        <f>V293-AE293</f>
        <v/>
      </c>
      <c r="AG293" s="27">
        <f>IF(설정!$D$35="","",IF(설정!$D$35="",0,IFERROR(VALUE(SUBSTITUTE(SUBSTITUTE(INDEX(급여대장_원본!$A$1:$AZ$400,(설정!$B$8+287),설정!$D$35)&amp;"",",",""),"　","")),0)))</f>
        <v/>
      </c>
      <c r="AH293" s="27">
        <f>IF(설정!$D$36="","",IF(설정!$D$36="",0,IFERROR(VALUE(SUBSTITUTE(SUBSTITUTE(INDEX(급여대장_원본!$A$1:$AZ$400,(설정!$B$8+287),설정!$D$36)&amp;"",",",""),"　","")),0)))</f>
        <v/>
      </c>
      <c r="AI293" s="27">
        <f>IF(설정!$D$37="","",IF(설정!$D$37="",0,IFERROR(VALUE(SUBSTITUTE(SUBSTITUTE(INDEX(급여대장_원본!$A$1:$AZ$400,(설정!$B$8+287),설정!$D$37)&amp;"",",",""),"　","")),0)))</f>
        <v/>
      </c>
      <c r="AJ293" s="2">
        <f>IFERROR(INDEX($D$7:$D$306,MATCH(287,$B$7:$B$306,0)),"")</f>
        <v/>
      </c>
    </row>
    <row r="294">
      <c r="A294" s="2">
        <f>IF(AND(D294&lt;&gt;"",D294&lt;&gt;"합계",D294&lt;&gt;"총계",D294&lt;&gt;"소계",D294&lt;&gt;"계"),1,0)</f>
        <v/>
      </c>
      <c r="B294" s="2">
        <f>IF(A294=1,SUM($A$7:A294),"")</f>
        <v/>
      </c>
      <c r="C294" s="2">
        <f>IF(설정!$D$13="","",TRIM(SUBSTITUTE(INDEX(급여대장_원본!$A$1:$AZ$400,(설정!$B$8+288),설정!$D$13)&amp;"","　"," ")))</f>
        <v/>
      </c>
      <c r="D294" s="2">
        <f>IF(설정!$D$14="","",TRIM(SUBSTITUTE(INDEX(급여대장_원본!$A$1:$AZ$400,(설정!$B$8+288),설정!$D$14)&amp;"","　"," ")))</f>
        <v/>
      </c>
      <c r="E294" s="2">
        <f>IF(설정!$D$15="","",TRIM(SUBSTITUTE(INDEX(급여대장_원본!$A$1:$AZ$400,(설정!$B$8+288),설정!$D$15)&amp;"","　"," ")))</f>
        <v/>
      </c>
      <c r="F294" s="27">
        <f>IF(설정!$D$17="",0,IFERROR(VALUE(SUBSTITUTE(SUBSTITUTE(INDEX(급여대장_원본!$A$1:$AZ$400,(설정!$B$8+288),설정!$D$17)&amp;"",",",""),"　","")),0))</f>
        <v/>
      </c>
      <c r="G294" s="27">
        <f>IF(설정!$D$18="",0,IFERROR(VALUE(SUBSTITUTE(SUBSTITUTE(INDEX(급여대장_원본!$A$1:$AZ$400,(설정!$B$8+288),설정!$D$18)&amp;"",",",""),"　","")),0))</f>
        <v/>
      </c>
      <c r="H294" s="27">
        <f>IF(설정!$D$19="",0,IFERROR(VALUE(SUBSTITUTE(SUBSTITUTE(INDEX(급여대장_원본!$A$1:$AZ$400,(설정!$B$8+288),설정!$D$19)&amp;"",",",""),"　","")),0))</f>
        <v/>
      </c>
      <c r="I294" s="27">
        <f>IF(설정!$D$20="",0,IFERROR(VALUE(SUBSTITUTE(SUBSTITUTE(INDEX(급여대장_원본!$A$1:$AZ$400,(설정!$B$8+288),설정!$D$20)&amp;"",",",""),"　","")),0))</f>
        <v/>
      </c>
      <c r="J294" s="27">
        <f>IF(설정!$D$21="",0,IFERROR(VALUE(SUBSTITUTE(SUBSTITUTE(INDEX(급여대장_원본!$A$1:$AZ$400,(설정!$B$8+288),설정!$D$21)&amp;"",",",""),"　","")),0))</f>
        <v/>
      </c>
      <c r="K294" s="27">
        <f>IF(설정!$D$22="",0,IFERROR(VALUE(SUBSTITUTE(SUBSTITUTE(INDEX(급여대장_원본!$A$1:$AZ$400,(설정!$B$8+288),설정!$D$22)&amp;"",",",""),"　","")),0))</f>
        <v/>
      </c>
      <c r="L294" s="27">
        <f>IF(설정!$D$23="",0,IFERROR(VALUE(SUBSTITUTE(SUBSTITUTE(INDEX(급여대장_원본!$A$1:$AZ$400,(설정!$B$8+288),설정!$D$23)&amp;"",",",""),"　","")),0))</f>
        <v/>
      </c>
      <c r="M294" s="27">
        <f>IF(설정!$D$24="",0,IFERROR(VALUE(SUBSTITUTE(SUBSTITUTE(INDEX(급여대장_원본!$A$1:$AZ$400,(설정!$B$8+288),설정!$D$24)&amp;"",",",""),"　","")),0))</f>
        <v/>
      </c>
      <c r="N294" s="2">
        <f>IF(OR(설정!$C$17="",IFERROR(MATCH(설정!$C$17,INDEX(급여대장_원본!$A$1:$AZ$400,설정!$B$8,0),0),"")=""),"",IFERROR(VALUE(SUBSTITUTE(INDEX(급여대장_원본!$A$1:$AZ$400,(설정!$B$8+288),IFERROR(MATCH(설정!$C$17,INDEX(급여대장_원본!$A$1:$AZ$400,설정!$B$8,0),0),""))&amp;"",",","")),""))</f>
        <v/>
      </c>
      <c r="O294" s="2">
        <f>IF(OR(설정!$C$18="",IFERROR(MATCH(설정!$C$18,INDEX(급여대장_원본!$A$1:$AZ$400,설정!$B$8,0),0),"")=""),"",IFERROR(VALUE(SUBSTITUTE(INDEX(급여대장_원본!$A$1:$AZ$400,(설정!$B$8+288),IFERROR(MATCH(설정!$C$18,INDEX(급여대장_원본!$A$1:$AZ$400,설정!$B$8,0),0),""))&amp;"",",","")),""))</f>
        <v/>
      </c>
      <c r="P294" s="2">
        <f>IF(OR(설정!$C$19="",IFERROR(MATCH(설정!$C$19,INDEX(급여대장_원본!$A$1:$AZ$400,설정!$B$8,0),0),"")=""),"",IFERROR(VALUE(SUBSTITUTE(INDEX(급여대장_원본!$A$1:$AZ$400,(설정!$B$8+288),IFERROR(MATCH(설정!$C$19,INDEX(급여대장_원본!$A$1:$AZ$400,설정!$B$8,0),0),""))&amp;"",",","")),""))</f>
        <v/>
      </c>
      <c r="Q294" s="2">
        <f>IF(OR(설정!$C$20="",IFERROR(MATCH(설정!$C$20,INDEX(급여대장_원본!$A$1:$AZ$400,설정!$B$8,0),0),"")=""),"",IFERROR(VALUE(SUBSTITUTE(INDEX(급여대장_원본!$A$1:$AZ$400,(설정!$B$8+288),IFERROR(MATCH(설정!$C$20,INDEX(급여대장_원본!$A$1:$AZ$400,설정!$B$8,0),0),""))&amp;"",",","")),""))</f>
        <v/>
      </c>
      <c r="R294" s="2">
        <f>IF(OR(설정!$C$21="",IFERROR(MATCH(설정!$C$21,INDEX(급여대장_원본!$A$1:$AZ$400,설정!$B$8,0),0),"")=""),"",IFERROR(VALUE(SUBSTITUTE(INDEX(급여대장_원본!$A$1:$AZ$400,(설정!$B$8+288),IFERROR(MATCH(설정!$C$21,INDEX(급여대장_원본!$A$1:$AZ$400,설정!$B$8,0),0),""))&amp;"",",","")),""))</f>
        <v/>
      </c>
      <c r="S294" s="2">
        <f>IF(OR(설정!$C$22="",IFERROR(MATCH(설정!$C$22,INDEX(급여대장_원본!$A$1:$AZ$400,설정!$B$8,0),0),"")=""),"",IFERROR(VALUE(SUBSTITUTE(INDEX(급여대장_원본!$A$1:$AZ$400,(설정!$B$8+288),IFERROR(MATCH(설정!$C$22,INDEX(급여대장_원본!$A$1:$AZ$400,설정!$B$8,0),0),""))&amp;"",",","")),""))</f>
        <v/>
      </c>
      <c r="T294" s="2">
        <f>IF(OR(설정!$C$23="",IFERROR(MATCH(설정!$C$23,INDEX(급여대장_원본!$A$1:$AZ$400,설정!$B$8,0),0),"")=""),"",IFERROR(VALUE(SUBSTITUTE(INDEX(급여대장_원본!$A$1:$AZ$400,(설정!$B$8+288),IFERROR(MATCH(설정!$C$23,INDEX(급여대장_원본!$A$1:$AZ$400,설정!$B$8,0),0),""))&amp;"",",","")),""))</f>
        <v/>
      </c>
      <c r="U294" s="2">
        <f>IF(OR(설정!$C$24="",IFERROR(MATCH(설정!$C$24,INDEX(급여대장_원본!$A$1:$AZ$400,설정!$B$8,0),0),"")=""),"",IFERROR(VALUE(SUBSTITUTE(INDEX(급여대장_원본!$A$1:$AZ$400,(설정!$B$8+288),IFERROR(MATCH(설정!$C$24,INDEX(급여대장_원본!$A$1:$AZ$400,설정!$B$8,0),0),""))&amp;"",",","")),""))</f>
        <v/>
      </c>
      <c r="V294" s="27">
        <f>SUM(F294:M294)</f>
        <v/>
      </c>
      <c r="W294" s="27">
        <f>IF(설정!$D$26="",0,IFERROR(VALUE(SUBSTITUTE(SUBSTITUTE(INDEX(급여대장_원본!$A$1:$AZ$400,(설정!$B$8+288),설정!$D$26)&amp;"",",",""),"　","")),0))</f>
        <v/>
      </c>
      <c r="X294" s="27">
        <f>IF(설정!$D$27="",0,IFERROR(VALUE(SUBSTITUTE(SUBSTITUTE(INDEX(급여대장_원본!$A$1:$AZ$400,(설정!$B$8+288),설정!$D$27)&amp;"",",",""),"　","")),0))</f>
        <v/>
      </c>
      <c r="Y294" s="27">
        <f>IF(설정!$D$28="",0,IFERROR(VALUE(SUBSTITUTE(SUBSTITUTE(INDEX(급여대장_원본!$A$1:$AZ$400,(설정!$B$8+288),설정!$D$28)&amp;"",",",""),"　","")),0))</f>
        <v/>
      </c>
      <c r="Z294" s="27">
        <f>IF(설정!$D$29="",0,IFERROR(VALUE(SUBSTITUTE(SUBSTITUTE(INDEX(급여대장_원본!$A$1:$AZ$400,(설정!$B$8+288),설정!$D$29)&amp;"",",",""),"　","")),0))</f>
        <v/>
      </c>
      <c r="AA294" s="27">
        <f>IF(설정!$D$30="",0,IFERROR(VALUE(SUBSTITUTE(SUBSTITUTE(INDEX(급여대장_원본!$A$1:$AZ$400,(설정!$B$8+288),설정!$D$30)&amp;"",",",""),"　","")),0))</f>
        <v/>
      </c>
      <c r="AB294" s="27">
        <f>IF(설정!$D$31="",0,IFERROR(VALUE(SUBSTITUTE(SUBSTITUTE(INDEX(급여대장_원본!$A$1:$AZ$400,(설정!$B$8+288),설정!$D$31)&amp;"",",",""),"　","")),0))</f>
        <v/>
      </c>
      <c r="AC294" s="27">
        <f>IF(설정!$D$32="",0,IFERROR(VALUE(SUBSTITUTE(SUBSTITUTE(INDEX(급여대장_원본!$A$1:$AZ$400,(설정!$B$8+288),설정!$D$32)&amp;"",",",""),"　","")),0))</f>
        <v/>
      </c>
      <c r="AD294" s="27">
        <f>IF(설정!$D$33="",0,IFERROR(VALUE(SUBSTITUTE(SUBSTITUTE(INDEX(급여대장_원본!$A$1:$AZ$400,(설정!$B$8+288),설정!$D$33)&amp;"",",",""),"　","")),0))</f>
        <v/>
      </c>
      <c r="AE294" s="27">
        <f>SUM(W294:AD294)</f>
        <v/>
      </c>
      <c r="AF294" s="27">
        <f>V294-AE294</f>
        <v/>
      </c>
      <c r="AG294" s="27">
        <f>IF(설정!$D$35="","",IF(설정!$D$35="",0,IFERROR(VALUE(SUBSTITUTE(SUBSTITUTE(INDEX(급여대장_원본!$A$1:$AZ$400,(설정!$B$8+288),설정!$D$35)&amp;"",",",""),"　","")),0)))</f>
        <v/>
      </c>
      <c r="AH294" s="27">
        <f>IF(설정!$D$36="","",IF(설정!$D$36="",0,IFERROR(VALUE(SUBSTITUTE(SUBSTITUTE(INDEX(급여대장_원본!$A$1:$AZ$400,(설정!$B$8+288),설정!$D$36)&amp;"",",",""),"　","")),0)))</f>
        <v/>
      </c>
      <c r="AI294" s="27">
        <f>IF(설정!$D$37="","",IF(설정!$D$37="",0,IFERROR(VALUE(SUBSTITUTE(SUBSTITUTE(INDEX(급여대장_원본!$A$1:$AZ$400,(설정!$B$8+288),설정!$D$37)&amp;"",",",""),"　","")),0)))</f>
        <v/>
      </c>
      <c r="AJ294" s="2">
        <f>IFERROR(INDEX($D$7:$D$306,MATCH(288,$B$7:$B$306,0)),"")</f>
        <v/>
      </c>
    </row>
    <row r="295">
      <c r="A295" s="2">
        <f>IF(AND(D295&lt;&gt;"",D295&lt;&gt;"합계",D295&lt;&gt;"총계",D295&lt;&gt;"소계",D295&lt;&gt;"계"),1,0)</f>
        <v/>
      </c>
      <c r="B295" s="2">
        <f>IF(A295=1,SUM($A$7:A295),"")</f>
        <v/>
      </c>
      <c r="C295" s="2">
        <f>IF(설정!$D$13="","",TRIM(SUBSTITUTE(INDEX(급여대장_원본!$A$1:$AZ$400,(설정!$B$8+289),설정!$D$13)&amp;"","　"," ")))</f>
        <v/>
      </c>
      <c r="D295" s="2">
        <f>IF(설정!$D$14="","",TRIM(SUBSTITUTE(INDEX(급여대장_원본!$A$1:$AZ$400,(설정!$B$8+289),설정!$D$14)&amp;"","　"," ")))</f>
        <v/>
      </c>
      <c r="E295" s="2">
        <f>IF(설정!$D$15="","",TRIM(SUBSTITUTE(INDEX(급여대장_원본!$A$1:$AZ$400,(설정!$B$8+289),설정!$D$15)&amp;"","　"," ")))</f>
        <v/>
      </c>
      <c r="F295" s="27">
        <f>IF(설정!$D$17="",0,IFERROR(VALUE(SUBSTITUTE(SUBSTITUTE(INDEX(급여대장_원본!$A$1:$AZ$400,(설정!$B$8+289),설정!$D$17)&amp;"",",",""),"　","")),0))</f>
        <v/>
      </c>
      <c r="G295" s="27">
        <f>IF(설정!$D$18="",0,IFERROR(VALUE(SUBSTITUTE(SUBSTITUTE(INDEX(급여대장_원본!$A$1:$AZ$400,(설정!$B$8+289),설정!$D$18)&amp;"",",",""),"　","")),0))</f>
        <v/>
      </c>
      <c r="H295" s="27">
        <f>IF(설정!$D$19="",0,IFERROR(VALUE(SUBSTITUTE(SUBSTITUTE(INDEX(급여대장_원본!$A$1:$AZ$400,(설정!$B$8+289),설정!$D$19)&amp;"",",",""),"　","")),0))</f>
        <v/>
      </c>
      <c r="I295" s="27">
        <f>IF(설정!$D$20="",0,IFERROR(VALUE(SUBSTITUTE(SUBSTITUTE(INDEX(급여대장_원본!$A$1:$AZ$400,(설정!$B$8+289),설정!$D$20)&amp;"",",",""),"　","")),0))</f>
        <v/>
      </c>
      <c r="J295" s="27">
        <f>IF(설정!$D$21="",0,IFERROR(VALUE(SUBSTITUTE(SUBSTITUTE(INDEX(급여대장_원본!$A$1:$AZ$400,(설정!$B$8+289),설정!$D$21)&amp;"",",",""),"　","")),0))</f>
        <v/>
      </c>
      <c r="K295" s="27">
        <f>IF(설정!$D$22="",0,IFERROR(VALUE(SUBSTITUTE(SUBSTITUTE(INDEX(급여대장_원본!$A$1:$AZ$400,(설정!$B$8+289),설정!$D$22)&amp;"",",",""),"　","")),0))</f>
        <v/>
      </c>
      <c r="L295" s="27">
        <f>IF(설정!$D$23="",0,IFERROR(VALUE(SUBSTITUTE(SUBSTITUTE(INDEX(급여대장_원본!$A$1:$AZ$400,(설정!$B$8+289),설정!$D$23)&amp;"",",",""),"　","")),0))</f>
        <v/>
      </c>
      <c r="M295" s="27">
        <f>IF(설정!$D$24="",0,IFERROR(VALUE(SUBSTITUTE(SUBSTITUTE(INDEX(급여대장_원본!$A$1:$AZ$400,(설정!$B$8+289),설정!$D$24)&amp;"",",",""),"　","")),0))</f>
        <v/>
      </c>
      <c r="N295" s="2">
        <f>IF(OR(설정!$C$17="",IFERROR(MATCH(설정!$C$17,INDEX(급여대장_원본!$A$1:$AZ$400,설정!$B$8,0),0),"")=""),"",IFERROR(VALUE(SUBSTITUTE(INDEX(급여대장_원본!$A$1:$AZ$400,(설정!$B$8+289),IFERROR(MATCH(설정!$C$17,INDEX(급여대장_원본!$A$1:$AZ$400,설정!$B$8,0),0),""))&amp;"",",","")),""))</f>
        <v/>
      </c>
      <c r="O295" s="2">
        <f>IF(OR(설정!$C$18="",IFERROR(MATCH(설정!$C$18,INDEX(급여대장_원본!$A$1:$AZ$400,설정!$B$8,0),0),"")=""),"",IFERROR(VALUE(SUBSTITUTE(INDEX(급여대장_원본!$A$1:$AZ$400,(설정!$B$8+289),IFERROR(MATCH(설정!$C$18,INDEX(급여대장_원본!$A$1:$AZ$400,설정!$B$8,0),0),""))&amp;"",",","")),""))</f>
        <v/>
      </c>
      <c r="P295" s="2">
        <f>IF(OR(설정!$C$19="",IFERROR(MATCH(설정!$C$19,INDEX(급여대장_원본!$A$1:$AZ$400,설정!$B$8,0),0),"")=""),"",IFERROR(VALUE(SUBSTITUTE(INDEX(급여대장_원본!$A$1:$AZ$400,(설정!$B$8+289),IFERROR(MATCH(설정!$C$19,INDEX(급여대장_원본!$A$1:$AZ$400,설정!$B$8,0),0),""))&amp;"",",","")),""))</f>
        <v/>
      </c>
      <c r="Q295" s="2">
        <f>IF(OR(설정!$C$20="",IFERROR(MATCH(설정!$C$20,INDEX(급여대장_원본!$A$1:$AZ$400,설정!$B$8,0),0),"")=""),"",IFERROR(VALUE(SUBSTITUTE(INDEX(급여대장_원본!$A$1:$AZ$400,(설정!$B$8+289),IFERROR(MATCH(설정!$C$20,INDEX(급여대장_원본!$A$1:$AZ$400,설정!$B$8,0),0),""))&amp;"",",","")),""))</f>
        <v/>
      </c>
      <c r="R295" s="2">
        <f>IF(OR(설정!$C$21="",IFERROR(MATCH(설정!$C$21,INDEX(급여대장_원본!$A$1:$AZ$400,설정!$B$8,0),0),"")=""),"",IFERROR(VALUE(SUBSTITUTE(INDEX(급여대장_원본!$A$1:$AZ$400,(설정!$B$8+289),IFERROR(MATCH(설정!$C$21,INDEX(급여대장_원본!$A$1:$AZ$400,설정!$B$8,0),0),""))&amp;"",",","")),""))</f>
        <v/>
      </c>
      <c r="S295" s="2">
        <f>IF(OR(설정!$C$22="",IFERROR(MATCH(설정!$C$22,INDEX(급여대장_원본!$A$1:$AZ$400,설정!$B$8,0),0),"")=""),"",IFERROR(VALUE(SUBSTITUTE(INDEX(급여대장_원본!$A$1:$AZ$400,(설정!$B$8+289),IFERROR(MATCH(설정!$C$22,INDEX(급여대장_원본!$A$1:$AZ$400,설정!$B$8,0),0),""))&amp;"",",","")),""))</f>
        <v/>
      </c>
      <c r="T295" s="2">
        <f>IF(OR(설정!$C$23="",IFERROR(MATCH(설정!$C$23,INDEX(급여대장_원본!$A$1:$AZ$400,설정!$B$8,0),0),"")=""),"",IFERROR(VALUE(SUBSTITUTE(INDEX(급여대장_원본!$A$1:$AZ$400,(설정!$B$8+289),IFERROR(MATCH(설정!$C$23,INDEX(급여대장_원본!$A$1:$AZ$400,설정!$B$8,0),0),""))&amp;"",",","")),""))</f>
        <v/>
      </c>
      <c r="U295" s="2">
        <f>IF(OR(설정!$C$24="",IFERROR(MATCH(설정!$C$24,INDEX(급여대장_원본!$A$1:$AZ$400,설정!$B$8,0),0),"")=""),"",IFERROR(VALUE(SUBSTITUTE(INDEX(급여대장_원본!$A$1:$AZ$400,(설정!$B$8+289),IFERROR(MATCH(설정!$C$24,INDEX(급여대장_원본!$A$1:$AZ$400,설정!$B$8,0),0),""))&amp;"",",","")),""))</f>
        <v/>
      </c>
      <c r="V295" s="27">
        <f>SUM(F295:M295)</f>
        <v/>
      </c>
      <c r="W295" s="27">
        <f>IF(설정!$D$26="",0,IFERROR(VALUE(SUBSTITUTE(SUBSTITUTE(INDEX(급여대장_원본!$A$1:$AZ$400,(설정!$B$8+289),설정!$D$26)&amp;"",",",""),"　","")),0))</f>
        <v/>
      </c>
      <c r="X295" s="27">
        <f>IF(설정!$D$27="",0,IFERROR(VALUE(SUBSTITUTE(SUBSTITUTE(INDEX(급여대장_원본!$A$1:$AZ$400,(설정!$B$8+289),설정!$D$27)&amp;"",",",""),"　","")),0))</f>
        <v/>
      </c>
      <c r="Y295" s="27">
        <f>IF(설정!$D$28="",0,IFERROR(VALUE(SUBSTITUTE(SUBSTITUTE(INDEX(급여대장_원본!$A$1:$AZ$400,(설정!$B$8+289),설정!$D$28)&amp;"",",",""),"　","")),0))</f>
        <v/>
      </c>
      <c r="Z295" s="27">
        <f>IF(설정!$D$29="",0,IFERROR(VALUE(SUBSTITUTE(SUBSTITUTE(INDEX(급여대장_원본!$A$1:$AZ$400,(설정!$B$8+289),설정!$D$29)&amp;"",",",""),"　","")),0))</f>
        <v/>
      </c>
      <c r="AA295" s="27">
        <f>IF(설정!$D$30="",0,IFERROR(VALUE(SUBSTITUTE(SUBSTITUTE(INDEX(급여대장_원본!$A$1:$AZ$400,(설정!$B$8+289),설정!$D$30)&amp;"",",",""),"　","")),0))</f>
        <v/>
      </c>
      <c r="AB295" s="27">
        <f>IF(설정!$D$31="",0,IFERROR(VALUE(SUBSTITUTE(SUBSTITUTE(INDEX(급여대장_원본!$A$1:$AZ$400,(설정!$B$8+289),설정!$D$31)&amp;"",",",""),"　","")),0))</f>
        <v/>
      </c>
      <c r="AC295" s="27">
        <f>IF(설정!$D$32="",0,IFERROR(VALUE(SUBSTITUTE(SUBSTITUTE(INDEX(급여대장_원본!$A$1:$AZ$400,(설정!$B$8+289),설정!$D$32)&amp;"",",",""),"　","")),0))</f>
        <v/>
      </c>
      <c r="AD295" s="27">
        <f>IF(설정!$D$33="",0,IFERROR(VALUE(SUBSTITUTE(SUBSTITUTE(INDEX(급여대장_원본!$A$1:$AZ$400,(설정!$B$8+289),설정!$D$33)&amp;"",",",""),"　","")),0))</f>
        <v/>
      </c>
      <c r="AE295" s="27">
        <f>SUM(W295:AD295)</f>
        <v/>
      </c>
      <c r="AF295" s="27">
        <f>V295-AE295</f>
        <v/>
      </c>
      <c r="AG295" s="27">
        <f>IF(설정!$D$35="","",IF(설정!$D$35="",0,IFERROR(VALUE(SUBSTITUTE(SUBSTITUTE(INDEX(급여대장_원본!$A$1:$AZ$400,(설정!$B$8+289),설정!$D$35)&amp;"",",",""),"　","")),0)))</f>
        <v/>
      </c>
      <c r="AH295" s="27">
        <f>IF(설정!$D$36="","",IF(설정!$D$36="",0,IFERROR(VALUE(SUBSTITUTE(SUBSTITUTE(INDEX(급여대장_원본!$A$1:$AZ$400,(설정!$B$8+289),설정!$D$36)&amp;"",",",""),"　","")),0)))</f>
        <v/>
      </c>
      <c r="AI295" s="27">
        <f>IF(설정!$D$37="","",IF(설정!$D$37="",0,IFERROR(VALUE(SUBSTITUTE(SUBSTITUTE(INDEX(급여대장_원본!$A$1:$AZ$400,(설정!$B$8+289),설정!$D$37)&amp;"",",",""),"　","")),0)))</f>
        <v/>
      </c>
      <c r="AJ295" s="2">
        <f>IFERROR(INDEX($D$7:$D$306,MATCH(289,$B$7:$B$306,0)),"")</f>
        <v/>
      </c>
    </row>
    <row r="296">
      <c r="A296" s="2">
        <f>IF(AND(D296&lt;&gt;"",D296&lt;&gt;"합계",D296&lt;&gt;"총계",D296&lt;&gt;"소계",D296&lt;&gt;"계"),1,0)</f>
        <v/>
      </c>
      <c r="B296" s="2">
        <f>IF(A296=1,SUM($A$7:A296),"")</f>
        <v/>
      </c>
      <c r="C296" s="2">
        <f>IF(설정!$D$13="","",TRIM(SUBSTITUTE(INDEX(급여대장_원본!$A$1:$AZ$400,(설정!$B$8+290),설정!$D$13)&amp;"","　"," ")))</f>
        <v/>
      </c>
      <c r="D296" s="2">
        <f>IF(설정!$D$14="","",TRIM(SUBSTITUTE(INDEX(급여대장_원본!$A$1:$AZ$400,(설정!$B$8+290),설정!$D$14)&amp;"","　"," ")))</f>
        <v/>
      </c>
      <c r="E296" s="2">
        <f>IF(설정!$D$15="","",TRIM(SUBSTITUTE(INDEX(급여대장_원본!$A$1:$AZ$400,(설정!$B$8+290),설정!$D$15)&amp;"","　"," ")))</f>
        <v/>
      </c>
      <c r="F296" s="27">
        <f>IF(설정!$D$17="",0,IFERROR(VALUE(SUBSTITUTE(SUBSTITUTE(INDEX(급여대장_원본!$A$1:$AZ$400,(설정!$B$8+290),설정!$D$17)&amp;"",",",""),"　","")),0))</f>
        <v/>
      </c>
      <c r="G296" s="27">
        <f>IF(설정!$D$18="",0,IFERROR(VALUE(SUBSTITUTE(SUBSTITUTE(INDEX(급여대장_원본!$A$1:$AZ$400,(설정!$B$8+290),설정!$D$18)&amp;"",",",""),"　","")),0))</f>
        <v/>
      </c>
      <c r="H296" s="27">
        <f>IF(설정!$D$19="",0,IFERROR(VALUE(SUBSTITUTE(SUBSTITUTE(INDEX(급여대장_원본!$A$1:$AZ$400,(설정!$B$8+290),설정!$D$19)&amp;"",",",""),"　","")),0))</f>
        <v/>
      </c>
      <c r="I296" s="27">
        <f>IF(설정!$D$20="",0,IFERROR(VALUE(SUBSTITUTE(SUBSTITUTE(INDEX(급여대장_원본!$A$1:$AZ$400,(설정!$B$8+290),설정!$D$20)&amp;"",",",""),"　","")),0))</f>
        <v/>
      </c>
      <c r="J296" s="27">
        <f>IF(설정!$D$21="",0,IFERROR(VALUE(SUBSTITUTE(SUBSTITUTE(INDEX(급여대장_원본!$A$1:$AZ$400,(설정!$B$8+290),설정!$D$21)&amp;"",",",""),"　","")),0))</f>
        <v/>
      </c>
      <c r="K296" s="27">
        <f>IF(설정!$D$22="",0,IFERROR(VALUE(SUBSTITUTE(SUBSTITUTE(INDEX(급여대장_원본!$A$1:$AZ$400,(설정!$B$8+290),설정!$D$22)&amp;"",",",""),"　","")),0))</f>
        <v/>
      </c>
      <c r="L296" s="27">
        <f>IF(설정!$D$23="",0,IFERROR(VALUE(SUBSTITUTE(SUBSTITUTE(INDEX(급여대장_원본!$A$1:$AZ$400,(설정!$B$8+290),설정!$D$23)&amp;"",",",""),"　","")),0))</f>
        <v/>
      </c>
      <c r="M296" s="27">
        <f>IF(설정!$D$24="",0,IFERROR(VALUE(SUBSTITUTE(SUBSTITUTE(INDEX(급여대장_원본!$A$1:$AZ$400,(설정!$B$8+290),설정!$D$24)&amp;"",",",""),"　","")),0))</f>
        <v/>
      </c>
      <c r="N296" s="2">
        <f>IF(OR(설정!$C$17="",IFERROR(MATCH(설정!$C$17,INDEX(급여대장_원본!$A$1:$AZ$400,설정!$B$8,0),0),"")=""),"",IFERROR(VALUE(SUBSTITUTE(INDEX(급여대장_원본!$A$1:$AZ$400,(설정!$B$8+290),IFERROR(MATCH(설정!$C$17,INDEX(급여대장_원본!$A$1:$AZ$400,설정!$B$8,0),0),""))&amp;"",",","")),""))</f>
        <v/>
      </c>
      <c r="O296" s="2">
        <f>IF(OR(설정!$C$18="",IFERROR(MATCH(설정!$C$18,INDEX(급여대장_원본!$A$1:$AZ$400,설정!$B$8,0),0),"")=""),"",IFERROR(VALUE(SUBSTITUTE(INDEX(급여대장_원본!$A$1:$AZ$400,(설정!$B$8+290),IFERROR(MATCH(설정!$C$18,INDEX(급여대장_원본!$A$1:$AZ$400,설정!$B$8,0),0),""))&amp;"",",","")),""))</f>
        <v/>
      </c>
      <c r="P296" s="2">
        <f>IF(OR(설정!$C$19="",IFERROR(MATCH(설정!$C$19,INDEX(급여대장_원본!$A$1:$AZ$400,설정!$B$8,0),0),"")=""),"",IFERROR(VALUE(SUBSTITUTE(INDEX(급여대장_원본!$A$1:$AZ$400,(설정!$B$8+290),IFERROR(MATCH(설정!$C$19,INDEX(급여대장_원본!$A$1:$AZ$400,설정!$B$8,0),0),""))&amp;"",",","")),""))</f>
        <v/>
      </c>
      <c r="Q296" s="2">
        <f>IF(OR(설정!$C$20="",IFERROR(MATCH(설정!$C$20,INDEX(급여대장_원본!$A$1:$AZ$400,설정!$B$8,0),0),"")=""),"",IFERROR(VALUE(SUBSTITUTE(INDEX(급여대장_원본!$A$1:$AZ$400,(설정!$B$8+290),IFERROR(MATCH(설정!$C$20,INDEX(급여대장_원본!$A$1:$AZ$400,설정!$B$8,0),0),""))&amp;"",",","")),""))</f>
        <v/>
      </c>
      <c r="R296" s="2">
        <f>IF(OR(설정!$C$21="",IFERROR(MATCH(설정!$C$21,INDEX(급여대장_원본!$A$1:$AZ$400,설정!$B$8,0),0),"")=""),"",IFERROR(VALUE(SUBSTITUTE(INDEX(급여대장_원본!$A$1:$AZ$400,(설정!$B$8+290),IFERROR(MATCH(설정!$C$21,INDEX(급여대장_원본!$A$1:$AZ$400,설정!$B$8,0),0),""))&amp;"",",","")),""))</f>
        <v/>
      </c>
      <c r="S296" s="2">
        <f>IF(OR(설정!$C$22="",IFERROR(MATCH(설정!$C$22,INDEX(급여대장_원본!$A$1:$AZ$400,설정!$B$8,0),0),"")=""),"",IFERROR(VALUE(SUBSTITUTE(INDEX(급여대장_원본!$A$1:$AZ$400,(설정!$B$8+290),IFERROR(MATCH(설정!$C$22,INDEX(급여대장_원본!$A$1:$AZ$400,설정!$B$8,0),0),""))&amp;"",",","")),""))</f>
        <v/>
      </c>
      <c r="T296" s="2">
        <f>IF(OR(설정!$C$23="",IFERROR(MATCH(설정!$C$23,INDEX(급여대장_원본!$A$1:$AZ$400,설정!$B$8,0),0),"")=""),"",IFERROR(VALUE(SUBSTITUTE(INDEX(급여대장_원본!$A$1:$AZ$400,(설정!$B$8+290),IFERROR(MATCH(설정!$C$23,INDEX(급여대장_원본!$A$1:$AZ$400,설정!$B$8,0),0),""))&amp;"",",","")),""))</f>
        <v/>
      </c>
      <c r="U296" s="2">
        <f>IF(OR(설정!$C$24="",IFERROR(MATCH(설정!$C$24,INDEX(급여대장_원본!$A$1:$AZ$400,설정!$B$8,0),0),"")=""),"",IFERROR(VALUE(SUBSTITUTE(INDEX(급여대장_원본!$A$1:$AZ$400,(설정!$B$8+290),IFERROR(MATCH(설정!$C$24,INDEX(급여대장_원본!$A$1:$AZ$400,설정!$B$8,0),0),""))&amp;"",",","")),""))</f>
        <v/>
      </c>
      <c r="V296" s="27">
        <f>SUM(F296:M296)</f>
        <v/>
      </c>
      <c r="W296" s="27">
        <f>IF(설정!$D$26="",0,IFERROR(VALUE(SUBSTITUTE(SUBSTITUTE(INDEX(급여대장_원본!$A$1:$AZ$400,(설정!$B$8+290),설정!$D$26)&amp;"",",",""),"　","")),0))</f>
        <v/>
      </c>
      <c r="X296" s="27">
        <f>IF(설정!$D$27="",0,IFERROR(VALUE(SUBSTITUTE(SUBSTITUTE(INDEX(급여대장_원본!$A$1:$AZ$400,(설정!$B$8+290),설정!$D$27)&amp;"",",",""),"　","")),0))</f>
        <v/>
      </c>
      <c r="Y296" s="27">
        <f>IF(설정!$D$28="",0,IFERROR(VALUE(SUBSTITUTE(SUBSTITUTE(INDEX(급여대장_원본!$A$1:$AZ$400,(설정!$B$8+290),설정!$D$28)&amp;"",",",""),"　","")),0))</f>
        <v/>
      </c>
      <c r="Z296" s="27">
        <f>IF(설정!$D$29="",0,IFERROR(VALUE(SUBSTITUTE(SUBSTITUTE(INDEX(급여대장_원본!$A$1:$AZ$400,(설정!$B$8+290),설정!$D$29)&amp;"",",",""),"　","")),0))</f>
        <v/>
      </c>
      <c r="AA296" s="27">
        <f>IF(설정!$D$30="",0,IFERROR(VALUE(SUBSTITUTE(SUBSTITUTE(INDEX(급여대장_원본!$A$1:$AZ$400,(설정!$B$8+290),설정!$D$30)&amp;"",",",""),"　","")),0))</f>
        <v/>
      </c>
      <c r="AB296" s="27">
        <f>IF(설정!$D$31="",0,IFERROR(VALUE(SUBSTITUTE(SUBSTITUTE(INDEX(급여대장_원본!$A$1:$AZ$400,(설정!$B$8+290),설정!$D$31)&amp;"",",",""),"　","")),0))</f>
        <v/>
      </c>
      <c r="AC296" s="27">
        <f>IF(설정!$D$32="",0,IFERROR(VALUE(SUBSTITUTE(SUBSTITUTE(INDEX(급여대장_원본!$A$1:$AZ$400,(설정!$B$8+290),설정!$D$32)&amp;"",",",""),"　","")),0))</f>
        <v/>
      </c>
      <c r="AD296" s="27">
        <f>IF(설정!$D$33="",0,IFERROR(VALUE(SUBSTITUTE(SUBSTITUTE(INDEX(급여대장_원본!$A$1:$AZ$400,(설정!$B$8+290),설정!$D$33)&amp;"",",",""),"　","")),0))</f>
        <v/>
      </c>
      <c r="AE296" s="27">
        <f>SUM(W296:AD296)</f>
        <v/>
      </c>
      <c r="AF296" s="27">
        <f>V296-AE296</f>
        <v/>
      </c>
      <c r="AG296" s="27">
        <f>IF(설정!$D$35="","",IF(설정!$D$35="",0,IFERROR(VALUE(SUBSTITUTE(SUBSTITUTE(INDEX(급여대장_원본!$A$1:$AZ$400,(설정!$B$8+290),설정!$D$35)&amp;"",",",""),"　","")),0)))</f>
        <v/>
      </c>
      <c r="AH296" s="27">
        <f>IF(설정!$D$36="","",IF(설정!$D$36="",0,IFERROR(VALUE(SUBSTITUTE(SUBSTITUTE(INDEX(급여대장_원본!$A$1:$AZ$400,(설정!$B$8+290),설정!$D$36)&amp;"",",",""),"　","")),0)))</f>
        <v/>
      </c>
      <c r="AI296" s="27">
        <f>IF(설정!$D$37="","",IF(설정!$D$37="",0,IFERROR(VALUE(SUBSTITUTE(SUBSTITUTE(INDEX(급여대장_원본!$A$1:$AZ$400,(설정!$B$8+290),설정!$D$37)&amp;"",",",""),"　","")),0)))</f>
        <v/>
      </c>
      <c r="AJ296" s="2">
        <f>IFERROR(INDEX($D$7:$D$306,MATCH(290,$B$7:$B$306,0)),"")</f>
        <v/>
      </c>
    </row>
    <row r="297">
      <c r="A297" s="2">
        <f>IF(AND(D297&lt;&gt;"",D297&lt;&gt;"합계",D297&lt;&gt;"총계",D297&lt;&gt;"소계",D297&lt;&gt;"계"),1,0)</f>
        <v/>
      </c>
      <c r="B297" s="2">
        <f>IF(A297=1,SUM($A$7:A297),"")</f>
        <v/>
      </c>
      <c r="C297" s="2">
        <f>IF(설정!$D$13="","",TRIM(SUBSTITUTE(INDEX(급여대장_원본!$A$1:$AZ$400,(설정!$B$8+291),설정!$D$13)&amp;"","　"," ")))</f>
        <v/>
      </c>
      <c r="D297" s="2">
        <f>IF(설정!$D$14="","",TRIM(SUBSTITUTE(INDEX(급여대장_원본!$A$1:$AZ$400,(설정!$B$8+291),설정!$D$14)&amp;"","　"," ")))</f>
        <v/>
      </c>
      <c r="E297" s="2">
        <f>IF(설정!$D$15="","",TRIM(SUBSTITUTE(INDEX(급여대장_원본!$A$1:$AZ$400,(설정!$B$8+291),설정!$D$15)&amp;"","　"," ")))</f>
        <v/>
      </c>
      <c r="F297" s="27">
        <f>IF(설정!$D$17="",0,IFERROR(VALUE(SUBSTITUTE(SUBSTITUTE(INDEX(급여대장_원본!$A$1:$AZ$400,(설정!$B$8+291),설정!$D$17)&amp;"",",",""),"　","")),0))</f>
        <v/>
      </c>
      <c r="G297" s="27">
        <f>IF(설정!$D$18="",0,IFERROR(VALUE(SUBSTITUTE(SUBSTITUTE(INDEX(급여대장_원본!$A$1:$AZ$400,(설정!$B$8+291),설정!$D$18)&amp;"",",",""),"　","")),0))</f>
        <v/>
      </c>
      <c r="H297" s="27">
        <f>IF(설정!$D$19="",0,IFERROR(VALUE(SUBSTITUTE(SUBSTITUTE(INDEX(급여대장_원본!$A$1:$AZ$400,(설정!$B$8+291),설정!$D$19)&amp;"",",",""),"　","")),0))</f>
        <v/>
      </c>
      <c r="I297" s="27">
        <f>IF(설정!$D$20="",0,IFERROR(VALUE(SUBSTITUTE(SUBSTITUTE(INDEX(급여대장_원본!$A$1:$AZ$400,(설정!$B$8+291),설정!$D$20)&amp;"",",",""),"　","")),0))</f>
        <v/>
      </c>
      <c r="J297" s="27">
        <f>IF(설정!$D$21="",0,IFERROR(VALUE(SUBSTITUTE(SUBSTITUTE(INDEX(급여대장_원본!$A$1:$AZ$400,(설정!$B$8+291),설정!$D$21)&amp;"",",",""),"　","")),0))</f>
        <v/>
      </c>
      <c r="K297" s="27">
        <f>IF(설정!$D$22="",0,IFERROR(VALUE(SUBSTITUTE(SUBSTITUTE(INDEX(급여대장_원본!$A$1:$AZ$400,(설정!$B$8+291),설정!$D$22)&amp;"",",",""),"　","")),0))</f>
        <v/>
      </c>
      <c r="L297" s="27">
        <f>IF(설정!$D$23="",0,IFERROR(VALUE(SUBSTITUTE(SUBSTITUTE(INDEX(급여대장_원본!$A$1:$AZ$400,(설정!$B$8+291),설정!$D$23)&amp;"",",",""),"　","")),0))</f>
        <v/>
      </c>
      <c r="M297" s="27">
        <f>IF(설정!$D$24="",0,IFERROR(VALUE(SUBSTITUTE(SUBSTITUTE(INDEX(급여대장_원본!$A$1:$AZ$400,(설정!$B$8+291),설정!$D$24)&amp;"",",",""),"　","")),0))</f>
        <v/>
      </c>
      <c r="N297" s="2">
        <f>IF(OR(설정!$C$17="",IFERROR(MATCH(설정!$C$17,INDEX(급여대장_원본!$A$1:$AZ$400,설정!$B$8,0),0),"")=""),"",IFERROR(VALUE(SUBSTITUTE(INDEX(급여대장_원본!$A$1:$AZ$400,(설정!$B$8+291),IFERROR(MATCH(설정!$C$17,INDEX(급여대장_원본!$A$1:$AZ$400,설정!$B$8,0),0),""))&amp;"",",","")),""))</f>
        <v/>
      </c>
      <c r="O297" s="2">
        <f>IF(OR(설정!$C$18="",IFERROR(MATCH(설정!$C$18,INDEX(급여대장_원본!$A$1:$AZ$400,설정!$B$8,0),0),"")=""),"",IFERROR(VALUE(SUBSTITUTE(INDEX(급여대장_원본!$A$1:$AZ$400,(설정!$B$8+291),IFERROR(MATCH(설정!$C$18,INDEX(급여대장_원본!$A$1:$AZ$400,설정!$B$8,0),0),""))&amp;"",",","")),""))</f>
        <v/>
      </c>
      <c r="P297" s="2">
        <f>IF(OR(설정!$C$19="",IFERROR(MATCH(설정!$C$19,INDEX(급여대장_원본!$A$1:$AZ$400,설정!$B$8,0),0),"")=""),"",IFERROR(VALUE(SUBSTITUTE(INDEX(급여대장_원본!$A$1:$AZ$400,(설정!$B$8+291),IFERROR(MATCH(설정!$C$19,INDEX(급여대장_원본!$A$1:$AZ$400,설정!$B$8,0),0),""))&amp;"",",","")),""))</f>
        <v/>
      </c>
      <c r="Q297" s="2">
        <f>IF(OR(설정!$C$20="",IFERROR(MATCH(설정!$C$20,INDEX(급여대장_원본!$A$1:$AZ$400,설정!$B$8,0),0),"")=""),"",IFERROR(VALUE(SUBSTITUTE(INDEX(급여대장_원본!$A$1:$AZ$400,(설정!$B$8+291),IFERROR(MATCH(설정!$C$20,INDEX(급여대장_원본!$A$1:$AZ$400,설정!$B$8,0),0),""))&amp;"",",","")),""))</f>
        <v/>
      </c>
      <c r="R297" s="2">
        <f>IF(OR(설정!$C$21="",IFERROR(MATCH(설정!$C$21,INDEX(급여대장_원본!$A$1:$AZ$400,설정!$B$8,0),0),"")=""),"",IFERROR(VALUE(SUBSTITUTE(INDEX(급여대장_원본!$A$1:$AZ$400,(설정!$B$8+291),IFERROR(MATCH(설정!$C$21,INDEX(급여대장_원본!$A$1:$AZ$400,설정!$B$8,0),0),""))&amp;"",",","")),""))</f>
        <v/>
      </c>
      <c r="S297" s="2">
        <f>IF(OR(설정!$C$22="",IFERROR(MATCH(설정!$C$22,INDEX(급여대장_원본!$A$1:$AZ$400,설정!$B$8,0),0),"")=""),"",IFERROR(VALUE(SUBSTITUTE(INDEX(급여대장_원본!$A$1:$AZ$400,(설정!$B$8+291),IFERROR(MATCH(설정!$C$22,INDEX(급여대장_원본!$A$1:$AZ$400,설정!$B$8,0),0),""))&amp;"",",","")),""))</f>
        <v/>
      </c>
      <c r="T297" s="2">
        <f>IF(OR(설정!$C$23="",IFERROR(MATCH(설정!$C$23,INDEX(급여대장_원본!$A$1:$AZ$400,설정!$B$8,0),0),"")=""),"",IFERROR(VALUE(SUBSTITUTE(INDEX(급여대장_원본!$A$1:$AZ$400,(설정!$B$8+291),IFERROR(MATCH(설정!$C$23,INDEX(급여대장_원본!$A$1:$AZ$400,설정!$B$8,0),0),""))&amp;"",",","")),""))</f>
        <v/>
      </c>
      <c r="U297" s="2">
        <f>IF(OR(설정!$C$24="",IFERROR(MATCH(설정!$C$24,INDEX(급여대장_원본!$A$1:$AZ$400,설정!$B$8,0),0),"")=""),"",IFERROR(VALUE(SUBSTITUTE(INDEX(급여대장_원본!$A$1:$AZ$400,(설정!$B$8+291),IFERROR(MATCH(설정!$C$24,INDEX(급여대장_원본!$A$1:$AZ$400,설정!$B$8,0),0),""))&amp;"",",","")),""))</f>
        <v/>
      </c>
      <c r="V297" s="27">
        <f>SUM(F297:M297)</f>
        <v/>
      </c>
      <c r="W297" s="27">
        <f>IF(설정!$D$26="",0,IFERROR(VALUE(SUBSTITUTE(SUBSTITUTE(INDEX(급여대장_원본!$A$1:$AZ$400,(설정!$B$8+291),설정!$D$26)&amp;"",",",""),"　","")),0))</f>
        <v/>
      </c>
      <c r="X297" s="27">
        <f>IF(설정!$D$27="",0,IFERROR(VALUE(SUBSTITUTE(SUBSTITUTE(INDEX(급여대장_원본!$A$1:$AZ$400,(설정!$B$8+291),설정!$D$27)&amp;"",",",""),"　","")),0))</f>
        <v/>
      </c>
      <c r="Y297" s="27">
        <f>IF(설정!$D$28="",0,IFERROR(VALUE(SUBSTITUTE(SUBSTITUTE(INDEX(급여대장_원본!$A$1:$AZ$400,(설정!$B$8+291),설정!$D$28)&amp;"",",",""),"　","")),0))</f>
        <v/>
      </c>
      <c r="Z297" s="27">
        <f>IF(설정!$D$29="",0,IFERROR(VALUE(SUBSTITUTE(SUBSTITUTE(INDEX(급여대장_원본!$A$1:$AZ$400,(설정!$B$8+291),설정!$D$29)&amp;"",",",""),"　","")),0))</f>
        <v/>
      </c>
      <c r="AA297" s="27">
        <f>IF(설정!$D$30="",0,IFERROR(VALUE(SUBSTITUTE(SUBSTITUTE(INDEX(급여대장_원본!$A$1:$AZ$400,(설정!$B$8+291),설정!$D$30)&amp;"",",",""),"　","")),0))</f>
        <v/>
      </c>
      <c r="AB297" s="27">
        <f>IF(설정!$D$31="",0,IFERROR(VALUE(SUBSTITUTE(SUBSTITUTE(INDEX(급여대장_원본!$A$1:$AZ$400,(설정!$B$8+291),설정!$D$31)&amp;"",",",""),"　","")),0))</f>
        <v/>
      </c>
      <c r="AC297" s="27">
        <f>IF(설정!$D$32="",0,IFERROR(VALUE(SUBSTITUTE(SUBSTITUTE(INDEX(급여대장_원본!$A$1:$AZ$400,(설정!$B$8+291),설정!$D$32)&amp;"",",",""),"　","")),0))</f>
        <v/>
      </c>
      <c r="AD297" s="27">
        <f>IF(설정!$D$33="",0,IFERROR(VALUE(SUBSTITUTE(SUBSTITUTE(INDEX(급여대장_원본!$A$1:$AZ$400,(설정!$B$8+291),설정!$D$33)&amp;"",",",""),"　","")),0))</f>
        <v/>
      </c>
      <c r="AE297" s="27">
        <f>SUM(W297:AD297)</f>
        <v/>
      </c>
      <c r="AF297" s="27">
        <f>V297-AE297</f>
        <v/>
      </c>
      <c r="AG297" s="27">
        <f>IF(설정!$D$35="","",IF(설정!$D$35="",0,IFERROR(VALUE(SUBSTITUTE(SUBSTITUTE(INDEX(급여대장_원본!$A$1:$AZ$400,(설정!$B$8+291),설정!$D$35)&amp;"",",",""),"　","")),0)))</f>
        <v/>
      </c>
      <c r="AH297" s="27">
        <f>IF(설정!$D$36="","",IF(설정!$D$36="",0,IFERROR(VALUE(SUBSTITUTE(SUBSTITUTE(INDEX(급여대장_원본!$A$1:$AZ$400,(설정!$B$8+291),설정!$D$36)&amp;"",",",""),"　","")),0)))</f>
        <v/>
      </c>
      <c r="AI297" s="27">
        <f>IF(설정!$D$37="","",IF(설정!$D$37="",0,IFERROR(VALUE(SUBSTITUTE(SUBSTITUTE(INDEX(급여대장_원본!$A$1:$AZ$400,(설정!$B$8+291),설정!$D$37)&amp;"",",",""),"　","")),0)))</f>
        <v/>
      </c>
      <c r="AJ297" s="2">
        <f>IFERROR(INDEX($D$7:$D$306,MATCH(291,$B$7:$B$306,0)),"")</f>
        <v/>
      </c>
    </row>
    <row r="298">
      <c r="A298" s="2">
        <f>IF(AND(D298&lt;&gt;"",D298&lt;&gt;"합계",D298&lt;&gt;"총계",D298&lt;&gt;"소계",D298&lt;&gt;"계"),1,0)</f>
        <v/>
      </c>
      <c r="B298" s="2">
        <f>IF(A298=1,SUM($A$7:A298),"")</f>
        <v/>
      </c>
      <c r="C298" s="2">
        <f>IF(설정!$D$13="","",TRIM(SUBSTITUTE(INDEX(급여대장_원본!$A$1:$AZ$400,(설정!$B$8+292),설정!$D$13)&amp;"","　"," ")))</f>
        <v/>
      </c>
      <c r="D298" s="2">
        <f>IF(설정!$D$14="","",TRIM(SUBSTITUTE(INDEX(급여대장_원본!$A$1:$AZ$400,(설정!$B$8+292),설정!$D$14)&amp;"","　"," ")))</f>
        <v/>
      </c>
      <c r="E298" s="2">
        <f>IF(설정!$D$15="","",TRIM(SUBSTITUTE(INDEX(급여대장_원본!$A$1:$AZ$400,(설정!$B$8+292),설정!$D$15)&amp;"","　"," ")))</f>
        <v/>
      </c>
      <c r="F298" s="27">
        <f>IF(설정!$D$17="",0,IFERROR(VALUE(SUBSTITUTE(SUBSTITUTE(INDEX(급여대장_원본!$A$1:$AZ$400,(설정!$B$8+292),설정!$D$17)&amp;"",",",""),"　","")),0))</f>
        <v/>
      </c>
      <c r="G298" s="27">
        <f>IF(설정!$D$18="",0,IFERROR(VALUE(SUBSTITUTE(SUBSTITUTE(INDEX(급여대장_원본!$A$1:$AZ$400,(설정!$B$8+292),설정!$D$18)&amp;"",",",""),"　","")),0))</f>
        <v/>
      </c>
      <c r="H298" s="27">
        <f>IF(설정!$D$19="",0,IFERROR(VALUE(SUBSTITUTE(SUBSTITUTE(INDEX(급여대장_원본!$A$1:$AZ$400,(설정!$B$8+292),설정!$D$19)&amp;"",",",""),"　","")),0))</f>
        <v/>
      </c>
      <c r="I298" s="27">
        <f>IF(설정!$D$20="",0,IFERROR(VALUE(SUBSTITUTE(SUBSTITUTE(INDEX(급여대장_원본!$A$1:$AZ$400,(설정!$B$8+292),설정!$D$20)&amp;"",",",""),"　","")),0))</f>
        <v/>
      </c>
      <c r="J298" s="27">
        <f>IF(설정!$D$21="",0,IFERROR(VALUE(SUBSTITUTE(SUBSTITUTE(INDEX(급여대장_원본!$A$1:$AZ$400,(설정!$B$8+292),설정!$D$21)&amp;"",",",""),"　","")),0))</f>
        <v/>
      </c>
      <c r="K298" s="27">
        <f>IF(설정!$D$22="",0,IFERROR(VALUE(SUBSTITUTE(SUBSTITUTE(INDEX(급여대장_원본!$A$1:$AZ$400,(설정!$B$8+292),설정!$D$22)&amp;"",",",""),"　","")),0))</f>
        <v/>
      </c>
      <c r="L298" s="27">
        <f>IF(설정!$D$23="",0,IFERROR(VALUE(SUBSTITUTE(SUBSTITUTE(INDEX(급여대장_원본!$A$1:$AZ$400,(설정!$B$8+292),설정!$D$23)&amp;"",",",""),"　","")),0))</f>
        <v/>
      </c>
      <c r="M298" s="27">
        <f>IF(설정!$D$24="",0,IFERROR(VALUE(SUBSTITUTE(SUBSTITUTE(INDEX(급여대장_원본!$A$1:$AZ$400,(설정!$B$8+292),설정!$D$24)&amp;"",",",""),"　","")),0))</f>
        <v/>
      </c>
      <c r="N298" s="2">
        <f>IF(OR(설정!$C$17="",IFERROR(MATCH(설정!$C$17,INDEX(급여대장_원본!$A$1:$AZ$400,설정!$B$8,0),0),"")=""),"",IFERROR(VALUE(SUBSTITUTE(INDEX(급여대장_원본!$A$1:$AZ$400,(설정!$B$8+292),IFERROR(MATCH(설정!$C$17,INDEX(급여대장_원본!$A$1:$AZ$400,설정!$B$8,0),0),""))&amp;"",",","")),""))</f>
        <v/>
      </c>
      <c r="O298" s="2">
        <f>IF(OR(설정!$C$18="",IFERROR(MATCH(설정!$C$18,INDEX(급여대장_원본!$A$1:$AZ$400,설정!$B$8,0),0),"")=""),"",IFERROR(VALUE(SUBSTITUTE(INDEX(급여대장_원본!$A$1:$AZ$400,(설정!$B$8+292),IFERROR(MATCH(설정!$C$18,INDEX(급여대장_원본!$A$1:$AZ$400,설정!$B$8,0),0),""))&amp;"",",","")),""))</f>
        <v/>
      </c>
      <c r="P298" s="2">
        <f>IF(OR(설정!$C$19="",IFERROR(MATCH(설정!$C$19,INDEX(급여대장_원본!$A$1:$AZ$400,설정!$B$8,0),0),"")=""),"",IFERROR(VALUE(SUBSTITUTE(INDEX(급여대장_원본!$A$1:$AZ$400,(설정!$B$8+292),IFERROR(MATCH(설정!$C$19,INDEX(급여대장_원본!$A$1:$AZ$400,설정!$B$8,0),0),""))&amp;"",",","")),""))</f>
        <v/>
      </c>
      <c r="Q298" s="2">
        <f>IF(OR(설정!$C$20="",IFERROR(MATCH(설정!$C$20,INDEX(급여대장_원본!$A$1:$AZ$400,설정!$B$8,0),0),"")=""),"",IFERROR(VALUE(SUBSTITUTE(INDEX(급여대장_원본!$A$1:$AZ$400,(설정!$B$8+292),IFERROR(MATCH(설정!$C$20,INDEX(급여대장_원본!$A$1:$AZ$400,설정!$B$8,0),0),""))&amp;"",",","")),""))</f>
        <v/>
      </c>
      <c r="R298" s="2">
        <f>IF(OR(설정!$C$21="",IFERROR(MATCH(설정!$C$21,INDEX(급여대장_원본!$A$1:$AZ$400,설정!$B$8,0),0),"")=""),"",IFERROR(VALUE(SUBSTITUTE(INDEX(급여대장_원본!$A$1:$AZ$400,(설정!$B$8+292),IFERROR(MATCH(설정!$C$21,INDEX(급여대장_원본!$A$1:$AZ$400,설정!$B$8,0),0),""))&amp;"",",","")),""))</f>
        <v/>
      </c>
      <c r="S298" s="2">
        <f>IF(OR(설정!$C$22="",IFERROR(MATCH(설정!$C$22,INDEX(급여대장_원본!$A$1:$AZ$400,설정!$B$8,0),0),"")=""),"",IFERROR(VALUE(SUBSTITUTE(INDEX(급여대장_원본!$A$1:$AZ$400,(설정!$B$8+292),IFERROR(MATCH(설정!$C$22,INDEX(급여대장_원본!$A$1:$AZ$400,설정!$B$8,0),0),""))&amp;"",",","")),""))</f>
        <v/>
      </c>
      <c r="T298" s="2">
        <f>IF(OR(설정!$C$23="",IFERROR(MATCH(설정!$C$23,INDEX(급여대장_원본!$A$1:$AZ$400,설정!$B$8,0),0),"")=""),"",IFERROR(VALUE(SUBSTITUTE(INDEX(급여대장_원본!$A$1:$AZ$400,(설정!$B$8+292),IFERROR(MATCH(설정!$C$23,INDEX(급여대장_원본!$A$1:$AZ$400,설정!$B$8,0),0),""))&amp;"",",","")),""))</f>
        <v/>
      </c>
      <c r="U298" s="2">
        <f>IF(OR(설정!$C$24="",IFERROR(MATCH(설정!$C$24,INDEX(급여대장_원본!$A$1:$AZ$400,설정!$B$8,0),0),"")=""),"",IFERROR(VALUE(SUBSTITUTE(INDEX(급여대장_원본!$A$1:$AZ$400,(설정!$B$8+292),IFERROR(MATCH(설정!$C$24,INDEX(급여대장_원본!$A$1:$AZ$400,설정!$B$8,0),0),""))&amp;"",",","")),""))</f>
        <v/>
      </c>
      <c r="V298" s="27">
        <f>SUM(F298:M298)</f>
        <v/>
      </c>
      <c r="W298" s="27">
        <f>IF(설정!$D$26="",0,IFERROR(VALUE(SUBSTITUTE(SUBSTITUTE(INDEX(급여대장_원본!$A$1:$AZ$400,(설정!$B$8+292),설정!$D$26)&amp;"",",",""),"　","")),0))</f>
        <v/>
      </c>
      <c r="X298" s="27">
        <f>IF(설정!$D$27="",0,IFERROR(VALUE(SUBSTITUTE(SUBSTITUTE(INDEX(급여대장_원본!$A$1:$AZ$400,(설정!$B$8+292),설정!$D$27)&amp;"",",",""),"　","")),0))</f>
        <v/>
      </c>
      <c r="Y298" s="27">
        <f>IF(설정!$D$28="",0,IFERROR(VALUE(SUBSTITUTE(SUBSTITUTE(INDEX(급여대장_원본!$A$1:$AZ$400,(설정!$B$8+292),설정!$D$28)&amp;"",",",""),"　","")),0))</f>
        <v/>
      </c>
      <c r="Z298" s="27">
        <f>IF(설정!$D$29="",0,IFERROR(VALUE(SUBSTITUTE(SUBSTITUTE(INDEX(급여대장_원본!$A$1:$AZ$400,(설정!$B$8+292),설정!$D$29)&amp;"",",",""),"　","")),0))</f>
        <v/>
      </c>
      <c r="AA298" s="27">
        <f>IF(설정!$D$30="",0,IFERROR(VALUE(SUBSTITUTE(SUBSTITUTE(INDEX(급여대장_원본!$A$1:$AZ$400,(설정!$B$8+292),설정!$D$30)&amp;"",",",""),"　","")),0))</f>
        <v/>
      </c>
      <c r="AB298" s="27">
        <f>IF(설정!$D$31="",0,IFERROR(VALUE(SUBSTITUTE(SUBSTITUTE(INDEX(급여대장_원본!$A$1:$AZ$400,(설정!$B$8+292),설정!$D$31)&amp;"",",",""),"　","")),0))</f>
        <v/>
      </c>
      <c r="AC298" s="27">
        <f>IF(설정!$D$32="",0,IFERROR(VALUE(SUBSTITUTE(SUBSTITUTE(INDEX(급여대장_원본!$A$1:$AZ$400,(설정!$B$8+292),설정!$D$32)&amp;"",",",""),"　","")),0))</f>
        <v/>
      </c>
      <c r="AD298" s="27">
        <f>IF(설정!$D$33="",0,IFERROR(VALUE(SUBSTITUTE(SUBSTITUTE(INDEX(급여대장_원본!$A$1:$AZ$400,(설정!$B$8+292),설정!$D$33)&amp;"",",",""),"　","")),0))</f>
        <v/>
      </c>
      <c r="AE298" s="27">
        <f>SUM(W298:AD298)</f>
        <v/>
      </c>
      <c r="AF298" s="27">
        <f>V298-AE298</f>
        <v/>
      </c>
      <c r="AG298" s="27">
        <f>IF(설정!$D$35="","",IF(설정!$D$35="",0,IFERROR(VALUE(SUBSTITUTE(SUBSTITUTE(INDEX(급여대장_원본!$A$1:$AZ$400,(설정!$B$8+292),설정!$D$35)&amp;"",",",""),"　","")),0)))</f>
        <v/>
      </c>
      <c r="AH298" s="27">
        <f>IF(설정!$D$36="","",IF(설정!$D$36="",0,IFERROR(VALUE(SUBSTITUTE(SUBSTITUTE(INDEX(급여대장_원본!$A$1:$AZ$400,(설정!$B$8+292),설정!$D$36)&amp;"",",",""),"　","")),0)))</f>
        <v/>
      </c>
      <c r="AI298" s="27">
        <f>IF(설정!$D$37="","",IF(설정!$D$37="",0,IFERROR(VALUE(SUBSTITUTE(SUBSTITUTE(INDEX(급여대장_원본!$A$1:$AZ$400,(설정!$B$8+292),설정!$D$37)&amp;"",",",""),"　","")),0)))</f>
        <v/>
      </c>
      <c r="AJ298" s="2">
        <f>IFERROR(INDEX($D$7:$D$306,MATCH(292,$B$7:$B$306,0)),"")</f>
        <v/>
      </c>
    </row>
    <row r="299">
      <c r="A299" s="2">
        <f>IF(AND(D299&lt;&gt;"",D299&lt;&gt;"합계",D299&lt;&gt;"총계",D299&lt;&gt;"소계",D299&lt;&gt;"계"),1,0)</f>
        <v/>
      </c>
      <c r="B299" s="2">
        <f>IF(A299=1,SUM($A$7:A299),"")</f>
        <v/>
      </c>
      <c r="C299" s="2">
        <f>IF(설정!$D$13="","",TRIM(SUBSTITUTE(INDEX(급여대장_원본!$A$1:$AZ$400,(설정!$B$8+293),설정!$D$13)&amp;"","　"," ")))</f>
        <v/>
      </c>
      <c r="D299" s="2">
        <f>IF(설정!$D$14="","",TRIM(SUBSTITUTE(INDEX(급여대장_원본!$A$1:$AZ$400,(설정!$B$8+293),설정!$D$14)&amp;"","　"," ")))</f>
        <v/>
      </c>
      <c r="E299" s="2">
        <f>IF(설정!$D$15="","",TRIM(SUBSTITUTE(INDEX(급여대장_원본!$A$1:$AZ$400,(설정!$B$8+293),설정!$D$15)&amp;"","　"," ")))</f>
        <v/>
      </c>
      <c r="F299" s="27">
        <f>IF(설정!$D$17="",0,IFERROR(VALUE(SUBSTITUTE(SUBSTITUTE(INDEX(급여대장_원본!$A$1:$AZ$400,(설정!$B$8+293),설정!$D$17)&amp;"",",",""),"　","")),0))</f>
        <v/>
      </c>
      <c r="G299" s="27">
        <f>IF(설정!$D$18="",0,IFERROR(VALUE(SUBSTITUTE(SUBSTITUTE(INDEX(급여대장_원본!$A$1:$AZ$400,(설정!$B$8+293),설정!$D$18)&amp;"",",",""),"　","")),0))</f>
        <v/>
      </c>
      <c r="H299" s="27">
        <f>IF(설정!$D$19="",0,IFERROR(VALUE(SUBSTITUTE(SUBSTITUTE(INDEX(급여대장_원본!$A$1:$AZ$400,(설정!$B$8+293),설정!$D$19)&amp;"",",",""),"　","")),0))</f>
        <v/>
      </c>
      <c r="I299" s="27">
        <f>IF(설정!$D$20="",0,IFERROR(VALUE(SUBSTITUTE(SUBSTITUTE(INDEX(급여대장_원본!$A$1:$AZ$400,(설정!$B$8+293),설정!$D$20)&amp;"",",",""),"　","")),0))</f>
        <v/>
      </c>
      <c r="J299" s="27">
        <f>IF(설정!$D$21="",0,IFERROR(VALUE(SUBSTITUTE(SUBSTITUTE(INDEX(급여대장_원본!$A$1:$AZ$400,(설정!$B$8+293),설정!$D$21)&amp;"",",",""),"　","")),0))</f>
        <v/>
      </c>
      <c r="K299" s="27">
        <f>IF(설정!$D$22="",0,IFERROR(VALUE(SUBSTITUTE(SUBSTITUTE(INDEX(급여대장_원본!$A$1:$AZ$400,(설정!$B$8+293),설정!$D$22)&amp;"",",",""),"　","")),0))</f>
        <v/>
      </c>
      <c r="L299" s="27">
        <f>IF(설정!$D$23="",0,IFERROR(VALUE(SUBSTITUTE(SUBSTITUTE(INDEX(급여대장_원본!$A$1:$AZ$400,(설정!$B$8+293),설정!$D$23)&amp;"",",",""),"　","")),0))</f>
        <v/>
      </c>
      <c r="M299" s="27">
        <f>IF(설정!$D$24="",0,IFERROR(VALUE(SUBSTITUTE(SUBSTITUTE(INDEX(급여대장_원본!$A$1:$AZ$400,(설정!$B$8+293),설정!$D$24)&amp;"",",",""),"　","")),0))</f>
        <v/>
      </c>
      <c r="N299" s="2">
        <f>IF(OR(설정!$C$17="",IFERROR(MATCH(설정!$C$17,INDEX(급여대장_원본!$A$1:$AZ$400,설정!$B$8,0),0),"")=""),"",IFERROR(VALUE(SUBSTITUTE(INDEX(급여대장_원본!$A$1:$AZ$400,(설정!$B$8+293),IFERROR(MATCH(설정!$C$17,INDEX(급여대장_원본!$A$1:$AZ$400,설정!$B$8,0),0),""))&amp;"",",","")),""))</f>
        <v/>
      </c>
      <c r="O299" s="2">
        <f>IF(OR(설정!$C$18="",IFERROR(MATCH(설정!$C$18,INDEX(급여대장_원본!$A$1:$AZ$400,설정!$B$8,0),0),"")=""),"",IFERROR(VALUE(SUBSTITUTE(INDEX(급여대장_원본!$A$1:$AZ$400,(설정!$B$8+293),IFERROR(MATCH(설정!$C$18,INDEX(급여대장_원본!$A$1:$AZ$400,설정!$B$8,0),0),""))&amp;"",",","")),""))</f>
        <v/>
      </c>
      <c r="P299" s="2">
        <f>IF(OR(설정!$C$19="",IFERROR(MATCH(설정!$C$19,INDEX(급여대장_원본!$A$1:$AZ$400,설정!$B$8,0),0),"")=""),"",IFERROR(VALUE(SUBSTITUTE(INDEX(급여대장_원본!$A$1:$AZ$400,(설정!$B$8+293),IFERROR(MATCH(설정!$C$19,INDEX(급여대장_원본!$A$1:$AZ$400,설정!$B$8,0),0),""))&amp;"",",","")),""))</f>
        <v/>
      </c>
      <c r="Q299" s="2">
        <f>IF(OR(설정!$C$20="",IFERROR(MATCH(설정!$C$20,INDEX(급여대장_원본!$A$1:$AZ$400,설정!$B$8,0),0),"")=""),"",IFERROR(VALUE(SUBSTITUTE(INDEX(급여대장_원본!$A$1:$AZ$400,(설정!$B$8+293),IFERROR(MATCH(설정!$C$20,INDEX(급여대장_원본!$A$1:$AZ$400,설정!$B$8,0),0),""))&amp;"",",","")),""))</f>
        <v/>
      </c>
      <c r="R299" s="2">
        <f>IF(OR(설정!$C$21="",IFERROR(MATCH(설정!$C$21,INDEX(급여대장_원본!$A$1:$AZ$400,설정!$B$8,0),0),"")=""),"",IFERROR(VALUE(SUBSTITUTE(INDEX(급여대장_원본!$A$1:$AZ$400,(설정!$B$8+293),IFERROR(MATCH(설정!$C$21,INDEX(급여대장_원본!$A$1:$AZ$400,설정!$B$8,0),0),""))&amp;"",",","")),""))</f>
        <v/>
      </c>
      <c r="S299" s="2">
        <f>IF(OR(설정!$C$22="",IFERROR(MATCH(설정!$C$22,INDEX(급여대장_원본!$A$1:$AZ$400,설정!$B$8,0),0),"")=""),"",IFERROR(VALUE(SUBSTITUTE(INDEX(급여대장_원본!$A$1:$AZ$400,(설정!$B$8+293),IFERROR(MATCH(설정!$C$22,INDEX(급여대장_원본!$A$1:$AZ$400,설정!$B$8,0),0),""))&amp;"",",","")),""))</f>
        <v/>
      </c>
      <c r="T299" s="2">
        <f>IF(OR(설정!$C$23="",IFERROR(MATCH(설정!$C$23,INDEX(급여대장_원본!$A$1:$AZ$400,설정!$B$8,0),0),"")=""),"",IFERROR(VALUE(SUBSTITUTE(INDEX(급여대장_원본!$A$1:$AZ$400,(설정!$B$8+293),IFERROR(MATCH(설정!$C$23,INDEX(급여대장_원본!$A$1:$AZ$400,설정!$B$8,0),0),""))&amp;"",",","")),""))</f>
        <v/>
      </c>
      <c r="U299" s="2">
        <f>IF(OR(설정!$C$24="",IFERROR(MATCH(설정!$C$24,INDEX(급여대장_원본!$A$1:$AZ$400,설정!$B$8,0),0),"")=""),"",IFERROR(VALUE(SUBSTITUTE(INDEX(급여대장_원본!$A$1:$AZ$400,(설정!$B$8+293),IFERROR(MATCH(설정!$C$24,INDEX(급여대장_원본!$A$1:$AZ$400,설정!$B$8,0),0),""))&amp;"",",","")),""))</f>
        <v/>
      </c>
      <c r="V299" s="27">
        <f>SUM(F299:M299)</f>
        <v/>
      </c>
      <c r="W299" s="27">
        <f>IF(설정!$D$26="",0,IFERROR(VALUE(SUBSTITUTE(SUBSTITUTE(INDEX(급여대장_원본!$A$1:$AZ$400,(설정!$B$8+293),설정!$D$26)&amp;"",",",""),"　","")),0))</f>
        <v/>
      </c>
      <c r="X299" s="27">
        <f>IF(설정!$D$27="",0,IFERROR(VALUE(SUBSTITUTE(SUBSTITUTE(INDEX(급여대장_원본!$A$1:$AZ$400,(설정!$B$8+293),설정!$D$27)&amp;"",",",""),"　","")),0))</f>
        <v/>
      </c>
      <c r="Y299" s="27">
        <f>IF(설정!$D$28="",0,IFERROR(VALUE(SUBSTITUTE(SUBSTITUTE(INDEX(급여대장_원본!$A$1:$AZ$400,(설정!$B$8+293),설정!$D$28)&amp;"",",",""),"　","")),0))</f>
        <v/>
      </c>
      <c r="Z299" s="27">
        <f>IF(설정!$D$29="",0,IFERROR(VALUE(SUBSTITUTE(SUBSTITUTE(INDEX(급여대장_원본!$A$1:$AZ$400,(설정!$B$8+293),설정!$D$29)&amp;"",",",""),"　","")),0))</f>
        <v/>
      </c>
      <c r="AA299" s="27">
        <f>IF(설정!$D$30="",0,IFERROR(VALUE(SUBSTITUTE(SUBSTITUTE(INDEX(급여대장_원본!$A$1:$AZ$400,(설정!$B$8+293),설정!$D$30)&amp;"",",",""),"　","")),0))</f>
        <v/>
      </c>
      <c r="AB299" s="27">
        <f>IF(설정!$D$31="",0,IFERROR(VALUE(SUBSTITUTE(SUBSTITUTE(INDEX(급여대장_원본!$A$1:$AZ$400,(설정!$B$8+293),설정!$D$31)&amp;"",",",""),"　","")),0))</f>
        <v/>
      </c>
      <c r="AC299" s="27">
        <f>IF(설정!$D$32="",0,IFERROR(VALUE(SUBSTITUTE(SUBSTITUTE(INDEX(급여대장_원본!$A$1:$AZ$400,(설정!$B$8+293),설정!$D$32)&amp;"",",",""),"　","")),0))</f>
        <v/>
      </c>
      <c r="AD299" s="27">
        <f>IF(설정!$D$33="",0,IFERROR(VALUE(SUBSTITUTE(SUBSTITUTE(INDEX(급여대장_원본!$A$1:$AZ$400,(설정!$B$8+293),설정!$D$33)&amp;"",",",""),"　","")),0))</f>
        <v/>
      </c>
      <c r="AE299" s="27">
        <f>SUM(W299:AD299)</f>
        <v/>
      </c>
      <c r="AF299" s="27">
        <f>V299-AE299</f>
        <v/>
      </c>
      <c r="AG299" s="27">
        <f>IF(설정!$D$35="","",IF(설정!$D$35="",0,IFERROR(VALUE(SUBSTITUTE(SUBSTITUTE(INDEX(급여대장_원본!$A$1:$AZ$400,(설정!$B$8+293),설정!$D$35)&amp;"",",",""),"　","")),0)))</f>
        <v/>
      </c>
      <c r="AH299" s="27">
        <f>IF(설정!$D$36="","",IF(설정!$D$36="",0,IFERROR(VALUE(SUBSTITUTE(SUBSTITUTE(INDEX(급여대장_원본!$A$1:$AZ$400,(설정!$B$8+293),설정!$D$36)&amp;"",",",""),"　","")),0)))</f>
        <v/>
      </c>
      <c r="AI299" s="27">
        <f>IF(설정!$D$37="","",IF(설정!$D$37="",0,IFERROR(VALUE(SUBSTITUTE(SUBSTITUTE(INDEX(급여대장_원본!$A$1:$AZ$400,(설정!$B$8+293),설정!$D$37)&amp;"",",",""),"　","")),0)))</f>
        <v/>
      </c>
      <c r="AJ299" s="2">
        <f>IFERROR(INDEX($D$7:$D$306,MATCH(293,$B$7:$B$306,0)),"")</f>
        <v/>
      </c>
    </row>
    <row r="300">
      <c r="A300" s="2">
        <f>IF(AND(D300&lt;&gt;"",D300&lt;&gt;"합계",D300&lt;&gt;"총계",D300&lt;&gt;"소계",D300&lt;&gt;"계"),1,0)</f>
        <v/>
      </c>
      <c r="B300" s="2">
        <f>IF(A300=1,SUM($A$7:A300),"")</f>
        <v/>
      </c>
      <c r="C300" s="2">
        <f>IF(설정!$D$13="","",TRIM(SUBSTITUTE(INDEX(급여대장_원본!$A$1:$AZ$400,(설정!$B$8+294),설정!$D$13)&amp;"","　"," ")))</f>
        <v/>
      </c>
      <c r="D300" s="2">
        <f>IF(설정!$D$14="","",TRIM(SUBSTITUTE(INDEX(급여대장_원본!$A$1:$AZ$400,(설정!$B$8+294),설정!$D$14)&amp;"","　"," ")))</f>
        <v/>
      </c>
      <c r="E300" s="2">
        <f>IF(설정!$D$15="","",TRIM(SUBSTITUTE(INDEX(급여대장_원본!$A$1:$AZ$400,(설정!$B$8+294),설정!$D$15)&amp;"","　"," ")))</f>
        <v/>
      </c>
      <c r="F300" s="27">
        <f>IF(설정!$D$17="",0,IFERROR(VALUE(SUBSTITUTE(SUBSTITUTE(INDEX(급여대장_원본!$A$1:$AZ$400,(설정!$B$8+294),설정!$D$17)&amp;"",",",""),"　","")),0))</f>
        <v/>
      </c>
      <c r="G300" s="27">
        <f>IF(설정!$D$18="",0,IFERROR(VALUE(SUBSTITUTE(SUBSTITUTE(INDEX(급여대장_원본!$A$1:$AZ$400,(설정!$B$8+294),설정!$D$18)&amp;"",",",""),"　","")),0))</f>
        <v/>
      </c>
      <c r="H300" s="27">
        <f>IF(설정!$D$19="",0,IFERROR(VALUE(SUBSTITUTE(SUBSTITUTE(INDEX(급여대장_원본!$A$1:$AZ$400,(설정!$B$8+294),설정!$D$19)&amp;"",",",""),"　","")),0))</f>
        <v/>
      </c>
      <c r="I300" s="27">
        <f>IF(설정!$D$20="",0,IFERROR(VALUE(SUBSTITUTE(SUBSTITUTE(INDEX(급여대장_원본!$A$1:$AZ$400,(설정!$B$8+294),설정!$D$20)&amp;"",",",""),"　","")),0))</f>
        <v/>
      </c>
      <c r="J300" s="27">
        <f>IF(설정!$D$21="",0,IFERROR(VALUE(SUBSTITUTE(SUBSTITUTE(INDEX(급여대장_원본!$A$1:$AZ$400,(설정!$B$8+294),설정!$D$21)&amp;"",",",""),"　","")),0))</f>
        <v/>
      </c>
      <c r="K300" s="27">
        <f>IF(설정!$D$22="",0,IFERROR(VALUE(SUBSTITUTE(SUBSTITUTE(INDEX(급여대장_원본!$A$1:$AZ$400,(설정!$B$8+294),설정!$D$22)&amp;"",",",""),"　","")),0))</f>
        <v/>
      </c>
      <c r="L300" s="27">
        <f>IF(설정!$D$23="",0,IFERROR(VALUE(SUBSTITUTE(SUBSTITUTE(INDEX(급여대장_원본!$A$1:$AZ$400,(설정!$B$8+294),설정!$D$23)&amp;"",",",""),"　","")),0))</f>
        <v/>
      </c>
      <c r="M300" s="27">
        <f>IF(설정!$D$24="",0,IFERROR(VALUE(SUBSTITUTE(SUBSTITUTE(INDEX(급여대장_원본!$A$1:$AZ$400,(설정!$B$8+294),설정!$D$24)&amp;"",",",""),"　","")),0))</f>
        <v/>
      </c>
      <c r="N300" s="2">
        <f>IF(OR(설정!$C$17="",IFERROR(MATCH(설정!$C$17,INDEX(급여대장_원본!$A$1:$AZ$400,설정!$B$8,0),0),"")=""),"",IFERROR(VALUE(SUBSTITUTE(INDEX(급여대장_원본!$A$1:$AZ$400,(설정!$B$8+294),IFERROR(MATCH(설정!$C$17,INDEX(급여대장_원본!$A$1:$AZ$400,설정!$B$8,0),0),""))&amp;"",",","")),""))</f>
        <v/>
      </c>
      <c r="O300" s="2">
        <f>IF(OR(설정!$C$18="",IFERROR(MATCH(설정!$C$18,INDEX(급여대장_원본!$A$1:$AZ$400,설정!$B$8,0),0),"")=""),"",IFERROR(VALUE(SUBSTITUTE(INDEX(급여대장_원본!$A$1:$AZ$400,(설정!$B$8+294),IFERROR(MATCH(설정!$C$18,INDEX(급여대장_원본!$A$1:$AZ$400,설정!$B$8,0),0),""))&amp;"",",","")),""))</f>
        <v/>
      </c>
      <c r="P300" s="2">
        <f>IF(OR(설정!$C$19="",IFERROR(MATCH(설정!$C$19,INDEX(급여대장_원본!$A$1:$AZ$400,설정!$B$8,0),0),"")=""),"",IFERROR(VALUE(SUBSTITUTE(INDEX(급여대장_원본!$A$1:$AZ$400,(설정!$B$8+294),IFERROR(MATCH(설정!$C$19,INDEX(급여대장_원본!$A$1:$AZ$400,설정!$B$8,0),0),""))&amp;"",",","")),""))</f>
        <v/>
      </c>
      <c r="Q300" s="2">
        <f>IF(OR(설정!$C$20="",IFERROR(MATCH(설정!$C$20,INDEX(급여대장_원본!$A$1:$AZ$400,설정!$B$8,0),0),"")=""),"",IFERROR(VALUE(SUBSTITUTE(INDEX(급여대장_원본!$A$1:$AZ$400,(설정!$B$8+294),IFERROR(MATCH(설정!$C$20,INDEX(급여대장_원본!$A$1:$AZ$400,설정!$B$8,0),0),""))&amp;"",",","")),""))</f>
        <v/>
      </c>
      <c r="R300" s="2">
        <f>IF(OR(설정!$C$21="",IFERROR(MATCH(설정!$C$21,INDEX(급여대장_원본!$A$1:$AZ$400,설정!$B$8,0),0),"")=""),"",IFERROR(VALUE(SUBSTITUTE(INDEX(급여대장_원본!$A$1:$AZ$400,(설정!$B$8+294),IFERROR(MATCH(설정!$C$21,INDEX(급여대장_원본!$A$1:$AZ$400,설정!$B$8,0),0),""))&amp;"",",","")),""))</f>
        <v/>
      </c>
      <c r="S300" s="2">
        <f>IF(OR(설정!$C$22="",IFERROR(MATCH(설정!$C$22,INDEX(급여대장_원본!$A$1:$AZ$400,설정!$B$8,0),0),"")=""),"",IFERROR(VALUE(SUBSTITUTE(INDEX(급여대장_원본!$A$1:$AZ$400,(설정!$B$8+294),IFERROR(MATCH(설정!$C$22,INDEX(급여대장_원본!$A$1:$AZ$400,설정!$B$8,0),0),""))&amp;"",",","")),""))</f>
        <v/>
      </c>
      <c r="T300" s="2">
        <f>IF(OR(설정!$C$23="",IFERROR(MATCH(설정!$C$23,INDEX(급여대장_원본!$A$1:$AZ$400,설정!$B$8,0),0),"")=""),"",IFERROR(VALUE(SUBSTITUTE(INDEX(급여대장_원본!$A$1:$AZ$400,(설정!$B$8+294),IFERROR(MATCH(설정!$C$23,INDEX(급여대장_원본!$A$1:$AZ$400,설정!$B$8,0),0),""))&amp;"",",","")),""))</f>
        <v/>
      </c>
      <c r="U300" s="2">
        <f>IF(OR(설정!$C$24="",IFERROR(MATCH(설정!$C$24,INDEX(급여대장_원본!$A$1:$AZ$400,설정!$B$8,0),0),"")=""),"",IFERROR(VALUE(SUBSTITUTE(INDEX(급여대장_원본!$A$1:$AZ$400,(설정!$B$8+294),IFERROR(MATCH(설정!$C$24,INDEX(급여대장_원본!$A$1:$AZ$400,설정!$B$8,0),0),""))&amp;"",",","")),""))</f>
        <v/>
      </c>
      <c r="V300" s="27">
        <f>SUM(F300:M300)</f>
        <v/>
      </c>
      <c r="W300" s="27">
        <f>IF(설정!$D$26="",0,IFERROR(VALUE(SUBSTITUTE(SUBSTITUTE(INDEX(급여대장_원본!$A$1:$AZ$400,(설정!$B$8+294),설정!$D$26)&amp;"",",",""),"　","")),0))</f>
        <v/>
      </c>
      <c r="X300" s="27">
        <f>IF(설정!$D$27="",0,IFERROR(VALUE(SUBSTITUTE(SUBSTITUTE(INDEX(급여대장_원본!$A$1:$AZ$400,(설정!$B$8+294),설정!$D$27)&amp;"",",",""),"　","")),0))</f>
        <v/>
      </c>
      <c r="Y300" s="27">
        <f>IF(설정!$D$28="",0,IFERROR(VALUE(SUBSTITUTE(SUBSTITUTE(INDEX(급여대장_원본!$A$1:$AZ$400,(설정!$B$8+294),설정!$D$28)&amp;"",",",""),"　","")),0))</f>
        <v/>
      </c>
      <c r="Z300" s="27">
        <f>IF(설정!$D$29="",0,IFERROR(VALUE(SUBSTITUTE(SUBSTITUTE(INDEX(급여대장_원본!$A$1:$AZ$400,(설정!$B$8+294),설정!$D$29)&amp;"",",",""),"　","")),0))</f>
        <v/>
      </c>
      <c r="AA300" s="27">
        <f>IF(설정!$D$30="",0,IFERROR(VALUE(SUBSTITUTE(SUBSTITUTE(INDEX(급여대장_원본!$A$1:$AZ$400,(설정!$B$8+294),설정!$D$30)&amp;"",",",""),"　","")),0))</f>
        <v/>
      </c>
      <c r="AB300" s="27">
        <f>IF(설정!$D$31="",0,IFERROR(VALUE(SUBSTITUTE(SUBSTITUTE(INDEX(급여대장_원본!$A$1:$AZ$400,(설정!$B$8+294),설정!$D$31)&amp;"",",",""),"　","")),0))</f>
        <v/>
      </c>
      <c r="AC300" s="27">
        <f>IF(설정!$D$32="",0,IFERROR(VALUE(SUBSTITUTE(SUBSTITUTE(INDEX(급여대장_원본!$A$1:$AZ$400,(설정!$B$8+294),설정!$D$32)&amp;"",",",""),"　","")),0))</f>
        <v/>
      </c>
      <c r="AD300" s="27">
        <f>IF(설정!$D$33="",0,IFERROR(VALUE(SUBSTITUTE(SUBSTITUTE(INDEX(급여대장_원본!$A$1:$AZ$400,(설정!$B$8+294),설정!$D$33)&amp;"",",",""),"　","")),0))</f>
        <v/>
      </c>
      <c r="AE300" s="27">
        <f>SUM(W300:AD300)</f>
        <v/>
      </c>
      <c r="AF300" s="27">
        <f>V300-AE300</f>
        <v/>
      </c>
      <c r="AG300" s="27">
        <f>IF(설정!$D$35="","",IF(설정!$D$35="",0,IFERROR(VALUE(SUBSTITUTE(SUBSTITUTE(INDEX(급여대장_원본!$A$1:$AZ$400,(설정!$B$8+294),설정!$D$35)&amp;"",",",""),"　","")),0)))</f>
        <v/>
      </c>
      <c r="AH300" s="27">
        <f>IF(설정!$D$36="","",IF(설정!$D$36="",0,IFERROR(VALUE(SUBSTITUTE(SUBSTITUTE(INDEX(급여대장_원본!$A$1:$AZ$400,(설정!$B$8+294),설정!$D$36)&amp;"",",",""),"　","")),0)))</f>
        <v/>
      </c>
      <c r="AI300" s="27">
        <f>IF(설정!$D$37="","",IF(설정!$D$37="",0,IFERROR(VALUE(SUBSTITUTE(SUBSTITUTE(INDEX(급여대장_원본!$A$1:$AZ$400,(설정!$B$8+294),설정!$D$37)&amp;"",",",""),"　","")),0)))</f>
        <v/>
      </c>
      <c r="AJ300" s="2">
        <f>IFERROR(INDEX($D$7:$D$306,MATCH(294,$B$7:$B$306,0)),"")</f>
        <v/>
      </c>
    </row>
    <row r="301">
      <c r="A301" s="2">
        <f>IF(AND(D301&lt;&gt;"",D301&lt;&gt;"합계",D301&lt;&gt;"총계",D301&lt;&gt;"소계",D301&lt;&gt;"계"),1,0)</f>
        <v/>
      </c>
      <c r="B301" s="2">
        <f>IF(A301=1,SUM($A$7:A301),"")</f>
        <v/>
      </c>
      <c r="C301" s="2">
        <f>IF(설정!$D$13="","",TRIM(SUBSTITUTE(INDEX(급여대장_원본!$A$1:$AZ$400,(설정!$B$8+295),설정!$D$13)&amp;"","　"," ")))</f>
        <v/>
      </c>
      <c r="D301" s="2">
        <f>IF(설정!$D$14="","",TRIM(SUBSTITUTE(INDEX(급여대장_원본!$A$1:$AZ$400,(설정!$B$8+295),설정!$D$14)&amp;"","　"," ")))</f>
        <v/>
      </c>
      <c r="E301" s="2">
        <f>IF(설정!$D$15="","",TRIM(SUBSTITUTE(INDEX(급여대장_원본!$A$1:$AZ$400,(설정!$B$8+295),설정!$D$15)&amp;"","　"," ")))</f>
        <v/>
      </c>
      <c r="F301" s="27">
        <f>IF(설정!$D$17="",0,IFERROR(VALUE(SUBSTITUTE(SUBSTITUTE(INDEX(급여대장_원본!$A$1:$AZ$400,(설정!$B$8+295),설정!$D$17)&amp;"",",",""),"　","")),0))</f>
        <v/>
      </c>
      <c r="G301" s="27">
        <f>IF(설정!$D$18="",0,IFERROR(VALUE(SUBSTITUTE(SUBSTITUTE(INDEX(급여대장_원본!$A$1:$AZ$400,(설정!$B$8+295),설정!$D$18)&amp;"",",",""),"　","")),0))</f>
        <v/>
      </c>
      <c r="H301" s="27">
        <f>IF(설정!$D$19="",0,IFERROR(VALUE(SUBSTITUTE(SUBSTITUTE(INDEX(급여대장_원본!$A$1:$AZ$400,(설정!$B$8+295),설정!$D$19)&amp;"",",",""),"　","")),0))</f>
        <v/>
      </c>
      <c r="I301" s="27">
        <f>IF(설정!$D$20="",0,IFERROR(VALUE(SUBSTITUTE(SUBSTITUTE(INDEX(급여대장_원본!$A$1:$AZ$400,(설정!$B$8+295),설정!$D$20)&amp;"",",",""),"　","")),0))</f>
        <v/>
      </c>
      <c r="J301" s="27">
        <f>IF(설정!$D$21="",0,IFERROR(VALUE(SUBSTITUTE(SUBSTITUTE(INDEX(급여대장_원본!$A$1:$AZ$400,(설정!$B$8+295),설정!$D$21)&amp;"",",",""),"　","")),0))</f>
        <v/>
      </c>
      <c r="K301" s="27">
        <f>IF(설정!$D$22="",0,IFERROR(VALUE(SUBSTITUTE(SUBSTITUTE(INDEX(급여대장_원본!$A$1:$AZ$400,(설정!$B$8+295),설정!$D$22)&amp;"",",",""),"　","")),0))</f>
        <v/>
      </c>
      <c r="L301" s="27">
        <f>IF(설정!$D$23="",0,IFERROR(VALUE(SUBSTITUTE(SUBSTITUTE(INDEX(급여대장_원본!$A$1:$AZ$400,(설정!$B$8+295),설정!$D$23)&amp;"",",",""),"　","")),0))</f>
        <v/>
      </c>
      <c r="M301" s="27">
        <f>IF(설정!$D$24="",0,IFERROR(VALUE(SUBSTITUTE(SUBSTITUTE(INDEX(급여대장_원본!$A$1:$AZ$400,(설정!$B$8+295),설정!$D$24)&amp;"",",",""),"　","")),0))</f>
        <v/>
      </c>
      <c r="N301" s="2">
        <f>IF(OR(설정!$C$17="",IFERROR(MATCH(설정!$C$17,INDEX(급여대장_원본!$A$1:$AZ$400,설정!$B$8,0),0),"")=""),"",IFERROR(VALUE(SUBSTITUTE(INDEX(급여대장_원본!$A$1:$AZ$400,(설정!$B$8+295),IFERROR(MATCH(설정!$C$17,INDEX(급여대장_원본!$A$1:$AZ$400,설정!$B$8,0),0),""))&amp;"",",","")),""))</f>
        <v/>
      </c>
      <c r="O301" s="2">
        <f>IF(OR(설정!$C$18="",IFERROR(MATCH(설정!$C$18,INDEX(급여대장_원본!$A$1:$AZ$400,설정!$B$8,0),0),"")=""),"",IFERROR(VALUE(SUBSTITUTE(INDEX(급여대장_원본!$A$1:$AZ$400,(설정!$B$8+295),IFERROR(MATCH(설정!$C$18,INDEX(급여대장_원본!$A$1:$AZ$400,설정!$B$8,0),0),""))&amp;"",",","")),""))</f>
        <v/>
      </c>
      <c r="P301" s="2">
        <f>IF(OR(설정!$C$19="",IFERROR(MATCH(설정!$C$19,INDEX(급여대장_원본!$A$1:$AZ$400,설정!$B$8,0),0),"")=""),"",IFERROR(VALUE(SUBSTITUTE(INDEX(급여대장_원본!$A$1:$AZ$400,(설정!$B$8+295),IFERROR(MATCH(설정!$C$19,INDEX(급여대장_원본!$A$1:$AZ$400,설정!$B$8,0),0),""))&amp;"",",","")),""))</f>
        <v/>
      </c>
      <c r="Q301" s="2">
        <f>IF(OR(설정!$C$20="",IFERROR(MATCH(설정!$C$20,INDEX(급여대장_원본!$A$1:$AZ$400,설정!$B$8,0),0),"")=""),"",IFERROR(VALUE(SUBSTITUTE(INDEX(급여대장_원본!$A$1:$AZ$400,(설정!$B$8+295),IFERROR(MATCH(설정!$C$20,INDEX(급여대장_원본!$A$1:$AZ$400,설정!$B$8,0),0),""))&amp;"",",","")),""))</f>
        <v/>
      </c>
      <c r="R301" s="2">
        <f>IF(OR(설정!$C$21="",IFERROR(MATCH(설정!$C$21,INDEX(급여대장_원본!$A$1:$AZ$400,설정!$B$8,0),0),"")=""),"",IFERROR(VALUE(SUBSTITUTE(INDEX(급여대장_원본!$A$1:$AZ$400,(설정!$B$8+295),IFERROR(MATCH(설정!$C$21,INDEX(급여대장_원본!$A$1:$AZ$400,설정!$B$8,0),0),""))&amp;"",",","")),""))</f>
        <v/>
      </c>
      <c r="S301" s="2">
        <f>IF(OR(설정!$C$22="",IFERROR(MATCH(설정!$C$22,INDEX(급여대장_원본!$A$1:$AZ$400,설정!$B$8,0),0),"")=""),"",IFERROR(VALUE(SUBSTITUTE(INDEX(급여대장_원본!$A$1:$AZ$400,(설정!$B$8+295),IFERROR(MATCH(설정!$C$22,INDEX(급여대장_원본!$A$1:$AZ$400,설정!$B$8,0),0),""))&amp;"",",","")),""))</f>
        <v/>
      </c>
      <c r="T301" s="2">
        <f>IF(OR(설정!$C$23="",IFERROR(MATCH(설정!$C$23,INDEX(급여대장_원본!$A$1:$AZ$400,설정!$B$8,0),0),"")=""),"",IFERROR(VALUE(SUBSTITUTE(INDEX(급여대장_원본!$A$1:$AZ$400,(설정!$B$8+295),IFERROR(MATCH(설정!$C$23,INDEX(급여대장_원본!$A$1:$AZ$400,설정!$B$8,0),0),""))&amp;"",",","")),""))</f>
        <v/>
      </c>
      <c r="U301" s="2">
        <f>IF(OR(설정!$C$24="",IFERROR(MATCH(설정!$C$24,INDEX(급여대장_원본!$A$1:$AZ$400,설정!$B$8,0),0),"")=""),"",IFERROR(VALUE(SUBSTITUTE(INDEX(급여대장_원본!$A$1:$AZ$400,(설정!$B$8+295),IFERROR(MATCH(설정!$C$24,INDEX(급여대장_원본!$A$1:$AZ$400,설정!$B$8,0),0),""))&amp;"",",","")),""))</f>
        <v/>
      </c>
      <c r="V301" s="27">
        <f>SUM(F301:M301)</f>
        <v/>
      </c>
      <c r="W301" s="27">
        <f>IF(설정!$D$26="",0,IFERROR(VALUE(SUBSTITUTE(SUBSTITUTE(INDEX(급여대장_원본!$A$1:$AZ$400,(설정!$B$8+295),설정!$D$26)&amp;"",",",""),"　","")),0))</f>
        <v/>
      </c>
      <c r="X301" s="27">
        <f>IF(설정!$D$27="",0,IFERROR(VALUE(SUBSTITUTE(SUBSTITUTE(INDEX(급여대장_원본!$A$1:$AZ$400,(설정!$B$8+295),설정!$D$27)&amp;"",",",""),"　","")),0))</f>
        <v/>
      </c>
      <c r="Y301" s="27">
        <f>IF(설정!$D$28="",0,IFERROR(VALUE(SUBSTITUTE(SUBSTITUTE(INDEX(급여대장_원본!$A$1:$AZ$400,(설정!$B$8+295),설정!$D$28)&amp;"",",",""),"　","")),0))</f>
        <v/>
      </c>
      <c r="Z301" s="27">
        <f>IF(설정!$D$29="",0,IFERROR(VALUE(SUBSTITUTE(SUBSTITUTE(INDEX(급여대장_원본!$A$1:$AZ$400,(설정!$B$8+295),설정!$D$29)&amp;"",",",""),"　","")),0))</f>
        <v/>
      </c>
      <c r="AA301" s="27">
        <f>IF(설정!$D$30="",0,IFERROR(VALUE(SUBSTITUTE(SUBSTITUTE(INDEX(급여대장_원본!$A$1:$AZ$400,(설정!$B$8+295),설정!$D$30)&amp;"",",",""),"　","")),0))</f>
        <v/>
      </c>
      <c r="AB301" s="27">
        <f>IF(설정!$D$31="",0,IFERROR(VALUE(SUBSTITUTE(SUBSTITUTE(INDEX(급여대장_원본!$A$1:$AZ$400,(설정!$B$8+295),설정!$D$31)&amp;"",",",""),"　","")),0))</f>
        <v/>
      </c>
      <c r="AC301" s="27">
        <f>IF(설정!$D$32="",0,IFERROR(VALUE(SUBSTITUTE(SUBSTITUTE(INDEX(급여대장_원본!$A$1:$AZ$400,(설정!$B$8+295),설정!$D$32)&amp;"",",",""),"　","")),0))</f>
        <v/>
      </c>
      <c r="AD301" s="27">
        <f>IF(설정!$D$33="",0,IFERROR(VALUE(SUBSTITUTE(SUBSTITUTE(INDEX(급여대장_원본!$A$1:$AZ$400,(설정!$B$8+295),설정!$D$33)&amp;"",",",""),"　","")),0))</f>
        <v/>
      </c>
      <c r="AE301" s="27">
        <f>SUM(W301:AD301)</f>
        <v/>
      </c>
      <c r="AF301" s="27">
        <f>V301-AE301</f>
        <v/>
      </c>
      <c r="AG301" s="27">
        <f>IF(설정!$D$35="","",IF(설정!$D$35="",0,IFERROR(VALUE(SUBSTITUTE(SUBSTITUTE(INDEX(급여대장_원본!$A$1:$AZ$400,(설정!$B$8+295),설정!$D$35)&amp;"",",",""),"　","")),0)))</f>
        <v/>
      </c>
      <c r="AH301" s="27">
        <f>IF(설정!$D$36="","",IF(설정!$D$36="",0,IFERROR(VALUE(SUBSTITUTE(SUBSTITUTE(INDEX(급여대장_원본!$A$1:$AZ$400,(설정!$B$8+295),설정!$D$36)&amp;"",",",""),"　","")),0)))</f>
        <v/>
      </c>
      <c r="AI301" s="27">
        <f>IF(설정!$D$37="","",IF(설정!$D$37="",0,IFERROR(VALUE(SUBSTITUTE(SUBSTITUTE(INDEX(급여대장_원본!$A$1:$AZ$400,(설정!$B$8+295),설정!$D$37)&amp;"",",",""),"　","")),0)))</f>
        <v/>
      </c>
      <c r="AJ301" s="2">
        <f>IFERROR(INDEX($D$7:$D$306,MATCH(295,$B$7:$B$306,0)),"")</f>
        <v/>
      </c>
    </row>
    <row r="302">
      <c r="A302" s="2">
        <f>IF(AND(D302&lt;&gt;"",D302&lt;&gt;"합계",D302&lt;&gt;"총계",D302&lt;&gt;"소계",D302&lt;&gt;"계"),1,0)</f>
        <v/>
      </c>
      <c r="B302" s="2">
        <f>IF(A302=1,SUM($A$7:A302),"")</f>
        <v/>
      </c>
      <c r="C302" s="2">
        <f>IF(설정!$D$13="","",TRIM(SUBSTITUTE(INDEX(급여대장_원본!$A$1:$AZ$400,(설정!$B$8+296),설정!$D$13)&amp;"","　"," ")))</f>
        <v/>
      </c>
      <c r="D302" s="2">
        <f>IF(설정!$D$14="","",TRIM(SUBSTITUTE(INDEX(급여대장_원본!$A$1:$AZ$400,(설정!$B$8+296),설정!$D$14)&amp;"","　"," ")))</f>
        <v/>
      </c>
      <c r="E302" s="2">
        <f>IF(설정!$D$15="","",TRIM(SUBSTITUTE(INDEX(급여대장_원본!$A$1:$AZ$400,(설정!$B$8+296),설정!$D$15)&amp;"","　"," ")))</f>
        <v/>
      </c>
      <c r="F302" s="27">
        <f>IF(설정!$D$17="",0,IFERROR(VALUE(SUBSTITUTE(SUBSTITUTE(INDEX(급여대장_원본!$A$1:$AZ$400,(설정!$B$8+296),설정!$D$17)&amp;"",",",""),"　","")),0))</f>
        <v/>
      </c>
      <c r="G302" s="27">
        <f>IF(설정!$D$18="",0,IFERROR(VALUE(SUBSTITUTE(SUBSTITUTE(INDEX(급여대장_원본!$A$1:$AZ$400,(설정!$B$8+296),설정!$D$18)&amp;"",",",""),"　","")),0))</f>
        <v/>
      </c>
      <c r="H302" s="27">
        <f>IF(설정!$D$19="",0,IFERROR(VALUE(SUBSTITUTE(SUBSTITUTE(INDEX(급여대장_원본!$A$1:$AZ$400,(설정!$B$8+296),설정!$D$19)&amp;"",",",""),"　","")),0))</f>
        <v/>
      </c>
      <c r="I302" s="27">
        <f>IF(설정!$D$20="",0,IFERROR(VALUE(SUBSTITUTE(SUBSTITUTE(INDEX(급여대장_원본!$A$1:$AZ$400,(설정!$B$8+296),설정!$D$20)&amp;"",",",""),"　","")),0))</f>
        <v/>
      </c>
      <c r="J302" s="27">
        <f>IF(설정!$D$21="",0,IFERROR(VALUE(SUBSTITUTE(SUBSTITUTE(INDEX(급여대장_원본!$A$1:$AZ$400,(설정!$B$8+296),설정!$D$21)&amp;"",",",""),"　","")),0))</f>
        <v/>
      </c>
      <c r="K302" s="27">
        <f>IF(설정!$D$22="",0,IFERROR(VALUE(SUBSTITUTE(SUBSTITUTE(INDEX(급여대장_원본!$A$1:$AZ$400,(설정!$B$8+296),설정!$D$22)&amp;"",",",""),"　","")),0))</f>
        <v/>
      </c>
      <c r="L302" s="27">
        <f>IF(설정!$D$23="",0,IFERROR(VALUE(SUBSTITUTE(SUBSTITUTE(INDEX(급여대장_원본!$A$1:$AZ$400,(설정!$B$8+296),설정!$D$23)&amp;"",",",""),"　","")),0))</f>
        <v/>
      </c>
      <c r="M302" s="27">
        <f>IF(설정!$D$24="",0,IFERROR(VALUE(SUBSTITUTE(SUBSTITUTE(INDEX(급여대장_원본!$A$1:$AZ$400,(설정!$B$8+296),설정!$D$24)&amp;"",",",""),"　","")),0))</f>
        <v/>
      </c>
      <c r="N302" s="2">
        <f>IF(OR(설정!$C$17="",IFERROR(MATCH(설정!$C$17,INDEX(급여대장_원본!$A$1:$AZ$400,설정!$B$8,0),0),"")=""),"",IFERROR(VALUE(SUBSTITUTE(INDEX(급여대장_원본!$A$1:$AZ$400,(설정!$B$8+296),IFERROR(MATCH(설정!$C$17,INDEX(급여대장_원본!$A$1:$AZ$400,설정!$B$8,0),0),""))&amp;"",",","")),""))</f>
        <v/>
      </c>
      <c r="O302" s="2">
        <f>IF(OR(설정!$C$18="",IFERROR(MATCH(설정!$C$18,INDEX(급여대장_원본!$A$1:$AZ$400,설정!$B$8,0),0),"")=""),"",IFERROR(VALUE(SUBSTITUTE(INDEX(급여대장_원본!$A$1:$AZ$400,(설정!$B$8+296),IFERROR(MATCH(설정!$C$18,INDEX(급여대장_원본!$A$1:$AZ$400,설정!$B$8,0),0),""))&amp;"",",","")),""))</f>
        <v/>
      </c>
      <c r="P302" s="2">
        <f>IF(OR(설정!$C$19="",IFERROR(MATCH(설정!$C$19,INDEX(급여대장_원본!$A$1:$AZ$400,설정!$B$8,0),0),"")=""),"",IFERROR(VALUE(SUBSTITUTE(INDEX(급여대장_원본!$A$1:$AZ$400,(설정!$B$8+296),IFERROR(MATCH(설정!$C$19,INDEX(급여대장_원본!$A$1:$AZ$400,설정!$B$8,0),0),""))&amp;"",",","")),""))</f>
        <v/>
      </c>
      <c r="Q302" s="2">
        <f>IF(OR(설정!$C$20="",IFERROR(MATCH(설정!$C$20,INDEX(급여대장_원본!$A$1:$AZ$400,설정!$B$8,0),0),"")=""),"",IFERROR(VALUE(SUBSTITUTE(INDEX(급여대장_원본!$A$1:$AZ$400,(설정!$B$8+296),IFERROR(MATCH(설정!$C$20,INDEX(급여대장_원본!$A$1:$AZ$400,설정!$B$8,0),0),""))&amp;"",",","")),""))</f>
        <v/>
      </c>
      <c r="R302" s="2">
        <f>IF(OR(설정!$C$21="",IFERROR(MATCH(설정!$C$21,INDEX(급여대장_원본!$A$1:$AZ$400,설정!$B$8,0),0),"")=""),"",IFERROR(VALUE(SUBSTITUTE(INDEX(급여대장_원본!$A$1:$AZ$400,(설정!$B$8+296),IFERROR(MATCH(설정!$C$21,INDEX(급여대장_원본!$A$1:$AZ$400,설정!$B$8,0),0),""))&amp;"",",","")),""))</f>
        <v/>
      </c>
      <c r="S302" s="2">
        <f>IF(OR(설정!$C$22="",IFERROR(MATCH(설정!$C$22,INDEX(급여대장_원본!$A$1:$AZ$400,설정!$B$8,0),0),"")=""),"",IFERROR(VALUE(SUBSTITUTE(INDEX(급여대장_원본!$A$1:$AZ$400,(설정!$B$8+296),IFERROR(MATCH(설정!$C$22,INDEX(급여대장_원본!$A$1:$AZ$400,설정!$B$8,0),0),""))&amp;"",",","")),""))</f>
        <v/>
      </c>
      <c r="T302" s="2">
        <f>IF(OR(설정!$C$23="",IFERROR(MATCH(설정!$C$23,INDEX(급여대장_원본!$A$1:$AZ$400,설정!$B$8,0),0),"")=""),"",IFERROR(VALUE(SUBSTITUTE(INDEX(급여대장_원본!$A$1:$AZ$400,(설정!$B$8+296),IFERROR(MATCH(설정!$C$23,INDEX(급여대장_원본!$A$1:$AZ$400,설정!$B$8,0),0),""))&amp;"",",","")),""))</f>
        <v/>
      </c>
      <c r="U302" s="2">
        <f>IF(OR(설정!$C$24="",IFERROR(MATCH(설정!$C$24,INDEX(급여대장_원본!$A$1:$AZ$400,설정!$B$8,0),0),"")=""),"",IFERROR(VALUE(SUBSTITUTE(INDEX(급여대장_원본!$A$1:$AZ$400,(설정!$B$8+296),IFERROR(MATCH(설정!$C$24,INDEX(급여대장_원본!$A$1:$AZ$400,설정!$B$8,0),0),""))&amp;"",",","")),""))</f>
        <v/>
      </c>
      <c r="V302" s="27">
        <f>SUM(F302:M302)</f>
        <v/>
      </c>
      <c r="W302" s="27">
        <f>IF(설정!$D$26="",0,IFERROR(VALUE(SUBSTITUTE(SUBSTITUTE(INDEX(급여대장_원본!$A$1:$AZ$400,(설정!$B$8+296),설정!$D$26)&amp;"",",",""),"　","")),0))</f>
        <v/>
      </c>
      <c r="X302" s="27">
        <f>IF(설정!$D$27="",0,IFERROR(VALUE(SUBSTITUTE(SUBSTITUTE(INDEX(급여대장_원본!$A$1:$AZ$400,(설정!$B$8+296),설정!$D$27)&amp;"",",",""),"　","")),0))</f>
        <v/>
      </c>
      <c r="Y302" s="27">
        <f>IF(설정!$D$28="",0,IFERROR(VALUE(SUBSTITUTE(SUBSTITUTE(INDEX(급여대장_원본!$A$1:$AZ$400,(설정!$B$8+296),설정!$D$28)&amp;"",",",""),"　","")),0))</f>
        <v/>
      </c>
      <c r="Z302" s="27">
        <f>IF(설정!$D$29="",0,IFERROR(VALUE(SUBSTITUTE(SUBSTITUTE(INDEX(급여대장_원본!$A$1:$AZ$400,(설정!$B$8+296),설정!$D$29)&amp;"",",",""),"　","")),0))</f>
        <v/>
      </c>
      <c r="AA302" s="27">
        <f>IF(설정!$D$30="",0,IFERROR(VALUE(SUBSTITUTE(SUBSTITUTE(INDEX(급여대장_원본!$A$1:$AZ$400,(설정!$B$8+296),설정!$D$30)&amp;"",",",""),"　","")),0))</f>
        <v/>
      </c>
      <c r="AB302" s="27">
        <f>IF(설정!$D$31="",0,IFERROR(VALUE(SUBSTITUTE(SUBSTITUTE(INDEX(급여대장_원본!$A$1:$AZ$400,(설정!$B$8+296),설정!$D$31)&amp;"",",",""),"　","")),0))</f>
        <v/>
      </c>
      <c r="AC302" s="27">
        <f>IF(설정!$D$32="",0,IFERROR(VALUE(SUBSTITUTE(SUBSTITUTE(INDEX(급여대장_원본!$A$1:$AZ$400,(설정!$B$8+296),설정!$D$32)&amp;"",",",""),"　","")),0))</f>
        <v/>
      </c>
      <c r="AD302" s="27">
        <f>IF(설정!$D$33="",0,IFERROR(VALUE(SUBSTITUTE(SUBSTITUTE(INDEX(급여대장_원본!$A$1:$AZ$400,(설정!$B$8+296),설정!$D$33)&amp;"",",",""),"　","")),0))</f>
        <v/>
      </c>
      <c r="AE302" s="27">
        <f>SUM(W302:AD302)</f>
        <v/>
      </c>
      <c r="AF302" s="27">
        <f>V302-AE302</f>
        <v/>
      </c>
      <c r="AG302" s="27">
        <f>IF(설정!$D$35="","",IF(설정!$D$35="",0,IFERROR(VALUE(SUBSTITUTE(SUBSTITUTE(INDEX(급여대장_원본!$A$1:$AZ$400,(설정!$B$8+296),설정!$D$35)&amp;"",",",""),"　","")),0)))</f>
        <v/>
      </c>
      <c r="AH302" s="27">
        <f>IF(설정!$D$36="","",IF(설정!$D$36="",0,IFERROR(VALUE(SUBSTITUTE(SUBSTITUTE(INDEX(급여대장_원본!$A$1:$AZ$400,(설정!$B$8+296),설정!$D$36)&amp;"",",",""),"　","")),0)))</f>
        <v/>
      </c>
      <c r="AI302" s="27">
        <f>IF(설정!$D$37="","",IF(설정!$D$37="",0,IFERROR(VALUE(SUBSTITUTE(SUBSTITUTE(INDEX(급여대장_원본!$A$1:$AZ$400,(설정!$B$8+296),설정!$D$37)&amp;"",",",""),"　","")),0)))</f>
        <v/>
      </c>
      <c r="AJ302" s="2">
        <f>IFERROR(INDEX($D$7:$D$306,MATCH(296,$B$7:$B$306,0)),"")</f>
        <v/>
      </c>
    </row>
    <row r="303">
      <c r="A303" s="2">
        <f>IF(AND(D303&lt;&gt;"",D303&lt;&gt;"합계",D303&lt;&gt;"총계",D303&lt;&gt;"소계",D303&lt;&gt;"계"),1,0)</f>
        <v/>
      </c>
      <c r="B303" s="2">
        <f>IF(A303=1,SUM($A$7:A303),"")</f>
        <v/>
      </c>
      <c r="C303" s="2">
        <f>IF(설정!$D$13="","",TRIM(SUBSTITUTE(INDEX(급여대장_원본!$A$1:$AZ$400,(설정!$B$8+297),설정!$D$13)&amp;"","　"," ")))</f>
        <v/>
      </c>
      <c r="D303" s="2">
        <f>IF(설정!$D$14="","",TRIM(SUBSTITUTE(INDEX(급여대장_원본!$A$1:$AZ$400,(설정!$B$8+297),설정!$D$14)&amp;"","　"," ")))</f>
        <v/>
      </c>
      <c r="E303" s="2">
        <f>IF(설정!$D$15="","",TRIM(SUBSTITUTE(INDEX(급여대장_원본!$A$1:$AZ$400,(설정!$B$8+297),설정!$D$15)&amp;"","　"," ")))</f>
        <v/>
      </c>
      <c r="F303" s="27">
        <f>IF(설정!$D$17="",0,IFERROR(VALUE(SUBSTITUTE(SUBSTITUTE(INDEX(급여대장_원본!$A$1:$AZ$400,(설정!$B$8+297),설정!$D$17)&amp;"",",",""),"　","")),0))</f>
        <v/>
      </c>
      <c r="G303" s="27">
        <f>IF(설정!$D$18="",0,IFERROR(VALUE(SUBSTITUTE(SUBSTITUTE(INDEX(급여대장_원본!$A$1:$AZ$400,(설정!$B$8+297),설정!$D$18)&amp;"",",",""),"　","")),0))</f>
        <v/>
      </c>
      <c r="H303" s="27">
        <f>IF(설정!$D$19="",0,IFERROR(VALUE(SUBSTITUTE(SUBSTITUTE(INDEX(급여대장_원본!$A$1:$AZ$400,(설정!$B$8+297),설정!$D$19)&amp;"",",",""),"　","")),0))</f>
        <v/>
      </c>
      <c r="I303" s="27">
        <f>IF(설정!$D$20="",0,IFERROR(VALUE(SUBSTITUTE(SUBSTITUTE(INDEX(급여대장_원본!$A$1:$AZ$400,(설정!$B$8+297),설정!$D$20)&amp;"",",",""),"　","")),0))</f>
        <v/>
      </c>
      <c r="J303" s="27">
        <f>IF(설정!$D$21="",0,IFERROR(VALUE(SUBSTITUTE(SUBSTITUTE(INDEX(급여대장_원본!$A$1:$AZ$400,(설정!$B$8+297),설정!$D$21)&amp;"",",",""),"　","")),0))</f>
        <v/>
      </c>
      <c r="K303" s="27">
        <f>IF(설정!$D$22="",0,IFERROR(VALUE(SUBSTITUTE(SUBSTITUTE(INDEX(급여대장_원본!$A$1:$AZ$400,(설정!$B$8+297),설정!$D$22)&amp;"",",",""),"　","")),0))</f>
        <v/>
      </c>
      <c r="L303" s="27">
        <f>IF(설정!$D$23="",0,IFERROR(VALUE(SUBSTITUTE(SUBSTITUTE(INDEX(급여대장_원본!$A$1:$AZ$400,(설정!$B$8+297),설정!$D$23)&amp;"",",",""),"　","")),0))</f>
        <v/>
      </c>
      <c r="M303" s="27">
        <f>IF(설정!$D$24="",0,IFERROR(VALUE(SUBSTITUTE(SUBSTITUTE(INDEX(급여대장_원본!$A$1:$AZ$400,(설정!$B$8+297),설정!$D$24)&amp;"",",",""),"　","")),0))</f>
        <v/>
      </c>
      <c r="N303" s="2">
        <f>IF(OR(설정!$C$17="",IFERROR(MATCH(설정!$C$17,INDEX(급여대장_원본!$A$1:$AZ$400,설정!$B$8,0),0),"")=""),"",IFERROR(VALUE(SUBSTITUTE(INDEX(급여대장_원본!$A$1:$AZ$400,(설정!$B$8+297),IFERROR(MATCH(설정!$C$17,INDEX(급여대장_원본!$A$1:$AZ$400,설정!$B$8,0),0),""))&amp;"",",","")),""))</f>
        <v/>
      </c>
      <c r="O303" s="2">
        <f>IF(OR(설정!$C$18="",IFERROR(MATCH(설정!$C$18,INDEX(급여대장_원본!$A$1:$AZ$400,설정!$B$8,0),0),"")=""),"",IFERROR(VALUE(SUBSTITUTE(INDEX(급여대장_원본!$A$1:$AZ$400,(설정!$B$8+297),IFERROR(MATCH(설정!$C$18,INDEX(급여대장_원본!$A$1:$AZ$400,설정!$B$8,0),0),""))&amp;"",",","")),""))</f>
        <v/>
      </c>
      <c r="P303" s="2">
        <f>IF(OR(설정!$C$19="",IFERROR(MATCH(설정!$C$19,INDEX(급여대장_원본!$A$1:$AZ$400,설정!$B$8,0),0),"")=""),"",IFERROR(VALUE(SUBSTITUTE(INDEX(급여대장_원본!$A$1:$AZ$400,(설정!$B$8+297),IFERROR(MATCH(설정!$C$19,INDEX(급여대장_원본!$A$1:$AZ$400,설정!$B$8,0),0),""))&amp;"",",","")),""))</f>
        <v/>
      </c>
      <c r="Q303" s="2">
        <f>IF(OR(설정!$C$20="",IFERROR(MATCH(설정!$C$20,INDEX(급여대장_원본!$A$1:$AZ$400,설정!$B$8,0),0),"")=""),"",IFERROR(VALUE(SUBSTITUTE(INDEX(급여대장_원본!$A$1:$AZ$400,(설정!$B$8+297),IFERROR(MATCH(설정!$C$20,INDEX(급여대장_원본!$A$1:$AZ$400,설정!$B$8,0),0),""))&amp;"",",","")),""))</f>
        <v/>
      </c>
      <c r="R303" s="2">
        <f>IF(OR(설정!$C$21="",IFERROR(MATCH(설정!$C$21,INDEX(급여대장_원본!$A$1:$AZ$400,설정!$B$8,0),0),"")=""),"",IFERROR(VALUE(SUBSTITUTE(INDEX(급여대장_원본!$A$1:$AZ$400,(설정!$B$8+297),IFERROR(MATCH(설정!$C$21,INDEX(급여대장_원본!$A$1:$AZ$400,설정!$B$8,0),0),""))&amp;"",",","")),""))</f>
        <v/>
      </c>
      <c r="S303" s="2">
        <f>IF(OR(설정!$C$22="",IFERROR(MATCH(설정!$C$22,INDEX(급여대장_원본!$A$1:$AZ$400,설정!$B$8,0),0),"")=""),"",IFERROR(VALUE(SUBSTITUTE(INDEX(급여대장_원본!$A$1:$AZ$400,(설정!$B$8+297),IFERROR(MATCH(설정!$C$22,INDEX(급여대장_원본!$A$1:$AZ$400,설정!$B$8,0),0),""))&amp;"",",","")),""))</f>
        <v/>
      </c>
      <c r="T303" s="2">
        <f>IF(OR(설정!$C$23="",IFERROR(MATCH(설정!$C$23,INDEX(급여대장_원본!$A$1:$AZ$400,설정!$B$8,0),0),"")=""),"",IFERROR(VALUE(SUBSTITUTE(INDEX(급여대장_원본!$A$1:$AZ$400,(설정!$B$8+297),IFERROR(MATCH(설정!$C$23,INDEX(급여대장_원본!$A$1:$AZ$400,설정!$B$8,0),0),""))&amp;"",",","")),""))</f>
        <v/>
      </c>
      <c r="U303" s="2">
        <f>IF(OR(설정!$C$24="",IFERROR(MATCH(설정!$C$24,INDEX(급여대장_원본!$A$1:$AZ$400,설정!$B$8,0),0),"")=""),"",IFERROR(VALUE(SUBSTITUTE(INDEX(급여대장_원본!$A$1:$AZ$400,(설정!$B$8+297),IFERROR(MATCH(설정!$C$24,INDEX(급여대장_원본!$A$1:$AZ$400,설정!$B$8,0),0),""))&amp;"",",","")),""))</f>
        <v/>
      </c>
      <c r="V303" s="27">
        <f>SUM(F303:M303)</f>
        <v/>
      </c>
      <c r="W303" s="27">
        <f>IF(설정!$D$26="",0,IFERROR(VALUE(SUBSTITUTE(SUBSTITUTE(INDEX(급여대장_원본!$A$1:$AZ$400,(설정!$B$8+297),설정!$D$26)&amp;"",",",""),"　","")),0))</f>
        <v/>
      </c>
      <c r="X303" s="27">
        <f>IF(설정!$D$27="",0,IFERROR(VALUE(SUBSTITUTE(SUBSTITUTE(INDEX(급여대장_원본!$A$1:$AZ$400,(설정!$B$8+297),설정!$D$27)&amp;"",",",""),"　","")),0))</f>
        <v/>
      </c>
      <c r="Y303" s="27">
        <f>IF(설정!$D$28="",0,IFERROR(VALUE(SUBSTITUTE(SUBSTITUTE(INDEX(급여대장_원본!$A$1:$AZ$400,(설정!$B$8+297),설정!$D$28)&amp;"",",",""),"　","")),0))</f>
        <v/>
      </c>
      <c r="Z303" s="27">
        <f>IF(설정!$D$29="",0,IFERROR(VALUE(SUBSTITUTE(SUBSTITUTE(INDEX(급여대장_원본!$A$1:$AZ$400,(설정!$B$8+297),설정!$D$29)&amp;"",",",""),"　","")),0))</f>
        <v/>
      </c>
      <c r="AA303" s="27">
        <f>IF(설정!$D$30="",0,IFERROR(VALUE(SUBSTITUTE(SUBSTITUTE(INDEX(급여대장_원본!$A$1:$AZ$400,(설정!$B$8+297),설정!$D$30)&amp;"",",",""),"　","")),0))</f>
        <v/>
      </c>
      <c r="AB303" s="27">
        <f>IF(설정!$D$31="",0,IFERROR(VALUE(SUBSTITUTE(SUBSTITUTE(INDEX(급여대장_원본!$A$1:$AZ$400,(설정!$B$8+297),설정!$D$31)&amp;"",",",""),"　","")),0))</f>
        <v/>
      </c>
      <c r="AC303" s="27">
        <f>IF(설정!$D$32="",0,IFERROR(VALUE(SUBSTITUTE(SUBSTITUTE(INDEX(급여대장_원본!$A$1:$AZ$400,(설정!$B$8+297),설정!$D$32)&amp;"",",",""),"　","")),0))</f>
        <v/>
      </c>
      <c r="AD303" s="27">
        <f>IF(설정!$D$33="",0,IFERROR(VALUE(SUBSTITUTE(SUBSTITUTE(INDEX(급여대장_원본!$A$1:$AZ$400,(설정!$B$8+297),설정!$D$33)&amp;"",",",""),"　","")),0))</f>
        <v/>
      </c>
      <c r="AE303" s="27">
        <f>SUM(W303:AD303)</f>
        <v/>
      </c>
      <c r="AF303" s="27">
        <f>V303-AE303</f>
        <v/>
      </c>
      <c r="AG303" s="27">
        <f>IF(설정!$D$35="","",IF(설정!$D$35="",0,IFERROR(VALUE(SUBSTITUTE(SUBSTITUTE(INDEX(급여대장_원본!$A$1:$AZ$400,(설정!$B$8+297),설정!$D$35)&amp;"",",",""),"　","")),0)))</f>
        <v/>
      </c>
      <c r="AH303" s="27">
        <f>IF(설정!$D$36="","",IF(설정!$D$36="",0,IFERROR(VALUE(SUBSTITUTE(SUBSTITUTE(INDEX(급여대장_원본!$A$1:$AZ$400,(설정!$B$8+297),설정!$D$36)&amp;"",",",""),"　","")),0)))</f>
        <v/>
      </c>
      <c r="AI303" s="27">
        <f>IF(설정!$D$37="","",IF(설정!$D$37="",0,IFERROR(VALUE(SUBSTITUTE(SUBSTITUTE(INDEX(급여대장_원본!$A$1:$AZ$400,(설정!$B$8+297),설정!$D$37)&amp;"",",",""),"　","")),0)))</f>
        <v/>
      </c>
      <c r="AJ303" s="2">
        <f>IFERROR(INDEX($D$7:$D$306,MATCH(297,$B$7:$B$306,0)),"")</f>
        <v/>
      </c>
    </row>
    <row r="304">
      <c r="A304" s="2">
        <f>IF(AND(D304&lt;&gt;"",D304&lt;&gt;"합계",D304&lt;&gt;"총계",D304&lt;&gt;"소계",D304&lt;&gt;"계"),1,0)</f>
        <v/>
      </c>
      <c r="B304" s="2">
        <f>IF(A304=1,SUM($A$7:A304),"")</f>
        <v/>
      </c>
      <c r="C304" s="2">
        <f>IF(설정!$D$13="","",TRIM(SUBSTITUTE(INDEX(급여대장_원본!$A$1:$AZ$400,(설정!$B$8+298),설정!$D$13)&amp;"","　"," ")))</f>
        <v/>
      </c>
      <c r="D304" s="2">
        <f>IF(설정!$D$14="","",TRIM(SUBSTITUTE(INDEX(급여대장_원본!$A$1:$AZ$400,(설정!$B$8+298),설정!$D$14)&amp;"","　"," ")))</f>
        <v/>
      </c>
      <c r="E304" s="2">
        <f>IF(설정!$D$15="","",TRIM(SUBSTITUTE(INDEX(급여대장_원본!$A$1:$AZ$400,(설정!$B$8+298),설정!$D$15)&amp;"","　"," ")))</f>
        <v/>
      </c>
      <c r="F304" s="27">
        <f>IF(설정!$D$17="",0,IFERROR(VALUE(SUBSTITUTE(SUBSTITUTE(INDEX(급여대장_원본!$A$1:$AZ$400,(설정!$B$8+298),설정!$D$17)&amp;"",",",""),"　","")),0))</f>
        <v/>
      </c>
      <c r="G304" s="27">
        <f>IF(설정!$D$18="",0,IFERROR(VALUE(SUBSTITUTE(SUBSTITUTE(INDEX(급여대장_원본!$A$1:$AZ$400,(설정!$B$8+298),설정!$D$18)&amp;"",",",""),"　","")),0))</f>
        <v/>
      </c>
      <c r="H304" s="27">
        <f>IF(설정!$D$19="",0,IFERROR(VALUE(SUBSTITUTE(SUBSTITUTE(INDEX(급여대장_원본!$A$1:$AZ$400,(설정!$B$8+298),설정!$D$19)&amp;"",",",""),"　","")),0))</f>
        <v/>
      </c>
      <c r="I304" s="27">
        <f>IF(설정!$D$20="",0,IFERROR(VALUE(SUBSTITUTE(SUBSTITUTE(INDEX(급여대장_원본!$A$1:$AZ$400,(설정!$B$8+298),설정!$D$20)&amp;"",",",""),"　","")),0))</f>
        <v/>
      </c>
      <c r="J304" s="27">
        <f>IF(설정!$D$21="",0,IFERROR(VALUE(SUBSTITUTE(SUBSTITUTE(INDEX(급여대장_원본!$A$1:$AZ$400,(설정!$B$8+298),설정!$D$21)&amp;"",",",""),"　","")),0))</f>
        <v/>
      </c>
      <c r="K304" s="27">
        <f>IF(설정!$D$22="",0,IFERROR(VALUE(SUBSTITUTE(SUBSTITUTE(INDEX(급여대장_원본!$A$1:$AZ$400,(설정!$B$8+298),설정!$D$22)&amp;"",",",""),"　","")),0))</f>
        <v/>
      </c>
      <c r="L304" s="27">
        <f>IF(설정!$D$23="",0,IFERROR(VALUE(SUBSTITUTE(SUBSTITUTE(INDEX(급여대장_원본!$A$1:$AZ$400,(설정!$B$8+298),설정!$D$23)&amp;"",",",""),"　","")),0))</f>
        <v/>
      </c>
      <c r="M304" s="27">
        <f>IF(설정!$D$24="",0,IFERROR(VALUE(SUBSTITUTE(SUBSTITUTE(INDEX(급여대장_원본!$A$1:$AZ$400,(설정!$B$8+298),설정!$D$24)&amp;"",",",""),"　","")),0))</f>
        <v/>
      </c>
      <c r="N304" s="2">
        <f>IF(OR(설정!$C$17="",IFERROR(MATCH(설정!$C$17,INDEX(급여대장_원본!$A$1:$AZ$400,설정!$B$8,0),0),"")=""),"",IFERROR(VALUE(SUBSTITUTE(INDEX(급여대장_원본!$A$1:$AZ$400,(설정!$B$8+298),IFERROR(MATCH(설정!$C$17,INDEX(급여대장_원본!$A$1:$AZ$400,설정!$B$8,0),0),""))&amp;"",",","")),""))</f>
        <v/>
      </c>
      <c r="O304" s="2">
        <f>IF(OR(설정!$C$18="",IFERROR(MATCH(설정!$C$18,INDEX(급여대장_원본!$A$1:$AZ$400,설정!$B$8,0),0),"")=""),"",IFERROR(VALUE(SUBSTITUTE(INDEX(급여대장_원본!$A$1:$AZ$400,(설정!$B$8+298),IFERROR(MATCH(설정!$C$18,INDEX(급여대장_원본!$A$1:$AZ$400,설정!$B$8,0),0),""))&amp;"",",","")),""))</f>
        <v/>
      </c>
      <c r="P304" s="2">
        <f>IF(OR(설정!$C$19="",IFERROR(MATCH(설정!$C$19,INDEX(급여대장_원본!$A$1:$AZ$400,설정!$B$8,0),0),"")=""),"",IFERROR(VALUE(SUBSTITUTE(INDEX(급여대장_원본!$A$1:$AZ$400,(설정!$B$8+298),IFERROR(MATCH(설정!$C$19,INDEX(급여대장_원본!$A$1:$AZ$400,설정!$B$8,0),0),""))&amp;"",",","")),""))</f>
        <v/>
      </c>
      <c r="Q304" s="2">
        <f>IF(OR(설정!$C$20="",IFERROR(MATCH(설정!$C$20,INDEX(급여대장_원본!$A$1:$AZ$400,설정!$B$8,0),0),"")=""),"",IFERROR(VALUE(SUBSTITUTE(INDEX(급여대장_원본!$A$1:$AZ$400,(설정!$B$8+298),IFERROR(MATCH(설정!$C$20,INDEX(급여대장_원본!$A$1:$AZ$400,설정!$B$8,0),0),""))&amp;"",",","")),""))</f>
        <v/>
      </c>
      <c r="R304" s="2">
        <f>IF(OR(설정!$C$21="",IFERROR(MATCH(설정!$C$21,INDEX(급여대장_원본!$A$1:$AZ$400,설정!$B$8,0),0),"")=""),"",IFERROR(VALUE(SUBSTITUTE(INDEX(급여대장_원본!$A$1:$AZ$400,(설정!$B$8+298),IFERROR(MATCH(설정!$C$21,INDEX(급여대장_원본!$A$1:$AZ$400,설정!$B$8,0),0),""))&amp;"",",","")),""))</f>
        <v/>
      </c>
      <c r="S304" s="2">
        <f>IF(OR(설정!$C$22="",IFERROR(MATCH(설정!$C$22,INDEX(급여대장_원본!$A$1:$AZ$400,설정!$B$8,0),0),"")=""),"",IFERROR(VALUE(SUBSTITUTE(INDEX(급여대장_원본!$A$1:$AZ$400,(설정!$B$8+298),IFERROR(MATCH(설정!$C$22,INDEX(급여대장_원본!$A$1:$AZ$400,설정!$B$8,0),0),""))&amp;"",",","")),""))</f>
        <v/>
      </c>
      <c r="T304" s="2">
        <f>IF(OR(설정!$C$23="",IFERROR(MATCH(설정!$C$23,INDEX(급여대장_원본!$A$1:$AZ$400,설정!$B$8,0),0),"")=""),"",IFERROR(VALUE(SUBSTITUTE(INDEX(급여대장_원본!$A$1:$AZ$400,(설정!$B$8+298),IFERROR(MATCH(설정!$C$23,INDEX(급여대장_원본!$A$1:$AZ$400,설정!$B$8,0),0),""))&amp;"",",","")),""))</f>
        <v/>
      </c>
      <c r="U304" s="2">
        <f>IF(OR(설정!$C$24="",IFERROR(MATCH(설정!$C$24,INDEX(급여대장_원본!$A$1:$AZ$400,설정!$B$8,0),0),"")=""),"",IFERROR(VALUE(SUBSTITUTE(INDEX(급여대장_원본!$A$1:$AZ$400,(설정!$B$8+298),IFERROR(MATCH(설정!$C$24,INDEX(급여대장_원본!$A$1:$AZ$400,설정!$B$8,0),0),""))&amp;"",",","")),""))</f>
        <v/>
      </c>
      <c r="V304" s="27">
        <f>SUM(F304:M304)</f>
        <v/>
      </c>
      <c r="W304" s="27">
        <f>IF(설정!$D$26="",0,IFERROR(VALUE(SUBSTITUTE(SUBSTITUTE(INDEX(급여대장_원본!$A$1:$AZ$400,(설정!$B$8+298),설정!$D$26)&amp;"",",",""),"　","")),0))</f>
        <v/>
      </c>
      <c r="X304" s="27">
        <f>IF(설정!$D$27="",0,IFERROR(VALUE(SUBSTITUTE(SUBSTITUTE(INDEX(급여대장_원본!$A$1:$AZ$400,(설정!$B$8+298),설정!$D$27)&amp;"",",",""),"　","")),0))</f>
        <v/>
      </c>
      <c r="Y304" s="27">
        <f>IF(설정!$D$28="",0,IFERROR(VALUE(SUBSTITUTE(SUBSTITUTE(INDEX(급여대장_원본!$A$1:$AZ$400,(설정!$B$8+298),설정!$D$28)&amp;"",",",""),"　","")),0))</f>
        <v/>
      </c>
      <c r="Z304" s="27">
        <f>IF(설정!$D$29="",0,IFERROR(VALUE(SUBSTITUTE(SUBSTITUTE(INDEX(급여대장_원본!$A$1:$AZ$400,(설정!$B$8+298),설정!$D$29)&amp;"",",",""),"　","")),0))</f>
        <v/>
      </c>
      <c r="AA304" s="27">
        <f>IF(설정!$D$30="",0,IFERROR(VALUE(SUBSTITUTE(SUBSTITUTE(INDEX(급여대장_원본!$A$1:$AZ$400,(설정!$B$8+298),설정!$D$30)&amp;"",",",""),"　","")),0))</f>
        <v/>
      </c>
      <c r="AB304" s="27">
        <f>IF(설정!$D$31="",0,IFERROR(VALUE(SUBSTITUTE(SUBSTITUTE(INDEX(급여대장_원본!$A$1:$AZ$400,(설정!$B$8+298),설정!$D$31)&amp;"",",",""),"　","")),0))</f>
        <v/>
      </c>
      <c r="AC304" s="27">
        <f>IF(설정!$D$32="",0,IFERROR(VALUE(SUBSTITUTE(SUBSTITUTE(INDEX(급여대장_원본!$A$1:$AZ$400,(설정!$B$8+298),설정!$D$32)&amp;"",",",""),"　","")),0))</f>
        <v/>
      </c>
      <c r="AD304" s="27">
        <f>IF(설정!$D$33="",0,IFERROR(VALUE(SUBSTITUTE(SUBSTITUTE(INDEX(급여대장_원본!$A$1:$AZ$400,(설정!$B$8+298),설정!$D$33)&amp;"",",",""),"　","")),0))</f>
        <v/>
      </c>
      <c r="AE304" s="27">
        <f>SUM(W304:AD304)</f>
        <v/>
      </c>
      <c r="AF304" s="27">
        <f>V304-AE304</f>
        <v/>
      </c>
      <c r="AG304" s="27">
        <f>IF(설정!$D$35="","",IF(설정!$D$35="",0,IFERROR(VALUE(SUBSTITUTE(SUBSTITUTE(INDEX(급여대장_원본!$A$1:$AZ$400,(설정!$B$8+298),설정!$D$35)&amp;"",",",""),"　","")),0)))</f>
        <v/>
      </c>
      <c r="AH304" s="27">
        <f>IF(설정!$D$36="","",IF(설정!$D$36="",0,IFERROR(VALUE(SUBSTITUTE(SUBSTITUTE(INDEX(급여대장_원본!$A$1:$AZ$400,(설정!$B$8+298),설정!$D$36)&amp;"",",",""),"　","")),0)))</f>
        <v/>
      </c>
      <c r="AI304" s="27">
        <f>IF(설정!$D$37="","",IF(설정!$D$37="",0,IFERROR(VALUE(SUBSTITUTE(SUBSTITUTE(INDEX(급여대장_원본!$A$1:$AZ$400,(설정!$B$8+298),설정!$D$37)&amp;"",",",""),"　","")),0)))</f>
        <v/>
      </c>
      <c r="AJ304" s="2">
        <f>IFERROR(INDEX($D$7:$D$306,MATCH(298,$B$7:$B$306,0)),"")</f>
        <v/>
      </c>
    </row>
    <row r="305">
      <c r="A305" s="2">
        <f>IF(AND(D305&lt;&gt;"",D305&lt;&gt;"합계",D305&lt;&gt;"총계",D305&lt;&gt;"소계",D305&lt;&gt;"계"),1,0)</f>
        <v/>
      </c>
      <c r="B305" s="2">
        <f>IF(A305=1,SUM($A$7:A305),"")</f>
        <v/>
      </c>
      <c r="C305" s="2">
        <f>IF(설정!$D$13="","",TRIM(SUBSTITUTE(INDEX(급여대장_원본!$A$1:$AZ$400,(설정!$B$8+299),설정!$D$13)&amp;"","　"," ")))</f>
        <v/>
      </c>
      <c r="D305" s="2">
        <f>IF(설정!$D$14="","",TRIM(SUBSTITUTE(INDEX(급여대장_원본!$A$1:$AZ$400,(설정!$B$8+299),설정!$D$14)&amp;"","　"," ")))</f>
        <v/>
      </c>
      <c r="E305" s="2">
        <f>IF(설정!$D$15="","",TRIM(SUBSTITUTE(INDEX(급여대장_원본!$A$1:$AZ$400,(설정!$B$8+299),설정!$D$15)&amp;"","　"," ")))</f>
        <v/>
      </c>
      <c r="F305" s="27">
        <f>IF(설정!$D$17="",0,IFERROR(VALUE(SUBSTITUTE(SUBSTITUTE(INDEX(급여대장_원본!$A$1:$AZ$400,(설정!$B$8+299),설정!$D$17)&amp;"",",",""),"　","")),0))</f>
        <v/>
      </c>
      <c r="G305" s="27">
        <f>IF(설정!$D$18="",0,IFERROR(VALUE(SUBSTITUTE(SUBSTITUTE(INDEX(급여대장_원본!$A$1:$AZ$400,(설정!$B$8+299),설정!$D$18)&amp;"",",",""),"　","")),0))</f>
        <v/>
      </c>
      <c r="H305" s="27">
        <f>IF(설정!$D$19="",0,IFERROR(VALUE(SUBSTITUTE(SUBSTITUTE(INDEX(급여대장_원본!$A$1:$AZ$400,(설정!$B$8+299),설정!$D$19)&amp;"",",",""),"　","")),0))</f>
        <v/>
      </c>
      <c r="I305" s="27">
        <f>IF(설정!$D$20="",0,IFERROR(VALUE(SUBSTITUTE(SUBSTITUTE(INDEX(급여대장_원본!$A$1:$AZ$400,(설정!$B$8+299),설정!$D$20)&amp;"",",",""),"　","")),0))</f>
        <v/>
      </c>
      <c r="J305" s="27">
        <f>IF(설정!$D$21="",0,IFERROR(VALUE(SUBSTITUTE(SUBSTITUTE(INDEX(급여대장_원본!$A$1:$AZ$400,(설정!$B$8+299),설정!$D$21)&amp;"",",",""),"　","")),0))</f>
        <v/>
      </c>
      <c r="K305" s="27">
        <f>IF(설정!$D$22="",0,IFERROR(VALUE(SUBSTITUTE(SUBSTITUTE(INDEX(급여대장_원본!$A$1:$AZ$400,(설정!$B$8+299),설정!$D$22)&amp;"",",",""),"　","")),0))</f>
        <v/>
      </c>
      <c r="L305" s="27">
        <f>IF(설정!$D$23="",0,IFERROR(VALUE(SUBSTITUTE(SUBSTITUTE(INDEX(급여대장_원본!$A$1:$AZ$400,(설정!$B$8+299),설정!$D$23)&amp;"",",",""),"　","")),0))</f>
        <v/>
      </c>
      <c r="M305" s="27">
        <f>IF(설정!$D$24="",0,IFERROR(VALUE(SUBSTITUTE(SUBSTITUTE(INDEX(급여대장_원본!$A$1:$AZ$400,(설정!$B$8+299),설정!$D$24)&amp;"",",",""),"　","")),0))</f>
        <v/>
      </c>
      <c r="N305" s="2">
        <f>IF(OR(설정!$C$17="",IFERROR(MATCH(설정!$C$17,INDEX(급여대장_원본!$A$1:$AZ$400,설정!$B$8,0),0),"")=""),"",IFERROR(VALUE(SUBSTITUTE(INDEX(급여대장_원본!$A$1:$AZ$400,(설정!$B$8+299),IFERROR(MATCH(설정!$C$17,INDEX(급여대장_원본!$A$1:$AZ$400,설정!$B$8,0),0),""))&amp;"",",","")),""))</f>
        <v/>
      </c>
      <c r="O305" s="2">
        <f>IF(OR(설정!$C$18="",IFERROR(MATCH(설정!$C$18,INDEX(급여대장_원본!$A$1:$AZ$400,설정!$B$8,0),0),"")=""),"",IFERROR(VALUE(SUBSTITUTE(INDEX(급여대장_원본!$A$1:$AZ$400,(설정!$B$8+299),IFERROR(MATCH(설정!$C$18,INDEX(급여대장_원본!$A$1:$AZ$400,설정!$B$8,0),0),""))&amp;"",",","")),""))</f>
        <v/>
      </c>
      <c r="P305" s="2">
        <f>IF(OR(설정!$C$19="",IFERROR(MATCH(설정!$C$19,INDEX(급여대장_원본!$A$1:$AZ$400,설정!$B$8,0),0),"")=""),"",IFERROR(VALUE(SUBSTITUTE(INDEX(급여대장_원본!$A$1:$AZ$400,(설정!$B$8+299),IFERROR(MATCH(설정!$C$19,INDEX(급여대장_원본!$A$1:$AZ$400,설정!$B$8,0),0),""))&amp;"",",","")),""))</f>
        <v/>
      </c>
      <c r="Q305" s="2">
        <f>IF(OR(설정!$C$20="",IFERROR(MATCH(설정!$C$20,INDEX(급여대장_원본!$A$1:$AZ$400,설정!$B$8,0),0),"")=""),"",IFERROR(VALUE(SUBSTITUTE(INDEX(급여대장_원본!$A$1:$AZ$400,(설정!$B$8+299),IFERROR(MATCH(설정!$C$20,INDEX(급여대장_원본!$A$1:$AZ$400,설정!$B$8,0),0),""))&amp;"",",","")),""))</f>
        <v/>
      </c>
      <c r="R305" s="2">
        <f>IF(OR(설정!$C$21="",IFERROR(MATCH(설정!$C$21,INDEX(급여대장_원본!$A$1:$AZ$400,설정!$B$8,0),0),"")=""),"",IFERROR(VALUE(SUBSTITUTE(INDEX(급여대장_원본!$A$1:$AZ$400,(설정!$B$8+299),IFERROR(MATCH(설정!$C$21,INDEX(급여대장_원본!$A$1:$AZ$400,설정!$B$8,0),0),""))&amp;"",",","")),""))</f>
        <v/>
      </c>
      <c r="S305" s="2">
        <f>IF(OR(설정!$C$22="",IFERROR(MATCH(설정!$C$22,INDEX(급여대장_원본!$A$1:$AZ$400,설정!$B$8,0),0),"")=""),"",IFERROR(VALUE(SUBSTITUTE(INDEX(급여대장_원본!$A$1:$AZ$400,(설정!$B$8+299),IFERROR(MATCH(설정!$C$22,INDEX(급여대장_원본!$A$1:$AZ$400,설정!$B$8,0),0),""))&amp;"",",","")),""))</f>
        <v/>
      </c>
      <c r="T305" s="2">
        <f>IF(OR(설정!$C$23="",IFERROR(MATCH(설정!$C$23,INDEX(급여대장_원본!$A$1:$AZ$400,설정!$B$8,0),0),"")=""),"",IFERROR(VALUE(SUBSTITUTE(INDEX(급여대장_원본!$A$1:$AZ$400,(설정!$B$8+299),IFERROR(MATCH(설정!$C$23,INDEX(급여대장_원본!$A$1:$AZ$400,설정!$B$8,0),0),""))&amp;"",",","")),""))</f>
        <v/>
      </c>
      <c r="U305" s="2">
        <f>IF(OR(설정!$C$24="",IFERROR(MATCH(설정!$C$24,INDEX(급여대장_원본!$A$1:$AZ$400,설정!$B$8,0),0),"")=""),"",IFERROR(VALUE(SUBSTITUTE(INDEX(급여대장_원본!$A$1:$AZ$400,(설정!$B$8+299),IFERROR(MATCH(설정!$C$24,INDEX(급여대장_원본!$A$1:$AZ$400,설정!$B$8,0),0),""))&amp;"",",","")),""))</f>
        <v/>
      </c>
      <c r="V305" s="27">
        <f>SUM(F305:M305)</f>
        <v/>
      </c>
      <c r="W305" s="27">
        <f>IF(설정!$D$26="",0,IFERROR(VALUE(SUBSTITUTE(SUBSTITUTE(INDEX(급여대장_원본!$A$1:$AZ$400,(설정!$B$8+299),설정!$D$26)&amp;"",",",""),"　","")),0))</f>
        <v/>
      </c>
      <c r="X305" s="27">
        <f>IF(설정!$D$27="",0,IFERROR(VALUE(SUBSTITUTE(SUBSTITUTE(INDEX(급여대장_원본!$A$1:$AZ$400,(설정!$B$8+299),설정!$D$27)&amp;"",",",""),"　","")),0))</f>
        <v/>
      </c>
      <c r="Y305" s="27">
        <f>IF(설정!$D$28="",0,IFERROR(VALUE(SUBSTITUTE(SUBSTITUTE(INDEX(급여대장_원본!$A$1:$AZ$400,(설정!$B$8+299),설정!$D$28)&amp;"",",",""),"　","")),0))</f>
        <v/>
      </c>
      <c r="Z305" s="27">
        <f>IF(설정!$D$29="",0,IFERROR(VALUE(SUBSTITUTE(SUBSTITUTE(INDEX(급여대장_원본!$A$1:$AZ$400,(설정!$B$8+299),설정!$D$29)&amp;"",",",""),"　","")),0))</f>
        <v/>
      </c>
      <c r="AA305" s="27">
        <f>IF(설정!$D$30="",0,IFERROR(VALUE(SUBSTITUTE(SUBSTITUTE(INDEX(급여대장_원본!$A$1:$AZ$400,(설정!$B$8+299),설정!$D$30)&amp;"",",",""),"　","")),0))</f>
        <v/>
      </c>
      <c r="AB305" s="27">
        <f>IF(설정!$D$31="",0,IFERROR(VALUE(SUBSTITUTE(SUBSTITUTE(INDEX(급여대장_원본!$A$1:$AZ$400,(설정!$B$8+299),설정!$D$31)&amp;"",",",""),"　","")),0))</f>
        <v/>
      </c>
      <c r="AC305" s="27">
        <f>IF(설정!$D$32="",0,IFERROR(VALUE(SUBSTITUTE(SUBSTITUTE(INDEX(급여대장_원본!$A$1:$AZ$400,(설정!$B$8+299),설정!$D$32)&amp;"",",",""),"　","")),0))</f>
        <v/>
      </c>
      <c r="AD305" s="27">
        <f>IF(설정!$D$33="",0,IFERROR(VALUE(SUBSTITUTE(SUBSTITUTE(INDEX(급여대장_원본!$A$1:$AZ$400,(설정!$B$8+299),설정!$D$33)&amp;"",",",""),"　","")),0))</f>
        <v/>
      </c>
      <c r="AE305" s="27">
        <f>SUM(W305:AD305)</f>
        <v/>
      </c>
      <c r="AF305" s="27">
        <f>V305-AE305</f>
        <v/>
      </c>
      <c r="AG305" s="27">
        <f>IF(설정!$D$35="","",IF(설정!$D$35="",0,IFERROR(VALUE(SUBSTITUTE(SUBSTITUTE(INDEX(급여대장_원본!$A$1:$AZ$400,(설정!$B$8+299),설정!$D$35)&amp;"",",",""),"　","")),0)))</f>
        <v/>
      </c>
      <c r="AH305" s="27">
        <f>IF(설정!$D$36="","",IF(설정!$D$36="",0,IFERROR(VALUE(SUBSTITUTE(SUBSTITUTE(INDEX(급여대장_원본!$A$1:$AZ$400,(설정!$B$8+299),설정!$D$36)&amp;"",",",""),"　","")),0)))</f>
        <v/>
      </c>
      <c r="AI305" s="27">
        <f>IF(설정!$D$37="","",IF(설정!$D$37="",0,IFERROR(VALUE(SUBSTITUTE(SUBSTITUTE(INDEX(급여대장_원본!$A$1:$AZ$400,(설정!$B$8+299),설정!$D$37)&amp;"",",",""),"　","")),0)))</f>
        <v/>
      </c>
      <c r="AJ305" s="2">
        <f>IFERROR(INDEX($D$7:$D$306,MATCH(299,$B$7:$B$306,0)),"")</f>
        <v/>
      </c>
    </row>
    <row r="306">
      <c r="A306" s="2">
        <f>IF(AND(D306&lt;&gt;"",D306&lt;&gt;"합계",D306&lt;&gt;"총계",D306&lt;&gt;"소계",D306&lt;&gt;"계"),1,0)</f>
        <v/>
      </c>
      <c r="B306" s="2">
        <f>IF(A306=1,SUM($A$7:A306),"")</f>
        <v/>
      </c>
      <c r="C306" s="2">
        <f>IF(설정!$D$13="","",TRIM(SUBSTITUTE(INDEX(급여대장_원본!$A$1:$AZ$400,(설정!$B$8+300),설정!$D$13)&amp;"","　"," ")))</f>
        <v/>
      </c>
      <c r="D306" s="2">
        <f>IF(설정!$D$14="","",TRIM(SUBSTITUTE(INDEX(급여대장_원본!$A$1:$AZ$400,(설정!$B$8+300),설정!$D$14)&amp;"","　"," ")))</f>
        <v/>
      </c>
      <c r="E306" s="2">
        <f>IF(설정!$D$15="","",TRIM(SUBSTITUTE(INDEX(급여대장_원본!$A$1:$AZ$400,(설정!$B$8+300),설정!$D$15)&amp;"","　"," ")))</f>
        <v/>
      </c>
      <c r="F306" s="27">
        <f>IF(설정!$D$17="",0,IFERROR(VALUE(SUBSTITUTE(SUBSTITUTE(INDEX(급여대장_원본!$A$1:$AZ$400,(설정!$B$8+300),설정!$D$17)&amp;"",",",""),"　","")),0))</f>
        <v/>
      </c>
      <c r="G306" s="27">
        <f>IF(설정!$D$18="",0,IFERROR(VALUE(SUBSTITUTE(SUBSTITUTE(INDEX(급여대장_원본!$A$1:$AZ$400,(설정!$B$8+300),설정!$D$18)&amp;"",",",""),"　","")),0))</f>
        <v/>
      </c>
      <c r="H306" s="27">
        <f>IF(설정!$D$19="",0,IFERROR(VALUE(SUBSTITUTE(SUBSTITUTE(INDEX(급여대장_원본!$A$1:$AZ$400,(설정!$B$8+300),설정!$D$19)&amp;"",",",""),"　","")),0))</f>
        <v/>
      </c>
      <c r="I306" s="27">
        <f>IF(설정!$D$20="",0,IFERROR(VALUE(SUBSTITUTE(SUBSTITUTE(INDEX(급여대장_원본!$A$1:$AZ$400,(설정!$B$8+300),설정!$D$20)&amp;"",",",""),"　","")),0))</f>
        <v/>
      </c>
      <c r="J306" s="27">
        <f>IF(설정!$D$21="",0,IFERROR(VALUE(SUBSTITUTE(SUBSTITUTE(INDEX(급여대장_원본!$A$1:$AZ$400,(설정!$B$8+300),설정!$D$21)&amp;"",",",""),"　","")),0))</f>
        <v/>
      </c>
      <c r="K306" s="27">
        <f>IF(설정!$D$22="",0,IFERROR(VALUE(SUBSTITUTE(SUBSTITUTE(INDEX(급여대장_원본!$A$1:$AZ$400,(설정!$B$8+300),설정!$D$22)&amp;"",",",""),"　","")),0))</f>
        <v/>
      </c>
      <c r="L306" s="27">
        <f>IF(설정!$D$23="",0,IFERROR(VALUE(SUBSTITUTE(SUBSTITUTE(INDEX(급여대장_원본!$A$1:$AZ$400,(설정!$B$8+300),설정!$D$23)&amp;"",",",""),"　","")),0))</f>
        <v/>
      </c>
      <c r="M306" s="27">
        <f>IF(설정!$D$24="",0,IFERROR(VALUE(SUBSTITUTE(SUBSTITUTE(INDEX(급여대장_원본!$A$1:$AZ$400,(설정!$B$8+300),설정!$D$24)&amp;"",",",""),"　","")),0))</f>
        <v/>
      </c>
      <c r="N306" s="2">
        <f>IF(OR(설정!$C$17="",IFERROR(MATCH(설정!$C$17,INDEX(급여대장_원본!$A$1:$AZ$400,설정!$B$8,0),0),"")=""),"",IFERROR(VALUE(SUBSTITUTE(INDEX(급여대장_원본!$A$1:$AZ$400,(설정!$B$8+300),IFERROR(MATCH(설정!$C$17,INDEX(급여대장_원본!$A$1:$AZ$400,설정!$B$8,0),0),""))&amp;"",",","")),""))</f>
        <v/>
      </c>
      <c r="O306" s="2">
        <f>IF(OR(설정!$C$18="",IFERROR(MATCH(설정!$C$18,INDEX(급여대장_원본!$A$1:$AZ$400,설정!$B$8,0),0),"")=""),"",IFERROR(VALUE(SUBSTITUTE(INDEX(급여대장_원본!$A$1:$AZ$400,(설정!$B$8+300),IFERROR(MATCH(설정!$C$18,INDEX(급여대장_원본!$A$1:$AZ$400,설정!$B$8,0),0),""))&amp;"",",","")),""))</f>
        <v/>
      </c>
      <c r="P306" s="2">
        <f>IF(OR(설정!$C$19="",IFERROR(MATCH(설정!$C$19,INDEX(급여대장_원본!$A$1:$AZ$400,설정!$B$8,0),0),"")=""),"",IFERROR(VALUE(SUBSTITUTE(INDEX(급여대장_원본!$A$1:$AZ$400,(설정!$B$8+300),IFERROR(MATCH(설정!$C$19,INDEX(급여대장_원본!$A$1:$AZ$400,설정!$B$8,0),0),""))&amp;"",",","")),""))</f>
        <v/>
      </c>
      <c r="Q306" s="2">
        <f>IF(OR(설정!$C$20="",IFERROR(MATCH(설정!$C$20,INDEX(급여대장_원본!$A$1:$AZ$400,설정!$B$8,0),0),"")=""),"",IFERROR(VALUE(SUBSTITUTE(INDEX(급여대장_원본!$A$1:$AZ$400,(설정!$B$8+300),IFERROR(MATCH(설정!$C$20,INDEX(급여대장_원본!$A$1:$AZ$400,설정!$B$8,0),0),""))&amp;"",",","")),""))</f>
        <v/>
      </c>
      <c r="R306" s="2">
        <f>IF(OR(설정!$C$21="",IFERROR(MATCH(설정!$C$21,INDEX(급여대장_원본!$A$1:$AZ$400,설정!$B$8,0),0),"")=""),"",IFERROR(VALUE(SUBSTITUTE(INDEX(급여대장_원본!$A$1:$AZ$400,(설정!$B$8+300),IFERROR(MATCH(설정!$C$21,INDEX(급여대장_원본!$A$1:$AZ$400,설정!$B$8,0),0),""))&amp;"",",","")),""))</f>
        <v/>
      </c>
      <c r="S306" s="2">
        <f>IF(OR(설정!$C$22="",IFERROR(MATCH(설정!$C$22,INDEX(급여대장_원본!$A$1:$AZ$400,설정!$B$8,0),0),"")=""),"",IFERROR(VALUE(SUBSTITUTE(INDEX(급여대장_원본!$A$1:$AZ$400,(설정!$B$8+300),IFERROR(MATCH(설정!$C$22,INDEX(급여대장_원본!$A$1:$AZ$400,설정!$B$8,0),0),""))&amp;"",",","")),""))</f>
        <v/>
      </c>
      <c r="T306" s="2">
        <f>IF(OR(설정!$C$23="",IFERROR(MATCH(설정!$C$23,INDEX(급여대장_원본!$A$1:$AZ$400,설정!$B$8,0),0),"")=""),"",IFERROR(VALUE(SUBSTITUTE(INDEX(급여대장_원본!$A$1:$AZ$400,(설정!$B$8+300),IFERROR(MATCH(설정!$C$23,INDEX(급여대장_원본!$A$1:$AZ$400,설정!$B$8,0),0),""))&amp;"",",","")),""))</f>
        <v/>
      </c>
      <c r="U306" s="2">
        <f>IF(OR(설정!$C$24="",IFERROR(MATCH(설정!$C$24,INDEX(급여대장_원본!$A$1:$AZ$400,설정!$B$8,0),0),"")=""),"",IFERROR(VALUE(SUBSTITUTE(INDEX(급여대장_원본!$A$1:$AZ$400,(설정!$B$8+300),IFERROR(MATCH(설정!$C$24,INDEX(급여대장_원본!$A$1:$AZ$400,설정!$B$8,0),0),""))&amp;"",",","")),""))</f>
        <v/>
      </c>
      <c r="V306" s="27">
        <f>SUM(F306:M306)</f>
        <v/>
      </c>
      <c r="W306" s="27">
        <f>IF(설정!$D$26="",0,IFERROR(VALUE(SUBSTITUTE(SUBSTITUTE(INDEX(급여대장_원본!$A$1:$AZ$400,(설정!$B$8+300),설정!$D$26)&amp;"",",",""),"　","")),0))</f>
        <v/>
      </c>
      <c r="X306" s="27">
        <f>IF(설정!$D$27="",0,IFERROR(VALUE(SUBSTITUTE(SUBSTITUTE(INDEX(급여대장_원본!$A$1:$AZ$400,(설정!$B$8+300),설정!$D$27)&amp;"",",",""),"　","")),0))</f>
        <v/>
      </c>
      <c r="Y306" s="27">
        <f>IF(설정!$D$28="",0,IFERROR(VALUE(SUBSTITUTE(SUBSTITUTE(INDEX(급여대장_원본!$A$1:$AZ$400,(설정!$B$8+300),설정!$D$28)&amp;"",",",""),"　","")),0))</f>
        <v/>
      </c>
      <c r="Z306" s="27">
        <f>IF(설정!$D$29="",0,IFERROR(VALUE(SUBSTITUTE(SUBSTITUTE(INDEX(급여대장_원본!$A$1:$AZ$400,(설정!$B$8+300),설정!$D$29)&amp;"",",",""),"　","")),0))</f>
        <v/>
      </c>
      <c r="AA306" s="27">
        <f>IF(설정!$D$30="",0,IFERROR(VALUE(SUBSTITUTE(SUBSTITUTE(INDEX(급여대장_원본!$A$1:$AZ$400,(설정!$B$8+300),설정!$D$30)&amp;"",",",""),"　","")),0))</f>
        <v/>
      </c>
      <c r="AB306" s="27">
        <f>IF(설정!$D$31="",0,IFERROR(VALUE(SUBSTITUTE(SUBSTITUTE(INDEX(급여대장_원본!$A$1:$AZ$400,(설정!$B$8+300),설정!$D$31)&amp;"",",",""),"　","")),0))</f>
        <v/>
      </c>
      <c r="AC306" s="27">
        <f>IF(설정!$D$32="",0,IFERROR(VALUE(SUBSTITUTE(SUBSTITUTE(INDEX(급여대장_원본!$A$1:$AZ$400,(설정!$B$8+300),설정!$D$32)&amp;"",",",""),"　","")),0))</f>
        <v/>
      </c>
      <c r="AD306" s="27">
        <f>IF(설정!$D$33="",0,IFERROR(VALUE(SUBSTITUTE(SUBSTITUTE(INDEX(급여대장_원본!$A$1:$AZ$400,(설정!$B$8+300),설정!$D$33)&amp;"",",",""),"　","")),0))</f>
        <v/>
      </c>
      <c r="AE306" s="27">
        <f>SUM(W306:AD306)</f>
        <v/>
      </c>
      <c r="AF306" s="27">
        <f>V306-AE306</f>
        <v/>
      </c>
      <c r="AG306" s="27">
        <f>IF(설정!$D$35="","",IF(설정!$D$35="",0,IFERROR(VALUE(SUBSTITUTE(SUBSTITUTE(INDEX(급여대장_원본!$A$1:$AZ$400,(설정!$B$8+300),설정!$D$35)&amp;"",",",""),"　","")),0)))</f>
        <v/>
      </c>
      <c r="AH306" s="27">
        <f>IF(설정!$D$36="","",IF(설정!$D$36="",0,IFERROR(VALUE(SUBSTITUTE(SUBSTITUTE(INDEX(급여대장_원본!$A$1:$AZ$400,(설정!$B$8+300),설정!$D$36)&amp;"",",",""),"　","")),0)))</f>
        <v/>
      </c>
      <c r="AI306" s="27">
        <f>IF(설정!$D$37="","",IF(설정!$D$37="",0,IFERROR(VALUE(SUBSTITUTE(SUBSTITUTE(INDEX(급여대장_원본!$A$1:$AZ$400,(설정!$B$8+300),설정!$D$37)&amp;"",",",""),"　","")),0)))</f>
        <v/>
      </c>
      <c r="AJ306" s="2">
        <f>IFERROR(INDEX($D$7:$D$306,MATCH(300,$B$7:$B$306,0)),"")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2026-10-31T09:05:34Z</dcterms:created>
  <dcterms:modified xmlns:dcterms="http://purl.org/dc/terms/" xmlns:xsi="http://www.w3.org/2001/XMLSchema-instance" xsi:type="dcterms:W3CDTF">2026-10-31T09:05:34Z</dcterms:modified>
</cp:coreProperties>
</file>